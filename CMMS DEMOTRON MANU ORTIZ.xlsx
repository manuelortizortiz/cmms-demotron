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d.docs.live.net/18769B89B4824173/"/>
    </mc:Choice>
  </mc:AlternateContent>
  <xr:revisionPtr revIDLastSave="0" documentId="8_{8A52B135-9E91-4556-ABEC-AC23995865C4}" xr6:coauthVersionLast="47" xr6:coauthVersionMax="47" xr10:uidLastSave="{00000000-0000-0000-0000-000000000000}"/>
  <bookViews>
    <workbookView xWindow="-28920" yWindow="-1620" windowWidth="29040" windowHeight="15720" activeTab="4" xr2:uid="{00000000-000D-0000-FFFF-FFFF00000000}"/>
  </bookViews>
  <sheets>
    <sheet name="Equipos" sheetId="1" r:id="rId1"/>
    <sheet name="Lecturas" sheetId="2" r:id="rId2"/>
    <sheet name="Mantenciones" sheetId="3" r:id="rId3"/>
    <sheet name="Repuestos" sheetId="13" r:id="rId4"/>
    <sheet name="Recetas_Kits" sheetId="14" r:id="rId5"/>
    <sheet name="Compras PM" sheetId="4" r:id="rId6"/>
    <sheet name="Bodega" sheetId="5" r:id="rId7"/>
    <sheet name="Maestro_Equipos" sheetId="6" r:id="rId8"/>
    <sheet name="Plan_Mantenciones" sheetId="7" r:id="rId9"/>
    <sheet name="Plan_90_Dias" sheetId="8" r:id="rId10"/>
    <sheet name="Planner_Semanal" sheetId="9" r:id="rId11"/>
    <sheet name="Correctivas" sheetId="12" r:id="rId12"/>
    <sheet name="Dashboard" sheetId="11" r:id="rId1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77" i="4" l="1"/>
  <c r="C376" i="4"/>
  <c r="C375" i="4"/>
  <c r="C374" i="4"/>
  <c r="C373" i="4"/>
  <c r="C369" i="4"/>
  <c r="C368" i="4"/>
  <c r="C367" i="4"/>
  <c r="C366" i="4"/>
  <c r="C365" i="4"/>
  <c r="C364" i="4"/>
  <c r="C363" i="4"/>
  <c r="C361" i="4"/>
  <c r="C360" i="4"/>
  <c r="C31" i="4"/>
  <c r="C32" i="4"/>
  <c r="C33" i="4"/>
  <c r="C34" i="4"/>
  <c r="C35" i="4"/>
  <c r="C36" i="4"/>
  <c r="C54" i="4"/>
  <c r="C72" i="4"/>
  <c r="C73" i="4"/>
  <c r="C74" i="4"/>
  <c r="C75" i="4"/>
  <c r="C76" i="4"/>
  <c r="C77" i="4"/>
  <c r="C78" i="4"/>
  <c r="C79" i="4"/>
  <c r="C80" i="4"/>
  <c r="C81" i="4"/>
  <c r="C82" i="4"/>
  <c r="C83" i="4"/>
  <c r="C84" i="4"/>
  <c r="C85" i="4"/>
  <c r="C86" i="4"/>
  <c r="C87" i="4"/>
  <c r="C88" i="4"/>
  <c r="C89" i="4"/>
  <c r="C98" i="4"/>
  <c r="C99" i="4"/>
  <c r="C100" i="4"/>
  <c r="C101" i="4"/>
  <c r="C102" i="4"/>
  <c r="C103" i="4"/>
  <c r="C104" i="4"/>
  <c r="C105" i="4"/>
  <c r="C106" i="4"/>
  <c r="C107" i="4"/>
  <c r="C108" i="4"/>
  <c r="C109" i="4"/>
  <c r="C110" i="4"/>
  <c r="C111" i="4"/>
  <c r="C114" i="4"/>
  <c r="C115" i="4"/>
  <c r="C116" i="4"/>
  <c r="C117" i="4"/>
  <c r="C118" i="4"/>
  <c r="C119" i="4"/>
  <c r="C120" i="4"/>
  <c r="C121" i="4"/>
  <c r="C122" i="4"/>
  <c r="C124" i="4"/>
  <c r="C125" i="4"/>
  <c r="C126" i="4"/>
  <c r="C127" i="4"/>
  <c r="C162" i="4"/>
  <c r="C163" i="4"/>
  <c r="C164" i="4"/>
  <c r="C165" i="4"/>
  <c r="C166" i="4"/>
  <c r="C167" i="4"/>
  <c r="C168" i="4"/>
  <c r="C169" i="4"/>
  <c r="C170" i="4"/>
  <c r="C171" i="4"/>
  <c r="C172" i="4"/>
  <c r="C173" i="4"/>
  <c r="C174" i="4"/>
  <c r="C182" i="4"/>
  <c r="C184" i="4"/>
  <c r="C180" i="4"/>
  <c r="C179" i="4"/>
  <c r="C181" i="4"/>
  <c r="C178" i="4"/>
  <c r="C177" i="4"/>
  <c r="C176" i="4"/>
  <c r="C175" i="4"/>
  <c r="C185" i="4"/>
  <c r="C186" i="4"/>
  <c r="C187" i="4"/>
  <c r="C188" i="4"/>
  <c r="C189" i="4"/>
  <c r="C190" i="4"/>
  <c r="C191" i="4"/>
  <c r="C193" i="4"/>
  <c r="C195" i="4"/>
  <c r="C197" i="4"/>
  <c r="C194" i="4"/>
  <c r="C196" i="4"/>
  <c r="C198" i="4"/>
  <c r="C201" i="4"/>
  <c r="C199" i="4"/>
  <c r="C202" i="4"/>
  <c r="C205" i="4"/>
  <c r="C204" i="4"/>
  <c r="C207" i="4"/>
  <c r="C206" i="4"/>
  <c r="C208" i="4"/>
  <c r="C219" i="4"/>
  <c r="C230" i="4"/>
  <c r="C231" i="4"/>
  <c r="C235" i="4"/>
  <c r="C236" i="4"/>
  <c r="C237" i="4"/>
  <c r="C248" i="4"/>
  <c r="C249" i="4"/>
  <c r="C250" i="4"/>
  <c r="C251" i="4"/>
  <c r="C252" i="4"/>
  <c r="C253" i="4"/>
  <c r="C254" i="4"/>
  <c r="C255" i="4"/>
  <c r="C256" i="4"/>
  <c r="C257" i="4"/>
  <c r="C258" i="4"/>
  <c r="C259" i="4"/>
  <c r="C272" i="4"/>
  <c r="C273" i="4"/>
  <c r="C274" i="4"/>
  <c r="C275" i="4"/>
  <c r="C276" i="4"/>
  <c r="C277" i="4"/>
  <c r="C278" i="4"/>
  <c r="C279" i="4"/>
  <c r="C280" i="4"/>
  <c r="C281" i="4"/>
  <c r="C282" i="4"/>
  <c r="C283" i="4"/>
  <c r="C284" i="4"/>
  <c r="C285" i="4"/>
  <c r="C286" i="4"/>
  <c r="C289" i="4"/>
  <c r="C327" i="4"/>
  <c r="C326" i="4"/>
  <c r="C325" i="4"/>
  <c r="C324" i="4"/>
  <c r="C323" i="4"/>
  <c r="C313" i="4"/>
  <c r="C312" i="4"/>
  <c r="C311" i="4"/>
  <c r="C306" i="4"/>
  <c r="C297" i="4"/>
  <c r="C296" i="4"/>
  <c r="C295" i="4"/>
  <c r="C294" i="4"/>
  <c r="C293" i="4"/>
  <c r="C292" i="4"/>
  <c r="C291" i="4"/>
  <c r="C290" i="4"/>
  <c r="C288" i="4"/>
  <c r="C287" i="4"/>
  <c r="C357" i="4"/>
  <c r="C359" i="4"/>
  <c r="C358" i="4"/>
  <c r="C349" i="4"/>
  <c r="C353" i="4"/>
  <c r="C352" i="4"/>
  <c r="C354" i="4"/>
  <c r="C355" i="4"/>
  <c r="C348" i="4"/>
  <c r="C350" i="4"/>
  <c r="C351" i="4"/>
  <c r="C345" i="4"/>
  <c r="C347" i="4"/>
  <c r="C344" i="4"/>
  <c r="C343" i="4"/>
  <c r="C342" i="4"/>
  <c r="C341" i="4"/>
  <c r="C329" i="4"/>
  <c r="C331" i="4"/>
  <c r="C330" i="4"/>
  <c r="C328" i="4"/>
  <c r="C322" i="4"/>
  <c r="C320" i="4"/>
  <c r="C321" i="4"/>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4" i="6"/>
  <c r="I5" i="6"/>
  <c r="I6" i="6"/>
  <c r="I7" i="6"/>
  <c r="I8" i="6"/>
  <c r="I9" i="6"/>
  <c r="I10" i="6"/>
  <c r="I11" i="6"/>
  <c r="I12" i="6"/>
  <c r="I13" i="6"/>
  <c r="O13" i="6" a="1"/>
  <c r="O13" i="6"/>
  <c r="I14" i="6"/>
  <c r="I15" i="6"/>
  <c r="I16" i="6"/>
  <c r="O16" i="6" a="1"/>
  <c r="O16" i="6"/>
  <c r="I17" i="6"/>
  <c r="I18" i="6"/>
  <c r="O18" i="6" a="1"/>
  <c r="O18" i="6"/>
  <c r="I19" i="6"/>
  <c r="O19" i="6" s="1" a="1"/>
  <c r="O19" i="6" s="1"/>
  <c r="X19" i="6" s="1"/>
  <c r="I20" i="6"/>
  <c r="I21" i="6"/>
  <c r="O21" i="6" s="1" a="1"/>
  <c r="O21" i="6" s="1"/>
  <c r="X21" i="6" s="1"/>
  <c r="Y21" i="6" s="1"/>
  <c r="I22" i="6"/>
  <c r="I23" i="6"/>
  <c r="I24" i="6"/>
  <c r="I25" i="6"/>
  <c r="I26" i="6"/>
  <c r="I27" i="6"/>
  <c r="O27" i="6" s="1" a="1"/>
  <c r="O27" i="6" s="1"/>
  <c r="X27" i="6" s="1"/>
  <c r="I28" i="6"/>
  <c r="O28" i="6" s="1" a="1"/>
  <c r="O28" i="6" s="1"/>
  <c r="I29" i="6"/>
  <c r="O29" i="6" s="1" a="1"/>
  <c r="O29" i="6" s="1"/>
  <c r="I30" i="6"/>
  <c r="O30" i="6" s="1" a="1"/>
  <c r="O30" i="6" s="1"/>
  <c r="I31" i="6"/>
  <c r="I32" i="6"/>
  <c r="O32" i="6" s="1" a="1"/>
  <c r="O32" i="6" s="1"/>
  <c r="I33" i="6"/>
  <c r="I34" i="6"/>
  <c r="O34" i="6" s="1" a="1"/>
  <c r="O34" i="6" s="1"/>
  <c r="X34" i="6" s="1"/>
  <c r="I35" i="6"/>
  <c r="O35" i="6" s="1" a="1"/>
  <c r="O35" i="6" s="1"/>
  <c r="I36" i="6"/>
  <c r="O36" i="6" s="1" a="1"/>
  <c r="O36" i="6" s="1"/>
  <c r="I37" i="6"/>
  <c r="O37" i="6" s="1" a="1"/>
  <c r="O37" i="6" s="1"/>
  <c r="X37" i="6" s="1"/>
  <c r="I38" i="6"/>
  <c r="O38" i="6" s="1" a="1"/>
  <c r="O38" i="6" s="1"/>
  <c r="I39" i="6"/>
  <c r="I40" i="6"/>
  <c r="I41" i="6"/>
  <c r="I42" i="6"/>
  <c r="I43" i="6"/>
  <c r="O43" i="6" s="1" a="1"/>
  <c r="O43" i="6" s="1"/>
  <c r="I44" i="6"/>
  <c r="O44" i="6" s="1" a="1"/>
  <c r="O44" i="6" s="1"/>
  <c r="I45" i="6"/>
  <c r="O45" i="6" s="1" a="1"/>
  <c r="O45" i="6" s="1"/>
  <c r="I46" i="6"/>
  <c r="O46" i="6" s="1" a="1"/>
  <c r="O46" i="6" s="1"/>
  <c r="I47" i="6"/>
  <c r="I48" i="6"/>
  <c r="O48" i="6" s="1" a="1"/>
  <c r="O48" i="6" s="1"/>
  <c r="I49" i="6"/>
  <c r="I50" i="6"/>
  <c r="O50" i="6" s="1" a="1"/>
  <c r="O50" i="6" s="1"/>
  <c r="I51" i="6"/>
  <c r="O51" i="6" s="1" a="1"/>
  <c r="O51" i="6" s="1"/>
  <c r="I52" i="6"/>
  <c r="O52" i="6" s="1" a="1"/>
  <c r="O52" i="6" s="1"/>
  <c r="I53" i="6"/>
  <c r="O53" i="6" s="1" a="1"/>
  <c r="O53" i="6" s="1"/>
  <c r="I54" i="6"/>
  <c r="O54" i="6" s="1" a="1"/>
  <c r="O54" i="6" s="1"/>
  <c r="I55" i="6"/>
  <c r="I56" i="6"/>
  <c r="O56" i="6" s="1" a="1"/>
  <c r="O56" i="6" s="1"/>
  <c r="I57" i="6"/>
  <c r="I58" i="6"/>
  <c r="I59" i="6"/>
  <c r="I60" i="6"/>
  <c r="O60" i="6" s="1" a="1"/>
  <c r="O60" i="6" s="1"/>
  <c r="I61" i="6"/>
  <c r="O61" i="6" s="1" a="1"/>
  <c r="O61" i="6" s="1"/>
  <c r="X61" i="6" s="1"/>
  <c r="I62" i="6"/>
  <c r="I63" i="6"/>
  <c r="I64" i="6"/>
  <c r="O64" i="6" s="1" a="1"/>
  <c r="O64" i="6" s="1"/>
  <c r="I65" i="6"/>
  <c r="I66" i="6"/>
  <c r="I67" i="6"/>
  <c r="O67" i="6" s="1" a="1"/>
  <c r="O67" i="6" s="1"/>
  <c r="I68" i="6"/>
  <c r="I69" i="6"/>
  <c r="O69" i="6" s="1" a="1"/>
  <c r="O69" i="6" s="1"/>
  <c r="I70" i="6"/>
  <c r="O70" i="6" s="1" a="1"/>
  <c r="O70" i="6" s="1"/>
  <c r="I71" i="6"/>
  <c r="I72" i="6"/>
  <c r="O72" i="6" s="1" a="1"/>
  <c r="O72" i="6" s="1"/>
  <c r="I73" i="6"/>
  <c r="I74" i="6"/>
  <c r="O74" i="6" s="1" a="1"/>
  <c r="O74" i="6" s="1"/>
  <c r="X74" i="6" s="1"/>
  <c r="I75" i="6"/>
  <c r="O75" i="6" s="1" a="1"/>
  <c r="O75" i="6" s="1"/>
  <c r="I76" i="6"/>
  <c r="I77" i="6"/>
  <c r="O77" i="6" s="1" a="1"/>
  <c r="O77" i="6" s="1"/>
  <c r="I78" i="6"/>
  <c r="O78" i="6" s="1" a="1"/>
  <c r="O78" i="6" s="1"/>
  <c r="I79" i="6"/>
  <c r="I80" i="6"/>
  <c r="I81" i="6"/>
  <c r="I82" i="6"/>
  <c r="O82" i="6" s="1" a="1"/>
  <c r="O82" i="6" s="1"/>
  <c r="I83" i="6"/>
  <c r="O83" i="6" s="1" a="1"/>
  <c r="O83" i="6" s="1"/>
  <c r="I84" i="6"/>
  <c r="O84" i="6" s="1" a="1"/>
  <c r="O84" i="6" s="1"/>
  <c r="I85" i="6"/>
  <c r="O85" i="6" s="1" a="1"/>
  <c r="O85" i="6" s="1"/>
  <c r="I86" i="6"/>
  <c r="O86" i="6" s="1" a="1"/>
  <c r="O86" i="6" s="1"/>
  <c r="I87" i="6"/>
  <c r="I88" i="6"/>
  <c r="I89" i="6"/>
  <c r="O89" i="6" s="1" a="1"/>
  <c r="O89" i="6" s="1"/>
  <c r="I90" i="6"/>
  <c r="I91" i="6"/>
  <c r="O91" i="6" s="1" a="1"/>
  <c r="O91" i="6" s="1"/>
  <c r="I92" i="6"/>
  <c r="O92" i="6" s="1" a="1"/>
  <c r="O92" i="6" s="1"/>
  <c r="I93" i="6"/>
  <c r="O93" i="6" s="1" a="1"/>
  <c r="O93" i="6" s="1"/>
  <c r="I94" i="6"/>
  <c r="I95" i="6"/>
  <c r="I96" i="6"/>
  <c r="O96" i="6" s="1" a="1"/>
  <c r="O96" i="6" s="1"/>
  <c r="I97" i="6"/>
  <c r="I98" i="6"/>
  <c r="O98" i="6" s="1" a="1"/>
  <c r="O98" i="6" s="1"/>
  <c r="I99" i="6"/>
  <c r="I100" i="6"/>
  <c r="O100" i="6" s="1" a="1"/>
  <c r="O100" i="6" s="1"/>
  <c r="I101" i="6"/>
  <c r="O101" i="6" s="1" a="1"/>
  <c r="O101" i="6" s="1"/>
  <c r="I102" i="6"/>
  <c r="O102" i="6" s="1" a="1"/>
  <c r="O102" i="6" s="1"/>
  <c r="I103" i="6"/>
  <c r="I104" i="6"/>
  <c r="I105" i="6"/>
  <c r="I106" i="6"/>
  <c r="I107" i="6"/>
  <c r="I108" i="6"/>
  <c r="O108" i="6" s="1" a="1"/>
  <c r="O108" i="6" s="1"/>
  <c r="I109" i="6"/>
  <c r="O109" i="6" s="1" a="1"/>
  <c r="O109" i="6" s="1"/>
  <c r="I110" i="6"/>
  <c r="O110" i="6" s="1" a="1"/>
  <c r="O110" i="6" s="1"/>
  <c r="I111" i="6"/>
  <c r="O111" i="6" s="1" a="1"/>
  <c r="O111" i="6" s="1"/>
  <c r="I112" i="6"/>
  <c r="O112" i="6" s="1" a="1"/>
  <c r="O112" i="6" s="1"/>
  <c r="I113" i="6"/>
  <c r="I114" i="6"/>
  <c r="I115" i="6"/>
  <c r="I116" i="6"/>
  <c r="K116" i="6" s="1"/>
  <c r="I117" i="6"/>
  <c r="O117" i="6" s="1" a="1"/>
  <c r="O117" i="6" s="1"/>
  <c r="I118" i="6"/>
  <c r="O118" i="6" s="1" a="1"/>
  <c r="O118" i="6" s="1"/>
  <c r="I119" i="6"/>
  <c r="I120" i="6"/>
  <c r="I121" i="6"/>
  <c r="I122" i="6"/>
  <c r="I123" i="6"/>
  <c r="O123" i="6" s="1" a="1"/>
  <c r="O123" i="6" s="1"/>
  <c r="I124" i="6"/>
  <c r="O124" i="6" s="1" a="1"/>
  <c r="O124" i="6" s="1"/>
  <c r="I125" i="6"/>
  <c r="O125" i="6" s="1" a="1"/>
  <c r="O125" i="6" s="1"/>
  <c r="I126" i="6"/>
  <c r="O126" i="6" s="1" a="1"/>
  <c r="O126" i="6" s="1"/>
  <c r="I127" i="6"/>
  <c r="O127" i="6" s="1" a="1"/>
  <c r="O127" i="6" s="1"/>
  <c r="I128" i="6"/>
  <c r="O128" i="6" s="1" a="1"/>
  <c r="O128" i="6" s="1"/>
  <c r="I129" i="6"/>
  <c r="I130" i="6"/>
  <c r="O130" i="6" s="1" a="1"/>
  <c r="O130" i="6" s="1"/>
  <c r="I131" i="6"/>
  <c r="I132" i="6"/>
  <c r="O132" i="6" s="1" a="1"/>
  <c r="O132" i="6" s="1"/>
  <c r="I133" i="6"/>
  <c r="O133" i="6" s="1" a="1"/>
  <c r="O133" i="6" s="1"/>
  <c r="I134" i="6"/>
  <c r="O134" i="6" s="1" a="1"/>
  <c r="O134" i="6" s="1"/>
  <c r="I135" i="6"/>
  <c r="I136" i="6"/>
  <c r="O136" i="6" s="1" a="1"/>
  <c r="O136" i="6" s="1"/>
  <c r="I137" i="6"/>
  <c r="I138" i="6"/>
  <c r="O138" i="6" s="1" a="1"/>
  <c r="O138" i="6" s="1"/>
  <c r="I139" i="6"/>
  <c r="O139" i="6" s="1" a="1"/>
  <c r="O139" i="6" s="1"/>
  <c r="I140" i="6"/>
  <c r="O140" i="6" s="1" a="1"/>
  <c r="O140" i="6" s="1"/>
  <c r="I141" i="6"/>
  <c r="O141" i="6" s="1" a="1"/>
  <c r="O141" i="6" s="1"/>
  <c r="I142" i="6"/>
  <c r="O142" i="6" s="1" a="1"/>
  <c r="O142" i="6" s="1"/>
  <c r="I143" i="6"/>
  <c r="I144" i="6"/>
  <c r="I145" i="6"/>
  <c r="O145" i="6" s="1" a="1"/>
  <c r="O145" i="6" s="1"/>
  <c r="I146" i="6"/>
  <c r="O146" i="6" s="1" a="1"/>
  <c r="O146" i="6" s="1"/>
  <c r="I147" i="6"/>
  <c r="O147" i="6" s="1" a="1"/>
  <c r="O147" i="6" s="1"/>
  <c r="I148" i="6"/>
  <c r="O148" i="6" s="1" a="1"/>
  <c r="O148" i="6" s="1"/>
  <c r="I149" i="6"/>
  <c r="O149" i="6" s="1" a="1"/>
  <c r="O149" i="6" s="1"/>
  <c r="I150" i="6"/>
  <c r="K150" i="6" s="1"/>
  <c r="I151" i="6"/>
  <c r="I152" i="6"/>
  <c r="O152" i="6" s="1" a="1"/>
  <c r="O152" i="6" s="1"/>
  <c r="I153" i="6"/>
  <c r="O153" i="6" s="1" a="1"/>
  <c r="O153" i="6" s="1"/>
  <c r="I154" i="6"/>
  <c r="O154" i="6" s="1" a="1"/>
  <c r="O154" i="6" s="1"/>
  <c r="I155" i="6"/>
  <c r="O155" i="6" s="1" a="1"/>
  <c r="O155" i="6" s="1"/>
  <c r="I156" i="6"/>
  <c r="O156" i="6" s="1" a="1"/>
  <c r="O156" i="6" s="1"/>
  <c r="I157" i="6"/>
  <c r="O157" i="6" s="1" a="1"/>
  <c r="O157" i="6" s="1"/>
  <c r="I158" i="6"/>
  <c r="O158" i="6" s="1" a="1"/>
  <c r="O158" i="6" s="1"/>
  <c r="I159" i="6"/>
  <c r="I160" i="6"/>
  <c r="O160" i="6" s="1" a="1"/>
  <c r="O160" i="6" s="1"/>
  <c r="I161" i="6"/>
  <c r="I162" i="6"/>
  <c r="O162" i="6" s="1" a="1"/>
  <c r="O162" i="6" s="1"/>
  <c r="I163" i="6"/>
  <c r="O163" i="6" s="1" a="1"/>
  <c r="O163" i="6" s="1"/>
  <c r="I164" i="6"/>
  <c r="O164" i="6" s="1" a="1"/>
  <c r="O164" i="6" s="1"/>
  <c r="I165" i="6"/>
  <c r="O165" i="6" s="1" a="1"/>
  <c r="O165" i="6" s="1"/>
  <c r="I166" i="6"/>
  <c r="O166" i="6" s="1" a="1"/>
  <c r="O166" i="6" s="1"/>
  <c r="I167" i="6"/>
  <c r="O167" i="6" s="1" a="1"/>
  <c r="O167" i="6" s="1"/>
  <c r="I168" i="6"/>
  <c r="K168" i="6" s="1"/>
  <c r="I169" i="6"/>
  <c r="O169" i="6" s="1" a="1"/>
  <c r="O169" i="6" s="1"/>
  <c r="I170" i="6"/>
  <c r="O170" i="6" s="1" a="1"/>
  <c r="O170" i="6" s="1"/>
  <c r="I171" i="6"/>
  <c r="O171" i="6" s="1" a="1"/>
  <c r="O171" i="6" s="1"/>
  <c r="X171" i="6" s="1"/>
  <c r="I172" i="6"/>
  <c r="O172" i="6" s="1" a="1"/>
  <c r="O172" i="6" s="1"/>
  <c r="I173" i="6"/>
  <c r="O173" i="6" s="1" a="1"/>
  <c r="O173" i="6" s="1"/>
  <c r="I174" i="6"/>
  <c r="O174" i="6" s="1" a="1"/>
  <c r="O174" i="6" s="1"/>
  <c r="I175" i="6"/>
  <c r="I176" i="6"/>
  <c r="O176" i="6" s="1" a="1"/>
  <c r="O176" i="6" s="1"/>
  <c r="X176" i="6" s="1"/>
  <c r="I177" i="6"/>
  <c r="I178" i="6"/>
  <c r="K178" i="6" s="1"/>
  <c r="I179" i="6"/>
  <c r="O179" i="6" s="1" a="1"/>
  <c r="O179" i="6" s="1"/>
  <c r="I180" i="6"/>
  <c r="O180" i="6" s="1" a="1"/>
  <c r="O180" i="6" s="1"/>
  <c r="I181" i="6"/>
  <c r="O181" i="6" s="1" a="1"/>
  <c r="O181" i="6" s="1"/>
  <c r="I182" i="6"/>
  <c r="O182" i="6" s="1" a="1"/>
  <c r="O182" i="6" s="1"/>
  <c r="I183" i="6"/>
  <c r="O183" i="6" a="1"/>
  <c r="O183" i="6" s="1"/>
  <c r="I184" i="6"/>
  <c r="K184" i="6" s="1"/>
  <c r="I185" i="6"/>
  <c r="O185" i="6" s="1" a="1"/>
  <c r="O185" i="6" s="1"/>
  <c r="I186" i="6"/>
  <c r="O186" i="6" s="1" a="1"/>
  <c r="O186" i="6" s="1"/>
  <c r="I187" i="6"/>
  <c r="O187" i="6" s="1" a="1"/>
  <c r="O187" i="6" s="1"/>
  <c r="I188" i="6"/>
  <c r="O188" i="6" s="1" a="1"/>
  <c r="O188" i="6" s="1"/>
  <c r="I189" i="6"/>
  <c r="O189" i="6" s="1" a="1"/>
  <c r="O189" i="6" s="1"/>
  <c r="I190" i="6"/>
  <c r="O190" i="6" s="1" a="1"/>
  <c r="O190" i="6" s="1"/>
  <c r="I191" i="6"/>
  <c r="O191" i="6" s="1" a="1"/>
  <c r="O191" i="6" s="1"/>
  <c r="I192" i="6"/>
  <c r="O192" i="6" s="1" a="1"/>
  <c r="O192" i="6" s="1"/>
  <c r="I193" i="6"/>
  <c r="O193" i="6" s="1" a="1"/>
  <c r="O193" i="6" s="1"/>
  <c r="X193" i="6" s="1"/>
  <c r="I194" i="6"/>
  <c r="O194" i="6" s="1" a="1"/>
  <c r="O194" i="6" s="1"/>
  <c r="I195" i="6"/>
  <c r="O195" i="6" s="1" a="1"/>
  <c r="O195" i="6" s="1"/>
  <c r="I196" i="6"/>
  <c r="O196" i="6" s="1" a="1"/>
  <c r="O196" i="6" s="1"/>
  <c r="I197" i="6"/>
  <c r="O197" i="6" s="1" a="1"/>
  <c r="O197" i="6" s="1"/>
  <c r="I198" i="6"/>
  <c r="O198" i="6" s="1" a="1"/>
  <c r="O198" i="6" s="1"/>
  <c r="I199" i="6"/>
  <c r="O199" i="6" s="1" a="1"/>
  <c r="I200" i="6"/>
  <c r="O200" i="6" s="1" a="1"/>
  <c r="O200" i="6" s="1"/>
  <c r="I201" i="6"/>
  <c r="O201" i="6" s="1" a="1"/>
  <c r="O201" i="6" s="1"/>
  <c r="I202" i="6"/>
  <c r="O202" i="6" s="1" a="1"/>
  <c r="O202" i="6" s="1"/>
  <c r="I203" i="6"/>
  <c r="O203" i="6" s="1" a="1"/>
  <c r="O203" i="6" s="1"/>
  <c r="I204" i="6"/>
  <c r="I205" i="6"/>
  <c r="O205" i="6" s="1" a="1"/>
  <c r="O205" i="6" s="1"/>
  <c r="X205" i="6" s="1"/>
  <c r="I206" i="6"/>
  <c r="O206" i="6" s="1" a="1"/>
  <c r="O206" i="6" s="1"/>
  <c r="I207" i="6"/>
  <c r="I208" i="6"/>
  <c r="O208" i="6" s="1" a="1"/>
  <c r="O208" i="6" s="1"/>
  <c r="I209" i="6"/>
  <c r="O209" i="6" s="1" a="1"/>
  <c r="O209" i="6" s="1"/>
  <c r="I210" i="6"/>
  <c r="O210" i="6" s="1" a="1"/>
  <c r="O210" i="6" s="1"/>
  <c r="I211" i="6"/>
  <c r="O211" i="6" s="1" a="1"/>
  <c r="O211" i="6" s="1"/>
  <c r="I212" i="6"/>
  <c r="O212" i="6" s="1" a="1"/>
  <c r="O212" i="6" s="1"/>
  <c r="I213" i="6"/>
  <c r="O213" i="6" s="1" a="1"/>
  <c r="O213" i="6" s="1"/>
  <c r="I214" i="6"/>
  <c r="K214" i="6" s="1"/>
  <c r="I215" i="6"/>
  <c r="I216" i="6"/>
  <c r="O216" i="6" s="1" a="1"/>
  <c r="O216" i="6" s="1"/>
  <c r="I217" i="6"/>
  <c r="I218" i="6"/>
  <c r="O218" i="6" s="1" a="1"/>
  <c r="O218" i="6" s="1"/>
  <c r="X218" i="6" s="1"/>
  <c r="I219" i="6"/>
  <c r="O219" i="6" s="1" a="1"/>
  <c r="O219" i="6" s="1"/>
  <c r="I220" i="6"/>
  <c r="O220" i="6" s="1" a="1"/>
  <c r="O220" i="6" s="1"/>
  <c r="I221" i="6"/>
  <c r="O221" i="6" s="1" a="1"/>
  <c r="O221" i="6" s="1"/>
  <c r="X221" i="6" s="1"/>
  <c r="I222" i="6"/>
  <c r="O222" i="6" s="1" a="1"/>
  <c r="O222" i="6" s="1"/>
  <c r="I223" i="6"/>
  <c r="I224" i="6"/>
  <c r="O224" i="6" s="1" a="1"/>
  <c r="O224" i="6" s="1"/>
  <c r="X224" i="6" s="1"/>
  <c r="I225" i="6"/>
  <c r="I226" i="6"/>
  <c r="O226" i="6" s="1" a="1"/>
  <c r="O226" i="6" s="1"/>
  <c r="I227" i="6"/>
  <c r="O227" i="6" s="1" a="1"/>
  <c r="O227" i="6" s="1"/>
  <c r="I228" i="6"/>
  <c r="O228" i="6" s="1" a="1"/>
  <c r="O228" i="6" s="1"/>
  <c r="I229" i="6"/>
  <c r="O229" i="6" s="1" a="1"/>
  <c r="O229" i="6" s="1"/>
  <c r="I230" i="6"/>
  <c r="O230" i="6" s="1" a="1"/>
  <c r="O230" i="6" s="1"/>
  <c r="I231" i="6"/>
  <c r="I232" i="6"/>
  <c r="O232" i="6" s="1" a="1"/>
  <c r="O232" i="6" s="1"/>
  <c r="X232" i="6" s="1"/>
  <c r="I233" i="6"/>
  <c r="O233" i="6" s="1" a="1"/>
  <c r="O233" i="6" s="1"/>
  <c r="I234" i="6"/>
  <c r="O234" i="6" s="1" a="1"/>
  <c r="O234" i="6" s="1"/>
  <c r="X234" i="6" s="1"/>
  <c r="I235" i="6"/>
  <c r="O235" i="6" s="1" a="1"/>
  <c r="O235" i="6" s="1"/>
  <c r="I236" i="6"/>
  <c r="I237" i="6"/>
  <c r="K237" i="6" s="1"/>
  <c r="G237" i="7" s="1"/>
  <c r="I238" i="6"/>
  <c r="O238" i="6" s="1" a="1"/>
  <c r="O238" i="6" s="1"/>
  <c r="I239" i="6"/>
  <c r="O239" i="6" s="1" a="1"/>
  <c r="O239" i="6" s="1"/>
  <c r="X239" i="6" s="1"/>
  <c r="I240" i="6"/>
  <c r="O240" i="6" s="1" a="1"/>
  <c r="O240" i="6" s="1"/>
  <c r="X240" i="6" s="1"/>
  <c r="I241" i="6"/>
  <c r="O241" i="6" s="1" a="1"/>
  <c r="O241" i="6" s="1"/>
  <c r="I242" i="6"/>
  <c r="I4" i="6"/>
  <c r="O4" i="6" s="1" a="1"/>
  <c r="O4" i="6" s="1"/>
  <c r="X4" i="6" s="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O49" i="6" a="1"/>
  <c r="O49" i="6" s="1"/>
  <c r="X49" i="6" s="1"/>
  <c r="Y49" i="6" s="1"/>
  <c r="O31" i="6" a="1"/>
  <c r="O31" i="6" s="1"/>
  <c r="O40" i="6" a="1"/>
  <c r="O40" i="6" s="1"/>
  <c r="X40" i="6" s="1"/>
  <c r="O122" i="6" a="1"/>
  <c r="O122" i="6" s="1"/>
  <c r="O20" i="6" a="1"/>
  <c r="O20" i="6" s="1"/>
  <c r="O65" i="6" a="1"/>
  <c r="O65" i="6" s="1"/>
  <c r="X65" i="6" s="1"/>
  <c r="O33" i="6" a="1"/>
  <c r="O33" i="6" s="1"/>
  <c r="O129" i="6" a="1"/>
  <c r="O129" i="6" s="1"/>
  <c r="O159" i="6" a="1"/>
  <c r="O159" i="6" s="1"/>
  <c r="O6" i="6" a="1"/>
  <c r="O6" i="6" s="1"/>
  <c r="O14" i="6" a="1"/>
  <c r="O14" i="6" s="1"/>
  <c r="O15" i="6" a="1"/>
  <c r="O15" i="6" s="1"/>
  <c r="X15" i="6" s="1"/>
  <c r="O42" i="6" a="1"/>
  <c r="O42" i="6" s="1"/>
  <c r="O47" i="6" a="1"/>
  <c r="O47" i="6" s="1"/>
  <c r="O71" i="6" a="1"/>
  <c r="O71" i="6" s="1"/>
  <c r="O76" i="6" a="1"/>
  <c r="O76" i="6" s="1"/>
  <c r="O104" i="6" a="1"/>
  <c r="O104" i="6" s="1"/>
  <c r="X104" i="6" s="1"/>
  <c r="O105" i="6" a="1"/>
  <c r="O105" i="6" s="1"/>
  <c r="O121" i="6" a="1"/>
  <c r="O121" i="6" s="1"/>
  <c r="O144" i="6" a="1"/>
  <c r="O144" i="6" s="1"/>
  <c r="O199" i="6"/>
  <c r="O135" i="6" a="1"/>
  <c r="O135" i="6" s="1"/>
  <c r="O12" i="6" a="1"/>
  <c r="O12" i="6" s="1"/>
  <c r="O97" i="6" a="1"/>
  <c r="O97" i="6" s="1"/>
  <c r="O9" i="6" a="1"/>
  <c r="O9" i="6" s="1"/>
  <c r="O10" i="6" a="1"/>
  <c r="O10" i="6" s="1"/>
  <c r="O175" i="6" a="1"/>
  <c r="O175" i="6" s="1"/>
  <c r="O217" i="6" a="1"/>
  <c r="O217" i="6" s="1"/>
  <c r="O39" i="6" a="1"/>
  <c r="O39" i="6" s="1"/>
  <c r="O23" i="6" a="1"/>
  <c r="O23" i="6" s="1"/>
  <c r="O87" i="6" a="1"/>
  <c r="O87" i="6" s="1"/>
  <c r="O5" i="6" a="1"/>
  <c r="O5" i="6" s="1"/>
  <c r="X5" i="6" s="1"/>
  <c r="O115" i="6" a="1"/>
  <c r="O115" i="6" s="1"/>
  <c r="O26" i="6" a="1"/>
  <c r="O26" i="6" s="1"/>
  <c r="O73" i="6" a="1"/>
  <c r="O73" i="6" s="1"/>
  <c r="X73" i="6" s="1"/>
  <c r="O24" i="6" a="1"/>
  <c r="O24" i="6" s="1"/>
  <c r="O25" i="6" a="1"/>
  <c r="O25" i="6" s="1"/>
  <c r="O168" i="6" a="1"/>
  <c r="O168" i="6" s="1"/>
  <c r="O184" i="6" a="1"/>
  <c r="O184" i="6" s="1"/>
  <c r="O215" i="6" a="1"/>
  <c r="O215" i="6" s="1"/>
  <c r="O58" i="6" a="1"/>
  <c r="O58" i="6" s="1"/>
  <c r="O68" i="6" a="1"/>
  <c r="O68" i="6" s="1"/>
  <c r="X68" i="6" s="1"/>
  <c r="O150" i="6" a="1"/>
  <c r="O150" i="6" s="1"/>
  <c r="O55" i="6" a="1"/>
  <c r="O55" i="6" s="1"/>
  <c r="X55" i="6" s="1"/>
  <c r="O120" i="6" a="1"/>
  <c r="O120" i="6" s="1"/>
  <c r="X120" i="6" s="1"/>
  <c r="O22" i="6" a="1"/>
  <c r="O22" i="6" s="1"/>
  <c r="O81" i="6" a="1"/>
  <c r="O81" i="6" s="1"/>
  <c r="O231" i="6" a="1"/>
  <c r="O231" i="6" s="1"/>
  <c r="X231" i="6" s="1"/>
  <c r="O79" i="6" a="1"/>
  <c r="O79" i="6" s="1"/>
  <c r="X79" i="6" s="1"/>
  <c r="O225" i="6" a="1"/>
  <c r="O225" i="6" s="1"/>
  <c r="O11" i="6" a="1"/>
  <c r="O11" i="6" s="1"/>
  <c r="O113" i="6" a="1"/>
  <c r="O113" i="6" s="1"/>
  <c r="O90" i="6" a="1"/>
  <c r="O90" i="6" s="1"/>
  <c r="O177" i="6" a="1"/>
  <c r="O177" i="6" s="1"/>
  <c r="X177" i="6" s="1"/>
  <c r="O161" i="6" a="1"/>
  <c r="O161" i="6" s="1"/>
  <c r="X161" i="6" s="1"/>
  <c r="O80" i="6" a="1"/>
  <c r="O80" i="6" s="1"/>
  <c r="O95" i="6" a="1"/>
  <c r="O95" i="6" s="1"/>
  <c r="X95" i="6" s="1"/>
  <c r="O114" i="6" a="1"/>
  <c r="O114" i="6" s="1"/>
  <c r="X114" i="6" s="1"/>
  <c r="O62" i="6" a="1"/>
  <c r="O62" i="6" s="1"/>
  <c r="O207" i="6" a="1"/>
  <c r="O207" i="6" s="1"/>
  <c r="X207" i="6" s="1"/>
  <c r="O151" i="6" a="1"/>
  <c r="O151" i="6" s="1"/>
  <c r="X151" i="6" s="1"/>
  <c r="O88" i="6" a="1"/>
  <c r="O88" i="6" s="1"/>
  <c r="X88" i="6" s="1"/>
  <c r="O94" i="6" a="1"/>
  <c r="O94" i="6" s="1"/>
  <c r="X94" i="6" s="1"/>
  <c r="O17" i="6" a="1"/>
  <c r="O17" i="6" s="1"/>
  <c r="O7" i="6" a="1"/>
  <c r="O7" i="6" s="1"/>
  <c r="O143" i="6" a="1"/>
  <c r="O143" i="6" s="1"/>
  <c r="X143" i="6" s="1"/>
  <c r="O8" i="6" a="1"/>
  <c r="O8" i="6" s="1"/>
  <c r="O63" i="6" a="1"/>
  <c r="O63" i="6" s="1"/>
  <c r="X63" i="6" s="1"/>
  <c r="O57" i="6" a="1"/>
  <c r="O57" i="6" s="1"/>
  <c r="X57" i="6" s="1"/>
  <c r="O107" i="6" a="1"/>
  <c r="O107" i="6" s="1"/>
  <c r="X107" i="6" s="1"/>
  <c r="O137" i="6" a="1"/>
  <c r="O137" i="6" s="1"/>
  <c r="X137" i="6" s="1"/>
  <c r="O59" i="6" a="1"/>
  <c r="O59" i="6" s="1"/>
  <c r="X59" i="6" s="1"/>
  <c r="O103" i="6" a="1"/>
  <c r="O103" i="6" s="1"/>
  <c r="X103" i="6" s="1"/>
  <c r="O131" i="6" a="1"/>
  <c r="O131" i="6" s="1"/>
  <c r="O99" i="6" a="1"/>
  <c r="O99" i="6" s="1"/>
  <c r="X99" i="6" s="1"/>
  <c r="O106" i="6" a="1"/>
  <c r="O106" i="6" s="1"/>
  <c r="X106" i="6" s="1"/>
  <c r="O119" i="6" a="1"/>
  <c r="O119" i="6" s="1"/>
  <c r="X119" i="6" s="1"/>
  <c r="O41" i="6" a="1"/>
  <c r="O41" i="6" s="1"/>
  <c r="X41" i="6" s="1"/>
  <c r="O66" i="6" a="1"/>
  <c r="O66" i="6" s="1"/>
  <c r="X66" i="6" s="1"/>
  <c r="R48" i="6"/>
  <c r="R60" i="6"/>
  <c r="R16" i="6"/>
  <c r="R37" i="6"/>
  <c r="F37" i="7"/>
  <c r="R27" i="6"/>
  <c r="R19" i="6"/>
  <c r="R127" i="6"/>
  <c r="R20" i="6"/>
  <c r="X20" i="6"/>
  <c r="R126" i="6"/>
  <c r="R46" i="6"/>
  <c r="F46" i="7"/>
  <c r="R65" i="6"/>
  <c r="R33" i="6"/>
  <c r="R221" i="6"/>
  <c r="R34" i="6"/>
  <c r="F34" i="7"/>
  <c r="R67" i="6"/>
  <c r="F67" i="7"/>
  <c r="R129" i="6"/>
  <c r="F129" i="7"/>
  <c r="R146" i="6"/>
  <c r="F146" i="7"/>
  <c r="R159" i="6"/>
  <c r="R4" i="6"/>
  <c r="F4" i="7"/>
  <c r="R6" i="6"/>
  <c r="X6" i="6"/>
  <c r="R14" i="6"/>
  <c r="F14" i="7"/>
  <c r="R15" i="6"/>
  <c r="R29" i="6"/>
  <c r="X29" i="6"/>
  <c r="R32" i="6"/>
  <c r="R36" i="6"/>
  <c r="F36" i="7"/>
  <c r="R38" i="6"/>
  <c r="R42" i="6"/>
  <c r="R44" i="6"/>
  <c r="X44" i="6"/>
  <c r="R45" i="6"/>
  <c r="X45" i="6"/>
  <c r="R47" i="6"/>
  <c r="R51" i="6"/>
  <c r="R52" i="6"/>
  <c r="R53" i="6"/>
  <c r="F53" i="7"/>
  <c r="R61" i="6"/>
  <c r="F61" i="7"/>
  <c r="R71" i="6"/>
  <c r="R72" i="6"/>
  <c r="X72" i="6"/>
  <c r="R74" i="6"/>
  <c r="R76" i="6"/>
  <c r="F76" i="7"/>
  <c r="R77" i="6"/>
  <c r="R82" i="6"/>
  <c r="F82" i="7"/>
  <c r="R84" i="6"/>
  <c r="X84" i="6"/>
  <c r="R98" i="6"/>
  <c r="F98" i="7"/>
  <c r="R100" i="6"/>
  <c r="F100" i="7"/>
  <c r="R101" i="6"/>
  <c r="X101" i="6"/>
  <c r="R104" i="6"/>
  <c r="R105" i="6"/>
  <c r="R108" i="6"/>
  <c r="X108" i="6"/>
  <c r="R110" i="6"/>
  <c r="F110" i="7"/>
  <c r="R111" i="6"/>
  <c r="R112" i="6"/>
  <c r="F112" i="7"/>
  <c r="R117" i="6"/>
  <c r="R118" i="6"/>
  <c r="F118" i="7"/>
  <c r="R121" i="6"/>
  <c r="F121" i="7"/>
  <c r="R132" i="6"/>
  <c r="F132" i="7"/>
  <c r="R133" i="6"/>
  <c r="R136" i="6"/>
  <c r="R141" i="6"/>
  <c r="R144" i="6"/>
  <c r="F144" i="7"/>
  <c r="R145" i="6"/>
  <c r="F145" i="7"/>
  <c r="R194" i="6"/>
  <c r="R196" i="6"/>
  <c r="F196" i="7"/>
  <c r="R198" i="6"/>
  <c r="R199" i="6"/>
  <c r="R201" i="6"/>
  <c r="F201" i="7"/>
  <c r="R203" i="6"/>
  <c r="F203" i="7"/>
  <c r="R206" i="6"/>
  <c r="R208" i="6"/>
  <c r="F208" i="7"/>
  <c r="R210" i="6"/>
  <c r="R211" i="6"/>
  <c r="R212" i="6"/>
  <c r="F212" i="7"/>
  <c r="R213" i="6"/>
  <c r="R219" i="6"/>
  <c r="R220" i="6"/>
  <c r="F220" i="7"/>
  <c r="R222" i="6"/>
  <c r="R239" i="6"/>
  <c r="R240" i="6"/>
  <c r="R241" i="6"/>
  <c r="F241" i="7"/>
  <c r="R242" i="6"/>
  <c r="R195" i="6"/>
  <c r="F195" i="7"/>
  <c r="R135" i="6"/>
  <c r="X135" i="6"/>
  <c r="R35" i="6"/>
  <c r="R190" i="6"/>
  <c r="X190" i="6"/>
  <c r="R93" i="6"/>
  <c r="F93" i="7"/>
  <c r="R109" i="6"/>
  <c r="F109" i="7"/>
  <c r="R224" i="6"/>
  <c r="R12" i="6"/>
  <c r="F12" i="7"/>
  <c r="R125" i="6"/>
  <c r="R97" i="6"/>
  <c r="R205" i="6"/>
  <c r="R188" i="6"/>
  <c r="R139" i="6"/>
  <c r="R75" i="6"/>
  <c r="F75" i="7"/>
  <c r="R233" i="6"/>
  <c r="F233" i="7"/>
  <c r="R160" i="6"/>
  <c r="R180" i="6"/>
  <c r="F180" i="7"/>
  <c r="R189" i="6"/>
  <c r="R229" i="6"/>
  <c r="X229" i="6"/>
  <c r="R234" i="6"/>
  <c r="R165" i="6"/>
  <c r="R69" i="6"/>
  <c r="F69" i="7"/>
  <c r="R167" i="6"/>
  <c r="F167" i="7"/>
  <c r="R181" i="6"/>
  <c r="F181" i="7"/>
  <c r="R162" i="6"/>
  <c r="R9" i="6"/>
  <c r="X9" i="6"/>
  <c r="R154" i="6"/>
  <c r="R171" i="6"/>
  <c r="R149" i="6"/>
  <c r="R191" i="6"/>
  <c r="R227" i="6"/>
  <c r="R10" i="6"/>
  <c r="X10" i="6"/>
  <c r="R186" i="6"/>
  <c r="R134" i="6"/>
  <c r="F134" i="7"/>
  <c r="R175" i="6"/>
  <c r="X175" i="6"/>
  <c r="R217" i="6"/>
  <c r="R39" i="6"/>
  <c r="R23" i="6"/>
  <c r="R87" i="6"/>
  <c r="R164" i="6"/>
  <c r="F164" i="7"/>
  <c r="R96" i="6"/>
  <c r="F96" i="7"/>
  <c r="R156" i="6"/>
  <c r="R193" i="6"/>
  <c r="R85" i="6"/>
  <c r="X85" i="6"/>
  <c r="R5" i="6"/>
  <c r="R115" i="6"/>
  <c r="F115" i="7"/>
  <c r="R26" i="6"/>
  <c r="R73" i="6"/>
  <c r="F73" i="7"/>
  <c r="R197" i="6"/>
  <c r="F197" i="7"/>
  <c r="R192" i="6"/>
  <c r="F192" i="7"/>
  <c r="R236" i="6"/>
  <c r="F236" i="7"/>
  <c r="R138" i="6"/>
  <c r="X138" i="6"/>
  <c r="R83" i="6"/>
  <c r="R24" i="6"/>
  <c r="R25" i="6"/>
  <c r="X25" i="6"/>
  <c r="R173" i="6"/>
  <c r="X173" i="6"/>
  <c r="R168" i="6"/>
  <c r="R184" i="6"/>
  <c r="F184" i="7"/>
  <c r="R89" i="6"/>
  <c r="F89" i="7"/>
  <c r="R215" i="6"/>
  <c r="X215" i="6"/>
  <c r="R182" i="6"/>
  <c r="F182" i="7"/>
  <c r="R70" i="6"/>
  <c r="R230" i="6"/>
  <c r="F230" i="7"/>
  <c r="R169" i="6"/>
  <c r="F169" i="7"/>
  <c r="R56" i="6"/>
  <c r="F56" i="7"/>
  <c r="R123" i="6"/>
  <c r="R163" i="6"/>
  <c r="X163" i="6"/>
  <c r="R124" i="6"/>
  <c r="X124" i="6"/>
  <c r="R153" i="6"/>
  <c r="R142" i="6"/>
  <c r="X142" i="6"/>
  <c r="R58" i="6"/>
  <c r="R91" i="6"/>
  <c r="R102" i="6"/>
  <c r="F102" i="7"/>
  <c r="R116" i="6"/>
  <c r="F116" i="7"/>
  <c r="R86" i="6"/>
  <c r="R216" i="6"/>
  <c r="X216" i="6"/>
  <c r="R68" i="6"/>
  <c r="R130" i="6"/>
  <c r="F130" i="7"/>
  <c r="R179" i="6"/>
  <c r="R148" i="6"/>
  <c r="X148" i="6"/>
  <c r="R150" i="6"/>
  <c r="R178" i="6"/>
  <c r="F178" i="7"/>
  <c r="R158" i="6"/>
  <c r="R55" i="6"/>
  <c r="R92" i="6"/>
  <c r="F92" i="7"/>
  <c r="R128" i="6"/>
  <c r="X128" i="6"/>
  <c r="R120" i="6"/>
  <c r="R174" i="6"/>
  <c r="X174" i="6"/>
  <c r="R22" i="6"/>
  <c r="F22" i="7"/>
  <c r="R81" i="6"/>
  <c r="X81" i="6"/>
  <c r="R78" i="6"/>
  <c r="F78" i="7"/>
  <c r="R176" i="6"/>
  <c r="F176" i="7"/>
  <c r="R183" i="6"/>
  <c r="R231" i="6"/>
  <c r="R79" i="6"/>
  <c r="R223" i="6"/>
  <c r="R155" i="6"/>
  <c r="X155" i="6"/>
  <c r="R185" i="6"/>
  <c r="F185" i="7"/>
  <c r="R237" i="6"/>
  <c r="R225" i="6"/>
  <c r="F225" i="7"/>
  <c r="R140" i="6"/>
  <c r="F140" i="7"/>
  <c r="R11" i="6"/>
  <c r="F11" i="7"/>
  <c r="R113" i="6"/>
  <c r="R90" i="6"/>
  <c r="F90" i="7"/>
  <c r="R200" i="6"/>
  <c r="R152" i="6"/>
  <c r="F152" i="7"/>
  <c r="R177" i="6"/>
  <c r="R172" i="6"/>
  <c r="F172" i="7"/>
  <c r="R235" i="6"/>
  <c r="R170" i="6"/>
  <c r="X170" i="6"/>
  <c r="R187" i="6"/>
  <c r="X187" i="6"/>
  <c r="R218" i="6"/>
  <c r="R161" i="6"/>
  <c r="R214" i="6"/>
  <c r="R204" i="6"/>
  <c r="F204" i="7"/>
  <c r="R80" i="6"/>
  <c r="F80" i="7"/>
  <c r="R95" i="6"/>
  <c r="R114" i="6"/>
  <c r="R147" i="6"/>
  <c r="F147" i="7"/>
  <c r="R232" i="6"/>
  <c r="R166" i="6"/>
  <c r="R209" i="6"/>
  <c r="X209" i="6"/>
  <c r="R62" i="6"/>
  <c r="R226" i="6"/>
  <c r="X226" i="6"/>
  <c r="R157" i="6"/>
  <c r="F157" i="7"/>
  <c r="R202" i="6"/>
  <c r="R228" i="6"/>
  <c r="F228" i="7"/>
  <c r="R238" i="6"/>
  <c r="F238" i="7"/>
  <c r="R207" i="6"/>
  <c r="R151" i="6"/>
  <c r="F151" i="7"/>
  <c r="R88" i="6"/>
  <c r="R94" i="6"/>
  <c r="R17" i="6"/>
  <c r="F17" i="7"/>
  <c r="R7" i="6"/>
  <c r="F7" i="7"/>
  <c r="R143" i="6"/>
  <c r="R8" i="6"/>
  <c r="R63" i="6"/>
  <c r="R57" i="6"/>
  <c r="R107" i="6"/>
  <c r="F107" i="7"/>
  <c r="R137" i="6"/>
  <c r="F137" i="7"/>
  <c r="R59" i="6"/>
  <c r="F59" i="7"/>
  <c r="R103" i="6"/>
  <c r="R131" i="6"/>
  <c r="F131" i="7"/>
  <c r="R99" i="6"/>
  <c r="F99" i="7"/>
  <c r="R106" i="6"/>
  <c r="F106" i="7"/>
  <c r="R119" i="6"/>
  <c r="R41" i="6"/>
  <c r="R66" i="6"/>
  <c r="F66" i="7"/>
  <c r="R43" i="6"/>
  <c r="F43" i="7"/>
  <c r="R50" i="6"/>
  <c r="R13" i="6"/>
  <c r="X13" i="6"/>
  <c r="R28" i="6"/>
  <c r="X28" i="6"/>
  <c r="R54" i="6"/>
  <c r="R18" i="6"/>
  <c r="X18" i="6"/>
  <c r="R21" i="6"/>
  <c r="R30" i="6"/>
  <c r="F30" i="7"/>
  <c r="R31" i="6"/>
  <c r="X31" i="6"/>
  <c r="R40" i="6"/>
  <c r="R122" i="6"/>
  <c r="R64" i="6"/>
  <c r="R49" i="6"/>
  <c r="Q49" i="6"/>
  <c r="Q21" i="6"/>
  <c r="Q30" i="6"/>
  <c r="Q31" i="6"/>
  <c r="Q40" i="6"/>
  <c r="Q122" i="6"/>
  <c r="Q64" i="6"/>
  <c r="Q43" i="6"/>
  <c r="Q50" i="6"/>
  <c r="Q13" i="6"/>
  <c r="Q28" i="6"/>
  <c r="Q54" i="6"/>
  <c r="Q18" i="6"/>
  <c r="Q48" i="6"/>
  <c r="Q60" i="6"/>
  <c r="Q16" i="6"/>
  <c r="Q37" i="6"/>
  <c r="Q27" i="6"/>
  <c r="Q19" i="6"/>
  <c r="Q127" i="6"/>
  <c r="Q20" i="6"/>
  <c r="Q126" i="6"/>
  <c r="Q46" i="6"/>
  <c r="Q65" i="6"/>
  <c r="Q33" i="6"/>
  <c r="Q221" i="6"/>
  <c r="Q34" i="6"/>
  <c r="Q67" i="6"/>
  <c r="Q129" i="6"/>
  <c r="Q146" i="6"/>
  <c r="Q159" i="6"/>
  <c r="Q4" i="6"/>
  <c r="Q6" i="6"/>
  <c r="Q14" i="6"/>
  <c r="Q15" i="6"/>
  <c r="Q29" i="6"/>
  <c r="Q32" i="6"/>
  <c r="Q36" i="6"/>
  <c r="Q38" i="6"/>
  <c r="Q42" i="6"/>
  <c r="Q44" i="6"/>
  <c r="Q45" i="6"/>
  <c r="Q47" i="6"/>
  <c r="Q51" i="6"/>
  <c r="Q52" i="6"/>
  <c r="Q53" i="6"/>
  <c r="Q61" i="6"/>
  <c r="Q71" i="6"/>
  <c r="Q72" i="6"/>
  <c r="Q74" i="6"/>
  <c r="Q76" i="6"/>
  <c r="Q77" i="6"/>
  <c r="Q82" i="6"/>
  <c r="Q84" i="6"/>
  <c r="Q98" i="6"/>
  <c r="Q100" i="6"/>
  <c r="Q101" i="6"/>
  <c r="Q104" i="6"/>
  <c r="Q105" i="6"/>
  <c r="Q108" i="6"/>
  <c r="Q110" i="6"/>
  <c r="Q111" i="6"/>
  <c r="Q112" i="6"/>
  <c r="Q117" i="6"/>
  <c r="Q118" i="6"/>
  <c r="Q121" i="6"/>
  <c r="Q132" i="6"/>
  <c r="Q133" i="6"/>
  <c r="Q136" i="6"/>
  <c r="Q141" i="6"/>
  <c r="Q144" i="6"/>
  <c r="Q145" i="6"/>
  <c r="Q194" i="6"/>
  <c r="Q196" i="6"/>
  <c r="Q198" i="6"/>
  <c r="Q199" i="6"/>
  <c r="Q201" i="6"/>
  <c r="Q203" i="6"/>
  <c r="Q206" i="6"/>
  <c r="Q208" i="6"/>
  <c r="Q210" i="6"/>
  <c r="Q211" i="6"/>
  <c r="Q212" i="6"/>
  <c r="Q213" i="6"/>
  <c r="Q219" i="6"/>
  <c r="Q220" i="6"/>
  <c r="Q222" i="6"/>
  <c r="Q239" i="6"/>
  <c r="Q240" i="6"/>
  <c r="Q241" i="6"/>
  <c r="Q242" i="6"/>
  <c r="Q195" i="6"/>
  <c r="Q135" i="6"/>
  <c r="Q35" i="6"/>
  <c r="Q190" i="6"/>
  <c r="Q93" i="6"/>
  <c r="Q109" i="6"/>
  <c r="Q224" i="6"/>
  <c r="Q12" i="6"/>
  <c r="Q125" i="6"/>
  <c r="Q97" i="6"/>
  <c r="Q205" i="6"/>
  <c r="Q188" i="6"/>
  <c r="Q139" i="6"/>
  <c r="Q75" i="6"/>
  <c r="Q233" i="6"/>
  <c r="Q160" i="6"/>
  <c r="Q180" i="6"/>
  <c r="Q189" i="6"/>
  <c r="Q229" i="6"/>
  <c r="Q234" i="6"/>
  <c r="Q165" i="6"/>
  <c r="Q69" i="6"/>
  <c r="Q167" i="6"/>
  <c r="Q181" i="6"/>
  <c r="Q162" i="6"/>
  <c r="Q9" i="6"/>
  <c r="Q154" i="6"/>
  <c r="Q171" i="6"/>
  <c r="Q149" i="6"/>
  <c r="Q191" i="6"/>
  <c r="Q227" i="6"/>
  <c r="Q10" i="6"/>
  <c r="Q186" i="6"/>
  <c r="Q134" i="6"/>
  <c r="Q175" i="6"/>
  <c r="Q217" i="6"/>
  <c r="Q39" i="6"/>
  <c r="Q23" i="6"/>
  <c r="Q87" i="6"/>
  <c r="Q164" i="6"/>
  <c r="Q96" i="6"/>
  <c r="Q156" i="6"/>
  <c r="Q193" i="6"/>
  <c r="Q85" i="6"/>
  <c r="Q5" i="6"/>
  <c r="Q115" i="6"/>
  <c r="Q26" i="6"/>
  <c r="Q73" i="6"/>
  <c r="Q197" i="6"/>
  <c r="Q192" i="6"/>
  <c r="Q236" i="6"/>
  <c r="Q138" i="6"/>
  <c r="Q83" i="6"/>
  <c r="Q24" i="6"/>
  <c r="Q25" i="6"/>
  <c r="Q173" i="6"/>
  <c r="Q168" i="6"/>
  <c r="Q184" i="6"/>
  <c r="Q89" i="6"/>
  <c r="Q215" i="6"/>
  <c r="Q182" i="6"/>
  <c r="Q70" i="6"/>
  <c r="Q230" i="6"/>
  <c r="Q169" i="6"/>
  <c r="Q56" i="6"/>
  <c r="Q123" i="6"/>
  <c r="Q163" i="6"/>
  <c r="Q124" i="6"/>
  <c r="Q153" i="6"/>
  <c r="Q142" i="6"/>
  <c r="Q58" i="6"/>
  <c r="Q91" i="6"/>
  <c r="Q102" i="6"/>
  <c r="Q116" i="6"/>
  <c r="Q86" i="6"/>
  <c r="Q216" i="6"/>
  <c r="Q68" i="6"/>
  <c r="Q130" i="6"/>
  <c r="Q179" i="6"/>
  <c r="Q148" i="6"/>
  <c r="Q150" i="6"/>
  <c r="Q178" i="6"/>
  <c r="Q158" i="6"/>
  <c r="Q55" i="6"/>
  <c r="Q92" i="6"/>
  <c r="Q128" i="6"/>
  <c r="Q120" i="6"/>
  <c r="Q174" i="6"/>
  <c r="Q22" i="6"/>
  <c r="Q81" i="6"/>
  <c r="Q78" i="6"/>
  <c r="Q176" i="6"/>
  <c r="Q183" i="6"/>
  <c r="Q231" i="6"/>
  <c r="Q79" i="6"/>
  <c r="Q223" i="6"/>
  <c r="Q155" i="6"/>
  <c r="Q185" i="6"/>
  <c r="Q237" i="6"/>
  <c r="Q225" i="6"/>
  <c r="Q140" i="6"/>
  <c r="Q11" i="6"/>
  <c r="Q113" i="6"/>
  <c r="Q90" i="6"/>
  <c r="Q200" i="6"/>
  <c r="Q152" i="6"/>
  <c r="Q177" i="6"/>
  <c r="Q172" i="6"/>
  <c r="Q235" i="6"/>
  <c r="Q170" i="6"/>
  <c r="Q187" i="6"/>
  <c r="Q218" i="6"/>
  <c r="Q161" i="6"/>
  <c r="Q214" i="6"/>
  <c r="Q204" i="6"/>
  <c r="Q80" i="6"/>
  <c r="Q95" i="6"/>
  <c r="Q114" i="6"/>
  <c r="Q147" i="6"/>
  <c r="Q232" i="6"/>
  <c r="Q166" i="6"/>
  <c r="Q209" i="6"/>
  <c r="Q62" i="6"/>
  <c r="Q226" i="6"/>
  <c r="Q157" i="6"/>
  <c r="Q202" i="6"/>
  <c r="Q228" i="6"/>
  <c r="Q238" i="6"/>
  <c r="Q207" i="6"/>
  <c r="Q151" i="6"/>
  <c r="Q88" i="6"/>
  <c r="Q94" i="6"/>
  <c r="Q17" i="6"/>
  <c r="Q7" i="6"/>
  <c r="Q143" i="6"/>
  <c r="Q8" i="6"/>
  <c r="Q63" i="6"/>
  <c r="Q57" i="6"/>
  <c r="Q107" i="6"/>
  <c r="Q137" i="6"/>
  <c r="Q59" i="6"/>
  <c r="Q103" i="6"/>
  <c r="Q131" i="6"/>
  <c r="Q99" i="6"/>
  <c r="Q106" i="6"/>
  <c r="Q119" i="6"/>
  <c r="Q41" i="6"/>
  <c r="Q66" i="6"/>
  <c r="M49" i="6"/>
  <c r="M21" i="6"/>
  <c r="M30" i="6"/>
  <c r="M31" i="6"/>
  <c r="M40" i="6"/>
  <c r="M122" i="6"/>
  <c r="M64" i="6"/>
  <c r="M43" i="6"/>
  <c r="M50" i="6"/>
  <c r="M13" i="6"/>
  <c r="M28" i="6"/>
  <c r="M54" i="6"/>
  <c r="M18" i="6"/>
  <c r="M48" i="6"/>
  <c r="M60" i="6"/>
  <c r="M16" i="6"/>
  <c r="M37" i="6"/>
  <c r="M27" i="6"/>
  <c r="M19" i="6"/>
  <c r="M127" i="6"/>
  <c r="M20" i="6"/>
  <c r="M126" i="6"/>
  <c r="M46" i="6"/>
  <c r="M65" i="6"/>
  <c r="M33" i="6"/>
  <c r="M221" i="6"/>
  <c r="M34" i="6"/>
  <c r="M67" i="6"/>
  <c r="M129" i="6"/>
  <c r="M146" i="6"/>
  <c r="M159" i="6"/>
  <c r="M4" i="6"/>
  <c r="M6" i="6"/>
  <c r="M14" i="6"/>
  <c r="M15" i="6"/>
  <c r="M29" i="6"/>
  <c r="M32" i="6"/>
  <c r="M36" i="6"/>
  <c r="M38" i="6"/>
  <c r="M42" i="6"/>
  <c r="M44" i="6"/>
  <c r="M45" i="6"/>
  <c r="M47" i="6"/>
  <c r="M51" i="6"/>
  <c r="M52" i="6"/>
  <c r="M53" i="6"/>
  <c r="M61" i="6"/>
  <c r="M71" i="6"/>
  <c r="M72" i="6"/>
  <c r="M74" i="6"/>
  <c r="M76" i="6"/>
  <c r="M77" i="6"/>
  <c r="M82" i="6"/>
  <c r="M84" i="6"/>
  <c r="M98" i="6"/>
  <c r="M100" i="6"/>
  <c r="M101" i="6"/>
  <c r="M104" i="6"/>
  <c r="M105" i="6"/>
  <c r="M108" i="6"/>
  <c r="M110" i="6"/>
  <c r="M111" i="6"/>
  <c r="M112" i="6"/>
  <c r="M117" i="6"/>
  <c r="M118" i="6"/>
  <c r="M121" i="6"/>
  <c r="M132" i="6"/>
  <c r="M133" i="6"/>
  <c r="M136" i="6"/>
  <c r="M141" i="6"/>
  <c r="M144" i="6"/>
  <c r="M145" i="6"/>
  <c r="M194" i="6"/>
  <c r="M196" i="6"/>
  <c r="M198" i="6"/>
  <c r="M199" i="6"/>
  <c r="M201" i="6"/>
  <c r="M203" i="6"/>
  <c r="M206" i="6"/>
  <c r="M208" i="6"/>
  <c r="M210" i="6"/>
  <c r="M211" i="6"/>
  <c r="M212" i="6"/>
  <c r="M213" i="6"/>
  <c r="M219" i="6"/>
  <c r="M220" i="6"/>
  <c r="M222" i="6"/>
  <c r="M239" i="6"/>
  <c r="M240" i="6"/>
  <c r="M241" i="6"/>
  <c r="M242" i="6"/>
  <c r="M195" i="6"/>
  <c r="M135" i="6"/>
  <c r="M35" i="6"/>
  <c r="M190" i="6"/>
  <c r="M93" i="6"/>
  <c r="M109" i="6"/>
  <c r="M224" i="6"/>
  <c r="M12" i="6"/>
  <c r="M125" i="6"/>
  <c r="M97" i="6"/>
  <c r="M205" i="6"/>
  <c r="M188" i="6"/>
  <c r="M139" i="6"/>
  <c r="M75" i="6"/>
  <c r="M233" i="6"/>
  <c r="M160" i="6"/>
  <c r="M180" i="6"/>
  <c r="M189" i="6"/>
  <c r="M229" i="6"/>
  <c r="M234" i="6"/>
  <c r="M165" i="6"/>
  <c r="M69" i="6"/>
  <c r="M167" i="6"/>
  <c r="M181" i="6"/>
  <c r="M162" i="6"/>
  <c r="M9" i="6"/>
  <c r="M154" i="6"/>
  <c r="M171" i="6"/>
  <c r="M149" i="6"/>
  <c r="M191" i="6"/>
  <c r="M227" i="6"/>
  <c r="M10" i="6"/>
  <c r="M186" i="6"/>
  <c r="M134" i="6"/>
  <c r="M175" i="6"/>
  <c r="M217" i="6"/>
  <c r="M39" i="6"/>
  <c r="M23" i="6"/>
  <c r="M87" i="6"/>
  <c r="M164" i="6"/>
  <c r="M96" i="6"/>
  <c r="M156" i="6"/>
  <c r="M193" i="6"/>
  <c r="M85" i="6"/>
  <c r="M5" i="6"/>
  <c r="M115" i="6"/>
  <c r="M26" i="6"/>
  <c r="M73" i="6"/>
  <c r="M197" i="6"/>
  <c r="M192" i="6"/>
  <c r="M236" i="6"/>
  <c r="M138" i="6"/>
  <c r="M83" i="6"/>
  <c r="M24" i="6"/>
  <c r="M25" i="6"/>
  <c r="M173" i="6"/>
  <c r="M168" i="6"/>
  <c r="M184" i="6"/>
  <c r="M89" i="6"/>
  <c r="M215" i="6"/>
  <c r="M182" i="6"/>
  <c r="M70" i="6"/>
  <c r="M230" i="6"/>
  <c r="M169" i="6"/>
  <c r="M56" i="6"/>
  <c r="M123" i="6"/>
  <c r="M163" i="6"/>
  <c r="M124" i="6"/>
  <c r="M153" i="6"/>
  <c r="M142" i="6"/>
  <c r="M58" i="6"/>
  <c r="M91" i="6"/>
  <c r="M102" i="6"/>
  <c r="M116" i="6"/>
  <c r="M86" i="6"/>
  <c r="M216" i="6"/>
  <c r="M68" i="6"/>
  <c r="M130" i="6"/>
  <c r="M179" i="6"/>
  <c r="M148" i="6"/>
  <c r="M150" i="6"/>
  <c r="M178" i="6"/>
  <c r="M158" i="6"/>
  <c r="M55" i="6"/>
  <c r="M92" i="6"/>
  <c r="M128" i="6"/>
  <c r="M120" i="6"/>
  <c r="M174" i="6"/>
  <c r="M22" i="6"/>
  <c r="M81" i="6"/>
  <c r="M78" i="6"/>
  <c r="M176" i="6"/>
  <c r="M183" i="6"/>
  <c r="M231" i="6"/>
  <c r="M79" i="6"/>
  <c r="M223" i="6"/>
  <c r="M155" i="6"/>
  <c r="M185" i="6"/>
  <c r="M237" i="6"/>
  <c r="M225" i="6"/>
  <c r="M140" i="6"/>
  <c r="M11" i="6"/>
  <c r="M113" i="6"/>
  <c r="M90" i="6"/>
  <c r="M200" i="6"/>
  <c r="M152" i="6"/>
  <c r="M177" i="6"/>
  <c r="M172" i="6"/>
  <c r="M235" i="6"/>
  <c r="M170" i="6"/>
  <c r="M187" i="6"/>
  <c r="M218" i="6"/>
  <c r="M161" i="6"/>
  <c r="M214" i="6"/>
  <c r="M204" i="6"/>
  <c r="M80" i="6"/>
  <c r="M95" i="6"/>
  <c r="M114" i="6"/>
  <c r="M147" i="6"/>
  <c r="M232" i="6"/>
  <c r="M166" i="6"/>
  <c r="M209" i="6"/>
  <c r="M62" i="6"/>
  <c r="M226" i="6"/>
  <c r="M157" i="6"/>
  <c r="M202" i="6"/>
  <c r="M228" i="6"/>
  <c r="M238" i="6"/>
  <c r="M207" i="6"/>
  <c r="M151" i="6"/>
  <c r="M88" i="6"/>
  <c r="M94" i="6"/>
  <c r="M17" i="6"/>
  <c r="M7" i="6"/>
  <c r="M143" i="6"/>
  <c r="M8" i="6"/>
  <c r="M63" i="6"/>
  <c r="M57" i="6"/>
  <c r="M107" i="6"/>
  <c r="M137" i="6"/>
  <c r="M59" i="6"/>
  <c r="M103" i="6"/>
  <c r="M131" i="6"/>
  <c r="M99" i="6"/>
  <c r="M106" i="6"/>
  <c r="M119" i="6"/>
  <c r="M41" i="6"/>
  <c r="M66" i="6"/>
  <c r="N21" i="6"/>
  <c r="N30" i="6"/>
  <c r="N31" i="6"/>
  <c r="N40" i="6"/>
  <c r="N122" i="6"/>
  <c r="N64" i="6"/>
  <c r="N43" i="6"/>
  <c r="N50" i="6"/>
  <c r="N13" i="6"/>
  <c r="N28" i="6"/>
  <c r="N54" i="6"/>
  <c r="N18" i="6"/>
  <c r="N48" i="6"/>
  <c r="N60" i="6"/>
  <c r="N16" i="6"/>
  <c r="N37" i="6"/>
  <c r="N27" i="6"/>
  <c r="N19" i="6"/>
  <c r="N127" i="6"/>
  <c r="N20" i="6"/>
  <c r="N126" i="6"/>
  <c r="N46" i="6"/>
  <c r="N65" i="6"/>
  <c r="N33" i="6"/>
  <c r="N221" i="6"/>
  <c r="N34" i="6"/>
  <c r="N67" i="6"/>
  <c r="N129" i="6"/>
  <c r="N146" i="6"/>
  <c r="N159" i="6"/>
  <c r="N4" i="6"/>
  <c r="N6" i="6"/>
  <c r="N14" i="6"/>
  <c r="N15" i="6"/>
  <c r="N29" i="6"/>
  <c r="N32" i="6"/>
  <c r="N36" i="6"/>
  <c r="N38" i="6"/>
  <c r="N42" i="6"/>
  <c r="N44" i="6"/>
  <c r="N45" i="6"/>
  <c r="N47" i="6"/>
  <c r="N51" i="6"/>
  <c r="N52" i="6"/>
  <c r="N53" i="6"/>
  <c r="N61" i="6"/>
  <c r="N71" i="6"/>
  <c r="N72" i="6"/>
  <c r="N74" i="6"/>
  <c r="N76" i="6"/>
  <c r="N77" i="6"/>
  <c r="N82" i="6"/>
  <c r="N84" i="6"/>
  <c r="N98" i="6"/>
  <c r="N100" i="6"/>
  <c r="N101" i="6"/>
  <c r="N104" i="6"/>
  <c r="N105" i="6"/>
  <c r="N108" i="6"/>
  <c r="N110" i="6"/>
  <c r="N111" i="6"/>
  <c r="N112" i="6"/>
  <c r="N117" i="6"/>
  <c r="N118" i="6"/>
  <c r="N121" i="6"/>
  <c r="N132" i="6"/>
  <c r="N133" i="6"/>
  <c r="N136" i="6"/>
  <c r="N141" i="6"/>
  <c r="N144" i="6"/>
  <c r="N145" i="6"/>
  <c r="N194" i="6"/>
  <c r="N196" i="6"/>
  <c r="N198" i="6"/>
  <c r="N199" i="6"/>
  <c r="N201" i="6"/>
  <c r="N203" i="6"/>
  <c r="N206" i="6"/>
  <c r="N208" i="6"/>
  <c r="N210" i="6"/>
  <c r="N211" i="6"/>
  <c r="N212" i="6"/>
  <c r="N213" i="6"/>
  <c r="N219" i="6"/>
  <c r="N220" i="6"/>
  <c r="N222" i="6"/>
  <c r="N239" i="6"/>
  <c r="N240" i="6"/>
  <c r="N241" i="6"/>
  <c r="N242" i="6"/>
  <c r="N195" i="6"/>
  <c r="N135" i="6"/>
  <c r="N35" i="6"/>
  <c r="N190" i="6"/>
  <c r="N93" i="6"/>
  <c r="N109" i="6"/>
  <c r="N224" i="6"/>
  <c r="N12" i="6"/>
  <c r="N125" i="6"/>
  <c r="N97" i="6"/>
  <c r="N205" i="6"/>
  <c r="N188" i="6"/>
  <c r="N139" i="6"/>
  <c r="N75" i="6"/>
  <c r="N233" i="6"/>
  <c r="N160" i="6"/>
  <c r="N180" i="6"/>
  <c r="N189" i="6"/>
  <c r="N229" i="6"/>
  <c r="N234" i="6"/>
  <c r="N165" i="6"/>
  <c r="N69" i="6"/>
  <c r="N167" i="6"/>
  <c r="N181" i="6"/>
  <c r="N162" i="6"/>
  <c r="N9" i="6"/>
  <c r="N154" i="6"/>
  <c r="N171" i="6"/>
  <c r="N149" i="6"/>
  <c r="N191" i="6"/>
  <c r="N227" i="6"/>
  <c r="N10" i="6"/>
  <c r="N186" i="6"/>
  <c r="N134" i="6"/>
  <c r="N175" i="6"/>
  <c r="N217" i="6"/>
  <c r="N39" i="6"/>
  <c r="N23" i="6"/>
  <c r="N87" i="6"/>
  <c r="N164" i="6"/>
  <c r="N96" i="6"/>
  <c r="N156" i="6"/>
  <c r="N193" i="6"/>
  <c r="N85" i="6"/>
  <c r="N5" i="6"/>
  <c r="N115" i="6"/>
  <c r="N26" i="6"/>
  <c r="N73" i="6"/>
  <c r="N197" i="6"/>
  <c r="N192" i="6"/>
  <c r="N236" i="6"/>
  <c r="N138" i="6"/>
  <c r="N83" i="6"/>
  <c r="N24" i="6"/>
  <c r="N25" i="6"/>
  <c r="N173" i="6"/>
  <c r="N168" i="6"/>
  <c r="N184" i="6"/>
  <c r="N89" i="6"/>
  <c r="N215" i="6"/>
  <c r="N182" i="6"/>
  <c r="N70" i="6"/>
  <c r="N230" i="6"/>
  <c r="N169" i="6"/>
  <c r="N56" i="6"/>
  <c r="N123" i="6"/>
  <c r="N163" i="6"/>
  <c r="N124" i="6"/>
  <c r="N153" i="6"/>
  <c r="N142" i="6"/>
  <c r="N58" i="6"/>
  <c r="N91" i="6"/>
  <c r="N102" i="6"/>
  <c r="N116" i="6"/>
  <c r="N86" i="6"/>
  <c r="N216" i="6"/>
  <c r="N68" i="6"/>
  <c r="N130" i="6"/>
  <c r="N179" i="6"/>
  <c r="N148" i="6"/>
  <c r="N150" i="6"/>
  <c r="N178" i="6"/>
  <c r="N158" i="6"/>
  <c r="N55" i="6"/>
  <c r="N92" i="6"/>
  <c r="N128" i="6"/>
  <c r="N120" i="6"/>
  <c r="N174" i="6"/>
  <c r="N22" i="6"/>
  <c r="N81" i="6"/>
  <c r="N78" i="6"/>
  <c r="N176" i="6"/>
  <c r="N183" i="6"/>
  <c r="N231" i="6"/>
  <c r="N79" i="6"/>
  <c r="N223" i="6"/>
  <c r="N155" i="6"/>
  <c r="N185" i="6"/>
  <c r="N237" i="6"/>
  <c r="N225" i="6"/>
  <c r="N140" i="6"/>
  <c r="N11" i="6"/>
  <c r="N113" i="6"/>
  <c r="N90" i="6"/>
  <c r="N200" i="6"/>
  <c r="N152" i="6"/>
  <c r="N177" i="6"/>
  <c r="N172" i="6"/>
  <c r="N235" i="6"/>
  <c r="N170" i="6"/>
  <c r="N187" i="6"/>
  <c r="N218" i="6"/>
  <c r="N161" i="6"/>
  <c r="N214" i="6"/>
  <c r="N204" i="6"/>
  <c r="N80" i="6"/>
  <c r="N95" i="6"/>
  <c r="N114" i="6"/>
  <c r="N147" i="6"/>
  <c r="N232" i="6"/>
  <c r="N166" i="6"/>
  <c r="N209" i="6"/>
  <c r="N62" i="6"/>
  <c r="N226" i="6"/>
  <c r="N157" i="6"/>
  <c r="N202" i="6"/>
  <c r="N228" i="6"/>
  <c r="N238" i="6"/>
  <c r="N207" i="6"/>
  <c r="N151" i="6"/>
  <c r="N88" i="6"/>
  <c r="N94" i="6"/>
  <c r="N17" i="6"/>
  <c r="N7" i="6"/>
  <c r="N143" i="6"/>
  <c r="N8" i="6"/>
  <c r="N63" i="6"/>
  <c r="N57" i="6"/>
  <c r="N107" i="6"/>
  <c r="N137" i="6"/>
  <c r="N59" i="6"/>
  <c r="N103" i="6"/>
  <c r="N131" i="6"/>
  <c r="N99" i="6"/>
  <c r="N106" i="6"/>
  <c r="N119" i="6"/>
  <c r="N41" i="6"/>
  <c r="N66" i="6"/>
  <c r="N49" i="6"/>
  <c r="L30" i="6"/>
  <c r="L31" i="6"/>
  <c r="L40" i="6"/>
  <c r="L122" i="6"/>
  <c r="L64" i="6"/>
  <c r="L43" i="6"/>
  <c r="L50" i="6"/>
  <c r="L13" i="6"/>
  <c r="L28" i="6"/>
  <c r="L54" i="6"/>
  <c r="L18" i="6"/>
  <c r="L48" i="6"/>
  <c r="L60" i="6"/>
  <c r="L16" i="6"/>
  <c r="L37" i="6"/>
  <c r="L27" i="6"/>
  <c r="L19" i="6"/>
  <c r="L127" i="6"/>
  <c r="L20" i="6"/>
  <c r="L126" i="6"/>
  <c r="L46" i="6"/>
  <c r="L65" i="6"/>
  <c r="L33" i="6"/>
  <c r="L221" i="6"/>
  <c r="L34" i="6"/>
  <c r="L67" i="6"/>
  <c r="L129" i="6"/>
  <c r="L146" i="6"/>
  <c r="L159" i="6"/>
  <c r="L4" i="6"/>
  <c r="L6" i="6"/>
  <c r="L14" i="6"/>
  <c r="L15" i="6"/>
  <c r="L29" i="6"/>
  <c r="L32" i="6"/>
  <c r="L36" i="6"/>
  <c r="L38" i="6"/>
  <c r="L42" i="6"/>
  <c r="L44" i="6"/>
  <c r="L45" i="6"/>
  <c r="L47" i="6"/>
  <c r="L51" i="6"/>
  <c r="L52" i="6"/>
  <c r="L53" i="6"/>
  <c r="L61" i="6"/>
  <c r="L71" i="6"/>
  <c r="L72" i="6"/>
  <c r="L74" i="6"/>
  <c r="L76" i="6"/>
  <c r="L77" i="6"/>
  <c r="L82" i="6"/>
  <c r="L84" i="6"/>
  <c r="L98" i="6"/>
  <c r="L100" i="6"/>
  <c r="L101" i="6"/>
  <c r="L104" i="6"/>
  <c r="L105" i="6"/>
  <c r="L108" i="6"/>
  <c r="L110" i="6"/>
  <c r="L111" i="6"/>
  <c r="L112" i="6"/>
  <c r="L117" i="6"/>
  <c r="L118" i="6"/>
  <c r="L121" i="6"/>
  <c r="L132" i="6"/>
  <c r="L133" i="6"/>
  <c r="L136" i="6"/>
  <c r="L141" i="6"/>
  <c r="L144" i="6"/>
  <c r="L145" i="6"/>
  <c r="L194" i="6"/>
  <c r="L196" i="6"/>
  <c r="L198" i="6"/>
  <c r="L199" i="6"/>
  <c r="L201" i="6"/>
  <c r="L203" i="6"/>
  <c r="L206" i="6"/>
  <c r="L208" i="6"/>
  <c r="L210" i="6"/>
  <c r="L211" i="6"/>
  <c r="L212" i="6"/>
  <c r="L213" i="6"/>
  <c r="L219" i="6"/>
  <c r="L220" i="6"/>
  <c r="L222" i="6"/>
  <c r="L239" i="6"/>
  <c r="L240" i="6"/>
  <c r="L241" i="6"/>
  <c r="L242" i="6"/>
  <c r="L195" i="6"/>
  <c r="L135" i="6"/>
  <c r="L35" i="6"/>
  <c r="L190" i="6"/>
  <c r="L93" i="6"/>
  <c r="L109" i="6"/>
  <c r="L224" i="6"/>
  <c r="L12" i="6"/>
  <c r="L125" i="6"/>
  <c r="L97" i="6"/>
  <c r="L205" i="6"/>
  <c r="L188" i="6"/>
  <c r="L139" i="6"/>
  <c r="L75" i="6"/>
  <c r="L233" i="6"/>
  <c r="L160" i="6"/>
  <c r="L180" i="6"/>
  <c r="L189" i="6"/>
  <c r="L229" i="6"/>
  <c r="L234" i="6"/>
  <c r="L165" i="6"/>
  <c r="L69" i="6"/>
  <c r="L167" i="6"/>
  <c r="L181" i="6"/>
  <c r="L162" i="6"/>
  <c r="L9" i="6"/>
  <c r="L154" i="6"/>
  <c r="L171" i="6"/>
  <c r="L149" i="6"/>
  <c r="L191" i="6"/>
  <c r="L227" i="6"/>
  <c r="L10" i="6"/>
  <c r="L186" i="6"/>
  <c r="L134" i="6"/>
  <c r="L175" i="6"/>
  <c r="L217" i="6"/>
  <c r="L39" i="6"/>
  <c r="L23" i="6"/>
  <c r="L87" i="6"/>
  <c r="L164" i="6"/>
  <c r="L96" i="6"/>
  <c r="L156" i="6"/>
  <c r="L193" i="6"/>
  <c r="L85" i="6"/>
  <c r="L5" i="6"/>
  <c r="L115" i="6"/>
  <c r="L26" i="6"/>
  <c r="L73" i="6"/>
  <c r="L197" i="6"/>
  <c r="L192" i="6"/>
  <c r="L236" i="6"/>
  <c r="L138" i="6"/>
  <c r="L83" i="6"/>
  <c r="L24" i="6"/>
  <c r="L25" i="6"/>
  <c r="L173" i="6"/>
  <c r="L168" i="6"/>
  <c r="L184" i="6"/>
  <c r="L89" i="6"/>
  <c r="L215" i="6"/>
  <c r="L182" i="6"/>
  <c r="L70" i="6"/>
  <c r="L230" i="6"/>
  <c r="L169" i="6"/>
  <c r="L56" i="6"/>
  <c r="L123" i="6"/>
  <c r="L163" i="6"/>
  <c r="L124" i="6"/>
  <c r="L153" i="6"/>
  <c r="L142" i="6"/>
  <c r="L58" i="6"/>
  <c r="L91" i="6"/>
  <c r="L102" i="6"/>
  <c r="L116" i="6"/>
  <c r="L86" i="6"/>
  <c r="L216" i="6"/>
  <c r="L68" i="6"/>
  <c r="L130" i="6"/>
  <c r="L179" i="6"/>
  <c r="L148" i="6"/>
  <c r="L150" i="6"/>
  <c r="L178" i="6"/>
  <c r="L158" i="6"/>
  <c r="L55" i="6"/>
  <c r="L92" i="6"/>
  <c r="L128" i="6"/>
  <c r="L120" i="6"/>
  <c r="L174" i="6"/>
  <c r="L22" i="6"/>
  <c r="L81" i="6"/>
  <c r="L78" i="6"/>
  <c r="L176" i="6"/>
  <c r="L183" i="6"/>
  <c r="L231" i="6"/>
  <c r="L79" i="6"/>
  <c r="L223" i="6"/>
  <c r="L155" i="6"/>
  <c r="L185" i="6"/>
  <c r="L237" i="6"/>
  <c r="L225" i="6"/>
  <c r="L140" i="6"/>
  <c r="L11" i="6"/>
  <c r="L113" i="6"/>
  <c r="L90" i="6"/>
  <c r="L200" i="6"/>
  <c r="L152" i="6"/>
  <c r="L177" i="6"/>
  <c r="L172" i="6"/>
  <c r="L235" i="6"/>
  <c r="L170" i="6"/>
  <c r="L187" i="6"/>
  <c r="L218" i="6"/>
  <c r="L161" i="6"/>
  <c r="L214" i="6"/>
  <c r="L204" i="6"/>
  <c r="L80" i="6"/>
  <c r="L95" i="6"/>
  <c r="L114" i="6"/>
  <c r="L147" i="6"/>
  <c r="L232" i="6"/>
  <c r="L166" i="6"/>
  <c r="L209" i="6"/>
  <c r="L62" i="6"/>
  <c r="L226" i="6"/>
  <c r="L157" i="6"/>
  <c r="L202" i="6"/>
  <c r="L228" i="6"/>
  <c r="L238" i="6"/>
  <c r="L207" i="6"/>
  <c r="L151" i="6"/>
  <c r="L88" i="6"/>
  <c r="L94" i="6"/>
  <c r="L17" i="6"/>
  <c r="L7" i="6"/>
  <c r="L143" i="6"/>
  <c r="L8" i="6"/>
  <c r="L63" i="6"/>
  <c r="L57" i="6"/>
  <c r="L107" i="6"/>
  <c r="L137" i="6"/>
  <c r="L59" i="6"/>
  <c r="L103" i="6"/>
  <c r="L131" i="6"/>
  <c r="L99" i="6"/>
  <c r="L106" i="6"/>
  <c r="L119" i="6"/>
  <c r="L41" i="6"/>
  <c r="L66" i="6"/>
  <c r="L21" i="6"/>
  <c r="L49" i="6"/>
  <c r="K48" i="6"/>
  <c r="G48" i="7" s="1"/>
  <c r="K60" i="6"/>
  <c r="G60" i="7" s="1"/>
  <c r="K16" i="6"/>
  <c r="G16" i="7" s="1"/>
  <c r="K37" i="6"/>
  <c r="G37" i="7" s="1"/>
  <c r="K27" i="6"/>
  <c r="G27" i="7" s="1"/>
  <c r="K19" i="6"/>
  <c r="G19" i="7" s="1"/>
  <c r="K127" i="6"/>
  <c r="G127" i="7" s="1"/>
  <c r="K20" i="6"/>
  <c r="G20" i="7" s="1"/>
  <c r="K126" i="6"/>
  <c r="G126" i="7" s="1"/>
  <c r="K46" i="6"/>
  <c r="G46" i="7" s="1"/>
  <c r="K65" i="6"/>
  <c r="G65" i="7" s="1"/>
  <c r="K33" i="6"/>
  <c r="G33" i="7" s="1"/>
  <c r="K34" i="6"/>
  <c r="G34" i="7" s="1"/>
  <c r="K67" i="6"/>
  <c r="G67" i="7" s="1"/>
  <c r="K129" i="6"/>
  <c r="G129" i="7" s="1"/>
  <c r="K146" i="6"/>
  <c r="G146" i="7" s="1"/>
  <c r="K159" i="6"/>
  <c r="G159" i="7" s="1"/>
  <c r="K6" i="6"/>
  <c r="G6" i="7" s="1"/>
  <c r="K14" i="6"/>
  <c r="G14" i="7" s="1"/>
  <c r="K15" i="6"/>
  <c r="G15" i="7" s="1"/>
  <c r="K29" i="6"/>
  <c r="G29" i="7" s="1"/>
  <c r="K32" i="6"/>
  <c r="G32" i="7" s="1"/>
  <c r="K36" i="6"/>
  <c r="G36" i="7" s="1"/>
  <c r="K38" i="6"/>
  <c r="G38" i="7" s="1"/>
  <c r="K42" i="6"/>
  <c r="G42" i="7" s="1"/>
  <c r="K44" i="6"/>
  <c r="G44" i="7" s="1"/>
  <c r="K45" i="6"/>
  <c r="G45" i="7" s="1"/>
  <c r="K47" i="6"/>
  <c r="G47" i="7" s="1"/>
  <c r="K51" i="6"/>
  <c r="G51" i="7" s="1"/>
  <c r="K52" i="6"/>
  <c r="G52" i="7" s="1"/>
  <c r="K53" i="6"/>
  <c r="G53" i="7" s="1"/>
  <c r="K61" i="6"/>
  <c r="G61" i="7" s="1"/>
  <c r="K71" i="6"/>
  <c r="G71" i="7" s="1"/>
  <c r="K72" i="6"/>
  <c r="G72" i="7" s="1"/>
  <c r="K74" i="6"/>
  <c r="G74" i="7" s="1"/>
  <c r="K76" i="6"/>
  <c r="G76" i="7" s="1"/>
  <c r="K77" i="6"/>
  <c r="G77" i="7" s="1"/>
  <c r="K82" i="6"/>
  <c r="G82" i="7" s="1"/>
  <c r="K84" i="6"/>
  <c r="G84" i="7" s="1"/>
  <c r="K98" i="6"/>
  <c r="G98" i="7" s="1"/>
  <c r="K100" i="6"/>
  <c r="G100" i="7" s="1"/>
  <c r="K104" i="6"/>
  <c r="G104" i="7" s="1"/>
  <c r="K105" i="6"/>
  <c r="G105" i="7" s="1"/>
  <c r="K108" i="6"/>
  <c r="G108" i="7" s="1"/>
  <c r="K110" i="6"/>
  <c r="G110" i="7" s="1"/>
  <c r="K111" i="6"/>
  <c r="G111" i="7" s="1"/>
  <c r="K112" i="6"/>
  <c r="G112" i="7" s="1"/>
  <c r="K118" i="6"/>
  <c r="G118" i="7" s="1"/>
  <c r="K121" i="6"/>
  <c r="G121" i="7" s="1"/>
  <c r="K132" i="6"/>
  <c r="G132" i="7" s="1"/>
  <c r="K136" i="6"/>
  <c r="G136" i="7" s="1"/>
  <c r="K144" i="6"/>
  <c r="G144" i="7" s="1"/>
  <c r="K145" i="6"/>
  <c r="G145" i="7" s="1"/>
  <c r="K199" i="6"/>
  <c r="G199" i="7" s="1"/>
  <c r="K201" i="6"/>
  <c r="G201" i="7" s="1"/>
  <c r="K239" i="6"/>
  <c r="G239" i="7" s="1"/>
  <c r="K135" i="6"/>
  <c r="G135" i="7" s="1"/>
  <c r="K35" i="6"/>
  <c r="G35" i="7" s="1"/>
  <c r="K109" i="6"/>
  <c r="G109" i="7" s="1"/>
  <c r="K12" i="6"/>
  <c r="G12" i="7" s="1"/>
  <c r="K97" i="6"/>
  <c r="G97" i="7" s="1"/>
  <c r="K139" i="6"/>
  <c r="G139" i="7" s="1"/>
  <c r="K75" i="6"/>
  <c r="G75" i="7" s="1"/>
  <c r="K233" i="6"/>
  <c r="G233" i="7" s="1"/>
  <c r="K69" i="6"/>
  <c r="G69" i="7" s="1"/>
  <c r="K167" i="6"/>
  <c r="G167" i="7" s="1"/>
  <c r="K9" i="6"/>
  <c r="G9" i="7" s="1"/>
  <c r="K191" i="6"/>
  <c r="G191" i="7" s="1"/>
  <c r="K10" i="6"/>
  <c r="G10" i="7" s="1"/>
  <c r="K175" i="6"/>
  <c r="G175" i="7" s="1"/>
  <c r="K217" i="6"/>
  <c r="G217" i="7" s="1"/>
  <c r="K39" i="6"/>
  <c r="G39" i="7" s="1"/>
  <c r="K23" i="6"/>
  <c r="G23" i="7" s="1"/>
  <c r="K87" i="6"/>
  <c r="G87" i="7" s="1"/>
  <c r="K96" i="6"/>
  <c r="G96" i="7" s="1"/>
  <c r="K193" i="6"/>
  <c r="G193" i="7" s="1"/>
  <c r="K85" i="6"/>
  <c r="G85" i="7" s="1"/>
  <c r="K5" i="6"/>
  <c r="G5" i="7" s="1"/>
  <c r="K115" i="6"/>
  <c r="G115" i="7" s="1"/>
  <c r="K26" i="6"/>
  <c r="G26" i="7" s="1"/>
  <c r="K73" i="6"/>
  <c r="G73" i="7" s="1"/>
  <c r="K192" i="6"/>
  <c r="G192" i="7" s="1"/>
  <c r="K138" i="6"/>
  <c r="G138" i="7" s="1"/>
  <c r="K83" i="6"/>
  <c r="G83" i="7" s="1"/>
  <c r="K24" i="6"/>
  <c r="G24" i="7" s="1"/>
  <c r="K25" i="6"/>
  <c r="G25" i="7" s="1"/>
  <c r="K89" i="6"/>
  <c r="G89" i="7" s="1"/>
  <c r="K215" i="6"/>
  <c r="G215" i="7" s="1"/>
  <c r="K70" i="6"/>
  <c r="G70" i="7" s="1"/>
  <c r="K169" i="6"/>
  <c r="G169" i="7" s="1"/>
  <c r="K56" i="6"/>
  <c r="G56" i="7" s="1"/>
  <c r="K123" i="6"/>
  <c r="G123" i="7" s="1"/>
  <c r="K124" i="6"/>
  <c r="G124" i="7" s="1"/>
  <c r="K153" i="6"/>
  <c r="G153" i="7" s="1"/>
  <c r="K58" i="6"/>
  <c r="G58" i="7" s="1"/>
  <c r="K91" i="6"/>
  <c r="G91" i="7" s="1"/>
  <c r="K102" i="6"/>
  <c r="G102" i="7" s="1"/>
  <c r="K86" i="6"/>
  <c r="G86" i="7" s="1"/>
  <c r="K68" i="6"/>
  <c r="G68" i="7" s="1"/>
  <c r="K130" i="6"/>
  <c r="G130" i="7" s="1"/>
  <c r="K55" i="6"/>
  <c r="G55" i="7" s="1"/>
  <c r="K92" i="6"/>
  <c r="G92" i="7" s="1"/>
  <c r="K128" i="6"/>
  <c r="G128" i="7" s="1"/>
  <c r="K120" i="6"/>
  <c r="G120" i="7" s="1"/>
  <c r="K22" i="6"/>
  <c r="G22" i="7" s="1"/>
  <c r="K81" i="6"/>
  <c r="G81" i="7" s="1"/>
  <c r="K78" i="6"/>
  <c r="G78" i="7" s="1"/>
  <c r="K176" i="6"/>
  <c r="G176" i="7" s="1"/>
  <c r="K183" i="6"/>
  <c r="G183" i="7" s="1"/>
  <c r="K231" i="6"/>
  <c r="G231" i="7" s="1"/>
  <c r="K79" i="6"/>
  <c r="G79" i="7" s="1"/>
  <c r="K155" i="6"/>
  <c r="G155" i="7" s="1"/>
  <c r="K185" i="6"/>
  <c r="G185" i="7" s="1"/>
  <c r="K225" i="6"/>
  <c r="G225" i="7" s="1"/>
  <c r="K140" i="6"/>
  <c r="G140" i="7" s="1"/>
  <c r="K11" i="6"/>
  <c r="G11" i="7" s="1"/>
  <c r="K113" i="6"/>
  <c r="G113" i="7" s="1"/>
  <c r="K90" i="6"/>
  <c r="G90" i="7" s="1"/>
  <c r="K152" i="6"/>
  <c r="G152" i="7" s="1"/>
  <c r="K177" i="6"/>
  <c r="G177" i="7" s="1"/>
  <c r="K161" i="6"/>
  <c r="G161" i="7" s="1"/>
  <c r="K80" i="6"/>
  <c r="G80" i="7" s="1"/>
  <c r="K95" i="6"/>
  <c r="G95" i="7" s="1"/>
  <c r="K114" i="6"/>
  <c r="G114" i="7" s="1"/>
  <c r="K147" i="6"/>
  <c r="G147" i="7" s="1"/>
  <c r="K209" i="6"/>
  <c r="G209" i="7" s="1"/>
  <c r="K62" i="6"/>
  <c r="G62" i="7" s="1"/>
  <c r="K207" i="6"/>
  <c r="G207" i="7" s="1"/>
  <c r="K151" i="6"/>
  <c r="G151" i="7" s="1"/>
  <c r="K88" i="6"/>
  <c r="G88" i="7" s="1"/>
  <c r="K94" i="6"/>
  <c r="G94" i="7" s="1"/>
  <c r="K17" i="6"/>
  <c r="G17" i="7" s="1"/>
  <c r="K7" i="6"/>
  <c r="G7" i="7" s="1"/>
  <c r="K143" i="6"/>
  <c r="G143" i="7" s="1"/>
  <c r="K8" i="6"/>
  <c r="G8" i="7" s="1"/>
  <c r="K63" i="6"/>
  <c r="G63" i="7" s="1"/>
  <c r="K57" i="6"/>
  <c r="G57" i="7" s="1"/>
  <c r="K107" i="6"/>
  <c r="G107" i="7" s="1"/>
  <c r="K137" i="6"/>
  <c r="G137" i="7" s="1"/>
  <c r="K59" i="6"/>
  <c r="G59" i="7" s="1"/>
  <c r="K103" i="6"/>
  <c r="G103" i="7" s="1"/>
  <c r="K131" i="6"/>
  <c r="G131" i="7" s="1"/>
  <c r="K99" i="6"/>
  <c r="G99" i="7" s="1"/>
  <c r="K106" i="6"/>
  <c r="G106" i="7" s="1"/>
  <c r="K119" i="6"/>
  <c r="G119" i="7" s="1"/>
  <c r="K41" i="6"/>
  <c r="G41" i="7" s="1"/>
  <c r="K66" i="6"/>
  <c r="G66" i="7" s="1"/>
  <c r="K21" i="6"/>
  <c r="G21" i="7" s="1"/>
  <c r="K30" i="6"/>
  <c r="G30" i="7" s="1"/>
  <c r="K31" i="6"/>
  <c r="G31" i="7" s="1"/>
  <c r="K40" i="6"/>
  <c r="G40" i="7" s="1"/>
  <c r="K122" i="6"/>
  <c r="G122" i="7" s="1"/>
  <c r="K64" i="6"/>
  <c r="G64" i="7" s="1"/>
  <c r="K43" i="6"/>
  <c r="G43" i="7" s="1"/>
  <c r="K50" i="6"/>
  <c r="G50" i="7" s="1"/>
  <c r="K13" i="6"/>
  <c r="G13" i="7" s="1"/>
  <c r="K28" i="6"/>
  <c r="G28" i="7" s="1"/>
  <c r="K54" i="6"/>
  <c r="G54" i="7" s="1"/>
  <c r="K18" i="6"/>
  <c r="G18" i="7" s="1"/>
  <c r="K49" i="6"/>
  <c r="G49" i="7" s="1"/>
  <c r="AA13" i="6"/>
  <c r="O13" i="7" s="1"/>
  <c r="A65" i="7" a="1"/>
  <c r="A65" i="7"/>
  <c r="M65" i="7" a="1"/>
  <c r="M65" i="7"/>
  <c r="A175" i="7" a="1"/>
  <c r="A175" i="7"/>
  <c r="A91" i="7" a="1"/>
  <c r="A91" i="7"/>
  <c r="A49" i="7" a="1"/>
  <c r="A49" i="7"/>
  <c r="N49" i="7" a="1"/>
  <c r="N49" i="7"/>
  <c r="A58" i="7" a="1"/>
  <c r="A58" i="7"/>
  <c r="K58" i="7"/>
  <c r="A247" i="7" a="1"/>
  <c r="A247" i="7"/>
  <c r="S247" i="7"/>
  <c r="A48" i="7" a="1"/>
  <c r="A48" i="7"/>
  <c r="M48" i="7" a="1"/>
  <c r="M48" i="7"/>
  <c r="A115" i="7" a="1"/>
  <c r="A115" i="7"/>
  <c r="A151" i="7" a="1"/>
  <c r="A151" i="7"/>
  <c r="A235" i="7" a="1"/>
  <c r="A235" i="7"/>
  <c r="A108" i="7" a="1"/>
  <c r="A108" i="7"/>
  <c r="B108" i="7"/>
  <c r="A221" i="7" a="1"/>
  <c r="A221" i="7"/>
  <c r="K221" i="7"/>
  <c r="A133" i="7" a="1"/>
  <c r="A133" i="7"/>
  <c r="A158" i="8"/>
  <c r="A186" i="7" a="1"/>
  <c r="A186" i="7"/>
  <c r="A30" i="7" a="1"/>
  <c r="A30" i="7"/>
  <c r="K30" i="7"/>
  <c r="A73" i="7" a="1"/>
  <c r="A73" i="7"/>
  <c r="K73" i="7"/>
  <c r="A45" i="7" a="1"/>
  <c r="A45" i="7"/>
  <c r="A190" i="7" a="1"/>
  <c r="A190" i="7"/>
  <c r="D190" i="7"/>
  <c r="E190" i="7" s="1"/>
  <c r="A50" i="7" a="1"/>
  <c r="A50" i="7"/>
  <c r="M50" i="7" a="1"/>
  <c r="M50" i="7"/>
  <c r="A116" i="7" a="1"/>
  <c r="A116" i="7"/>
  <c r="A142" i="7" a="1"/>
  <c r="A142" i="7"/>
  <c r="A86" i="7" a="1"/>
  <c r="A86" i="7"/>
  <c r="K86" i="7"/>
  <c r="A53" i="7" a="1"/>
  <c r="A53" i="7"/>
  <c r="C53" i="7"/>
  <c r="C197" i="8"/>
  <c r="A75" i="7" a="1"/>
  <c r="A75" i="7"/>
  <c r="D75" i="7"/>
  <c r="E75" i="7" s="1"/>
  <c r="A112" i="7" a="1"/>
  <c r="A112" i="7"/>
  <c r="A156" i="7" a="1"/>
  <c r="A156" i="7"/>
  <c r="A205" i="7" a="1"/>
  <c r="A205" i="7"/>
  <c r="K205" i="7"/>
  <c r="A168" i="7" a="1"/>
  <c r="A168" i="7"/>
  <c r="A135" i="7" a="1"/>
  <c r="A135" i="7"/>
  <c r="N135" i="7" a="1"/>
  <c r="N135" i="7"/>
  <c r="A101" i="7" a="1"/>
  <c r="A101" i="7"/>
  <c r="A171" i="7" a="1"/>
  <c r="A171" i="7"/>
  <c r="K171" i="7"/>
  <c r="A199" i="7" a="1"/>
  <c r="A199" i="7"/>
  <c r="A9" i="7" a="1"/>
  <c r="A9" i="7"/>
  <c r="M9" i="7" a="1"/>
  <c r="M9" i="7"/>
  <c r="A139" i="7" a="1"/>
  <c r="A139" i="7"/>
  <c r="K139" i="7"/>
  <c r="A21" i="7" a="1"/>
  <c r="A21" i="7"/>
  <c r="K21" i="7"/>
  <c r="A72" i="7" a="1"/>
  <c r="A72" i="7"/>
  <c r="K72" i="7"/>
  <c r="A224" i="7" a="1"/>
  <c r="A224" i="7"/>
  <c r="C224" i="7"/>
  <c r="A154" i="7" a="1"/>
  <c r="A154" i="7"/>
  <c r="A92" i="7" a="1"/>
  <c r="A92" i="7"/>
  <c r="A197" i="7" a="1"/>
  <c r="A197" i="7"/>
  <c r="A10" i="7" a="1"/>
  <c r="A10" i="7"/>
  <c r="A176" i="7" a="1"/>
  <c r="A176" i="7"/>
  <c r="N176" i="7" a="1"/>
  <c r="N176" i="7"/>
  <c r="A130" i="7" a="1"/>
  <c r="A130" i="7"/>
  <c r="A232" i="7" a="1"/>
  <c r="A232" i="7"/>
  <c r="B232" i="7"/>
  <c r="A22" i="7" a="1"/>
  <c r="A22" i="7"/>
  <c r="A99" i="7" a="1"/>
  <c r="A99" i="7"/>
  <c r="A208" i="7" a="1"/>
  <c r="A208" i="7"/>
  <c r="A42" i="7" a="1"/>
  <c r="A42" i="7"/>
  <c r="C42" i="7"/>
  <c r="C137" i="8"/>
  <c r="A134" i="7" a="1"/>
  <c r="A134" i="7"/>
  <c r="D134" i="7"/>
  <c r="E134" i="7" s="1"/>
  <c r="A35" i="7" a="1"/>
  <c r="A35" i="7"/>
  <c r="A7" i="7" a="1"/>
  <c r="A7" i="7"/>
  <c r="A187" i="7" a="1"/>
  <c r="A187" i="7"/>
  <c r="A111" i="7" a="1"/>
  <c r="A111" i="7"/>
  <c r="C111" i="7"/>
  <c r="A102" i="7" a="1"/>
  <c r="A102" i="7"/>
  <c r="N102" i="7" a="1"/>
  <c r="N102" i="7"/>
  <c r="A124" i="7" a="1"/>
  <c r="A124" i="7"/>
  <c r="A183" i="7" a="1"/>
  <c r="A183" i="7"/>
  <c r="A54" i="7" a="1"/>
  <c r="A54" i="7"/>
  <c r="C54" i="7"/>
  <c r="A103" i="7" a="1"/>
  <c r="A103" i="7"/>
  <c r="B103" i="7"/>
  <c r="A162" i="7" a="1"/>
  <c r="A162" i="7"/>
  <c r="K162" i="7"/>
  <c r="A242" i="7" a="1"/>
  <c r="A242" i="7"/>
  <c r="C242" i="7"/>
  <c r="A59" i="7" a="1"/>
  <c r="A59" i="7"/>
  <c r="B59" i="7"/>
  <c r="B146" i="8"/>
  <c r="A32" i="7" a="1"/>
  <c r="A32" i="7"/>
  <c r="B32" i="7"/>
  <c r="B219" i="8"/>
  <c r="A246" i="7" a="1"/>
  <c r="A246" i="7"/>
  <c r="G246" i="7"/>
  <c r="A220" i="7" a="1"/>
  <c r="A220" i="7"/>
  <c r="A17" i="7" a="1"/>
  <c r="A17" i="7"/>
  <c r="A87" i="7" a="1"/>
  <c r="A87" i="7"/>
  <c r="D87" i="7"/>
  <c r="E87" i="7" s="1"/>
  <c r="A234" i="7" a="1"/>
  <c r="A234" i="7"/>
  <c r="A167" i="7" a="1"/>
  <c r="A167" i="7"/>
  <c r="C167" i="7"/>
  <c r="A27" i="7" a="1"/>
  <c r="A27" i="7"/>
  <c r="D27" i="7"/>
  <c r="E27" i="7" s="1"/>
  <c r="A229" i="7" a="1"/>
  <c r="A229" i="7"/>
  <c r="A181" i="7" a="1"/>
  <c r="A181" i="7"/>
  <c r="A15" i="7" a="1"/>
  <c r="A15" i="7"/>
  <c r="A34" i="7" a="1"/>
  <c r="A34" i="7"/>
  <c r="A142" i="8"/>
  <c r="A164" i="7" a="1"/>
  <c r="A164" i="7"/>
  <c r="K164" i="7"/>
  <c r="A222" i="7" a="1"/>
  <c r="A222" i="7"/>
  <c r="A132" i="7" a="1"/>
  <c r="A132" i="7"/>
  <c r="A137" i="7" a="1"/>
  <c r="A137" i="7"/>
  <c r="N137" i="7" a="1"/>
  <c r="N137" i="7"/>
  <c r="A13" i="7" a="1"/>
  <c r="A13" i="7"/>
  <c r="B13" i="7"/>
  <c r="A166" i="7" a="1"/>
  <c r="A166" i="7"/>
  <c r="A95" i="7" a="1"/>
  <c r="A95" i="7"/>
  <c r="A46" i="7" a="1"/>
  <c r="A46" i="7"/>
  <c r="M46" i="7" a="1"/>
  <c r="M46" i="7"/>
  <c r="A191" i="7" a="1"/>
  <c r="A191" i="7"/>
  <c r="B191" i="7"/>
  <c r="A64" i="7" a="1"/>
  <c r="A64" i="7"/>
  <c r="B64" i="7"/>
  <c r="A211" i="7" a="1"/>
  <c r="A211" i="7"/>
  <c r="C211" i="7"/>
  <c r="C238" i="8"/>
  <c r="A52" i="7" a="1"/>
  <c r="A52" i="7"/>
  <c r="C52" i="7"/>
  <c r="C190" i="8"/>
  <c r="A36" i="7" a="1"/>
  <c r="A36" i="7"/>
  <c r="M36" i="7" a="1"/>
  <c r="M36" i="7"/>
  <c r="A157" i="7" a="1"/>
  <c r="A157" i="7"/>
  <c r="A233" i="7" a="1"/>
  <c r="A233" i="7"/>
  <c r="M233" i="7" a="1"/>
  <c r="M233" i="7"/>
  <c r="A160" i="7" a="1"/>
  <c r="A160" i="7"/>
  <c r="K160" i="7"/>
  <c r="A169" i="7" a="1"/>
  <c r="A169" i="7"/>
  <c r="K169" i="7"/>
  <c r="A127" i="7" a="1"/>
  <c r="A127" i="7"/>
  <c r="A29" i="7" a="1"/>
  <c r="A29" i="7"/>
  <c r="A203" i="7" a="1"/>
  <c r="A203" i="7"/>
  <c r="N203" i="7" a="1"/>
  <c r="N203" i="7"/>
  <c r="P203" i="7"/>
  <c r="A67" i="7" a="1"/>
  <c r="A67" i="7"/>
  <c r="M67" i="7" a="1"/>
  <c r="M67" i="7"/>
  <c r="A204" i="7" a="1"/>
  <c r="A204" i="7"/>
  <c r="A200" i="7" a="1"/>
  <c r="A200" i="7"/>
  <c r="B200" i="7"/>
  <c r="A217" i="7" a="1"/>
  <c r="A217" i="7"/>
  <c r="M217" i="7" a="1"/>
  <c r="M217" i="7"/>
  <c r="A19" i="7" a="1"/>
  <c r="A19" i="7"/>
  <c r="A150" i="7" a="1"/>
  <c r="A150" i="7"/>
  <c r="A202" i="7" a="1"/>
  <c r="A202" i="7"/>
  <c r="B202" i="7"/>
  <c r="A61" i="7" a="1"/>
  <c r="A61" i="7"/>
  <c r="A187" i="8"/>
  <c r="A192" i="7" a="1"/>
  <c r="A192" i="7"/>
  <c r="M192" i="7" a="1"/>
  <c r="M192" i="7"/>
  <c r="A120" i="7" a="1"/>
  <c r="A120" i="7"/>
  <c r="A243" i="7" a="1"/>
  <c r="A243" i="7"/>
  <c r="N243" i="7" a="1"/>
  <c r="N243" i="7"/>
  <c r="A43" i="7" a="1"/>
  <c r="A43" i="7"/>
  <c r="N43" i="7" a="1"/>
  <c r="N43" i="7"/>
  <c r="A165" i="7" a="1"/>
  <c r="A165" i="7"/>
  <c r="A123" i="7" a="1"/>
  <c r="A123" i="7"/>
  <c r="B123" i="7"/>
  <c r="A178" i="7" a="1"/>
  <c r="A178" i="7"/>
  <c r="M178" i="7" a="1"/>
  <c r="M178" i="7"/>
  <c r="A228" i="7" a="1"/>
  <c r="A228" i="7"/>
  <c r="A188" i="7" a="1"/>
  <c r="A188" i="7"/>
  <c r="C188" i="7"/>
  <c r="A77" i="7" a="1"/>
  <c r="A77" i="7"/>
  <c r="N77" i="7" a="1"/>
  <c r="N77" i="7"/>
  <c r="P77" i="7"/>
  <c r="A240" i="7" a="1"/>
  <c r="A240" i="7"/>
  <c r="B240" i="7"/>
  <c r="A119" i="7" a="1"/>
  <c r="A119" i="7"/>
  <c r="C119" i="7"/>
  <c r="A189" i="7" a="1"/>
  <c r="A189" i="7"/>
  <c r="K189" i="7"/>
  <c r="A25" i="7" a="1"/>
  <c r="A25" i="7"/>
  <c r="A57" i="7" a="1"/>
  <c r="A57" i="7"/>
  <c r="A146" i="7" a="1"/>
  <c r="A146" i="7"/>
  <c r="N146" i="7" a="1"/>
  <c r="N146" i="7"/>
  <c r="P146" i="7"/>
  <c r="A78" i="7" a="1"/>
  <c r="A78" i="7"/>
  <c r="M78" i="7" a="1"/>
  <c r="M78" i="7"/>
  <c r="A223" i="7" a="1"/>
  <c r="A223" i="7"/>
  <c r="A216" i="7" a="1"/>
  <c r="A216" i="7"/>
  <c r="M216" i="7" a="1"/>
  <c r="M216" i="7"/>
  <c r="A241" i="7" a="1"/>
  <c r="A241" i="7"/>
  <c r="A6" i="7" a="1"/>
  <c r="A6" i="7"/>
  <c r="A182" i="7" a="1"/>
  <c r="A182" i="7"/>
  <c r="N182" i="7" a="1"/>
  <c r="N182" i="7"/>
  <c r="A66" i="7" a="1"/>
  <c r="A66" i="7"/>
  <c r="A122" i="7" a="1"/>
  <c r="A122" i="7"/>
  <c r="D122" i="7"/>
  <c r="E122" i="7" s="1"/>
  <c r="A215" i="7" a="1"/>
  <c r="A215" i="7"/>
  <c r="N215" i="7" a="1"/>
  <c r="N215" i="7"/>
  <c r="A121" i="7" a="1"/>
  <c r="A121" i="7"/>
  <c r="B121" i="7"/>
  <c r="A18" i="7" a="1"/>
  <c r="A18" i="7"/>
  <c r="C18" i="7"/>
  <c r="A97" i="7" a="1"/>
  <c r="A97" i="7"/>
  <c r="C97" i="7"/>
  <c r="A184" i="7" a="1"/>
  <c r="A184" i="7"/>
  <c r="A106" i="7" a="1"/>
  <c r="A106" i="7"/>
  <c r="A109" i="7" a="1"/>
  <c r="A109" i="7"/>
  <c r="A138" i="7" a="1"/>
  <c r="A138" i="7"/>
  <c r="B138" i="7"/>
  <c r="A213" i="7" a="1"/>
  <c r="A213" i="7"/>
  <c r="C213" i="7"/>
  <c r="C205" i="8"/>
  <c r="A71" i="7" a="1"/>
  <c r="A71" i="7"/>
  <c r="B71" i="7"/>
  <c r="A194" i="7" a="1"/>
  <c r="A194" i="7"/>
  <c r="A16" i="7" a="1"/>
  <c r="A16" i="7"/>
  <c r="M16" i="7" a="1"/>
  <c r="M16" i="7"/>
  <c r="A80" i="7" a="1"/>
  <c r="A80" i="7"/>
  <c r="A220" i="8"/>
  <c r="A82" i="7" a="1"/>
  <c r="A82" i="7"/>
  <c r="A245" i="7" a="1"/>
  <c r="A245" i="7"/>
  <c r="K245" i="7"/>
  <c r="A179" i="7" a="1"/>
  <c r="A179" i="7"/>
  <c r="A193" i="7" a="1"/>
  <c r="A193" i="7"/>
  <c r="A206" i="7" a="1"/>
  <c r="A206" i="7"/>
  <c r="A81" i="7" a="1"/>
  <c r="A81" i="7"/>
  <c r="A149" i="7" a="1"/>
  <c r="A149" i="7"/>
  <c r="M149" i="7" a="1"/>
  <c r="M149" i="7"/>
  <c r="A69" i="7" a="1"/>
  <c r="A69" i="7"/>
  <c r="B69" i="7"/>
  <c r="A76" i="7" a="1"/>
  <c r="A76" i="7"/>
  <c r="A5" i="7" a="1"/>
  <c r="A5" i="7"/>
  <c r="A105" i="7" a="1"/>
  <c r="A105" i="7"/>
  <c r="B105" i="7"/>
  <c r="A126" i="7" a="1"/>
  <c r="A126" i="7"/>
  <c r="B126" i="7"/>
  <c r="A63" i="7" a="1"/>
  <c r="A63" i="7"/>
  <c r="D63" i="7"/>
  <c r="E63" i="7" s="1"/>
  <c r="A26" i="7" a="1"/>
  <c r="A26" i="7"/>
  <c r="C26" i="7"/>
  <c r="A209" i="7" a="1"/>
  <c r="A209" i="7"/>
  <c r="K209" i="7"/>
  <c r="A163" i="7" a="1"/>
  <c r="A163" i="7"/>
  <c r="D163" i="7"/>
  <c r="E163" i="7" s="1"/>
  <c r="A201" i="7" a="1"/>
  <c r="A201" i="7"/>
  <c r="A41" i="7" a="1"/>
  <c r="A41" i="7"/>
  <c r="A51" i="7" a="1"/>
  <c r="A51" i="7"/>
  <c r="D51" i="7"/>
  <c r="E51" i="7" s="1"/>
  <c r="A20" i="7" a="1"/>
  <c r="A20" i="7"/>
  <c r="M20" i="7" a="1"/>
  <c r="M20" i="7"/>
  <c r="A117" i="7" a="1"/>
  <c r="A117" i="7"/>
  <c r="C117" i="7"/>
  <c r="A230" i="7" a="1"/>
  <c r="A230" i="7"/>
  <c r="B230" i="7"/>
  <c r="A226" i="7" a="1"/>
  <c r="A226" i="7"/>
  <c r="C226" i="7"/>
  <c r="A174" i="7" a="1"/>
  <c r="A174" i="7"/>
  <c r="A186" i="8"/>
  <c r="A198" i="7" a="1"/>
  <c r="A198" i="7"/>
  <c r="M198" i="7" a="1"/>
  <c r="M198" i="7"/>
  <c r="A90" i="7" a="1"/>
  <c r="A90" i="7"/>
  <c r="C90" i="7"/>
  <c r="A68" i="7" a="1"/>
  <c r="A68" i="7"/>
  <c r="B68" i="7"/>
  <c r="A159" i="7" a="1"/>
  <c r="A159" i="7"/>
  <c r="A74" i="7" a="1"/>
  <c r="A74" i="7"/>
  <c r="A148" i="7" a="1"/>
  <c r="A148" i="7"/>
  <c r="M148" i="7" a="1"/>
  <c r="M148" i="7"/>
  <c r="A24" i="7" a="1"/>
  <c r="A24" i="7"/>
  <c r="D24" i="7"/>
  <c r="E24" i="7" s="1"/>
  <c r="A218" i="7" a="1"/>
  <c r="A218" i="7"/>
  <c r="A89" i="7" a="1"/>
  <c r="A89" i="7"/>
  <c r="A55" i="7" a="1"/>
  <c r="A55" i="7"/>
  <c r="K55" i="7"/>
  <c r="A170" i="7" a="1"/>
  <c r="A170" i="7"/>
  <c r="M170" i="7" a="1"/>
  <c r="M170" i="7"/>
  <c r="A38" i="7" a="1"/>
  <c r="A38" i="7"/>
  <c r="A150" i="8"/>
  <c r="A107" i="7" a="1"/>
  <c r="A107" i="7"/>
  <c r="A225" i="7" a="1"/>
  <c r="A225" i="7"/>
  <c r="B225" i="7"/>
  <c r="B225" i="8"/>
  <c r="A70" i="7" a="1"/>
  <c r="A70" i="7"/>
  <c r="C70" i="7"/>
  <c r="A207" i="7" a="1"/>
  <c r="A207" i="7"/>
  <c r="K207" i="7"/>
  <c r="A47" i="7" a="1"/>
  <c r="A47" i="7"/>
  <c r="C47" i="7"/>
  <c r="C145" i="8"/>
  <c r="A113" i="7" a="1"/>
  <c r="A113" i="7"/>
  <c r="N113" i="7" a="1"/>
  <c r="N113" i="7"/>
  <c r="A231" i="7" a="1"/>
  <c r="A231" i="7"/>
  <c r="B231" i="7"/>
  <c r="A96" i="7" a="1"/>
  <c r="A96" i="7"/>
  <c r="A118" i="7" a="1"/>
  <c r="A118" i="7"/>
  <c r="N118" i="7" a="1"/>
  <c r="N118" i="7"/>
  <c r="A173" i="7" a="1"/>
  <c r="A173" i="7"/>
  <c r="D173" i="7"/>
  <c r="E173" i="7" s="1"/>
  <c r="A131" i="7" a="1"/>
  <c r="A131" i="7"/>
  <c r="M131" i="7" a="1"/>
  <c r="M131" i="7"/>
  <c r="A136" i="7" a="1"/>
  <c r="A136" i="7"/>
  <c r="M136" i="7" a="1"/>
  <c r="M136" i="7"/>
  <c r="A239" i="7" a="1"/>
  <c r="A239" i="7"/>
  <c r="A31" i="7" a="1"/>
  <c r="A31" i="7"/>
  <c r="K31" i="7"/>
  <c r="A125" i="7" a="1"/>
  <c r="A125" i="7"/>
  <c r="D125" i="7"/>
  <c r="E125" i="7" s="1"/>
  <c r="A185" i="7" a="1"/>
  <c r="A185" i="7"/>
  <c r="A85" i="7" a="1"/>
  <c r="A85" i="7"/>
  <c r="A44" i="7" a="1"/>
  <c r="A44" i="7"/>
  <c r="D44" i="7"/>
  <c r="E44" i="7" s="1"/>
  <c r="A155" i="7" a="1"/>
  <c r="A155" i="7"/>
  <c r="D155" i="7"/>
  <c r="E155" i="7" s="1"/>
  <c r="A195" i="7" a="1"/>
  <c r="A195" i="7"/>
  <c r="M195" i="7" a="1"/>
  <c r="M195" i="7"/>
  <c r="A172" i="7" a="1"/>
  <c r="A172" i="7"/>
  <c r="A238" i="7" a="1"/>
  <c r="A238" i="7"/>
  <c r="B238" i="7"/>
  <c r="B113" i="8"/>
  <c r="A177" i="7" a="1"/>
  <c r="A177" i="7"/>
  <c r="B177" i="7"/>
  <c r="A227" i="7" a="1"/>
  <c r="A227" i="7"/>
  <c r="A140" i="7" a="1"/>
  <c r="A140" i="7"/>
  <c r="A114" i="7" a="1"/>
  <c r="A114" i="7"/>
  <c r="B114" i="7"/>
  <c r="A219" i="7" a="1"/>
  <c r="A219" i="7"/>
  <c r="C219" i="7"/>
  <c r="C239" i="8"/>
  <c r="A98" i="7" a="1"/>
  <c r="A98" i="7"/>
  <c r="A94" i="7" a="1"/>
  <c r="A94" i="7"/>
  <c r="B94" i="7"/>
  <c r="A145" i="7" a="1"/>
  <c r="A145" i="7"/>
  <c r="A152" i="7" a="1"/>
  <c r="A152" i="7"/>
  <c r="M152" i="7" a="1"/>
  <c r="M152" i="7" s="1"/>
  <c r="A93" i="7" a="1"/>
  <c r="A93" i="7"/>
  <c r="B93" i="7"/>
  <c r="A60" i="7" a="1"/>
  <c r="A60" i="7"/>
  <c r="M60" i="7" a="1"/>
  <c r="M60" i="7" s="1"/>
  <c r="A104" i="7" a="1"/>
  <c r="A104" i="7"/>
  <c r="M104" i="7" a="1"/>
  <c r="M104" i="7"/>
  <c r="A210" i="7" a="1"/>
  <c r="A210" i="7"/>
  <c r="B210" i="7"/>
  <c r="B245" i="8"/>
  <c r="A28" i="7" a="1"/>
  <c r="A28" i="7"/>
  <c r="A40" i="7" a="1"/>
  <c r="A40" i="7"/>
  <c r="A14" i="7" a="1"/>
  <c r="A14" i="7"/>
  <c r="A33" i="7" a="1"/>
  <c r="A33" i="7"/>
  <c r="A213" i="8"/>
  <c r="A8" i="7" a="1"/>
  <c r="A8" i="7"/>
  <c r="M8" i="7" a="1"/>
  <c r="M8" i="7" s="1"/>
  <c r="A37" i="7" a="1"/>
  <c r="A37" i="7"/>
  <c r="A180" i="7" a="1"/>
  <c r="A180" i="7"/>
  <c r="M180" i="7" a="1"/>
  <c r="M180" i="7" s="1"/>
  <c r="A62" i="7" a="1"/>
  <c r="A62" i="7"/>
  <c r="M62" i="7" a="1"/>
  <c r="M62" i="7" s="1"/>
  <c r="A212" i="7" a="1"/>
  <c r="A212" i="7"/>
  <c r="A226" i="8"/>
  <c r="A236" i="7" a="1"/>
  <c r="A236" i="7"/>
  <c r="B236" i="7"/>
  <c r="A161" i="7" a="1"/>
  <c r="A161" i="7"/>
  <c r="K161" i="7"/>
  <c r="A56" i="7" a="1"/>
  <c r="A56" i="7"/>
  <c r="M56" i="7" a="1"/>
  <c r="M56" i="7"/>
  <c r="A83" i="7" a="1"/>
  <c r="A83" i="7"/>
  <c r="A127" i="8"/>
  <c r="A141" i="7" a="1"/>
  <c r="A141" i="7"/>
  <c r="B141" i="7"/>
  <c r="A12" i="7" a="1"/>
  <c r="A12" i="7"/>
  <c r="A140" i="8"/>
  <c r="A214" i="7" a="1"/>
  <c r="A214" i="7"/>
  <c r="A117" i="8"/>
  <c r="A147" i="7" a="1"/>
  <c r="A147" i="7"/>
  <c r="A129" i="7" a="1"/>
  <c r="A129" i="7"/>
  <c r="A110" i="7" a="1"/>
  <c r="A110" i="7"/>
  <c r="A100" i="7" a="1"/>
  <c r="A100" i="7"/>
  <c r="C100" i="7"/>
  <c r="A128" i="7" a="1"/>
  <c r="A128" i="7"/>
  <c r="A124" i="8"/>
  <c r="A143" i="7" a="1"/>
  <c r="A143" i="7"/>
  <c r="K143" i="7"/>
  <c r="A244" i="7" a="1"/>
  <c r="A244" i="7"/>
  <c r="B244" i="7"/>
  <c r="B246" i="8"/>
  <c r="A84" i="7" a="1"/>
  <c r="A84" i="7"/>
  <c r="B84" i="7"/>
  <c r="B141" i="8"/>
  <c r="A196" i="7" a="1"/>
  <c r="A196" i="7"/>
  <c r="A23" i="7" a="1"/>
  <c r="A23" i="7"/>
  <c r="M23" i="7" a="1"/>
  <c r="M23" i="7" s="1"/>
  <c r="A158" i="7" a="1"/>
  <c r="A158" i="7"/>
  <c r="A144" i="7" a="1"/>
  <c r="A144" i="7"/>
  <c r="N144" i="7" a="1"/>
  <c r="N144" i="7"/>
  <c r="A39" i="7" a="1"/>
  <c r="A39" i="7"/>
  <c r="A153" i="7" a="1"/>
  <c r="A153" i="7"/>
  <c r="M153" i="7" a="1"/>
  <c r="M153" i="7" s="1"/>
  <c r="A11" i="7" a="1"/>
  <c r="A11" i="7"/>
  <c r="N11" i="7" a="1"/>
  <c r="N11" i="7"/>
  <c r="A4" i="7" a="1"/>
  <c r="A4" i="7"/>
  <c r="B4" i="7"/>
  <c r="A79" i="7" a="1"/>
  <c r="A79" i="7"/>
  <c r="A75" i="8"/>
  <c r="A237" i="7" a="1"/>
  <c r="A237" i="7"/>
  <c r="A88" i="7" a="1"/>
  <c r="A88" i="7"/>
  <c r="A5" i="11" a="1"/>
  <c r="A5" i="11"/>
  <c r="D46" i="11"/>
  <c r="D45" i="11"/>
  <c r="D44" i="11"/>
  <c r="D43" i="11"/>
  <c r="D42" i="11"/>
  <c r="D41" i="11"/>
  <c r="D40" i="11"/>
  <c r="D39" i="11"/>
  <c r="D38" i="11"/>
  <c r="D37" i="11"/>
  <c r="D36" i="11"/>
  <c r="D35" i="11"/>
  <c r="D34" i="11"/>
  <c r="M17" i="11"/>
  <c r="AA195" i="6"/>
  <c r="AD195" i="6" s="1"/>
  <c r="Z195" i="6"/>
  <c r="AB195" i="6" s="1"/>
  <c r="V195" i="6"/>
  <c r="J195" i="7" s="1"/>
  <c r="F134" i="8" s="1"/>
  <c r="T195" i="6"/>
  <c r="S195" i="6"/>
  <c r="P195" i="6"/>
  <c r="AA242" i="6"/>
  <c r="Z242" i="6"/>
  <c r="AB242" i="6" s="1"/>
  <c r="V242" i="6"/>
  <c r="J242" i="7" s="1"/>
  <c r="F172" i="8" s="1"/>
  <c r="T242" i="6"/>
  <c r="S242" i="6"/>
  <c r="P242" i="6"/>
  <c r="AA241" i="6"/>
  <c r="O241" i="7" s="1"/>
  <c r="R241" i="7" s="1"/>
  <c r="Z241" i="6"/>
  <c r="AB241" i="6" s="1"/>
  <c r="V241" i="6"/>
  <c r="J241" i="7" s="1"/>
  <c r="F231" i="8" s="1"/>
  <c r="T241" i="6"/>
  <c r="S241" i="6"/>
  <c r="P241" i="6"/>
  <c r="AA240" i="6"/>
  <c r="Z240" i="6"/>
  <c r="AB240" i="6" s="1"/>
  <c r="V240" i="6"/>
  <c r="J240" i="7" s="1"/>
  <c r="F200" i="8" s="1"/>
  <c r="T240" i="6"/>
  <c r="S240" i="6"/>
  <c r="P240" i="6"/>
  <c r="AA239" i="6"/>
  <c r="AC239" i="6" s="1"/>
  <c r="Z239" i="6"/>
  <c r="AB239" i="6" s="1"/>
  <c r="V239" i="6"/>
  <c r="J239" i="7" s="1"/>
  <c r="F174" i="8" s="1"/>
  <c r="T239" i="6"/>
  <c r="S239" i="6"/>
  <c r="P239" i="6"/>
  <c r="AA222" i="6"/>
  <c r="Z222" i="6"/>
  <c r="AB222" i="6" s="1"/>
  <c r="V222" i="6"/>
  <c r="W222" i="6" s="1"/>
  <c r="AJ222" i="6" s="1"/>
  <c r="T222" i="6"/>
  <c r="S222" i="6"/>
  <c r="P222" i="6"/>
  <c r="AA220" i="6"/>
  <c r="AC220" i="6" s="1"/>
  <c r="Z220" i="6"/>
  <c r="AB220" i="6" s="1"/>
  <c r="V220" i="6"/>
  <c r="J220" i="7" s="1"/>
  <c r="T220" i="6"/>
  <c r="S220" i="6"/>
  <c r="P220" i="6"/>
  <c r="AA219" i="6"/>
  <c r="AC219" i="6" s="1"/>
  <c r="Z219" i="6"/>
  <c r="AB219" i="6" s="1"/>
  <c r="V219" i="6"/>
  <c r="AE219" i="6" s="1"/>
  <c r="T219" i="6"/>
  <c r="S219" i="6"/>
  <c r="P219" i="6"/>
  <c r="AA213" i="6"/>
  <c r="O213" i="7" s="1"/>
  <c r="Q213" i="7" s="1"/>
  <c r="Z213" i="6"/>
  <c r="AB213" i="6" s="1"/>
  <c r="V213" i="6"/>
  <c r="AE213" i="6" s="1"/>
  <c r="AG213" i="6" s="1"/>
  <c r="S213" i="7" s="1"/>
  <c r="T213" i="6"/>
  <c r="S213" i="6"/>
  <c r="P213" i="6"/>
  <c r="AA212" i="6"/>
  <c r="AD212" i="6" s="1"/>
  <c r="Z212" i="6"/>
  <c r="AB212" i="6" s="1"/>
  <c r="V212" i="6"/>
  <c r="AE212" i="6" s="1"/>
  <c r="AG212" i="6" s="1"/>
  <c r="S212" i="7" s="1"/>
  <c r="T212" i="6"/>
  <c r="S212" i="6"/>
  <c r="P212" i="6"/>
  <c r="AA211" i="6"/>
  <c r="AD211" i="6" s="1"/>
  <c r="Z211" i="6"/>
  <c r="AB211" i="6" s="1"/>
  <c r="V211" i="6"/>
  <c r="T211" i="6"/>
  <c r="S211" i="6"/>
  <c r="P211" i="6"/>
  <c r="AA210" i="6"/>
  <c r="AC210" i="6" s="1"/>
  <c r="Z210" i="6"/>
  <c r="AB210" i="6" s="1"/>
  <c r="V210" i="6"/>
  <c r="J210" i="7" s="1"/>
  <c r="F245" i="8" s="1"/>
  <c r="T210" i="6"/>
  <c r="S210" i="6"/>
  <c r="P210" i="6"/>
  <c r="AA208" i="6"/>
  <c r="AC208" i="6" s="1"/>
  <c r="Z208" i="6"/>
  <c r="AB208" i="6" s="1"/>
  <c r="V208" i="6"/>
  <c r="J208" i="7" s="1"/>
  <c r="L208" i="7" s="1"/>
  <c r="T208" i="6"/>
  <c r="S208" i="6"/>
  <c r="P208" i="6"/>
  <c r="AA206" i="6"/>
  <c r="Z206" i="6"/>
  <c r="AB206" i="6" s="1"/>
  <c r="V206" i="6"/>
  <c r="AE206" i="6" s="1"/>
  <c r="AF206" i="6" s="1"/>
  <c r="T206" i="6"/>
  <c r="S206" i="6"/>
  <c r="P206" i="6"/>
  <c r="AA203" i="6"/>
  <c r="AD203" i="6" s="1"/>
  <c r="Z203" i="6"/>
  <c r="V203" i="6"/>
  <c r="W203" i="6" s="1"/>
  <c r="AJ203" i="6" s="1"/>
  <c r="T203" i="6"/>
  <c r="S203" i="6"/>
  <c r="P203" i="6"/>
  <c r="AA201" i="6"/>
  <c r="AD201" i="6" s="1"/>
  <c r="Z201" i="6"/>
  <c r="AB201" i="6" s="1"/>
  <c r="V201" i="6"/>
  <c r="T201" i="6"/>
  <c r="S201" i="6"/>
  <c r="P201" i="6"/>
  <c r="AA199" i="6"/>
  <c r="Z199" i="6"/>
  <c r="AB199" i="6" s="1"/>
  <c r="V199" i="6"/>
  <c r="W199" i="6" s="1"/>
  <c r="AJ199" i="6" s="1"/>
  <c r="T199" i="6"/>
  <c r="S199" i="6"/>
  <c r="P199" i="6"/>
  <c r="AA198" i="6"/>
  <c r="Z198" i="6"/>
  <c r="AB198" i="6" s="1"/>
  <c r="V198" i="6"/>
  <c r="T198" i="6"/>
  <c r="S198" i="6"/>
  <c r="P198" i="6"/>
  <c r="AA196" i="6"/>
  <c r="O196" i="7" s="1"/>
  <c r="Z196" i="6"/>
  <c r="V196" i="6"/>
  <c r="J196" i="7" s="1"/>
  <c r="F235" i="8" s="1"/>
  <c r="T196" i="6"/>
  <c r="S196" i="6"/>
  <c r="P196" i="6"/>
  <c r="AA194" i="6"/>
  <c r="AD194" i="6" s="1"/>
  <c r="Z194" i="6"/>
  <c r="AB194" i="6" s="1"/>
  <c r="V194" i="6"/>
  <c r="J194" i="7" s="1"/>
  <c r="F203" i="8" s="1"/>
  <c r="T194" i="6"/>
  <c r="S194" i="6"/>
  <c r="P194" i="6"/>
  <c r="AA145" i="6"/>
  <c r="AD145" i="6" s="1"/>
  <c r="Z145" i="6"/>
  <c r="AB145" i="6" s="1"/>
  <c r="V145" i="6"/>
  <c r="J145" i="7" s="1"/>
  <c r="F151" i="8" s="1"/>
  <c r="T145" i="6"/>
  <c r="S145" i="6"/>
  <c r="P145" i="6"/>
  <c r="AA144" i="6"/>
  <c r="AD144" i="6" s="1"/>
  <c r="Z144" i="6"/>
  <c r="V144" i="6"/>
  <c r="W144" i="6" s="1"/>
  <c r="AJ144" i="6" s="1"/>
  <c r="T144" i="6"/>
  <c r="S144" i="6"/>
  <c r="P144" i="6"/>
  <c r="AA141" i="6"/>
  <c r="O141" i="7" s="1"/>
  <c r="Z141" i="6"/>
  <c r="V141" i="6"/>
  <c r="J141" i="7" s="1"/>
  <c r="F155" i="8" s="1"/>
  <c r="T141" i="6"/>
  <c r="S141" i="6"/>
  <c r="P141" i="6"/>
  <c r="AA136" i="6"/>
  <c r="AC136" i="6" s="1"/>
  <c r="Z136" i="6"/>
  <c r="AB136" i="6" s="1"/>
  <c r="V136" i="6"/>
  <c r="AE136" i="6" s="1"/>
  <c r="AF136" i="6" s="1"/>
  <c r="T136" i="6"/>
  <c r="S136" i="6"/>
  <c r="P136" i="6"/>
  <c r="AA133" i="6"/>
  <c r="AD133" i="6" s="1"/>
  <c r="Z133" i="6"/>
  <c r="AB133" i="6" s="1"/>
  <c r="V133" i="6"/>
  <c r="T133" i="6"/>
  <c r="S133" i="6"/>
  <c r="P133" i="6"/>
  <c r="AA132" i="6"/>
  <c r="O132" i="7" s="1"/>
  <c r="R132" i="7" s="1"/>
  <c r="Z132" i="6"/>
  <c r="AB132" i="6" s="1"/>
  <c r="V132" i="6"/>
  <c r="AE132" i="6" s="1"/>
  <c r="AF132" i="6" s="1"/>
  <c r="T132" i="6"/>
  <c r="S132" i="6"/>
  <c r="P132" i="6"/>
  <c r="AA121" i="6"/>
  <c r="O121" i="7" s="1"/>
  <c r="Q121" i="7" s="1"/>
  <c r="Z121" i="6"/>
  <c r="AB121" i="6" s="1"/>
  <c r="V121" i="6"/>
  <c r="J121" i="7" s="1"/>
  <c r="P121" i="6"/>
  <c r="T121" i="6"/>
  <c r="S121" i="6"/>
  <c r="AA118" i="6"/>
  <c r="Z118" i="6"/>
  <c r="AB118" i="6" s="1"/>
  <c r="V118" i="6"/>
  <c r="J118" i="7" s="1"/>
  <c r="F165" i="8" s="1"/>
  <c r="T118" i="6"/>
  <c r="S118" i="6"/>
  <c r="P118" i="6"/>
  <c r="AA117" i="6"/>
  <c r="O117" i="7" s="1"/>
  <c r="Z117" i="6"/>
  <c r="AB117" i="6" s="1"/>
  <c r="V117" i="6"/>
  <c r="J117" i="7" s="1"/>
  <c r="F167" i="8" s="1"/>
  <c r="T117" i="6"/>
  <c r="S117" i="6"/>
  <c r="P117" i="6"/>
  <c r="AA112" i="6"/>
  <c r="AC112" i="6" s="1"/>
  <c r="Z112" i="6"/>
  <c r="AB112" i="6" s="1"/>
  <c r="V112" i="6"/>
  <c r="J112" i="7" s="1"/>
  <c r="T112" i="6"/>
  <c r="S112" i="6"/>
  <c r="P112" i="6"/>
  <c r="AA111" i="6"/>
  <c r="O111" i="7" s="1"/>
  <c r="Z111" i="6"/>
  <c r="V111" i="6"/>
  <c r="J111" i="7" s="1"/>
  <c r="T111" i="6"/>
  <c r="S111" i="6"/>
  <c r="P111" i="6"/>
  <c r="AA110" i="6"/>
  <c r="AC110" i="6" s="1"/>
  <c r="Z110" i="6"/>
  <c r="AB110" i="6" s="1"/>
  <c r="V110" i="6"/>
  <c r="J110" i="7" s="1"/>
  <c r="T110" i="6"/>
  <c r="S110" i="6"/>
  <c r="P110" i="6"/>
  <c r="AA108" i="6"/>
  <c r="AD108" i="6" s="1"/>
  <c r="Z108" i="6"/>
  <c r="AB108" i="6" s="1"/>
  <c r="V108" i="6"/>
  <c r="J108" i="7" s="1"/>
  <c r="F176" i="8" s="1"/>
  <c r="T108" i="6"/>
  <c r="S108" i="6"/>
  <c r="P108" i="6"/>
  <c r="AA105" i="6"/>
  <c r="Z105" i="6"/>
  <c r="AB105" i="6" s="1"/>
  <c r="V105" i="6"/>
  <c r="J105" i="7" s="1"/>
  <c r="P105" i="6"/>
  <c r="T105" i="6"/>
  <c r="S105" i="6"/>
  <c r="U105" i="6" s="1"/>
  <c r="AA104" i="6"/>
  <c r="O104" i="7" s="1"/>
  <c r="Z104" i="6"/>
  <c r="AB104" i="6" s="1"/>
  <c r="V104" i="6"/>
  <c r="J104" i="7" s="1"/>
  <c r="F178" i="8" s="1"/>
  <c r="P104" i="6"/>
  <c r="T104" i="6"/>
  <c r="S104" i="6"/>
  <c r="AA101" i="6"/>
  <c r="AD101" i="6" s="1"/>
  <c r="Z101" i="6"/>
  <c r="V101" i="6"/>
  <c r="T101" i="6"/>
  <c r="S101" i="6"/>
  <c r="P101" i="6"/>
  <c r="AA100" i="6"/>
  <c r="Z100" i="6"/>
  <c r="AB100" i="6" s="1"/>
  <c r="V100" i="6"/>
  <c r="J100" i="7" s="1"/>
  <c r="F202" i="8" s="1"/>
  <c r="P100" i="6"/>
  <c r="T100" i="6"/>
  <c r="S100" i="6"/>
  <c r="AA98" i="6"/>
  <c r="Z98" i="6"/>
  <c r="AB98" i="6" s="1"/>
  <c r="V98" i="6"/>
  <c r="J98" i="7" s="1"/>
  <c r="F182" i="8" s="1"/>
  <c r="P98" i="6"/>
  <c r="T98" i="6"/>
  <c r="S98" i="6"/>
  <c r="U98" i="6" s="1"/>
  <c r="AA84" i="6"/>
  <c r="AD84" i="6" s="1"/>
  <c r="Z84" i="6"/>
  <c r="AB84" i="6" s="1"/>
  <c r="V84" i="6"/>
  <c r="J84" i="7" s="1"/>
  <c r="T84" i="6"/>
  <c r="S84" i="6"/>
  <c r="P84" i="6"/>
  <c r="AA82" i="6"/>
  <c r="AC82" i="6" s="1"/>
  <c r="Z82" i="6"/>
  <c r="AB82" i="6" s="1"/>
  <c r="V82" i="6"/>
  <c r="J82" i="7" s="1"/>
  <c r="F207" i="8" s="1"/>
  <c r="T82" i="6"/>
  <c r="S82" i="6"/>
  <c r="P82" i="6"/>
  <c r="AA77" i="6"/>
  <c r="O77" i="7" s="1"/>
  <c r="R77" i="7" s="1"/>
  <c r="Z77" i="6"/>
  <c r="AB77" i="6" s="1"/>
  <c r="V77" i="6"/>
  <c r="AE77" i="6" s="1"/>
  <c r="AG77" i="6" s="1"/>
  <c r="S77" i="7" s="1"/>
  <c r="T77" i="6"/>
  <c r="S77" i="6"/>
  <c r="P77" i="6"/>
  <c r="AA76" i="6"/>
  <c r="AD76" i="6" s="1"/>
  <c r="Z76" i="6"/>
  <c r="AB76" i="6" s="1"/>
  <c r="V76" i="6"/>
  <c r="W76" i="6" s="1"/>
  <c r="AJ76" i="6" s="1"/>
  <c r="T76" i="6"/>
  <c r="S76" i="6"/>
  <c r="P76" i="6"/>
  <c r="AA74" i="6"/>
  <c r="Z74" i="6"/>
  <c r="AB74" i="6" s="1"/>
  <c r="V74" i="6"/>
  <c r="T74" i="6"/>
  <c r="S74" i="6"/>
  <c r="P74" i="6"/>
  <c r="AA72" i="6"/>
  <c r="Z72" i="6"/>
  <c r="AB72" i="6" s="1"/>
  <c r="V72" i="6"/>
  <c r="J72" i="7" s="1"/>
  <c r="F201" i="8" s="1"/>
  <c r="T72" i="6"/>
  <c r="S72" i="6"/>
  <c r="P72" i="6"/>
  <c r="AA71" i="6"/>
  <c r="AC71" i="6" s="1"/>
  <c r="Z71" i="6"/>
  <c r="AB71" i="6" s="1"/>
  <c r="V71" i="6"/>
  <c r="J71" i="7" s="1"/>
  <c r="F206" i="8" s="1"/>
  <c r="T71" i="6"/>
  <c r="S71" i="6"/>
  <c r="P71" i="6"/>
  <c r="AA61" i="6"/>
  <c r="AC61" i="6" s="1"/>
  <c r="Z61" i="6"/>
  <c r="V61" i="6"/>
  <c r="W61" i="6" s="1"/>
  <c r="AJ61" i="6" s="1"/>
  <c r="T61" i="6"/>
  <c r="S61" i="6"/>
  <c r="P61" i="6"/>
  <c r="AA53" i="6"/>
  <c r="O53" i="7" s="1"/>
  <c r="Z53" i="6"/>
  <c r="AB53" i="6" s="1"/>
  <c r="V53" i="6"/>
  <c r="AE53" i="6" s="1"/>
  <c r="AF53" i="6" s="1"/>
  <c r="T53" i="6"/>
  <c r="S53" i="6"/>
  <c r="P53" i="6"/>
  <c r="AA52" i="6"/>
  <c r="O52" i="7" s="1"/>
  <c r="Z52" i="6"/>
  <c r="AB52" i="6" s="1"/>
  <c r="V52" i="6"/>
  <c r="J52" i="7" s="1"/>
  <c r="L52" i="7" s="1"/>
  <c r="T52" i="6"/>
  <c r="S52" i="6"/>
  <c r="P52" i="6"/>
  <c r="AA51" i="6"/>
  <c r="AD51" i="6" s="1"/>
  <c r="Z51" i="6"/>
  <c r="AB51" i="6" s="1"/>
  <c r="V51" i="6"/>
  <c r="J51" i="7" s="1"/>
  <c r="F139" i="8" s="1"/>
  <c r="T51" i="6"/>
  <c r="S51" i="6"/>
  <c r="P51" i="6"/>
  <c r="AA47" i="6"/>
  <c r="AD47" i="6" s="1"/>
  <c r="Z47" i="6"/>
  <c r="AB47" i="6" s="1"/>
  <c r="V47" i="6"/>
  <c r="W47" i="6" s="1"/>
  <c r="AJ47" i="6" s="1"/>
  <c r="T47" i="6"/>
  <c r="S47" i="6"/>
  <c r="P47" i="6"/>
  <c r="AA45" i="6"/>
  <c r="Z45" i="6"/>
  <c r="V45" i="6"/>
  <c r="J45" i="7" s="1"/>
  <c r="F129" i="8" s="1"/>
  <c r="T45" i="6"/>
  <c r="S45" i="6"/>
  <c r="P45" i="6"/>
  <c r="AA44" i="6"/>
  <c r="Z44" i="6"/>
  <c r="V44" i="6"/>
  <c r="J44" i="7" s="1"/>
  <c r="F127" i="8" s="1"/>
  <c r="T44" i="6"/>
  <c r="S44" i="6"/>
  <c r="P44" i="6"/>
  <c r="AA42" i="6"/>
  <c r="Z42" i="6"/>
  <c r="V42" i="6"/>
  <c r="AE42" i="6" s="1"/>
  <c r="AG42" i="6" s="1"/>
  <c r="S42" i="7" s="1"/>
  <c r="T42" i="6"/>
  <c r="S42" i="6"/>
  <c r="P42" i="6"/>
  <c r="AA38" i="6"/>
  <c r="AD38" i="6" s="1"/>
  <c r="Z38" i="6"/>
  <c r="AB38" i="6" s="1"/>
  <c r="V38" i="6"/>
  <c r="J38" i="7" s="1"/>
  <c r="F150" i="8" s="1"/>
  <c r="T38" i="6"/>
  <c r="S38" i="6"/>
  <c r="P38" i="6"/>
  <c r="AA36" i="6"/>
  <c r="AD36" i="6" s="1"/>
  <c r="Z36" i="6"/>
  <c r="AB36" i="6" s="1"/>
  <c r="V36" i="6"/>
  <c r="J36" i="7" s="1"/>
  <c r="F133" i="8" s="1"/>
  <c r="T36" i="6"/>
  <c r="S36" i="6"/>
  <c r="P36" i="6"/>
  <c r="AA32" i="6"/>
  <c r="AD32" i="6" s="1"/>
  <c r="Z32" i="6"/>
  <c r="AB32" i="6" s="1"/>
  <c r="V32" i="6"/>
  <c r="AE32" i="6" s="1"/>
  <c r="AG32" i="6" s="1"/>
  <c r="S32" i="7" s="1"/>
  <c r="T32" i="6"/>
  <c r="S32" i="6"/>
  <c r="P32" i="6"/>
  <c r="AA29" i="6"/>
  <c r="AC29" i="6" s="1"/>
  <c r="Z29" i="6"/>
  <c r="V29" i="6"/>
  <c r="T29" i="6"/>
  <c r="S29" i="6"/>
  <c r="P29" i="6"/>
  <c r="AA15" i="6"/>
  <c r="Z15" i="6"/>
  <c r="AB15" i="6" s="1"/>
  <c r="V15" i="6"/>
  <c r="J15" i="7" s="1"/>
  <c r="F189" i="8" s="1"/>
  <c r="T15" i="6"/>
  <c r="S15" i="6"/>
  <c r="P15" i="6"/>
  <c r="AA14" i="6"/>
  <c r="AC14" i="6" s="1"/>
  <c r="Z14" i="6"/>
  <c r="AB14" i="6" s="1"/>
  <c r="V14" i="6"/>
  <c r="T14" i="6"/>
  <c r="S14" i="6"/>
  <c r="P14" i="6"/>
  <c r="AA6" i="6"/>
  <c r="O6" i="7" s="1"/>
  <c r="Q6" i="7" s="1"/>
  <c r="Z6" i="6"/>
  <c r="AB6" i="6" s="1"/>
  <c r="V6" i="6"/>
  <c r="W6" i="6" s="1"/>
  <c r="AJ6" i="6" s="1"/>
  <c r="T6" i="6"/>
  <c r="S6" i="6"/>
  <c r="P6" i="6"/>
  <c r="AA225" i="6"/>
  <c r="Z225" i="6"/>
  <c r="AB225" i="6" s="1"/>
  <c r="V225" i="6"/>
  <c r="J225" i="7" s="1"/>
  <c r="F225" i="8" s="1"/>
  <c r="T225" i="6"/>
  <c r="S225" i="6"/>
  <c r="P225" i="6"/>
  <c r="AA4" i="6"/>
  <c r="O4" i="7" s="1"/>
  <c r="Z4" i="6"/>
  <c r="V4" i="6"/>
  <c r="T4" i="6"/>
  <c r="S4" i="6"/>
  <c r="P4" i="6"/>
  <c r="AA159" i="6"/>
  <c r="AC159" i="6" s="1"/>
  <c r="Z159" i="6"/>
  <c r="AB159" i="6" s="1"/>
  <c r="V159" i="6"/>
  <c r="J159" i="7" s="1"/>
  <c r="F143" i="8" s="1"/>
  <c r="T159" i="6"/>
  <c r="S159" i="6"/>
  <c r="P159" i="6"/>
  <c r="AA146" i="6"/>
  <c r="AC146" i="6" s="1"/>
  <c r="Z146" i="6"/>
  <c r="AB146" i="6" s="1"/>
  <c r="V146" i="6"/>
  <c r="W146" i="6" s="1"/>
  <c r="AJ146" i="6" s="1"/>
  <c r="T146" i="6"/>
  <c r="S146" i="6"/>
  <c r="P146" i="6"/>
  <c r="AA129" i="6"/>
  <c r="AD129" i="6" s="1"/>
  <c r="Z129" i="6"/>
  <c r="AB129" i="6" s="1"/>
  <c r="V129" i="6"/>
  <c r="J129" i="7" s="1"/>
  <c r="F163" i="8" s="1"/>
  <c r="T129" i="6"/>
  <c r="S129" i="6"/>
  <c r="P129" i="6"/>
  <c r="AA67" i="6"/>
  <c r="Z67" i="6"/>
  <c r="AB67" i="6" s="1"/>
  <c r="V67" i="6"/>
  <c r="J67" i="7" s="1"/>
  <c r="F224" i="8" s="1"/>
  <c r="T67" i="6"/>
  <c r="S67" i="6"/>
  <c r="P67" i="6"/>
  <c r="AA34" i="6"/>
  <c r="AD34" i="6" s="1"/>
  <c r="Z34" i="6"/>
  <c r="AB34" i="6" s="1"/>
  <c r="V34" i="6"/>
  <c r="J34" i="7" s="1"/>
  <c r="L34" i="7" s="1"/>
  <c r="T34" i="6"/>
  <c r="S34" i="6"/>
  <c r="P34" i="6"/>
  <c r="AA221" i="6"/>
  <c r="AD221" i="6" s="1"/>
  <c r="Z221" i="6"/>
  <c r="V221" i="6"/>
  <c r="J221" i="7" s="1"/>
  <c r="F199" i="8" s="1"/>
  <c r="T221" i="6"/>
  <c r="S221" i="6"/>
  <c r="P221" i="6"/>
  <c r="AA235" i="6"/>
  <c r="Z235" i="6"/>
  <c r="V235" i="6"/>
  <c r="J235" i="7" s="1"/>
  <c r="F34" i="8" s="1"/>
  <c r="T235" i="6"/>
  <c r="S235" i="6"/>
  <c r="P235" i="6"/>
  <c r="AA33" i="6"/>
  <c r="AD33" i="6" s="1"/>
  <c r="Z33" i="6"/>
  <c r="AB33" i="6" s="1"/>
  <c r="V33" i="6"/>
  <c r="W33" i="6" s="1"/>
  <c r="AJ33" i="6" s="1"/>
  <c r="T33" i="6"/>
  <c r="S33" i="6"/>
  <c r="P33" i="6"/>
  <c r="AA65" i="6"/>
  <c r="O65" i="7" s="1"/>
  <c r="R65" i="7" s="1"/>
  <c r="Z65" i="6"/>
  <c r="V65" i="6"/>
  <c r="J65" i="7" s="1"/>
  <c r="F85" i="8" s="1"/>
  <c r="T65" i="6"/>
  <c r="S65" i="6"/>
  <c r="P65" i="6"/>
  <c r="AB65" i="6" s="1"/>
  <c r="AA46" i="6"/>
  <c r="AD46" i="6" s="1"/>
  <c r="Z46" i="6"/>
  <c r="V46" i="6"/>
  <c r="J46" i="7" s="1"/>
  <c r="T46" i="6"/>
  <c r="S46" i="6"/>
  <c r="P46" i="6"/>
  <c r="AA126" i="6"/>
  <c r="O126" i="7" s="1"/>
  <c r="Z126" i="6"/>
  <c r="V126" i="6"/>
  <c r="W126" i="6" s="1"/>
  <c r="AJ126" i="6" s="1"/>
  <c r="T126" i="6"/>
  <c r="S126" i="6"/>
  <c r="P126" i="6"/>
  <c r="AB126" i="6" s="1"/>
  <c r="AA20" i="6"/>
  <c r="Z20" i="6"/>
  <c r="AB20" i="6" s="1"/>
  <c r="V20" i="6"/>
  <c r="J20" i="7" s="1"/>
  <c r="F184" i="8" s="1"/>
  <c r="T20" i="6"/>
  <c r="S20" i="6"/>
  <c r="P20" i="6"/>
  <c r="AA127" i="6"/>
  <c r="O127" i="7" s="1"/>
  <c r="Q127" i="7" s="1"/>
  <c r="Z127" i="6"/>
  <c r="V127" i="6"/>
  <c r="J127" i="7" s="1"/>
  <c r="F103" i="8" s="1"/>
  <c r="P127" i="6"/>
  <c r="T127" i="6"/>
  <c r="S127" i="6"/>
  <c r="AA19" i="6"/>
  <c r="O19" i="7" s="1"/>
  <c r="R19" i="7" s="1"/>
  <c r="Z19" i="6"/>
  <c r="V19" i="6"/>
  <c r="J19" i="7" s="1"/>
  <c r="F209" i="8" s="1"/>
  <c r="T19" i="6"/>
  <c r="S19" i="6"/>
  <c r="P19" i="6"/>
  <c r="AA27" i="6"/>
  <c r="AD27" i="6" s="1"/>
  <c r="Z27" i="6"/>
  <c r="V27" i="6"/>
  <c r="AE27" i="6" s="1"/>
  <c r="T27" i="6"/>
  <c r="S27" i="6"/>
  <c r="P27" i="6"/>
  <c r="AA37" i="6"/>
  <c r="Z37" i="6"/>
  <c r="V37" i="6"/>
  <c r="J37" i="7" s="1"/>
  <c r="T37" i="6"/>
  <c r="S37" i="6"/>
  <c r="P37" i="6"/>
  <c r="AA16" i="6"/>
  <c r="Z16" i="6"/>
  <c r="V16" i="6"/>
  <c r="J16" i="7" s="1"/>
  <c r="F211" i="8" s="1"/>
  <c r="T16" i="6"/>
  <c r="S16" i="6"/>
  <c r="P16" i="6"/>
  <c r="AA60" i="6"/>
  <c r="AD60" i="6" s="1"/>
  <c r="Z60" i="6"/>
  <c r="V60" i="6"/>
  <c r="AE60" i="6" s="1"/>
  <c r="AG60" i="6" s="1"/>
  <c r="S60" i="7" s="1"/>
  <c r="T60" i="6"/>
  <c r="S60" i="6"/>
  <c r="P60" i="6"/>
  <c r="AB60" i="6" s="1"/>
  <c r="AA190" i="6"/>
  <c r="AC190" i="6" s="1"/>
  <c r="Z190" i="6"/>
  <c r="AB190" i="6" s="1"/>
  <c r="V190" i="6"/>
  <c r="J190" i="7" s="1"/>
  <c r="F125" i="8" s="1"/>
  <c r="T190" i="6"/>
  <c r="S190" i="6"/>
  <c r="P190" i="6"/>
  <c r="AA48" i="6"/>
  <c r="O48" i="7" s="1"/>
  <c r="R48" i="7" s="1"/>
  <c r="Z48" i="6"/>
  <c r="V48" i="6"/>
  <c r="J48" i="7" s="1"/>
  <c r="F221" i="8" s="1"/>
  <c r="T48" i="6"/>
  <c r="S48" i="6"/>
  <c r="P48" i="6"/>
  <c r="AA18" i="6"/>
  <c r="Z18" i="6"/>
  <c r="V18" i="6"/>
  <c r="T18" i="6"/>
  <c r="S18" i="6"/>
  <c r="P18" i="6"/>
  <c r="AA54" i="6"/>
  <c r="O54" i="7" s="1"/>
  <c r="R54" i="7" s="1"/>
  <c r="Z54" i="6"/>
  <c r="V54" i="6"/>
  <c r="J54" i="7" s="1"/>
  <c r="F185" i="8" s="1"/>
  <c r="T54" i="6"/>
  <c r="S54" i="6"/>
  <c r="P54" i="6"/>
  <c r="AB54" i="6" s="1"/>
  <c r="AA28" i="6"/>
  <c r="O28" i="7" s="1"/>
  <c r="Z28" i="6"/>
  <c r="V28" i="6"/>
  <c r="J28" i="7" s="1"/>
  <c r="F216" i="8" s="1"/>
  <c r="T28" i="6"/>
  <c r="S28" i="6"/>
  <c r="P28" i="6"/>
  <c r="AA39" i="6"/>
  <c r="Z39" i="6"/>
  <c r="V39" i="6"/>
  <c r="J39" i="7" s="1"/>
  <c r="F108" i="8" s="1"/>
  <c r="T39" i="6"/>
  <c r="S39" i="6"/>
  <c r="P39" i="6"/>
  <c r="Z13" i="6"/>
  <c r="V13" i="6"/>
  <c r="J13" i="7" s="1"/>
  <c r="F175" i="8" s="1"/>
  <c r="T13" i="6"/>
  <c r="S13" i="6"/>
  <c r="P13" i="6"/>
  <c r="AA50" i="6"/>
  <c r="O50" i="7" s="1"/>
  <c r="Z50" i="6"/>
  <c r="V50" i="6"/>
  <c r="J50" i="7" s="1"/>
  <c r="T50" i="6"/>
  <c r="S50" i="6"/>
  <c r="P50" i="6"/>
  <c r="AA43" i="6"/>
  <c r="O43" i="7" s="1"/>
  <c r="Z43" i="6"/>
  <c r="AB43" i="6" s="1"/>
  <c r="V43" i="6"/>
  <c r="J43" i="7" s="1"/>
  <c r="F63" i="8" s="1"/>
  <c r="T43" i="6"/>
  <c r="S43" i="6"/>
  <c r="P43" i="6"/>
  <c r="AA64" i="6"/>
  <c r="Z64" i="6"/>
  <c r="V64" i="6"/>
  <c r="T64" i="6"/>
  <c r="S64" i="6"/>
  <c r="P64" i="6"/>
  <c r="AA22" i="6"/>
  <c r="O22" i="7" s="1"/>
  <c r="Z22" i="6"/>
  <c r="V22" i="6"/>
  <c r="J22" i="7" s="1"/>
  <c r="F131" i="8" s="1"/>
  <c r="T22" i="6"/>
  <c r="S22" i="6"/>
  <c r="P22" i="6"/>
  <c r="AA12" i="6"/>
  <c r="O12" i="7" s="1"/>
  <c r="Q12" i="7" s="1"/>
  <c r="Z12" i="6"/>
  <c r="V12" i="6"/>
  <c r="J12" i="7" s="1"/>
  <c r="F86" i="8" s="1"/>
  <c r="T12" i="6"/>
  <c r="S12" i="6"/>
  <c r="P12" i="6"/>
  <c r="AA122" i="6"/>
  <c r="Z122" i="6"/>
  <c r="AB122" i="6" s="1"/>
  <c r="V122" i="6"/>
  <c r="J122" i="7" s="1"/>
  <c r="F170" i="8" s="1"/>
  <c r="T122" i="6"/>
  <c r="S122" i="6"/>
  <c r="P122" i="6"/>
  <c r="AA40" i="6"/>
  <c r="AD40" i="6" s="1"/>
  <c r="Z40" i="6"/>
  <c r="V40" i="6"/>
  <c r="J40" i="7" s="1"/>
  <c r="F198" i="8" s="1"/>
  <c r="T40" i="6"/>
  <c r="S40" i="6"/>
  <c r="P40" i="6"/>
  <c r="AA31" i="6"/>
  <c r="Z31" i="6"/>
  <c r="V31" i="6"/>
  <c r="J31" i="7" s="1"/>
  <c r="F136" i="8" s="1"/>
  <c r="T31" i="6"/>
  <c r="S31" i="6"/>
  <c r="P31" i="6"/>
  <c r="AA30" i="6"/>
  <c r="O30" i="7" s="1"/>
  <c r="R30" i="7" s="1"/>
  <c r="Z30" i="6"/>
  <c r="V30" i="6"/>
  <c r="J30" i="7" s="1"/>
  <c r="F186" i="8" s="1"/>
  <c r="T30" i="6"/>
  <c r="S30" i="6"/>
  <c r="P30" i="6"/>
  <c r="AA21" i="6"/>
  <c r="O21" i="7" s="1"/>
  <c r="Z21" i="6"/>
  <c r="V21" i="6"/>
  <c r="J21" i="7" s="1"/>
  <c r="F147" i="8" s="1"/>
  <c r="T21" i="6"/>
  <c r="S21" i="6"/>
  <c r="P21" i="6"/>
  <c r="AB21" i="6" s="1"/>
  <c r="AA49" i="6"/>
  <c r="O49" i="7" s="1"/>
  <c r="Z49" i="6"/>
  <c r="V49" i="6"/>
  <c r="J49" i="7" s="1"/>
  <c r="F8" i="8" s="1"/>
  <c r="T49" i="6"/>
  <c r="S49" i="6"/>
  <c r="P49" i="6"/>
  <c r="AA181" i="6"/>
  <c r="AD181" i="6" s="1"/>
  <c r="Z181" i="6"/>
  <c r="P181" i="6"/>
  <c r="V181" i="6"/>
  <c r="J181" i="7" s="1"/>
  <c r="F73" i="8" s="1"/>
  <c r="T181" i="6"/>
  <c r="S181" i="6"/>
  <c r="AA93" i="6"/>
  <c r="Z93" i="6"/>
  <c r="AB93" i="6" s="1"/>
  <c r="V93" i="6"/>
  <c r="J93" i="7" s="1"/>
  <c r="F130" i="8" s="1"/>
  <c r="T93" i="6"/>
  <c r="S93" i="6"/>
  <c r="P93" i="6"/>
  <c r="AA130" i="6"/>
  <c r="Z130" i="6"/>
  <c r="V130" i="6"/>
  <c r="J130" i="7" s="1"/>
  <c r="F120" i="8" s="1"/>
  <c r="T130" i="6"/>
  <c r="S130" i="6"/>
  <c r="P130" i="6"/>
  <c r="AA35" i="6"/>
  <c r="O35" i="7" s="1"/>
  <c r="Q35" i="7" s="1"/>
  <c r="Z35" i="6"/>
  <c r="AB35" i="6" s="1"/>
  <c r="V35" i="6"/>
  <c r="J35" i="7" s="1"/>
  <c r="F128" i="8" s="1"/>
  <c r="T35" i="6"/>
  <c r="S35" i="6"/>
  <c r="P35" i="6"/>
  <c r="AA120" i="6"/>
  <c r="Z120" i="6"/>
  <c r="V120" i="6"/>
  <c r="T120" i="6"/>
  <c r="S120" i="6"/>
  <c r="P120" i="6"/>
  <c r="AA125" i="6"/>
  <c r="Z125" i="6"/>
  <c r="V125" i="6"/>
  <c r="J125" i="7" s="1"/>
  <c r="F111" i="8" s="1"/>
  <c r="P125" i="6"/>
  <c r="T125" i="6"/>
  <c r="S125" i="6"/>
  <c r="AA193" i="6"/>
  <c r="AD193" i="6" s="1"/>
  <c r="Z193" i="6"/>
  <c r="V193" i="6"/>
  <c r="J193" i="7" s="1"/>
  <c r="T193" i="6"/>
  <c r="S193" i="6"/>
  <c r="P193" i="6"/>
  <c r="AA191" i="6"/>
  <c r="Z191" i="6"/>
  <c r="V191" i="6"/>
  <c r="J191" i="7" s="1"/>
  <c r="F61" i="8" s="1"/>
  <c r="T191" i="6"/>
  <c r="S191" i="6"/>
  <c r="P191" i="6"/>
  <c r="AA227" i="6"/>
  <c r="Z227" i="6"/>
  <c r="V227" i="6"/>
  <c r="J227" i="7" s="1"/>
  <c r="F101" i="8" s="1"/>
  <c r="T227" i="6"/>
  <c r="S227" i="6"/>
  <c r="P227" i="6"/>
  <c r="AA23" i="6"/>
  <c r="Z23" i="6"/>
  <c r="V23" i="6"/>
  <c r="J23" i="7" s="1"/>
  <c r="F114" i="8" s="1"/>
  <c r="T23" i="6"/>
  <c r="S23" i="6"/>
  <c r="P23" i="6"/>
  <c r="AA10" i="6"/>
  <c r="Z10" i="6"/>
  <c r="V10" i="6"/>
  <c r="J10" i="7" s="1"/>
  <c r="F94" i="8" s="1"/>
  <c r="T10" i="6"/>
  <c r="S10" i="6"/>
  <c r="P10" i="6"/>
  <c r="AA165" i="6"/>
  <c r="Z165" i="6"/>
  <c r="V165" i="6"/>
  <c r="J165" i="7" s="1"/>
  <c r="F54" i="8" s="1"/>
  <c r="T165" i="6"/>
  <c r="S165" i="6"/>
  <c r="P165" i="6"/>
  <c r="AA164" i="6"/>
  <c r="O164" i="7" s="1"/>
  <c r="Z164" i="6"/>
  <c r="V164" i="6"/>
  <c r="J164" i="7" s="1"/>
  <c r="F43" i="8" s="1"/>
  <c r="T164" i="6"/>
  <c r="S164" i="6"/>
  <c r="P164" i="6"/>
  <c r="AA234" i="6"/>
  <c r="O234" i="7" s="1"/>
  <c r="Z234" i="6"/>
  <c r="V234" i="6"/>
  <c r="J234" i="7" s="1"/>
  <c r="F69" i="8" s="1"/>
  <c r="T234" i="6"/>
  <c r="S234" i="6"/>
  <c r="P234" i="6"/>
  <c r="AA25" i="6"/>
  <c r="O25" i="7" s="1"/>
  <c r="Z25" i="6"/>
  <c r="V25" i="6"/>
  <c r="J25" i="7" s="1"/>
  <c r="F77" i="8" s="1"/>
  <c r="T25" i="6"/>
  <c r="S25" i="6"/>
  <c r="P25" i="6"/>
  <c r="AA217" i="6"/>
  <c r="AD217" i="6" s="1"/>
  <c r="Z217" i="6"/>
  <c r="V217" i="6"/>
  <c r="J217" i="7" s="1"/>
  <c r="F107" i="8" s="1"/>
  <c r="T217" i="6"/>
  <c r="S217" i="6"/>
  <c r="P217" i="6"/>
  <c r="AA178" i="6"/>
  <c r="Z178" i="6"/>
  <c r="V178" i="6"/>
  <c r="J178" i="7" s="1"/>
  <c r="F24" i="8" s="1"/>
  <c r="T178" i="6"/>
  <c r="S178" i="6"/>
  <c r="P178" i="6"/>
  <c r="AA230" i="6"/>
  <c r="AD230" i="6" s="1"/>
  <c r="Z230" i="6"/>
  <c r="V230" i="6"/>
  <c r="J230" i="7" s="1"/>
  <c r="F109" i="8" s="1"/>
  <c r="T230" i="6"/>
  <c r="S230" i="6"/>
  <c r="P230" i="6"/>
  <c r="AA123" i="6"/>
  <c r="O123" i="7" s="1"/>
  <c r="Z123" i="6"/>
  <c r="AB123" i="6" s="1"/>
  <c r="V123" i="6"/>
  <c r="J123" i="7" s="1"/>
  <c r="F58" i="8" s="1"/>
  <c r="T123" i="6"/>
  <c r="S123" i="6"/>
  <c r="P123" i="6"/>
  <c r="AA175" i="6"/>
  <c r="Z175" i="6"/>
  <c r="V175" i="6"/>
  <c r="J175" i="7" s="1"/>
  <c r="F84" i="8" s="1"/>
  <c r="T175" i="6"/>
  <c r="S175" i="6"/>
  <c r="P175" i="6"/>
  <c r="AA124" i="6"/>
  <c r="O124" i="7" s="1"/>
  <c r="Z124" i="6"/>
  <c r="V124" i="6"/>
  <c r="J124" i="7" s="1"/>
  <c r="T124" i="6"/>
  <c r="S124" i="6"/>
  <c r="P124" i="6"/>
  <c r="AA115" i="6"/>
  <c r="Z115" i="6"/>
  <c r="V115" i="6"/>
  <c r="T115" i="6"/>
  <c r="S115" i="6"/>
  <c r="P115" i="6"/>
  <c r="AA189" i="6"/>
  <c r="AD189" i="6" s="1"/>
  <c r="Z189" i="6"/>
  <c r="AB189" i="6" s="1"/>
  <c r="V189" i="6"/>
  <c r="J189" i="7" s="1"/>
  <c r="F100" i="8" s="1"/>
  <c r="T189" i="6"/>
  <c r="S189" i="6"/>
  <c r="P189" i="6"/>
  <c r="AA86" i="6"/>
  <c r="Z86" i="6"/>
  <c r="AB86" i="6" s="1"/>
  <c r="V86" i="6"/>
  <c r="J86" i="7" s="1"/>
  <c r="F29" i="8" s="1"/>
  <c r="T86" i="6"/>
  <c r="S86" i="6"/>
  <c r="P86" i="6"/>
  <c r="AA183" i="6"/>
  <c r="Z183" i="6"/>
  <c r="V183" i="6"/>
  <c r="J183" i="7" s="1"/>
  <c r="T183" i="6"/>
  <c r="S183" i="6"/>
  <c r="P183" i="6"/>
  <c r="AA205" i="6"/>
  <c r="AD205" i="6" s="1"/>
  <c r="Z205" i="6"/>
  <c r="AB205" i="6" s="1"/>
  <c r="V205" i="6"/>
  <c r="J205" i="7" s="1"/>
  <c r="T205" i="6"/>
  <c r="S205" i="6"/>
  <c r="P205" i="6"/>
  <c r="AA128" i="6"/>
  <c r="O128" i="7" s="1"/>
  <c r="Z128" i="6"/>
  <c r="V128" i="6"/>
  <c r="T128" i="6"/>
  <c r="S128" i="6"/>
  <c r="P128" i="6"/>
  <c r="AA163" i="6"/>
  <c r="AD163" i="6" s="1"/>
  <c r="Z163" i="6"/>
  <c r="V163" i="6"/>
  <c r="J163" i="7" s="1"/>
  <c r="F11" i="8" s="1"/>
  <c r="T163" i="6"/>
  <c r="S163" i="6"/>
  <c r="P163" i="6"/>
  <c r="AA91" i="6"/>
  <c r="O91" i="7" s="1"/>
  <c r="Q91" i="7" s="1"/>
  <c r="Z91" i="6"/>
  <c r="V91" i="6"/>
  <c r="J91" i="7" s="1"/>
  <c r="F19" i="8" s="1"/>
  <c r="T91" i="6"/>
  <c r="S91" i="6"/>
  <c r="P91" i="6"/>
  <c r="AA162" i="6"/>
  <c r="AC162" i="6" s="1"/>
  <c r="Z162" i="6"/>
  <c r="V162" i="6"/>
  <c r="J162" i="7" s="1"/>
  <c r="F28" i="8" s="1"/>
  <c r="T162" i="6"/>
  <c r="S162" i="6"/>
  <c r="P162" i="6"/>
  <c r="AA24" i="6"/>
  <c r="O24" i="7" s="1"/>
  <c r="Z24" i="6"/>
  <c r="V24" i="6"/>
  <c r="J24" i="7" s="1"/>
  <c r="F88" i="8" s="1"/>
  <c r="T24" i="6"/>
  <c r="S24" i="6"/>
  <c r="P24" i="6"/>
  <c r="AA192" i="6"/>
  <c r="AD192" i="6" s="1"/>
  <c r="Z192" i="6"/>
  <c r="V192" i="6"/>
  <c r="J192" i="7" s="1"/>
  <c r="F79" i="8" s="1"/>
  <c r="T192" i="6"/>
  <c r="S192" i="6"/>
  <c r="P192" i="6"/>
  <c r="AA73" i="6"/>
  <c r="Z73" i="6"/>
  <c r="V73" i="6"/>
  <c r="J73" i="7" s="1"/>
  <c r="F76" i="8" s="1"/>
  <c r="P73" i="6"/>
  <c r="T73" i="6"/>
  <c r="S73" i="6"/>
  <c r="AA156" i="6"/>
  <c r="Z156" i="6"/>
  <c r="AB156" i="6" s="1"/>
  <c r="V156" i="6"/>
  <c r="P156" i="6"/>
  <c r="T156" i="6"/>
  <c r="S156" i="6"/>
  <c r="AA150" i="6"/>
  <c r="O150" i="7" s="1"/>
  <c r="Z150" i="6"/>
  <c r="V150" i="6"/>
  <c r="T150" i="6"/>
  <c r="S150" i="6"/>
  <c r="P150" i="6"/>
  <c r="AA215" i="6"/>
  <c r="O215" i="7" s="1"/>
  <c r="Z215" i="6"/>
  <c r="V215" i="6"/>
  <c r="J215" i="7" s="1"/>
  <c r="F15" i="8" s="1"/>
  <c r="T215" i="6"/>
  <c r="S215" i="6"/>
  <c r="P215" i="6"/>
  <c r="AA55" i="6"/>
  <c r="O55" i="7" s="1"/>
  <c r="Z55" i="6"/>
  <c r="V55" i="6"/>
  <c r="J55" i="7" s="1"/>
  <c r="F210" i="8" s="1"/>
  <c r="T55" i="6"/>
  <c r="S55" i="6"/>
  <c r="P55" i="6"/>
  <c r="AA216" i="6"/>
  <c r="O216" i="7" s="1"/>
  <c r="R216" i="7" s="1"/>
  <c r="Z216" i="6"/>
  <c r="V216" i="6"/>
  <c r="T216" i="6"/>
  <c r="S216" i="6"/>
  <c r="P216" i="6"/>
  <c r="AA168" i="6"/>
  <c r="O168" i="7" s="1"/>
  <c r="R168" i="7" s="1"/>
  <c r="Z168" i="6"/>
  <c r="V168" i="6"/>
  <c r="J168" i="7" s="1"/>
  <c r="T168" i="6"/>
  <c r="S168" i="6"/>
  <c r="P168" i="6"/>
  <c r="AA158" i="6"/>
  <c r="O158" i="7" s="1"/>
  <c r="Q158" i="7" s="1"/>
  <c r="Z158" i="6"/>
  <c r="AB158" i="6" s="1"/>
  <c r="V158" i="6"/>
  <c r="T158" i="6"/>
  <c r="S158" i="6"/>
  <c r="P158" i="6"/>
  <c r="AA154" i="6"/>
  <c r="O154" i="7" s="1"/>
  <c r="Z154" i="6"/>
  <c r="AB154" i="6" s="1"/>
  <c r="V154" i="6"/>
  <c r="J154" i="7" s="1"/>
  <c r="F110" i="8" s="1"/>
  <c r="T154" i="6"/>
  <c r="S154" i="6"/>
  <c r="P154" i="6"/>
  <c r="AA5" i="6"/>
  <c r="O5" i="7" s="1"/>
  <c r="Z5" i="6"/>
  <c r="V5" i="6"/>
  <c r="T5" i="6"/>
  <c r="S5" i="6"/>
  <c r="P5" i="6"/>
  <c r="AA9" i="6"/>
  <c r="O9" i="7" s="1"/>
  <c r="R9" i="7" s="1"/>
  <c r="Z9" i="6"/>
  <c r="V9" i="6"/>
  <c r="T9" i="6"/>
  <c r="S9" i="6"/>
  <c r="P9" i="6"/>
  <c r="AA138" i="6"/>
  <c r="Z138" i="6"/>
  <c r="V138" i="6"/>
  <c r="J138" i="7" s="1"/>
  <c r="F22" i="8" s="1"/>
  <c r="T138" i="6"/>
  <c r="S138" i="6"/>
  <c r="P138" i="6"/>
  <c r="AA236" i="6"/>
  <c r="O236" i="7" s="1"/>
  <c r="Z236" i="6"/>
  <c r="V236" i="6"/>
  <c r="J236" i="7" s="1"/>
  <c r="T236" i="6"/>
  <c r="S236" i="6"/>
  <c r="P236" i="6"/>
  <c r="AA231" i="6"/>
  <c r="O231" i="7" s="1"/>
  <c r="Z231" i="6"/>
  <c r="V231" i="6"/>
  <c r="T231" i="6"/>
  <c r="S231" i="6"/>
  <c r="P231" i="6"/>
  <c r="AA63" i="6"/>
  <c r="Z63" i="6"/>
  <c r="V63" i="6"/>
  <c r="J63" i="7" s="1"/>
  <c r="F212" i="8" s="1"/>
  <c r="T63" i="6"/>
  <c r="S63" i="6"/>
  <c r="P63" i="6"/>
  <c r="AA116" i="6"/>
  <c r="O116" i="7" s="1"/>
  <c r="Z116" i="6"/>
  <c r="V116" i="6"/>
  <c r="J116" i="7" s="1"/>
  <c r="F106" i="8" s="1"/>
  <c r="T116" i="6"/>
  <c r="S116" i="6"/>
  <c r="P116" i="6"/>
  <c r="AA228" i="6"/>
  <c r="O228" i="7" s="1"/>
  <c r="R228" i="7" s="1"/>
  <c r="Z228" i="6"/>
  <c r="V228" i="6"/>
  <c r="J228" i="7" s="1"/>
  <c r="F193" i="8" s="1"/>
  <c r="T228" i="6"/>
  <c r="S228" i="6"/>
  <c r="P228" i="6"/>
  <c r="AA142" i="6"/>
  <c r="AC142" i="6" s="1"/>
  <c r="Z142" i="6"/>
  <c r="V142" i="6"/>
  <c r="J142" i="7" s="1"/>
  <c r="F93" i="8" s="1"/>
  <c r="T142" i="6"/>
  <c r="S142" i="6"/>
  <c r="P142" i="6"/>
  <c r="AA56" i="6"/>
  <c r="O56" i="7" s="1"/>
  <c r="Z56" i="6"/>
  <c r="V56" i="6"/>
  <c r="J56" i="7" s="1"/>
  <c r="F82" i="8" s="1"/>
  <c r="T56" i="6"/>
  <c r="S56" i="6"/>
  <c r="P56" i="6"/>
  <c r="AA177" i="6"/>
  <c r="O177" i="7" s="1"/>
  <c r="Z177" i="6"/>
  <c r="V177" i="6"/>
  <c r="T177" i="6"/>
  <c r="S177" i="6"/>
  <c r="P177" i="6"/>
  <c r="AA151" i="6"/>
  <c r="O151" i="7" s="1"/>
  <c r="R151" i="7" s="1"/>
  <c r="Z151" i="6"/>
  <c r="V151" i="6"/>
  <c r="J151" i="7" s="1"/>
  <c r="F121" i="8" s="1"/>
  <c r="T151" i="6"/>
  <c r="S151" i="6"/>
  <c r="P151" i="6"/>
  <c r="AA149" i="6"/>
  <c r="O149" i="7" s="1"/>
  <c r="Z149" i="6"/>
  <c r="V149" i="6"/>
  <c r="J149" i="7" s="1"/>
  <c r="F66" i="8" s="1"/>
  <c r="T149" i="6"/>
  <c r="S149" i="6"/>
  <c r="P149" i="6"/>
  <c r="AA180" i="6"/>
  <c r="O180" i="7" s="1"/>
  <c r="Q180" i="7" s="1"/>
  <c r="Z180" i="6"/>
  <c r="V180" i="6"/>
  <c r="J180" i="7" s="1"/>
  <c r="F38" i="8" s="1"/>
  <c r="T180" i="6"/>
  <c r="S180" i="6"/>
  <c r="P180" i="6"/>
  <c r="AA137" i="6"/>
  <c r="O137" i="7" s="1"/>
  <c r="R137" i="7" s="1"/>
  <c r="Z137" i="6"/>
  <c r="V137" i="6"/>
  <c r="J137" i="7" s="1"/>
  <c r="F16" i="8" s="1"/>
  <c r="T137" i="6"/>
  <c r="S137" i="6"/>
  <c r="P137" i="6"/>
  <c r="AA148" i="6"/>
  <c r="O148" i="7" s="1"/>
  <c r="Z148" i="6"/>
  <c r="AB148" i="6" s="1"/>
  <c r="V148" i="6"/>
  <c r="T148" i="6"/>
  <c r="S148" i="6"/>
  <c r="P148" i="6"/>
  <c r="AA96" i="6"/>
  <c r="O96" i="7" s="1"/>
  <c r="Z96" i="6"/>
  <c r="V96" i="6"/>
  <c r="J96" i="7" s="1"/>
  <c r="T96" i="6"/>
  <c r="S96" i="6"/>
  <c r="P96" i="6"/>
  <c r="AA134" i="6"/>
  <c r="O134" i="7" s="1"/>
  <c r="Q134" i="7" s="1"/>
  <c r="Z134" i="6"/>
  <c r="V134" i="6"/>
  <c r="J134" i="7" s="1"/>
  <c r="F42" i="8" s="1"/>
  <c r="T134" i="6"/>
  <c r="S134" i="6"/>
  <c r="P134" i="6"/>
  <c r="AA119" i="6"/>
  <c r="O119" i="7" s="1"/>
  <c r="Z119" i="6"/>
  <c r="V119" i="6"/>
  <c r="J119" i="7" s="1"/>
  <c r="F97" i="8" s="1"/>
  <c r="T119" i="6"/>
  <c r="S119" i="6"/>
  <c r="P119" i="6"/>
  <c r="AA107" i="6"/>
  <c r="O107" i="7" s="1"/>
  <c r="R107" i="7" s="1"/>
  <c r="Z107" i="6"/>
  <c r="V107" i="6"/>
  <c r="J107" i="7" s="1"/>
  <c r="F104" i="8" s="1"/>
  <c r="T107" i="6"/>
  <c r="S107" i="6"/>
  <c r="P107" i="6"/>
  <c r="AA78" i="6"/>
  <c r="O78" i="7" s="1"/>
  <c r="R78" i="7" s="1"/>
  <c r="Z78" i="6"/>
  <c r="AB78" i="6" s="1"/>
  <c r="V78" i="6"/>
  <c r="W78" i="6" s="1"/>
  <c r="AJ78" i="6" s="1"/>
  <c r="T78" i="6"/>
  <c r="S78" i="6"/>
  <c r="P78" i="6"/>
  <c r="AA197" i="6"/>
  <c r="O197" i="7" s="1"/>
  <c r="Z197" i="6"/>
  <c r="V197" i="6"/>
  <c r="J197" i="7" s="1"/>
  <c r="F7" i="8" s="1"/>
  <c r="T197" i="6"/>
  <c r="S197" i="6"/>
  <c r="P197" i="6"/>
  <c r="AA166" i="6"/>
  <c r="O166" i="7" s="1"/>
  <c r="Z166" i="6"/>
  <c r="V166" i="6"/>
  <c r="J166" i="7" s="1"/>
  <c r="F148" i="8" s="1"/>
  <c r="T166" i="6"/>
  <c r="S166" i="6"/>
  <c r="P166" i="6"/>
  <c r="AA160" i="6"/>
  <c r="AC160" i="6" s="1"/>
  <c r="Z160" i="6"/>
  <c r="V160" i="6"/>
  <c r="J160" i="7" s="1"/>
  <c r="F30" i="8" s="1"/>
  <c r="T160" i="6"/>
  <c r="S160" i="6"/>
  <c r="P160" i="6"/>
  <c r="AA188" i="6"/>
  <c r="O188" i="7" s="1"/>
  <c r="Q188" i="7" s="1"/>
  <c r="Z188" i="6"/>
  <c r="V188" i="6"/>
  <c r="J188" i="7" s="1"/>
  <c r="F115" i="8" s="1"/>
  <c r="T188" i="6"/>
  <c r="S188" i="6"/>
  <c r="P188" i="6"/>
  <c r="AA209" i="6"/>
  <c r="AD209" i="6" s="1"/>
  <c r="Z209" i="6"/>
  <c r="AB209" i="6" s="1"/>
  <c r="V209" i="6"/>
  <c r="W209" i="6" s="1"/>
  <c r="AJ209" i="6" s="1"/>
  <c r="T209" i="6"/>
  <c r="S209" i="6"/>
  <c r="P209" i="6"/>
  <c r="AA70" i="6"/>
  <c r="O70" i="7" s="1"/>
  <c r="Z70" i="6"/>
  <c r="P70" i="6"/>
  <c r="V70" i="6"/>
  <c r="J70" i="7" s="1"/>
  <c r="F194" i="8" s="1"/>
  <c r="T70" i="6"/>
  <c r="S70" i="6"/>
  <c r="AA169" i="6"/>
  <c r="O169" i="7" s="1"/>
  <c r="R169" i="7" s="1"/>
  <c r="Z169" i="6"/>
  <c r="V169" i="6"/>
  <c r="J169" i="7" s="1"/>
  <c r="F13" i="8" s="1"/>
  <c r="T169" i="6"/>
  <c r="S169" i="6"/>
  <c r="P169" i="6"/>
  <c r="AA11" i="6"/>
  <c r="AC11" i="6" s="1"/>
  <c r="Z11" i="6"/>
  <c r="V11" i="6"/>
  <c r="J11" i="7" s="1"/>
  <c r="F208" i="8" s="1"/>
  <c r="T11" i="6"/>
  <c r="S11" i="6"/>
  <c r="P11" i="6"/>
  <c r="AA176" i="6"/>
  <c r="O176" i="7" s="1"/>
  <c r="Z176" i="6"/>
  <c r="V176" i="6"/>
  <c r="J176" i="7" s="1"/>
  <c r="F102" i="8" s="1"/>
  <c r="T176" i="6"/>
  <c r="S176" i="6"/>
  <c r="P176" i="6"/>
  <c r="AA97" i="6"/>
  <c r="P97" i="6"/>
  <c r="Z97" i="6"/>
  <c r="V97" i="6"/>
  <c r="J97" i="7" s="1"/>
  <c r="F23" i="8" s="1"/>
  <c r="T97" i="6"/>
  <c r="S97" i="6"/>
  <c r="AA229" i="6"/>
  <c r="O229" i="7" s="1"/>
  <c r="Z229" i="6"/>
  <c r="V229" i="6"/>
  <c r="J229" i="7" s="1"/>
  <c r="F60" i="8" s="1"/>
  <c r="T229" i="6"/>
  <c r="S229" i="6"/>
  <c r="P229" i="6"/>
  <c r="AA85" i="6"/>
  <c r="O85" i="7" s="1"/>
  <c r="Z85" i="6"/>
  <c r="V85" i="6"/>
  <c r="T85" i="6"/>
  <c r="S85" i="6"/>
  <c r="P85" i="6"/>
  <c r="AA87" i="6"/>
  <c r="AD87" i="6" s="1"/>
  <c r="Z87" i="6"/>
  <c r="V87" i="6"/>
  <c r="J87" i="7" s="1"/>
  <c r="F52" i="8" s="1"/>
  <c r="T87" i="6"/>
  <c r="S87" i="6"/>
  <c r="P87" i="6"/>
  <c r="AA89" i="6"/>
  <c r="O89" i="7" s="1"/>
  <c r="Z89" i="6"/>
  <c r="V89" i="6"/>
  <c r="J89" i="7" s="1"/>
  <c r="F122" i="8" s="1"/>
  <c r="T89" i="6"/>
  <c r="S89" i="6"/>
  <c r="P89" i="6"/>
  <c r="AA58" i="6"/>
  <c r="Z58" i="6"/>
  <c r="V58" i="6"/>
  <c r="J58" i="7" s="1"/>
  <c r="F169" i="8" s="1"/>
  <c r="T58" i="6"/>
  <c r="S58" i="6"/>
  <c r="P58" i="6"/>
  <c r="AA186" i="6"/>
  <c r="AD186" i="6" s="1"/>
  <c r="Z186" i="6"/>
  <c r="V186" i="6"/>
  <c r="J186" i="7" s="1"/>
  <c r="F123" i="8" s="1"/>
  <c r="T186" i="6"/>
  <c r="S186" i="6"/>
  <c r="P186" i="6"/>
  <c r="AA172" i="6"/>
  <c r="Z172" i="6"/>
  <c r="V172" i="6"/>
  <c r="J172" i="7" s="1"/>
  <c r="T172" i="6"/>
  <c r="S172" i="6"/>
  <c r="P172" i="6"/>
  <c r="AA68" i="6"/>
  <c r="O68" i="7" s="1"/>
  <c r="R68" i="7" s="1"/>
  <c r="Z68" i="6"/>
  <c r="V68" i="6"/>
  <c r="J68" i="7" s="1"/>
  <c r="F6" i="8" s="1"/>
  <c r="T68" i="6"/>
  <c r="S68" i="6"/>
  <c r="P68" i="6"/>
  <c r="AA232" i="6"/>
  <c r="AC232" i="6" s="1"/>
  <c r="Z232" i="6"/>
  <c r="V232" i="6"/>
  <c r="J232" i="7" s="1"/>
  <c r="F240" i="8" s="1"/>
  <c r="T232" i="6"/>
  <c r="S232" i="6"/>
  <c r="P232" i="6"/>
  <c r="AA185" i="6"/>
  <c r="O185" i="7" s="1"/>
  <c r="Z185" i="6"/>
  <c r="V185" i="6"/>
  <c r="J185" i="7" s="1"/>
  <c r="F49" i="8" s="1"/>
  <c r="T185" i="6"/>
  <c r="S185" i="6"/>
  <c r="P185" i="6"/>
  <c r="AA99" i="6"/>
  <c r="AC99" i="6" s="1"/>
  <c r="Z99" i="6"/>
  <c r="V99" i="6"/>
  <c r="J99" i="7" s="1"/>
  <c r="F183" i="8" s="1"/>
  <c r="T99" i="6"/>
  <c r="S99" i="6"/>
  <c r="P99" i="6"/>
  <c r="AA26" i="6"/>
  <c r="O26" i="7" s="1"/>
  <c r="Z26" i="6"/>
  <c r="V26" i="6"/>
  <c r="J26" i="7" s="1"/>
  <c r="F217" i="8" s="1"/>
  <c r="T26" i="6"/>
  <c r="S26" i="6"/>
  <c r="P26" i="6"/>
  <c r="AA179" i="6"/>
  <c r="AC179" i="6" s="1"/>
  <c r="Z179" i="6"/>
  <c r="V179" i="6"/>
  <c r="J179" i="7" s="1"/>
  <c r="F90" i="8" s="1"/>
  <c r="T179" i="6"/>
  <c r="S179" i="6"/>
  <c r="P179" i="6"/>
  <c r="AA59" i="6"/>
  <c r="AC59" i="6" s="1"/>
  <c r="Z59" i="6"/>
  <c r="AB59" i="6" s="1"/>
  <c r="V59" i="6"/>
  <c r="W59" i="6" s="1"/>
  <c r="AJ59" i="6" s="1"/>
  <c r="T59" i="6"/>
  <c r="S59" i="6"/>
  <c r="P59" i="6"/>
  <c r="AA223" i="6"/>
  <c r="O223" i="7" s="1"/>
  <c r="Z223" i="6"/>
  <c r="V223" i="6"/>
  <c r="J223" i="7" s="1"/>
  <c r="F36" i="8" s="1"/>
  <c r="T223" i="6"/>
  <c r="S223" i="6"/>
  <c r="P223" i="6"/>
  <c r="AA140" i="6"/>
  <c r="AC140" i="6" s="1"/>
  <c r="Z140" i="6"/>
  <c r="V140" i="6"/>
  <c r="J140" i="7" s="1"/>
  <c r="F116" i="8" s="1"/>
  <c r="T140" i="6"/>
  <c r="S140" i="6"/>
  <c r="P140" i="6"/>
  <c r="AA155" i="6"/>
  <c r="O155" i="7" s="1"/>
  <c r="Z155" i="6"/>
  <c r="AB155" i="6" s="1"/>
  <c r="V155" i="6"/>
  <c r="J155" i="7" s="1"/>
  <c r="F81" i="8" s="1"/>
  <c r="T155" i="6"/>
  <c r="S155" i="6"/>
  <c r="P155" i="6"/>
  <c r="AA143" i="6"/>
  <c r="O143" i="7" s="1"/>
  <c r="Z143" i="6"/>
  <c r="V143" i="6"/>
  <c r="J143" i="7" s="1"/>
  <c r="F65" i="8" s="1"/>
  <c r="T143" i="6"/>
  <c r="S143" i="6"/>
  <c r="P143" i="6"/>
  <c r="AA102" i="6"/>
  <c r="O102" i="7" s="1"/>
  <c r="Z102" i="6"/>
  <c r="V102" i="6"/>
  <c r="J102" i="7" s="1"/>
  <c r="F10" i="8" s="1"/>
  <c r="T102" i="6"/>
  <c r="S102" i="6"/>
  <c r="P102" i="6"/>
  <c r="AA237" i="6"/>
  <c r="Z237" i="6"/>
  <c r="AB237" i="6" s="1"/>
  <c r="V237" i="6"/>
  <c r="J237" i="7" s="1"/>
  <c r="L237" i="7" s="1"/>
  <c r="T237" i="6"/>
  <c r="S237" i="6"/>
  <c r="P237" i="6"/>
  <c r="AA114" i="6"/>
  <c r="O114" i="7" s="1"/>
  <c r="Z114" i="6"/>
  <c r="V114" i="6"/>
  <c r="J114" i="7" s="1"/>
  <c r="F14" i="8" s="1"/>
  <c r="T114" i="6"/>
  <c r="S114" i="6"/>
  <c r="P114" i="6"/>
  <c r="AA113" i="6"/>
  <c r="O113" i="7" s="1"/>
  <c r="Z113" i="6"/>
  <c r="V113" i="6"/>
  <c r="J113" i="7" s="1"/>
  <c r="F119" i="8" s="1"/>
  <c r="T113" i="6"/>
  <c r="S113" i="6"/>
  <c r="P113" i="6"/>
  <c r="AA207" i="6"/>
  <c r="O207" i="7" s="1"/>
  <c r="Q207" i="7" s="1"/>
  <c r="Z207" i="6"/>
  <c r="AB207" i="6" s="1"/>
  <c r="V207" i="6"/>
  <c r="J207" i="7" s="1"/>
  <c r="F230" i="8" s="1"/>
  <c r="T207" i="6"/>
  <c r="S207" i="6"/>
  <c r="P207" i="6"/>
  <c r="AA81" i="6"/>
  <c r="O81" i="7" s="1"/>
  <c r="Z81" i="6"/>
  <c r="V81" i="6"/>
  <c r="J81" i="7" s="1"/>
  <c r="F37" i="8" s="1"/>
  <c r="T81" i="6"/>
  <c r="S81" i="6"/>
  <c r="P81" i="6"/>
  <c r="AA90" i="6"/>
  <c r="O90" i="7" s="1"/>
  <c r="R90" i="7" s="1"/>
  <c r="Z90" i="6"/>
  <c r="V90" i="6"/>
  <c r="J90" i="7" s="1"/>
  <c r="F154" i="8" s="1"/>
  <c r="T90" i="6"/>
  <c r="S90" i="6"/>
  <c r="P90" i="6"/>
  <c r="AA200" i="6"/>
  <c r="O200" i="7" s="1"/>
  <c r="R200" i="7" s="1"/>
  <c r="Z200" i="6"/>
  <c r="AB200" i="6" s="1"/>
  <c r="V200" i="6"/>
  <c r="J200" i="7" s="1"/>
  <c r="F68" i="8" s="1"/>
  <c r="T200" i="6"/>
  <c r="S200" i="6"/>
  <c r="P200" i="6"/>
  <c r="AA167" i="6"/>
  <c r="O167" i="7" s="1"/>
  <c r="Z167" i="6"/>
  <c r="V167" i="6"/>
  <c r="T167" i="6"/>
  <c r="S167" i="6"/>
  <c r="P167" i="6"/>
  <c r="AA170" i="6"/>
  <c r="O170" i="7" s="1"/>
  <c r="R170" i="7" s="1"/>
  <c r="Z170" i="6"/>
  <c r="V170" i="6"/>
  <c r="T170" i="6"/>
  <c r="S170" i="6"/>
  <c r="P170" i="6"/>
  <c r="AA152" i="6"/>
  <c r="O152" i="7" s="1"/>
  <c r="Z152" i="6"/>
  <c r="V152" i="6"/>
  <c r="J152" i="7" s="1"/>
  <c r="F135" i="8" s="1"/>
  <c r="T152" i="6"/>
  <c r="S152" i="6"/>
  <c r="P152" i="6"/>
  <c r="AA218" i="6"/>
  <c r="O218" i="7" s="1"/>
  <c r="Z218" i="6"/>
  <c r="V218" i="6"/>
  <c r="T218" i="6"/>
  <c r="S218" i="6"/>
  <c r="P218" i="6"/>
  <c r="AA174" i="6"/>
  <c r="O174" i="7" s="1"/>
  <c r="R174" i="7" s="1"/>
  <c r="Z174" i="6"/>
  <c r="V174" i="6"/>
  <c r="T174" i="6"/>
  <c r="S174" i="6"/>
  <c r="P174" i="6"/>
  <c r="AA233" i="6"/>
  <c r="O233" i="7" s="1"/>
  <c r="R233" i="7" s="1"/>
  <c r="Z233" i="6"/>
  <c r="V233" i="6"/>
  <c r="J233" i="7" s="1"/>
  <c r="F96" i="8" s="1"/>
  <c r="T233" i="6"/>
  <c r="S233" i="6"/>
  <c r="P233" i="6"/>
  <c r="AA171" i="6"/>
  <c r="O171" i="7" s="1"/>
  <c r="Z171" i="6"/>
  <c r="V171" i="6"/>
  <c r="J171" i="7" s="1"/>
  <c r="F71" i="8" s="1"/>
  <c r="T171" i="6"/>
  <c r="S171" i="6"/>
  <c r="P171" i="6"/>
  <c r="AA187" i="6"/>
  <c r="O187" i="7" s="1"/>
  <c r="Z187" i="6"/>
  <c r="V187" i="6"/>
  <c r="T187" i="6"/>
  <c r="S187" i="6"/>
  <c r="P187" i="6"/>
  <c r="AA173" i="6"/>
  <c r="O173" i="7" s="1"/>
  <c r="Z173" i="6"/>
  <c r="V173" i="6"/>
  <c r="T173" i="6"/>
  <c r="S173" i="6"/>
  <c r="P173" i="6"/>
  <c r="AA184" i="6"/>
  <c r="O184" i="7" s="1"/>
  <c r="Z184" i="6"/>
  <c r="V184" i="6"/>
  <c r="T184" i="6"/>
  <c r="S184" i="6"/>
  <c r="P184" i="6"/>
  <c r="AA161" i="6"/>
  <c r="O161" i="7" s="1"/>
  <c r="Z161" i="6"/>
  <c r="V161" i="6"/>
  <c r="W161" i="6" s="1"/>
  <c r="AJ161" i="6" s="1"/>
  <c r="T161" i="6"/>
  <c r="S161" i="6"/>
  <c r="P161" i="6"/>
  <c r="AA69" i="6"/>
  <c r="P69" i="6"/>
  <c r="Z69" i="6"/>
  <c r="V69" i="6"/>
  <c r="J69" i="7" s="1"/>
  <c r="F57" i="8" s="1"/>
  <c r="T69" i="6"/>
  <c r="S69" i="6"/>
  <c r="AA153" i="6"/>
  <c r="O153" i="7" s="1"/>
  <c r="R153" i="7" s="1"/>
  <c r="Z153" i="6"/>
  <c r="V153" i="6"/>
  <c r="J153" i="7" s="1"/>
  <c r="F50" i="8" s="1"/>
  <c r="T153" i="6"/>
  <c r="S153" i="6"/>
  <c r="P153" i="6"/>
  <c r="AA214" i="6"/>
  <c r="AC214" i="6" s="1"/>
  <c r="Z214" i="6"/>
  <c r="AB214" i="6" s="1"/>
  <c r="V214" i="6"/>
  <c r="W214" i="6" s="1"/>
  <c r="AJ214" i="6" s="1"/>
  <c r="T214" i="6"/>
  <c r="S214" i="6"/>
  <c r="P214" i="6"/>
  <c r="AA182" i="6"/>
  <c r="AD182" i="6" s="1"/>
  <c r="Z182" i="6"/>
  <c r="V182" i="6"/>
  <c r="J182" i="7" s="1"/>
  <c r="F87" i="8" s="1"/>
  <c r="T182" i="6"/>
  <c r="S182" i="6"/>
  <c r="P182" i="6"/>
  <c r="AA80" i="6"/>
  <c r="AD80" i="6" s="1"/>
  <c r="Z80" i="6"/>
  <c r="V80" i="6"/>
  <c r="AE80" i="6" s="1"/>
  <c r="AG80" i="6" s="1"/>
  <c r="S80" i="7" s="1"/>
  <c r="T80" i="6"/>
  <c r="S80" i="6"/>
  <c r="P80" i="6"/>
  <c r="AA79" i="6"/>
  <c r="O79" i="7" s="1"/>
  <c r="Z79" i="6"/>
  <c r="V79" i="6"/>
  <c r="T79" i="6"/>
  <c r="S79" i="6"/>
  <c r="P79" i="6"/>
  <c r="AA103" i="6"/>
  <c r="O103" i="7" s="1"/>
  <c r="Q103" i="7" s="1"/>
  <c r="Z103" i="6"/>
  <c r="AB103" i="6" s="1"/>
  <c r="V103" i="6"/>
  <c r="J103" i="7" s="1"/>
  <c r="F179" i="8" s="1"/>
  <c r="T103" i="6"/>
  <c r="S103" i="6"/>
  <c r="P103" i="6"/>
  <c r="AA147" i="6"/>
  <c r="O147" i="7" s="1"/>
  <c r="Z147" i="6"/>
  <c r="V147" i="6"/>
  <c r="J147" i="7" s="1"/>
  <c r="F17" i="8" s="1"/>
  <c r="T147" i="6"/>
  <c r="S147" i="6"/>
  <c r="P147" i="6"/>
  <c r="AA62" i="6"/>
  <c r="Z62" i="6"/>
  <c r="V62" i="6"/>
  <c r="J62" i="7" s="1"/>
  <c r="F74" i="8" s="1"/>
  <c r="T62" i="6"/>
  <c r="S62" i="6"/>
  <c r="P62" i="6"/>
  <c r="AA226" i="6"/>
  <c r="O226" i="7" s="1"/>
  <c r="Q226" i="7" s="1"/>
  <c r="Z226" i="6"/>
  <c r="V226" i="6"/>
  <c r="J226" i="7" s="1"/>
  <c r="F89" i="8" s="1"/>
  <c r="T226" i="6"/>
  <c r="S226" i="6"/>
  <c r="P226" i="6"/>
  <c r="AA202" i="6"/>
  <c r="O202" i="7" s="1"/>
  <c r="Z202" i="6"/>
  <c r="AB202" i="6" s="1"/>
  <c r="V202" i="6"/>
  <c r="J202" i="7" s="1"/>
  <c r="F64" i="8" s="1"/>
  <c r="T202" i="6"/>
  <c r="S202" i="6"/>
  <c r="P202" i="6"/>
  <c r="AA238" i="6"/>
  <c r="Z238" i="6"/>
  <c r="AB238" i="6" s="1"/>
  <c r="V238" i="6"/>
  <c r="J238" i="7" s="1"/>
  <c r="T238" i="6"/>
  <c r="S238" i="6"/>
  <c r="P238" i="6"/>
  <c r="AA204" i="6"/>
  <c r="O204" i="7" s="1"/>
  <c r="Z204" i="6"/>
  <c r="AB204" i="6" s="1"/>
  <c r="V204" i="6"/>
  <c r="J204" i="7" s="1"/>
  <c r="F229" i="8" s="1"/>
  <c r="T204" i="6"/>
  <c r="S204" i="6"/>
  <c r="P204" i="6"/>
  <c r="AA75" i="6"/>
  <c r="O75" i="7" s="1"/>
  <c r="P75" i="6"/>
  <c r="Z75" i="6"/>
  <c r="V75" i="6"/>
  <c r="J75" i="7" s="1"/>
  <c r="F33" i="8" s="1"/>
  <c r="T75" i="6"/>
  <c r="S75" i="6"/>
  <c r="AA157" i="6"/>
  <c r="O157" i="7" s="1"/>
  <c r="Z157" i="6"/>
  <c r="AB157" i="6" s="1"/>
  <c r="V157" i="6"/>
  <c r="J157" i="7" s="1"/>
  <c r="F168" i="8" s="1"/>
  <c r="T157" i="6"/>
  <c r="S157" i="6"/>
  <c r="P157" i="6"/>
  <c r="AA92" i="6"/>
  <c r="AC92" i="6" s="1"/>
  <c r="Z92" i="6"/>
  <c r="V92" i="6"/>
  <c r="J92" i="7" s="1"/>
  <c r="F161" i="8" s="1"/>
  <c r="T92" i="6"/>
  <c r="S92" i="6"/>
  <c r="P92" i="6"/>
  <c r="AA88" i="6"/>
  <c r="O88" i="7" s="1"/>
  <c r="Z88" i="6"/>
  <c r="V88" i="6"/>
  <c r="J88" i="7" s="1"/>
  <c r="F31" i="8" s="1"/>
  <c r="T88" i="6"/>
  <c r="S88" i="6"/>
  <c r="P88" i="6"/>
  <c r="AA7" i="6"/>
  <c r="O7" i="7" s="1"/>
  <c r="Z7" i="6"/>
  <c r="V7" i="6"/>
  <c r="J7" i="7" s="1"/>
  <c r="F215" i="8" s="1"/>
  <c r="T7" i="6"/>
  <c r="S7" i="6"/>
  <c r="P7" i="6"/>
  <c r="AA135" i="6"/>
  <c r="O135" i="7" s="1"/>
  <c r="Z135" i="6"/>
  <c r="V135" i="6"/>
  <c r="J135" i="7" s="1"/>
  <c r="F4" i="8" s="1"/>
  <c r="T135" i="6"/>
  <c r="S135" i="6"/>
  <c r="P135" i="6"/>
  <c r="AA224" i="6"/>
  <c r="O224" i="7" s="1"/>
  <c r="Z224" i="6"/>
  <c r="AB224" i="6" s="1"/>
  <c r="V224" i="6"/>
  <c r="T224" i="6"/>
  <c r="S224" i="6"/>
  <c r="P224" i="6"/>
  <c r="AA94" i="6"/>
  <c r="O94" i="7" s="1"/>
  <c r="Q94" i="7" s="1"/>
  <c r="Z94" i="6"/>
  <c r="V94" i="6"/>
  <c r="J94" i="7" s="1"/>
  <c r="T94" i="6"/>
  <c r="S94" i="6"/>
  <c r="P94" i="6"/>
  <c r="AA139" i="6"/>
  <c r="O139" i="7" s="1"/>
  <c r="R139" i="7" s="1"/>
  <c r="Z139" i="6"/>
  <c r="V139" i="6"/>
  <c r="J139" i="7" s="1"/>
  <c r="F27" i="8" s="1"/>
  <c r="T139" i="6"/>
  <c r="S139" i="6"/>
  <c r="P139" i="6"/>
  <c r="AA17" i="6"/>
  <c r="O17" i="7" s="1"/>
  <c r="Z17" i="6"/>
  <c r="V17" i="6"/>
  <c r="J17" i="7" s="1"/>
  <c r="F25" i="8" s="1"/>
  <c r="T17" i="6"/>
  <c r="S17" i="6"/>
  <c r="P17" i="6"/>
  <c r="AA57" i="6"/>
  <c r="O57" i="7" s="1"/>
  <c r="Z57" i="6"/>
  <c r="V57" i="6"/>
  <c r="J57" i="7" s="1"/>
  <c r="F83" i="8" s="1"/>
  <c r="T57" i="6"/>
  <c r="S57" i="6"/>
  <c r="P57" i="6"/>
  <c r="AA8" i="6"/>
  <c r="O8" i="7" s="1"/>
  <c r="R8" i="7" s="1"/>
  <c r="Z8" i="6"/>
  <c r="V8" i="6"/>
  <c r="J8" i="7" s="1"/>
  <c r="F47" i="8" s="1"/>
  <c r="T8" i="6"/>
  <c r="S8" i="6"/>
  <c r="P8" i="6"/>
  <c r="AA83" i="6"/>
  <c r="O83" i="7" s="1"/>
  <c r="R83" i="7" s="1"/>
  <c r="Z83" i="6"/>
  <c r="V83" i="6"/>
  <c r="J83" i="7" s="1"/>
  <c r="F20" i="8" s="1"/>
  <c r="T83" i="6"/>
  <c r="S83" i="6"/>
  <c r="P83" i="6"/>
  <c r="AA95" i="6"/>
  <c r="O95" i="7" s="1"/>
  <c r="Z95" i="6"/>
  <c r="V95" i="6"/>
  <c r="J95" i="7" s="1"/>
  <c r="F45" i="8" s="1"/>
  <c r="T95" i="6"/>
  <c r="S95" i="6"/>
  <c r="P95" i="6"/>
  <c r="AA131" i="6"/>
  <c r="O131" i="7" s="1"/>
  <c r="R131" i="7" s="1"/>
  <c r="Z131" i="6"/>
  <c r="V131" i="6"/>
  <c r="J131" i="7" s="1"/>
  <c r="F46" i="8" s="1"/>
  <c r="T131" i="6"/>
  <c r="S131" i="6"/>
  <c r="P131" i="6"/>
  <c r="AA106" i="6"/>
  <c r="Z106" i="6"/>
  <c r="V106" i="6"/>
  <c r="J106" i="7" s="1"/>
  <c r="F41" i="8" s="1"/>
  <c r="T106" i="6"/>
  <c r="S106" i="6"/>
  <c r="P106" i="6"/>
  <c r="AA109" i="6"/>
  <c r="O109" i="7" s="1"/>
  <c r="Z109" i="6"/>
  <c r="V109" i="6"/>
  <c r="J109" i="7" s="1"/>
  <c r="F91" i="8" s="1"/>
  <c r="T109" i="6"/>
  <c r="S109" i="6"/>
  <c r="P109" i="6"/>
  <c r="AA41" i="6"/>
  <c r="O41" i="7" s="1"/>
  <c r="Z41" i="6"/>
  <c r="P41" i="6"/>
  <c r="V41" i="6"/>
  <c r="J41" i="7" s="1"/>
  <c r="F177" i="8" s="1"/>
  <c r="T41" i="6"/>
  <c r="S41" i="6"/>
  <c r="AA66" i="6"/>
  <c r="AC66" i="6" s="1"/>
  <c r="Z66" i="6"/>
  <c r="AB66" i="6" s="1"/>
  <c r="V66" i="6"/>
  <c r="W66" i="6" s="1"/>
  <c r="AJ66" i="6" s="1"/>
  <c r="T66" i="6"/>
  <c r="S66" i="6"/>
  <c r="P66" i="6"/>
  <c r="M30" i="7" a="1"/>
  <c r="M30" i="7" s="1"/>
  <c r="B131" i="7"/>
  <c r="A202" i="8"/>
  <c r="A6" i="8"/>
  <c r="A26" i="8"/>
  <c r="A71" i="8"/>
  <c r="A180" i="8"/>
  <c r="A183" i="8"/>
  <c r="A51" i="8"/>
  <c r="A54" i="8"/>
  <c r="A40" i="8"/>
  <c r="D83" i="7"/>
  <c r="E83" i="7" s="1"/>
  <c r="A10" i="8"/>
  <c r="A72" i="8"/>
  <c r="A229" i="8"/>
  <c r="A125" i="8"/>
  <c r="B78" i="7"/>
  <c r="B191" i="8"/>
  <c r="M114" i="7" a="1"/>
  <c r="M114" i="7" s="1"/>
  <c r="K179" i="6"/>
  <c r="G179" i="7" s="1"/>
  <c r="K188" i="6"/>
  <c r="G188" i="7" s="1"/>
  <c r="K220" i="6"/>
  <c r="G220" i="7" s="1"/>
  <c r="K171" i="6"/>
  <c r="G171" i="7" s="1"/>
  <c r="K211" i="6"/>
  <c r="G211" i="7" s="1"/>
  <c r="K234" i="6"/>
  <c r="G234" i="7" s="1"/>
  <c r="K198" i="6"/>
  <c r="G198" i="7" s="1"/>
  <c r="D40" i="7"/>
  <c r="E40" i="7" s="1"/>
  <c r="D25" i="7"/>
  <c r="E25" i="7" s="1"/>
  <c r="D130" i="7"/>
  <c r="E130" i="7" s="1"/>
  <c r="K142" i="6"/>
  <c r="G142" i="7" s="1"/>
  <c r="K117" i="6"/>
  <c r="G117" i="7" s="1"/>
  <c r="D81" i="7"/>
  <c r="E81" i="7" s="1"/>
  <c r="K200" i="6"/>
  <c r="G200" i="7" s="1"/>
  <c r="K174" i="6"/>
  <c r="G174" i="7" s="1"/>
  <c r="K216" i="6"/>
  <c r="G216" i="7" s="1"/>
  <c r="K163" i="6"/>
  <c r="G163" i="7" s="1"/>
  <c r="D193" i="7"/>
  <c r="E193" i="7" s="1"/>
  <c r="K218" i="6"/>
  <c r="G218" i="7" s="1"/>
  <c r="K148" i="6"/>
  <c r="G148" i="7" s="1"/>
  <c r="K230" i="6"/>
  <c r="G230" i="7" s="1"/>
  <c r="K156" i="6"/>
  <c r="G156" i="7" s="1"/>
  <c r="K134" i="6"/>
  <c r="G134" i="7" s="1"/>
  <c r="K165" i="6"/>
  <c r="G165" i="7" s="1"/>
  <c r="K125" i="6"/>
  <c r="G125" i="7" s="1"/>
  <c r="K219" i="6"/>
  <c r="G219" i="7" s="1"/>
  <c r="K141" i="6"/>
  <c r="G141" i="7" s="1"/>
  <c r="O116" i="6" a="1"/>
  <c r="O116" i="6" s="1"/>
  <c r="X116" i="6" s="1"/>
  <c r="K232" i="6"/>
  <c r="G232" i="7" s="1"/>
  <c r="K164" i="6"/>
  <c r="G164" i="7" s="1"/>
  <c r="K227" i="6"/>
  <c r="G227" i="7" s="1"/>
  <c r="K180" i="6"/>
  <c r="G180" i="7" s="1"/>
  <c r="K208" i="6"/>
  <c r="G208" i="7" s="1"/>
  <c r="K133" i="6"/>
  <c r="G133" i="7" s="1"/>
  <c r="K187" i="6"/>
  <c r="G187" i="7" s="1"/>
  <c r="K196" i="6"/>
  <c r="G196" i="7" s="1"/>
  <c r="K4" i="6"/>
  <c r="G4" i="7" s="1"/>
  <c r="O214" i="6" a="1"/>
  <c r="O214" i="6" s="1"/>
  <c r="X214" i="6" s="1"/>
  <c r="Y214" i="6" s="1"/>
  <c r="K212" i="6"/>
  <c r="G212" i="7" s="1"/>
  <c r="K166" i="6"/>
  <c r="G166" i="7" s="1"/>
  <c r="K195" i="6"/>
  <c r="G195" i="7" s="1"/>
  <c r="D140" i="7"/>
  <c r="E140" i="7" s="1"/>
  <c r="D85" i="7"/>
  <c r="E85" i="7" s="1"/>
  <c r="D204" i="7"/>
  <c r="E204" i="7" s="1"/>
  <c r="K235" i="6"/>
  <c r="G235" i="7" s="1"/>
  <c r="K149" i="6"/>
  <c r="G149" i="7" s="1"/>
  <c r="K160" i="6"/>
  <c r="G160" i="7" s="1"/>
  <c r="K224" i="6"/>
  <c r="G224" i="7" s="1"/>
  <c r="K240" i="6"/>
  <c r="G240" i="7" s="1"/>
  <c r="K203" i="6"/>
  <c r="G203" i="7" s="1"/>
  <c r="X159" i="6"/>
  <c r="Y159" i="6" s="1"/>
  <c r="K238" i="6"/>
  <c r="G238" i="7" s="1"/>
  <c r="K228" i="6"/>
  <c r="G228" i="7" s="1"/>
  <c r="K190" i="6"/>
  <c r="G190" i="7" s="1"/>
  <c r="K222" i="6"/>
  <c r="G222" i="7" s="1"/>
  <c r="D158" i="7"/>
  <c r="E158" i="7" s="1"/>
  <c r="D97" i="7"/>
  <c r="E97" i="7" s="1"/>
  <c r="D116" i="7"/>
  <c r="E116" i="7" s="1"/>
  <c r="K202" i="6"/>
  <c r="G202" i="7" s="1"/>
  <c r="K170" i="6"/>
  <c r="G170" i="7" s="1"/>
  <c r="K182" i="6"/>
  <c r="G182" i="7" s="1"/>
  <c r="K154" i="6"/>
  <c r="G154" i="7" s="1"/>
  <c r="K210" i="6"/>
  <c r="G210" i="7" s="1"/>
  <c r="K194" i="6"/>
  <c r="G194" i="7" s="1"/>
  <c r="K101" i="6"/>
  <c r="G101" i="7" s="1"/>
  <c r="K157" i="6"/>
  <c r="G157" i="7" s="1"/>
  <c r="X14" i="6"/>
  <c r="D147" i="7"/>
  <c r="E147" i="7" s="1"/>
  <c r="K172" i="6"/>
  <c r="G172" i="7" s="1"/>
  <c r="K158" i="6"/>
  <c r="G158" i="7" s="1"/>
  <c r="K186" i="6"/>
  <c r="G186" i="7" s="1"/>
  <c r="K162" i="6"/>
  <c r="G162" i="7" s="1"/>
  <c r="K93" i="6"/>
  <c r="G93" i="7" s="1"/>
  <c r="K206" i="6"/>
  <c r="G206" i="7" s="1"/>
  <c r="X136" i="6"/>
  <c r="Y136" i="6" s="1"/>
  <c r="X32" i="6"/>
  <c r="X199" i="6"/>
  <c r="X64" i="6"/>
  <c r="D165" i="7"/>
  <c r="E165" i="7" s="1"/>
  <c r="D7" i="7"/>
  <c r="E7" i="7" s="1"/>
  <c r="X167" i="6"/>
  <c r="K205" i="6"/>
  <c r="G205" i="7" s="1"/>
  <c r="K189" i="6"/>
  <c r="G189" i="7" s="1"/>
  <c r="K213" i="6"/>
  <c r="G213" i="7" s="1"/>
  <c r="K197" i="6"/>
  <c r="G197" i="7" s="1"/>
  <c r="X203" i="6"/>
  <c r="K173" i="6"/>
  <c r="G173" i="7" s="1"/>
  <c r="K181" i="6"/>
  <c r="G181" i="7" s="1"/>
  <c r="K221" i="6"/>
  <c r="G221" i="7" s="1"/>
  <c r="X156" i="6"/>
  <c r="X56" i="6"/>
  <c r="O237" i="6" a="1"/>
  <c r="O237" i="6" s="1"/>
  <c r="X237" i="6" s="1"/>
  <c r="X220" i="6"/>
  <c r="F39" i="7"/>
  <c r="X109" i="6"/>
  <c r="K229" i="6"/>
  <c r="G229" i="7" s="1"/>
  <c r="X130" i="6"/>
  <c r="X217" i="6"/>
  <c r="Y217" i="6" s="1"/>
  <c r="X87" i="6"/>
  <c r="X153" i="6"/>
  <c r="X150" i="6"/>
  <c r="Y150" i="6" s="1"/>
  <c r="X54" i="6"/>
  <c r="Y54" i="6" s="1"/>
  <c r="X30" i="6"/>
  <c r="Y30" i="6" s="1"/>
  <c r="C84" i="7"/>
  <c r="C141" i="8"/>
  <c r="N112" i="7" a="1"/>
  <c r="N112" i="7"/>
  <c r="P112" i="7"/>
  <c r="B184" i="7"/>
  <c r="M37" i="7" a="1"/>
  <c r="M37" i="7" s="1"/>
  <c r="D192" i="7"/>
  <c r="E192" i="7" s="1"/>
  <c r="C10" i="7"/>
  <c r="C160" i="7"/>
  <c r="N24" i="7" a="1"/>
  <c r="N24" i="7"/>
  <c r="D129" i="7"/>
  <c r="E129" i="7" s="1"/>
  <c r="J246" i="7"/>
  <c r="F242" i="8" s="1"/>
  <c r="K46" i="7"/>
  <c r="D121" i="7"/>
  <c r="E121" i="7" s="1"/>
  <c r="D233" i="7"/>
  <c r="E233" i="7" s="1"/>
  <c r="A129" i="8"/>
  <c r="B180" i="7"/>
  <c r="M190" i="7" a="1"/>
  <c r="M190" i="7" s="1"/>
  <c r="K180" i="7"/>
  <c r="N240" i="7" a="1"/>
  <c r="N240" i="7"/>
  <c r="P240" i="7"/>
  <c r="J244" i="7"/>
  <c r="F246" i="8" s="1"/>
  <c r="D148" i="7"/>
  <c r="E148" i="7" s="1"/>
  <c r="B20" i="7"/>
  <c r="B184" i="8"/>
  <c r="F247" i="7"/>
  <c r="A7" i="8"/>
  <c r="B214" i="7"/>
  <c r="B117" i="8"/>
  <c r="B149" i="7"/>
  <c r="C149" i="7"/>
  <c r="B229" i="7"/>
  <c r="M226" i="7" a="1"/>
  <c r="M226" i="7" s="1"/>
  <c r="D20" i="7"/>
  <c r="E20" i="7" s="1"/>
  <c r="N20" i="7" a="1"/>
  <c r="N20" i="7"/>
  <c r="P20" i="7"/>
  <c r="D188" i="7"/>
  <c r="E188" i="7" s="1"/>
  <c r="N188" i="7" a="1"/>
  <c r="N188" i="7"/>
  <c r="N8" i="7" a="1"/>
  <c r="N8" i="7"/>
  <c r="P8" i="7"/>
  <c r="D23" i="7"/>
  <c r="E23" i="7" s="1"/>
  <c r="C8" i="7"/>
  <c r="A133" i="8"/>
  <c r="D191" i="7"/>
  <c r="E191" i="7" s="1"/>
  <c r="K128" i="7"/>
  <c r="D93" i="7"/>
  <c r="E93" i="7" s="1"/>
  <c r="K192" i="7"/>
  <c r="K78" i="7"/>
  <c r="K36" i="7"/>
  <c r="N86" i="7" a="1"/>
  <c r="N86" i="7"/>
  <c r="P86" i="7"/>
  <c r="N213" i="7" a="1"/>
  <c r="N213" i="7"/>
  <c r="P213" i="7"/>
  <c r="N93" i="7" a="1"/>
  <c r="N93" i="7"/>
  <c r="P93" i="7"/>
  <c r="B8" i="7"/>
  <c r="N13" i="7" a="1"/>
  <c r="N13" i="7"/>
  <c r="A36" i="8"/>
  <c r="D32" i="7"/>
  <c r="E32" i="7" s="1"/>
  <c r="A243" i="8"/>
  <c r="A141" i="8"/>
  <c r="C13" i="7"/>
  <c r="N67" i="7" a="1"/>
  <c r="N67" i="7"/>
  <c r="P67" i="7"/>
  <c r="N154" i="7" a="1"/>
  <c r="N154" i="7"/>
  <c r="P154" i="7"/>
  <c r="D8" i="7"/>
  <c r="E8" i="7" s="1"/>
  <c r="A57" i="8"/>
  <c r="K39" i="7"/>
  <c r="K102" i="7"/>
  <c r="B128" i="7"/>
  <c r="C78" i="7"/>
  <c r="C191" i="8"/>
  <c r="N4" i="7" a="1"/>
  <c r="N4" i="7" s="1"/>
  <c r="C16" i="7"/>
  <c r="D36" i="7"/>
  <c r="E36" i="7" s="1"/>
  <c r="N247" i="7" a="1"/>
  <c r="N247" i="7" s="1"/>
  <c r="K154" i="7"/>
  <c r="K13" i="7"/>
  <c r="M214" i="7" a="1"/>
  <c r="M214" i="7" s="1"/>
  <c r="B235" i="7"/>
  <c r="N190" i="7" a="1"/>
  <c r="N190" i="7" s="1"/>
  <c r="P190" i="7" s="1"/>
  <c r="K149" i="7"/>
  <c r="K118" i="7"/>
  <c r="A76" i="8"/>
  <c r="A118" i="8"/>
  <c r="A53" i="8"/>
  <c r="K20" i="7"/>
  <c r="D13" i="7"/>
  <c r="E13" i="7" s="1"/>
  <c r="K24" i="7"/>
  <c r="N214" i="7" a="1"/>
  <c r="N214" i="7" s="1"/>
  <c r="P214" i="7" s="1"/>
  <c r="F200" i="7"/>
  <c r="D108" i="7"/>
  <c r="E108" i="7" s="1"/>
  <c r="B14" i="7"/>
  <c r="B195" i="8"/>
  <c r="N184" i="7" a="1"/>
  <c r="N184" i="7" s="1"/>
  <c r="F237" i="7"/>
  <c r="K222" i="7"/>
  <c r="M145" i="7" a="1"/>
  <c r="M145" i="7" s="1"/>
  <c r="C146" i="7"/>
  <c r="C152" i="8"/>
  <c r="D237" i="7"/>
  <c r="E237" i="7" s="1"/>
  <c r="K108" i="7"/>
  <c r="K170" i="7"/>
  <c r="A19" i="8"/>
  <c r="D156" i="7"/>
  <c r="E156" i="7" s="1"/>
  <c r="C24" i="7"/>
  <c r="D34" i="7"/>
  <c r="E34" i="7" s="1"/>
  <c r="A12" i="8"/>
  <c r="N191" i="7" a="1"/>
  <c r="N191" i="7" s="1"/>
  <c r="F189" i="7"/>
  <c r="D31" i="7"/>
  <c r="E31" i="7" s="1"/>
  <c r="K210" i="7"/>
  <c r="M160" i="7" a="1"/>
  <c r="M160" i="7" s="1"/>
  <c r="K240" i="7"/>
  <c r="C35" i="7"/>
  <c r="C43" i="7"/>
  <c r="A100" i="8"/>
  <c r="S244" i="7"/>
  <c r="C33" i="7"/>
  <c r="C213" i="8"/>
  <c r="K176" i="7"/>
  <c r="N91" i="7" a="1"/>
  <c r="N91" i="7"/>
  <c r="K217" i="7"/>
  <c r="A245" i="8"/>
  <c r="M43" i="7" a="1"/>
  <c r="M43" i="7" s="1"/>
  <c r="P43" i="7"/>
  <c r="K84" i="7"/>
  <c r="A87" i="8"/>
  <c r="C158" i="7"/>
  <c r="C164" i="8"/>
  <c r="C178" i="7"/>
  <c r="C41" i="7"/>
  <c r="K236" i="7"/>
  <c r="S245" i="7"/>
  <c r="D145" i="7"/>
  <c r="E145" i="7" s="1"/>
  <c r="M158" i="7" a="1"/>
  <c r="M158" i="7" s="1"/>
  <c r="C55" i="7"/>
  <c r="D236" i="7"/>
  <c r="E236" i="7" s="1"/>
  <c r="K235" i="7"/>
  <c r="D167" i="7"/>
  <c r="E167" i="7" s="1"/>
  <c r="C50" i="7"/>
  <c r="C72" i="7"/>
  <c r="N123" i="7" a="1"/>
  <c r="N123" i="7" s="1"/>
  <c r="F202" i="7"/>
  <c r="A212" i="8"/>
  <c r="C235" i="7"/>
  <c r="K113" i="7"/>
  <c r="M238" i="7" a="1"/>
  <c r="M238" i="7" s="1"/>
  <c r="K9" i="7"/>
  <c r="K155" i="7"/>
  <c r="B139" i="7"/>
  <c r="D215" i="7"/>
  <c r="E215" i="7" s="1"/>
  <c r="K131" i="7"/>
  <c r="N131" i="7" a="1"/>
  <c r="N131" i="7" s="1"/>
  <c r="P131" i="7" s="1"/>
  <c r="D70" i="7"/>
  <c r="E70" i="7" s="1"/>
  <c r="A230" i="8"/>
  <c r="C163" i="7"/>
  <c r="N242" i="7" a="1"/>
  <c r="N242" i="7" s="1"/>
  <c r="P242" i="7" s="1"/>
  <c r="D207" i="7"/>
  <c r="E207" i="7" s="1"/>
  <c r="K156" i="7"/>
  <c r="K103" i="7"/>
  <c r="M103" i="7" a="1"/>
  <c r="M103" i="7" s="1"/>
  <c r="D210" i="7"/>
  <c r="E210" i="7" s="1"/>
  <c r="G245" i="7"/>
  <c r="D103" i="7"/>
  <c r="E103" i="7" s="1"/>
  <c r="F154" i="7"/>
  <c r="B113" i="7"/>
  <c r="B217" i="7"/>
  <c r="A211" i="8"/>
  <c r="D176" i="7"/>
  <c r="E176" i="7" s="1"/>
  <c r="A163" i="8"/>
  <c r="A122" i="8"/>
  <c r="B156" i="7"/>
  <c r="M34" i="7" a="1"/>
  <c r="M34" i="7" s="1"/>
  <c r="B24" i="7"/>
  <c r="A136" i="8"/>
  <c r="K10" i="7"/>
  <c r="D213" i="7"/>
  <c r="E213" i="7" s="1"/>
  <c r="B16" i="7"/>
  <c r="D118" i="7"/>
  <c r="E118" i="7" s="1"/>
  <c r="C131" i="7"/>
  <c r="B11" i="7"/>
  <c r="D16" i="7"/>
  <c r="E16" i="7" s="1"/>
  <c r="D43" i="7"/>
  <c r="E43" i="7" s="1"/>
  <c r="D49" i="7"/>
  <c r="E49" i="7" s="1"/>
  <c r="N217" i="7" a="1"/>
  <c r="N217" i="7" s="1"/>
  <c r="P217" i="7" s="1"/>
  <c r="D245" i="7"/>
  <c r="E245" i="7" s="1"/>
  <c r="D37" i="7"/>
  <c r="E37" i="7" s="1"/>
  <c r="B176" i="7"/>
  <c r="K141" i="7"/>
  <c r="M35" i="7" a="1"/>
  <c r="M35" i="7" s="1"/>
  <c r="C216" i="7"/>
  <c r="B155" i="7"/>
  <c r="C246" i="7"/>
  <c r="C242" i="8"/>
  <c r="M210" i="7" a="1"/>
  <c r="M210" i="7" s="1"/>
  <c r="K238" i="7"/>
  <c r="D168" i="7"/>
  <c r="E168" i="7" s="1"/>
  <c r="N108" i="7" a="1"/>
  <c r="N108" i="7" s="1"/>
  <c r="M90" i="7" a="1"/>
  <c r="M90" i="7" s="1"/>
  <c r="F24" i="7"/>
  <c r="A162" i="8"/>
  <c r="A45" i="8"/>
  <c r="J243" i="7"/>
  <c r="F227" i="8" s="1"/>
  <c r="D55" i="7"/>
  <c r="E55" i="7" s="1"/>
  <c r="F35" i="7"/>
  <c r="M235" i="7" a="1"/>
  <c r="M235" i="7" s="1"/>
  <c r="N238" i="7" a="1"/>
  <c r="N238" i="7"/>
  <c r="P238" i="7"/>
  <c r="D180" i="7"/>
  <c r="E180" i="7" s="1"/>
  <c r="B190" i="7"/>
  <c r="B50" i="7"/>
  <c r="A135" i="8"/>
  <c r="N47" i="7" a="1"/>
  <c r="N47" i="7"/>
  <c r="P47" i="7" s="1"/>
  <c r="B42" i="7"/>
  <c r="B137" i="8"/>
  <c r="G243" i="7"/>
  <c r="N129" i="7" a="1"/>
  <c r="N129" i="7"/>
  <c r="N44" i="7" a="1"/>
  <c r="N44" i="7"/>
  <c r="A151" i="8"/>
  <c r="N139" i="7" a="1"/>
  <c r="N139" i="7"/>
  <c r="B163" i="7"/>
  <c r="M232" i="7" a="1"/>
  <c r="M232" i="7" s="1"/>
  <c r="D246" i="7"/>
  <c r="E246" i="7" s="1"/>
  <c r="K204" i="7"/>
  <c r="B243" i="7"/>
  <c r="B227" i="8"/>
  <c r="K12" i="7"/>
  <c r="B234" i="7"/>
  <c r="C200" i="7"/>
  <c r="F126" i="7"/>
  <c r="X154" i="6"/>
  <c r="D50" i="7"/>
  <c r="E50" i="7" s="1"/>
  <c r="K42" i="7"/>
  <c r="F117" i="7"/>
  <c r="B56" i="7"/>
  <c r="B82" i="8"/>
  <c r="D110" i="7"/>
  <c r="E110" i="7" s="1"/>
  <c r="M91" i="7" a="1"/>
  <c r="M91" i="7" s="1"/>
  <c r="P91" i="7" s="1"/>
  <c r="K63" i="7"/>
  <c r="D153" i="7"/>
  <c r="E153" i="7" s="1"/>
  <c r="D19" i="7"/>
  <c r="E19" i="7" s="1"/>
  <c r="M108" i="7" a="1"/>
  <c r="M108" i="7" s="1"/>
  <c r="B90" i="7"/>
  <c r="A61" i="8"/>
  <c r="D143" i="7"/>
  <c r="E143" i="7" s="1"/>
  <c r="F48" i="7"/>
  <c r="K129" i="7"/>
  <c r="N35" i="7" a="1"/>
  <c r="N35" i="7" s="1"/>
  <c r="P35" i="7" s="1"/>
  <c r="D232" i="7"/>
  <c r="E232" i="7" s="1"/>
  <c r="D35" i="7"/>
  <c r="E35" i="7" s="1"/>
  <c r="K168" i="7"/>
  <c r="M162" i="7" a="1"/>
  <c r="M162" i="7" s="1"/>
  <c r="C133" i="7"/>
  <c r="C158" i="8"/>
  <c r="M164" i="7" a="1"/>
  <c r="M164" i="7" s="1"/>
  <c r="N168" i="7" a="1"/>
  <c r="N168" i="7"/>
  <c r="K18" i="7"/>
  <c r="C81" i="7"/>
  <c r="B91" i="7"/>
  <c r="A179" i="8"/>
  <c r="K198" i="7"/>
  <c r="D216" i="7"/>
  <c r="E216" i="7" s="1"/>
  <c r="A107" i="8"/>
  <c r="C183" i="7"/>
  <c r="K233" i="7"/>
  <c r="C240" i="7"/>
  <c r="D84" i="7"/>
  <c r="E84" i="7" s="1"/>
  <c r="K26" i="7"/>
  <c r="X194" i="6"/>
  <c r="X200" i="6"/>
  <c r="X122" i="6"/>
  <c r="M203" i="7" a="1"/>
  <c r="M203" i="7" s="1"/>
  <c r="D133" i="7"/>
  <c r="E133" i="7" s="1"/>
  <c r="A193" i="8"/>
  <c r="N228" i="7" a="1"/>
  <c r="N228" i="7" s="1"/>
  <c r="C228" i="7"/>
  <c r="N105" i="7" a="1"/>
  <c r="N105" i="7" s="1"/>
  <c r="P105" i="7" s="1"/>
  <c r="S243" i="7"/>
  <c r="D56" i="7"/>
  <c r="E56" i="7" s="1"/>
  <c r="B26" i="7"/>
  <c r="D11" i="7"/>
  <c r="E11" i="7" s="1"/>
  <c r="B205" i="7"/>
  <c r="B67" i="8"/>
  <c r="D234" i="7"/>
  <c r="E234" i="7" s="1"/>
  <c r="D244" i="7"/>
  <c r="E244" i="7" s="1"/>
  <c r="A197" i="8"/>
  <c r="F214" i="7"/>
  <c r="B170" i="7"/>
  <c r="B104" i="7"/>
  <c r="D139" i="7"/>
  <c r="E139" i="7" s="1"/>
  <c r="D217" i="7"/>
  <c r="E217" i="7" s="1"/>
  <c r="B12" i="7"/>
  <c r="K19" i="7"/>
  <c r="D221" i="7"/>
  <c r="E221" i="7" s="1"/>
  <c r="M139" i="7" a="1"/>
  <c r="M139" i="7" s="1"/>
  <c r="N48" i="7" a="1"/>
  <c r="N48" i="7" s="1"/>
  <c r="P48" i="7" s="1"/>
  <c r="N141" i="7" a="1"/>
  <c r="N141" i="7" s="1"/>
  <c r="K136" i="7"/>
  <c r="D203" i="7"/>
  <c r="E203" i="7" s="1"/>
  <c r="B61" i="7"/>
  <c r="B187" i="8"/>
  <c r="N200" i="7" a="1"/>
  <c r="N200" i="7" s="1"/>
  <c r="P200" i="7" s="1"/>
  <c r="B160" i="7"/>
  <c r="A210" i="8"/>
  <c r="C12" i="7"/>
  <c r="M146" i="7" a="1"/>
  <c r="M146" i="7" s="1"/>
  <c r="N100" i="7" a="1"/>
  <c r="N100" i="7"/>
  <c r="P100" i="7" s="1"/>
  <c r="B80" i="7"/>
  <c r="B220" i="8"/>
  <c r="M18" i="7" a="1"/>
  <c r="M18" i="7" s="1"/>
  <c r="A90" i="8"/>
  <c r="N12" i="7" a="1"/>
  <c r="N12" i="7" s="1"/>
  <c r="K68" i="7"/>
  <c r="N170" i="7" a="1"/>
  <c r="N170" i="7" s="1"/>
  <c r="P170" i="7" s="1"/>
  <c r="D100" i="7"/>
  <c r="E100" i="7" s="1"/>
  <c r="N133" i="7" a="1"/>
  <c r="N133" i="7" s="1"/>
  <c r="P133" i="7" s="1"/>
  <c r="B111" i="7"/>
  <c r="A149" i="8"/>
  <c r="A59" i="8"/>
  <c r="A78" i="8"/>
  <c r="F55" i="7"/>
  <c r="A152" i="8"/>
  <c r="M68" i="7" a="1"/>
  <c r="M68" i="7" s="1"/>
  <c r="F50" i="7"/>
  <c r="A194" i="8"/>
  <c r="K177" i="7"/>
  <c r="M179" i="7" a="1"/>
  <c r="M179" i="7" s="1"/>
  <c r="K105" i="7"/>
  <c r="K137" i="7"/>
  <c r="D179" i="7"/>
  <c r="E179" i="7" s="1"/>
  <c r="B135" i="7"/>
  <c r="A146" i="8"/>
  <c r="D146" i="7"/>
  <c r="E146" i="7" s="1"/>
  <c r="D68" i="7"/>
  <c r="E68" i="7" s="1"/>
  <c r="N68" i="7" a="1"/>
  <c r="N68" i="7" s="1"/>
  <c r="M231" i="7" a="1"/>
  <c r="M231" i="7" s="1"/>
  <c r="D105" i="7"/>
  <c r="E105" i="7" s="1"/>
  <c r="N231" i="7" a="1"/>
  <c r="N231" i="7"/>
  <c r="A21" i="8"/>
  <c r="B133" i="7"/>
  <c r="B158" i="8"/>
  <c r="B100" i="7"/>
  <c r="D231" i="7"/>
  <c r="E231" i="7" s="1"/>
  <c r="M61" i="7" a="1"/>
  <c r="M61" i="7" s="1"/>
  <c r="D14" i="7"/>
  <c r="E14" i="7" s="1"/>
  <c r="C245" i="7"/>
  <c r="C247" i="8"/>
  <c r="K231" i="7"/>
  <c r="B221" i="7"/>
  <c r="K214" i="7"/>
  <c r="C231" i="7"/>
  <c r="N237" i="7" a="1"/>
  <c r="N237" i="7"/>
  <c r="P237" i="7" s="1"/>
  <c r="N209" i="7" a="1"/>
  <c r="N209" i="7"/>
  <c r="P209" i="7" s="1"/>
  <c r="M228" i="7" a="1"/>
  <c r="M228" i="7" s="1"/>
  <c r="K195" i="7"/>
  <c r="A111" i="8"/>
  <c r="C51" i="7"/>
  <c r="M51" i="7" a="1"/>
  <c r="M51" i="7" s="1"/>
  <c r="K138" i="7"/>
  <c r="C138" i="7"/>
  <c r="B122" i="7"/>
  <c r="C122" i="7"/>
  <c r="C203" i="7"/>
  <c r="C228" i="8"/>
  <c r="B203" i="7"/>
  <c r="B228" i="8"/>
  <c r="A164" i="8"/>
  <c r="N158" i="7" a="1"/>
  <c r="N158" i="7" s="1"/>
  <c r="P158" i="7" s="1"/>
  <c r="B158" i="7"/>
  <c r="B164" i="8"/>
  <c r="D113" i="7"/>
  <c r="E113" i="7" s="1"/>
  <c r="C113" i="7"/>
  <c r="N5" i="7" a="1"/>
  <c r="N5" i="7"/>
  <c r="D5" i="7"/>
  <c r="E5" i="7" s="1"/>
  <c r="C109" i="7"/>
  <c r="D242" i="7"/>
  <c r="E242" i="7" s="1"/>
  <c r="B242" i="7"/>
  <c r="D59" i="7"/>
  <c r="E59" i="7" s="1"/>
  <c r="C106" i="7"/>
  <c r="A58" i="8"/>
  <c r="C98" i="7"/>
  <c r="M98" i="7" a="1"/>
  <c r="M98" i="7" s="1"/>
  <c r="N218" i="7" a="1"/>
  <c r="N218" i="7" s="1"/>
  <c r="M165" i="7" a="1"/>
  <c r="M165" i="7" s="1"/>
  <c r="A200" i="8"/>
  <c r="A56" i="8"/>
  <c r="D164" i="7"/>
  <c r="E164" i="7" s="1"/>
  <c r="B164" i="7"/>
  <c r="D73" i="7"/>
  <c r="E73" i="7" s="1"/>
  <c r="M156" i="7" a="1"/>
  <c r="M156" i="7" s="1"/>
  <c r="K190" i="7"/>
  <c r="C190" i="7"/>
  <c r="D235" i="7"/>
  <c r="E235" i="7" s="1"/>
  <c r="N235" i="7" a="1"/>
  <c r="N235" i="7" s="1"/>
  <c r="B62" i="7"/>
  <c r="M219" i="7" a="1"/>
  <c r="M219" i="7" s="1"/>
  <c r="K219" i="7"/>
  <c r="N70" i="7" a="1"/>
  <c r="N70" i="7" s="1"/>
  <c r="B70" i="7"/>
  <c r="K226" i="7"/>
  <c r="N226" i="7" a="1"/>
  <c r="N226" i="7" s="1"/>
  <c r="N241" i="7" a="1"/>
  <c r="N241" i="7" s="1"/>
  <c r="C241" i="7"/>
  <c r="M119" i="7" a="1"/>
  <c r="M119" i="7" s="1"/>
  <c r="A11" i="8"/>
  <c r="N119" i="7" a="1"/>
  <c r="N119" i="7"/>
  <c r="B46" i="7"/>
  <c r="N54" i="7" a="1"/>
  <c r="N54" i="7"/>
  <c r="M54" i="7" a="1"/>
  <c r="M54" i="7" s="1"/>
  <c r="N134" i="7" a="1"/>
  <c r="N134" i="7"/>
  <c r="K125" i="7"/>
  <c r="N219" i="7" a="1"/>
  <c r="N219" i="7"/>
  <c r="P219" i="7" s="1"/>
  <c r="C61" i="7"/>
  <c r="C187" i="8"/>
  <c r="M14" i="7" a="1"/>
  <c r="M14" i="7" s="1"/>
  <c r="B137" i="7"/>
  <c r="K62" i="7"/>
  <c r="C105" i="7"/>
  <c r="F77" i="7"/>
  <c r="C148" i="7"/>
  <c r="F239" i="7"/>
  <c r="A98" i="8"/>
  <c r="C37" i="7"/>
  <c r="B85" i="7"/>
  <c r="D107" i="7"/>
  <c r="E107" i="7" s="1"/>
  <c r="C107" i="7"/>
  <c r="M117" i="7" a="1"/>
  <c r="M117" i="7" s="1"/>
  <c r="D117" i="7"/>
  <c r="E117" i="7" s="1"/>
  <c r="M42" i="7" a="1"/>
  <c r="M42" i="7" s="1"/>
  <c r="N42" i="7" a="1"/>
  <c r="N42" i="7" s="1"/>
  <c r="B168" i="7"/>
  <c r="A175" i="8"/>
  <c r="N63" i="7" a="1"/>
  <c r="N63" i="7"/>
  <c r="M31" i="7" a="1"/>
  <c r="M31" i="7" s="1"/>
  <c r="C195" i="7"/>
  <c r="C127" i="7"/>
  <c r="B23" i="7"/>
  <c r="C230" i="7"/>
  <c r="B233" i="7"/>
  <c r="N60" i="7" a="1"/>
  <c r="N60" i="7" s="1"/>
  <c r="P60" i="7" s="1"/>
  <c r="K37" i="7"/>
  <c r="O243" i="7"/>
  <c r="Q243" i="7" s="1"/>
  <c r="K246" i="7"/>
  <c r="B195" i="7"/>
  <c r="C189" i="7"/>
  <c r="M184" i="7" a="1"/>
  <c r="M184" i="7" s="1"/>
  <c r="K140" i="7"/>
  <c r="D166" i="7"/>
  <c r="E166" i="7" s="1"/>
  <c r="C104" i="7"/>
  <c r="F246" i="7"/>
  <c r="K239" i="7"/>
  <c r="F243" i="7"/>
  <c r="N172" i="7" a="1"/>
  <c r="N172" i="7" s="1"/>
  <c r="D60" i="7"/>
  <c r="E60" i="7" s="1"/>
  <c r="K166" i="7"/>
  <c r="K147" i="7"/>
  <c r="D239" i="7"/>
  <c r="E239" i="7" s="1"/>
  <c r="D120" i="7"/>
  <c r="E120" i="7" s="1"/>
  <c r="D243" i="7"/>
  <c r="E243" i="7" s="1"/>
  <c r="B49" i="7"/>
  <c r="B37" i="7"/>
  <c r="B148" i="7"/>
  <c r="A244" i="8"/>
  <c r="B9" i="7"/>
  <c r="A137" i="8"/>
  <c r="C14" i="7"/>
  <c r="C195" i="8"/>
  <c r="K14" i="7"/>
  <c r="N145" i="7" a="1"/>
  <c r="N145" i="7" s="1"/>
  <c r="P145" i="7" s="1"/>
  <c r="K145" i="7"/>
  <c r="C31" i="7"/>
  <c r="N31" i="7" a="1"/>
  <c r="N31" i="7"/>
  <c r="A99" i="8"/>
  <c r="M113" i="7" a="1"/>
  <c r="M113" i="7" s="1"/>
  <c r="J245" i="7"/>
  <c r="F247" i="8" s="1"/>
  <c r="B245" i="7"/>
  <c r="B247" i="8"/>
  <c r="N245" i="7" a="1"/>
  <c r="N245" i="7" s="1"/>
  <c r="O245" i="7"/>
  <c r="R245" i="7" s="1"/>
  <c r="D66" i="7"/>
  <c r="E66" i="7" s="1"/>
  <c r="M66" i="7" a="1"/>
  <c r="M66" i="7" s="1"/>
  <c r="B211" i="7"/>
  <c r="B238" i="8"/>
  <c r="M211" i="7" a="1"/>
  <c r="M211" i="7" s="1"/>
  <c r="M132" i="7" a="1"/>
  <c r="M132" i="7" s="1"/>
  <c r="K132" i="7"/>
  <c r="N58" i="7" a="1"/>
  <c r="N58" i="7" s="1"/>
  <c r="M58" i="7" a="1"/>
  <c r="M58" i="7" s="1"/>
  <c r="D201" i="7"/>
  <c r="E201" i="7" s="1"/>
  <c r="M129" i="7" a="1"/>
  <c r="M129" i="7" s="1"/>
  <c r="D74" i="7"/>
  <c r="E74" i="7" s="1"/>
  <c r="C236" i="7"/>
  <c r="N236" i="7" a="1"/>
  <c r="N236" i="7"/>
  <c r="M94" i="7" a="1"/>
  <c r="M94" i="7" s="1"/>
  <c r="D94" i="7"/>
  <c r="E94" i="7" s="1"/>
  <c r="A145" i="8"/>
  <c r="D95" i="7"/>
  <c r="E95" i="7" s="1"/>
  <c r="B47" i="7"/>
  <c r="B145" i="8"/>
  <c r="C198" i="7"/>
  <c r="B76" i="7"/>
  <c r="B144" i="8"/>
  <c r="N25" i="7" a="1"/>
  <c r="N25" i="7" s="1"/>
  <c r="M127" i="7" a="1"/>
  <c r="M127" i="7" s="1"/>
  <c r="K127" i="7"/>
  <c r="N222" i="7" a="1"/>
  <c r="N222" i="7"/>
  <c r="P222" i="7"/>
  <c r="D222" i="7"/>
  <c r="E222" i="7" s="1"/>
  <c r="D72" i="7"/>
  <c r="E72" i="7" s="1"/>
  <c r="A106" i="8"/>
  <c r="M72" i="7" a="1"/>
  <c r="M72" i="7" s="1"/>
  <c r="B116" i="7"/>
  <c r="K116" i="7"/>
  <c r="M221" i="7" a="1"/>
  <c r="M221" i="7" s="1"/>
  <c r="X168" i="6"/>
  <c r="D79" i="7"/>
  <c r="E79" i="7" s="1"/>
  <c r="C136" i="7"/>
  <c r="C156" i="8"/>
  <c r="A156" i="8"/>
  <c r="K174" i="7"/>
  <c r="M174" i="7" a="1"/>
  <c r="M174" i="7" s="1"/>
  <c r="C80" i="7"/>
  <c r="C220" i="8"/>
  <c r="D80" i="7"/>
  <c r="E80" i="7" s="1"/>
  <c r="C184" i="7"/>
  <c r="M189" i="7" a="1"/>
  <c r="M189" i="7" s="1"/>
  <c r="D189" i="7"/>
  <c r="E189" i="7" s="1"/>
  <c r="A39" i="8"/>
  <c r="D169" i="7"/>
  <c r="E169" i="7" s="1"/>
  <c r="N169" i="7" a="1"/>
  <c r="N169" i="7" s="1"/>
  <c r="M169" i="7" a="1"/>
  <c r="M169" i="7" s="1"/>
  <c r="C191" i="7"/>
  <c r="K191" i="7"/>
  <c r="A169" i="8"/>
  <c r="A4" i="8"/>
  <c r="N164" i="7" a="1"/>
  <c r="N164" i="7" s="1"/>
  <c r="C164" i="7"/>
  <c r="K35" i="7"/>
  <c r="A165" i="8"/>
  <c r="D205" i="7"/>
  <c r="E205" i="7" s="1"/>
  <c r="A37" i="8"/>
  <c r="K50" i="7"/>
  <c r="N50" i="7" a="1"/>
  <c r="N50" i="7" s="1"/>
  <c r="P50" i="7" s="1"/>
  <c r="C108" i="7"/>
  <c r="A109" i="8"/>
  <c r="C91" i="7"/>
  <c r="K91" i="7"/>
  <c r="F150" i="7"/>
  <c r="M242" i="7" a="1"/>
  <c r="M242" i="7" s="1"/>
  <c r="C58" i="7"/>
  <c r="M245" i="7" a="1"/>
  <c r="M245" i="7" s="1"/>
  <c r="O244" i="7"/>
  <c r="F244" i="7"/>
  <c r="G244" i="7"/>
  <c r="M244" i="7" a="1"/>
  <c r="M244" i="7" s="1"/>
  <c r="D247" i="7"/>
  <c r="E247" i="7" s="1"/>
  <c r="C244" i="7"/>
  <c r="C246" i="8"/>
  <c r="A246" i="8"/>
  <c r="M12" i="7" a="1"/>
  <c r="M12" i="7" s="1"/>
  <c r="D200" i="7"/>
  <c r="E200" i="7" s="1"/>
  <c r="N180" i="7" a="1"/>
  <c r="N180" i="7" s="1"/>
  <c r="P180" i="7" s="1"/>
  <c r="C180" i="7"/>
  <c r="N104" i="7" a="1"/>
  <c r="N104" i="7" s="1"/>
  <c r="P104" i="7" s="1"/>
  <c r="K104" i="7"/>
  <c r="M44" i="7" a="1"/>
  <c r="M44" i="7" s="1"/>
  <c r="P44" i="7" s="1"/>
  <c r="B44" i="7"/>
  <c r="C225" i="7"/>
  <c r="C225" i="8"/>
  <c r="D225" i="7"/>
  <c r="E225" i="7" s="1"/>
  <c r="D184" i="7"/>
  <c r="E184" i="7" s="1"/>
  <c r="M26" i="7" a="1"/>
  <c r="M26" i="7" s="1"/>
  <c r="N18" i="7" a="1"/>
  <c r="N18" i="7" s="1"/>
  <c r="D18" i="7"/>
  <c r="E18" i="7" s="1"/>
  <c r="B216" i="7"/>
  <c r="K216" i="7"/>
  <c r="M240" i="7" a="1"/>
  <c r="M240" i="7" s="1"/>
  <c r="D38" i="7"/>
  <c r="E38" i="7" s="1"/>
  <c r="A128" i="8"/>
  <c r="C243" i="7"/>
  <c r="C227" i="8"/>
  <c r="A227" i="8"/>
  <c r="K200" i="7"/>
  <c r="A147" i="8"/>
  <c r="K220" i="7"/>
  <c r="B220" i="7"/>
  <c r="B236" i="8"/>
  <c r="B183" i="7"/>
  <c r="M183" i="7" a="1"/>
  <c r="M183" i="7" s="1"/>
  <c r="K183" i="7"/>
  <c r="C143" i="7"/>
  <c r="M143" i="7" a="1"/>
  <c r="M143" i="7" s="1"/>
  <c r="C60" i="7"/>
  <c r="C196" i="8"/>
  <c r="A196" i="8"/>
  <c r="O246" i="7"/>
  <c r="S246" i="7"/>
  <c r="N39" i="7" a="1"/>
  <c r="N39" i="7"/>
  <c r="D39" i="7"/>
  <c r="E39" i="7" s="1"/>
  <c r="N78" i="7" a="1"/>
  <c r="N78" i="7"/>
  <c r="P78" i="7" s="1"/>
  <c r="D78" i="7"/>
  <c r="E78" i="7" s="1"/>
  <c r="B36" i="7"/>
  <c r="B133" i="8"/>
  <c r="C36" i="7"/>
  <c r="C133" i="8"/>
  <c r="N30" i="7" a="1"/>
  <c r="N30" i="7" s="1"/>
  <c r="C30" i="7"/>
  <c r="F122" i="7"/>
  <c r="B241" i="7"/>
  <c r="B118" i="8"/>
  <c r="D128" i="7"/>
  <c r="E128" i="7" s="1"/>
  <c r="D219" i="7"/>
  <c r="E219" i="7" s="1"/>
  <c r="F188" i="7"/>
  <c r="D22" i="7"/>
  <c r="E22" i="7" s="1"/>
  <c r="M176" i="7" a="1"/>
  <c r="M176" i="7" s="1"/>
  <c r="P176" i="7" s="1"/>
  <c r="B134" i="7"/>
  <c r="D48" i="7"/>
  <c r="E48" i="7" s="1"/>
  <c r="A116" i="8"/>
  <c r="N160" i="7" a="1"/>
  <c r="N160" i="7" s="1"/>
  <c r="K54" i="7"/>
  <c r="D198" i="7"/>
  <c r="E198" i="7" s="1"/>
  <c r="A139" i="8"/>
  <c r="C62" i="7"/>
  <c r="B219" i="7"/>
  <c r="B239" i="8"/>
  <c r="F219" i="7"/>
  <c r="D209" i="7"/>
  <c r="E209" i="7" s="1"/>
  <c r="A234" i="8"/>
  <c r="C209" i="7"/>
  <c r="C234" i="8"/>
  <c r="N97" i="7" a="1"/>
  <c r="N97" i="7" s="1"/>
  <c r="M97" i="7" a="1"/>
  <c r="M97" i="7" s="1"/>
  <c r="K43" i="7"/>
  <c r="B43" i="7"/>
  <c r="C217" i="7"/>
  <c r="B54" i="7"/>
  <c r="D54" i="7"/>
  <c r="E54" i="7" s="1"/>
  <c r="C134" i="7"/>
  <c r="M134" i="7" a="1"/>
  <c r="M134" i="7" s="1"/>
  <c r="P134" i="7" s="1"/>
  <c r="M29" i="7" a="1"/>
  <c r="M29" i="7" s="1"/>
  <c r="K29" i="7"/>
  <c r="D29" i="7"/>
  <c r="E29" i="7" s="1"/>
  <c r="B29" i="7"/>
  <c r="M82" i="7" a="1"/>
  <c r="M82" i="7" s="1"/>
  <c r="B88" i="7"/>
  <c r="C88" i="7"/>
  <c r="N88" i="7" a="1"/>
  <c r="N88" i="7" s="1"/>
  <c r="B48" i="7"/>
  <c r="B30" i="8"/>
  <c r="K48" i="7"/>
  <c r="K23" i="7"/>
  <c r="N23" i="7" a="1"/>
  <c r="N23" i="7" s="1"/>
  <c r="P23" i="7" s="1"/>
  <c r="C23" i="7"/>
  <c r="B129" i="7"/>
  <c r="A52" i="8"/>
  <c r="C129" i="7"/>
  <c r="A170" i="8"/>
  <c r="M236" i="7" a="1"/>
  <c r="M236" i="7" s="1"/>
  <c r="K40" i="7"/>
  <c r="B40" i="7"/>
  <c r="C40" i="7"/>
  <c r="A70" i="8"/>
  <c r="N94" i="7" a="1"/>
  <c r="N94" i="7" s="1"/>
  <c r="F94" i="7"/>
  <c r="A79" i="8"/>
  <c r="N239" i="7" a="1"/>
  <c r="N239" i="7"/>
  <c r="P239" i="7" s="1"/>
  <c r="M47" i="7" a="1"/>
  <c r="M47" i="7" s="1"/>
  <c r="K47" i="7"/>
  <c r="B89" i="7"/>
  <c r="D89" i="7"/>
  <c r="E89" i="7" s="1"/>
  <c r="C89" i="7"/>
  <c r="A192" i="8"/>
  <c r="B201" i="7"/>
  <c r="B192" i="8"/>
  <c r="M201" i="7" a="1"/>
  <c r="M201" i="7" s="1"/>
  <c r="N76" i="7" a="1"/>
  <c r="N76" i="7"/>
  <c r="K76" i="7"/>
  <c r="A144" i="8"/>
  <c r="N66" i="7" a="1"/>
  <c r="N66" i="7" s="1"/>
  <c r="P66" i="7" s="1"/>
  <c r="C66" i="7"/>
  <c r="C204" i="8"/>
  <c r="A204" i="8"/>
  <c r="B66" i="7"/>
  <c r="B204" i="8"/>
  <c r="K66" i="7"/>
  <c r="D178" i="7"/>
  <c r="E178" i="7" s="1"/>
  <c r="B178" i="7"/>
  <c r="A132" i="8"/>
  <c r="D160" i="7"/>
  <c r="E160" i="7" s="1"/>
  <c r="K202" i="7"/>
  <c r="D52" i="7"/>
  <c r="E52" i="7" s="1"/>
  <c r="A171" i="8"/>
  <c r="M137" i="7" a="1"/>
  <c r="M137" i="7" s="1"/>
  <c r="P137" i="7" s="1"/>
  <c r="D137" i="7"/>
  <c r="E137" i="7" s="1"/>
  <c r="D111" i="7"/>
  <c r="E111" i="7" s="1"/>
  <c r="M111" i="7" a="1"/>
  <c r="M111" i="7" s="1"/>
  <c r="A8" i="8"/>
  <c r="N101" i="7" a="1"/>
  <c r="N101" i="7" s="1"/>
  <c r="B86" i="7"/>
  <c r="D86" i="7"/>
  <c r="E86" i="7" s="1"/>
  <c r="M86" i="7" a="1"/>
  <c r="M86" i="7" s="1"/>
  <c r="C86" i="7"/>
  <c r="A14" i="8"/>
  <c r="C186" i="7"/>
  <c r="D186" i="7"/>
  <c r="E186" i="7" s="1"/>
  <c r="K186" i="7"/>
  <c r="F186" i="7"/>
  <c r="M247" i="7" a="1"/>
  <c r="M247" i="7" s="1"/>
  <c r="J247" i="7"/>
  <c r="F243" i="8" s="1"/>
  <c r="O247" i="7"/>
  <c r="Q247" i="7" s="1"/>
  <c r="B247" i="7"/>
  <c r="B243" i="8"/>
  <c r="G247" i="7"/>
  <c r="N212" i="7" a="1"/>
  <c r="N212" i="7"/>
  <c r="P212" i="7" s="1"/>
  <c r="M212" i="7" a="1"/>
  <c r="M212" i="7" s="1"/>
  <c r="C212" i="7"/>
  <c r="C226" i="8"/>
  <c r="K212" i="7"/>
  <c r="B98" i="7"/>
  <c r="A166" i="8"/>
  <c r="K98" i="7"/>
  <c r="A91" i="8"/>
  <c r="D195" i="7"/>
  <c r="E195" i="7" s="1"/>
  <c r="N195" i="7" a="1"/>
  <c r="N195" i="7"/>
  <c r="P195" i="7" s="1"/>
  <c r="N136" i="7" a="1"/>
  <c r="N136" i="7"/>
  <c r="P136" i="7" s="1"/>
  <c r="B136" i="7"/>
  <c r="B156" i="8"/>
  <c r="D136" i="7"/>
  <c r="E136" i="7" s="1"/>
  <c r="C207" i="7"/>
  <c r="C230" i="8"/>
  <c r="B207" i="7"/>
  <c r="B230" i="8"/>
  <c r="N207" i="7" a="1"/>
  <c r="N207" i="7" s="1"/>
  <c r="P207" i="7" s="1"/>
  <c r="M207" i="7" a="1"/>
  <c r="M207" i="7" s="1"/>
  <c r="A215" i="8"/>
  <c r="C218" i="7"/>
  <c r="D218" i="7"/>
  <c r="E218" i="7" s="1"/>
  <c r="B218" i="7"/>
  <c r="M218" i="7" a="1"/>
  <c r="M218" i="7" s="1"/>
  <c r="K218" i="7"/>
  <c r="C174" i="7"/>
  <c r="N174" i="7" a="1"/>
  <c r="N174" i="7"/>
  <c r="N163" i="7" a="1"/>
  <c r="N163" i="7" s="1"/>
  <c r="K163" i="7"/>
  <c r="M163" i="7" a="1"/>
  <c r="M163" i="7" s="1"/>
  <c r="N69" i="7" a="1"/>
  <c r="N69" i="7"/>
  <c r="A30" i="8"/>
  <c r="M106" i="7" a="1"/>
  <c r="M106" i="7" s="1"/>
  <c r="D182" i="7"/>
  <c r="E182" i="7" s="1"/>
  <c r="A201" i="8"/>
  <c r="A68" i="8"/>
  <c r="M25" i="7" a="1"/>
  <c r="M25" i="7" s="1"/>
  <c r="D123" i="7"/>
  <c r="E123" i="7" s="1"/>
  <c r="F123" i="7"/>
  <c r="K150" i="7"/>
  <c r="C150" i="7"/>
  <c r="D150" i="7"/>
  <c r="E150" i="7" s="1"/>
  <c r="N150" i="7" a="1"/>
  <c r="N150" i="7" s="1"/>
  <c r="B132" i="7"/>
  <c r="B160" i="8"/>
  <c r="D132" i="7"/>
  <c r="E132" i="7" s="1"/>
  <c r="B167" i="7"/>
  <c r="K167" i="7"/>
  <c r="A112" i="8"/>
  <c r="K242" i="7"/>
  <c r="A84" i="8"/>
  <c r="D224" i="7"/>
  <c r="E224" i="7" s="1"/>
  <c r="B224" i="7"/>
  <c r="D135" i="7"/>
  <c r="E135" i="7" s="1"/>
  <c r="K135" i="7"/>
  <c r="K133" i="7"/>
  <c r="M133" i="7" a="1"/>
  <c r="M133" i="7" s="1"/>
  <c r="K4" i="7"/>
  <c r="M4" i="7" a="1"/>
  <c r="M4" i="7" s="1"/>
  <c r="C4" i="7"/>
  <c r="A31" i="8"/>
  <c r="K11" i="7"/>
  <c r="K88" i="7"/>
  <c r="C153" i="7"/>
  <c r="K153" i="7"/>
  <c r="B153" i="7"/>
  <c r="C48" i="7"/>
  <c r="A55" i="8"/>
  <c r="D88" i="7"/>
  <c r="E88" i="7" s="1"/>
  <c r="M83" i="7" a="1"/>
  <c r="M83" i="7" s="1"/>
  <c r="K8" i="7"/>
  <c r="M93" i="7" a="1"/>
  <c r="M93" i="7" s="1"/>
  <c r="K93" i="7"/>
  <c r="C20" i="7"/>
  <c r="C184" i="8"/>
  <c r="A184" i="8"/>
  <c r="M126" i="7" a="1"/>
  <c r="M126" i="7" s="1"/>
  <c r="D126" i="7"/>
  <c r="E126" i="7" s="1"/>
  <c r="B193" i="7"/>
  <c r="N193" i="7" a="1"/>
  <c r="N193" i="7"/>
  <c r="M193" i="7" a="1"/>
  <c r="M193" i="7" s="1"/>
  <c r="K193" i="7"/>
  <c r="A104" i="8"/>
  <c r="M121" i="7" a="1"/>
  <c r="M121" i="7" s="1"/>
  <c r="N121" i="7" a="1"/>
  <c r="N121" i="7"/>
  <c r="A81" i="8"/>
  <c r="B223" i="7"/>
  <c r="F223" i="7"/>
  <c r="C223" i="7"/>
  <c r="M77" i="7" a="1"/>
  <c r="M77" i="7" s="1"/>
  <c r="A153" i="8"/>
  <c r="B77" i="7"/>
  <c r="B153" i="8"/>
  <c r="C77" i="7"/>
  <c r="C153" i="8"/>
  <c r="K77" i="7"/>
  <c r="N233" i="7" a="1"/>
  <c r="N233" i="7" s="1"/>
  <c r="P233" i="7" s="1"/>
  <c r="F95" i="7"/>
  <c r="B95" i="7"/>
  <c r="A189" i="8"/>
  <c r="K15" i="7"/>
  <c r="M15" i="7" a="1"/>
  <c r="M15" i="7" s="1"/>
  <c r="M220" i="7" a="1"/>
  <c r="M220" i="7" s="1"/>
  <c r="N220" i="7" a="1"/>
  <c r="N220" i="7" s="1"/>
  <c r="P220" i="7" s="1"/>
  <c r="N183" i="7" a="1"/>
  <c r="N183" i="7" s="1"/>
  <c r="D183" i="7"/>
  <c r="E183" i="7" s="1"/>
  <c r="N10" i="7" a="1"/>
  <c r="N10" i="7" s="1"/>
  <c r="M10" i="7" a="1"/>
  <c r="M10" i="7" s="1"/>
  <c r="A177" i="8"/>
  <c r="B10" i="7"/>
  <c r="D9" i="7"/>
  <c r="E9" i="7" s="1"/>
  <c r="C9" i="7"/>
  <c r="N9" i="7" a="1"/>
  <c r="N9" i="7" s="1"/>
  <c r="P9" i="7" s="1"/>
  <c r="M112" i="7" a="1"/>
  <c r="M112" i="7" s="1"/>
  <c r="C112" i="7"/>
  <c r="B112" i="7"/>
  <c r="C144" i="7"/>
  <c r="C123" i="8"/>
  <c r="K144" i="7"/>
  <c r="M144" i="7" a="1"/>
  <c r="M144" i="7" s="1"/>
  <c r="P144" i="7"/>
  <c r="A123" i="8"/>
  <c r="B144" i="7"/>
  <c r="F42" i="7"/>
  <c r="A182" i="8"/>
  <c r="K148" i="7"/>
  <c r="N84" i="7" a="1"/>
  <c r="N84" i="7"/>
  <c r="P84" i="7" s="1"/>
  <c r="M84" i="7" a="1"/>
  <c r="M84" i="7" s="1"/>
  <c r="D214" i="7"/>
  <c r="E214" i="7" s="1"/>
  <c r="C214" i="7"/>
  <c r="C117" i="8"/>
  <c r="C210" i="7"/>
  <c r="C245" i="8"/>
  <c r="N210" i="7" a="1"/>
  <c r="N210" i="7"/>
  <c r="P210" i="7" s="1"/>
  <c r="C155" i="7"/>
  <c r="N155" i="7" a="1"/>
  <c r="N155" i="7" s="1"/>
  <c r="P155" i="7" s="1"/>
  <c r="A208" i="8"/>
  <c r="K70" i="7"/>
  <c r="M24" i="7" a="1"/>
  <c r="M24" i="7" s="1"/>
  <c r="A105" i="8"/>
  <c r="M80" i="7" a="1"/>
  <c r="M80" i="7" s="1"/>
  <c r="N80" i="7" a="1"/>
  <c r="N80" i="7"/>
  <c r="K80" i="7"/>
  <c r="N232" i="7" a="1"/>
  <c r="N232" i="7"/>
  <c r="C232" i="7"/>
  <c r="N244" i="7" a="1"/>
  <c r="N244" i="7"/>
  <c r="K244" i="7"/>
  <c r="K114" i="7"/>
  <c r="C114" i="7"/>
  <c r="M81" i="7" a="1"/>
  <c r="M81" i="7" s="1"/>
  <c r="N81" i="7" a="1"/>
  <c r="N81" i="7"/>
  <c r="N16" i="7" a="1"/>
  <c r="N16" i="7"/>
  <c r="P16" i="7"/>
  <c r="A13" i="8"/>
  <c r="B169" i="7"/>
  <c r="C169" i="7"/>
  <c r="B97" i="7"/>
  <c r="D230" i="7"/>
  <c r="E230" i="7" s="1"/>
  <c r="K158" i="7"/>
  <c r="A191" i="8"/>
  <c r="B67" i="7"/>
  <c r="N103" i="7" a="1"/>
  <c r="N103" i="7" s="1"/>
  <c r="P103" i="7" s="1"/>
  <c r="D26" i="7"/>
  <c r="E26" i="7" s="1"/>
  <c r="K16" i="7"/>
  <c r="M155" i="7" a="1"/>
  <c r="M155" i="7" s="1"/>
  <c r="M70" i="7" a="1"/>
  <c r="M70" i="7" s="1"/>
  <c r="P70" i="7" s="1"/>
  <c r="N36" i="7" a="1"/>
  <c r="N36" i="7"/>
  <c r="P36" i="7"/>
  <c r="D67" i="7"/>
  <c r="E67" i="7" s="1"/>
  <c r="B35" i="7"/>
  <c r="M191" i="7" a="1"/>
  <c r="M191" i="7" s="1"/>
  <c r="P191" i="7" s="1"/>
  <c r="A114" i="8"/>
  <c r="K232" i="7"/>
  <c r="B81" i="7"/>
  <c r="M105" i="7" a="1"/>
  <c r="M105" i="7" s="1"/>
  <c r="D58" i="7"/>
  <c r="E58" i="7" s="1"/>
  <c r="B179" i="7"/>
  <c r="K179" i="7"/>
  <c r="K215" i="7"/>
  <c r="A161" i="8"/>
  <c r="N192" i="7" a="1"/>
  <c r="N192" i="7" s="1"/>
  <c r="P192" i="7"/>
  <c r="B192" i="7"/>
  <c r="C124" i="7"/>
  <c r="M124" i="7" a="1"/>
  <c r="M124" i="7" s="1"/>
  <c r="D61" i="7"/>
  <c r="E61" i="7" s="1"/>
  <c r="K229" i="7"/>
  <c r="C229" i="7"/>
  <c r="C60" i="8"/>
  <c r="D229" i="7"/>
  <c r="E229" i="7" s="1"/>
  <c r="F104" i="7"/>
  <c r="F207" i="7"/>
  <c r="N187" i="7" a="1"/>
  <c r="N187" i="7"/>
  <c r="A42" i="8"/>
  <c r="M187" i="7" a="1"/>
  <c r="M187" i="7" s="1"/>
  <c r="C187" i="7"/>
  <c r="A101" i="8"/>
  <c r="B142" i="7"/>
  <c r="M142" i="7" a="1"/>
  <c r="M142" i="7" s="1"/>
  <c r="A35" i="8"/>
  <c r="C142" i="7"/>
  <c r="D142" i="7"/>
  <c r="E142" i="7" s="1"/>
  <c r="M6" i="7" a="1"/>
  <c r="M6" i="7" s="1"/>
  <c r="K6" i="7"/>
  <c r="C6" i="7"/>
  <c r="C218" i="8"/>
  <c r="D6" i="7"/>
  <c r="E6" i="7" s="1"/>
  <c r="A218" i="8"/>
  <c r="N6" i="7" a="1"/>
  <c r="N6" i="7" s="1"/>
  <c r="P6" i="7" s="1"/>
  <c r="B6" i="7"/>
  <c r="B218" i="8"/>
  <c r="M194" i="7" a="1"/>
  <c r="M194" i="7" s="1"/>
  <c r="K194" i="7"/>
  <c r="C194" i="7"/>
  <c r="F194" i="7"/>
  <c r="B194" i="7"/>
  <c r="N17" i="7" a="1"/>
  <c r="N17" i="7"/>
  <c r="D17" i="7"/>
  <c r="E17" i="7" s="1"/>
  <c r="K17" i="7"/>
  <c r="C17" i="7"/>
  <c r="B17" i="7"/>
  <c r="B25" i="8"/>
  <c r="M17" i="7" a="1"/>
  <c r="M17" i="7" s="1"/>
  <c r="P17" i="7" s="1"/>
  <c r="B157" i="7"/>
  <c r="A85" i="8"/>
  <c r="M157" i="7" a="1"/>
  <c r="M157" i="7" s="1"/>
  <c r="D157" i="7"/>
  <c r="E157" i="7" s="1"/>
  <c r="B181" i="7"/>
  <c r="D181" i="7"/>
  <c r="E181" i="7" s="1"/>
  <c r="M181" i="7" a="1"/>
  <c r="M181" i="7" s="1"/>
  <c r="C181" i="7"/>
  <c r="K181" i="7"/>
  <c r="A126" i="8"/>
  <c r="D197" i="7"/>
  <c r="E197" i="7" s="1"/>
  <c r="C197" i="7"/>
  <c r="K197" i="7"/>
  <c r="B197" i="7"/>
  <c r="N197" i="7" a="1"/>
  <c r="N197" i="7" s="1"/>
  <c r="B57" i="7"/>
  <c r="B83" i="8"/>
  <c r="K57" i="7"/>
  <c r="F57" i="7"/>
  <c r="D57" i="7"/>
  <c r="E57" i="7" s="1"/>
  <c r="K99" i="7"/>
  <c r="B99" i="7"/>
  <c r="A83" i="8"/>
  <c r="D99" i="7"/>
  <c r="E99" i="7" s="1"/>
  <c r="M99" i="7" a="1"/>
  <c r="M99" i="7" s="1"/>
  <c r="C68" i="7"/>
  <c r="A94" i="8"/>
  <c r="N189" i="7" a="1"/>
  <c r="N189" i="7"/>
  <c r="P189" i="7" s="1"/>
  <c r="B189" i="7"/>
  <c r="N165" i="7" a="1"/>
  <c r="N165" i="7" s="1"/>
  <c r="P165" i="7" s="1"/>
  <c r="K165" i="7"/>
  <c r="D162" i="7"/>
  <c r="E162" i="7" s="1"/>
  <c r="F199" i="7"/>
  <c r="D144" i="7"/>
  <c r="E144" i="7" s="1"/>
  <c r="B165" i="7"/>
  <c r="B200" i="8"/>
  <c r="C165" i="7"/>
  <c r="C54" i="8"/>
  <c r="C200" i="8"/>
  <c r="A23" i="8"/>
  <c r="M168" i="7" a="1"/>
  <c r="M168" i="7" s="1"/>
  <c r="N199" i="7" a="1"/>
  <c r="N199" i="7"/>
  <c r="P199" i="7" s="1"/>
  <c r="C137" i="7"/>
  <c r="C168" i="7"/>
  <c r="D226" i="7"/>
  <c r="E226" i="7" s="1"/>
  <c r="B41" i="7"/>
  <c r="M41" i="7" a="1"/>
  <c r="M41" i="7" s="1"/>
  <c r="A247" i="8"/>
  <c r="F245" i="7"/>
  <c r="A103" i="8"/>
  <c r="C199" i="7"/>
  <c r="C223" i="8"/>
  <c r="N128" i="7" a="1"/>
  <c r="N128" i="7" s="1"/>
  <c r="D98" i="7"/>
  <c r="E98" i="7" s="1"/>
  <c r="H98" i="7" s="1"/>
  <c r="K34" i="7"/>
  <c r="F87" i="7"/>
  <c r="C34" i="7"/>
  <c r="C142" i="8"/>
  <c r="N87" i="7" a="1"/>
  <c r="N87" i="7"/>
  <c r="K87" i="7"/>
  <c r="B34" i="7"/>
  <c r="B142" i="8"/>
  <c r="C87" i="7"/>
  <c r="A24" i="8"/>
  <c r="N162" i="7" a="1"/>
  <c r="N162" i="7"/>
  <c r="B162" i="7"/>
  <c r="N148" i="7" a="1"/>
  <c r="N148" i="7"/>
  <c r="P148" i="7" s="1"/>
  <c r="A217" i="8"/>
  <c r="N26" i="7" a="1"/>
  <c r="N26" i="7" s="1"/>
  <c r="A65" i="8"/>
  <c r="C192" i="7"/>
  <c r="D12" i="7"/>
  <c r="E12" i="7" s="1"/>
  <c r="N15" i="7" a="1"/>
  <c r="N15" i="7"/>
  <c r="P15" i="7" s="1"/>
  <c r="B7" i="7"/>
  <c r="B73" i="8"/>
  <c r="A73" i="8"/>
  <c r="N34" i="7" a="1"/>
  <c r="N34" i="7"/>
  <c r="P34" i="7" s="1"/>
  <c r="D91" i="7"/>
  <c r="E91" i="7" s="1"/>
  <c r="A120" i="8"/>
  <c r="A18" i="8"/>
  <c r="M88" i="7" a="1"/>
  <c r="M88" i="7" s="1"/>
  <c r="C74" i="7"/>
  <c r="C154" i="8"/>
  <c r="A154" i="8"/>
  <c r="K97" i="7"/>
  <c r="A228" i="8"/>
  <c r="K203" i="7"/>
  <c r="C162" i="7"/>
  <c r="A48" i="8"/>
  <c r="B18" i="7"/>
  <c r="A110" i="8"/>
  <c r="M224" i="7" a="1"/>
  <c r="M224" i="7" s="1"/>
  <c r="G214" i="7"/>
  <c r="F183" i="7"/>
  <c r="A102" i="8"/>
  <c r="N45" i="7" a="1"/>
  <c r="N45" i="7"/>
  <c r="D45" i="7"/>
  <c r="E45" i="7" s="1"/>
  <c r="M45" i="7" a="1"/>
  <c r="M45" i="7" s="1"/>
  <c r="B45" i="7"/>
  <c r="K45" i="7"/>
  <c r="C45" i="7"/>
  <c r="A16" i="8"/>
  <c r="C75" i="7"/>
  <c r="M206" i="7" a="1"/>
  <c r="M206" i="7" s="1"/>
  <c r="K206" i="7"/>
  <c r="N206" i="7" a="1"/>
  <c r="N206" i="7"/>
  <c r="P206" i="7"/>
  <c r="C206" i="7"/>
  <c r="C237" i="8"/>
  <c r="F206" i="7"/>
  <c r="A237" i="8"/>
  <c r="B206" i="7"/>
  <c r="B237" i="8"/>
  <c r="N75" i="7" a="1"/>
  <c r="N75" i="7"/>
  <c r="M75" i="7" a="1"/>
  <c r="M75" i="7" s="1"/>
  <c r="P75" i="7" s="1"/>
  <c r="B75" i="7"/>
  <c r="K75" i="7"/>
  <c r="A231" i="8"/>
  <c r="M151" i="7" a="1"/>
  <c r="M151" i="7" s="1"/>
  <c r="N151" i="7" a="1"/>
  <c r="N151" i="7"/>
  <c r="K151" i="7"/>
  <c r="B151" i="7"/>
  <c r="B231" i="8"/>
  <c r="D151" i="7"/>
  <c r="E151" i="7" s="1"/>
  <c r="C151" i="7"/>
  <c r="C231" i="8"/>
  <c r="M175" i="7" a="1"/>
  <c r="M175" i="7" s="1"/>
  <c r="N175" i="7" a="1"/>
  <c r="N175" i="7"/>
  <c r="D175" i="7"/>
  <c r="E175" i="7" s="1"/>
  <c r="F19" i="7"/>
  <c r="F16" i="7"/>
  <c r="F47" i="7"/>
  <c r="X47" i="6"/>
  <c r="N79" i="7" a="1"/>
  <c r="N79" i="7" s="1"/>
  <c r="M79" i="7" a="1"/>
  <c r="M79" i="7" s="1"/>
  <c r="A159" i="8"/>
  <c r="K110" i="7"/>
  <c r="M110" i="7" a="1"/>
  <c r="M110" i="7" s="1"/>
  <c r="N110" i="7" a="1"/>
  <c r="N110" i="7" s="1"/>
  <c r="P110" i="7" s="1"/>
  <c r="C110" i="7"/>
  <c r="C159" i="8"/>
  <c r="B110" i="7"/>
  <c r="B159" i="8"/>
  <c r="A92" i="8"/>
  <c r="D161" i="7"/>
  <c r="E161" i="7" s="1"/>
  <c r="N161" i="7" a="1"/>
  <c r="N161" i="7" s="1"/>
  <c r="M161" i="7" a="1"/>
  <c r="M161" i="7" s="1"/>
  <c r="C161" i="7"/>
  <c r="C92" i="8"/>
  <c r="B161" i="7"/>
  <c r="B92" i="8"/>
  <c r="K33" i="7"/>
  <c r="F33" i="7"/>
  <c r="N33" i="7" a="1"/>
  <c r="N33" i="7" s="1"/>
  <c r="P33" i="7" s="1"/>
  <c r="K152" i="7"/>
  <c r="C152" i="7"/>
  <c r="B152" i="7"/>
  <c r="B157" i="8"/>
  <c r="N152" i="7" a="1"/>
  <c r="N152" i="7"/>
  <c r="P152" i="7"/>
  <c r="A157" i="8"/>
  <c r="D152" i="7"/>
  <c r="E152" i="7" s="1"/>
  <c r="C227" i="7"/>
  <c r="M227" i="7" a="1"/>
  <c r="M227" i="7" s="1"/>
  <c r="A96" i="8"/>
  <c r="D227" i="7"/>
  <c r="E227" i="7" s="1"/>
  <c r="B227" i="7"/>
  <c r="K227" i="7"/>
  <c r="N227" i="7" a="1"/>
  <c r="N227" i="7" s="1"/>
  <c r="M96" i="7" a="1"/>
  <c r="M96" i="7" s="1"/>
  <c r="K96" i="7"/>
  <c r="A115" i="8"/>
  <c r="B96" i="7"/>
  <c r="D96" i="7"/>
  <c r="E96" i="7" s="1"/>
  <c r="D10" i="7"/>
  <c r="E10" i="7" s="1"/>
  <c r="N38" i="7" a="1"/>
  <c r="N38" i="7"/>
  <c r="P38" i="7" s="1"/>
  <c r="B38" i="7"/>
  <c r="B150" i="8"/>
  <c r="C38" i="7"/>
  <c r="C150" i="8"/>
  <c r="A143" i="8"/>
  <c r="D159" i="7"/>
  <c r="E159" i="7" s="1"/>
  <c r="N159" i="7" a="1"/>
  <c r="N159" i="7"/>
  <c r="P159" i="7" s="1"/>
  <c r="K159" i="7"/>
  <c r="B159" i="7"/>
  <c r="B143" i="8"/>
  <c r="F159" i="7"/>
  <c r="M159" i="7" a="1"/>
  <c r="M159" i="7" s="1"/>
  <c r="C159" i="7"/>
  <c r="C143" i="8"/>
  <c r="C96" i="7"/>
  <c r="C115" i="8"/>
  <c r="B22" i="7"/>
  <c r="B101" i="8"/>
  <c r="M73" i="7" a="1"/>
  <c r="M73" i="7" s="1"/>
  <c r="N22" i="7" a="1"/>
  <c r="N22" i="7"/>
  <c r="D92" i="7"/>
  <c r="E92" i="7" s="1"/>
  <c r="M122" i="7" a="1"/>
  <c r="M122" i="7" s="1"/>
  <c r="N122" i="7" a="1"/>
  <c r="N122" i="7" s="1"/>
  <c r="P122" i="7" s="1"/>
  <c r="K223" i="7"/>
  <c r="M223" i="7" a="1"/>
  <c r="M223" i="7" s="1"/>
  <c r="A33" i="8"/>
  <c r="M102" i="7" a="1"/>
  <c r="M102" i="7" s="1"/>
  <c r="B72" i="7"/>
  <c r="N72" i="7" a="1"/>
  <c r="N72" i="7"/>
  <c r="P72" i="7" s="1"/>
  <c r="A60" i="8"/>
  <c r="K69" i="7"/>
  <c r="M69" i="7" a="1"/>
  <c r="M69" i="7" s="1"/>
  <c r="D69" i="7"/>
  <c r="E69" i="7" s="1"/>
  <c r="C69" i="7"/>
  <c r="C30" i="8"/>
  <c r="K51" i="7"/>
  <c r="M230" i="7" a="1"/>
  <c r="M230" i="7" s="1"/>
  <c r="K230" i="7"/>
  <c r="N230" i="7" a="1"/>
  <c r="N230" i="7"/>
  <c r="A130" i="8"/>
  <c r="N149" i="7" a="1"/>
  <c r="N149" i="7"/>
  <c r="P149" i="7" s="1"/>
  <c r="B106" i="7"/>
  <c r="B58" i="8"/>
  <c r="K146" i="7"/>
  <c r="B146" i="7"/>
  <c r="B152" i="8"/>
  <c r="B188" i="7"/>
  <c r="B7" i="8"/>
  <c r="K188" i="7"/>
  <c r="M188" i="7" a="1"/>
  <c r="M188" i="7" s="1"/>
  <c r="P188" i="7" s="1"/>
  <c r="B120" i="7"/>
  <c r="B126" i="8"/>
  <c r="B121" i="8"/>
  <c r="C120" i="7"/>
  <c r="C204" i="7"/>
  <c r="D199" i="7"/>
  <c r="E199" i="7" s="1"/>
  <c r="C233" i="7"/>
  <c r="A224" i="8"/>
  <c r="N46" i="7" a="1"/>
  <c r="N46" i="7"/>
  <c r="P46" i="7"/>
  <c r="C46" i="7"/>
  <c r="C116" i="8"/>
  <c r="D46" i="7"/>
  <c r="E46" i="7" s="1"/>
  <c r="C234" i="7"/>
  <c r="K234" i="7"/>
  <c r="A174" i="8"/>
  <c r="N7" i="7" a="1"/>
  <c r="N7" i="7"/>
  <c r="M237" i="7" a="1"/>
  <c r="M237" i="7" s="1"/>
  <c r="C237" i="7"/>
  <c r="C244" i="8"/>
  <c r="M100" i="7" a="1"/>
  <c r="M100" i="7" s="1"/>
  <c r="K100" i="7"/>
  <c r="A43" i="8"/>
  <c r="N56" i="7" a="1"/>
  <c r="N56" i="7" s="1"/>
  <c r="P56" i="7" s="1"/>
  <c r="K56" i="7"/>
  <c r="A216" i="8"/>
  <c r="C93" i="7"/>
  <c r="N140" i="7" a="1"/>
  <c r="N140" i="7" s="1"/>
  <c r="C140" i="7"/>
  <c r="M140" i="7" a="1"/>
  <c r="M140" i="7" s="1"/>
  <c r="K85" i="7"/>
  <c r="C85" i="7"/>
  <c r="C167" i="8"/>
  <c r="M85" i="7" a="1"/>
  <c r="M85" i="7" s="1"/>
  <c r="M74" i="7" a="1"/>
  <c r="M74" i="7" s="1"/>
  <c r="A206" i="8"/>
  <c r="N51" i="7" a="1"/>
  <c r="N51" i="7"/>
  <c r="P51" i="7"/>
  <c r="B51" i="7"/>
  <c r="N126" i="7" a="1"/>
  <c r="N126" i="7"/>
  <c r="K126" i="7"/>
  <c r="A69" i="8"/>
  <c r="C126" i="7"/>
  <c r="C22" i="7"/>
  <c r="M22" i="7" a="1"/>
  <c r="M22" i="7" s="1"/>
  <c r="K22" i="7"/>
  <c r="B92" i="7"/>
  <c r="M92" i="7" a="1"/>
  <c r="M92" i="7" s="1"/>
  <c r="C92" i="7"/>
  <c r="N92" i="7" a="1"/>
  <c r="N92" i="7"/>
  <c r="M53" i="7" a="1"/>
  <c r="M53" i="7" s="1"/>
  <c r="N53" i="7" a="1"/>
  <c r="N53" i="7"/>
  <c r="P53" i="7"/>
  <c r="D53" i="7"/>
  <c r="E53" i="7" s="1"/>
  <c r="F168" i="7"/>
  <c r="D42" i="7"/>
  <c r="E42" i="7" s="1"/>
  <c r="F171" i="7"/>
  <c r="F191" i="7"/>
  <c r="M7" i="7" a="1"/>
  <c r="M7" i="7" s="1"/>
  <c r="P7" i="7" s="1"/>
  <c r="A199" i="8"/>
  <c r="M11" i="7" a="1"/>
  <c r="M11" i="7" s="1"/>
  <c r="P11" i="7" s="1"/>
  <c r="C196" i="7"/>
  <c r="C235" i="8"/>
  <c r="M196" i="7" a="1"/>
  <c r="M196" i="7" s="1"/>
  <c r="B196" i="7"/>
  <c r="C147" i="7"/>
  <c r="C172" i="8"/>
  <c r="M147" i="7" a="1"/>
  <c r="M147" i="7" s="1"/>
  <c r="A64" i="8"/>
  <c r="N40" i="7" a="1"/>
  <c r="N40" i="7"/>
  <c r="M40" i="7" a="1"/>
  <c r="M40" i="7" s="1"/>
  <c r="C238" i="7"/>
  <c r="C113" i="8"/>
  <c r="A113" i="8"/>
  <c r="C179" i="7"/>
  <c r="C90" i="8"/>
  <c r="N179" i="7" a="1"/>
  <c r="N179" i="7"/>
  <c r="P179" i="7"/>
  <c r="A236" i="8"/>
  <c r="D220" i="7"/>
  <c r="E220" i="7" s="1"/>
  <c r="C154" i="7"/>
  <c r="D154" i="7"/>
  <c r="E154" i="7" s="1"/>
  <c r="B154" i="7"/>
  <c r="M154" i="7" a="1"/>
  <c r="M154" i="7" s="1"/>
  <c r="M101" i="7" a="1"/>
  <c r="M101" i="7" s="1"/>
  <c r="K101" i="7"/>
  <c r="C101" i="7"/>
  <c r="B101" i="7"/>
  <c r="B65" i="7"/>
  <c r="A205" i="8"/>
  <c r="K213" i="7"/>
  <c r="B213" i="7"/>
  <c r="B205" i="8"/>
  <c r="M213" i="7" a="1"/>
  <c r="M213" i="7" s="1"/>
  <c r="M215" i="7" a="1"/>
  <c r="M215" i="7" s="1"/>
  <c r="P215" i="7" s="1"/>
  <c r="C215" i="7"/>
  <c r="C161" i="8"/>
  <c r="B215" i="7"/>
  <c r="D119" i="7"/>
  <c r="E119" i="7" s="1"/>
  <c r="B119" i="7"/>
  <c r="K119" i="7"/>
  <c r="A66" i="8"/>
  <c r="K211" i="7"/>
  <c r="N211" i="7" a="1"/>
  <c r="N211" i="7"/>
  <c r="P211" i="7" s="1"/>
  <c r="A238" i="8"/>
  <c r="N229" i="7" a="1"/>
  <c r="N229" i="7" s="1"/>
  <c r="M229" i="7" a="1"/>
  <c r="M229" i="7" s="1"/>
  <c r="P229" i="7" s="1"/>
  <c r="B246" i="7"/>
  <c r="B242" i="8"/>
  <c r="A242" i="8"/>
  <c r="N246" i="7" a="1"/>
  <c r="N246" i="7" s="1"/>
  <c r="M246" i="7" a="1"/>
  <c r="M246" i="7" s="1"/>
  <c r="B124" i="7"/>
  <c r="B60" i="8"/>
  <c r="D124" i="7"/>
  <c r="E124" i="7" s="1"/>
  <c r="N124" i="7" a="1"/>
  <c r="N124" i="7" s="1"/>
  <c r="C135" i="7"/>
  <c r="M135" i="7" a="1"/>
  <c r="M135" i="7" s="1"/>
  <c r="P135" i="7" s="1"/>
  <c r="N142" i="7" a="1"/>
  <c r="N142" i="7"/>
  <c r="K142" i="7"/>
  <c r="N186" i="7" a="1"/>
  <c r="N186" i="7"/>
  <c r="B186" i="7"/>
  <c r="B123" i="8"/>
  <c r="M186" i="7" a="1"/>
  <c r="M186" i="7" s="1"/>
  <c r="P186" i="7" s="1"/>
  <c r="F242" i="7"/>
  <c r="D194" i="7"/>
  <c r="E194" i="7" s="1"/>
  <c r="N194" i="7" a="1"/>
  <c r="N194" i="7" s="1"/>
  <c r="P194" i="7" s="1"/>
  <c r="A22" i="8"/>
  <c r="M57" i="7" a="1"/>
  <c r="M57" i="7" s="1"/>
  <c r="C57" i="7"/>
  <c r="B87" i="7"/>
  <c r="M87" i="7" a="1"/>
  <c r="M87" i="7" s="1"/>
  <c r="P87" i="7" s="1"/>
  <c r="C139" i="7"/>
  <c r="B58" i="7"/>
  <c r="A222" i="8"/>
  <c r="D104" i="7"/>
  <c r="E104" i="7" s="1"/>
  <c r="B187" i="7"/>
  <c r="B42" i="8"/>
  <c r="K187" i="7"/>
  <c r="N37" i="7" a="1"/>
  <c r="N37" i="7" s="1"/>
  <c r="P37" i="7" s="1"/>
  <c r="C44" i="7"/>
  <c r="C162" i="8"/>
  <c r="K44" i="7"/>
  <c r="B150" i="7"/>
  <c r="B183" i="8"/>
  <c r="M150" i="7" a="1"/>
  <c r="M150" i="7" s="1"/>
  <c r="D185" i="7"/>
  <c r="E185" i="7" s="1"/>
  <c r="N185" i="7" a="1"/>
  <c r="N185" i="7" s="1"/>
  <c r="M185" i="7" a="1"/>
  <c r="M185" i="7" s="1"/>
  <c r="N216" i="7" a="1"/>
  <c r="N216" i="7" s="1"/>
  <c r="P216" i="7" s="1"/>
  <c r="D77" i="7"/>
  <c r="E77" i="7" s="1"/>
  <c r="D82" i="7"/>
  <c r="E82" i="7" s="1"/>
  <c r="A207" i="8"/>
  <c r="B166" i="7"/>
  <c r="B148" i="8"/>
  <c r="M166" i="7" a="1"/>
  <c r="M166" i="7" s="1"/>
  <c r="C125" i="7"/>
  <c r="A5" i="8"/>
  <c r="M125" i="7" a="1"/>
  <c r="M125" i="7" s="1"/>
  <c r="F125" i="7"/>
  <c r="B125" i="7"/>
  <c r="N125" i="7" a="1"/>
  <c r="N125" i="7"/>
  <c r="C170" i="7"/>
  <c r="A232" i="8"/>
  <c r="M138" i="7" a="1"/>
  <c r="M138" i="7" s="1"/>
  <c r="D138" i="7"/>
  <c r="E138" i="7" s="1"/>
  <c r="N138" i="7" a="1"/>
  <c r="N138" i="7"/>
  <c r="D115" i="7"/>
  <c r="E115" i="7" s="1"/>
  <c r="A190" i="8"/>
  <c r="N52" i="7" a="1"/>
  <c r="N52" i="7"/>
  <c r="P52" i="7" s="1"/>
  <c r="B52" i="7"/>
  <c r="B190" i="8"/>
  <c r="K52" i="7"/>
  <c r="M52" i="7" a="1"/>
  <c r="M52" i="7" s="1"/>
  <c r="K208" i="7"/>
  <c r="A241" i="8"/>
  <c r="M19" i="7" a="1"/>
  <c r="M19" i="7" s="1"/>
  <c r="C19" i="7"/>
  <c r="B19" i="7"/>
  <c r="N19" i="7" a="1"/>
  <c r="N19" i="7" s="1"/>
  <c r="K185" i="7"/>
  <c r="A181" i="8"/>
  <c r="B143" i="7"/>
  <c r="B93" i="8"/>
  <c r="D141" i="7"/>
  <c r="E141" i="7" s="1"/>
  <c r="A17" i="8"/>
  <c r="F141" i="7"/>
  <c r="M141" i="7" a="1"/>
  <c r="M141" i="7" s="1"/>
  <c r="P141" i="7" s="1"/>
  <c r="C141" i="7"/>
  <c r="C5" i="7"/>
  <c r="C89" i="8"/>
  <c r="A89" i="8"/>
  <c r="M5" i="7" a="1"/>
  <c r="M5" i="7" s="1"/>
  <c r="P5" i="7" s="1"/>
  <c r="K5" i="7"/>
  <c r="B5" i="7"/>
  <c r="K175" i="7"/>
  <c r="B175" i="7"/>
  <c r="A50" i="8"/>
  <c r="C175" i="7"/>
  <c r="K27" i="7"/>
  <c r="M27" i="7" a="1"/>
  <c r="M27" i="7" s="1"/>
  <c r="A214" i="8"/>
  <c r="N173" i="7" a="1"/>
  <c r="N173" i="7" s="1"/>
  <c r="C173" i="7"/>
  <c r="B173" i="7"/>
  <c r="B214" i="8"/>
  <c r="K173" i="7"/>
  <c r="C32" i="7"/>
  <c r="C219" i="8"/>
  <c r="D240" i="7"/>
  <c r="E240" i="7" s="1"/>
  <c r="M32" i="7" a="1"/>
  <c r="M32" i="7" s="1"/>
  <c r="F32" i="7"/>
  <c r="K32" i="7"/>
  <c r="C185" i="7"/>
  <c r="M33" i="7" a="1"/>
  <c r="M33" i="7" s="1"/>
  <c r="D33" i="7"/>
  <c r="E33" i="7" s="1"/>
  <c r="B33" i="7"/>
  <c r="B213" i="8"/>
  <c r="D62" i="7"/>
  <c r="E62" i="7" s="1"/>
  <c r="M123" i="7" a="1"/>
  <c r="M123" i="7" s="1"/>
  <c r="A221" i="8"/>
  <c r="K123" i="7"/>
  <c r="C123" i="7"/>
  <c r="A195" i="8"/>
  <c r="N14" i="7" a="1"/>
  <c r="N14" i="7"/>
  <c r="P14" i="7" s="1"/>
  <c r="K124" i="7"/>
  <c r="K201" i="7"/>
  <c r="K53" i="7"/>
  <c r="N41" i="7" a="1"/>
  <c r="N41" i="7"/>
  <c r="K41" i="7"/>
  <c r="A77" i="8"/>
  <c r="K120" i="7"/>
  <c r="M120" i="7" a="1"/>
  <c r="M120" i="7" s="1"/>
  <c r="B15" i="7"/>
  <c r="B189" i="8"/>
  <c r="D15" i="7"/>
  <c r="E15" i="7" s="1"/>
  <c r="C15" i="7"/>
  <c r="C189" i="8"/>
  <c r="K79" i="7"/>
  <c r="K237" i="7"/>
  <c r="B237" i="7"/>
  <c r="B244" i="8"/>
  <c r="D76" i="7"/>
  <c r="E76" i="7" s="1"/>
  <c r="D206" i="7"/>
  <c r="E206" i="7" s="1"/>
  <c r="C118" i="7"/>
  <c r="B30" i="7"/>
  <c r="A44" i="8"/>
  <c r="K130" i="7"/>
  <c r="A239" i="8"/>
  <c r="K122" i="7"/>
  <c r="D187" i="7"/>
  <c r="E187" i="7" s="1"/>
  <c r="G178" i="7"/>
  <c r="M28" i="7" a="1"/>
  <c r="M28" i="7" s="1"/>
  <c r="A28" i="8"/>
  <c r="C177" i="7"/>
  <c r="C194" i="8"/>
  <c r="M177" i="7" a="1"/>
  <c r="M177" i="7" s="1"/>
  <c r="K184" i="7"/>
  <c r="C182" i="7"/>
  <c r="D102" i="7"/>
  <c r="E102" i="7" s="1"/>
  <c r="K182" i="7"/>
  <c r="B182" i="7"/>
  <c r="A176" i="8"/>
  <c r="C64" i="7"/>
  <c r="K64" i="7"/>
  <c r="N64" i="7" a="1"/>
  <c r="N64" i="7" s="1"/>
  <c r="D64" i="7"/>
  <c r="E64" i="7" s="1"/>
  <c r="M64" i="7" a="1"/>
  <c r="M64" i="7" s="1"/>
  <c r="P64" i="7" s="1"/>
  <c r="N234" i="7" a="1"/>
  <c r="N234" i="7"/>
  <c r="M234" i="7" a="1"/>
  <c r="M234" i="7" s="1"/>
  <c r="P234" i="7" s="1"/>
  <c r="C99" i="7"/>
  <c r="C83" i="8"/>
  <c r="N99" i="7" a="1"/>
  <c r="N99" i="7" s="1"/>
  <c r="M205" i="7" a="1"/>
  <c r="M205" i="7" s="1"/>
  <c r="C205" i="7"/>
  <c r="C67" i="8"/>
  <c r="C65" i="7"/>
  <c r="D65" i="7"/>
  <c r="E65" i="7" s="1"/>
  <c r="A108" i="8"/>
  <c r="N177" i="7" a="1"/>
  <c r="N177" i="7"/>
  <c r="B147" i="7"/>
  <c r="B172" i="8"/>
  <c r="N147" i="7" a="1"/>
  <c r="N147" i="7" s="1"/>
  <c r="A172" i="8"/>
  <c r="K38" i="7"/>
  <c r="M38" i="7" a="1"/>
  <c r="M38" i="7" s="1"/>
  <c r="K82" i="7"/>
  <c r="D4" i="7"/>
  <c r="E4" i="7" s="1"/>
  <c r="C82" i="7"/>
  <c r="C32" i="8"/>
  <c r="A32" i="8"/>
  <c r="K61" i="7"/>
  <c r="N61" i="7" a="1"/>
  <c r="N61" i="7" s="1"/>
  <c r="P61" i="7" s="1"/>
  <c r="M200" i="7" a="1"/>
  <c r="M200" i="7" s="1"/>
  <c r="D177" i="7"/>
  <c r="E177" i="7" s="1"/>
  <c r="N143" i="7" a="1"/>
  <c r="N143" i="7"/>
  <c r="A93" i="8"/>
  <c r="A86" i="8"/>
  <c r="B185" i="7"/>
  <c r="B86" i="8"/>
  <c r="B174" i="7"/>
  <c r="D174" i="7"/>
  <c r="E174" i="7" s="1"/>
  <c r="A34" i="8"/>
  <c r="K81" i="7"/>
  <c r="A29" i="8"/>
  <c r="C202" i="7"/>
  <c r="K134" i="7"/>
  <c r="B199" i="7"/>
  <c r="B223" i="8"/>
  <c r="K199" i="7"/>
  <c r="A223" i="8"/>
  <c r="M199" i="7" a="1"/>
  <c r="M199" i="7" s="1"/>
  <c r="D112" i="7"/>
  <c r="E112" i="7" s="1"/>
  <c r="K112" i="7"/>
  <c r="N116" i="7" a="1"/>
  <c r="N116" i="7" s="1"/>
  <c r="C116" i="7"/>
  <c r="C62" i="8"/>
  <c r="M116" i="7" a="1"/>
  <c r="M116" i="7" s="1"/>
  <c r="A62" i="8"/>
  <c r="C247" i="7"/>
  <c r="C243" i="8"/>
  <c r="K247" i="7"/>
  <c r="M182" i="7" a="1"/>
  <c r="M182" i="7" s="1"/>
  <c r="P182" i="7" s="1"/>
  <c r="M173" i="7" a="1"/>
  <c r="M173" i="7" s="1"/>
  <c r="B226" i="7"/>
  <c r="A15" i="8"/>
  <c r="A134" i="8"/>
  <c r="A233" i="8"/>
  <c r="C222" i="7"/>
  <c r="C233" i="8"/>
  <c r="N111" i="7" a="1"/>
  <c r="N111" i="7" s="1"/>
  <c r="K111" i="7"/>
  <c r="M171" i="7" a="1"/>
  <c r="M171" i="7" s="1"/>
  <c r="D171" i="7"/>
  <c r="E171" i="7" s="1"/>
  <c r="A209" i="8"/>
  <c r="D109" i="7"/>
  <c r="E109" i="7" s="1"/>
  <c r="N171" i="7" a="1"/>
  <c r="N171" i="7" s="1"/>
  <c r="B171" i="7"/>
  <c r="C171" i="7"/>
  <c r="C209" i="8"/>
  <c r="B60" i="7"/>
  <c r="B196" i="8"/>
  <c r="K60" i="7"/>
  <c r="N114" i="7" a="1"/>
  <c r="N114" i="7" s="1"/>
  <c r="P114" i="7" s="1"/>
  <c r="A74" i="8"/>
  <c r="D149" i="7"/>
  <c r="E149" i="7" s="1"/>
  <c r="B74" i="7"/>
  <c r="B154" i="8"/>
  <c r="K74" i="7"/>
  <c r="K121" i="7"/>
  <c r="D202" i="7"/>
  <c r="E202" i="7" s="1"/>
  <c r="C121" i="7"/>
  <c r="K243" i="7"/>
  <c r="M243" i="7" a="1"/>
  <c r="M243" i="7" s="1"/>
  <c r="P243" i="7" s="1"/>
  <c r="C29" i="7"/>
  <c r="C97" i="8"/>
  <c r="A97" i="8"/>
  <c r="M95" i="7" a="1"/>
  <c r="M95" i="7" s="1"/>
  <c r="K95" i="7"/>
  <c r="C95" i="7"/>
  <c r="A173" i="8"/>
  <c r="N95" i="7" a="1"/>
  <c r="N95" i="7" s="1"/>
  <c r="C11" i="7"/>
  <c r="C28" i="7"/>
  <c r="C216" i="8"/>
  <c r="M55" i="7" a="1"/>
  <c r="M55" i="7" s="1"/>
  <c r="N55" i="7" a="1"/>
  <c r="N55" i="7" s="1"/>
  <c r="B55" i="7"/>
  <c r="B25" i="7"/>
  <c r="B68" i="8"/>
  <c r="K25" i="7"/>
  <c r="C25" i="7"/>
  <c r="C68" i="8"/>
  <c r="C27" i="7"/>
  <c r="C188" i="8"/>
  <c r="N27" i="7" a="1"/>
  <c r="N27" i="7"/>
  <c r="P27" i="7" s="1"/>
  <c r="A188" i="8"/>
  <c r="B27" i="7"/>
  <c r="B188" i="8"/>
  <c r="K224" i="7"/>
  <c r="N224" i="7" a="1"/>
  <c r="N224" i="7"/>
  <c r="P224" i="7" s="1"/>
  <c r="D21" i="7"/>
  <c r="E21" i="7" s="1"/>
  <c r="A198" i="8"/>
  <c r="N74" i="7" a="1"/>
  <c r="N74" i="7" s="1"/>
  <c r="P74" i="7" s="1"/>
  <c r="C83" i="7"/>
  <c r="C127" i="8"/>
  <c r="D47" i="7"/>
  <c r="E47" i="7" s="1"/>
  <c r="K83" i="7"/>
  <c r="N83" i="7" a="1"/>
  <c r="N83" i="7"/>
  <c r="N62" i="7" a="1"/>
  <c r="N62" i="7" s="1"/>
  <c r="P62" i="7" s="1"/>
  <c r="N89" i="7" a="1"/>
  <c r="N89" i="7" s="1"/>
  <c r="K89" i="7"/>
  <c r="B209" i="7"/>
  <c r="B234" i="8"/>
  <c r="M209" i="7" a="1"/>
  <c r="M209" i="7" s="1"/>
  <c r="N127" i="7" a="1"/>
  <c r="N127" i="7" s="1"/>
  <c r="P127" i="7" s="1"/>
  <c r="B127" i="7"/>
  <c r="B66" i="8"/>
  <c r="D127" i="7"/>
  <c r="E127" i="7" s="1"/>
  <c r="N208" i="7" a="1"/>
  <c r="N208" i="7"/>
  <c r="P208" i="7" s="1"/>
  <c r="C208" i="7"/>
  <c r="C241" i="8"/>
  <c r="D208" i="7"/>
  <c r="E208" i="7" s="1"/>
  <c r="M208" i="7" a="1"/>
  <c r="M208" i="7" s="1"/>
  <c r="B208" i="7"/>
  <c r="B241" i="8"/>
  <c r="N130" i="7" a="1"/>
  <c r="N130" i="7" s="1"/>
  <c r="A9" i="8"/>
  <c r="C130" i="7"/>
  <c r="N29" i="7" a="1"/>
  <c r="N29" i="7" s="1"/>
  <c r="A20" i="8"/>
  <c r="D131" i="7"/>
  <c r="E131" i="7" s="1"/>
  <c r="C56" i="7"/>
  <c r="A88" i="8"/>
  <c r="B107" i="7"/>
  <c r="B104" i="8"/>
  <c r="M107" i="7" a="1"/>
  <c r="M107" i="7" s="1"/>
  <c r="N107" i="7" a="1"/>
  <c r="N107" i="7" s="1"/>
  <c r="K107" i="7"/>
  <c r="N90" i="7" a="1"/>
  <c r="N90" i="7" s="1"/>
  <c r="P90" i="7" s="1"/>
  <c r="K90" i="7"/>
  <c r="D90" i="7"/>
  <c r="E90" i="7" s="1"/>
  <c r="A168" i="8"/>
  <c r="M13" i="7" a="1"/>
  <c r="M13" i="7" s="1"/>
  <c r="P13" i="7" s="1"/>
  <c r="N21" i="7" a="1"/>
  <c r="N21" i="7" s="1"/>
  <c r="C21" i="7"/>
  <c r="B73" i="7"/>
  <c r="B203" i="8"/>
  <c r="A203" i="8"/>
  <c r="D196" i="7"/>
  <c r="E196" i="7" s="1"/>
  <c r="N196" i="7" a="1"/>
  <c r="N196" i="7"/>
  <c r="K196" i="7"/>
  <c r="B145" i="7"/>
  <c r="B6" i="8"/>
  <c r="C145" i="7"/>
  <c r="C6" i="8"/>
  <c r="C239" i="7"/>
  <c r="B239" i="7"/>
  <c r="B79" i="8"/>
  <c r="M239" i="7" a="1"/>
  <c r="M239" i="7" s="1"/>
  <c r="A80" i="8"/>
  <c r="N57" i="7" a="1"/>
  <c r="N57" i="7"/>
  <c r="N181" i="7" a="1"/>
  <c r="N181" i="7" s="1"/>
  <c r="A82" i="8"/>
  <c r="M49" i="7" a="1"/>
  <c r="M49" i="7" s="1"/>
  <c r="P49" i="7" s="1"/>
  <c r="K49" i="7"/>
  <c r="C94" i="7"/>
  <c r="C70" i="8"/>
  <c r="K94" i="7"/>
  <c r="K7" i="7"/>
  <c r="N115" i="7" a="1"/>
  <c r="N115" i="7" s="1"/>
  <c r="C115" i="7"/>
  <c r="C5" i="8"/>
  <c r="B115" i="7"/>
  <c r="B5" i="8"/>
  <c r="D71" i="7"/>
  <c r="E71" i="7" s="1"/>
  <c r="K71" i="7"/>
  <c r="D223" i="7"/>
  <c r="E223" i="7" s="1"/>
  <c r="N223" i="7" a="1"/>
  <c r="N223" i="7" s="1"/>
  <c r="A25" i="8"/>
  <c r="B102" i="7"/>
  <c r="B33" i="8"/>
  <c r="C102" i="7"/>
  <c r="C33" i="8"/>
  <c r="M197" i="7" a="1"/>
  <c r="M197" i="7" s="1"/>
  <c r="A148" i="8"/>
  <c r="K117" i="7"/>
  <c r="B117" i="7"/>
  <c r="B27" i="8"/>
  <c r="N117" i="7" a="1"/>
  <c r="N117" i="7" s="1"/>
  <c r="P117" i="7" s="1"/>
  <c r="A27" i="8"/>
  <c r="B204" i="7"/>
  <c r="B229" i="8"/>
  <c r="M204" i="7" a="1"/>
  <c r="M204" i="7" s="1"/>
  <c r="A235" i="8"/>
  <c r="N204" i="7" a="1"/>
  <c r="N204" i="7"/>
  <c r="P204" i="7" s="1"/>
  <c r="C220" i="7"/>
  <c r="C236" i="8"/>
  <c r="C103" i="7"/>
  <c r="C23" i="8"/>
  <c r="N153" i="7" a="1"/>
  <c r="N153" i="7" s="1"/>
  <c r="P153" i="7" s="1"/>
  <c r="A41" i="8"/>
  <c r="A49" i="8"/>
  <c r="C67" i="7"/>
  <c r="K67" i="7"/>
  <c r="K157" i="7"/>
  <c r="N157" i="7" a="1"/>
  <c r="N157" i="7"/>
  <c r="P157" i="7" s="1"/>
  <c r="A119" i="8"/>
  <c r="B31" i="7"/>
  <c r="A178" i="8"/>
  <c r="C201" i="7"/>
  <c r="C192" i="8"/>
  <c r="N201" i="7" a="1"/>
  <c r="N201" i="7"/>
  <c r="P201" i="7"/>
  <c r="N85" i="7" a="1"/>
  <c r="N85" i="7"/>
  <c r="A167" i="8"/>
  <c r="B198" i="7"/>
  <c r="B222" i="8"/>
  <c r="B19" i="8"/>
  <c r="D30" i="7"/>
  <c r="E30" i="7" s="1"/>
  <c r="N198" i="7" a="1"/>
  <c r="N198" i="7"/>
  <c r="P198" i="7" s="1"/>
  <c r="C193" i="7"/>
  <c r="A138" i="8"/>
  <c r="B109" i="7"/>
  <c r="B131" i="8"/>
  <c r="M109" i="7" a="1"/>
  <c r="M109" i="7" s="1"/>
  <c r="K109" i="7"/>
  <c r="N109" i="7" a="1"/>
  <c r="N109" i="7"/>
  <c r="D41" i="7"/>
  <c r="E41" i="7" s="1"/>
  <c r="A131" i="8"/>
  <c r="K241" i="7"/>
  <c r="M241" i="7" a="1"/>
  <c r="M241" i="7" s="1"/>
  <c r="A46" i="8"/>
  <c r="N156" i="7" a="1"/>
  <c r="N156" i="7" s="1"/>
  <c r="P156" i="7" s="1"/>
  <c r="C156" i="7"/>
  <c r="C59" i="8"/>
  <c r="C61" i="8"/>
  <c r="N221" i="7" a="1"/>
  <c r="N221" i="7" s="1"/>
  <c r="C221" i="7"/>
  <c r="C199" i="8"/>
  <c r="C47" i="8"/>
  <c r="A47" i="8"/>
  <c r="A155" i="8"/>
  <c r="B172" i="7"/>
  <c r="D172" i="7"/>
  <c r="E172" i="7" s="1"/>
  <c r="C172" i="7"/>
  <c r="C53" i="8"/>
  <c r="C155" i="8"/>
  <c r="M172" i="7" a="1"/>
  <c r="M172" i="7" s="1"/>
  <c r="P172" i="7" s="1"/>
  <c r="K172" i="7"/>
  <c r="N59" i="7" a="1"/>
  <c r="N59" i="7"/>
  <c r="P59" i="7" s="1"/>
  <c r="D114" i="7"/>
  <c r="E114" i="7" s="1"/>
  <c r="M59" i="7" a="1"/>
  <c r="M59" i="7" s="1"/>
  <c r="K59" i="7"/>
  <c r="C59" i="7"/>
  <c r="C146" i="8"/>
  <c r="K225" i="7"/>
  <c r="N225" i="7" a="1"/>
  <c r="N225" i="7"/>
  <c r="P225" i="7" s="1"/>
  <c r="A225" i="8"/>
  <c r="D170" i="7"/>
  <c r="E170" i="7" s="1"/>
  <c r="M225" i="7" a="1"/>
  <c r="M225" i="7" s="1"/>
  <c r="C63" i="7"/>
  <c r="C185" i="8"/>
  <c r="A185" i="8"/>
  <c r="B63" i="7"/>
  <c r="M63" i="7" a="1"/>
  <c r="M63" i="7" s="1"/>
  <c r="P63" i="7" s="1"/>
  <c r="C157" i="7"/>
  <c r="C85" i="8"/>
  <c r="M222" i="7" a="1"/>
  <c r="M222" i="7" s="1"/>
  <c r="B222" i="7"/>
  <c r="B233" i="8"/>
  <c r="A38" i="8"/>
  <c r="K92" i="7"/>
  <c r="K115" i="7"/>
  <c r="M115" i="7" a="1"/>
  <c r="M115" i="7" s="1"/>
  <c r="B28" i="7"/>
  <c r="B28" i="8"/>
  <c r="K28" i="7"/>
  <c r="N28" i="7" a="1"/>
  <c r="N28" i="7"/>
  <c r="D28" i="7"/>
  <c r="E28" i="7" s="1"/>
  <c r="A121" i="8"/>
  <c r="N120" i="7" a="1"/>
  <c r="N120" i="7"/>
  <c r="B130" i="7"/>
  <c r="B120" i="8"/>
  <c r="B9" i="8"/>
  <c r="M130" i="7" a="1"/>
  <c r="M130" i="7" s="1"/>
  <c r="B83" i="7"/>
  <c r="B20" i="8"/>
  <c r="N71" i="7" a="1"/>
  <c r="N71" i="7"/>
  <c r="P71" i="7"/>
  <c r="B140" i="7"/>
  <c r="B116" i="8"/>
  <c r="B240" i="8"/>
  <c r="A240" i="8"/>
  <c r="B118" i="7"/>
  <c r="B165" i="8"/>
  <c r="B76" i="8"/>
  <c r="M118" i="7" a="1"/>
  <c r="M118" i="7" s="1"/>
  <c r="D106" i="7"/>
  <c r="E106" i="7" s="1"/>
  <c r="K106" i="7"/>
  <c r="N106" i="7" a="1"/>
  <c r="N106" i="7"/>
  <c r="C176" i="7"/>
  <c r="C100" i="8"/>
  <c r="C73" i="7"/>
  <c r="C76" i="8"/>
  <c r="C203" i="8"/>
  <c r="N73" i="7" a="1"/>
  <c r="N73" i="7" s="1"/>
  <c r="N82" i="7" a="1"/>
  <c r="N82" i="7"/>
  <c r="P82" i="7" s="1"/>
  <c r="B82" i="7"/>
  <c r="C71" i="7"/>
  <c r="M71" i="7" a="1"/>
  <c r="M71" i="7" s="1"/>
  <c r="K228" i="7"/>
  <c r="B228" i="7"/>
  <c r="B193" i="8"/>
  <c r="B21" i="8"/>
  <c r="N96" i="7" a="1"/>
  <c r="N96" i="7" s="1"/>
  <c r="K65" i="7"/>
  <c r="N65" i="7" a="1"/>
  <c r="N65" i="7" s="1"/>
  <c r="P65" i="7" s="1"/>
  <c r="B79" i="7"/>
  <c r="B75" i="8"/>
  <c r="C79" i="7"/>
  <c r="C75" i="8"/>
  <c r="M39" i="7" a="1"/>
  <c r="M39" i="7" s="1"/>
  <c r="C39" i="7"/>
  <c r="C108" i="8"/>
  <c r="C95" i="8"/>
  <c r="B39" i="7"/>
  <c r="B108" i="8"/>
  <c r="B95" i="8"/>
  <c r="A95" i="8"/>
  <c r="M128" i="7" a="1"/>
  <c r="M128" i="7" s="1"/>
  <c r="P128" i="7" s="1"/>
  <c r="C128" i="7"/>
  <c r="N202" i="7" a="1"/>
  <c r="N202" i="7"/>
  <c r="P202" i="7" s="1"/>
  <c r="M202" i="7" a="1"/>
  <c r="M202" i="7" s="1"/>
  <c r="D211" i="7"/>
  <c r="E211" i="7" s="1"/>
  <c r="C7" i="7"/>
  <c r="C73" i="8"/>
  <c r="A63" i="8"/>
  <c r="M21" i="7" a="1"/>
  <c r="M21" i="7" s="1"/>
  <c r="B21" i="7"/>
  <c r="B53" i="7"/>
  <c r="B197" i="8"/>
  <c r="C49" i="7"/>
  <c r="C8" i="8"/>
  <c r="C119" i="8"/>
  <c r="M89" i="7" a="1"/>
  <c r="M89" i="7" s="1"/>
  <c r="K178" i="7"/>
  <c r="C166" i="7"/>
  <c r="C207" i="8"/>
  <c r="N132" i="7" a="1"/>
  <c r="N132" i="7" s="1"/>
  <c r="P132" i="7" s="1"/>
  <c r="A160" i="8"/>
  <c r="M76" i="7" a="1"/>
  <c r="M76" i="7" s="1"/>
  <c r="C76" i="7"/>
  <c r="C144" i="8"/>
  <c r="M167" i="7" a="1"/>
  <c r="M167" i="7" s="1"/>
  <c r="N167" i="7" a="1"/>
  <c r="N167" i="7"/>
  <c r="N205" i="7" a="1"/>
  <c r="N205" i="7"/>
  <c r="P205" i="7"/>
  <c r="A67" i="8"/>
  <c r="N32" i="7" a="1"/>
  <c r="N32" i="7"/>
  <c r="P32" i="7" s="1"/>
  <c r="A219" i="8"/>
  <c r="D212" i="7"/>
  <c r="E212" i="7" s="1"/>
  <c r="B212" i="7"/>
  <c r="B226" i="8"/>
  <c r="N178" i="7" a="1"/>
  <c r="N178" i="7" s="1"/>
  <c r="P178" i="7" s="1"/>
  <c r="N166" i="7" a="1"/>
  <c r="N166" i="7" s="1"/>
  <c r="C132" i="7"/>
  <c r="C160" i="8"/>
  <c r="B110" i="8"/>
  <c r="B103" i="8"/>
  <c r="B125" i="8"/>
  <c r="B36" i="8"/>
  <c r="C136" i="8"/>
  <c r="B170" i="8"/>
  <c r="C51" i="8"/>
  <c r="B201" i="8"/>
  <c r="B44" i="8"/>
  <c r="C86" i="8"/>
  <c r="B17" i="8"/>
  <c r="C71" i="8"/>
  <c r="B39" i="8"/>
  <c r="B135" i="8"/>
  <c r="C170" i="8"/>
  <c r="C124" i="8"/>
  <c r="C104" i="8"/>
  <c r="C9" i="8"/>
  <c r="C221" i="8"/>
  <c r="B11" i="8"/>
  <c r="C38" i="8"/>
  <c r="C101" i="8"/>
  <c r="B96" i="8"/>
  <c r="C120" i="8"/>
  <c r="B35" i="8"/>
  <c r="B40" i="8"/>
  <c r="P18" i="7"/>
  <c r="C110" i="8"/>
  <c r="B24" i="8"/>
  <c r="C179" i="8"/>
  <c r="B112" i="8"/>
  <c r="C21" i="8"/>
  <c r="C79" i="8"/>
  <c r="B88" i="8"/>
  <c r="C201" i="8"/>
  <c r="B51" i="8"/>
  <c r="C202" i="8"/>
  <c r="B16" i="8"/>
  <c r="B34" i="8"/>
  <c r="C56" i="8"/>
  <c r="B81" i="8"/>
  <c r="B215" i="8"/>
  <c r="C64" i="8"/>
  <c r="C163" i="8"/>
  <c r="B129" i="8"/>
  <c r="B124" i="8"/>
  <c r="C50" i="8"/>
  <c r="C210" i="8"/>
  <c r="C240" i="8"/>
  <c r="C148" i="8"/>
  <c r="B56" i="8"/>
  <c r="C81" i="8"/>
  <c r="C175" i="8"/>
  <c r="C174" i="8"/>
  <c r="B122" i="8"/>
  <c r="C128" i="8"/>
  <c r="B198" i="8"/>
  <c r="B54" i="8"/>
  <c r="B169" i="8"/>
  <c r="B182" i="8"/>
  <c r="B63" i="8"/>
  <c r="C63" i="8"/>
  <c r="C20" i="8"/>
  <c r="B186" i="8"/>
  <c r="B89" i="8"/>
  <c r="C17" i="8"/>
  <c r="B8" i="8"/>
  <c r="B174" i="8"/>
  <c r="C96" i="8"/>
  <c r="B65" i="8"/>
  <c r="B84" i="8"/>
  <c r="B14" i="8"/>
  <c r="C114" i="8"/>
  <c r="C139" i="8"/>
  <c r="C180" i="8"/>
  <c r="C178" i="8"/>
  <c r="C88" i="8"/>
  <c r="C118" i="8"/>
  <c r="B206" i="8"/>
  <c r="C147" i="8"/>
  <c r="C46" i="8"/>
  <c r="C103" i="8"/>
  <c r="C13" i="8"/>
  <c r="C57" i="8"/>
  <c r="C135" i="8"/>
  <c r="B127" i="8"/>
  <c r="B185" i="8"/>
  <c r="B178" i="8"/>
  <c r="B134" i="8"/>
  <c r="C28" i="8"/>
  <c r="C173" i="8"/>
  <c r="B15" i="8"/>
  <c r="B136" i="8"/>
  <c r="C29" i="8"/>
  <c r="C176" i="8"/>
  <c r="C7" i="8"/>
  <c r="B207" i="8"/>
  <c r="C10" i="8"/>
  <c r="C69" i="8"/>
  <c r="C36" i="8"/>
  <c r="C206" i="8"/>
  <c r="B102" i="8"/>
  <c r="B221" i="8"/>
  <c r="B80" i="8"/>
  <c r="B22" i="8"/>
  <c r="B71" i="8"/>
  <c r="B23" i="8"/>
  <c r="B53" i="8"/>
  <c r="B29" i="8"/>
  <c r="C82" i="8"/>
  <c r="C55" i="8"/>
  <c r="C31" i="8"/>
  <c r="B132" i="8"/>
  <c r="B155" i="8"/>
  <c r="B232" i="8"/>
  <c r="C138" i="8"/>
  <c r="B235" i="8"/>
  <c r="B109" i="8"/>
  <c r="B199" i="8"/>
  <c r="B69" i="8"/>
  <c r="B212" i="8"/>
  <c r="C129" i="8"/>
  <c r="C214" i="8"/>
  <c r="C80" i="8"/>
  <c r="B161" i="8"/>
  <c r="B10" i="8"/>
  <c r="B38" i="8"/>
  <c r="B194" i="8"/>
  <c r="C224" i="8"/>
  <c r="C87" i="8"/>
  <c r="C121" i="8"/>
  <c r="C27" i="8"/>
  <c r="B106" i="8"/>
  <c r="B147" i="8"/>
  <c r="C157" i="8"/>
  <c r="C102" i="8"/>
  <c r="B48" i="8"/>
  <c r="C94" i="8"/>
  <c r="C126" i="8"/>
  <c r="B85" i="8"/>
  <c r="C25" i="8"/>
  <c r="C211" i="8"/>
  <c r="B72" i="8"/>
  <c r="B32" i="8"/>
  <c r="B74" i="8"/>
  <c r="B209" i="8"/>
  <c r="B168" i="8"/>
  <c r="B50" i="8"/>
  <c r="B94" i="8"/>
  <c r="C193" i="8"/>
  <c r="B49" i="8"/>
  <c r="C49" i="8"/>
  <c r="B115" i="8"/>
  <c r="C16" i="8"/>
  <c r="C48" i="8"/>
  <c r="C65" i="8"/>
  <c r="C12" i="8"/>
  <c r="B77" i="8"/>
  <c r="C171" i="8"/>
  <c r="C22" i="8"/>
  <c r="C35" i="8"/>
  <c r="C42" i="8"/>
  <c r="B87" i="8"/>
  <c r="B176" i="8"/>
  <c r="C74" i="8"/>
  <c r="C72" i="8"/>
  <c r="C24" i="8"/>
  <c r="C208" i="8"/>
  <c r="B173" i="8"/>
  <c r="B138" i="8"/>
  <c r="B41" i="8"/>
  <c r="C186" i="8"/>
  <c r="C43" i="8"/>
  <c r="C229" i="8"/>
  <c r="C52" i="8"/>
  <c r="C45" i="8"/>
  <c r="C18" i="8"/>
  <c r="B12" i="8"/>
  <c r="C109" i="8"/>
  <c r="B62" i="8"/>
  <c r="B91" i="8"/>
  <c r="C182" i="8"/>
  <c r="C91" i="8"/>
  <c r="B167" i="8"/>
  <c r="C217" i="8"/>
  <c r="C151" i="8"/>
  <c r="C166" i="8"/>
  <c r="C149" i="8"/>
  <c r="B47" i="8"/>
  <c r="B43" i="8"/>
  <c r="C140" i="8"/>
  <c r="B179" i="8"/>
  <c r="C34" i="8"/>
  <c r="B175" i="8"/>
  <c r="B46" i="8"/>
  <c r="B37" i="8"/>
  <c r="C181" i="8"/>
  <c r="B13" i="8"/>
  <c r="B61" i="8"/>
  <c r="B114" i="8"/>
  <c r="B210" i="8"/>
  <c r="C198" i="8"/>
  <c r="C130" i="8"/>
  <c r="C122" i="8"/>
  <c r="C112" i="8"/>
  <c r="C15" i="8"/>
  <c r="B64" i="8"/>
  <c r="B55" i="8"/>
  <c r="B18" i="8"/>
  <c r="B97" i="8"/>
  <c r="B163" i="8"/>
  <c r="C93" i="8"/>
  <c r="B181" i="8"/>
  <c r="B162" i="8"/>
  <c r="C125" i="8"/>
  <c r="C169" i="8"/>
  <c r="B217" i="8"/>
  <c r="B45" i="8"/>
  <c r="B90" i="8"/>
  <c r="C98" i="8"/>
  <c r="B171" i="8"/>
  <c r="C131" i="8"/>
  <c r="C99" i="8"/>
  <c r="B149" i="8"/>
  <c r="B78" i="8"/>
  <c r="B140" i="8"/>
  <c r="B202" i="8"/>
  <c r="B105" i="8"/>
  <c r="C106" i="8"/>
  <c r="C212" i="8"/>
  <c r="C77" i="8"/>
  <c r="C165" i="8"/>
  <c r="C105" i="8"/>
  <c r="B57" i="8"/>
  <c r="B130" i="8"/>
  <c r="B107" i="8"/>
  <c r="C84" i="8"/>
  <c r="B128" i="8"/>
  <c r="B31" i="8"/>
  <c r="B177" i="8"/>
  <c r="P121" i="7"/>
  <c r="C41" i="8"/>
  <c r="C183" i="8"/>
  <c r="C215" i="8"/>
  <c r="B166" i="8"/>
  <c r="C14" i="8"/>
  <c r="C26" i="8"/>
  <c r="B26" i="8"/>
  <c r="B52" i="8"/>
  <c r="C44" i="8"/>
  <c r="C107" i="8"/>
  <c r="C222" i="8"/>
  <c r="C4" i="8"/>
  <c r="C19" i="8"/>
  <c r="B98" i="8"/>
  <c r="B119" i="8"/>
  <c r="C39" i="8"/>
  <c r="B224" i="8"/>
  <c r="C66" i="8"/>
  <c r="C134" i="8"/>
  <c r="B208" i="8"/>
  <c r="B139" i="8"/>
  <c r="B4" i="8"/>
  <c r="C58" i="8"/>
  <c r="C232" i="8"/>
  <c r="C111" i="8"/>
  <c r="B59" i="8"/>
  <c r="C40" i="8"/>
  <c r="B216" i="8"/>
  <c r="B151" i="8"/>
  <c r="B211" i="8"/>
  <c r="B100" i="8"/>
  <c r="B99" i="8"/>
  <c r="C37" i="8"/>
  <c r="C132" i="8"/>
  <c r="C168" i="8"/>
  <c r="C177" i="8"/>
  <c r="B180" i="8"/>
  <c r="C78" i="8"/>
  <c r="C11" i="8"/>
  <c r="B111" i="8"/>
  <c r="B70" i="8"/>
  <c r="P232" i="7"/>
  <c r="P123" i="7"/>
  <c r="P76" i="7"/>
  <c r="P129" i="7"/>
  <c r="P108" i="7"/>
  <c r="P241" i="7"/>
  <c r="P118" i="7"/>
  <c r="F74" i="7"/>
  <c r="F162" i="7"/>
  <c r="F15" i="7"/>
  <c r="F105" i="7"/>
  <c r="F20" i="7"/>
  <c r="F68" i="7"/>
  <c r="F10" i="7"/>
  <c r="F190" i="7"/>
  <c r="F229" i="7"/>
  <c r="F148" i="7"/>
  <c r="F198" i="7"/>
  <c r="F29" i="7"/>
  <c r="F170" i="7"/>
  <c r="F174" i="7"/>
  <c r="F226" i="7"/>
  <c r="X197" i="6"/>
  <c r="Y197" i="6" s="1"/>
  <c r="X228" i="6"/>
  <c r="F65" i="7"/>
  <c r="F227" i="7"/>
  <c r="F163" i="7"/>
  <c r="F218" i="7"/>
  <c r="X82" i="6"/>
  <c r="F216" i="7"/>
  <c r="F155" i="7"/>
  <c r="F173" i="7"/>
  <c r="F45" i="7"/>
  <c r="F26" i="7"/>
  <c r="F135" i="7"/>
  <c r="F177" i="7"/>
  <c r="F84" i="7"/>
  <c r="F205" i="7"/>
  <c r="F28" i="7"/>
  <c r="F85" i="7"/>
  <c r="X43" i="6"/>
  <c r="X140" i="6"/>
  <c r="X93" i="6"/>
  <c r="F108" i="7"/>
  <c r="F138" i="7"/>
  <c r="F161" i="7"/>
  <c r="X90" i="6"/>
  <c r="Y90" i="6" s="1"/>
  <c r="F175" i="7"/>
  <c r="F142" i="7"/>
  <c r="F88" i="7"/>
  <c r="F6" i="7"/>
  <c r="F60" i="7"/>
  <c r="F70" i="7"/>
  <c r="F25" i="7"/>
  <c r="F18" i="7"/>
  <c r="F231" i="7"/>
  <c r="F97" i="7"/>
  <c r="X164" i="6"/>
  <c r="F58" i="7"/>
  <c r="F71" i="7"/>
  <c r="X144" i="6"/>
  <c r="F21" i="7"/>
  <c r="F79" i="7"/>
  <c r="F31" i="7"/>
  <c r="F128" i="7"/>
  <c r="F81" i="7"/>
  <c r="F187" i="7"/>
  <c r="F215" i="7"/>
  <c r="X11" i="6"/>
  <c r="F211" i="7"/>
  <c r="F72" i="7"/>
  <c r="F91" i="7"/>
  <c r="X233" i="6"/>
  <c r="F86" i="7"/>
  <c r="X160" i="6"/>
  <c r="X80" i="6"/>
  <c r="X225" i="6"/>
  <c r="X24" i="6"/>
  <c r="Y24" i="6" s="1"/>
  <c r="X76" i="6"/>
  <c r="X42" i="6"/>
  <c r="X33" i="6"/>
  <c r="X241" i="6"/>
  <c r="X238" i="6"/>
  <c r="X230" i="6"/>
  <c r="X219" i="6"/>
  <c r="X206" i="6"/>
  <c r="X195" i="6"/>
  <c r="X189" i="6"/>
  <c r="X188" i="6"/>
  <c r="X186" i="6"/>
  <c r="X172" i="6"/>
  <c r="X169" i="6"/>
  <c r="X165" i="6"/>
  <c r="X157" i="6"/>
  <c r="X149" i="6"/>
  <c r="X147" i="6"/>
  <c r="X146" i="6"/>
  <c r="X141" i="6"/>
  <c r="X125" i="6"/>
  <c r="X123" i="6"/>
  <c r="X117" i="6"/>
  <c r="X112" i="6"/>
  <c r="X110" i="6"/>
  <c r="X102" i="6"/>
  <c r="X98" i="6"/>
  <c r="X83" i="6"/>
  <c r="X77" i="6"/>
  <c r="X75" i="6"/>
  <c r="X53" i="6"/>
  <c r="X51" i="6"/>
  <c r="X48" i="6"/>
  <c r="X35" i="6"/>
  <c r="B57" i="11"/>
  <c r="X185" i="6"/>
  <c r="X96" i="6"/>
  <c r="X145" i="6"/>
  <c r="B53" i="11"/>
  <c r="B54" i="11"/>
  <c r="D241" i="7"/>
  <c r="E241" i="7" s="1"/>
  <c r="D228" i="7"/>
  <c r="E228" i="7" s="1"/>
  <c r="K241" i="6"/>
  <c r="G241" i="7" s="1"/>
  <c r="X78" i="6"/>
  <c r="X92" i="6"/>
  <c r="Y92" i="6" s="1"/>
  <c r="X182" i="6"/>
  <c r="X69" i="6"/>
  <c r="X212" i="6"/>
  <c r="X208" i="6"/>
  <c r="X196" i="6"/>
  <c r="X100" i="6"/>
  <c r="X36" i="6"/>
  <c r="B61" i="11"/>
  <c r="D238" i="7"/>
  <c r="E238" i="7" s="1"/>
  <c r="X17" i="6"/>
  <c r="X22" i="6"/>
  <c r="Y22" i="6" s="1"/>
  <c r="X184" i="6"/>
  <c r="D101" i="7"/>
  <c r="E101" i="7" s="1"/>
  <c r="N98" i="7" a="1"/>
  <c r="N98" i="7"/>
  <c r="P98" i="7"/>
  <c r="G168" i="7"/>
  <c r="G116" i="7"/>
  <c r="G150" i="7"/>
  <c r="G184" i="7"/>
  <c r="F165" i="7"/>
  <c r="F13" i="7"/>
  <c r="F120" i="7"/>
  <c r="F63" i="7"/>
  <c r="F179" i="7"/>
  <c r="F41" i="7"/>
  <c r="F49" i="7"/>
  <c r="F235" i="7"/>
  <c r="F209" i="7"/>
  <c r="F23" i="7"/>
  <c r="F232" i="7"/>
  <c r="F224" i="7"/>
  <c r="F54" i="7"/>
  <c r="F124" i="7"/>
  <c r="F153" i="7"/>
  <c r="F9" i="7"/>
  <c r="F103" i="7"/>
  <c r="F8" i="7"/>
  <c r="F51" i="7"/>
  <c r="F139" i="7"/>
  <c r="F240" i="7"/>
  <c r="F213" i="7"/>
  <c r="F221" i="7"/>
  <c r="F136" i="7"/>
  <c r="F193" i="7"/>
  <c r="F52" i="7"/>
  <c r="F166" i="7"/>
  <c r="F234" i="7"/>
  <c r="X134" i="6"/>
  <c r="F64" i="7"/>
  <c r="F210" i="7"/>
  <c r="X210" i="6"/>
  <c r="X129" i="6"/>
  <c r="F217" i="7"/>
  <c r="F27" i="7"/>
  <c r="F5" i="7"/>
  <c r="F127" i="7"/>
  <c r="F101" i="7"/>
  <c r="F83" i="7"/>
  <c r="F40" i="7"/>
  <c r="F113" i="7"/>
  <c r="X235" i="6"/>
  <c r="F62" i="7"/>
  <c r="X139" i="6"/>
  <c r="F44" i="7"/>
  <c r="X133" i="6"/>
  <c r="F133" i="7"/>
  <c r="X12" i="6"/>
  <c r="F156" i="7"/>
  <c r="F222" i="7"/>
  <c r="X222" i="6"/>
  <c r="X38" i="6"/>
  <c r="F38" i="7"/>
  <c r="X46" i="6"/>
  <c r="F119" i="7"/>
  <c r="X16" i="6"/>
  <c r="F160" i="7"/>
  <c r="F149" i="7"/>
  <c r="F114" i="7"/>
  <c r="X152" i="6"/>
  <c r="X192" i="6"/>
  <c r="X158" i="6"/>
  <c r="F158" i="7"/>
  <c r="X179" i="6"/>
  <c r="F111" i="7"/>
  <c r="X89" i="6"/>
  <c r="F143" i="7"/>
  <c r="K226" i="6"/>
  <c r="G226" i="7" s="1"/>
  <c r="K204" i="6"/>
  <c r="G204" i="7" s="1"/>
  <c r="O204" i="6" a="1"/>
  <c r="O204" i="6" s="1"/>
  <c r="X204" i="6" s="1"/>
  <c r="Y204" i="6" s="1"/>
  <c r="X131" i="6"/>
  <c r="X115" i="6"/>
  <c r="X191" i="6"/>
  <c r="X201" i="6"/>
  <c r="X121" i="6"/>
  <c r="X127" i="6"/>
  <c r="X181" i="6"/>
  <c r="J209" i="7"/>
  <c r="J42" i="7"/>
  <c r="F137" i="8" s="1"/>
  <c r="U71" i="6"/>
  <c r="Y68" i="6"/>
  <c r="J184" i="7"/>
  <c r="F92" i="8" s="1"/>
  <c r="F173" i="8"/>
  <c r="P226" i="7"/>
  <c r="P42" i="7"/>
  <c r="P228" i="7"/>
  <c r="P58" i="7"/>
  <c r="X132" i="6"/>
  <c r="O208" i="7"/>
  <c r="P193" i="7"/>
  <c r="X113" i="6"/>
  <c r="Y113" i="6" s="1"/>
  <c r="X58" i="6"/>
  <c r="X202" i="6"/>
  <c r="P245" i="7"/>
  <c r="P139" i="7"/>
  <c r="P184" i="7"/>
  <c r="P227" i="7"/>
  <c r="AB27" i="6"/>
  <c r="P94" i="7"/>
  <c r="P30" i="7"/>
  <c r="P68" i="7"/>
  <c r="J187" i="7"/>
  <c r="Y171" i="6"/>
  <c r="AE59" i="6"/>
  <c r="AF59" i="6" s="1"/>
  <c r="J9" i="7"/>
  <c r="Y193" i="6"/>
  <c r="J120" i="7"/>
  <c r="F126" i="8" s="1"/>
  <c r="Y31" i="6"/>
  <c r="J66" i="7"/>
  <c r="J224" i="7"/>
  <c r="F118" i="8" s="1"/>
  <c r="AE238" i="6"/>
  <c r="AE99" i="6"/>
  <c r="AE209" i="6"/>
  <c r="AE158" i="6"/>
  <c r="AG158" i="6" s="1"/>
  <c r="S158" i="7" s="1"/>
  <c r="W158" i="6"/>
  <c r="AJ158" i="6" s="1"/>
  <c r="AE207" i="6"/>
  <c r="AG207" i="6" s="1"/>
  <c r="S207" i="7" s="1"/>
  <c r="Y13" i="6"/>
  <c r="J158" i="7"/>
  <c r="L158" i="7" s="1"/>
  <c r="Y226" i="6"/>
  <c r="J177" i="7"/>
  <c r="F70" i="8" s="1"/>
  <c r="J231" i="7"/>
  <c r="J128" i="7"/>
  <c r="F56" i="8" s="1"/>
  <c r="Y124" i="6"/>
  <c r="Y55" i="6"/>
  <c r="Y114" i="6"/>
  <c r="Y5" i="6"/>
  <c r="X8" i="6"/>
  <c r="Y8" i="6" s="1"/>
  <c r="X7" i="6"/>
  <c r="X62" i="6"/>
  <c r="Y62" i="6" s="1"/>
  <c r="X26" i="6"/>
  <c r="X23" i="6"/>
  <c r="X39" i="6"/>
  <c r="X97" i="6"/>
  <c r="X105" i="6"/>
  <c r="X71" i="6"/>
  <c r="X227" i="6"/>
  <c r="Y227" i="6" s="1"/>
  <c r="X213" i="6"/>
  <c r="X211" i="6"/>
  <c r="X198" i="6"/>
  <c r="X183" i="6"/>
  <c r="X180" i="6"/>
  <c r="X166" i="6"/>
  <c r="Y166" i="6" s="1"/>
  <c r="X162" i="6"/>
  <c r="X126" i="6"/>
  <c r="X118" i="6"/>
  <c r="X111" i="6"/>
  <c r="X91" i="6"/>
  <c r="X86" i="6"/>
  <c r="Y86" i="6" s="1"/>
  <c r="X70" i="6"/>
  <c r="X67" i="6"/>
  <c r="X60" i="6"/>
  <c r="X52" i="6"/>
  <c r="X50" i="6"/>
  <c r="J150" i="7"/>
  <c r="F62" i="8" s="1"/>
  <c r="W205" i="6"/>
  <c r="AJ205" i="6" s="1"/>
  <c r="J115" i="7"/>
  <c r="F5" i="8" s="1"/>
  <c r="W156" i="6"/>
  <c r="AJ156" i="6" s="1"/>
  <c r="J156" i="7"/>
  <c r="F59" i="8" s="1"/>
  <c r="O84" i="7"/>
  <c r="R84" i="7" s="1"/>
  <c r="W80" i="6"/>
  <c r="AJ80" i="6" s="1"/>
  <c r="J80" i="7"/>
  <c r="AE214" i="6"/>
  <c r="AF214" i="6" s="1"/>
  <c r="AE161" i="6"/>
  <c r="J161" i="7"/>
  <c r="F40" i="8" s="1"/>
  <c r="L207" i="7"/>
  <c r="W73" i="6"/>
  <c r="AJ73" i="6" s="1"/>
  <c r="F35" i="8"/>
  <c r="F26" i="8"/>
  <c r="F21" i="8"/>
  <c r="F12" i="8"/>
  <c r="P12" i="7"/>
  <c r="F44" i="8"/>
  <c r="AC10" i="6" l="1"/>
  <c r="AD23" i="6"/>
  <c r="AD31" i="6"/>
  <c r="W31" i="6" s="1"/>
  <c r="Y25" i="6"/>
  <c r="AE73" i="6"/>
  <c r="J214" i="7"/>
  <c r="F117" i="8" s="1"/>
  <c r="AE205" i="6"/>
  <c r="AG205" i="6" s="1"/>
  <c r="S205" i="7" s="1"/>
  <c r="Y162" i="6"/>
  <c r="Y23" i="6"/>
  <c r="Y7" i="6"/>
  <c r="W207" i="6"/>
  <c r="AJ207" i="6" s="1"/>
  <c r="W99" i="6"/>
  <c r="AJ99" i="6" s="1"/>
  <c r="AE78" i="6"/>
  <c r="AF78" i="6" s="1"/>
  <c r="W238" i="6"/>
  <c r="AJ238" i="6" s="1"/>
  <c r="AE66" i="6"/>
  <c r="J59" i="7"/>
  <c r="L59" i="7" s="1"/>
  <c r="J78" i="7"/>
  <c r="F191" i="8" s="1"/>
  <c r="Y12" i="6"/>
  <c r="Y182" i="6"/>
  <c r="Y96" i="6"/>
  <c r="Y35" i="6"/>
  <c r="Y83" i="6"/>
  <c r="Y123" i="6"/>
  <c r="Y157" i="6"/>
  <c r="Y189" i="6"/>
  <c r="Y200" i="6"/>
  <c r="Y153" i="6"/>
  <c r="Y130" i="6"/>
  <c r="Y56" i="6"/>
  <c r="Y116" i="6"/>
  <c r="U18" i="6"/>
  <c r="R35" i="7"/>
  <c r="AD68" i="6"/>
  <c r="J60" i="7"/>
  <c r="D5" i="11" a="1"/>
  <c r="D5" i="11" s="1"/>
  <c r="AE127" i="6"/>
  <c r="AD134" i="6"/>
  <c r="AD9" i="6"/>
  <c r="AC30" i="6"/>
  <c r="AD174" i="6"/>
  <c r="AD162" i="6"/>
  <c r="AD152" i="6"/>
  <c r="W152" i="6" s="1"/>
  <c r="AC7" i="6"/>
  <c r="Q170" i="7"/>
  <c r="W27" i="6"/>
  <c r="AJ27" i="6" s="1"/>
  <c r="AC147" i="6"/>
  <c r="AD215" i="6"/>
  <c r="W215" i="6" s="1"/>
  <c r="AE215" i="6" s="1"/>
  <c r="AG215" i="6" s="1"/>
  <c r="S215" i="7" s="1"/>
  <c r="AD236" i="6"/>
  <c r="W236" i="6" s="1"/>
  <c r="AE236" i="6" s="1"/>
  <c r="O230" i="7"/>
  <c r="R230" i="7" s="1"/>
  <c r="AD147" i="6"/>
  <c r="Y60" i="6"/>
  <c r="Y118" i="6"/>
  <c r="Y198" i="6"/>
  <c r="AD128" i="6"/>
  <c r="AC176" i="6"/>
  <c r="AE110" i="6"/>
  <c r="AD150" i="6"/>
  <c r="W42" i="6"/>
  <c r="AJ42" i="6" s="1"/>
  <c r="W60" i="6"/>
  <c r="AJ60" i="6" s="1"/>
  <c r="O162" i="7"/>
  <c r="Q162" i="7" s="1"/>
  <c r="W32" i="6"/>
  <c r="AJ32" i="6" s="1"/>
  <c r="AD137" i="6"/>
  <c r="AC233" i="6"/>
  <c r="AD113" i="6"/>
  <c r="AC95" i="6"/>
  <c r="AC167" i="6"/>
  <c r="AD13" i="6"/>
  <c r="H137" i="7"/>
  <c r="I137" i="7" s="1"/>
  <c r="D16" i="8" s="1"/>
  <c r="H56" i="7"/>
  <c r="I56" i="7" s="1"/>
  <c r="D82" i="8" s="1"/>
  <c r="H233" i="7"/>
  <c r="H192" i="7"/>
  <c r="I192" i="7" s="1"/>
  <c r="D79" i="8" s="1"/>
  <c r="AD156" i="6"/>
  <c r="AD73" i="6"/>
  <c r="H41" i="11" a="1"/>
  <c r="H41" i="11" s="1"/>
  <c r="Y101" i="6"/>
  <c r="Q78" i="7"/>
  <c r="H36" i="11" a="1"/>
  <c r="H36" i="11" s="1"/>
  <c r="AD219" i="6"/>
  <c r="W127" i="6"/>
  <c r="AJ127" i="6" s="1"/>
  <c r="AC55" i="6"/>
  <c r="AE6" i="6"/>
  <c r="AF6" i="6" s="1"/>
  <c r="AD149" i="6"/>
  <c r="AC177" i="6"/>
  <c r="AC197" i="6"/>
  <c r="AC155" i="6"/>
  <c r="O209" i="7"/>
  <c r="W110" i="6"/>
  <c r="AJ110" i="6" s="1"/>
  <c r="O59" i="7"/>
  <c r="R59" i="7" s="1"/>
  <c r="P115" i="7"/>
  <c r="P89" i="7"/>
  <c r="P95" i="7"/>
  <c r="P130" i="7"/>
  <c r="P173" i="7"/>
  <c r="P116" i="7"/>
  <c r="P177" i="7"/>
  <c r="P120" i="7"/>
  <c r="P246" i="7"/>
  <c r="P28" i="7"/>
  <c r="P19" i="7"/>
  <c r="P57" i="7"/>
  <c r="P230" i="7"/>
  <c r="P107" i="7"/>
  <c r="P171" i="7"/>
  <c r="P147" i="7"/>
  <c r="P140" i="7"/>
  <c r="P142" i="7"/>
  <c r="P124" i="7"/>
  <c r="P196" i="7"/>
  <c r="P92" i="7"/>
  <c r="P22" i="7"/>
  <c r="P161" i="7"/>
  <c r="P79" i="7"/>
  <c r="P45" i="7"/>
  <c r="P88" i="7"/>
  <c r="P99" i="7"/>
  <c r="P187" i="7"/>
  <c r="P10" i="7"/>
  <c r="P126" i="7"/>
  <c r="P4" i="7"/>
  <c r="P106" i="7"/>
  <c r="P218" i="7"/>
  <c r="P247" i="7"/>
  <c r="P236" i="7"/>
  <c r="P29" i="7"/>
  <c r="P143" i="7"/>
  <c r="P244" i="7"/>
  <c r="P169" i="7"/>
  <c r="P221" i="7"/>
  <c r="P125" i="7"/>
  <c r="P185" i="7"/>
  <c r="P101" i="7"/>
  <c r="P40" i="7"/>
  <c r="P69" i="7"/>
  <c r="P223" i="7"/>
  <c r="P73" i="7"/>
  <c r="P175" i="7"/>
  <c r="P151" i="7"/>
  <c r="P181" i="7"/>
  <c r="P80" i="7"/>
  <c r="P83" i="7"/>
  <c r="P163" i="7"/>
  <c r="P111" i="7"/>
  <c r="P31" i="7"/>
  <c r="P164" i="7"/>
  <c r="P162" i="7"/>
  <c r="P235" i="7"/>
  <c r="P25" i="7"/>
  <c r="P97" i="7"/>
  <c r="P174" i="7"/>
  <c r="P119" i="7"/>
  <c r="P231" i="7"/>
  <c r="P160" i="7"/>
  <c r="AC106" i="6"/>
  <c r="AD138" i="6"/>
  <c r="AC175" i="6"/>
  <c r="AD227" i="6"/>
  <c r="G5" i="11" a="1"/>
  <c r="G5" i="11" s="1"/>
  <c r="U112" i="6"/>
  <c r="Q9" i="7"/>
  <c r="R94" i="7"/>
  <c r="O163" i="7"/>
  <c r="Q163" i="7" s="1"/>
  <c r="AC94" i="6"/>
  <c r="AF77" i="6"/>
  <c r="AD24" i="6"/>
  <c r="AC236" i="6"/>
  <c r="Y105" i="6"/>
  <c r="AD56" i="6"/>
  <c r="W56" i="6" s="1"/>
  <c r="AE56" i="6" s="1"/>
  <c r="AC143" i="6"/>
  <c r="AD202" i="6"/>
  <c r="AC26" i="6"/>
  <c r="AD180" i="6"/>
  <c r="AD224" i="6"/>
  <c r="AD17" i="6"/>
  <c r="AD70" i="6"/>
  <c r="W70" i="6" s="1"/>
  <c r="AJ70" i="6" s="1"/>
  <c r="AC50" i="6"/>
  <c r="AD190" i="6"/>
  <c r="W190" i="6" s="1"/>
  <c r="AC89" i="6"/>
  <c r="J77" i="7"/>
  <c r="L77" i="7" s="1"/>
  <c r="AD83" i="6"/>
  <c r="W83" i="6" s="1"/>
  <c r="J101" i="7"/>
  <c r="F138" i="8" s="1"/>
  <c r="U10" i="6"/>
  <c r="U21" i="6"/>
  <c r="AD171" i="6"/>
  <c r="AC172" i="6"/>
  <c r="AC188" i="6"/>
  <c r="U67" i="6"/>
  <c r="U108" i="6"/>
  <c r="Y203" i="6"/>
  <c r="Y15" i="6"/>
  <c r="Q132" i="7"/>
  <c r="O47" i="7"/>
  <c r="Q47" i="7" s="1"/>
  <c r="O36" i="7"/>
  <c r="AD239" i="6"/>
  <c r="AD225" i="6"/>
  <c r="AC225" i="6"/>
  <c r="H96" i="7"/>
  <c r="L96" i="7" s="1"/>
  <c r="AD196" i="6"/>
  <c r="Q233" i="7"/>
  <c r="Q83" i="7"/>
  <c r="AC96" i="6"/>
  <c r="AD21" i="6"/>
  <c r="W21" i="6" s="1"/>
  <c r="AD167" i="6"/>
  <c r="W167" i="6" s="1"/>
  <c r="AD140" i="6"/>
  <c r="W140" i="6" s="1"/>
  <c r="J27" i="7"/>
  <c r="L27" i="7" s="1"/>
  <c r="AC216" i="6"/>
  <c r="W225" i="6"/>
  <c r="AJ225" i="6" s="1"/>
  <c r="AC25" i="6"/>
  <c r="W37" i="6"/>
  <c r="AJ37" i="6" s="1"/>
  <c r="AC24" i="6"/>
  <c r="AD168" i="6"/>
  <c r="J32" i="7"/>
  <c r="Y67" i="6"/>
  <c r="Y126" i="6"/>
  <c r="Y211" i="6"/>
  <c r="Y97" i="6"/>
  <c r="AD231" i="6"/>
  <c r="AD148" i="6"/>
  <c r="W148" i="6" s="1"/>
  <c r="AJ148" i="6" s="1"/>
  <c r="AD135" i="6"/>
  <c r="W135" i="6" s="1"/>
  <c r="AC169" i="6"/>
  <c r="AC116" i="6"/>
  <c r="AC223" i="6"/>
  <c r="AC149" i="6"/>
  <c r="AB196" i="6"/>
  <c r="AD173" i="6"/>
  <c r="W173" i="6" s="1"/>
  <c r="AD35" i="6"/>
  <c r="AD176" i="6"/>
  <c r="AD79" i="6"/>
  <c r="W79" i="6" s="1"/>
  <c r="AC163" i="6"/>
  <c r="Y108" i="6"/>
  <c r="AE126" i="6"/>
  <c r="AH126" i="6" s="1"/>
  <c r="AI126" i="6" s="1"/>
  <c r="AE146" i="6"/>
  <c r="AE37" i="6"/>
  <c r="AE225" i="6"/>
  <c r="AG225" i="6" s="1"/>
  <c r="S225" i="7" s="1"/>
  <c r="Y181" i="6"/>
  <c r="Y201" i="6"/>
  <c r="AC80" i="6"/>
  <c r="Y10" i="6"/>
  <c r="U41" i="6"/>
  <c r="AB41" i="6"/>
  <c r="AB109" i="6"/>
  <c r="AB106" i="6"/>
  <c r="AD106" i="6"/>
  <c r="AB131" i="6"/>
  <c r="AB95" i="6"/>
  <c r="AB83" i="6"/>
  <c r="AB8" i="6"/>
  <c r="AB57" i="6"/>
  <c r="AB17" i="6"/>
  <c r="AB139" i="6"/>
  <c r="AB94" i="6"/>
  <c r="AB135" i="6"/>
  <c r="AB88" i="6"/>
  <c r="AB92" i="6"/>
  <c r="U75" i="6"/>
  <c r="AC238" i="6"/>
  <c r="AB226" i="6"/>
  <c r="AB62" i="6"/>
  <c r="AC62" i="6"/>
  <c r="AB147" i="6"/>
  <c r="AB79" i="6"/>
  <c r="AB80" i="6"/>
  <c r="AB153" i="6"/>
  <c r="U69" i="6"/>
  <c r="AB161" i="6"/>
  <c r="AB184" i="6"/>
  <c r="AB173" i="6"/>
  <c r="AB187" i="6"/>
  <c r="AC171" i="6"/>
  <c r="AB233" i="6"/>
  <c r="AB174" i="6"/>
  <c r="AB218" i="6"/>
  <c r="AB152" i="6"/>
  <c r="AB170" i="6"/>
  <c r="AB90" i="6"/>
  <c r="AB81" i="6"/>
  <c r="AB113" i="6"/>
  <c r="AB114" i="6"/>
  <c r="AB102" i="6"/>
  <c r="AB143" i="6"/>
  <c r="AD143" i="6"/>
  <c r="AB140" i="6"/>
  <c r="AB223" i="6"/>
  <c r="AB179" i="6"/>
  <c r="AB26" i="6"/>
  <c r="AB99" i="6"/>
  <c r="AB185" i="6"/>
  <c r="AB232" i="6"/>
  <c r="AB68" i="6"/>
  <c r="AB172" i="6"/>
  <c r="AB186" i="6"/>
  <c r="AB58" i="6"/>
  <c r="AD58" i="6"/>
  <c r="AB89" i="6"/>
  <c r="AB87" i="6"/>
  <c r="AB85" i="6"/>
  <c r="U97" i="6"/>
  <c r="AB97" i="6"/>
  <c r="AB11" i="6"/>
  <c r="AB169" i="6"/>
  <c r="U70" i="6"/>
  <c r="AB70" i="6"/>
  <c r="AB188" i="6"/>
  <c r="AD188" i="6"/>
  <c r="AB160" i="6"/>
  <c r="AB166" i="6"/>
  <c r="AB197" i="6"/>
  <c r="AB119" i="6"/>
  <c r="AB134" i="6"/>
  <c r="AC134" i="6"/>
  <c r="AB96" i="6"/>
  <c r="AB137" i="6"/>
  <c r="AB180" i="6"/>
  <c r="AB149" i="6"/>
  <c r="AB151" i="6"/>
  <c r="AB177" i="6"/>
  <c r="AB56" i="6"/>
  <c r="AB142" i="6"/>
  <c r="AB228" i="6"/>
  <c r="AB116" i="6"/>
  <c r="AB63" i="6"/>
  <c r="AC63" i="6"/>
  <c r="AB231" i="6"/>
  <c r="AB236" i="6"/>
  <c r="AB138" i="6"/>
  <c r="AB5" i="6"/>
  <c r="AB168" i="6"/>
  <c r="AB216" i="6"/>
  <c r="AB55" i="6"/>
  <c r="AB215" i="6"/>
  <c r="AC215" i="6"/>
  <c r="U156" i="6"/>
  <c r="U73" i="6"/>
  <c r="AB192" i="6"/>
  <c r="AB24" i="6"/>
  <c r="AB162" i="6"/>
  <c r="AB91" i="6"/>
  <c r="AB163" i="6"/>
  <c r="AB128" i="6"/>
  <c r="AB183" i="6"/>
  <c r="AB115" i="6"/>
  <c r="AD115" i="6"/>
  <c r="AB124" i="6"/>
  <c r="AC123" i="6"/>
  <c r="AB230" i="6"/>
  <c r="AB178" i="6"/>
  <c r="AB193" i="6"/>
  <c r="AC120" i="6"/>
  <c r="AD93" i="6"/>
  <c r="AB40" i="6"/>
  <c r="U16" i="6"/>
  <c r="U19" i="6"/>
  <c r="U46" i="6"/>
  <c r="U65" i="6"/>
  <c r="U129" i="6"/>
  <c r="H51" i="11" a="1"/>
  <c r="H51" i="11" s="1"/>
  <c r="U14" i="6"/>
  <c r="U15" i="6"/>
  <c r="U47" i="6"/>
  <c r="U52" i="6"/>
  <c r="U53" i="6"/>
  <c r="U74" i="6"/>
  <c r="U133" i="6"/>
  <c r="U141" i="6"/>
  <c r="U196" i="6"/>
  <c r="U201" i="6"/>
  <c r="U208" i="6"/>
  <c r="U210" i="6"/>
  <c r="U195" i="6"/>
  <c r="Y187" i="6"/>
  <c r="Y81" i="6"/>
  <c r="Y128" i="6"/>
  <c r="Y142" i="6"/>
  <c r="Y215" i="6"/>
  <c r="Y138" i="6"/>
  <c r="Y175" i="6"/>
  <c r="Y9" i="6"/>
  <c r="Y66" i="6"/>
  <c r="Y99" i="6"/>
  <c r="Y59" i="6"/>
  <c r="Y95" i="6"/>
  <c r="Y177" i="6"/>
  <c r="Y231" i="6"/>
  <c r="Y120" i="6"/>
  <c r="Q8" i="7"/>
  <c r="AD131" i="6"/>
  <c r="AD204" i="6"/>
  <c r="W204" i="6" s="1"/>
  <c r="AD139" i="6"/>
  <c r="AC131" i="6"/>
  <c r="O106" i="7"/>
  <c r="H48" i="11" a="1"/>
  <c r="H48" i="11" s="1"/>
  <c r="H44" i="11" a="1"/>
  <c r="H44" i="11" s="1"/>
  <c r="AD233" i="6"/>
  <c r="AD88" i="6"/>
  <c r="AC41" i="6"/>
  <c r="AC173" i="6"/>
  <c r="AC57" i="6"/>
  <c r="AC79" i="6"/>
  <c r="AD95" i="6"/>
  <c r="W95" i="6" s="1"/>
  <c r="AJ95" i="6" s="1"/>
  <c r="AC8" i="6"/>
  <c r="R103" i="7"/>
  <c r="H40" i="11" a="1"/>
  <c r="H40" i="11" s="1"/>
  <c r="O80" i="7"/>
  <c r="R80" i="7" s="1"/>
  <c r="O62" i="7"/>
  <c r="R62" i="7" s="1"/>
  <c r="R12" i="7"/>
  <c r="R226" i="7"/>
  <c r="AC207" i="6"/>
  <c r="AC103" i="6"/>
  <c r="AC17" i="6"/>
  <c r="AD41" i="6"/>
  <c r="W41" i="6" s="1"/>
  <c r="AJ41" i="6" s="1"/>
  <c r="Y221" i="6"/>
  <c r="O140" i="7"/>
  <c r="R140" i="7" s="1"/>
  <c r="AD216" i="6"/>
  <c r="W216" i="6" s="1"/>
  <c r="AD55" i="6"/>
  <c r="W55" i="6" s="1"/>
  <c r="AJ55" i="6" s="1"/>
  <c r="AC168" i="6"/>
  <c r="J6" i="7"/>
  <c r="F218" i="8" s="1"/>
  <c r="J4" i="7"/>
  <c r="F112" i="8" s="1"/>
  <c r="AD124" i="6"/>
  <c r="W124" i="6" s="1"/>
  <c r="AJ124" i="6" s="1"/>
  <c r="AC234" i="6"/>
  <c r="Y52" i="6"/>
  <c r="Y70" i="6"/>
  <c r="R91" i="7"/>
  <c r="AC102" i="6"/>
  <c r="AC5" i="6"/>
  <c r="AD102" i="6"/>
  <c r="AD85" i="6"/>
  <c r="W85" i="6" s="1"/>
  <c r="AJ85" i="6" s="1"/>
  <c r="AC226" i="6"/>
  <c r="AC88" i="6"/>
  <c r="AC56" i="6"/>
  <c r="AC114" i="6"/>
  <c r="AD170" i="6"/>
  <c r="W170" i="6" s="1"/>
  <c r="AC12" i="6"/>
  <c r="AD154" i="6"/>
  <c r="AD177" i="6"/>
  <c r="W177" i="6" s="1"/>
  <c r="AE177" i="6" s="1"/>
  <c r="AF177" i="6" s="1"/>
  <c r="AC68" i="6"/>
  <c r="AD26" i="6"/>
  <c r="AC113" i="6"/>
  <c r="AD94" i="6"/>
  <c r="AC109" i="6"/>
  <c r="AC13" i="6"/>
  <c r="AD151" i="6"/>
  <c r="W151" i="6" s="1"/>
  <c r="AE151" i="6" s="1"/>
  <c r="AG151" i="6" s="1"/>
  <c r="S151" i="7" s="1"/>
  <c r="AD96" i="6"/>
  <c r="AC81" i="6"/>
  <c r="AC224" i="6"/>
  <c r="AD157" i="6"/>
  <c r="W157" i="6" s="1"/>
  <c r="AD5" i="6"/>
  <c r="W5" i="6" s="1"/>
  <c r="AC185" i="6"/>
  <c r="AC170" i="6"/>
  <c r="AD59" i="6"/>
  <c r="AD207" i="6"/>
  <c r="Y132" i="6"/>
  <c r="AD66" i="6"/>
  <c r="AD22" i="6"/>
  <c r="W220" i="6"/>
  <c r="AJ220" i="6" s="1"/>
  <c r="J126" i="7"/>
  <c r="F157" i="8" s="1"/>
  <c r="J146" i="7"/>
  <c r="F152" i="8" s="1"/>
  <c r="AD185" i="6"/>
  <c r="AC83" i="6"/>
  <c r="O66" i="7"/>
  <c r="Q66" i="7" s="1"/>
  <c r="H235" i="7"/>
  <c r="E34" i="8" s="1"/>
  <c r="G34" i="8" s="1"/>
  <c r="AD78" i="6"/>
  <c r="AC209" i="6"/>
  <c r="Y51" i="6"/>
  <c r="Y77" i="6"/>
  <c r="Y117" i="6"/>
  <c r="Y141" i="6"/>
  <c r="Y206" i="6"/>
  <c r="Y14" i="6"/>
  <c r="U66" i="6"/>
  <c r="U109" i="6"/>
  <c r="U106" i="6"/>
  <c r="U131" i="6"/>
  <c r="U95" i="6"/>
  <c r="U83" i="6"/>
  <c r="U8" i="6"/>
  <c r="AC182" i="6"/>
  <c r="O182" i="7"/>
  <c r="Q182" i="7" s="1"/>
  <c r="AC200" i="6"/>
  <c r="AD200" i="6"/>
  <c r="AC90" i="6"/>
  <c r="AD90" i="6"/>
  <c r="W90" i="6" s="1"/>
  <c r="Q114" i="7"/>
  <c r="R114" i="7"/>
  <c r="AD237" i="6"/>
  <c r="O237" i="7"/>
  <c r="R237" i="7" s="1"/>
  <c r="O232" i="7"/>
  <c r="R232" i="7" s="1"/>
  <c r="AD232" i="6"/>
  <c r="W232" i="6" s="1"/>
  <c r="O172" i="7"/>
  <c r="R172" i="7" s="1"/>
  <c r="AD172" i="6"/>
  <c r="AC87" i="6"/>
  <c r="O87" i="7"/>
  <c r="R87" i="7" s="1"/>
  <c r="O11" i="7"/>
  <c r="AD11" i="6"/>
  <c r="W11" i="6" s="1"/>
  <c r="AD160" i="6"/>
  <c r="W160" i="6" s="1"/>
  <c r="AJ160" i="6" s="1"/>
  <c r="O160" i="7"/>
  <c r="R160" i="7" s="1"/>
  <c r="AC228" i="6"/>
  <c r="AD228" i="6"/>
  <c r="W228" i="6" s="1"/>
  <c r="O138" i="7"/>
  <c r="AC138" i="6"/>
  <c r="O156" i="7"/>
  <c r="Q156" i="7" s="1"/>
  <c r="AC156" i="6"/>
  <c r="O205" i="7"/>
  <c r="AC205" i="6"/>
  <c r="AC181" i="6"/>
  <c r="O181" i="7"/>
  <c r="J33" i="7"/>
  <c r="F213" i="8" s="1"/>
  <c r="AE33" i="6"/>
  <c r="AH33" i="6" s="1"/>
  <c r="W36" i="6"/>
  <c r="AJ36" i="6" s="1"/>
  <c r="AE36" i="6"/>
  <c r="AF36" i="6" s="1"/>
  <c r="W38" i="6"/>
  <c r="AJ38" i="6" s="1"/>
  <c r="AE38" i="6"/>
  <c r="AH38" i="6" s="1"/>
  <c r="J47" i="7"/>
  <c r="AE47" i="6"/>
  <c r="J61" i="7"/>
  <c r="AE61" i="6"/>
  <c r="AG61" i="6" s="1"/>
  <c r="S61" i="7" s="1"/>
  <c r="J76" i="7"/>
  <c r="F144" i="8" s="1"/>
  <c r="AE76" i="6"/>
  <c r="J132" i="7"/>
  <c r="W132" i="6"/>
  <c r="AJ132" i="6" s="1"/>
  <c r="AE133" i="6"/>
  <c r="AG133" i="6" s="1"/>
  <c r="S133" i="7" s="1"/>
  <c r="W133" i="6"/>
  <c r="AJ133" i="6" s="1"/>
  <c r="AE203" i="6"/>
  <c r="J203" i="7"/>
  <c r="F228" i="8" s="1"/>
  <c r="J222" i="7"/>
  <c r="L222" i="7" s="1"/>
  <c r="AE222" i="6"/>
  <c r="AG222" i="6" s="1"/>
  <c r="S222" i="7" s="1"/>
  <c r="Y45" i="6"/>
  <c r="H46" i="7"/>
  <c r="E98" i="8" s="1"/>
  <c r="G98" i="8" s="1"/>
  <c r="Y20" i="6"/>
  <c r="Y19" i="6"/>
  <c r="Y16" i="6"/>
  <c r="AC237" i="6"/>
  <c r="AC78" i="6"/>
  <c r="H108" i="7"/>
  <c r="E176" i="8" s="1"/>
  <c r="G176" i="8" s="1"/>
  <c r="Q96" i="7"/>
  <c r="H19" i="7"/>
  <c r="R113" i="7"/>
  <c r="H208" i="7"/>
  <c r="U57" i="6"/>
  <c r="U17" i="6"/>
  <c r="U139" i="6"/>
  <c r="U224" i="6"/>
  <c r="U7" i="6"/>
  <c r="U88" i="6"/>
  <c r="U92" i="6"/>
  <c r="AC75" i="6"/>
  <c r="U204" i="6"/>
  <c r="U238" i="6"/>
  <c r="U202" i="6"/>
  <c r="U226" i="6"/>
  <c r="U147" i="6"/>
  <c r="U103" i="6"/>
  <c r="U79" i="6"/>
  <c r="U80" i="6"/>
  <c r="U182" i="6"/>
  <c r="U214" i="6"/>
  <c r="U153" i="6"/>
  <c r="AC69" i="6"/>
  <c r="AB69" i="6"/>
  <c r="U161" i="6"/>
  <c r="U184" i="6"/>
  <c r="U173" i="6"/>
  <c r="U171" i="6"/>
  <c r="U174" i="6"/>
  <c r="U218" i="6"/>
  <c r="U152" i="6"/>
  <c r="U170" i="6"/>
  <c r="U167" i="6"/>
  <c r="U90" i="6"/>
  <c r="U207" i="6"/>
  <c r="U113" i="6"/>
  <c r="U114" i="6"/>
  <c r="U237" i="6"/>
  <c r="U102" i="6"/>
  <c r="U140" i="6"/>
  <c r="U223" i="6"/>
  <c r="U59" i="6"/>
  <c r="U179" i="6"/>
  <c r="U99" i="6"/>
  <c r="U185" i="6"/>
  <c r="U232" i="6"/>
  <c r="U172" i="6"/>
  <c r="U186" i="6"/>
  <c r="U58" i="6"/>
  <c r="U89" i="6"/>
  <c r="U87" i="6"/>
  <c r="U85" i="6"/>
  <c r="U229" i="6"/>
  <c r="U176" i="6"/>
  <c r="U209" i="6"/>
  <c r="U188" i="6"/>
  <c r="U160" i="6"/>
  <c r="U197" i="6"/>
  <c r="U107" i="6"/>
  <c r="U119" i="6"/>
  <c r="U134" i="6"/>
  <c r="U96" i="6"/>
  <c r="U180" i="6"/>
  <c r="U151" i="6"/>
  <c r="U56" i="6"/>
  <c r="U142" i="6"/>
  <c r="U116" i="6"/>
  <c r="U63" i="6"/>
  <c r="U231" i="6"/>
  <c r="U154" i="6"/>
  <c r="U168" i="6"/>
  <c r="U55" i="6"/>
  <c r="U150" i="6"/>
  <c r="AB73" i="6"/>
  <c r="U24" i="6"/>
  <c r="U91" i="6"/>
  <c r="U163" i="6"/>
  <c r="U128" i="6"/>
  <c r="U183" i="6"/>
  <c r="U123" i="6"/>
  <c r="U230" i="6"/>
  <c r="U217" i="6"/>
  <c r="U193" i="6"/>
  <c r="U93" i="6"/>
  <c r="U49" i="6"/>
  <c r="U30" i="6"/>
  <c r="U64" i="6"/>
  <c r="AC74" i="6"/>
  <c r="O74" i="7"/>
  <c r="R74" i="7" s="1"/>
  <c r="W108" i="6"/>
  <c r="AJ108" i="6" s="1"/>
  <c r="AC117" i="6"/>
  <c r="Y46" i="6"/>
  <c r="Y222" i="6"/>
  <c r="Y33" i="6"/>
  <c r="H185" i="7"/>
  <c r="Y194" i="6"/>
  <c r="Y155" i="6"/>
  <c r="Y161" i="6"/>
  <c r="H130" i="7"/>
  <c r="E120" i="8" s="1"/>
  <c r="G120" i="8" s="1"/>
  <c r="H90" i="7"/>
  <c r="I90" i="7" s="1"/>
  <c r="D154" i="8" s="1"/>
  <c r="AC47" i="6"/>
  <c r="AC201" i="6"/>
  <c r="O145" i="7"/>
  <c r="R145" i="7" s="1"/>
  <c r="AC132" i="6"/>
  <c r="AC84" i="6"/>
  <c r="AH27" i="6"/>
  <c r="AD74" i="6"/>
  <c r="W74" i="6" s="1"/>
  <c r="AJ74" i="6" s="1"/>
  <c r="AC36" i="6"/>
  <c r="AC34" i="6"/>
  <c r="O210" i="7"/>
  <c r="R210" i="7" s="1"/>
  <c r="AC221" i="6"/>
  <c r="W193" i="6"/>
  <c r="AJ193" i="6" s="1"/>
  <c r="O159" i="7"/>
  <c r="Q159" i="7" s="1"/>
  <c r="H92" i="7"/>
  <c r="H61" i="7"/>
  <c r="I61" i="7" s="1"/>
  <c r="D187" i="8" s="1"/>
  <c r="H67" i="7"/>
  <c r="L67" i="7" s="1"/>
  <c r="H195" i="7"/>
  <c r="E134" i="8" s="1"/>
  <c r="G134" i="8" s="1"/>
  <c r="H14" i="7"/>
  <c r="E195" i="8" s="1"/>
  <c r="G195" i="8" s="1"/>
  <c r="H34" i="7"/>
  <c r="E142" i="8" s="1"/>
  <c r="G142" i="8" s="1"/>
  <c r="H129" i="7"/>
  <c r="I129" i="7" s="1"/>
  <c r="D163" i="8" s="1"/>
  <c r="O142" i="7"/>
  <c r="AD142" i="6"/>
  <c r="W142" i="6" s="1"/>
  <c r="W20" i="6"/>
  <c r="AJ20" i="6" s="1"/>
  <c r="AE20" i="6"/>
  <c r="AF20" i="6" s="1"/>
  <c r="AE144" i="6"/>
  <c r="AF144" i="6" s="1"/>
  <c r="J144" i="7"/>
  <c r="F149" i="8" s="1"/>
  <c r="AE145" i="6"/>
  <c r="AF145" i="6" s="1"/>
  <c r="W145" i="6"/>
  <c r="AJ145" i="6" s="1"/>
  <c r="O110" i="7"/>
  <c r="R110" i="7" s="1"/>
  <c r="AD112" i="6"/>
  <c r="AC145" i="6"/>
  <c r="O112" i="7"/>
  <c r="Q112" i="7" s="1"/>
  <c r="AC101" i="6"/>
  <c r="AH127" i="6"/>
  <c r="AD28" i="6"/>
  <c r="W28" i="6" s="1"/>
  <c r="O225" i="7"/>
  <c r="R225" i="7" s="1"/>
  <c r="O239" i="7"/>
  <c r="Q239" i="7" s="1"/>
  <c r="AD208" i="6"/>
  <c r="AD159" i="6"/>
  <c r="O34" i="7"/>
  <c r="R34" i="7" s="1"/>
  <c r="O190" i="7"/>
  <c r="Y36" i="6"/>
  <c r="Y208" i="6"/>
  <c r="Y53" i="6"/>
  <c r="Y110" i="6"/>
  <c r="Y146" i="6"/>
  <c r="Y219" i="6"/>
  <c r="Y144" i="6"/>
  <c r="Q150" i="7"/>
  <c r="Q102" i="7"/>
  <c r="Q41" i="7"/>
  <c r="AD109" i="6"/>
  <c r="W109" i="6" s="1"/>
  <c r="AD8" i="6"/>
  <c r="AD57" i="6"/>
  <c r="AC139" i="6"/>
  <c r="AC135" i="6"/>
  <c r="AD7" i="6"/>
  <c r="AC157" i="6"/>
  <c r="AC204" i="6"/>
  <c r="AC202" i="6"/>
  <c r="AD226" i="6"/>
  <c r="W226" i="6" s="1"/>
  <c r="AD62" i="6"/>
  <c r="AD103" i="6"/>
  <c r="W103" i="6" s="1"/>
  <c r="AC174" i="6"/>
  <c r="AC152" i="6"/>
  <c r="AD81" i="6"/>
  <c r="AD114" i="6"/>
  <c r="AD155" i="6"/>
  <c r="W155" i="6" s="1"/>
  <c r="AD223" i="6"/>
  <c r="AD89" i="6"/>
  <c r="W89" i="6" s="1"/>
  <c r="AJ89" i="6" s="1"/>
  <c r="AC85" i="6"/>
  <c r="AC70" i="6"/>
  <c r="Y209" i="6"/>
  <c r="AD197" i="6"/>
  <c r="AC148" i="6"/>
  <c r="AC137" i="6"/>
  <c r="AC180" i="6"/>
  <c r="AC151" i="6"/>
  <c r="AD116" i="6"/>
  <c r="AC231" i="6"/>
  <c r="AC9" i="6"/>
  <c r="AC154" i="6"/>
  <c r="AC150" i="6"/>
  <c r="AC128" i="6"/>
  <c r="AD165" i="6"/>
  <c r="AB181" i="6"/>
  <c r="AC21" i="6"/>
  <c r="AB22" i="6"/>
  <c r="AB13" i="6"/>
  <c r="U37" i="6"/>
  <c r="AB37" i="6"/>
  <c r="U6" i="6"/>
  <c r="AB29" i="6"/>
  <c r="AB42" i="6"/>
  <c r="AB61" i="6"/>
  <c r="U82" i="6"/>
  <c r="U101" i="6"/>
  <c r="U111" i="6"/>
  <c r="U145" i="6"/>
  <c r="U240" i="6"/>
  <c r="H238" i="7"/>
  <c r="I238" i="7" s="1"/>
  <c r="D113" i="8" s="1"/>
  <c r="Y94" i="6"/>
  <c r="H93" i="7"/>
  <c r="E130" i="8" s="1"/>
  <c r="G130" i="8" s="1"/>
  <c r="W9" i="6"/>
  <c r="AE9" i="6" s="1"/>
  <c r="AG9" i="6" s="1"/>
  <c r="S9" i="7" s="1"/>
  <c r="W128" i="6"/>
  <c r="AE128" i="6" s="1"/>
  <c r="AG128" i="6" s="1"/>
  <c r="S128" i="7" s="1"/>
  <c r="H36" i="7"/>
  <c r="E133" i="8" s="1"/>
  <c r="G133" i="8" s="1"/>
  <c r="H116" i="7"/>
  <c r="I116" i="7" s="1"/>
  <c r="D106" i="8" s="1"/>
  <c r="H212" i="7"/>
  <c r="I212" i="7" s="1"/>
  <c r="D226" i="8" s="1"/>
  <c r="H152" i="7"/>
  <c r="J79" i="7"/>
  <c r="F75" i="8" s="1"/>
  <c r="Y79" i="6"/>
  <c r="AC184" i="6"/>
  <c r="AD184" i="6"/>
  <c r="J218" i="7"/>
  <c r="F232" i="8" s="1"/>
  <c r="Y218" i="6"/>
  <c r="J170" i="7"/>
  <c r="F80" i="8" s="1"/>
  <c r="Y170" i="6"/>
  <c r="J167" i="7"/>
  <c r="F55" i="8" s="1"/>
  <c r="Y167" i="6"/>
  <c r="AE237" i="6"/>
  <c r="W237" i="6"/>
  <c r="AJ237" i="6" s="1"/>
  <c r="J85" i="7"/>
  <c r="F32" i="8" s="1"/>
  <c r="Y85" i="6"/>
  <c r="AD229" i="6"/>
  <c r="W229" i="6" s="1"/>
  <c r="AC229" i="6"/>
  <c r="AC166" i="6"/>
  <c r="AD166" i="6"/>
  <c r="W166" i="6" s="1"/>
  <c r="AE166" i="6" s="1"/>
  <c r="AG166" i="6" s="1"/>
  <c r="S166" i="7" s="1"/>
  <c r="AD119" i="6"/>
  <c r="AC119" i="6"/>
  <c r="H39" i="11" a="1"/>
  <c r="H39" i="11" s="1"/>
  <c r="H50" i="11" a="1"/>
  <c r="H50" i="11" s="1"/>
  <c r="J5" i="7"/>
  <c r="F39" i="8" s="1"/>
  <c r="J9" i="11" a="1"/>
  <c r="J9" i="11" s="1"/>
  <c r="J216" i="7"/>
  <c r="F72" i="8" s="1"/>
  <c r="Y216" i="6"/>
  <c r="AE156" i="6"/>
  <c r="AG156" i="6" s="1"/>
  <c r="S156" i="7" s="1"/>
  <c r="Y156" i="6"/>
  <c r="AC91" i="6"/>
  <c r="AD91" i="6"/>
  <c r="W91" i="6" s="1"/>
  <c r="AE91" i="6" s="1"/>
  <c r="AH91" i="6" s="1"/>
  <c r="Y163" i="6"/>
  <c r="AB49" i="6"/>
  <c r="AD49" i="6"/>
  <c r="W49" i="6" s="1"/>
  <c r="J64" i="7"/>
  <c r="F214" i="8" s="1"/>
  <c r="Y64" i="6"/>
  <c r="H169" i="7"/>
  <c r="Y50" i="6"/>
  <c r="Y91" i="6"/>
  <c r="Y180" i="6"/>
  <c r="Y26" i="6"/>
  <c r="Y207" i="6"/>
  <c r="Y191" i="6"/>
  <c r="Y131" i="6"/>
  <c r="Y179" i="6"/>
  <c r="Y192" i="6"/>
  <c r="Y184" i="6"/>
  <c r="Y102" i="6"/>
  <c r="Y169" i="6"/>
  <c r="Y188" i="6"/>
  <c r="Y238" i="6"/>
  <c r="Y160" i="6"/>
  <c r="Y164" i="6"/>
  <c r="Y140" i="6"/>
  <c r="Y228" i="6"/>
  <c r="H112" i="7"/>
  <c r="H4" i="7"/>
  <c r="I4" i="7" s="1"/>
  <c r="D112" i="8" s="1"/>
  <c r="H115" i="7"/>
  <c r="I115" i="7" s="1"/>
  <c r="D5" i="8" s="1"/>
  <c r="H144" i="7"/>
  <c r="I144" i="7" s="1"/>
  <c r="D149" i="8" s="1"/>
  <c r="H178" i="7"/>
  <c r="L178" i="7" s="1"/>
  <c r="Y168" i="6"/>
  <c r="Y237" i="6"/>
  <c r="H140" i="7"/>
  <c r="I140" i="7" s="1"/>
  <c r="D116" i="8" s="1"/>
  <c r="AC115" i="6"/>
  <c r="AD123" i="6"/>
  <c r="W123" i="6" s="1"/>
  <c r="AJ123" i="6" s="1"/>
  <c r="AD25" i="6"/>
  <c r="W25" i="6" s="1"/>
  <c r="AD10" i="6"/>
  <c r="W10" i="6" s="1"/>
  <c r="AC227" i="6"/>
  <c r="AD120" i="6"/>
  <c r="AC93" i="6"/>
  <c r="AC49" i="6"/>
  <c r="AC31" i="6"/>
  <c r="AD43" i="6"/>
  <c r="AD50" i="6"/>
  <c r="W50" i="6" s="1"/>
  <c r="AE50" i="6" s="1"/>
  <c r="AH50" i="6" s="1"/>
  <c r="AI50" i="6" s="1"/>
  <c r="AB39" i="6"/>
  <c r="AB18" i="6"/>
  <c r="AB48" i="6"/>
  <c r="AB16" i="6"/>
  <c r="AB19" i="6"/>
  <c r="U127" i="6"/>
  <c r="AB46" i="6"/>
  <c r="AB221" i="6"/>
  <c r="U100" i="6"/>
  <c r="AB101" i="6"/>
  <c r="U104" i="6"/>
  <c r="AB111" i="6"/>
  <c r="U121" i="6"/>
  <c r="Y44" i="6"/>
  <c r="Y224" i="6"/>
  <c r="Y176" i="6"/>
  <c r="Y40" i="6"/>
  <c r="AB217" i="6"/>
  <c r="U25" i="6"/>
  <c r="AB25" i="6"/>
  <c r="U234" i="6"/>
  <c r="AB234" i="6"/>
  <c r="AB164" i="6"/>
  <c r="U165" i="6"/>
  <c r="AB10" i="6"/>
  <c r="U23" i="6"/>
  <c r="AB23" i="6"/>
  <c r="U227" i="6"/>
  <c r="AB227" i="6"/>
  <c r="AB191" i="6"/>
  <c r="U125" i="6"/>
  <c r="AB125" i="6"/>
  <c r="AB120" i="6"/>
  <c r="U35" i="6"/>
  <c r="U130" i="6"/>
  <c r="AB130" i="6"/>
  <c r="U181" i="6"/>
  <c r="AB30" i="6"/>
  <c r="AB31" i="6"/>
  <c r="U40" i="6"/>
  <c r="U12" i="6"/>
  <c r="AB12" i="6"/>
  <c r="AB64" i="6"/>
  <c r="AB50" i="6"/>
  <c r="U39" i="6"/>
  <c r="U48" i="6"/>
  <c r="U190" i="6"/>
  <c r="U27" i="6"/>
  <c r="U126" i="6"/>
  <c r="W46" i="6"/>
  <c r="AJ46" i="6" s="1"/>
  <c r="U33" i="6"/>
  <c r="U235" i="6"/>
  <c r="W221" i="6"/>
  <c r="AE221" i="6" s="1"/>
  <c r="U34" i="6"/>
  <c r="U146" i="6"/>
  <c r="U159" i="6"/>
  <c r="U4" i="6"/>
  <c r="U29" i="6"/>
  <c r="U36" i="6"/>
  <c r="U38" i="6"/>
  <c r="U44" i="6"/>
  <c r="U45" i="6"/>
  <c r="U61" i="6"/>
  <c r="U76" i="6"/>
  <c r="U77" i="6"/>
  <c r="W101" i="6"/>
  <c r="AJ101" i="6" s="1"/>
  <c r="U110" i="6"/>
  <c r="U117" i="6"/>
  <c r="U118" i="6"/>
  <c r="U136" i="6"/>
  <c r="AC141" i="6"/>
  <c r="U144" i="6"/>
  <c r="U194" i="6"/>
  <c r="AC196" i="6"/>
  <c r="U199" i="6"/>
  <c r="U203" i="6"/>
  <c r="U211" i="6"/>
  <c r="U212" i="6"/>
  <c r="U213" i="6"/>
  <c r="U219" i="6"/>
  <c r="U220" i="6"/>
  <c r="U222" i="6"/>
  <c r="U241" i="6"/>
  <c r="U242" i="6"/>
  <c r="Y41" i="6"/>
  <c r="Y234" i="6"/>
  <c r="O39" i="7"/>
  <c r="Q39" i="7" s="1"/>
  <c r="AD39" i="6"/>
  <c r="O60" i="7"/>
  <c r="R60" i="7" s="1"/>
  <c r="AC60" i="6"/>
  <c r="AC37" i="6"/>
  <c r="AD37" i="6"/>
  <c r="AC19" i="6"/>
  <c r="AD19" i="6"/>
  <c r="W19" i="6" s="1"/>
  <c r="AE19" i="6" s="1"/>
  <c r="AF19" i="6" s="1"/>
  <c r="AD20" i="6"/>
  <c r="AC20" i="6"/>
  <c r="O20" i="7"/>
  <c r="R20" i="7" s="1"/>
  <c r="O33" i="7"/>
  <c r="R33" i="7" s="1"/>
  <c r="AC33" i="6"/>
  <c r="AC67" i="6"/>
  <c r="AD67" i="6"/>
  <c r="W67" i="6" s="1"/>
  <c r="O67" i="7"/>
  <c r="Q67" i="7" s="1"/>
  <c r="AC6" i="6"/>
  <c r="AD6" i="6"/>
  <c r="AC15" i="6"/>
  <c r="O15" i="7"/>
  <c r="Q15" i="7" s="1"/>
  <c r="AD15" i="6"/>
  <c r="AC32" i="6"/>
  <c r="O32" i="7"/>
  <c r="Q32" i="7" s="1"/>
  <c r="O44" i="7"/>
  <c r="R44" i="7" s="1"/>
  <c r="AD44" i="6"/>
  <c r="W44" i="6" s="1"/>
  <c r="AJ44" i="6" s="1"/>
  <c r="AD52" i="6"/>
  <c r="AC52" i="6"/>
  <c r="O61" i="7"/>
  <c r="R61" i="7" s="1"/>
  <c r="AD61" i="6"/>
  <c r="AD72" i="6"/>
  <c r="W72" i="6" s="1"/>
  <c r="AE72" i="6" s="1"/>
  <c r="O72" i="7"/>
  <c r="R72" i="7" s="1"/>
  <c r="O76" i="7"/>
  <c r="R76" i="7" s="1"/>
  <c r="AC76" i="6"/>
  <c r="AD98" i="6"/>
  <c r="AC98" i="6"/>
  <c r="AD105" i="6"/>
  <c r="AC105" i="6"/>
  <c r="AD118" i="6"/>
  <c r="W118" i="6" s="1"/>
  <c r="O118" i="7"/>
  <c r="R118" i="7" s="1"/>
  <c r="AD136" i="6"/>
  <c r="O136" i="7"/>
  <c r="AC194" i="6"/>
  <c r="O194" i="7"/>
  <c r="Q194" i="7" s="1"/>
  <c r="AC198" i="6"/>
  <c r="AD198" i="6"/>
  <c r="AC206" i="6"/>
  <c r="AD206" i="6"/>
  <c r="O206" i="7"/>
  <c r="Q206" i="7" s="1"/>
  <c r="AC222" i="6"/>
  <c r="AD222" i="6"/>
  <c r="O222" i="7"/>
  <c r="Q222" i="7" s="1"/>
  <c r="AD240" i="6"/>
  <c r="O240" i="7"/>
  <c r="Q240" i="7" s="1"/>
  <c r="AC240" i="6"/>
  <c r="O242" i="7"/>
  <c r="Q242" i="7" s="1"/>
  <c r="AD242" i="6"/>
  <c r="O101" i="7"/>
  <c r="R101" i="7" s="1"/>
  <c r="O201" i="7"/>
  <c r="Q201" i="7" s="1"/>
  <c r="AD132" i="6"/>
  <c r="AD4" i="6"/>
  <c r="W4" i="6" s="1"/>
  <c r="AE4" i="6" s="1"/>
  <c r="AG4" i="6" s="1"/>
  <c r="S4" i="7" s="1"/>
  <c r="W68" i="6"/>
  <c r="AJ68" i="6" s="1"/>
  <c r="AC242" i="6"/>
  <c r="O98" i="7"/>
  <c r="Q98" i="7" s="1"/>
  <c r="O221" i="7"/>
  <c r="Q221" i="7" s="1"/>
  <c r="W162" i="6"/>
  <c r="AE162" i="6" s="1"/>
  <c r="AH162" i="6" s="1"/>
  <c r="AI162" i="6" s="1"/>
  <c r="AD18" i="6"/>
  <c r="AC18" i="6"/>
  <c r="O18" i="7"/>
  <c r="Q18" i="7" s="1"/>
  <c r="O16" i="7"/>
  <c r="AD16" i="6"/>
  <c r="W16" i="6" s="1"/>
  <c r="O27" i="7"/>
  <c r="R27" i="7" s="1"/>
  <c r="AC27" i="6"/>
  <c r="AC127" i="6"/>
  <c r="AC235" i="6"/>
  <c r="O235" i="7"/>
  <c r="Q235" i="7" s="1"/>
  <c r="AC129" i="6"/>
  <c r="O129" i="7"/>
  <c r="Q129" i="7" s="1"/>
  <c r="O14" i="7"/>
  <c r="Q14" i="7" s="1"/>
  <c r="AD14" i="6"/>
  <c r="O29" i="7"/>
  <c r="AD29" i="6"/>
  <c r="W29" i="6" s="1"/>
  <c r="AC42" i="6"/>
  <c r="O42" i="7"/>
  <c r="R42" i="7" s="1"/>
  <c r="AD42" i="6"/>
  <c r="AC45" i="6"/>
  <c r="O45" i="7"/>
  <c r="Q45" i="7" s="1"/>
  <c r="O51" i="7"/>
  <c r="AC51" i="6"/>
  <c r="AC53" i="6"/>
  <c r="AD53" i="6"/>
  <c r="O71" i="7"/>
  <c r="AD71" i="6"/>
  <c r="AC77" i="6"/>
  <c r="AH77" i="6"/>
  <c r="AI77" i="6" s="1"/>
  <c r="AD77" i="6"/>
  <c r="AC100" i="6"/>
  <c r="O100" i="7"/>
  <c r="R100" i="7" s="1"/>
  <c r="AD100" i="6"/>
  <c r="W100" i="6" s="1"/>
  <c r="AJ100" i="6" s="1"/>
  <c r="AC104" i="6"/>
  <c r="AD104" i="6"/>
  <c r="AC108" i="6"/>
  <c r="O108" i="7"/>
  <c r="R108" i="7" s="1"/>
  <c r="AC111" i="6"/>
  <c r="AD111" i="6"/>
  <c r="AD121" i="6"/>
  <c r="AC121" i="6"/>
  <c r="O133" i="7"/>
  <c r="Q133" i="7" s="1"/>
  <c r="AC133" i="6"/>
  <c r="AD199" i="6"/>
  <c r="AC199" i="6"/>
  <c r="O199" i="7"/>
  <c r="AC203" i="6"/>
  <c r="O203" i="7"/>
  <c r="R203" i="7" s="1"/>
  <c r="AC211" i="6"/>
  <c r="O211" i="7"/>
  <c r="Q211" i="7" s="1"/>
  <c r="AC213" i="6"/>
  <c r="AD213" i="6"/>
  <c r="AD220" i="6"/>
  <c r="O220" i="7"/>
  <c r="Q220" i="7" s="1"/>
  <c r="AD241" i="6"/>
  <c r="W241" i="6" s="1"/>
  <c r="AE241" i="6" s="1"/>
  <c r="AC241" i="6"/>
  <c r="AC195" i="6"/>
  <c r="O195" i="7"/>
  <c r="Q195" i="7" s="1"/>
  <c r="AB75" i="6"/>
  <c r="AD75" i="6"/>
  <c r="W75" i="6" s="1"/>
  <c r="AJ75" i="6" s="1"/>
  <c r="AD110" i="6"/>
  <c r="W150" i="6"/>
  <c r="AE150" i="6" s="1"/>
  <c r="O219" i="7"/>
  <c r="Q219" i="7" s="1"/>
  <c r="O198" i="7"/>
  <c r="R198" i="7" s="1"/>
  <c r="AC118" i="6"/>
  <c r="O105" i="7"/>
  <c r="R105" i="7" s="1"/>
  <c r="O46" i="7"/>
  <c r="Q46" i="7" s="1"/>
  <c r="W217" i="6"/>
  <c r="AE217" i="6" s="1"/>
  <c r="AH217" i="6" s="1"/>
  <c r="AI217" i="6" s="1"/>
  <c r="AH238" i="6"/>
  <c r="AD210" i="6"/>
  <c r="O37" i="7"/>
  <c r="R37" i="7" s="1"/>
  <c r="AC46" i="6"/>
  <c r="AC72" i="6"/>
  <c r="AD127" i="6"/>
  <c r="AB127" i="6"/>
  <c r="AH236" i="6"/>
  <c r="AH209" i="6"/>
  <c r="AH66" i="6"/>
  <c r="H69" i="7"/>
  <c r="AH73" i="6"/>
  <c r="W174" i="6"/>
  <c r="AE174" i="6" s="1"/>
  <c r="AF174" i="6" s="1"/>
  <c r="W181" i="6"/>
  <c r="AE181" i="6" s="1"/>
  <c r="AH181" i="6" s="1"/>
  <c r="W182" i="6"/>
  <c r="AE182" i="6" s="1"/>
  <c r="AF182" i="6" s="1"/>
  <c r="W40" i="6"/>
  <c r="AE40" i="6" s="1"/>
  <c r="AG40" i="6" s="1"/>
  <c r="S40" i="7" s="1"/>
  <c r="W87" i="6"/>
  <c r="AJ87" i="6" s="1"/>
  <c r="H132" i="7"/>
  <c r="I132" i="7" s="1"/>
  <c r="D160" i="8" s="1"/>
  <c r="H216" i="7"/>
  <c r="H68" i="7"/>
  <c r="H102" i="7"/>
  <c r="E10" i="8" s="1"/>
  <c r="G10" i="8" s="1"/>
  <c r="H82" i="7"/>
  <c r="E207" i="8" s="1"/>
  <c r="G207" i="8" s="1"/>
  <c r="H181" i="7"/>
  <c r="I181" i="7" s="1"/>
  <c r="D73" i="8" s="1"/>
  <c r="H225" i="7"/>
  <c r="I225" i="7" s="1"/>
  <c r="D225" i="8" s="1"/>
  <c r="H66" i="7"/>
  <c r="I66" i="7" s="1"/>
  <c r="D204" i="8" s="1"/>
  <c r="H157" i="7"/>
  <c r="U175" i="6"/>
  <c r="U178" i="6"/>
  <c r="U164" i="6"/>
  <c r="U191" i="6"/>
  <c r="U31" i="6"/>
  <c r="U43" i="6"/>
  <c r="AC28" i="6"/>
  <c r="AC54" i="6"/>
  <c r="AD126" i="6"/>
  <c r="Y6" i="6"/>
  <c r="AC44" i="6"/>
  <c r="AD117" i="6"/>
  <c r="W117" i="6" s="1"/>
  <c r="AE117" i="6" s="1"/>
  <c r="AH117" i="6" s="1"/>
  <c r="W171" i="6"/>
  <c r="AJ171" i="6" s="1"/>
  <c r="AH110" i="6"/>
  <c r="AI110" i="6" s="1"/>
  <c r="W13" i="6"/>
  <c r="AE13" i="6" s="1"/>
  <c r="AH13" i="6" s="1"/>
  <c r="AI13" i="6" s="1"/>
  <c r="H204" i="7"/>
  <c r="Y28" i="6"/>
  <c r="H172" i="7"/>
  <c r="I172" i="7" s="1"/>
  <c r="D53" i="8" s="1"/>
  <c r="H167" i="7"/>
  <c r="Y229" i="6"/>
  <c r="Y205" i="6"/>
  <c r="Y190" i="6"/>
  <c r="Y135" i="6"/>
  <c r="Y106" i="6"/>
  <c r="Y63" i="6"/>
  <c r="Y88" i="6"/>
  <c r="Y73" i="6"/>
  <c r="O183" i="7"/>
  <c r="AD183" i="6"/>
  <c r="O178" i="7"/>
  <c r="Q178" i="7" s="1"/>
  <c r="AC178" i="6"/>
  <c r="AD164" i="6"/>
  <c r="W164" i="6" s="1"/>
  <c r="AJ164" i="6" s="1"/>
  <c r="AC164" i="6"/>
  <c r="O193" i="7"/>
  <c r="Q193" i="7" s="1"/>
  <c r="AC193" i="6"/>
  <c r="O130" i="7"/>
  <c r="R130" i="7" s="1"/>
  <c r="AD130" i="6"/>
  <c r="O122" i="7"/>
  <c r="AD122" i="6"/>
  <c r="W122" i="6" s="1"/>
  <c r="AE122" i="6" s="1"/>
  <c r="AB4" i="6"/>
  <c r="AC4" i="6"/>
  <c r="AC43" i="6"/>
  <c r="O31" i="7"/>
  <c r="R31" i="7" s="1"/>
  <c r="O120" i="7"/>
  <c r="Q120" i="7" s="1"/>
  <c r="O10" i="7"/>
  <c r="Q10" i="7" s="1"/>
  <c r="AD178" i="6"/>
  <c r="W178" i="6" s="1"/>
  <c r="AE178" i="6" s="1"/>
  <c r="AH178" i="6" s="1"/>
  <c r="AC124" i="6"/>
  <c r="AC122" i="6"/>
  <c r="AD54" i="6"/>
  <c r="W54" i="6" s="1"/>
  <c r="AJ54" i="6" s="1"/>
  <c r="H24" i="7"/>
  <c r="E88" i="8" s="1"/>
  <c r="G88" i="8" s="1"/>
  <c r="J18" i="7"/>
  <c r="F140" i="8" s="1"/>
  <c r="W18" i="6"/>
  <c r="AJ18" i="6" s="1"/>
  <c r="Y18" i="6"/>
  <c r="AE18" i="6"/>
  <c r="AG18" i="6" s="1"/>
  <c r="S18" i="7" s="1"/>
  <c r="AE34" i="6"/>
  <c r="AH34" i="6" s="1"/>
  <c r="W34" i="6"/>
  <c r="AJ34" i="6" s="1"/>
  <c r="W159" i="6"/>
  <c r="AJ159" i="6" s="1"/>
  <c r="AE159" i="6"/>
  <c r="AG159" i="6" s="1"/>
  <c r="S159" i="7" s="1"/>
  <c r="J14" i="7"/>
  <c r="AE14" i="6"/>
  <c r="AG14" i="6" s="1"/>
  <c r="S14" i="7" s="1"/>
  <c r="G17" i="11"/>
  <c r="H49" i="11" a="1"/>
  <c r="H49" i="11" s="1"/>
  <c r="M13" i="11"/>
  <c r="H43" i="11" a="1"/>
  <c r="H43" i="11" s="1"/>
  <c r="H37" i="11" a="1"/>
  <c r="H37" i="11" s="1"/>
  <c r="J29" i="7"/>
  <c r="F180" i="8" s="1"/>
  <c r="Y29" i="6"/>
  <c r="J53" i="7"/>
  <c r="W53" i="6"/>
  <c r="AJ53" i="6" s="1"/>
  <c r="Y74" i="6"/>
  <c r="J74" i="7"/>
  <c r="F181" i="8" s="1"/>
  <c r="AE84" i="6"/>
  <c r="AG84" i="6" s="1"/>
  <c r="S84" i="7" s="1"/>
  <c r="W84" i="6"/>
  <c r="AJ84" i="6" s="1"/>
  <c r="Y84" i="6"/>
  <c r="AE104" i="6"/>
  <c r="W104" i="6"/>
  <c r="AJ104" i="6" s="1"/>
  <c r="Y104" i="6"/>
  <c r="J199" i="7"/>
  <c r="F223" i="8" s="1"/>
  <c r="AE199" i="6"/>
  <c r="AF199" i="6" s="1"/>
  <c r="Y199" i="6"/>
  <c r="W208" i="6"/>
  <c r="AJ208" i="6" s="1"/>
  <c r="AE208" i="6"/>
  <c r="AH208" i="6" s="1"/>
  <c r="J211" i="7"/>
  <c r="W211" i="6"/>
  <c r="AJ211" i="6" s="1"/>
  <c r="AE211" i="6"/>
  <c r="AG211" i="6" s="1"/>
  <c r="S211" i="7" s="1"/>
  <c r="W213" i="6"/>
  <c r="AJ213" i="6" s="1"/>
  <c r="J213" i="7"/>
  <c r="L213" i="7" s="1"/>
  <c r="AE220" i="6"/>
  <c r="AF220" i="6" s="1"/>
  <c r="Y220" i="6"/>
  <c r="AC189" i="6"/>
  <c r="H126" i="7"/>
  <c r="E157" i="8" s="1"/>
  <c r="G157" i="8" s="1"/>
  <c r="O86" i="7"/>
  <c r="AD86" i="6"/>
  <c r="W86" i="6" s="1"/>
  <c r="AE86" i="6" s="1"/>
  <c r="AH86" i="6" s="1"/>
  <c r="AI86" i="6" s="1"/>
  <c r="AD175" i="6"/>
  <c r="W175" i="6" s="1"/>
  <c r="AJ175" i="6" s="1"/>
  <c r="O175" i="7"/>
  <c r="Q175" i="7" s="1"/>
  <c r="O217" i="7"/>
  <c r="Q217" i="7" s="1"/>
  <c r="AC217" i="6"/>
  <c r="O165" i="7"/>
  <c r="Q165" i="7" s="1"/>
  <c r="AC165" i="6"/>
  <c r="O23" i="7"/>
  <c r="AC23" i="6"/>
  <c r="O191" i="7"/>
  <c r="AC191" i="6"/>
  <c r="O125" i="7"/>
  <c r="R125" i="7" s="1"/>
  <c r="AD125" i="6"/>
  <c r="W125" i="6" s="1"/>
  <c r="AJ125" i="6" s="1"/>
  <c r="AC125" i="6"/>
  <c r="AC40" i="6"/>
  <c r="O40" i="7"/>
  <c r="R40" i="7" s="1"/>
  <c r="O64" i="7"/>
  <c r="AC64" i="6"/>
  <c r="AD64" i="6"/>
  <c r="W64" i="6" s="1"/>
  <c r="AJ64" i="6" s="1"/>
  <c r="AD65" i="6"/>
  <c r="W65" i="6" s="1"/>
  <c r="AE65" i="6" s="1"/>
  <c r="AG65" i="6" s="1"/>
  <c r="S65" i="7" s="1"/>
  <c r="AC65" i="6"/>
  <c r="AD235" i="6"/>
  <c r="W235" i="6" s="1"/>
  <c r="AE235" i="6" s="1"/>
  <c r="AG235" i="6" s="1"/>
  <c r="S235" i="7" s="1"/>
  <c r="AB235" i="6"/>
  <c r="AB45" i="6"/>
  <c r="AD45" i="6"/>
  <c r="W45" i="6" s="1"/>
  <c r="AE45" i="6" s="1"/>
  <c r="AH45" i="6" s="1"/>
  <c r="AB141" i="6"/>
  <c r="AD141" i="6"/>
  <c r="W141" i="6" s="1"/>
  <c r="AE141" i="6" s="1"/>
  <c r="AG141" i="6" s="1"/>
  <c r="S141" i="7" s="1"/>
  <c r="O227" i="7"/>
  <c r="R227" i="7" s="1"/>
  <c r="AC16" i="6"/>
  <c r="AB28" i="6"/>
  <c r="Q30" i="7"/>
  <c r="O93" i="7"/>
  <c r="R93" i="7" s="1"/>
  <c r="AC230" i="6"/>
  <c r="AC183" i="6"/>
  <c r="AC39" i="6"/>
  <c r="AB44" i="6"/>
  <c r="H38" i="11" a="1"/>
  <c r="H38" i="11" s="1"/>
  <c r="W81" i="6"/>
  <c r="AE81" i="6" s="1"/>
  <c r="AG81" i="6" s="1"/>
  <c r="S81" i="7" s="1"/>
  <c r="W224" i="6"/>
  <c r="AJ224" i="6" s="1"/>
  <c r="W14" i="6"/>
  <c r="AJ14" i="6" s="1"/>
  <c r="AC22" i="6"/>
  <c r="AC130" i="6"/>
  <c r="AD12" i="6"/>
  <c r="W12" i="6" s="1"/>
  <c r="AE12" i="6" s="1"/>
  <c r="AG12" i="6" s="1"/>
  <c r="S12" i="7" s="1"/>
  <c r="AD191" i="6"/>
  <c r="W191" i="6" s="1"/>
  <c r="AJ191" i="6" s="1"/>
  <c r="AC126" i="6"/>
  <c r="W77" i="6"/>
  <c r="AJ77" i="6" s="1"/>
  <c r="AC86" i="6"/>
  <c r="O189" i="7"/>
  <c r="Q189" i="7" s="1"/>
  <c r="O115" i="7"/>
  <c r="Q115" i="7" s="1"/>
  <c r="AC97" i="6"/>
  <c r="J133" i="7"/>
  <c r="F158" i="8" s="1"/>
  <c r="Y65" i="6"/>
  <c r="Y213" i="6"/>
  <c r="W138" i="6"/>
  <c r="AJ138" i="6" s="1"/>
  <c r="W186" i="6"/>
  <c r="AE186" i="6" s="1"/>
  <c r="AG186" i="6" s="1"/>
  <c r="S186" i="7" s="1"/>
  <c r="Y133" i="6"/>
  <c r="H46" i="11" a="1"/>
  <c r="H46" i="11" s="1"/>
  <c r="H42" i="11" a="1"/>
  <c r="H42" i="11" s="1"/>
  <c r="H34" i="11" a="1"/>
  <c r="H34" i="11" s="1"/>
  <c r="H35" i="11" a="1"/>
  <c r="H35" i="11" s="1"/>
  <c r="H47" i="11" a="1"/>
  <c r="H47" i="11" s="1"/>
  <c r="W15" i="6"/>
  <c r="AJ15" i="6" s="1"/>
  <c r="AE15" i="6"/>
  <c r="AF15" i="6" s="1"/>
  <c r="Y32" i="6"/>
  <c r="W52" i="6"/>
  <c r="AJ52" i="6" s="1"/>
  <c r="AE52" i="6"/>
  <c r="AH52" i="6" s="1"/>
  <c r="AI52" i="6" s="1"/>
  <c r="AE98" i="6"/>
  <c r="AH98" i="6" s="1"/>
  <c r="W98" i="6"/>
  <c r="AJ98" i="6" s="1"/>
  <c r="AE105" i="6"/>
  <c r="W105" i="6"/>
  <c r="AJ105" i="6" s="1"/>
  <c r="J136" i="7"/>
  <c r="W136" i="6"/>
  <c r="AJ136" i="6" s="1"/>
  <c r="AG144" i="6"/>
  <c r="S144" i="7" s="1"/>
  <c r="W198" i="6"/>
  <c r="AJ198" i="6" s="1"/>
  <c r="J198" i="7"/>
  <c r="F222" i="8" s="1"/>
  <c r="AE198" i="6"/>
  <c r="AH198" i="6" s="1"/>
  <c r="AI198" i="6" s="1"/>
  <c r="J201" i="7"/>
  <c r="W201" i="6"/>
  <c r="AJ201" i="6" s="1"/>
  <c r="AE201" i="6"/>
  <c r="AG201" i="6" s="1"/>
  <c r="S201" i="7" s="1"/>
  <c r="J206" i="7"/>
  <c r="W206" i="6"/>
  <c r="AJ206" i="6" s="1"/>
  <c r="W210" i="6"/>
  <c r="AJ210" i="6" s="1"/>
  <c r="AE210" i="6"/>
  <c r="AG210" i="6" s="1"/>
  <c r="S210" i="7" s="1"/>
  <c r="J212" i="7"/>
  <c r="W212" i="6"/>
  <c r="AJ212" i="6" s="1"/>
  <c r="W219" i="6"/>
  <c r="AJ219" i="6" s="1"/>
  <c r="J219" i="7"/>
  <c r="F239" i="8" s="1"/>
  <c r="Y71" i="6"/>
  <c r="W231" i="6"/>
  <c r="AJ231" i="6" s="1"/>
  <c r="AH99" i="6"/>
  <c r="AI99" i="6" s="1"/>
  <c r="W114" i="6"/>
  <c r="AE114" i="6" s="1"/>
  <c r="AG114" i="6" s="1"/>
  <c r="S114" i="7" s="1"/>
  <c r="Y127" i="6"/>
  <c r="H37" i="7"/>
  <c r="E166" i="8" s="1"/>
  <c r="G166" i="8" s="1"/>
  <c r="H228" i="7"/>
  <c r="E193" i="8" s="1"/>
  <c r="G193" i="8" s="1"/>
  <c r="Y210" i="6"/>
  <c r="Y100" i="6"/>
  <c r="Y212" i="6"/>
  <c r="Y241" i="6"/>
  <c r="Y42" i="6"/>
  <c r="Y225" i="6"/>
  <c r="H154" i="7"/>
  <c r="H86" i="7"/>
  <c r="E29" i="8" s="1"/>
  <c r="G29" i="8" s="1"/>
  <c r="Y82" i="6"/>
  <c r="Y34" i="6"/>
  <c r="H33" i="7"/>
  <c r="E213" i="8" s="1"/>
  <c r="G213" i="8" s="1"/>
  <c r="Y47" i="6"/>
  <c r="H230" i="7"/>
  <c r="H89" i="7"/>
  <c r="Q183" i="7"/>
  <c r="H80" i="7"/>
  <c r="E220" i="8" s="1"/>
  <c r="G220" i="8" s="1"/>
  <c r="Y121" i="6"/>
  <c r="H143" i="7"/>
  <c r="I143" i="7" s="1"/>
  <c r="D65" i="8" s="1"/>
  <c r="Y38" i="6"/>
  <c r="Y235" i="6"/>
  <c r="W240" i="6"/>
  <c r="AE240" i="6" s="1"/>
  <c r="AH240" i="6" s="1"/>
  <c r="H136" i="7"/>
  <c r="I136" i="7" s="1"/>
  <c r="D156" i="8" s="1"/>
  <c r="H120" i="7"/>
  <c r="I120" i="7" s="1"/>
  <c r="D126" i="8" s="1"/>
  <c r="H176" i="7"/>
  <c r="E102" i="8" s="1"/>
  <c r="G102" i="8" s="1"/>
  <c r="H151" i="7"/>
  <c r="E121" i="8" s="1"/>
  <c r="G121" i="8" s="1"/>
  <c r="H53" i="7"/>
  <c r="E197" i="8" s="1"/>
  <c r="G197" i="8" s="1"/>
  <c r="W192" i="6"/>
  <c r="AE192" i="6" s="1"/>
  <c r="AG192" i="6" s="1"/>
  <c r="S192" i="7" s="1"/>
  <c r="Y196" i="6"/>
  <c r="Y145" i="6"/>
  <c r="Y48" i="6"/>
  <c r="Y98" i="6"/>
  <c r="Y112" i="6"/>
  <c r="Y195" i="6"/>
  <c r="Y4" i="6"/>
  <c r="Y76" i="6"/>
  <c r="Y37" i="6"/>
  <c r="Y61" i="6"/>
  <c r="H35" i="7"/>
  <c r="E128" i="8" s="1"/>
  <c r="G128" i="8" s="1"/>
  <c r="AB182" i="6"/>
  <c r="AB171" i="6"/>
  <c r="AB167" i="6"/>
  <c r="AH237" i="6"/>
  <c r="AI237" i="6" s="1"/>
  <c r="AB229" i="6"/>
  <c r="AB176" i="6"/>
  <c r="AB107" i="6"/>
  <c r="AB9" i="6"/>
  <c r="U86" i="6"/>
  <c r="U120" i="6"/>
  <c r="U50" i="6"/>
  <c r="U13" i="6"/>
  <c r="O242" i="6" a="1"/>
  <c r="O242" i="6" s="1"/>
  <c r="X242" i="6" s="1"/>
  <c r="Y242" i="6" s="1"/>
  <c r="K242" i="6"/>
  <c r="G242" i="7" s="1"/>
  <c r="H242" i="7" s="1"/>
  <c r="O223" i="6" a="1"/>
  <c r="O223" i="6" s="1"/>
  <c r="X223" i="6" s="1"/>
  <c r="Y223" i="6" s="1"/>
  <c r="K223" i="6"/>
  <c r="G223" i="7" s="1"/>
  <c r="H223" i="7" s="1"/>
  <c r="Y239" i="6"/>
  <c r="O236" i="6" a="1"/>
  <c r="O236" i="6" s="1"/>
  <c r="X236" i="6" s="1"/>
  <c r="Y236" i="6" s="1"/>
  <c r="K236" i="6"/>
  <c r="G236" i="7" s="1"/>
  <c r="H236" i="7" s="1"/>
  <c r="L236" i="7" s="1"/>
  <c r="H180" i="7"/>
  <c r="I180" i="7" s="1"/>
  <c r="D38" i="8" s="1"/>
  <c r="Y109" i="6"/>
  <c r="H7" i="7"/>
  <c r="E215" i="8" s="1"/>
  <c r="G215" i="8" s="1"/>
  <c r="H203" i="7"/>
  <c r="I203" i="7" s="1"/>
  <c r="D228" i="8" s="1"/>
  <c r="U162" i="6"/>
  <c r="AD234" i="6"/>
  <c r="W234" i="6" s="1"/>
  <c r="AC35" i="6"/>
  <c r="AD30" i="6"/>
  <c r="W30" i="6" s="1"/>
  <c r="AJ30" i="6" s="1"/>
  <c r="U60" i="6"/>
  <c r="U221" i="6"/>
  <c r="U198" i="6"/>
  <c r="H107" i="7"/>
  <c r="L107" i="7" s="1"/>
  <c r="AB7" i="6"/>
  <c r="U94" i="6"/>
  <c r="U135" i="6"/>
  <c r="U157" i="6"/>
  <c r="U62" i="6"/>
  <c r="U187" i="6"/>
  <c r="U233" i="6"/>
  <c r="U200" i="6"/>
  <c r="U81" i="6"/>
  <c r="U143" i="6"/>
  <c r="U155" i="6"/>
  <c r="U26" i="6"/>
  <c r="U68" i="6"/>
  <c r="U166" i="6"/>
  <c r="U78" i="6"/>
  <c r="U177" i="6"/>
  <c r="AB150" i="6"/>
  <c r="U28" i="6"/>
  <c r="U225" i="6"/>
  <c r="U42" i="6"/>
  <c r="U51" i="6"/>
  <c r="U84" i="6"/>
  <c r="U239" i="6"/>
  <c r="Y72" i="6"/>
  <c r="Y27" i="6"/>
  <c r="AI27" i="6" s="1"/>
  <c r="AD214" i="6"/>
  <c r="O214" i="7"/>
  <c r="R214" i="7" s="1"/>
  <c r="AD218" i="6"/>
  <c r="W218" i="6" s="1"/>
  <c r="AJ218" i="6" s="1"/>
  <c r="AC218" i="6"/>
  <c r="O58" i="7"/>
  <c r="AC58" i="6"/>
  <c r="O97" i="7"/>
  <c r="R97" i="7" s="1"/>
  <c r="AD97" i="6"/>
  <c r="W97" i="6" s="1"/>
  <c r="O63" i="7"/>
  <c r="R63" i="7" s="1"/>
  <c r="AD63" i="6"/>
  <c r="W63" i="6" s="1"/>
  <c r="AJ63" i="6" s="1"/>
  <c r="W163" i="6"/>
  <c r="AE163" i="6" s="1"/>
  <c r="AF163" i="6" s="1"/>
  <c r="AB203" i="6"/>
  <c r="AH203" i="6"/>
  <c r="AI203" i="6" s="1"/>
  <c r="H103" i="7"/>
  <c r="I103" i="7" s="1"/>
  <c r="D179" i="8" s="1"/>
  <c r="H202" i="7"/>
  <c r="L202" i="7" s="1"/>
  <c r="O238" i="7"/>
  <c r="AD238" i="6"/>
  <c r="AC153" i="6"/>
  <c r="AD153" i="6"/>
  <c r="W153" i="6" s="1"/>
  <c r="AE153" i="6" s="1"/>
  <c r="AH153" i="6" s="1"/>
  <c r="AI153" i="6" s="1"/>
  <c r="AD187" i="6"/>
  <c r="W187" i="6" s="1"/>
  <c r="AJ187" i="6" s="1"/>
  <c r="AC187" i="6"/>
  <c r="AD107" i="6"/>
  <c r="W107" i="6" s="1"/>
  <c r="AJ107" i="6" s="1"/>
  <c r="AC107" i="6"/>
  <c r="AC192" i="6"/>
  <c r="O192" i="7"/>
  <c r="Q192" i="7" s="1"/>
  <c r="AB165" i="6"/>
  <c r="U32" i="6"/>
  <c r="O82" i="7"/>
  <c r="AD82" i="6"/>
  <c r="W82" i="6" s="1"/>
  <c r="AJ82" i="6" s="1"/>
  <c r="U132" i="6"/>
  <c r="AC212" i="6"/>
  <c r="O212" i="7"/>
  <c r="R212" i="7" s="1"/>
  <c r="Y119" i="6"/>
  <c r="W116" i="6"/>
  <c r="AE116" i="6" s="1"/>
  <c r="AG116" i="6" s="1"/>
  <c r="S116" i="7" s="1"/>
  <c r="H139" i="7"/>
  <c r="E27" i="8" s="1"/>
  <c r="G27" i="8" s="1"/>
  <c r="H210" i="7"/>
  <c r="I210" i="7" s="1"/>
  <c r="D245" i="8" s="1"/>
  <c r="H71" i="7"/>
  <c r="I71" i="7" s="1"/>
  <c r="D206" i="8" s="1"/>
  <c r="W120" i="6"/>
  <c r="AJ120" i="6" s="1"/>
  <c r="H100" i="7"/>
  <c r="I100" i="7" s="1"/>
  <c r="D202" i="8" s="1"/>
  <c r="H72" i="7"/>
  <c r="L72" i="7" s="1"/>
  <c r="H25" i="7"/>
  <c r="L25" i="7" s="1"/>
  <c r="O92" i="7"/>
  <c r="AD92" i="6"/>
  <c r="W92" i="6" s="1"/>
  <c r="AJ92" i="6" s="1"/>
  <c r="O69" i="7"/>
  <c r="Q69" i="7" s="1"/>
  <c r="AD69" i="6"/>
  <c r="W69" i="6" s="1"/>
  <c r="AE69" i="6" s="1"/>
  <c r="J174" i="7"/>
  <c r="F9" i="8" s="1"/>
  <c r="Y174" i="6"/>
  <c r="AD179" i="6"/>
  <c r="W179" i="6" s="1"/>
  <c r="AJ179" i="6" s="1"/>
  <c r="O179" i="7"/>
  <c r="Q179" i="7" s="1"/>
  <c r="AC158" i="6"/>
  <c r="AD158" i="6"/>
  <c r="Q205" i="7"/>
  <c r="R205" i="7"/>
  <c r="AD146" i="6"/>
  <c r="O146" i="7"/>
  <c r="R146" i="7" s="1"/>
  <c r="O38" i="7"/>
  <c r="R38" i="7" s="1"/>
  <c r="AC38" i="6"/>
  <c r="AD161" i="6"/>
  <c r="AC161" i="6"/>
  <c r="J173" i="7"/>
  <c r="F18" i="8" s="1"/>
  <c r="Y173" i="6"/>
  <c r="AD169" i="6"/>
  <c r="W169" i="6" s="1"/>
  <c r="AE169" i="6" s="1"/>
  <c r="J148" i="7"/>
  <c r="F51" i="8" s="1"/>
  <c r="Y148" i="6"/>
  <c r="H45" i="11" a="1"/>
  <c r="H45" i="11" s="1"/>
  <c r="AB175" i="6"/>
  <c r="U54" i="6"/>
  <c r="U20" i="6"/>
  <c r="U72" i="6"/>
  <c r="AB144" i="6"/>
  <c r="AH144" i="6"/>
  <c r="AI144" i="6" s="1"/>
  <c r="U206" i="6"/>
  <c r="H189" i="7"/>
  <c r="I189" i="7" s="1"/>
  <c r="D100" i="8" s="1"/>
  <c r="H182" i="7"/>
  <c r="E87" i="8" s="1"/>
  <c r="G87" i="8" s="1"/>
  <c r="AD99" i="6"/>
  <c r="O99" i="7"/>
  <c r="R99" i="7" s="1"/>
  <c r="O186" i="7"/>
  <c r="AC186" i="6"/>
  <c r="AC48" i="6"/>
  <c r="AD48" i="6"/>
  <c r="W48" i="6" s="1"/>
  <c r="AE48" i="6" s="1"/>
  <c r="O144" i="7"/>
  <c r="AC144" i="6"/>
  <c r="H121" i="7"/>
  <c r="L121" i="7" s="1"/>
  <c r="Y103" i="6"/>
  <c r="Y137" i="6"/>
  <c r="W130" i="6"/>
  <c r="AE130" i="6" s="1"/>
  <c r="AH130" i="6" s="1"/>
  <c r="AI130" i="6" s="1"/>
  <c r="AH219" i="6"/>
  <c r="AI219" i="6" s="1"/>
  <c r="Y115" i="6"/>
  <c r="H39" i="7"/>
  <c r="L39" i="7" s="1"/>
  <c r="Y158" i="6"/>
  <c r="Y139" i="6"/>
  <c r="H27" i="7"/>
  <c r="I27" i="7" s="1"/>
  <c r="D188" i="8" s="1"/>
  <c r="H146" i="7"/>
  <c r="I146" i="7" s="1"/>
  <c r="D152" i="8" s="1"/>
  <c r="H52" i="7"/>
  <c r="E190" i="8" s="1"/>
  <c r="G190" i="8" s="1"/>
  <c r="H124" i="7"/>
  <c r="E99" i="8" s="1"/>
  <c r="G99" i="8" s="1"/>
  <c r="H13" i="7"/>
  <c r="E175" i="8" s="1"/>
  <c r="G175" i="8" s="1"/>
  <c r="H164" i="7"/>
  <c r="L164" i="7" s="1"/>
  <c r="Y107" i="6"/>
  <c r="Y185" i="6"/>
  <c r="Y149" i="6"/>
  <c r="Y172" i="6"/>
  <c r="Y230" i="6"/>
  <c r="H196" i="7"/>
  <c r="E235" i="8" s="1"/>
  <c r="G235" i="8" s="1"/>
  <c r="Y233" i="6"/>
  <c r="H79" i="7"/>
  <c r="I79" i="7" s="1"/>
  <c r="D75" i="8" s="1"/>
  <c r="Y43" i="6"/>
  <c r="Y232" i="6"/>
  <c r="H57" i="7"/>
  <c r="L57" i="7" s="1"/>
  <c r="R26" i="7"/>
  <c r="Y154" i="6"/>
  <c r="H145" i="7"/>
  <c r="E151" i="8" s="1"/>
  <c r="G151" i="8" s="1"/>
  <c r="O73" i="7"/>
  <c r="Q73" i="7" s="1"/>
  <c r="AC73" i="6"/>
  <c r="H75" i="7"/>
  <c r="I75" i="7" s="1"/>
  <c r="D33" i="8" s="1"/>
  <c r="Y57" i="6"/>
  <c r="Y89" i="6"/>
  <c r="Y152" i="6"/>
  <c r="H44" i="7"/>
  <c r="L44" i="7" s="1"/>
  <c r="Y134" i="6"/>
  <c r="H9" i="7"/>
  <c r="I9" i="7" s="1"/>
  <c r="D105" i="8" s="1"/>
  <c r="H54" i="7"/>
  <c r="I54" i="7" s="1"/>
  <c r="D185" i="8" s="1"/>
  <c r="H63" i="7"/>
  <c r="L63" i="7" s="1"/>
  <c r="H165" i="7"/>
  <c r="E54" i="8" s="1"/>
  <c r="G54" i="8" s="1"/>
  <c r="Y151" i="6"/>
  <c r="H147" i="7"/>
  <c r="L147" i="7" s="1"/>
  <c r="H99" i="7"/>
  <c r="I99" i="7" s="1"/>
  <c r="D183" i="8" s="1"/>
  <c r="Y17" i="6"/>
  <c r="Y69" i="6"/>
  <c r="Y78" i="6"/>
  <c r="Y125" i="6"/>
  <c r="Y147" i="6"/>
  <c r="Y165" i="6"/>
  <c r="Y186" i="6"/>
  <c r="Y80" i="6"/>
  <c r="Y143" i="6"/>
  <c r="Y11" i="6"/>
  <c r="Y93" i="6"/>
  <c r="H155" i="7"/>
  <c r="E81" i="8" s="1"/>
  <c r="G81" i="8" s="1"/>
  <c r="H218" i="7"/>
  <c r="E232" i="8" s="1"/>
  <c r="G232" i="8" s="1"/>
  <c r="H148" i="7"/>
  <c r="E51" i="8" s="1"/>
  <c r="G51" i="8" s="1"/>
  <c r="H105" i="7"/>
  <c r="I105" i="7" s="1"/>
  <c r="D132" i="8" s="1"/>
  <c r="Q202" i="7"/>
  <c r="R55" i="7"/>
  <c r="H109" i="7"/>
  <c r="L109" i="7" s="1"/>
  <c r="R85" i="7"/>
  <c r="H12" i="7"/>
  <c r="I12" i="7" s="1"/>
  <c r="D86" i="8" s="1"/>
  <c r="Q168" i="7"/>
  <c r="H207" i="7"/>
  <c r="I207" i="7" s="1"/>
  <c r="D230" i="8" s="1"/>
  <c r="H201" i="7"/>
  <c r="I201" i="7" s="1"/>
  <c r="D192" i="8" s="1"/>
  <c r="H73" i="7"/>
  <c r="L73" i="7" s="1"/>
  <c r="H59" i="7"/>
  <c r="I59" i="7" s="1"/>
  <c r="D146" i="8" s="1"/>
  <c r="H50" i="7"/>
  <c r="I50" i="7" s="1"/>
  <c r="D173" i="8" s="1"/>
  <c r="Y122" i="6"/>
  <c r="H43" i="7"/>
  <c r="I43" i="7" s="1"/>
  <c r="D63" i="8" s="1"/>
  <c r="O178" i="6" a="1"/>
  <c r="O178" i="6" s="1"/>
  <c r="X178" i="6" s="1"/>
  <c r="Y178" i="6" s="1"/>
  <c r="R126" i="7"/>
  <c r="Q70" i="7"/>
  <c r="R17" i="7"/>
  <c r="Q75" i="7"/>
  <c r="R102" i="7"/>
  <c r="R75" i="7"/>
  <c r="R70" i="7"/>
  <c r="P102" i="7"/>
  <c r="Q7" i="7"/>
  <c r="P41" i="7"/>
  <c r="R7" i="7"/>
  <c r="Q157" i="7"/>
  <c r="P150" i="7"/>
  <c r="Q106" i="7"/>
  <c r="Q126" i="7"/>
  <c r="Q147" i="7"/>
  <c r="W154" i="6"/>
  <c r="AE154" i="6" s="1"/>
  <c r="AH154" i="6" s="1"/>
  <c r="H239" i="7"/>
  <c r="L239" i="7" s="1"/>
  <c r="Q76" i="7"/>
  <c r="H40" i="7"/>
  <c r="L40" i="7" s="1"/>
  <c r="W194" i="6"/>
  <c r="AE194" i="6" s="1"/>
  <c r="H5" i="7"/>
  <c r="I5" i="7" s="1"/>
  <c r="D39" i="8" s="1"/>
  <c r="H6" i="7"/>
  <c r="E218" i="8" s="1"/>
  <c r="G218" i="8" s="1"/>
  <c r="H45" i="7"/>
  <c r="E129" i="8" s="1"/>
  <c r="G129" i="8" s="1"/>
  <c r="H183" i="7"/>
  <c r="E35" i="8" s="1"/>
  <c r="G35" i="8" s="1"/>
  <c r="H104" i="7"/>
  <c r="E178" i="8" s="1"/>
  <c r="G178" i="8" s="1"/>
  <c r="H244" i="7"/>
  <c r="L244" i="7" s="1"/>
  <c r="H214" i="7"/>
  <c r="I214" i="7" s="1"/>
  <c r="D117" i="8" s="1"/>
  <c r="H237" i="7"/>
  <c r="E244" i="8" s="1"/>
  <c r="G244" i="8" s="1"/>
  <c r="H197" i="7"/>
  <c r="I197" i="7" s="1"/>
  <c r="D7" i="8" s="1"/>
  <c r="L110" i="7"/>
  <c r="F159" i="8"/>
  <c r="Y87" i="6"/>
  <c r="H158" i="7"/>
  <c r="I158" i="7" s="1"/>
  <c r="D164" i="8" s="1"/>
  <c r="H222" i="7"/>
  <c r="E233" i="8" s="1"/>
  <c r="G233" i="8" s="1"/>
  <c r="H220" i="7"/>
  <c r="I220" i="7" s="1"/>
  <c r="D236" i="8" s="1"/>
  <c r="H221" i="7"/>
  <c r="E199" i="8" s="1"/>
  <c r="G199" i="8" s="1"/>
  <c r="H28" i="7"/>
  <c r="I28" i="7" s="1"/>
  <c r="D216" i="8" s="1"/>
  <c r="H206" i="7"/>
  <c r="I206" i="7" s="1"/>
  <c r="D237" i="8" s="1"/>
  <c r="H48" i="7"/>
  <c r="E221" i="8" s="1"/>
  <c r="G221" i="8" s="1"/>
  <c r="H110" i="7"/>
  <c r="I110" i="7" s="1"/>
  <c r="D159" i="8" s="1"/>
  <c r="H11" i="7"/>
  <c r="E208" i="8" s="1"/>
  <c r="G208" i="8" s="1"/>
  <c r="H111" i="7"/>
  <c r="I111" i="7" s="1"/>
  <c r="D124" i="8" s="1"/>
  <c r="H17" i="7"/>
  <c r="I17" i="7" s="1"/>
  <c r="D25" i="8" s="1"/>
  <c r="H118" i="7"/>
  <c r="I118" i="7" s="1"/>
  <c r="D165" i="8" s="1"/>
  <c r="H78" i="7"/>
  <c r="E191" i="8" s="1"/>
  <c r="G191" i="8" s="1"/>
  <c r="H106" i="7"/>
  <c r="E41" i="8" s="1"/>
  <c r="G41" i="8" s="1"/>
  <c r="H122" i="7"/>
  <c r="E170" i="8" s="1"/>
  <c r="G170" i="8" s="1"/>
  <c r="U149" i="6"/>
  <c r="U122" i="6"/>
  <c r="U22" i="6"/>
  <c r="H134" i="7"/>
  <c r="E42" i="8" s="1"/>
  <c r="G42" i="8" s="1"/>
  <c r="H241" i="7"/>
  <c r="I241" i="7" s="1"/>
  <c r="D231" i="8" s="1"/>
  <c r="Q21" i="7"/>
  <c r="H113" i="7"/>
  <c r="I113" i="7" s="1"/>
  <c r="D119" i="8" s="1"/>
  <c r="H234" i="7"/>
  <c r="L234" i="7" s="1"/>
  <c r="H193" i="7"/>
  <c r="E95" i="8" s="1"/>
  <c r="G95" i="8" s="1"/>
  <c r="H142" i="7"/>
  <c r="E93" i="8" s="1"/>
  <c r="G93" i="8" s="1"/>
  <c r="H161" i="7"/>
  <c r="I161" i="7" s="1"/>
  <c r="D40" i="8" s="1"/>
  <c r="H85" i="7"/>
  <c r="I85" i="7" s="1"/>
  <c r="D32" i="8" s="1"/>
  <c r="H184" i="7"/>
  <c r="I184" i="7" s="1"/>
  <c r="D92" i="8" s="1"/>
  <c r="H55" i="7"/>
  <c r="E210" i="8" s="1"/>
  <c r="G210" i="8" s="1"/>
  <c r="H133" i="7"/>
  <c r="E158" i="8" s="1"/>
  <c r="G158" i="8" s="1"/>
  <c r="H217" i="7"/>
  <c r="E107" i="8" s="1"/>
  <c r="G107" i="8" s="1"/>
  <c r="H51" i="7"/>
  <c r="L51" i="7" s="1"/>
  <c r="H49" i="7"/>
  <c r="L49" i="7" s="1"/>
  <c r="H215" i="7"/>
  <c r="E15" i="8" s="1"/>
  <c r="G15" i="8" s="1"/>
  <c r="H31" i="7"/>
  <c r="I31" i="7" s="1"/>
  <c r="D136" i="8" s="1"/>
  <c r="H175" i="7"/>
  <c r="I175" i="7" s="1"/>
  <c r="D84" i="8" s="1"/>
  <c r="H138" i="7"/>
  <c r="E22" i="8" s="1"/>
  <c r="G22" i="8" s="1"/>
  <c r="H177" i="7"/>
  <c r="L177" i="7" s="1"/>
  <c r="H163" i="7"/>
  <c r="I163" i="7" s="1"/>
  <c r="D11" i="8" s="1"/>
  <c r="H174" i="7"/>
  <c r="I174" i="7" s="1"/>
  <c r="D9" i="8" s="1"/>
  <c r="H29" i="7"/>
  <c r="E180" i="8" s="1"/>
  <c r="G180" i="8" s="1"/>
  <c r="H229" i="7"/>
  <c r="E60" i="8" s="1"/>
  <c r="G60" i="8" s="1"/>
  <c r="H15" i="7"/>
  <c r="E189" i="8" s="1"/>
  <c r="G189" i="8" s="1"/>
  <c r="H30" i="7"/>
  <c r="L30" i="7" s="1"/>
  <c r="H32" i="7"/>
  <c r="E219" i="8" s="1"/>
  <c r="G219" i="8" s="1"/>
  <c r="H194" i="7"/>
  <c r="L194" i="7" s="1"/>
  <c r="H94" i="7"/>
  <c r="I94" i="7" s="1"/>
  <c r="D44" i="8" s="1"/>
  <c r="H188" i="7"/>
  <c r="I188" i="7" s="1"/>
  <c r="D115" i="8" s="1"/>
  <c r="H117" i="7"/>
  <c r="I117" i="7" s="1"/>
  <c r="D167" i="8" s="1"/>
  <c r="H127" i="7"/>
  <c r="E103" i="8" s="1"/>
  <c r="G103" i="8" s="1"/>
  <c r="H232" i="7"/>
  <c r="L232" i="7" s="1"/>
  <c r="H179" i="7"/>
  <c r="E90" i="8" s="1"/>
  <c r="G90" i="8" s="1"/>
  <c r="H81" i="7"/>
  <c r="I81" i="7" s="1"/>
  <c r="D37" i="8" s="1"/>
  <c r="H18" i="7"/>
  <c r="I18" i="7" s="1"/>
  <c r="D140" i="8" s="1"/>
  <c r="H60" i="7"/>
  <c r="I60" i="7" s="1"/>
  <c r="D196" i="8" s="1"/>
  <c r="H26" i="7"/>
  <c r="L26" i="7" s="1"/>
  <c r="H76" i="7"/>
  <c r="E144" i="8" s="1"/>
  <c r="G144" i="8" s="1"/>
  <c r="H141" i="7"/>
  <c r="I141" i="7" s="1"/>
  <c r="D155" i="8" s="1"/>
  <c r="H171" i="7"/>
  <c r="I171" i="7" s="1"/>
  <c r="D71" i="8" s="1"/>
  <c r="H16" i="7"/>
  <c r="I16" i="7" s="1"/>
  <c r="D211" i="8" s="1"/>
  <c r="H87" i="7"/>
  <c r="E52" i="8" s="1"/>
  <c r="G52" i="8" s="1"/>
  <c r="H186" i="7"/>
  <c r="E123" i="8" s="1"/>
  <c r="G123" i="8" s="1"/>
  <c r="H22" i="7"/>
  <c r="E131" i="8" s="1"/>
  <c r="G131" i="8" s="1"/>
  <c r="H150" i="7"/>
  <c r="I150" i="7" s="1"/>
  <c r="D62" i="8" s="1"/>
  <c r="U192" i="6"/>
  <c r="W239" i="6"/>
  <c r="AJ239" i="6" s="1"/>
  <c r="H119" i="7"/>
  <c r="I119" i="7" s="1"/>
  <c r="D97" i="8" s="1"/>
  <c r="H156" i="7"/>
  <c r="E59" i="8" s="1"/>
  <c r="G59" i="8" s="1"/>
  <c r="H64" i="7"/>
  <c r="L64" i="7" s="1"/>
  <c r="H166" i="7"/>
  <c r="E148" i="8" s="1"/>
  <c r="G148" i="8" s="1"/>
  <c r="H8" i="7"/>
  <c r="I8" i="7" s="1"/>
  <c r="D47" i="8" s="1"/>
  <c r="H153" i="7"/>
  <c r="E50" i="8" s="1"/>
  <c r="G50" i="8" s="1"/>
  <c r="H224" i="7"/>
  <c r="L224" i="7" s="1"/>
  <c r="H209" i="7"/>
  <c r="E234" i="8" s="1"/>
  <c r="G234" i="8" s="1"/>
  <c r="H211" i="7"/>
  <c r="I211" i="7" s="1"/>
  <c r="D238" i="8" s="1"/>
  <c r="H187" i="7"/>
  <c r="I187" i="7" s="1"/>
  <c r="D48" i="8" s="1"/>
  <c r="H128" i="7"/>
  <c r="I128" i="7" s="1"/>
  <c r="D56" i="8" s="1"/>
  <c r="H231" i="7"/>
  <c r="E78" i="8" s="1"/>
  <c r="G78" i="8" s="1"/>
  <c r="H70" i="7"/>
  <c r="E194" i="8" s="1"/>
  <c r="G194" i="8" s="1"/>
  <c r="H88" i="7"/>
  <c r="I88" i="7" s="1"/>
  <c r="D31" i="8" s="1"/>
  <c r="H205" i="7"/>
  <c r="E67" i="8" s="1"/>
  <c r="G67" i="8" s="1"/>
  <c r="H135" i="7"/>
  <c r="I135" i="7" s="1"/>
  <c r="D4" i="8" s="1"/>
  <c r="H173" i="7"/>
  <c r="I173" i="7" s="1"/>
  <c r="D18" i="8" s="1"/>
  <c r="H227" i="7"/>
  <c r="I227" i="7" s="1"/>
  <c r="D101" i="8" s="1"/>
  <c r="H190" i="7"/>
  <c r="L190" i="7" s="1"/>
  <c r="H20" i="7"/>
  <c r="I20" i="7" s="1"/>
  <c r="D184" i="8" s="1"/>
  <c r="H162" i="7"/>
  <c r="E28" i="8" s="1"/>
  <c r="G28" i="8" s="1"/>
  <c r="Q109" i="7"/>
  <c r="H131" i="7"/>
  <c r="E46" i="8" s="1"/>
  <c r="G46" i="8" s="1"/>
  <c r="H125" i="7"/>
  <c r="L125" i="7" s="1"/>
  <c r="H168" i="7"/>
  <c r="E21" i="8" s="1"/>
  <c r="G21" i="8" s="1"/>
  <c r="H159" i="7"/>
  <c r="E143" i="8" s="1"/>
  <c r="G143" i="8" s="1"/>
  <c r="H245" i="7"/>
  <c r="I245" i="7" s="1"/>
  <c r="D247" i="8" s="1"/>
  <c r="H123" i="7"/>
  <c r="L123" i="7" s="1"/>
  <c r="H219" i="7"/>
  <c r="E239" i="8" s="1"/>
  <c r="G239" i="8" s="1"/>
  <c r="H243" i="7"/>
  <c r="E227" i="8" s="1"/>
  <c r="G227" i="8" s="1"/>
  <c r="U169" i="6"/>
  <c r="U236" i="6"/>
  <c r="U138" i="6"/>
  <c r="U9" i="6"/>
  <c r="U5" i="6"/>
  <c r="R150" i="7"/>
  <c r="Q135" i="7"/>
  <c r="R229" i="7"/>
  <c r="R56" i="7"/>
  <c r="Q56" i="7"/>
  <c r="R11" i="7"/>
  <c r="Q11" i="7"/>
  <c r="R116" i="7"/>
  <c r="Q166" i="7"/>
  <c r="U148" i="6"/>
  <c r="U137" i="6"/>
  <c r="U158" i="6"/>
  <c r="Q57" i="7"/>
  <c r="R120" i="7"/>
  <c r="R197" i="7"/>
  <c r="U228" i="6"/>
  <c r="W230" i="6"/>
  <c r="AE230" i="6" s="1"/>
  <c r="AG230" i="6" s="1"/>
  <c r="S230" i="7" s="1"/>
  <c r="R177" i="7"/>
  <c r="Q177" i="7"/>
  <c r="Q234" i="7"/>
  <c r="R173" i="7"/>
  <c r="Q197" i="7"/>
  <c r="U216" i="6"/>
  <c r="U205" i="6"/>
  <c r="R138" i="7"/>
  <c r="U11" i="6"/>
  <c r="U215" i="6"/>
  <c r="U124" i="6"/>
  <c r="W200" i="6"/>
  <c r="AE200" i="6" s="1"/>
  <c r="AH200" i="6" s="1"/>
  <c r="AI200" i="6" s="1"/>
  <c r="R88" i="7"/>
  <c r="W180" i="6"/>
  <c r="AE180" i="6" s="1"/>
  <c r="R243" i="7"/>
  <c r="Q223" i="7"/>
  <c r="Q231" i="7"/>
  <c r="Q55" i="7"/>
  <c r="AE44" i="6"/>
  <c r="AG44" i="6" s="1"/>
  <c r="S44" i="7" s="1"/>
  <c r="R147" i="7"/>
  <c r="AF225" i="6"/>
  <c r="L159" i="7"/>
  <c r="L36" i="7"/>
  <c r="Q87" i="7"/>
  <c r="R182" i="7"/>
  <c r="R134" i="7"/>
  <c r="L76" i="7"/>
  <c r="AH225" i="6"/>
  <c r="W121" i="6"/>
  <c r="AJ121" i="6" s="1"/>
  <c r="H84" i="7"/>
  <c r="E141" i="8" s="1"/>
  <c r="G141" i="8" s="1"/>
  <c r="H77" i="7"/>
  <c r="I77" i="7" s="1"/>
  <c r="D153" i="8" s="1"/>
  <c r="H247" i="7"/>
  <c r="L247" i="7" s="1"/>
  <c r="R157" i="7"/>
  <c r="W22" i="6"/>
  <c r="AE22" i="6" s="1"/>
  <c r="AF22" i="6" s="1"/>
  <c r="H149" i="7"/>
  <c r="L149" i="7" s="1"/>
  <c r="H226" i="7"/>
  <c r="I226" i="7" s="1"/>
  <c r="D89" i="8" s="1"/>
  <c r="Q174" i="7"/>
  <c r="L210" i="7"/>
  <c r="R6" i="7"/>
  <c r="W58" i="6"/>
  <c r="AE58" i="6" s="1"/>
  <c r="AH58" i="6" s="1"/>
  <c r="F142" i="8"/>
  <c r="R213" i="7"/>
  <c r="R185" i="7"/>
  <c r="Q143" i="7"/>
  <c r="R235" i="7"/>
  <c r="P26" i="7"/>
  <c r="AF61" i="6"/>
  <c r="Q13" i="7"/>
  <c r="R22" i="7"/>
  <c r="AH20" i="6"/>
  <c r="AI20" i="6" s="1"/>
  <c r="W195" i="6"/>
  <c r="AJ195" i="6" s="1"/>
  <c r="P109" i="7"/>
  <c r="F164" i="8"/>
  <c r="R39" i="7"/>
  <c r="Q216" i="7"/>
  <c r="H213" i="7"/>
  <c r="E205" i="8" s="1"/>
  <c r="G205" i="8" s="1"/>
  <c r="P21" i="7"/>
  <c r="AH9" i="6"/>
  <c r="AI9" i="6" s="1"/>
  <c r="Y58" i="6"/>
  <c r="R28" i="7"/>
  <c r="L143" i="7"/>
  <c r="Q241" i="7"/>
  <c r="R109" i="7"/>
  <c r="AG219" i="6"/>
  <c r="S219" i="7" s="1"/>
  <c r="Q131" i="7"/>
  <c r="R79" i="7"/>
  <c r="R155" i="7"/>
  <c r="R215" i="7"/>
  <c r="R204" i="7"/>
  <c r="H199" i="7"/>
  <c r="I199" i="7" s="1"/>
  <c r="D223" i="8" s="1"/>
  <c r="AJ9" i="6"/>
  <c r="AJ166" i="6"/>
  <c r="AJ128" i="6"/>
  <c r="Q200" i="7"/>
  <c r="R194" i="7"/>
  <c r="AH136" i="6"/>
  <c r="AI136" i="6" s="1"/>
  <c r="Q137" i="7"/>
  <c r="Q34" i="7"/>
  <c r="R247" i="7"/>
  <c r="W139" i="6"/>
  <c r="AE139" i="6" s="1"/>
  <c r="AG139" i="6" s="1"/>
  <c r="S139" i="7" s="1"/>
  <c r="AG20" i="6"/>
  <c r="S20" i="7" s="1"/>
  <c r="W93" i="6"/>
  <c r="AE93" i="6" s="1"/>
  <c r="L203" i="7"/>
  <c r="Q245" i="7"/>
  <c r="I167" i="7"/>
  <c r="D55" i="8" s="1"/>
  <c r="H95" i="7"/>
  <c r="L95" i="7" s="1"/>
  <c r="H21" i="7"/>
  <c r="E147" i="8" s="1"/>
  <c r="G147" i="8" s="1"/>
  <c r="H42" i="7"/>
  <c r="E137" i="8" s="1"/>
  <c r="G137" i="8" s="1"/>
  <c r="L204" i="7"/>
  <c r="R171" i="7"/>
  <c r="H200" i="7"/>
  <c r="L200" i="7" s="1"/>
  <c r="AF9" i="6"/>
  <c r="E106" i="8"/>
  <c r="G106" i="8" s="1"/>
  <c r="AE70" i="6"/>
  <c r="AF70" i="6" s="1"/>
  <c r="R207" i="7"/>
  <c r="AF166" i="6"/>
  <c r="Q172" i="7"/>
  <c r="Q185" i="7"/>
  <c r="Q5" i="7"/>
  <c r="R223" i="7"/>
  <c r="P197" i="7"/>
  <c r="Q62" i="7"/>
  <c r="R180" i="7"/>
  <c r="Q153" i="7"/>
  <c r="Q80" i="7"/>
  <c r="L38" i="7"/>
  <c r="Q59" i="7"/>
  <c r="Q236" i="7"/>
  <c r="W134" i="6"/>
  <c r="AJ134" i="6" s="1"/>
  <c r="P85" i="7"/>
  <c r="P168" i="7"/>
  <c r="Q171" i="7"/>
  <c r="R5" i="7"/>
  <c r="H170" i="7"/>
  <c r="AF209" i="6"/>
  <c r="R128" i="7"/>
  <c r="Q107" i="7"/>
  <c r="Q229" i="7"/>
  <c r="H41" i="7"/>
  <c r="E177" i="8" s="1"/>
  <c r="G177" i="8" s="1"/>
  <c r="R224" i="7"/>
  <c r="H47" i="7"/>
  <c r="E145" i="8" s="1"/>
  <c r="G145" i="8" s="1"/>
  <c r="Q22" i="7"/>
  <c r="H246" i="7"/>
  <c r="I246" i="7" s="1"/>
  <c r="D242" i="8" s="1"/>
  <c r="R81" i="7"/>
  <c r="Q81" i="7"/>
  <c r="P81" i="7"/>
  <c r="P167" i="7"/>
  <c r="R167" i="7"/>
  <c r="Q167" i="7"/>
  <c r="I93" i="7"/>
  <c r="D130" i="8" s="1"/>
  <c r="I46" i="7"/>
  <c r="D98" i="8" s="1"/>
  <c r="E55" i="8"/>
  <c r="G55" i="8" s="1"/>
  <c r="AG209" i="6"/>
  <c r="S209" i="7" s="1"/>
  <c r="Q48" i="7"/>
  <c r="F244" i="8"/>
  <c r="W189" i="6"/>
  <c r="AJ189" i="6" s="1"/>
  <c r="P39" i="7"/>
  <c r="R21" i="7"/>
  <c r="R234" i="7"/>
  <c r="R13" i="7"/>
  <c r="Q28" i="7"/>
  <c r="R96" i="7"/>
  <c r="R231" i="7"/>
  <c r="Q88" i="7"/>
  <c r="Q210" i="7"/>
  <c r="Q111" i="7"/>
  <c r="Q232" i="7"/>
  <c r="Q138" i="7"/>
  <c r="Q79" i="7"/>
  <c r="P96" i="7"/>
  <c r="P183" i="7"/>
  <c r="P55" i="7"/>
  <c r="R141" i="7"/>
  <c r="R143" i="7"/>
  <c r="AF222" i="6"/>
  <c r="AG136" i="6"/>
  <c r="S136" i="7" s="1"/>
  <c r="R57" i="7"/>
  <c r="L20" i="7"/>
  <c r="R66" i="7"/>
  <c r="Q215" i="7"/>
  <c r="L146" i="7"/>
  <c r="F241" i="8"/>
  <c r="R121" i="7"/>
  <c r="P138" i="7"/>
  <c r="L145" i="7"/>
  <c r="W185" i="6"/>
  <c r="AE185" i="6" s="1"/>
  <c r="Q95" i="7"/>
  <c r="Q110" i="7"/>
  <c r="AH215" i="6"/>
  <c r="AI215" i="6" s="1"/>
  <c r="AG117" i="6"/>
  <c r="S117" i="7" s="1"/>
  <c r="AG214" i="6"/>
  <c r="S214" i="7" s="1"/>
  <c r="I126" i="7"/>
  <c r="D157" i="8" s="1"/>
  <c r="L116" i="7"/>
  <c r="R195" i="7"/>
  <c r="AH205" i="6"/>
  <c r="AH80" i="6"/>
  <c r="AF215" i="6"/>
  <c r="L181" i="7"/>
  <c r="AE124" i="6"/>
  <c r="AG124" i="6" s="1"/>
  <c r="S124" i="7" s="1"/>
  <c r="W129" i="6"/>
  <c r="AJ129" i="6" s="1"/>
  <c r="H240" i="7"/>
  <c r="E200" i="8" s="1"/>
  <c r="G200" i="8" s="1"/>
  <c r="H65" i="7"/>
  <c r="I65" i="7" s="1"/>
  <c r="D85" i="8" s="1"/>
  <c r="H91" i="7"/>
  <c r="L91" i="7" s="1"/>
  <c r="H58" i="7"/>
  <c r="E169" i="8" s="1"/>
  <c r="G169" i="8" s="1"/>
  <c r="H160" i="7"/>
  <c r="E30" i="8" s="1"/>
  <c r="G30" i="8" s="1"/>
  <c r="H198" i="7"/>
  <c r="E222" i="8" s="1"/>
  <c r="G222" i="8" s="1"/>
  <c r="R244" i="7"/>
  <c r="Q244" i="7"/>
  <c r="Q190" i="7"/>
  <c r="R190" i="7"/>
  <c r="L140" i="7"/>
  <c r="AJ56" i="6"/>
  <c r="E204" i="8"/>
  <c r="G204" i="8" s="1"/>
  <c r="Q169" i="7"/>
  <c r="R135" i="7"/>
  <c r="L195" i="7"/>
  <c r="I195" i="7"/>
  <c r="D134" i="8" s="1"/>
  <c r="L169" i="7"/>
  <c r="I169" i="7"/>
  <c r="D13" i="8" s="1"/>
  <c r="E162" i="8"/>
  <c r="G162" i="8" s="1"/>
  <c r="I112" i="7"/>
  <c r="D162" i="8" s="1"/>
  <c r="R15" i="7"/>
  <c r="E135" i="8"/>
  <c r="G135" i="8" s="1"/>
  <c r="I152" i="7"/>
  <c r="D135" i="8" s="1"/>
  <c r="Q36" i="7"/>
  <c r="R36" i="7"/>
  <c r="R242" i="7"/>
  <c r="R148" i="7"/>
  <c r="Q148" i="7"/>
  <c r="R124" i="7"/>
  <c r="Q124" i="7"/>
  <c r="F234" i="8"/>
  <c r="L209" i="7"/>
  <c r="L235" i="7"/>
  <c r="I235" i="7"/>
  <c r="D34" i="8" s="1"/>
  <c r="Q176" i="7"/>
  <c r="R176" i="7"/>
  <c r="F98" i="8"/>
  <c r="L46" i="7"/>
  <c r="F162" i="8"/>
  <c r="L112" i="7"/>
  <c r="AF33" i="6"/>
  <c r="Q65" i="7"/>
  <c r="Q19" i="7"/>
  <c r="AH61" i="6"/>
  <c r="AH222" i="6"/>
  <c r="AI222" i="6" s="1"/>
  <c r="L78" i="7"/>
  <c r="I53" i="7"/>
  <c r="D197" i="8" s="1"/>
  <c r="AF60" i="6"/>
  <c r="AE193" i="6"/>
  <c r="AG193" i="6" s="1"/>
  <c r="S193" i="7" s="1"/>
  <c r="E154" i="8"/>
  <c r="G154" i="8" s="1"/>
  <c r="L90" i="7"/>
  <c r="L89" i="7"/>
  <c r="E110" i="8"/>
  <c r="G110" i="8" s="1"/>
  <c r="L154" i="7"/>
  <c r="Q77" i="7"/>
  <c r="E65" i="8"/>
  <c r="G65" i="8" s="1"/>
  <c r="W233" i="6"/>
  <c r="AH158" i="6"/>
  <c r="AF158" i="6"/>
  <c r="AJ152" i="6"/>
  <c r="AE152" i="6"/>
  <c r="AH152" i="6" s="1"/>
  <c r="F105" i="8"/>
  <c r="W197" i="6"/>
  <c r="H191" i="7"/>
  <c r="L191" i="7" s="1"/>
  <c r="W196" i="6"/>
  <c r="AE196" i="6" s="1"/>
  <c r="W35" i="6"/>
  <c r="W172" i="6"/>
  <c r="E113" i="8"/>
  <c r="G113" i="8" s="1"/>
  <c r="I204" i="7"/>
  <c r="D229" i="8" s="1"/>
  <c r="E116" i="8"/>
  <c r="G116" i="8" s="1"/>
  <c r="F146" i="8"/>
  <c r="E225" i="8"/>
  <c r="G225" i="8" s="1"/>
  <c r="AF110" i="6"/>
  <c r="AF38" i="6"/>
  <c r="I82" i="7"/>
  <c r="D207" i="8" s="1"/>
  <c r="AJ174" i="6"/>
  <c r="I130" i="7"/>
  <c r="D120" i="8" s="1"/>
  <c r="Q84" i="7"/>
  <c r="I35" i="7"/>
  <c r="D128" i="8" s="1"/>
  <c r="Q140" i="7"/>
  <c r="I80" i="7"/>
  <c r="D220" i="8" s="1"/>
  <c r="L35" i="7"/>
  <c r="L93" i="7"/>
  <c r="E73" i="8"/>
  <c r="G73" i="8" s="1"/>
  <c r="E160" i="8"/>
  <c r="G160" i="8" s="1"/>
  <c r="F171" i="8"/>
  <c r="F124" i="8"/>
  <c r="Y240" i="6"/>
  <c r="AH133" i="6"/>
  <c r="Q151" i="7"/>
  <c r="R158" i="7"/>
  <c r="I72" i="7"/>
  <c r="D201" i="8" s="1"/>
  <c r="E72" i="8"/>
  <c r="G72" i="8" s="1"/>
  <c r="I216" i="7"/>
  <c r="D72" i="8" s="1"/>
  <c r="L68" i="7"/>
  <c r="I68" i="7"/>
  <c r="D6" i="8" s="1"/>
  <c r="E6" i="8"/>
  <c r="G6" i="8" s="1"/>
  <c r="I19" i="7"/>
  <c r="D209" i="8" s="1"/>
  <c r="E209" i="8"/>
  <c r="G209" i="8" s="1"/>
  <c r="R104" i="7"/>
  <c r="Q104" i="7"/>
  <c r="AG206" i="6"/>
  <c r="S206" i="7" s="1"/>
  <c r="AH206" i="6"/>
  <c r="R136" i="7"/>
  <c r="Q136" i="7"/>
  <c r="Q181" i="7"/>
  <c r="R181" i="7"/>
  <c r="AG47" i="6"/>
  <c r="S47" i="7" s="1"/>
  <c r="AF47" i="6"/>
  <c r="F187" i="8"/>
  <c r="L61" i="7"/>
  <c r="AG76" i="6"/>
  <c r="S76" i="7" s="1"/>
  <c r="AF76" i="6"/>
  <c r="I86" i="7"/>
  <c r="D29" i="8" s="1"/>
  <c r="R162" i="7"/>
  <c r="E53" i="8"/>
  <c r="G53" i="8" s="1"/>
  <c r="E13" i="8"/>
  <c r="G13" i="8" s="1"/>
  <c r="AF213" i="6"/>
  <c r="R18" i="7"/>
  <c r="Q225" i="7"/>
  <c r="AH212" i="6"/>
  <c r="AG110" i="6"/>
  <c r="S110" i="7" s="1"/>
  <c r="AH76" i="6"/>
  <c r="R188" i="7"/>
  <c r="R95" i="7"/>
  <c r="Q224" i="7"/>
  <c r="E49" i="8"/>
  <c r="G49" i="8" s="1"/>
  <c r="I185" i="7"/>
  <c r="D49" i="8" s="1"/>
  <c r="W184" i="6"/>
  <c r="L66" i="7"/>
  <c r="F204" i="8"/>
  <c r="F67" i="8"/>
  <c r="L205" i="7"/>
  <c r="AG59" i="6"/>
  <c r="S59" i="7" s="1"/>
  <c r="AH59" i="6"/>
  <c r="AI59" i="6" s="1"/>
  <c r="Q142" i="7"/>
  <c r="R142" i="7"/>
  <c r="AF37" i="6"/>
  <c r="AH37" i="6"/>
  <c r="I92" i="7"/>
  <c r="D161" i="8" s="1"/>
  <c r="E161" i="8"/>
  <c r="G161" i="8" s="1"/>
  <c r="L92" i="7"/>
  <c r="R161" i="7"/>
  <c r="Q161" i="7"/>
  <c r="R246" i="7"/>
  <c r="Q246" i="7"/>
  <c r="I89" i="7"/>
  <c r="D122" i="8" s="1"/>
  <c r="E156" i="8"/>
  <c r="G156" i="8" s="1"/>
  <c r="AI238" i="6"/>
  <c r="I14" i="7"/>
  <c r="D195" i="8" s="1"/>
  <c r="AH213" i="6"/>
  <c r="R98" i="7"/>
  <c r="W137" i="6"/>
  <c r="AE137" i="6" s="1"/>
  <c r="AF212" i="6"/>
  <c r="Y129" i="6"/>
  <c r="F153" i="8"/>
  <c r="AH47" i="6"/>
  <c r="F190" i="8"/>
  <c r="AF133" i="6"/>
  <c r="AG37" i="6"/>
  <c r="S37" i="7" s="1"/>
  <c r="Q90" i="7"/>
  <c r="L42" i="7"/>
  <c r="W26" i="6"/>
  <c r="AJ26" i="6" s="1"/>
  <c r="W113" i="6"/>
  <c r="AE113" i="6" s="1"/>
  <c r="AG113" i="6" s="1"/>
  <c r="S113" i="7" s="1"/>
  <c r="AE157" i="6"/>
  <c r="AJ157" i="6"/>
  <c r="AF128" i="6"/>
  <c r="R209" i="7"/>
  <c r="Q209" i="7"/>
  <c r="W202" i="6"/>
  <c r="Y202" i="6"/>
  <c r="H10" i="7"/>
  <c r="E94" i="8" s="1"/>
  <c r="G94" i="8" s="1"/>
  <c r="L98" i="7"/>
  <c r="W51" i="6"/>
  <c r="AJ51" i="6" s="1"/>
  <c r="W24" i="6"/>
  <c r="AJ24" i="6" s="1"/>
  <c r="W168" i="6"/>
  <c r="AE168" i="6" s="1"/>
  <c r="AG168" i="6" s="1"/>
  <c r="S168" i="7" s="1"/>
  <c r="W149" i="6"/>
  <c r="E109" i="8"/>
  <c r="G109" i="8" s="1"/>
  <c r="L230" i="7"/>
  <c r="AH207" i="6"/>
  <c r="AI207" i="6" s="1"/>
  <c r="AF207" i="6"/>
  <c r="AF66" i="6"/>
  <c r="AG66" i="6"/>
  <c r="S66" i="7" s="1"/>
  <c r="F48" i="8"/>
  <c r="W143" i="6"/>
  <c r="L56" i="7"/>
  <c r="E182" i="8"/>
  <c r="G182" i="8" s="1"/>
  <c r="AG78" i="6"/>
  <c r="S78" i="7" s="1"/>
  <c r="AH78" i="6"/>
  <c r="F113" i="8"/>
  <c r="L238" i="7"/>
  <c r="R16" i="7"/>
  <c r="Q16" i="7"/>
  <c r="Q237" i="7"/>
  <c r="R152" i="7"/>
  <c r="Q152" i="7"/>
  <c r="Y75" i="6"/>
  <c r="L233" i="7"/>
  <c r="I233" i="7"/>
  <c r="D96" i="8" s="1"/>
  <c r="R196" i="7"/>
  <c r="Q196" i="7"/>
  <c r="I230" i="7"/>
  <c r="D109" i="8" s="1"/>
  <c r="L19" i="7"/>
  <c r="L192" i="7"/>
  <c r="E79" i="8"/>
  <c r="G79" i="8" s="1"/>
  <c r="E38" i="8"/>
  <c r="G38" i="8" s="1"/>
  <c r="I69" i="7"/>
  <c r="D57" i="8" s="1"/>
  <c r="E57" i="8"/>
  <c r="G57" i="8" s="1"/>
  <c r="I145" i="7"/>
  <c r="D151" i="8" s="1"/>
  <c r="R239" i="7"/>
  <c r="R14" i="7"/>
  <c r="AJ19" i="6"/>
  <c r="W112" i="6"/>
  <c r="H74" i="7"/>
  <c r="AF159" i="6"/>
  <c r="Q187" i="7"/>
  <c r="R187" i="7"/>
  <c r="Q24" i="7"/>
  <c r="P24" i="7"/>
  <c r="R24" i="7"/>
  <c r="W165" i="6"/>
  <c r="AJ165" i="6" s="1"/>
  <c r="Q89" i="7"/>
  <c r="R89" i="7"/>
  <c r="F236" i="8"/>
  <c r="L220" i="7"/>
  <c r="Q199" i="7"/>
  <c r="R199" i="7"/>
  <c r="AG132" i="6"/>
  <c r="S132" i="7" s="1"/>
  <c r="AH132" i="6"/>
  <c r="AI132" i="6" s="1"/>
  <c r="R25" i="7"/>
  <c r="Q25" i="7"/>
  <c r="H101" i="7"/>
  <c r="E138" i="8" s="1"/>
  <c r="G138" i="8" s="1"/>
  <c r="R4" i="7"/>
  <c r="Q4" i="7"/>
  <c r="Q204" i="7"/>
  <c r="W131" i="6"/>
  <c r="AE131" i="6" s="1"/>
  <c r="AH131" i="6" s="1"/>
  <c r="W115" i="6"/>
  <c r="AJ115" i="6" s="1"/>
  <c r="W147" i="6"/>
  <c r="AJ147" i="6" s="1"/>
  <c r="W188" i="6"/>
  <c r="I154" i="7"/>
  <c r="D110" i="8" s="1"/>
  <c r="L144" i="7"/>
  <c r="I36" i="7"/>
  <c r="D133" i="8" s="1"/>
  <c r="E122" i="8"/>
  <c r="G122" i="8" s="1"/>
  <c r="L151" i="7"/>
  <c r="AE41" i="6"/>
  <c r="AG41" i="6" s="1"/>
  <c r="S41" i="7" s="1"/>
  <c r="W88" i="6"/>
  <c r="AE88" i="6" s="1"/>
  <c r="AH88" i="6" s="1"/>
  <c r="AI88" i="6" s="1"/>
  <c r="W71" i="6"/>
  <c r="AJ71" i="6" s="1"/>
  <c r="E82" i="8"/>
  <c r="G82" i="8" s="1"/>
  <c r="I108" i="7"/>
  <c r="D176" i="8" s="1"/>
  <c r="I33" i="7"/>
  <c r="D213" i="8" s="1"/>
  <c r="E226" i="8"/>
  <c r="G226" i="8" s="1"/>
  <c r="L69" i="7"/>
  <c r="L108" i="7"/>
  <c r="AG33" i="6"/>
  <c r="S33" i="7" s="1"/>
  <c r="Q228" i="7"/>
  <c r="Q160" i="7"/>
  <c r="L152" i="7"/>
  <c r="L86" i="7"/>
  <c r="R156" i="7"/>
  <c r="AG38" i="6"/>
  <c r="S38" i="7" s="1"/>
  <c r="W96" i="6"/>
  <c r="R218" i="7"/>
  <c r="Q218" i="7"/>
  <c r="Q53" i="7"/>
  <c r="R53" i="7"/>
  <c r="AG146" i="6"/>
  <c r="S146" i="7" s="1"/>
  <c r="AF146" i="6"/>
  <c r="AH146" i="6"/>
  <c r="AI146" i="6" s="1"/>
  <c r="AI181" i="6"/>
  <c r="Q208" i="7"/>
  <c r="R208" i="7"/>
  <c r="R240" i="7"/>
  <c r="F141" i="8"/>
  <c r="L84" i="7"/>
  <c r="Q54" i="7"/>
  <c r="P54" i="7"/>
  <c r="E149" i="8"/>
  <c r="G149" i="8" s="1"/>
  <c r="Q128" i="7"/>
  <c r="P113" i="7"/>
  <c r="Q113" i="7"/>
  <c r="R49" i="7"/>
  <c r="W102" i="6"/>
  <c r="W94" i="6"/>
  <c r="AJ94" i="6" s="1"/>
  <c r="W17" i="6"/>
  <c r="W176" i="6"/>
  <c r="H38" i="7"/>
  <c r="W43" i="6"/>
  <c r="H97" i="7"/>
  <c r="Q173" i="7"/>
  <c r="H62" i="7"/>
  <c r="Q17" i="7"/>
  <c r="Q139" i="7"/>
  <c r="Q68" i="7"/>
  <c r="R236" i="7"/>
  <c r="R183" i="7"/>
  <c r="U115" i="6"/>
  <c r="AG236" i="6"/>
  <c r="S236" i="7" s="1"/>
  <c r="E224" i="8"/>
  <c r="G224" i="8" s="1"/>
  <c r="Q105" i="7"/>
  <c r="I151" i="7"/>
  <c r="D121" i="8" s="1"/>
  <c r="F188" i="8"/>
  <c r="L225" i="7"/>
  <c r="E12" i="8"/>
  <c r="G12" i="8" s="1"/>
  <c r="I96" i="7"/>
  <c r="D12" i="8" s="1"/>
  <c r="W62" i="6"/>
  <c r="AE62" i="6" s="1"/>
  <c r="I24" i="7"/>
  <c r="D88" i="8" s="1"/>
  <c r="L24" i="7"/>
  <c r="L137" i="7"/>
  <c r="E16" i="8"/>
  <c r="G16" i="8" s="1"/>
  <c r="R149" i="7"/>
  <c r="Q149" i="7"/>
  <c r="R119" i="7"/>
  <c r="Q119" i="7"/>
  <c r="R154" i="7"/>
  <c r="Q154" i="7"/>
  <c r="R159" i="7"/>
  <c r="AG53" i="6"/>
  <c r="S53" i="7" s="1"/>
  <c r="AH53" i="6"/>
  <c r="AI53" i="6" s="1"/>
  <c r="AF236" i="6"/>
  <c r="I67" i="7"/>
  <c r="D224" i="8" s="1"/>
  <c r="L130" i="7"/>
  <c r="E96" i="8"/>
  <c r="G96" i="8" s="1"/>
  <c r="AJ236" i="6"/>
  <c r="E229" i="8"/>
  <c r="G229" i="8" s="1"/>
  <c r="Q230" i="7"/>
  <c r="AH32" i="6"/>
  <c r="AF32" i="6"/>
  <c r="L228" i="7"/>
  <c r="L185" i="7"/>
  <c r="L15" i="7"/>
  <c r="AF219" i="6"/>
  <c r="AH60" i="6"/>
  <c r="AI60" i="6" s="1"/>
  <c r="R166" i="7"/>
  <c r="P166" i="7"/>
  <c r="AE28" i="6"/>
  <c r="AJ28" i="6"/>
  <c r="L157" i="7"/>
  <c r="I157" i="7"/>
  <c r="D168" i="8" s="1"/>
  <c r="E168" i="8"/>
  <c r="G168" i="8" s="1"/>
  <c r="AF126" i="6"/>
  <c r="AG126" i="6"/>
  <c r="S126" i="7" s="1"/>
  <c r="Q184" i="7"/>
  <c r="R184" i="7"/>
  <c r="R202" i="7"/>
  <c r="L172" i="7"/>
  <c r="F53" i="8"/>
  <c r="W227" i="6"/>
  <c r="AJ227" i="6" s="1"/>
  <c r="W119" i="6"/>
  <c r="W57" i="6"/>
  <c r="H114" i="7"/>
  <c r="Q116" i="7"/>
  <c r="Q85" i="7"/>
  <c r="U189" i="6"/>
  <c r="H23" i="7"/>
  <c r="H83" i="7"/>
  <c r="R127" i="7"/>
  <c r="Q141" i="7"/>
  <c r="Q155" i="7"/>
  <c r="R41" i="7"/>
  <c r="Q26" i="7"/>
  <c r="Q145" i="7"/>
  <c r="AE108" i="6"/>
  <c r="AF108" i="6" s="1"/>
  <c r="R163" i="7"/>
  <c r="AF205" i="6"/>
  <c r="R112" i="7"/>
  <c r="R106" i="7"/>
  <c r="AJ215" i="6"/>
  <c r="I98" i="7"/>
  <c r="D182" i="8" s="1"/>
  <c r="E112" i="8"/>
  <c r="G112" i="8" s="1"/>
  <c r="F220" i="8"/>
  <c r="L80" i="7"/>
  <c r="AE55" i="6"/>
  <c r="AJ162" i="6"/>
  <c r="L4" i="7"/>
  <c r="AH174" i="6"/>
  <c r="AG174" i="6"/>
  <c r="S174" i="7" s="1"/>
  <c r="L214" i="7"/>
  <c r="R32" i="7"/>
  <c r="W106" i="6"/>
  <c r="AG73" i="6"/>
  <c r="S73" i="7" s="1"/>
  <c r="AH214" i="6"/>
  <c r="AI214" i="6" s="1"/>
  <c r="W7" i="6"/>
  <c r="Q117" i="7"/>
  <c r="R117" i="7"/>
  <c r="Q52" i="7"/>
  <c r="R52" i="7"/>
  <c r="AF42" i="6"/>
  <c r="AH42" i="6"/>
  <c r="Q123" i="7"/>
  <c r="R123" i="7"/>
  <c r="L60" i="7"/>
  <c r="F196" i="8"/>
  <c r="AJ29" i="6"/>
  <c r="AE29" i="6"/>
  <c r="Q164" i="7"/>
  <c r="R164" i="7"/>
  <c r="L6" i="7"/>
  <c r="R50" i="7"/>
  <c r="Q50" i="7"/>
  <c r="Y111" i="6"/>
  <c r="W111" i="6"/>
  <c r="Y183" i="6"/>
  <c r="W183" i="6"/>
  <c r="F78" i="8"/>
  <c r="AG238" i="6"/>
  <c r="S238" i="7" s="1"/>
  <c r="AF238" i="6"/>
  <c r="F99" i="8"/>
  <c r="AF73" i="6"/>
  <c r="W8" i="6"/>
  <c r="AF27" i="6"/>
  <c r="F95" i="8"/>
  <c r="E163" i="8"/>
  <c r="G163" i="8" s="1"/>
  <c r="L129" i="7"/>
  <c r="AH161" i="6"/>
  <c r="AF161" i="6"/>
  <c r="F219" i="8"/>
  <c r="L32" i="7"/>
  <c r="AF99" i="6"/>
  <c r="AG99" i="6"/>
  <c r="S99" i="7" s="1"/>
  <c r="AE103" i="6"/>
  <c r="AJ103" i="6"/>
  <c r="E75" i="8"/>
  <c r="G75" i="8" s="1"/>
  <c r="I208" i="7"/>
  <c r="D241" i="8" s="1"/>
  <c r="E241" i="8"/>
  <c r="G241" i="8" s="1"/>
  <c r="E126" i="8"/>
  <c r="G126" i="8" s="1"/>
  <c r="L120" i="7"/>
  <c r="I178" i="7"/>
  <c r="D24" i="8" s="1"/>
  <c r="E24" i="8"/>
  <c r="G24" i="8" s="1"/>
  <c r="AG161" i="6"/>
  <c r="S161" i="7" s="1"/>
  <c r="R111" i="7"/>
  <c r="I102" i="7"/>
  <c r="D10" i="8" s="1"/>
  <c r="R219" i="7"/>
  <c r="R47" i="7"/>
  <c r="AG27" i="6"/>
  <c r="S27" i="7" s="1"/>
  <c r="Q49" i="7"/>
  <c r="E187" i="8"/>
  <c r="G187" i="8" s="1"/>
  <c r="AF80" i="6"/>
  <c r="AJ221" i="6"/>
  <c r="R201" i="7"/>
  <c r="AF127" i="6"/>
  <c r="AG127" i="6"/>
  <c r="S127" i="7" s="1"/>
  <c r="AG50" i="6"/>
  <c r="S50" i="7" s="1"/>
  <c r="AF50" i="6"/>
  <c r="AE31" i="6"/>
  <c r="AJ31" i="6"/>
  <c r="F166" i="8"/>
  <c r="L37" i="7"/>
  <c r="AG6" i="6"/>
  <c r="S6" i="7" s="1"/>
  <c r="AH6" i="6"/>
  <c r="AI6" i="6" s="1"/>
  <c r="W39" i="6"/>
  <c r="Y39" i="6"/>
  <c r="W23" i="6"/>
  <c r="F132" i="8"/>
  <c r="R43" i="7"/>
  <c r="Q43" i="7"/>
  <c r="R51" i="7"/>
  <c r="Q51" i="7"/>
  <c r="AJ21" i="6"/>
  <c r="AE21" i="6"/>
  <c r="AJ204" i="6"/>
  <c r="AE204" i="6"/>
  <c r="AG56" i="6"/>
  <c r="S56" i="7" s="1"/>
  <c r="AH56" i="6"/>
  <c r="AI56" i="6" s="1"/>
  <c r="AF56" i="6"/>
  <c r="AE68" i="6" l="1"/>
  <c r="AE123" i="6"/>
  <c r="AG123" i="6" s="1"/>
  <c r="S123" i="7" s="1"/>
  <c r="AJ50" i="6"/>
  <c r="AH18" i="6"/>
  <c r="L102" i="7"/>
  <c r="L216" i="7"/>
  <c r="Q61" i="7"/>
  <c r="R67" i="7"/>
  <c r="AG178" i="6"/>
  <c r="S178" i="7" s="1"/>
  <c r="Q31" i="7"/>
  <c r="AI131" i="6"/>
  <c r="AH159" i="6"/>
  <c r="AI159" i="6" s="1"/>
  <c r="AE101" i="6"/>
  <c r="AH101" i="6" s="1"/>
  <c r="AI101" i="6" s="1"/>
  <c r="AG34" i="6"/>
  <c r="S34" i="7" s="1"/>
  <c r="AJ178" i="6"/>
  <c r="AF34" i="6"/>
  <c r="Q72" i="7"/>
  <c r="AH84" i="6"/>
  <c r="AG181" i="6"/>
  <c r="S181" i="7" s="1"/>
  <c r="Q108" i="7"/>
  <c r="Q60" i="7"/>
  <c r="AI205" i="6"/>
  <c r="AF84" i="6"/>
  <c r="AI33" i="6"/>
  <c r="AI117" i="6"/>
  <c r="AI66" i="6"/>
  <c r="AI209" i="6"/>
  <c r="B59" i="11"/>
  <c r="AE79" i="6"/>
  <c r="AG79" i="6" s="1"/>
  <c r="S79" i="7" s="1"/>
  <c r="AJ79" i="6"/>
  <c r="AE83" i="6"/>
  <c r="AF83" i="6" s="1"/>
  <c r="AJ83" i="6"/>
  <c r="L124" i="7"/>
  <c r="L43" i="7"/>
  <c r="I63" i="7"/>
  <c r="D212" i="8" s="1"/>
  <c r="L150" i="7"/>
  <c r="L227" i="7"/>
  <c r="AJ150" i="6"/>
  <c r="AJ72" i="6"/>
  <c r="AJ181" i="6"/>
  <c r="AF181" i="6"/>
  <c r="AJ40" i="6"/>
  <c r="AI18" i="6"/>
  <c r="L82" i="7"/>
  <c r="AF156" i="6"/>
  <c r="R221" i="7"/>
  <c r="Q44" i="7"/>
  <c r="R222" i="7"/>
  <c r="R206" i="7"/>
  <c r="AH141" i="6"/>
  <c r="AI141" i="6" s="1"/>
  <c r="AE179" i="6"/>
  <c r="AF179" i="6" s="1"/>
  <c r="AI73" i="6"/>
  <c r="AJ167" i="6"/>
  <c r="AE167" i="6"/>
  <c r="AH167" i="6" s="1"/>
  <c r="AI167" i="6" s="1"/>
  <c r="Q100" i="7"/>
  <c r="Q101" i="7"/>
  <c r="B60" i="11"/>
  <c r="B52" i="11"/>
  <c r="AJ117" i="6"/>
  <c r="R211" i="7"/>
  <c r="AE74" i="6"/>
  <c r="AH74" i="6" s="1"/>
  <c r="AI74" i="6" s="1"/>
  <c r="AH36" i="6"/>
  <c r="AI36" i="6" s="1"/>
  <c r="AH166" i="6"/>
  <c r="AI166" i="6" s="1"/>
  <c r="Q74" i="7"/>
  <c r="F233" i="8"/>
  <c r="L115" i="7"/>
  <c r="R46" i="7"/>
  <c r="E5" i="8"/>
  <c r="G5" i="8" s="1"/>
  <c r="AF14" i="6"/>
  <c r="AE46" i="6"/>
  <c r="AG46" i="6" s="1"/>
  <c r="S46" i="7" s="1"/>
  <c r="AH156" i="6"/>
  <c r="AI156" i="6" s="1"/>
  <c r="AF18" i="6"/>
  <c r="B56" i="11"/>
  <c r="B55" i="11"/>
  <c r="R10" i="7"/>
  <c r="AE87" i="6"/>
  <c r="AH87" i="6" s="1"/>
  <c r="AI87" i="6" s="1"/>
  <c r="AF13" i="6"/>
  <c r="AF117" i="6"/>
  <c r="AH14" i="6"/>
  <c r="AI14" i="6" s="1"/>
  <c r="Q33" i="7"/>
  <c r="Q118" i="7"/>
  <c r="Q130" i="7"/>
  <c r="AE216" i="6"/>
  <c r="AJ216" i="6"/>
  <c r="Q125" i="7"/>
  <c r="AJ229" i="6"/>
  <c r="AE229" i="6"/>
  <c r="AF229" i="6" s="1"/>
  <c r="AE173" i="6"/>
  <c r="AJ173" i="6"/>
  <c r="AE135" i="6"/>
  <c r="AJ135" i="6"/>
  <c r="AJ140" i="6"/>
  <c r="AE140" i="6"/>
  <c r="AH140" i="6" s="1"/>
  <c r="AI140" i="6" s="1"/>
  <c r="AE190" i="6"/>
  <c r="AF190" i="6" s="1"/>
  <c r="AJ190" i="6"/>
  <c r="AJ25" i="6"/>
  <c r="AE25" i="6"/>
  <c r="AF25" i="6" s="1"/>
  <c r="AG13" i="6"/>
  <c r="S13" i="7" s="1"/>
  <c r="AE148" i="6"/>
  <c r="AG148" i="6" s="1"/>
  <c r="S148" i="7" s="1"/>
  <c r="AJ13" i="6"/>
  <c r="R133" i="7"/>
  <c r="R178" i="7"/>
  <c r="R220" i="7"/>
  <c r="AI127" i="6"/>
  <c r="AG182" i="6"/>
  <c r="S182" i="7" s="1"/>
  <c r="AI45" i="6"/>
  <c r="AF98" i="6"/>
  <c r="AJ177" i="6"/>
  <c r="AH186" i="6"/>
  <c r="AI186" i="6" s="1"/>
  <c r="L126" i="7"/>
  <c r="E43" i="8"/>
  <c r="G43" i="8" s="1"/>
  <c r="I176" i="7"/>
  <c r="D102" i="8" s="1"/>
  <c r="L176" i="7"/>
  <c r="R115" i="7"/>
  <c r="AE142" i="6"/>
  <c r="AJ142" i="6"/>
  <c r="Q37" i="7"/>
  <c r="Q198" i="7"/>
  <c r="R45" i="7"/>
  <c r="AH177" i="6"/>
  <c r="AI177" i="6" s="1"/>
  <c r="AG177" i="6"/>
  <c r="S177" i="7" s="1"/>
  <c r="AJ182" i="6"/>
  <c r="AH182" i="6"/>
  <c r="AI182" i="6" s="1"/>
  <c r="R193" i="7"/>
  <c r="AI178" i="6"/>
  <c r="AI32" i="6"/>
  <c r="AE171" i="6"/>
  <c r="AG171" i="6" s="1"/>
  <c r="S171" i="7" s="1"/>
  <c r="AE54" i="6"/>
  <c r="AF54" i="6" s="1"/>
  <c r="AJ186" i="6"/>
  <c r="AF186" i="6"/>
  <c r="AJ141" i="6"/>
  <c r="R175" i="7"/>
  <c r="AF141" i="6"/>
  <c r="R165" i="7"/>
  <c r="AI84" i="6"/>
  <c r="AG98" i="6"/>
  <c r="S98" i="7" s="1"/>
  <c r="AJ11" i="6"/>
  <c r="AE11" i="6"/>
  <c r="AG11" i="6" s="1"/>
  <c r="S11" i="7" s="1"/>
  <c r="AJ232" i="6"/>
  <c r="AE232" i="6"/>
  <c r="AF232" i="6" s="1"/>
  <c r="AI42" i="6"/>
  <c r="AH220" i="6"/>
  <c r="AI220" i="6" s="1"/>
  <c r="AF208" i="6"/>
  <c r="AG145" i="6"/>
  <c r="S145" i="7" s="1"/>
  <c r="L219" i="7"/>
  <c r="E108" i="8"/>
  <c r="G108" i="8" s="1"/>
  <c r="I15" i="7"/>
  <c r="D189" i="8" s="1"/>
  <c r="I107" i="7"/>
  <c r="D104" i="8" s="1"/>
  <c r="AJ226" i="6"/>
  <c r="AE226" i="6"/>
  <c r="AG226" i="6" s="1"/>
  <c r="S226" i="7" s="1"/>
  <c r="AJ109" i="6"/>
  <c r="AE109" i="6"/>
  <c r="AH109" i="6" s="1"/>
  <c r="AI109" i="6" s="1"/>
  <c r="AI208" i="6"/>
  <c r="AF178" i="6"/>
  <c r="AJ217" i="6"/>
  <c r="AI161" i="6"/>
  <c r="AF217" i="6"/>
  <c r="AH128" i="6"/>
  <c r="AI128" i="6" s="1"/>
  <c r="Q42" i="7"/>
  <c r="AI206" i="6"/>
  <c r="AG217" i="6"/>
  <c r="S217" i="7" s="1"/>
  <c r="AG36" i="6"/>
  <c r="S36" i="7" s="1"/>
  <c r="AI91" i="6"/>
  <c r="L33" i="7"/>
  <c r="Q20" i="7"/>
  <c r="R129" i="7"/>
  <c r="Q27" i="7"/>
  <c r="Q203" i="7"/>
  <c r="AI236" i="6"/>
  <c r="AF211" i="6"/>
  <c r="R189" i="7"/>
  <c r="AG220" i="6"/>
  <c r="S220" i="7" s="1"/>
  <c r="L133" i="7"/>
  <c r="AE138" i="6"/>
  <c r="AG138" i="6" s="1"/>
  <c r="S138" i="7" s="1"/>
  <c r="AE175" i="6"/>
  <c r="AH175" i="6" s="1"/>
  <c r="AI175" i="6" s="1"/>
  <c r="Q93" i="7"/>
  <c r="AE224" i="6"/>
  <c r="AG224" i="6" s="1"/>
  <c r="S224" i="7" s="1"/>
  <c r="AH211" i="6"/>
  <c r="AI211" i="6" s="1"/>
  <c r="AH199" i="6"/>
  <c r="AI199" i="6" s="1"/>
  <c r="AG198" i="6"/>
  <c r="S198" i="7" s="1"/>
  <c r="Q40" i="7"/>
  <c r="AG208" i="6"/>
  <c r="S208" i="7" s="1"/>
  <c r="AE90" i="6"/>
  <c r="AF90" i="6" s="1"/>
  <c r="AJ90" i="6"/>
  <c r="AJ5" i="6"/>
  <c r="AE5" i="6"/>
  <c r="AF5" i="6" s="1"/>
  <c r="E64" i="8"/>
  <c r="G64" i="8" s="1"/>
  <c r="AI98" i="6"/>
  <c r="AI61" i="6"/>
  <c r="AH15" i="6"/>
  <c r="AI15" i="6" s="1"/>
  <c r="AE218" i="6"/>
  <c r="AF218" i="6" s="1"/>
  <c r="AG15" i="6"/>
  <c r="S15" i="7" s="1"/>
  <c r="R217" i="7"/>
  <c r="I34" i="7"/>
  <c r="D142" i="8" s="1"/>
  <c r="AE64" i="6"/>
  <c r="AH64" i="6" s="1"/>
  <c r="AI64" i="6" s="1"/>
  <c r="AJ228" i="6"/>
  <c r="AE228" i="6"/>
  <c r="AF228" i="6" s="1"/>
  <c r="E92" i="8"/>
  <c r="G92" i="8" s="1"/>
  <c r="AE85" i="6"/>
  <c r="AH85" i="6" s="1"/>
  <c r="AI85" i="6" s="1"/>
  <c r="AG52" i="6"/>
  <c r="S52" i="7" s="1"/>
  <c r="AF81" i="6"/>
  <c r="AF114" i="6"/>
  <c r="AG154" i="6"/>
  <c r="S154" i="7" s="1"/>
  <c r="AI212" i="6"/>
  <c r="L199" i="7"/>
  <c r="AJ45" i="6"/>
  <c r="AH163" i="6"/>
  <c r="AI163" i="6" s="1"/>
  <c r="AH201" i="6"/>
  <c r="AI201" i="6" s="1"/>
  <c r="AF52" i="6"/>
  <c r="Q227" i="7"/>
  <c r="AH210" i="6"/>
  <c r="AI210" i="6" s="1"/>
  <c r="AH81" i="6"/>
  <c r="AI81" i="6" s="1"/>
  <c r="AI47" i="6"/>
  <c r="AI213" i="6"/>
  <c r="AJ114" i="6"/>
  <c r="AJ81" i="6"/>
  <c r="F205" i="8"/>
  <c r="AI34" i="6"/>
  <c r="AF230" i="6"/>
  <c r="AJ192" i="6"/>
  <c r="Q97" i="7"/>
  <c r="AF201" i="6"/>
  <c r="AF240" i="6"/>
  <c r="AF198" i="6"/>
  <c r="Q99" i="7"/>
  <c r="AI37" i="6"/>
  <c r="AJ240" i="6"/>
  <c r="AI133" i="6"/>
  <c r="AH114" i="6"/>
  <c r="AI114" i="6" s="1"/>
  <c r="AH192" i="6"/>
  <c r="AI192" i="6" s="1"/>
  <c r="AF192" i="6"/>
  <c r="AG240" i="6"/>
  <c r="S240" i="7" s="1"/>
  <c r="AE92" i="6"/>
  <c r="AH92" i="6" s="1"/>
  <c r="AI92" i="6" s="1"/>
  <c r="AI240" i="6"/>
  <c r="AI225" i="6"/>
  <c r="AI38" i="6"/>
  <c r="AE49" i="6"/>
  <c r="AJ49" i="6"/>
  <c r="AJ155" i="6"/>
  <c r="AE155" i="6"/>
  <c r="AF155" i="6" s="1"/>
  <c r="AE170" i="6"/>
  <c r="AJ170" i="6"/>
  <c r="I48" i="7"/>
  <c r="D221" i="8" s="1"/>
  <c r="I148" i="7"/>
  <c r="D51" i="8" s="1"/>
  <c r="I234" i="7"/>
  <c r="D69" i="8" s="1"/>
  <c r="L54" i="7"/>
  <c r="E183" i="8"/>
  <c r="G183" i="8" s="1"/>
  <c r="E62" i="8"/>
  <c r="G62" i="8" s="1"/>
  <c r="L50" i="7"/>
  <c r="I166" i="7"/>
  <c r="D148" i="8" s="1"/>
  <c r="E217" i="8"/>
  <c r="G217" i="8" s="1"/>
  <c r="AF203" i="6"/>
  <c r="AG203" i="6"/>
  <c r="S203" i="7" s="1"/>
  <c r="L132" i="7"/>
  <c r="F160" i="8"/>
  <c r="AH145" i="6"/>
  <c r="AI145" i="6" s="1"/>
  <c r="L167" i="7"/>
  <c r="L47" i="7"/>
  <c r="F145" i="8"/>
  <c r="AJ58" i="6"/>
  <c r="I26" i="7"/>
  <c r="D217" i="8" s="1"/>
  <c r="I147" i="7"/>
  <c r="D17" i="8" s="1"/>
  <c r="E70" i="8"/>
  <c r="G70" i="8" s="1"/>
  <c r="AE120" i="6"/>
  <c r="AF120" i="6" s="1"/>
  <c r="E185" i="8"/>
  <c r="G185" i="8" s="1"/>
  <c r="E230" i="8"/>
  <c r="G230" i="8" s="1"/>
  <c r="I124" i="7"/>
  <c r="D99" i="8" s="1"/>
  <c r="E245" i="8"/>
  <c r="G245" i="8" s="1"/>
  <c r="E104" i="8"/>
  <c r="G104" i="8" s="1"/>
  <c r="AG58" i="6"/>
  <c r="S58" i="7" s="1"/>
  <c r="I134" i="7"/>
  <c r="D42" i="8" s="1"/>
  <c r="E136" i="8"/>
  <c r="G136" i="8" s="1"/>
  <c r="E236" i="8"/>
  <c r="G236" i="8" s="1"/>
  <c r="E127" i="8"/>
  <c r="G127" i="8" s="1"/>
  <c r="AJ10" i="6"/>
  <c r="AE10" i="6"/>
  <c r="AF10" i="6" s="1"/>
  <c r="L189" i="7"/>
  <c r="E111" i="8"/>
  <c r="G111" i="8" s="1"/>
  <c r="L104" i="7"/>
  <c r="E214" i="8"/>
  <c r="G214" i="8" s="1"/>
  <c r="E17" i="8"/>
  <c r="G17" i="8" s="1"/>
  <c r="I123" i="7"/>
  <c r="D58" i="8" s="1"/>
  <c r="I78" i="7"/>
  <c r="D191" i="8" s="1"/>
  <c r="I7" i="7"/>
  <c r="D215" i="8" s="1"/>
  <c r="E184" i="8"/>
  <c r="G184" i="8" s="1"/>
  <c r="AI158" i="6"/>
  <c r="R192" i="7"/>
  <c r="E173" i="8"/>
  <c r="G173" i="8" s="1"/>
  <c r="E146" i="8"/>
  <c r="G146" i="8" s="1"/>
  <c r="E203" i="8"/>
  <c r="G203" i="8" s="1"/>
  <c r="L13" i="7"/>
  <c r="AE164" i="6"/>
  <c r="AH164" i="6" s="1"/>
  <c r="AI164" i="6" s="1"/>
  <c r="E100" i="8"/>
  <c r="G100" i="8" s="1"/>
  <c r="Q212" i="7"/>
  <c r="L155" i="7"/>
  <c r="I155" i="7"/>
  <c r="D81" i="8" s="1"/>
  <c r="L218" i="7"/>
  <c r="I104" i="7"/>
  <c r="D178" i="8" s="1"/>
  <c r="I57" i="7"/>
  <c r="D83" i="8" s="1"/>
  <c r="I25" i="7"/>
  <c r="D77" i="8" s="1"/>
  <c r="E71" i="8"/>
  <c r="G71" i="8" s="1"/>
  <c r="E201" i="8"/>
  <c r="G201" i="8" s="1"/>
  <c r="E206" i="8"/>
  <c r="G206" i="8" s="1"/>
  <c r="A17" i="11"/>
  <c r="AF237" i="6"/>
  <c r="AG237" i="6"/>
  <c r="S237" i="7" s="1"/>
  <c r="L131" i="7"/>
  <c r="I29" i="7"/>
  <c r="D180" i="8" s="1"/>
  <c r="L197" i="7"/>
  <c r="L5" i="7"/>
  <c r="L156" i="7"/>
  <c r="L180" i="7"/>
  <c r="AE30" i="6"/>
  <c r="AG30" i="6" s="1"/>
  <c r="S30" i="7" s="1"/>
  <c r="L127" i="7"/>
  <c r="E247" i="8"/>
  <c r="G247" i="8" s="1"/>
  <c r="L196" i="7"/>
  <c r="AE191" i="6"/>
  <c r="AH191" i="6" s="1"/>
  <c r="AI191" i="6" s="1"/>
  <c r="I52" i="7"/>
  <c r="D190" i="8" s="1"/>
  <c r="E132" i="8"/>
  <c r="G132" i="8" s="1"/>
  <c r="E25" i="8"/>
  <c r="G25" i="8" s="1"/>
  <c r="I218" i="7"/>
  <c r="D232" i="8" s="1"/>
  <c r="I153" i="7"/>
  <c r="D50" i="8" s="1"/>
  <c r="L71" i="7"/>
  <c r="AE160" i="6"/>
  <c r="AH160" i="6" s="1"/>
  <c r="AI160" i="6" s="1"/>
  <c r="D17" i="11"/>
  <c r="L217" i="7"/>
  <c r="L231" i="7"/>
  <c r="AE107" i="6"/>
  <c r="AH107" i="6" s="1"/>
  <c r="AI107" i="6" s="1"/>
  <c r="I231" i="7"/>
  <c r="D78" i="8" s="1"/>
  <c r="AE121" i="6"/>
  <c r="AH121" i="6" s="1"/>
  <c r="AI121" i="6" s="1"/>
  <c r="I183" i="7"/>
  <c r="D35" i="8" s="1"/>
  <c r="I39" i="7"/>
  <c r="D108" i="8" s="1"/>
  <c r="R73" i="7"/>
  <c r="L9" i="7"/>
  <c r="I202" i="7"/>
  <c r="D64" i="8" s="1"/>
  <c r="L135" i="7"/>
  <c r="E243" i="8"/>
  <c r="G243" i="8" s="1"/>
  <c r="AI174" i="6"/>
  <c r="E153" i="8"/>
  <c r="G153" i="8" s="1"/>
  <c r="I125" i="7"/>
  <c r="D111" i="8" s="1"/>
  <c r="E63" i="8"/>
  <c r="G63" i="8" s="1"/>
  <c r="L186" i="7"/>
  <c r="L153" i="7"/>
  <c r="L139" i="7"/>
  <c r="I139" i="7"/>
  <c r="D27" i="8" s="1"/>
  <c r="I11" i="7"/>
  <c r="D208" i="8" s="1"/>
  <c r="I164" i="7"/>
  <c r="D43" i="8" s="1"/>
  <c r="I243" i="7"/>
  <c r="D227" i="8" s="1"/>
  <c r="AI78" i="6"/>
  <c r="L183" i="7"/>
  <c r="AI76" i="6"/>
  <c r="I228" i="7"/>
  <c r="D193" i="8" s="1"/>
  <c r="E198" i="8"/>
  <c r="G198" i="8" s="1"/>
  <c r="I51" i="7"/>
  <c r="D139" i="8" s="1"/>
  <c r="AG199" i="6"/>
  <c r="S199" i="7" s="1"/>
  <c r="AI154" i="6"/>
  <c r="Q71" i="7"/>
  <c r="R71" i="7"/>
  <c r="Q29" i="7"/>
  <c r="R29" i="7"/>
  <c r="L223" i="7"/>
  <c r="E36" i="8"/>
  <c r="G36" i="8" s="1"/>
  <c r="E172" i="8"/>
  <c r="G172" i="8" s="1"/>
  <c r="I242" i="7"/>
  <c r="D172" i="8" s="1"/>
  <c r="L242" i="7"/>
  <c r="F226" i="8"/>
  <c r="L212" i="7"/>
  <c r="Q23" i="7"/>
  <c r="R23" i="7"/>
  <c r="I217" i="7"/>
  <c r="D107" i="8" s="1"/>
  <c r="I194" i="7"/>
  <c r="D203" i="8" s="1"/>
  <c r="I13" i="7"/>
  <c r="D175" i="8" s="1"/>
  <c r="L79" i="7"/>
  <c r="E37" i="8"/>
  <c r="G37" i="8" s="1"/>
  <c r="L243" i="7"/>
  <c r="L29" i="7"/>
  <c r="AJ116" i="6"/>
  <c r="W242" i="6"/>
  <c r="AE242" i="6" s="1"/>
  <c r="AH242" i="6" s="1"/>
  <c r="AI242" i="6" s="1"/>
  <c r="W223" i="6"/>
  <c r="AG153" i="6"/>
  <c r="S153" i="7" s="1"/>
  <c r="E33" i="8"/>
  <c r="G33" i="8" s="1"/>
  <c r="E238" i="8"/>
  <c r="G238" i="8" s="1"/>
  <c r="L100" i="7"/>
  <c r="L28" i="7"/>
  <c r="AF151" i="6"/>
  <c r="I219" i="7"/>
  <c r="D239" i="8" s="1"/>
  <c r="E26" i="8"/>
  <c r="G26" i="8" s="1"/>
  <c r="L88" i="7"/>
  <c r="E167" i="8"/>
  <c r="G167" i="8" s="1"/>
  <c r="I186" i="7"/>
  <c r="D123" i="8" s="1"/>
  <c r="E164" i="8"/>
  <c r="G164" i="8" s="1"/>
  <c r="E216" i="8"/>
  <c r="G216" i="8" s="1"/>
  <c r="L166" i="7"/>
  <c r="E228" i="8"/>
  <c r="G228" i="8" s="1"/>
  <c r="Q63" i="7"/>
  <c r="R69" i="7"/>
  <c r="AG105" i="6"/>
  <c r="S105" i="7" s="1"/>
  <c r="AF105" i="6"/>
  <c r="AH105" i="6"/>
  <c r="AI105" i="6" s="1"/>
  <c r="Q64" i="7"/>
  <c r="R64" i="7"/>
  <c r="F192" i="8"/>
  <c r="L201" i="7"/>
  <c r="F238" i="8"/>
  <c r="L211" i="7"/>
  <c r="AF104" i="6"/>
  <c r="AG104" i="6"/>
  <c r="S104" i="7" s="1"/>
  <c r="AH104" i="6"/>
  <c r="AI104" i="6" s="1"/>
  <c r="AF153" i="6"/>
  <c r="L168" i="7"/>
  <c r="L105" i="7"/>
  <c r="E9" i="8"/>
  <c r="G9" i="8" s="1"/>
  <c r="E202" i="8"/>
  <c r="G202" i="8" s="1"/>
  <c r="L175" i="7"/>
  <c r="I239" i="7"/>
  <c r="D174" i="8" s="1"/>
  <c r="L182" i="7"/>
  <c r="E179" i="8"/>
  <c r="G179" i="8" s="1"/>
  <c r="E117" i="8"/>
  <c r="G117" i="8" s="1"/>
  <c r="AJ153" i="6"/>
  <c r="R179" i="7"/>
  <c r="E174" i="8"/>
  <c r="G174" i="8" s="1"/>
  <c r="AF116" i="6"/>
  <c r="I205" i="7"/>
  <c r="D67" i="8" s="1"/>
  <c r="L221" i="7"/>
  <c r="E40" i="8"/>
  <c r="G40" i="8" s="1"/>
  <c r="AJ139" i="6"/>
  <c r="I240" i="7"/>
  <c r="D200" i="8" s="1"/>
  <c r="I182" i="7"/>
  <c r="D87" i="8" s="1"/>
  <c r="L12" i="7"/>
  <c r="E86" i="8"/>
  <c r="G86" i="8" s="1"/>
  <c r="L17" i="7"/>
  <c r="E101" i="8"/>
  <c r="G101" i="8" s="1"/>
  <c r="I37" i="7"/>
  <c r="D166" i="8" s="1"/>
  <c r="I44" i="7"/>
  <c r="D127" i="8" s="1"/>
  <c r="E77" i="8"/>
  <c r="G77" i="8" s="1"/>
  <c r="AF210" i="6"/>
  <c r="I87" i="7"/>
  <c r="D52" i="8" s="1"/>
  <c r="L103" i="7"/>
  <c r="L148" i="7"/>
  <c r="Q214" i="7"/>
  <c r="E69" i="8"/>
  <c r="G69" i="8" s="1"/>
  <c r="L31" i="7"/>
  <c r="L241" i="7"/>
  <c r="E212" i="8"/>
  <c r="G212" i="8" s="1"/>
  <c r="E125" i="8"/>
  <c r="G125" i="8" s="1"/>
  <c r="AH116" i="6"/>
  <c r="AI116" i="6" s="1"/>
  <c r="I127" i="7"/>
  <c r="D103" i="8" s="1"/>
  <c r="AI80" i="6"/>
  <c r="AE231" i="6"/>
  <c r="AG231" i="6" s="1"/>
  <c r="S231" i="7" s="1"/>
  <c r="L7" i="7"/>
  <c r="E152" i="8"/>
  <c r="G152" i="8" s="1"/>
  <c r="E192" i="8"/>
  <c r="G192" i="8" s="1"/>
  <c r="Q191" i="7"/>
  <c r="R191" i="7"/>
  <c r="R86" i="7"/>
  <c r="Q86" i="7"/>
  <c r="F195" i="8"/>
  <c r="L14" i="7"/>
  <c r="F237" i="8"/>
  <c r="L206" i="7"/>
  <c r="L136" i="7"/>
  <c r="F156" i="8"/>
  <c r="L53" i="7"/>
  <c r="F197" i="8"/>
  <c r="Q122" i="7"/>
  <c r="R122" i="7"/>
  <c r="AG130" i="6"/>
  <c r="S130" i="7" s="1"/>
  <c r="M9" i="11"/>
  <c r="I160" i="7"/>
  <c r="D30" i="8" s="1"/>
  <c r="I42" i="7"/>
  <c r="D137" i="8" s="1"/>
  <c r="AJ163" i="6"/>
  <c r="Q146" i="7"/>
  <c r="AJ69" i="6"/>
  <c r="I73" i="7"/>
  <c r="D76" i="8" s="1"/>
  <c r="AF4" i="6"/>
  <c r="I84" i="7"/>
  <c r="D141" i="8" s="1"/>
  <c r="A52" i="11" a="1"/>
  <c r="A52" i="11" s="1"/>
  <c r="AG163" i="6"/>
  <c r="S163" i="7" s="1"/>
  <c r="Q38" i="7"/>
  <c r="AE63" i="6"/>
  <c r="AH63" i="6" s="1"/>
  <c r="AI63" i="6" s="1"/>
  <c r="AJ194" i="6"/>
  <c r="AG74" i="6"/>
  <c r="S74" i="7" s="1"/>
  <c r="AJ168" i="6"/>
  <c r="AE95" i="6"/>
  <c r="AF95" i="6" s="1"/>
  <c r="E91" i="8"/>
  <c r="G91" i="8" s="1"/>
  <c r="I165" i="7"/>
  <c r="D54" i="8" s="1"/>
  <c r="AI152" i="6"/>
  <c r="AJ180" i="6"/>
  <c r="L65" i="7"/>
  <c r="E85" i="8"/>
  <c r="G85" i="8" s="1"/>
  <c r="AJ196" i="6"/>
  <c r="AF130" i="6"/>
  <c r="AH124" i="6"/>
  <c r="AI124" i="6" s="1"/>
  <c r="AH83" i="6"/>
  <c r="AI83" i="6" s="1"/>
  <c r="AJ48" i="6"/>
  <c r="E76" i="8"/>
  <c r="G76" i="8" s="1"/>
  <c r="L165" i="7"/>
  <c r="AJ130" i="6"/>
  <c r="AF101" i="6"/>
  <c r="I109" i="7"/>
  <c r="D91" i="8" s="1"/>
  <c r="L70" i="7"/>
  <c r="AF44" i="6"/>
  <c r="E159" i="8"/>
  <c r="G159" i="8" s="1"/>
  <c r="L245" i="7"/>
  <c r="E83" i="8"/>
  <c r="G83" i="8" s="1"/>
  <c r="I22" i="7"/>
  <c r="D131" i="8" s="1"/>
  <c r="L171" i="7"/>
  <c r="R92" i="7"/>
  <c r="Q92" i="7"/>
  <c r="R58" i="7"/>
  <c r="Q58" i="7"/>
  <c r="I121" i="7"/>
  <c r="D171" i="8" s="1"/>
  <c r="E171" i="8"/>
  <c r="G171" i="8" s="1"/>
  <c r="Q186" i="7"/>
  <c r="R186" i="7"/>
  <c r="L94" i="7"/>
  <c r="AE100" i="6"/>
  <c r="AG100" i="6" s="1"/>
  <c r="S100" i="7" s="1"/>
  <c r="E66" i="8"/>
  <c r="G66" i="8" s="1"/>
  <c r="I64" i="7"/>
  <c r="D214" i="8" s="1"/>
  <c r="L162" i="7"/>
  <c r="I196" i="7"/>
  <c r="D235" i="8" s="1"/>
  <c r="E97" i="8"/>
  <c r="G97" i="8" s="1"/>
  <c r="E237" i="8"/>
  <c r="G237" i="8" s="1"/>
  <c r="I177" i="7"/>
  <c r="D70" i="8" s="1"/>
  <c r="E188" i="8"/>
  <c r="G188" i="8" s="1"/>
  <c r="E84" i="8"/>
  <c r="G84" i="8" s="1"/>
  <c r="E105" i="8"/>
  <c r="G105" i="8" s="1"/>
  <c r="Q82" i="7"/>
  <c r="R82" i="7"/>
  <c r="Q238" i="7"/>
  <c r="R238" i="7"/>
  <c r="L75" i="7"/>
  <c r="I133" i="7"/>
  <c r="D158" i="8" s="1"/>
  <c r="I70" i="7"/>
  <c r="D194" i="8" s="1"/>
  <c r="L161" i="7"/>
  <c r="Q144" i="7"/>
  <c r="R144" i="7"/>
  <c r="AH235" i="6"/>
  <c r="AI235" i="6" s="1"/>
  <c r="I244" i="7"/>
  <c r="D246" i="8" s="1"/>
  <c r="L117" i="7"/>
  <c r="L99" i="7"/>
  <c r="E118" i="8"/>
  <c r="G118" i="8" s="1"/>
  <c r="L229" i="7"/>
  <c r="E139" i="8"/>
  <c r="G139" i="8" s="1"/>
  <c r="L10" i="7"/>
  <c r="AJ113" i="6"/>
  <c r="I10" i="7"/>
  <c r="D94" i="8" s="1"/>
  <c r="E19" i="8"/>
  <c r="G19" i="8" s="1"/>
  <c r="L160" i="7"/>
  <c r="AH168" i="6"/>
  <c r="AI168" i="6" s="1"/>
  <c r="AF154" i="6"/>
  <c r="AF124" i="6"/>
  <c r="AJ93" i="6"/>
  <c r="I91" i="7"/>
  <c r="D19" i="8" s="1"/>
  <c r="E186" i="8"/>
  <c r="G186" i="8" s="1"/>
  <c r="AJ65" i="6"/>
  <c r="AF58" i="6"/>
  <c r="I200" i="7"/>
  <c r="D68" i="8" s="1"/>
  <c r="AJ154" i="6"/>
  <c r="AJ91" i="6"/>
  <c r="AF65" i="6"/>
  <c r="AI58" i="6"/>
  <c r="AH230" i="6"/>
  <c r="AI230" i="6" s="1"/>
  <c r="E89" i="8"/>
  <c r="G89" i="8" s="1"/>
  <c r="AF235" i="6"/>
  <c r="I131" i="7"/>
  <c r="D46" i="8" s="1"/>
  <c r="AJ241" i="6"/>
  <c r="AG54" i="6"/>
  <c r="S54" i="7" s="1"/>
  <c r="L240" i="7"/>
  <c r="AJ230" i="6"/>
  <c r="L184" i="7"/>
  <c r="AJ122" i="6"/>
  <c r="AF45" i="6"/>
  <c r="AH151" i="6"/>
  <c r="AI151" i="6" s="1"/>
  <c r="AH44" i="6"/>
  <c r="AI44" i="6" s="1"/>
  <c r="AG45" i="6"/>
  <c r="S45" i="7" s="1"/>
  <c r="I41" i="7"/>
  <c r="D177" i="8" s="1"/>
  <c r="I213" i="7"/>
  <c r="D205" i="8" s="1"/>
  <c r="I149" i="7"/>
  <c r="D66" i="8" s="1"/>
  <c r="AJ62" i="6"/>
  <c r="L16" i="7"/>
  <c r="AG179" i="6"/>
  <c r="S179" i="7" s="1"/>
  <c r="AF40" i="6"/>
  <c r="AH12" i="6"/>
  <c r="AI12" i="6" s="1"/>
  <c r="AE187" i="6"/>
  <c r="AG187" i="6" s="1"/>
  <c r="S187" i="7" s="1"/>
  <c r="I159" i="7"/>
  <c r="D143" i="8" s="1"/>
  <c r="L188" i="7"/>
  <c r="L55" i="7"/>
  <c r="AE239" i="6"/>
  <c r="AG239" i="6" s="1"/>
  <c r="S239" i="7" s="1"/>
  <c r="E231" i="8"/>
  <c r="G231" i="8" s="1"/>
  <c r="I30" i="7"/>
  <c r="D186" i="8" s="1"/>
  <c r="E45" i="8"/>
  <c r="G45" i="8" s="1"/>
  <c r="I55" i="7"/>
  <c r="D210" i="8" s="1"/>
  <c r="I162" i="7"/>
  <c r="D28" i="8" s="1"/>
  <c r="L106" i="7"/>
  <c r="I106" i="7"/>
  <c r="D41" i="8" s="1"/>
  <c r="I223" i="7"/>
  <c r="D36" i="8" s="1"/>
  <c r="E39" i="8"/>
  <c r="G39" i="8" s="1"/>
  <c r="L81" i="7"/>
  <c r="AJ151" i="6"/>
  <c r="L226" i="7"/>
  <c r="E211" i="8"/>
  <c r="G211" i="8" s="1"/>
  <c r="I229" i="7"/>
  <c r="D60" i="8" s="1"/>
  <c r="L45" i="7"/>
  <c r="L163" i="7"/>
  <c r="E4" i="8"/>
  <c r="G4" i="8" s="1"/>
  <c r="AG70" i="6"/>
  <c r="S70" i="7" s="1"/>
  <c r="L119" i="7"/>
  <c r="E44" i="8"/>
  <c r="G44" i="8" s="1"/>
  <c r="I45" i="7"/>
  <c r="D129" i="8" s="1"/>
  <c r="E11" i="8"/>
  <c r="G11" i="8" s="1"/>
  <c r="AF74" i="6"/>
  <c r="I247" i="7"/>
  <c r="D243" i="8" s="1"/>
  <c r="L193" i="7"/>
  <c r="AE125" i="6"/>
  <c r="AH125" i="6" s="1"/>
  <c r="AI125" i="6" s="1"/>
  <c r="AE129" i="6"/>
  <c r="AH129" i="6" s="1"/>
  <c r="AI129" i="6" s="1"/>
  <c r="AG200" i="6"/>
  <c r="S200" i="7" s="1"/>
  <c r="AF171" i="6"/>
  <c r="AF12" i="6"/>
  <c r="E223" i="8"/>
  <c r="G223" i="8" s="1"/>
  <c r="AJ12" i="6"/>
  <c r="AH70" i="6"/>
  <c r="AI70" i="6" s="1"/>
  <c r="L85" i="7"/>
  <c r="I224" i="7"/>
  <c r="D118" i="8" s="1"/>
  <c r="L11" i="7"/>
  <c r="L198" i="7"/>
  <c r="E140" i="8"/>
  <c r="G140" i="8" s="1"/>
  <c r="L41" i="7"/>
  <c r="I232" i="7"/>
  <c r="D240" i="8" s="1"/>
  <c r="E246" i="8"/>
  <c r="G246" i="8" s="1"/>
  <c r="AJ200" i="6"/>
  <c r="E48" i="8"/>
  <c r="G48" i="8" s="1"/>
  <c r="I49" i="7"/>
  <c r="D8" i="8" s="1"/>
  <c r="AF200" i="6"/>
  <c r="E240" i="8"/>
  <c r="G240" i="8" s="1"/>
  <c r="L122" i="7"/>
  <c r="E32" i="8"/>
  <c r="G32" i="8" s="1"/>
  <c r="E7" i="8"/>
  <c r="G7" i="8" s="1"/>
  <c r="L18" i="7"/>
  <c r="I76" i="7"/>
  <c r="D144" i="8" s="1"/>
  <c r="L187" i="7"/>
  <c r="I32" i="7"/>
  <c r="D219" i="8" s="1"/>
  <c r="L22" i="7"/>
  <c r="E58" i="8"/>
  <c r="G58" i="8" s="1"/>
  <c r="E165" i="8"/>
  <c r="G165" i="8" s="1"/>
  <c r="I193" i="7"/>
  <c r="D95" i="8" s="1"/>
  <c r="E8" i="8"/>
  <c r="G8" i="8" s="1"/>
  <c r="AH25" i="6"/>
  <c r="AI25" i="6" s="1"/>
  <c r="AJ169" i="6"/>
  <c r="L246" i="7"/>
  <c r="AG190" i="6"/>
  <c r="S190" i="7" s="1"/>
  <c r="E31" i="8"/>
  <c r="G31" i="8" s="1"/>
  <c r="E18" i="8"/>
  <c r="G18" i="8" s="1"/>
  <c r="I6" i="7"/>
  <c r="D218" i="8" s="1"/>
  <c r="E155" i="8"/>
  <c r="G155" i="8" s="1"/>
  <c r="L128" i="7"/>
  <c r="L134" i="7"/>
  <c r="L48" i="7"/>
  <c r="I138" i="7"/>
  <c r="D22" i="8" s="1"/>
  <c r="L174" i="7"/>
  <c r="E115" i="8"/>
  <c r="G115" i="8" s="1"/>
  <c r="L215" i="7"/>
  <c r="E124" i="8"/>
  <c r="G124" i="8" s="1"/>
  <c r="L8" i="7"/>
  <c r="L173" i="7"/>
  <c r="I222" i="7"/>
  <c r="D233" i="8" s="1"/>
  <c r="E119" i="8"/>
  <c r="G119" i="8" s="1"/>
  <c r="AG232" i="6"/>
  <c r="S232" i="7" s="1"/>
  <c r="AH193" i="6"/>
  <c r="AI193" i="6" s="1"/>
  <c r="I215" i="7"/>
  <c r="D15" i="8" s="1"/>
  <c r="I209" i="7"/>
  <c r="D234" i="8" s="1"/>
  <c r="I236" i="7"/>
  <c r="D26" i="8" s="1"/>
  <c r="L138" i="7"/>
  <c r="E196" i="8"/>
  <c r="G196" i="8" s="1"/>
  <c r="L179" i="7"/>
  <c r="L87" i="7"/>
  <c r="I40" i="7"/>
  <c r="D198" i="8" s="1"/>
  <c r="I142" i="7"/>
  <c r="D93" i="8" s="1"/>
  <c r="I156" i="7"/>
  <c r="D59" i="8" s="1"/>
  <c r="L141" i="7"/>
  <c r="E47" i="8"/>
  <c r="G47" i="8" s="1"/>
  <c r="I237" i="7"/>
  <c r="D244" i="8" s="1"/>
  <c r="I190" i="7"/>
  <c r="D125" i="8" s="1"/>
  <c r="L111" i="7"/>
  <c r="I122" i="7"/>
  <c r="D170" i="8" s="1"/>
  <c r="I179" i="7"/>
  <c r="D90" i="8" s="1"/>
  <c r="I168" i="7"/>
  <c r="D21" i="8" s="1"/>
  <c r="I221" i="7"/>
  <c r="D199" i="8" s="1"/>
  <c r="L142" i="7"/>
  <c r="L118" i="7"/>
  <c r="E56" i="8"/>
  <c r="G56" i="8" s="1"/>
  <c r="L113" i="7"/>
  <c r="E61" i="8"/>
  <c r="G61" i="8" s="1"/>
  <c r="AJ185" i="6"/>
  <c r="AE94" i="6"/>
  <c r="AF94" i="6" s="1"/>
  <c r="AE165" i="6"/>
  <c r="AF165" i="6" s="1"/>
  <c r="E68" i="8"/>
  <c r="G68" i="8" s="1"/>
  <c r="I191" i="7"/>
  <c r="D61" i="8" s="1"/>
  <c r="AE89" i="6"/>
  <c r="AH65" i="6"/>
  <c r="AI65" i="6" s="1"/>
  <c r="AH40" i="6"/>
  <c r="AI40" i="6" s="1"/>
  <c r="AH123" i="6"/>
  <c r="AI123" i="6" s="1"/>
  <c r="AF168" i="6"/>
  <c r="AH232" i="6"/>
  <c r="AI232" i="6" s="1"/>
  <c r="I47" i="7"/>
  <c r="D145" i="8" s="1"/>
  <c r="AJ131" i="6"/>
  <c r="AG83" i="6"/>
  <c r="S83" i="7" s="1"/>
  <c r="AH4" i="6"/>
  <c r="AI4" i="6" s="1"/>
  <c r="AJ22" i="6"/>
  <c r="AG101" i="6"/>
  <c r="S101" i="7" s="1"/>
  <c r="AG88" i="6"/>
  <c r="S88" i="7" s="1"/>
  <c r="AF193" i="6"/>
  <c r="L21" i="7"/>
  <c r="AF109" i="6"/>
  <c r="I21" i="7"/>
  <c r="D147" i="8" s="1"/>
  <c r="AE195" i="6"/>
  <c r="AG195" i="6" s="1"/>
  <c r="S195" i="7" s="1"/>
  <c r="AE189" i="6"/>
  <c r="AH189" i="6" s="1"/>
  <c r="AI189" i="6" s="1"/>
  <c r="I198" i="7"/>
  <c r="D222" i="8" s="1"/>
  <c r="AE134" i="6"/>
  <c r="E242" i="8"/>
  <c r="G242" i="8" s="1"/>
  <c r="AE82" i="6"/>
  <c r="AH82" i="6" s="1"/>
  <c r="AI82" i="6" s="1"/>
  <c r="AG91" i="6"/>
  <c r="S91" i="7" s="1"/>
  <c r="AH19" i="6"/>
  <c r="AI19" i="6" s="1"/>
  <c r="AH22" i="6"/>
  <c r="AI22" i="6" s="1"/>
  <c r="AG22" i="6"/>
  <c r="S22" i="7" s="1"/>
  <c r="I95" i="7"/>
  <c r="D45" i="8" s="1"/>
  <c r="AJ4" i="6"/>
  <c r="AJ137" i="6"/>
  <c r="AE75" i="6"/>
  <c r="AF75" i="6" s="1"/>
  <c r="AE51" i="6"/>
  <c r="AF51" i="6" s="1"/>
  <c r="AE26" i="6"/>
  <c r="AG26" i="6" s="1"/>
  <c r="S26" i="7" s="1"/>
  <c r="AJ235" i="6"/>
  <c r="AH108" i="6"/>
  <c r="AI108" i="6" s="1"/>
  <c r="AF123" i="6"/>
  <c r="AH41" i="6"/>
  <c r="AI41" i="6" s="1"/>
  <c r="AG108" i="6"/>
  <c r="S108" i="7" s="1"/>
  <c r="AH139" i="6"/>
  <c r="AI139" i="6" s="1"/>
  <c r="AJ86" i="6"/>
  <c r="AG162" i="6"/>
  <c r="S162" i="7" s="1"/>
  <c r="AF88" i="6"/>
  <c r="AJ88" i="6"/>
  <c r="AH179" i="6"/>
  <c r="AI179" i="6" s="1"/>
  <c r="AF191" i="6"/>
  <c r="AE24" i="6"/>
  <c r="AE115" i="6"/>
  <c r="AF115" i="6" s="1"/>
  <c r="AF131" i="6"/>
  <c r="AG131" i="6"/>
  <c r="S131" i="7" s="1"/>
  <c r="AF41" i="6"/>
  <c r="AE71" i="6"/>
  <c r="AF71" i="6" s="1"/>
  <c r="I170" i="7"/>
  <c r="D80" i="8" s="1"/>
  <c r="L170" i="7"/>
  <c r="E80" i="8"/>
  <c r="G80" i="8" s="1"/>
  <c r="AF185" i="6"/>
  <c r="AH185" i="6"/>
  <c r="AI185" i="6" s="1"/>
  <c r="AG185" i="6"/>
  <c r="S185" i="7" s="1"/>
  <c r="AF113" i="6"/>
  <c r="AG86" i="6"/>
  <c r="S86" i="7" s="1"/>
  <c r="AH46" i="6"/>
  <c r="AI46" i="6" s="1"/>
  <c r="AF91" i="6"/>
  <c r="L58" i="7"/>
  <c r="AE147" i="6"/>
  <c r="AH147" i="6" s="1"/>
  <c r="AI147" i="6" s="1"/>
  <c r="AH79" i="6"/>
  <c r="AI79" i="6" s="1"/>
  <c r="I58" i="7"/>
  <c r="D169" i="8" s="1"/>
  <c r="AF79" i="6"/>
  <c r="AJ172" i="6"/>
  <c r="AE172" i="6"/>
  <c r="AJ197" i="6"/>
  <c r="AE197" i="6"/>
  <c r="AG152" i="6"/>
  <c r="S152" i="7" s="1"/>
  <c r="AF152" i="6"/>
  <c r="AJ233" i="6"/>
  <c r="AE233" i="6"/>
  <c r="AE35" i="6"/>
  <c r="AJ35" i="6"/>
  <c r="AG19" i="6"/>
  <c r="S19" i="7" s="1"/>
  <c r="L101" i="7"/>
  <c r="AF196" i="6"/>
  <c r="AG196" i="6"/>
  <c r="S196" i="7" s="1"/>
  <c r="AH196" i="6"/>
  <c r="AI196" i="6" s="1"/>
  <c r="AE227" i="6"/>
  <c r="AG227" i="6" s="1"/>
  <c r="S227" i="7" s="1"/>
  <c r="AJ184" i="6"/>
  <c r="AE184" i="6"/>
  <c r="AF162" i="6"/>
  <c r="AJ202" i="6"/>
  <c r="AE202" i="6"/>
  <c r="AG120" i="6"/>
  <c r="S120" i="7" s="1"/>
  <c r="AE149" i="6"/>
  <c r="AJ149" i="6"/>
  <c r="AH157" i="6"/>
  <c r="AI157" i="6" s="1"/>
  <c r="AF157" i="6"/>
  <c r="AG157" i="6"/>
  <c r="S157" i="7" s="1"/>
  <c r="AE188" i="6"/>
  <c r="AJ188" i="6"/>
  <c r="E181" i="8"/>
  <c r="G181" i="8" s="1"/>
  <c r="I74" i="7"/>
  <c r="D181" i="8" s="1"/>
  <c r="L74" i="7"/>
  <c r="AG229" i="6"/>
  <c r="S229" i="7" s="1"/>
  <c r="I101" i="7"/>
  <c r="D138" i="8" s="1"/>
  <c r="J13" i="11"/>
  <c r="AE112" i="6"/>
  <c r="AJ112" i="6"/>
  <c r="AE143" i="6"/>
  <c r="AJ143" i="6"/>
  <c r="AF86" i="6"/>
  <c r="AE176" i="6"/>
  <c r="AJ176" i="6"/>
  <c r="AJ96" i="6"/>
  <c r="AE96" i="6"/>
  <c r="I97" i="7"/>
  <c r="D23" i="8" s="1"/>
  <c r="E23" i="8"/>
  <c r="G23" i="8" s="1"/>
  <c r="L97" i="7"/>
  <c r="AE17" i="6"/>
  <c r="AJ17" i="6"/>
  <c r="E74" i="8"/>
  <c r="G74" i="8" s="1"/>
  <c r="L62" i="7"/>
  <c r="I62" i="7"/>
  <c r="D74" i="8" s="1"/>
  <c r="AJ43" i="6"/>
  <c r="AE43" i="6"/>
  <c r="E150" i="8"/>
  <c r="G150" i="8" s="1"/>
  <c r="I38" i="7"/>
  <c r="D150" i="8" s="1"/>
  <c r="AE102" i="6"/>
  <c r="AJ102" i="6"/>
  <c r="AJ16" i="6"/>
  <c r="AE16" i="6"/>
  <c r="I83" i="7"/>
  <c r="D20" i="8" s="1"/>
  <c r="E20" i="8"/>
  <c r="G20" i="8" s="1"/>
  <c r="L83" i="7"/>
  <c r="L114" i="7"/>
  <c r="I114" i="7"/>
  <c r="D14" i="8" s="1"/>
  <c r="E14" i="8"/>
  <c r="G14" i="8" s="1"/>
  <c r="AF11" i="6"/>
  <c r="L23" i="7"/>
  <c r="I23" i="7"/>
  <c r="D114" i="8" s="1"/>
  <c r="E114" i="8"/>
  <c r="G114" i="8" s="1"/>
  <c r="AJ57" i="6"/>
  <c r="AE57" i="6"/>
  <c r="AJ118" i="6"/>
  <c r="AE118" i="6"/>
  <c r="AF139" i="6"/>
  <c r="AH113" i="6"/>
  <c r="AI113" i="6" s="1"/>
  <c r="AE234" i="6"/>
  <c r="AJ234" i="6"/>
  <c r="AJ119" i="6"/>
  <c r="AE119" i="6"/>
  <c r="AF28" i="6"/>
  <c r="AG28" i="6"/>
  <c r="S28" i="7" s="1"/>
  <c r="AH28" i="6"/>
  <c r="AI28" i="6" s="1"/>
  <c r="AH68" i="6"/>
  <c r="AI68" i="6" s="1"/>
  <c r="AF68" i="6"/>
  <c r="AG68" i="6"/>
  <c r="S68" i="7" s="1"/>
  <c r="AG85" i="6"/>
  <c r="S85" i="7" s="1"/>
  <c r="AJ67" i="6"/>
  <c r="AE67" i="6"/>
  <c r="AJ97" i="6"/>
  <c r="AE97" i="6"/>
  <c r="AE7" i="6"/>
  <c r="AJ7" i="6"/>
  <c r="AH137" i="6"/>
  <c r="AI137" i="6" s="1"/>
  <c r="AG137" i="6"/>
  <c r="S137" i="7" s="1"/>
  <c r="AF137" i="6"/>
  <c r="AE106" i="6"/>
  <c r="AJ106" i="6"/>
  <c r="AG55" i="6"/>
  <c r="S55" i="7" s="1"/>
  <c r="AH55" i="6"/>
  <c r="AI55" i="6" s="1"/>
  <c r="AF55" i="6"/>
  <c r="AE8" i="6"/>
  <c r="AJ8" i="6"/>
  <c r="AG103" i="6"/>
  <c r="S103" i="7" s="1"/>
  <c r="AH103" i="6"/>
  <c r="AI103" i="6" s="1"/>
  <c r="AF103" i="6"/>
  <c r="AF180" i="6"/>
  <c r="AG180" i="6"/>
  <c r="S180" i="7" s="1"/>
  <c r="AH180" i="6"/>
  <c r="AI180" i="6" s="1"/>
  <c r="AH72" i="6"/>
  <c r="AI72" i="6" s="1"/>
  <c r="AG72" i="6"/>
  <c r="S72" i="7" s="1"/>
  <c r="AF72" i="6"/>
  <c r="AJ111" i="6"/>
  <c r="AE111" i="6"/>
  <c r="AG48" i="6"/>
  <c r="S48" i="7" s="1"/>
  <c r="AF48" i="6"/>
  <c r="AH48" i="6"/>
  <c r="AI48" i="6" s="1"/>
  <c r="AF169" i="6"/>
  <c r="AG169" i="6"/>
  <c r="S169" i="7" s="1"/>
  <c r="AH169" i="6"/>
  <c r="AI169" i="6" s="1"/>
  <c r="AE183" i="6"/>
  <c r="AJ183" i="6"/>
  <c r="AH29" i="6"/>
  <c r="AI29" i="6" s="1"/>
  <c r="AF29" i="6"/>
  <c r="AG29" i="6"/>
  <c r="S29" i="7" s="1"/>
  <c r="AH122" i="6"/>
  <c r="AI122" i="6" s="1"/>
  <c r="AG122" i="6"/>
  <c r="S122" i="7" s="1"/>
  <c r="AF122" i="6"/>
  <c r="AF241" i="6"/>
  <c r="AG241" i="6"/>
  <c r="S241" i="7" s="1"/>
  <c r="AH241" i="6"/>
  <c r="AI241" i="6" s="1"/>
  <c r="AG69" i="6"/>
  <c r="S69" i="7" s="1"/>
  <c r="AF69" i="6"/>
  <c r="AH69" i="6"/>
  <c r="AI69" i="6" s="1"/>
  <c r="AF62" i="6"/>
  <c r="AH62" i="6"/>
  <c r="AI62" i="6" s="1"/>
  <c r="AG62" i="6"/>
  <c r="S62" i="7" s="1"/>
  <c r="AG31" i="6"/>
  <c r="S31" i="7" s="1"/>
  <c r="AH31" i="6"/>
  <c r="AI31" i="6" s="1"/>
  <c r="AF31" i="6"/>
  <c r="AH93" i="6"/>
  <c r="AI93" i="6" s="1"/>
  <c r="AF93" i="6"/>
  <c r="AG93" i="6"/>
  <c r="S93" i="7" s="1"/>
  <c r="AE23" i="6"/>
  <c r="AJ23" i="6"/>
  <c r="AG221" i="6"/>
  <c r="S221" i="7" s="1"/>
  <c r="AH221" i="6"/>
  <c r="AI221" i="6" s="1"/>
  <c r="AF221" i="6"/>
  <c r="AF167" i="6"/>
  <c r="AJ39" i="6"/>
  <c r="AE39" i="6"/>
  <c r="AG194" i="6"/>
  <c r="S194" i="7" s="1"/>
  <c r="AF194" i="6"/>
  <c r="AH194" i="6"/>
  <c r="AI194" i="6" s="1"/>
  <c r="AG204" i="6"/>
  <c r="S204" i="7" s="1"/>
  <c r="AH204" i="6"/>
  <c r="AI204" i="6" s="1"/>
  <c r="AF204" i="6"/>
  <c r="AF21" i="6"/>
  <c r="AH21" i="6"/>
  <c r="AI21" i="6" s="1"/>
  <c r="AG21" i="6"/>
  <c r="S21" i="7" s="1"/>
  <c r="AH150" i="6"/>
  <c r="AI150" i="6" s="1"/>
  <c r="AG150" i="6"/>
  <c r="S150" i="7" s="1"/>
  <c r="AF150" i="6"/>
  <c r="AG121" i="6" l="1"/>
  <c r="S121" i="7" s="1"/>
  <c r="AH120" i="6"/>
  <c r="AI120" i="6" s="1"/>
  <c r="AF160" i="6"/>
  <c r="AH190" i="6"/>
  <c r="AI190" i="6" s="1"/>
  <c r="AG10" i="6"/>
  <c r="S10" i="7" s="1"/>
  <c r="AF87" i="6"/>
  <c r="AG25" i="6"/>
  <c r="S25" i="7" s="1"/>
  <c r="AF85" i="6"/>
  <c r="AF46" i="6"/>
  <c r="AF121" i="6"/>
  <c r="AG87" i="6"/>
  <c r="S87" i="7" s="1"/>
  <c r="AG175" i="6"/>
  <c r="S175" i="7" s="1"/>
  <c r="AG140" i="6"/>
  <c r="S140" i="7" s="1"/>
  <c r="AG167" i="6"/>
  <c r="S167" i="7" s="1"/>
  <c r="AF64" i="6"/>
  <c r="AF224" i="6"/>
  <c r="AH229" i="6"/>
  <c r="AI229" i="6" s="1"/>
  <c r="AF140" i="6"/>
  <c r="AG64" i="6"/>
  <c r="S64" i="7" s="1"/>
  <c r="AG191" i="6"/>
  <c r="S191" i="7" s="1"/>
  <c r="AH148" i="6"/>
  <c r="AI148" i="6" s="1"/>
  <c r="AG216" i="6"/>
  <c r="S216" i="7" s="1"/>
  <c r="AF216" i="6"/>
  <c r="AH216" i="6"/>
  <c r="AI216" i="6" s="1"/>
  <c r="AF135" i="6"/>
  <c r="AH135" i="6"/>
  <c r="AI135" i="6" s="1"/>
  <c r="AG135" i="6"/>
  <c r="S135" i="7" s="1"/>
  <c r="AF148" i="6"/>
  <c r="AG228" i="6"/>
  <c r="S228" i="7" s="1"/>
  <c r="AG109" i="6"/>
  <c r="S109" i="7" s="1"/>
  <c r="AH54" i="6"/>
  <c r="AI54" i="6" s="1"/>
  <c r="AF173" i="6"/>
  <c r="AH173" i="6"/>
  <c r="AI173" i="6" s="1"/>
  <c r="AG173" i="6"/>
  <c r="S173" i="7" s="1"/>
  <c r="AG5" i="6"/>
  <c r="S5" i="7" s="1"/>
  <c r="AH5" i="6"/>
  <c r="AI5" i="6" s="1"/>
  <c r="AH138" i="6"/>
  <c r="AI138" i="6" s="1"/>
  <c r="AG92" i="6"/>
  <c r="S92" i="7" s="1"/>
  <c r="M5" i="11"/>
  <c r="AF142" i="6"/>
  <c r="AG142" i="6"/>
  <c r="S142" i="7" s="1"/>
  <c r="AH142" i="6"/>
  <c r="AI142" i="6" s="1"/>
  <c r="AH11" i="6"/>
  <c r="AI11" i="6" s="1"/>
  <c r="AF226" i="6"/>
  <c r="AF138" i="6"/>
  <c r="AH90" i="6"/>
  <c r="AI90" i="6" s="1"/>
  <c r="AF30" i="6"/>
  <c r="AH171" i="6"/>
  <c r="AI171" i="6" s="1"/>
  <c r="AF175" i="6"/>
  <c r="A20" i="11"/>
  <c r="AF164" i="6"/>
  <c r="AH228" i="6"/>
  <c r="AI228" i="6" s="1"/>
  <c r="AG164" i="6"/>
  <c r="S164" i="7" s="1"/>
  <c r="AG90" i="6"/>
  <c r="S90" i="7" s="1"/>
  <c r="AH218" i="6"/>
  <c r="AI218" i="6" s="1"/>
  <c r="AG218" i="6"/>
  <c r="S218" i="7" s="1"/>
  <c r="AF107" i="6"/>
  <c r="AH226" i="6"/>
  <c r="AI226" i="6" s="1"/>
  <c r="AG160" i="6"/>
  <c r="S160" i="7" s="1"/>
  <c r="AH224" i="6"/>
  <c r="AI224" i="6" s="1"/>
  <c r="AF231" i="6"/>
  <c r="AH231" i="6"/>
  <c r="AI231" i="6" s="1"/>
  <c r="AG125" i="6"/>
  <c r="S125" i="7" s="1"/>
  <c r="AG107" i="6"/>
  <c r="S107" i="7" s="1"/>
  <c r="AF92" i="6"/>
  <c r="AH30" i="6"/>
  <c r="AI30" i="6" s="1"/>
  <c r="AG63" i="6"/>
  <c r="S63" i="7" s="1"/>
  <c r="AF63" i="6"/>
  <c r="G9" i="11" a="1"/>
  <c r="G9" i="11" s="1"/>
  <c r="J17" i="11"/>
  <c r="B34" i="11"/>
  <c r="B36" i="11"/>
  <c r="D13" i="11"/>
  <c r="AH10" i="6"/>
  <c r="AI10" i="6" s="1"/>
  <c r="AG155" i="6"/>
  <c r="S155" i="7" s="1"/>
  <c r="AJ242" i="6"/>
  <c r="AH155" i="6"/>
  <c r="AI155" i="6" s="1"/>
  <c r="AG242" i="6"/>
  <c r="S242" i="7" s="1"/>
  <c r="AF170" i="6"/>
  <c r="AH170" i="6"/>
  <c r="AI170" i="6" s="1"/>
  <c r="AG170" i="6"/>
  <c r="S170" i="7" s="1"/>
  <c r="AG49" i="6"/>
  <c r="S49" i="7" s="1"/>
  <c r="AH49" i="6"/>
  <c r="AI49" i="6" s="1"/>
  <c r="AF49" i="6"/>
  <c r="AF82" i="6"/>
  <c r="AF242" i="6"/>
  <c r="B37" i="11"/>
  <c r="J5" i="11" a="1"/>
  <c r="J5" i="11" s="1"/>
  <c r="G13" i="11"/>
  <c r="AF125" i="6"/>
  <c r="AE223" i="6"/>
  <c r="AJ223" i="6"/>
  <c r="B39" i="11"/>
  <c r="B35" i="11"/>
  <c r="B40" i="11"/>
  <c r="AH100" i="6"/>
  <c r="AI100" i="6" s="1"/>
  <c r="AH95" i="6"/>
  <c r="AI95" i="6" s="1"/>
  <c r="AF100" i="6"/>
  <c r="AG95" i="6"/>
  <c r="S95" i="7" s="1"/>
  <c r="B38" i="11"/>
  <c r="D9" i="11"/>
  <c r="A13" i="11"/>
  <c r="B62" i="11" s="1"/>
  <c r="AH165" i="6"/>
  <c r="AI165" i="6" s="1"/>
  <c r="AH94" i="6"/>
  <c r="AI94" i="6" s="1"/>
  <c r="AH71" i="6"/>
  <c r="AI71" i="6" s="1"/>
  <c r="AG82" i="6"/>
  <c r="S82" i="7" s="1"/>
  <c r="AG129" i="6"/>
  <c r="S129" i="7" s="1"/>
  <c r="AF129" i="6"/>
  <c r="AH187" i="6"/>
  <c r="AI187" i="6" s="1"/>
  <c r="AF187" i="6"/>
  <c r="AH239" i="6"/>
  <c r="AI239" i="6" s="1"/>
  <c r="AF239" i="6"/>
  <c r="AH75" i="6"/>
  <c r="AI75" i="6" s="1"/>
  <c r="AG115" i="6"/>
  <c r="S115" i="7" s="1"/>
  <c r="AG165" i="6"/>
  <c r="S165" i="7" s="1"/>
  <c r="AG71" i="6"/>
  <c r="S71" i="7" s="1"/>
  <c r="AH51" i="6"/>
  <c r="AI51" i="6" s="1"/>
  <c r="AG51" i="6"/>
  <c r="S51" i="7" s="1"/>
  <c r="AF195" i="6"/>
  <c r="AG94" i="6"/>
  <c r="S94" i="7" s="1"/>
  <c r="AG89" i="6"/>
  <c r="S89" i="7" s="1"/>
  <c r="AH89" i="6"/>
  <c r="AI89" i="6" s="1"/>
  <c r="AF89" i="6"/>
  <c r="AG75" i="6"/>
  <c r="S75" i="7" s="1"/>
  <c r="AH195" i="6"/>
  <c r="AI195" i="6" s="1"/>
  <c r="AH115" i="6"/>
  <c r="AI115" i="6" s="1"/>
  <c r="AH26" i="6"/>
  <c r="AI26" i="6" s="1"/>
  <c r="AG189" i="6"/>
  <c r="S189" i="7" s="1"/>
  <c r="AH134" i="6"/>
  <c r="AI134" i="6" s="1"/>
  <c r="AG134" i="6"/>
  <c r="S134" i="7" s="1"/>
  <c r="AF134" i="6"/>
  <c r="AF26" i="6"/>
  <c r="AF189" i="6"/>
  <c r="D10" i="9"/>
  <c r="D15" i="9"/>
  <c r="AG24" i="6"/>
  <c r="S24" i="7" s="1"/>
  <c r="AH24" i="6"/>
  <c r="AI24" i="6" s="1"/>
  <c r="AF24" i="6"/>
  <c r="D14" i="9"/>
  <c r="D13" i="9"/>
  <c r="D8" i="9"/>
  <c r="D5" i="9"/>
  <c r="D16" i="9"/>
  <c r="D6" i="9"/>
  <c r="AF147" i="6"/>
  <c r="AG147" i="6"/>
  <c r="S147" i="7" s="1"/>
  <c r="D11" i="9"/>
  <c r="D4" i="9"/>
  <c r="D12" i="9"/>
  <c r="D7" i="9"/>
  <c r="D9" i="9"/>
  <c r="AH35" i="6"/>
  <c r="AI35" i="6" s="1"/>
  <c r="AF35" i="6"/>
  <c r="AG35" i="6"/>
  <c r="S35" i="7" s="1"/>
  <c r="AG233" i="6"/>
  <c r="S233" i="7" s="1"/>
  <c r="AF233" i="6"/>
  <c r="AH233" i="6"/>
  <c r="AI233" i="6" s="1"/>
  <c r="AH172" i="6"/>
  <c r="AI172" i="6" s="1"/>
  <c r="AG172" i="6"/>
  <c r="S172" i="7" s="1"/>
  <c r="AF172" i="6"/>
  <c r="AF197" i="6"/>
  <c r="AG197" i="6"/>
  <c r="S197" i="7" s="1"/>
  <c r="AH197" i="6"/>
  <c r="AI197" i="6" s="1"/>
  <c r="AF184" i="6"/>
  <c r="AG184" i="6"/>
  <c r="S184" i="7" s="1"/>
  <c r="AH184" i="6"/>
  <c r="AI184" i="6" s="1"/>
  <c r="AF202" i="6"/>
  <c r="AG202" i="6"/>
  <c r="S202" i="7" s="1"/>
  <c r="AH202" i="6"/>
  <c r="AI202" i="6" s="1"/>
  <c r="AH149" i="6"/>
  <c r="AI149" i="6" s="1"/>
  <c r="AG149" i="6"/>
  <c r="S149" i="7" s="1"/>
  <c r="AF149" i="6"/>
  <c r="AH227" i="6"/>
  <c r="AI227" i="6" s="1"/>
  <c r="AF227" i="6"/>
  <c r="AG112" i="6"/>
  <c r="S112" i="7" s="1"/>
  <c r="AH112" i="6"/>
  <c r="AI112" i="6" s="1"/>
  <c r="AF112" i="6"/>
  <c r="AF143" i="6"/>
  <c r="AH143" i="6"/>
  <c r="AI143" i="6" s="1"/>
  <c r="AG143" i="6"/>
  <c r="S143" i="7" s="1"/>
  <c r="AH188" i="6"/>
  <c r="AI188" i="6" s="1"/>
  <c r="AF188" i="6"/>
  <c r="AG188" i="6"/>
  <c r="S188" i="7" s="1"/>
  <c r="AG16" i="6"/>
  <c r="S16" i="7" s="1"/>
  <c r="AF16" i="6"/>
  <c r="AH16" i="6"/>
  <c r="AI16" i="6" s="1"/>
  <c r="AF176" i="6"/>
  <c r="AG176" i="6"/>
  <c r="S176" i="7" s="1"/>
  <c r="AH176" i="6"/>
  <c r="AI176" i="6" s="1"/>
  <c r="AG17" i="6"/>
  <c r="S17" i="7" s="1"/>
  <c r="AH17" i="6"/>
  <c r="AI17" i="6" s="1"/>
  <c r="AF17" i="6"/>
  <c r="AF96" i="6"/>
  <c r="AH96" i="6"/>
  <c r="AI96" i="6" s="1"/>
  <c r="AG96" i="6"/>
  <c r="S96" i="7" s="1"/>
  <c r="AF43" i="6"/>
  <c r="AH43" i="6"/>
  <c r="AI43" i="6" s="1"/>
  <c r="AG43" i="6"/>
  <c r="S43" i="7" s="1"/>
  <c r="AF102" i="6"/>
  <c r="AH102" i="6"/>
  <c r="AI102" i="6" s="1"/>
  <c r="AG102" i="6"/>
  <c r="S102" i="7" s="1"/>
  <c r="AF57" i="6"/>
  <c r="AH57" i="6"/>
  <c r="AI57" i="6" s="1"/>
  <c r="AG57" i="6"/>
  <c r="S57" i="7" s="1"/>
  <c r="AF234" i="6"/>
  <c r="AH234" i="6"/>
  <c r="AI234" i="6" s="1"/>
  <c r="AG234" i="6"/>
  <c r="S234" i="7" s="1"/>
  <c r="AH118" i="6"/>
  <c r="AI118" i="6" s="1"/>
  <c r="AF118" i="6"/>
  <c r="AG118" i="6"/>
  <c r="S118" i="7" s="1"/>
  <c r="AH119" i="6"/>
  <c r="AI119" i="6" s="1"/>
  <c r="AG119" i="6"/>
  <c r="S119" i="7" s="1"/>
  <c r="AF119" i="6"/>
  <c r="AH7" i="6"/>
  <c r="AI7" i="6" s="1"/>
  <c r="AG7" i="6"/>
  <c r="S7" i="7" s="1"/>
  <c r="AF7" i="6"/>
  <c r="AH67" i="6"/>
  <c r="AI67" i="6" s="1"/>
  <c r="AF67" i="6"/>
  <c r="AG67" i="6"/>
  <c r="S67" i="7" s="1"/>
  <c r="AF106" i="6"/>
  <c r="AH106" i="6"/>
  <c r="AI106" i="6" s="1"/>
  <c r="AG106" i="6"/>
  <c r="S106" i="7" s="1"/>
  <c r="AG97" i="6"/>
  <c r="S97" i="7" s="1"/>
  <c r="AF97" i="6"/>
  <c r="AH97" i="6"/>
  <c r="AI97" i="6" s="1"/>
  <c r="AF183" i="6"/>
  <c r="AH183" i="6"/>
  <c r="AI183" i="6" s="1"/>
  <c r="AG183" i="6"/>
  <c r="S183" i="7" s="1"/>
  <c r="AH111" i="6"/>
  <c r="AI111" i="6" s="1"/>
  <c r="AF111" i="6"/>
  <c r="AG111" i="6"/>
  <c r="S111" i="7" s="1"/>
  <c r="AF8" i="6"/>
  <c r="AH8" i="6"/>
  <c r="AI8" i="6" s="1"/>
  <c r="AG8" i="6"/>
  <c r="S8" i="7" s="1"/>
  <c r="AF39" i="6"/>
  <c r="AH39" i="6"/>
  <c r="AI39" i="6" s="1"/>
  <c r="AG39" i="6"/>
  <c r="S39" i="7" s="1"/>
  <c r="AG23" i="6"/>
  <c r="S23" i="7" s="1"/>
  <c r="AF23" i="6"/>
  <c r="AH23" i="6"/>
  <c r="AI23" i="6" s="1"/>
  <c r="C14" i="9"/>
  <c r="E44" i="11" s="1"/>
  <c r="C8" i="9"/>
  <c r="E38" i="11" s="1"/>
  <c r="C9" i="9"/>
  <c r="E39" i="11" s="1"/>
  <c r="C7" i="9"/>
  <c r="E37" i="11" s="1"/>
  <c r="C13" i="9"/>
  <c r="E43" i="11" s="1"/>
  <c r="C12" i="9"/>
  <c r="E42" i="11" s="1"/>
  <c r="C15" i="9"/>
  <c r="E45" i="11" s="1"/>
  <c r="C4" i="9"/>
  <c r="E34" i="11" s="1"/>
  <c r="C6" i="9"/>
  <c r="E36" i="11" s="1"/>
  <c r="C11" i="9"/>
  <c r="E41" i="11" s="1"/>
  <c r="C16" i="9"/>
  <c r="E46" i="11" s="1"/>
  <c r="C5" i="9"/>
  <c r="E35" i="11" s="1"/>
  <c r="C10" i="9"/>
  <c r="E40" i="11" s="1"/>
  <c r="AH223" i="6" l="1"/>
  <c r="AI223" i="6" s="1"/>
  <c r="AG223" i="6"/>
  <c r="S223" i="7" s="1"/>
  <c r="AF223" i="6"/>
  <c r="A9" i="11"/>
  <c r="B58"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<sst xmlns="http://schemas.openxmlformats.org/spreadsheetml/2006/main" count="19813" uniqueCount="3535">
  <si>
    <t>EQUIPOS (EDITABLE)</t>
  </si>
  <si>
    <t>Codigo</t>
  </si>
  <si>
    <t>Tipo Equipo</t>
  </si>
  <si>
    <t>Marca</t>
  </si>
  <si>
    <t>Modelo</t>
  </si>
  <si>
    <t>Año</t>
  </si>
  <si>
    <t>Ubicacion</t>
  </si>
  <si>
    <t>Responsable</t>
  </si>
  <si>
    <t>Estado Base</t>
  </si>
  <si>
    <t>Control Base</t>
  </si>
  <si>
    <t>Frecuencia Base</t>
  </si>
  <si>
    <t>Promedio Diario</t>
  </si>
  <si>
    <t>CD-100</t>
  </si>
  <si>
    <t>Camión Slurry</t>
  </si>
  <si>
    <t>Volkswagen</t>
  </si>
  <si>
    <t>San Carlos</t>
  </si>
  <si>
    <t>Carlos Aedo</t>
  </si>
  <si>
    <t>Operativo</t>
  </si>
  <si>
    <t>HORAS</t>
  </si>
  <si>
    <t>CD-102</t>
  </si>
  <si>
    <t>Camión Tolva</t>
  </si>
  <si>
    <t>Man</t>
  </si>
  <si>
    <t>TGS 50480</t>
  </si>
  <si>
    <t>San Nicolas</t>
  </si>
  <si>
    <t>Nelson Cancino</t>
  </si>
  <si>
    <t>CD-103</t>
  </si>
  <si>
    <t>TALLER</t>
  </si>
  <si>
    <t>Felipe Figueroa</t>
  </si>
  <si>
    <t>Fuera de Servicio</t>
  </si>
  <si>
    <t>CD-104</t>
  </si>
  <si>
    <t>Emergencias Curico</t>
  </si>
  <si>
    <t>Nelson Cancino Papá</t>
  </si>
  <si>
    <t>CD-105</t>
  </si>
  <si>
    <t>Palmucho</t>
  </si>
  <si>
    <t>Eugenio Hormazabal</t>
  </si>
  <si>
    <t>CD-106</t>
  </si>
  <si>
    <t>CD-107</t>
  </si>
  <si>
    <t>Taller</t>
  </si>
  <si>
    <t>Cesar Vergara</t>
  </si>
  <si>
    <t>CD-108</t>
  </si>
  <si>
    <t>International</t>
  </si>
  <si>
    <t>Patricio Salas</t>
  </si>
  <si>
    <t>CD-109</t>
  </si>
  <si>
    <t>Camión Plano</t>
  </si>
  <si>
    <t>Hino</t>
  </si>
  <si>
    <t>XZU 6.5 DCAB</t>
  </si>
  <si>
    <t>Washington Sanzana</t>
  </si>
  <si>
    <t>KM</t>
  </si>
  <si>
    <t>CD-110</t>
  </si>
  <si>
    <t>Jac</t>
  </si>
  <si>
    <t>Urban HFC1050K</t>
  </si>
  <si>
    <t>Cobquecura</t>
  </si>
  <si>
    <t>Rodolfo Vera</t>
  </si>
  <si>
    <t>CD-111</t>
  </si>
  <si>
    <t>Mercedes Benz</t>
  </si>
  <si>
    <t>Atego 1315 48</t>
  </si>
  <si>
    <t>Sin asignar</t>
  </si>
  <si>
    <t>CD-112</t>
  </si>
  <si>
    <t>Camión Pintura</t>
  </si>
  <si>
    <t>No hay info</t>
  </si>
  <si>
    <t>CD-113</t>
  </si>
  <si>
    <t>Camión Imprimador</t>
  </si>
  <si>
    <t>17180M</t>
  </si>
  <si>
    <t>Quirihue</t>
  </si>
  <si>
    <t>Frank Yegres</t>
  </si>
  <si>
    <t>CD-114</t>
  </si>
  <si>
    <t>Freightliner</t>
  </si>
  <si>
    <t>M2 112</t>
  </si>
  <si>
    <t>Juan Espinoza</t>
  </si>
  <si>
    <t>CD-115</t>
  </si>
  <si>
    <t>Tracto Camión</t>
  </si>
  <si>
    <t>LS 1634 45</t>
  </si>
  <si>
    <t>Taller ext</t>
  </si>
  <si>
    <t>Manuel Pacheco</t>
  </si>
  <si>
    <t>CD-116</t>
  </si>
  <si>
    <t>Wolkswagen</t>
  </si>
  <si>
    <t>9150E</t>
  </si>
  <si>
    <t>Nicolas Morales</t>
  </si>
  <si>
    <t>CD-117</t>
  </si>
  <si>
    <t>CD-118</t>
  </si>
  <si>
    <t>M2 106</t>
  </si>
  <si>
    <t>Carlos Vasquez</t>
  </si>
  <si>
    <t>CD-119</t>
  </si>
  <si>
    <t>Camión Combustible</t>
  </si>
  <si>
    <t>GH8JMTA</t>
  </si>
  <si>
    <t>Nector Muñoz</t>
  </si>
  <si>
    <t>CD-120</t>
  </si>
  <si>
    <t>TGS 40400 BB</t>
  </si>
  <si>
    <t>Pablo Torres</t>
  </si>
  <si>
    <t>CD-121</t>
  </si>
  <si>
    <t>Chandor Ruiz</t>
  </si>
  <si>
    <t>CD-122</t>
  </si>
  <si>
    <t>Renan Aguilera</t>
  </si>
  <si>
    <t>CD-123</t>
  </si>
  <si>
    <t>Wilson Salazar</t>
  </si>
  <si>
    <t>CD-124</t>
  </si>
  <si>
    <t>CD-125</t>
  </si>
  <si>
    <t>Camión Maxus</t>
  </si>
  <si>
    <t>Maxus</t>
  </si>
  <si>
    <t>C35 2.0</t>
  </si>
  <si>
    <t>Patricio Mora</t>
  </si>
  <si>
    <t>CD-126</t>
  </si>
  <si>
    <t>Taller (Kauffman)</t>
  </si>
  <si>
    <t>Manuel Piñaleo</t>
  </si>
  <si>
    <t>CD-127</t>
  </si>
  <si>
    <t>Camión Pluma</t>
  </si>
  <si>
    <t>Osvaldo Faundez</t>
  </si>
  <si>
    <t>CD-128</t>
  </si>
  <si>
    <t>Camión slurry</t>
  </si>
  <si>
    <t>Mack</t>
  </si>
  <si>
    <t>GU 813</t>
  </si>
  <si>
    <t>Marcelo Candelara</t>
  </si>
  <si>
    <t>CD-129</t>
  </si>
  <si>
    <t>Camión Aljibe</t>
  </si>
  <si>
    <t>CD-130</t>
  </si>
  <si>
    <t>Renault</t>
  </si>
  <si>
    <t>K480</t>
  </si>
  <si>
    <t>CD-131</t>
  </si>
  <si>
    <t>CD-132</t>
  </si>
  <si>
    <t>CD-133</t>
  </si>
  <si>
    <t>CD-134</t>
  </si>
  <si>
    <t>CD-135</t>
  </si>
  <si>
    <t>CD-136</t>
  </si>
  <si>
    <t>HZU</t>
  </si>
  <si>
    <t>Obras Varias</t>
  </si>
  <si>
    <t>Orlando Sanchez</t>
  </si>
  <si>
    <t>CD-137</t>
  </si>
  <si>
    <t>Axor 1936</t>
  </si>
  <si>
    <t>CD-138</t>
  </si>
  <si>
    <t>Camion Imprimador</t>
  </si>
  <si>
    <t>Sterling</t>
  </si>
  <si>
    <t>L7500</t>
  </si>
  <si>
    <t>Duban Rio</t>
  </si>
  <si>
    <t>CD-139</t>
  </si>
  <si>
    <t>Camion Plano</t>
  </si>
  <si>
    <t>Atego 1015</t>
  </si>
  <si>
    <t>CD-140</t>
  </si>
  <si>
    <t>915 C 37</t>
  </si>
  <si>
    <t>CD-141</t>
  </si>
  <si>
    <t>Camion Mixer</t>
  </si>
  <si>
    <t>DM 690S</t>
  </si>
  <si>
    <t>CD-142</t>
  </si>
  <si>
    <t>FLD 112</t>
  </si>
  <si>
    <t>CD-51</t>
  </si>
  <si>
    <t>XZU 8.0</t>
  </si>
  <si>
    <t>Salvador Castillo</t>
  </si>
  <si>
    <t>CD-57</t>
  </si>
  <si>
    <t>XZUDCAB</t>
  </si>
  <si>
    <t>SANTIAGO</t>
  </si>
  <si>
    <t>No aplica</t>
  </si>
  <si>
    <t>CD-68</t>
  </si>
  <si>
    <t>Froilan Campos</t>
  </si>
  <si>
    <t>CD-69</t>
  </si>
  <si>
    <t>Scania</t>
  </si>
  <si>
    <t>P400A</t>
  </si>
  <si>
    <t>Pedro Rojas</t>
  </si>
  <si>
    <t>Km</t>
  </si>
  <si>
    <t>CD-71</t>
  </si>
  <si>
    <t>Hernan Henriquez</t>
  </si>
  <si>
    <t>CD-73</t>
  </si>
  <si>
    <t>CD-74</t>
  </si>
  <si>
    <t>Premium Lander</t>
  </si>
  <si>
    <t>CD-80</t>
  </si>
  <si>
    <t>CD-86</t>
  </si>
  <si>
    <t>Kenworth</t>
  </si>
  <si>
    <t>T800</t>
  </si>
  <si>
    <t>Francisco Pino</t>
  </si>
  <si>
    <t>CD-87</t>
  </si>
  <si>
    <t>Juan Aguilar</t>
  </si>
  <si>
    <t>CD-88</t>
  </si>
  <si>
    <t>Jose Andaur</t>
  </si>
  <si>
    <t>CD-89</t>
  </si>
  <si>
    <t>Gerardo Beltran</t>
  </si>
  <si>
    <t>CD-90</t>
  </si>
  <si>
    <t>Luis Sepulveda</t>
  </si>
  <si>
    <t>CD-91</t>
  </si>
  <si>
    <t>CD-92</t>
  </si>
  <si>
    <t>XZU423L</t>
  </si>
  <si>
    <t>CD-93</t>
  </si>
  <si>
    <t>Jose Valenzuela</t>
  </si>
  <si>
    <t>CD-94</t>
  </si>
  <si>
    <t>TGS 33400</t>
  </si>
  <si>
    <t>Nelson Garcia</t>
  </si>
  <si>
    <t>CD-96</t>
  </si>
  <si>
    <t>Miguel Pereira</t>
  </si>
  <si>
    <t>CD-97</t>
  </si>
  <si>
    <t>TGS 33480</t>
  </si>
  <si>
    <t>Ramiro Solis</t>
  </si>
  <si>
    <t>CD-98</t>
  </si>
  <si>
    <t>Xzu 6.5</t>
  </si>
  <si>
    <t>Luis Flores</t>
  </si>
  <si>
    <t>CD-99</t>
  </si>
  <si>
    <t>Jaime Alonso Vargas Gangas</t>
  </si>
  <si>
    <t>ED-07</t>
  </si>
  <si>
    <t>Soldadora</t>
  </si>
  <si>
    <t>Indura</t>
  </si>
  <si>
    <t>ED-51</t>
  </si>
  <si>
    <t>Gravilladora</t>
  </si>
  <si>
    <t>Etnyre</t>
  </si>
  <si>
    <t>K-5180</t>
  </si>
  <si>
    <t>RETIRO</t>
  </si>
  <si>
    <t>No identificado</t>
  </si>
  <si>
    <t>ED-52</t>
  </si>
  <si>
    <t>Barredora</t>
  </si>
  <si>
    <t>Rosco</t>
  </si>
  <si>
    <t>Rb-48</t>
  </si>
  <si>
    <t>Ninhue</t>
  </si>
  <si>
    <t>Jordano Villa</t>
  </si>
  <si>
    <t>ED-61</t>
  </si>
  <si>
    <t>4wd</t>
  </si>
  <si>
    <t>Sebastian Nuñez</t>
  </si>
  <si>
    <t>ED-63</t>
  </si>
  <si>
    <t>Maximo Apablaza</t>
  </si>
  <si>
    <t>ED-64</t>
  </si>
  <si>
    <t>Perforadora Hidraulica</t>
  </si>
  <si>
    <t>Furukawua</t>
  </si>
  <si>
    <t>HCR1200-EDII</t>
  </si>
  <si>
    <t>ED-65</t>
  </si>
  <si>
    <t>Compresor</t>
  </si>
  <si>
    <t>Atlas Copco</t>
  </si>
  <si>
    <t>EHR-700</t>
  </si>
  <si>
    <t>ED-66</t>
  </si>
  <si>
    <t>Planta Micropavimento</t>
  </si>
  <si>
    <t>Romanelli</t>
  </si>
  <si>
    <t>UHR700H</t>
  </si>
  <si>
    <t>ED-67</t>
  </si>
  <si>
    <t>Imprimador</t>
  </si>
  <si>
    <t>Rayner</t>
  </si>
  <si>
    <t>ED-74</t>
  </si>
  <si>
    <t>SPRHH</t>
  </si>
  <si>
    <t>EQP-10</t>
  </si>
  <si>
    <t>Planta aridos</t>
  </si>
  <si>
    <t>Sandvik</t>
  </si>
  <si>
    <t>QS331</t>
  </si>
  <si>
    <t>Roberto Tilleria</t>
  </si>
  <si>
    <t>EQP-11</t>
  </si>
  <si>
    <t>Planta Aridos seleccionadora</t>
  </si>
  <si>
    <t>Terex</t>
  </si>
  <si>
    <t>Patriicio Rodriguez</t>
  </si>
  <si>
    <t>EQP-13</t>
  </si>
  <si>
    <t>UH440I</t>
  </si>
  <si>
    <t>EQP-14</t>
  </si>
  <si>
    <t>Kleemann</t>
  </si>
  <si>
    <t>Mc 110R</t>
  </si>
  <si>
    <t>Rodrigo Fuentes</t>
  </si>
  <si>
    <t>EQP-15</t>
  </si>
  <si>
    <t>Rubble Master</t>
  </si>
  <si>
    <t>HS 11000 M</t>
  </si>
  <si>
    <t>Jordan Andrades</t>
  </si>
  <si>
    <t>EQP-16</t>
  </si>
  <si>
    <t>Sandro Quiroz</t>
  </si>
  <si>
    <t>EQP-17</t>
  </si>
  <si>
    <t>Maximuss</t>
  </si>
  <si>
    <t>EQP-18</t>
  </si>
  <si>
    <t>Mc 110Z</t>
  </si>
  <si>
    <t>Jose Pereira</t>
  </si>
  <si>
    <t>EQP-19</t>
  </si>
  <si>
    <t>Iveco</t>
  </si>
  <si>
    <t>GeCursor 300ED</t>
  </si>
  <si>
    <t>EQP-7</t>
  </si>
  <si>
    <t>EQP-9</t>
  </si>
  <si>
    <t>QJ341</t>
  </si>
  <si>
    <t>PALMUCHO</t>
  </si>
  <si>
    <t>MD-100</t>
  </si>
  <si>
    <t>Excavadora</t>
  </si>
  <si>
    <t>Sany</t>
  </si>
  <si>
    <t>SY215CLC</t>
  </si>
  <si>
    <t>Sergio Gonzalez</t>
  </si>
  <si>
    <t>MD-101</t>
  </si>
  <si>
    <t>Motoniveladora</t>
  </si>
  <si>
    <t>Komatsu</t>
  </si>
  <si>
    <t>GD675 5</t>
  </si>
  <si>
    <t>Bernardo Escanilla</t>
  </si>
  <si>
    <t>MD-102</t>
  </si>
  <si>
    <t>Rodillo</t>
  </si>
  <si>
    <t>Bomag</t>
  </si>
  <si>
    <t>BW211 D40</t>
  </si>
  <si>
    <t>Pedro Uribe</t>
  </si>
  <si>
    <t>MD-103</t>
  </si>
  <si>
    <t>BW211 D5</t>
  </si>
  <si>
    <t>German Rojas</t>
  </si>
  <si>
    <t>MD-104</t>
  </si>
  <si>
    <t>Rodolfo Benavides</t>
  </si>
  <si>
    <t>MD-105</t>
  </si>
  <si>
    <t>Cargador Frontal</t>
  </si>
  <si>
    <t>Hyundai</t>
  </si>
  <si>
    <t>HL7709S</t>
  </si>
  <si>
    <t>Mantul</t>
  </si>
  <si>
    <t>MD-106</t>
  </si>
  <si>
    <t>Maquina Industrial</t>
  </si>
  <si>
    <t>Dieci</t>
  </si>
  <si>
    <t xml:space="preserve">	L 3500</t>
  </si>
  <si>
    <t>No operativo</t>
  </si>
  <si>
    <t>MD-107</t>
  </si>
  <si>
    <t>SW978K1</t>
  </si>
  <si>
    <t>Francisco Barrueto</t>
  </si>
  <si>
    <t>MD-108</t>
  </si>
  <si>
    <t>Rodillo de Neumaticos</t>
  </si>
  <si>
    <t>Hamm</t>
  </si>
  <si>
    <t>GRW15</t>
  </si>
  <si>
    <t>Isaias Arriagada</t>
  </si>
  <si>
    <t>MD-109</t>
  </si>
  <si>
    <t>Caterpillar</t>
  </si>
  <si>
    <t>12M</t>
  </si>
  <si>
    <t>Luis Cortes</t>
  </si>
  <si>
    <t>MD-110</t>
  </si>
  <si>
    <t>Claudio Caceres</t>
  </si>
  <si>
    <t>MD-25</t>
  </si>
  <si>
    <t>John Deere</t>
  </si>
  <si>
    <t>772 D</t>
  </si>
  <si>
    <t>Felipe Ortiz</t>
  </si>
  <si>
    <t>MD-26</t>
  </si>
  <si>
    <t>Hector Reyes</t>
  </si>
  <si>
    <t>MD-28</t>
  </si>
  <si>
    <t>Doosan</t>
  </si>
  <si>
    <t>Dx225lca</t>
  </si>
  <si>
    <t>Villaseca</t>
  </si>
  <si>
    <t>Rodrigo Contreras</t>
  </si>
  <si>
    <t>MD-33</t>
  </si>
  <si>
    <t>PC450 7E0</t>
  </si>
  <si>
    <t>TALLER CENTRAL</t>
  </si>
  <si>
    <t>Daniel Andrade</t>
  </si>
  <si>
    <t>MD-36</t>
  </si>
  <si>
    <t>966H</t>
  </si>
  <si>
    <t>MD-37</t>
  </si>
  <si>
    <t>Volvo</t>
  </si>
  <si>
    <t>l120F</t>
  </si>
  <si>
    <t>Colbun</t>
  </si>
  <si>
    <t>MD-38</t>
  </si>
  <si>
    <t>Tito Hernandez</t>
  </si>
  <si>
    <t>MD-39</t>
  </si>
  <si>
    <t>G940</t>
  </si>
  <si>
    <t>Angel Vasquez</t>
  </si>
  <si>
    <t>MD-41</t>
  </si>
  <si>
    <t>MD-42</t>
  </si>
  <si>
    <t>L150G</t>
  </si>
  <si>
    <t>MD-43</t>
  </si>
  <si>
    <t>EC330BLC</t>
  </si>
  <si>
    <t>MD-45</t>
  </si>
  <si>
    <t>624K</t>
  </si>
  <si>
    <t>Sebastian Henriquez</t>
  </si>
  <si>
    <t>MD-46</t>
  </si>
  <si>
    <t>MD-47</t>
  </si>
  <si>
    <t>350GLC</t>
  </si>
  <si>
    <t>RAUCO</t>
  </si>
  <si>
    <t>Cesar Reyes</t>
  </si>
  <si>
    <t>MD-49</t>
  </si>
  <si>
    <t>Retroexcavadora</t>
  </si>
  <si>
    <t>New Holland</t>
  </si>
  <si>
    <t>B90B 4X4</t>
  </si>
  <si>
    <t>Matias Mancilla</t>
  </si>
  <si>
    <t>MD-50</t>
  </si>
  <si>
    <t>MD-51</t>
  </si>
  <si>
    <t>Dynapac</t>
  </si>
  <si>
    <t>CP 271</t>
  </si>
  <si>
    <t>Javier Gonzalez</t>
  </si>
  <si>
    <t>MD-52</t>
  </si>
  <si>
    <t>Rodillo Doble Tambor</t>
  </si>
  <si>
    <t>CC 422</t>
  </si>
  <si>
    <t>MD-53</t>
  </si>
  <si>
    <t>MD-55</t>
  </si>
  <si>
    <t>Gerald Cava</t>
  </si>
  <si>
    <t>MD-56</t>
  </si>
  <si>
    <t>772G</t>
  </si>
  <si>
    <t>San Rafael</t>
  </si>
  <si>
    <t>MD-57</t>
  </si>
  <si>
    <t>Taller Demotron</t>
  </si>
  <si>
    <t>Victor Sanchez</t>
  </si>
  <si>
    <t>MD-58</t>
  </si>
  <si>
    <t>MD-59</t>
  </si>
  <si>
    <t>724K</t>
  </si>
  <si>
    <t>MD-61</t>
  </si>
  <si>
    <t>Hector Pino</t>
  </si>
  <si>
    <t>MD-62</t>
  </si>
  <si>
    <t>Excavadora con Ruedas</t>
  </si>
  <si>
    <t>Daewoo</t>
  </si>
  <si>
    <t>S210W v</t>
  </si>
  <si>
    <t>MD-64</t>
  </si>
  <si>
    <t>Case</t>
  </si>
  <si>
    <t>580M</t>
  </si>
  <si>
    <t>MD-65</t>
  </si>
  <si>
    <t>Jcb</t>
  </si>
  <si>
    <t>467 Zx</t>
  </si>
  <si>
    <t>MD-67</t>
  </si>
  <si>
    <t>Luis Soto</t>
  </si>
  <si>
    <t>MD-68</t>
  </si>
  <si>
    <t>Bw212 D40</t>
  </si>
  <si>
    <t>Hector Mieres</t>
  </si>
  <si>
    <t>MD-70</t>
  </si>
  <si>
    <t>MD-71</t>
  </si>
  <si>
    <t>MD-72</t>
  </si>
  <si>
    <t>MD-73</t>
  </si>
  <si>
    <t>G930</t>
  </si>
  <si>
    <t>Luis Jofre</t>
  </si>
  <si>
    <t>MD-74</t>
  </si>
  <si>
    <t>PC300LC</t>
  </si>
  <si>
    <t>MD-75</t>
  </si>
  <si>
    <t>416 E</t>
  </si>
  <si>
    <t>Rodrigo Canales</t>
  </si>
  <si>
    <t>MD-76</t>
  </si>
  <si>
    <t>3CX 4X4</t>
  </si>
  <si>
    <t>Carlos Espinoza</t>
  </si>
  <si>
    <t>MD-77</t>
  </si>
  <si>
    <t>770G</t>
  </si>
  <si>
    <t>MD-78</t>
  </si>
  <si>
    <t>Extendedora</t>
  </si>
  <si>
    <t>Abg</t>
  </si>
  <si>
    <t>Titan 323</t>
  </si>
  <si>
    <t>MD-79</t>
  </si>
  <si>
    <t>670G</t>
  </si>
  <si>
    <t>Victor Ramirez</t>
  </si>
  <si>
    <t>MD-80</t>
  </si>
  <si>
    <t>Anibal Correa</t>
  </si>
  <si>
    <t>MD-81</t>
  </si>
  <si>
    <t>Pavimentadora de encofrado deslizante</t>
  </si>
  <si>
    <t>Gomaco</t>
  </si>
  <si>
    <t>GT-3600</t>
  </si>
  <si>
    <t>MD-82</t>
  </si>
  <si>
    <t>Dx340lca</t>
  </si>
  <si>
    <t>Hector Chocano</t>
  </si>
  <si>
    <t>MD-83</t>
  </si>
  <si>
    <t>Dx300lca</t>
  </si>
  <si>
    <t>Alejandro Bustamante</t>
  </si>
  <si>
    <t>MD-84</t>
  </si>
  <si>
    <t>Hitachi</t>
  </si>
  <si>
    <t>Zx210C</t>
  </si>
  <si>
    <t>Ignacio Sepulveda</t>
  </si>
  <si>
    <t>MD-85</t>
  </si>
  <si>
    <t>160H</t>
  </si>
  <si>
    <t>Nehemias Riquelme</t>
  </si>
  <si>
    <t>MD-87</t>
  </si>
  <si>
    <t xml:space="preserve">210 Lc </t>
  </si>
  <si>
    <t>David Montecinos</t>
  </si>
  <si>
    <t>MD-88</t>
  </si>
  <si>
    <t>MD-89</t>
  </si>
  <si>
    <t>Patricio Gutierrez</t>
  </si>
  <si>
    <t>MD-90</t>
  </si>
  <si>
    <t>330D</t>
  </si>
  <si>
    <t>Franco Vasquez</t>
  </si>
  <si>
    <t>MD-91</t>
  </si>
  <si>
    <t>MD-92</t>
  </si>
  <si>
    <t>554K</t>
  </si>
  <si>
    <t>Cristian Hernandez</t>
  </si>
  <si>
    <t>MD-93</t>
  </si>
  <si>
    <t>BHL75A</t>
  </si>
  <si>
    <t>Victor Gomez</t>
  </si>
  <si>
    <t>MD-94</t>
  </si>
  <si>
    <t>H940C</t>
  </si>
  <si>
    <t>Jose Alvear</t>
  </si>
  <si>
    <t>MD-95</t>
  </si>
  <si>
    <t>Victor Vega</t>
  </si>
  <si>
    <t>MD-96</t>
  </si>
  <si>
    <t>Jorge Oñate</t>
  </si>
  <si>
    <t>MD-97</t>
  </si>
  <si>
    <t>Rodillo Neumaticos</t>
  </si>
  <si>
    <t>Frank Fernandez</t>
  </si>
  <si>
    <t>MD-98</t>
  </si>
  <si>
    <t>Leonardo Mendez</t>
  </si>
  <si>
    <t>MD-99</t>
  </si>
  <si>
    <t>Jose Hidalgo</t>
  </si>
  <si>
    <t>VD-100</t>
  </si>
  <si>
    <t>Camioneta</t>
  </si>
  <si>
    <t>T60 DCAB 4X2 2.0</t>
  </si>
  <si>
    <t>Gaspar Garate</t>
  </si>
  <si>
    <t>VD-101</t>
  </si>
  <si>
    <t>T60 2.0</t>
  </si>
  <si>
    <t>Eduardo Miranda</t>
  </si>
  <si>
    <t>VD-102</t>
  </si>
  <si>
    <t>Mahindra</t>
  </si>
  <si>
    <t>Pik up CRDE 4X2 2.2</t>
  </si>
  <si>
    <t>Taller ext (del valle)</t>
  </si>
  <si>
    <t>Mecanicos</t>
  </si>
  <si>
    <t>VD-103</t>
  </si>
  <si>
    <t>Juan Villalobos</t>
  </si>
  <si>
    <t>VD-104</t>
  </si>
  <si>
    <t>Auto</t>
  </si>
  <si>
    <t>Suzuki</t>
  </si>
  <si>
    <t>Ciaz</t>
  </si>
  <si>
    <t>VD-105</t>
  </si>
  <si>
    <t>Citroen</t>
  </si>
  <si>
    <t>Berlingo C Electric</t>
  </si>
  <si>
    <t>Oficina</t>
  </si>
  <si>
    <t>Luis Cid</t>
  </si>
  <si>
    <t>VD-106</t>
  </si>
  <si>
    <t>9150 EOD</t>
  </si>
  <si>
    <t>VD-107</t>
  </si>
  <si>
    <t>Ssangyong</t>
  </si>
  <si>
    <t>Musso Grand 4x2</t>
  </si>
  <si>
    <t>Pedro Fuenzalida</t>
  </si>
  <si>
    <t>VD-108</t>
  </si>
  <si>
    <t>Taller Rosselot</t>
  </si>
  <si>
    <t>Roberto Ventura</t>
  </si>
  <si>
    <t>VD-109</t>
  </si>
  <si>
    <t>Leo Chamorro</t>
  </si>
  <si>
    <t>VD-110</t>
  </si>
  <si>
    <t>Sebastian Lastra</t>
  </si>
  <si>
    <t>VD-111</t>
  </si>
  <si>
    <t>Fabian Jara</t>
  </si>
  <si>
    <t>VD-112</t>
  </si>
  <si>
    <t>Mauricio Cadiz</t>
  </si>
  <si>
    <t>VD-113</t>
  </si>
  <si>
    <t>Julio Valenzuela</t>
  </si>
  <si>
    <t>VD-114</t>
  </si>
  <si>
    <t>Carlos Gutierrez</t>
  </si>
  <si>
    <t>VD-115</t>
  </si>
  <si>
    <t>Furgon</t>
  </si>
  <si>
    <t>Peugeot</t>
  </si>
  <si>
    <t>Partner 1.5D L1</t>
  </si>
  <si>
    <t>Gonzalo Escudero</t>
  </si>
  <si>
    <t>VD-116</t>
  </si>
  <si>
    <t>Jonathan Cares</t>
  </si>
  <si>
    <t>VD-117</t>
  </si>
  <si>
    <t>Cesar Suarez</t>
  </si>
  <si>
    <t>VD-118</t>
  </si>
  <si>
    <t>Pelluhue</t>
  </si>
  <si>
    <t>Felipe Medel</t>
  </si>
  <si>
    <t>VD-119</t>
  </si>
  <si>
    <t>Cristobal Martinez</t>
  </si>
  <si>
    <t>VD-120</t>
  </si>
  <si>
    <t>Patricio Villalobos</t>
  </si>
  <si>
    <t>VD-121</t>
  </si>
  <si>
    <t>Enrique Estay</t>
  </si>
  <si>
    <t>VD-122</t>
  </si>
  <si>
    <t>Jacob Cortez</t>
  </si>
  <si>
    <t>VD-123</t>
  </si>
  <si>
    <t>Raul Salazar</t>
  </si>
  <si>
    <t>VD-124</t>
  </si>
  <si>
    <t>Matias Araya</t>
  </si>
  <si>
    <t>VD-125</t>
  </si>
  <si>
    <t>Guillermo Contreras</t>
  </si>
  <si>
    <t>VD-126</t>
  </si>
  <si>
    <t>Teo Yañez</t>
  </si>
  <si>
    <t>VD-127</t>
  </si>
  <si>
    <t>Juan Roco</t>
  </si>
  <si>
    <t>VD-128</t>
  </si>
  <si>
    <t>Humberto Vasquez</t>
  </si>
  <si>
    <t>VD-129</t>
  </si>
  <si>
    <t>Felipe Gonzalez</t>
  </si>
  <si>
    <t>VD-130</t>
  </si>
  <si>
    <t>Daniel Jaña</t>
  </si>
  <si>
    <t>VD-131</t>
  </si>
  <si>
    <t>Gustavo Aravena</t>
  </si>
  <si>
    <t>VD-132</t>
  </si>
  <si>
    <t>Luis Gutierrez</t>
  </si>
  <si>
    <t>VD-133</t>
  </si>
  <si>
    <t>Mario Aravena</t>
  </si>
  <si>
    <t>VD-134</t>
  </si>
  <si>
    <t>VD-135</t>
  </si>
  <si>
    <t>Changan</t>
  </si>
  <si>
    <t>HUNTER 1.9 MT 4X4 COMFORT</t>
  </si>
  <si>
    <t>Elvis Leiva</t>
  </si>
  <si>
    <t>VD-136</t>
  </si>
  <si>
    <t>Juan Carlos Contreras</t>
  </si>
  <si>
    <t>VD-137</t>
  </si>
  <si>
    <t>VD-138</t>
  </si>
  <si>
    <t>Felipe Burgos</t>
  </si>
  <si>
    <t>VD-139</t>
  </si>
  <si>
    <t>VD-140</t>
  </si>
  <si>
    <t>Mauricio Arancibia</t>
  </si>
  <si>
    <t>VD-141</t>
  </si>
  <si>
    <t>Benjamin Chamorro</t>
  </si>
  <si>
    <t>VD-142</t>
  </si>
  <si>
    <t>Taller ext (Moraga)</t>
  </si>
  <si>
    <t>VD-29</t>
  </si>
  <si>
    <t>Minibus</t>
  </si>
  <si>
    <t>SPRINTER 313 CDI</t>
  </si>
  <si>
    <t>Jose Vera</t>
  </si>
  <si>
    <t>VD-38</t>
  </si>
  <si>
    <t>SPRINTER 415 CDI</t>
  </si>
  <si>
    <t>VD-45</t>
  </si>
  <si>
    <t>SPRINTER 415 CDI 2.1</t>
  </si>
  <si>
    <t>Taller ext (Kauffman)</t>
  </si>
  <si>
    <t>Francisco Cumplido</t>
  </si>
  <si>
    <t>VD-57</t>
  </si>
  <si>
    <t>T60 DCAB 2.8</t>
  </si>
  <si>
    <t>Vendida</t>
  </si>
  <si>
    <t>VD-58</t>
  </si>
  <si>
    <t>T60 2.8</t>
  </si>
  <si>
    <t>Asfalto</t>
  </si>
  <si>
    <t>Manuel Vasquez</t>
  </si>
  <si>
    <t>VD-59</t>
  </si>
  <si>
    <t>VD-60</t>
  </si>
  <si>
    <t>VD-62</t>
  </si>
  <si>
    <t xml:space="preserve">	T60 DCAB 2.8</t>
  </si>
  <si>
    <t>VD-63</t>
  </si>
  <si>
    <t>Hector Palma</t>
  </si>
  <si>
    <t>VD-64</t>
  </si>
  <si>
    <t>VD-65</t>
  </si>
  <si>
    <t>VD-67</t>
  </si>
  <si>
    <t>Retiro</t>
  </si>
  <si>
    <t>Edver Jose Torres Quinto</t>
  </si>
  <si>
    <t>VD-68</t>
  </si>
  <si>
    <t>T60 DCAB 2.9</t>
  </si>
  <si>
    <t>VD-69</t>
  </si>
  <si>
    <t>VD-70</t>
  </si>
  <si>
    <t>Vito 11 CDI</t>
  </si>
  <si>
    <t>VD-71</t>
  </si>
  <si>
    <t>Vito Tourer 114 CDI</t>
  </si>
  <si>
    <t>VD-73</t>
  </si>
  <si>
    <t>VITO 113 CDI</t>
  </si>
  <si>
    <t>VD-74</t>
  </si>
  <si>
    <t>ZX Auto</t>
  </si>
  <si>
    <t>TERRALORD DCAB 2.5</t>
  </si>
  <si>
    <t>VD-75</t>
  </si>
  <si>
    <t>VD-76</t>
  </si>
  <si>
    <t>Pedro Espinoza</t>
  </si>
  <si>
    <t>VD-77</t>
  </si>
  <si>
    <t>Bayron Nuñez</t>
  </si>
  <si>
    <t>VD-78</t>
  </si>
  <si>
    <t>Julio Solorza</t>
  </si>
  <si>
    <t>VD-79</t>
  </si>
  <si>
    <t>VD-80</t>
  </si>
  <si>
    <t>EXPERT HDI 2.0</t>
  </si>
  <si>
    <t>VD-81</t>
  </si>
  <si>
    <t>BERLINGO B9 C HDI 1.6</t>
  </si>
  <si>
    <t>VD-82</t>
  </si>
  <si>
    <t xml:space="preserve">Volkswagen </t>
  </si>
  <si>
    <t>SAVEIRO CABINA SIMPLE 1.6 MT POWER PLUS</t>
  </si>
  <si>
    <t>VD-83</t>
  </si>
  <si>
    <t>DOKKER III 1.5</t>
  </si>
  <si>
    <t>VD-84</t>
  </si>
  <si>
    <t>KANGOO 1.5</t>
  </si>
  <si>
    <t>Marcelino Silva</t>
  </si>
  <si>
    <t>VD-85</t>
  </si>
  <si>
    <t>Luis Rios</t>
  </si>
  <si>
    <t>VD-86</t>
  </si>
  <si>
    <t>VD-87</t>
  </si>
  <si>
    <t>Ricardo Vivanco</t>
  </si>
  <si>
    <t>VD-88</t>
  </si>
  <si>
    <t>Freddy Gallina</t>
  </si>
  <si>
    <t>VD-89</t>
  </si>
  <si>
    <t>Ivan Donoso</t>
  </si>
  <si>
    <t>VD-90</t>
  </si>
  <si>
    <t>Juan Medina</t>
  </si>
  <si>
    <t>VD-91</t>
  </si>
  <si>
    <t>Luis Suazo</t>
  </si>
  <si>
    <t>VD-92</t>
  </si>
  <si>
    <t>Miguel Rubio</t>
  </si>
  <si>
    <t>VD-93</t>
  </si>
  <si>
    <t>VD-94</t>
  </si>
  <si>
    <t>Mauricio Saldias</t>
  </si>
  <si>
    <t>VD-95</t>
  </si>
  <si>
    <t>Constanza Gutierrez</t>
  </si>
  <si>
    <t>VD-96</t>
  </si>
  <si>
    <t>VD-97</t>
  </si>
  <si>
    <t>Eduardo Rojas</t>
  </si>
  <si>
    <t>VD-98</t>
  </si>
  <si>
    <t>VD-99</t>
  </si>
  <si>
    <t>Bladimir Mendoza</t>
  </si>
  <si>
    <t>WED-05</t>
  </si>
  <si>
    <t>Semiremolque</t>
  </si>
  <si>
    <t>Netzer</t>
  </si>
  <si>
    <t>NS173</t>
  </si>
  <si>
    <t>WED-06</t>
  </si>
  <si>
    <t>Cozad</t>
  </si>
  <si>
    <t>Lowboy</t>
  </si>
  <si>
    <t>WED-07</t>
  </si>
  <si>
    <t>Eager Beaver</t>
  </si>
  <si>
    <t>50 GSL 3</t>
  </si>
  <si>
    <t>WED-08</t>
  </si>
  <si>
    <t>Leciena</t>
  </si>
  <si>
    <t>Ser 3ED</t>
  </si>
  <si>
    <t>ED-73</t>
  </si>
  <si>
    <t>Horas</t>
  </si>
  <si>
    <t>ED-23</t>
  </si>
  <si>
    <t>Generador</t>
  </si>
  <si>
    <t>Cummins</t>
  </si>
  <si>
    <t>C80D5</t>
  </si>
  <si>
    <t>LECTURAS (EDITABLE)</t>
  </si>
  <si>
    <t>Fecha</t>
  </si>
  <si>
    <t>Horometro</t>
  </si>
  <si>
    <t>Kilometraje</t>
  </si>
  <si>
    <t>Obra / Ubicacion</t>
  </si>
  <si>
    <t>Observacion</t>
  </si>
  <si>
    <t xml:space="preserve">SAN NICOLAS </t>
  </si>
  <si>
    <t>Curicó</t>
  </si>
  <si>
    <t>Nelson Omar Cancino Arellano</t>
  </si>
  <si>
    <t>Carga combustible importada 2026-04-01</t>
  </si>
  <si>
    <t>Nicolas Antonio Rivera Astudillo</t>
  </si>
  <si>
    <t>Nector Aldo Muñoz Rivera</t>
  </si>
  <si>
    <t>Oficina Central</t>
  </si>
  <si>
    <t>Patricio Alfredo Mora Mora</t>
  </si>
  <si>
    <t>Marco Calderara</t>
  </si>
  <si>
    <t>CD-58</t>
  </si>
  <si>
    <t>CD-59</t>
  </si>
  <si>
    <t>CD-63</t>
  </si>
  <si>
    <t>CD-64</t>
  </si>
  <si>
    <t>CD-66</t>
  </si>
  <si>
    <t>CD-76</t>
  </si>
  <si>
    <t>CD-77</t>
  </si>
  <si>
    <t>CD-78</t>
  </si>
  <si>
    <t>CD-79</t>
  </si>
  <si>
    <t>CD-83</t>
  </si>
  <si>
    <t>Juan Jose Miguel Aguilar Valdez</t>
  </si>
  <si>
    <t>Carlos Brenet</t>
  </si>
  <si>
    <t>ED-26</t>
  </si>
  <si>
    <t>ED-53</t>
  </si>
  <si>
    <t>EQP-07</t>
  </si>
  <si>
    <t>San Nicola</t>
  </si>
  <si>
    <t>Rodolfo Benavides Flores</t>
  </si>
  <si>
    <t>Isaias Hernan Arriagada Aravena</t>
  </si>
  <si>
    <t>Luis Alberto Cortes Espinoza</t>
  </si>
  <si>
    <t>Villa Seca</t>
  </si>
  <si>
    <t>MD-34</t>
  </si>
  <si>
    <t>MD-40</t>
  </si>
  <si>
    <t>Tito Hernan Hernandez Campos</t>
  </si>
  <si>
    <t>Carlos Javier Gonzalez Gonzalez</t>
  </si>
  <si>
    <t>QUIRIHUE</t>
  </si>
  <si>
    <t>Rodolfo Andres Benavides Flores</t>
  </si>
  <si>
    <t>Ricardo Alfonso Vivanco Reyes</t>
  </si>
  <si>
    <t>MD-60</t>
  </si>
  <si>
    <t>Victor Enrique Sanchez Donoso</t>
  </si>
  <si>
    <t>MD-63</t>
  </si>
  <si>
    <t>Cesar Reyes Villaseca</t>
  </si>
  <si>
    <t>Curico</t>
  </si>
  <si>
    <t>NO ENCONTRADO</t>
  </si>
  <si>
    <t>VD-06</t>
  </si>
  <si>
    <t>Gaspar De La Cruz Garate Contreras</t>
  </si>
  <si>
    <t>Marcos Ricardo Soto Mendoza</t>
  </si>
  <si>
    <t>OFICINA</t>
  </si>
  <si>
    <t>Q-459</t>
  </si>
  <si>
    <t>Rogelio Escudero</t>
  </si>
  <si>
    <t>Raul Enriquez Salazar Orellana</t>
  </si>
  <si>
    <t>NIRIVILO</t>
  </si>
  <si>
    <t>Felipe Andrés Gonzalez Gaete</t>
  </si>
  <si>
    <t>Rolando Aravena</t>
  </si>
  <si>
    <t>Fernando Salomon Sobarzo Iraira</t>
  </si>
  <si>
    <t>Jean Pierre Martinez Higuera</t>
  </si>
  <si>
    <t>Miguel Angel Villar Mendez</t>
  </si>
  <si>
    <t>Q-61</t>
  </si>
  <si>
    <t>Matias Felipe Valenzuela Espina</t>
  </si>
  <si>
    <t>Wladimir Gonzalo Mendoza Sepulveda</t>
  </si>
  <si>
    <t>Mauricio Esteban Arancibia Flores</t>
  </si>
  <si>
    <t>VD-55</t>
  </si>
  <si>
    <t>MALO</t>
  </si>
  <si>
    <t>VD-72</t>
  </si>
  <si>
    <t>Marcelino Antonio Silva Naranjo</t>
  </si>
  <si>
    <t>TOTORALES</t>
  </si>
  <si>
    <t>Carlos Verdugo</t>
  </si>
  <si>
    <t>Sin report</t>
  </si>
  <si>
    <t>Eduardo Jesus Rojas Rojas</t>
  </si>
  <si>
    <t>TERR-01</t>
  </si>
  <si>
    <t>RES-01</t>
  </si>
  <si>
    <t>ED-62</t>
  </si>
  <si>
    <t>Mantencion</t>
  </si>
  <si>
    <t>MD-86</t>
  </si>
  <si>
    <t>Tipo Mantencion</t>
  </si>
  <si>
    <t>Lectura</t>
  </si>
  <si>
    <t>EsPM</t>
  </si>
  <si>
    <t>Folio</t>
  </si>
  <si>
    <t>Lugar</t>
  </si>
  <si>
    <t>Mecanico</t>
  </si>
  <si>
    <t>Costo Mantencion CLP</t>
  </si>
  <si>
    <t>Estado</t>
  </si>
  <si>
    <t>Mantencion PM2</t>
  </si>
  <si>
    <t>Sí</t>
  </si>
  <si>
    <t>Finalizada</t>
  </si>
  <si>
    <t>Mantencion PM1</t>
  </si>
  <si>
    <t>SN</t>
  </si>
  <si>
    <t>Ext</t>
  </si>
  <si>
    <t>nn</t>
  </si>
  <si>
    <t>Rosselot</t>
  </si>
  <si>
    <t>COM. PUENTES DE MAULE LTDA.</t>
  </si>
  <si>
    <t>SOCIEDAD COMERCIAL SOCOFIL LIMITADA</t>
  </si>
  <si>
    <t>H.V.O. COMERCIAL Y TRANSPORTES SPA</t>
  </si>
  <si>
    <t>HD HYUNDAI INFRACORE CHILE S.A</t>
  </si>
  <si>
    <t>Kaufmann</t>
  </si>
  <si>
    <t>KAUFMANN S A VEHICULOS MOTORIZADOS</t>
  </si>
  <si>
    <t>AUTOMOTORA ALAMEDA SPA</t>
  </si>
  <si>
    <t>Taller Central</t>
  </si>
  <si>
    <t>Molina</t>
  </si>
  <si>
    <t>Taller Externo</t>
  </si>
  <si>
    <t>Avellano</t>
  </si>
  <si>
    <t>CD-65</t>
  </si>
  <si>
    <t>VD-40</t>
  </si>
  <si>
    <t>CD-61</t>
  </si>
  <si>
    <t>CD-67</t>
  </si>
  <si>
    <t>CD-72</t>
  </si>
  <si>
    <t>CD-62</t>
  </si>
  <si>
    <t>CD-75</t>
  </si>
  <si>
    <t>CD-52</t>
  </si>
  <si>
    <t>MD-44</t>
  </si>
  <si>
    <t>VD-61</t>
  </si>
  <si>
    <t>VD-53</t>
  </si>
  <si>
    <t>VD-49</t>
  </si>
  <si>
    <t>S/R</t>
  </si>
  <si>
    <t>VD-41</t>
  </si>
  <si>
    <t>sin</t>
  </si>
  <si>
    <t>VD-46</t>
  </si>
  <si>
    <t>VD-48</t>
  </si>
  <si>
    <t>3375-2328</t>
  </si>
  <si>
    <t>SIN REPORT</t>
  </si>
  <si>
    <t>6651/2145</t>
  </si>
  <si>
    <t>SIN</t>
  </si>
  <si>
    <t>3478-6900</t>
  </si>
  <si>
    <t>6764-4472</t>
  </si>
  <si>
    <t>XXX</t>
  </si>
  <si>
    <t>VD-66</t>
  </si>
  <si>
    <t>S/N</t>
  </si>
  <si>
    <t>ASIGNAR REPORT</t>
  </si>
  <si>
    <t>CD-70</t>
  </si>
  <si>
    <t>9301-9315</t>
  </si>
  <si>
    <t>SIN REPORTE</t>
  </si>
  <si>
    <t>MD-113</t>
  </si>
  <si>
    <t>Mantencion PM1 (Solo Filtros de Petroleo)</t>
  </si>
  <si>
    <t xml:space="preserve">Kaufmann </t>
  </si>
  <si>
    <t>Juan Medel</t>
  </si>
  <si>
    <t>Repuestos Bodega Demotron</t>
  </si>
  <si>
    <t>Codigo OEM</t>
  </si>
  <si>
    <t>Nombre</t>
  </si>
  <si>
    <t>Categoria</t>
  </si>
  <si>
    <t>Stock</t>
  </si>
  <si>
    <t>Precio</t>
  </si>
  <si>
    <t>KIT-MAX-T60 2.0</t>
  </si>
  <si>
    <t>Kit Filtro Maxus 2.0</t>
  </si>
  <si>
    <t>KIT COMPLETO FILTROS</t>
  </si>
  <si>
    <t>KIT-MAX-T60 2.8</t>
  </si>
  <si>
    <t>Kit Filtro Maxus 2.8</t>
  </si>
  <si>
    <t>KIT-PEU-PART</t>
  </si>
  <si>
    <t>Kit Filtros Peugeot Patner</t>
  </si>
  <si>
    <t>KIT-ZXAUTO-T</t>
  </si>
  <si>
    <t>Kit Filtro Zx Terralord</t>
  </si>
  <si>
    <t>KIT-HINO-300</t>
  </si>
  <si>
    <t>Kit Filtro HINO 300</t>
  </si>
  <si>
    <t>KIT-HINO-500</t>
  </si>
  <si>
    <t>Kit Filtros CD-109</t>
  </si>
  <si>
    <t>KIT-MAH-2.2</t>
  </si>
  <si>
    <t>Kit Filtro Maxindra</t>
  </si>
  <si>
    <t>KIT-SSanyong</t>
  </si>
  <si>
    <t>Kit Filtros Ssangyong</t>
  </si>
  <si>
    <t>KIT-MAN-TT</t>
  </si>
  <si>
    <t>Kit Filtros Man Tolva</t>
  </si>
  <si>
    <t>KIT-DOO-225la</t>
  </si>
  <si>
    <t>Kit Filtros Doosan DX225la</t>
  </si>
  <si>
    <t>KIT-DOO-300la</t>
  </si>
  <si>
    <t>Kit Filtros Doosan DX300la</t>
  </si>
  <si>
    <t>KIT-STERL-7500</t>
  </si>
  <si>
    <t>Kit Filtros Sterling 7500</t>
  </si>
  <si>
    <t>KIT-772D-JD</t>
  </si>
  <si>
    <t>Kit Filtros John Deree 772D</t>
  </si>
  <si>
    <t>KIT-INTER-7600</t>
  </si>
  <si>
    <t>KIt Filtros International 7600</t>
  </si>
  <si>
    <t>KIT-CAT-966H</t>
  </si>
  <si>
    <t>Kit Filtros CAT 966H</t>
  </si>
  <si>
    <t>KIT-GEN-CUM</t>
  </si>
  <si>
    <t>Kit de Filtros Generador Cummins</t>
  </si>
  <si>
    <t>KIT-INTER-4300</t>
  </si>
  <si>
    <t>KIt Filtros International 4300</t>
  </si>
  <si>
    <t>KIT-FREI-112</t>
  </si>
  <si>
    <t>KIt Filtros Freightliner M2 112</t>
  </si>
  <si>
    <t>KIT-FREI-106</t>
  </si>
  <si>
    <t>KIt Filtros Freightliner M2 106</t>
  </si>
  <si>
    <t>KIT-MACK-GU</t>
  </si>
  <si>
    <t>Kit Filtros Mack GU 813</t>
  </si>
  <si>
    <t>KIT-Bomag-D40</t>
  </si>
  <si>
    <t>Kit Filtros Bomag BW211 D40</t>
  </si>
  <si>
    <t>KIT-554K-JD</t>
  </si>
  <si>
    <t>Kit Filtros John Deree 554K</t>
  </si>
  <si>
    <t>KIT-MB-1634</t>
  </si>
  <si>
    <t>Kit Filtros Mercedes Benz LS1634</t>
  </si>
  <si>
    <t>KIT-CASE-580M</t>
  </si>
  <si>
    <t>Kit Filtros CASE 580M</t>
  </si>
  <si>
    <t>KIT-KEN-T800</t>
  </si>
  <si>
    <t>Kit Filtros Kenworth T801</t>
  </si>
  <si>
    <t>KIT-HAMM</t>
  </si>
  <si>
    <t>Kit Filtros Hamm GRW16</t>
  </si>
  <si>
    <t>KIT-VOLK-26</t>
  </si>
  <si>
    <t>Kit Filtros Volkswagen 26220</t>
  </si>
  <si>
    <t>KIT-SANY-BHL</t>
  </si>
  <si>
    <t>Kit Filtros Sany BHL75A</t>
  </si>
  <si>
    <t>KIT-CAT-416</t>
  </si>
  <si>
    <t>Kit Filtros CAT 416 E</t>
  </si>
  <si>
    <t>LF3345</t>
  </si>
  <si>
    <t xml:space="preserve">LF3345 </t>
  </si>
  <si>
    <t xml:space="preserve">FILTRO DE ACEITE </t>
  </si>
  <si>
    <t>PA3761</t>
  </si>
  <si>
    <t>FILTRO DE AIRE MOTOR</t>
  </si>
  <si>
    <t>LF3827</t>
  </si>
  <si>
    <t>FF5380</t>
  </si>
  <si>
    <t>FILTRO DE COMBUSTIBLE</t>
  </si>
  <si>
    <t>FS19914</t>
  </si>
  <si>
    <t>FILTRO DECANTADOR</t>
  </si>
  <si>
    <t>FS1212</t>
  </si>
  <si>
    <t>PSC75</t>
  </si>
  <si>
    <t>KIT-724K-JD</t>
  </si>
  <si>
    <t>Kit Filtros John Deree 724K</t>
  </si>
  <si>
    <t>KIT-CAT-390</t>
  </si>
  <si>
    <t>Kit Filtros CAT 390</t>
  </si>
  <si>
    <t>KIT-REN-K480</t>
  </si>
  <si>
    <t>Kit Filtros Renault K480</t>
  </si>
  <si>
    <t>KIT-MAXUS-C35</t>
  </si>
  <si>
    <t>Kit Filtros Maxus C35</t>
  </si>
  <si>
    <t>KIT-Bomag-212</t>
  </si>
  <si>
    <t>Kit Filtros Bomag BW212 D40</t>
  </si>
  <si>
    <t>KIT-HYN-HL7709S</t>
  </si>
  <si>
    <t>Kit Filtros Hyundai HL7709S</t>
  </si>
  <si>
    <t>KIT de Repuestos</t>
  </si>
  <si>
    <t>Modelo Equipo</t>
  </si>
  <si>
    <t>SKU Repuesto</t>
  </si>
  <si>
    <t>Cantidad</t>
  </si>
  <si>
    <t>210 LC</t>
  </si>
  <si>
    <t>210 Lc</t>
  </si>
  <si>
    <t>4x2 6MT</t>
  </si>
  <si>
    <t>T60 4x4</t>
  </si>
  <si>
    <t>COMPRAS PM (EDITABLE)</t>
  </si>
  <si>
    <t>OC</t>
  </si>
  <si>
    <t>Descripcion</t>
  </si>
  <si>
    <t>Proveedor</t>
  </si>
  <si>
    <t>Costo PM CLP</t>
  </si>
  <si>
    <t>Regla</t>
  </si>
  <si>
    <t>Estado OC</t>
  </si>
  <si>
    <t>DEMO-02-7633</t>
  </si>
  <si>
    <t>SC-2-6076 KIT FILTROS PEUGEOT</t>
  </si>
  <si>
    <t>Directo Equipo</t>
  </si>
  <si>
    <t>OC Aprobada</t>
  </si>
  <si>
    <t>DEMO-02-7643</t>
  </si>
  <si>
    <t>SC-02-6085 KIT DE FILTROS MANTENCIO</t>
  </si>
  <si>
    <t>Prorrateo MAN</t>
  </si>
  <si>
    <t>DEMO-02-7652</t>
  </si>
  <si>
    <t>SC-02 KIT DE FILTROS SCANIA CD-69</t>
  </si>
  <si>
    <t>DEMO-02-7664</t>
  </si>
  <si>
    <t>SC-02-FILTROS CD-45</t>
  </si>
  <si>
    <t>DEMO-02-7663</t>
  </si>
  <si>
    <t>SALINAS Y FABRES</t>
  </si>
  <si>
    <t>OC Enviada a Proveedor</t>
  </si>
  <si>
    <t>DEMO-02-7668</t>
  </si>
  <si>
    <t>SC-02-6089 KIT DE FILTROS CD-119</t>
  </si>
  <si>
    <t>DEMO-02-7672</t>
  </si>
  <si>
    <t>SC-02-6090 FILTROS CD-88</t>
  </si>
  <si>
    <t>DEMO-02-7676</t>
  </si>
  <si>
    <t>SC-02-6093 KIT FILTROS MD-84</t>
  </si>
  <si>
    <t>DEMO-02-7682</t>
  </si>
  <si>
    <t>SC-02-FILTROS CAMIONES MAN (STOCK T</t>
  </si>
  <si>
    <t>DEMO-02-7686</t>
  </si>
  <si>
    <t>SC-02-6095 KIR FILTROS VD-29</t>
  </si>
  <si>
    <t>DEMO-02-7688</t>
  </si>
  <si>
    <t>FILTROS BOTELLA MAN</t>
  </si>
  <si>
    <t>FORTI SPA</t>
  </si>
  <si>
    <t>DEMO-02-7690</t>
  </si>
  <si>
    <t>MANTENCION VD-125</t>
  </si>
  <si>
    <t>DEMO-02-7692</t>
  </si>
  <si>
    <t>SC-02-6096 KIT FILTROS CD-110</t>
  </si>
  <si>
    <t>DEMO-02-7696</t>
  </si>
  <si>
    <t>SC-02-6097 KIT FILTROS CD-98</t>
  </si>
  <si>
    <t>DEMO-02-7699</t>
  </si>
  <si>
    <t>SC-02 FILTRO AIRE PRIM Y SEC. CD-69</t>
  </si>
  <si>
    <t>DEMO-02-7706</t>
  </si>
  <si>
    <t>SC-02-KIT FILTROS CD-86</t>
  </si>
  <si>
    <t>DEMO-02-7707</t>
  </si>
  <si>
    <t>SC-02-6119 REG. MANTENCION VD-108 O</t>
  </si>
  <si>
    <t>ROSSELOT Y FIGUEROA LIMITADA</t>
  </si>
  <si>
    <t>DEMO-02-7732</t>
  </si>
  <si>
    <t>SC-02-6105 KIT FILTROS CD-116</t>
  </si>
  <si>
    <t>DEMO-02-7736</t>
  </si>
  <si>
    <t>SC-02-6101 FILTROS MD-75</t>
  </si>
  <si>
    <t>DEMO-02-7737</t>
  </si>
  <si>
    <t>SC-02-6103 KIT DE FILTROS MD-96</t>
  </si>
  <si>
    <t>DEMO-02-7738</t>
  </si>
  <si>
    <t>SC-02-6104 FILTROS MANTENCION CD-71</t>
  </si>
  <si>
    <t>DEMO-02-7745</t>
  </si>
  <si>
    <t>SC-02-KIT FILTROS CD-93</t>
  </si>
  <si>
    <t>DEMO-02-7746</t>
  </si>
  <si>
    <t>SC-02- KIT DE FILTROS CD-51</t>
  </si>
  <si>
    <t>DEMO-02-7748</t>
  </si>
  <si>
    <t>SC-02 KIT DE FILTROS CD-96</t>
  </si>
  <si>
    <t>DEMO-02-7758</t>
  </si>
  <si>
    <t>SC-02-6108 KIT FILTROS MD-79</t>
  </si>
  <si>
    <t>DEMO-02-7759</t>
  </si>
  <si>
    <t>SC-02-6107 KIT FILTROS CD-113</t>
  </si>
  <si>
    <t>DEMO-02-7769</t>
  </si>
  <si>
    <t>SC-02-6109 KIT FILTROS MD-25</t>
  </si>
  <si>
    <t>DEMO-02-7782</t>
  </si>
  <si>
    <t>SC-02-6110 KIT FILTROS MD-103</t>
  </si>
  <si>
    <t>DEMO-02-7786</t>
  </si>
  <si>
    <t>SC-02-6111 FILTROS MD-39</t>
  </si>
  <si>
    <t>DEMO-02-7788</t>
  </si>
  <si>
    <t>SC-02-6112 FILTROS CD-123/122/91</t>
  </si>
  <si>
    <t>UNIÓN TÉCNICA AUTOMOTRIZ LTDA.</t>
  </si>
  <si>
    <t>DEMO-02-7789</t>
  </si>
  <si>
    <t>SC-02-FILTRO HIDRAULICO CD-122/123/</t>
  </si>
  <si>
    <t>DEMO-02-7790</t>
  </si>
  <si>
    <t>SC-02-6118 FILTROS CD-94</t>
  </si>
  <si>
    <t>DEMO-02-7792</t>
  </si>
  <si>
    <t>SC-02 MANTENCION VD-89</t>
  </si>
  <si>
    <t>DEMO-02-7801</t>
  </si>
  <si>
    <t>SC-02-6113 FILTROS MD-89</t>
  </si>
  <si>
    <t>DEMO-02-7802</t>
  </si>
  <si>
    <t>SC-02-6150 FILTROS MD-61 MD-28</t>
  </si>
  <si>
    <t>DEMO-02-7803</t>
  </si>
  <si>
    <t>SC-02-6114 FILTROS MANTENCION CD-14</t>
  </si>
  <si>
    <t>DEMO-02-7804</t>
  </si>
  <si>
    <t>SC-02-6116 FILTROS MANTENCION MD-49</t>
  </si>
  <si>
    <t>DEMO-02-7809</t>
  </si>
  <si>
    <t>SC-02-6137 FILTROS MD-107</t>
  </si>
  <si>
    <t>DEMO-02-7811</t>
  </si>
  <si>
    <t>SC-02-6151 KIT FILTROS MD-87</t>
  </si>
  <si>
    <t>DEMO-02-7817</t>
  </si>
  <si>
    <t>SC-02-6121 FILTROS MD-26</t>
  </si>
  <si>
    <t>DEMO-02-7818</t>
  </si>
  <si>
    <t>SC-02-6117 FILTROS MD-73</t>
  </si>
  <si>
    <t>DEMO-02-7819</t>
  </si>
  <si>
    <t>SC-02-6124 FILTROS CD-100</t>
  </si>
  <si>
    <t>DEMO-02-7820</t>
  </si>
  <si>
    <t>SC-02-6127 FILTROS MD-100</t>
  </si>
  <si>
    <t>DEMO-02-7825</t>
  </si>
  <si>
    <t>SC-02-6122 FILTROS  ZXAUTOS</t>
  </si>
  <si>
    <t>DEMO-02-7826</t>
  </si>
  <si>
    <t>SC-02 FILTRO  MD-25  MD-107</t>
  </si>
  <si>
    <t>DEMO-02-7830</t>
  </si>
  <si>
    <t>SC-02 MANTENCION  EXTERNA VD-138</t>
  </si>
  <si>
    <t>DEMO-02-7833</t>
  </si>
  <si>
    <t>SC-02-6115 FILTROS VD-38</t>
  </si>
  <si>
    <t>DEMO-02-7835</t>
  </si>
  <si>
    <t>SC-02-6138 FILTROS MD-82</t>
  </si>
  <si>
    <t>DEMO-02-7836</t>
  </si>
  <si>
    <t>SC-02-6135 FILTROS MD-105</t>
  </si>
  <si>
    <t>DEMO-02-7837</t>
  </si>
  <si>
    <t>SC-02-6136 FILTROS MD-76</t>
  </si>
  <si>
    <t>DEMO-02-7838</t>
  </si>
  <si>
    <t>SC-02-6140 FILTROS CD-127</t>
  </si>
  <si>
    <t>DEMO-02-7839</t>
  </si>
  <si>
    <t>SC-02-6132 FILTROS MD-95</t>
  </si>
  <si>
    <t>DEMO-02-7841</t>
  </si>
  <si>
    <t>SC-02-6123 FILTROS MD-85</t>
  </si>
  <si>
    <t>DEMO-02-7847</t>
  </si>
  <si>
    <t>SC-02-6163 MANTENCION EXTERNA  VD-107</t>
  </si>
  <si>
    <t>DEMO-02-7866</t>
  </si>
  <si>
    <t>SC-02-6157 FILTROS EQP-7</t>
  </si>
  <si>
    <t>DEMO-02-7873</t>
  </si>
  <si>
    <t>SC-02-6171 FILTROS ED-61</t>
  </si>
  <si>
    <t>DEMO-02-7891</t>
  </si>
  <si>
    <t>SC-02-6156 FILTROS EQP-7</t>
  </si>
  <si>
    <t>DEMO-02-7897</t>
  </si>
  <si>
    <t>SC-02-6178 KIT FILTROS CD-119</t>
  </si>
  <si>
    <t>DEMO-02-7900</t>
  </si>
  <si>
    <t>SC-02-6177 FILTROS HID. MAN</t>
  </si>
  <si>
    <t>DEMO-02-7901</t>
  </si>
  <si>
    <t>SC FILTROS ACEITE SEGUNDARIOS MAN</t>
  </si>
  <si>
    <t>DEMO-02-7902</t>
  </si>
  <si>
    <t>SC-02 6160 MANTENCION EXTERNA VD-13</t>
  </si>
  <si>
    <t>DEMO-02-7903</t>
  </si>
  <si>
    <t>SC-02-6176 FILTROS STOCK TALLER</t>
  </si>
  <si>
    <t>Preventivo sin equipo</t>
  </si>
  <si>
    <t>DEMO-02-7904</t>
  </si>
  <si>
    <t>SC-02-6154 FILTROS CD-109</t>
  </si>
  <si>
    <t>DEMO-02-7905</t>
  </si>
  <si>
    <t>SC-02 FILTRO HIDRAULICO EQP-7</t>
  </si>
  <si>
    <t>DEMO-02-7906</t>
  </si>
  <si>
    <t>SC-02-6147 FILTROS MD-104</t>
  </si>
  <si>
    <t>DEMO-02-7907</t>
  </si>
  <si>
    <t>SC-02 FILTROS MD-99</t>
  </si>
  <si>
    <t>DEMO-02-7908</t>
  </si>
  <si>
    <t>SC-02 KIT FILTROS CD-92</t>
  </si>
  <si>
    <t>DEMO-02-7910</t>
  </si>
  <si>
    <t>SC-02-6184 KIT FILTROS EQP-18</t>
  </si>
  <si>
    <t>DEMO-02-7911</t>
  </si>
  <si>
    <t>SC-02-6179 FILTROS EQP-16</t>
  </si>
  <si>
    <t>DEMO-02-7916</t>
  </si>
  <si>
    <t>SC-02-6173 FILTRO MD-70</t>
  </si>
  <si>
    <t>DEMO-02-7936</t>
  </si>
  <si>
    <t>SC-02 FILTROS AIRE EQP-7</t>
  </si>
  <si>
    <t>DEMO-02-7930</t>
  </si>
  <si>
    <t>SC-02 FILTROS MD-5 CD-140 MD-26</t>
  </si>
  <si>
    <t>DEMO-02-7947</t>
  </si>
  <si>
    <t>SC-02-6185 FILTROS MD-83</t>
  </si>
  <si>
    <t>DEMO-02-7958</t>
  </si>
  <si>
    <t>SC-02 MANTENCION VD-130</t>
  </si>
  <si>
    <t>DEMO-02-7959</t>
  </si>
  <si>
    <t>SC-02 MANTENCION VD-140</t>
  </si>
  <si>
    <t>DEMO-02-7960</t>
  </si>
  <si>
    <t>SC-02 MANTENCION VD-97</t>
  </si>
  <si>
    <t>DEMO-02-7961</t>
  </si>
  <si>
    <t>SC-02-FILTROS MD-83</t>
  </si>
  <si>
    <t>DEMO-02-7965</t>
  </si>
  <si>
    <t>SC-02 FILTROS MD-46</t>
  </si>
  <si>
    <t>DEMO-02-7966</t>
  </si>
  <si>
    <t>SC-02 FILTROS ED-52</t>
  </si>
  <si>
    <t>DEMO-02-7964</t>
  </si>
  <si>
    <t>SC-02 FILTROS CD-115</t>
  </si>
  <si>
    <t>DEMO-02-7969</t>
  </si>
  <si>
    <t>SC-FILTROS ED-74</t>
  </si>
  <si>
    <t>DEMO-02-7968</t>
  </si>
  <si>
    <t>SC-02 FILTRO AIRE SEC. MANN</t>
  </si>
  <si>
    <t>DEMO-02-7967</t>
  </si>
  <si>
    <t>SC-02 FILTRO SEPARADOR MD-57</t>
  </si>
  <si>
    <t>DEMO-02-7971</t>
  </si>
  <si>
    <t>SC-02 FILTROS MD-49</t>
  </si>
  <si>
    <t>DEMO-02-7978</t>
  </si>
  <si>
    <t>SC-02 FILTROS MD-105</t>
  </si>
  <si>
    <t>DEMO-02-7979</t>
  </si>
  <si>
    <t>SC-02 FILTROS VD-84</t>
  </si>
  <si>
    <t>DEMO-02-7980</t>
  </si>
  <si>
    <t>SC-02 FILTRO DECANTADOPR MD-76</t>
  </si>
  <si>
    <t>DEMO-02-7983</t>
  </si>
  <si>
    <t>SC-02 FILTROS MD-85</t>
  </si>
  <si>
    <t>FINNING CHILE</t>
  </si>
  <si>
    <t>OC En Proceso</t>
  </si>
  <si>
    <t>DEMO-02-7988</t>
  </si>
  <si>
    <t>SC-02 FILTROS CD-68</t>
  </si>
  <si>
    <t>DEMO-02-7992</t>
  </si>
  <si>
    <t>SC-02-FILTROS EQP-7  EQP-16</t>
  </si>
  <si>
    <t>DEMO-02-7993</t>
  </si>
  <si>
    <t>SC-02 FILTROS CD-138</t>
  </si>
  <si>
    <t>DEMO-02-8020</t>
  </si>
  <si>
    <t>SC-02 MANTENCION EXTERNA VD-128</t>
  </si>
  <si>
    <t>DEMO-02-8022</t>
  </si>
  <si>
    <t>SC-02 FILTROS ED-63</t>
  </si>
  <si>
    <t>DEMO-02-8018</t>
  </si>
  <si>
    <t xml:space="preserve">SC-02 SENSOR TEMPERATURA VD-108 </t>
  </si>
  <si>
    <t>JR SOLUCIONES AUTOMOTRICES SPA</t>
  </si>
  <si>
    <t>DEMO-02-8021</t>
  </si>
  <si>
    <t>SC-02 FILTROS MD-57</t>
  </si>
  <si>
    <t>HD CONSTRUCTION EQUIPMENT CHILE S.A.</t>
  </si>
  <si>
    <t>DEMO-02-8026</t>
  </si>
  <si>
    <t>SC-02 FILTROS MD-97 MD-108</t>
  </si>
  <si>
    <t>DEMO-02-8027</t>
  </si>
  <si>
    <t>SC-02 FILTROS MD-93</t>
  </si>
  <si>
    <t>DEMO-02-8025</t>
  </si>
  <si>
    <t>SC-02 FILTROS MD-84 MD-87</t>
  </si>
  <si>
    <t>DEMO-02-8032</t>
  </si>
  <si>
    <t>SC-02 FILTROS MD-110</t>
  </si>
  <si>
    <t>DEMO-02-8063</t>
  </si>
  <si>
    <t>SC-02 SER EXTER MANTEN VD-139</t>
  </si>
  <si>
    <t>DEMO-02-8083</t>
  </si>
  <si>
    <t>SC-02 FILTROS MD-80</t>
  </si>
  <si>
    <t>DERCOMAQ SPA.</t>
  </si>
  <si>
    <t>DEMO-02-8085</t>
  </si>
  <si>
    <t>SC-02 FILTROS EQP-11</t>
  </si>
  <si>
    <t>DEMO-02-8090</t>
  </si>
  <si>
    <t>SC-02 FILTRO EQP-18</t>
  </si>
  <si>
    <t>DEMO-02-8095</t>
  </si>
  <si>
    <t>PASTILLAS FRENO TRASERAS MAXUS</t>
  </si>
  <si>
    <t>DEMO-02-8115</t>
  </si>
  <si>
    <t>SC-02FILTROS MD-53</t>
  </si>
  <si>
    <t>DEMO-02-8113</t>
  </si>
  <si>
    <t>SC-02 FILTROS MANT. PEUGEOT PARTNER</t>
  </si>
  <si>
    <t>DEMO-02-8121</t>
  </si>
  <si>
    <t>SC-02 FILTROS MD-36</t>
  </si>
  <si>
    <t>DEMO-02-8129</t>
  </si>
  <si>
    <t>SC-02 FILTROS CD-114</t>
  </si>
  <si>
    <t>DEMO-02-8131</t>
  </si>
  <si>
    <t xml:space="preserve">SC-02 FILTROS ZX </t>
  </si>
  <si>
    <t>DEMO-02-8136</t>
  </si>
  <si>
    <t>SC-02 FILTROS CD-136</t>
  </si>
  <si>
    <t>DEMO-02-8163</t>
  </si>
  <si>
    <t>SC REGUL FACTURA 116482 ED-73</t>
  </si>
  <si>
    <t>DEMO-02-8172</t>
  </si>
  <si>
    <t xml:space="preserve">SC-02 REG FACTURA 116465  VD-84 </t>
  </si>
  <si>
    <t>DEMO-02-8206</t>
  </si>
  <si>
    <t>SC-02 FILTROS MAXUS</t>
  </si>
  <si>
    <t>DEMO-02-8210</t>
  </si>
  <si>
    <t>SC-02 FILTROS CD-108</t>
  </si>
  <si>
    <t>DEMO-02-8217</t>
  </si>
  <si>
    <t>SC-02 FILTRO CD-113</t>
  </si>
  <si>
    <t>DEMO-02-8218</t>
  </si>
  <si>
    <t>SC-02 FILTROS CD-137</t>
  </si>
  <si>
    <t>DEMO-02-8216</t>
  </si>
  <si>
    <t>SC-02 FILTROS MD-140</t>
  </si>
  <si>
    <t>DEMO-02-8221</t>
  </si>
  <si>
    <t>SC-02 FILTROS CD-101</t>
  </si>
  <si>
    <t>KOMATSU CHILE S A</t>
  </si>
  <si>
    <t>DEMO-02-8238</t>
  </si>
  <si>
    <t>SC-02 FILTROS  MD-95</t>
  </si>
  <si>
    <t>DEMO-02-8237</t>
  </si>
  <si>
    <t>SC FILTROS ROD BOMAG MD-55</t>
  </si>
  <si>
    <t>SC FILTROS ROD BOMAG MD-66</t>
  </si>
  <si>
    <t>SC FILTROS ROD BOMAG MD-102</t>
  </si>
  <si>
    <t>DEMO-02-8249</t>
  </si>
  <si>
    <t>SC-02 FILTROS MD-76</t>
  </si>
  <si>
    <t>DERCOMAQ SPA</t>
  </si>
  <si>
    <t>DEMO-02-8278</t>
  </si>
  <si>
    <t>SC-02 FILTRO SEC. DE AIRE CD-89/90</t>
  </si>
  <si>
    <t>DEMO-02-8277</t>
  </si>
  <si>
    <t>SC-02 FILTROS MAXUS 2.0</t>
  </si>
  <si>
    <t>DEMO-02-8292</t>
  </si>
  <si>
    <t>SC-02 FILTROS CD-118</t>
  </si>
  <si>
    <t>DEMO-02-8293</t>
  </si>
  <si>
    <t>SC-02 FILTROS MD-107</t>
  </si>
  <si>
    <t>DEMO-02-8303</t>
  </si>
  <si>
    <t>DEMO-02-8327</t>
  </si>
  <si>
    <t>SC-02 FILTRO ED-15</t>
  </si>
  <si>
    <t>DEMO-02-8324</t>
  </si>
  <si>
    <t>SC-02 MD-51</t>
  </si>
  <si>
    <t>DEMO-02-8326</t>
  </si>
  <si>
    <t>SC-02 FILTROS CD-69</t>
  </si>
  <si>
    <t>SCANIA CHILE S.A.</t>
  </si>
  <si>
    <t>DEMO-02-8325</t>
  </si>
  <si>
    <t>SC-02 FILTROS CD-96</t>
  </si>
  <si>
    <t>DEMO-02-8323</t>
  </si>
  <si>
    <t>SC-02 FILTROS ED-73</t>
  </si>
  <si>
    <t>DEMO-02-8322</t>
  </si>
  <si>
    <t>SC-02 FILTOS ED-82</t>
  </si>
  <si>
    <t>DEMO-02-8338</t>
  </si>
  <si>
    <t>SC-02 FILTRO ED-61</t>
  </si>
  <si>
    <t>DEMO-02-8337</t>
  </si>
  <si>
    <t>SC-02 FILTROS CD-128</t>
  </si>
  <si>
    <t>DEMO-02-8335</t>
  </si>
  <si>
    <t>SC-02 FILTROS CD-134</t>
  </si>
  <si>
    <t>DEMO-02-8334</t>
  </si>
  <si>
    <t>SC-02 FILTROS CD-142</t>
  </si>
  <si>
    <t>DEMO-02-8339</t>
  </si>
  <si>
    <t>DEMO-02-8340</t>
  </si>
  <si>
    <t>DEMO-02-8349</t>
  </si>
  <si>
    <t>SC-02 FILTROS MD-88</t>
  </si>
  <si>
    <t>DEMO-02-8350</t>
  </si>
  <si>
    <t>SC-02 FILTROS EQP-17</t>
  </si>
  <si>
    <t>DEMO-02-8361</t>
  </si>
  <si>
    <t>SC-02 FILTROS MD-73</t>
  </si>
  <si>
    <t>SK COMERCIAL SPA</t>
  </si>
  <si>
    <t>DEMO-02-8404</t>
  </si>
  <si>
    <t>SC-02 FILTROS VD-135</t>
  </si>
  <si>
    <t>DEMO-02-8405</t>
  </si>
  <si>
    <t>SC-02 FILTROS CD-113</t>
  </si>
  <si>
    <t>DEMO-02-8407</t>
  </si>
  <si>
    <t>SC-02 FILTRO MD-45</t>
  </si>
  <si>
    <t>DEMO-02-8408</t>
  </si>
  <si>
    <t>SC-02 BASE FILTRO COMB. MD-38</t>
  </si>
  <si>
    <t>DEMO-02-8413</t>
  </si>
  <si>
    <t>DEMO-02-8414</t>
  </si>
  <si>
    <t>IMPLEMENTOS S.A.</t>
  </si>
  <si>
    <t>DEMO-02-8443</t>
  </si>
  <si>
    <t>SC-02 FILTROS MD-108 MD-98</t>
  </si>
  <si>
    <t>DEMO-02-8471</t>
  </si>
  <si>
    <t>SC-02 FILTROS MAHINDRA</t>
  </si>
  <si>
    <t>DEMO-02-8495</t>
  </si>
  <si>
    <t>DEMO-02-8483</t>
  </si>
  <si>
    <t>DEMO-02-8484</t>
  </si>
  <si>
    <t>SC-02 FILTROS POLEN MAN</t>
  </si>
  <si>
    <t>DEMO-02-8486</t>
  </si>
  <si>
    <t>SC-02 FILTROS VD-132</t>
  </si>
  <si>
    <t>ANTONIO CASTILLO S.A.</t>
  </si>
  <si>
    <t>DEMO-02-8485</t>
  </si>
  <si>
    <t>DEMO-02-8494</t>
  </si>
  <si>
    <t>DEMO-02-8496</t>
  </si>
  <si>
    <t>SC-02 FILTRO AIRE CUADRADO ZX</t>
  </si>
  <si>
    <t>DEMO-02-8511</t>
  </si>
  <si>
    <t>SC-02 FILTROS CD-126</t>
  </si>
  <si>
    <t>DEMO-02-8509</t>
  </si>
  <si>
    <t>SC-02 FILTROS ED-23</t>
  </si>
  <si>
    <t>DEMO-02-8518</t>
  </si>
  <si>
    <t>SC-02 FILTROS CD-141</t>
  </si>
  <si>
    <t>DEMO-02-8510</t>
  </si>
  <si>
    <t>SC-02 FILTRO CD-141</t>
  </si>
  <si>
    <t>DEMO-02-8521</t>
  </si>
  <si>
    <t>SC-02 FILTROS MD-100</t>
  </si>
  <si>
    <t>DEMO-02-8534</t>
  </si>
  <si>
    <t>SC-02-FILTROS CD-138</t>
  </si>
  <si>
    <t>DEMO-02-8564</t>
  </si>
  <si>
    <t>DEMO-02-8561</t>
  </si>
  <si>
    <t>SC-02 FILTROS MD-61</t>
  </si>
  <si>
    <t>DEMO-02-8562</t>
  </si>
  <si>
    <t>DEMO-02-8559</t>
  </si>
  <si>
    <t>SC-02 FILTROS VD-107,VD-108,VD-109</t>
  </si>
  <si>
    <t>DEMO-02-8598</t>
  </si>
  <si>
    <t>SC-FILTROS CD-141 REG F/103531</t>
  </si>
  <si>
    <t>DEMO-02-8619</t>
  </si>
  <si>
    <t>SC-02 FILTROS MAN</t>
  </si>
  <si>
    <t>DEMO-02-8617</t>
  </si>
  <si>
    <t>SC-02 FILTROS CD-125</t>
  </si>
  <si>
    <t>DEMO-02-8618</t>
  </si>
  <si>
    <t>SC-02 FILTROS ED-30</t>
  </si>
  <si>
    <t>DEMO-02-8628</t>
  </si>
  <si>
    <t>SC-02 FILTROS MD-79</t>
  </si>
  <si>
    <t>DEMO-02-8652</t>
  </si>
  <si>
    <t>SC-02 FILTROS MD-83</t>
  </si>
  <si>
    <t>DEMO-02-8654</t>
  </si>
  <si>
    <t>SC-02 FILTROS MD-71 MD-72</t>
  </si>
  <si>
    <t>DEMO-02-8653</t>
  </si>
  <si>
    <t>SC-02 FILTROS MAN CD-120</t>
  </si>
  <si>
    <t>DEMO-02-8665</t>
  </si>
  <si>
    <t>COM.LO ESPEJO MAQUIN.Y EQ.</t>
  </si>
  <si>
    <t>DEMO-02-8682</t>
  </si>
  <si>
    <t>DEMO-02-8663</t>
  </si>
  <si>
    <t>DEMO-02-8658</t>
  </si>
  <si>
    <t>DEMO-02-8674</t>
  </si>
  <si>
    <t>DEMO-02-8676</t>
  </si>
  <si>
    <t>SC-02 FILTROS MD-68</t>
  </si>
  <si>
    <t>DEMO-02-8673</t>
  </si>
  <si>
    <t>DEMO-02-8671</t>
  </si>
  <si>
    <t>SC-02 FILTROS MD-72 MD-51</t>
  </si>
  <si>
    <t>DEMO-02-8691</t>
  </si>
  <si>
    <t>SC-02 FILTROS MD-95</t>
  </si>
  <si>
    <t>DEMO-02-8688</t>
  </si>
  <si>
    <t>SC-02 FILTROS MD-56</t>
  </si>
  <si>
    <t>DEMO-02-8689</t>
  </si>
  <si>
    <t>SC-02 FILTROS VD-82</t>
  </si>
  <si>
    <t>DEMO-02-8706</t>
  </si>
  <si>
    <t>SC-02 FILTROS MD-26</t>
  </si>
  <si>
    <t>DEMO-02-8780</t>
  </si>
  <si>
    <t>SC-02 FILTRO CD-139 CD-109</t>
  </si>
  <si>
    <t>DEMO-02-8773</t>
  </si>
  <si>
    <t>SC-02 MANTENCION EXTERNA  VD-140</t>
  </si>
  <si>
    <t>DEMO-02-8772</t>
  </si>
  <si>
    <t>SC-02 FILTROS MD-55</t>
  </si>
  <si>
    <t>DEMO-02-8771</t>
  </si>
  <si>
    <t>SC-02 FILTROS MAN CD-137</t>
  </si>
  <si>
    <t>DEMO-02-8753</t>
  </si>
  <si>
    <t>SC-02 FILTROS MD-62</t>
  </si>
  <si>
    <t>DEMO-02-8746</t>
  </si>
  <si>
    <t>SC-02 FILTRO MD-39</t>
  </si>
  <si>
    <t>DEMO-02-8745</t>
  </si>
  <si>
    <t>SC-02 FILTROS MD-39</t>
  </si>
  <si>
    <t>DEMO-02-8730</t>
  </si>
  <si>
    <t>SC-02 FILTRO AIRE SECUNDARIO CD-122</t>
  </si>
  <si>
    <t>DEMO-02-8729</t>
  </si>
  <si>
    <t>SC-02 FILTROS PAÑETE MAN</t>
  </si>
  <si>
    <t>DEMO-02-8728</t>
  </si>
  <si>
    <t>DEMO-02-8727</t>
  </si>
  <si>
    <t>SC-02 FILTRO MD-72</t>
  </si>
  <si>
    <t>DEMO-02-8726</t>
  </si>
  <si>
    <t>DEMO-02-8725</t>
  </si>
  <si>
    <t>DEMO-02-8707</t>
  </si>
  <si>
    <t>SC-02 FILTRO MD-26</t>
  </si>
  <si>
    <t>BODEGA (EDITABLE)</t>
  </si>
  <si>
    <t>Equipo</t>
  </si>
  <si>
    <t>Envio</t>
  </si>
  <si>
    <t>Persona que retiro</t>
  </si>
  <si>
    <t>Destino</t>
  </si>
  <si>
    <t>Comentario</t>
  </si>
  <si>
    <t>Filtros Completos</t>
  </si>
  <si>
    <t>Filtros Incompletos</t>
  </si>
  <si>
    <t>JC Celedon</t>
  </si>
  <si>
    <t>Filtro Secador de Aire</t>
  </si>
  <si>
    <t>Filtro Completros</t>
  </si>
  <si>
    <t>Luis Valenzuela</t>
  </si>
  <si>
    <t>Marcos Soto</t>
  </si>
  <si>
    <t>Filtros Completros</t>
  </si>
  <si>
    <t>Se cambiaron y se compraron de nuevo el kit de aire motor</t>
  </si>
  <si>
    <t>Filtro Secador</t>
  </si>
  <si>
    <t>Manuel Ortiz</t>
  </si>
  <si>
    <t>Bernardo Salinas</t>
  </si>
  <si>
    <t>Filtro decantador / Filtro Combustible / Filtro Aceite</t>
  </si>
  <si>
    <t>Patricio Novoa</t>
  </si>
  <si>
    <t>Filtro de combustible / Filtro de Aceite</t>
  </si>
  <si>
    <t>Filtro decantador / Filtro Combustible</t>
  </si>
  <si>
    <t>Alejandro Poblete</t>
  </si>
  <si>
    <t>Aceite 15w40</t>
  </si>
  <si>
    <t>Juan San Martin</t>
  </si>
  <si>
    <t xml:space="preserve">Filtro de combustible </t>
  </si>
  <si>
    <t>Francisco Parra</t>
  </si>
  <si>
    <t>Filtros de Aire 1 y 2</t>
  </si>
  <si>
    <t>Juan Celedon</t>
  </si>
  <si>
    <t xml:space="preserve">Jonathan Care </t>
  </si>
  <si>
    <t>Carlos Ramirez</t>
  </si>
  <si>
    <t>VD-28</t>
  </si>
  <si>
    <t>VD-39</t>
  </si>
  <si>
    <t>Taler</t>
  </si>
  <si>
    <t>Claudio Ramirez</t>
  </si>
  <si>
    <t>Nicolas Rivera</t>
  </si>
  <si>
    <t>Las Trancas</t>
  </si>
  <si>
    <t>Filtros Imcompletos</t>
  </si>
  <si>
    <t>Maestro de Equipos</t>
  </si>
  <si>
    <t>Familia</t>
  </si>
  <si>
    <t>Ultima Fecha Lectura</t>
  </si>
  <si>
    <t>Ultimo Horometro</t>
  </si>
  <si>
    <t>Ultimo Kilometraje</t>
  </si>
  <si>
    <t>Lectura Actual</t>
  </si>
  <si>
    <t>Ultima Fecha PM</t>
  </si>
  <si>
    <t>Ultima PM</t>
  </si>
  <si>
    <t>Ultima Lectura PM</t>
  </si>
  <si>
    <t>Costo Mantenciones CLP</t>
  </si>
  <si>
    <t>Costo Compras PM CLP</t>
  </si>
  <si>
    <t>Costo Total PM CLP</t>
  </si>
  <si>
    <t>Estado Operacional</t>
  </si>
  <si>
    <t>Estado CMMS</t>
  </si>
  <si>
    <t>Dias a Proxima Mantencion</t>
  </si>
  <si>
    <t>Fecha Est. Proxima Mantencion</t>
  </si>
  <si>
    <t>Fecha Compra PM</t>
  </si>
  <si>
    <t>Fecha Salida Bodega</t>
  </si>
  <si>
    <t>Tiempo Compra → Mantención</t>
  </si>
  <si>
    <t>Tiempo Bodega → Mantención</t>
  </si>
  <si>
    <t>Estado Bodega → Mantención</t>
  </si>
  <si>
    <t>Estado Operativo Real</t>
  </si>
  <si>
    <t>Prioridad Taller</t>
  </si>
  <si>
    <t>Acción Sugerida</t>
  </si>
  <si>
    <t>_CompraRequerida</t>
  </si>
  <si>
    <t>_OrdenCompra</t>
  </si>
  <si>
    <t>Criticidad</t>
  </si>
  <si>
    <t>Camiones de Ruta</t>
  </si>
  <si>
    <t xml:space="preserve">Nelson Cancino </t>
  </si>
  <si>
    <t>Ivo Garrido</t>
  </si>
  <si>
    <t>Washinton Sanzana</t>
  </si>
  <si>
    <t>Francisco Hidalgo</t>
  </si>
  <si>
    <t>Vendido</t>
  </si>
  <si>
    <t>Omar Rodriguez</t>
  </si>
  <si>
    <t>Maquinaria Pesada</t>
  </si>
  <si>
    <t>Jonatan Orellana</t>
  </si>
  <si>
    <t>Guido Saez</t>
  </si>
  <si>
    <t>Nicolas Gutierrez</t>
  </si>
  <si>
    <t>Rene Yañez</t>
  </si>
  <si>
    <t>Manuel Saavedra</t>
  </si>
  <si>
    <t>Carlos Pino</t>
  </si>
  <si>
    <t>Jaime Morales</t>
  </si>
  <si>
    <t>Marcelo Quiroz</t>
  </si>
  <si>
    <t>Carlos Leal</t>
  </si>
  <si>
    <t>Samuel De Guevara</t>
  </si>
  <si>
    <t xml:space="preserve">	GRW 15</t>
  </si>
  <si>
    <t>Javier Uval</t>
  </si>
  <si>
    <t>Jorge Herrera</t>
  </si>
  <si>
    <t>Jorge Soto</t>
  </si>
  <si>
    <t>Diego Marin</t>
  </si>
  <si>
    <t>Luis Perez</t>
  </si>
  <si>
    <t>580 M</t>
  </si>
  <si>
    <t>Jorge Carrillo</t>
  </si>
  <si>
    <t>Carlos Ramos</t>
  </si>
  <si>
    <t>Rodrigo Jara</t>
  </si>
  <si>
    <t>Jose Rubilar</t>
  </si>
  <si>
    <t>Jonny Martinez</t>
  </si>
  <si>
    <t>Claudio Medel</t>
  </si>
  <si>
    <t>Luis Loyola</t>
  </si>
  <si>
    <t>Jose Villalobos</t>
  </si>
  <si>
    <t>Juan Pablo Riquelme</t>
  </si>
  <si>
    <t>Leonardo</t>
  </si>
  <si>
    <t>Fernando Bravo</t>
  </si>
  <si>
    <t>Vehículos Livianos</t>
  </si>
  <si>
    <t>Pik up CRDE DC 2.2</t>
  </si>
  <si>
    <t>Sergio Rios</t>
  </si>
  <si>
    <t>Hermann San Martin</t>
  </si>
  <si>
    <t>Luciano Olivos</t>
  </si>
  <si>
    <t>Sebastian Saavedra</t>
  </si>
  <si>
    <t>Francisco Gonzalez</t>
  </si>
  <si>
    <t>T60 2.0 AT</t>
  </si>
  <si>
    <t>Ricardo Briceño</t>
  </si>
  <si>
    <t>Eduardo Peñailillo</t>
  </si>
  <si>
    <t>T90 DCAB 4X2 2.0</t>
  </si>
  <si>
    <t>Gonzalo Bonilla</t>
  </si>
  <si>
    <t>Gustavo Tapia</t>
  </si>
  <si>
    <t>Claudio Orostica</t>
  </si>
  <si>
    <t>Sin Asignar</t>
  </si>
  <si>
    <t>Teofilo Yañez</t>
  </si>
  <si>
    <t>Jorge Rebolledo</t>
  </si>
  <si>
    <t>Rodrigo Rojo</t>
  </si>
  <si>
    <t>Matias Valenzuela</t>
  </si>
  <si>
    <t>Alex Moreno</t>
  </si>
  <si>
    <t>Edver Torres</t>
  </si>
  <si>
    <t>PLAN DE MANTENCIONES</t>
  </si>
  <si>
    <t>Vista operativa con prioridad, compras, bodega y cierre de mantención. Actualización automática al abrir el archivo.</t>
  </si>
  <si>
    <t>Control</t>
  </si>
  <si>
    <t>Proxima Lectura Objetivo</t>
  </si>
  <si>
    <t>Dias Estimados</t>
  </si>
  <si>
    <t>Fecha Estimada</t>
  </si>
  <si>
    <t>Estado Operativo</t>
  </si>
  <si>
    <t>Costo Total PM</t>
  </si>
  <si>
    <t>Prioridad</t>
  </si>
  <si>
    <t>Tiempo Compra → Mant. (días)</t>
  </si>
  <si>
    <t>Tiempo Bodega → Mant. (días)</t>
  </si>
  <si>
    <t>Estado Bodega → Mant.</t>
  </si>
  <si>
    <t>En 90 dias</t>
  </si>
  <si>
    <t>PLANNER SEMANAL</t>
  </si>
  <si>
    <t>Semana Inicio</t>
  </si>
  <si>
    <t>Semana Fin</t>
  </si>
  <si>
    <t>Mantenciones</t>
  </si>
  <si>
    <t>Costo PM OC CLP</t>
  </si>
  <si>
    <t>Codigo Equipo</t>
  </si>
  <si>
    <t>Sistema Falla</t>
  </si>
  <si>
    <t>Falla / Averia</t>
  </si>
  <si>
    <t>Costo CLP</t>
  </si>
  <si>
    <t xml:space="preserve">Instalacion Masa Delantera </t>
  </si>
  <si>
    <t>Instalacion Neumaticos</t>
  </si>
  <si>
    <t>Instalacion Bomba Hidraulica y Caja Valvula</t>
  </si>
  <si>
    <t>Instalacion de Inyectores Nuevos, Cambio de Aceite Motor e Hidraulico</t>
  </si>
  <si>
    <t>Instalacion Vidrio Lateral</t>
  </si>
  <si>
    <t>Reparacion De Luces y parachoque</t>
  </si>
  <si>
    <t>Instalacion de Focos Traseros y reparacion electrica</t>
  </si>
  <si>
    <t>Revision y Reparacion de sistema electrico</t>
  </si>
  <si>
    <t>Cambio 2 Baterias</t>
  </si>
  <si>
    <t>Armado de Escobilla de Barredora</t>
  </si>
  <si>
    <t>Revision Sistema Electrico Cambio de Bocina</t>
  </si>
  <si>
    <t>Problema de Motor sin aceite, no Parte</t>
  </si>
  <si>
    <t>Instalacion Bomba Toma de fuerza</t>
  </si>
  <si>
    <t>Malo</t>
  </si>
  <si>
    <t>Retiro de Tensor de Correa del Ventilador y Correa del alternador</t>
  </si>
  <si>
    <t>Cambio de Baterias</t>
  </si>
  <si>
    <t>Cambio Aceite Diferencial delantero HD-30</t>
  </si>
  <si>
    <t>Regulacion de Acelerador de Mano y Pie, Relleno de Aceite Hidraulico 5 litros</t>
  </si>
  <si>
    <t>Instalacion escalificadores</t>
  </si>
  <si>
    <t xml:space="preserve">Se Cambia Correa de Ventilador y Tensor </t>
  </si>
  <si>
    <t>Problemas con el Sensor de Toma de Fuerza Bloqueando Caja de Cambios</t>
  </si>
  <si>
    <t>Cambio Palanca de Mando (Joystick)</t>
  </si>
  <si>
    <t>Reparacion de luces exteriores</t>
  </si>
  <si>
    <t>Cambio Tensor Correa de Accesorios</t>
  </si>
  <si>
    <t>Revision de Balatas y regulacion de Frenos</t>
  </si>
  <si>
    <t>Cambio de Baterias y Borner de Bateria</t>
  </si>
  <si>
    <t>Reparacion Borner de Bateria</t>
  </si>
  <si>
    <t>Relleno de Lubricantes, Transmision Hidraulico y Refrigerante</t>
  </si>
  <si>
    <t>Reparacion Mangera Hidraulica Cilindro de Ataque Valde</t>
  </si>
  <si>
    <t>Desmontaje Inyectores</t>
  </si>
  <si>
    <t>Israel Perez</t>
  </si>
  <si>
    <t>Instalacion Tambor Nuevo eje delantero derecho, Regulacion de Frenos</t>
  </si>
  <si>
    <t>Cambio Portafiltro de Petroleo y Purga</t>
  </si>
  <si>
    <t>Reparacion en General de sistema electrico</t>
  </si>
  <si>
    <t>Marcelo Alegria</t>
  </si>
  <si>
    <t>Reparacion de Aire Acondicionado</t>
  </si>
  <si>
    <t>Reparacion de luces Delanteras y Traseras</t>
  </si>
  <si>
    <t>Cambio de bomba surtidora de Petroleo</t>
  </si>
  <si>
    <t>Averia en Polea y Correa de Accesorios</t>
  </si>
  <si>
    <t>Instalacion de Alarma de Retroceso</t>
  </si>
  <si>
    <t>Retiro de Niple Cilindro Articulacion</t>
  </si>
  <si>
    <t>Retiro de Bomba de Agua</t>
  </si>
  <si>
    <t>Instalacion de Espejo</t>
  </si>
  <si>
    <t>Cambio de Bomba de Agua y Relleno de Anticongelante</t>
  </si>
  <si>
    <t>Instalacion de Niple Cilindro Articulacion Y Relleno de Aceite Hidraulico</t>
  </si>
  <si>
    <t>Soprte Cilindro de Articulacion Quebrado, Equipo fuera de Servicio</t>
  </si>
  <si>
    <t>Reparo de Bomba Hidraulica, Reparacion de Direccion, Instalacion de Chapa lado derecho</t>
  </si>
  <si>
    <t>Instalacion de Soporte Nuevo de Tambor Trasero derecho</t>
  </si>
  <si>
    <t>Cambio balatas de Estacionamiento, Cambio Cruceta de Entrada al Diferencial delatero</t>
  </si>
  <si>
    <t>Reparacion fuga de Aceite hidraulico de caja de Control y Filtro</t>
  </si>
  <si>
    <t>Desmontar Cardan Trasero</t>
  </si>
  <si>
    <t>Instalacion Termostato, Relleno aceite Transmision, Relleno de Refrigerante, Instalacion Respiradero Hidraulico</t>
  </si>
  <si>
    <t>Regulacion de Frenos, Valvula de Freno entre puente con Fuga</t>
  </si>
  <si>
    <t>Relleno de Aceite Hidraulico, Bombas Hidraulicas con Ruidos</t>
  </si>
  <si>
    <t>Cambio de Motor Reparado</t>
  </si>
  <si>
    <t>Reparacion de Luces Exteriores</t>
  </si>
  <si>
    <t>Relleno de Adblue 25 Lts</t>
  </si>
  <si>
    <t>Se saco perno cortado y se realiza Hilo Sobre Medida (No especifica Eje o rueda)</t>
  </si>
  <si>
    <t>Pugar Circuito de Inyeccion de Combustible, Se relleno Aceite de Motor 1,5 Lts</t>
  </si>
  <si>
    <t>Instalacion de Escalificadores y Calzas</t>
  </si>
  <si>
    <t>Instalacion de Cruceta de Cardan</t>
  </si>
  <si>
    <t>Flexible en mal estado asi como la cremallera de Direccion</t>
  </si>
  <si>
    <t>Vehiculo se queda sin Direccion debido a cremallera y estrias dañadas</t>
  </si>
  <si>
    <t>Se cambia Piñon del Rodamiento de Correa de Accesorios</t>
  </si>
  <si>
    <t>Cambio del Flexible de Cremallera de direccion</t>
  </si>
  <si>
    <t>Instalacion de Pala y Cilindro Desplazante, Se rellena filtro Hidraulico</t>
  </si>
  <si>
    <t>Engrase y Revision de niveles</t>
  </si>
  <si>
    <t xml:space="preserve"> </t>
  </si>
  <si>
    <t>Cambio de Flexibles Hidraulicos | Relleno de Aceite Hidraulico</t>
  </si>
  <si>
    <t>Cambio Correa Acc. y Tensor</t>
  </si>
  <si>
    <t xml:space="preserve">Cambio Rodamientos Delanteros | Reparacion cañeria de Agua | </t>
  </si>
  <si>
    <t>Reparacion Piola del Acelerador</t>
  </si>
  <si>
    <t>Reparacion Mangera de Aire</t>
  </si>
  <si>
    <t>Puga Sistema de Frenos | Pastillas de Freno Desgastada</t>
  </si>
  <si>
    <t>Instalacion Turbocompresor y Accesorios</t>
  </si>
  <si>
    <t>Instalacion Rueda Guia del Sistema de Oruga</t>
  </si>
  <si>
    <t>Relleno de Aceite de Maza | Inspeccion fuga de regrigerante</t>
  </si>
  <si>
    <t>Problemas Electricos, Se solicita cambiar Reles</t>
  </si>
  <si>
    <t>Instalacion Soporte y Pulmon de Freno</t>
  </si>
  <si>
    <t>Relleno de Aceite Transmision 20Lts  | Tipo 424</t>
  </si>
  <si>
    <t xml:space="preserve">Instalacion cañeria enfriador de aceite | Retiro pulmon de Freno delantero </t>
  </si>
  <si>
    <t>Relleno Aceite Motor 4Lts</t>
  </si>
  <si>
    <t>Cambio de Balde Dañado y Calzas</t>
  </si>
  <si>
    <t>Instalacion de Neumatico | Aceite con agua en los reductores</t>
  </si>
  <si>
    <t>Instalacion de Motor y Radiador</t>
  </si>
  <si>
    <t>Reparacion de neumaticos delanteros</t>
  </si>
  <si>
    <t>Retiro de Bomba Hidraulica</t>
  </si>
  <si>
    <t>Instalacion de Rueda Guia y Tensado de Cadena</t>
  </si>
  <si>
    <t>Retiro de Neumatico para Reparacion</t>
  </si>
  <si>
    <t>Cambio de Asiento Chofer | Se cambio por el CD-132</t>
  </si>
  <si>
    <t xml:space="preserve">Cambios de Flexibles Hidraulico y de Transmision | </t>
  </si>
  <si>
    <t>Se Instala Martillo Hidraulico | Cambio de Aceite reductores de Caja 3 Lts 80w90</t>
  </si>
  <si>
    <t>Relleno de Aceite Hidraulico</t>
  </si>
  <si>
    <t>Cambio Oring Cilindo Pala | Relleno de Aceite Hidraulico</t>
  </si>
  <si>
    <t>Camion Palanca Modulo de Cambios | Calibracion de la Transmicion | Cambio de Cuchillas</t>
  </si>
  <si>
    <t>Relleno de Aceite Hidraulico 35lts</t>
  </si>
  <si>
    <t>Regulacion del Paso de Petroleo Bomba Inyectora</t>
  </si>
  <si>
    <t xml:space="preserve">Cambio de Cañerias de la omba Inyectora se Saco de la MD-61 | </t>
  </si>
  <si>
    <t>Reparacion Fuga Motor de Rotacion lado derecho</t>
  </si>
  <si>
    <t>Cambio Correa Alternador 8PK1230</t>
  </si>
  <si>
    <t>Cambio Correa Ventilador y tensor 6PK2670</t>
  </si>
  <si>
    <t>Checkeo de Lubricantes en Terreno</t>
  </si>
  <si>
    <t>Cambio de Bateria | Instalacion alarma de Retroceso | Instalacion Motobomba de Agua</t>
  </si>
  <si>
    <t>Jonatan Care</t>
  </si>
  <si>
    <t>Mantencion Motor de Arranque | Reparacion electrica | Instalacion Plumillas | Revision de Luces</t>
  </si>
  <si>
    <t xml:space="preserve">Instalacion de Neumatico </t>
  </si>
  <si>
    <t>Instalacion Bomba Toma de fuerza | Relleno de Aceite Hidraulico 60Lts</t>
  </si>
  <si>
    <t>Cambios de Pernos de Soporte Motor | Reparacion Fuga Aceite Motor</t>
  </si>
  <si>
    <t>Retiro de Reductores y frenos por mal estado de los Reductores</t>
  </si>
  <si>
    <t>Regulacion de Frenos | Retiro de Cardan</t>
  </si>
  <si>
    <t>Cambio de Flexible de Freno | Cambio Soporte Caja</t>
  </si>
  <si>
    <t xml:space="preserve">Instalacion de Botella Hidraulica | Instalacion de Interruptor Alta </t>
  </si>
  <si>
    <t>Cambio de Neblinero Izquierdo | Reparacion Luces Bajas</t>
  </si>
  <si>
    <t>CD-84</t>
  </si>
  <si>
    <t>SE CAMBIA MANGUERA LINEA DE REFRIGERANTE LADO DERECHO DEL INFLADOR DE ACEITE TRANSMISION</t>
  </si>
  <si>
    <t>DIFERENCIAL TRASERO SE DESMONTA Y SE CAMBIARON DOS RODAMIENTOS Y CUBETAS DE LA CAJA SATELITES</t>
  </si>
  <si>
    <t>CD-81</t>
  </si>
  <si>
    <t>SE MONTA CAJA DIRECCION Y SE CONECTAN TODOS SUS FLEXIBLES Y SE RELLENAN CON ACEITE</t>
  </si>
  <si>
    <t>SE DESMONTA VALVULA DE FRENOS PEDAL AL CAMION CXKF76 Y SE INSTALAN AL CAMION CD-75</t>
  </si>
  <si>
    <t>SE REGULAN FRENOS, SE REPARA MANGUERA DEL AGUA ENFRIADOR DE ACEITE DE DIRECCION, FOCO LADO IZQUIERDO , PARABRISAS TRIZADO Y SE RELLENA CON 20 LITROS ANTICONGELANTE</t>
  </si>
  <si>
    <t>SE REPARAN 3 PULMONES DE FRENO Y SE REGULAN DRENOS, SE ENGRASA COMPLETO Y SE RELLENA DE ACEITE LOS DIFERENCIALES</t>
  </si>
  <si>
    <t>SE CAMBIA MANGUERA DEL ENFRIADOR DEL ACEITE DE CAJA DE CAMBIOS, SE RELLENA CON 60 LITROS DE ANTICONGELANTE</t>
  </si>
  <si>
    <t>SE CAMBIA SOPORTE CABINA LADO IZQUIERDO Y SE REPARA TOMADOR DE FUERZA</t>
  </si>
  <si>
    <t>SE REVISA FRENO, BOMBA DE FRENO SE PASA, SE PROCEDE A RETIRAR LA BOMBA DE FRENO, QUEDANDO EL EQUIPO FUERA DE SERVICIO</t>
  </si>
  <si>
    <t>SE MONTA CORONA Y SE EMPIEZA A ARMAR</t>
  </si>
  <si>
    <t>SE CAMBIA BOMBA DE FRENO</t>
  </si>
  <si>
    <t>SE TERMINA DE ARMAR CORONA DEL DIFERENCIAL TRASERO INTERMEDIO</t>
  </si>
  <si>
    <t>SE MONTA DIFERENCIAL TRASERO INTERMEDIO</t>
  </si>
  <si>
    <t>SE CAMBIA DIVISOR DE POTENCIA AL DIFERENCIAL TRASERO</t>
  </si>
  <si>
    <t>SE CAMBIA TOMA FUERZA Y BOMBA DE LEVANTE TOLVA, ADEMAS SE RELLENA CON ACEITE HIDRAULICO</t>
  </si>
  <si>
    <t>SE MONTA TOMA FUERZA Y BOMBA DE LEVANTE TOLVA, SE DESMONTA MUÑON DELANTERO IZQUIERDO Y SE CAMBIA EMPAQUETADURA  DE MULTIPLE DE ESCAPE</t>
  </si>
  <si>
    <t>SE COLOCA ABRAZADERA MANGUERA DE RETORNO CILINDRO HIDRAULICO</t>
  </si>
  <si>
    <t>E.CANALES</t>
  </si>
  <si>
    <t>SE MONTAN MUÑONES BUJES RETENES Y RODAMIENTOS</t>
  </si>
  <si>
    <t>SE REGULAN FRENOS Y SE RELLENAN LOS DIFERENCIALES</t>
  </si>
  <si>
    <t>CD-60</t>
  </si>
  <si>
    <t>CAMBIO BOTON DE PUENTE LEVANTE, NIUWEI NUEVO</t>
  </si>
  <si>
    <t>P.BULNES</t>
  </si>
  <si>
    <t>SE REPARA SISTEMA DE LUCES, REPARACION AIRE ACONDICIONADO, SOLDADURA REFUERZO PORTALON, SE INSTALA BALIZA, INSTALACION ALARMA MARCHA ATRÁS, SE REPARA ASIENTO CONDUCTOR</t>
  </si>
  <si>
    <t>M.ALEGRIA</t>
  </si>
  <si>
    <t>CAMBIO DE CARPA/ USADA REPARADA</t>
  </si>
  <si>
    <t>S/M</t>
  </si>
  <si>
    <t>SE CAMBIAN LAS CUATRO CHICHARRAS DE FRENOS DE LOS PUENTES TRASEROS Y SE REGULAN FRENOS Y SE ENGRASA COMPLETO</t>
  </si>
  <si>
    <t>SE CAMBIA CILINDRO DE LEVANTE DE TOLVA Y SE RELLENA CON 60 LITROS DE ACEITE HIDRAULICO</t>
  </si>
  <si>
    <t>se arma masa delantera primer puente lado izquierdo con sus bujes, retenes y machón z nuevo se REGULA freno y se monta</t>
  </si>
  <si>
    <t>BD-16</t>
  </si>
  <si>
    <t>SE MONTA MASA RODAMIENTOS, RETEN, BALATAS, TAMBOR Y TAPA DE MASA, TODO NUEVO, PUENTE TRASERO INTERMEDIO IZQUIERDO</t>
  </si>
  <si>
    <t>se rellena con aceite hidráulico y se monta neumático del puente trasero</t>
  </si>
  <si>
    <t>SE CAMBIA EN TERRENO TECALAN DE FRENO ULTIMO PUENTE LADO DERECHO</t>
  </si>
  <si>
    <t>SE ARMA MASA DELANTERA DERECHA PRIMER PUENTE CON BUJES RETENES USADOS Y  MACHON Z NUEVO PERO NO SIRVE PORQUE ERA IZQUIERDO Y SE DESARMA TODO NUEVAMENTE HASTA QUE LLEGEN LOS REPUESTOS NUEVOS CORRESPONDIENTES</t>
  </si>
  <si>
    <t>SE ARMA MASA DELANTERA PRIMER PUENTE LADO DERECHO CON BUJES Y RETENES NUEVOS Y SE COLOCA MACHON USADO DEL CXKF-76</t>
  </si>
  <si>
    <t>SE SACA CARDAN PERNO CORTADO Y CRUCETA MALA</t>
  </si>
  <si>
    <t>MD-54</t>
  </si>
  <si>
    <t>SE MANDA A REPARAR BOMBA HIDRAULICA</t>
  </si>
  <si>
    <t>SE INSTALA CARDAN DELANTERO, SE REGULAN FRENOS Y SE ENGRASA</t>
  </si>
  <si>
    <t>SE CAMBIA ACEITE CAJA DE CAMBIOS CON ACEITE XSFE 15W90</t>
  </si>
  <si>
    <t>SE MONTA MASA RODAMIENTOS, RETEN, BALATAS, TAMBOR Y TAPA DE MASA, TODO NUEVO, PUENTE TRASERO INTERMEDIO DERECHO</t>
  </si>
  <si>
    <t>CAMIO DE PASTILLAS DE FRENO DELANTERO Y TRASERO</t>
  </si>
  <si>
    <t>SE DESARMA MASA TRASERA ULTIMO PUENTE LADO DERECHO Y SE ARMA CON BALATAS, RETEN, RODAMIENTOS, RESORTES Y PASADORES NUEVOS</t>
  </si>
  <si>
    <t>SE ARMA MASA PUENTE INTERMEDIO TRASERO DERECHO CON RETEN NUEVO, SE MONTA PULMON TAMBOR MACHON Z Y SE REGULA FRENO, SE CAMBIA UN PERNO ESPARRAGO A LA MASA YSE COLOCA NEUMATICO DELANTERO IZQUIERDO</t>
  </si>
  <si>
    <t>SE ARMA MASA DERECHA DELANTERA CON SU MACHON NUEVO Y SE MONTA CON TODO Y SU NEUMATICO LOS DOS DELANTEROS</t>
  </si>
  <si>
    <t>SE MONTA EJE PALIER NUEVO AL DIFERENCIAL TRASERO INTERMEDIO LADO DERECHO Y SE COLOCAN SUS DOS NEUMATICOS</t>
  </si>
  <si>
    <t>SE MONTA BARRA AUXILIAR CORTA LADO IZQUIERDO DE DIRECCION Y SE CONFECCIONA PLATINA DE SOPORTE DE CAPOT Y SE INSTALA</t>
  </si>
  <si>
    <t>Se desmonta radiador para repararlo, se instalo nuevamente, se relleno de permazon 15lts</t>
  </si>
  <si>
    <t>SE CAMBIA MANGUERA Y SE RELLENA CON 30 LITROS DE ANTICONGELANTE</t>
  </si>
  <si>
    <t>SE COLOCA PAQUETE DE RESORTES DELANTERO Y SE MONTA NEUMATICO DEL MISMO LADO Y SE COLOCA CARDAL  SALIDA DE CAJA DE CAMBIOS</t>
  </si>
  <si>
    <t>SE APRETAN PERNOS SOPORTE CABINA Y SE QUITA FUGA DE ANTICONGELANTE, SE APRETAN PERNOS SOPORTE ESTANQDEL RADIADOR</t>
  </si>
  <si>
    <t>SE CAMBIA RETEN DE MASA DIFERENCIAL YTRASERO INTERMEDIO LADO IZQUIERDO Y SE CAMBIAN DOS ESPARRAGOS DE LA MISMA MASA</t>
  </si>
  <si>
    <t>SE ARMA MASA CON TODOS SUS ACCESORIOS, BALATAS TAMBOR EJE PALIER Y SE REGULA FRENO DEL MISMO LADO EJE TRASERO</t>
  </si>
  <si>
    <t>SE COLOCA ACEITE AL DIFERENCIAL TRASERO INTERMEDIO A NIVEL Y SE MONTAN NEUMATICOS DEL MISMO EJE, ADEMAS SE COLOCA CRUCETA Y RODAMIENTO AL CARDAL SALIDA DE CAJA Y SE MONTA TODO NUEVO</t>
  </si>
  <si>
    <t>SE COLOCAN 60 LITRO DE ANTICONGELANTE AL RADIADOR Y SE RELLENA CON 2 LITROS DE ACEITE LA DIRECCION</t>
  </si>
  <si>
    <t>rellenar con refrigerante y aceite de dirección</t>
  </si>
  <si>
    <t>SE CAMBIA SPULL DE VALVULA DE LEVANTE DE TOLVA DERECHO SE CAMBIA RESORTES DE PULMONDE FRENO</t>
  </si>
  <si>
    <t>CD-82</t>
  </si>
  <si>
    <t>CAMBIO DE 2 RODAMIENTOS PRINCIPAL DEL VENTILADOR , SE INTALA ARRANQUE NUEVO Y REGULAN INYECTORES</t>
  </si>
  <si>
    <t>se coloca ventilador nuevo y se monta radiador y capot</t>
  </si>
  <si>
    <t>SE CAMBIA BOMBA DE DIRRECION USADA DEL CAMION TOLVA CXKF-76</t>
  </si>
  <si>
    <t>SE CAMBIAN TODOS LOS BUJES Y GOMAS DE LA BARRA DE SUSPENSION SE SOLDA SOPORTE DE FILTRO DE SECADO DE AIRE Y SE APRETAN LOS DOS TAPABARROS</t>
  </si>
  <si>
    <t>ED-06</t>
  </si>
  <si>
    <t>SE SACAN RADIADORES PARA LIMPIARLOS Y VER PROBLEMAS DE PERDIDA DE AGUA. SE MONTA TODO JUNTO A CORREA DE VENTILADOR .</t>
  </si>
  <si>
    <t>CAMBIO DE SELLOS DE PISTON</t>
  </si>
  <si>
    <t>SE CAMBIO FLEXIBLE 3/4 X 1500 DE BOMBA HIDRAULICA A CUERPO DE VALVULA</t>
  </si>
  <si>
    <t>SE CAMBIA EMPAQUETADIRA AL ENFRIADOR DE GASES</t>
  </si>
  <si>
    <t>SE MONTA EL SISTEMA COMPLETO DEL TREN INTERMEDIO, PERNOS, TUERCA,MASAS.</t>
  </si>
  <si>
    <t>SE COLOCA ESTANQUE ACUMULADOR DE AIRE Y DOS PULMONES DE LA SUSPENSIÓN AUXILIAR</t>
  </si>
  <si>
    <t>SE CAMBIA TODAS LAS CAÑERIAS DE LOS INYECTORES Y LAS DOS DEL CARIEL SE QUITA FUGA DE ACITE TRASNSMICION POR FLEXIBLE SUELTO SE RELLENA CON 10 LTS DE ACEITE HIDRAULICO</t>
  </si>
  <si>
    <t>SE CAMBIA FLEXIBLE 5/8 X 5000,  FLEXIBLE 16X1800.</t>
  </si>
  <si>
    <t>SE CONFECCIONA EMPAQUETADURA MASA DIFERENCIAL INTERMEDIO LADO IZQUIERDO Y SE RELLENA DIFERENCIAL TRASERO CON 10 LTS DE ACEITE SE ENGRASA COMPLETO</t>
  </si>
  <si>
    <t>DESARME DE PUENTE INTERMEDIO DELANTERO PARA SACAR BASE SOPORTE MACHON Z QUEBRADA DEL LADO DERECHO</t>
  </si>
  <si>
    <t>SE SACA MANGUERA DE ALIMENTACION A BOMBA HIDRAULICA SE CAMBIA MANGUERA DE 700X70</t>
  </si>
  <si>
    <t>SE RELLENA MOTOR CON 7 LTS DE ACEITE Y SE LAVA</t>
  </si>
  <si>
    <t>SE SACA FLEXIBLE DE BOMBA HIDRAULICA ,SE INSTALA FLEXIBLE NUEVO</t>
  </si>
  <si>
    <t>SE SACO NEUMATICO N°6 PARA REPARACION</t>
  </si>
  <si>
    <t>SE ROMPE MANGUERA DE ALIMENTACION A BOMBA HIDRAULICA DE LEVANTE 700X70</t>
  </si>
  <si>
    <t>SE INSTALA MANGUERA DE ALIMENTACION A BOMBA HIDRAULICA SE RELLENA CON 30 LTS DET 26</t>
  </si>
  <si>
    <t>SE ROMPE FLEXIBLE 1 1/4 X 3400 ALIMENTACION FILTRO A CAJA DE VALVULA , SE RETIRO</t>
  </si>
  <si>
    <t>SE MONTAN NEUMATICO REPARADO</t>
  </si>
  <si>
    <t>SE REPONE FLEXIBLE 16X3400 A FILTRO HIDRAULICO</t>
  </si>
  <si>
    <t>CAMBIO DE 4 SPARRAGOS NUEVOS CON GOLILLAS Y TUERCAS DEL EJE PALIER IZQUIERDO INTERMEDIO</t>
  </si>
  <si>
    <t>SE LE SACAN BOMBA ELEVADORA DE PETROLEO PARA COLOCAR A EQUIPO EN FAENA DE CAUQUENES</t>
  </si>
  <si>
    <t>F.ALMUNA</t>
  </si>
  <si>
    <t>CAMBIO DE TODAS LAS BALATAS Y RECTIFICADO DE TODOS LOS TAMBORES</t>
  </si>
  <si>
    <t>SE CAMBIAN TODAS LAS BALATAS DE LAS CUATRO RUEDAS Y SE RECTIFICAN TODOS LOS TAMBORES</t>
  </si>
  <si>
    <t>SE DEMONTA RADIADOR PARA REVISAR QUE NO ESTUVIERA OBSTRUIDO, SE CAMBIO EL TERMOSTATO NUEVO, SE CAMBIARON CORREAS DEL VENTILADOR, SE CAMBIO EL EMBRAGUE DEL VENTILADOR NUEVO</t>
  </si>
  <si>
    <t>CAMBIO CALSAS  NUEVAS CON SUS PASADORES</t>
  </si>
  <si>
    <t>SE COLOCA LAS DOS CHICHARRAS Y LOS DOS PULMONES DE FRENOS AL PUENTE AUXILIAR TERCERO Y SE MONTA EL SEGUNDO ESTANQUE ACUMULADOR DE AIRE Y SE CONECTA CON EL PRIMERO CON SUS TECALANES</t>
  </si>
  <si>
    <t>REGULACION DE FRENOS BATEA</t>
  </si>
  <si>
    <t>CAMBIO DE CODO DE 8X1/4 NUEVOS</t>
  </si>
  <si>
    <t>REPARACION DE CORTOCIRCUITO Y CAMBIO DE FAROS TRASEROS DE BATEA , SE INSTALAN FAROS NUEVOS Y 12 METROS DE CABLE 2X1.5  X 3 METROS , CALBE DE 5X1.5 Y 4 FOCOS TROCHA 2 1/2 PULG</t>
  </si>
  <si>
    <t>SE CAMBIAN 3 BATERIAS PÓR NUEVAS</t>
  </si>
  <si>
    <t>CAMBIO PULMON DE LEVANTE BATEA</t>
  </si>
  <si>
    <t>SE MONTA DISCO Y PRENSA DE EMBRAGUE SE DESMONTAN LOS DOS NUMATICOS DELANTEROS PARA SACAR PASTILLAS DE FRENOS GASTADAS</t>
  </si>
  <si>
    <t>SE DESMONTA VIELA DE VOLTEO DE BALDE QUEBRADA Y SE SACAN DOS CALZAS PARA TELLENO DE ACEITE HIDRAULICO DE PETROLEO Y DE AGUA.</t>
  </si>
  <si>
    <t>CAMION PRESENTA PROBLEMAS DE LEVANTE DE TERCER EJE EN BATEA , SE CAMBIA ELECTRO VALVULA POR VALVULA NEUMATICA Y FLEXIBLE</t>
  </si>
  <si>
    <t>SE REMPLAZA TERMINALES , CAMBIO DE AMPOLLETAS H7</t>
  </si>
  <si>
    <t>BD-04</t>
  </si>
  <si>
    <t>SE DESMONTAN TODOS LOS NEUMATICOS DE LOS DOS ULTIMOS PUENTES TAMBORES Y PATINES BUJES RETENES Y RODAMIENTOS PARA CAMBIAR.</t>
  </si>
  <si>
    <t>SE CAMBIA POLA FIJA Y CORREA QUE UNE ALTERNADOR CON EL COMPRESOR DE AIRE ACONDICIONADO Y SE MONTAN.</t>
  </si>
  <si>
    <t>CAMBIO DE LA EMPAQUETADURA DE TAPA VALVULA Y CAMBIO DE ACEITE MOTOR S/F</t>
  </si>
  <si>
    <t>SE CAMBIA PATINES CON BALATAS NUEVAS A LOS DOS ULTIMOS PUENTES Y TODOS LOS BUJES EJE LEVAS ORTA PATINES SE RECTIFICAN LOS CUATRO TAMBORES SE CAMBIA UN EJE LEVAS ULTIMO PUENTE LADO DERECHO Y TAPA BARRO Y UN PULMON DE SUSPENSIÓN DE AIRE Y SE CAMBIA UN RETEN</t>
  </si>
  <si>
    <t>CD-56</t>
  </si>
  <si>
    <t>MONTAR BOMBA DE AGUA. CAMIÓN LJIDE. CAMBIO DE BATERIA. USADA</t>
  </si>
  <si>
    <t>MONTAR BOMBA DE AGUA CAMION ALJIBE, CAMBIO DE BATERIA USADA</t>
  </si>
  <si>
    <t>CAMBIO FLEXIBLE NUEVO. ENGRASE COMPLETO Y CARGADOR</t>
  </si>
  <si>
    <t>ACOPLE RAPIDO DEL 6X3/4 NEUWEI MONTAR TAPA BARRO TRASERO LADO CHOFER</t>
  </si>
  <si>
    <t>CAMBIO DE FILTRO DE AIRE NUEVO</t>
  </si>
  <si>
    <t>CAMBIO DE CRUZETA N°5548-375R 42X115</t>
  </si>
  <si>
    <t>SE CAMBIAN 11 FLEXIBLES A LOS 2. SE CAMBIA 4 ONLINE A FLEXIBLE DEL CUERPO DE VALVÚLA.</t>
  </si>
  <si>
    <t>BD-08</t>
  </si>
  <si>
    <t>SE DESARMA PUENTE ULTIMO PARA CAMBIAR TODOS LOS BUJES DE LOS EJES LEVAS Y LOS RETENES DE MASAS, SE ENGRASAN LOS RODAMIENTOS  Y NO SE CAMBIAN BALATAS POR ESTAR EN BUEN ESTADO, SE MONTAN LOS NEUMATICOS Y SE REGULAN FRENOS</t>
  </si>
  <si>
    <t>CAMBIO DE CARPA,DESMONTAR PARACHOQUE TRASERO DE TRACTO CAMION</t>
  </si>
  <si>
    <t>SE CAMBIA VALVULA PROTECTORA DE AIRE Y SE REVISAN MUÑONE BARRA Y TERMINALES DE DIRECCIÓN XQ SE CARGA LA DIRECCIÓN HACIA EL LADO IZQUIERDO PERO NO SE ENCONTRO NADA MALO HABRÍA QUE HACERLE ALINIACIÓN.</t>
  </si>
  <si>
    <t>EL EQUIPO PRESENTO FALTA DE POTENCIA Y PERDIDA DE ACELERACIÓN. TENÍA EL COMBUSTIBLE CONTAMINADO CON AGUA, POR LO TANTO SE CAMBIO EL PETROLEO Y LOS FILTROS. SE LIMPIO Y SE IDENTIFICO PERDIDA DE ACEITE DE MOTOR POR LA BASE DE FILTROS PENDIENTE A CORREGIR.</t>
  </si>
  <si>
    <t>REPARACION BRASOS DE AUTO ENCARPE, REPARAR FOCO DELANTERO LADO IZQUIERDO</t>
  </si>
  <si>
    <t>DESMONTAR RADIDOR ROTO, MONTAR RADIADOR REPARADO   Y RELLENAR CON COOLER 20 LITROS</t>
  </si>
  <si>
    <t>SE CAMBIAN TODOS LOS BUJES DE LOS DOS EJES LEVAS, SE ENGRASAN LOS CUATRO RODAMIENTOS, NO SE CAMBIAN BALATAS POR ESTAR EN BUEN ESTADO SE REGULAN FRENOS SE MONTAN PATINES TAMBORES Y NEUMATICOS DEL PUENTE INTERMEDIO, SE ROTAN DOS NEUMATICOS DEL EJE AUXILIAR</t>
  </si>
  <si>
    <t>SE DESARMA ESLAVON DE ORUGA. PASADORES Y ESLAVON MALOS</t>
  </si>
  <si>
    <t>J.VILLANUEVA</t>
  </si>
  <si>
    <t>REGULACIÓN DE FRENOS.</t>
  </si>
  <si>
    <t>SE DESMONTA SOPORTE DE ACUMULADOR DE AIRE QUEBRADA PARA ACERLE UNA NUEVA Y SE MONTA QUEDANDO OPERATIVA</t>
  </si>
  <si>
    <t>SE REVISAN PUENTES DIFERENCIALES Y SE DETERMINA QUE EL SONIDO PROVIENE DE DEL DESGASTE DE LOS BOGUES Y SE DEMONTAN, ARREGLAN Y AL PROBARSE NUEVAMENTE NO HAY SONIDO</t>
  </si>
  <si>
    <t>CAMBIO DE GOMAS AMORTIGUADOR DELANTERO IZQUIEDO</t>
  </si>
  <si>
    <t>SE CARGA CON MATERIAL DE ASFALTO PARA PROBARLO CON EL CARGADOR, SE RECONOCE PROBLEMA EN LOS BOGUES DE LA PARTE DELANTERA DEL EJE INTERMEDIO</t>
  </si>
  <si>
    <t>SE DESMONTA RADIADOR, PARA LUEGO MONTAR RADIADOR REPARADO, SE UTILIZAN 40 LTS DE REFRIGERANTE</t>
  </si>
  <si>
    <t>SE DESMONTAN NEUMATICOS EJES PALIERES TAMBORES BALATAS Y MASAS CARDANES BAJAR DIFERENCIAL INTERMEDIO PARA CAMBIAR BUJES DE LOS BOGUES PARTE DELANTERA</t>
  </si>
  <si>
    <t>SE REPARAR SISTEMA DE ADMICION PERNOS CORTADOS, SOPORTE TOBERA DE AIRE Y CAÑERIA DE FRENO MOTOR CORTADA SE RELLENA CON 2 LITROS DE ACEITE MOTOR 10W40</t>
  </si>
  <si>
    <t>SE DESMONTA PASADOR DE BOGUE PUENTE INTERMEDIO LADO DERECHO</t>
  </si>
  <si>
    <t>SE CAMBIA ACEITE DE CAJA DE CAMBIOS Y RETARDADOR, SE LE SACA ACEITE DE MOTOR Y FILTRO DE ACEITE PETROLEO Y AIRE. SE LE SACA EL CARDAN LARGO PARA COLOCARLO A OTRO EQUIPO</t>
  </si>
  <si>
    <t>SE DESMONTA PASADOR DE BOGUE PUENTE INTERMEDIO TRASERO LADO IZQUIERDO</t>
  </si>
  <si>
    <t>CAMBIO TECLA LIMPIA PARABRISAS USADO DEL CD-75, CAMBIO MOTOR VENTILADOR A/C USADO DEL ED-75 Y CAMBIO AMPOLLETA FOCO MAYOR</t>
  </si>
  <si>
    <t>CAMBIO MODULO BOTONERA CAMBIOS CAJA ALISON USADA DEL CD-75</t>
  </si>
  <si>
    <t>CAMBIO MODULO DE CCAMBIOS CAJA ALISON NUEVA</t>
  </si>
  <si>
    <t>REPARACION DE SISTEMA DE CORTACORRIENTES GENERAL DE CAMION, NUEVO.</t>
  </si>
  <si>
    <t>2031
2031</t>
  </si>
  <si>
    <t>SE QUITA FUGA DE ACEITE CAJA CAMBIOS POR PERNOS SUELTOS DE UN FILTRO SE REVISA EL NIVEL Y ESTA BIEN, SE RELLENA CON 2 LITROS DE ACEITE MOTOR Y SE REGULAN FRENOS Y SE CONECTA FLEXIBLE DE PULMON DE FRENOS ULTIMO PUENTE DERECHO</t>
  </si>
  <si>
    <t>REPARACION DE SOPORTE DE AUTOENCARPE, CAMBIO DE BASE Y RODAMIENTO LADO DERECHO</t>
  </si>
  <si>
    <t>SACAR DESCANSO PAQUETE DE RESORTES TRASERO LADO DERECHO, SACAR RUEDAS TRASERAS</t>
  </si>
  <si>
    <t>SE DESARMA Y SE REPARA MOTOR DE CALEFACCION Y SE INSTALA EN CAMION CD-84</t>
  </si>
  <si>
    <t>EXTRAER BUJES QUE UNEN EL EJE INTERMEDIO Y SE DEMONTA EL EJE</t>
  </si>
  <si>
    <t>SE DESMONTA RESERVA DE AGUA DEL RADIADOR PARA UBICAR PERDIDA DE AGUA POR EL BOTE SUPERIOR ROTO QUEDANDO FUERA DE SERVICIO</t>
  </si>
  <si>
    <t>TENSAR LA CORREA DEL VENTILADOR - LA TEMPERATURA DEL MOTOR AUMENTABA DEBIDO A QUE LA CORREA ESTABA DESTENSADA</t>
  </si>
  <si>
    <t>SE DESARMA RUEDA EKE INTERMEDIO LADO DERECHO DE VATEA POR RUEDA FRENADA POR PATINES EN MAL ESTADO SE CAMBIAN PATINES EMBALATADOS Y SE ARMA QUEDADO OPERATIVA SE ENGRASA LA VATEA</t>
  </si>
  <si>
    <t>SE RETIRA MOTOR DE VENTILADOR DEL CD-84 Y SE INSTALA EN CD 75</t>
  </si>
  <si>
    <t>REGULAR LOS PULMONES DE LA SUSPENSION DE LA CABINA</t>
  </si>
  <si>
    <t>SE DESMONTARON APOYOS DE BASE PARTE TRASERA DERECHA DE LA VALLESTA DEL CD-85</t>
  </si>
  <si>
    <t>SE DESMONTA RADIADOR DE AGUA ROTO PARA MONTAR UNO REPARADO</t>
  </si>
  <si>
    <t>SE NEGRASA COMPLETO CAMION Y BATEA QUINTA RUEDA, SE QUITA FUGA DE AIRE Y TECALAN ROTO DE ACUMULADOR DE AIRE DEL CAMION</t>
  </si>
  <si>
    <t>SE MONTA RADIADOR REPARADO Y SE LLENA CON AGUA PURA QUEDANDO OPERATIVO</t>
  </si>
  <si>
    <t>BERIFICAN FALLA, CAMBIO DE PORTA FILTRO Y FILTRO DE PETROLEO, CAMBIO DE GOLILLAS RACOR</t>
  </si>
  <si>
    <t>REPARACION SOPORTES DE FAROS TRASEROS E INSTALACION DE 2 FAROS TRASEROS, REPARACION LUZ ALUMBRADO DE PATENTE Y REPARACION DE LUCES LATERALES</t>
  </si>
  <si>
    <t>COLOCAR 2 NEUMATICOS NUEVOS DEALTEROS CON LLANTA NUEVA</t>
  </si>
  <si>
    <t>SE TRABAJA EN EL SISTEMA DE AIRE  BUSCANDO LAS FALLAS SIN ENCONTRARLAS,  SE LLAMA A UN TECNICO DE KAUFMANN Y SE ENCUNTRA CON EL PROBLEMA EL CUAL ES ELECTRICO Y SON CABLE CORTADOS</t>
  </si>
  <si>
    <t>SE CAMBIA VALVULA DEL PUENTE AUXILIAR DE LOS PULMONES DE LEVANTE</t>
  </si>
  <si>
    <t>SE CAMBIA PULMON DE FRENO ROTO POR UNO USADO DE LA BATEA PUENTE INTERMEDIO LADO DERECHO DOBLE SERVICIO</t>
  </si>
  <si>
    <t>INVERTIR LAS MANGUERAS DEL HIDRAULICO DE LA BATEA</t>
  </si>
  <si>
    <t>SE INSTALA 5TA RUEDA NUEVA, 12 PERNOS CON TUERCA NUEVOS 3/4</t>
  </si>
  <si>
    <t>DESMONTAR PROTECCIONDE BALATA RUEDA IZQUIERDA INTERMEDIA PARA EXTRAER PIEDRAS</t>
  </si>
  <si>
    <t>INSTALACION DE FARO REVERSA NUEVO LED, CAMBIO DE 2 AMPOLLETAS DE ESTACIONAMIENTO</t>
  </si>
  <si>
    <t>SE DESMONTA DIVISOR DE POTENCIA DEL DIFERENCIAL INTERMEDIO</t>
  </si>
  <si>
    <t>SE CAMBIAN LOS DOS BUJES DE LA BATEA TRASERO Y SE CAMBIA PULMON DOBLE DEL ULTIMO PUENTE LALO DERECHO Y SE CAMBIA TUBO DE SALIDA DE ESCAPE UNO CORTO POR UNO LARGO</t>
  </si>
  <si>
    <t>SE DESARMAN LOS DOS EJES TRASEROS PARA CAMBIAR TODOS LOS BUJES DE EJE LEVAS, REVISAR BALATAS, ENGRASAR RODAMIENTOS, REGULAR FRENOS, ENGRASAR BATEA, SE COLOCA PROTECCION A LA 5TA RUEDA Y SE CAMBIA PULMON DE SUSPENSION DE EJE AUXILIAR LADO IZQUIERDO</t>
  </si>
  <si>
    <t>TRASPASO DE NEUMATICOS</t>
  </si>
  <si>
    <t>CAMBIO DE NEUMATICOS COMPLETO 2 DELANTEROS</t>
  </si>
  <si>
    <t>DESMONTAR CILINDRO DE AXION DEL EMBRAGUE PARA EXTRAER PERNO CORTADO</t>
  </si>
  <si>
    <t>DESMONTAR SOPORTE IZQUIERDO DE LA TRANSMISION DE VELOCIDADES , INSTALAR EL SPORTE IZQUIERDO DE LA TRANSMISION</t>
  </si>
  <si>
    <t>DEMONTAR EL ALTERNADOR DEL CD-81 Y SE INSTALA EN EL CD-86</t>
  </si>
  <si>
    <t>DESARMADO DE VALATAS, MASAS, EJES Y BUJES DE LEVAS, EJE TRASERO</t>
  </si>
  <si>
    <t>SE VIAJA A CUREPTO PARA REGULAR EL EMBRIAGUE</t>
  </si>
  <si>
    <t>SE ARMA PUENTE INTERMEDIO DE LA BATEA CON BALATAS BUJES DE EJE LEVAS CHICHARRAS Y SEGUROS TODO NUEVO Y SE MONTAN TODOS LOS NEUMATICOS A LOS DOS PUENTES</t>
  </si>
  <si>
    <t>SE REVISA COMPLETO EL SISTEMA DE SERVO DE FRENO, SE REGULAN FRENOS SE ENGRASA COMPLETO, SE CAMBIAN GOMAS DEL AMORTIGUADOR DELANTERO DERECHO Y SE ENGRASA RODAMIENTO DE POLEA TENSORA DE CORREA DE AIRE ACONDICIONADO</t>
  </si>
  <si>
    <t>SE COLOCAN 2 NEUMATICOS NUEVOS 700 R16</t>
  </si>
  <si>
    <t>INSTALACION 2 NUEMATICOS NUEVOS Y DOS LLANTAS NUEVAS</t>
  </si>
  <si>
    <t>SE DESMOMTA CARDAN CORTO POR PROBLEMA DE CRUZETA MALAS Y SE DESARMA PARA REPARAR PIEZAS Y CAMBIAR CRUCETA</t>
  </si>
  <si>
    <t>SE REVISA TODO EL SISTEMA DE ENFRIAMIENTO POR PROBLEMA DE TEMPERATURA SE DESMONTAN CORREA DE VENTILADOR Y ALTERNADOR Y SE ENCUENTRA UN RODAMIENTO DE LA POLEA QUE UNO LA BOMBA DE AGUA, SE LE HACE MANTENCION AL RODAMIENTO SE LAVA Y SE ENGRASA</t>
  </si>
  <si>
    <t>SUBIR Y COLOCAR APOYOS MANGA CON DIFERENCIAL INTERMEDIO</t>
  </si>
  <si>
    <t>SE MANTIENE FUNCIONAMIENTO X DOS HORAS BATERIA MALA SE SOLICITA NUEVA DE 150AMP</t>
  </si>
  <si>
    <t>CAMBIAR RODAMIENTO DE POLEA DESLIZANTE DE LA CORREA DEL ALTERNADOR, CAMBIO CORREA ALTERNADOR</t>
  </si>
  <si>
    <t>SE QUITAN FUGAS DE ACEITE HIDRAULICO POR BOMBA TOMA FUERZA Y SE APRETAN PERNOS SOPORTE CAJA CORTA CORRIENTE Y SE SOLDA SOPORTE DE MANGUERA DE ENFRIADOR DE CAJA DE CAMBIOS</t>
  </si>
  <si>
    <t>CAMBIO AMPOLLETA H7 FOCO DELANTERO IZQUIERDO, SE CAMBIA ACOPLE HIDRAULICO HEMBRA |</t>
  </si>
  <si>
    <t>L.CAMPOS</t>
  </si>
  <si>
    <t>BD-01</t>
  </si>
  <si>
    <t>REPARACION DE CORTE ELECTRICO POR ASULFATAMIENTO EN LUCES DE ESTACIONAMIENTO, SE INSTALA PLACA DE FRICCION, SE INSTALA ACOPLE HIDRAULICO MACHO</t>
  </si>
  <si>
    <t>SE REPARA MOTOR DE BOMBA DE LLENADO DEL ESTANQUE DE AGUA SE CAMBIO VOLANTE MAGNATON Y CABLE DE BUJIA QUEDANDO OK, SE CAMBIAN DOS FILTROS DE PETROLEO Y FILTRO DE AIRE, SE ENGRASA Y SE REVISAN NIVELES DE ACEITE Y RELLENA EL DIFERENCIAL</t>
  </si>
  <si>
    <t>SE TERMINA DE MONTAR EL DIFERENCIAL INTERMEDIO CON SUS ACCESORIOS</t>
  </si>
  <si>
    <t>SE INSTALA MOTORO DIESEL- SEPORTES TRASERO NUEVOS- CORREAS DE VEMTILADRO Y COMPRESOR NUEVAS- SE INTALA BOMBA HIDRAULICA- SE INSTALA CILINDRO HIDRAULICO DEL VALDE Y BRAZO REPARADOS- MANGUERAS SALIDA DE BOMBAS HIDRAULICO NUEVAS- MANGUERAS DE GIRO DE MOTOR</t>
  </si>
  <si>
    <t>SE ARMA SISTEMA DE FRENO DE RUEDA DERECHA SEGUNDO PUENTE DELANTERO SE MONTA SOPORTE DE PULMON EJE LEVA CHICHARRA BALATAS</t>
  </si>
  <si>
    <t>SE VA A TERRENO A DESARMAR MASA TRASERA DERECHA PROBLEMA DE RETEN Y RODAMIENTO SE RELLENA ANTES EL DIFERENCIAL CON 4 LITROS DE ACEITE</t>
  </si>
  <si>
    <t>CAMBIO DE QUINTA RUEDA NUEVA</t>
  </si>
  <si>
    <t>SE REPARA CORTE ELECTRICO EN LUCES DE ESTACIONAMIENTO Y MARCHA ATRÁS</t>
  </si>
  <si>
    <t>CAMBIO DE ACEITE DIFERENCIALES, REGULACION DE FRENOS</t>
  </si>
  <si>
    <t>CAMBIO PATINES NUEVO CON BALATAS NUEVAS, SE RECTIFICAN TAMBORES TRASEROS, ENGRASE DE MUÑONES Y CRUCETAS</t>
  </si>
  <si>
    <t>SE SACA CHAPA Y SE REPARA, DEL MINIBUS SE SACA DIRECCION Y SE COLOCA MAZO</t>
  </si>
  <si>
    <t>SE VA A TERRENO A ARMAR MASA TRASERA DERECHA CON RODAMIENTOS Y RETENES NUEVOS Y SE TRAE A TALLER Y SE DESARMAN LOS DOS EJES PARA EMBALATAR CAMBIAR RODAMIENTOS RETENES Y RECTIFICAR TAMBORES Y ENGRASAR RODAMIENTOS</t>
  </si>
  <si>
    <t>LEVANTAR RUEDA PARA REGULAR FRENOS</t>
  </si>
  <si>
    <t>SE MONTAN BALATAS Y TAMBORES TRASEROS RECTIFICADOS SE CAMBIAN GOMAS Y FUELLES A LOS CILINDROS DE FRENOS Y SE CAMBIAN RODAMIENTOS Y RETENES DE MASAS Y SE MONTAN NEUMATICOS</t>
  </si>
  <si>
    <t>SE DESMONTA CAJA DE CAMBIOS X PROBLEMAS DE RODAMIENTO DE EMPUJE DISCO Y PIOLA DE FRENO DE MANO</t>
  </si>
  <si>
    <t>SE ARMAN DOS EJES CON SUS RODAMIENTOS RETENES Y BALATAS NUEVAS Y SE MONTAN LOS TAMBORES RECTIFICADOS Y GOMAS Y FUELLES DE CILINDROS NUEVOS SE MONTAN NEUMATICOS</t>
  </si>
  <si>
    <t>REGULACION DE FRENOS, SE REVISAN BALATAS Y CHICHARRAS DE FRENO</t>
  </si>
  <si>
    <t>SE MONTA CAJA DE CAMBIOS CON DISCO Y RODAMIENTO DE EMPUJE NUEVO Y SE COLOCA PIOLA DE FRENO DE MANO REPARADA</t>
  </si>
  <si>
    <t>QUITAR FUGA DE ACEITE DEL MOTOR, SACAR POLEA BOMBA AGUA Y TECTIFICAR QUITAR BPMBA DE PETROLEO, CAMBIO DE ORING Y TRES PERNOS DE FIJACION</t>
  </si>
  <si>
    <t>VD-50</t>
  </si>
  <si>
    <t>SE SACA CREMALELRA DE DIRRECION CON FUGA,</t>
  </si>
  <si>
    <t>2 NEUMATICOS DELANTEROS NUEVOS GOODYEAR</t>
  </si>
  <si>
    <t>2 CAMBIO NEUMATICOS DELANTERO GOODYEAR</t>
  </si>
  <si>
    <t>SACAR PROTECTORES PATINES PARA REVISAR BALATAS, PUENTE TRASERO PATINES CON ACEITE RETEN MASA MALO, CHICHARRA MALA NO REGULA, MANGUERA ROTA PULMON TRASERO DERECHO, PUENTE INTERMEDIO LADO DERECHO 6mm APROX</t>
  </si>
  <si>
    <t>2 NEUMATICOS DELANTEROS NUEVOS</t>
  </si>
  <si>
    <t>SE TRAEN DEL TALLER 4 NEUMATICOS COMPLETOS PARA MONTAR EN EL CAMION Y SE REGRESAN 3 NEUMATICOS COMPLETOS YA QUE QUEDA UNO PARA REPUESTO</t>
  </si>
  <si>
    <t>SE SACACA RUEDA DEL PUENTE DELANTERO LADO IZQUIERDO. CAMBIO DE 2 PASADORES DE LAS BALATAS CAMBIO DE RODAMIENTO DE MASA, SE REGULAN FRENOS</t>
  </si>
  <si>
    <t>REPARAR FUGA DE REFRIGERANTE</t>
  </si>
  <si>
    <t>SE CAMBIAN LOS DOS PASADORES BUJES DE PAQUETE DE RESORTE DELANTEROS IZQUIERDO Y UN BUJE AL PAQUETE DELANTERO DERECHO, SE CAMBIO EMPAQUETADURA EJE PALIER PUENTE TRASERO IZQUIERDO SE REGULAN FRENOS Y REVISAN TODOS LOS NIVELES</t>
  </si>
  <si>
    <t>SE DESMONTA VALVULA DE AIRE CAJA AUTOMATICA  POR PERDIDA DE AIRE SE MANDA A REPARAR Y SE COLOCAN, SE CAMBIA CINTURON DEL ASIENTO DE CHOFER</t>
  </si>
  <si>
    <t>REGULACION DE FRENOS</t>
  </si>
  <si>
    <t>SE MONTA BOMBA HIDRAULICA, SE INSTALA PORTA FILTRO Y FILTRO HIDRAULICO</t>
  </si>
  <si>
    <t>REPARAR LLAVE DE SALIDA ESTANQUE AGUA COLOCA 08 METROS DE MANGUERA NUEVA CHUPADOR, REGULACION DE FRENOS, ENGRASE, CAMBIO ACEITE BOMBA 15W40ACOMODAR ESTANQUE AGUA COLOCAR PROTECCIONES CHUPADOR AGUA</t>
  </si>
  <si>
    <t>REGULACION DE FRENOS, ENGRASE CRUCETA Y REVISION DE NIVELES DE ACEITE</t>
  </si>
  <si>
    <t>SE DESMONTAN TODOS LOS NEUMATICOS, TAMBORES MASAS Y PATINES DE LOS DOS ULTIMOS PUENTES PARA EMBALATAR Y RECTIFICAR TAMBORES. SE CAMBIA FILTRO SECADOR DE AIRE Y SE CAMBIAN TODOS LOS BUJES DE LOS PATINES.</t>
  </si>
  <si>
    <t>SE DESARMA PARTE SUPERIOR DELANTERA PARA SACAR PERNOS CORTADOS , SE CAMBIA ACEITE MOTOR CON FILTRO DE ACEITE Y SE CAMBIA CORREA DEL VENTILADOR</t>
  </si>
  <si>
    <t>J.VELIZ</t>
  </si>
  <si>
    <t>SE MODIFICA LA VALVULA QUE CORTA EL FINAL DE LEVANTE DE TOLVA, SE COLOCA EL FOCO TRASERO LADO DERECHO</t>
  </si>
  <si>
    <t>SE DESARMA BOMBA DE AGUA, SE REVISA TOMADOR DE FUERZA Y SE RELLENAN CON ACEITE HIDRAULICO</t>
  </si>
  <si>
    <t>SE MONTAN BALATAS TAMBORES Y MASAS NEUMATICOS DE LOS DOS ULTIMOS PUENTES, SE REGULAN FRENOS Y SE RELLENAN LOS DOS DIFERENCIALES</t>
  </si>
  <si>
    <t>8 NEUMATICOS 2 LLANTAS NUEVAS</t>
  </si>
  <si>
    <t>SE DESMONTA BOMBA DE FRENOS FUERZA PARA CAMBIAR, SE CAMBIA VASTAGO CORTADO A BOMBA DE ESTE, SE RESTAURA ESTANQUE HIDRAULICO, SE LLENA CON DTE-26</t>
  </si>
  <si>
    <t>SE DESMONTAN LOS DOS EJES TRASEROS PARA CAMBIAR BALATAS SE REGULAN FRENOS Y SE REPARA PULMON DE FRENOS PUENTE DELANTERO IZQUIERDO Y SE REVISA LA OTRA MUELA, LAS BALATAS DELANTERAS ESTAN BUENAS TODAVIA Y SE REGULAN FRENOS DELANTEROS</t>
  </si>
  <si>
    <t>CAMBIO 8 NEUMATICOS NUEVOS TRACCION
CAMBIO 8 NEUMATICOS NUEVOS TRACCION Y 1 DIRECCION</t>
  </si>
  <si>
    <t>SE CAMBIO CORREA DEL VENTILADOR Y POLEA DESLIZANTE, SE CAMBIO MANGUERA SUPERIOR DEL RADIADOR, SE RELLENO DE REFRIGERANTE, DESMONTAR LOS PERNOS DEL SOPORTE IZQUIERDO APLICAR LOCCTITE</t>
  </si>
  <si>
    <t>COLOCAR VALVULA PILOTAJE USADA PUENTE INTERMEDIO  DE CAMION EN DESARME REGULACION DE FRENOS</t>
  </si>
  <si>
    <t>REPRACION ARNES CAJA ALISON LIMPIEZA CAMBIO CORRUGADOS APRETAR PINES</t>
  </si>
  <si>
    <t>COLOCACION 2 NEUMATICOS DELANTEROS CON LANTA</t>
  </si>
  <si>
    <t>SE DESMONTAN TODAS LAS TUBERIAS QUE UNEN LA BOMBA DE AGUA AL ESTANQUE PARA LIMPIAR Y APRETAR ABRAZADERAS, JUNTAS DE GOMAS Y SE REVISA EL CIRCUITO DE LA BOMBA HIDRAULICA</t>
  </si>
  <si>
    <t>COLOCAR CADENAS PORTALON Y REGULACION DE FRENOS</t>
  </si>
  <si>
    <t>SE DESMONTA CILINDRO HIDRAULICO DE EXPANSION DE LA PALA Y SE TRAE A TALLER POR NIPLE QUEBRADO PARA SU REPARACION</t>
  </si>
  <si>
    <t>SE REVISAN TODOS LOS FLEXIBLLES HIDRAULICOS DE LA BOMBA QUE MUEVEN EL MOTOR DE LA BOMBA DE AGUA, SE REVISA EL PROBLEMA REPARA Y PERSISTE, SE DESANGRA Y EL PROBELMA PERSIGUE</t>
  </si>
  <si>
    <t>SE CAMBIA UN NEUMATICO PINCHADO DELANTERO DERECHO Y SE LLEVA A LA VULCANIZACION PARA REPARARLO, SE TRAE OTRO REPARADO Y SE MONTA</t>
  </si>
  <si>
    <t>SE COLOCA CILINDRO HIDRAULICO DE EXPANSIÓN DE LA PALA DE OTRA MOTONIVELADORA, QUEDANDO OPERATIVA</t>
  </si>
  <si>
    <t>SE DESMONTA FLEXIBLE HIDRAULICO QUE ALIMENTA ESTANQUE A LA BOMBA, SE REVISA COMPLETO Y NO SE ENCUENTRA NADA DE FUGAS, SE CORTAN LAS PUNTAS Y COLOCAN Y APRETAN NIPLES</t>
  </si>
  <si>
    <t>SACAR EJE DIFERENCIAL PUENTE INTERMEDIO PARA SELLAR CON SILICONA, REGULACION DE FRENOS</t>
  </si>
  <si>
    <t>SE CAMBIA MANGUERA ROJA DEL INTERCOOLER Y SE CAMBIA MANGUERA ROTA DE AGUA DEL RADIADOR Y SE RELLENA CON 20 LITROS DE COLER</t>
  </si>
  <si>
    <t>SE DESMONTA EL ESTANQUE HIDRAULICO PARA CORREGIR PRESION, SE COLOCAN MANGUERAS HIDRAULICAS USADAS</t>
  </si>
  <si>
    <t>CAMBIO DE CRUZETA Y MACHON DE ENTRADA AL DIFERENCIAL DELANTERO</t>
  </si>
  <si>
    <t>2 NEUMATICOS NUEVOS DELANTEROS TECHKING (750R16LT)</t>
  </si>
  <si>
    <t>COLOCAR BOMBA DE AGUA NUEVA EN ESTANQUE</t>
  </si>
  <si>
    <t>COLOCAR GRASERAS CON CHICHARRAS DE FRENOS COLOCAR LOGO, PREVISION VISUAL DE FRENOS 50%, FILTRO DE AIRE EN BUEN ESTADO, ENGRASE</t>
  </si>
  <si>
    <t>COLOCAR BOMBA AGUA NUEVA, TENSOR CORREA NUEVO, COLOCAR AGUA VERDE</t>
  </si>
  <si>
    <t>CAMBIO DE PERNO DE SOPORTE CON PASADORES BUJES DEL PUENTE DELANTERO</t>
  </si>
  <si>
    <t>EXTERNO</t>
  </si>
  <si>
    <t>CAMION NO PARTE SE LE CAMBIA RELE BOMBA PETROLEO Y SE CARGA BATERIAS</t>
  </si>
  <si>
    <t>SE DESMONTAN PAQUETE DE RESORTES PUENTE INTERMEDIO DELANTERO DERECHO Y PERNO CENTRO CORTADO
SE DESMONTA PAQUETE DE RESORTE PUENTE INTERMEDIO DELANTERO DERECHO x PERNO CENTRO CORTADO</t>
  </si>
  <si>
    <t>SE DESMONTAN TODOS LOS NEUMATICOS TAMBORES BALATAS Y CARDANES DEL SEGUNDO PUENTE TRASERO INTERMEDIO PARA DESMONTAR DIFERENCIAL</t>
  </si>
  <si>
    <t>CAMBIO CHICHARRA TRASERA LADO IZQUIERDO, CARGADOR VOLVO SE CAMBIA LADO DE PUERTA, SE COLOCA ACERO LIQUIDO A DEPOSITO DE AGUA</t>
  </si>
  <si>
    <t>SE MONTA PAQUETE DE RESORTE PUENTE INTERMEDIO DELANTERO DERECHO CON SU PERNO CENTRO NUEVO Y ABRAZADERAS</t>
  </si>
  <si>
    <t>SE ARMA DIFERENCIAL CON TODOS SUS COMPONENTES, SE COLOCA DIFERENCIAL Y MONTAN LOS NEUMATICOS Y SE REGULAN FRENOS</t>
  </si>
  <si>
    <t>SACAR CILINDRO DESLIZADERA DE LA PALA, VOLVER AL TALLER, FABRICAR NIPLE, VIAJAR NUEVAMENTE A FAENA Y TERMINAR EQUIPO QUEDANDO OPERATIVO</t>
  </si>
  <si>
    <t>SE VA A LA PIRAGUA A REGULAR PRENSA DE EMBRAGUE, SE TRAE A TALLER Y EN EL CAMINO SE DEMONTA EL CARDAN CORTO QUE LLEGA AL PRIMER DIFERENCIAL</t>
  </si>
  <si>
    <t>SE CAMBIA CERVO EMBRAGUE SE DESANGRA Y REGULA</t>
  </si>
  <si>
    <t>VER PROBLEMA CAMION NO ACELERA Y HECHA HUMO NEGRO, SE REVISA SISTEMA ELECTRICO Y SE LIMPIA COMPUTADOR Y SE LLEGA A CONCLUSION QUE ESTA MALO EL FRENO DE MOTOR</t>
  </si>
  <si>
    <t>SE MONTAN LOS DOS PASADORES DE PAQUETE DE RESORTES DELANTERO DERECHO PARTE TRASERA Y SE RELLENA CAJA AUTOMATICA CON ATF</t>
  </si>
  <si>
    <t>SE DESMONTA BOMBA DE EMBRAGUE PARA HACERLE UN RECAMBIO DE GOMAS SE REVISAN PASTILLAS Y BALATAS DE FRENOS SE ENGRASA COMPLETO SE CAMBIA EL AGUA DEL RADIADOR Y ANTICONGELANTE</t>
  </si>
  <si>
    <t>SE DESMONTAN LOS CUATRO NEUMATICOS TAMBORES Y BALATAS MASAS Y DIFERENCIAL COMPLETO  TRASERO INTERMEDIO</t>
  </si>
  <si>
    <t>PROBLEMA EN EL FRENO EN MINIMAS REVOLUCIONES EL PEDAL SE ENDURECE POSIBLEMENTE PROBLEMA EN EL SISTEMA DE VACIO</t>
  </si>
  <si>
    <t>SE COLOCAN LOS RETENES NUEVOS A LAS DOS MASAS TRASERAS Y SE MONTAN CON LOS TAMBORES Y RODAMIENTOS Y SE COLOCAN LOS NEUMATICOS</t>
  </si>
  <si>
    <t>SE CAMBIA BOMBA DE EMBRAGUE Y SE RELLENA CON 1/2 LITRO DE LIQUIDO DE FRENOS</t>
  </si>
  <si>
    <t>2 NEUMATICOS CON 2 LLANTAS NUEVAS Y CAMARA</t>
  </si>
  <si>
    <t>2 NEUMATICOS NUEVOS Y 2 LLANTAS CON CAMARA NUEVAS</t>
  </si>
  <si>
    <t>SE CAMBIA COMPRESOR AIRE ACONDICIONADO Y SE REPARA SEÑAL DE ACTIVACION COMPRESOR</t>
  </si>
  <si>
    <t>SE CAMBIA BUJE NUEVO AL BOGUE DELANTERO LADO DERECHO Y SE MONTA DIFERENCIAL COMPLETO SE COLOCAN PATINES EMBALATADOS TAMBORES Y MASAS EJES PAILERES Y NEUMATICOS</t>
  </si>
  <si>
    <t>SE APOYA EN REPARACION SISTEMA A/C Y LIMPIEZA FILTROS DE AIRE, SE CAMBIA FILTRO</t>
  </si>
  <si>
    <t>DESMONTAR Y DESARMAR REDUCTOR GIRO DE LA TORNAMESA</t>
  </si>
  <si>
    <t>SE ARMA AGUILON CON FLEXIBLES Y CILINDRO Y SE COLOCAN TODOS LOS FLEXIBLES QUE FALTAN , SE COLOCAN TAPAS Y PECHUGAS PROTECTORAS, SE RELLENA CON 15 LTS DE ANTICONGELANTE, QUEDA ANDANDO SIN PROBLEMAS</t>
  </si>
  <si>
    <t>CAMBIO DE NEUMATICOS Y LLANTAS NUEVAS</t>
  </si>
  <si>
    <t>CAMBIO CORTACORRIENTE SACADOS DEL CD-83 USADOS, SE REVISAN FUSIBLES SE SACA ENCHUFE EN MAL ESTADO TRASERO DEL CAMION Y SE COLOCAN LOS CABLES DIRECTOS</t>
  </si>
  <si>
    <t>CAMBIAR NEUMATICO IZQUIERDO DEL SEGUNDO PUENTE DESMONTADO DEL CAMION CD-107</t>
  </si>
  <si>
    <t>CAMBIO FILTRO ACUMULADOR DE AIRE, SE REPARA PULMON LADO IZQUIERDO TRASERO, SE REVISAN FUGAS DE AIRE</t>
  </si>
  <si>
    <t>8 NEUMATICOS NUEVOS, 8 LLANTAS NUEVAS</t>
  </si>
  <si>
    <t>LIBERAR FRENO EJES TRASEROS Y CARGARLO EN CAMA BAJA</t>
  </si>
  <si>
    <t>SE COLOCAN A NIVEL LOS DOS DIFERENCIALES, SE REPARA PISADERA LADO DERECHO Y SE REPARAN FRENOS</t>
  </si>
  <si>
    <t>CAMBIO MOTOR ARRANQUE VER PROBLEMAS PARTIDA, REVISAR CIRCUITO ELECTRICO, CARDAL DE PALANCA DE CAMBIOS MALO HAYQ EU COMPRARLO, MANILLA PALANCA CAMBIOS MAL ESTADO SE REQUIERE COMPRA</t>
  </si>
  <si>
    <t>INSTALAR PULMON DE FRENO TRASERO, CAMBIAR TAPA DE RUEDA RODAMIENTO, RELLENO ACEITE TAPAS Y REGULACION DE FRENOS</t>
  </si>
  <si>
    <t>G.STULL</t>
  </si>
  <si>
    <t>CAMBIAR SELLO, CAMBIAR TECALAN DE AGUA MALO</t>
  </si>
  <si>
    <t>SE VA A QUIRIHUE A ARMAR MASA TRASERA CON SUS BALATAS NUEVAS Y TAMBOR RECTIFICADO, SE ENGRASAN CHICHARAS Y EJES LEVAS DE FRENO</t>
  </si>
  <si>
    <t>CAMBIO DE NEUMATICOS DELANTEROS 2</t>
  </si>
  <si>
    <t>ENGRASAR BOMBA DE AGUA</t>
  </si>
  <si>
    <t>SACAR COMPRESOR DE AIRE, PEDIDO DE FILTRO PARA MANTENCION DE EXCAVADORA DOOSAN, ACEITE MOTOR ATF PARA TRANSMISION CON FILTROS</t>
  </si>
  <si>
    <t>CAMBIO DE BOMBA DE AGUA</t>
  </si>
  <si>
    <t>SE COLOCA TENSOR DEL PUENTE TRASERO; SE COLOCA BATERIA MOTOR LLENADO DE ESTANQUE DE AGUA</t>
  </si>
  <si>
    <t>SE RELLENA MOTOR 4 LITROS Y SE REVISAN NIVELES DE CAJA DE CAMBIOS Y SE RELLENAN LOS DIFERENCIALES, ADEMAS SE REGULAN FRENOS Y SE RELLENA DIRECCION</t>
  </si>
  <si>
    <t>SE LIMPIA TODO EL CIRCUITO DE PETROLEO FILTRO Y TAMBIEN EN EL INYECTOR</t>
  </si>
  <si>
    <t>COLOCAR TAPON NUEVO CARTER TRANSMISION, REPASAR HILOS CARTER Y 35 LITROS DE ACEITE ATF</t>
  </si>
  <si>
    <t>SE REVISA MOTOBOMBA Y SE DETERMINA QUE SE DEBE CAMBIAR BATERIA</t>
  </si>
  <si>
    <t>1 CAMBIO DE RUEDA</t>
  </si>
  <si>
    <t>3840-1</t>
  </si>
  <si>
    <t>Se cambia batería mala por una de otro aljibe y queda operativa.</t>
  </si>
  <si>
    <t>CAMBIO NEUMATICOS</t>
  </si>
  <si>
    <t>CAMBIO NEUMATICO 1 SE PUSO REPUESTO</t>
  </si>
  <si>
    <t>CAMBIO EMPAQUETADURA DE GOMA</t>
  </si>
  <si>
    <t>REPARAR NEUMATICO IZQUIERDO Y CAMBIO DE 3 NEUMATICOS</t>
  </si>
  <si>
    <t xml:space="preserve">COLOCAR MANGUERA NUEVA CAJA VALVULA U ENGRASAR </t>
  </si>
  <si>
    <t>INSTALACION MOTOR AJUSTADO</t>
  </si>
  <si>
    <t>COLOCAR FLEXIBLE 07 GOLILLA PARA COLOCAR BALDE BIELAS Y PASADORES , COLOCAR BALDE CON CALZAS NUEVAS , CAMBIO DE ACEITE REDUCTOR</t>
  </si>
  <si>
    <t>SACAR NEUMATICOS PARA SACAR TAMBOR DE FRENOS TRANCADO</t>
  </si>
  <si>
    <t>COLOCAR CARDAN INTERMEDIO CON CRUCETA NUEVA ENGRASE CRUCETAS PUENTE INTERMEDIO LADO IZQUIERDO</t>
  </si>
  <si>
    <t>SE MONTAN LOS DOS NEUMATICOS TRASEROS LADO DERECHO</t>
  </si>
  <si>
    <t>SE REVISAN NIVELES DE ACEITE DIFERENCIALES, SE RELLENA EL DIFERENCIAL INTERMEDIO Y SE RELLENA MOTOR CON ACEITE</t>
  </si>
  <si>
    <t>INSTALAR CILINDRO HIDRAULICO DE LEVANTE, RELLENAR CON ACEITE HIDRAULICO</t>
  </si>
  <si>
    <t>SE CAMBIA MOTOR HIDRAULICO NUEVO POR EL USADO QUE TENIA ANTES Y SE PRUEBA Y SE SACA EL ACEITE HIDRAULICO PARA SACAR LA BOMBA DEL MOTOR HIDRAULICO VENTILADOR SE DESARMA BOMBA SE PRUEBA Y NO LEVANTA, SE VUELVE A SACAR Y SE CAMBIA EL FLEXIBLE QUE ALIMENTA LA</t>
  </si>
  <si>
    <t>SE CAMBIAN 2 NEUMATICOS NUEVOS</t>
  </si>
  <si>
    <t>SE DESMONTAN DOS NEUMATICOS PUENTE INTERMEDIO TRASERO DERECHO PARA DESMONTAR BUJES DE BOGUES</t>
  </si>
  <si>
    <t>SE CAMBIA MOTOR DE PARTIDA MALO POR UNO NUEVO</t>
  </si>
  <si>
    <t>COLOCAR CADENA  DE RUEDAS TENSORAS CATALINA</t>
  </si>
  <si>
    <t>MANTENCION 250.  CAMBIO DE RODAMIENTO DEL TAMDEN LADO DERECHO, CAMBIO DISCOS Y SELLOS LADO DERECHO
CAMBIO DE FIERRO DE PARA DESLIZADERA</t>
  </si>
  <si>
    <t>SE DESARMA COMPLETO EL PUENTE INTERMEDIO TRASERO LADO DERECHO PARA DESMONTAR BUJE DE BOGUE MALO</t>
  </si>
  <si>
    <t>INSTALAR LOS APOYOS DE LA PALA</t>
  </si>
  <si>
    <t>SE INSTALAN MODULOS DE CABINA Y MOTOR, SE CAMBIA SENSOR DE POSICION NEUTRO ADEMAS DE ARMADO DEL INTERIOR</t>
  </si>
  <si>
    <t>CORREGIR FUGA ACEITE HIDRAULICO, UBICAR PERDIDA DE ACEITE MOTOR DEL TAMBOR</t>
  </si>
  <si>
    <t>se saca flexible hidráulico que va del filtro hidráulico a la caja de dirección, para hacer uno nuevo</t>
  </si>
  <si>
    <t>SE DESARMA MASA RUEDA PUENTE INTERMEDIO TRASERO LADO IZQUIERDO PARA REPARAR SOPORTE DE CHASIS AL EJE DIFERENCIAL Y SACAR PERNO CORTADO EJE PALIER</t>
  </si>
  <si>
    <t>CAMBIO DE MOTOR DE ARRANQUE MALO</t>
  </si>
  <si>
    <t>VIAJAR A BOTALCURA CAMBIO DESLIZADERAS DE LA PALA</t>
  </si>
  <si>
    <t>SE CAMBIA FLEXIBLE DEL YOITY LADO DERECHO, SE SACO A LA OTRA EXCAVADORA MD-33</t>
  </si>
  <si>
    <t>SE SACA RADIADOR ROTO PARA REPARARLO</t>
  </si>
  <si>
    <t>SE DESARMA MASA PUENTE INTERMEDIO TRASERO LADO IZQUIERDO PARA REPARAR TOPE D ELA MANGA DEL DIFERENCIAL Y SACAR PERNO CORTADO DE LA MASA</t>
  </si>
  <si>
    <t>SACAR PROTECTORES BALATAS PARA REVISAR BALATAS, PUENTE DELANTERO TRASERO CON RUIDO AL FRENAR LADO DERECHO</t>
  </si>
  <si>
    <t>INSTALAR BOMBA HIDRAULICA DEL VENTILADOR REPARADA, RELLENAR ACEITE HIDRAULICO</t>
  </si>
  <si>
    <t>SE VA A QUIRIHUE A DESARMAR MASA TRASERA LADO DERECHO ULTIMO PUENTE, SE TRAE TAMBOR Y BALATAS PARA RECTIFICAR ADEMAS DE TRAER DOS NEUMATICOS UNO PINCHADO Y EL OTRO VALVULA MALA</t>
  </si>
  <si>
    <t>SE REPARA MOTOR AUTOENCARPE DAÑADO</t>
  </si>
  <si>
    <t>SE APRETAN LOS CUATRO PERNOS DEL CARDAN QUE LLEGAN AL PRIMER DIFERENCIAL DELANTERO Y SE COLOCA UN PERNO AL PASADOR DE LA TOLVA</t>
  </si>
  <si>
    <t>REPARACION PERDIDA DE ACEITE MASA TRASERA IZQUIERDA ULTIMO PUENTE, RELLENO 3 LITROS ACEITE 80w90 DOFERENCIAL TRASERO, RELLENO 10 LITROS ACEITE HIDRAULICO ISO 68, REPARACION CORTA CORRIENTE Y SOLDADURA BAJO FOCO TRASERO DERECHO</t>
  </si>
  <si>
    <t>A.SEPULVEDA</t>
  </si>
  <si>
    <t>MANTENCION COMPLETA, CAMBIO DE BOMBA HIDRAULICA</t>
  </si>
  <si>
    <t>REPARACION REDUCTOR DE LA CINTA SUPERIOR, 4 PIÑONES DE SATELITE NUEVOS CON RODAMIENTOS, 3 PIÑONES CON DORAMIENTO SOPORTE Y RIÑON CENTRAL NUEVOS INSTALAR EL REDUCTOR EN LA MAQUINA, MANGUERA DE BAIPAS DEL REFRIGERANTE DEL MOTOR NUEVA, FILTRO DE REFRIGERANTE</t>
  </si>
  <si>
    <t>CAMBIO 4 NEEUMATICOS USADOS</t>
  </si>
  <si>
    <t>SE DESMONTA CRUZETA NUEVA AL CARDAN INTERMEDIO Y SE COLOCA VISOR NUEVO DE ACEITE DE TRANSMISION Y SE RELLENA CON 20 LITROS DE 424 Y SE RELLENA LOS DOS DIFERENCIALES  CON 2 LITROS, SE REVISAN NIVELES</t>
  </si>
  <si>
    <t>SE VIAJA A SANTA BARBARA A CONFECCIONAR 6 GOLILLAS DE AJUSTE PARA EL VALDE Y SE MONTAN Y SE ENGRASA COMPLETA Y SE APRETAN PERNOS SUELTOS DE CAÑERIAS HIDRAULICAS, SE REVISAN NIVELES</t>
  </si>
  <si>
    <t>REVISION DE BALATAS, REGULACION DE FRENOS</t>
  </si>
  <si>
    <t>SE CAMBIAN Y MONTAN 8 NEUMATICOS NUEVOS CON 8 LLANTAS NUEVAS</t>
  </si>
  <si>
    <t>SE MONTA BUJE NUEVO AL DIFERENCIAL INTERMEDIO LADO DERECHO SE RELLENA CON ACEITE Y SE MONTAN LOS 4 NEUMATICOS Y SE REGULAN FRENOS SE REVISAN NIVELES</t>
  </si>
  <si>
    <t>DESMONTAR MANGUERA HIDRAULICA DE CILINDRO DIRECCION</t>
  </si>
  <si>
    <t>ROTACION 4 NEUMATICOS Y 1 REPARACION</t>
  </si>
  <si>
    <t>COLOCAR PATIN NUEVOS PISTON CHANCADOR - ACEITES: MOBIL GEAR 600 XP 200 208LTS/ SPARTAN EP220 50LTS / DTE26 208LTS/  CAMBIO GUARDERA TRASERAA CINTA   SALIDA / REAPRETE PERNOS, TAPA REDUCTORES.</t>
  </si>
  <si>
    <t>SE EXTRAE BOCINA DE CARGADOR E INSTALA EN MOTO,</t>
  </si>
  <si>
    <t>CORREGIR FUGA DE AIRE, FUGA DE ACEITE MOTOR, FUGA DE ACEITE HIDRAULICO</t>
  </si>
  <si>
    <t>SE SACA ENFRIADOR DE ACEITE DE CAJA DE CAMBIOS Y SE BOTA ACEITE MOTOR CAJA  CAMBIOS Y DIFERENCIALES, SE SACAN FILTROS DE MOTOR AGUA Y PETROLEO, CAJA DE CAMBIOS Y DIFERENCIAL INTERMEDIO</t>
  </si>
  <si>
    <t>SE VOTA EL ACEITE DE MOTOR Y ACEITE DE DIRECCION Y SE SACAN FILTROS DE MOTOR, DIRECCION, PETROLEO Y AIRE Y AGUA</t>
  </si>
  <si>
    <t>INSTALAR MANGUERA HIDRAULICA DE CILINDRO DIRECCION</t>
  </si>
  <si>
    <t>CAMBIO NEUMATICOS LADO COPILOTO</t>
  </si>
  <si>
    <t>REPARACION NEUMATICOS LADO CONDUCTOR</t>
  </si>
  <si>
    <t>VD-52</t>
  </si>
  <si>
    <t>SE DESARMA CAMIONETA- SE SACA CAJA DE CAMBIO - SE SACA BOMBA DE FRENO</t>
  </si>
  <si>
    <t>CAMBIO NEUMATICOS LADO CHOFER</t>
  </si>
  <si>
    <t>SE COLOCO PASADOR QUE EL OTRO ESTABA MALO</t>
  </si>
  <si>
    <t>INSTALAR MOTOL DIESEL</t>
  </si>
  <si>
    <t>SE SACA TODO EL ACEITE HIDRAULICO Y LA BOMBA PRINCIPAL PARA REPARACION</t>
  </si>
  <si>
    <t>SE REPARA MOTOR DE ARRANQUE, MOTOBOMBA DE AGUA</t>
  </si>
  <si>
    <t>SE REVISA Y REPARAN LUCES ESTACIONAMIENTO FOCOS TRASEROS, 3 AMPOLLETAS GLOBO CHICO</t>
  </si>
  <si>
    <t>CAMBIO DE NEUMATICOS DIRECCION EN LOS YUYOS</t>
  </si>
  <si>
    <t>CAMBIO DE NEUMATICOS DIRECCION EN OBRA LOS YUYOS</t>
  </si>
  <si>
    <t>SE REPARAN LUCES DE ESTACIONAMIENTO FOCO TRASERO LADO DERECHO</t>
  </si>
  <si>
    <t>TRAVESAÑO AUTOENCARPE DOBLADO SE REPARA</t>
  </si>
  <si>
    <t>SE REPARA BOCINA LA CUAL FALLA SWITCH MODERADAMENTE, ADEMAS SE REGULA SEGURO</t>
  </si>
  <si>
    <t>DESMONTAR EL PEDAL DE FRENO QUE ESTABA AGRIPADO SUAVISARLO Y INSTALARLO</t>
  </si>
  <si>
    <t>REPARACION E INSTALACION DEL COMPRESOR - CAMMBIO ACEITE DIFERENCIAL TRASERO 15 LTS - RELLENO DIFERENCIAL INTERMEDIO 4 LTS - RELLENO REFRIGERANTE 30 LTS - ADAPTAR RESORTE PARA TENSAR CAPO</t>
  </si>
  <si>
    <t>SE REPARA EQUIPO RECHAZADO PARA REVISION TECNICA, CAMBIO DE MICA TRASERA IZQUIERDA Y AMPOLLETAS QUEMADAS; INTERMITENTE LADO DERECHO, AMPOLLETAS DE ESTACIONAMIENTO Y FUSIBLE DE FRENO QUEMADO</t>
  </si>
  <si>
    <t>SE MONTA ENFRIADOR DE ACEITE CAJA DE CAMBIOS Y SE CONECTAN TODOS SUS FLEXIBLES DE AGUA Y DE ACEITE, SE COLOCA ACEITE NUEVO A LA CORONA INTERMEDIA DEL DIFERENCIAL  Y SE LE QUITAN TODAS LAS PROTECCIONES DEL VENTILADOR, ALTERNADOR Y COMPRESOR DE A/C</t>
  </si>
  <si>
    <t>SE MONTA CAJA DE CAMBI, SE REPARO PRENSA, DISCO DE EMBRIAGUE Y VOLANTE</t>
  </si>
  <si>
    <t>PRESENTA PROBLEMA EN RETEN DEL MOTOR EN BAJAS REVOLUCIONES, HUMO AZUL EN EL ESCAPE, SE DETERMINO PROBLEMA EN LA VALVULA PRESION DE PETROLEO</t>
  </si>
  <si>
    <t>SE COLOCAN DOS FILTROS DE ACEITE, SE QUITA ESTANQUE DE PETROLEO Y SE LAVA</t>
  </si>
  <si>
    <t>SE VA A DIGUA- PARRAL A CAMBIAR CILINDO HIDRAULICO.</t>
  </si>
  <si>
    <t>SE INSTALAN DOS MANGUERAS DE SUCCION DE BOMBA HIDRAULICA NUEVAS, SE AGREGAN 6O LTS DE ACEITE HIDRAULICO</t>
  </si>
  <si>
    <t>INSTALAR MOTOR REPARADO, SE COLOCA CARDAN NUEVO , CON CRUZETA NUEVA</t>
  </si>
  <si>
    <t>PROBLEMA DE PARTIDA SELENOIDE AUXILIAR MAL ESTADO DIODO EN CORTE Y FUSIBLE TERMICO PRINCIPAL</t>
  </si>
  <si>
    <t>COLOCAR 1 ORING USADO MANGUERA CILINDRO ATAQUE</t>
  </si>
  <si>
    <t>REVICION PROBLEMAS PARTIDA CHAPA CONTACTO AISLADO Y REMPLASO FUSIBLE 
REVICION PROBLEMA PARTIDA CHAPA, PRESENTA CONTACTO AISLADA Y REMPLAZO DE FUSIBLE</t>
  </si>
  <si>
    <t>REPARACION Y CONEXIÓN ARNES DE MOTOR</t>
  </si>
  <si>
    <t>SE CAMBIA BOMBA DE FRENO , SE CAMBIA SERVO , SE REGULA FRENO</t>
  </si>
  <si>
    <t>SACAR VENTILADOR DE PLANTA POR ENCONTRARSE EN MAL ESTADO</t>
  </si>
  <si>
    <t>REEMPLAZAR FUSIBLE QUEMADOS Y SE SACA POTENCIOMETRO ACELERADOR PARA REPARACION</t>
  </si>
  <si>
    <t>SE REVISA MOTOR VINTILADOR Y SE DIAGNOSTICA SIN REPARACION.</t>
  </si>
  <si>
    <t>INSTALAR MOTOR VENTILADOR NUEVO 220 VOLTS CON CENVERSOR</t>
  </si>
  <si>
    <t>REPARACION INCERTO VENTILADOR</t>
  </si>
  <si>
    <t>REGULACION DE FRENO</t>
  </si>
  <si>
    <t>CAMION CON PROBLEMAS DE ARRANQUE SE ENCUENTRA PERNOS CORTADOS Y SUELTOS DE CAJA</t>
  </si>
  <si>
    <t>REVISAR CARGA ALTERNADOR Y SE ENCUENTRA TABLERO DEFECTUOSO</t>
  </si>
  <si>
    <t>SE REPONE CASI TODOS LOS PERNOS DE LA CAMPANA QUE UNE LA CAJA DE CAMBIOS CON EL MOTOR , FALTARON 5  QUE ESTAN CORTADOS</t>
  </si>
  <si>
    <t>APRETAR TODOS LOS PERNOS DEL PLANETARIO LADO IZQUIERDO POR PERDIDA DE ACEITE Y SE COLOCA A NIVEL</t>
  </si>
  <si>
    <t>COLOCAR MOTOR DE PARTIDA Y REVICION DE MOTOR POR QUE ESTE SE ENCUENTRA TRANCADO</t>
  </si>
  <si>
    <t>BD-19</t>
  </si>
  <si>
    <t>SE REPARA SISTEMA ELECTRICO, ALUMBRADO FOCOS FAENEROS Y ADEMAS SE CAMBIA LUZ PATENTE Y SE EXTRAE TODO CABLE ELECTRICO SOBRANTE</t>
  </si>
  <si>
    <t>SE DESMONTA CAJA DE CAMBIO PARA CAMBIO DE PERNOS CORTADOS DE ACOPLE MOTOR CAJA</t>
  </si>
  <si>
    <t>REPARACION SITEMA AUTO ENCARPE</t>
  </si>
  <si>
    <t>REPARACION PORTA FUSIBLE PORQUE EL ALTERNADOR NO CARGABA</t>
  </si>
  <si>
    <t>CAMBIO CULATIN COMPRESOR</t>
  </si>
  <si>
    <t>ED-50</t>
  </si>
  <si>
    <t>CAMBIO DE CILINDRO DE BASCULACION, SE CAMBIA DOS SONDAS DE MARCADORES DE RELOJES DE PRESION Y SE DESARMA UN DESLISADOR PARA CAMBIO.</t>
  </si>
  <si>
    <t>SACAR CILINDRO GEMELOS Y DE VOLTEO , CON MANGUERA</t>
  </si>
  <si>
    <t>REVICION SISTEMA DE FRENO DELANTERO , CAMBIO DE BALATAS , GOMAS , GOLILLAS , SE REGUNA FRENO TRACERO</t>
  </si>
  <si>
    <t>VER PROBLEMA DE PARTIDA. SE ELIMINA SELENOIDE DE CONTACTO. FUSIBLE CAMBIADO Y LUZ PILOTO 24 VOLTS MAL ESTADO</t>
  </si>
  <si>
    <t>ANALIZAR EL MOTOR GOTEA AGUA POR EL RESPIRADERO DEL CARTER ADEMAS DE SOPLAR</t>
  </si>
  <si>
    <t>REVICION SITEMA DE FRENO , SE REVISA RUEDA DELANTERA , PISTON DE FRENO AGRIPADO,</t>
  </si>
  <si>
    <t>REPARACION SISTEMA DE FRENO</t>
  </si>
  <si>
    <t>SE TERMINA DE BAJAR LA CAJA DE CAMBIO Y SE SACAN 5 PERNOS CORTADOS</t>
  </si>
  <si>
    <t>SE MONTAN CAJA DE CAMBIOS Y CASI TODOS LOS ACCESORIOS , SOLO FALTO COLOCAR CARGAN Y TAPA DEL PISO DE LA PALANCA DE CAMBIO</t>
  </si>
  <si>
    <t>SACAR VENTILADOR DE EQUIPO PARA TRAER A TALLER</t>
  </si>
  <si>
    <t>CAMBIO CULATIN NUEVO SE COLOCA ORING MOTOR ROTACION</t>
  </si>
  <si>
    <t>SACAR RODAMIENTO VENTILADOR EN TALLER PARA REPARACION</t>
  </si>
  <si>
    <t>SE ORDENA CABLEADO DE CAMION Y DEJA FUNCIONANDO SISTEMA ELECTRICO</t>
  </si>
  <si>
    <t>SE INSTALA CORTA CORRIENTE QUE SE ENCONTRABA AUSENTE EN EL EQUIPO</t>
  </si>
  <si>
    <t>SE MNONTA CARDANES ENTRE DIFERENCIAL Y CAJA Y SE COLOCA TAPA DE PISO Y SE APRENA, SE CAMBIA EL AGUA DEL RADIADOR
 ,</t>
  </si>
  <si>
    <t>INSTALACION VENTILADOR REPARADO DE CONO</t>
  </si>
  <si>
    <t>DESMONATAR CAÑERIAS DE SISTEMA DE PETROLEO</t>
  </si>
  <si>
    <t>SE CAMBIA MOTOR DE ARRANQUE Y CHAPPA DE CONTACOT DE MOTOBOMBA</t>
  </si>
  <si>
    <t>SE VA A BUSCAR NEUAMTICO DE MOTO NIVELADORA PARA ENVIAR A MD-26</t>
  </si>
  <si>
    <t>SE CAMBIA NEUMATICO DE MD-56 A ESTE EQUIPO</t>
  </si>
  <si>
    <t>SE PREPARA EL CIRCUITO DE AUTO LLENADO PARA CONECTAR BOMBA DE AGUA</t>
  </si>
  <si>
    <t>COLCOAR 2 CILINDRO REPADAROS DE LEVANTE , 1 REPARADO DE BALDE , 1 MANGERA NUEVA,</t>
  </si>
  <si>
    <t>SE TRABAJA MONTANDO LOS ELEMENTOS DE MOTOR DEL CARGADOR</t>
  </si>
  <si>
    <t>SE CAMBIA PASTILLAS DE FRENO, REPARACION DE CALIPER , SE INSTALA PICAP METALICO</t>
  </si>
  <si>
    <t>CAMBIO RODAMIENTO DE LA BOMBA DE ASFALTO , ARMADO E INSTALADO EN LA MAQUINA</t>
  </si>
  <si>
    <t>SE TRABAJA TODO EL TURNO TERMINANDO DE ARMAR TODOS LOS ACCESORIOS DEL MOTOR SISTEMA DE FLEXIBLES HIDRAULICOS DE AGUA DE AIRE</t>
  </si>
  <si>
    <t>VER PROBLEMAS QUE NO GIRA RODILLO DE LA GRAVILLADORA REVICION SISTEMA ELECTRICO , SE ENCUENTRA RELE MALO HOROMETRO MALO Y SE REPARA DOBLE FUNCION</t>
  </si>
  <si>
    <t>EQUIPO SE CORTA CORREA DE ACCESORIOS, SE DESARMA Y SOLICITA REPUESTOS.</t>
  </si>
  <si>
    <t>SE MONTA BOMBA DE AGUA CONECTADA CON TOMA FUERZA</t>
  </si>
  <si>
    <t>SE COLOCA MANGUERA NUEVA DEL RADIADOR A LA BOMBA DE AGUA Y COLOCA 3 PERNOS DEL SOPORTE DEL INTERCOOLER</t>
  </si>
  <si>
    <t>REPARAICON CABLES EN CORTOCIRCUITO , TABLERO MOTOR Y SELLADO DE CABLES , SE ENCUENTRA CORDON DE 7 VIAS MALO SE LLEVA A MUESTRA</t>
  </si>
  <si>
    <t>REPARACION ARNES CAJA CAMBIO ALLISON APRETAR PINES Y REVICION CABLES</t>
  </si>
  <si>
    <t>REVICION PROBLEMAS ELECTRICOS, BATERIAS ESTAN SUELTAS , REVISAR SELENOIDE DE REVERSA DE VENTILADOR CON PROBLEMAS</t>
  </si>
  <si>
    <t>NO COMPRIME COMPRESOR ENCHUFE ELECTROVALVULA MALO REVICION RODILLO CAMBIO BARRA EN MAL ESTADO Y DESLIZADERA ,</t>
  </si>
  <si>
    <t>DESARME EJES TRASEROS TAMBOR DE FRENO , CILINDRO FRENOS</t>
  </si>
  <si>
    <t>COLOCAR CARDAN CORTO CON CRUCETA NUEVA ENGRASE PASADOR TOLVA</t>
  </si>
  <si>
    <t>NO ENCIENDE PANTALLA QUEMA FUSIBLE 15 AMP , SE BUSCA CORTOCIRCUITO EN CABLES ,</t>
  </si>
  <si>
    <t>CAMBIAR FOCOS TRASEROS NUEVOS 2 AMPOLLETAS GLOBO CHICO 6 AMPOLLETAS GLOBO GRANDE FOCO PATENTE MAL ESTADO SE SACA ALTERNADOR PARA REPARACION BATERIAS MALAS SE RETIRAN PARA TRAER A TALCA</t>
  </si>
  <si>
    <t>CONECTAR MOTOR Y REV CABLES</t>
  </si>
  <si>
    <t>INSTALAR DE MOTOR DE ARRANQUE</t>
  </si>
  <si>
    <t>SE SACAN LOS PUENTES TRASEROS Y DELANTEROS , PARA CAMBIO DE SELLOS DE LOS TRASEROS 4 JUEGOS, SE COLOCA MOTOR REPARADO ESTANQUE HIDRAULICO,</t>
  </si>
  <si>
    <t>SACAR CORTO CIRCUITO PANEL CAMBIADOR COMPUTADOR , SE CAMBIA POR SEGURIDAD , LOS JOISTINC LADO DERECHO PIERDE ACEITE</t>
  </si>
  <si>
    <t>3555-3207</t>
  </si>
  <si>
    <t>SE EMPIEZA A DESMONTAR RUEDAS TRACTO CAMION PARA EMBALATADO ,</t>
  </si>
  <si>
    <t>REPARACION SITEMA DE FRENO CAMA BAJA INSUMOS COLOCADOS POR PROVEEDOR</t>
  </si>
  <si>
    <t>CAMBIO NEUMATICOS DELANTERO</t>
  </si>
  <si>
    <t>DESMONTAR EJE DELANTERO COMPLETO, DEMONTAR DIFERENCIALES Y MASAS</t>
  </si>
  <si>
    <t>PONER VULVO T° PERO NO SE CORRESPONDE SE LLEVA ANTIGUO PARA COMPRAR EL QUE CORRESPONDE</t>
  </si>
  <si>
    <t>SE REVISA FRENO DELANTERO Y TRASERO , SE ENGRASA MASAS DELATERAS Y TRASERAS, SE LUBRICA CILINDRO DE FRENO</t>
  </si>
  <si>
    <t>CAMBIO 3 FUSIBLES 10 AMP , CAMBIO 2 BATERIAS NUEVAS,</t>
  </si>
  <si>
    <t>3561-3203</t>
  </si>
  <si>
    <t>CAMBIO BATERIAS 150 AMP Y LIMPIEZA BASE BATERIA.</t>
  </si>
  <si>
    <t>DESMONTAR LAS RUEDAS Y BALATA DEL LADO DERECHO DE EJE TRASERO Y  EL INTERMEDIO</t>
  </si>
  <si>
    <t>CAMBIO DE BORNES, CAMBIO DE BATERIAS , CAMBIO DE SELENOIDE AUXILIAR</t>
  </si>
  <si>
    <t>SE REPARA SENSOR DE MARCHA, Y REVICION GENERAL DE EQUIPO</t>
  </si>
  <si>
    <t>REPARACION SELECTOR CAMBIOS , FOCO LADO IZQUIERDO QUEBRADO</t>
  </si>
  <si>
    <t>CAMBIO VALVULA DE SUPENCION DE LA CABINA DELANTERA IZQ, REGULACION DE LA CABINA</t>
  </si>
  <si>
    <t>SE CAMBIA NUEMATICO DELANTERO IZQUIERDO DEL ACMAION Y SE LLEVA A LA VULVA</t>
  </si>
  <si>
    <t>REPARACION RUEDA CONTADOR DE VELOCIDAD CINTA SALIDA</t>
  </si>
  <si>
    <t>CAMBIO BALATAS EJE TRASERO</t>
  </si>
  <si>
    <t>CAMBIO BASE FILTRO DE SECADOR CON VALVULA NUEVA, NO QUEDA OPERATIVO</t>
  </si>
  <si>
    <t>REPARACION SISTEMA DE LUCES,SE ENVIA A REVICION TECNICA</t>
  </si>
  <si>
    <t>SACAR TAPAS REDUCTOR RUEDA MOTRIZ , PARA SELLAR CON CILICONA Y 14 PERNOS M6 NUEVOS</t>
  </si>
  <si>
    <t>SE ENGRASA COMPLETO Y SE  SACA NEUMATICO PINCHADO</t>
  </si>
  <si>
    <t>CAMBIO BALATAS EJE INTERMEDIO</t>
  </si>
  <si>
    <t>REGULAR FRENO, ENGRASE PASADOR TOLVA</t>
  </si>
  <si>
    <t>DESMONTAR VIDRIO FIJO LATERAL DELA PUERTA Y COLOCAR EN MD-57</t>
  </si>
  <si>
    <t>INSTALAR TAMBORES Y RUEDAS DE LOS EJES TRASEROS , CAMIO PERNOS Y TUERCAS DERECHA , ENGRASE</t>
  </si>
  <si>
    <t>SE CAMBIA NEUMATICO PINCHADO, Y RELLENA CON ACEITE DE TRANSMICION</t>
  </si>
  <si>
    <t>CHEQUEO DE BATERIAS Y CODIGOS DE FALLA M</t>
  </si>
  <si>
    <t>INTALACION BATERIAS , REPARACION LUZ</t>
  </si>
  <si>
    <t>REPÁRACION LUZ ESTACIONAMIENTO LADO IZQUIERDO , SE DIAGNOSTICA MOTOR DE CALEFACCION MALO</t>
  </si>
  <si>
    <t>REV ARNES, LUCES, MOTOR DE ARRANQUE Y CARGA DE BATERIA</t>
  </si>
  <si>
    <t>CAMBIO DE BATERIAS, REPARACION CONTACTOR BLOQUEO MANDOS , SE EXTRAE FLEXIBLE HIDRAULICO DAÑADO</t>
  </si>
  <si>
    <t>SE CAMBIA LOS BRONCES LOS BRONCES DESLISADORES DE LA PALA SE REVISAN NIVELES</t>
  </si>
  <si>
    <t>CAMBIO DE FOCOS TRASEROS ,</t>
  </si>
  <si>
    <t>CD-85</t>
  </si>
  <si>
    <t>INSTALAR LA CABINA COMPLETA</t>
  </si>
  <si>
    <t>SE ENGRASA CAMION COMPLETA Y SE REVISAN NIVELES</t>
  </si>
  <si>
    <t>SE REPARAN LUCES DIAS Y LUCES ESTACIONAMIENTO</t>
  </si>
  <si>
    <t>REVICION PROBLEMA DE PARTIDA , SE REVISAN BATERIAS Y NO SE ENCUENTRAN ANOMALIAS</t>
  </si>
  <si>
    <t>SE CAMBIA FLEXIBLE COMPRESOR</t>
  </si>
  <si>
    <t>SE CAMBIO PULMON DE FRENO EJE TRASERO, SE ENCONTRO PERDIDA DE AIRE POR TECALAN TRASERO</t>
  </si>
  <si>
    <t>PRESENTA VIBRACION EN DIRRECION , SE REVISA EQUIPO NO ENCONTRANDO PROBLEMAS</t>
  </si>
  <si>
    <t>SE CAMBIAN DOS ORING DE FLEXIBLES DE LA PALA</t>
  </si>
  <si>
    <t>RELLENO ACEITE DE MOTOR</t>
  </si>
  <si>
    <t>SENSOR BLOQUEO EJE DIFERENCIAL QUEBRADO , CAMBIO DE LUCES DIAS H21 24V 70W</t>
  </si>
  <si>
    <t>INSTALAR CILINDRO DE DIRECICON, CAMBIO DE ROTULAS, CAMBIO DE BUJES SUPERIORES</t>
  </si>
  <si>
    <t>CAMBIO DE AMPOLLETAS DE ESTACIONAMIENTO; CAMBIO DE INTERMITENTE; CAMBIO DE LUZ DE FRENO</t>
  </si>
  <si>
    <t>SE INSTALA SEGURO AL PASADOR INTERIOR AL CILINDRO LEVANTE DE TOLVA</t>
  </si>
  <si>
    <t>SE INSTALA TAPABARRO DEL CAMION ULTIMO PUENTE LADO IZQ</t>
  </si>
  <si>
    <t>INSTALAR EJE DELANTERO , INSTALAR CARDAN , INSTALAR MASA DERECHA EJE</t>
  </si>
  <si>
    <t>INSTALACION FOCO FAENERO RETROCESO. SE REEMPLAZAN 2 FUSIBLES 30A BATERIAS</t>
  </si>
  <si>
    <t>SACAR MOTOR DE GIRO , PARA SACAR CORONA CON EJE CORTADO</t>
  </si>
  <si>
    <t>SE SACA PIEDRA ENTRE LAS RUEDAS Y PUENTE INTERMEDIO LADO IZQ DERECHO Y SE LE COLOCA AIRE</t>
  </si>
  <si>
    <t>SE CAMBIA MOTOR AUTO EN CARPE EJE CORTADO</t>
  </si>
  <si>
    <t>ARMADO DE MASA IZQ INSTALAR LAS RUEDAS DELANTERAS, RELLENO ACEITE DIFERENCIAL CAMBIO DE RETENES DE PUNTA</t>
  </si>
  <si>
    <t>REPARACION VALVULA FRENO MOTOR</t>
  </si>
  <si>
    <t>CORTE ELECTRICO EN TALBLERO , CABLE DE ALIMENTACION DE PARTIDA SE ENCUENTRA AISLADO</t>
  </si>
  <si>
    <t>COLOCAR CORONA NUEVA EJE NUEVO , GOLILLA DE AJUSTE , ESPEJO NUEVO, SHAFT CIRCULE , PIÑON NUEVO CIRCLED , ENGRANAJE</t>
  </si>
  <si>
    <t>REVICION DE EQUIPO: AMOTIGUADOR ASIENTO MALO, MOTOR CALEFACCION NO FUNCIONA , ESCOTILLA CON GOMA QUEMADA , EL AGUA SE METE A LA CABINA</t>
  </si>
  <si>
    <t>3372-2323</t>
  </si>
  <si>
    <t>ADAPTAR SOPORTE MOTOR</t>
  </si>
  <si>
    <t>SE HACE CONEXXION COMPLETA CABLEADO FOCO TRASERO IZQUIERDO</t>
  </si>
  <si>
    <t>COLOCAR 6 DESLIZADORA NUEVA INFERIORES REGULACION TORNA MESA</t>
  </si>
  <si>
    <t>COLOCAR ORING CILINDRO DESLIZADOR PALA REAPRETA PERNO CILINDRO LEVANTE</t>
  </si>
  <si>
    <t>ARMADO DE CRUZETAS DEL CARDAN CORTO ENTRE DIFERENCIALES, CRUZETA ORIGINAL 81.394374-6001</t>
  </si>
  <si>
    <t>DESBLOQUEAR SISTEMA DE FRENO PARA ENVIAR A KAUFMAN</t>
  </si>
  <si>
    <t>SE SACA ESTANQUE DE PETROLEO , SE CAMBIA FILTRO DE PETROLEO 23390-</t>
  </si>
  <si>
    <t>DRENAR ACEITE DE MOTOR HIDRAULICO Y ONK.PTO , DESARMAR FILTROS ACEITE MOTOR Y PETROLEO</t>
  </si>
  <si>
    <t>SE CAMBIA FLEXIBLE HIDRAULICO</t>
  </si>
  <si>
    <t>SE SACA FLEXIBLE DEL ULTIMO TRAMO DE LA PLUMA ROTA SE LLEVA PARA FABRICACION</t>
  </si>
  <si>
    <t>REPARACION NEUAMTICO DELANTERO LADO IZQ</t>
  </si>
  <si>
    <t>SE CAMBIAN 2 AMORTIGUADORES TRACEROS ; ZTRE1132 , Y PASTILALS DE FRENO DELANTERAS 8430D1316</t>
  </si>
  <si>
    <t>SE LAVA ESTANQUE DE PETROLEO , SE INSTALA ESTANQUE DE PETROLEO, SE REPONE BATERIA , SE LIMPIA CIRCUITO DE PETROLEO</t>
  </si>
  <si>
    <t>SE SACA NEUAMTICO PINCHADO Y SE LLEVA A REPARAR</t>
  </si>
  <si>
    <t>SE MONTA CARDAN DELANTERO Y SE ENGRASA COMPLETO</t>
  </si>
  <si>
    <t>SACAR 3 PERNOS CORTADOR BATIDOR LADO IZQ PARA COLOCAR RODILLO , SE COLOCA 3 PERNOS USADOS , SE COLOCA ESPJO NUEVO Y TENSADO DE CADENAS</t>
  </si>
  <si>
    <t>SE SACA CAJA Y PIOLA DEL ACELERADOR AUTOMATICO Y SE REVISA FUGA DE ACEITE DE MOTOR</t>
  </si>
  <si>
    <t>SE DESMONTA CARDAN Y SOPORTE RODAMIENTO MALO QUE SALE DE LA TRANSMISION</t>
  </si>
  <si>
    <t>SE QUITA FUGA DE AGUA POR FLEXIBLE DE LA CALEFACCION Y SE RELLENA CON 5 LÑITROS</t>
  </si>
  <si>
    <t>CAMBIO DE DESCANSO CARDAN (SOPORTE ) UCP 212</t>
  </si>
  <si>
    <t>SE MONTA CARDAN Y RODAMIENTO DE DESCANSO QUE UNE LA TRASNMICION CON EL DIFERENCIAL</t>
  </si>
  <si>
    <t>SE INSTALA PIOLA DEL ACELERADOR PROVISORIA MIENTRAS LLEGA LA ORIGINAL</t>
  </si>
  <si>
    <t>SE REVISA SISTEMA ELECTRICO DE ENCENDIO, SIN DETECTAR FALLAS</t>
  </si>
  <si>
    <t>SE CAMBIAN PALANCA DE CAMBIOS QUEBRADA , SE REPARA LIMPIAPARABRISAS , FALLA MOTOR DE CALEFACCION</t>
  </si>
  <si>
    <t>SE SOLICITA EXTRAER RADIADOR CALEFACCION , EQUIPO OPERTAVO</t>
  </si>
  <si>
    <t>SE LIMPIAN LOS BORNES Y TERMINALES DE BATERIA Y SE ECHAN ANDAR, EQUIPO QUEDA OPERATIVO</t>
  </si>
  <si>
    <t>CAMBIO DE TODO EL ACEITE HIDRAULICO Y CAMBIO DF NIPLE  DE DESLIZADERA</t>
  </si>
  <si>
    <t>SE CAMBIA FLEXIBLE HIDRUALICO ROTO ,</t>
  </si>
  <si>
    <t>SE CAMBIAN FLEXIBLE DE LA PALA TORNAMESA</t>
  </si>
  <si>
    <t>SACAR ACEITE HIDRAULICO</t>
  </si>
  <si>
    <t>SE REPARA FILTRACION DE AGUA POR ESCOTILLA , SE APLICA SILICONA O MOLDURA</t>
  </si>
  <si>
    <t>3389-2102</t>
  </si>
  <si>
    <t>REPARACION SISTEMA DE AUTOENCARPE, SE CAMBIAN CODOS Y PERNOS, SE POSICIONA RESORTE TENSOR, SE FIJA CARPA</t>
  </si>
  <si>
    <t>SIN NUMERO</t>
  </si>
  <si>
    <t>SE SACA TAPABARRO QUEBRADO PUENTE INTERMEDIO DEL CAMION LADO IZQUIERDO</t>
  </si>
  <si>
    <t>ACEITE LUBRICADOR CONO</t>
  </si>
  <si>
    <t>SE CAMBIA BATERIAS LOS CUALES NO ESTABAN</t>
  </si>
  <si>
    <t>SE COLOCA ABRASADERA AL TUBO DE ESCAPE</t>
  </si>
  <si>
    <t>SE SACA NEUMATUCO PINCHADO DELANTERO DERECHO</t>
  </si>
  <si>
    <t>SE REVISA ALUMBRADO Y REPARAN LUCES INTERMINTENTES DELANTERAS</t>
  </si>
  <si>
    <t>COLOCAR 3 PERNOS NUEVOS M16X50 CON TUERCAS SOPORTE BOTELLA LEVANTE</t>
  </si>
  <si>
    <t>CAMBIO DE VALVULA PILOTO BOMBAS</t>
  </si>
  <si>
    <t>SE MONTA ORIGA LADO IZQUIERDO</t>
  </si>
  <si>
    <t>SE CAMBIAN 2 AMORTIGAUDORES DELANTEROS ZTCA1132</t>
  </si>
  <si>
    <t>SE COLOCA NEUMATICO REPARADO DELANTERO DERECHO</t>
  </si>
  <si>
    <t>REPARACION VALVULA PILOTAJE BOMBA HIDRAULICA</t>
  </si>
  <si>
    <t>SE CAMBIAN PASTILLAS DE FRENOS PF-0540-GTX</t>
  </si>
  <si>
    <t>SE QUITA FUGA DE AIRE ULTIMO PUENTE POR PULMONES DE LEVANTE PUENTE INTERMEDIO</t>
  </si>
  <si>
    <t>SE APRIETAN PERNOS DE PISADERA DEL CAMION</t>
  </si>
  <si>
    <t>CAMBIO DE 2 RODAMIENTO DE MASA RUEDA</t>
  </si>
  <si>
    <t>REPARACION CIRCUITO ELECTRICO DE FOCO MAYOR LADO IZQ,</t>
  </si>
  <si>
    <t>INSTALAR RADIADOR CALEFACCION CON MANGUERAS , REPARACION CIRCUITO HOROMETRO</t>
  </si>
  <si>
    <t>SE COLOCAN LAS TRES BATERIAS CARGADAS, SE REPARA LA LLAVE DE PASO DEL ESTANQUE DE AGUA</t>
  </si>
  <si>
    <t>SE INSTALA ABRAZADERA DE 3 " EN DUCTO ASPIRACION ADM MOTOR</t>
  </si>
  <si>
    <t>SE COLOCA TAPABARRO PUENTE TRASERO IZQUIERDO DEL CAMION Y SE CAMBIA PULMON DEL PORTALON LADO DERECHO DE LA BATEA</t>
  </si>
  <si>
    <t>SE CAMBIA PARACHOQUE -SE CAMBIA PIKAT-SE REVISAN LUCES</t>
  </si>
  <si>
    <t>SE SELLA ESCOTILLA DEL TECHO DE LA CABINA Y SE REVISAN NIVELES</t>
  </si>
  <si>
    <t>SE INSTALAN FOCOS FAENEROS DELANTEROS</t>
  </si>
  <si>
    <t>SE ENGRASA COMPLETO, SE REGULAN FRENOS, SE RELLENA CON 5 DE ANTICONGELANTE Y SE REVISAN NIVELES</t>
  </si>
  <si>
    <t>CAMBIO DE SUIT TRASLADO ACELERACION SE INSTALA SELECCTOR LIMPIAPARABRISAS BOTONERA , REVICION FUSIBLE</t>
  </si>
  <si>
    <t xml:space="preserve">SE CAMBIAN 4 NEUMATICOS USADOS </t>
  </si>
  <si>
    <t>SE CAMBIA NIPLE ACUMULADORA</t>
  </si>
  <si>
    <t>SE RETIRA NEUMATICO PINCHADO</t>
  </si>
  <si>
    <t>SE SACA ALTERNADOR PARA REPARARLO Y SE LLEVAN BATERIAS PARA CARGAR</t>
  </si>
  <si>
    <t>REV PROBLEMA DE ACELRERACION Y CONECTAR ENCHUFE SENSOR CUENTA REVOLUCIONES</t>
  </si>
  <si>
    <t>SE SACA NEUMATICO PINCHADO DELANTERO IZQUIERDO, SE LLEVA A REPARAR Y SE MONTA</t>
  </si>
  <si>
    <t>SE SACA NEUMATICO PINCHADO DELANTERO DERECHO, SE LLEVA A REPARAR Y SE MONTA</t>
  </si>
  <si>
    <t>SE COLOCA ALTERNADOR REPARADO Y BATERIAS CARGADAS</t>
  </si>
  <si>
    <t>SE INSTALAN BATERIAS RECARGADAS; SE LIMPIAN CABLES ALTA TENSION</t>
  </si>
  <si>
    <t>INSTALACION DE ALTERNADOR REPARADO</t>
  </si>
  <si>
    <t>SE CAMBIA NEUMATICO PINCHADO DELANTERO DERECHO Y SE CAMBIA CONO DE MASA Y SE RELLENA CON 1LT DE ACEITE 80W90 DEL MISMO LADO Y SE REGULAN FRENOS</t>
  </si>
  <si>
    <t>SE CAMBIA RUEDA PINCHADA POR COLISION Y TAPA MASA RUEDA DELANTERO LADO DERECHO</t>
  </si>
  <si>
    <t>SE CAMBIA CHAPA DE ARRANQUE Y SE RELLENA CON 3LTS DE ACEITE MOTOR Y SE REVISAN NIVELES</t>
  </si>
  <si>
    <t>SE CAMBIA CHAPA DE ARRANQUE, SE CAMBIA BONNE DE BATERIA Y SE REVISAN NIVELES</t>
  </si>
  <si>
    <t>CAMBIO CHAPA CONTACTO POR EXTRAVIO DE LLAVES; SE CAMBIA AMPOLLETA INTERMITENTE DELANTERO LADO DERECHO</t>
  </si>
  <si>
    <t>DESMONTAR BOMBA INYECTORA PERDIO PERNOS DE FIJACION</t>
  </si>
  <si>
    <t>ENVIO DE NEUMATICO PINCHADO A VULCA</t>
  </si>
  <si>
    <t>REPARACION CABLE A TIERRA CORTADO ACTIVACION TOMA DE FUERZA</t>
  </si>
  <si>
    <t>SE SACA RADIADOR MALO</t>
  </si>
  <si>
    <t>CAMBIO DE MOTOR DE ARRANQUE CON MAL FUNCIONAMIENTO Y LIMPIEZA DE TERMINALES DE ALTA INTENSIDAD</t>
  </si>
  <si>
    <t>REPARACION SISTEMA DE MANDO ELECTRICO VIBRADOS TAMBOR QUE SE ENCUENTRA AISLADO</t>
  </si>
  <si>
    <t>SE CAMBIA NEUMATICO PINCHADO BATEA LADO IZQUIERDO PUENTE INTERMEDIO Y SE CAMBIA ACOPLE RAPIDO PULMON DEL PORTALON DERECHO</t>
  </si>
  <si>
    <t>SE MONTA NEUMATICO DE REPUESTO DE BATEA Y SE CAMBIA FLEXIBLE DE PULMON DE FRENO BATEA Y SE REVISAN NIVELES Y SE RELLENA CON 70LTS DE ADDBLUE</t>
  </si>
  <si>
    <t>SE INSTALA RADIADOR REPARADO</t>
  </si>
  <si>
    <t>SE DESMONTA EL MOTOR DIESEL PARA AJUSTE,</t>
  </si>
  <si>
    <t>REVISION SISTEMA ELECTRICO</t>
  </si>
  <si>
    <t>DESMONAR NUEMATICO PINCHADO</t>
  </si>
  <si>
    <t>SE DESMONTA NUEMATICO DELANTERO IZQ , SE LLEVA A VULVA Y SE REPARA ,</t>
  </si>
  <si>
    <t>SE EXTRAE TERMOSTATO REFRIGERANTE POR MALA FUNCION</t>
  </si>
  <si>
    <t>SE REVISAN SOPORTES DE CAJA DE CAMBIOS</t>
  </si>
  <si>
    <t>SE COLOCA TAPABARRO PUENTE DERECHO ULTIMO PUENTE Y SE APRETA EL IZQUIERDO</t>
  </si>
  <si>
    <t xml:space="preserve">INSTALAR ALTERNADOR REPARADO Y COLOCAR 3 BATERIAS CARGADAS </t>
  </si>
  <si>
    <t xml:space="preserve">REVISION PORQUE NO PARTIA POR FALTA DE PETROLEO </t>
  </si>
  <si>
    <t>MOTOBOMBA NO ARRANCA, SE LIMPIA Y REPARA MAL CONTACTO</t>
  </si>
  <si>
    <t xml:space="preserve">EQUIPO NO ARRANCA, SE CAMBIA FUCIBLE QUEMADO </t>
  </si>
  <si>
    <t>LA BATEA BAJA MUY LENTO , SE REVISARON LAS CONEXIONES RAPIDA SE REVISA EL CONTROL NEUMATICO Y EL PROBLEMA DEL FILTRO PERSISTE</t>
  </si>
  <si>
    <t>DESMONTAR CILINDRO HIDRAULICO DE  BALDE</t>
  </si>
  <si>
    <t>ENGRASE Y SE RELLENA CON ACEITE DE MOTOR.</t>
  </si>
  <si>
    <t>PRESENTA FUGA DE GASES POR LA CONECCION ENTRE EL TURBO Y EL SILENCIADOR</t>
  </si>
  <si>
    <t>CAMBIO DE FOCO TRASERO LADO DERECHO QUEMADO</t>
  </si>
  <si>
    <t>SE SACA CAJA DE CAMBIO PARA CAMBIAR DISCO DE EMBRAGUE</t>
  </si>
  <si>
    <t>CAMBIO DE BOMBA HIDRAULICA DE DIRECCIOM, SEGUROS DE PASTILLAS DE FRENO DELANTERO</t>
  </si>
  <si>
    <t>PERDIDA DE ACEITE POR EL SELLO INTERIOR DFE LA MASA IZQ EL EJE PALIER TIENE DESGFASTE PENDIENTE DE REPARAR</t>
  </si>
  <si>
    <t>SE CAMBIA ALTERNADOR USADO POR OTRO CAMION 3/4</t>
  </si>
  <si>
    <t>SE SACA FLEXIBLE MOTOR DE DIRRECION Y SE REVISAN NIVELES</t>
  </si>
  <si>
    <t>8 NEUMATICOS CON LLANTA NUEVOS</t>
  </si>
  <si>
    <t>FUGA COMBUSTIBLE POR DECANTADOR, SE CEBA CIRCUITO COMPLETO Y SE CAMBIAN FILTROS DE COMBUSTIBLE</t>
  </si>
  <si>
    <t xml:space="preserve">SE CAMBIA CHAPA CONTACTO DERRAMADOR </t>
  </si>
  <si>
    <t>SE SACA FLEXIBLE HIDRAULICO DE CILINDROS DE DIRRECION</t>
  </si>
  <si>
    <t>SE CAMBIA SELENOIDE DE ARRANQUE Y REVISION DE LUCES EN GENERAL</t>
  </si>
  <si>
    <t>SE SACA NEUMATICO Y S EMANDA A REPARAR .</t>
  </si>
  <si>
    <t>SE SACA FLEXIBLE DE CILINDRO DE DIRECCION DERECHO MALO</t>
  </si>
  <si>
    <t xml:space="preserve">SE SACA ESTANQUE DE PETROLEO ROTO DE LA MOTOBOMBA PARA REPARARLO </t>
  </si>
  <si>
    <t>SE COLOCA FLEXIBLE DE DIRRECION DELANTERO DERECHO</t>
  </si>
  <si>
    <t>SE INSTALA POTENCIOMETRO DE ACELERACION Y REPARACION DE PANEL DE INSTRUMENTOS</t>
  </si>
  <si>
    <t xml:space="preserve">REPARACION MANGUERA DE AGUA DE REFRIGERACION </t>
  </si>
  <si>
    <t>PROBLEMA PARTIDA; REPARACION BORNES CABLE CORTADO</t>
  </si>
  <si>
    <t>REVISION Y REPARACION SISTEMA ELECTRICO UNIDAD; SE CAMBIA FUSIBLE 40A TIPO FORD RANGER Y LUZ PILOTO CON PORTA SOQUETE ORDENAR INSTALACION; NO LEVANTA PRESION HIDRAULICA DEBIDO A QUE BOMBA NO TRABAJA</t>
  </si>
  <si>
    <t xml:space="preserve">SE REPARA LUCES QUE NO ENCENDIAN </t>
  </si>
  <si>
    <t>SE COLOCA ESTANQUE DE PETROLEO REPARADO A LA MOTOBOMBA Y SE SACA SILENCIADOR ESCAPE ROTO</t>
  </si>
  <si>
    <t>SE CAMBIAN DESLIZADORAS SUPERIORES TORNO MESA</t>
  </si>
  <si>
    <t xml:space="preserve">MOTOR DE ARRANQUE CON MAL FUNCIONAMIENTEO SE EXTRAE PARA DERIVACION </t>
  </si>
  <si>
    <t>SE VA A INSTALAR MOTOR DE ARRANQUE A OBRA</t>
  </si>
  <si>
    <t>SE MONTA MOTOBOMBA NUEVA CON SUS DOS MANGUERONES Y ABRAZADERAS, SE APERNA UN ACUMULADOR DE AIRE</t>
  </si>
  <si>
    <t>SE COLOCO FLEXIBLE HIDRAULICO DE VOLTEO DE PALA</t>
  </si>
  <si>
    <t>SE COLOCA SILENCIADOR REPARADO Y SE COLOCAN PERNOS AL PORTA FILTRO DE AIRE</t>
  </si>
  <si>
    <t>SE INSTALA MOTOR DE ARRANQUE EL CUAL ESTA CON PROBLEMAS , SE VULVE A SACAR PARA LLEVAR A TALLER</t>
  </si>
  <si>
    <t>SE SACAN CLINDROS DE LEVANTE Y VOLTEO, SE CAMBIA KIT DE PAKING ,</t>
  </si>
  <si>
    <t>SE COLOCA 12 LAYNAS DE AJUSTE DE TORNAMESA Y SE REGULAN</t>
  </si>
  <si>
    <t>SE RELLENA CON AGUA Y REVISNA NIVELES</t>
  </si>
  <si>
    <t>REVICION DE CORTE CIRCUITO EN EL EQUIPO. SE ENCUENTRA FUSIBLE DE 80 AMP MALO</t>
  </si>
  <si>
    <t>DESMONTAJE DE CILINDRO DE EXTENSION DE LA PLUMA PARA EXTRAER PERNOS DE FIJACION CORTADOS; INSTALAR EL CILINDRO</t>
  </si>
  <si>
    <t>CAMBIO DE SOPORTE MOTOR Y CAJA DE CAMBIOS LADO IZQUIERDO</t>
  </si>
  <si>
    <t>SE CAMBIAN SOPORTES DE MOTOR Y CAJA LADO IZQUIERDO; REPARACION FUGA DE AIRE</t>
  </si>
  <si>
    <t>LIMPIEZA DE PIEZAS Y ARMADO DEL DIFERENCIAL TRASERO, INSTALARLA EN EL EJE. INSTALAR MANDOS FINALES LOS 3 RODAMIENTOS DEL PIÑON DE ATAQUE NUEVOS. SELLO DEL PIÑON DE ATAQUE NUEVO</t>
  </si>
  <si>
    <t>CAMBIO DE BATERIA A LA MOTOBOMBA Y SE REVISAN NIVELES</t>
  </si>
  <si>
    <t>SE CAMBIA ALTERNADOR MALO Y SE INSTALA OTRO DE UN CAMION USADO</t>
  </si>
  <si>
    <t>CAMBIO DE NEUMATICO DELANTERO IZQUIERDO</t>
  </si>
  <si>
    <t xml:space="preserve">SE CAMBIA ALTERNADOR MALO  </t>
  </si>
  <si>
    <t>SE EXTRAE ESTANQUE DE COMBUSTIBLE Y SE SOLDA UNA FISURA Y SE COLOCA TAPA DE ESTANQUE</t>
  </si>
  <si>
    <t>REPARACION TECALAN ALIMENTACION PULOM DE FRENO DERECHO INTERMEDIO; SE DESMONTA RUEDA Y TAMBOR DERECHO INTERMEDIO PARA LIMPIAR ASFALTO; REPARACION TERMINAL DE CILINDRO NEUMATICO</t>
  </si>
  <si>
    <t>SE SACA COMPRESOR DE A/C POR PERNO CORTADO , SE REGULA RASPADOS DE TAMBOR</t>
  </si>
  <si>
    <t>SE APRIETA TAPON DIFERENCIAL PRIMER EJE TRACCIONAL SUELTO</t>
  </si>
  <si>
    <t>SE SACO NEUMATICO REVENTADO LADO DERECHO DEL SEGUNDO PUENTE</t>
  </si>
  <si>
    <t>CAMBIO DE NEUMATICO PUENTE TRASERO</t>
  </si>
  <si>
    <t>DESMONTAR VALVULA REFE CORREJIR FUGA DE AIRE</t>
  </si>
  <si>
    <t>SE CAMBIAN LOS DOS TERMOSTATOS Y SE RELLENA CON 25LTS DE ANTICONGELANTE</t>
  </si>
  <si>
    <t>REPARACION CORTE ELECTRICO CABLE NEGATIVO ASULFATADO RADIOTRANSMISOR</t>
  </si>
  <si>
    <t>SE CAMBIA NIPLE DE ACUMULADOR DE AIRE Y SE REVISAN NIVELES</t>
  </si>
  <si>
    <t>SE CAMBIA ALTERNADOR</t>
  </si>
  <si>
    <t>CAMBIO DE NEUMATICO PINCHADO</t>
  </si>
  <si>
    <t>MD-69</t>
  </si>
  <si>
    <t>DESMONTAR SOPORTES DE LA TORNAMESA PARA CAMBIO DE DESLIZADERAS</t>
  </si>
  <si>
    <t>CAMBIO DE FILTRO DE PETROLEO , CAMBIO DE PIZADERA,</t>
  </si>
  <si>
    <t>SE CAMBIA NEUMATICO LADO DERECHOP TRASERO</t>
  </si>
  <si>
    <t>SE ELIMINAN LOS DOS TERMOSTATOS Y ESTAN MALOS Y SE RELLENA CON 15LTS DE ANTICONGELANTES</t>
  </si>
  <si>
    <t>REPARACION ELECTRICA EN CABLES A TIERRA AISLADOS LO QUE NO PERMITIA EL ARRANQUE DE EQUIPO</t>
  </si>
  <si>
    <t>CAMBIO DE MANGUERA DE AGUA ,</t>
  </si>
  <si>
    <t>FUGA DE REFRIGERANTE POR MANGUERA CIRCULACION A RADIADOR SE REPARA Y CAMBIA</t>
  </si>
  <si>
    <t>VIAJE A LINARES REVISAR SISTEMA DE ENFRIAMIENTO DEL MOTOR</t>
  </si>
  <si>
    <t>SE CAMBIAN LAS 3 ROTULAS DE BIELA DEL CILINDRO HIDRAULICO DE ROTACION TORNAMESA LADO IZQ</t>
  </si>
  <si>
    <t>EXTRAER PERNOS CORTADOS DE MACHON DE ACOPLE</t>
  </si>
  <si>
    <t>SE CAMBIA FLEXIBLE DE PULMON DE FRENOS PUENTE INTERMEDIO LADO DERECHO DE BATEA</t>
  </si>
  <si>
    <t>EXTRAR PERNOS CORTADOS DE LA TORNAMESA , CAMBIO DE RETEN DE LA TRASNMISION INSTALAR CARDAN CORTO</t>
  </si>
  <si>
    <t xml:space="preserve">REPARACION INSTALACION COMPLETA, CAMION NO PARTIA CAMBIO MOTOR DE PARTIDA NUEVO REPARADO ALTERNADOR Y CAMBIO CORREA ALTERNADOR </t>
  </si>
  <si>
    <t>SE RELLENA CON ACIETE Y SE ENGRASA</t>
  </si>
  <si>
    <t>SE CAMBIA PULMON DE SUSPENSION PUENTE AUXILIAR LADO IZQUIERDO Y SE CAMBIA PULMON DE FRENO PUENTE INTERMEDIO LADO DERECHO AMBOS DE LA BATEA Y SE REGULAN FRENOS</t>
  </si>
  <si>
    <t>INSTALAR MACHON Y CARDAN DE TRANSMICION,</t>
  </si>
  <si>
    <t>CAMBIO DE CUCHILLAS DE LA PALA CON TUERCA Y PERNO NUEVOS</t>
  </si>
  <si>
    <t>SE APERNAN SOPORTE SILENCIADOR Y ESCAPE Y SE QUITA FUGA DE AIRE PUENTE AUXILIAR DE BATEA</t>
  </si>
  <si>
    <t>DESARMAR CUBO DELANTERO IZQ. DESMONTAR LAS CRUZETAS DEL EJE PALIER</t>
  </si>
  <si>
    <t>SE COLOCO SOPOERTES DE CAPOT Y LIMPIA SENSOR DE PARKEO</t>
  </si>
  <si>
    <t>SE CAMBIAN CORREAS DEL ALTERNADOR Y SE REVISAN NIVELES</t>
  </si>
  <si>
    <t>SE REPARA FOCO TRASERO LADO DERECHO SUELTO Y LUZ ESTACIONAMIENTO QUEMADAS; FOCO DELANTERO IZQUIERDO SUELTO Y CAMBIO BATERIAS</t>
  </si>
  <si>
    <t>SE CAMBIAN RADIADOR MOTOR POR UNO REPARADO, SE QUITA FUGA DE AIRE POR TECALAN</t>
  </si>
  <si>
    <t>6987-4475-6990</t>
  </si>
  <si>
    <t>SE CAMBIA MOTOR DE PARTIDA DE CAMION POR EL QUE SE LE RETIRO A CAMION PLUMA; SE TRASLADA A TALLER PARA SER ENVIADO A CASA DEL ARRANQUE PARA REPARACIONES</t>
  </si>
  <si>
    <t>SE SACA RADIADOR DE AIRE INTERCOOLER, SE LAVA POR DENTRO Y FUERA, SE SACAN LOS DOS TERMOSTATO Y SE SACA MEMBRANA DEL RESPIRADERO PARA CAMBIAR ORING Y SE BOTA TODA EL AGUA POR SUCIEDAD Y SE SACA PROTECCION PARA REPARARLO.</t>
  </si>
  <si>
    <t>SE COLOCA RADIADOR INTERCOOLER Y SE COLOCAN LOS DOS TERMOSTATOS</t>
  </si>
  <si>
    <t>SE DESARMA CALIPER Y SE CAMBIA DISCO DE FRENO PUENTE INTERMEDIO LADO IZQUIERDO</t>
  </si>
  <si>
    <t>SE SACA CAJA DE CAMBIO PARA CAMBIAR DISCO DE EMBRAGUE Y RODAMIENTO</t>
  </si>
  <si>
    <t>CHEQUEO DE EQUIPO Y REPARACION NEUMATICA 2 DIRECCIONALES 12X24</t>
  </si>
  <si>
    <t>INSTALAR MOTOR AJUSTADO, CARREAS NUEVAS , CILNDRO DE BALDE REPARADO</t>
  </si>
  <si>
    <t xml:space="preserve">SE CAMBIA MANGUERA DE CALEFACCION ROTA </t>
  </si>
  <si>
    <t>SE ARMA CALIPER Y SE MONTA CON PULMON DE FRENO DEL PUENTE INTERMEDIO LADO IZQUIERDO</t>
  </si>
  <si>
    <t>SE QUITA FUGA DE ACEITE HIDRAULICO POR MOTOR HIDRAULICO DE LA BOMBA DE AGUA Y SE RELLENA CON 20LTS DE ACEITE HIDRAULICO</t>
  </si>
  <si>
    <t>REVISION SISTEMA NEUMATICO DE LA SUSPENSION DE LA CABINA; VALVULA NEUMATICA DELANTERA IZQUIERDA MALA</t>
  </si>
  <si>
    <t>CAMBIO DE NEUMATICO</t>
  </si>
  <si>
    <t>SE REPARA Y CAMBIA NEUMATICO TRASERO</t>
  </si>
  <si>
    <t>SE CAMBIA DISCO DE EMBRIAGUE REPARADO, NO SE CAMBIA RODAMIENTO DE EMBRAGUE</t>
  </si>
  <si>
    <t>DESMONTAR PALA PARA REPARACION , DESMONTAR VIELA Y CILINDRO DEL CARRO DE LA TORNAMESA DERECHO</t>
  </si>
  <si>
    <t>SE REPARA CONEXIÓN CORTA CORRIENTE CON SULFATO Y CAMBIO DE BATERIA DE CORTE</t>
  </si>
  <si>
    <t>CAMBIAR CORREA VENTILADOR; CAMBIO DE PERNOS DEL SOPORTE MOTOR LADO IZQUIERDO</t>
  </si>
  <si>
    <t>DESBLOQUEAR EL FRENO DE ESTACIONAMIENTO</t>
  </si>
  <si>
    <t>SE CAMBIAN CORREA DE VENTILADOR Y RELLANA CON 2 LITROS DE ACEITE MOTOR</t>
  </si>
  <si>
    <t>SE REVISA CORTE ELECTRICO EN CABLES DE ALIMENTACION DE EQUIPO IMPRIMIDOR Y CORTE ELECTRICO EN UNO DE SUS CABLES</t>
  </si>
  <si>
    <t>CAMBIO DE CORREA ALTERNADOR Y ADEMAS LIMPIEZA DE MOTOR, 8 PK 1440</t>
  </si>
  <si>
    <t>REVISION Y DIAGNOSTICO DE FALLA GENERAL EN SISTEMA DE MONITOREO DE TRABAJO</t>
  </si>
  <si>
    <t>SE COMIENZA CON DESARME DE SISTEMAS, SE VA A TALCA PARA COMPRA DE MATERIALES PARA REPARACION, SE PREPARA ARNES DE REEMPLAZO, SISTEMA DE MONITOREO, 5TA RUEDA, REVOLUCIONES DE BOMBAS DE INYECCION DE MATERIAL</t>
  </si>
  <si>
    <t>SE QUITA FUGA DE ACEITE HIDRAULICO POR NIPLE SUELTO Y SE CAMBIA ORING DE FLEXIBLE</t>
  </si>
  <si>
    <t>SE QUITA FUGA DE ACEITE HIDRAULICO POR NIPLE SUELTO Y SE CAMBIA ORRIN</t>
  </si>
  <si>
    <t>REPARACION DE 2 PUENTE DIRECCIONAL LADO DERECHO</t>
  </si>
  <si>
    <t>CAMBIO DE FAROS DELANTEROS LADO IZQUIERDO</t>
  </si>
  <si>
    <t>SE INSTALA ARNES DE REEMPLAZO, SE CHEQUEA SISTEMA OPERACIONAL DE MONITOREO</t>
  </si>
  <si>
    <t>VER PROBLEMA LECHADA Y CAMBIO LUZ PILOTO ALTERNADOR</t>
  </si>
  <si>
    <t>SE COLOCA TUBERIA DE AIRE</t>
  </si>
  <si>
    <t>CAMBIO MINI RELAY; LIMPIAR Y APRETAR TERMINALES BATERIAS</t>
  </si>
  <si>
    <t>SE DESMONTA RUEDA TENSORA CON CILINDRO TENSOR MALO</t>
  </si>
  <si>
    <t>SE QUITAN FUGAS DE ACEITE HIRAULICO Y PETROLEO. SE ENGRASA COMPLETO Y SE RELLAN CON 30LTS DE ACEITE HIDRAULICO</t>
  </si>
  <si>
    <t>SE INSTALA BATERIA  12V/100 A CON BORNES .ADEMAS SE APOYA EN EXTRACCION RTUEDA TENSORA LADO IZQUIERDO QUE SE ENCONTRABA MALA</t>
  </si>
  <si>
    <t xml:space="preserve">ENGRASE COMPLETO, REPARACION CONECTOR SUELTO </t>
  </si>
  <si>
    <t>SE ENGRASA COMPLETO Y SE RELLENA CON 3 LTS DE ACEITE MOTOR Y SE REVISAN NIVELES Y SE LIMPIA FILTRO DE AIRE</t>
  </si>
  <si>
    <t>EQUIPO NO OPERATIVO ,PROBLEMA EN ARRANQUE</t>
  </si>
  <si>
    <t>SE LIMPIA ESTANQUE DE AGUA Y SE RE PRUEBA LA BOMBA CENTRIFUGA LA CUAL NO LOGRA SUCCIONAR AGUA PROBABLEMENTE POR UN PROBLEMA DE UN REPUESTOS QUE NO CORREPONDE</t>
  </si>
  <si>
    <t>REVICION DE CODIGOS DE ERROR Y SE DERIBA A TALLER PARA REPARACION</t>
  </si>
  <si>
    <t>REP. DE LUCES Y SISTEMA ELECTRICO R NSTALACION DE BALIZA NUEVA</t>
  </si>
  <si>
    <t>SE COMIENZA CON DESARME DE HARNES DE MOTOR Y SERVICION HIDRAULICO</t>
  </si>
  <si>
    <t>REVISION VALVUAS DE FRENO DE SERVICIO Y APARCAMIENTO</t>
  </si>
  <si>
    <t>DRENAJE DE PETROLEO Y DESMONTAJE EL ESTANQUE PARA SOLDAR FISURA</t>
  </si>
  <si>
    <t>SE REPARA MOTOR CALEFACCION CON FUSIBLE QUEMADO Y REVISION BATERIAS EN MAL ESTADO</t>
  </si>
  <si>
    <t>EQUIPO OPERATIVO ,FALTA  BOTONERA DE PARQUEO</t>
  </si>
  <si>
    <t>SE CAMBIAN 2 FLEXIBLES HIDRAULICOS</t>
  </si>
  <si>
    <t>LIMPIEZA SISTEMA DE CALEFACCCION</t>
  </si>
  <si>
    <t>SE DESMONTA MASA DELANTERA PARA REPARAR</t>
  </si>
  <si>
    <t>SE CAMBIA BATERIA -SE MEJPORA BOTON DE PARKING-SE APOYA CAMBIA DE MANGUERA CALEFACCION</t>
  </si>
  <si>
    <t>PARADA DE EMERGENCIA SUELTA</t>
  </si>
  <si>
    <t>SE INSTALA BALDE Y SE ENGRASA</t>
  </si>
  <si>
    <t>DESARME DEL EMBRAGUE DEL VENTILADOR</t>
  </si>
  <si>
    <t>INSTALAR EL ESTANQUE DE PETROLEO Y RELLENAR DEL MISMO</t>
  </si>
  <si>
    <t>SE VISUALIZA TENSOR CORREA ALTERNADOR MALO</t>
  </si>
  <si>
    <t>SE REPARA ESTANQUE DE PETROLEO ROTO; SE COLOCA SELLO A ESTANQUE; SE COLOLCAN GOMAS PARA APRETAR ABRAZADERAS</t>
  </si>
  <si>
    <t>SE COLOCA PALA NIVELADORA, SE ENGRASA Y SE RELLENA CON 10LTS DE ACEITE HIDRAULICO</t>
  </si>
  <si>
    <t>CAMBIO FILTRO DE CABINA A9068300318</t>
  </si>
  <si>
    <t>REPARACION DEL EMBRAGUE DEL VENTILADOR E INSTALARLO EN LA MAQUINA</t>
  </si>
  <si>
    <t>REPARACION DE LUCES DE TRABAJO</t>
  </si>
  <si>
    <t>SE REPARA MOTOR CALEFACCION</t>
  </si>
  <si>
    <t>SE DESMONTA CAJA DE CAMBIOS; SE DESMONTO  PRENSA (ROD. MAL ESTADO)</t>
  </si>
  <si>
    <t>CAMBIO DE SECADOR DE AIRE; CAMBIO DE 3 PULMONES DE FRENO; SE CAMBIO VALVULA RELE NUEVA; SE REVISO VALVULA RELE DE FRENO PARQUEO</t>
  </si>
  <si>
    <t>SE CONTINUA CON REPARACIONES DE HARNES DE EQUIPO VOLVO</t>
  </si>
  <si>
    <t>SE SACA VENTILADOR DE MOTOR ,PROBLEMAS DE RODAMIENTOS</t>
  </si>
  <si>
    <t>CAMBIO DE MANGUERA HIDRAULICO DE LEVANTE Y VOLTEO; CAMBIO DE ORING Y SE RELLENA CON ACEITE HIDRAULICO</t>
  </si>
  <si>
    <t>SE REVISAN FRENOS TRASEROS -CILINDRO AGRIPADO Y GOMAS-SE DESARMA Y SE LUBRICAN CILINDROS</t>
  </si>
  <si>
    <t>RETIRO DE MOTOR DE PARTIDA PARA SER INSTALADO EN CAMION SLURRY CD-108</t>
  </si>
  <si>
    <t>SE REPASA HILO CON MACHO EN DE RUEDA TENSADORA  LADO DERECHO-SE MONTA ORUGA Y SE TENSA</t>
  </si>
  <si>
    <t>SE CAMBIO FILTRO PETROLEO ALTERNATIVO</t>
  </si>
  <si>
    <t>SE IBNSTALAN 2 FLEXIBLES</t>
  </si>
  <si>
    <t>SE RECORREN HILOS DEL VASTAGO TENSOR DE ORUGA Y SE COLOCA VALVULA Y SE TENSA ORUGA ,SE CONFECCIONA PARABRISA DELANTERO INFERIOR DE MICA</t>
  </si>
  <si>
    <t>INSTALACION DE MOTOR DE PARTIDA</t>
  </si>
  <si>
    <t>SE MONTA RUEDA GUIA CON TENSOR Y SE ENGRASA COMPLETA -SE COLOCA CORREA DEL VENTILADOR NUEVA Y SE REVISAN NIVELES</t>
  </si>
  <si>
    <t>SE REPARA PORTA CORREA DE VENTILADOR Y SE INSTALA(CAMBIO DE RODAMIENTO)</t>
  </si>
  <si>
    <t>REPARACION HARNE DE CABINA HACIA MOTOR</t>
  </si>
  <si>
    <t>LAVADO DE LA MAQUINA -INSTALAR EL MOTOR EN LA MAQUINA -TRABAJAN DIAS 19-20-21</t>
  </si>
  <si>
    <t>SE CAMBIA ORING GASTADO</t>
  </si>
  <si>
    <t>SE REPARA RUIDO EN RUEDA DELANTERA IZQUIERDA</t>
  </si>
  <si>
    <t>SE CAMBIA ORING POR FLEXIBLE DEEL CILINDRO DE LA OALA Y SE REVISAN NIVELES</t>
  </si>
  <si>
    <t>SE CAMBIAN DOS AMORTIGUADORES DELANTEROS</t>
  </si>
  <si>
    <t>SE REVISA PROBLEMA DE LA BOMBA DE AGUA QUE ESTA BLOQUEADA</t>
  </si>
  <si>
    <t>SE REPARA RUEDA CON FUGA ACEITE HIDRAULICO DEL SISTEMA DE FRENOS DELANTERO LADO IZQUIERDO</t>
  </si>
  <si>
    <t>SE ARMA ASIENTO</t>
  </si>
  <si>
    <t>SE ELIMINA FUGA DE ACEITE HIDRAULICO POR RUEDA TRASERA DERECHA POR FRENO Y SE RELLENA CON 15LTS DE ACEITE HIDRAULICO</t>
  </si>
  <si>
    <t>CAMBIO DE RUEDAS MALAS</t>
  </si>
  <si>
    <t>CAMBIAR TAPA Y PERDIDAS DE PETROLEO DE PORTAFILTRO</t>
  </si>
  <si>
    <t>SE DESMONTA LA BOMBA DE AGUA DE LLENADO ALJIBE</t>
  </si>
  <si>
    <t>INSTALACION DEL MOTOR DIESEL</t>
  </si>
  <si>
    <t>INSTALA BOMBA HIDRAULICA Y ACCESORIOS-RELLENAR ACEITE DE MOTOR Y ACEITE HIDTAULICO- SE TRABAJAN DIAS 22,25,26,27,28</t>
  </si>
  <si>
    <t>SE ENGRASA EQUIPO COMPLETO ADEMAS REEMPLAZAN GRASERAS TAPADAS</t>
  </si>
  <si>
    <t>SE INSTALA RUEDA EXTERIOR DELANTERA QUE SE ENCONTRABA PINCHADA</t>
  </si>
  <si>
    <t>REPARACION DE CORTACIRCUITO DE SISTEMA DE LUCES</t>
  </si>
  <si>
    <t>REPARACION DE SISTEMA DE LUCES; SE INSTALAN FAROS DE CAMION MAN CD-97</t>
  </si>
  <si>
    <t>SE LLEVA EQUIPO A CAMBIO DE PARABRISAS DELANTERO</t>
  </si>
  <si>
    <t>SE CAMBIA PARABRISAS DELANTERO Y SE REVISAN NIVELES</t>
  </si>
  <si>
    <t xml:space="preserve">REPARACION DE SISTEMA DE LUCES </t>
  </si>
  <si>
    <t>REPARACION GENERAL DE LUCES</t>
  </si>
  <si>
    <t>SE REVISAN NIVELES, SE RELLENA CON REFRIGERANTE 2LTS Y SE REPARA DEPOSITO REFRIGERANTE SUELTO</t>
  </si>
  <si>
    <t>SE CAMBIA ACEITE MOTOR C/F(1), SE CAMBIA FILTRO DE PETROLEO, SE CAMBIA FILTRO DE AIRE, SE ENGRASA COMPLETO Y SE REVISAN NIVELES</t>
  </si>
  <si>
    <t xml:space="preserve">REEMPLAZAR PUERTA DEL LADO DEL CHOFER, INSTALCION DE LIMPIA PARABRISAS, INSTALACION DE MANILLA DE PUERTA LADO COPILOTO </t>
  </si>
  <si>
    <t>SE CAMBIA RUEDA DELANTERA IZQUIERDA CON NEUMATICO SOPLADO POR RUEDA DE REPUESTO</t>
  </si>
  <si>
    <t>SE CAMBIA NEUMATICO PINCHADO DELANTERO IZQUIERDO</t>
  </si>
  <si>
    <t>SE CAMBIAN CALZAS AL VALDE Y SE ANGRASA COMPLETO</t>
  </si>
  <si>
    <t>SE RELLENA CON 3 LTS DE ACEITE MOTOR Y REVISION DE NIVELES</t>
  </si>
  <si>
    <t>SE CAMBIAN LAS 8 CALZAS Y SUS PASADORES Y SEGUROS -SE ENGRASA VALDE Y SE REVISAN NIVELES</t>
  </si>
  <si>
    <t>REPARACION DE SISTEMA DE PARADA DE EQUIPO; SE OBSERVA DESGASTE DE MOTOR-PIOLA DE PARADA ELECTRICA</t>
  </si>
  <si>
    <t>SE SACA RODILLA EN MAL ESTADO Y SE RELLENA CON 30 DE ACEITE MOTOR</t>
  </si>
  <si>
    <t>DESMONTAR CAJA DE VELOCIDADES Y EMBRAGUE PARA REPARACION</t>
  </si>
  <si>
    <t>SE EXTRAE RADIADOR DE ACEITE  HIDRAULICO CON FUGA PARA REPARACION EXTERNA</t>
  </si>
  <si>
    <t>SE REPARA BORNERA POSITIVA ASULFATADA, REPARACION LUCES ESTACIONAMIENTO Y REAPRETE DE PISADERAS</t>
  </si>
  <si>
    <t>SE SACA RADIADOR HIDRAULICO ROTO PARA REPARARCION Y SE REPARA EL ASIENTO</t>
  </si>
  <si>
    <t>SE SACA RADIADOR DE ACEITE HIDRAULICO Y DE AGUAS ROTO PARA REPARARLO- SE SACA FLREXIBLE CILINDRO LEVANTE DE VALDE ROTOT Y CORREA VENTILADOR MALA Y CAPOT QUEBRADO PARA REPARARLO</t>
  </si>
  <si>
    <t>SE CAMBIAN LOS 4 DESLISADORES DE DEBAJO DE LA PALA</t>
  </si>
  <si>
    <t>SE REPARA CIRCUITO INFLADO PULMON ASIENTO</t>
  </si>
  <si>
    <t>ENGRASE COMPLETO, CAMBIO DE GRASERAS, CHICHARRAS DE FRENO Y REGULACION DE FRENOS</t>
  </si>
  <si>
    <t>SE ENGRASA COMPLETO, SE REGULAN FRENOS Y SE APERNA TAPABARROS DELANTERO IZQUIERDO Y SE APRIETAN TODOS LOS PERNOS SOBRE CHASIS</t>
  </si>
  <si>
    <t xml:space="preserve">DESMONTAR RADIADOR PARA LAVADO EXTERIOR DESMONTAR TERMOSTATO PARA CAMBIARLO </t>
  </si>
  <si>
    <t>SE RETIRA ESTRUCUTURAA DE CORTA CORRIENTES POR ENCONTRARSE QUEBRADA - SE CONECTA EN FORMA DIRECTA POR NO TENER DONDE DARLE NUEVA UBICACIÓN A CORTACORRIENTE</t>
  </si>
  <si>
    <t>MODULO MALO, NECESITO CAMBIO</t>
  </si>
  <si>
    <t>SE REPARA BOMBA HIDRAULICA, SE LAVA ESTANQUE, SE REPARA CILINDRO DE ATAQUE, CAMBIO DE FILTROS HIDRAULICOS</t>
  </si>
  <si>
    <t>SE COLOCAN 3 FOQUITOS TROCHAS USADO, DOS AMARILLOS Y DOS ROJOS Y SE LLEVA A LA REVISION TECNICA Y SE REGULAN FRENOS</t>
  </si>
  <si>
    <t>ENGRASE EQUIPO COMPLETO; NEUMATICO DELANTERO MALO, FOCO BATEA QUEBRADO</t>
  </si>
  <si>
    <t>CORRECCION FUGA DE REFRIGERANTE</t>
  </si>
  <si>
    <t>SE DESARMA BOMBA DE AGUA</t>
  </si>
  <si>
    <t>SE COLOCA DISCO NUEVO DE FLEXION A LA QUINTA RUEDA Y SE REPARAR LUCES</t>
  </si>
  <si>
    <t>SE ARMA BOMBA DE AGUA DEL ESTANQUE, SE COLOCA Y SE PRUEBA. PIERDE MUCHA AGUA Y NO CHUPA NADA, SE SACA Y SE MANDA A TALLER</t>
  </si>
  <si>
    <t>SE CAMBIA CORREA DE AIRE A/C , CAMBIO DE CAÑERIA HIDRAULICA</t>
  </si>
  <si>
    <t>SE INSTALA RADIADOR ENFRIADOR D E ACEITE HIDRAULICO-ADEMAS 8 LTS DE REFRIGERANTE MOTOR</t>
  </si>
  <si>
    <t>SE SACAN LOS 4 INYECTORES POR PROBLEMAS DE HUMO</t>
  </si>
  <si>
    <t>SE COLOCA RADIADOR DE AGUAS DE ACEITE HIDRAULICO DE AIRE ASTECOOLER Y DE AIRE ACONDICIONADO Y SE MONTA CORREA DEL VENTILADOR</t>
  </si>
  <si>
    <t>SE COLOCA RADIADOR RNFRIADOR DE ACEITE HIFRAULICO - SE REVISAN NIVELES</t>
  </si>
  <si>
    <t>SE SACA MANGUERA ROTA DE AGUA AL RETARDADOR</t>
  </si>
  <si>
    <t>SR INSTALA MANGUERA PETROLEO- SE SACAAN CORTADOS CILINDRADOS -SE INATALA VALDE- SE INSTALAN CALZAS VALDE TRASERO-SE AJUSTA VALDE DELANTERO-SE REPONEN GROSERAS(SE CAMBIAN)</t>
  </si>
  <si>
    <t>SE COLOCAN 4 INYECTORES Y 1 FILTRO DE ACEITE MOTOR</t>
  </si>
  <si>
    <t>SE SACAN EJES DELANTEROS SE SACA PUNTA DE DIRRECION, SE AJUSTA BALDE , SE MONTA BALDE TRASERO</t>
  </si>
  <si>
    <t>COLOCAR PERNOS A BOTELLAS MELLIZAS PALA-CAMBIO ORING FILTRO PETROLEO</t>
  </si>
  <si>
    <t>MD-66</t>
  </si>
  <si>
    <t>INSTALAR MANGUERA Y CAÑERIA SUCCION DE LA BOMBA DE LA TRANSMISION</t>
  </si>
  <si>
    <t>REVISION Y REPARACION DE SISTEMA ELECTRICO; REPARACION DE LUCES; INSTALACION DE BALIZA NUEVA</t>
  </si>
  <si>
    <t>SE COLOCA BOMBA AGUA CON SUS RESPECTIVAS MANGUERAS</t>
  </si>
  <si>
    <t>SE MONTA BOMBA DE AGUA DEL ESTANQUE</t>
  </si>
  <si>
    <t>SE COLOCA MANGUERA NUEVA DE AGUA DEL RETARDADOR</t>
  </si>
  <si>
    <t>SE INSTALA FLRXCIBLE HIDRAULICO-SE APOYA EN INSTALACION RADIADOR DE AGUA HIDRAULICO Y CAPOT</t>
  </si>
  <si>
    <t>SE INSTALAN INYECTORES</t>
  </si>
  <si>
    <t>SE SACA BOMBA DE AGUA DEL ESTANQUE</t>
  </si>
  <si>
    <t>SE APERNAN PLATAFORMAS DEL CAMION CON GOLILLAS DE GOMA</t>
  </si>
  <si>
    <t>SE CHEQUEA EQUIPO; SE ENCUENTRA EJE DELANTERO (CRUZETA) EN MAL ESTADO</t>
  </si>
  <si>
    <t>SE CAMBIAN AMORTIGUADORES DELANTEROS</t>
  </si>
  <si>
    <t>REPARACION DE SISTEMA DE ENCENDIDO; REVISION DE HOROMETRO EN EVALUACION; REPARACION SISTEMA DE ACTIVACION DE MANDOS DE DOSIFICADORA DE ASFALTO</t>
  </si>
  <si>
    <t>REPARACION DE HOROMETRO, REEMPLAZO DE MODULO DE CONTACTO</t>
  </si>
  <si>
    <t>SE CAMBIA FLEXIBLER HIDRAULICO DE CILINDRO DE LEVANTE VALDE POR LADO IZQUIERDO Y SE MONTA VIDRIO DE VENTA LADO DERECHO</t>
  </si>
  <si>
    <t>SE CAMBIA MANGUERA  DE LA CALEFACCION - SE REGULA EL ACELERADOR Y SE REPARA EL PARQUEO - SE CAMBIA BATERIA USADA Y SE RELLENA CON ACEITE HIDRAULICO Y SE RELLENA CON 5 LTS DE AGUA</t>
  </si>
  <si>
    <t>MANTENCION,DESMONTAR ESTANQUE DEL PETROLEO PARA LIMPIAR</t>
  </si>
  <si>
    <t>SE INSTALA FLEXIBLE HIDRAULICO</t>
  </si>
  <si>
    <t>SAE REPARA LA LIGA CON CORTE ELECTRICO</t>
  </si>
  <si>
    <t>SE COLOCAN 3 PERNOS SOPORTE CILINDRO LEVANTE DE PALA LADO DERECHO</t>
  </si>
  <si>
    <t>SE CAMBIA MOTOR DE VENTILADOR DE EVAPORADOR AIRE ACONDICIONADO-FALTA SEGURIADAD EN EVAPORADOR -REORDENAMIENTO DE AMNGUERAS DE AIRE Y RECARGA PARA FUNCIONAMIENTO</t>
  </si>
  <si>
    <t>SE REPARAN BORNES DE BATERIA Y SE REVISAN NIVELES</t>
  </si>
  <si>
    <t>SE CAMBIAN LOS DOS AMORTIGUADORES DELANTEROS</t>
  </si>
  <si>
    <t>SE REPARA EJE DELANTERO Y SE INSTALA EN TERRENO</t>
  </si>
  <si>
    <t>INSTALACION CABINA EN LA MAQUINA; CAMBIO ACEITE TRANSMISION HD30</t>
  </si>
  <si>
    <t>REEMSABLE DE SISTEMA ELECTRICO PROVISIONAL PARA ENCENDEDIDO</t>
  </si>
  <si>
    <t>EQUIPO PRESENTA RUIDO EN RUEDA DELANTE IZQ. Y FUGA POR RUEDA DELANTERA DER.</t>
  </si>
  <si>
    <t>SE PEGA PARABRISAS DELANTERO Y SE REVISAN NIVELES</t>
  </si>
  <si>
    <t>SE PEGA PARABRIZAS QUE SE ENCONTRABA DESPEGADO</t>
  </si>
  <si>
    <t>SE INSTALA SENSOR DE LUZ TESTIGO BLOQUEO DIFERENCIAL; SE RETIRA HUMEDAD EN ESTANQUE HIDRAULICO POR TAPA DE LLENADO Y SE CAMBIAN AMPOLLETAS ESTACIONAMIENTO FOCOS TRASEROS</t>
  </si>
  <si>
    <t>SE CAMBIAN 2 FLEXIBLES DE CILINDRO DE ATAQUE AGUILON Y SE RELLENA CON 10 LTS DE ACEITE HIDRAULICO</t>
  </si>
  <si>
    <t>SE APOYA EN INSTALACION DE FLEXIBLE HIDRAULICO QUE SE ENCONTRABA CON FUGA</t>
  </si>
  <si>
    <t>SE DESARMA BOMBA DE AGUA PARA LIMPIARLA Y SE MONTA Y SE LE CONFECCIONA UNA REGILLA AL CHUPADOR Y SE RELLENA CON 3,5LTS DE ACEITE HIDRAULICO</t>
  </si>
  <si>
    <t>SE MONTA PASADOR DE DCILINDROHIDRAULICO DE EXPANSIÓN DE LA PALA Y SE SOLDA COMO SEGURO- SE REVISAN NIVELES</t>
  </si>
  <si>
    <t>CAMBIO DE ORING CILNDRO DESLIZADOR PALA</t>
  </si>
  <si>
    <t>SE DESARMA BOMBA DE AGUA OBSTRUIDA CON PIEDRAS POR NO TENER REJILLA EN PUNTA DE MANGUERA DE SUCCION, SE LIMPIA BOMBA Y SE FABRICA REJILLA DE PROTECCION</t>
  </si>
  <si>
    <t xml:space="preserve">SE EXTRAE ALTERNADO , RODILLO Y TENSOR POR TENER RODAMIENTOS MALOS </t>
  </si>
  <si>
    <t>SE REPARA TECALAN Y ACOPLE RAPIDO DE PULMON DEL PORTALON</t>
  </si>
  <si>
    <t>SE CAMBIAN RODAMIENTOS DE RODILLOS TENSORES DE CORREA Y SE INSTALA CORREA NUEVA</t>
  </si>
  <si>
    <t>REVISION SISTEMA HOROMETRO-PRESENTA MODULOS MALOS ,ES NECESARIO CAMBIO DER MODULOS DE CONTACTO</t>
  </si>
  <si>
    <t>SE INSTALO BOMBA DE AGUA REPARADA NO FUNCIONANDO. SE DESMONTO Y SE INSTALO OTRA USADA, SE HICIERON SOPORTES DE CAÑERIA TODO USADO. 1 MANGUERA DEL MOTOR HIDRAULICO NUEVA SE REVISO EL DISPERSADOR, SE CAMBIO LA MANGUERA DEL PITON, SE CAMBIO MANGUERA DE SUCCION DE LA BOMBA NUEVA 3"</t>
  </si>
  <si>
    <t>REGULACION DE FRENO, ENGRASE Y COSEDURA DE CARPA</t>
  </si>
  <si>
    <t>ENGRASE Y REGULACION DE FRENOS</t>
  </si>
  <si>
    <t>SE CAMBIAN PUNTAS DE DIRECCION, ROTULAS, BUJES DE BARRA ESTABILIZADORAS Y NEUMATICOS NUEVOS</t>
  </si>
  <si>
    <t xml:space="preserve">FUSIBLE CORTADO DE MODULO DE TRANSMISION Y REPARACION MODULO DE CAMBIOS; TENIA 1 MICROCHIP QUEMADO SACAR CORTO CIRCUITO </t>
  </si>
  <si>
    <t>SE QUITA FUGA DE ACEITE HIDRAULICO POR CILINDRO PATA DERECHA, SE ENGRASA COMPLETA Y SE REVISAN NIVELES</t>
  </si>
  <si>
    <t>SE EXTRAEN 60LTS DE ACEITE HIDRAULICO, EL CUAL SE ENCONTRABA SOBRENIVEL LO QUE PRODUCIRIA SOBRE TEMPERATURA</t>
  </si>
  <si>
    <t>ENGRASE COMPLETO Y CAMBIO DE ORING GASTADO</t>
  </si>
  <si>
    <t>SE RELLENA ACEITE DIFERENCIAL QUE SE ENCUENTRA CON RETENES DE MASA MALOS</t>
  </si>
  <si>
    <t>AJUSTE DE LA TORNAMESA, SE CAMBIARON DESLIZADERAS; INSTALACION DE PALA, SE CAMBIARON LOS APOYOS Y DESLIZADEROS</t>
  </si>
  <si>
    <t>SE CAMBIA ACEITE A LA MOTOBOMBA Y SE REVISAN NIVELES Y SE REPARAN LUCES</t>
  </si>
  <si>
    <t>SE ENGRASA COMPLETO, SE REVISAN NIVELES, SE RELLENA CON 15 DE ACEITE HIDRAULICO Y DE 7 DE ANTICONGELANTE Y SE LIMPIA FILTRO DE AIRE</t>
  </si>
  <si>
    <t>SE REPARAN LUCES ESTACIONAMIENTO Y FUGA DE AIRE POR TECALAN ROTO</t>
  </si>
  <si>
    <t>SE INSTALARON DOS FLEXIBLES HIDRAULICOS</t>
  </si>
  <si>
    <t>SE REPARA BRAZOS DEL AUTO ENCARPE, SE ENGRASA COMPLETO, SE REGULAN FRENOS CAMION Y BATEA Y SE REVISAN NIVELES</t>
  </si>
  <si>
    <t>SE REPARA BRAZOS Y CARPA DEL AUTO EN CARPA Y SE REPARA PROTECTOR DEL SILENCIADOR</t>
  </si>
  <si>
    <t>SE QUITA FUGA DE ACEITE HIDRAULICO POR MOTOR DE BOMBA DE AGUA Y SE REVISAN NIVELES</t>
  </si>
  <si>
    <t xml:space="preserve">SE REPARA CILINDRO AUXILIAR DE EMBRAGUE Y SE RELLENA CON LIQUIDO Y SE REVISAN NIVELES </t>
  </si>
  <si>
    <t>BD-02</t>
  </si>
  <si>
    <t>REPARACIÓN CARPA Y BRAZOS AUTOESCAPE</t>
  </si>
  <si>
    <t>SE INSTALA ALARMA MARCHA ATRÁS Y SE REPARA FUGA DE ACEITE HIDRAULICO POR ACOPLE DE BOMBA DE AGUA</t>
  </si>
  <si>
    <t>SE CAMBIA LUZ MARCHA ATRÁS TRASERA IZQUIERDA, SE INSTALA ALARMA MARCHA ATRÁS Y SE REPARA LUZ DE FRENO</t>
  </si>
  <si>
    <t>CAMBIO DE NEUMATICO IZQUIERDO</t>
  </si>
  <si>
    <t>SE CAMBIA FLEXIBLE CILINDRO DE LEVANTE DE TOLVA Y SE RELLENA CON 10 DE ACEITE HIDRAULICO</t>
  </si>
  <si>
    <t>EL SENSOR DE SISTEMA APERTURA DEL BALDE NO FUNCIONA, SE SOLICITA ASESORIA TECNICA</t>
  </si>
  <si>
    <t>SE APOYA CAMBIO NEUMATICOS DE EQUIPO PARADO EN RUTA</t>
  </si>
  <si>
    <t>SE SACA RADIADOR ENFRIADOR DE ACEITE HIDRAULICO POR FALLA EN SU FUNCION</t>
  </si>
  <si>
    <t>SE CAMBIAN DOS CAÑERIAS HIDRAULICAS</t>
  </si>
  <si>
    <t>DESMONTAJE DE LOS INYECTORES</t>
  </si>
  <si>
    <t>SE CAMBIAN 8 CALZAS CON SUS PASADORES Y SEGUROS Y SE REVISAN NIVELES</t>
  </si>
  <si>
    <t>SE REPARA COMANDO VOLTEO BALDE PEGADO</t>
  </si>
  <si>
    <t>SE COLOCA RADIADOR ENFRIADOR DE ACEITE HIDRAULICO</t>
  </si>
  <si>
    <t xml:space="preserve">SE INSTALA FLEXIBLE HIDRAULICO </t>
  </si>
  <si>
    <t>SE INSTALA RADIADOR SEPARADO DEL ENFRIADOR DE ACEITE HIDRAULICO</t>
  </si>
  <si>
    <t>DESMONTARLA DEL CONTAINER</t>
  </si>
  <si>
    <t>SE COLOCA RADIADOR DEL AGUA Y SE RELLENA CON 50 DE ANTICONGELANTE Y SE RELLENA CON 5 DE ACEITE DE TRANSMISION Y SE REVISAN NIVELES</t>
  </si>
  <si>
    <t>ENGRASE COMPLETO, REPARACION DE PASADORES, PATAS DE APOYO TAPADOS, REVISION JUEGO DELANTERO CON JUEGO EN SU PASADOR Y PERNOS CORTADOS EN UNION DE TURBO Y TUBO DE ESCAPE</t>
  </si>
  <si>
    <t>SE CAMBIAN PUNTAS DE DIRRECION Y SE CAMBIAN BRONCES DESLIZADERAS 8 UINIDADES</t>
  </si>
  <si>
    <t>SE REEMPLAZAN 6 TUERCAS RODADAS DE PALIERES TRASEROS; RUEDA PRIMER EJE TRACCIONAL LADO IZQUIERDO EXTERNO PINCHADA</t>
  </si>
  <si>
    <t>SE ENGRASA; SE SACA PASADOR ENGRIFADO; 3 CAMBIOS GRASERAS</t>
  </si>
  <si>
    <t>REPARACION ROCIADOR DE ASFALTO</t>
  </si>
  <si>
    <t>SE INSTALAN GUARDERAS CINTA Y SE COLOCA PROTECCION LATERLAES</t>
  </si>
  <si>
    <t>15HR ???</t>
  </si>
  <si>
    <t>SE CENTRA TAMBOR SUPERIOR CINTA DE SALIDA</t>
  </si>
  <si>
    <t>SE REVISA EQUIPO EL CUAL NO DA ARRANQUE, SE DIAGNOSTICA UNA DE LAS BATERIAS EN MAL ESTADO</t>
  </si>
  <si>
    <t>REPARACION DEL ONK, SE CAMBIARON LOS ORING Y SELLOS RETENEDORES. SE INSTALO EN LA MAQUINA EL ONK Y EL KPTO</t>
  </si>
  <si>
    <t>SE COLOCA MULTIPLE DEL TURBO Y SE SACA EJE DELANTERO Y PASADOR CENTRAL</t>
  </si>
  <si>
    <t>SE REPARA CORTE ELECTRICO ALIMENTACION CHAPA DE CONTACTO QUE SE ENCONTRABA AISLADA</t>
  </si>
  <si>
    <t>SE DESMONTA EJE DELANTERO PARA EXTRACCION DE BUJES DESGASTADOS</t>
  </si>
  <si>
    <t>SE INSTALA BATERIA NUEVA 12V/150A, ADEMAS SE CAMBIAN BORNES POSITIVOS Y NEGATIVOS QUE SE ENCONTRABAN QUEBRADOS</t>
  </si>
  <si>
    <t>SE APRETAN PERNOS DE LA PLATAFORMA DEL CAMION Y SE QUITA FUGA DE AIRE QUE ALIMENTA LA BATEA</t>
  </si>
  <si>
    <t>SE CAMBIA BOMBA DE EMBRAGUE Y SE RELLENA CON LIQUIDO DE FRENOS</t>
  </si>
  <si>
    <t>SE INSTALA BOMBA EMBRIAGUE MUESTRA</t>
  </si>
  <si>
    <t>SE REPARA RODILLO DE LA CINTA SUPERIOR, SE PERFORAN EJES Y SE COLOCAN SEGUROS</t>
  </si>
  <si>
    <t>SE REPARA CORTE ELECTRICO EN CIRCUITO CONTACTO DE ARRANQUE</t>
  </si>
  <si>
    <t>SE APOYA EN REPARACION EJE TAMBOR DE CINTA DE SALIDA CORRIDO, ADEMAS SE CAMBIA CINTA ELASTICA CORTADA</t>
  </si>
  <si>
    <t>SE INSTALA VIDRIO PUENTE; SE INSTALAN 3 SEGUROS PASADORES</t>
  </si>
  <si>
    <t>SE INSTALA RADIADOR Y AFTERCOOLER; SE RELLENA NIVEL ACEITE DIRECCIONAL ATF 2LTS; SE RELLENA REFRIGERANTE 40LTS</t>
  </si>
  <si>
    <t>SE CAMBIA EJE Y MASA TRASERA IZQUIERDA; SE CAMBIAN PASTILLA DE FRENO TRASERO; SE CAMBIA ACEITE A DIFERENCIAL; SE REVISA CORONA</t>
  </si>
  <si>
    <t>SE QUITA FUGA DE ACEITE HIDRAULICO POR FLEXIBLE Y SE REVISAN NIVELES</t>
  </si>
  <si>
    <t>SE ELIMINA FLEXIBLE HIDRAULICO OPCIONAL QUE SE ENCONTRABA CON FUGA</t>
  </si>
  <si>
    <t>REPARACION DEL ROCIADOR DE ASFALTO</t>
  </si>
  <si>
    <t>SE SACA PARACHOQUES TRASERO PARA COLOCAR A OTROS PARA REVISION TECNICA</t>
  </si>
  <si>
    <t>SE REPARAN LUCES DE ESTACIONAMIENTO TRASERAS 4 AMPOLLETAS GLOBO CHICO 24V/10W</t>
  </si>
  <si>
    <t>INSTALACION CILINDROS DE LAS TORNAMESAS; INSTALACION DE INYECTORES REPARADOS</t>
  </si>
  <si>
    <t>SE REPARA PEDALERO DE EMBRIAGUE</t>
  </si>
  <si>
    <t>SE CAMBIAN LOS DOS BRAZOS DEL AUTO EN CARPE Y SE COSE LA CARPA Y SE REVISAN NIVELES</t>
  </si>
  <si>
    <t>SE INSTALA BRAZOS LATERALES AUTOESCAPE Y SE REPARACARPA RASGADA</t>
  </si>
  <si>
    <t>SE CAMBIA BRAZO IZQUIERDO DE AUTO ENCARPE DE BATEA Y SE REPARA CARPA</t>
  </si>
  <si>
    <t>SE REPARA Y LUBRICA VALVULA DE FRENOS Y SE REGULA FRENO DE LA BATEA</t>
  </si>
  <si>
    <t>SE DESMONTAN LOS NEUMATICOS EJE TRASEROS, SE CAMBIAN BALATAS Y SE MONTAN LOS NEUMATICOS</t>
  </si>
  <si>
    <t>SE ROTAN LAS CUCHILLLAS Y SE ENGRASAN COMPLETA Y SE REVISAN NIVELES</t>
  </si>
  <si>
    <t>BD-17</t>
  </si>
  <si>
    <t xml:space="preserve">SE REPARA VÁLVULA DE AIRE "R7" SUCIA </t>
  </si>
  <si>
    <t>BD-05</t>
  </si>
  <si>
    <t>CAMBIO FILTRO DECANTADOR BOMAG 05825015</t>
  </si>
  <si>
    <t>SE CAMBIAN LAS TRES CORREAS DEL VENTILADOR POR USADAS SE LIMPIA FILTRO DE AIRE Y SE REVISAN NIVELES</t>
  </si>
  <si>
    <t>SE MONTAN LOS CUATRO NEUMATICOS Y SE CONECTAN LOS DOS FLEXIBLES DE DIRECCION</t>
  </si>
  <si>
    <t>INSTALAR LA PALA Y LOS CILINDROS HIDRAULICOS DE LA TORNAMESA</t>
  </si>
  <si>
    <t>SE MONTA PASADOR CENTRAL EJE DELANTERO CON SUS GOLILLAS DE AJUSTE Y SE RELLENA CON 15 DE ACEITE HIDRAULICO, SE ENGRASA PASADOR CENTRAL Y SE CAMBIA EMPAQUETADURA DEL SOPORTE DEL TURBO</t>
  </si>
  <si>
    <t>SE INSTALA EJE DELANTERO CON SUS GOLILLAS DE AJUSTE Y SEGUROS SEAGERS, SE ENGRASA PASADOR CENTRAL EJE DELANTERO Y SE APRIETAN RUEDAS TRASERAS</t>
  </si>
  <si>
    <t>SE DESMONTA LA TRANSMISION</t>
  </si>
  <si>
    <t>SE SACA NEUMÁTICO PINCHADO DE ÚLTIMO PUENTE LADO IZQUIERDO</t>
  </si>
  <si>
    <t>SE TRAEN DOS NEUMATICOS DEL TALLER Y SE MONTAN UNO A CADA LADO PUENTE INTERMEDIO TRASERO</t>
  </si>
  <si>
    <t>SE SACAN DOS PERNOS MALOS DEL PUÑO</t>
  </si>
  <si>
    <t>SE CENTRA RODILLO SUPERIOR DE LA CINTA Y SE COLOCA PERNO CHAVETERO SEGURO QUE AFIRMAR Y FIJA EL RODILLO</t>
  </si>
  <si>
    <t>DESARME DIFERENCIAL DELANTERO</t>
  </si>
  <si>
    <t>SE REPARA VALVULA DEL PORTALON Y EJE AUXILIAR DE LA BATEA</t>
  </si>
  <si>
    <t>SE REPARA CORTECIRCUITO POR CABLES PELADOS POR ROCE DEL MOTOR DE ARRANQUE</t>
  </si>
  <si>
    <t xml:space="preserve">SE COLOCAN GOLILLAS DE AJUSTE A LOS DOS PASADORES DEL BALDE Y SE ENGRASAN </t>
  </si>
  <si>
    <t>SE COLOCAN 2 PERNOS NUEVOS AL PUÑO DEL CILINDRO Y SE RELLANA CON 10 LITROS DE ACEITE</t>
  </si>
  <si>
    <t>REPARACION CORTE ELECTRICO CABLE POSITIVO BATERIA</t>
  </si>
  <si>
    <t>SE REPARA TAPON DE BRONCE QUEBRADO ACUMULADO DE AIRE Y REAPRIETE PERNOS DE BOMBA DE AGUA</t>
  </si>
  <si>
    <t>INSTALACION DE BOMBAS HIDRAULICAS MANGUERAS DEL ONK. LAVADO GENERAL DE LA MAQUINA</t>
  </si>
  <si>
    <t>SE REGULAN LOS FRENOS; NEUMATICOS DELANTEROS MALOS</t>
  </si>
  <si>
    <t xml:space="preserve">INSTALAR VENTILADOR </t>
  </si>
  <si>
    <t>CAMBIO DE BORNE POSITIVO AZULFATADO</t>
  </si>
  <si>
    <t>SE APERNA ESCALERAY PLATAFORMA DEL ESTANQUE DE AGUA Y SE REVISAN NIVELES</t>
  </si>
  <si>
    <t>SE ENGRASA COMPLETO Y SE REVISAN NIVELES. SE REGULA EMBRIAGUE Y NO DA MAS QUEDA FUERA DE SERVICIO</t>
  </si>
  <si>
    <t>SE REPARA ALZA VIDRIO ELECTRICO LADO DERECHO</t>
  </si>
  <si>
    <t>SE CENTRA Y SE COLOCAN GOMAS AL ESTANQUE DE PETROLEO Y SE APRIETAN LOS SOPORTES</t>
  </si>
  <si>
    <t>SE HACE INSTALACION ELECTRICA DE LUCES</t>
  </si>
  <si>
    <t>SE HACE INSTALACION DE LUCES</t>
  </si>
  <si>
    <t>DETERMINAR FALLA. NO SE DESPLAZA LA MAQUINA PROBLEMA EN LA TRANSMISION</t>
  </si>
  <si>
    <t>SE REVIENTA SELLOS DEL CILINDRO DE TENSOR DE ORUGA QUEDA FUERA DE SERVICIO, SE REVISAN NIVELES</t>
  </si>
  <si>
    <t>SE REPARA GUARDAFANGOS TRASERO LADO IZQUIERDO Y SE INSTALAN FOCOS TRASEROS</t>
  </si>
  <si>
    <t>REPARAR FUGA DE AIRE</t>
  </si>
  <si>
    <t>DESMONTAR LOS INYECTORES</t>
  </si>
  <si>
    <t>SE COLOCA SOPORTE NUEVO DE PISADERA Y BOMBA LEVANTE DE CABINA LADO DERECHO Y SE CAMBIAN DOS PERNOS CORTADOS ULTIMO PUENTE BATEA LADO DERECHO DE RUEDA Y SE CAMBIA PLUMILLA IZQUIERDA</t>
  </si>
  <si>
    <t>SE DESTAPA CAÑERIA COMBUSTIBLE LLEGADA DECANTADOR OBSTRUIDA</t>
  </si>
  <si>
    <t>INSTALACION ELECTRICA FOCOS TRASEROS</t>
  </si>
  <si>
    <t>SE APOYA EN EXTRACCION CAJA DE TRANSMISION</t>
  </si>
  <si>
    <t>CAMBIO DE ACEITE TRANSMISION .424</t>
  </si>
  <si>
    <t>COLOCAR CADENA LADO IZQUIERDO</t>
  </si>
  <si>
    <t>SE SACA PUNTA DE DIRECCION QUEBRADA LADO IZQUIERDO</t>
  </si>
  <si>
    <t>SE REALIZAN CONEXIONES ELECTRICAS PARA LUCES TOLVA LATERALES Y DELANTEROS</t>
  </si>
  <si>
    <t>COLOCAR ORING MANGUERA CILINDRO DESLIZADOR PALA; COLOCAR ORING MANGUERAS CILINDRO LEVANTE ORING; REAPRETE PERNOS SOPORTE RUTER; REAPRETE PERNOS RUEDAS; RELLENO ACEITE HIDRAULICO</t>
  </si>
  <si>
    <t xml:space="preserve">RELLENO ACEITE MOTOR 4 LITROS </t>
  </si>
  <si>
    <t>INSTALAR RADIADOR BOMBA DE DIRECCION. RELLENAR ACEITE DE TRANSMISION Y ACEITE DIRECCION ATF 10 Y REFRIGERANTE 20. LAVADO INTERNO DEL RADIADOR</t>
  </si>
  <si>
    <t>REVISION FUGA DE AIRE; COLOCAR MANGUERA NUEVA SALIDA COMPRESOR; COLOCAR BARRA ESTABILIZADORA CABINA REPARADA</t>
  </si>
  <si>
    <t>COLOCAR DESLIZADORES PALA SUPERIORES NUEVO CON PERNOS USADOS; COLOCAR DESLIZADOR NUEVO PALA INFERIORES CON PERNOS NUEVOS</t>
  </si>
  <si>
    <t>SE SOLICITA BATERIAS LAS CUALES SE ENCUENTRAN CON MALA CAPACIDAD DE CARGA; FALTA ELEMENTO DE COMBUSTIBLE</t>
  </si>
  <si>
    <t>SE REPARA ACELERADOR ELECTRONICO CON CONEXIONES SUELTAS Y CARBONIZADAS</t>
  </si>
  <si>
    <t>SE CAMBIAN BATERIAS EN MAL ESTADO 12V/170A</t>
  </si>
  <si>
    <t xml:space="preserve">COLOCAR MANGUERA NUEVA CILINDRO </t>
  </si>
  <si>
    <t>TENSADO CADENA LADO IZQUIERDO REGULAR PARADA MOTOR (CIRCUITO PETROLEO)</t>
  </si>
  <si>
    <t>SE HACE INSTALACION BOMBA DE PETROLEO, SE CAMBIAN AMPOLLETAS H4 80/100HR Y SE REALIZAN TRABAJOS EN ESTRUCTURA ESTANQUE DE COMBUSTIBLE</t>
  </si>
  <si>
    <t>DESMONTAR CILINDRO HIDRAULICO; DESMONTAR UN NEUMATICO PARA INSTALARLO EN CD-103</t>
  </si>
  <si>
    <t>EXTRACCION RUEDA DELANTERA PARA LLEVAR A TALLER</t>
  </si>
  <si>
    <t>RUEDA DIRECCIONAL PINCHADA, SE CAMBIA</t>
  </si>
  <si>
    <t>DESMONTAR EL ENFRIADOR DE ACEITE DE MOTOR</t>
  </si>
  <si>
    <t>SACAR RUEDA TENSORA LADO DERECHO</t>
  </si>
  <si>
    <t>SE EXTRAE MOTOR DE ARRANQUE</t>
  </si>
  <si>
    <t>TENSADO CADENAS REAPRETE VALVULA DE TENSADO (GRASERAS); COLOCAR GRASERAS 10MM, PARADO POR BALDE</t>
  </si>
  <si>
    <t>SE VERIFICA QUE SISTEMA ELECTRICO DE MACHO SE ENCUENTRA EN BUEN ESTADO. SE SOLICITA ASESOR TECNICO</t>
  </si>
  <si>
    <t>SE INSTALA VIDRIO LATERAL</t>
  </si>
  <si>
    <t>CAMBIAR GUARDAFANGOS LADO DERECHO, LAVADO INTERIOR DEL INTERCULER, RELLENO DE ACEITE MOTOR 10LTS 10W40</t>
  </si>
  <si>
    <t>REGULACION FRENOS ENGRASE; SOPORTE PULMON FRENO DELANTERO DERECHO QUEBRADO PERNOS, PULOM FRENO TORCIDO</t>
  </si>
  <si>
    <t>SE SACA MANGUERA MALA PARA HACER UNA NUEVA EN LOS ANGELES DE BOMBA DE FRENO POR DIRECCION</t>
  </si>
  <si>
    <t>REVISION FRENOS, ENGRASE COMPLETO</t>
  </si>
  <si>
    <t>SE REVISA EQUIPO, SE SACA RADIADOR PARA MANDAR A REPARAR</t>
  </si>
  <si>
    <t>CAMBIO DE FLEXIBLE HIDRAULICO MALO</t>
  </si>
  <si>
    <t>SE INSTALA MOTOR DE ARRANQUE Y SE REPARA CORTE ELECTRICO EN POSICION DE CONTACTO</t>
  </si>
  <si>
    <t>ED-30</t>
  </si>
  <si>
    <t>CORREGIR FUGA DE GASES DE ESCAPE, SUSPENDER EL CATALIZADOR, SE CAMBIO FILTRO DE AIRE</t>
  </si>
  <si>
    <t>SE REPARAN CABLES CORTADOS CALEFACCION; SE LLEVAN NEUMATICOS MALOS PARA CAMBIO DE RUEDAS DELANTERAS</t>
  </si>
  <si>
    <t>INSTALACION DE 4 MANGUERAS HIDRAULICAS Y CONECTAR RADIADOR DE ACEITE HIDRAULICO</t>
  </si>
  <si>
    <t>INSTALAR LA PALA CAMBIO PUNTA DIRECCION IZQUIERDA Y DERECHA RECONSTRUIDAS. PUNTA CILINDRO DIRECCION IZQUIERDO RECONSTRUIDO</t>
  </si>
  <si>
    <t>SE HACEN TRABAJOS DE ESMERIL Y SOLDADURA PARA REPARACION DE PASADOR FUERA DE LUGAR EN SU PATA DE APOYO TRASERA IZQUIERDA</t>
  </si>
  <si>
    <t>SE CHEQUEA TRANSMISION POR PRESENTAR FALLA PARA MOVERSE Y NO SE LOGRA SOLUCIONAR FALLA.</t>
  </si>
  <si>
    <t>INSTALACION DE INTERCOOLER Y EL ESTANQUE DE PETROLEO</t>
  </si>
  <si>
    <t>COLOCAR RUEDA TENSORA USADA CON CILINDRO REPARADO</t>
  </si>
  <si>
    <t xml:space="preserve">SE CAMBIA CAJA DE CAMBIO, DISCO DE EMBRAGUE, SE REVISA FRENOS DELANTEROS PASTILLAS DE FRENO BUENO, CILINDROS DE FRENO TRASERO AGRIPADOS </t>
  </si>
  <si>
    <t>SE VOLTEAN CHUCHILLAS</t>
  </si>
  <si>
    <t>REPARACION BOTONERAS LUCES FAENERAS</t>
  </si>
  <si>
    <t>INSTALAR EL ENFRIADOR DE ACEITE MOTOR NUEVO CON EMPAQUETADURAS NUEVAS; DESMONTAR EL KIT DE RADIADORES; RELLENAR 25LTS DE ACEITE MOTOR 10W40</t>
  </si>
  <si>
    <t>CAMBIO DE SOPORTE DE GOMA RODILLO DELANTERO</t>
  </si>
  <si>
    <t>LIMPIEZA DE PARTES (PRESAS) DEL DIFERENCIAL</t>
  </si>
  <si>
    <t>SE CAMBIA MANGUERA DEL RADIADOR AL MOTOR, SE RELLENA CON 5LTS DE ANTICONGELANTE Y SE REVISAN NIVELES</t>
  </si>
  <si>
    <t>SE INSTALA DESLIZADOR DE BRONCE SUPERIOR PALA</t>
  </si>
  <si>
    <t>ALTERNADOR SE LLEVA A REPARACION EXTERNA POR RUIDO EN ROD.</t>
  </si>
  <si>
    <t>SE TRASLADA ALTERNADOR PARA REPARACION EXTERNA</t>
  </si>
  <si>
    <t>DESMONTAR EL JUEGO DE ENFRIADORES (RADIADORES) Y EL COMPRESOR DEL AIRE ACONDICIONADO</t>
  </si>
  <si>
    <t>SE SACA ESTANQUE DERECHO DE PETROLEO ROTO, SE LAVA POR DENTRO Y POR FUERA Y SE LLEVA A SOLDAR Y SE TRAE</t>
  </si>
  <si>
    <t>SE SOLICITA FILTRO DECANTADOR CON MASA</t>
  </si>
  <si>
    <t>PROBLEMA ELECTRICO ACELERADOR, SE LIMPIAN SENSORES EN GENERAL</t>
  </si>
  <si>
    <t>PROBLEMA ELECTRICO, SE REPARA PARADA DE EMERGENCIA AISLADA</t>
  </si>
  <si>
    <t>INSTALAR DOS JUEGOS DE RADIADORES; RADIADOR DE REFRIGERACION NUEVO; RADIADOR DE AIRE ACONDICIONADO SOLDADO; INSTALAR EL COMPRESOR DEL AIRE ACONDICIONADO (MALO)</t>
  </si>
  <si>
    <t>SE REGULAN FRENOS CAMION Y BATEA Y SE COLOCA HORQUILLA Y PASADO AL PULMON DE FRENO SEGUNDO PUENTE LADO IZQUIERDO DE LA BATEA</t>
  </si>
  <si>
    <t>SE COLOCA ESTANQUE DE PETROLEO DERECHO REPARADO Y SE COLOCA EL PETROLEO QUE SE SACO Y QUEDA OPERATIVO</t>
  </si>
  <si>
    <t>SE QUITA FUGA DE ACEITE HIDRAULICO POR FLEXIBLE, SE CAMBIA ORING</t>
  </si>
  <si>
    <t>BALATAS DESGASTADAS ULTIMO EJE, SE EMBALATA ULTIMO EJE Y SE REPARA FUGA DE AIRE</t>
  </si>
  <si>
    <t>FALTA ALTERNADOR, SE INSTALA ALTERNADOR REPARADO Y SE PRESENCIA RUIDO EN VENTILADOR MOTOR</t>
  </si>
  <si>
    <t>SE CAMBIA NEUMATICO DELANTERO IZQUIERDO REVENTADO Y SE CAMBIA FILTRO Y VASO DECANTADOR DE PETROLEO</t>
  </si>
  <si>
    <t>CAMBIO DE DOS PULMONES DEL EJE INTERMEDIO Y REGULACION DE FRENOS</t>
  </si>
  <si>
    <t>SE ELIMINA PULMON DELANTERO DERECHO REVENTADO</t>
  </si>
  <si>
    <t>DRENAR EL ACEITE HIDRAULICO, DESMONTAR LA TRANSMISIÓN PARA REPARACIÓN</t>
  </si>
  <si>
    <t>SE REVISA EL TURBO, TIENE MUCHO JUEGO LA TURBINA, SE APRIETAN Y SE CAMBIAN ABRAZADERAS DE CAÑERIA Y MANGUERA DEL INTERCOOLER Y SE REVISAN FILTROS DE AIRE, SE LIMPIA, SE PRUEBA Y SIGUE IGUAL, SUBEN LAS RPM Y BAJAN DE NUEVO</t>
  </si>
  <si>
    <t>SE DEJA CAMION PORQUE BOTA EL AGUA POR LA TAPA DEL RESPIRADERO</t>
  </si>
  <si>
    <t>DESMONTAJE DE CARDAN TOMA FUERZA PARA CAMBIAS LAS DOS CRUCETAS MALAS</t>
  </si>
  <si>
    <t>SE SACA ESTANQUE HIDRAULICO ROTO Y SE LLEVA A TALLER PARA SOLDAR</t>
  </si>
  <si>
    <t>CAMBIO DE CRUZETAS DEL CARDAN DE TOMA FUERZA</t>
  </si>
  <si>
    <t>DESMONTAJE DE TUBO DE ESCAPE Y SILENCIADOR. SOLDADURA TUBO CAMBIO DEL TUBO FLEXIBLE. CAMBIO SOPORTES DE CABINA, CAMBIO DE "ILEGIBLE"</t>
  </si>
  <si>
    <t>SE CAMBIAN DOS NEUMATICOS REVENTADOS PUENTE INTERMEDIO LADO DERECHO, SE SACAN LAS DEL PUENTE AUXILIAR</t>
  </si>
  <si>
    <t>SE CAMBIAN LOS CABLES QUE VAN DE LAS BATERIAS AL MOTOR DE ARRANQUE PORQUE NO PARTE Y TIENE LA CHAPA MALA</t>
  </si>
  <si>
    <t>SE CAMBIAN BALATAS AL ULTIMO PUENTE Y AL PUENTE INTERMEDIO, SE COLOCAN LAS BALATAS DEL PUENTE AUXILIAR Y SE COLOCA UN NEUMATICO DEL PUENTE AUXILIAR AL PUENTE INTERMEDIO LADO DERECHO</t>
  </si>
  <si>
    <t>SE CAMBIA CODO Y SE REPARA BRAZO DERECHO DEL AUTOENCARPE</t>
  </si>
  <si>
    <t>SE COLOCA RODAMIENTO NUEVO DEL VENTILADOR Y CORREA TAMBIEN NUEVA Y SE SACA MOTOR DE ARRANQUE POR ESTAR QUEBRADO EL SELENOIDE</t>
  </si>
  <si>
    <t>DESMONTAR LOS INYECTORES DEL MOTOR</t>
  </si>
  <si>
    <t>SE CAMBIA PULMON DE FRENO DE LA BATEA ULTIMO PUENTE LADO DERECHO Y SE REGULAN FRENOS</t>
  </si>
  <si>
    <t>SE CAMBIA CORREA CORTADA POR UNA USADA DEL VENTILADOR Y SE RELLENA CON 15LTS DE ANTICONGELANTE Y RELLENA CON 1/2 LT DE ACEITE DE DIRECCION Y SE REVISAN NIVELES</t>
  </si>
  <si>
    <t>CORRECCION FUGA DE AIRE POR REGULARDOR (VALVULA); SE INSTALO LA DEL CAMION CD-97 PARA TRAERLO DE SAN JAVIER A TALLER</t>
  </si>
  <si>
    <t>SE REGULAN FRENOS Y SE LEVANTAN RUEDAS DELANTERAS PARA REVISAR TAMBORES Y ESTAN OVALADOS AL GIRAR</t>
  </si>
  <si>
    <t>SE COLOCA COMPRESOR REPARADO Y SE RELLENA CON 60LTS DE ACEITE HIDRAULICO</t>
  </si>
  <si>
    <t>SE MONTA ESTANQUE HIDRAULICO REPARADO Y SE RELLENA CON 120LTS DE ACEITE HIDRAULICO</t>
  </si>
  <si>
    <t>CAMBIO CONECTOR DE MANGUERA LINEA DE AIRE AL PULMON DE FRENO ESTACIONAMIENTO</t>
  </si>
  <si>
    <t>SE SACA CILINDRO OJO QUEBRADO QUE LLEGA AL BALDE, SE ENGRASA COMPLETA Y SE REVISAN NIVELES</t>
  </si>
  <si>
    <t>DESMONTAJE DE BALDE DE LA MAQUINA</t>
  </si>
  <si>
    <t>CAMBIO DE ACEITE A MOTOR; CAMBIO DE ACEITE A PUENTE DELANTERO, TRANSMISION PUENTE TRASERO,C AMBIO DE BUJES A CILINDROS DE GIRO DE AGUILON + 2 MANGUERAS LEVANTE DE PATA LADO DERECHO; SE SACA ESTANQUE DE PETROLEO Y SE LAVA</t>
  </si>
  <si>
    <t>SE CAMBIAN LOS CUATRO DESLIZADORES DE DEBAJO DE LA PALA Y SE CAMBIAN LAS NUEVES CALZAS DE LOS CALIFCADORES Y SE RELLENA CON 5LTS DE ANTICONGELANTE Y SE REVISAN NIVELES</t>
  </si>
  <si>
    <t>SE CONTINUA CON REPACIONES DE HARNES DE EQUIPO VOLVO</t>
  </si>
  <si>
    <t>SE CAMBIA Y REPARA LUZ BAJA Y ALTA LADO IZQUIERDO EN CORTE Y ADEMAS SE CAMBIAN AMPOLLETAS QUEMADAS</t>
  </si>
  <si>
    <t>SE PEGA VIDRIO LATERAL DERECHO</t>
  </si>
  <si>
    <t>PREPARAR LAS PIEZAS DEL DIFERENCIAL DELANTERO</t>
  </si>
  <si>
    <t>SE INSTALA CILINDRO DE BALDE REPARADO</t>
  </si>
  <si>
    <t>DESMONTAJE DE RETARDADOR Y LA BOMBA HIDRAULICA; SE ENTREGARON EN SERVICIO TECNICO MAN DE TALCA</t>
  </si>
  <si>
    <t>SE SACA FLEXIBLES DE LA PALA ROTOS Y SE RELLENA CON 15LTS DE ACEITE HIDRAULICO</t>
  </si>
  <si>
    <t>SE MONTA COMPRESOR REPARADO, SE PRUEBA Y QUEDA IGUAL</t>
  </si>
  <si>
    <t>REPARACION CORTE ELECTRICO LUCES TRASERAS</t>
  </si>
  <si>
    <t>CORREA CORTADA ALTERNADOR, SE SACA COMPRESOR A/C TRANCADO; FALTA COMPRESOR A/C Y CORREO 8PK1660, SOLAMENTE QUEDA CON CORREA DE BOMBA ELEVADORA DE COMBUSTIBLE</t>
  </si>
  <si>
    <t>SE SACA FLEXIBLE HIDTAULICO DEL CULINDRO DE ATAQUE DEL AGUILON TRASERO ROTO</t>
  </si>
  <si>
    <t>SE ASISTE A EQUIPO PARADO EN RUTA, SE TRASLADA A SECTOR KM12 PARA SER TRASLADADO A TALLER</t>
  </si>
  <si>
    <t>SE CAMBIAN REFLECTANTES EN MAL ESTADO, SE CAMBIAN MICAS Y AMPOLLETAS MALAS TRASERAS</t>
  </si>
  <si>
    <t>SE REPARA SISTEMA AUTOARRANQUE, SE REPARA CHICOTE MOTOR AUTOENCARPE Y FUSIBLE QUEMADO</t>
  </si>
  <si>
    <t>SE REPARA AUTOENCARPE, SE CAMBIA FOCOS TRASEROS EN MAL ESTADO</t>
  </si>
  <si>
    <t>SE CAMBIAN LOS SEIS DESLIZADORES INTERIOR DE TORNAMESA Y SE DAN VUELTAS LAS CUCHILLAS Y SE REVISAN NIVELES</t>
  </si>
  <si>
    <t>SE VA A REVISAR CAMION EN PANNE A CAMINO A RALCO Y SE ENCUENTRA BOMBA DE AGUA MALA, SE TRAE TIRANDO DE EL A LA PENSION TYT</t>
  </si>
  <si>
    <t>SE CAMBIAN REFLECTANTES EN MAL ESTADO, SE CAMBIAN AMPOLLETAS TRASERAS QUEMADAS, SE INSTALA BRAZO SOPORTE PULMON DE FRENO REPARADO DELANTERO DERECHO</t>
  </si>
  <si>
    <t>SE CAMBIA PULMON ROTO, ULTIMO PUENTE LADO IZQUIERDO Y SE REGULAN FRENOS, SE CAMBIAN DOS NEUMATICOS PUENTE INTERMEDIO LADO IZQUIERDO</t>
  </si>
  <si>
    <t>SE DESTAPA CAÑERIA TAPADA ENTRADA ESTANQUE DE COMBUSTIBLE</t>
  </si>
  <si>
    <t>SE CAMBIA PULMON DE FRENOS DELANTEROS DERECHO Y SE REGULA</t>
  </si>
  <si>
    <t>SE LLEVA FLEXIBLE A REPARACION Y SUSTITUCION DEL MISMO, SE REPARA FUGA DE AIRE</t>
  </si>
  <si>
    <t>SE COLOCAN DOS SEGUROS DE CALIFICADORES A LOS ROUTER Y SE REVISAN NIVELES</t>
  </si>
  <si>
    <t>DIAGNOSTICAS CALENTAMIENTO DEL MOTOR EMBRIAGUE (EL VENTILADOR MALO); SUSPENDER PULMON DE FRENO OJO INTERMEDIO IZQUIERDO MALO</t>
  </si>
  <si>
    <t>SE REVISAN FRENOS DELANTEROS Y TRASEROS, SE CAMBIAS GOMAS DE CILINDRO DE FRENO, SE ENGRASAN RODAMIENTOS, SE REGULA FRENO DE MANO Y SE CAMBIAN PASTILLAS DE FRENO</t>
  </si>
  <si>
    <t>CHEQUEO DE FALLO DE LUCES, PRESENTA FARO FRONTAL LUZ BAJA LADO DERECHO MALO</t>
  </si>
  <si>
    <t xml:space="preserve">DESMONTAR DIFERENCIAL </t>
  </si>
  <si>
    <t>SE REPARAN CORTES ELECTRICOS, CAMBIO DE FOCOS EN CIRCUITO ESTACIONAMIENTO, SE CAMBIA FOCO MARCHA ATRÁS QUEMADO</t>
  </si>
  <si>
    <t>SE SACA FLEXIBLE ROTO LEVANTE TOLVA Y SE RELLENA CON 15LTS DE ACEITE HIDRAULICO</t>
  </si>
  <si>
    <t>SE ELIMINAN LAINAS DE AJUSTE REGULACION GIRO DE TORNAMESA</t>
  </si>
  <si>
    <t>CORRECCION FUGA DE ACEITE HIDRAULICO; CAMBIO JUNTA ELASTICA DE BOMBA DE AGUA</t>
  </si>
  <si>
    <t>CAMBIO EMBRAGUE VISCOSO DEL VENTILADOR (NUEVO)</t>
  </si>
  <si>
    <t>SE CAMBIA PULMON ULTIMO EJE LADO DERECHO Y SE REGULAN FRENOS</t>
  </si>
  <si>
    <t>BD-06</t>
  </si>
  <si>
    <t>SE REPARA CORTE ELÉTRICO EN LUCES DE ESTACIONAMIENTO E INTERMITENTE</t>
  </si>
  <si>
    <t>INSTALACION TUBO DE AIRE DEL INTERCOOLER AL MOTOR; MANGUERAS Y ABRAZADERAS NUEVAS. INSTALAR TUBO FLEXIBLE DEL ESCAPE NUEVO</t>
  </si>
  <si>
    <t xml:space="preserve">SE REPARA CABLE QUEMADO POR ROCE </t>
  </si>
  <si>
    <t>CORREGIR FUGA DE ACEITE DE TRANSMISION; INSTALAR ESCAPE PISO DE CABINA FILTRO DE AIRE</t>
  </si>
  <si>
    <t>SE COLOCA BASE DE TIRO DE GRAVILLADORA</t>
  </si>
  <si>
    <t>EQP-09</t>
  </si>
  <si>
    <t>MOTOR HIDRAULICO REPARADO; SE INSTALAN BOTELLAS CHANCADOR, MOTOR HIDRAULICO DE CINTA CORTA, BOTELLA ARNERO, FLEXIBLES HIDRAULICOS CONECTADOS Y REGULACION DE CINTA</t>
  </si>
  <si>
    <t>SE SACO MOTOR DIESEL PARA REPARACION</t>
  </si>
  <si>
    <t>SE REPARA CORTE ELECTRICO EN CIRCUITO</t>
  </si>
  <si>
    <t>SE TRASLADA BOTELLA A MAESTRANZA MELENDEZ PARA REPARACION</t>
  </si>
  <si>
    <t>REAPRETE DE RUEDAS; REVISION DE NIVELES Y ACEITE</t>
  </si>
  <si>
    <t>EQUIPO ACUSA FILTRO SATURADO DE TRANSMISION, SE GESTIONA SUSTITUCION DE ESTE</t>
  </si>
  <si>
    <t>SE INSTALA BOTELLA HIDRAULICA DEL BALDE</t>
  </si>
  <si>
    <t>SE REPARA FLEXIBLE ROTO HIDRAULICO QUE ALIMENTA EL ESTANQUE A LA BOMBA Y SE RELLENA CON 15LTS DE ACEITE</t>
  </si>
  <si>
    <t>LLENADO ACEITE KPTO 40 LTS UNIVIS N32, LLENADO ACEITE ONK 40LTS 75W50 Y LLENADO REFRIGERANTE 55LTS</t>
  </si>
  <si>
    <t>SE INSTALA SOPORTE EXTINTOR, SE COLOCA CORREA AIRE ACONDICIONADO, SE INSTALA 1 CALZA BALDE SEGURO Y PASASDOR Y SE ENGRASA COMPLETO</t>
  </si>
  <si>
    <t>SE REGULAN LOS RASPADORES DE LOS TAMBORES DELANTEROS Y TRASEROS</t>
  </si>
  <si>
    <t>SE DESMONTA BOMBA DE AGUA, SE DESARMA PARA CAMBIAR RODAMIENTOS, RETENES Y SELLO DE AGUA. SE ENGRASA Y SE LIMPIA FILTRO DE AIRE Y SE RELLENA CON 5LTS DE ANTICONGELANTE Y SE REVISAN NIVELES</t>
  </si>
  <si>
    <t>FUGA DE COMBUSTIBLE BOMBA DE AGUA, SE CAMBIA ESPEJO LATERAL IZQUIERDO Y SE REPARA BORNE BATERIA</t>
  </si>
  <si>
    <t>SE REVISA PERDIDA DE ACEITE ENTRADA DE CARDAN A TRANSMISION, SE SOLICITA RETEN ENTRADA CAJA PARA CAMBIO</t>
  </si>
  <si>
    <t>SE CAMBIAN DESLIZADORES DE BRONCE DE PALA</t>
  </si>
  <si>
    <t>INSTALACION DE EJE DELANTERO</t>
  </si>
  <si>
    <t>DESMONTAJE DE BALDE, BIELAS Y EL HUESO PARA REPARACION</t>
  </si>
  <si>
    <t>SE APERNA MOTOBOMBA Y SE CAMBIA PIOLA DE PARTIDA</t>
  </si>
  <si>
    <t>CAMBIO DE FOCOS TRASEROS QUEBRADOS Y SE RECONSTRUYE RAMAL</t>
  </si>
  <si>
    <t>SE REPARA COMPONENTES DE BOMBA SUELTOS</t>
  </si>
  <si>
    <t>INSTALACION DE BALDE CON BIELAS REPARADAS</t>
  </si>
  <si>
    <t>FALTAN BALATAS TRASERAS Y DEL FRENO DE MANO</t>
  </si>
  <si>
    <t>SE CAMBIA MANGUERA DE AGUA ROTA CON SUS ABRAZADERAS Y SE REPARA FUGA DE REFRIGERANTE Y ADEMAS SE RELLENA</t>
  </si>
  <si>
    <t>SE CAMBIAN BALATAS PUENTE INTERMEDIO DE LA BATEA Y SE REGULAN FRENOS DEL CAMION Y BATEA</t>
  </si>
  <si>
    <t>SE ARMA BOMBA DE AGUA CON SUS RODAMIENTOS Y SUS DOS RETENES Y SE SELLO ESPEJO Y SE MONTA</t>
  </si>
  <si>
    <t>SE REPARA PULSADOR PERO SE REQUIERE VIBRADOR NUEVO</t>
  </si>
  <si>
    <t>CAMBIO CHUMACERA DEL EJE MEZCLADOR</t>
  </si>
  <si>
    <t>REPARAR VALVULA LINEA DE ASFALTO</t>
  </si>
  <si>
    <t>SE CAMBIA FLEXIBLE HIDRAULICO, SE RELLENA CON 15 DE ACEITE, SE ENGRASA BALDE Y SE REVISAN NIVELES</t>
  </si>
  <si>
    <t>SE CAMBIA FLEXIBLE Y SE RELLENA ACEITE HIDRAULICO</t>
  </si>
  <si>
    <t>BOMBA DE AGUA HIDRAULICA MALA, SE PRUEBA BOMBA CON CAMBIO DE RODAMIENTOS Y NO SUCCIONA AGUA</t>
  </si>
  <si>
    <t>PROBLEMA ELECTRICO</t>
  </si>
  <si>
    <t>SE REPARA AIRE EN EL CIRCUITO POR BOMBA</t>
  </si>
  <si>
    <t>SE EMBALATA EQUIPO</t>
  </si>
  <si>
    <t>SE SACA TOMA FUERZA MALO Y SE CAMBIA ACEITE CAJA DE CAMBIOS</t>
  </si>
  <si>
    <t>AJUSTE DE CORREA ALTERNADOR Y A/C</t>
  </si>
  <si>
    <t>INSTALACION DE TRANSMISION DE VELOCIDADES PARADA Y SE RELLENA CON ACEITE TRANSMISION MOBILFLUID 499</t>
  </si>
  <si>
    <t>SE EXTRAE RUEDA PINCHADA PARA LLEVAR A REPARACION</t>
  </si>
  <si>
    <t>SE REVISA SISTEMA HIDRAULICO, EL CUAL TRABAJA LENTO, SE SOLICITAN FILTROS HIDRAULICOS Y MANTENCION</t>
  </si>
  <si>
    <t>SE CAMBIAN LOS 9 CALIFICADORES DEL ROUTER Y SE REVISAN NIVELES</t>
  </si>
  <si>
    <t>SE DESMONTA NEUMATICO DELANTERO</t>
  </si>
  <si>
    <t>CAMBIO JUNTA ELÁSTICA BOMBA DE AGUA</t>
  </si>
  <si>
    <t>SE CAMBIAN BALATAS PUENTE INTERMEDIO Y SE CONECTA PULMÓN DE FRENOS DEL MISMO PUENTE</t>
  </si>
  <si>
    <t>SE REPARA CORTOCIRCUITO DE LUCES TRASERAS Y SE CAMBIAN AMPOLLETAS QUEMADAS (3)</t>
  </si>
  <si>
    <t>SE CAMBIAN BALATAS AL PUENTE INTERMEDIO DE LA BATEA Y SE CONECTA PLUMON DE FRENO LADO DERECHO</t>
  </si>
  <si>
    <t>DESMONTAR BOMBA DE AGUA Y MOTOR HIDRAULICO PARA REPARAR</t>
  </si>
  <si>
    <t>SE EXTRAEN FLEXIBLES DAÑADOS PARA REPARACION.</t>
  </si>
  <si>
    <t xml:space="preserve">LOCALIZAR FUGA DE AGUA DESMONTAR EL CARTE PONER PRESION EN EL REFRIGERANTE, DESMONTAR LA CAJA DE VELOCIDADES, DESMONTAR EL MOTOR </t>
  </si>
  <si>
    <t>CORRECION DE FUGA DE ACEITE MOTOR, SE CAMBIA EL ORING</t>
  </si>
  <si>
    <t>SE REPARA CORTE ELECTRICO DE LUCES DE ESTACIONAMIENTO E INTERMITENTES SE COLOCAN AMPOLLETAS FALTANTES</t>
  </si>
  <si>
    <t>DESMONTAJE DE SOPORTE DE CAJA PARA SACAR PERNOS CORTADOS. SE AJUSTA Y SE INSTALA NUEVAMENTE</t>
  </si>
  <si>
    <t>SE TRASLADA A TERRENO PARA CAMBIO DE NEUMATICOS 1200R24 Y SE CAMBIAN AMPOLLETAS QUEMADAS</t>
  </si>
  <si>
    <t>SE SACA NEUMATICO PINCHADO, ULTIMO PUENTE TRASERO DERECHO Y SE LLEVA A REPARAR</t>
  </si>
  <si>
    <t>REPARACION BOMBA DE AGUA DE ALJIBE CON RODAMIENTOS Y SELLO DE CARBON NUEVOS</t>
  </si>
  <si>
    <t>SE MODIFICA TOMA DE AIRE DEL PORTA FILTRO Y SE MONTA Y SE REVISAN NIVELES</t>
  </si>
  <si>
    <t>SE REPARA ELECTROVALVULA DE LAS PATAS DE APOYO, SE LIMPIA Y SE LUBRICA</t>
  </si>
  <si>
    <t>SE CAMBIA VIDRIO FOCO DELANTERO IZQUIERDO</t>
  </si>
  <si>
    <t>INSTALAR EL COMMON RAY, CONECTAR LAS LÍNEAS DE PETRÓLEO AL ESTANQUE</t>
  </si>
  <si>
    <t>REPARACION DE EQUIPO PARA REVISION TECNICA, SE INSTALARON 2 FOCOS LED AMBAR, 1 BASE PARA FOCO. SE REPARA CORTE EN CIRCUITO.</t>
  </si>
  <si>
    <t>DESMONTAR VALVULA DESCARGA DEL FRENO DE LA CAMA BAJA PARA REVISARLA</t>
  </si>
  <si>
    <t>SE INSTALA MANGUERA HIDRAULICA Y SE RELLENA CON 20LTS DE DTE-26</t>
  </si>
  <si>
    <t xml:space="preserve">DESMONTAJE DIFERENCIAL PARA LLEGAR A REPARAR, DESMONTAJE BOTELLA DE VOLTEO PARA LLEGAR A REPARAR </t>
  </si>
  <si>
    <t>ALTERNADOR SE LLEVA A REPARACIÓN EXTERNA</t>
  </si>
  <si>
    <t>INSTALAR EL RADIADOR, RELLENAR CON REFRIGERANTE</t>
  </si>
  <si>
    <t>INSTALACION DE CATALINA Y RUEDA TENSORA</t>
  </si>
  <si>
    <t>CAMBIO FLEXIBLE DE ALIMENTACIÓN Y FILTRO DE LÍNEA NUEVO</t>
  </si>
  <si>
    <t>SE CAMBIA PULMON DE FRENO PUENTE INTERMEDIO LADO DERECHO</t>
  </si>
  <si>
    <t>SE INSTALA ALTERNADOR REPARADO</t>
  </si>
  <si>
    <t>VD-47</t>
  </si>
  <si>
    <t xml:space="preserve">CAMBIO COMPRESOR DE AIRE ACONDICIONADO </t>
  </si>
  <si>
    <t>SE DERIVA POR EL CONTROL DE CALEFACCION MALO PARA REPARACION O SUSTITUCION</t>
  </si>
  <si>
    <t>CAMBIO DE LAS CADENAS, CAMBIO RUEDAS TRACERAS Y CAMBIO DE PISTON DE GRASA, CAMBIO DE PERNOS NUEVOS, PANA ZAPATA</t>
  </si>
  <si>
    <t>SE CAMBIA PULMON Y CHICHARRA DEL ULTIMO PUENTE LADO DERECHO Y SE CAMBIAN BALATAS CHICHARRA RESORTES RODILLOS Y BUJES PUENTE INTERMEDIO LADO DERECHO BATEA</t>
  </si>
  <si>
    <t>CAMBIO DE CHICHARRA DE FRENO DELANTERO IZQUIERDO (USADA)</t>
  </si>
  <si>
    <t>REPARACION DE CIRCUITO ELECTRICO DESDE CERO</t>
  </si>
  <si>
    <t xml:space="preserve">SE REPARA CABLE SULFATADO POR ROCE </t>
  </si>
  <si>
    <t xml:space="preserve">SE REPARA SEÑAL DE ESTANQUE AUSENTE LUCES NO ENCIENDEN </t>
  </si>
  <si>
    <t xml:space="preserve">SE REPARA CORTES ELECTRICOS POR ASULFATAMIENTO Y SE CAMBIAN AMPOLLETAS ESTACIONAMIENTO </t>
  </si>
  <si>
    <t>DESMONTAJE DE MOTOR DIESEL</t>
  </si>
  <si>
    <t xml:space="preserve">ENSANBLE REDUCTOR DE LA CINTA P1 </t>
  </si>
  <si>
    <t>SE ARMA COLUMNA CON PIEZA COMPLEJA QUEDANDO CO9N SU FUNCION NORMAL Y SE LE COLOCAN DOS AMPOLLETAS H4 QUE SE ENCONTRABAN QUEMADAS</t>
  </si>
  <si>
    <t>INSTALAR EL REDUCTOR DE CINTA P1, RELLENO ACEITE 75W90</t>
  </si>
  <si>
    <t>CAMBIO DE CINTA REFLECTANTES Y DE FOCOS TROCHA REDONDO</t>
  </si>
  <si>
    <t>SE PEGARON CINTAS REFLECTANTES; PANEL DE CONTROL DE CALEFACCION MALO; PARABRISAS QUEBRADO</t>
  </si>
  <si>
    <t xml:space="preserve">CAMBIO VALVULA DEL RETARTADOR  REGULACION DE FRENOS </t>
  </si>
  <si>
    <t xml:space="preserve">DRENAR ACEITE LAVADO INTERIOR DE ESTANQUE </t>
  </si>
  <si>
    <t>SE SACAN LOS DOS RASPADORES DELANTEROS GASTADOS PARA HACERLOS NUEVOS EN TALLER CENTRAL Y SE REVISAN NIVELES</t>
  </si>
  <si>
    <t>SE REVISA CABLES DE ALTA TENSION, BATERIA CON FUGA DE ACIDO</t>
  </si>
  <si>
    <t>SE REVISA TURBO, FILTROS DE PETROLEO Y AIRE POR PROBLEMA QUE PIERDE LA FUERZA Y BOTA HUMO NEGRO POR AHORA NO SE ENCONTRO NADA MALO</t>
  </si>
  <si>
    <t xml:space="preserve">CAMBIAR MOTOR CALEFACCION MALO, CAMBIAR INTERMITENTES QUEMADOS </t>
  </si>
  <si>
    <t>CAMBIO DE BATERIAS MALAS Y REPARACION DE LUCES DE ESTACIONAMIENTO TRASERAS</t>
  </si>
  <si>
    <t>SE CAMBIAN LAS DOS CUCHILLAS CON SUS PERNOS Y TUERCAS</t>
  </si>
  <si>
    <t xml:space="preserve">SE REGULA ALIMENTACION DE AIRE </t>
  </si>
  <si>
    <t>SE REGULAN FRENOS Y SE CAMBIAN FOCOS QUEMADOS</t>
  </si>
  <si>
    <t>SE HACE MANTENCION VALVULA K7 Y SE REGULAN FRENOS</t>
  </si>
  <si>
    <t>SE INSTALA PANEL DE CONTROL DE A/C</t>
  </si>
  <si>
    <t xml:space="preserve">SE TOMA FUERZA Y BOMBA DEL COMPRESOR Y SE  CAMBIA EL ACEITE DE LA CAJA DE CAMBIOS </t>
  </si>
  <si>
    <t xml:space="preserve">CONFECCIONAR TABLERO DISTRIBUCION, TABLERO MOTOR, REPARACION CAJAS DE DISTRIBUCION </t>
  </si>
  <si>
    <t>CONFECCION DE TABLERO DISTRIBUCION, TABLERO MOTOR, REPARACION CABLE Y ARNES. SECADO Y REPARACION CAJAS DISTRIBUCION, REPARACION RUEDA VELOCIDAD CINTA. HACER BASE BATERIA Y CAMBIO DE BATERIAS, INSTALACION CORTA CORRIENTE. CONFECCION CABLE BATERIA VIA Y CAMBIAR TERMINALES BATERIA.</t>
  </si>
  <si>
    <t xml:space="preserve">SE SACA TOMA FUERZA PORQUE NO DESCONECTA Y TIENE UN RETEN MALO Y HAY QUE REPARARLO EL MECANISMO Y SE COLOCA UNA TAPA A LA CAJA DE CAMBIO Y SE COLOCA ACEITE NUEVO </t>
  </si>
  <si>
    <t xml:space="preserve">SE DERIBA BOQUILLA DE TOMA FUERXA POR EXECESO DE JUEGO </t>
  </si>
  <si>
    <t>SE CAMBIAN AMPOLLETAS QUEMADAS</t>
  </si>
  <si>
    <t>SE REPARA CORTE ELECTRICO POR ROCE DE LINEA ELECTRICA DE EMBRIAGUE</t>
  </si>
  <si>
    <t xml:space="preserve">SE HACE CAMBIO DE EMBRAGUE QUE SE ENCONTRABA MALO </t>
  </si>
  <si>
    <t xml:space="preserve">DESARMAR MASAS DEL EJE DELANTERO ENBALATAR LOS PATINES </t>
  </si>
  <si>
    <t>SE MONTA BOMBA, TENSOR Y CORREA DE BOMBA DE AGUA Y SE RELLENA CON 20 LTS DE ANTICONGELANTE Y 10 LTS DE ACEITE MOTOR, SE REVISAN NIVELES</t>
  </si>
  <si>
    <t xml:space="preserve">MD-28  </t>
  </si>
  <si>
    <t xml:space="preserve">INSTALAR  EL VALDE, INSTALAR CADENA IZQUIERDA, CAMBIO PERNOS DE 8 ZAPATOS </t>
  </si>
  <si>
    <t xml:space="preserve">SE REPARA CABLE SUELTO ELECTRO VALVULA, SE CAMBIA AMPOLLETA H3 QUEMADA </t>
  </si>
  <si>
    <t xml:space="preserve">DESMONTAR EL MOTOR DE TRACCION TRASERO </t>
  </si>
  <si>
    <t>SE COLOCA NEUMÁTICO REPARADO TRASERO IZQUIERDO</t>
  </si>
  <si>
    <t>SE CAMBIA FLEXIBLE DEL AGUILÓN, SE RELLENA CON 20 LTS DE ACEITE HIDRAULICO Y SE REVISAN NIVELES</t>
  </si>
  <si>
    <t xml:space="preserve">SE REPARA FOCO QUEBRADO, SE CAMBIA FOCO QUEMADO </t>
  </si>
  <si>
    <t xml:space="preserve">LUCES DELANTERAS QUEMADAS </t>
  </si>
  <si>
    <t xml:space="preserve">SE CAMBIAN 3 SOPORTES DE LA PLANTA </t>
  </si>
  <si>
    <t>J.MEDEL</t>
  </si>
  <si>
    <t xml:space="preserve">CAMBIO DE PASADOR Y SOLDADURA PARTES QUEBRADAS DEL CUELLO CISNE, CAMBIO DE PUNTA A FLEXIBLE </t>
  </si>
  <si>
    <t>SE DESARMAN LAS DOS RUEDAS DELANTERAS, SE LAVAN LAS BALATAS Y SE MONTAN, SE ENGRASAN RODAMIENTOS Y SE COLOCAN, SE REGULAN FRENOS</t>
  </si>
  <si>
    <t>SE CAMBIA BOMBA DE AGUA Y SE INSTALA FOCO FAENERO</t>
  </si>
  <si>
    <t xml:space="preserve">SE CAMBIO CORFREA DE VENTILADOR </t>
  </si>
  <si>
    <t>SE COLOCAN DOS CORREAS NUEVAS AL VENTILADOR Y SE DESENGRASAN LAS DOS RUEDAS DELANTERAS</t>
  </si>
  <si>
    <t>SE CAMBIAN BATERIAS 12V 55AMP</t>
  </si>
  <si>
    <t>SE REPARA CABLE DE LUCES TROCHA</t>
  </si>
  <si>
    <t>SE COLOCA NEUMÁTICO PUENTE INTERMEDIO LADO IZQUIERDO Y SE CAMBIA UNA BATERIA Y TERMINAL USADO</t>
  </si>
  <si>
    <t xml:space="preserve">SE EXTRAEN CORREAS ALTERNADOR RADIADOR ROTO </t>
  </si>
  <si>
    <t>SE DESARMA TODO EL SISTEMA DE CAÑERIAS MANGUERAS PARA SACAR EL RADIADOR ROTO</t>
  </si>
  <si>
    <t xml:space="preserve">SE REVISAN FRENOS DELANTEROS BUENOS SE SACO RADIADOR, SEMANDO A REPARAR, SE DESARMAN FRENOS TRASEROS GOMAS DE CILINDRO DE FRENO MALO, TAPA DE RADIADOR MALO </t>
  </si>
  <si>
    <t>SE SACA NEUMÁTICO PINCHADO DELANTERO IZQUIERDO Y SE COLOCA UNO TRASERO DEL MISMO LADO</t>
  </si>
  <si>
    <t>SE TERMINA DE SACAR EL RADIADOR Y SE LLEVA A REPARAR</t>
  </si>
  <si>
    <t xml:space="preserve">SE REPARA LIMPIA PARABRIZAS CON BRAZO DESCONECTADO SE CAMBIA AMPOLLETA QUEMADAS </t>
  </si>
  <si>
    <t>SE ARMA RADIADOR Y SE COLOCA QUEDANDO OPERATIVO</t>
  </si>
  <si>
    <t>SE ELIMINA EL TOMA FUERZA POR NO ENGRANAR Y SE CAMBIA ACEITE CAJA CAMBIOS</t>
  </si>
  <si>
    <t xml:space="preserve">REGULACION TORNO MESA PALA </t>
  </si>
  <si>
    <t>ED-59</t>
  </si>
  <si>
    <t xml:space="preserve">SE CAMBIA MOTOR DE ARRANQUE, SE CAMBIAN CELLOS DEL PISTON DE POSICION </t>
  </si>
  <si>
    <t>SE CAMBIAN LAS DOS BATERIAS USADAS Y SE REVISAN NIVELES</t>
  </si>
  <si>
    <t xml:space="preserve">SE CAMBIAN AMORTIGUADORES DELANTEROS SE REPARA CHAPA DE PUERTA LATERAL </t>
  </si>
  <si>
    <t xml:space="preserve">SE ENGRASA COMPLETO Y SE RELLENA CON 4 LTS DE ACEITE MOTOR Y SE REVISAN NIVELES </t>
  </si>
  <si>
    <t xml:space="preserve">SE SACA NEUMATICO PINCHADO PUENTE INTERMEDIO DELANTERO DERECHO Y SE LLEVA A REPARAR Y SE TRAE Y SE COLOCA </t>
  </si>
  <si>
    <t xml:space="preserve">SE ROTAN LAS CUCHILLAS Y SE COLOCA AIRE A UN NEUMATICO TRASERO PUENTE INTERMEDIO DERECHO Y SE REVISAN NIVELES </t>
  </si>
  <si>
    <t>SE CAMBIO CUBO REDUCTOR TAMBOR BALATAS MASA EJE PALIER DE RUEDA DERECHA TRASERA, SE DESMONTARON DEL CD-91. ACEITE DIFERENCIAL Y CUBOS NUEVOS</t>
  </si>
  <si>
    <t xml:space="preserve">SE SACA NEUMATICO PINCHADO DELANTERO IZQUIERDO SE LLEVA A REPARAR Y SE COLOCA Y SE REVISAN NIVELES </t>
  </si>
  <si>
    <t xml:space="preserve">SE COLOCA AIRE AL NEUMATICO DELANTERO Y SE REVISAN NIVELES </t>
  </si>
  <si>
    <t xml:space="preserve">SE SACA VISAGRA QUEBRADA Y SE REVISAN NIVELES </t>
  </si>
  <si>
    <t xml:space="preserve">SE CAMBIA VALVULA DE RUEDA DELANTERA IZQUIERDA Y SE ENGRASA COMPLETA Y SE REVISAN NIVELES </t>
  </si>
  <si>
    <t xml:space="preserve">SE REEMPLAZA PULMON DERECHO TRASERO </t>
  </si>
  <si>
    <t xml:space="preserve">SE CAMBIA NEUMATICO PINCHADO IZQUIERDO DE SEGUNDO PUENTE DELANTERO </t>
  </si>
  <si>
    <t xml:space="preserve">SE  CAMBIAN DOS FLEXIBLES SE RELLENA ACEITE </t>
  </si>
  <si>
    <t xml:space="preserve">SE SACA NEUMATICO PINCHADO DELANTERO IZQUIERDO, SEGUNHDO PUENTE Y SE COLOCA UNO DEL CD-64 DELANTERO DEL MISMO LADO </t>
  </si>
  <si>
    <t xml:space="preserve">OJO DEL CILINDRO PATA DERECHA Y SE HACE UN PASADOR NUEVO </t>
  </si>
  <si>
    <t xml:space="preserve">SE COLOCA LOS DOS NEUMATICOS DELANTGEROS  </t>
  </si>
  <si>
    <t xml:space="preserve">SE CAMBIO BOMBA Y SE CAMBIAN TODOS LOS FILTROS SE LAVA ESTANQUE </t>
  </si>
  <si>
    <t xml:space="preserve">COLOCAR CILINDRO AMORTIGUADOR CLUMNA MANDOS DE MOTO NIVELADORA, COLOCAR PERNOS NUEVOS SOPORTE RUTER </t>
  </si>
  <si>
    <t xml:space="preserve">COLOCAR CILINDRO </t>
  </si>
  <si>
    <t xml:space="preserve">SE COLOCA UNA ASPA NUEVA Y RADIADOR REPARADO </t>
  </si>
  <si>
    <t>SE CAMBIAN BALATAS ULTIMO PUENTE LADO DERECHO DE LA BATEA Y SE REGULAN FRENOS</t>
  </si>
  <si>
    <t>CAMBIO DE CALZAS</t>
  </si>
  <si>
    <t xml:space="preserve">SE REVISA COMPLETO TODO EL SISTEMA DE CAMBIOS POR PROBLEMA DE LA MARCHA ATRÁS Y LA SECTA SOLO SE ENCONTRO CON POCO ACEITE EN LA  CAJA DE CAMBIOS </t>
  </si>
  <si>
    <t>COLOCAR RETEN DIFERENCIAL NUEVO 10 LITROS ACEITE 424 REGULACION DE FRENOS CILINDRO PALA</t>
  </si>
  <si>
    <t>SE CAMBIO BALATAS, SE REPARA BARRA DE DIRECCION, SE REPARAN BARRAS DELANTERAS, CAMBIO DE ACEITE AL MOTOR CON FILTROS Y SE REGULAN CON FRENOS</t>
  </si>
  <si>
    <t>SE CORTA MANGUERA DE LA CALEFACCION, SE REPARA TEMPORALMENTE</t>
  </si>
  <si>
    <t>SE CAMBIA ACEITE CAJA CAMBIOS Y SE REVISAN NIVELES</t>
  </si>
  <si>
    <t>SE CAMBIA FILTRO DE PETROLEO PRIMARIO Y SE QUITAN FUGAS DE PETROLEO</t>
  </si>
  <si>
    <t>SE MONTA POR TERCERA VEZ Y QUEDA IGUAL. NO FUNCIONA Y SE CAMBIA EL ACEITE A CAJA DE CAMBIOS EL TOMA FUERZA</t>
  </si>
  <si>
    <t xml:space="preserve">COLOCAR CORONA LADO IZQUIERDO, COLOCAR VALVULA CILINDRO TENSOR DE MD-28, ENGRASE PASADOR </t>
  </si>
  <si>
    <t>SE CAMBIAN 160 LITROS DE ACEITE HIDRAULICO</t>
  </si>
  <si>
    <t>CABLES DELANTEROS CORTADOS |</t>
  </si>
  <si>
    <t xml:space="preserve">FALLA DEL ARRANQUE </t>
  </si>
  <si>
    <t>SE CAMBIAN BALATAS AL ULTIMO PUENTE LADO IZQUIERDO TRASERO DE BATEA, SE ENGRASA COMPLETO Y SE REVISAN NIVELES</t>
  </si>
  <si>
    <t xml:space="preserve">REGULACION EMBRAGUE </t>
  </si>
  <si>
    <t xml:space="preserve">SENSOR DE PARQUEO MALO </t>
  </si>
  <si>
    <t xml:space="preserve">REPARACION FUGA HIDRAULICA </t>
  </si>
  <si>
    <t>SE REPARA TECALAN Y SE CAMBIA ACOPLE RAPIDO DE PETROLEO</t>
  </si>
  <si>
    <t xml:space="preserve">SE REPARA CAÑERIA CON UNION METALICA </t>
  </si>
  <si>
    <t>SE CAMBIA FLEXIBLE DE PULOM DE FRENOS ULTIMO PUENTE LADO IZQUIERDO</t>
  </si>
  <si>
    <t>SE CAMBIA FLEXIBLE DE PULMON DE FRENOS ULTIMO PUENTE IZQUIERDO DE LA BATEA</t>
  </si>
  <si>
    <t>SE SACA MULTIPLE PARA CAMBIO DE PERNO CORTADO Y EMPAQUETADURAS; SE SACA EL RADIADOR DEL ACEITE; SE LAVA EL MOTOR DEL EQUIPO</t>
  </si>
  <si>
    <t xml:space="preserve">COLOCAR DISCO DE EMBRAGUE NUEVO Y PRENSA </t>
  </si>
  <si>
    <t>SE SACA EL TANQUE DE PETROLEO; SE REVISA LINEA DEL CIRCUITO DE INYECCION; SE SACA TUBO DE ESCAPE</t>
  </si>
  <si>
    <t>GRGF-63</t>
  </si>
  <si>
    <t>SE REPARAN LUCES ESTACIONAMIENTO</t>
  </si>
  <si>
    <t>SE CAMBIA FLEXIBLE HIDRAULICO MALO</t>
  </si>
  <si>
    <t>SE EXTRAE FLEXIBLE HIDRAULICO MALO PARA REPARACION A EXTERNO Y SE INSTALA MOTOR DE LEVANTE CAPOT</t>
  </si>
  <si>
    <t>SE MONTA MOTOR DIESEL, CAMBIO DE EMPAQUETADURA DE CULATA Y SE MANDO A REVISAR CULATA</t>
  </si>
  <si>
    <t>FLEXIBLE HIDRAULICO MALO, SE INSTALA FLEXIBLE REPARADO Y SE RELLENA ESTANQUE HIDRAULICO 30LTS</t>
  </si>
  <si>
    <t>SE SACA RADIADOR ROTO Y SE LLEVA PARA REPARAR</t>
  </si>
  <si>
    <t>EQUIPO CON PROBLEMAS EN MARCHAS, FALTA DE PROGRESION Y SE GESTIONA CAMBIO DE ACEITE Y FILTRO DE TRANSMISION</t>
  </si>
  <si>
    <t>CAMBIO DE MANGUERA DE AGUA POR FISURA. SE CAMBIA Y SE PRUEBA</t>
  </si>
  <si>
    <t>SE REPARA CABLEADO DE SISTEMA DE TRACCION DELANTERA DERECHA QUE SE ENCONTRABA CORTADA POR ROCE, SE REQUIERE TECNICO PARA CALIBRAR GIRO DE RUEDAS</t>
  </si>
  <si>
    <t>SE QUITA FUGA DE AIRE POR ACUMULADOR POR VALVULA DE DESPICHE Y SE COLOCA UN TAPON</t>
  </si>
  <si>
    <t>SE SACA UNA VEZ MAS EL TOMA FUERZA SIN FUNCIONAMIENTO Y SE CAMBIA EL ACEITE A LA CAJA DE CAMBIOS</t>
  </si>
  <si>
    <t>SE CAMBIAN CAZOLETAS DELANTERAS Y SE INSTALA CIRCUITO NEBLINEROS</t>
  </si>
  <si>
    <t>SE SACA CILINDRO HIDRAULICO DE ATAQUE MALO</t>
  </si>
  <si>
    <t>SE COLOCAN CHICHARRAS ALTERNATIVAS DE LOS FRENOS DELANTEROS Y TRASEROS</t>
  </si>
  <si>
    <t>SE CAMBIA ORING CILINDRO DE LA PALA Y SE ENGRASAN RODAMIENTOS DEL TENSOR Y SE ENGRASA POLEA FIJA DE LAS CORREAS, SE ENGRASA COMPLETA Y SE REVISAN NIVELES</t>
  </si>
  <si>
    <t>JL-3113</t>
  </si>
  <si>
    <t>SE REVISA JUEGO EN EJE TRASERO, DESGASTE DE PIEZAS MECANICAS , SE GESTIONA REPARACION EN TALLER EXTERNO</t>
  </si>
  <si>
    <t>SE SACARON INYECTORES PARA REVISION. SE INSTALAN INYECTORES REPARADOS Y SE CAMBIA FILTRO DE PETROLEO. SE REVISO ESTANQUE DE COMBUSTIBLE</t>
  </si>
  <si>
    <t>SE CAMBIA ORING CILINDRO DE DIRECCION IZQUIERDO</t>
  </si>
  <si>
    <t>SE CAMBIAN HUINCHAS REFLECTANTES, SE REPARA CABLE CORTADO FRENO, SE CAMBIA AMPOLLETA LUZ BAJA</t>
  </si>
  <si>
    <t>SE REPARA (ILEGIBLE) MARCHA ATRÁS PARA REPARACION CON SOLDADURA DE ESTAÑO. EQUIPO QUEDA LISTO PARA REVISIÓN TÉCNICA</t>
  </si>
  <si>
    <t>SE EXTRAE ALTERNADOR OAR REPARACION EXTERNA, CABLE BATERIA POSITIVA BATERIA RECALENTADO POR LO CUAL LA CORRIENTE SE AISLA SIN ENTREGAR LA ENERGIA CORRESPONDIENTE</t>
  </si>
  <si>
    <t xml:space="preserve">SE CAMBIAN FOCOS TRASERON EN MAL ESTADO , SE CAMBIAN AMPOLLETAS DELANTERA H4 QUE SE ENCONTRABAN QUEMADAS </t>
  </si>
  <si>
    <t>SIN CHAPA DE CONTACTO, SE ARMA COLUMNA DE DIRECCION, SE REQUIEREN BATERIAS DE MAYOR CAPACIDAD</t>
  </si>
  <si>
    <t>SE CAMBIAN BALATAS AL ULTIMO PUENTE DE LA BATEA Y SE SACAN 5 PERNOS CORTADOS DE MASA DERECHA</t>
  </si>
  <si>
    <t>SE BUSCA NEUMATICO TRACCIONAL REPARADO EN VULCANIZACION Y SE CAMBIA FOCO TRASERO DERECHO QUEBRADO POR REVENTADA DE NEUMATICO</t>
  </si>
  <si>
    <t>SE CAMBIA ORING EN MAL ESTADO CAÑERIA METALICA Y SE REVISA ANOMALIA PERDIDA DE ACEITE HIDRAULICO POR CIRCUITO DEFORMADO EN EJE TRASERO</t>
  </si>
  <si>
    <t xml:space="preserve">SE EXTRAEN LOS DOS NEUMATICOS TRACCIONALES ULTIMO EJE LADO DERECHO QUE SE ENCONTRABAN REVENTADOS. SA CAMBIAN POR DOS NEUMATICOS NUEVOS </t>
  </si>
  <si>
    <t>SE AJUSTA CORREA ALTERNADOR QUE SE ENCONTRABA SUELTA Y SE LIMPIA FILTRO DE MALLA DECANTADOR DE COMBUSTIBLE QUE SE ENCONTRABA SUCIO POR LO CUAL EL EQUIPO TENIA PERDIDA DE POTENCIA</t>
  </si>
  <si>
    <t>CAMBIO DE HOJA DE RESORTE EN RESORTES GOMEZ</t>
  </si>
  <si>
    <t>GRFH-37</t>
  </si>
  <si>
    <t xml:space="preserve">llantas de masa mala se se encuentra con ojo ovalado, se llevan llantas a vulcanizacion </t>
  </si>
  <si>
    <t>SE CAMBIA MASA CON RODAMIENTOS Y TAMBOR ULTIMO PUENTE LADO DERECHO, SE COLOCAN NEUMATICOS Y TAMBIEN DEL PUENTE AUXILIAR DEL MISMO LADO Y SE REGULAN FRENOS DE LA BATEA</t>
  </si>
  <si>
    <t>CILINDROS DE DIRECCION CON FUGA; SE REPARA CABLE CARBONIZADO; SE CAMBIA AMPOLLETA INTERMITENTE TRASERO</t>
  </si>
  <si>
    <t>SE SACA BOMBA MALA DE EMBRAGUE Y QUEDA FUERA DE SERVICIO A LA ESPERA DE REPUESTO</t>
  </si>
  <si>
    <t>SE DESARMA MASA TRASERA ULTIMO PUENTE LADO DERECHO POR RODAMIENTOS, RETEN Y BALATAS MALAS</t>
  </si>
  <si>
    <t>SE ARMA CARDAN CON RODAMIENTO DE DESCANSO, SE MONTA Y SE ENGRASAN CRUCETAS</t>
  </si>
  <si>
    <t>INSTALACION DE CAJA DE CAMBIOS Y RELLENO DE 16LTS DE ACEITE 75W80</t>
  </si>
  <si>
    <t>SE MONTAN CUBETAS Y RODAMIENTOS USADOS DE OTRA BATEA A LA MASA</t>
  </si>
  <si>
    <t>SE TERMINA DE MONTAR MASA CON SU RETEN USADO DE OTRA BATEA Y SE CAMBIAN BALATAS Y SE ENGRASAN RODAMIENTOS, SE REPARA UN NEUMATICO Y SE COLOCAN Y SE REGULAN FRENOS</t>
  </si>
  <si>
    <t>SACAR CAJA DE VALVULA PILOTAJE PARA CAMBIAR ORING NUEVOS</t>
  </si>
  <si>
    <t>SE SACA CARDAN PRINCIPAL POR PROBLEMA DE CAJA DE CAMBIOS</t>
  </si>
  <si>
    <t>SE CAMBIA BOMBA DE EMBRAGUE Y SE DESANGRA EL CIRCUITO RELLENANDO EL SISTEMA</t>
  </si>
  <si>
    <t>SE CAMBIA FLEXIBLE HIDRAULICO Y SE RELLENA CON 20LT DE ACEITE Y 5LT DE ANTICONGELANTE</t>
  </si>
  <si>
    <t>cambio de motor de arranque nuevo verificacion de potencia</t>
  </si>
  <si>
    <t>SE CAMBIAN DOS PERNOS DE MASA ULTIMO PUENTE LADO IZQUIERDO PUENTE INTERMEDIO Y UN PERNO AL ULTIMO PUENTE MISMO LADO Y SE REGULAN FRENOS DE BATEA</t>
  </si>
  <si>
    <t>SIN HOROMETRO</t>
  </si>
  <si>
    <t xml:space="preserve">SE TERMINA ENSABLE DE CABINA, SE INSTALAN DUCTOS, SE RETIRA MANGUERA DE RECICLAJE DE GASES, SE INSTALA HOROMETRO NUEVO </t>
  </si>
  <si>
    <t>COLOCAR ALTERNADOR CON SOPORTE REPARADO, REVISION DE NIVELES Y ENGRASE.</t>
  </si>
  <si>
    <t>COLOCAR AGUILON REPARACON CON BUJES NUEVOS, COLOCAR NIPLES VALVULA PILOTAJE MOTOR ARRANQUE REPARADO, BALDE REPARADO CON CALZA NUEVAS, PARABRISAS NUEVO, COLOCAR ACCESORIOS MOTOR, COLOCAR VALVULA NUEVA CILINDRO TENSOR</t>
  </si>
  <si>
    <t>COLOCAR BOMBA HIDRAULICA USADA(MD-28), CAMBIO FILTRO PILOTAJE, RELLENO ACEITE DTE-26 160LTS, GRASERAS NUEVAS 10MM, CAMBIO CORREA VENTILADOR NUEVA 8PK1230, CAMBIO CORREA COMPRESOR AIRE ACONDICIONADO 4PK1050 Y ENGRASE</t>
  </si>
  <si>
    <t>cd-87</t>
  </si>
  <si>
    <t xml:space="preserve">RECTIFICAR TAMBOR DE LOS FRENOS DELANTERO LADO DERECHO Y SE CAMBIAN PATINES NUEVOS </t>
  </si>
  <si>
    <t>SE REALIZA REPARACION COMPLETA DE ARNES (SOLO ENSENDIDO Y … ) DESDE EL 12-10-22 HASTA EL 14-10-22 CAMBIO DE ALTERNADOR , MANOMETRO T° Y VOLTIMETRO</t>
  </si>
  <si>
    <t xml:space="preserve">COLOCAR VALVULA PASO AIRE, NUEVA PARA CONCECTAR TOMA FUERZA </t>
  </si>
  <si>
    <t>INSTALACION DE HOROMETRO NUEVO A EQUIPO SLURRY . REVICION DE LUCES , FALTAN LUCES TROCHA</t>
  </si>
  <si>
    <t>PROBLEMA DE CARGA DE BATERIA, QUECHEO DE ALTERNADOR</t>
  </si>
  <si>
    <t xml:space="preserve">COLOCAR MANGUERA PETROLEO USADA , RETORNO ESTANQUE , COLOCAR NEUAMTICO DELANTERO INTERIOR DERECHO </t>
  </si>
  <si>
    <t>CAMBIO HOJA RESORTE 10 Y 11 DERECHA E IZQ</t>
  </si>
  <si>
    <t xml:space="preserve">COLCOAR ORING NUEVO Y RELLENAR ACEITE MOTOR </t>
  </si>
  <si>
    <t xml:space="preserve">COLOCAR RENETEN NUEVO 2 RODAMIENTOS NUEVOS, </t>
  </si>
  <si>
    <t>COLOCAR TRANSMISION REPARADA Y COLOCAR CARDAN</t>
  </si>
  <si>
    <t>MANTENCION, INSTALAR EQUIPO NUEVO , CAMBIO DE NUEMATICOS. SE COLOCA BATERIA NUEVA</t>
  </si>
  <si>
    <t>REPARAR MOTOR DE TRASLACION IZQ SELLOS Y O-RING NUEVO LOS RODAMIENTOS DEL MOTOR NUEVO. SELLO ESPEJO DEÑ REDUCTOR USADOS</t>
  </si>
  <si>
    <t>SACAR CARDANES PARA REVISAR TUERCA TRASERA CAJA DE CAMBIO, TENSAR CORREAS REVISAR NIVELES DE ACEITE .</t>
  </si>
  <si>
    <t xml:space="preserve">COLOCAR CILINDRO LEVANTE PALA REPARADO LADO DERECHO </t>
  </si>
  <si>
    <t xml:space="preserve">SE COLOCA NEUMATICOS USADOS SE CAMBIA MANGUERA DE 3/$ </t>
  </si>
  <si>
    <t>se cambian mangueras del interculer</t>
  </si>
  <si>
    <t xml:space="preserve">SE ROMPE ANCHAJE DE ROUTER PARTE SUPERIOR , SE RETIRA PARA ENVIAR A MAESTRANZA. CAMBIO TERMINALES DE BARETIAS </t>
  </si>
  <si>
    <t xml:space="preserve">EQUIPO NO PARTE POR PROBLEMAS DE CHAPA, SE VUELVE A INSTALAR, SE REINSTRUYE A PERSONA ENCARGADA REVICION DE CHAPA DE ARRANQUE SE VUELVE A INSITIR POR LA CHAPA </t>
  </si>
  <si>
    <t>RETIRO DE ALTERNADOR , PARA EVALUCACION Y REPARACION POR NO CARGAR CORRECTAMENTE</t>
  </si>
  <si>
    <t>SE CHEQUEA SISTEMA DE COMBUSTIBLE, PISTON MALO, SE RETIRA PARA CAMBIAR. HOROMETRO MALO</t>
  </si>
  <si>
    <t>CAMION CON PROBLEMAS DE FUGA DE PETROLEO POR LA BASE DE SELENOIDE DE ENCENDIDO , SE DESARMA PARA REPARACION FALTAN ORING PLANO</t>
  </si>
  <si>
    <t>bota agua para reparar</t>
  </si>
  <si>
    <t>se sacan los inyectores se deja fuera por falla de motor</t>
  </si>
  <si>
    <t>SE INTALA BARRA HIDRAULICA LLENADO DE EXTANQUE HIDRAULICO…ACEITE USADO</t>
  </si>
  <si>
    <t>se revisan los niveles y se engrasa el equipo completo</t>
  </si>
  <si>
    <t>SE CORTA UNA FUGA POR LAS VALVULAS</t>
  </si>
  <si>
    <t>SE SACAN LOS DOS NEUMATICOS DEÑ PUENTE AUXILIAR Y EL TAMBOR PARA CAMBIAR UN PATIN DE BALATA LADO IZQUIERDO</t>
  </si>
  <si>
    <t>se saca neumatico trasero de ultimo puente pinchado y se lleva a reparar y se trae y se coloca</t>
  </si>
  <si>
    <t xml:space="preserve">SE CAMBIA NEUMATICO PINCHADO </t>
  </si>
  <si>
    <t>se llena con 3 litros de aceite de motor y se cambian dos neumaticos nuevos delanteros y los dos usados se colocan atrás del lado izquierdo</t>
  </si>
  <si>
    <t xml:space="preserve">DESMONTAR MASA DERECHA DELANTERA Y DESARME Y REVICION, SE CAMBIA ACEITE </t>
  </si>
  <si>
    <t>se sacan los 4 neumaticos traseros y se llevan a la vulva para cambiar por nuevos</t>
  </si>
  <si>
    <t>SE DESANGRAN FRENOS Y SE RELLENAN CON 3 LITROS DE ACEITE DE MOTOR</t>
  </si>
  <si>
    <t xml:space="preserve">SE CAMBIA FLEXIBLE DEL AGUILON, SE RELLENA DE ACEITE DE DIFERENCIAL Y DE TRANSMISION </t>
  </si>
  <si>
    <t xml:space="preserve">SE SACAN LOS PIÑONES Y CADENAS </t>
  </si>
  <si>
    <t xml:space="preserve">SE CAMBIA ORRIN A LA VALVULA </t>
  </si>
  <si>
    <t xml:space="preserve">CAMBIAR CABINA Y CIFONES CON CABEZALES XXXXXX MAS 6 ESLABONES MAESTROS </t>
  </si>
  <si>
    <t>SE COLOCAN LOS NEUMATICOS TRASERO ULTIMO PUENTE NUEVO</t>
  </si>
  <si>
    <t>CAMBIO EMBRAGE DEL VENTILADOR NUEVO</t>
  </si>
  <si>
    <t>SE REPARA PALANCA DE CAMBIOS QUEBRADA QUEDA OPERATIVA</t>
  </si>
  <si>
    <t>SE SACA GATO TRACERO DERECHO</t>
  </si>
  <si>
    <t>SE SACA UN NEUMATICO PINCHADO PUENTE INTERMEDIO TRASERO DERECHO Y SE LLEVA A REPARAR</t>
  </si>
  <si>
    <t>SE CAMBIA CHICHARRA DE FRENO DE LANTERO DERECHO Y SE CAMBIAN UN FLEXIBLE HIDRAULICO DE LA RASTRA</t>
  </si>
  <si>
    <t>SE REGULAN TODOS LOS FRENOS Y SE ENGRASA EQUIPO COMPLETO, SE CAMBIAN FILTROS Y SE RELLENA XXXXXX DE PETROLEO</t>
  </si>
  <si>
    <t>SE CAMBIA UN NEUAMTICO TRASERO DERECHO Y SE REVISAN NIVELES</t>
  </si>
  <si>
    <t>INSTALAR MASA Y CUBO REDUCTOR RUEDA DERECHA TRASERA , RELLENAR CON ACEITE 2 LITROS 75W90</t>
  </si>
  <si>
    <t>SE CAMBIAN 2 NEUMATICO DELANTEROS POR 2 DE LA C-109 Y SE AJUSTA PARA CHOQUES DELANTEROD Y UN AMORTIGUADOR DELANTERO DERECHO Y BARRA DE SUSPENSIÓN DELANTERA</t>
  </si>
  <si>
    <t>SE CAMBIA BOMBA DEL PETROLEO, SE ENGRASA EQUIPO COMPLETO Y CAMBIO DE CORREA DE VENTILADOR</t>
  </si>
  <si>
    <t>SE CAMBIAN LOS 4 NEUAMTICOS TRASEROS NUEVOS Y EL LUNES 6 SE CAMBIAN 2 NUEMATICOS DELANTEROS NUEVOS</t>
  </si>
  <si>
    <t>SE COLOCA VALVULA DE PETROLEO CON SUS DOS ORING NUEVOS IGUAL QUEDA PERDIENDO POR PETROLEO</t>
  </si>
  <si>
    <t>SE SACA NEUMATICO DELANTERO IQZ PINCHADO Y SE COLOCA UNO DE REPUESTO</t>
  </si>
  <si>
    <t>se saca gato tracero derecho para retomar</t>
  </si>
  <si>
    <t>SE RELLENA CON 7 LITROS DE ACEITE HIDRAULICO Y SE REVISAN NIVELES</t>
  </si>
  <si>
    <t>SE SACA CARDAN PARA CAMBIAR SOPORTE CARDAN Y RODAMIENTO</t>
  </si>
  <si>
    <t xml:space="preserve">SE COLOCA CARDAN REPARADO, PORTA CARDAN NUEVO </t>
  </si>
  <si>
    <t>SE SACA CARDAN PARA REPARAR , OJO SE COLOCA CARDAN DE OTRO EQUIPO</t>
  </si>
  <si>
    <t xml:space="preserve">SE SACA NEUMATICO DELANTERO PINCHADO Y SE DESARMA PLANETARIO RUEDA TRASERA DERECHA POR PERDIDA DE ACEITE POR RETEN Y JUEGO DE RODAMIENTO </t>
  </si>
  <si>
    <t xml:space="preserve">SE COLOCA PASADOR DEL AGUILON LADO DERECHO Y SU SEGURO Y SE REPARA LA PIOLA DE ACELERADOR DE PIE </t>
  </si>
  <si>
    <t>SE DESARMA SISTEMA DE REFRIGRACION X PERDIDA DE AGUA</t>
  </si>
  <si>
    <t>SE COMIENZA A REPARAR EL ALTERNADOR</t>
  </si>
  <si>
    <t>ENGRASE COMPLETO, 20 LITROS DE ACEITE HIDRAULICO Y SE QUITA FUGA DE ACEITE HIDRAULICO, SE LIMPIA FILTRO DE ACEITE</t>
  </si>
  <si>
    <t xml:space="preserve">se sacan 2 neumaticos traseros pinchados uno de cada lafo y se llevan a reparar </t>
  </si>
  <si>
    <t xml:space="preserve">INSTLAR CAJA DE VELOCIDADES , PRENSA , DISCO Y RODAMIENTO NUEVOS, DESMONTAR ESTANUE DE PETROLEO PARA REPARAR </t>
  </si>
  <si>
    <t>CAMBIO DE VALVULA PITARDE</t>
  </si>
  <si>
    <t xml:space="preserve">SE COLOCA PIOLA DEL ACELERADOR, SE REVISAN FRENOS </t>
  </si>
  <si>
    <t xml:space="preserve">se colocan los dos neumaticos reparados y se rellena con 13 litros de aceite motor y 1 litro de aceite de direccion </t>
  </si>
  <si>
    <t>DESMONTAR TAPAS DE MOTOR Y CULATA, ENTRABA AGUA AL CILINDRO N°6, SE DESMONTA CONJUNTO DE RADIADORES Y DE MOTOR</t>
  </si>
  <si>
    <t>SE CAMBIAN ORRIN</t>
  </si>
  <si>
    <t xml:space="preserve">SE CAMBIA NEUMATICO TRASEO IZQUIERDO </t>
  </si>
  <si>
    <t xml:space="preserve">SE CAMBIA MANGUERA ROTA DE AGUA Y SE ARMA GRAN PARTE </t>
  </si>
  <si>
    <t>DESMONTAR BOMBA HIDRAULICA Y SE INSTALA NUEVAMENTE</t>
  </si>
  <si>
    <t>se saca neumatico pinchado</t>
  </si>
  <si>
    <t>se cambian flexibles hidraulicos y se rellena con 32 litros de aceite motor y se revisan niveles</t>
  </si>
  <si>
    <t>se cambia neumatico y se rellena con 4 litros de aceite motor</t>
  </si>
  <si>
    <t>FUERA DE SERVICIO POR PROBLEMA ELECTRICOS</t>
  </si>
  <si>
    <t xml:space="preserve">OJO SE SACA PASADOR PARA REPAR, SE RELLENA CON ACEITE HIDRAULICO 20 LTS </t>
  </si>
  <si>
    <t>DESMONTAR EJE TRASERO MASA IZQ SE SOLTO LA TUERCA DE FIJACION  DIFERENCIAL LA CORONA TIENTE 3 DIENTES APARTIDOS</t>
  </si>
  <si>
    <t>cambio de filtro de petroleo, cambioi de manguera de regadera de agua y se revisan niveles</t>
  </si>
  <si>
    <t xml:space="preserve">SE SACA NEUMATICO DELANTERO </t>
  </si>
  <si>
    <t xml:space="preserve">SE COLOCA NEUMATICO REPARADO Y SE DESARMA PLANETARIO TRASERO IZQ POR PERDIDA DE ACEITE, PROBLEMA DE FRENOS Y RETENES MALOS </t>
  </si>
  <si>
    <t>SE SACA CILINDRO DELANTERO RH DE LA PARA PARA COLOCAR A LA RETRO MD-62 Y SE SACA EL MALO PARA REPARAR</t>
  </si>
  <si>
    <t>SE COLOCA CILINDRO DELANTERO DERECHO</t>
  </si>
  <si>
    <t>SE CAMBIA BOMBA PETROLEO NUEVA, PROBLEMA CON LAS BATERIAS</t>
  </si>
  <si>
    <t>se coloca bomba de embrague bueva y se rellena deposito con liquido de frenos y se desangra</t>
  </si>
  <si>
    <t xml:space="preserve">SE MONTAN LAS 2 CADENAS Y SUS PIÑONES CON SUS DOS CHAVERAS Y SE DESENGRAZAN SUS RODAMIENTOS DE LOS DOS SIN FINES </t>
  </si>
  <si>
    <t>SE COLOCA FLEXIBLE NUEVO DE EMBRAGUE Y SE RELLENA DEPOSITO CON LIQUIDO DE FRENOS Y SE DESANGRA Y SE ENGRASA COMPLETO. NOTA= TIENE LA BOMBA DE EMBRAGUE MALA</t>
  </si>
  <si>
    <t>SE CAMBIAN LAS DOS CORREAS DEL VENTILADOR Y ALTERNADOR Y SE SACA LA BOMBA DE EMBRAGUE MALA</t>
  </si>
  <si>
    <t>SE ARMA KIT DE FRENOS Y MONTAN LOS NEUMATICOS Y QUEDA OPERATIVAY SE RELLENAN CON 30 LITROS DE ACEITE HIDRAULICO</t>
  </si>
  <si>
    <t xml:space="preserve">SE REVISAN NIVELES Y SE DEJA EQUIPO OPERATIVO </t>
  </si>
  <si>
    <t>SE BAJA CAJA DE CAMBIOS Y SE CAMBIA PRENSA Y DISCO DE EMBRAGUE Y CAMBIOS DE ACEITE</t>
  </si>
  <si>
    <t xml:space="preserve">SE SACA NEUMATICO PINCHADO Y SE LLEVA A REPARAR Y SE COLOCA </t>
  </si>
  <si>
    <t>SE CAMBIAN RODAMIENTOS DE EMPUJE Y SE MONTA CAJA DE CAMBIOS Y SE ENGRASA COMPLETO Y SE REVISAN NIVELES</t>
  </si>
  <si>
    <t>SE RELLENA CON 10 LITROS DE ACEITE ATF CAJA DE MARCHAS Y SE CAMBIA FILTRO DE AIRE , SE REVISAN NIVELES; NOTA: SE PASA EL AGUA AL ACEITE CAJA DE MARCHAS</t>
  </si>
  <si>
    <t>CHAPA DE CONTACTO EN MAL ESTADO, SE VA A LOS ANGELES A COMPRAR UNA CHAPA PARA REEMPLAZO QUEDA OPERATIVO</t>
  </si>
  <si>
    <t>EQUIPO PRESNETA DEFICIENCIA EN LA PERTIDA , PROBLEMA DE BATERIAS SE SOLICITA UNA BATERIA NUEVA DE 12 VOLT 100 AH 900CCA</t>
  </si>
  <si>
    <t>CAMBIO DE CARDAN INTERMEDIO , SE INTALA CARDAN TRAIDO DE TALCA , CARDAN MALO TIENE ESTRIADO DE ACOPLAMIENTO ROTO)</t>
  </si>
  <si>
    <t>LLEGO BATERIA DE REEMPLAZO, SE CAMBIA OK</t>
  </si>
  <si>
    <t>CAMION PRESENTA PROBLEMA DE ESTABILIDAD DE CORRIENTE A TABLARO SE CHEQUEA ENCONTRANDO CHAPA MAL CONECTADA</t>
  </si>
  <si>
    <t xml:space="preserve">CAMION PRESENTA PROBLEMA DE LUCES BAJAS, RELET MALO , SE SOLICITA PARA CAMBIO </t>
  </si>
  <si>
    <t>BARREDORA PINCHADA RUEDA TRASERA DERECHA SE VA A REPARAR A VILCA(NEUMATICO MALO SE COMPRA UNO VIEJO EN CONDICIONES)</t>
  </si>
  <si>
    <t>SE CAMBIA NEUMATICO TRASERO NUEVO Y SE REVISAN NIVELES</t>
  </si>
  <si>
    <t>SE CAMBIA CORREA DE VENTILADOR Y ALTERNADOR Y REVISAN NIVELES</t>
  </si>
  <si>
    <t>SE RELLENA CON 10 LITROS DE ACEITE DE TRANSMISION Y SE REVISAN NIVELES. HAY QUE CAMBIAR DESLIZADORES DE TORNAMESA</t>
  </si>
  <si>
    <t xml:space="preserve">REVICION DE LUCES SITEMA DE ALUMBRADO CON PROBLEMAS DE RELECOMPANDO Y FALTA DE AMPOLLETAS , SE INTALAN 2 LAMPARAS LED PARA PODER TRABAJAR </t>
  </si>
  <si>
    <t>SE SACA NEUMATICO TRASERO Y SE REVISAN NIVELES</t>
  </si>
  <si>
    <t>se instala neumatico reparado y se coloca, queda operativa y se revisan niveles</t>
  </si>
  <si>
    <t>neumatico delantero pinchado</t>
  </si>
  <si>
    <t>neumatico trasero pinchado</t>
  </si>
  <si>
    <t>SE CAMBIAN MANGUERAS ROTA DE LLENADO DE ACEITE MOTOR Y SE RELLENA CON 5 LITROS Y 5 LITROS DE ANTICONGELANTE</t>
  </si>
  <si>
    <t>reparacion y reposicion de neumatico</t>
  </si>
  <si>
    <t>reparacion de luces</t>
  </si>
  <si>
    <t>se repara rueda delantera derecha, se rellena de aceite cubo reductor</t>
  </si>
  <si>
    <t>EVALUACION DE GOLPE AL PASAR CAMBIO; SE CHEQUEA JUEGO DE CARDANES , CRUZETAS , EL CARDAN TIENE UN JUEGO  EN EL PIÑON DE ATAQUE COMO SI TUVIERA DESGASTE ENTRE PIÑON Y CORONA</t>
  </si>
  <si>
    <t>SACAR FLEXIBLE ROTO DE DIRRECION Y LLEVAR HACER NUEVO</t>
  </si>
  <si>
    <t xml:space="preserve">REPARACION DE LUCES </t>
  </si>
  <si>
    <t>falta de potencia, falta de aceite en la transmision queda fuera de servicio</t>
  </si>
  <si>
    <t>EQUIPO PRESENTA PROBLEMAS DE COMPRESOR DE UNIDAD IMPRIMADOREA , SE REVISAN NIVELES DE CORRIENTE NIVEL DE ACEITE , SE REVISA ENSAMBLE MOTOR HIDRAULICO QUEDANDO OK</t>
  </si>
  <si>
    <t>INSTALACION DE FAROS TRASEROS, REV LUCES DELANTERAS , CAMBIO DE BATERIAS 15 AMP USADAS.TERMINAL</t>
  </si>
  <si>
    <t>reparacion de faros de trabajo</t>
  </si>
  <si>
    <t xml:space="preserve">SE COLOCA FLEXIBLE NUEVO DE DIRECCION HIDRAULICA Y SE RELLENA </t>
  </si>
  <si>
    <t>SE CAMBIAN PASTILLAS DE FRENO DE MANO Y SE ENGRASA</t>
  </si>
  <si>
    <t>SE SACA FILTRO SECADOR DE AIRE ROTO Y SE RELLENA CON 4 LITROS DE ACEITE MOTOR</t>
  </si>
  <si>
    <t xml:space="preserve">SE CAMBIAN NEUAMTICO TRASERO ULTIMO PUENTE IZQ REVENTADO Y SE SACA PARACHOQUE TRASERO QUEBRADO </t>
  </si>
  <si>
    <t>se instalan 2 focos faeneros delanteros para trabajar ya que no hay ampolletra de focos mayor. Se solicitan a talca</t>
  </si>
  <si>
    <t xml:space="preserve">SE SACA ESTANQUE DE PETROLEO Y SE LIMPIA , SE CAMBIAN EMPAQUETADURA TAPA BOMBA DE PETROLEO Y SE RELLANA CON 3 LITROS DE ACEITE MOTOR </t>
  </si>
  <si>
    <t>SE COLOCA DISCO DE FRICCION 5 RUEDA</t>
  </si>
  <si>
    <t>equipo con faros dañados no se pueden reparar ya que no levanta la cabina se solicita reparar gata hidraulica de levante de cabina</t>
  </si>
  <si>
    <t xml:space="preserve">EQUIPO TIENE FAROS MAYORES DAÑADOS NO SE PUEDEN HACER REPARACIONES PORQUE NO SE DESTRABA LA CABINA, YA QUE LA GATA DE LEVANTE ESTA MALA, SE SOLICITA PARA REPARACIONES </t>
  </si>
  <si>
    <t xml:space="preserve">SE SACA UN NEUAMTICO DELANTERO PINCHADO </t>
  </si>
  <si>
    <t>SE SACA NEUMATICO DELANTERO REVENTADO Y SE REVISAN NIVELES SE REPARA ACELERADOR DE MANO.</t>
  </si>
  <si>
    <t>SE CAMBIAN BALATAS EN LAS 4 RUEDAS TRASERA , TAMBORES RECTIFICADOS</t>
  </si>
  <si>
    <t>se cambia neumatico trasero derecho</t>
  </si>
  <si>
    <t>SE DESARMA MUÑON DERECHO MALO SE LLEVA A REPARAR</t>
  </si>
  <si>
    <t>problema de partida, se cambia bateria usada, equipo se debe hacer partir por motor de partida</t>
  </si>
  <si>
    <t>SE COLOCA MUÑON REPARADO Y REVISION NIVELES</t>
  </si>
  <si>
    <t>se coloca flexible de frenos</t>
  </si>
  <si>
    <t>reparacion de luces de trabajo</t>
  </si>
  <si>
    <t>tablero principal en mal estado, se cambian 2 focos y fusibles completos</t>
  </si>
  <si>
    <t>equipo con problemas de levante de tolva, se chequea sensor de bomba</t>
  </si>
  <si>
    <t>se saca neumatico trasero izquierdo y se lleva a reparar y se revisan niveles</t>
  </si>
  <si>
    <t>se limpian valvulas de filtro de secado de aire y se revisan niveles y se llena con 1 litro de aceite de direccion</t>
  </si>
  <si>
    <t>se cambian flexibles de moto de la traccion delantera izquierda se colocan flexibles de la m-26 y se rellena con 45 litros de aceite hidraulico</t>
  </si>
  <si>
    <t>se cambian sellos de la bomba de liquido y se revisan niveles</t>
  </si>
  <si>
    <t>camion atego</t>
  </si>
  <si>
    <t>instalacion de pernos traseros, revision de luces, cambio de bateria nueva por falta de bornes</t>
  </si>
  <si>
    <t>se saca neumatico delantero malo y se lleva a la vulca, se monta uno nuevo y se trae a colocar y se revisan niveles</t>
  </si>
  <si>
    <t>se colocan flexibles de la traccion delantera izquierda nuevo y se rellenan con 65 litros de aceite hidraulico y se cambia neumatico trasero derecho y se revisan niveles</t>
  </si>
  <si>
    <t>se cambia neumatico y valde y se engrasa y se revisan niveles</t>
  </si>
  <si>
    <t>se desarma muñon izquierdo y se lleva a la maestranza para reparar, se instala y queda operativa</t>
  </si>
  <si>
    <t>colocar manguera nueva de cilindro levante, 80 litros de aceite hidraulico, colocar pata tracera derecha reparada, para fijada</t>
  </si>
  <si>
    <t>se quita fuga de aceite hidraulico por flexible y se rellena con 23 litros de aceite y se rellena con 2 litros de aceite motor</t>
  </si>
  <si>
    <t>SE COLOCA TECALAN Y ACOPLE RAPIDO</t>
  </si>
  <si>
    <t>se cambian 2 amortiguadores delanteros, se cambian 4 poleas de correas trapezoidal</t>
  </si>
  <si>
    <t>SE CAMBIAN LAS DOS CUCHILLAS CON TODOS SUS PERNOS Y SE CAMBIA UN NEUMATICO TRASERO IZQ PINCHADO Y SE RELLENA CON ACEITE DE MOTOR 3 LITROS</t>
  </si>
  <si>
    <t>reparacion de alternador</t>
  </si>
  <si>
    <t>piñon y corona nuevo y sello de aceite, rodamientos de piñon nuevos. 4 litros de aceite y diferencia 85wi40</t>
  </si>
  <si>
    <t>colocar bombas hidraulicas reparadas, 400 litros de aceite DT26, 87 litros de aceite 75w90, colocar porta filtros de petroleo nuevo</t>
  </si>
  <si>
    <t>SE CAMBIAN NIPLE HIDRAULICO Y SE RELLENA CON 20 LITROS DE ACEITE HIDRAULICO</t>
  </si>
  <si>
    <t>SE COLOCA VENTILADOR REPARADO</t>
  </si>
  <si>
    <t>SE CAMBIA FLEXIBLE ROTO DE AGILON Y SE RELLENA CON 7 LITROS DE ACEITE HIDRAULICO CON 3 DE ACEITE DE TRASNMISION</t>
  </si>
  <si>
    <t>SE SACA CRUZETA DEL CARDAN MALA Y SE SACO TUBO DE ESCAPE CORTADO</t>
  </si>
  <si>
    <t>colocar martillo, limpia circuito de petroleo</t>
  </si>
  <si>
    <t>revisar compresor, motor hidraulico sin fuerza, colocar cruceta nueva delantera</t>
  </si>
  <si>
    <t>confeccionar soporte para fijar volante</t>
  </si>
  <si>
    <t>bateria en mal estado, revision de aire acondicionado malo</t>
  </si>
  <si>
    <t>revision y funcionamiento de ….............</t>
  </si>
  <si>
    <t>SE SACA NEUAMTICO TRASERO PINCHADO IZQ Y SE LLEVA A REPARAR</t>
  </si>
  <si>
    <t>SE COLOCA NEUAMTICO TRASERO IZQ REPARADO</t>
  </si>
  <si>
    <t>sacar pulmones de freno malos traseros lado izquierdo</t>
  </si>
  <si>
    <t>SE CAMBIAN LOS DOS NEUMATICOS DELANTERO NUEVOS</t>
  </si>
  <si>
    <t>SE QUITA FUGA DE PETROLEO X NIPLE DE LA BOMBA MALO Y SE CAMBIA Y SE RELLENA CON 4 LITROS DE ACEITE MOTOR</t>
  </si>
  <si>
    <t>bateria mala, telecomando nuevo, comando, aire acondicionado nuevo</t>
  </si>
  <si>
    <t xml:space="preserve">DESARME DE BRAZO PILAR DE CHAPA DE CONTACTO PARA HACER NUEVA LLAVE , YA QUE SE EXTRAVIO LLAVE ORIGINAL , SE LLEVA A LOS ANGELES PARA MANDAR HACER LLAVE , SE INSTALA </t>
  </si>
  <si>
    <t>se revisan filtraciones por tapa de valvula de motor y filtraciones por articulacion derecha,</t>
  </si>
  <si>
    <t>se cambia aspa de ventilador y filtro ciclonico</t>
  </si>
  <si>
    <t>electro valvul</t>
  </si>
  <si>
    <t>SE INSTALA BOMBA CEBADORA DE COMBUSTIBLE Y MANGUERA DE SUCCION EQUIPO DESDE QUE LLEGO A RUCUE NUNCA SE A REALIZADO MTTO</t>
  </si>
  <si>
    <t>G.BEROIZA</t>
  </si>
  <si>
    <t>se cambian 4 ampolletas h3 focos faeneros delanteros</t>
  </si>
  <si>
    <t>desmontar turvo alimentador,instalar el turbo reparado, cambio bujes de apoyo cilindros hidarulicos. Se cambia manguera de refiguerante de la tapa el termostato al bote lleno</t>
  </si>
  <si>
    <t>SE CAMBIA FLEXIBLE ROJO CILINDRO GIRO AGUILON Y SE RELLENA CON ACEITE HIDRAULICO Y COLOCAN CUCHARON DE LA MD-72 QUE NO TRABA Y SE ENGRASA COMPLETA Y SE REVISAN NIVELES</t>
  </si>
  <si>
    <t>SE SACA LA PALA PARA REPARACION DE SOLDADURA</t>
  </si>
  <si>
    <t xml:space="preserve">SE RETIRA COMPRESOR AIREA CONDICIONADO PARA REALIZAR COMPRA DE ESTA YA QUE ESTA COMPLETAMENTE DAÑADO. SE SACA CORREA PARA COMPRAR UNA NUEVA. APOYO A MECANICOS </t>
  </si>
  <si>
    <t xml:space="preserve">SE SACA NEUMATICO PINCHADO DELANTERO DERECHO Y SE LLEVA A REPARAR SE TRAE Y SE COLOCA </t>
  </si>
  <si>
    <t>revision rechazos de revision tecnica mininco, revision luces laterales y ver reparacion para instalarlo</t>
  </si>
  <si>
    <t>SE COLOCAN MANGUERAS DEL CISTEMA DE LA CALEFACCION Y OTROS</t>
  </si>
  <si>
    <t>intalacion de luces laterales e instalacion parachoques para revision tecnica</t>
  </si>
  <si>
    <t xml:space="preserve">SE DESARMA BIELAS TENSORAS DEL DIFERENCIAL TRASERO X ROTULAS MALAS Y SE LLEVA A LA MAESTRANZA A REPARAR </t>
  </si>
  <si>
    <t>cambio de sersor del cono chancador ASAI</t>
  </si>
  <si>
    <t xml:space="preserve">SE CAMBIAN NEUMATICO PINCHADO DELANTERO DERECHO Y SE LLEVA A REPARAR </t>
  </si>
  <si>
    <t>SE SACA MOTOR DE ARRANQUE Y SE LLEVA A REVISAR SE PRUEBA Y SE COLOCA QUEDANDO OPERATIVA</t>
  </si>
  <si>
    <t xml:space="preserve">perdidad de presion de KPTO </t>
  </si>
  <si>
    <t>SE RELLENA CAJA AUTOMATICA CON 10 LITROS DE ACEITE ATF</t>
  </si>
  <si>
    <t>desmontar caja de velocidades y embrague</t>
  </si>
  <si>
    <t>SE MONTAN BIELAS TENSORAS DEL DIFERENCIAL TRASERO REPARADAS Y SE REGUNAL FRENOS</t>
  </si>
  <si>
    <t>SE INSTALA MOTOR ARRANQUE REPARADO CAMBIO SELENOIDE Y BENDI</t>
  </si>
  <si>
    <t>COLOCAR BOMBA HIDRAULICA REPARADA , BOMBA TRANSMISION NUEVA , BOMBA PILOTAJE USADA</t>
  </si>
  <si>
    <t>SE SACA BARRA DE DIRRECION DOBLADA SE ENDERA Y SE COLOCA Y SE SACA UN NEUAMTICO DELANTERO IZQ PINCHADO Y SE RELLENA CON 15 LITROS DE ACEITE HIDRAULICO Y SE ENGRASA COMPLETA</t>
  </si>
  <si>
    <t xml:space="preserve">SE CAMBIAN LOS DOS NEUMATICOS TRASEROS NUEVOS </t>
  </si>
  <si>
    <t>SE DESARMA PUENTE DELANTERO PARA REPARAR FRENO Y SE REGUNAL , ESTA PEDIDA BOMBA DE FRENO Y BOMBA DE EMBRAGUE</t>
  </si>
  <si>
    <t>se rellena con aceite hidraulico</t>
  </si>
  <si>
    <t>SE SACA UN NEUMATICO DELANTERO DERECHO PINCHADO Y SE RELLENA CON 4 LITROS ACEITE MOTOR</t>
  </si>
  <si>
    <t>REVISION Y REPARACION DE CORTOCIRCUITO GRAL. SE RETIRA CORTA CORRIENTES (UNIDAD EN MUY MAL ESTADO). ES NECESARIO COMPRAR UNO NUEVO. INSTALACION DE FARO MARCHA ATRÁS. REPARACION DE ENCHUFE SENSOR DE CUENTA KILOMETROS (BASE ROTA)</t>
  </si>
  <si>
    <t>REPARACION DE LUCES DELANTERAS Y TRASERAS.</t>
  </si>
  <si>
    <t>SE SACA VALVULA DEL BLOCK PARA COLOCAR A LA MD-70 Y NO SE PUDO POR QUE NO TIENE LOS HILOS MALOS Y SE COLOCA NUEVAMENTE LA MD-62</t>
  </si>
  <si>
    <t>SE CAMBIA PERNO REY A LA BATEA Y SE ENGRASA QUINTA RUEDA Y SE RELLENA CON 10 LITROS DE ACEITE HIDRAULICO</t>
  </si>
  <si>
    <t>INSTALACION DE FAROS TRASEROS NUEVOS</t>
  </si>
  <si>
    <t xml:space="preserve">SE SACA INYECTOR DE PETROLEO X PERDIDA DE PETROLEO </t>
  </si>
  <si>
    <t>SE COMIENZA CON DESARME DE SOPORTE FAROS TRASEROS PARA REPARACION , SE INSTALAN TAPABARROS MAS SOPORTE MAS 2 FAROS TRASERO</t>
  </si>
  <si>
    <t>SE COLOCAN DOS BUJES DEL AGUILON</t>
  </si>
  <si>
    <t>REPARACION VALVULA DE DESCARGA RAPIDA PUENTE TRASERO</t>
  </si>
  <si>
    <t>SE RETIRAN SOPORTES MAS FAROS DELANTEROS PARA REPARACION</t>
  </si>
  <si>
    <t>APOYO A DESARMAR EQUIPO AGUILON</t>
  </si>
  <si>
    <t>REPARAR BOMBA ASFALTO, PRESNA ESTOPA DE ASFALTO , COLOCAR TAPA NUEVA)</t>
  </si>
  <si>
    <t>se cambia neumatico delantero pinchado y se regulan los frenos</t>
  </si>
  <si>
    <t>INSTALACION DE BUJIAS INCANDECENTES, SE INTENTA PONER EN MARCHA PERO NO REPONDE SE PONE A CARGAR BATERIA</t>
  </si>
  <si>
    <t>APOYO DESARME AGUILON</t>
  </si>
  <si>
    <t>DESARMAR LUCES Y SOPORTES FRONTALES CON LOS MISMOS FAROS DAÑADOS POR ORDEN DE JEFATURA</t>
  </si>
  <si>
    <t xml:space="preserve">SE CARGAN CON 40 LITROS DE PETROLEO , SE CAMBIA MOTOR DE PARTIDA USADO , MOTOR ENCIENDE PERO PRESENTA PROBLEMAS EN CONTROL DE BUJIAS INCANDECENTES , SE OPTA POR INSTALAR TEMPORIZADOR PARA BUJIAS </t>
  </si>
  <si>
    <t>cambio de bateria mala, fusible termico original malo, cambiarlo</t>
  </si>
  <si>
    <t>conectar cable del porte com cable</t>
  </si>
  <si>
    <t xml:space="preserve">reparacion abrazaderas de escape sueltas </t>
  </si>
  <si>
    <t>CAMBIO DE 2 BATERIAS NUEVAS</t>
  </si>
  <si>
    <t>se cambia bomba elevadora de petroleo y se rellena con 3 litros de aceite de motor</t>
  </si>
  <si>
    <t>desmontar inyectores del motor</t>
  </si>
  <si>
    <t>SE COMIENZA CON EVALUACION Y DESARME DE COMPONENTES PARA INSTALACION DE HOROMETRO ANALOGO</t>
  </si>
  <si>
    <t xml:space="preserve">MOTOR SE CALIENTA, AGUA SE DEVUELVE POR VASOEXPANSION, SE EVALUA Y SE RETIRA BOMBA DE AGUA NO ENCONTRANDO ANOMALIA. SE PROCEDE ADESARMAR PARTE TRASERA PARA REVISION DE RADIADOR </t>
  </si>
  <si>
    <t>se quita aceite diferencial porque se esta pasando al de los frenos, se desangra y se rellenan con 15 litros de aceite hidraulico y se colacan las tapas</t>
  </si>
  <si>
    <t>se desarman los 2 ejes elanteros para cambiar balatas y se quita fuga de aceite de motor por manguera rota, manguera rota y se reyena con 4 litros de aceite motor</t>
  </si>
  <si>
    <t>SE CONTINUA CON REPARACION MAYOR DEL EQUIPO</t>
  </si>
  <si>
    <t xml:space="preserve">COLOCAR CILINDRO LEVANTE PATA ESTAVILIZADORA DE RETRO MD-74 </t>
  </si>
  <si>
    <t>se cambia filtro de petroleo roto y se engrasa completo y se revisan niveles</t>
  </si>
  <si>
    <t>se montan balatas nuevas a los 2 ejes delanteros y se cambian resortes nuevos a los patines y se engrasa completo</t>
  </si>
  <si>
    <t>revision de tren delantero puntas de direccion en mal estado acoples malos, rueda derecha completamente desformada, necesita mecanica mayor</t>
  </si>
  <si>
    <t>se realiza mantenimiento completo, se evalua perdida de petroleo por tuberia de surtidor, se debe retirar carroceria metalica y se debe enviar a talca para perforaciones</t>
  </si>
  <si>
    <t>SE CAMBIAN UNA PORTA CALZA Y 5 CALZA</t>
  </si>
  <si>
    <t>se saca manguera rota de agua y se repara y coloca y se rellena con 20 litros de anticongelante</t>
  </si>
  <si>
    <t>REVICION Y ELEVACION DE LUCES PARA PREPARARLO PARA REVICION TECNICA</t>
  </si>
  <si>
    <t>OJO TREN DELANTERO EN MAL ESTADO , MUY POCA PASTILLAS DE FRENO</t>
  </si>
  <si>
    <t xml:space="preserve">OJO SE COLOCA EL CILINDRO DIRECCIONAL LADO IZQ, SE CAMBIAN CALZAS DEL VALDE </t>
  </si>
  <si>
    <t>COLOCAR NEUAMTICO USADO TRASERO DERECHO. LAVADO DE RADIADORES RELLENO CON ACEITE HIDRAULICO , SOLDAR PASADOR TAPA IZQ</t>
  </si>
  <si>
    <t>TIENE PROBLEMAS DE BATERIAS SE SOLICITAN NUEVAS</t>
  </si>
  <si>
    <t>se cambia un neumatico traseero intermedio izquierdo pinchado</t>
  </si>
  <si>
    <t>se desarman los 2 puentes delanteros para embalatar patines y se repara una chicharra de frenos</t>
  </si>
  <si>
    <t>correa de motor rota y alternador trancado, se retira correa de alternador de rodillo md41 para instalarlo en el md38</t>
  </si>
  <si>
    <t>bateria mala, se recomienda cambiar baterias y corta corrientes</t>
  </si>
  <si>
    <t>cambio de sensor de precion cono y conector</t>
  </si>
  <si>
    <t>revision sensonr chancador, pesos de precion de lubricacion limpieza de conrtrol hidraulico</t>
  </si>
  <si>
    <t>se desarma rueda izquierda para reparar frenos</t>
  </si>
  <si>
    <t>se desarma puente interno delantero con balatas nuevas y se regulan frenos</t>
  </si>
  <si>
    <t>se arma sistema de frenos rueda trasera izquierda, se regulan frenos</t>
  </si>
  <si>
    <t>se arma puente delantero con balatas nuevas y un par de patines niuevos, se regulan frenos y se desarman rueda puente intermedio trasero izquierdo para mandar a embalatar</t>
  </si>
  <si>
    <t xml:space="preserve">SE CAMBIA CILINDRO FIJADOR DEL VOLANTE Y REVISAN NIVELES </t>
  </si>
  <si>
    <t>SE CONTINUA CON DESARME Y REALIZA PEDIDO DE MATERIALES ELECTRICOS PARA RESTAURACION , SE RETIRA SENSOR DE POSICION DE CIGÜEÑAL PARA RECTIFICADO DE BASE U ANCLAJE DE SENSOR , SE COMIENZA INSTALACIONES DE HARNES DE LUCES</t>
  </si>
  <si>
    <t>INTALACION DE ALTERNADOR REPARADON CON CORREA NUEVA , INSTALACION DE COMPRESOR, SE CONTINUA CON INSTALACION ELECTRICA</t>
  </si>
  <si>
    <t>REINSTALACION DE ALTERNADOR REPARADO CON CORREA NUEVA, INSTALACION DE COMPRESOR, CORREAS USADAS, SE CONTINUA CON INSTALACION DE SISTEMA ELECTRICO</t>
  </si>
  <si>
    <t>SE INSTALAN 2 FARON DE INTERMITENTES DELANTEROS NUEVOS</t>
  </si>
  <si>
    <t xml:space="preserve">COLOCAR ASBESTO GRAFITADO EN BOMBA HIDRAULICA, REGULARIZACION FRENO </t>
  </si>
  <si>
    <t xml:space="preserve">SE CAMBIAN CABLES BORNES Y TERMINALES DE BATERIA </t>
  </si>
  <si>
    <t>SE INSTALAN 2 FAROS DE INTERMITENTES DELANTEROS NUEVOS</t>
  </si>
  <si>
    <t>DESMONTAR BALATAS DE LAS 8 RUEDAS , ARMADO DE FRENOS EMBALATADO STD TAMBORES RECTIFICADOS , CHICHARA IZQ EJETRASERO NUEVA , ENGRASE GENERAL</t>
  </si>
  <si>
    <t>desmontar balatas de las 8 ruedas</t>
  </si>
  <si>
    <t>SACAR CILINDRO DE LEVANTE DE LA PLUMA PARA ENVIAR A REPARAR</t>
  </si>
  <si>
    <t xml:space="preserve">SE CAMBIAN PASADORES DE MUÑON </t>
  </si>
  <si>
    <t xml:space="preserve">SE CAMBIAN BALATAS ULTIMO PUENTE DE BATEA Y REGULAN FRENOS Y SE CAMBIA UN ACOPLE RAPIDO DE 12CM </t>
  </si>
  <si>
    <t>fuga de aceite hidraulica por lado derecho</t>
  </si>
  <si>
    <t>CAMBIO DE BATERIA MALA. SE CAMBIA POR UNA BATERIA USADA , NO ES POSIBLE PONER EN MARCHA QUEDA EN SAN RAFAEL</t>
  </si>
  <si>
    <t>BATERIA MALA, SE PONE UNA USADA EN MAL ESTADO, SE SOLICITA CAMBIO DE BATERIA</t>
  </si>
  <si>
    <t>SE MONTA BOMBA DE AGUA Y MANGUERAS DEL RADIADOR CORREAS Y TENSORES</t>
  </si>
  <si>
    <t xml:space="preserve">SE CAMBIAN PASTILLAS DE FRENOS RUEDA TRASERA IZQUIERDA </t>
  </si>
  <si>
    <t xml:space="preserve">SE MONTAN BALATAS NUEVAS AL PUENTE INTERMEDIO TRASERO Y SE REGULAN FRENOS </t>
  </si>
  <si>
    <t>SE TERMINA INSTALACION DE LUCES Y SE ENTREGA</t>
  </si>
  <si>
    <t>SE TERMINA DE INSTALAR Y SE ENTREGA</t>
  </si>
  <si>
    <t>SE CAMBIA BATERIA USADA Y SE REVISAN NIVELES Y SE COLOCA EN MARCHA.</t>
  </si>
  <si>
    <t xml:space="preserve">SE LIMPIA TODO EL CONDUCTO DEL LLENADO DE PETROLEO Y SE REVISAN NIVELES Y SE COLOCA EN MARCHA </t>
  </si>
  <si>
    <t>DESMONTAR INYECTORES PARA EXTRAER EL AGUA DE LOS CILINDROS, INSTALAR NUEVA MENTE</t>
  </si>
  <si>
    <t>CAMBIAR BOMBA DE TRANSFERENCIA SE INSTALA LA DE MD-64</t>
  </si>
  <si>
    <t>CAMBIO DE MOTOR</t>
  </si>
  <si>
    <t xml:space="preserve">COLOCAR ORRING A NIPLE MANGUERA VENTILADOR( HIDRAULICO) </t>
  </si>
  <si>
    <t xml:space="preserve">SE REALIZA LEVANTAMIENTO ELECTRICO PARA NORMALIZACION DE EQUIPO , SE SOLICITA SGTES MATERIALES: 4 FAROAS TROCHA , </t>
  </si>
  <si>
    <t>LAVADO DE RADIADORES RELLENO ACEITE HIDRAULICO 50 LITROS ENGRASE GENERAL</t>
  </si>
  <si>
    <t xml:space="preserve">SE DESARMA TENSOR DE CORREA Y POLEA DEL VENTILADOR PARA CAMBIAR RODAMIENTOS </t>
  </si>
  <si>
    <t>APOYO RESCATE DE MAQUINARIA SINIESTRADA, SE RETIRA SISTEMA DE A/C DE MAQUINARIA</t>
  </si>
  <si>
    <t xml:space="preserve">SE CAMBIAN GOMAS DE CILINDRO DE FRENOS RUEDA TRASERA DERECHA SE DESANGRA Y SE REGULAN FRENOS </t>
  </si>
  <si>
    <t xml:space="preserve">SE CAMBIA TERMINAL DE DIRECCION LADO DERECHO </t>
  </si>
  <si>
    <t>SE TERMINA DE ARMAR Y SE CAMBIA ORIN DE BOMBA DE AGUA SE LLENA CON AGUA Y SE COLOCA EN MARCHA, QUEDA ANDANDO.</t>
  </si>
  <si>
    <t>se cambian rodamientos de tensor de correa y de ventilador y se cambia un neumatico delantero derecho</t>
  </si>
  <si>
    <t>REPARACION DE LUCES MOTOR PRESENTA PROBLEMAS EN SISTEMA DE INYECCION</t>
  </si>
  <si>
    <t>SE CAMBIAN ACEITE A DIFERENCIAL 424 30 LITROS , SE COLOCAN CUCHILLA NUEVAS SE ENGRASA</t>
  </si>
  <si>
    <t>SE COLOCA VALUVLA HECHISA CON RESORTE HECISO</t>
  </si>
  <si>
    <t>REPARACION DE LUCES DE POSICION , REPARACION DE LUCES DE TRABAJO, REPARACION DE LUCES TRASERA E INSTALACION DE ALARMA DE RETROCESO</t>
  </si>
  <si>
    <t>INSTALAR LOS INYECTORES EN EL MOTOR REPARADO , LLENADO DE REFRIGERANTE</t>
  </si>
  <si>
    <t xml:space="preserve">CORREGIR FUGA DE PETROLEO MANGUERA CORTADA </t>
  </si>
  <si>
    <t>REAPACION DE LUCES INSTALACION DE FOCOS FAENEROS DELANTEROS , CORREAN EN MAS ESTADO , NECESITA MTTO</t>
  </si>
  <si>
    <t xml:space="preserve">SE LIMPIA TODO EL CIRCUITO DEL PETROLEO DESDE EL ESTNQUE CAÑERIAS, MANGUERAS Y SE LLENA FILTRO SE DESANGRA LOS INYECTORES POR QUE QUEDO SIN PETROLEO EL ESTANQUE Y NO APODIDO ANDAR MAS, NO TIRA COMBUSTIBLE </t>
  </si>
  <si>
    <t>SE SACA NEUAMTICO DELANTERO DERECHO REVENTADO QUEDANDO FUERA DE SERVICIO</t>
  </si>
  <si>
    <t>CAMBIAR LEVA DE ACELERACION DE BOMBA INYECTORA</t>
  </si>
  <si>
    <t>REPARACION DE LUCES</t>
  </si>
  <si>
    <t>SE SACA NEUMATICO TRASERO DERECHO PINCHADO Y SE LLEVA A REPARAR</t>
  </si>
  <si>
    <t>SE CAMBIA NEUAMTICO TRASERO PINCHADO Y SE REPARA EL REPUESTO</t>
  </si>
  <si>
    <t xml:space="preserve">DESMONTAR INYECTORES , TURBO , COLECTOR DE ESCAPE Y ADMISION </t>
  </si>
  <si>
    <t>COMIENZO CON DESARME DE LUCES CAMA BAJA</t>
  </si>
  <si>
    <t>SE CAMBIAN LOS NEUMATICOS DELANTEROS NUEVOS</t>
  </si>
  <si>
    <t>REPARACION ELECTRICAS CAMA BAJA SE CABIAN TODAS LAS LUCES TRASERAS</t>
  </si>
  <si>
    <t>SE QUITA FUGA DE ACEITE HIDRAULICA POR PERNOS SUELTOS DE LA BOMBA</t>
  </si>
  <si>
    <t xml:space="preserve">SE QUITA FUGA DE AGUA RADIADOR X ABRAZADERA SUELTA Y SE REVISAN NIVELES </t>
  </si>
  <si>
    <t>SE SACA CUERPO DE VALVULA DE LAS MARCHAS POR TIRONES AL COLOCAR LA MARCHA U SE LLEVA A TALLER CENTRAL A REVISAR O REPARAR</t>
  </si>
  <si>
    <t>SE REVISA PALANCA DE CAMBIO POR PROBLEMAS QUE SE SALTAN LAS MARCHAS Y SE RELLENA CON 4 LITROS DE ACEITE MOTOR</t>
  </si>
  <si>
    <t>CAMBIO DE NEUMATICO DELANTERO DERECHO MALO</t>
  </si>
  <si>
    <t>SE CAMBIAN NEUMATICO TRASERO PINCHADO</t>
  </si>
  <si>
    <t>SE CONTINUA CON DESARME Y SE REALIZA PEDIDO DE MATERIALES PARA RESTAURACION, SE REITA SENSOR DE POSICION DE CIGÜEÑAL PARA RECTIFICADO DE BASE Y ANCLAHE DE SENSOR, SE COMIENZA CON ARMADO E INSTALACION DE HARNES DE LUCES</t>
  </si>
  <si>
    <t>INSTALCION DE COMPONESTES ELECTRICOS DE MD-28 PARA RESCATAR EQUIPO POR EL SINISTROS OCURRIDO EL 23 DE JUNIO POR EL AGUA</t>
  </si>
  <si>
    <t xml:space="preserve">REPARAR PIZADERA, COLOCAR BRAZOS DE RUTA, SACAR ROTULAS Y CAMBIO DE ROTULAS </t>
  </si>
  <si>
    <t xml:space="preserve">SE SACA BOMBA HIDRAULICA DE TOMA FUERZA POR ESTAR QUEBRADO, CILINDRO LADO IZQ BOTELLA ROTA,SE SACA CILINDRO EXTENCION PRINCIPAL IZQ POR ESTAR DOBLADO </t>
  </si>
  <si>
    <t>EVALUACION DE SISTEMA ELECTRICO SE COMIENA REPARACIONES DE LUCES</t>
  </si>
  <si>
    <t>REPARACIONES ELECTRICAS Y CAMBIO FOCOS PARA REVISION TECNICA.-</t>
  </si>
  <si>
    <t>REPARACION ELECTRICAS Y CAMBIO DE FOCOS PARA REVICION TECNICA</t>
  </si>
  <si>
    <t>SACAR DESCANSO MALO PARA CAMBIAR, NUMERO DESCANSO P209 RODAMIENTO FLOTANTE</t>
  </si>
  <si>
    <t xml:space="preserve">SE LAVA EQUIPO COMPLETO </t>
  </si>
  <si>
    <t>SE QUITA FUGA DE PETROLEO X ACOPLE RAPIDO Y SE SACA SOPORTE DEPOSITO DE ACEITE DIRECCION QUEBRADA Y SE SOLDA Y SE COLOCA</t>
  </si>
  <si>
    <t>CONTINUACION Y FINIQUITO REPARACION ELECTRICAS LUCES Y BALIZAS</t>
  </si>
  <si>
    <t xml:space="preserve">SE SACA NEUMATICO PARA REPARACION </t>
  </si>
  <si>
    <t xml:space="preserve">SE CAMBIA BOMBA EMBRAGUE Y LIQUIDO NUEVO </t>
  </si>
  <si>
    <t xml:space="preserve">SE SACA DIFERENCIAL PARA REPARACION DE LOS FRENOS Y OTROS </t>
  </si>
  <si>
    <t>REGULACION FRENOS Y REVISION NIVELES</t>
  </si>
  <si>
    <t xml:space="preserve">SE REPARA CALZA CON PASADOR Y SEGURO Y SE LIMPIA FILTRO RACO </t>
  </si>
  <si>
    <t>REVISION NIVELES</t>
  </si>
  <si>
    <t>CORTO CIRCUITO PARADA DE EMERGENCIA SE SACO CABLE CORTO CIRCUITO PERO EL CABLE QUEMADO ENTRA EN LA INSTALACION SE REPARA MOMENTANEAMENTE PARA REPARACION TOTAL</t>
  </si>
  <si>
    <t>REVISAR CABLE BATEA LADO IZQUIERDO Y REVISAR CAMBIAR OCO BATEA LADO IZQUIERDO EN CORTOCIRCUITO CAMBIAR FUSIBLE 10AMP. LUZ BATEA FALTA FOCO PATENTE</t>
  </si>
  <si>
    <t xml:space="preserve">SE APRETAN PERNOS DE PUÑOS DE CILINDROS DE LEVANTE TORNAMESA Y SE REVISAN NIVELES </t>
  </si>
  <si>
    <t xml:space="preserve">LIMPIEZA ESTANQUE PETROLEO </t>
  </si>
  <si>
    <t>SE SACAN CHICHARRAS MALAS</t>
  </si>
  <si>
    <t xml:space="preserve">CAMBIO NEUMATICO IZQUIERDO Y REVISAN NIVELES </t>
  </si>
  <si>
    <t xml:space="preserve">SE SACA CAJA DE CAMBIOS PARA CAMBIO DE EMBRAGUE </t>
  </si>
  <si>
    <t xml:space="preserve">REGULACION FRENOS CAMBIO NEUMATICO </t>
  </si>
  <si>
    <t xml:space="preserve">SE SACA VALVULA DE FRENO DE LA VATEA MALA PARA CAMBIARLA </t>
  </si>
  <si>
    <t xml:space="preserve">CAMBIO VALVULA DEL PORTALON Y ENGRASE COMPLETO </t>
  </si>
  <si>
    <t xml:space="preserve">CAMBIO NEUMATICO PINCHADO </t>
  </si>
  <si>
    <t xml:space="preserve">SE SACAN LOS DOS FILTROS DE PILOTAJES, UNO SATURADO </t>
  </si>
  <si>
    <t>CAMBIO BATERIAS NUEVAS</t>
  </si>
  <si>
    <t xml:space="preserve">SE CAMBIAN DOS PUNTAS DE DIRECCION </t>
  </si>
  <si>
    <t xml:space="preserve">SE CAMBIA UN NEUMATICO PINCHADO PUENTE INTERMEDIO DERECHO DE VATEA </t>
  </si>
  <si>
    <t xml:space="preserve">SE CAMBIA NEUMATICO DELANTERO IZQUIERDO PINCHADO Y SE REVISAN NIVELES </t>
  </si>
  <si>
    <t>EQUIPO SE ENCUENTRA SIN NINGUNA FUNCION(MOVIMIENTO Y PARKEO) NO ENGANCHA TRANSMISION. SE REALIZA REVISION DE SISTEMA ELECTRICO NO ENCONTRANDO PROBLEMAS, SE SOLICITA APOYO A TALLER. NO SE ENCUENTRA LA FALLA</t>
  </si>
  <si>
    <t xml:space="preserve">REINSTALACION DE COMPONENTES ELECTRICOS, INSTALACION DE RELAIZ DE COMANDOS DE ENTRADA PRINCIPAL ELECTRICA. </t>
  </si>
  <si>
    <t xml:space="preserve">SE CAMBIA TERMINAL DE BATERIAS NUEVOS Y SE REVISAN NIVELES </t>
  </si>
  <si>
    <t>DESARME Y REVISION DE INSTALACION ELECTRICA GRAL.</t>
  </si>
  <si>
    <t>STA BARBARA</t>
  </si>
  <si>
    <t xml:space="preserve">SE CAMBIA EL OTRO FILTRO DE PILOTAJE Y SE REVISAN NIVELES </t>
  </si>
  <si>
    <t>SE CAMBIA VALVULA NUEVA DEL SISTEMA DE FRENOS DE LA VATEA</t>
  </si>
  <si>
    <t xml:space="preserve">REVISION CORTOCIRCUITO COMPONENTES DE CABINA </t>
  </si>
  <si>
    <t xml:space="preserve">CAMBIO DE BATERIAS 180 AMPERES CON 3 TERMINALES BATERIAS ´POWER TRUK </t>
  </si>
  <si>
    <t>REPARACION DE CORTOCIRCUITO Y REENZAMBLE DE COMPONENTES</t>
  </si>
  <si>
    <t xml:space="preserve">FINIQUITO TRABAJO INSTALACIONES ELECTRICAS </t>
  </si>
  <si>
    <t>VERIFICACION DE LA TRANSMICION , CAMBIO DE CONECTOR DE CORTACORRIENTE.</t>
  </si>
  <si>
    <t xml:space="preserve">CAMBIO BALATAS FRENO DE MANO </t>
  </si>
  <si>
    <t>CAMBIO DE VALVULA DE PETROLEO Y MEMBRANA Y SE ENGRASA BALDE</t>
  </si>
  <si>
    <t>SE CAMBIA CORREA DEL MOTOR Y COMPRESOR DE AIRE ACONDICIONADO</t>
  </si>
  <si>
    <t>DESARME DE MOTOR DIESEL PARA ENVIAR A SANTIAGO PARA SU AJUSTE</t>
  </si>
  <si>
    <t>SE REALIZA LEVANTAMIENTO ELECTRICO PARA REPARACIONES. SE RETIRAN FOCO MAYORES PARA COMPRA</t>
  </si>
  <si>
    <t>CAMBIO DE BATERIA PARA PUESTA EN SERVICIO, SE SOLICITA SOLENOIDE AUXILIAR DE PARTIDA YA QUE NO ARRANCA DESDE CHAPA.</t>
  </si>
  <si>
    <t xml:space="preserve">EQUIPO PRESENTA PROBLEMA DE LLENADO DE PETROLEO EN SISTEMA DE INYECCION. </t>
  </si>
  <si>
    <t>CAMBIO DISCO DE EMBRAGUE</t>
  </si>
  <si>
    <t>REPARACION 2 NEUMATICOS DELANTEROS 12X24</t>
  </si>
  <si>
    <t>DESMONTAR LA CABINA ESTANQUE DEL HIDRAULICO , BOMBAS HIDRAULICAS, DESMONTAR LA TRANSMISION PARA REPARACION</t>
  </si>
  <si>
    <t>CAMBIO DE PICK UP</t>
  </si>
  <si>
    <t xml:space="preserve">SE SACA BOMBA DE AGUA MALA Y POLEA CON RODAMIENTOS MALOS </t>
  </si>
  <si>
    <t>SE SACA ESTANQUE CONTAMINADO PARA LAVAR E INSTALA LIMPIO</t>
  </si>
  <si>
    <t>SE SACA CAJA DE CAMBIO, RODAMIENTO DE EMPUJE MALO.</t>
  </si>
  <si>
    <t>REPOSICION DE UNIDAD DE CONTROL SISTEMA DE PARADA. MOTOR SE REALIZAN PRUEBAS.OK</t>
  </si>
  <si>
    <t>REPARACION DE ALUMBRADO Y SISTEMA ELECTRICO DE BATEA</t>
  </si>
  <si>
    <t xml:space="preserve">REPARACION DE SISTEMA DE ALUMBRADO DELANTERO Y TRASERO PARA REVISION TECNICA, EQUIPO NO TIENE CORTACORRIENTES. QUEDA PENDIENTE FOCO FAENERO Y CORTA CORRIENTE </t>
  </si>
  <si>
    <t>REPARACION SISTEMA ELECTRICO, SE INSTALA BATERIA 100AMP USADA</t>
  </si>
  <si>
    <t>SE CAMBIA UN NEUMATICO PINCHADO PUENTE DELANTERO INTERMEDIO IZQUIERDO</t>
  </si>
  <si>
    <t xml:space="preserve">SE CAMBIA RODAMIENTO EMPUJE Y SE INSTALA CAJA DE CAMBIO </t>
  </si>
  <si>
    <t xml:space="preserve">SE COLOCA FLEXIBLE PATA DERECHA Y SE ENGRASA COMPLETO Y SE REVISAN NIVELES </t>
  </si>
  <si>
    <t>SE ENCUENTRAN LOS FILTROS CON PETROLEO CONTAMINADO, SE CAMBIAN ESTOS</t>
  </si>
  <si>
    <t>SE SACA NEUMATICO PINCHADO DELANTERO IZQ</t>
  </si>
  <si>
    <t>SE COLOCA NEUMATICO DELANTERO REPARADO Y SE APRETAN PERNOS CHICHILLA DEL BALDE Y SE ENGRASA</t>
  </si>
  <si>
    <t>SE ENGRASA BALDE SE RELLENA CON 15 LITROS DE ACEITE HIDRAULICO Y SE REVISAN NIVELES</t>
  </si>
  <si>
    <t>SE CAMBIA UN NEUMATICO PINCHADO DELANTERO PUENTE INTERMEDIO DERECHO</t>
  </si>
  <si>
    <t>EQUIPO PRESENTA PROBLEMAS EN LA PARTIDA , SE REVISAN ENCONTRANDO PROBLEMAS CON SU SENSOR DE PRESION DE COMBUSTIBLE. MOTOR DE PARTIDA DAÑADO, SE REALIZA CAMBIO DE MOTOR DE PARTIDA , EQUIPO QUEDA CON PROBLEMA EN SISTEMA DE COMBUSTIBLE ESPERAR REPUESTO</t>
  </si>
  <si>
    <t>SE DESMONTAN LOS EJES PALIERES Y CARDAN CORTO X PROBLEMAS DE CORONA ULTIMO PUENTE</t>
  </si>
  <si>
    <t>REPARACION DE LUCES , BULVO DE SEÑAL DE BLOQUE DE DIFERENCIAL INTERMEDIO DAÑADO ,  PIERDE AIRE CUANDO SE ACTIVA , MAZA DELANTERA LADO IZQ CON PROBLEMAS , ESTA GASTANDO NEUMATICOS POR DENTRO</t>
  </si>
  <si>
    <t>REPARACION DE LUCES EN GENERAL Y RECAMBIO DE RELAY DE FOCOS MAYORES</t>
  </si>
  <si>
    <t>SE CAMBIAN UNA MANGUERA DEL CILINDRO DE ATAQUE</t>
  </si>
  <si>
    <t>CAMBIO DE RODAMIENTO 212 CINTRA PRINCIPAL</t>
  </si>
  <si>
    <t>SE CAMBIAN DOS ORING DE FLEXIBLE DE LA PALA Y SE REVISAN NIVELES</t>
  </si>
  <si>
    <t>SE CAMBIAN RODAMIENTOS MASA DELANTERAS Y DERECHA</t>
  </si>
  <si>
    <t>SE SACAN UN PAQUETE DE RESORTES CAMA BAJA AZUL</t>
  </si>
  <si>
    <t>SACAR MOTOR PARA MANDAR A REPARACION</t>
  </si>
  <si>
    <t xml:space="preserve">SE CAMBIA ACEITE DE MESA DE GIRO TORNAMESA </t>
  </si>
  <si>
    <t>SE CAMBIAN UN NIPLE Y UN ACOPLE RAPIDO DE 12 A UN ACUMULADOR DE AIRE</t>
  </si>
  <si>
    <t>SE CAMBIA PORTA FILTRO CON FILTRO USADO DE OTRA MAQUINA</t>
  </si>
  <si>
    <t>SE MONTA NEUAMTICO REPARADO Y SE COLOCA NIPLE NUEVO</t>
  </si>
  <si>
    <t>SE ENGRASA COMPLETA Y SE REVISAN NIVELES</t>
  </si>
  <si>
    <t>SE SACA UN NEUMATICO PINCHADO Y UN NIPLE QUEBRADO</t>
  </si>
  <si>
    <t>SE CAMBIAN CILINDRO DESPLAZAMIENTO PALA , BASES DESGASTADAS SE RECOMIENTDAN CAMBIAR</t>
  </si>
  <si>
    <t>SE SACO CILINDRO DESPLAZAMIENTO PALA PARA INSTALAR EN MD-79</t>
  </si>
  <si>
    <t>SE CAMBIAN 2 FLEXIBLES DE TRANSMISION Y SE RELLENA CON 30 LITROS DE ACEITRE TRANSDMISION</t>
  </si>
  <si>
    <t xml:space="preserve">SE SACAN LOS CARDANES X FALLA EN ACOPLE DE TRANSMISION Y MOTOR </t>
  </si>
  <si>
    <t>SE REPARA ACELERADOR Y SE ENGRASA COMPLETA Y SE REVISAN NIVELES</t>
  </si>
  <si>
    <t>SE SACA MANGUERA ROTA DE AGUA (RADIADOR) Y SE RELENA CON 10 LTS DE ACEITE HIDRAULICO</t>
  </si>
  <si>
    <t>SE DESCONECTA CARDAN Y SE TIRA Y SE CARGA EN CAMA BAJA Y REVISAN NIVELES- NO PARTE Y TIENE AGUA EN EL PETROLEO</t>
  </si>
  <si>
    <t>SE REALIZA REVIION DE SISTEMA DE PRESION DE COMBUSTIBLE ENCONTRANDO SENSOR DE CAMON RAY DEL CIRCUITO , SE CAMBIA POR OTRO USADO , EQUIPO REACCIONA BIEN, QUEDANDO PARA PRUEBAS</t>
  </si>
  <si>
    <t xml:space="preserve">SE SACAN PERNOS CORTADOS DE CAPOT </t>
  </si>
  <si>
    <t>INSTALACION DE MACHON RODAMIENTO CINTA</t>
  </si>
  <si>
    <t xml:space="preserve">SE DESARMA Y REPARACION FAROS DELANTEROS , SE REPONEN FAROS LATERALES </t>
  </si>
  <si>
    <t xml:space="preserve">SACAR CILINDRO DE LEVANTE </t>
  </si>
  <si>
    <t>SIN MOTOR</t>
  </si>
  <si>
    <t>COLOCAR PROTECCION VIDIRIO DELANTERO COLCOAR PLATINAS EN DESLIZADORES.</t>
  </si>
  <si>
    <t xml:space="preserve">SE PREPARAN 2 FAROS CON SOPORTES PARA INSTALAR EN LA PARTE FRONTAL DEL EQUIPO SE LOGRA INSTALAR SOLO EL LADO IZQ , YA QUE BASE DERECHA TIENE LOS PERNOS DE ANCLAJE CORTADOS </t>
  </si>
  <si>
    <t>SE CAMBIAN FILTROS SECADOR DE AIRE Y SE SACA CARDAN CORTO CRUCETA MALA Y SE ENGRASA COMPLETA</t>
  </si>
  <si>
    <t>SE ENGRASA Y REVISAN NIVELES</t>
  </si>
  <si>
    <t xml:space="preserve">INSTALACION DE BATERIA 12 V , 100 AMP NUEVA,  SE REPARA ALARMA MARCHA ATRÁS. </t>
  </si>
  <si>
    <t>SE ENGRASA COMPLETO Y SE REVISAN NIVELES</t>
  </si>
  <si>
    <t xml:space="preserve">SE SACA MANGUERA ROTA QUE UNE EL RADIADOR CON LA BOMBA DE AGUA </t>
  </si>
  <si>
    <t>SE CAMBIA BULBO DE LEVANTE TOLVA Y SE ENGRASA COMPLETO</t>
  </si>
  <si>
    <t>SE REALIZA INTALACION DE FOCOS TRASEROS PICK UP</t>
  </si>
  <si>
    <t>CAMBIO BATERIAS NUEVAS, 150 AMP CAMBIO COMPUTADOR ECU MOTOR , CAMBIO DE FUSIBLES</t>
  </si>
  <si>
    <t xml:space="preserve">CAMBIO 3 NUEMATICOS PINCHADOS </t>
  </si>
  <si>
    <t xml:space="preserve">SE VULCANIZA MANGUERA AGUA BBA , RADIADOR Y SE INSTALA </t>
  </si>
  <si>
    <t>CAMBIO FILTRO SECADO DE AIRE SE ENGRASA COMPLETO Y SE REVISAN NIVELES Y SE REGULAN FRENOS</t>
  </si>
  <si>
    <t xml:space="preserve">SE ENGRASA VALDE Y SE REVISAN NIVELES </t>
  </si>
  <si>
    <t>SE ENGRASA VALDE Y SE REVISAN NIVELES</t>
  </si>
  <si>
    <t xml:space="preserve">SE SACA VALVULA DE FRENOS MALA Y SE DESMONTA BIELA TENSORA DIFERENCIAL TRASERA CORTADA Y SE ENGRASA COMPLETO, SE RELLENA CON 3 LITROS DE ACEITE MOTOR Y SE REVISAN NIVELES </t>
  </si>
  <si>
    <t xml:space="preserve">COLOCAR PASADOR NUEVO HECHIZO DE 90 MM EN AGUILON </t>
  </si>
  <si>
    <t xml:space="preserve">SE REPARA CHAPA PUERTAS ,SE INSTALA MOTO BOMBA SE INTALA FILTRO DE PETROLEO </t>
  </si>
  <si>
    <t>CAMBIAR BALDE , SE INSTALA ESPEJO Y SE ENGRASA</t>
  </si>
  <si>
    <t>BUSCAR CORTOCIRCUITO BATEA</t>
  </si>
  <si>
    <t xml:space="preserve">SACAR BALDE PARA PROBAR PASADOR USADO EL CUAL NO SIRVE, </t>
  </si>
  <si>
    <t>REPARACION GENERAL DE LUCES , SE INSTALA 3 BATERIAS NUEVAS DE 12 VOLTS</t>
  </si>
  <si>
    <t>REGULAR VALVULA REGULADORA PRECION RUEDAS TRASERAS FRENADA , 2 AGRIPADAS</t>
  </si>
  <si>
    <t xml:space="preserve">INSTALACION DE SELENOIDE DE PARTIDA AUXILIAR </t>
  </si>
  <si>
    <t xml:space="preserve">SEINSTALA MOTOR HIDRAULICO </t>
  </si>
  <si>
    <t>SE INSTALA PAQUETE DE RESORTES , SE INTALA ABRAZADERAS NUEVAS</t>
  </si>
  <si>
    <t xml:space="preserve">ENGRASE COMPLETO </t>
  </si>
  <si>
    <t>ENGRASE MUÑONES Y CRUCETA , NOTA ; CRUCETA TOMO FUERZA EN MAL ESTADO</t>
  </si>
  <si>
    <t xml:space="preserve">SE SACA NEUMATICO TRASERO IZQ MALO Y SE ENGRASA BALDE </t>
  </si>
  <si>
    <t xml:space="preserve">REPARACION GENERAL DE LUCES </t>
  </si>
  <si>
    <t>SACAR PRIMER PUENTE LADO IZQ</t>
  </si>
  <si>
    <t>CAMBIO DE FUSIBLE TERMICO</t>
  </si>
  <si>
    <t>CAMBIO DE KIT DE EMBRAGUE., CAMBIO DE BUJES DE CALIPER DE FRENOS, CAMBIO PIOLA FRENO DE MANO</t>
  </si>
  <si>
    <t>SE SACA MANGUERA ROTA QUEBRADA  DEL BOTE DEL RADIADOR AL MOTOR</t>
  </si>
  <si>
    <t>SE SACA BOMBA DE DIRRECION , CARCASA QUEBRADA Y SE FLANCHE SALIDA DE CAJA QUE UNE CARDAN MALO</t>
  </si>
  <si>
    <t>SE CAMBIAN MANGUERA REFRIGERACION RADIADOR</t>
  </si>
  <si>
    <t>CAMBIO DE BATERIA NUEVA Y SE REVISAN NIVELES</t>
  </si>
  <si>
    <t xml:space="preserve">SACAR CILINDRO LEVANTE GEMELAS </t>
  </si>
  <si>
    <t>TRABAJO TRABLERO PLANTA DE CHANCADO</t>
  </si>
  <si>
    <t>SE CAMBIAN BALATAS TRASERAS AMBOS PUENTES, SE RECTIFICAN TAMBORES FRENOS , SE REGULAN FRENOS , SE CAMBIAN CHICHARRASA LADO IZQ TRASERO , SE APERNA TAPABARRO</t>
  </si>
  <si>
    <t>SACAR PATINES TRASEROS DERECHO, PARA LUBRICAR , REGULAR FRENOS</t>
  </si>
  <si>
    <t xml:space="preserve">SE HABILITA EQUIPO PARA PODER INGRESAR A TALLER, SE INTALA ALTERNADOR, SE REALIZA PEDIDO DE REPUESTOS PARA REPARACION </t>
  </si>
  <si>
    <t>REPARACION DE CABLEADO ,INSTALACION DE FOCOS CAMA BAJA</t>
  </si>
  <si>
    <t xml:space="preserve">TENSAR CORREA DE VENTILADOR , COLOCAR 3 GRASERAS </t>
  </si>
  <si>
    <t>SE SACA CARDAN SALIDA DE CAJA PARA REPARACION</t>
  </si>
  <si>
    <t>CAMBIO DE NEUMATICO REVENTADO PUENTE INTERMEDIO DELANTERO DERECHO</t>
  </si>
  <si>
    <t>SE CAMBIAN LAS 4 CALZAS CON TODO SUS PERNOS DEL CUCHARON</t>
  </si>
  <si>
    <t>REVICION DE SISTEMA DE TRANSMISION, PRESENTAN PERDIDA DE POTENCIA PARA TRASLADO, SE SACA ACEITE ENCONTRANDO ALTA CONTAMINACION DE PARTICULAS</t>
  </si>
  <si>
    <t xml:space="preserve">SE DESARMA PORTA CRUCETAS PARA REPARAR </t>
  </si>
  <si>
    <t>SE CAMBIA UN NEUMATICO REVENTADO PUENTE INTERMEDIO DELANTERO LADO IZQ</t>
  </si>
  <si>
    <t>SE DESMONTA CARDAN INTERMEDIO PORTA CRUZETA MALO</t>
  </si>
  <si>
    <t>SE SACA MASA TRASERA PARA DESAGRIPAR BALATAS, SE INSTALAN VALVULAS DESCARGA ESTANQUE DE AIRE SE FABRICAN CINTILLLOS PARA ACUMULADORES DE AIRE</t>
  </si>
  <si>
    <t>CAMBIO DE 4 NEUAMTICOS NUEVOS 7X16 R14</t>
  </si>
  <si>
    <t>EQUIPO ROMPE PROTECTOR LATERAL IZQ DE RADIADOR DE AGUA, SE RETIRA LATA PARA QUE PUEDA SEGUIR TRABAJANDO</t>
  </si>
  <si>
    <t>PARA DE PUERTA EN MAL ESTADO SE DEJA ELIMINADO ESTE SISTEMA PARA QUE PUEDA SEGUIR TRABAJANDO , CORREAS SONANDO SE PIDEN CAMBIAR 8PK1540 , 4PK1490</t>
  </si>
  <si>
    <t>CAMIBO DE CORREA VENTILADOR</t>
  </si>
  <si>
    <t>SE INSTALA MANOS DE AIRE Y SE COLOCA FLEXIBLES PULMON DE FRENO TRASERO</t>
  </si>
  <si>
    <t>SE CAMBIO CORREA PK8 1230, SE ENGRASA, SE DEJA ENGRASADORA NUEVA EN EL EQUIPO MAS GRASA</t>
  </si>
  <si>
    <t xml:space="preserve">SE SACA CILINDRO AUXILIAR DE EMBRAGUE MALO </t>
  </si>
  <si>
    <t>SE COLOCA UNA VALVULA DE FRENOS USADA Y SE RELLENA CON 1 LITRO DE ACEITE DIRRECCION</t>
  </si>
  <si>
    <t xml:space="preserve">REVISAR TRANSMISION , </t>
  </si>
  <si>
    <t>SE REVISAN CARDAN, ENCONTRANDO UN POCO DE FUGA EN CRUCETA Y JUEGO EN CADENAS Y ACOPLES</t>
  </si>
  <si>
    <t>SE CAMBIA NEUMATICO PINCHADO DELANTERO DERECHO Y SE ENGRASA</t>
  </si>
  <si>
    <t xml:space="preserve">SE CAMBIAN DESLIZADOREAS INFERIOR 4 UNIDADES </t>
  </si>
  <si>
    <t xml:space="preserve">SE CAMBIA FLEXIBLE DE FRENOS BATEA ULTIMO PUENTE </t>
  </si>
  <si>
    <t>SACAR ACCESORIOS PARA DESMONTAR MOTOR Y TRANSMISION</t>
  </si>
  <si>
    <t>SE SACAN LOS RODILLOS DE LAS ESCOBAS</t>
  </si>
  <si>
    <t>SE SACAN MASAS TRASERAS PARA CAMBIAR BALATAS 1° Y 2° PUENTE , SE CAMBIAN 2 PERNOS RUEDA TRASERA SE RECTIFICAN CUATRO TAMBORES DE FRENOS</t>
  </si>
  <si>
    <t>SE INSTALO JUEGO DE EMBRAGUE NUEVO, CAJA REVISADA EN TALLER EXTERNO MAURICIO ALBORNOZ</t>
  </si>
  <si>
    <t>SE CAMBIA PASTILLAS DE FRENOS DELANTERO TRASERAS Y SE RECTIFICAN DISCOS, SE EMBALATAN PATENTES DE FRENO DE MANO</t>
  </si>
  <si>
    <t>DESARME DE SISTEMA ELECTRICO PARA RETIRO DE MOTOR</t>
  </si>
  <si>
    <t>SE INSTALA BATERIA DE 100AH NUEVA . SE REVISA SISTEMA ELECTRICO . HOROMETRO MALO SE SOLICITA UNO NUEVO</t>
  </si>
  <si>
    <t>RETIRO DE ALTERNADOR , MODIFICACION DE SISTEMA DE MARCHAS ALTA Y BAJAS</t>
  </si>
  <si>
    <t>SE COMBIAN 2 MANGUERAS DEPOSITO AGUA RADIADOR</t>
  </si>
  <si>
    <t>SE SACAN MASAS DELANTERAS PARA CAMBIAR BALATAS</t>
  </si>
  <si>
    <t>SE CAMBIA UN NEUAMTICO DELANTERO DERECHO PRIMER PUENTE</t>
  </si>
  <si>
    <t>RENSAMBLE DE ALTERNADOR , REPARACION DE MANILLETE DE JOYETICK LADO IZQ</t>
  </si>
  <si>
    <t xml:space="preserve">SE INSTALA RADIADOR QUE SE MANDO A REPARAR , SE COLOCAN 45 LITROS DE AGUA </t>
  </si>
  <si>
    <t>COLOCAR ORING CILINDRO DESLIZADOR PARA ENGRASE , 5 LITROS DE ACEITE HIDRAULICO, NO ENTRA GRASA PASADOR RUEDA DELANTERA LADO DERECHO</t>
  </si>
  <si>
    <t xml:space="preserve">ENGRASE </t>
  </si>
  <si>
    <t xml:space="preserve">REGULACION DE FRENOS . QUITAR FUGA DE AIRE ENGRASE MUÑONES , VALVULA DE AIRE MALA </t>
  </si>
  <si>
    <t>REVISCION Y REPARACION DE LUCES, SE INSTALA FOCO TRASERO LADO DERECHO</t>
  </si>
  <si>
    <t xml:space="preserve">SE MONTA CILINDRO NUEVO AUXILIAR DE EMBRAGUE Y SE DESANGRA </t>
  </si>
  <si>
    <t>CAMBIO DE BALATAS PUENTE VI DIRRECIONAL Y 4 NEUMATICOS NUEVOS Y 2 USADOS</t>
  </si>
  <si>
    <t>SE INSTALAN 2 BATERIAS NUEVAS DE 150 AMP</t>
  </si>
  <si>
    <t xml:space="preserve">SE CAMBIAN BALATAS 1° 2° PUENTE DELANTERO LADO IZQUIERDO, SE INTALAN PATINES Y TAMBORES DE FRENOS NUEVOS </t>
  </si>
  <si>
    <t>SE REPARAN GATOS ESTAVILIZADORES O APOLLOS DELANTEROS , SE RELLENAN CON ACEITE</t>
  </si>
  <si>
    <t>COLOCAR SOPORTE CABINA ,  NOTA: SOPORTES TRASEROS MALOS, FUGA DE AIRE POR ENFRIADOR ACEITE</t>
  </si>
  <si>
    <t>COLOCAR FILTROS DE MOTOR USADOS 1 LITRO DE ACEITE MOTOR. 5W30</t>
  </si>
  <si>
    <t>RELLENO HIDRAULICO 20 LITROS , RELLENO ACEITE MOTOR 2 LITROS</t>
  </si>
  <si>
    <t>RETIRO DE ALTERNADOR PARA REPARACION</t>
  </si>
  <si>
    <t xml:space="preserve">SE VA A ASISTIR EQUIPO , NO ENCIENDE MOTOR DE TRABAJO . SE DESARMA PARA REVICION ENCONTRANDO BOBINA DE PARADA CON DAÑO , SE HACE UNA INSTALACION ARTESANAL MECANICA PARA QUE PUEDA TRABAJAR </t>
  </si>
  <si>
    <t>SE INSTALAN NUEMATICOS NUEVOS 8 UNIDADES</t>
  </si>
  <si>
    <t>CAMBIO DE ORING MOTOR DE GIRO</t>
  </si>
  <si>
    <t>SE INSTALA 2 BATERIAS NUEVAS, SE DAN INDICACIONES DE ACOMODAR FIJACION DE BATERIAS Y REALIZAR LIMPIEZA A CABINA. SE SOLICITA 1 CORTA CORRIENTE</t>
  </si>
  <si>
    <t xml:space="preserve">COLOCAR O¨RING CAJA VALVULA A BOMBA </t>
  </si>
  <si>
    <t>REPARACION CORTO CIRCUITO TABLERO Y TACOMETRO , CAMBIO DE 1 BATERIA USADA</t>
  </si>
  <si>
    <t xml:space="preserve">SE INSTALA ALTERNADOR DETERIORADOR ,  FUGA DE ACEITE POR EL DEPRESOR  OREJA CON FIJACION QUEBRADA </t>
  </si>
  <si>
    <t xml:space="preserve">SACAR MASAS TRASERAS , CAMBIAR BALATAS, 1° Y 2° PUENTE SE REGULAN FRENOS, SE RECTIFICAN 2 TAMBORES, FRENOS TRASEROS SE REGULAN FRENOS </t>
  </si>
  <si>
    <t>SE SACA NEUAMATICO TRASERO DERECHO PINCHADO</t>
  </si>
  <si>
    <t>SE COLOCA UN NEUAMTICO DE OTRO EQUIPO Y SE ENGRASA VALDE Y REVISAN NIVELES</t>
  </si>
  <si>
    <t xml:space="preserve">INSTALACION DE ALTERNADOR , </t>
  </si>
  <si>
    <t xml:space="preserve">SE SACAN RUEDAS DELANTERAS PARA REVICION DE BALATAS Y SE REGULAN FRENOS </t>
  </si>
  <si>
    <t xml:space="preserve">DESMONTAR LOS INYECTORES PARA VERIFICAR ALTURA DE LOS PISTONES , PISTON 1 BIELA TORCIDA TIENE 4MM MENOS DEL RECORRIDO </t>
  </si>
  <si>
    <t>SACAR MOTOR</t>
  </si>
  <si>
    <t>SE INSTALA MASA DELANTERA Y SE REAPRETAN PERNOS . SE REGULAN FRENOS</t>
  </si>
  <si>
    <t>SE SACAN PIEZA QUEBRADA QUE PROTEGE LOS FLEXIBLES DE GIRO DE TORNAMESA Y REVISAN NIVELES</t>
  </si>
  <si>
    <t>DESMONTAR MOTOR DIESEL PARA LAVAR Y EVALUAR</t>
  </si>
  <si>
    <t xml:space="preserve">COLOCAR CILINDRO LEVANTE GELEMA LADO DERECHO REPARADO , 160 LITROS DE ACEITE HIDRAULICO </t>
  </si>
  <si>
    <t>SE DESMONTA MASA TRASERA PARA EMBALATADO ,SE SACA MAZA DELANTERA PARA CAMBIAR BALATAS</t>
  </si>
  <si>
    <t>SE HACE PUENTE PARA LA PARTIDA</t>
  </si>
  <si>
    <t>SE SACA FLEXIBLE ROTO Y SE LELVA HACER UNO NUEVO , SE RELLENA CON ACEITE HIDRAULICO Y TRANSMISION</t>
  </si>
  <si>
    <t>SE CAMBIAN NEUMATICO PINCHADO PUENTE INTERMEDIO</t>
  </si>
  <si>
    <t>SE INSTALAN BALATAS A 2° PUENTE SE REVISAN BALATAS DELANTERA , SE INSTALA ORING GUARDA FANGO PASADORES PATINES ,SE REAPRIETAN RUEDAS , SE APERNAN TAPABAROS</t>
  </si>
  <si>
    <t>SE CAMBIAN BALATAS 1° PUENTE SE REGUALAN FRENOS , SE CAMBIAN RESORTE PATIENES</t>
  </si>
  <si>
    <t>SE SACA NEUAMTICO TRASERO IZQ PINCHADO, SE LLEVA A REPARAR Y SE COLOCA</t>
  </si>
  <si>
    <t>SE CAMBIA FLEXIBLE HIDRAULICO Y SE CAMBIAN CUCHILLAS CON PERNOS NUEVOS.</t>
  </si>
  <si>
    <t>SE INSTALA PORTA FILTRO HIDRAULICO NUEVO. SE REVISA ACEITE HIDRAULICO</t>
  </si>
  <si>
    <t>FUERA DE SERVICION POR CILINDRO DE LEVANTE MALO</t>
  </si>
  <si>
    <t>EQUIPO ESTA SOPLANDO MOTOR  DIESEL, SE RELLAN CON 5 LITROS DE ACEITE MOTOR</t>
  </si>
  <si>
    <t>SE CAMBIA UN NEUMATICO, TRASERO MALO Y SE ROTAN DOS PUENTES TRASEROS Y SE REVISAN NIVELES</t>
  </si>
  <si>
    <t>COLOCAR RUEDA MOTRIZ REPARADA LADO IZQ CON VALVULA NUEVA</t>
  </si>
  <si>
    <t xml:space="preserve">SE DESANGRAN MASA DELANTERA BALATAS EN MAL ESTADO SE DESARMA PUENTE TRASERO PARA CAMBIAR BALATAS, SE DESARMA PUENTE TRASERA PARA REVICION DE BALATAS </t>
  </si>
  <si>
    <t xml:space="preserve">SE CAMBIA CORREA 8PK, SE INSTALA CORREA DE AIRE ACONDICINADO, SE CAMBIA CHAPA PUERTA , SE SACA MANGUERAS HIDRAULICAS DE TAMBOR A BOMBA HIDRAULICA </t>
  </si>
  <si>
    <t>REPARACION DE JOISTICK CAMBIOS, PALANCA SUELTA</t>
  </si>
  <si>
    <t>DESMONTAR BOMBA DE INYECCION Y LOS INYECTORES, CALAR BOMBA INYECTORA EN PUNTO, INSTALAR SILENCIADOR , PORTA FILTRO DE AIRE Y TAPAS DEL MOTOR, MOTOR SE MANDO A AJUSTAR A SANTIAGO HACE 1 SEMANA ATRÁS Y AUN NO SE INSTALABA</t>
  </si>
  <si>
    <t>SACAR MANGUERA PARA LIMPIAR BUJE</t>
  </si>
  <si>
    <t xml:space="preserve">REVISAR MOTOR , TERMOSTATO SE CALIENTA </t>
  </si>
  <si>
    <t>SE DESARMA CILINDRO LEVANTE PANTAGROFO ,SE ENCUENTRA EN MAL ESTADO Y SE MANDA A REPARAR A SANTAIGO</t>
  </si>
  <si>
    <t>SE QUITA FUGA DE ACEITE X FLEXIBLE SUELTO Y SE RELLENA CON 15 LITROS ACEITE HIDRAULICO</t>
  </si>
  <si>
    <t>SE CAMBIAN CALZAS, SE RELLENA ACEITE DTE26 35 LITROS</t>
  </si>
  <si>
    <t>REPARAR SISTEMA CIERRE CENTRALIZADO</t>
  </si>
  <si>
    <t>SE CAMBIAN BALATAS PUENTE TRASERO, Y SE REGULAN FRENOS</t>
  </si>
  <si>
    <t>COLOCAR RACOR USADO, MANGUERA BOMBA INYECTORA A LA ADMICION COLOCAR GOLILLA AJUSTE BALDE Y BALISA , COLOCAR ESPEJO, 2 GRASERAS, 1 FLEXIBLE DE ENGRASE CILINDRO GENERAL LADO DERECHO</t>
  </si>
  <si>
    <t>SE SOPORTA MOTOR BOMBA DEL AGUA, SE REVISAN LOS NIVELES DE LOS DIFERENCIALES SE CORTA FUGA POR TAPAS DE LOS MANDOS FINALES DE LOS DIFERENCIALES</t>
  </si>
  <si>
    <t xml:space="preserve">COLOCAR NEUMATICO REPARADO TRASERO IZQUIERDO </t>
  </si>
  <si>
    <t>SE SACA VALDE PARA INSTALAR MARTILLO , SE CAMBIA MANGUERA HIDRAULICA SE ENGRASA</t>
  </si>
  <si>
    <t>SE REVISAN FRENOS, BALATAS,FRENO MARCHA ATRÁS Y POSICION DEL EMBRAGUE Y REGULA PEDAL</t>
  </si>
  <si>
    <t>LIMPIEZA CIRCUITO PETROLEO, CAMBIO EL FILTRO DE PETROLEO SEPARADOR DE AGUA.</t>
  </si>
  <si>
    <t>SE COLOCA CILINDRO DE LEVANTE REPARADO LADO IZQ, SE ENGRASA Y RELLENAN NIVELES</t>
  </si>
  <si>
    <t>SE PREPARA EL CAMION PARA LLEVAR A REVICION TECNICA SE REGULAN FRENOS, SE REPARAN LUCES.</t>
  </si>
  <si>
    <t xml:space="preserve">INSTALAR TOMA FUERZA Y BOMBA DE DIRECCION, INSTALAR CRUCETAS Y CARDAN, </t>
  </si>
  <si>
    <t>SE CAMBIA VALUVLA PROPORCIONAL 33+</t>
  </si>
  <si>
    <t>COLOCAR MANGUERA 3/8 CAJA DE VALVULA 20 LITROS DE ACEITE DTE 26</t>
  </si>
  <si>
    <t>REPARAR VALVULA DE LEVANTE TOLVA UNION GOMA,</t>
  </si>
  <si>
    <t xml:space="preserve">SE CAMBIO TAMBOR PUENTE TRASERO </t>
  </si>
  <si>
    <t>SE RELLENA CON 10 LITROS DE ACEITE HIDRAULICO , PIERDE ACEITE POR PAQUIN CILINDRO DE DIRECCION</t>
  </si>
  <si>
    <t>RADIADOR ROTO, SE REPARA Y SE COLOCA , SE RECOMIENDA CAMBIAR RADIADOR</t>
  </si>
  <si>
    <t>DESMONTAR LA CAJA DE VELOCIDAD, DESARME DEL MILTIPLICADOR DE LA CAJA DE VELOCIDADES</t>
  </si>
  <si>
    <t xml:space="preserve">SE MONTAN NEUMATICOS, SE INSTALA TANDEM LADO IZQ SE COLOCAN CADENA </t>
  </si>
  <si>
    <t>SE ENGRASA COMPLETO Y SE RELLENA CON 4 LITROS DE ACEITE DE MOTOR Y SE REVISAN NIVELES.</t>
  </si>
  <si>
    <t>SE RELLENA CON 4 LITROS DE ACEITE DE MOTOR Y REVISAN NIVELES</t>
  </si>
  <si>
    <t xml:space="preserve">SE MONTAN TANDEM </t>
  </si>
  <si>
    <t>SE ENGRASA COMPLETA U SE REVISAN NIVELES, SE SACA FLEXIBLE ROTO DE PILOTAJE</t>
  </si>
  <si>
    <t>SE RELLENA CON 20 LITROS HIDRAULICO, TRANSMICION PRESENTA RUIDOS Y GOLPES</t>
  </si>
  <si>
    <t>SE CAMBIA ACEITE Y FILTRO DE TRANSMISION</t>
  </si>
  <si>
    <t>SE COLOCA FLEXIBLE USADO QUEDANDO OPERATIVO</t>
  </si>
  <si>
    <t>SE SACA RUEDA DELANTERA PARA DESAGRUPAR BALATAS QUEDANDO OPERATIVO</t>
  </si>
  <si>
    <t>SE CAMBIAN MANGUERAS HIDRAULICAS DE BOMBA A MOTOR VIVRADOR , SE FABRICA TAPA DE BATERIAS</t>
  </si>
  <si>
    <t>SE SACAN BATERIAS AL CAMION CD-92 Y SE VAN A COLOCAR AL CD-119 A PEHUENCHE LAMINA Y SE TRAE</t>
  </si>
  <si>
    <t xml:space="preserve">SE CAMBIA FLEXIBLE DE PILOTAJE Y SE RELLENA CON 65 LTS DE ACEITE HIDRAULICO Y SE ENGRASA </t>
  </si>
  <si>
    <t>SE COLOCA CARDAN USADO DE OTRO EQUIPO SALIDA DE CAJA DE CAMBIO COMPLETO CON CRUZETAS Y RODAMIENTOS DE DESCANSO</t>
  </si>
  <si>
    <t>Cambio Aceite de Transmision | 14 litros de 75w80</t>
  </si>
  <si>
    <t>Se Saca Aceite Hidraulico del Tandem Izquierdo y se Engrasa</t>
  </si>
  <si>
    <t>Se Repara Fuga de Aceite</t>
  </si>
  <si>
    <t>Se Retira Transmision de la Camioneta por problemas en en el Conjunto de Embriague</t>
  </si>
  <si>
    <t>Se Cambia Correa Tensor Guia de Accesorios 6PK2680</t>
  </si>
  <si>
    <t>Reparacion de la Base de la Bomba Hidraulica | Relleno de Aceite Hidraulico 20Lts</t>
  </si>
  <si>
    <t>Instalacion de Cardan Corto | Engrase del sistema</t>
  </si>
  <si>
    <t>Cambio Flexible de direccion | Se rellena con Lubricante</t>
  </si>
  <si>
    <t>Cambio Rotula superior Izquierda | Cambio de pastillas de freno traseras y balatas de freno de mano</t>
  </si>
  <si>
    <t>Problemas de Trasladon | Problema sin posible causa</t>
  </si>
  <si>
    <t>Marcelo</t>
  </si>
  <si>
    <t>Cambio Diferencial Trasero y Cardan</t>
  </si>
  <si>
    <t>Cambio de Manguera Hidraulica | Relleno de Aceite 10Lts</t>
  </si>
  <si>
    <t>Reaparacion Electrica Completa | Focos Intermitentes Malos</t>
  </si>
  <si>
    <t>Cambio de Focos traseros  y laterales nuevos</t>
  </si>
  <si>
    <t>Reparaciones electricas en general</t>
  </si>
  <si>
    <t>Fuga de Aceite por filtro suelto | Soporte del Escape Quebrado</t>
  </si>
  <si>
    <t>Cambio Correa Accesorios 8PK2250</t>
  </si>
  <si>
    <t>Cambio de Baterias | Cambio empaquetadura valvulas</t>
  </si>
  <si>
    <t>Bateria</t>
  </si>
  <si>
    <t>CAMBIO DE BATERIA 2 BATERIAS DE 55AH 12V</t>
  </si>
  <si>
    <t>Inyeccion</t>
  </si>
  <si>
    <t>PROBLEMA DE INYECTOR UNO (OT 0205144626) KAUFMANN CHILLAN (GARANTIA)</t>
  </si>
  <si>
    <t>Kaufmann (EXT)</t>
  </si>
  <si>
    <t>Transmision</t>
  </si>
  <si>
    <t>AVISO DE FILTRO DE TRANSMISION SATURADO, SE DETIENE LA MAQUINARIA</t>
  </si>
  <si>
    <t>Abierta</t>
  </si>
  <si>
    <t>Neumaticos</t>
  </si>
  <si>
    <t>CAMBIO DE NEUMATICOS P1 Y P2</t>
  </si>
  <si>
    <t>Taller EXT</t>
  </si>
  <si>
    <t>Sis. Carga</t>
  </si>
  <si>
    <t>PROBLEMA DE CARGA BATERIA | OLOR A COMBUSTIBLE | SE DETIENE EL EQUIPO</t>
  </si>
  <si>
    <t>Sis. Frenos</t>
  </si>
  <si>
    <t>CAMBIO DE PASTILLAS DELANTERAS</t>
  </si>
  <si>
    <t>CMMS DEMOTRON</t>
  </si>
  <si>
    <t>Total equipos</t>
  </si>
  <si>
    <t>Operativos</t>
  </si>
  <si>
    <t>Fuera de servicio</t>
  </si>
  <si>
    <t>Atrasados</t>
  </si>
  <si>
    <t>Próximas</t>
  </si>
  <si>
    <t>Por recibir</t>
  </si>
  <si>
    <t>En proceso</t>
  </si>
  <si>
    <t>Al día</t>
  </si>
  <si>
    <t>En Taller</t>
  </si>
  <si>
    <t>Pendiente de Reporte</t>
  </si>
  <si>
    <t>% cumplimiento real</t>
  </si>
  <si>
    <t>% controlado</t>
  </si>
  <si>
    <t>% backlog crítico</t>
  </si>
  <si>
    <t>Costo total PM</t>
  </si>
  <si>
    <t>% DISPONIBILIDAD REAL</t>
  </si>
  <si>
    <t>Prom. compra→mant.</t>
  </si>
  <si>
    <t>Prom. bodega→mant.</t>
  </si>
  <si>
    <t>Sin historial PM</t>
  </si>
  <si>
    <t>Backlog compra</t>
  </si>
  <si>
    <t>Actualizado</t>
  </si>
  <si>
    <t>Tiempo de Compra</t>
  </si>
  <si>
    <t>Semana</t>
  </si>
  <si>
    <t>Ubicación</t>
  </si>
  <si>
    <t>Cantidad Equipos</t>
  </si>
  <si>
    <t>AL DÍA</t>
  </si>
  <si>
    <t>PRÓXIMA</t>
  </si>
  <si>
    <t>EN PROCESO</t>
  </si>
  <si>
    <t>POR RECIBIR</t>
  </si>
  <si>
    <t>ATRASADA</t>
  </si>
  <si>
    <t>EN TALLER</t>
  </si>
  <si>
    <t>FUERA DE SERVICIO</t>
  </si>
  <si>
    <t>Pendientes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</si>
</sst>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340A]* #,##0.00_ ;_ [$$-340A]* \-#,##0.00_ ;_ [$$-340A]* \-??_ ;_ @_ "/>
    <numFmt numFmtId="165" formatCode="dd\-mm\-yyyy"/>
    <numFmt numFmtId="166" formatCode="\$#,##0"/>
    <numFmt numFmtId="167" formatCode="dd\-mm\-yyyy\ hh:mm"/>
    <numFmt numFmtId="168" formatCode="0.0%"/>
    <numFmt numFmtId="169" formatCode="0.0"/>
    <numFmt numFmtId="170" formatCode="_ [$$-340A]* #,##0.00_ ;_ [$$-340A]* \-#,##0.00_ ;_ [$$-340A]* &quot;-&quot;??_ ;_ @_ "/>
    <numFmt numFmtId="171" formatCode="d/m/yyyy"/>
  </numFmts>
  <fonts count="27">
    <font>
      <sz val="11"/>
      <color theme="1"/>
      <name val="Calibri"/>
      <family val="2"/>
      <charset val="1"/>
    </font>
    <font>
      <u/>
      <sz val="11"/>
      <color theme="10"/>
      <name val="Calibri"/>
      <family val="2"/>
      <charset val="1"/>
    </font>
    <font>
      <b/>
      <sz val="14"/>
      <color rgb="FFFFFFFF"/>
      <name val="Calibri"/>
      <family val="2"/>
    </font>
    <font>
      <b/>
      <sz val="11"/>
      <color rgb="FFFFFFFF"/>
      <name val="Calibri"/>
      <family val="2"/>
    </font>
    <font>
      <b/>
      <sz val="11"/>
      <color rgb="FFFFFFFF"/>
      <name val="Calibri"/>
      <family val="2"/>
      <charset val="1"/>
    </font>
    <font>
      <b/>
      <sz val="20"/>
      <color theme="0"/>
      <name val="Calibri"/>
      <family val="2"/>
      <charset val="1"/>
    </font>
    <font>
      <sz val="11"/>
      <color rgb="FF000000"/>
      <name val="Calibri"/>
      <family val="2"/>
      <charset val="1"/>
    </font>
    <font>
      <sz val="11"/>
      <name val="Calibri"/>
      <family val="2"/>
      <charset val="1"/>
    </font>
    <font>
      <sz val="11"/>
      <color rgb="FFFF0000"/>
      <name val="Calibri"/>
      <family val="2"/>
      <charset val="1"/>
    </font>
    <font>
      <b/>
      <sz val="18"/>
      <color rgb="FFFFFFFF"/>
      <name val="Calibri"/>
      <family val="2"/>
      <charset val="1"/>
    </font>
    <font>
      <b/>
      <sz val="16"/>
      <name val="Calibri"/>
      <family val="2"/>
    </font>
    <font>
      <b/>
      <sz val="14"/>
      <color theme="0"/>
      <name val="Calibri"/>
      <family val="2"/>
    </font>
    <font>
      <sz val="11"/>
      <color theme="0"/>
      <name val="Calibri"/>
      <family val="2"/>
    </font>
    <font>
      <sz val="11"/>
      <color theme="0"/>
      <name val="Calibri"/>
      <family val="2"/>
      <charset val="1"/>
    </font>
    <font>
      <sz val="11"/>
      <color theme="1"/>
      <name val="Calibri"/>
      <family val="2"/>
    </font>
    <font>
      <sz val="11"/>
      <name val="Calibri"/>
      <family val="2"/>
    </font>
    <font>
      <sz val="8"/>
      <name val="Calibri"/>
      <family val="2"/>
      <charset val="1"/>
    </font>
    <font>
      <b/>
      <sz val="11"/>
      <color theme="0"/>
      <name val="Calibri"/>
      <family val="2"/>
    </font>
    <font>
      <b/>
      <sz val="16"/>
      <color theme="1"/>
      <name val="Calibri"/>
      <family val="2"/>
    </font>
    <font>
      <sz val="11"/>
      <color rgb="FF242424"/>
      <name val="Aptos Narrow"/>
      <family val="2"/>
    </font>
    <font>
      <b/>
      <sz val="11"/>
      <color theme="1"/>
      <name val="Calibri"/>
      <family val="2"/>
      <charset val="1"/>
    </font>
    <font>
      <b/>
      <sz val="11"/>
      <color theme="0"/>
      <name val="Calibri"/>
      <family val="2"/>
      <charset val="1"/>
    </font>
    <font>
      <sz val="11"/>
      <color theme="1"/>
      <name val="Calibri"/>
      <family val="2"/>
      <charset val="1"/>
    </font>
    <font>
      <sz val="11"/>
      <color rgb="FF242424"/>
      <name val="Aptos Narrow"/>
      <charset val="1"/>
    </font>
    <font>
      <sz val="10"/>
      <name val="Arial"/>
      <family val="2"/>
    </font>
    <font>
      <sz val="12"/>
      <color theme="0"/>
      <name val="Calibri"/>
      <family val="2"/>
      <charset val="1"/>
    </font>
    <font>
      <sz val="14"/>
      <color theme="0"/>
      <name val="Calibri"/>
      <family val="2"/>
      <charset val="1"/>
    </font>
  </fonts>
  <fills count="13">
    <fill>
      <patternFill patternType="none"/>
    </fill>
    <fill>
      <patternFill patternType="gray125"/>
    </fill>
    <fill>
      <patternFill patternType="solid">
        <fgColor rgb="FF16365C"/>
        <bgColor rgb="FF17375E"/>
      </patternFill>
    </fill>
    <fill>
      <patternFill patternType="solid">
        <fgColor rgb="FFFFFF00"/>
        <bgColor rgb="FFFFFF00"/>
      </patternFill>
    </fill>
    <fill>
      <patternFill patternType="solid">
        <fgColor rgb="FF002060"/>
        <bgColor rgb="FF16365C"/>
      </patternFill>
    </fill>
    <fill>
      <patternFill patternType="solid">
        <fgColor theme="3" tint="-0.249977111117893"/>
        <bgColor rgb="FF16365C"/>
      </patternFill>
    </fill>
    <fill>
      <patternFill patternType="solid">
        <fgColor rgb="FF002060"/>
        <bgColor indexed="64"/>
      </patternFill>
    </fill>
    <fill>
      <patternFill patternType="solid">
        <fgColor theme="4" tint="-0.249977111117893"/>
        <bgColor rgb="FF008080"/>
      </patternFill>
    </fill>
    <fill>
      <patternFill patternType="solid">
        <fgColor theme="4" tint="-0.249977111117893"/>
        <bgColor indexed="64"/>
      </patternFill>
    </fill>
    <fill>
      <patternFill patternType="solid">
        <fgColor theme="3"/>
        <bgColor indexed="64"/>
      </patternFill>
    </fill>
    <fill>
      <patternFill patternType="solid">
        <fgColor rgb="FFFFFF00"/>
        <bgColor indexed="64"/>
      </patternFill>
    </fill>
    <fill>
      <patternFill patternType="solid">
        <fgColor theme="0" tint="-0.249977111117893"/>
        <bgColor indexed="64"/>
      </patternFill>
    </fill>
    <fill>
      <patternFill patternType="solid">
        <fgColor theme="3"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thin">
        <color rgb="FFD9D9D9"/>
      </bottom>
      <diagonal/>
    </border>
  </borders>
  <cellStyleXfs count="3">
    <xf numFmtId="0" fontId="0" fillId="0" borderId="0"/>
    <xf numFmtId="0" fontId="1" fillId="0" borderId="0"/>
    <xf numFmtId="9" fontId="22" fillId="0" borderId="0" applyFont="0" applyFill="0" applyBorder="0" applyAlignment="0" applyProtection="0"/>
  </cellStyleXfs>
  <cellXfs count="117">
    <xf numFmtId="0" fontId="0" fillId="0" borderId="0" xfId="0"/>
    <xf numFmtId="0" fontId="3" fillId="2" borderId="0" xfId="0" applyFont="1" applyFill="1" applyAlignment="1">
      <alignment horizontal="center" wrapText="1"/>
    </xf>
    <xf numFmtId="0" fontId="4" fillId="2" borderId="0" xfId="0" applyFont="1" applyFill="1" applyAlignment="1">
      <alignment horizontal="center" wrapText="1"/>
    </xf>
    <xf numFmtId="0" fontId="0" fillId="0" borderId="0" xfId="0" applyAlignment="1">
      <alignment horizontal="right"/>
    </xf>
    <xf numFmtId="0" fontId="0" fillId="0" borderId="0" xfId="0" applyAlignment="1">
      <alignment horizontal="right" vertical="center"/>
    </xf>
    <xf numFmtId="0" fontId="0" fillId="0" borderId="0" xfId="0" applyAlignment="1">
      <alignment horizontal="center" vertical="center"/>
    </xf>
    <xf numFmtId="14" fontId="0" fillId="0" borderId="0" xfId="0" applyNumberFormat="1"/>
    <xf numFmtId="14" fontId="3" fillId="2" borderId="0" xfId="0" applyNumberFormat="1" applyFont="1" applyFill="1" applyAlignment="1">
      <alignment horizontal="center" wrapText="1"/>
    </xf>
    <xf numFmtId="0" fontId="0" fillId="0" borderId="0" xfId="0" applyFont="1" applyAlignment="1">
      <alignment horizontal="left"/>
    </xf>
    <xf numFmtId="164" fontId="0" fillId="0" borderId="0" xfId="0" applyNumberFormat="1"/>
    <xf numFmtId="164" fontId="3" fillId="2" borderId="0" xfId="0" applyNumberFormat="1" applyFont="1" applyFill="1" applyAlignment="1">
      <alignment horizontal="center" wrapText="1"/>
    </xf>
    <xf numFmtId="165" fontId="0" fillId="0" borderId="0" xfId="0" applyNumberFormat="1"/>
    <xf numFmtId="165" fontId="0" fillId="3" borderId="0" xfId="0" applyNumberFormat="1" applyFill="1"/>
    <xf numFmtId="0" fontId="0" fillId="4" borderId="0" xfId="0" applyFill="1"/>
    <xf numFmtId="0" fontId="3" fillId="2" borderId="0" xfId="0" applyFont="1" applyFill="1"/>
    <xf numFmtId="0" fontId="4" fillId="2" borderId="0" xfId="0" applyFont="1" applyFill="1"/>
    <xf numFmtId="0" fontId="6" fillId="0" borderId="1" xfId="0" applyFont="1" applyBorder="1"/>
    <xf numFmtId="0" fontId="6" fillId="0" borderId="1" xfId="0" applyFont="1" applyBorder="1" applyAlignment="1">
      <alignment horizontal="left"/>
    </xf>
    <xf numFmtId="165" fontId="6" fillId="0" borderId="1" xfId="0" applyNumberFormat="1" applyFont="1" applyBorder="1"/>
    <xf numFmtId="166" fontId="6" fillId="0" borderId="1" xfId="0" applyNumberFormat="1" applyFont="1" applyBorder="1"/>
    <xf numFmtId="14" fontId="6" fillId="0" borderId="2" xfId="0" applyNumberFormat="1" applyFont="1" applyBorder="1"/>
    <xf numFmtId="0" fontId="6" fillId="0" borderId="2" xfId="0" applyFont="1" applyBorder="1"/>
    <xf numFmtId="0" fontId="7" fillId="0" borderId="0" xfId="0" applyFont="1"/>
    <xf numFmtId="14" fontId="6" fillId="0" borderId="1" xfId="0" applyNumberFormat="1" applyFont="1" applyBorder="1"/>
    <xf numFmtId="1" fontId="6" fillId="0" borderId="1" xfId="0" applyNumberFormat="1" applyFont="1" applyBorder="1"/>
    <xf numFmtId="0" fontId="8" fillId="0" borderId="0" xfId="0" applyFont="1"/>
    <xf numFmtId="14" fontId="6" fillId="0" borderId="3" xfId="0" applyNumberFormat="1" applyFont="1" applyBorder="1"/>
    <xf numFmtId="0" fontId="6" fillId="0" borderId="3" xfId="0" applyFont="1" applyBorder="1"/>
    <xf numFmtId="166" fontId="0" fillId="0" borderId="0" xfId="0" applyNumberFormat="1" applyAlignment="1">
      <alignment horizontal="center" vertical="center"/>
    </xf>
    <xf numFmtId="165" fontId="0" fillId="0" borderId="0" xfId="0" applyNumberFormat="1" applyAlignment="1">
      <alignment horizontal="center" vertical="center"/>
    </xf>
    <xf numFmtId="1" fontId="0" fillId="0" borderId="0" xfId="0" applyNumberFormat="1" applyAlignment="1">
      <alignment horizontal="center" vertical="center"/>
    </xf>
    <xf numFmtId="166" fontId="0" fillId="0" borderId="0" xfId="0" applyNumberFormat="1" applyAlignment="1">
      <alignment horizontal="left" vertical="center" wrapText="1"/>
    </xf>
    <xf numFmtId="166" fontId="0" fillId="0" borderId="0" xfId="0" applyNumberFormat="1"/>
    <xf numFmtId="0" fontId="11" fillId="6" borderId="0" xfId="0" applyFont="1" applyFill="1"/>
    <xf numFmtId="0" fontId="12" fillId="6" borderId="0" xfId="0" applyFont="1" applyFill="1"/>
    <xf numFmtId="170" fontId="0" fillId="0" borderId="0" xfId="0" applyNumberFormat="1"/>
    <xf numFmtId="0" fontId="13" fillId="4" borderId="0" xfId="0" applyFont="1" applyFill="1"/>
    <xf numFmtId="0" fontId="13" fillId="4" borderId="0" xfId="0" applyFont="1" applyFill="1" applyAlignment="1">
      <alignment wrapText="1"/>
    </xf>
    <xf numFmtId="0" fontId="13" fillId="5" borderId="0" xfId="0" applyFont="1" applyFill="1"/>
    <xf numFmtId="14" fontId="0" fillId="0" borderId="0" xfId="0" applyNumberFormat="1"/>
    <xf numFmtId="14" fontId="14" fillId="0" borderId="0" xfId="0" applyNumberFormat="1" applyFont="1"/>
    <xf numFmtId="0" fontId="14" fillId="0" borderId="0" xfId="0" applyFont="1"/>
    <xf numFmtId="0" fontId="15" fillId="0" borderId="0" xfId="0" applyFont="1"/>
    <xf numFmtId="170" fontId="14" fillId="0" borderId="0" xfId="0" applyNumberFormat="1" applyFont="1"/>
    <xf numFmtId="0" fontId="15" fillId="0" borderId="0" xfId="0" applyFont="1" applyAlignment="1">
      <alignment horizontal="center"/>
    </xf>
    <xf numFmtId="0" fontId="15" fillId="0" borderId="0" xfId="0" applyFont="1" applyAlignment="1">
      <alignment horizontal="left"/>
    </xf>
    <xf numFmtId="0" fontId="0" fillId="0" borderId="0" xfId="0" applyAlignment="1">
      <alignment horizontal="left"/>
    </xf>
    <xf numFmtId="0" fontId="19" fillId="0" borderId="0" xfId="0" applyFont="1"/>
    <xf numFmtId="0" fontId="6" fillId="0" borderId="1" xfId="0" applyFont="1" applyBorder="1" applyAlignment="1">
      <alignment wrapText="1"/>
    </xf>
    <xf numFmtId="14" fontId="0" fillId="0" borderId="0" xfId="0" applyNumberFormat="1" applyAlignment="1">
      <alignment wrapText="1"/>
    </xf>
    <xf numFmtId="0" fontId="0" fillId="0" borderId="0" xfId="0" applyAlignment="1">
      <alignment wrapText="1"/>
    </xf>
    <xf numFmtId="14" fontId="3" fillId="2" borderId="0" xfId="0" applyNumberFormat="1" applyFont="1" applyFill="1"/>
    <xf numFmtId="14" fontId="4" fillId="2" borderId="0" xfId="0" applyNumberFormat="1" applyFont="1" applyFill="1"/>
    <xf numFmtId="14" fontId="0" fillId="0" borderId="0" xfId="0" applyNumberFormat="1" applyAlignment="1">
      <alignment horizontal="center" vertical="center"/>
    </xf>
    <xf numFmtId="0" fontId="0" fillId="0" borderId="4" xfId="0" applyBorder="1"/>
    <xf numFmtId="2" fontId="0" fillId="0" borderId="4" xfId="0" applyNumberFormat="1" applyBorder="1"/>
    <xf numFmtId="0" fontId="0" fillId="0" borderId="0" xfId="0" applyBorder="1"/>
    <xf numFmtId="2" fontId="0" fillId="0" borderId="0" xfId="0" applyNumberFormat="1" applyBorder="1"/>
    <xf numFmtId="1" fontId="0" fillId="0" borderId="4" xfId="0" applyNumberFormat="1" applyBorder="1"/>
    <xf numFmtId="1" fontId="0" fillId="0" borderId="0" xfId="0" applyNumberFormat="1" applyBorder="1"/>
    <xf numFmtId="14" fontId="0" fillId="0" borderId="0" xfId="0" applyNumberFormat="1" applyBorder="1"/>
    <xf numFmtId="0" fontId="0" fillId="11" borderId="0" xfId="0" applyFill="1"/>
    <xf numFmtId="14" fontId="0" fillId="11" borderId="0" xfId="0" applyNumberFormat="1" applyFill="1"/>
    <xf numFmtId="0" fontId="0" fillId="11" borderId="0" xfId="0" applyFill="1" applyAlignment="1">
      <alignment horizontal="center" vertical="center"/>
    </xf>
    <xf numFmtId="170" fontId="0" fillId="11" borderId="0" xfId="0" applyNumberFormat="1" applyFill="1"/>
    <xf numFmtId="166" fontId="0" fillId="11" borderId="0" xfId="0" applyNumberFormat="1" applyFill="1" applyAlignment="1">
      <alignment horizontal="center" vertical="center"/>
    </xf>
    <xf numFmtId="14" fontId="0" fillId="11" borderId="0" xfId="0" applyNumberFormat="1" applyFill="1" applyAlignment="1">
      <alignment horizontal="center" vertical="center"/>
    </xf>
    <xf numFmtId="165" fontId="0" fillId="11" borderId="0" xfId="0" applyNumberFormat="1" applyFill="1" applyAlignment="1">
      <alignment horizontal="center" vertical="center"/>
    </xf>
    <xf numFmtId="1" fontId="0" fillId="11" borderId="0" xfId="0" applyNumberFormat="1" applyFill="1" applyAlignment="1">
      <alignment horizontal="center" vertical="center"/>
    </xf>
    <xf numFmtId="166" fontId="0" fillId="11" borderId="0" xfId="0" applyNumberFormat="1" applyFill="1" applyAlignment="1">
      <alignment horizontal="left" vertical="center" wrapText="1"/>
    </xf>
    <xf numFmtId="2" fontId="6" fillId="0" borderId="1" xfId="0" applyNumberFormat="1" applyFont="1" applyBorder="1"/>
    <xf numFmtId="14" fontId="0" fillId="0" borderId="0" xfId="0" applyNumberFormat="1"/>
    <xf numFmtId="14" fontId="0" fillId="0" borderId="4" xfId="0" applyNumberFormat="1" applyBorder="1"/>
    <xf numFmtId="1" fontId="0" fillId="0" borderId="0" xfId="0" applyNumberFormat="1"/>
    <xf numFmtId="1" fontId="3" fillId="2" borderId="0" xfId="0" applyNumberFormat="1" applyFont="1" applyFill="1"/>
    <xf numFmtId="14" fontId="1" fillId="0" borderId="1" xfId="1" applyNumberFormat="1" applyFont="1" applyBorder="1"/>
    <xf numFmtId="0" fontId="0" fillId="4" borderId="0" xfId="0" applyFill="1" applyAlignment="1">
      <alignment horizontal="left"/>
    </xf>
    <xf numFmtId="0" fontId="3" fillId="2" borderId="0" xfId="0" applyFont="1" applyFill="1" applyAlignment="1">
      <alignment horizontal="left"/>
    </xf>
    <xf numFmtId="0" fontId="3" fillId="2" borderId="0" xfId="0" applyFont="1" applyFill="1" applyAlignment="1">
      <alignment horizontal="left" wrapText="1"/>
    </xf>
    <xf numFmtId="171" fontId="0" fillId="0" borderId="0" xfId="0" applyNumberFormat="1"/>
    <xf numFmtId="0" fontId="3" fillId="2" borderId="0" xfId="0" applyFont="1" applyFill="1" applyAlignment="1">
      <alignment horizontal="right" wrapText="1"/>
    </xf>
    <xf numFmtId="0" fontId="0" fillId="0" borderId="0" xfId="0" applyNumberFormat="1" applyAlignment="1">
      <alignment horizontal="right"/>
    </xf>
    <xf numFmtId="0" fontId="0" fillId="10" borderId="0" xfId="0" applyFill="1" applyAlignment="1">
      <alignment horizontal="right"/>
    </xf>
    <xf numFmtId="14" fontId="0" fillId="0" borderId="0" xfId="0" applyNumberFormat="1" applyAlignment="1">
      <alignment horizontal="center"/>
    </xf>
    <xf numFmtId="170" fontId="0" fillId="0" borderId="0" xfId="0" applyNumberFormat="1" applyAlignment="1">
      <alignment horizontal="center"/>
    </xf>
    <xf numFmtId="0" fontId="23" fillId="0" borderId="0" xfId="0" applyFont="1"/>
    <xf numFmtId="0" fontId="0" fillId="0" borderId="0" xfId="0" applyNumberFormat="1"/>
    <xf numFmtId="0" fontId="0" fillId="0" borderId="0" xfId="0" applyNumberFormat="1" applyAlignment="1">
      <alignment horizontal="center" wrapText="1"/>
    </xf>
    <xf numFmtId="0" fontId="24" fillId="0" borderId="0" xfId="0" applyFont="1" applyBorder="1" applyAlignment="1"/>
    <xf numFmtId="16" fontId="0" fillId="0" borderId="0" xfId="0" applyNumberFormat="1"/>
    <xf numFmtId="0" fontId="0" fillId="0" borderId="0" xfId="0" applyAlignment="1">
      <alignment horizontal="right" wrapText="1"/>
    </xf>
    <xf numFmtId="14" fontId="0" fillId="0" borderId="0" xfId="0" applyNumberFormat="1" applyFill="1"/>
    <xf numFmtId="0" fontId="0" fillId="0" borderId="0" xfId="0" applyFont="1" applyFill="1"/>
    <xf numFmtId="170" fontId="0" fillId="0" borderId="0" xfId="0" applyNumberFormat="1" applyFill="1"/>
    <xf numFmtId="14" fontId="0" fillId="0" borderId="0" xfId="0" applyNumberFormat="1" applyAlignment="1">
      <alignment horizontal="right"/>
    </xf>
    <xf numFmtId="0" fontId="0" fillId="0" borderId="0" xfId="0" applyAlignment="1">
      <alignment horizontal="center"/>
    </xf>
    <xf numFmtId="0" fontId="2" fillId="2" borderId="0" xfId="0" applyFont="1" applyFill="1" applyBorder="1" applyAlignment="1">
      <alignment horizontal="center"/>
    </xf>
    <xf numFmtId="0" fontId="25" fillId="9" borderId="0" xfId="0" applyFont="1" applyFill="1" applyAlignment="1">
      <alignment horizontal="center" vertical="center"/>
    </xf>
    <xf numFmtId="0" fontId="5" fillId="4" borderId="0" xfId="0" applyFont="1" applyFill="1" applyBorder="1" applyAlignment="1">
      <alignment horizontal="center" vertical="center" wrapText="1"/>
    </xf>
    <xf numFmtId="0" fontId="9" fillId="2" borderId="0" xfId="0" applyFont="1" applyFill="1" applyBorder="1" applyAlignment="1">
      <alignment horizontal="center"/>
    </xf>
    <xf numFmtId="0" fontId="3" fillId="2" borderId="0" xfId="0" applyFont="1" applyFill="1" applyBorder="1" applyAlignment="1">
      <alignment horizontal="center" vertical="center"/>
    </xf>
    <xf numFmtId="0" fontId="17" fillId="8" borderId="0" xfId="0" applyFont="1" applyFill="1" applyAlignment="1">
      <alignment horizontal="center"/>
    </xf>
    <xf numFmtId="169" fontId="18" fillId="0" borderId="0" xfId="0" applyNumberFormat="1" applyFont="1" applyAlignment="1">
      <alignment horizontal="center"/>
    </xf>
    <xf numFmtId="0" fontId="18" fillId="0" borderId="0" xfId="0" applyFont="1" applyAlignment="1">
      <alignment horizontal="center"/>
    </xf>
    <xf numFmtId="0" fontId="3" fillId="7" borderId="0" xfId="0" applyFont="1" applyFill="1" applyBorder="1" applyAlignment="1">
      <alignment horizontal="center"/>
    </xf>
    <xf numFmtId="3" fontId="10" fillId="0" borderId="0" xfId="0" applyNumberFormat="1" applyFont="1" applyBorder="1" applyAlignment="1">
      <alignment horizontal="center" vertical="center" wrapText="1"/>
    </xf>
    <xf numFmtId="168" fontId="10" fillId="0" borderId="0" xfId="0" applyNumberFormat="1" applyFont="1" applyBorder="1" applyAlignment="1">
      <alignment horizontal="center" vertical="center" wrapText="1"/>
    </xf>
    <xf numFmtId="10" fontId="10" fillId="0" borderId="0" xfId="0" applyNumberFormat="1" applyFont="1" applyBorder="1" applyAlignment="1">
      <alignment horizontal="center" vertical="center" wrapText="1"/>
    </xf>
    <xf numFmtId="164" fontId="10" fillId="0" borderId="0" xfId="0" applyNumberFormat="1" applyFont="1" applyBorder="1" applyAlignment="1">
      <alignment horizontal="center" vertical="center" wrapText="1"/>
    </xf>
    <xf numFmtId="167" fontId="20" fillId="0" borderId="0" xfId="0" applyNumberFormat="1" applyFont="1" applyAlignment="1">
      <alignment horizontal="center" vertical="center"/>
    </xf>
    <xf numFmtId="169" fontId="10" fillId="0" borderId="0" xfId="0" applyNumberFormat="1" applyFont="1" applyBorder="1" applyAlignment="1">
      <alignment horizontal="center" vertical="center" wrapText="1"/>
    </xf>
    <xf numFmtId="0" fontId="10" fillId="0" borderId="0" xfId="2" applyNumberFormat="1" applyFont="1" applyBorder="1" applyAlignment="1">
      <alignment horizontal="center" vertical="center" wrapText="1"/>
    </xf>
    <xf numFmtId="0" fontId="0" fillId="0" borderId="0" xfId="0" applyAlignment="1">
      <alignment horizontal="center"/>
    </xf>
    <xf numFmtId="0" fontId="17" fillId="8" borderId="0" xfId="0" applyFont="1" applyFill="1" applyAlignment="1">
      <alignment horizontal="center" wrapText="1"/>
    </xf>
    <xf numFmtId="168" fontId="18" fillId="0" borderId="0" xfId="2" applyNumberFormat="1" applyFont="1" applyAlignment="1">
      <alignment horizontal="center" vertical="center"/>
    </xf>
    <xf numFmtId="0" fontId="21" fillId="9" borderId="0" xfId="0" applyFont="1" applyFill="1" applyAlignment="1">
      <alignment horizontal="center" vertical="center" wrapText="1"/>
    </xf>
    <xf numFmtId="0" fontId="26" fillId="12" borderId="0" xfId="0" applyFont="1" applyFill="1" applyAlignment="1">
      <alignment horizontal="center" vertical="center"/>
    </xf>
  </cellXfs>
  <cellStyles count="3">
    <cellStyle name="Hyperlink 1" xfId="1" xr:uid="{00000000-0005-0000-0000-000006000000}"/>
    <cellStyle name="Normal" xfId="0" builtinId="0"/>
    <cellStyle name="Porcentaje" xfId="2" builtinId="5"/>
  </cellStyles>
  <dxfs count="41">
    <dxf>
      <numFmt numFmtId="0" formatCode="General"/>
    </dxf>
    <dxf>
      <numFmt numFmtId="170" formatCode="_ [$$-340A]* #,##0.00_ ;_ [$$-340A]* \-#,##0.00_ ;_ [$$-340A]* &quot;-&quot;??_ ;_ @_ "/>
    </dxf>
    <dxf>
      <numFmt numFmtId="19" formatCode="dd/mm/yyyy"/>
    </dxf>
    <dxf>
      <alignment horizontal="center" vertical="bottom" textRotation="0" wrapText="0" indent="0" justifyLastLine="0" shrinkToFit="0" readingOrder="0"/>
    </dxf>
    <dxf>
      <numFmt numFmtId="1" formatCode="0"/>
    </dxf>
    <dxf>
      <numFmt numFmtId="19" formatCode="dd/mm/yyyy"/>
    </dxf>
    <dxf>
      <numFmt numFmtId="166" formatCode="\$#,##0"/>
    </dxf>
    <dxf>
      <numFmt numFmtId="170" formatCode="_ [$$-340A]* #,##0.00_ ;_ [$$-340A]* \-#,##0.00_ ;_ [$$-340A]* &quot;-&quot;??_ ;_ @_ "/>
    </dxf>
    <dxf>
      <numFmt numFmtId="19" formatCode="dd/mm/yyyy"/>
    </dxf>
    <dxf>
      <numFmt numFmtId="0" formatCode="General"/>
    </dxf>
    <dxf>
      <numFmt numFmtId="0" formatCode="General"/>
    </dxf>
    <dxf>
      <numFmt numFmtId="0" formatCode="General"/>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b val="0"/>
        <i val="0"/>
        <strike val="0"/>
        <condense val="0"/>
        <extend val="0"/>
        <outline val="0"/>
        <shadow val="0"/>
        <u val="none"/>
        <vertAlign val="baseline"/>
        <sz val="11"/>
        <color auto="1"/>
        <name val="Calibri"/>
        <family val="2"/>
        <charset val="1"/>
        <scheme val="none"/>
      </font>
    </dxf>
    <dxf>
      <numFmt numFmtId="0" formatCode="General"/>
    </dxf>
    <dxf>
      <numFmt numFmtId="19" formatCode="dd/mm/yyyy"/>
    </dxf>
    <dxf>
      <numFmt numFmtId="0" formatCode="General"/>
    </dxf>
    <dxf>
      <numFmt numFmtId="0" formatCode="General"/>
    </dxf>
    <dxf>
      <border outline="0">
        <left style="thin">
          <color auto="1"/>
        </left>
      </border>
    </dxf>
    <dxf>
      <border outline="0">
        <left style="thin">
          <color auto="1"/>
        </left>
      </border>
    </dxf>
    <dxf>
      <numFmt numFmtId="2" formatCode="0.00"/>
      <border outline="0">
        <right style="thin">
          <color auto="1"/>
        </right>
      </border>
    </dxf>
    <dxf>
      <border outline="0">
        <right style="thin">
          <color auto="1"/>
        </right>
      </border>
    </dxf>
    <dxf>
      <numFmt numFmtId="1" formatCode="0"/>
    </dxf>
    <dxf>
      <numFmt numFmtId="1" formatCode="0"/>
    </dxf>
    <dxf>
      <numFmt numFmtId="1" formatCode="0"/>
    </dxf>
    <dxf>
      <numFmt numFmtId="0" formatCode="General"/>
      <alignment horizontal="left" vertical="bottom" textRotation="0" wrapText="0" indent="0" justifyLastLine="0" shrinkToFit="0" readingOrder="0"/>
    </dxf>
    <dxf>
      <fill>
        <patternFill>
          <bgColor rgb="FF92D050"/>
        </patternFill>
      </fill>
    </dxf>
    <dxf>
      <fill>
        <patternFill>
          <bgColor rgb="FFFFFF00"/>
        </patternFill>
      </fill>
    </dxf>
    <dxf>
      <fill>
        <patternFill>
          <bgColor rgb="FF00B050"/>
        </patternFill>
      </fill>
    </dxf>
    <dxf>
      <font>
        <color theme="1"/>
      </font>
      <fill>
        <patternFill patternType="solid">
          <bgColor rgb="FF00B0F0"/>
        </patternFill>
      </fill>
    </dxf>
    <dxf>
      <font>
        <color theme="1"/>
      </font>
      <fill>
        <patternFill patternType="solid">
          <bgColor theme="6" tint="-0.249977111117893"/>
        </patternFill>
      </fill>
    </dxf>
    <dxf>
      <fill>
        <patternFill>
          <bgColor theme="1" tint="0.49989318521683401"/>
        </patternFill>
      </fill>
    </dxf>
    <dxf>
      <fill>
        <patternFill>
          <bgColor rgb="FFFF6699"/>
        </patternFill>
      </fill>
    </dxf>
    <dxf>
      <fill>
        <patternFill>
          <bgColor rgb="FFFF0000"/>
        </patternFill>
      </fill>
    </dxf>
    <dxf>
      <numFmt numFmtId="170" formatCode="_ [$$-340A]* #,##0.00_ ;_ [$$-340A]* \-#,##0.00_ ;_ [$$-340A]* &quot;-&quot;??_ ;_ @_ "/>
    </dxf>
    <dxf>
      <alignment horizontal="left"/>
    </dxf>
    <dxf>
      <numFmt numFmtId="171" formatCode="d/m/yyyy"/>
    </dxf>
    <dxf>
      <alignment horizontal="right" vertical="center" textRotation="0" wrapText="0" indent="0" justifyLastLine="0" shrinkToFit="0" readingOrder="0"/>
    </dxf>
    <dxf>
      <alignment horizontal="left" vertical="bottom" textRotation="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F9D92"/>
      <rgbColor rgb="FFC0C0C0"/>
      <rgbColor rgb="FF7F7F7F"/>
      <rgbColor rgb="FF9999FF"/>
      <rgbColor rgb="FF993366"/>
      <rgbColor rgb="FFFFF2CC"/>
      <rgbColor rgb="FFEAF7F6"/>
      <rgbColor rgb="FF660066"/>
      <rgbColor rgb="FFFF6699"/>
      <rgbColor rgb="FF0066CC"/>
      <rgbColor rgb="FFD0D0D0"/>
      <rgbColor rgb="FF000080"/>
      <rgbColor rgb="FFFF00FF"/>
      <rgbColor rgb="FFFFFF00"/>
      <rgbColor rgb="FF00FFFF"/>
      <rgbColor rgb="FF800080"/>
      <rgbColor rgb="FF800000"/>
      <rgbColor rgb="FF008080"/>
      <rgbColor rgb="FF0000FF"/>
      <rgbColor rgb="FF00CCFF"/>
      <rgbColor rgb="FFD9EAF7"/>
      <rgbColor rgb="FFCCFFCC"/>
      <rgbColor rgb="FFFFFF99"/>
      <rgbColor rgb="FF99CCFF"/>
      <rgbColor rgb="FFFF99CC"/>
      <rgbColor rgb="FFCC99FF"/>
      <rgbColor rgb="FFF4CCCC"/>
      <rgbColor rgb="FF3366FF"/>
      <rgbColor rgb="FF33CCCC"/>
      <rgbColor rgb="FF92D050"/>
      <rgbColor rgb="FFFFCC00"/>
      <rgbColor rgb="FFFF9900"/>
      <rgbColor rgb="FFFF6600"/>
      <rgbColor rgb="FF666699"/>
      <rgbColor rgb="FF969696"/>
      <rgbColor rgb="FF16365C"/>
      <rgbColor rgb="FF00B050"/>
      <rgbColor rgb="FF003300"/>
      <rgbColor rgb="FF333300"/>
      <rgbColor rgb="FF993300"/>
      <rgbColor rgb="FF993366"/>
      <rgbColor rgb="FF333399"/>
      <rgbColor rgb="FF17375E"/>
      <rgbColor rgb="00003366"/>
      <rgbColor rgb="00339966"/>
      <rgbColor rgb="00003300"/>
      <rgbColor rgb="00333300"/>
      <rgbColor rgb="00993300"/>
      <rgbColor rgb="00993366"/>
      <rgbColor rgb="00333399"/>
      <rgbColor rgb="00333333"/>
    </indexedColors>
    <mruColors>
      <color rgb="FF5EEB13"/>
      <color rgb="FFFFFFFF"/>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50" normalizeH="0" baseline="0">
                <a:solidFill>
                  <a:schemeClr val="tx1">
                    <a:lumMod val="65000"/>
                    <a:lumOff val="35000"/>
                  </a:schemeClr>
                </a:solidFill>
                <a:latin typeface="roboto" panose="02000000000000000000" pitchFamily="2" charset="0"/>
                <a:ea typeface="roboto" panose="02000000000000000000" pitchFamily="2" charset="0"/>
                <a:cs typeface="roboto" panose="02000000000000000000" pitchFamily="2" charset="0"/>
              </a:defRPr>
            </a:pPr>
            <a:r>
              <a:rPr lang="es-CL" sz="1400" b="1">
                <a:latin typeface="roboto" panose="02000000000000000000" pitchFamily="2" charset="0"/>
                <a:ea typeface="roboto" panose="02000000000000000000" pitchFamily="2" charset="0"/>
                <a:cs typeface="roboto" panose="02000000000000000000" pitchFamily="2" charset="0"/>
              </a:rPr>
              <a:t>Ubicacion de los Equipos</a:t>
            </a:r>
          </a:p>
        </c:rich>
      </c:tx>
      <c:layout>
        <c:manualLayout>
          <c:xMode val="edge"/>
          <c:yMode val="edge"/>
          <c:x val="0.41277450950815059"/>
          <c:y val="4.1666666666666664E-2"/>
        </c:manualLayout>
      </c:layout>
      <c:overlay val="0"/>
      <c:spPr>
        <a:noFill/>
        <a:ln>
          <a:noFill/>
        </a:ln>
        <a:effectLst/>
      </c:spPr>
      <c:txPr>
        <a:bodyPr rot="0" spcFirstLastPara="1" vertOverflow="ellipsis" vert="horz" wrap="square" anchor="ctr" anchorCtr="1"/>
        <a:lstStyle/>
        <a:p>
          <a:pPr>
            <a:defRPr sz="1400" b="1" i="0" u="none" strike="noStrike" kern="1200" cap="none" spc="50" normalizeH="0" baseline="0">
              <a:solidFill>
                <a:schemeClr val="tx1">
                  <a:lumMod val="65000"/>
                  <a:lumOff val="35000"/>
                </a:schemeClr>
              </a:solidFill>
              <a:latin typeface="roboto" panose="02000000000000000000" pitchFamily="2" charset="0"/>
              <a:ea typeface="roboto" panose="02000000000000000000" pitchFamily="2" charset="0"/>
              <a:cs typeface="roboto" panose="02000000000000000000" pitchFamily="2" charset="0"/>
            </a:defRPr>
          </a:pPr>
          <a:endParaRPr lang="es-CL"/>
        </a:p>
      </c:txPr>
    </c:title>
    <c:autoTitleDeleted val="0"/>
    <c:plotArea>
      <c:layout/>
      <c:barChart>
        <c:barDir val="col"/>
        <c:grouping val="clustered"/>
        <c:varyColors val="0"/>
        <c:ser>
          <c:idx val="0"/>
          <c:order val="0"/>
          <c:tx>
            <c:strRef>
              <c:f>Dashboard!$G$34</c:f>
              <c:strCache>
                <c:ptCount val="1"/>
                <c:pt idx="0">
                  <c:v>Asfalto</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Dashboard!$H$33</c:f>
              <c:strCache>
                <c:ptCount val="1"/>
                <c:pt idx="0">
                  <c:v>Cantidad Equipos</c:v>
                </c:pt>
              </c:strCache>
            </c:strRef>
          </c:cat>
          <c:val>
            <c:numRef>
              <c:f>Dashboard!$H$34</c:f>
              <c:numCache>
                <c:formatCode>General</c:formatCode>
                <c:ptCount val="1"/>
                <c:pt idx="0">
                  <c:v>4</c:v>
                </c:pt>
              </c:numCache>
            </c:numRef>
          </c:val>
          <c:extLst>
            <c:ext xmlns:c16="http://schemas.microsoft.com/office/drawing/2014/chart" uri="{C3380CC4-5D6E-409C-BE32-E72D297353CC}">
              <c16:uniqueId val="{00000000-A576-4E32-8526-66E3A33BC92A}"/>
            </c:ext>
          </c:extLst>
        </c:ser>
        <c:ser>
          <c:idx val="1"/>
          <c:order val="1"/>
          <c:tx>
            <c:strRef>
              <c:f>Dashboard!$G$35</c:f>
              <c:strCache>
                <c:ptCount val="1"/>
                <c:pt idx="0">
                  <c:v>Cobquecura</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Dashboard!$H$33</c:f>
              <c:strCache>
                <c:ptCount val="1"/>
                <c:pt idx="0">
                  <c:v>Cantidad Equipos</c:v>
                </c:pt>
              </c:strCache>
            </c:strRef>
          </c:cat>
          <c:val>
            <c:numRef>
              <c:f>Dashboard!$H$35</c:f>
              <c:numCache>
                <c:formatCode>General</c:formatCode>
                <c:ptCount val="1"/>
                <c:pt idx="0">
                  <c:v>16</c:v>
                </c:pt>
              </c:numCache>
            </c:numRef>
          </c:val>
          <c:extLst>
            <c:ext xmlns:c16="http://schemas.microsoft.com/office/drawing/2014/chart" uri="{C3380CC4-5D6E-409C-BE32-E72D297353CC}">
              <c16:uniqueId val="{00000001-A576-4E32-8526-66E3A33BC92A}"/>
            </c:ext>
          </c:extLst>
        </c:ser>
        <c:ser>
          <c:idx val="2"/>
          <c:order val="2"/>
          <c:tx>
            <c:strRef>
              <c:f>Dashboard!$G$36</c:f>
              <c:strCache>
                <c:ptCount val="1"/>
                <c:pt idx="0">
                  <c:v>Colbun</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Dashboard!$H$33</c:f>
              <c:strCache>
                <c:ptCount val="1"/>
                <c:pt idx="0">
                  <c:v>Cantidad Equipos</c:v>
                </c:pt>
              </c:strCache>
            </c:strRef>
          </c:cat>
          <c:val>
            <c:numRef>
              <c:f>Dashboard!$H$36</c:f>
              <c:numCache>
                <c:formatCode>General</c:formatCode>
                <c:ptCount val="1"/>
                <c:pt idx="0">
                  <c:v>5</c:v>
                </c:pt>
              </c:numCache>
            </c:numRef>
          </c:val>
          <c:extLst>
            <c:ext xmlns:c16="http://schemas.microsoft.com/office/drawing/2014/chart" uri="{C3380CC4-5D6E-409C-BE32-E72D297353CC}">
              <c16:uniqueId val="{00000002-A576-4E32-8526-66E3A33BC92A}"/>
            </c:ext>
          </c:extLst>
        </c:ser>
        <c:ser>
          <c:idx val="3"/>
          <c:order val="3"/>
          <c:tx>
            <c:strRef>
              <c:f>Dashboard!$G$37</c:f>
              <c:strCache>
                <c:ptCount val="1"/>
                <c:pt idx="0">
                  <c:v>Emergencias Curico</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Dashboard!$H$33</c:f>
              <c:strCache>
                <c:ptCount val="1"/>
                <c:pt idx="0">
                  <c:v>Cantidad Equipos</c:v>
                </c:pt>
              </c:strCache>
            </c:strRef>
          </c:cat>
          <c:val>
            <c:numRef>
              <c:f>Dashboard!$H$37</c:f>
              <c:numCache>
                <c:formatCode>General</c:formatCode>
                <c:ptCount val="1"/>
                <c:pt idx="0">
                  <c:v>19</c:v>
                </c:pt>
              </c:numCache>
            </c:numRef>
          </c:val>
          <c:extLst>
            <c:ext xmlns:c16="http://schemas.microsoft.com/office/drawing/2014/chart" uri="{C3380CC4-5D6E-409C-BE32-E72D297353CC}">
              <c16:uniqueId val="{00000003-A576-4E32-8526-66E3A33BC92A}"/>
            </c:ext>
          </c:extLst>
        </c:ser>
        <c:ser>
          <c:idx val="4"/>
          <c:order val="4"/>
          <c:tx>
            <c:strRef>
              <c:f>Dashboard!$G$38</c:f>
              <c:strCache>
                <c:ptCount val="1"/>
                <c:pt idx="0">
                  <c:v>Mantul</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Dashboard!$H$33</c:f>
              <c:strCache>
                <c:ptCount val="1"/>
                <c:pt idx="0">
                  <c:v>Cantidad Equipos</c:v>
                </c:pt>
              </c:strCache>
            </c:strRef>
          </c:cat>
          <c:val>
            <c:numRef>
              <c:f>Dashboard!$H$38</c:f>
              <c:numCache>
                <c:formatCode>General</c:formatCode>
                <c:ptCount val="1"/>
                <c:pt idx="0">
                  <c:v>1</c:v>
                </c:pt>
              </c:numCache>
            </c:numRef>
          </c:val>
          <c:extLst>
            <c:ext xmlns:c16="http://schemas.microsoft.com/office/drawing/2014/chart" uri="{C3380CC4-5D6E-409C-BE32-E72D297353CC}">
              <c16:uniqueId val="{00000004-A576-4E32-8526-66E3A33BC92A}"/>
            </c:ext>
          </c:extLst>
        </c:ser>
        <c:ser>
          <c:idx val="5"/>
          <c:order val="5"/>
          <c:tx>
            <c:strRef>
              <c:f>Dashboard!$G$39</c:f>
              <c:strCache>
                <c:ptCount val="1"/>
                <c:pt idx="0">
                  <c:v>Ninhue</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Dashboard!$H$33</c:f>
              <c:strCache>
                <c:ptCount val="1"/>
                <c:pt idx="0">
                  <c:v>Cantidad Equipos</c:v>
                </c:pt>
              </c:strCache>
            </c:strRef>
          </c:cat>
          <c:val>
            <c:numRef>
              <c:f>Dashboard!$H$39</c:f>
              <c:numCache>
                <c:formatCode>General</c:formatCode>
                <c:ptCount val="1"/>
                <c:pt idx="0">
                  <c:v>2</c:v>
                </c:pt>
              </c:numCache>
            </c:numRef>
          </c:val>
          <c:extLst>
            <c:ext xmlns:c16="http://schemas.microsoft.com/office/drawing/2014/chart" uri="{C3380CC4-5D6E-409C-BE32-E72D297353CC}">
              <c16:uniqueId val="{00000005-A576-4E32-8526-66E3A33BC92A}"/>
            </c:ext>
          </c:extLst>
        </c:ser>
        <c:ser>
          <c:idx val="6"/>
          <c:order val="6"/>
          <c:tx>
            <c:strRef>
              <c:f>Dashboard!$G$40</c:f>
              <c:strCache>
                <c:ptCount val="1"/>
                <c:pt idx="0">
                  <c:v>Obras Varias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Dashboard!$H$33</c:f>
              <c:strCache>
                <c:ptCount val="1"/>
                <c:pt idx="0">
                  <c:v>Cantidad Equipos</c:v>
                </c:pt>
              </c:strCache>
            </c:strRef>
          </c:cat>
          <c:val>
            <c:numRef>
              <c:f>Dashboard!$H$40</c:f>
              <c:numCache>
                <c:formatCode>General</c:formatCode>
                <c:ptCount val="1"/>
                <c:pt idx="0">
                  <c:v>4</c:v>
                </c:pt>
              </c:numCache>
            </c:numRef>
          </c:val>
          <c:extLst>
            <c:ext xmlns:c16="http://schemas.microsoft.com/office/drawing/2014/chart" uri="{C3380CC4-5D6E-409C-BE32-E72D297353CC}">
              <c16:uniqueId val="{00000006-A576-4E32-8526-66E3A33BC92A}"/>
            </c:ext>
          </c:extLst>
        </c:ser>
        <c:ser>
          <c:idx val="7"/>
          <c:order val="7"/>
          <c:tx>
            <c:strRef>
              <c:f>Dashboard!$G$41</c:f>
              <c:strCache>
                <c:ptCount val="1"/>
                <c:pt idx="0">
                  <c:v>Oficina</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Dashboard!$H$33</c:f>
              <c:strCache>
                <c:ptCount val="1"/>
                <c:pt idx="0">
                  <c:v>Cantidad Equipos</c:v>
                </c:pt>
              </c:strCache>
            </c:strRef>
          </c:cat>
          <c:val>
            <c:numRef>
              <c:f>Dashboard!$H$41</c:f>
              <c:numCache>
                <c:formatCode>General</c:formatCode>
                <c:ptCount val="1"/>
                <c:pt idx="0">
                  <c:v>7</c:v>
                </c:pt>
              </c:numCache>
            </c:numRef>
          </c:val>
          <c:extLst>
            <c:ext xmlns:c16="http://schemas.microsoft.com/office/drawing/2014/chart" uri="{C3380CC4-5D6E-409C-BE32-E72D297353CC}">
              <c16:uniqueId val="{00000007-A576-4E32-8526-66E3A33BC92A}"/>
            </c:ext>
          </c:extLst>
        </c:ser>
        <c:ser>
          <c:idx val="8"/>
          <c:order val="8"/>
          <c:tx>
            <c:strRef>
              <c:f>Dashboard!$G$42</c:f>
              <c:strCache>
                <c:ptCount val="1"/>
                <c:pt idx="0">
                  <c:v>Palmucho</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Dashboard!$H$33</c:f>
              <c:strCache>
                <c:ptCount val="1"/>
                <c:pt idx="0">
                  <c:v>Cantidad Equipos</c:v>
                </c:pt>
              </c:strCache>
            </c:strRef>
          </c:cat>
          <c:val>
            <c:numRef>
              <c:f>Dashboard!$H$42</c:f>
              <c:numCache>
                <c:formatCode>General</c:formatCode>
                <c:ptCount val="1"/>
                <c:pt idx="0">
                  <c:v>37</c:v>
                </c:pt>
              </c:numCache>
            </c:numRef>
          </c:val>
          <c:extLst>
            <c:ext xmlns:c16="http://schemas.microsoft.com/office/drawing/2014/chart" uri="{C3380CC4-5D6E-409C-BE32-E72D297353CC}">
              <c16:uniqueId val="{00000008-A576-4E32-8526-66E3A33BC92A}"/>
            </c:ext>
          </c:extLst>
        </c:ser>
        <c:ser>
          <c:idx val="9"/>
          <c:order val="9"/>
          <c:tx>
            <c:strRef>
              <c:f>Dashboard!$G$43</c:f>
              <c:strCache>
                <c:ptCount val="1"/>
                <c:pt idx="0">
                  <c:v>Pelluhue</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Dashboard!$H$33</c:f>
              <c:strCache>
                <c:ptCount val="1"/>
                <c:pt idx="0">
                  <c:v>Cantidad Equipos</c:v>
                </c:pt>
              </c:strCache>
            </c:strRef>
          </c:cat>
          <c:val>
            <c:numRef>
              <c:f>Dashboard!$H$43</c:f>
              <c:numCache>
                <c:formatCode>General</c:formatCode>
                <c:ptCount val="1"/>
                <c:pt idx="0">
                  <c:v>2</c:v>
                </c:pt>
              </c:numCache>
            </c:numRef>
          </c:val>
          <c:extLst>
            <c:ext xmlns:c16="http://schemas.microsoft.com/office/drawing/2014/chart" uri="{C3380CC4-5D6E-409C-BE32-E72D297353CC}">
              <c16:uniqueId val="{00000009-A576-4E32-8526-66E3A33BC92A}"/>
            </c:ext>
          </c:extLst>
        </c:ser>
        <c:ser>
          <c:idx val="10"/>
          <c:order val="10"/>
          <c:tx>
            <c:strRef>
              <c:f>Dashboard!$G$44</c:f>
              <c:strCache>
                <c:ptCount val="1"/>
                <c:pt idx="0">
                  <c:v>Quirihue</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Dashboard!$H$33</c:f>
              <c:strCache>
                <c:ptCount val="1"/>
                <c:pt idx="0">
                  <c:v>Cantidad Equipos</c:v>
                </c:pt>
              </c:strCache>
            </c:strRef>
          </c:cat>
          <c:val>
            <c:numRef>
              <c:f>Dashboard!$H$44</c:f>
              <c:numCache>
                <c:formatCode>General</c:formatCode>
                <c:ptCount val="1"/>
                <c:pt idx="0">
                  <c:v>12</c:v>
                </c:pt>
              </c:numCache>
            </c:numRef>
          </c:val>
          <c:extLst>
            <c:ext xmlns:c16="http://schemas.microsoft.com/office/drawing/2014/chart" uri="{C3380CC4-5D6E-409C-BE32-E72D297353CC}">
              <c16:uniqueId val="{0000000A-A576-4E32-8526-66E3A33BC92A}"/>
            </c:ext>
          </c:extLst>
        </c:ser>
        <c:ser>
          <c:idx val="11"/>
          <c:order val="11"/>
          <c:tx>
            <c:strRef>
              <c:f>Dashboard!$G$45</c:f>
              <c:strCache>
                <c:ptCount val="1"/>
                <c:pt idx="0">
                  <c:v>RAUCO</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Dashboard!$H$33</c:f>
              <c:strCache>
                <c:ptCount val="1"/>
                <c:pt idx="0">
                  <c:v>Cantidad Equipos</c:v>
                </c:pt>
              </c:strCache>
            </c:strRef>
          </c:cat>
          <c:val>
            <c:numRef>
              <c:f>Dashboard!$H$45</c:f>
              <c:numCache>
                <c:formatCode>General</c:formatCode>
                <c:ptCount val="1"/>
                <c:pt idx="0">
                  <c:v>1</c:v>
                </c:pt>
              </c:numCache>
            </c:numRef>
          </c:val>
          <c:extLst>
            <c:ext xmlns:c16="http://schemas.microsoft.com/office/drawing/2014/chart" uri="{C3380CC4-5D6E-409C-BE32-E72D297353CC}">
              <c16:uniqueId val="{0000000B-A576-4E32-8526-66E3A33BC92A}"/>
            </c:ext>
          </c:extLst>
        </c:ser>
        <c:ser>
          <c:idx val="12"/>
          <c:order val="12"/>
          <c:tx>
            <c:strRef>
              <c:f>Dashboard!$G$46</c:f>
              <c:strCache>
                <c:ptCount val="1"/>
                <c:pt idx="0">
                  <c:v>Retiro</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Dashboard!$H$33</c:f>
              <c:strCache>
                <c:ptCount val="1"/>
                <c:pt idx="0">
                  <c:v>Cantidad Equipos</c:v>
                </c:pt>
              </c:strCache>
            </c:strRef>
          </c:cat>
          <c:val>
            <c:numRef>
              <c:f>Dashboard!$H$46</c:f>
              <c:numCache>
                <c:formatCode>General</c:formatCode>
                <c:ptCount val="1"/>
                <c:pt idx="0">
                  <c:v>2</c:v>
                </c:pt>
              </c:numCache>
            </c:numRef>
          </c:val>
          <c:extLst>
            <c:ext xmlns:c16="http://schemas.microsoft.com/office/drawing/2014/chart" uri="{C3380CC4-5D6E-409C-BE32-E72D297353CC}">
              <c16:uniqueId val="{0000000C-A576-4E32-8526-66E3A33BC92A}"/>
            </c:ext>
          </c:extLst>
        </c:ser>
        <c:dLbls>
          <c:dLblPos val="ctr"/>
          <c:showLegendKey val="0"/>
          <c:showVal val="1"/>
          <c:showCatName val="0"/>
          <c:showSerName val="0"/>
          <c:showPercent val="0"/>
          <c:showBubbleSize val="0"/>
        </c:dLbls>
        <c:gapWidth val="80"/>
        <c:overlap val="25"/>
        <c:axId val="27088799"/>
        <c:axId val="27087839"/>
      </c:barChart>
      <c:catAx>
        <c:axId val="2708879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s-CL"/>
          </a:p>
        </c:txPr>
        <c:crossAx val="27087839"/>
        <c:crosses val="autoZero"/>
        <c:auto val="1"/>
        <c:lblAlgn val="ctr"/>
        <c:lblOffset val="100"/>
        <c:noMultiLvlLbl val="0"/>
      </c:catAx>
      <c:valAx>
        <c:axId val="2708783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s-CL"/>
          </a:p>
        </c:txPr>
        <c:crossAx val="2708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roboto" panose="02000000000000000000" pitchFamily="2" charset="0"/>
            </a:defRPr>
          </a:pPr>
          <a:endParaRPr lang="es-CL"/>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20</xdr:row>
      <xdr:rowOff>4760</xdr:rowOff>
    </xdr:from>
    <xdr:to>
      <xdr:col>14</xdr:col>
      <xdr:colOff>57150</xdr:colOff>
      <xdr:row>61</xdr:row>
      <xdr:rowOff>171449</xdr:rowOff>
    </xdr:to>
    <xdr:graphicFrame macro="">
      <xdr:nvGraphicFramePr>
        <xdr:cNvPr id="4" name="Gráfico 3">
          <a:extLst>
            <a:ext uri="{FF2B5EF4-FFF2-40B4-BE49-F238E27FC236}">
              <a16:creationId xmlns:a16="http://schemas.microsoft.com/office/drawing/2014/main" id="{8ADF8228-56ED-B63E-4AEA-968594DE4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blEquipos" displayName="tblEquipos" ref="A3:K249" totalsRowShown="0">
  <autoFilter ref="A3:K249" xr:uid="{00000000-0009-0000-0100-000003000000}">
    <filterColumn colId="2">
      <filters>
        <filter val="Maxus"/>
      </filters>
    </filterColumn>
    <filterColumn colId="7">
      <filters>
        <filter val="No operativo"/>
        <filter val="Operativo"/>
        <filter val="Taller"/>
      </filters>
    </filterColumn>
  </autoFilter>
  <sortState xmlns:xlrd2="http://schemas.microsoft.com/office/spreadsheetml/2017/richdata2" ref="A4:K247">
    <sortCondition ref="A3:A247"/>
  </sortState>
  <tableColumns count="11">
    <tableColumn id="1" xr3:uid="{00000000-0010-0000-0000-000001000000}" name="Codigo"/>
    <tableColumn id="2" xr3:uid="{00000000-0010-0000-0000-000002000000}" name="Tipo Equipo"/>
    <tableColumn id="3" xr3:uid="{00000000-0010-0000-0000-000003000000}" name="Marca"/>
    <tableColumn id="4" xr3:uid="{00000000-0010-0000-0000-000004000000}" name="Modelo"/>
    <tableColumn id="5" xr3:uid="{00000000-0010-0000-0000-000005000000}" name="Año"/>
    <tableColumn id="6" xr3:uid="{00000000-0010-0000-0000-000006000000}" name="Ubicacion"/>
    <tableColumn id="7" xr3:uid="{00000000-0010-0000-0000-000007000000}" name="Responsable"/>
    <tableColumn id="8" xr3:uid="{00000000-0010-0000-0000-000008000000}" name="Estado Base"/>
    <tableColumn id="9" xr3:uid="{00000000-0010-0000-0000-000009000000}" name="Control Base" dataDxfId="40"/>
    <tableColumn id="10" xr3:uid="{00000000-0010-0000-0000-00000A000000}" name="Frecuencia Base" dataDxfId="39"/>
    <tableColumn id="11" xr3:uid="{00000000-0010-0000-0000-00000B000000}" name="Promedio Diario"/>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blLecturas" displayName="tblLecturas" ref="A3:G3993" totalsRowShown="0">
  <autoFilter ref="A3:G3993" xr:uid="{00000000-0009-0000-0100-000004000000}">
    <filterColumn colId="1">
      <filters>
        <filter val="VD-84"/>
      </filters>
    </filterColumn>
  </autoFilter>
  <sortState xmlns:xlrd2="http://schemas.microsoft.com/office/spreadsheetml/2017/richdata2" ref="A4:G3993">
    <sortCondition ref="A3:A3993"/>
  </sortState>
  <tableColumns count="7">
    <tableColumn id="1" xr3:uid="{00000000-0010-0000-0100-000001000000}" name="Fecha" dataDxfId="38"/>
    <tableColumn id="2" xr3:uid="{00000000-0010-0000-0100-000002000000}" name="Codigo"/>
    <tableColumn id="3" xr3:uid="{00000000-0010-0000-0100-000003000000}" name="Horometro"/>
    <tableColumn id="4" xr3:uid="{00000000-0010-0000-0100-000004000000}" name="Kilometraje"/>
    <tableColumn id="5" xr3:uid="{00000000-0010-0000-0100-000005000000}" name="Obra / Ubicacion"/>
    <tableColumn id="6" xr3:uid="{00000000-0010-0000-0100-000006000000}" name="Responsable"/>
    <tableColumn id="7" xr3:uid="{00000000-0010-0000-0100-000007000000}" name="Observacio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blMantenciones" displayName="tblMantenciones" ref="A3:J709" totalsRowShown="0">
  <autoFilter ref="A3:J709" xr:uid="{00000000-0009-0000-0100-000006000000}">
    <filterColumn colId="1">
      <filters>
        <filter val="VD-132"/>
      </filters>
    </filterColumn>
  </autoFilter>
  <tableColumns count="10">
    <tableColumn id="1" xr3:uid="{00000000-0010-0000-0200-000001000000}" name="Fecha"/>
    <tableColumn id="2" xr3:uid="{00000000-0010-0000-0200-000002000000}" name="Codigo"/>
    <tableColumn id="3" xr3:uid="{00000000-0010-0000-0200-000003000000}" name="Tipo Mantencion"/>
    <tableColumn id="4" xr3:uid="{00000000-0010-0000-0200-000004000000}" name="Lectura"/>
    <tableColumn id="5" xr3:uid="{00000000-0010-0000-0200-000005000000}" name="EsPM"/>
    <tableColumn id="6" xr3:uid="{00000000-0010-0000-0200-000006000000}" name="Folio"/>
    <tableColumn id="7" xr3:uid="{00000000-0010-0000-0200-000007000000}" name="Lugar"/>
    <tableColumn id="8" xr3:uid="{00000000-0010-0000-0200-000008000000}" name="Mecanico"/>
    <tableColumn id="9" xr3:uid="{00000000-0010-0000-0200-000009000000}" name="Costo Mantencion CLP"/>
    <tableColumn id="10" xr3:uid="{00000000-0010-0000-0200-00000A000000}" name="Estado"/>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CCE2AEA-272E-4654-AA17-3AC895A57B6F}" name="Tabla11" displayName="Tabla11" ref="A3:F45" totalsRowShown="0">
  <autoFilter ref="A3:F45" xr:uid="{ACCE2AEA-272E-4654-AA17-3AC895A57B6F}"/>
  <tableColumns count="6">
    <tableColumn id="1" xr3:uid="{4EDDFB61-6F3F-47A5-93ED-1AF82AB8CA64}" name="Codigo OEM"/>
    <tableColumn id="2" xr3:uid="{521DA736-365C-4C32-96F4-02B96E044120}" name="Nombre"/>
    <tableColumn id="3" xr3:uid="{6F60FEDF-A2EE-485C-BBD5-C2AEF71D71DE}" name="Categoria"/>
    <tableColumn id="4" xr3:uid="{06E5A30C-E332-4221-BE8C-BCAABA738F8A}" name="Stock"/>
    <tableColumn id="5" xr3:uid="{81950EAE-0E52-4176-82C5-C09917B3B9BF}" name="Precio"/>
    <tableColumn id="6" xr3:uid="{6E85990B-11E9-4FBD-84B2-42093E32F08F}" name="Ubicacion"/>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8E38677-3253-4922-9B60-A3A4ACE6C8FA}" name="Tabla12" displayName="Tabla12" ref="A3:C114" insertRowShift="1" totalsRowShown="0">
  <autoFilter ref="A3:C114" xr:uid="{58E38677-3253-4922-9B60-A3A4ACE6C8FA}"/>
  <tableColumns count="3">
    <tableColumn id="1" xr3:uid="{D1449A6C-15E5-42BC-A241-D1F117F87E0E}" name="Modelo Equipo" dataDxfId="37"/>
    <tableColumn id="2" xr3:uid="{767C51C2-6902-4D01-8F49-CB6A7D6B204F}" name="SKU Repuesto"/>
    <tableColumn id="3" xr3:uid="{8CF4D775-6AC9-47D8-9237-7367F7A4309B}" name="Cantida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blComprasPM" displayName="tblComprasPM" ref="A3:H377" totalsRowShown="0">
  <autoFilter ref="A3:H377" xr:uid="{00000000-0009-0000-0100-000002000000}"/>
  <sortState xmlns:xlrd2="http://schemas.microsoft.com/office/spreadsheetml/2017/richdata2" ref="A4:H360">
    <sortCondition ref="A3:A360"/>
  </sortState>
  <tableColumns count="8">
    <tableColumn id="1" xr3:uid="{00000000-0010-0000-0300-000001000000}" name="Fecha"/>
    <tableColumn id="2" xr3:uid="{00000000-0010-0000-0300-000002000000}" name="OC"/>
    <tableColumn id="3" xr3:uid="{00000000-0010-0000-0300-000003000000}" name="Codigo">
      <calculatedColumnFormula>_xlfn.TEXTAFTER(TRIM(tblComprasPM[[#This Row],[Descripcion]]), " ", -1)</calculatedColumnFormula>
    </tableColumn>
    <tableColumn id="4" xr3:uid="{00000000-0010-0000-0300-000004000000}" name="Descripcion"/>
    <tableColumn id="5" xr3:uid="{00000000-0010-0000-0300-000005000000}" name="Proveedor"/>
    <tableColumn id="6" xr3:uid="{00000000-0010-0000-0300-000006000000}" name="Costo PM CLP" dataDxfId="36"/>
    <tableColumn id="7" xr3:uid="{00000000-0010-0000-0300-000007000000}" name="Regla"/>
    <tableColumn id="8" xr3:uid="{00000000-0010-0000-0300-000008000000}" name="Estado OC"/>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tblBodega" displayName="tblBodega" ref="A3:H172" totalsRowShown="0">
  <autoFilter ref="A3:H172" xr:uid="{00000000-0009-0000-0100-000001000000}"/>
  <sortState xmlns:xlrd2="http://schemas.microsoft.com/office/spreadsheetml/2017/richdata2" ref="A4:H117">
    <sortCondition ref="B3:B117"/>
  </sortState>
  <tableColumns count="8">
    <tableColumn id="1" xr3:uid="{00000000-0010-0000-0400-000001000000}" name="Folio"/>
    <tableColumn id="2" xr3:uid="{00000000-0010-0000-0400-000002000000}" name="Fecha"/>
    <tableColumn id="3" xr3:uid="{00000000-0010-0000-0400-000003000000}" name="Equipo"/>
    <tableColumn id="4" xr3:uid="{00000000-0010-0000-0400-000004000000}" name="Envio"/>
    <tableColumn id="5" xr3:uid="{00000000-0010-0000-0400-000005000000}" name="Persona que retiro"/>
    <tableColumn id="6" xr3:uid="{00000000-0010-0000-0400-000006000000}" name="Destino"/>
    <tableColumn id="7" xr3:uid="{00000000-0010-0000-0400-000007000000}" name="Comentario"/>
    <tableColumn id="8" xr3:uid="{00000000-0010-0000-0400-000008000000}" name="Codigo"/>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blMaestroEquipos" displayName="tblMaestroEquipos" ref="A3:AJ242" totalsRowShown="0">
  <autoFilter ref="A3:AJ242" xr:uid="{00000000-0009-0000-0100-000005000000}"/>
  <sortState xmlns:xlrd2="http://schemas.microsoft.com/office/spreadsheetml/2017/richdata2" ref="A4:AJ242">
    <sortCondition ref="A3:A242"/>
  </sortState>
  <tableColumns count="36">
    <tableColumn id="1" xr3:uid="{00000000-0010-0000-0500-000001000000}" name="Codigo"/>
    <tableColumn id="2" xr3:uid="{00000000-0010-0000-0500-000002000000}" name="Tipo Equipo"/>
    <tableColumn id="3" xr3:uid="{00000000-0010-0000-0500-000003000000}" name="Familia"/>
    <tableColumn id="4" xr3:uid="{00000000-0010-0000-0500-000004000000}" name="Marca"/>
    <tableColumn id="5" xr3:uid="{00000000-0010-0000-0500-000005000000}" name="Modelo"/>
    <tableColumn id="6" xr3:uid="{00000000-0010-0000-0500-000006000000}" name="Año"/>
    <tableColumn id="7" xr3:uid="{00000000-0010-0000-0500-000007000000}" name="Ubicacion" dataDxfId="27">
      <calculatedColumnFormula>IFERROR(_xlfn.XLOOKUP($A4,tblEquipos[Codigo],tblEquipos[Ubicacion],""),"")</calculatedColumnFormula>
    </tableColumn>
    <tableColumn id="8" xr3:uid="{00000000-0010-0000-0500-000008000000}" name="Responsable"/>
    <tableColumn id="9" xr3:uid="{00000000-0010-0000-0500-000009000000}" name="Control Base">
      <calculatedColumnFormula>IFERROR(VLOOKUP(A4, Equipos!A:J, 9, FALSE), "")</calculatedColumnFormula>
    </tableColumn>
    <tableColumn id="10" xr3:uid="{00000000-0010-0000-0500-00000A000000}" name="Frecuencia Base">
      <calculatedColumnFormula>IFERROR(VLOOKUP(A4, Equipos!A:J, 10, FALSE), "")</calculatedColumnFormula>
    </tableColumn>
    <tableColumn id="11" xr3:uid="{00000000-0010-0000-0500-00000B000000}" name="Promedio Diario">
      <calculatedColumnFormula>IFERROR(IF($I4="KM",ROUND((_xlfn.MAXIFS(tblLecturas[Kilometraje],tblLecturas[Codigo],$A4)-_xlfn.MINIFS(tblLecturas[Kilometraje],tblLecturas[Codigo],$A4))/(MAX(1,_xlfn.MAXIFS(tblLecturas[Fecha],tblLecturas[Codigo],$A4)-_xlfn.MINIFS(tblLecturas[Fecha],tblLecturas[Codigo],$A4))),1),ROUND((_xlfn.MAXIFS(tblLecturas[Horometro],tblLecturas[Codigo],$A4)-_xlfn.MINIFS(tblLecturas[Horometro],tblLecturas[Codigo],$A4))/(MAX(1,_xlfn.MAXIFS(tblLecturas[Fecha],tblLecturas[Codigo],$A4)-_xlfn.MINIFS(tblLecturas[Fecha],tblLecturas[Codigo],$A4))),1)),"")</calculatedColumnFormula>
    </tableColumn>
    <tableColumn id="12" xr3:uid="{00000000-0010-0000-0500-00000C000000}" name="Ultima Fecha Lectura">
      <calculatedColumnFormula>IFERROR(_xlfn.MAXIFS(tblLecturas[Fecha],tblLecturas[Codigo],$A4),"")</calculatedColumnFormula>
    </tableColumn>
    <tableColumn id="13" xr3:uid="{00000000-0010-0000-0500-00000D000000}" name="Ultimo Horometro" dataDxfId="26">
      <calculatedColumnFormula>IFERROR(_xlfn.MAXIFS(Lecturas!$C:$C,Lecturas!$B:$B,$A4,Lecturas!$C:$C,"&gt;0"),"")</calculatedColumnFormula>
    </tableColumn>
    <tableColumn id="14" xr3:uid="{00000000-0010-0000-0500-00000E000000}" name="Ultimo Kilometraje" dataDxfId="25">
      <calculatedColumnFormula>IFERROR(_xlfn.MAXIFS(tblLecturas[Kilometraje],tblLecturas[Codigo],$A4,tblLecturas[Kilometraje],"&gt;0"),"")</calculatedColumnFormula>
    </tableColumn>
    <tableColumn id="15" xr3:uid="{00000000-0010-0000-0500-00000F000000}" name="Lectura Actual" dataDxfId="24">
      <calculatedColumnFormula array="1">IFERROR(IF($I4="KM",LOOKUP(2,1/(Lecturas!$B:$B=$A4)/(Lecturas!$D:$D&gt;0),Lecturas!$D:$D),LOOKUP(2,1/(Lecturas!$B:$B=$A4)/(Lecturas!$C:$C&gt;0),Lecturas!$C:$C)),"")</calculatedColumnFormula>
    </tableColumn>
    <tableColumn id="16" xr3:uid="{00000000-0010-0000-0500-000010000000}" name="Ultima Fecha PM" dataDxfId="23"/>
    <tableColumn id="17" xr3:uid="{00000000-0010-0000-0500-000011000000}" name="Ultima PM" dataDxfId="22">
      <calculatedColumnFormula>IF(_xlfn.MAXIFS(Mantenciones!$D:$D,Mantenciones!$B:$B,A4)=0,"Sin datos de mantención registrado",_xlfn.MAXIFS(Mantenciones!$D:$D,Mantenciones!$B:$B,A4))</calculatedColumnFormula>
    </tableColumn>
    <tableColumn id="18" xr3:uid="{00000000-0010-0000-0500-000012000000}" name="Ultima Lectura PM" dataDxfId="21">
      <calculatedColumnFormula>IFERROR(IF(_xlfn.MAXIFS(Mantenciones!$D:$D,Mantenciones!$B:$B,$A4,Mantenciones!$E:$E,"Sí",Mantenciones!$D:$D,"&gt;0")=0,"Sin datos de mantención registrado",_xlfn.MAXIFS(Mantenciones!$D:$D,Mantenciones!$B:$B,$A4,Mantenciones!$E:$E,"Sí",Mantenciones!$D:$D,"&gt;0")),"Sin datos de mantención registrado")</calculatedColumnFormula>
    </tableColumn>
    <tableColumn id="19" xr3:uid="{00000000-0010-0000-0500-000013000000}" name="Costo Mantenciones CLP" dataDxfId="20"/>
    <tableColumn id="20" xr3:uid="{00000000-0010-0000-0500-000014000000}" name="Costo Compras PM CLP"/>
    <tableColumn id="21" xr3:uid="{00000000-0010-0000-0500-000015000000}" name="Costo Total PM CLP"/>
    <tableColumn id="22" xr3:uid="{00000000-0010-0000-0500-000016000000}" name="Estado Operacional"/>
    <tableColumn id="23" xr3:uid="{00000000-0010-0000-0500-000017000000}" name="Estado CMMS" dataDxfId="19">
      <calculatedColumnFormula>IF(OR(TRIM($V4)="Fuera de Servicio",TRIM($V4)="Fuera de servicio"),"FUERA DE SERVICIO",IF(OR(TRIM($V4)="Taller",TRIM($V4)="En taller",TRIM($V4)="EN TALLER"),"EN TALLER",IF($AD4="PENDIENTE","POR RECIBIR",IF(AND($Z4&lt;&gt;"",$AA4=""),"EN PROCESO",IF(AND(ISNUMBER($X4),$X4&lt;0),"ATRASADA",IF(AND(ISNUMBER($X4),$X4&lt;=30),"PRÓXIMA","AL DÍA"))))))</calculatedColumnFormula>
    </tableColumn>
    <tableColumn id="24" xr3:uid="{00000000-0010-0000-0500-000018000000}" name="Dias a Proxima Mantencion" dataDxfId="18">
      <calculatedColumnFormula>IF(OR(NOT(ISNUMBER(R4)),NOT(ISNUMBER(J4)),NOT(ISNUMBER(O4))),"",
(R4+J4)-O4)</calculatedColumnFormula>
    </tableColumn>
    <tableColumn id="25" xr3:uid="{00000000-0010-0000-0500-000019000000}" name="Fecha Est. Proxima Mantencion" dataDxfId="17"/>
    <tableColumn id="26" xr3:uid="{00000000-0010-0000-0500-00001A000000}" name="Fecha Compra PM"/>
    <tableColumn id="27" xr3:uid="{00000000-0010-0000-0500-00001B000000}" name="Fecha Salida Bodega"/>
    <tableColumn id="28" xr3:uid="{00000000-0010-0000-0500-00001C000000}" name="Tiempo Compra → Mantención"/>
    <tableColumn id="29" xr3:uid="{00000000-0010-0000-0500-00001D000000}" name="Tiempo Bodega → Mantención"/>
    <tableColumn id="30" xr3:uid="{00000000-0010-0000-0500-00001E000000}" name="Estado Bodega → Mantención"/>
    <tableColumn id="31" xr3:uid="{00000000-0010-0000-0500-00001F000000}" name="Estado Operativo Real" dataDxfId="16">
      <calculatedColumnFormula>IF(TRIM(V4)="Fuera de servicio","FUERA DE SERVICIO",
IF(OR(TRIM(V4)="Taller",TRIM(V4)="En taller"),"EN TALLER",
IF(W4="ATRASADO","ATRASADO",
IF(W4="EN PROCESO","EN PROCESO",
IF(W4="PRÓXIMO","PRÓXIMO",
"OPERATIVO")))))</calculatedColumnFormula>
    </tableColumn>
    <tableColumn id="32" xr3:uid="{00000000-0010-0000-0500-000020000000}" name="Prioridad Taller"/>
    <tableColumn id="33" xr3:uid="{00000000-0010-0000-0500-000021000000}" name="Acción Sugerida"/>
    <tableColumn id="34" xr3:uid="{D00059DC-8609-4462-8EEE-A63BEAAD7A2D}" name="_CompraRequerida">
      <calculatedColumnFormula>IF(AND(OR($AE4="ATRASADA",$AE4="PRÓXIMA"),$Z4="",$AA4=""),1,0)</calculatedColumnFormula>
    </tableColumn>
    <tableColumn id="35" xr3:uid="{BB578AAC-BD38-4171-9CC0-46B3FDC0A4F0}" name="_OrdenCompra">
      <calculatedColumnFormula>IF(OR($AH4=0,$Y4=""),"",SUMPRODUCT(($AH$4:$AH$242=1)*(($Y$4:$Y$242&lt;$Y4)+(($Y$4:$Y$242=$Y4)*(ROW($Y$4:$Y$242)&lt;=ROW())))))</calculatedColumnFormula>
    </tableColumn>
    <tableColumn id="36" xr3:uid="{9AEE22D7-053B-4C03-9D46-D1D578DB924D}" name="Criticidad" dataDxfId="15">
      <calculatedColumnFormula>IF(W4="ATRASADA",1,IF(W4="EN PROCESO",2,IF(W4="POR RECIBIR",3,99)))</calculatedColumnFormula>
    </tableColum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blPlanMantenciones" displayName="tblPlanMantenciones" ref="A3:S247" totalsRowShown="0">
  <autoFilter ref="A3:S247" xr:uid="{00000000-0009-0000-0100-000009000000}">
    <filterColumn colId="9">
      <filters>
        <filter val="Fuera de Servicio"/>
        <filter val="Operativo"/>
        <filter val="Taller"/>
      </filters>
    </filterColumn>
  </autoFilter>
  <sortState xmlns:xlrd2="http://schemas.microsoft.com/office/spreadsheetml/2017/richdata2" ref="A4:S247">
    <sortCondition ref="H3:H247"/>
  </sortState>
  <tableColumns count="19">
    <tableColumn id="1" xr3:uid="{00000000-0010-0000-0600-000001000000}" name="Codigo">
      <calculatedColumnFormula array="1">IFERROR(INDEX(_xlfn._xlws.FILTER(Maestro_Equipos!$A$4:$A$242,Maestro_Equipos!$A$4:$A$242&lt;&gt;""),ROWS($A$4:A4)),"")</calculatedColumnFormula>
    </tableColumn>
    <tableColumn id="2" xr3:uid="{00000000-0010-0000-0600-000002000000}" name="Tipo Equipo">
      <calculatedColumnFormula>IFERROR(_xlfn.XLOOKUP($A4,Maestro_Equipos!$A$4:$A$242,Maestro_Equipos!$B$4:$B$242,""),"")</calculatedColumnFormula>
    </tableColumn>
    <tableColumn id="3" xr3:uid="{00000000-0010-0000-0600-000003000000}" name="Familia">
      <calculatedColumnFormula>IFERROR(_xlfn.XLOOKUP($A4,Maestro_Equipos!$A$4:$A$242,Maestro_Equipos!$C$4:$C$242,""),"")</calculatedColumnFormula>
    </tableColumn>
    <tableColumn id="4" xr3:uid="{00000000-0010-0000-0600-000004000000}" name="Control"/>
    <tableColumn id="5" xr3:uid="{00000000-0010-0000-0600-000005000000}" name="Lectura Actual" dataDxfId="11">
      <calculatedColumnFormula>IFERROR(IF($D4="KM",_xlfn.XLOOKUP($A4,Maestro_Equipos!$A:$A,Maestro_Equipos!$N:$N,""),_xlfn.XLOOKUP($A4,Maestro_Equipos!$A:$A,Maestro_Equipos!$M:$M,"")),"")</calculatedColumnFormula>
    </tableColumn>
    <tableColumn id="6" xr3:uid="{00000000-0010-0000-0600-000006000000}" name="Proxima Lectura Objetivo" dataDxfId="10">
      <calculatedColumnFormula>IFERROR(_xlfn.XLOOKUP($A4,Maestro_Equipos!$A:$A,Maestro_Equipos!$R:$R,"")+_xlfn.XLOOKUP($A4,Maestro_Equipos!$A:$A,Maestro_Equipos!$J:$J,""),"")</calculatedColumnFormula>
    </tableColumn>
    <tableColumn id="7" xr3:uid="{00000000-0010-0000-0600-000007000000}" name="Promedio Diario" dataDxfId="9">
      <calculatedColumnFormula>IFERROR(_xlfn.XLOOKUP($A4,Maestro_Equipos!$A:$A,Maestro_Equipos!$K:$K,""),"")</calculatedColumnFormula>
    </tableColumn>
    <tableColumn id="8" xr3:uid="{00000000-0010-0000-0600-000008000000}" name="Dias Estimados">
      <calculatedColumnFormula>IFERROR(IF(OR($E4="",$F4="",$G4="",$G4&lt;=0),"",ROUND(($F4-$E4)/$G4,0)),"")</calculatedColumnFormula>
    </tableColumn>
    <tableColumn id="9" xr3:uid="{00000000-0010-0000-0600-000009000000}" name="Fecha Estimada" dataDxfId="8">
      <calculatedColumnFormula>IFERROR(IF($H4="","",TODAY()+$H4),"")</calculatedColumnFormula>
    </tableColumn>
    <tableColumn id="10" xr3:uid="{00000000-0010-0000-0600-00000A000000}" name="Estado Operativo">
      <calculatedColumnFormula>IFERROR(INDEX(Maestro_Equipos!$V$4:$V$242,MATCH($A4,Maestro_Equipos!$A$4:$A$242,0)),"")</calculatedColumnFormula>
    </tableColumn>
    <tableColumn id="11" xr3:uid="{00000000-0010-0000-0600-00000B000000}" name="Costo Total PM" dataDxfId="7">
      <calculatedColumnFormula>IFERROR(
   SUMIFS(Mantenciones!$I:$I,Mantenciones!$B:$B,$A4)
 + SUMIFS('Compras PM'!$F:$F,'Compras PM'!$C:$C,$A4),0)</calculatedColumnFormula>
    </tableColumn>
    <tableColumn id="12" xr3:uid="{00000000-0010-0000-0600-00000C000000}" name="Prioridad" dataDxfId="6">
      <calculatedColumnFormula>IF($J4="Fuera de Servicio","NO PROGRAMAR",IF($H4="","SIN DATOS",IF($H4&lt;=0,"VENCIDA",IF($H4&lt;=7,"CRÍTICA",IF($H4&lt;=15,"ALTA",IF($H4&lt;=30,"MEDIA","BAJA"))))))</calculatedColumnFormula>
    </tableColumn>
    <tableColumn id="13" xr3:uid="{00000000-0010-0000-0600-00000D000000}" name="Ultima Fecha PM" dataDxfId="5">
      <calculatedColumnFormula array="1">IFERROR(_xlfn.AGGREGATE(14,6,Mantenciones!$A$3:$A$9916/(Mantenciones!$B$3:$B$9916=$A4),1),"")</calculatedColumnFormula>
    </tableColumn>
    <tableColumn id="14" xr3:uid="{00000000-0010-0000-0600-00000E000000}" name="Fecha Compra PM">
      <calculatedColumnFormula array="1">IFERROR(_xlfn.AGGREGATE(14,6,'Compras PM'!$A$4:$A$10029/('Compras PM'!$C$4:$C$10029=$A4),1),"")</calculatedColumnFormula>
    </tableColumn>
    <tableColumn id="15" xr3:uid="{00000000-0010-0000-0600-00000F000000}" name="Fecha Salida Bodega"/>
    <tableColumn id="16" xr3:uid="{00000000-0010-0000-0600-000010000000}" name="Tiempo Compra → Mant. (días)" dataDxfId="4">
      <calculatedColumnFormula>IFERROR(IF($N4="","",IF(OR($M4="",$M4&lt;$N4),TODAY()-$N4,$M4-$N4)),"")</calculatedColumnFormula>
    </tableColumn>
    <tableColumn id="17" xr3:uid="{00000000-0010-0000-0600-000011000000}" name="Tiempo Bodega → Mant. (días)">
      <calculatedColumnFormula>IFERROR(IF($O4="","",IF(OR($M4="",$M4&lt;$O4),TODAY()-$O4,$M4-$O4)),"")</calculatedColumnFormula>
    </tableColumn>
    <tableColumn id="18" xr3:uid="{00000000-0010-0000-0600-000012000000}" name="Estado Bodega → Mant.">
      <calculatedColumnFormula>IF($O4="","SIN SALIDA",IF(OR($M4="",$M4&lt;$O4),"PENDIENTE","REALIZADA"))</calculatedColumnFormula>
    </tableColumn>
    <tableColumn id="19" xr3:uid="{00000000-0010-0000-0600-000013000000}" name="Acción Sugerida"/>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Plan90Dias" displayName="tblPlan90Dias" ref="A3:G247" totalsRowShown="0">
  <autoFilter ref="A3:G247" xr:uid="{00000000-0009-0000-0100-000008000000}"/>
  <sortState xmlns:xlrd2="http://schemas.microsoft.com/office/spreadsheetml/2017/richdata2" ref="A4:G247">
    <sortCondition ref="E3:E247"/>
  </sortState>
  <tableColumns count="7">
    <tableColumn id="1" xr3:uid="{00000000-0010-0000-0700-000001000000}" name="Codigo"/>
    <tableColumn id="2" xr3:uid="{00000000-0010-0000-0700-000002000000}" name="Tipo Equipo"/>
    <tableColumn id="3" xr3:uid="{00000000-0010-0000-0700-000003000000}" name="Familia"/>
    <tableColumn id="4" xr3:uid="{00000000-0010-0000-0700-000004000000}" name="Fecha Estimada"/>
    <tableColumn id="5" xr3:uid="{00000000-0010-0000-0700-000005000000}" name="Dias Estimados"/>
    <tableColumn id="6" xr3:uid="{00000000-0010-0000-0700-000006000000}" name="Estado"/>
    <tableColumn id="7" xr3:uid="{00000000-0010-0000-0700-000007000000}" name="En 90 dias"/>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blPlannerSemanal" displayName="tblPlannerSemanal" ref="A3:D20" totalsRowShown="0">
  <autoFilter ref="A3:D20" xr:uid="{00000000-0009-0000-0100-00000A000000}"/>
  <tableColumns count="4">
    <tableColumn id="1" xr3:uid="{00000000-0010-0000-0800-000001000000}" name="Semana Inicio"/>
    <tableColumn id="2" xr3:uid="{00000000-0010-0000-0800-000002000000}" name="Semana Fin"/>
    <tableColumn id="3" xr3:uid="{00000000-0010-0000-0800-000003000000}" name="Mantenciones"/>
    <tableColumn id="4" xr3:uid="{00000000-0010-0000-0800-000004000000}" name="Costo PM OC CLP"/>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496BF9F-1EC7-4AD8-999B-89393D484D64}" name="Tabla7" displayName="Tabla7" ref="A3:I2030" totalsRowShown="0" headerRowDxfId="3">
  <autoFilter ref="A3:I2030" xr:uid="{B496BF9F-1EC7-4AD8-999B-89393D484D64}"/>
  <tableColumns count="9">
    <tableColumn id="1" xr3:uid="{5BF92124-E6C6-4C97-96F4-B2345E0CCD84}" name="Fecha" dataDxfId="2"/>
    <tableColumn id="2" xr3:uid="{23775C1F-6F16-4D7B-B023-F77EBFAF41D0}" name="Codigo Equipo"/>
    <tableColumn id="9" xr3:uid="{87B0F40B-5FCB-40F4-B5AD-CEEEB596DEBB}" name="Sistema Falla"/>
    <tableColumn id="3" xr3:uid="{AD675452-6111-4F03-BA29-357D781A0C61}" name="Falla / Averia"/>
    <tableColumn id="4" xr3:uid="{D3108AD9-7866-4702-B80B-423180B54308}" name="Costo CLP" dataDxfId="1"/>
    <tableColumn id="7" xr3:uid="{A0C46F93-4363-4AA4-8AC0-5EA80AB04B0D}" name="Lectura" dataDxfId="0"/>
    <tableColumn id="5" xr3:uid="{B30770AD-0B17-4FC4-A9C6-7B5B1A10F4A1}" name="Estado"/>
    <tableColumn id="6" xr3:uid="{48D19853-AF66-4BCE-B6D4-3C8509BAF321}" name="Folio"/>
    <tableColumn id="8" xr3:uid="{E40A86B1-063F-4606-B986-79A622A5CD48}" name="Mecanic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printerSettings" Target="../printerSettings/printerSettings3.bin"/><Relationship Id="rId1" Type="http://schemas.openxmlformats.org/officeDocument/2006/relationships/hyperlink" Target="mailto:%3DSI.ERROR(SI(MAX.SI.CONJUNTO(tblBodega%5BFecha%5D;tblBodega%5BCodigo%5D;%5B@Codigo%5D)%3D0;%22%22;MAX.SI.CONJUNTO(tblBodega%5BFecha%5D;tblBodega%5BCodigo%5D;%5B@Codigo%5D));%22%22)"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9"/>
  <sheetViews>
    <sheetView zoomScaleNormal="100" workbookViewId="0">
      <pane ySplit="3" topLeftCell="A198" activePane="bottomLeft" state="frozen"/>
      <selection pane="bottomLeft" activeCell="D198" sqref="D198:D200"/>
      <selection activeCell="A287" sqref="A287:XFD287"/>
    </sheetView>
  </sheetViews>
  <sheetFormatPr defaultColWidth="9.140625" defaultRowHeight="15" customHeight="1"/>
  <cols>
    <col min="1" max="1" width="12" customWidth="1"/>
    <col min="2" max="2" width="22" customWidth="1"/>
    <col min="3" max="3" width="14.42578125" bestFit="1" customWidth="1"/>
    <col min="4" max="4" width="21.42578125" customWidth="1"/>
    <col min="5" max="5" width="12" customWidth="1"/>
    <col min="6" max="6" width="16.140625" customWidth="1"/>
    <col min="7" max="7" width="20.85546875" customWidth="1"/>
    <col min="8" max="8" width="16.28515625" customWidth="1"/>
    <col min="9" max="9" width="16.7109375" style="46" bestFit="1" customWidth="1"/>
    <col min="10" max="10" width="19.7109375" bestFit="1" customWidth="1"/>
    <col min="11" max="11" width="19" customWidth="1"/>
  </cols>
  <sheetData>
    <row r="1" spans="1:11" ht="18.75" customHeight="1">
      <c r="A1" s="96" t="s">
        <v>0</v>
      </c>
      <c r="B1" s="96"/>
      <c r="C1" s="96"/>
      <c r="D1" s="96"/>
      <c r="E1" s="96"/>
      <c r="F1" s="96"/>
      <c r="G1" s="96"/>
      <c r="H1" s="96"/>
      <c r="I1" s="96"/>
      <c r="J1" s="96"/>
      <c r="K1" s="96"/>
    </row>
    <row r="3" spans="1:11" ht="27.75" customHeight="1">
      <c r="A3" s="1" t="s">
        <v>1</v>
      </c>
      <c r="B3" s="1" t="s">
        <v>2</v>
      </c>
      <c r="C3" s="1" t="s">
        <v>3</v>
      </c>
      <c r="D3" s="1" t="s">
        <v>4</v>
      </c>
      <c r="E3" s="2" t="s">
        <v>5</v>
      </c>
      <c r="F3" s="1" t="s">
        <v>6</v>
      </c>
      <c r="G3" s="1" t="s">
        <v>7</v>
      </c>
      <c r="H3" s="2" t="s">
        <v>8</v>
      </c>
      <c r="I3" s="78" t="s">
        <v>9</v>
      </c>
      <c r="J3" s="1" t="s">
        <v>10</v>
      </c>
      <c r="K3" s="1" t="s">
        <v>11</v>
      </c>
    </row>
    <row r="4" spans="1:11" hidden="1">
      <c r="A4" t="s">
        <v>12</v>
      </c>
      <c r="B4" t="s">
        <v>13</v>
      </c>
      <c r="C4" t="s">
        <v>14</v>
      </c>
      <c r="D4" s="46">
        <v>26220</v>
      </c>
      <c r="E4">
        <v>2008</v>
      </c>
      <c r="F4" t="s">
        <v>15</v>
      </c>
      <c r="G4" t="s">
        <v>16</v>
      </c>
      <c r="H4" t="s">
        <v>17</v>
      </c>
      <c r="I4" s="46" t="s">
        <v>18</v>
      </c>
      <c r="J4" s="3">
        <v>250</v>
      </c>
      <c r="K4" s="3">
        <v>0</v>
      </c>
    </row>
    <row r="5" spans="1:11" hidden="1">
      <c r="A5" t="s">
        <v>19</v>
      </c>
      <c r="B5" t="s">
        <v>20</v>
      </c>
      <c r="C5" t="s">
        <v>21</v>
      </c>
      <c r="D5" s="46" t="s">
        <v>22</v>
      </c>
      <c r="E5">
        <v>2018</v>
      </c>
      <c r="F5" t="s">
        <v>23</v>
      </c>
      <c r="G5" t="s">
        <v>24</v>
      </c>
      <c r="H5" t="s">
        <v>17</v>
      </c>
      <c r="I5" s="46" t="s">
        <v>18</v>
      </c>
      <c r="J5" s="3">
        <v>500</v>
      </c>
      <c r="K5">
        <v>6.54</v>
      </c>
    </row>
    <row r="6" spans="1:11" hidden="1">
      <c r="A6" t="s">
        <v>25</v>
      </c>
      <c r="B6" t="s">
        <v>20</v>
      </c>
      <c r="C6" t="s">
        <v>21</v>
      </c>
      <c r="D6" s="46" t="s">
        <v>22</v>
      </c>
      <c r="E6">
        <v>2018</v>
      </c>
      <c r="F6" t="s">
        <v>26</v>
      </c>
      <c r="G6" t="s">
        <v>27</v>
      </c>
      <c r="H6" t="s">
        <v>28</v>
      </c>
      <c r="I6" s="46" t="s">
        <v>18</v>
      </c>
      <c r="J6" s="3">
        <v>500</v>
      </c>
    </row>
    <row r="7" spans="1:11" hidden="1">
      <c r="A7" t="s">
        <v>29</v>
      </c>
      <c r="B7" t="s">
        <v>20</v>
      </c>
      <c r="C7" t="s">
        <v>21</v>
      </c>
      <c r="D7" s="46" t="s">
        <v>22</v>
      </c>
      <c r="E7">
        <v>2019</v>
      </c>
      <c r="F7" t="s">
        <v>30</v>
      </c>
      <c r="G7" t="s">
        <v>31</v>
      </c>
      <c r="H7" t="s">
        <v>17</v>
      </c>
      <c r="I7" s="46" t="s">
        <v>18</v>
      </c>
      <c r="J7" s="3">
        <v>250</v>
      </c>
      <c r="K7">
        <v>215.17</v>
      </c>
    </row>
    <row r="8" spans="1:11" hidden="1">
      <c r="A8" t="s">
        <v>32</v>
      </c>
      <c r="B8" t="s">
        <v>20</v>
      </c>
      <c r="C8" t="s">
        <v>21</v>
      </c>
      <c r="D8" s="46" t="s">
        <v>22</v>
      </c>
      <c r="E8">
        <v>2018</v>
      </c>
      <c r="F8" t="s">
        <v>33</v>
      </c>
      <c r="G8" t="s">
        <v>34</v>
      </c>
      <c r="H8" t="s">
        <v>17</v>
      </c>
      <c r="I8" s="46" t="s">
        <v>18</v>
      </c>
      <c r="J8" s="3">
        <v>500</v>
      </c>
      <c r="K8">
        <v>97.16</v>
      </c>
    </row>
    <row r="9" spans="1:11" hidden="1">
      <c r="A9" t="s">
        <v>35</v>
      </c>
      <c r="B9" t="s">
        <v>20</v>
      </c>
      <c r="C9" t="s">
        <v>21</v>
      </c>
      <c r="D9" s="46" t="s">
        <v>22</v>
      </c>
      <c r="E9">
        <v>2019</v>
      </c>
      <c r="F9" t="s">
        <v>30</v>
      </c>
      <c r="G9" t="s">
        <v>27</v>
      </c>
      <c r="H9" t="s">
        <v>17</v>
      </c>
      <c r="I9" s="46" t="s">
        <v>18</v>
      </c>
      <c r="J9" s="3">
        <v>500</v>
      </c>
      <c r="K9">
        <v>120.58</v>
      </c>
    </row>
    <row r="10" spans="1:11" hidden="1">
      <c r="A10" t="s">
        <v>36</v>
      </c>
      <c r="B10" t="s">
        <v>20</v>
      </c>
      <c r="C10" t="s">
        <v>21</v>
      </c>
      <c r="D10" s="46" t="s">
        <v>22</v>
      </c>
      <c r="E10">
        <v>2019</v>
      </c>
      <c r="F10" t="s">
        <v>37</v>
      </c>
      <c r="G10" t="s">
        <v>38</v>
      </c>
      <c r="H10" t="s">
        <v>17</v>
      </c>
      <c r="I10" s="46" t="s">
        <v>18</v>
      </c>
      <c r="J10" s="3">
        <v>500</v>
      </c>
      <c r="K10">
        <v>147.06</v>
      </c>
    </row>
    <row r="11" spans="1:11" hidden="1">
      <c r="A11" t="s">
        <v>39</v>
      </c>
      <c r="B11" t="s">
        <v>13</v>
      </c>
      <c r="C11" t="s">
        <v>40</v>
      </c>
      <c r="D11" s="46">
        <v>7600</v>
      </c>
      <c r="E11">
        <v>2008</v>
      </c>
      <c r="F11" t="s">
        <v>33</v>
      </c>
      <c r="G11" t="s">
        <v>41</v>
      </c>
      <c r="H11" t="s">
        <v>17</v>
      </c>
      <c r="I11" s="46" t="s">
        <v>18</v>
      </c>
      <c r="J11" s="3">
        <v>250</v>
      </c>
      <c r="K11">
        <v>0</v>
      </c>
    </row>
    <row r="12" spans="1:11" hidden="1">
      <c r="A12" t="s">
        <v>42</v>
      </c>
      <c r="B12" t="s">
        <v>43</v>
      </c>
      <c r="C12" t="s">
        <v>44</v>
      </c>
      <c r="D12" s="46" t="s">
        <v>45</v>
      </c>
      <c r="E12">
        <v>2012</v>
      </c>
      <c r="F12" t="s">
        <v>33</v>
      </c>
      <c r="G12" t="s">
        <v>46</v>
      </c>
      <c r="H12" t="s">
        <v>17</v>
      </c>
      <c r="I12" s="46" t="s">
        <v>47</v>
      </c>
      <c r="J12" s="3">
        <v>10000</v>
      </c>
      <c r="K12">
        <v>102.86</v>
      </c>
    </row>
    <row r="13" spans="1:11" hidden="1">
      <c r="A13" t="s">
        <v>48</v>
      </c>
      <c r="B13" t="s">
        <v>43</v>
      </c>
      <c r="C13" t="s">
        <v>49</v>
      </c>
      <c r="D13" s="46" t="s">
        <v>50</v>
      </c>
      <c r="E13">
        <v>2015</v>
      </c>
      <c r="F13" t="s">
        <v>51</v>
      </c>
      <c r="G13" t="s">
        <v>52</v>
      </c>
      <c r="H13" t="s">
        <v>17</v>
      </c>
      <c r="I13" s="46" t="s">
        <v>18</v>
      </c>
      <c r="J13" s="3">
        <v>250</v>
      </c>
      <c r="K13">
        <v>70.849999999999994</v>
      </c>
    </row>
    <row r="14" spans="1:11" hidden="1">
      <c r="A14" t="s">
        <v>53</v>
      </c>
      <c r="B14" t="s">
        <v>43</v>
      </c>
      <c r="C14" t="s">
        <v>54</v>
      </c>
      <c r="D14" s="46" t="s">
        <v>55</v>
      </c>
      <c r="E14">
        <v>2007</v>
      </c>
      <c r="F14" t="s">
        <v>26</v>
      </c>
      <c r="G14" t="s">
        <v>56</v>
      </c>
      <c r="H14" t="s">
        <v>28</v>
      </c>
      <c r="I14" s="46" t="s">
        <v>18</v>
      </c>
      <c r="J14" s="3">
        <v>250</v>
      </c>
    </row>
    <row r="15" spans="1:11" hidden="1">
      <c r="A15" t="s">
        <v>57</v>
      </c>
      <c r="B15" t="s">
        <v>58</v>
      </c>
      <c r="C15" t="s">
        <v>59</v>
      </c>
      <c r="D15" s="46" t="s">
        <v>59</v>
      </c>
      <c r="E15" t="s">
        <v>59</v>
      </c>
      <c r="F15" t="s">
        <v>26</v>
      </c>
      <c r="G15" t="s">
        <v>56</v>
      </c>
      <c r="H15" t="s">
        <v>28</v>
      </c>
      <c r="I15" s="46" t="s">
        <v>18</v>
      </c>
      <c r="J15" s="3">
        <v>250</v>
      </c>
    </row>
    <row r="16" spans="1:11" hidden="1">
      <c r="A16" t="s">
        <v>60</v>
      </c>
      <c r="B16" t="s">
        <v>61</v>
      </c>
      <c r="C16" t="s">
        <v>14</v>
      </c>
      <c r="D16" s="46" t="s">
        <v>62</v>
      </c>
      <c r="E16">
        <v>2011</v>
      </c>
      <c r="F16" t="s">
        <v>63</v>
      </c>
      <c r="G16" t="s">
        <v>64</v>
      </c>
      <c r="H16" t="s">
        <v>17</v>
      </c>
      <c r="I16" s="46" t="s">
        <v>18</v>
      </c>
      <c r="J16" s="3">
        <v>250</v>
      </c>
      <c r="K16">
        <v>0</v>
      </c>
    </row>
    <row r="17" spans="1:11" hidden="1">
      <c r="A17" t="s">
        <v>65</v>
      </c>
      <c r="B17" t="s">
        <v>61</v>
      </c>
      <c r="C17" t="s">
        <v>66</v>
      </c>
      <c r="D17" s="46" t="s">
        <v>67</v>
      </c>
      <c r="E17">
        <v>1998</v>
      </c>
      <c r="F17" t="s">
        <v>33</v>
      </c>
      <c r="G17" t="s">
        <v>68</v>
      </c>
      <c r="H17" t="s">
        <v>17</v>
      </c>
      <c r="I17" s="46" t="s">
        <v>18</v>
      </c>
      <c r="J17" s="3">
        <v>250</v>
      </c>
      <c r="K17">
        <v>2.71</v>
      </c>
    </row>
    <row r="18" spans="1:11" hidden="1">
      <c r="A18" t="s">
        <v>69</v>
      </c>
      <c r="B18" t="s">
        <v>70</v>
      </c>
      <c r="C18" t="s">
        <v>54</v>
      </c>
      <c r="D18" t="s">
        <v>71</v>
      </c>
      <c r="E18">
        <v>2011</v>
      </c>
      <c r="F18" t="s">
        <v>72</v>
      </c>
      <c r="G18" t="s">
        <v>73</v>
      </c>
      <c r="H18" t="s">
        <v>37</v>
      </c>
      <c r="I18" s="46" t="s">
        <v>47</v>
      </c>
      <c r="J18" s="3">
        <v>10000</v>
      </c>
      <c r="K18">
        <v>391.03</v>
      </c>
    </row>
    <row r="19" spans="1:11" hidden="1">
      <c r="A19" t="s">
        <v>74</v>
      </c>
      <c r="B19" t="s">
        <v>43</v>
      </c>
      <c r="C19" t="s">
        <v>75</v>
      </c>
      <c r="D19" t="s">
        <v>76</v>
      </c>
      <c r="E19">
        <v>2012</v>
      </c>
      <c r="F19" t="s">
        <v>37</v>
      </c>
      <c r="G19" t="s">
        <v>77</v>
      </c>
      <c r="H19" t="s">
        <v>17</v>
      </c>
      <c r="I19" s="46" t="s">
        <v>18</v>
      </c>
      <c r="J19" s="3">
        <v>250</v>
      </c>
      <c r="K19">
        <v>0</v>
      </c>
    </row>
    <row r="20" spans="1:11" hidden="1">
      <c r="A20" t="s">
        <v>78</v>
      </c>
      <c r="B20" t="s">
        <v>13</v>
      </c>
      <c r="C20" t="s">
        <v>59</v>
      </c>
      <c r="D20" t="s">
        <v>59</v>
      </c>
      <c r="E20" t="s">
        <v>59</v>
      </c>
      <c r="F20" t="s">
        <v>37</v>
      </c>
      <c r="G20" t="s">
        <v>56</v>
      </c>
      <c r="H20" t="s">
        <v>28</v>
      </c>
      <c r="I20" s="46" t="s">
        <v>18</v>
      </c>
      <c r="J20" s="3">
        <v>250</v>
      </c>
      <c r="K20">
        <v>0</v>
      </c>
    </row>
    <row r="21" spans="1:11" hidden="1">
      <c r="A21" t="s">
        <v>79</v>
      </c>
      <c r="B21" t="s">
        <v>43</v>
      </c>
      <c r="C21" t="s">
        <v>66</v>
      </c>
      <c r="D21" t="s">
        <v>80</v>
      </c>
      <c r="E21">
        <v>2010</v>
      </c>
      <c r="F21" t="s">
        <v>37</v>
      </c>
      <c r="G21" t="s">
        <v>81</v>
      </c>
      <c r="H21" t="s">
        <v>17</v>
      </c>
      <c r="I21" s="46" t="s">
        <v>18</v>
      </c>
      <c r="J21" s="3">
        <v>250</v>
      </c>
      <c r="K21">
        <v>292.62</v>
      </c>
    </row>
    <row r="22" spans="1:11" hidden="1">
      <c r="A22" t="s">
        <v>82</v>
      </c>
      <c r="B22" t="s">
        <v>83</v>
      </c>
      <c r="C22" t="s">
        <v>44</v>
      </c>
      <c r="D22" t="s">
        <v>84</v>
      </c>
      <c r="E22">
        <v>2013</v>
      </c>
      <c r="F22" t="s">
        <v>23</v>
      </c>
      <c r="G22" t="s">
        <v>85</v>
      </c>
      <c r="H22" t="s">
        <v>17</v>
      </c>
      <c r="I22" s="46" t="s">
        <v>18</v>
      </c>
      <c r="J22" s="3">
        <v>250</v>
      </c>
      <c r="K22">
        <v>5.15</v>
      </c>
    </row>
    <row r="23" spans="1:11" hidden="1">
      <c r="A23" t="s">
        <v>86</v>
      </c>
      <c r="B23" t="s">
        <v>20</v>
      </c>
      <c r="C23" t="s">
        <v>21</v>
      </c>
      <c r="D23" t="s">
        <v>87</v>
      </c>
      <c r="E23">
        <v>2024</v>
      </c>
      <c r="F23" t="s">
        <v>51</v>
      </c>
      <c r="G23" t="s">
        <v>88</v>
      </c>
      <c r="H23" t="s">
        <v>17</v>
      </c>
      <c r="I23" s="46" t="s">
        <v>18</v>
      </c>
      <c r="J23" s="3">
        <v>500</v>
      </c>
      <c r="K23">
        <v>121.61</v>
      </c>
    </row>
    <row r="24" spans="1:11" hidden="1">
      <c r="A24" t="s">
        <v>89</v>
      </c>
      <c r="B24" t="s">
        <v>20</v>
      </c>
      <c r="C24" t="s">
        <v>21</v>
      </c>
      <c r="D24" t="s">
        <v>87</v>
      </c>
      <c r="E24">
        <v>2024</v>
      </c>
      <c r="F24" t="s">
        <v>51</v>
      </c>
      <c r="G24" t="s">
        <v>90</v>
      </c>
      <c r="H24" t="s">
        <v>17</v>
      </c>
      <c r="I24" s="46" t="s">
        <v>18</v>
      </c>
      <c r="J24" s="3">
        <v>500</v>
      </c>
      <c r="K24">
        <v>105.37</v>
      </c>
    </row>
    <row r="25" spans="1:11" hidden="1">
      <c r="A25" t="s">
        <v>91</v>
      </c>
      <c r="B25" t="s">
        <v>20</v>
      </c>
      <c r="C25" t="s">
        <v>21</v>
      </c>
      <c r="D25" t="s">
        <v>87</v>
      </c>
      <c r="E25">
        <v>2024</v>
      </c>
      <c r="F25" t="s">
        <v>23</v>
      </c>
      <c r="G25" t="s">
        <v>92</v>
      </c>
      <c r="H25" t="s">
        <v>17</v>
      </c>
      <c r="I25" s="46" t="s">
        <v>18</v>
      </c>
      <c r="J25" s="3">
        <v>500</v>
      </c>
      <c r="K25">
        <v>1.36</v>
      </c>
    </row>
    <row r="26" spans="1:11" hidden="1">
      <c r="A26" t="s">
        <v>93</v>
      </c>
      <c r="B26" t="s">
        <v>20</v>
      </c>
      <c r="C26" t="s">
        <v>21</v>
      </c>
      <c r="D26" t="s">
        <v>87</v>
      </c>
      <c r="E26">
        <v>2024</v>
      </c>
      <c r="F26" t="s">
        <v>23</v>
      </c>
      <c r="G26" t="s">
        <v>94</v>
      </c>
      <c r="H26" t="s">
        <v>17</v>
      </c>
      <c r="I26" s="46" t="s">
        <v>18</v>
      </c>
      <c r="J26" s="3">
        <v>500</v>
      </c>
      <c r="K26">
        <v>42.24</v>
      </c>
    </row>
    <row r="27" spans="1:11" hidden="1">
      <c r="A27" t="s">
        <v>95</v>
      </c>
      <c r="B27" t="s">
        <v>20</v>
      </c>
      <c r="C27" t="s">
        <v>21</v>
      </c>
      <c r="D27" t="s">
        <v>87</v>
      </c>
      <c r="E27">
        <v>2024</v>
      </c>
      <c r="H27" t="s">
        <v>28</v>
      </c>
      <c r="I27" s="46" t="s">
        <v>18</v>
      </c>
      <c r="J27" s="3">
        <v>500</v>
      </c>
      <c r="K27">
        <v>0</v>
      </c>
    </row>
    <row r="28" spans="1:11">
      <c r="A28" t="s">
        <v>96</v>
      </c>
      <c r="B28" t="s">
        <v>97</v>
      </c>
      <c r="C28" t="s">
        <v>98</v>
      </c>
      <c r="D28" t="s">
        <v>99</v>
      </c>
      <c r="E28">
        <v>2023</v>
      </c>
      <c r="F28" t="s">
        <v>37</v>
      </c>
      <c r="G28" t="s">
        <v>100</v>
      </c>
      <c r="H28" t="s">
        <v>17</v>
      </c>
      <c r="I28" s="46" t="s">
        <v>18</v>
      </c>
      <c r="J28" s="3">
        <v>250</v>
      </c>
      <c r="K28">
        <v>259.61</v>
      </c>
    </row>
    <row r="29" spans="1:11">
      <c r="A29" t="s">
        <v>101</v>
      </c>
      <c r="B29" t="s">
        <v>97</v>
      </c>
      <c r="C29" t="s">
        <v>98</v>
      </c>
      <c r="D29" t="s">
        <v>99</v>
      </c>
      <c r="E29">
        <v>2023</v>
      </c>
      <c r="F29" t="s">
        <v>102</v>
      </c>
      <c r="G29" t="s">
        <v>103</v>
      </c>
      <c r="H29" t="s">
        <v>17</v>
      </c>
      <c r="I29" s="46" t="s">
        <v>18</v>
      </c>
      <c r="J29" s="3">
        <v>250</v>
      </c>
    </row>
    <row r="30" spans="1:11" hidden="1">
      <c r="A30" t="s">
        <v>104</v>
      </c>
      <c r="B30" t="s">
        <v>105</v>
      </c>
      <c r="C30" t="s">
        <v>40</v>
      </c>
      <c r="D30" s="46">
        <v>4300</v>
      </c>
      <c r="E30">
        <v>2012</v>
      </c>
      <c r="F30" t="s">
        <v>37</v>
      </c>
      <c r="G30" t="s">
        <v>106</v>
      </c>
      <c r="H30" t="s">
        <v>17</v>
      </c>
      <c r="I30" s="46" t="s">
        <v>18</v>
      </c>
      <c r="J30" s="3">
        <v>250</v>
      </c>
      <c r="K30">
        <v>127.61</v>
      </c>
    </row>
    <row r="31" spans="1:11" hidden="1">
      <c r="A31" t="s">
        <v>107</v>
      </c>
      <c r="B31" t="s">
        <v>108</v>
      </c>
      <c r="C31" t="s">
        <v>109</v>
      </c>
      <c r="D31" t="s">
        <v>110</v>
      </c>
      <c r="E31">
        <v>2012</v>
      </c>
      <c r="F31" t="s">
        <v>33</v>
      </c>
      <c r="G31" t="s">
        <v>111</v>
      </c>
      <c r="H31" t="s">
        <v>17</v>
      </c>
      <c r="I31" s="46" t="s">
        <v>18</v>
      </c>
      <c r="J31" s="3">
        <v>250</v>
      </c>
      <c r="K31">
        <v>24.84</v>
      </c>
    </row>
    <row r="32" spans="1:11" hidden="1">
      <c r="A32" t="s">
        <v>112</v>
      </c>
      <c r="B32" t="s">
        <v>113</v>
      </c>
      <c r="C32" t="s">
        <v>109</v>
      </c>
      <c r="D32" s="46" t="s">
        <v>110</v>
      </c>
      <c r="E32">
        <v>2012</v>
      </c>
      <c r="F32" t="s">
        <v>26</v>
      </c>
      <c r="G32" t="s">
        <v>56</v>
      </c>
      <c r="H32" t="s">
        <v>28</v>
      </c>
      <c r="I32" s="46" t="s">
        <v>18</v>
      </c>
      <c r="J32" s="3">
        <v>250</v>
      </c>
    </row>
    <row r="33" spans="1:11" hidden="1">
      <c r="A33" t="s">
        <v>114</v>
      </c>
      <c r="B33" s="46" t="s">
        <v>20</v>
      </c>
      <c r="C33" s="46" t="s">
        <v>115</v>
      </c>
      <c r="D33" s="46" t="s">
        <v>116</v>
      </c>
      <c r="E33" s="46">
        <v>2021</v>
      </c>
      <c r="F33" s="46" t="s">
        <v>37</v>
      </c>
      <c r="G33" s="46" t="s">
        <v>56</v>
      </c>
      <c r="H33" s="46" t="s">
        <v>28</v>
      </c>
      <c r="I33" s="46" t="s">
        <v>18</v>
      </c>
      <c r="J33" s="3">
        <v>500</v>
      </c>
      <c r="K33" s="3">
        <v>58.71</v>
      </c>
    </row>
    <row r="34" spans="1:11" hidden="1">
      <c r="A34" t="s">
        <v>117</v>
      </c>
      <c r="B34" t="s">
        <v>20</v>
      </c>
      <c r="C34" t="s">
        <v>115</v>
      </c>
      <c r="D34" s="46" t="s">
        <v>116</v>
      </c>
      <c r="E34">
        <v>2021</v>
      </c>
      <c r="F34" t="s">
        <v>37</v>
      </c>
      <c r="G34" t="s">
        <v>56</v>
      </c>
      <c r="H34" t="s">
        <v>28</v>
      </c>
      <c r="I34" s="46" t="s">
        <v>18</v>
      </c>
      <c r="J34" s="3">
        <v>250</v>
      </c>
      <c r="K34">
        <v>275</v>
      </c>
    </row>
    <row r="35" spans="1:11" hidden="1">
      <c r="A35" t="s">
        <v>118</v>
      </c>
      <c r="B35" t="s">
        <v>20</v>
      </c>
      <c r="C35" t="s">
        <v>115</v>
      </c>
      <c r="D35" s="46" t="s">
        <v>116</v>
      </c>
      <c r="E35">
        <v>2021</v>
      </c>
      <c r="F35" t="s">
        <v>33</v>
      </c>
      <c r="G35" t="s">
        <v>38</v>
      </c>
      <c r="H35" t="s">
        <v>17</v>
      </c>
      <c r="I35" s="46" t="s">
        <v>18</v>
      </c>
      <c r="J35" s="3">
        <v>500</v>
      </c>
      <c r="K35">
        <v>168.21</v>
      </c>
    </row>
    <row r="36" spans="1:11" hidden="1">
      <c r="A36" t="s">
        <v>119</v>
      </c>
      <c r="B36" t="s">
        <v>43</v>
      </c>
      <c r="C36" t="s">
        <v>40</v>
      </c>
      <c r="D36" s="46">
        <v>7400</v>
      </c>
      <c r="E36">
        <v>2010</v>
      </c>
      <c r="F36" t="s">
        <v>26</v>
      </c>
      <c r="G36" t="s">
        <v>56</v>
      </c>
      <c r="H36" t="s">
        <v>28</v>
      </c>
      <c r="I36" s="46" t="s">
        <v>18</v>
      </c>
      <c r="J36" s="3">
        <v>250</v>
      </c>
    </row>
    <row r="37" spans="1:11" hidden="1">
      <c r="A37" t="s">
        <v>120</v>
      </c>
      <c r="B37" t="s">
        <v>43</v>
      </c>
      <c r="C37" t="s">
        <v>40</v>
      </c>
      <c r="D37" s="46">
        <v>4300</v>
      </c>
      <c r="E37">
        <v>2012</v>
      </c>
      <c r="F37" t="s">
        <v>26</v>
      </c>
      <c r="G37" t="s">
        <v>56</v>
      </c>
      <c r="H37" t="s">
        <v>37</v>
      </c>
      <c r="I37" s="46" t="s">
        <v>18</v>
      </c>
      <c r="J37" s="3">
        <v>250</v>
      </c>
      <c r="K37">
        <v>0</v>
      </c>
    </row>
    <row r="38" spans="1:11" hidden="1">
      <c r="A38" t="s">
        <v>121</v>
      </c>
      <c r="B38" t="s">
        <v>43</v>
      </c>
      <c r="C38" t="s">
        <v>109</v>
      </c>
      <c r="D38" s="46" t="s">
        <v>110</v>
      </c>
      <c r="E38">
        <v>2014</v>
      </c>
      <c r="F38" t="s">
        <v>26</v>
      </c>
      <c r="G38" t="s">
        <v>56</v>
      </c>
      <c r="H38" t="s">
        <v>28</v>
      </c>
      <c r="I38" s="46" t="s">
        <v>18</v>
      </c>
      <c r="J38" s="3">
        <v>250</v>
      </c>
    </row>
    <row r="39" spans="1:11" hidden="1">
      <c r="A39" t="s">
        <v>122</v>
      </c>
      <c r="B39" t="s">
        <v>83</v>
      </c>
      <c r="C39" t="s">
        <v>44</v>
      </c>
      <c r="D39" t="s">
        <v>123</v>
      </c>
      <c r="E39">
        <v>2015</v>
      </c>
      <c r="F39" t="s">
        <v>124</v>
      </c>
      <c r="G39" t="s">
        <v>125</v>
      </c>
      <c r="H39" t="s">
        <v>17</v>
      </c>
      <c r="I39" s="46" t="s">
        <v>47</v>
      </c>
      <c r="J39" s="3">
        <v>10000</v>
      </c>
      <c r="K39">
        <v>81.790000000000006</v>
      </c>
    </row>
    <row r="40" spans="1:11" hidden="1">
      <c r="A40" t="s">
        <v>126</v>
      </c>
      <c r="B40" t="s">
        <v>70</v>
      </c>
      <c r="C40" t="s">
        <v>54</v>
      </c>
      <c r="D40" t="s">
        <v>127</v>
      </c>
      <c r="E40">
        <v>2014</v>
      </c>
      <c r="F40" t="s">
        <v>37</v>
      </c>
      <c r="G40" t="s">
        <v>73</v>
      </c>
      <c r="H40" t="s">
        <v>17</v>
      </c>
      <c r="I40" s="46" t="s">
        <v>18</v>
      </c>
      <c r="J40" s="3">
        <v>250</v>
      </c>
      <c r="K40" s="3">
        <v>139.79</v>
      </c>
    </row>
    <row r="41" spans="1:11" hidden="1">
      <c r="A41" t="s">
        <v>128</v>
      </c>
      <c r="B41" t="s">
        <v>129</v>
      </c>
      <c r="C41" t="s">
        <v>130</v>
      </c>
      <c r="D41" t="s">
        <v>131</v>
      </c>
      <c r="F41" t="s">
        <v>15</v>
      </c>
      <c r="G41" t="s">
        <v>132</v>
      </c>
      <c r="H41" t="s">
        <v>17</v>
      </c>
      <c r="I41" s="46" t="s">
        <v>18</v>
      </c>
      <c r="J41" s="3">
        <v>250</v>
      </c>
      <c r="K41">
        <v>354.05</v>
      </c>
    </row>
    <row r="42" spans="1:11" hidden="1">
      <c r="A42" t="s">
        <v>133</v>
      </c>
      <c r="B42" t="s">
        <v>134</v>
      </c>
      <c r="C42" t="s">
        <v>54</v>
      </c>
      <c r="D42" t="s">
        <v>135</v>
      </c>
      <c r="E42">
        <v>2011</v>
      </c>
      <c r="H42" t="s">
        <v>28</v>
      </c>
      <c r="I42" s="46" t="s">
        <v>18</v>
      </c>
      <c r="J42" s="3">
        <v>250</v>
      </c>
    </row>
    <row r="43" spans="1:11" hidden="1">
      <c r="A43" t="s">
        <v>136</v>
      </c>
      <c r="B43" t="s">
        <v>134</v>
      </c>
      <c r="C43" t="s">
        <v>54</v>
      </c>
      <c r="D43" t="s">
        <v>137</v>
      </c>
      <c r="E43">
        <v>2011</v>
      </c>
      <c r="F43" t="s">
        <v>33</v>
      </c>
      <c r="H43" t="s">
        <v>17</v>
      </c>
      <c r="I43" s="46" t="s">
        <v>47</v>
      </c>
      <c r="J43" s="3">
        <v>10000</v>
      </c>
      <c r="K43">
        <v>175.78</v>
      </c>
    </row>
    <row r="44" spans="1:11" hidden="1">
      <c r="A44" t="s">
        <v>138</v>
      </c>
      <c r="B44" t="s">
        <v>139</v>
      </c>
      <c r="C44" t="s">
        <v>109</v>
      </c>
      <c r="D44" t="s">
        <v>140</v>
      </c>
      <c r="E44">
        <v>1997</v>
      </c>
      <c r="F44" t="s">
        <v>33</v>
      </c>
      <c r="H44" t="s">
        <v>17</v>
      </c>
      <c r="I44" s="46" t="s">
        <v>18</v>
      </c>
      <c r="J44" s="3">
        <v>250</v>
      </c>
    </row>
    <row r="45" spans="1:11" hidden="1">
      <c r="A45" t="s">
        <v>141</v>
      </c>
      <c r="B45" t="s">
        <v>139</v>
      </c>
      <c r="C45" t="s">
        <v>66</v>
      </c>
      <c r="D45" t="s">
        <v>142</v>
      </c>
      <c r="E45">
        <v>2006</v>
      </c>
      <c r="F45" t="s">
        <v>33</v>
      </c>
      <c r="H45" t="s">
        <v>17</v>
      </c>
      <c r="I45" s="46" t="s">
        <v>18</v>
      </c>
      <c r="J45" s="3">
        <v>250</v>
      </c>
    </row>
    <row r="46" spans="1:11" hidden="1">
      <c r="A46" t="s">
        <v>143</v>
      </c>
      <c r="B46" t="s">
        <v>83</v>
      </c>
      <c r="C46" t="s">
        <v>44</v>
      </c>
      <c r="D46" t="s">
        <v>144</v>
      </c>
      <c r="E46">
        <v>2011</v>
      </c>
      <c r="F46" t="s">
        <v>33</v>
      </c>
      <c r="G46" t="s">
        <v>145</v>
      </c>
      <c r="H46" t="s">
        <v>17</v>
      </c>
      <c r="I46" s="46" t="s">
        <v>47</v>
      </c>
      <c r="J46" s="3">
        <v>10000</v>
      </c>
      <c r="K46">
        <v>42.8</v>
      </c>
    </row>
    <row r="47" spans="1:11" hidden="1">
      <c r="A47" t="s">
        <v>146</v>
      </c>
      <c r="B47" t="s">
        <v>43</v>
      </c>
      <c r="C47" t="s">
        <v>44</v>
      </c>
      <c r="D47" t="s">
        <v>147</v>
      </c>
      <c r="E47">
        <v>2012</v>
      </c>
      <c r="F47" t="s">
        <v>148</v>
      </c>
      <c r="G47" t="s">
        <v>149</v>
      </c>
      <c r="H47" t="s">
        <v>28</v>
      </c>
      <c r="I47" s="46" t="s">
        <v>18</v>
      </c>
      <c r="J47" s="3">
        <v>250</v>
      </c>
    </row>
    <row r="48" spans="1:11" hidden="1">
      <c r="A48" t="s">
        <v>150</v>
      </c>
      <c r="B48" t="s">
        <v>113</v>
      </c>
      <c r="C48" t="s">
        <v>109</v>
      </c>
      <c r="D48" t="s">
        <v>110</v>
      </c>
      <c r="E48">
        <v>2008</v>
      </c>
      <c r="F48" t="s">
        <v>51</v>
      </c>
      <c r="G48" t="s">
        <v>151</v>
      </c>
      <c r="H48" t="s">
        <v>17</v>
      </c>
      <c r="I48" s="46" t="s">
        <v>18</v>
      </c>
      <c r="J48" s="3">
        <v>250</v>
      </c>
      <c r="K48" s="3">
        <v>24.17</v>
      </c>
    </row>
    <row r="49" spans="1:11" hidden="1">
      <c r="A49" t="s">
        <v>152</v>
      </c>
      <c r="B49" t="s">
        <v>70</v>
      </c>
      <c r="C49" t="s">
        <v>153</v>
      </c>
      <c r="D49" t="s">
        <v>154</v>
      </c>
      <c r="E49">
        <v>2018</v>
      </c>
      <c r="F49" t="s">
        <v>37</v>
      </c>
      <c r="G49" t="s">
        <v>155</v>
      </c>
      <c r="H49" t="s">
        <v>17</v>
      </c>
      <c r="I49" s="46" t="s">
        <v>156</v>
      </c>
      <c r="J49" s="3">
        <v>10000</v>
      </c>
      <c r="K49">
        <v>233.13</v>
      </c>
    </row>
    <row r="50" spans="1:11" hidden="1">
      <c r="A50" t="s">
        <v>157</v>
      </c>
      <c r="B50" t="s">
        <v>113</v>
      </c>
      <c r="C50" t="s">
        <v>109</v>
      </c>
      <c r="D50" t="s">
        <v>110</v>
      </c>
      <c r="E50">
        <v>2008</v>
      </c>
      <c r="F50" t="s">
        <v>33</v>
      </c>
      <c r="G50" t="s">
        <v>158</v>
      </c>
      <c r="H50" t="s">
        <v>17</v>
      </c>
      <c r="I50" s="46" t="s">
        <v>18</v>
      </c>
      <c r="J50" s="3">
        <v>250</v>
      </c>
      <c r="K50">
        <v>18.170000000000002</v>
      </c>
    </row>
    <row r="51" spans="1:11" hidden="1">
      <c r="A51" t="s">
        <v>159</v>
      </c>
      <c r="B51" t="s">
        <v>113</v>
      </c>
      <c r="C51" t="s">
        <v>109</v>
      </c>
      <c r="D51" t="s">
        <v>110</v>
      </c>
      <c r="E51">
        <v>2014</v>
      </c>
      <c r="F51" t="s">
        <v>26</v>
      </c>
      <c r="G51" t="s">
        <v>56</v>
      </c>
      <c r="H51" t="s">
        <v>17</v>
      </c>
      <c r="I51" s="46" t="s">
        <v>18</v>
      </c>
      <c r="J51" s="3">
        <v>250</v>
      </c>
    </row>
    <row r="52" spans="1:11" hidden="1">
      <c r="A52" t="s">
        <v>160</v>
      </c>
      <c r="B52" t="s">
        <v>70</v>
      </c>
      <c r="C52" t="s">
        <v>115</v>
      </c>
      <c r="D52" t="s">
        <v>161</v>
      </c>
      <c r="E52">
        <v>2011</v>
      </c>
      <c r="F52" t="s">
        <v>26</v>
      </c>
      <c r="G52" t="s">
        <v>56</v>
      </c>
      <c r="H52" t="s">
        <v>28</v>
      </c>
      <c r="I52" s="46" t="s">
        <v>18</v>
      </c>
      <c r="J52" s="3">
        <v>250</v>
      </c>
    </row>
    <row r="53" spans="1:11" hidden="1">
      <c r="A53" t="s">
        <v>162</v>
      </c>
      <c r="B53" t="s">
        <v>105</v>
      </c>
      <c r="C53" t="s">
        <v>40</v>
      </c>
      <c r="D53" s="46">
        <v>7600</v>
      </c>
      <c r="E53">
        <v>2012</v>
      </c>
      <c r="H53" t="s">
        <v>28</v>
      </c>
      <c r="I53" s="46" t="s">
        <v>18</v>
      </c>
      <c r="J53" s="3">
        <v>250</v>
      </c>
    </row>
    <row r="54" spans="1:11" hidden="1">
      <c r="A54" t="s">
        <v>163</v>
      </c>
      <c r="B54" t="s">
        <v>113</v>
      </c>
      <c r="C54" t="s">
        <v>164</v>
      </c>
      <c r="D54" t="s">
        <v>165</v>
      </c>
      <c r="E54">
        <v>2010</v>
      </c>
      <c r="F54" t="s">
        <v>63</v>
      </c>
      <c r="G54" t="s">
        <v>166</v>
      </c>
      <c r="H54" t="s">
        <v>17</v>
      </c>
      <c r="I54" s="46" t="s">
        <v>18</v>
      </c>
      <c r="J54" s="3">
        <v>250</v>
      </c>
      <c r="K54">
        <v>0</v>
      </c>
    </row>
    <row r="55" spans="1:11" hidden="1">
      <c r="A55" t="s">
        <v>167</v>
      </c>
      <c r="B55" t="s">
        <v>20</v>
      </c>
      <c r="C55" t="s">
        <v>21</v>
      </c>
      <c r="D55" t="s">
        <v>87</v>
      </c>
      <c r="E55">
        <v>2020</v>
      </c>
      <c r="F55" t="s">
        <v>30</v>
      </c>
      <c r="G55" t="s">
        <v>168</v>
      </c>
      <c r="H55" t="s">
        <v>17</v>
      </c>
      <c r="I55" s="46" t="s">
        <v>18</v>
      </c>
      <c r="J55" s="3">
        <v>500</v>
      </c>
      <c r="K55" s="3">
        <v>64.91</v>
      </c>
    </row>
    <row r="56" spans="1:11" hidden="1">
      <c r="A56" t="s">
        <v>169</v>
      </c>
      <c r="B56" t="s">
        <v>20</v>
      </c>
      <c r="C56" t="s">
        <v>21</v>
      </c>
      <c r="D56" t="s">
        <v>87</v>
      </c>
      <c r="E56">
        <v>2020</v>
      </c>
      <c r="F56" t="s">
        <v>37</v>
      </c>
      <c r="G56" t="s">
        <v>170</v>
      </c>
      <c r="H56" t="s">
        <v>17</v>
      </c>
      <c r="I56" s="46" t="s">
        <v>18</v>
      </c>
      <c r="J56" s="3">
        <v>500</v>
      </c>
      <c r="K56">
        <v>167.3</v>
      </c>
    </row>
    <row r="57" spans="1:11" hidden="1">
      <c r="A57" t="s">
        <v>171</v>
      </c>
      <c r="B57" t="s">
        <v>20</v>
      </c>
      <c r="C57" t="s">
        <v>21</v>
      </c>
      <c r="D57" t="s">
        <v>87</v>
      </c>
      <c r="E57">
        <v>2020</v>
      </c>
      <c r="F57" t="s">
        <v>33</v>
      </c>
      <c r="G57" t="s">
        <v>172</v>
      </c>
      <c r="H57" t="s">
        <v>17</v>
      </c>
      <c r="I57" s="46" t="s">
        <v>18</v>
      </c>
      <c r="J57" s="3">
        <v>500</v>
      </c>
      <c r="K57">
        <v>45.47</v>
      </c>
    </row>
    <row r="58" spans="1:11" hidden="1">
      <c r="A58" t="s">
        <v>173</v>
      </c>
      <c r="B58" t="s">
        <v>20</v>
      </c>
      <c r="C58" t="s">
        <v>21</v>
      </c>
      <c r="D58" t="s">
        <v>87</v>
      </c>
      <c r="E58">
        <v>2020</v>
      </c>
      <c r="F58" t="s">
        <v>30</v>
      </c>
      <c r="G58" t="s">
        <v>174</v>
      </c>
      <c r="H58" t="s">
        <v>17</v>
      </c>
      <c r="I58" s="46" t="s">
        <v>18</v>
      </c>
      <c r="J58" s="3">
        <v>500</v>
      </c>
      <c r="K58">
        <v>96.44</v>
      </c>
    </row>
    <row r="59" spans="1:11" hidden="1">
      <c r="A59" t="s">
        <v>175</v>
      </c>
      <c r="B59" t="s">
        <v>20</v>
      </c>
      <c r="C59" t="s">
        <v>21</v>
      </c>
      <c r="D59" t="s">
        <v>87</v>
      </c>
      <c r="E59">
        <v>2020</v>
      </c>
      <c r="F59" t="s">
        <v>26</v>
      </c>
      <c r="G59" t="s">
        <v>56</v>
      </c>
      <c r="H59" t="s">
        <v>28</v>
      </c>
      <c r="I59" s="46" t="s">
        <v>18</v>
      </c>
      <c r="J59" s="3">
        <v>500</v>
      </c>
      <c r="K59">
        <v>164.84</v>
      </c>
    </row>
    <row r="60" spans="1:11" hidden="1">
      <c r="A60" t="s">
        <v>176</v>
      </c>
      <c r="B60" t="s">
        <v>83</v>
      </c>
      <c r="C60" t="s">
        <v>44</v>
      </c>
      <c r="D60" t="s">
        <v>177</v>
      </c>
      <c r="E60">
        <v>2011</v>
      </c>
      <c r="H60" t="s">
        <v>28</v>
      </c>
      <c r="I60" s="46" t="s">
        <v>18</v>
      </c>
      <c r="J60" s="3">
        <v>250</v>
      </c>
      <c r="K60">
        <v>0</v>
      </c>
    </row>
    <row r="61" spans="1:11" hidden="1">
      <c r="A61" t="s">
        <v>178</v>
      </c>
      <c r="B61" t="s">
        <v>43</v>
      </c>
      <c r="C61" t="s">
        <v>44</v>
      </c>
      <c r="D61" t="s">
        <v>147</v>
      </c>
      <c r="E61">
        <v>2013</v>
      </c>
      <c r="F61" t="s">
        <v>37</v>
      </c>
      <c r="G61" t="s">
        <v>179</v>
      </c>
      <c r="H61" t="s">
        <v>28</v>
      </c>
      <c r="I61" s="46" t="s">
        <v>18</v>
      </c>
      <c r="J61" s="3">
        <v>250</v>
      </c>
    </row>
    <row r="62" spans="1:11" hidden="1">
      <c r="A62" t="s">
        <v>180</v>
      </c>
      <c r="B62" t="s">
        <v>20</v>
      </c>
      <c r="C62" t="s">
        <v>21</v>
      </c>
      <c r="D62" t="s">
        <v>181</v>
      </c>
      <c r="E62">
        <v>2018</v>
      </c>
      <c r="F62" t="s">
        <v>33</v>
      </c>
      <c r="G62" t="s">
        <v>182</v>
      </c>
      <c r="H62" t="s">
        <v>17</v>
      </c>
      <c r="I62" s="46" t="s">
        <v>18</v>
      </c>
      <c r="J62" s="3">
        <v>500</v>
      </c>
      <c r="K62">
        <v>51.14</v>
      </c>
    </row>
    <row r="63" spans="1:11" hidden="1">
      <c r="A63" t="s">
        <v>183</v>
      </c>
      <c r="B63" t="s">
        <v>113</v>
      </c>
      <c r="C63" t="s">
        <v>54</v>
      </c>
      <c r="D63" t="s">
        <v>55</v>
      </c>
      <c r="E63">
        <v>2007</v>
      </c>
      <c r="F63" t="s">
        <v>33</v>
      </c>
      <c r="G63" t="s">
        <v>184</v>
      </c>
      <c r="H63" t="s">
        <v>17</v>
      </c>
      <c r="I63" s="46" t="s">
        <v>18</v>
      </c>
      <c r="J63" s="3">
        <v>250</v>
      </c>
      <c r="K63">
        <v>126.64</v>
      </c>
    </row>
    <row r="64" spans="1:11" hidden="1">
      <c r="A64" t="s">
        <v>185</v>
      </c>
      <c r="B64" t="s">
        <v>70</v>
      </c>
      <c r="C64" t="s">
        <v>21</v>
      </c>
      <c r="D64" t="s">
        <v>186</v>
      </c>
      <c r="E64">
        <v>2013</v>
      </c>
      <c r="F64" t="s">
        <v>37</v>
      </c>
      <c r="G64" t="s">
        <v>187</v>
      </c>
      <c r="H64" t="s">
        <v>17</v>
      </c>
      <c r="I64" s="46" t="s">
        <v>18</v>
      </c>
      <c r="J64" s="3">
        <v>250</v>
      </c>
      <c r="K64">
        <v>99.67</v>
      </c>
    </row>
    <row r="65" spans="1:11" hidden="1">
      <c r="A65" t="s">
        <v>188</v>
      </c>
      <c r="B65" t="s">
        <v>43</v>
      </c>
      <c r="C65" t="s">
        <v>44</v>
      </c>
      <c r="D65" t="s">
        <v>189</v>
      </c>
      <c r="E65">
        <v>2014</v>
      </c>
      <c r="F65" t="s">
        <v>30</v>
      </c>
      <c r="G65" t="s">
        <v>190</v>
      </c>
      <c r="H65" t="s">
        <v>17</v>
      </c>
      <c r="I65" s="46" t="s">
        <v>47</v>
      </c>
      <c r="J65" s="3">
        <v>10000</v>
      </c>
      <c r="K65">
        <v>0</v>
      </c>
    </row>
    <row r="66" spans="1:11" hidden="1">
      <c r="A66" t="s">
        <v>191</v>
      </c>
      <c r="B66" t="s">
        <v>113</v>
      </c>
      <c r="C66" t="s">
        <v>66</v>
      </c>
      <c r="D66" t="s">
        <v>67</v>
      </c>
      <c r="E66">
        <v>2013</v>
      </c>
      <c r="F66" t="s">
        <v>72</v>
      </c>
      <c r="G66" t="s">
        <v>192</v>
      </c>
      <c r="H66" t="s">
        <v>28</v>
      </c>
      <c r="I66" s="46" t="s">
        <v>18</v>
      </c>
      <c r="J66" s="3">
        <v>250</v>
      </c>
      <c r="K66">
        <v>10.55</v>
      </c>
    </row>
    <row r="67" spans="1:11" hidden="1">
      <c r="A67" t="s">
        <v>193</v>
      </c>
      <c r="B67" t="s">
        <v>194</v>
      </c>
      <c r="C67" t="s">
        <v>195</v>
      </c>
      <c r="D67" s="46">
        <v>400</v>
      </c>
      <c r="E67">
        <v>1990</v>
      </c>
      <c r="F67" t="s">
        <v>26</v>
      </c>
      <c r="G67" t="s">
        <v>149</v>
      </c>
      <c r="H67" t="s">
        <v>17</v>
      </c>
      <c r="I67" s="46" t="s">
        <v>18</v>
      </c>
      <c r="J67" s="3">
        <v>250</v>
      </c>
    </row>
    <row r="68" spans="1:11" hidden="1">
      <c r="A68" t="s">
        <v>196</v>
      </c>
      <c r="B68" t="s">
        <v>197</v>
      </c>
      <c r="C68" t="s">
        <v>198</v>
      </c>
      <c r="D68" t="s">
        <v>199</v>
      </c>
      <c r="E68">
        <v>2010</v>
      </c>
      <c r="F68" t="s">
        <v>200</v>
      </c>
      <c r="G68" t="s">
        <v>201</v>
      </c>
      <c r="H68" t="s">
        <v>17</v>
      </c>
      <c r="I68" s="46" t="s">
        <v>18</v>
      </c>
      <c r="J68" s="3">
        <v>250</v>
      </c>
      <c r="K68">
        <v>0</v>
      </c>
    </row>
    <row r="69" spans="1:11" hidden="1">
      <c r="A69" t="s">
        <v>202</v>
      </c>
      <c r="B69" t="s">
        <v>203</v>
      </c>
      <c r="C69" t="s">
        <v>204</v>
      </c>
      <c r="D69" t="s">
        <v>205</v>
      </c>
      <c r="E69">
        <v>2000</v>
      </c>
      <c r="F69" t="s">
        <v>206</v>
      </c>
      <c r="G69" t="s">
        <v>207</v>
      </c>
      <c r="H69" t="s">
        <v>17</v>
      </c>
      <c r="I69" s="46" t="s">
        <v>18</v>
      </c>
      <c r="J69" s="3">
        <v>250</v>
      </c>
      <c r="K69">
        <v>13.28</v>
      </c>
    </row>
    <row r="70" spans="1:11" hidden="1">
      <c r="A70" t="s">
        <v>208</v>
      </c>
      <c r="B70" t="s">
        <v>197</v>
      </c>
      <c r="C70" t="s">
        <v>204</v>
      </c>
      <c r="D70" t="s">
        <v>209</v>
      </c>
      <c r="E70">
        <v>2001</v>
      </c>
      <c r="F70" t="s">
        <v>26</v>
      </c>
      <c r="G70" t="s">
        <v>210</v>
      </c>
      <c r="H70" t="s">
        <v>17</v>
      </c>
      <c r="I70" s="46" t="s">
        <v>18</v>
      </c>
      <c r="J70" s="3">
        <v>250</v>
      </c>
      <c r="K70">
        <v>0.49</v>
      </c>
    </row>
    <row r="71" spans="1:11" hidden="1">
      <c r="A71" t="s">
        <v>211</v>
      </c>
      <c r="B71" t="s">
        <v>203</v>
      </c>
      <c r="C71" t="s">
        <v>204</v>
      </c>
      <c r="D71" t="s">
        <v>199</v>
      </c>
      <c r="E71">
        <v>2000</v>
      </c>
      <c r="F71" t="s">
        <v>200</v>
      </c>
      <c r="G71" t="s">
        <v>212</v>
      </c>
      <c r="H71" t="s">
        <v>17</v>
      </c>
      <c r="I71" s="46" t="s">
        <v>18</v>
      </c>
      <c r="J71" s="3">
        <v>250</v>
      </c>
      <c r="K71">
        <v>1.1299999999999999</v>
      </c>
    </row>
    <row r="72" spans="1:11" hidden="1">
      <c r="A72" t="s">
        <v>213</v>
      </c>
      <c r="B72" t="s">
        <v>214</v>
      </c>
      <c r="C72" t="s">
        <v>215</v>
      </c>
      <c r="D72" t="s">
        <v>216</v>
      </c>
      <c r="E72">
        <v>2017</v>
      </c>
      <c r="F72" t="s">
        <v>26</v>
      </c>
      <c r="G72" t="s">
        <v>149</v>
      </c>
      <c r="H72" t="s">
        <v>17</v>
      </c>
      <c r="I72" s="46" t="s">
        <v>18</v>
      </c>
      <c r="J72" s="3">
        <v>250</v>
      </c>
    </row>
    <row r="73" spans="1:11" hidden="1">
      <c r="A73" t="s">
        <v>217</v>
      </c>
      <c r="B73" t="s">
        <v>218</v>
      </c>
      <c r="C73" t="s">
        <v>219</v>
      </c>
      <c r="D73" t="s">
        <v>220</v>
      </c>
      <c r="E73">
        <v>2020</v>
      </c>
      <c r="F73" t="s">
        <v>26</v>
      </c>
      <c r="G73" t="s">
        <v>149</v>
      </c>
      <c r="H73" t="s">
        <v>17</v>
      </c>
      <c r="I73" s="46" t="s">
        <v>18</v>
      </c>
      <c r="J73" s="3">
        <v>250</v>
      </c>
    </row>
    <row r="74" spans="1:11" hidden="1">
      <c r="A74" t="s">
        <v>221</v>
      </c>
      <c r="B74" t="s">
        <v>222</v>
      </c>
      <c r="C74" t="s">
        <v>223</v>
      </c>
      <c r="D74" t="s">
        <v>224</v>
      </c>
      <c r="E74">
        <v>2021</v>
      </c>
      <c r="F74" t="s">
        <v>26</v>
      </c>
      <c r="G74" t="s">
        <v>149</v>
      </c>
      <c r="H74" t="s">
        <v>17</v>
      </c>
      <c r="I74" s="46" t="s">
        <v>18</v>
      </c>
      <c r="J74" s="3">
        <v>250</v>
      </c>
    </row>
    <row r="75" spans="1:11" hidden="1">
      <c r="A75" t="s">
        <v>225</v>
      </c>
      <c r="B75" t="s">
        <v>226</v>
      </c>
      <c r="C75" t="s">
        <v>227</v>
      </c>
      <c r="D75" t="s">
        <v>227</v>
      </c>
      <c r="E75">
        <v>2020</v>
      </c>
      <c r="F75" t="s">
        <v>26</v>
      </c>
      <c r="G75" t="s">
        <v>149</v>
      </c>
      <c r="H75" t="s">
        <v>17</v>
      </c>
      <c r="I75" s="46" t="s">
        <v>18</v>
      </c>
      <c r="J75" s="3">
        <v>250</v>
      </c>
    </row>
    <row r="76" spans="1:11" hidden="1">
      <c r="A76" t="s">
        <v>228</v>
      </c>
      <c r="B76" t="s">
        <v>197</v>
      </c>
      <c r="C76" t="s">
        <v>204</v>
      </c>
      <c r="D76" t="s">
        <v>229</v>
      </c>
      <c r="E76">
        <v>2007</v>
      </c>
      <c r="I76" s="46" t="s">
        <v>18</v>
      </c>
      <c r="J76" s="3">
        <v>250</v>
      </c>
      <c r="K76">
        <v>3.11</v>
      </c>
    </row>
    <row r="77" spans="1:11" hidden="1">
      <c r="A77" t="s">
        <v>230</v>
      </c>
      <c r="B77" t="s">
        <v>231</v>
      </c>
      <c r="C77" t="s">
        <v>232</v>
      </c>
      <c r="D77" t="s">
        <v>233</v>
      </c>
      <c r="E77">
        <v>2016</v>
      </c>
      <c r="F77" t="s">
        <v>37</v>
      </c>
      <c r="G77" t="s">
        <v>234</v>
      </c>
      <c r="H77" t="s">
        <v>17</v>
      </c>
      <c r="I77" s="46" t="s">
        <v>18</v>
      </c>
      <c r="J77" s="3">
        <v>250</v>
      </c>
    </row>
    <row r="78" spans="1:11" hidden="1">
      <c r="A78" t="s">
        <v>235</v>
      </c>
      <c r="B78" t="s">
        <v>236</v>
      </c>
      <c r="C78" t="s">
        <v>237</v>
      </c>
      <c r="D78" s="46">
        <v>674</v>
      </c>
      <c r="E78">
        <v>2017</v>
      </c>
      <c r="F78" t="s">
        <v>33</v>
      </c>
      <c r="G78" t="s">
        <v>238</v>
      </c>
      <c r="H78" t="s">
        <v>17</v>
      </c>
      <c r="I78" s="46" t="s">
        <v>18</v>
      </c>
      <c r="J78" s="3">
        <v>250</v>
      </c>
      <c r="K78">
        <v>1.71</v>
      </c>
    </row>
    <row r="79" spans="1:11" hidden="1">
      <c r="A79" t="s">
        <v>239</v>
      </c>
      <c r="B79" t="s">
        <v>231</v>
      </c>
      <c r="C79" t="s">
        <v>232</v>
      </c>
      <c r="D79" t="s">
        <v>240</v>
      </c>
      <c r="E79">
        <v>2010</v>
      </c>
      <c r="F79" t="s">
        <v>37</v>
      </c>
      <c r="G79" t="s">
        <v>149</v>
      </c>
      <c r="H79" t="s">
        <v>28</v>
      </c>
      <c r="I79" s="46" t="s">
        <v>18</v>
      </c>
      <c r="J79" s="3">
        <v>250</v>
      </c>
    </row>
    <row r="80" spans="1:11" hidden="1">
      <c r="A80" t="s">
        <v>241</v>
      </c>
      <c r="B80" t="s">
        <v>231</v>
      </c>
      <c r="C80" t="s">
        <v>242</v>
      </c>
      <c r="D80" t="s">
        <v>243</v>
      </c>
      <c r="E80">
        <v>2014</v>
      </c>
      <c r="F80" t="s">
        <v>37</v>
      </c>
      <c r="G80" t="s">
        <v>244</v>
      </c>
      <c r="H80" t="s">
        <v>28</v>
      </c>
      <c r="I80" s="46" t="s">
        <v>18</v>
      </c>
      <c r="J80" s="3">
        <v>250</v>
      </c>
    </row>
    <row r="81" spans="1:11" hidden="1">
      <c r="A81" t="s">
        <v>245</v>
      </c>
      <c r="B81" t="s">
        <v>236</v>
      </c>
      <c r="C81" t="s">
        <v>246</v>
      </c>
      <c r="D81" t="s">
        <v>247</v>
      </c>
      <c r="E81">
        <v>2020</v>
      </c>
      <c r="F81" t="s">
        <v>23</v>
      </c>
      <c r="G81" t="s">
        <v>248</v>
      </c>
      <c r="H81" t="s">
        <v>28</v>
      </c>
      <c r="I81" s="46" t="s">
        <v>18</v>
      </c>
      <c r="J81" s="3">
        <v>250</v>
      </c>
      <c r="K81">
        <v>0</v>
      </c>
    </row>
    <row r="82" spans="1:11" hidden="1">
      <c r="A82" t="s">
        <v>249</v>
      </c>
      <c r="B82" t="s">
        <v>231</v>
      </c>
      <c r="C82" t="s">
        <v>232</v>
      </c>
      <c r="D82" t="s">
        <v>240</v>
      </c>
      <c r="E82">
        <v>2010</v>
      </c>
      <c r="F82" t="s">
        <v>33</v>
      </c>
      <c r="G82" t="s">
        <v>250</v>
      </c>
      <c r="H82" t="s">
        <v>17</v>
      </c>
      <c r="I82" s="46" t="s">
        <v>18</v>
      </c>
      <c r="J82" s="3">
        <v>250</v>
      </c>
      <c r="K82">
        <v>2.74</v>
      </c>
    </row>
    <row r="83" spans="1:11" hidden="1">
      <c r="A83" t="s">
        <v>251</v>
      </c>
      <c r="B83" t="s">
        <v>236</v>
      </c>
      <c r="C83" t="s">
        <v>252</v>
      </c>
      <c r="D83" s="46">
        <v>512</v>
      </c>
      <c r="F83" t="s">
        <v>23</v>
      </c>
      <c r="H83" t="s">
        <v>28</v>
      </c>
      <c r="I83" s="46" t="s">
        <v>18</v>
      </c>
      <c r="J83" s="3">
        <v>250</v>
      </c>
      <c r="K83">
        <v>1.57</v>
      </c>
    </row>
    <row r="84" spans="1:11" hidden="1">
      <c r="A84" t="s">
        <v>253</v>
      </c>
      <c r="B84" t="s">
        <v>231</v>
      </c>
      <c r="C84" t="s">
        <v>242</v>
      </c>
      <c r="D84" t="s">
        <v>254</v>
      </c>
      <c r="E84">
        <v>2019</v>
      </c>
      <c r="F84" t="s">
        <v>33</v>
      </c>
      <c r="G84" t="s">
        <v>255</v>
      </c>
      <c r="H84" t="s">
        <v>17</v>
      </c>
      <c r="I84" s="46" t="s">
        <v>18</v>
      </c>
      <c r="J84" s="3">
        <v>250</v>
      </c>
      <c r="K84">
        <v>1.99</v>
      </c>
    </row>
    <row r="85" spans="1:11" hidden="1">
      <c r="A85" t="s">
        <v>256</v>
      </c>
      <c r="B85" t="s">
        <v>231</v>
      </c>
      <c r="C85" t="s">
        <v>257</v>
      </c>
      <c r="D85" t="s">
        <v>258</v>
      </c>
      <c r="E85">
        <v>2008</v>
      </c>
      <c r="F85" t="s">
        <v>37</v>
      </c>
      <c r="G85" t="s">
        <v>234</v>
      </c>
      <c r="H85" t="s">
        <v>17</v>
      </c>
      <c r="I85" s="46" t="s">
        <v>18</v>
      </c>
      <c r="J85" s="3">
        <v>250</v>
      </c>
    </row>
    <row r="86" spans="1:11" hidden="1">
      <c r="A86" t="s">
        <v>259</v>
      </c>
      <c r="B86" t="s">
        <v>231</v>
      </c>
      <c r="C86" t="s">
        <v>232</v>
      </c>
      <c r="D86" t="s">
        <v>240</v>
      </c>
      <c r="E86">
        <v>2010</v>
      </c>
      <c r="F86" t="s">
        <v>23</v>
      </c>
      <c r="G86" t="s">
        <v>244</v>
      </c>
      <c r="H86" t="s">
        <v>17</v>
      </c>
      <c r="I86" s="46" t="s">
        <v>18</v>
      </c>
      <c r="J86" s="3">
        <v>250</v>
      </c>
      <c r="K86">
        <v>4.38</v>
      </c>
    </row>
    <row r="87" spans="1:11" hidden="1">
      <c r="A87" t="s">
        <v>260</v>
      </c>
      <c r="B87" t="s">
        <v>231</v>
      </c>
      <c r="C87" t="s">
        <v>232</v>
      </c>
      <c r="D87" t="s">
        <v>261</v>
      </c>
      <c r="E87">
        <v>2014</v>
      </c>
      <c r="F87" t="s">
        <v>262</v>
      </c>
      <c r="G87" t="s">
        <v>234</v>
      </c>
      <c r="H87" t="s">
        <v>28</v>
      </c>
      <c r="I87" s="46" t="s">
        <v>18</v>
      </c>
      <c r="J87" s="3">
        <v>250</v>
      </c>
    </row>
    <row r="88" spans="1:11" hidden="1">
      <c r="A88" t="s">
        <v>263</v>
      </c>
      <c r="B88" t="s">
        <v>264</v>
      </c>
      <c r="C88" t="s">
        <v>265</v>
      </c>
      <c r="D88" t="s">
        <v>266</v>
      </c>
      <c r="E88">
        <v>2024</v>
      </c>
      <c r="F88" t="s">
        <v>23</v>
      </c>
      <c r="G88" t="s">
        <v>267</v>
      </c>
      <c r="H88" t="s">
        <v>17</v>
      </c>
      <c r="I88" s="46" t="s">
        <v>18</v>
      </c>
      <c r="J88" s="4">
        <v>250</v>
      </c>
      <c r="K88" s="3">
        <v>5.48</v>
      </c>
    </row>
    <row r="89" spans="1:11" hidden="1">
      <c r="A89" t="s">
        <v>268</v>
      </c>
      <c r="B89" t="s">
        <v>269</v>
      </c>
      <c r="C89" t="s">
        <v>270</v>
      </c>
      <c r="D89" t="s">
        <v>271</v>
      </c>
      <c r="E89">
        <v>2018</v>
      </c>
      <c r="F89" t="s">
        <v>33</v>
      </c>
      <c r="G89" t="s">
        <v>272</v>
      </c>
      <c r="H89" t="s">
        <v>17</v>
      </c>
      <c r="I89" s="46" t="s">
        <v>18</v>
      </c>
      <c r="J89" s="4">
        <v>250</v>
      </c>
      <c r="K89">
        <v>3.52</v>
      </c>
    </row>
    <row r="90" spans="1:11" hidden="1">
      <c r="A90" t="s">
        <v>273</v>
      </c>
      <c r="B90" t="s">
        <v>274</v>
      </c>
      <c r="C90" t="s">
        <v>275</v>
      </c>
      <c r="D90" t="s">
        <v>276</v>
      </c>
      <c r="E90">
        <v>2014</v>
      </c>
      <c r="F90" t="s">
        <v>51</v>
      </c>
      <c r="G90" t="s">
        <v>277</v>
      </c>
      <c r="H90" t="s">
        <v>17</v>
      </c>
      <c r="I90" s="46" t="s">
        <v>18</v>
      </c>
      <c r="J90" s="4">
        <v>300</v>
      </c>
      <c r="K90">
        <v>3.58</v>
      </c>
    </row>
    <row r="91" spans="1:11" hidden="1">
      <c r="A91" t="s">
        <v>278</v>
      </c>
      <c r="B91" t="s">
        <v>274</v>
      </c>
      <c r="C91" t="s">
        <v>275</v>
      </c>
      <c r="D91" t="s">
        <v>279</v>
      </c>
      <c r="E91">
        <v>2019</v>
      </c>
      <c r="F91" t="s">
        <v>63</v>
      </c>
      <c r="G91" t="s">
        <v>280</v>
      </c>
      <c r="H91" t="s">
        <v>17</v>
      </c>
      <c r="I91" s="46" t="s">
        <v>18</v>
      </c>
      <c r="J91" s="4">
        <v>300</v>
      </c>
      <c r="K91">
        <v>2.86</v>
      </c>
    </row>
    <row r="92" spans="1:11" hidden="1">
      <c r="A92" t="s">
        <v>281</v>
      </c>
      <c r="B92" t="s">
        <v>264</v>
      </c>
      <c r="C92" t="s">
        <v>265</v>
      </c>
      <c r="D92" t="s">
        <v>266</v>
      </c>
      <c r="E92">
        <v>2024</v>
      </c>
      <c r="F92" t="s">
        <v>30</v>
      </c>
      <c r="G92" t="s">
        <v>282</v>
      </c>
      <c r="H92" t="s">
        <v>17</v>
      </c>
      <c r="I92" s="46" t="s">
        <v>18</v>
      </c>
      <c r="J92" s="4">
        <v>250</v>
      </c>
      <c r="K92">
        <v>4.1100000000000003</v>
      </c>
    </row>
    <row r="93" spans="1:11" hidden="1">
      <c r="A93" t="s">
        <v>283</v>
      </c>
      <c r="B93" t="s">
        <v>284</v>
      </c>
      <c r="C93" t="s">
        <v>285</v>
      </c>
      <c r="D93" t="s">
        <v>286</v>
      </c>
      <c r="E93">
        <v>2019</v>
      </c>
      <c r="F93" t="s">
        <v>287</v>
      </c>
      <c r="G93" t="s">
        <v>201</v>
      </c>
      <c r="H93" t="s">
        <v>17</v>
      </c>
      <c r="I93" s="46" t="s">
        <v>18</v>
      </c>
      <c r="J93" s="4">
        <v>250</v>
      </c>
      <c r="K93">
        <v>2.06</v>
      </c>
    </row>
    <row r="94" spans="1:11" hidden="1">
      <c r="A94" t="s">
        <v>288</v>
      </c>
      <c r="B94" t="s">
        <v>289</v>
      </c>
      <c r="C94" t="s">
        <v>290</v>
      </c>
      <c r="D94" t="s">
        <v>291</v>
      </c>
      <c r="E94">
        <v>2016</v>
      </c>
      <c r="H94" t="s">
        <v>292</v>
      </c>
      <c r="I94" s="46" t="s">
        <v>18</v>
      </c>
      <c r="J94" s="4">
        <v>250</v>
      </c>
    </row>
    <row r="95" spans="1:11" hidden="1">
      <c r="A95" t="s">
        <v>293</v>
      </c>
      <c r="B95" t="s">
        <v>284</v>
      </c>
      <c r="C95" t="s">
        <v>265</v>
      </c>
      <c r="D95" t="s">
        <v>294</v>
      </c>
      <c r="E95">
        <v>2024</v>
      </c>
      <c r="F95" t="s">
        <v>23</v>
      </c>
      <c r="G95" t="s">
        <v>295</v>
      </c>
      <c r="H95" t="s">
        <v>17</v>
      </c>
      <c r="I95" s="46" t="s">
        <v>18</v>
      </c>
      <c r="J95" s="4">
        <v>250</v>
      </c>
      <c r="K95">
        <v>6.21</v>
      </c>
    </row>
    <row r="96" spans="1:11" hidden="1">
      <c r="A96" t="s">
        <v>296</v>
      </c>
      <c r="B96" t="s">
        <v>297</v>
      </c>
      <c r="C96" t="s">
        <v>298</v>
      </c>
      <c r="D96" t="s">
        <v>299</v>
      </c>
      <c r="E96">
        <v>2008</v>
      </c>
      <c r="F96" t="s">
        <v>15</v>
      </c>
      <c r="G96" t="s">
        <v>300</v>
      </c>
      <c r="H96" t="s">
        <v>17</v>
      </c>
      <c r="I96" s="46" t="s">
        <v>18</v>
      </c>
      <c r="J96" s="4">
        <v>250</v>
      </c>
      <c r="K96">
        <v>1.43</v>
      </c>
    </row>
    <row r="97" spans="1:11" hidden="1">
      <c r="A97" t="s">
        <v>301</v>
      </c>
      <c r="B97" t="s">
        <v>269</v>
      </c>
      <c r="C97" t="s">
        <v>302</v>
      </c>
      <c r="D97" t="s">
        <v>303</v>
      </c>
      <c r="E97">
        <v>2019</v>
      </c>
      <c r="F97" t="s">
        <v>33</v>
      </c>
      <c r="G97" t="s">
        <v>304</v>
      </c>
      <c r="H97" t="s">
        <v>17</v>
      </c>
      <c r="I97" s="46" t="s">
        <v>18</v>
      </c>
      <c r="J97" s="4">
        <v>250</v>
      </c>
      <c r="K97">
        <v>2.96</v>
      </c>
    </row>
    <row r="98" spans="1:11" hidden="1">
      <c r="A98" t="s">
        <v>305</v>
      </c>
      <c r="B98" t="s">
        <v>269</v>
      </c>
      <c r="C98" t="s">
        <v>302</v>
      </c>
      <c r="D98" t="s">
        <v>303</v>
      </c>
      <c r="E98">
        <v>2019</v>
      </c>
      <c r="F98" t="s">
        <v>51</v>
      </c>
      <c r="G98" t="s">
        <v>306</v>
      </c>
      <c r="H98" t="s">
        <v>17</v>
      </c>
      <c r="I98" s="46" t="s">
        <v>18</v>
      </c>
      <c r="J98" s="4">
        <v>250</v>
      </c>
      <c r="K98">
        <v>4.07</v>
      </c>
    </row>
    <row r="99" spans="1:11" hidden="1">
      <c r="A99" t="s">
        <v>307</v>
      </c>
      <c r="B99" t="s">
        <v>269</v>
      </c>
      <c r="C99" t="s">
        <v>308</v>
      </c>
      <c r="D99" t="s">
        <v>309</v>
      </c>
      <c r="E99">
        <v>2010</v>
      </c>
      <c r="F99" t="s">
        <v>15</v>
      </c>
      <c r="G99" t="s">
        <v>310</v>
      </c>
      <c r="H99" t="s">
        <v>17</v>
      </c>
      <c r="I99" s="46" t="s">
        <v>18</v>
      </c>
      <c r="J99" s="4">
        <v>250</v>
      </c>
      <c r="K99">
        <v>1.87</v>
      </c>
    </row>
    <row r="100" spans="1:11" hidden="1">
      <c r="A100" t="s">
        <v>311</v>
      </c>
      <c r="B100" t="s">
        <v>269</v>
      </c>
      <c r="C100" t="s">
        <v>308</v>
      </c>
      <c r="D100" t="s">
        <v>309</v>
      </c>
      <c r="E100">
        <v>2010</v>
      </c>
      <c r="F100" t="s">
        <v>51</v>
      </c>
      <c r="G100" t="s">
        <v>312</v>
      </c>
      <c r="H100" t="s">
        <v>17</v>
      </c>
      <c r="I100" s="46" t="s">
        <v>18</v>
      </c>
      <c r="J100" s="4">
        <v>250</v>
      </c>
      <c r="K100">
        <v>2.88</v>
      </c>
    </row>
    <row r="101" spans="1:11" hidden="1">
      <c r="A101" t="s">
        <v>313</v>
      </c>
      <c r="B101" t="s">
        <v>264</v>
      </c>
      <c r="C101" t="s">
        <v>314</v>
      </c>
      <c r="D101" t="s">
        <v>315</v>
      </c>
      <c r="E101">
        <v>2011</v>
      </c>
      <c r="F101" t="s">
        <v>316</v>
      </c>
      <c r="G101" t="s">
        <v>317</v>
      </c>
      <c r="H101" t="s">
        <v>17</v>
      </c>
      <c r="I101" s="46" t="s">
        <v>18</v>
      </c>
      <c r="J101" s="4">
        <v>250</v>
      </c>
      <c r="K101" s="3">
        <v>1.39</v>
      </c>
    </row>
    <row r="102" spans="1:11" hidden="1">
      <c r="A102" t="s">
        <v>318</v>
      </c>
      <c r="B102" t="s">
        <v>264</v>
      </c>
      <c r="C102" t="s">
        <v>270</v>
      </c>
      <c r="D102" t="s">
        <v>319</v>
      </c>
      <c r="E102">
        <v>2008</v>
      </c>
      <c r="F102" t="s">
        <v>320</v>
      </c>
      <c r="G102" t="s">
        <v>321</v>
      </c>
      <c r="H102" t="s">
        <v>37</v>
      </c>
      <c r="I102" s="46" t="s">
        <v>18</v>
      </c>
      <c r="J102" s="4">
        <v>250</v>
      </c>
    </row>
    <row r="103" spans="1:11" hidden="1">
      <c r="A103" t="s">
        <v>322</v>
      </c>
      <c r="B103" t="s">
        <v>284</v>
      </c>
      <c r="C103" t="s">
        <v>302</v>
      </c>
      <c r="D103" t="s">
        <v>323</v>
      </c>
      <c r="E103">
        <v>2012</v>
      </c>
      <c r="F103" t="s">
        <v>37</v>
      </c>
      <c r="G103" t="s">
        <v>321</v>
      </c>
      <c r="H103" t="s">
        <v>37</v>
      </c>
      <c r="I103" s="46" t="s">
        <v>18</v>
      </c>
      <c r="J103" s="4">
        <v>250</v>
      </c>
      <c r="K103">
        <v>3.4</v>
      </c>
    </row>
    <row r="104" spans="1:11" hidden="1">
      <c r="A104" t="s">
        <v>324</v>
      </c>
      <c r="B104" t="s">
        <v>284</v>
      </c>
      <c r="C104" t="s">
        <v>325</v>
      </c>
      <c r="D104" t="s">
        <v>326</v>
      </c>
      <c r="E104">
        <v>2012</v>
      </c>
      <c r="F104" t="s">
        <v>327</v>
      </c>
      <c r="G104" t="s">
        <v>321</v>
      </c>
      <c r="H104" t="s">
        <v>17</v>
      </c>
      <c r="I104" s="46" t="s">
        <v>18</v>
      </c>
      <c r="J104" s="4">
        <v>250</v>
      </c>
    </row>
    <row r="105" spans="1:11" hidden="1">
      <c r="A105" t="s">
        <v>328</v>
      </c>
      <c r="B105" t="s">
        <v>274</v>
      </c>
      <c r="C105" t="s">
        <v>275</v>
      </c>
      <c r="D105" t="s">
        <v>276</v>
      </c>
      <c r="E105">
        <v>2012</v>
      </c>
      <c r="F105" t="s">
        <v>26</v>
      </c>
      <c r="G105" t="s">
        <v>329</v>
      </c>
      <c r="H105" t="s">
        <v>17</v>
      </c>
      <c r="I105" s="46" t="s">
        <v>18</v>
      </c>
      <c r="J105" s="4">
        <v>300</v>
      </c>
    </row>
    <row r="106" spans="1:11" hidden="1">
      <c r="A106" t="s">
        <v>330</v>
      </c>
      <c r="B106" t="s">
        <v>269</v>
      </c>
      <c r="C106" t="s">
        <v>325</v>
      </c>
      <c r="D106" t="s">
        <v>331</v>
      </c>
      <c r="E106">
        <v>2013</v>
      </c>
      <c r="F106" t="s">
        <v>327</v>
      </c>
      <c r="G106" t="s">
        <v>332</v>
      </c>
      <c r="H106" t="s">
        <v>17</v>
      </c>
      <c r="I106" s="46" t="s">
        <v>18</v>
      </c>
      <c r="J106" s="4">
        <v>250</v>
      </c>
      <c r="K106">
        <v>3.03</v>
      </c>
    </row>
    <row r="107" spans="1:11" hidden="1">
      <c r="A107" t="s">
        <v>333</v>
      </c>
      <c r="B107" t="s">
        <v>274</v>
      </c>
      <c r="C107" t="s">
        <v>275</v>
      </c>
      <c r="D107" t="s">
        <v>276</v>
      </c>
      <c r="E107">
        <v>2011</v>
      </c>
      <c r="F107" t="s">
        <v>33</v>
      </c>
      <c r="G107" t="s">
        <v>329</v>
      </c>
      <c r="H107" t="s">
        <v>17</v>
      </c>
      <c r="I107" s="46" t="s">
        <v>18</v>
      </c>
      <c r="J107" s="4">
        <v>300</v>
      </c>
      <c r="K107">
        <v>1.44</v>
      </c>
    </row>
    <row r="108" spans="1:11" hidden="1">
      <c r="A108" t="s">
        <v>334</v>
      </c>
      <c r="B108" t="s">
        <v>284</v>
      </c>
      <c r="C108" t="s">
        <v>325</v>
      </c>
      <c r="D108" t="s">
        <v>335</v>
      </c>
      <c r="E108">
        <v>2013</v>
      </c>
      <c r="F108" t="s">
        <v>72</v>
      </c>
      <c r="G108" t="s">
        <v>321</v>
      </c>
      <c r="H108" t="s">
        <v>37</v>
      </c>
      <c r="I108" s="46" t="s">
        <v>18</v>
      </c>
      <c r="J108" s="4">
        <v>250</v>
      </c>
    </row>
    <row r="109" spans="1:11" hidden="1">
      <c r="A109" t="s">
        <v>336</v>
      </c>
      <c r="B109" t="s">
        <v>264</v>
      </c>
      <c r="C109" t="s">
        <v>325</v>
      </c>
      <c r="D109" t="s">
        <v>337</v>
      </c>
      <c r="E109">
        <v>2013</v>
      </c>
      <c r="F109" t="s">
        <v>320</v>
      </c>
      <c r="G109" t="s">
        <v>321</v>
      </c>
      <c r="H109" t="s">
        <v>37</v>
      </c>
      <c r="I109" s="46" t="s">
        <v>18</v>
      </c>
      <c r="J109" s="4">
        <v>250</v>
      </c>
    </row>
    <row r="110" spans="1:11" hidden="1">
      <c r="A110" t="s">
        <v>338</v>
      </c>
      <c r="B110" t="s">
        <v>284</v>
      </c>
      <c r="C110" t="s">
        <v>308</v>
      </c>
      <c r="D110" t="s">
        <v>339</v>
      </c>
      <c r="E110">
        <v>2014</v>
      </c>
      <c r="F110" t="s">
        <v>33</v>
      </c>
      <c r="G110" t="s">
        <v>340</v>
      </c>
      <c r="H110" t="s">
        <v>17</v>
      </c>
      <c r="I110" s="46" t="s">
        <v>18</v>
      </c>
      <c r="J110" s="4">
        <v>250</v>
      </c>
      <c r="K110">
        <v>2.33</v>
      </c>
    </row>
    <row r="111" spans="1:11" hidden="1">
      <c r="A111" t="s">
        <v>341</v>
      </c>
      <c r="B111" t="s">
        <v>264</v>
      </c>
      <c r="C111" t="s">
        <v>314</v>
      </c>
      <c r="D111" t="s">
        <v>315</v>
      </c>
      <c r="E111">
        <v>2019</v>
      </c>
      <c r="F111" t="s">
        <v>63</v>
      </c>
      <c r="G111" t="s">
        <v>282</v>
      </c>
      <c r="H111" t="s">
        <v>17</v>
      </c>
      <c r="I111" s="46" t="s">
        <v>18</v>
      </c>
      <c r="J111" s="4">
        <v>250</v>
      </c>
      <c r="K111" s="3">
        <v>2.52</v>
      </c>
    </row>
    <row r="112" spans="1:11" hidden="1">
      <c r="A112" t="s">
        <v>342</v>
      </c>
      <c r="B112" t="s">
        <v>264</v>
      </c>
      <c r="C112" t="s">
        <v>308</v>
      </c>
      <c r="D112" t="s">
        <v>343</v>
      </c>
      <c r="E112">
        <v>2013</v>
      </c>
      <c r="F112" t="s">
        <v>344</v>
      </c>
      <c r="G112" t="s">
        <v>345</v>
      </c>
      <c r="H112" t="s">
        <v>17</v>
      </c>
      <c r="I112" s="46" t="s">
        <v>18</v>
      </c>
      <c r="J112" s="4">
        <v>250</v>
      </c>
    </row>
    <row r="113" spans="1:11" hidden="1">
      <c r="A113" t="s">
        <v>346</v>
      </c>
      <c r="B113" t="s">
        <v>347</v>
      </c>
      <c r="C113" t="s">
        <v>348</v>
      </c>
      <c r="D113" t="s">
        <v>349</v>
      </c>
      <c r="E113">
        <v>2011</v>
      </c>
      <c r="F113" t="s">
        <v>15</v>
      </c>
      <c r="G113" t="s">
        <v>350</v>
      </c>
      <c r="H113" t="s">
        <v>17</v>
      </c>
      <c r="I113" s="46" t="s">
        <v>18</v>
      </c>
      <c r="J113" s="4">
        <v>250</v>
      </c>
      <c r="K113">
        <v>16.440000000000001</v>
      </c>
    </row>
    <row r="114" spans="1:11" hidden="1">
      <c r="A114" t="s">
        <v>351</v>
      </c>
      <c r="B114" t="s">
        <v>347</v>
      </c>
      <c r="C114" t="s">
        <v>348</v>
      </c>
      <c r="D114" t="s">
        <v>349</v>
      </c>
      <c r="E114">
        <v>2011</v>
      </c>
      <c r="F114" t="s">
        <v>28</v>
      </c>
      <c r="G114" t="s">
        <v>56</v>
      </c>
      <c r="H114" t="s">
        <v>28</v>
      </c>
      <c r="I114" s="46" t="s">
        <v>18</v>
      </c>
      <c r="J114" s="4">
        <v>250</v>
      </c>
    </row>
    <row r="115" spans="1:11" hidden="1">
      <c r="A115" t="s">
        <v>352</v>
      </c>
      <c r="B115" t="s">
        <v>297</v>
      </c>
      <c r="C115" t="s">
        <v>353</v>
      </c>
      <c r="D115" t="s">
        <v>354</v>
      </c>
      <c r="E115">
        <v>1998</v>
      </c>
      <c r="F115" t="s">
        <v>316</v>
      </c>
      <c r="G115" t="s">
        <v>355</v>
      </c>
      <c r="H115" t="s">
        <v>17</v>
      </c>
      <c r="I115" s="46" t="s">
        <v>18</v>
      </c>
      <c r="J115" s="4">
        <v>250</v>
      </c>
    </row>
    <row r="116" spans="1:11" hidden="1">
      <c r="A116" t="s">
        <v>356</v>
      </c>
      <c r="B116" t="s">
        <v>357</v>
      </c>
      <c r="C116" t="s">
        <v>353</v>
      </c>
      <c r="D116" t="s">
        <v>358</v>
      </c>
      <c r="E116">
        <v>1998</v>
      </c>
      <c r="F116" t="s">
        <v>37</v>
      </c>
      <c r="G116" t="s">
        <v>201</v>
      </c>
      <c r="H116" t="s">
        <v>17</v>
      </c>
      <c r="I116" s="46" t="s">
        <v>18</v>
      </c>
      <c r="J116" s="4">
        <v>250</v>
      </c>
    </row>
    <row r="117" spans="1:11" hidden="1">
      <c r="A117" t="s">
        <v>359</v>
      </c>
      <c r="B117" t="s">
        <v>357</v>
      </c>
      <c r="C117" t="s">
        <v>353</v>
      </c>
      <c r="D117" t="s">
        <v>358</v>
      </c>
      <c r="E117">
        <v>2001</v>
      </c>
      <c r="F117" t="s">
        <v>206</v>
      </c>
      <c r="G117" t="s">
        <v>201</v>
      </c>
      <c r="H117" t="s">
        <v>17</v>
      </c>
      <c r="I117" s="46" t="s">
        <v>18</v>
      </c>
      <c r="J117" s="4">
        <v>250</v>
      </c>
      <c r="K117">
        <v>0.21</v>
      </c>
    </row>
    <row r="118" spans="1:11" hidden="1">
      <c r="A118" t="s">
        <v>360</v>
      </c>
      <c r="B118" t="s">
        <v>274</v>
      </c>
      <c r="C118" t="s">
        <v>275</v>
      </c>
      <c r="D118" t="s">
        <v>276</v>
      </c>
      <c r="E118">
        <v>2015</v>
      </c>
      <c r="F118" t="s">
        <v>51</v>
      </c>
      <c r="G118" t="s">
        <v>361</v>
      </c>
      <c r="H118" t="s">
        <v>17</v>
      </c>
      <c r="I118" s="46" t="s">
        <v>18</v>
      </c>
      <c r="J118" s="4">
        <v>300</v>
      </c>
      <c r="K118">
        <v>1.0900000000000001</v>
      </c>
    </row>
    <row r="119" spans="1:11" hidden="1">
      <c r="A119" t="s">
        <v>362</v>
      </c>
      <c r="B119" t="s">
        <v>269</v>
      </c>
      <c r="C119" t="s">
        <v>308</v>
      </c>
      <c r="D119" t="s">
        <v>363</v>
      </c>
      <c r="E119">
        <v>2011</v>
      </c>
      <c r="F119" t="s">
        <v>364</v>
      </c>
      <c r="G119" t="s">
        <v>304</v>
      </c>
      <c r="H119" t="s">
        <v>17</v>
      </c>
      <c r="I119" s="46" t="s">
        <v>18</v>
      </c>
      <c r="J119" s="4">
        <v>250</v>
      </c>
      <c r="K119">
        <v>3.15</v>
      </c>
    </row>
    <row r="120" spans="1:11" hidden="1">
      <c r="A120" t="s">
        <v>365</v>
      </c>
      <c r="B120" t="s">
        <v>264</v>
      </c>
      <c r="C120" t="s">
        <v>314</v>
      </c>
      <c r="D120" t="s">
        <v>315</v>
      </c>
      <c r="E120">
        <v>2013</v>
      </c>
      <c r="F120" t="s">
        <v>366</v>
      </c>
      <c r="G120" t="s">
        <v>367</v>
      </c>
      <c r="H120" t="s">
        <v>17</v>
      </c>
      <c r="I120" s="46" t="s">
        <v>18</v>
      </c>
      <c r="J120" s="4">
        <v>250</v>
      </c>
      <c r="K120" s="3">
        <v>9.74</v>
      </c>
    </row>
    <row r="121" spans="1:11" hidden="1">
      <c r="A121" t="s">
        <v>368</v>
      </c>
      <c r="B121" t="s">
        <v>297</v>
      </c>
      <c r="C121" t="s">
        <v>353</v>
      </c>
      <c r="D121" t="s">
        <v>354</v>
      </c>
      <c r="E121">
        <v>1998</v>
      </c>
      <c r="F121" t="s">
        <v>37</v>
      </c>
      <c r="G121" t="s">
        <v>56</v>
      </c>
      <c r="H121" t="s">
        <v>17</v>
      </c>
      <c r="I121" s="46" t="s">
        <v>18</v>
      </c>
      <c r="J121" s="4">
        <v>250</v>
      </c>
    </row>
    <row r="122" spans="1:11" hidden="1">
      <c r="A122" t="s">
        <v>369</v>
      </c>
      <c r="B122" t="s">
        <v>284</v>
      </c>
      <c r="C122" t="s">
        <v>308</v>
      </c>
      <c r="D122" t="s">
        <v>370</v>
      </c>
      <c r="E122">
        <v>2011</v>
      </c>
      <c r="F122" t="s">
        <v>37</v>
      </c>
      <c r="G122" t="s">
        <v>56</v>
      </c>
      <c r="H122" t="s">
        <v>17</v>
      </c>
      <c r="I122" s="46" t="s">
        <v>18</v>
      </c>
      <c r="J122" s="4">
        <v>250</v>
      </c>
    </row>
    <row r="123" spans="1:11" hidden="1">
      <c r="A123" t="s">
        <v>371</v>
      </c>
      <c r="B123" t="s">
        <v>264</v>
      </c>
      <c r="C123" t="s">
        <v>314</v>
      </c>
      <c r="D123" t="s">
        <v>315</v>
      </c>
      <c r="E123">
        <v>2015</v>
      </c>
      <c r="F123" t="s">
        <v>33</v>
      </c>
      <c r="G123" t="s">
        <v>372</v>
      </c>
      <c r="H123" t="s">
        <v>17</v>
      </c>
      <c r="I123" s="46" t="s">
        <v>18</v>
      </c>
      <c r="J123" s="4">
        <v>250</v>
      </c>
      <c r="K123" s="3">
        <v>1.97</v>
      </c>
    </row>
    <row r="124" spans="1:11" hidden="1">
      <c r="A124" t="s">
        <v>373</v>
      </c>
      <c r="B124" t="s">
        <v>374</v>
      </c>
      <c r="C124" t="s">
        <v>375</v>
      </c>
      <c r="D124" t="s">
        <v>376</v>
      </c>
      <c r="E124">
        <v>2006</v>
      </c>
      <c r="F124" t="s">
        <v>30</v>
      </c>
      <c r="G124" t="s">
        <v>367</v>
      </c>
      <c r="H124" t="s">
        <v>17</v>
      </c>
      <c r="I124" s="46" t="s">
        <v>18</v>
      </c>
      <c r="J124" s="4">
        <v>250</v>
      </c>
      <c r="K124" s="3">
        <v>2.93</v>
      </c>
    </row>
    <row r="125" spans="1:11" hidden="1">
      <c r="A125" t="s">
        <v>377</v>
      </c>
      <c r="B125" t="s">
        <v>347</v>
      </c>
      <c r="C125" t="s">
        <v>378</v>
      </c>
      <c r="D125" t="s">
        <v>379</v>
      </c>
      <c r="E125">
        <v>2009</v>
      </c>
      <c r="F125" t="s">
        <v>37</v>
      </c>
      <c r="G125" t="s">
        <v>56</v>
      </c>
      <c r="H125" t="s">
        <v>17</v>
      </c>
      <c r="I125" s="46" t="s">
        <v>18</v>
      </c>
      <c r="J125" s="4">
        <v>250</v>
      </c>
    </row>
    <row r="126" spans="1:11" hidden="1">
      <c r="A126" t="s">
        <v>380</v>
      </c>
      <c r="B126" t="s">
        <v>284</v>
      </c>
      <c r="C126" t="s">
        <v>381</v>
      </c>
      <c r="D126" t="s">
        <v>382</v>
      </c>
      <c r="E126">
        <v>2015</v>
      </c>
      <c r="F126" t="s">
        <v>33</v>
      </c>
      <c r="G126" t="s">
        <v>340</v>
      </c>
      <c r="H126" t="s">
        <v>17</v>
      </c>
      <c r="I126" s="46" t="s">
        <v>18</v>
      </c>
      <c r="J126" s="4">
        <v>250</v>
      </c>
      <c r="K126">
        <v>0</v>
      </c>
    </row>
    <row r="127" spans="1:11" hidden="1">
      <c r="A127" t="s">
        <v>383</v>
      </c>
      <c r="B127" t="s">
        <v>274</v>
      </c>
      <c r="C127" t="s">
        <v>275</v>
      </c>
      <c r="D127" t="s">
        <v>276</v>
      </c>
      <c r="E127">
        <v>2008</v>
      </c>
      <c r="F127" t="s">
        <v>33</v>
      </c>
      <c r="G127" t="s">
        <v>384</v>
      </c>
      <c r="H127" t="s">
        <v>17</v>
      </c>
      <c r="I127" s="46" t="s">
        <v>18</v>
      </c>
      <c r="J127" s="4">
        <v>300</v>
      </c>
      <c r="K127">
        <v>2.19</v>
      </c>
    </row>
    <row r="128" spans="1:11" hidden="1">
      <c r="A128" t="s">
        <v>385</v>
      </c>
      <c r="B128" t="s">
        <v>274</v>
      </c>
      <c r="C128" t="s">
        <v>275</v>
      </c>
      <c r="D128" t="s">
        <v>386</v>
      </c>
      <c r="E128">
        <v>2012</v>
      </c>
      <c r="F128" t="s">
        <v>15</v>
      </c>
      <c r="G128" t="s">
        <v>387</v>
      </c>
      <c r="H128" t="s">
        <v>17</v>
      </c>
      <c r="I128" s="46" t="s">
        <v>18</v>
      </c>
      <c r="J128" s="4">
        <v>300</v>
      </c>
      <c r="K128" s="3">
        <v>1.34</v>
      </c>
    </row>
    <row r="129" spans="1:11" hidden="1">
      <c r="A129" t="s">
        <v>388</v>
      </c>
      <c r="B129" t="s">
        <v>374</v>
      </c>
      <c r="C129" t="s">
        <v>314</v>
      </c>
      <c r="D129" t="s">
        <v>376</v>
      </c>
      <c r="E129">
        <v>2014</v>
      </c>
      <c r="F129" t="s">
        <v>15</v>
      </c>
      <c r="G129" t="s">
        <v>345</v>
      </c>
      <c r="H129" t="s">
        <v>17</v>
      </c>
      <c r="I129" s="46" t="s">
        <v>18</v>
      </c>
      <c r="J129" s="4">
        <v>250</v>
      </c>
      <c r="K129" s="3">
        <v>1.27</v>
      </c>
    </row>
    <row r="130" spans="1:11" hidden="1">
      <c r="A130" t="s">
        <v>389</v>
      </c>
      <c r="B130" t="s">
        <v>347</v>
      </c>
      <c r="C130" t="s">
        <v>378</v>
      </c>
      <c r="D130" t="s">
        <v>379</v>
      </c>
      <c r="E130">
        <v>2002</v>
      </c>
      <c r="F130" t="s">
        <v>37</v>
      </c>
      <c r="G130" t="s">
        <v>321</v>
      </c>
      <c r="H130" t="s">
        <v>37</v>
      </c>
      <c r="I130" s="46" t="s">
        <v>18</v>
      </c>
      <c r="J130" s="4">
        <v>250</v>
      </c>
      <c r="K130">
        <v>0</v>
      </c>
    </row>
    <row r="131" spans="1:11" hidden="1">
      <c r="A131" t="s">
        <v>390</v>
      </c>
      <c r="B131" t="s">
        <v>347</v>
      </c>
      <c r="C131" t="s">
        <v>378</v>
      </c>
      <c r="D131" t="s">
        <v>379</v>
      </c>
      <c r="E131">
        <v>2004</v>
      </c>
      <c r="F131" t="s">
        <v>37</v>
      </c>
      <c r="G131" t="s">
        <v>321</v>
      </c>
      <c r="H131" t="s">
        <v>37</v>
      </c>
      <c r="I131" s="46" t="s">
        <v>18</v>
      </c>
      <c r="J131" s="4">
        <v>250</v>
      </c>
      <c r="K131">
        <v>0</v>
      </c>
    </row>
    <row r="132" spans="1:11" hidden="1">
      <c r="A132" t="s">
        <v>391</v>
      </c>
      <c r="B132" t="s">
        <v>269</v>
      </c>
      <c r="C132" t="s">
        <v>325</v>
      </c>
      <c r="D132" t="s">
        <v>392</v>
      </c>
      <c r="E132">
        <v>2007</v>
      </c>
      <c r="F132" t="s">
        <v>30</v>
      </c>
      <c r="G132" t="s">
        <v>393</v>
      </c>
      <c r="H132" t="s">
        <v>17</v>
      </c>
      <c r="I132" s="46" t="s">
        <v>18</v>
      </c>
      <c r="J132" s="4">
        <v>250</v>
      </c>
      <c r="K132">
        <v>0</v>
      </c>
    </row>
    <row r="133" spans="1:11" hidden="1">
      <c r="A133" t="s">
        <v>394</v>
      </c>
      <c r="B133" t="s">
        <v>264</v>
      </c>
      <c r="C133" t="s">
        <v>270</v>
      </c>
      <c r="D133" t="s">
        <v>395</v>
      </c>
      <c r="E133">
        <v>2012</v>
      </c>
      <c r="F133" t="s">
        <v>37</v>
      </c>
      <c r="G133" t="s">
        <v>282</v>
      </c>
      <c r="H133" t="s">
        <v>17</v>
      </c>
      <c r="I133" s="46" t="s">
        <v>18</v>
      </c>
      <c r="J133" s="4">
        <v>250</v>
      </c>
      <c r="K133">
        <v>0</v>
      </c>
    </row>
    <row r="134" spans="1:11" hidden="1">
      <c r="A134" t="s">
        <v>396</v>
      </c>
      <c r="B134" t="s">
        <v>347</v>
      </c>
      <c r="C134" t="s">
        <v>302</v>
      </c>
      <c r="D134" t="s">
        <v>397</v>
      </c>
      <c r="E134">
        <v>2015</v>
      </c>
      <c r="F134" t="s">
        <v>30</v>
      </c>
      <c r="G134" t="s">
        <v>398</v>
      </c>
      <c r="H134" t="s">
        <v>17</v>
      </c>
      <c r="I134" s="46" t="s">
        <v>18</v>
      </c>
      <c r="J134" s="4">
        <v>250</v>
      </c>
      <c r="K134">
        <v>0.75</v>
      </c>
    </row>
    <row r="135" spans="1:11" hidden="1">
      <c r="A135" t="s">
        <v>399</v>
      </c>
      <c r="B135" t="s">
        <v>347</v>
      </c>
      <c r="C135" t="s">
        <v>381</v>
      </c>
      <c r="D135" t="s">
        <v>400</v>
      </c>
      <c r="E135">
        <v>2015</v>
      </c>
      <c r="F135" t="s">
        <v>33</v>
      </c>
      <c r="G135" t="s">
        <v>401</v>
      </c>
      <c r="H135" t="s">
        <v>17</v>
      </c>
      <c r="I135" s="46" t="s">
        <v>18</v>
      </c>
      <c r="J135" s="4">
        <v>250</v>
      </c>
      <c r="K135">
        <v>1.18</v>
      </c>
    </row>
    <row r="136" spans="1:11" hidden="1">
      <c r="A136" t="s">
        <v>402</v>
      </c>
      <c r="B136" t="s">
        <v>269</v>
      </c>
      <c r="C136" t="s">
        <v>308</v>
      </c>
      <c r="D136" t="s">
        <v>403</v>
      </c>
      <c r="E136">
        <v>2012</v>
      </c>
      <c r="F136" t="s">
        <v>26</v>
      </c>
      <c r="G136" t="s">
        <v>56</v>
      </c>
      <c r="H136" t="s">
        <v>28</v>
      </c>
      <c r="I136" s="46" t="s">
        <v>18</v>
      </c>
      <c r="J136" s="4">
        <v>250</v>
      </c>
    </row>
    <row r="137" spans="1:11" hidden="1">
      <c r="A137" t="s">
        <v>404</v>
      </c>
      <c r="B137" t="s">
        <v>405</v>
      </c>
      <c r="C137" t="s">
        <v>406</v>
      </c>
      <c r="D137" t="s">
        <v>407</v>
      </c>
      <c r="E137">
        <v>1998</v>
      </c>
      <c r="F137" t="s">
        <v>26</v>
      </c>
      <c r="G137" t="s">
        <v>56</v>
      </c>
      <c r="H137" t="s">
        <v>28</v>
      </c>
      <c r="I137" s="46" t="s">
        <v>18</v>
      </c>
      <c r="J137" s="4">
        <v>250</v>
      </c>
    </row>
    <row r="138" spans="1:11" hidden="1">
      <c r="A138" t="s">
        <v>408</v>
      </c>
      <c r="B138" t="s">
        <v>269</v>
      </c>
      <c r="C138" t="s">
        <v>308</v>
      </c>
      <c r="D138" t="s">
        <v>409</v>
      </c>
      <c r="E138">
        <v>2011</v>
      </c>
      <c r="F138" t="s">
        <v>51</v>
      </c>
      <c r="G138" t="s">
        <v>410</v>
      </c>
      <c r="H138" t="s">
        <v>17</v>
      </c>
      <c r="I138" s="46" t="s">
        <v>18</v>
      </c>
      <c r="J138" s="4">
        <v>250</v>
      </c>
      <c r="K138">
        <v>1.95</v>
      </c>
    </row>
    <row r="139" spans="1:11" hidden="1">
      <c r="A139" t="s">
        <v>411</v>
      </c>
      <c r="B139" t="s">
        <v>347</v>
      </c>
      <c r="C139" t="s">
        <v>381</v>
      </c>
      <c r="D139" t="s">
        <v>400</v>
      </c>
      <c r="E139">
        <v>2019</v>
      </c>
      <c r="F139" t="s">
        <v>33</v>
      </c>
      <c r="G139" t="s">
        <v>412</v>
      </c>
      <c r="H139" t="s">
        <v>17</v>
      </c>
      <c r="I139" s="46" t="s">
        <v>18</v>
      </c>
      <c r="J139" s="4">
        <v>250</v>
      </c>
      <c r="K139">
        <v>2.42</v>
      </c>
    </row>
    <row r="140" spans="1:11" hidden="1">
      <c r="A140" t="s">
        <v>413</v>
      </c>
      <c r="B140" t="s">
        <v>414</v>
      </c>
      <c r="C140" t="s">
        <v>415</v>
      </c>
      <c r="D140" t="s">
        <v>416</v>
      </c>
      <c r="E140">
        <v>2001</v>
      </c>
      <c r="F140" t="s">
        <v>26</v>
      </c>
      <c r="G140" t="s">
        <v>149</v>
      </c>
      <c r="H140" t="s">
        <v>28</v>
      </c>
      <c r="I140" s="46" t="s">
        <v>18</v>
      </c>
      <c r="J140" s="4">
        <v>250</v>
      </c>
    </row>
    <row r="141" spans="1:11" hidden="1">
      <c r="A141" t="s">
        <v>417</v>
      </c>
      <c r="B141" t="s">
        <v>264</v>
      </c>
      <c r="C141" t="s">
        <v>314</v>
      </c>
      <c r="D141" t="s">
        <v>418</v>
      </c>
      <c r="E141">
        <v>2019</v>
      </c>
      <c r="F141" t="s">
        <v>33</v>
      </c>
      <c r="G141" t="s">
        <v>419</v>
      </c>
      <c r="H141" t="s">
        <v>17</v>
      </c>
      <c r="I141" s="46" t="s">
        <v>18</v>
      </c>
      <c r="J141" s="4">
        <v>250</v>
      </c>
      <c r="K141">
        <v>3.02</v>
      </c>
    </row>
    <row r="142" spans="1:11" hidden="1">
      <c r="A142" t="s">
        <v>420</v>
      </c>
      <c r="B142" t="s">
        <v>264</v>
      </c>
      <c r="C142" t="s">
        <v>314</v>
      </c>
      <c r="D142" t="s">
        <v>421</v>
      </c>
      <c r="E142">
        <v>2020</v>
      </c>
      <c r="F142" t="s">
        <v>23</v>
      </c>
      <c r="G142" t="s">
        <v>422</v>
      </c>
      <c r="H142" t="s">
        <v>17</v>
      </c>
      <c r="I142" s="46" t="s">
        <v>18</v>
      </c>
      <c r="J142" s="4">
        <v>250</v>
      </c>
      <c r="K142">
        <v>4.84</v>
      </c>
    </row>
    <row r="143" spans="1:11" hidden="1">
      <c r="A143" t="s">
        <v>423</v>
      </c>
      <c r="B143" t="s">
        <v>264</v>
      </c>
      <c r="C143" t="s">
        <v>424</v>
      </c>
      <c r="D143" t="s">
        <v>425</v>
      </c>
      <c r="E143">
        <v>2019</v>
      </c>
      <c r="F143" t="s">
        <v>51</v>
      </c>
      <c r="G143" t="s">
        <v>426</v>
      </c>
      <c r="H143" t="s">
        <v>17</v>
      </c>
      <c r="I143" s="46" t="s">
        <v>18</v>
      </c>
      <c r="J143" s="4">
        <v>250</v>
      </c>
      <c r="K143" s="3">
        <v>2.6</v>
      </c>
    </row>
    <row r="144" spans="1:11" hidden="1">
      <c r="A144" t="s">
        <v>427</v>
      </c>
      <c r="B144" t="s">
        <v>269</v>
      </c>
      <c r="C144" t="s">
        <v>302</v>
      </c>
      <c r="D144" t="s">
        <v>428</v>
      </c>
      <c r="E144">
        <v>2009</v>
      </c>
      <c r="F144" t="s">
        <v>15</v>
      </c>
      <c r="G144" t="s">
        <v>429</v>
      </c>
      <c r="H144" t="s">
        <v>17</v>
      </c>
      <c r="I144" s="46" t="s">
        <v>18</v>
      </c>
      <c r="J144" s="4">
        <v>250</v>
      </c>
      <c r="K144">
        <v>1.72</v>
      </c>
    </row>
    <row r="145" spans="1:11" hidden="1">
      <c r="A145" t="s">
        <v>430</v>
      </c>
      <c r="B145" t="s">
        <v>264</v>
      </c>
      <c r="C145" t="s">
        <v>424</v>
      </c>
      <c r="D145" t="s">
        <v>431</v>
      </c>
      <c r="E145">
        <v>2019</v>
      </c>
      <c r="F145" t="s">
        <v>327</v>
      </c>
      <c r="G145" t="s">
        <v>432</v>
      </c>
      <c r="H145" t="s">
        <v>17</v>
      </c>
      <c r="I145" s="46" t="s">
        <v>18</v>
      </c>
      <c r="J145" s="4">
        <v>250</v>
      </c>
      <c r="K145" s="3"/>
    </row>
    <row r="146" spans="1:11" hidden="1">
      <c r="A146" t="s">
        <v>433</v>
      </c>
      <c r="B146" t="s">
        <v>264</v>
      </c>
      <c r="C146" t="s">
        <v>424</v>
      </c>
      <c r="D146" t="s">
        <v>431</v>
      </c>
      <c r="E146">
        <v>2019</v>
      </c>
      <c r="F146" t="s">
        <v>30</v>
      </c>
      <c r="G146" t="s">
        <v>422</v>
      </c>
      <c r="H146" t="s">
        <v>17</v>
      </c>
      <c r="I146" s="46" t="s">
        <v>18</v>
      </c>
      <c r="J146" s="4">
        <v>250</v>
      </c>
      <c r="K146" s="3">
        <v>12.09</v>
      </c>
    </row>
    <row r="147" spans="1:11" hidden="1">
      <c r="A147" t="s">
        <v>434</v>
      </c>
      <c r="B147" t="s">
        <v>269</v>
      </c>
      <c r="C147" t="s">
        <v>325</v>
      </c>
      <c r="D147" t="s">
        <v>331</v>
      </c>
      <c r="E147">
        <v>2012</v>
      </c>
      <c r="F147" t="s">
        <v>51</v>
      </c>
      <c r="G147" t="s">
        <v>435</v>
      </c>
      <c r="H147" t="s">
        <v>17</v>
      </c>
      <c r="I147" s="46" t="s">
        <v>18</v>
      </c>
      <c r="J147" s="4">
        <v>250</v>
      </c>
      <c r="K147">
        <v>3.86</v>
      </c>
    </row>
    <row r="148" spans="1:11" hidden="1">
      <c r="A148" t="s">
        <v>436</v>
      </c>
      <c r="B148" t="s">
        <v>264</v>
      </c>
      <c r="C148" t="s">
        <v>302</v>
      </c>
      <c r="D148" t="s">
        <v>437</v>
      </c>
      <c r="E148">
        <v>2007</v>
      </c>
      <c r="F148" t="s">
        <v>37</v>
      </c>
      <c r="G148" t="s">
        <v>438</v>
      </c>
      <c r="H148" t="s">
        <v>37</v>
      </c>
      <c r="I148" s="46" t="s">
        <v>18</v>
      </c>
      <c r="J148" s="4">
        <v>250</v>
      </c>
    </row>
    <row r="149" spans="1:11" hidden="1">
      <c r="A149" t="s">
        <v>439</v>
      </c>
      <c r="B149" t="s">
        <v>269</v>
      </c>
      <c r="C149" t="s">
        <v>308</v>
      </c>
      <c r="D149" t="s">
        <v>363</v>
      </c>
      <c r="E149">
        <v>2013</v>
      </c>
      <c r="F149" t="s">
        <v>320</v>
      </c>
      <c r="G149" t="s">
        <v>321</v>
      </c>
      <c r="H149" t="s">
        <v>37</v>
      </c>
      <c r="I149" s="46" t="s">
        <v>18</v>
      </c>
      <c r="J149" s="4">
        <v>250</v>
      </c>
    </row>
    <row r="150" spans="1:11" hidden="1">
      <c r="A150" t="s">
        <v>440</v>
      </c>
      <c r="B150" t="s">
        <v>284</v>
      </c>
      <c r="C150" t="s">
        <v>308</v>
      </c>
      <c r="D150" t="s">
        <v>441</v>
      </c>
      <c r="E150">
        <v>2013</v>
      </c>
      <c r="F150" t="s">
        <v>37</v>
      </c>
      <c r="G150" t="s">
        <v>442</v>
      </c>
      <c r="H150" t="s">
        <v>28</v>
      </c>
      <c r="I150" s="46" t="s">
        <v>18</v>
      </c>
      <c r="J150" s="4">
        <v>250</v>
      </c>
      <c r="K150">
        <v>0</v>
      </c>
    </row>
    <row r="151" spans="1:11" hidden="1">
      <c r="A151" t="s">
        <v>443</v>
      </c>
      <c r="B151" t="s">
        <v>347</v>
      </c>
      <c r="C151" t="s">
        <v>265</v>
      </c>
      <c r="D151" t="s">
        <v>444</v>
      </c>
      <c r="E151">
        <v>2023</v>
      </c>
      <c r="F151" t="s">
        <v>33</v>
      </c>
      <c r="G151" t="s">
        <v>445</v>
      </c>
      <c r="H151" t="s">
        <v>17</v>
      </c>
      <c r="I151" s="46" t="s">
        <v>18</v>
      </c>
      <c r="J151" s="4">
        <v>250</v>
      </c>
      <c r="K151">
        <v>2.64</v>
      </c>
    </row>
    <row r="152" spans="1:11" hidden="1">
      <c r="A152" t="s">
        <v>446</v>
      </c>
      <c r="B152" t="s">
        <v>347</v>
      </c>
      <c r="C152" t="s">
        <v>285</v>
      </c>
      <c r="D152" t="s">
        <v>447</v>
      </c>
      <c r="E152">
        <v>2023</v>
      </c>
      <c r="F152" t="s">
        <v>51</v>
      </c>
      <c r="G152" t="s">
        <v>448</v>
      </c>
      <c r="H152" t="s">
        <v>17</v>
      </c>
      <c r="I152" s="46" t="s">
        <v>18</v>
      </c>
      <c r="J152" s="4">
        <v>250</v>
      </c>
      <c r="K152">
        <v>2.78</v>
      </c>
    </row>
    <row r="153" spans="1:11" hidden="1">
      <c r="A153" t="s">
        <v>449</v>
      </c>
      <c r="B153" t="s">
        <v>347</v>
      </c>
      <c r="C153" t="s">
        <v>285</v>
      </c>
      <c r="D153" t="s">
        <v>447</v>
      </c>
      <c r="E153">
        <v>2023</v>
      </c>
      <c r="F153" t="s">
        <v>63</v>
      </c>
      <c r="G153" t="s">
        <v>450</v>
      </c>
      <c r="H153" t="s">
        <v>17</v>
      </c>
      <c r="I153" s="46" t="s">
        <v>18</v>
      </c>
      <c r="J153" s="4">
        <v>250</v>
      </c>
      <c r="K153">
        <v>2.99</v>
      </c>
    </row>
    <row r="154" spans="1:11" hidden="1">
      <c r="A154" t="s">
        <v>451</v>
      </c>
      <c r="B154" t="s">
        <v>347</v>
      </c>
      <c r="C154" t="s">
        <v>265</v>
      </c>
      <c r="D154" t="s">
        <v>444</v>
      </c>
      <c r="E154">
        <v>2023</v>
      </c>
      <c r="F154" t="s">
        <v>15</v>
      </c>
      <c r="G154" t="s">
        <v>452</v>
      </c>
      <c r="H154" t="s">
        <v>17</v>
      </c>
      <c r="I154" s="46" t="s">
        <v>18</v>
      </c>
      <c r="J154" s="4">
        <v>250</v>
      </c>
      <c r="K154">
        <v>1.9</v>
      </c>
    </row>
    <row r="155" spans="1:11" hidden="1">
      <c r="A155" t="s">
        <v>453</v>
      </c>
      <c r="B155" t="s">
        <v>454</v>
      </c>
      <c r="C155" t="s">
        <v>298</v>
      </c>
      <c r="D155" t="s">
        <v>299</v>
      </c>
      <c r="E155">
        <v>2011</v>
      </c>
      <c r="F155" t="s">
        <v>15</v>
      </c>
      <c r="G155" t="s">
        <v>455</v>
      </c>
      <c r="H155" t="s">
        <v>17</v>
      </c>
      <c r="I155" s="46" t="s">
        <v>18</v>
      </c>
      <c r="J155" s="4">
        <v>250</v>
      </c>
      <c r="K155">
        <v>2.68</v>
      </c>
    </row>
    <row r="156" spans="1:11" hidden="1">
      <c r="A156" t="s">
        <v>456</v>
      </c>
      <c r="B156" t="s">
        <v>454</v>
      </c>
      <c r="C156" t="s">
        <v>298</v>
      </c>
      <c r="D156" t="s">
        <v>299</v>
      </c>
      <c r="E156">
        <v>2011</v>
      </c>
      <c r="F156" t="s">
        <v>33</v>
      </c>
      <c r="G156" t="s">
        <v>457</v>
      </c>
      <c r="H156" t="s">
        <v>17</v>
      </c>
      <c r="I156" s="46" t="s">
        <v>18</v>
      </c>
      <c r="J156" s="4">
        <v>250</v>
      </c>
      <c r="K156">
        <v>8.2100000000000009</v>
      </c>
    </row>
    <row r="157" spans="1:11" hidden="1">
      <c r="A157" t="s">
        <v>458</v>
      </c>
      <c r="B157" t="s">
        <v>264</v>
      </c>
      <c r="C157" t="s">
        <v>265</v>
      </c>
      <c r="D157" t="s">
        <v>266</v>
      </c>
      <c r="E157">
        <v>2024</v>
      </c>
      <c r="F157" t="s">
        <v>33</v>
      </c>
      <c r="G157" t="s">
        <v>459</v>
      </c>
      <c r="H157" t="s">
        <v>17</v>
      </c>
      <c r="I157" s="46" t="s">
        <v>18</v>
      </c>
      <c r="J157" s="4">
        <v>250</v>
      </c>
      <c r="K157">
        <v>4.38</v>
      </c>
    </row>
    <row r="158" spans="1:11">
      <c r="A158" t="s">
        <v>460</v>
      </c>
      <c r="B158" t="s">
        <v>461</v>
      </c>
      <c r="C158" t="s">
        <v>98</v>
      </c>
      <c r="D158" t="s">
        <v>462</v>
      </c>
      <c r="E158">
        <v>2023</v>
      </c>
      <c r="F158" t="s">
        <v>124</v>
      </c>
      <c r="G158" t="s">
        <v>463</v>
      </c>
      <c r="H158" t="s">
        <v>17</v>
      </c>
      <c r="I158" s="46" t="s">
        <v>47</v>
      </c>
      <c r="J158" s="4">
        <v>15000</v>
      </c>
      <c r="K158" s="3">
        <v>67.28</v>
      </c>
    </row>
    <row r="159" spans="1:11">
      <c r="A159" t="s">
        <v>464</v>
      </c>
      <c r="B159" t="s">
        <v>461</v>
      </c>
      <c r="C159" t="s">
        <v>98</v>
      </c>
      <c r="D159" s="46" t="s">
        <v>465</v>
      </c>
      <c r="E159">
        <v>2023</v>
      </c>
      <c r="F159" t="s">
        <v>327</v>
      </c>
      <c r="G159" t="s">
        <v>466</v>
      </c>
      <c r="H159" t="s">
        <v>17</v>
      </c>
      <c r="I159" s="46" t="s">
        <v>47</v>
      </c>
      <c r="J159" s="4">
        <v>15000</v>
      </c>
      <c r="K159">
        <v>469</v>
      </c>
    </row>
    <row r="160" spans="1:11" hidden="1">
      <c r="A160" t="s">
        <v>467</v>
      </c>
      <c r="B160" t="s">
        <v>461</v>
      </c>
      <c r="C160" t="s">
        <v>468</v>
      </c>
      <c r="D160" t="s">
        <v>469</v>
      </c>
      <c r="E160">
        <v>2024</v>
      </c>
      <c r="F160" t="s">
        <v>470</v>
      </c>
      <c r="G160" t="s">
        <v>471</v>
      </c>
      <c r="H160" t="s">
        <v>37</v>
      </c>
      <c r="I160" s="46" t="s">
        <v>47</v>
      </c>
      <c r="J160" s="4">
        <v>15000</v>
      </c>
      <c r="K160">
        <v>216.12</v>
      </c>
    </row>
    <row r="161" spans="1:11" hidden="1">
      <c r="A161" t="s">
        <v>472</v>
      </c>
      <c r="B161" t="s">
        <v>461</v>
      </c>
      <c r="C161" t="s">
        <v>468</v>
      </c>
      <c r="D161" t="s">
        <v>469</v>
      </c>
      <c r="E161">
        <v>2024</v>
      </c>
      <c r="F161" t="s">
        <v>37</v>
      </c>
      <c r="G161" t="s">
        <v>473</v>
      </c>
      <c r="H161" t="s">
        <v>17</v>
      </c>
      <c r="I161" s="46" t="s">
        <v>47</v>
      </c>
      <c r="J161" s="4">
        <v>15000</v>
      </c>
      <c r="K161">
        <v>57.54</v>
      </c>
    </row>
    <row r="162" spans="1:11" hidden="1">
      <c r="A162" t="s">
        <v>474</v>
      </c>
      <c r="B162" t="s">
        <v>475</v>
      </c>
      <c r="C162" t="s">
        <v>476</v>
      </c>
      <c r="D162" t="s">
        <v>477</v>
      </c>
      <c r="E162">
        <v>2016</v>
      </c>
      <c r="H162" t="s">
        <v>28</v>
      </c>
      <c r="I162" s="46" t="s">
        <v>47</v>
      </c>
      <c r="J162" s="4">
        <v>15000</v>
      </c>
      <c r="K162">
        <v>0</v>
      </c>
    </row>
    <row r="163" spans="1:11" hidden="1">
      <c r="A163" t="s">
        <v>478</v>
      </c>
      <c r="B163" t="s">
        <v>461</v>
      </c>
      <c r="C163" t="s">
        <v>479</v>
      </c>
      <c r="D163" t="s">
        <v>480</v>
      </c>
      <c r="E163">
        <v>2019</v>
      </c>
      <c r="F163" t="s">
        <v>481</v>
      </c>
      <c r="G163" t="s">
        <v>482</v>
      </c>
      <c r="H163" t="s">
        <v>28</v>
      </c>
      <c r="I163" s="46" t="s">
        <v>47</v>
      </c>
      <c r="J163" s="4">
        <v>15000</v>
      </c>
      <c r="K163">
        <v>0</v>
      </c>
    </row>
    <row r="164" spans="1:11" hidden="1">
      <c r="A164" t="s">
        <v>483</v>
      </c>
      <c r="B164" t="s">
        <v>461</v>
      </c>
      <c r="C164" t="s">
        <v>75</v>
      </c>
      <c r="D164" t="s">
        <v>484</v>
      </c>
      <c r="E164">
        <v>2011</v>
      </c>
      <c r="F164" t="s">
        <v>26</v>
      </c>
      <c r="G164" t="s">
        <v>149</v>
      </c>
      <c r="H164" t="s">
        <v>28</v>
      </c>
      <c r="I164" s="46" t="s">
        <v>47</v>
      </c>
      <c r="J164" s="4">
        <v>15000</v>
      </c>
      <c r="K164">
        <v>0</v>
      </c>
    </row>
    <row r="165" spans="1:11" hidden="1">
      <c r="A165" t="s">
        <v>485</v>
      </c>
      <c r="B165" t="s">
        <v>461</v>
      </c>
      <c r="C165" t="s">
        <v>486</v>
      </c>
      <c r="D165" t="s">
        <v>487</v>
      </c>
      <c r="E165">
        <v>2024</v>
      </c>
      <c r="F165" t="s">
        <v>481</v>
      </c>
      <c r="G165" t="s">
        <v>488</v>
      </c>
      <c r="H165" t="s">
        <v>17</v>
      </c>
      <c r="I165" s="46" t="s">
        <v>47</v>
      </c>
      <c r="J165" s="4">
        <v>15000</v>
      </c>
      <c r="K165">
        <v>82.2</v>
      </c>
    </row>
    <row r="166" spans="1:11" hidden="1">
      <c r="A166" t="s">
        <v>489</v>
      </c>
      <c r="B166" t="s">
        <v>461</v>
      </c>
      <c r="C166" t="s">
        <v>486</v>
      </c>
      <c r="D166" t="s">
        <v>487</v>
      </c>
      <c r="E166">
        <v>2024</v>
      </c>
      <c r="F166" t="s">
        <v>490</v>
      </c>
      <c r="G166" t="s">
        <v>491</v>
      </c>
      <c r="H166" t="s">
        <v>37</v>
      </c>
      <c r="I166" s="46" t="s">
        <v>47</v>
      </c>
      <c r="J166" s="4">
        <v>15000</v>
      </c>
      <c r="K166">
        <v>170.09</v>
      </c>
    </row>
    <row r="167" spans="1:11" hidden="1">
      <c r="A167" t="s">
        <v>492</v>
      </c>
      <c r="B167" t="s">
        <v>461</v>
      </c>
      <c r="C167" t="s">
        <v>486</v>
      </c>
      <c r="D167" t="s">
        <v>487</v>
      </c>
      <c r="E167">
        <v>2024</v>
      </c>
      <c r="F167" t="s">
        <v>481</v>
      </c>
      <c r="G167" t="s">
        <v>493</v>
      </c>
      <c r="H167" t="s">
        <v>17</v>
      </c>
      <c r="I167" s="46" t="s">
        <v>47</v>
      </c>
      <c r="J167" s="4">
        <v>15000</v>
      </c>
      <c r="K167">
        <v>188.79</v>
      </c>
    </row>
    <row r="168" spans="1:11" hidden="1">
      <c r="A168" t="s">
        <v>494</v>
      </c>
      <c r="B168" t="s">
        <v>461</v>
      </c>
      <c r="C168" t="s">
        <v>468</v>
      </c>
      <c r="D168" t="s">
        <v>469</v>
      </c>
      <c r="E168">
        <v>2024</v>
      </c>
      <c r="F168" t="s">
        <v>37</v>
      </c>
      <c r="G168" t="s">
        <v>495</v>
      </c>
      <c r="H168" t="s">
        <v>17</v>
      </c>
      <c r="I168" s="46" t="s">
        <v>47</v>
      </c>
      <c r="J168" s="4">
        <v>10000</v>
      </c>
      <c r="K168">
        <v>340.34</v>
      </c>
    </row>
    <row r="169" spans="1:11" hidden="1">
      <c r="A169" t="s">
        <v>496</v>
      </c>
      <c r="B169" t="s">
        <v>461</v>
      </c>
      <c r="C169" t="s">
        <v>468</v>
      </c>
      <c r="D169" t="s">
        <v>469</v>
      </c>
      <c r="E169">
        <v>2024</v>
      </c>
      <c r="F169" t="s">
        <v>366</v>
      </c>
      <c r="G169" t="s">
        <v>497</v>
      </c>
      <c r="H169" t="s">
        <v>17</v>
      </c>
      <c r="I169" s="46" t="s">
        <v>47</v>
      </c>
      <c r="J169" s="4">
        <v>15000</v>
      </c>
      <c r="K169">
        <v>95.64</v>
      </c>
    </row>
    <row r="170" spans="1:11" hidden="1">
      <c r="A170" t="s">
        <v>498</v>
      </c>
      <c r="B170" t="s">
        <v>461</v>
      </c>
      <c r="C170" t="s">
        <v>468</v>
      </c>
      <c r="D170" t="s">
        <v>469</v>
      </c>
      <c r="E170">
        <v>2024</v>
      </c>
      <c r="F170" t="s">
        <v>124</v>
      </c>
      <c r="G170" t="s">
        <v>499</v>
      </c>
      <c r="H170" t="s">
        <v>17</v>
      </c>
      <c r="I170" s="46" t="s">
        <v>47</v>
      </c>
      <c r="J170" s="4">
        <v>15000</v>
      </c>
      <c r="K170">
        <v>230.75</v>
      </c>
    </row>
    <row r="171" spans="1:11" hidden="1">
      <c r="A171" t="s">
        <v>500</v>
      </c>
      <c r="B171" t="s">
        <v>461</v>
      </c>
      <c r="C171" t="s">
        <v>468</v>
      </c>
      <c r="D171" t="s">
        <v>469</v>
      </c>
      <c r="E171">
        <v>2024</v>
      </c>
      <c r="F171" t="s">
        <v>63</v>
      </c>
      <c r="G171" t="s">
        <v>501</v>
      </c>
      <c r="H171" t="s">
        <v>17</v>
      </c>
      <c r="I171" s="46" t="s">
        <v>47</v>
      </c>
      <c r="J171" s="4">
        <v>15000</v>
      </c>
      <c r="K171">
        <v>126.58</v>
      </c>
    </row>
    <row r="172" spans="1:11" hidden="1">
      <c r="A172" t="s">
        <v>502</v>
      </c>
      <c r="B172" t="s">
        <v>461</v>
      </c>
      <c r="C172" t="s">
        <v>468</v>
      </c>
      <c r="D172" t="s">
        <v>469</v>
      </c>
      <c r="E172">
        <v>2024</v>
      </c>
      <c r="F172" t="s">
        <v>33</v>
      </c>
      <c r="G172" t="s">
        <v>503</v>
      </c>
      <c r="H172" t="s">
        <v>17</v>
      </c>
      <c r="I172" s="46" t="s">
        <v>47</v>
      </c>
      <c r="J172" s="4">
        <v>15000</v>
      </c>
      <c r="K172">
        <v>160.72999999999999</v>
      </c>
    </row>
    <row r="173" spans="1:11" hidden="1">
      <c r="A173" t="s">
        <v>504</v>
      </c>
      <c r="B173" t="s">
        <v>505</v>
      </c>
      <c r="C173" t="s">
        <v>506</v>
      </c>
      <c r="D173" t="s">
        <v>507</v>
      </c>
      <c r="E173">
        <v>2025</v>
      </c>
      <c r="F173" t="s">
        <v>481</v>
      </c>
      <c r="G173" t="s">
        <v>508</v>
      </c>
      <c r="H173" t="s">
        <v>17</v>
      </c>
      <c r="I173" s="46" t="s">
        <v>47</v>
      </c>
      <c r="J173" s="4">
        <v>10000</v>
      </c>
      <c r="K173">
        <v>276.58</v>
      </c>
    </row>
    <row r="174" spans="1:11" hidden="1">
      <c r="A174" t="s">
        <v>509</v>
      </c>
      <c r="B174" t="s">
        <v>505</v>
      </c>
      <c r="C174" t="s">
        <v>506</v>
      </c>
      <c r="D174" t="s">
        <v>507</v>
      </c>
      <c r="E174">
        <v>2025</v>
      </c>
      <c r="F174" t="s">
        <v>33</v>
      </c>
      <c r="G174" t="s">
        <v>510</v>
      </c>
      <c r="H174" t="s">
        <v>17</v>
      </c>
      <c r="I174" s="46" t="s">
        <v>47</v>
      </c>
      <c r="J174" s="4">
        <v>10000</v>
      </c>
      <c r="K174">
        <v>225.29</v>
      </c>
    </row>
    <row r="175" spans="1:11" hidden="1">
      <c r="A175" t="s">
        <v>511</v>
      </c>
      <c r="B175" t="s">
        <v>505</v>
      </c>
      <c r="C175" t="s">
        <v>506</v>
      </c>
      <c r="D175" t="s">
        <v>507</v>
      </c>
      <c r="E175">
        <v>2025</v>
      </c>
      <c r="F175" t="s">
        <v>15</v>
      </c>
      <c r="G175" t="s">
        <v>512</v>
      </c>
      <c r="H175" t="s">
        <v>17</v>
      </c>
      <c r="I175" s="46" t="s">
        <v>47</v>
      </c>
      <c r="J175" s="4">
        <v>10000</v>
      </c>
      <c r="K175">
        <v>41.34</v>
      </c>
    </row>
    <row r="176" spans="1:11" hidden="1">
      <c r="A176" t="s">
        <v>513</v>
      </c>
      <c r="B176" t="s">
        <v>505</v>
      </c>
      <c r="C176" t="s">
        <v>506</v>
      </c>
      <c r="D176" t="s">
        <v>507</v>
      </c>
      <c r="E176">
        <v>2025</v>
      </c>
      <c r="F176" t="s">
        <v>514</v>
      </c>
      <c r="G176" t="s">
        <v>515</v>
      </c>
      <c r="H176" t="s">
        <v>17</v>
      </c>
      <c r="I176" s="46" t="s">
        <v>47</v>
      </c>
      <c r="J176" s="4">
        <v>10000</v>
      </c>
      <c r="K176">
        <v>108.29</v>
      </c>
    </row>
    <row r="177" spans="1:11" hidden="1">
      <c r="A177" t="s">
        <v>516</v>
      </c>
      <c r="B177" t="s">
        <v>505</v>
      </c>
      <c r="C177" t="s">
        <v>506</v>
      </c>
      <c r="D177" t="s">
        <v>507</v>
      </c>
      <c r="E177">
        <v>2025</v>
      </c>
      <c r="F177" t="s">
        <v>30</v>
      </c>
      <c r="G177" t="s">
        <v>517</v>
      </c>
      <c r="H177" t="s">
        <v>17</v>
      </c>
      <c r="I177" s="46" t="s">
        <v>47</v>
      </c>
      <c r="J177" s="4">
        <v>10000</v>
      </c>
      <c r="K177">
        <v>132.29</v>
      </c>
    </row>
    <row r="178" spans="1:11" hidden="1">
      <c r="A178" t="s">
        <v>518</v>
      </c>
      <c r="B178" t="s">
        <v>505</v>
      </c>
      <c r="C178" t="s">
        <v>506</v>
      </c>
      <c r="D178" t="s">
        <v>507</v>
      </c>
      <c r="E178">
        <v>2025</v>
      </c>
      <c r="F178" t="s">
        <v>63</v>
      </c>
      <c r="G178" t="s">
        <v>519</v>
      </c>
      <c r="H178" t="s">
        <v>17</v>
      </c>
      <c r="I178" s="46" t="s">
        <v>47</v>
      </c>
      <c r="J178" s="4">
        <v>10000</v>
      </c>
      <c r="K178">
        <v>141.5</v>
      </c>
    </row>
    <row r="179" spans="1:11" hidden="1">
      <c r="A179" t="s">
        <v>520</v>
      </c>
      <c r="B179" t="s">
        <v>505</v>
      </c>
      <c r="C179" t="s">
        <v>506</v>
      </c>
      <c r="D179" t="s">
        <v>507</v>
      </c>
      <c r="E179">
        <v>2025</v>
      </c>
      <c r="F179" t="s">
        <v>15</v>
      </c>
      <c r="G179" t="s">
        <v>521</v>
      </c>
      <c r="H179" t="s">
        <v>17</v>
      </c>
      <c r="I179" s="46" t="s">
        <v>47</v>
      </c>
      <c r="J179" s="4">
        <v>10000</v>
      </c>
      <c r="K179">
        <v>62.98</v>
      </c>
    </row>
    <row r="180" spans="1:11" hidden="1">
      <c r="A180" t="s">
        <v>522</v>
      </c>
      <c r="B180" t="s">
        <v>505</v>
      </c>
      <c r="C180" t="s">
        <v>506</v>
      </c>
      <c r="D180" t="s">
        <v>507</v>
      </c>
      <c r="E180">
        <v>2025</v>
      </c>
      <c r="F180" t="s">
        <v>63</v>
      </c>
      <c r="G180" t="s">
        <v>523</v>
      </c>
      <c r="H180" t="s">
        <v>17</v>
      </c>
      <c r="I180" s="46" t="s">
        <v>47</v>
      </c>
      <c r="J180" s="4">
        <v>10000</v>
      </c>
      <c r="K180">
        <v>98.65</v>
      </c>
    </row>
    <row r="181" spans="1:11" hidden="1">
      <c r="A181" t="s">
        <v>524</v>
      </c>
      <c r="B181" t="s">
        <v>505</v>
      </c>
      <c r="C181" t="s">
        <v>506</v>
      </c>
      <c r="D181" t="s">
        <v>507</v>
      </c>
      <c r="E181">
        <v>2025</v>
      </c>
      <c r="F181" t="s">
        <v>30</v>
      </c>
      <c r="G181" t="s">
        <v>525</v>
      </c>
      <c r="H181" t="s">
        <v>17</v>
      </c>
      <c r="I181" s="46" t="s">
        <v>47</v>
      </c>
      <c r="J181" s="4">
        <v>10000</v>
      </c>
      <c r="K181">
        <v>209.49</v>
      </c>
    </row>
    <row r="182" spans="1:11" hidden="1">
      <c r="A182" t="s">
        <v>526</v>
      </c>
      <c r="B182" t="s">
        <v>505</v>
      </c>
      <c r="C182" t="s">
        <v>506</v>
      </c>
      <c r="D182" t="s">
        <v>507</v>
      </c>
      <c r="E182">
        <v>2025</v>
      </c>
      <c r="F182" t="s">
        <v>51</v>
      </c>
      <c r="G182" t="s">
        <v>527</v>
      </c>
      <c r="H182" t="s">
        <v>17</v>
      </c>
      <c r="I182" s="46" t="s">
        <v>47</v>
      </c>
      <c r="J182" s="4">
        <v>10000</v>
      </c>
      <c r="K182">
        <v>146.47</v>
      </c>
    </row>
    <row r="183" spans="1:11">
      <c r="A183" t="s">
        <v>528</v>
      </c>
      <c r="B183" t="s">
        <v>461</v>
      </c>
      <c r="C183" t="s">
        <v>98</v>
      </c>
      <c r="D183" s="46" t="s">
        <v>465</v>
      </c>
      <c r="E183">
        <v>2025</v>
      </c>
      <c r="F183" t="s">
        <v>514</v>
      </c>
      <c r="G183" t="s">
        <v>529</v>
      </c>
      <c r="H183" t="s">
        <v>17</v>
      </c>
      <c r="I183" s="46" t="s">
        <v>47</v>
      </c>
      <c r="J183" s="4">
        <v>15000</v>
      </c>
      <c r="K183">
        <v>142.18</v>
      </c>
    </row>
    <row r="184" spans="1:11">
      <c r="A184" t="s">
        <v>530</v>
      </c>
      <c r="B184" t="s">
        <v>461</v>
      </c>
      <c r="C184" t="s">
        <v>98</v>
      </c>
      <c r="D184" s="46" t="s">
        <v>465</v>
      </c>
      <c r="E184">
        <v>2025</v>
      </c>
      <c r="F184" t="s">
        <v>15</v>
      </c>
      <c r="G184" t="s">
        <v>531</v>
      </c>
      <c r="H184" t="s">
        <v>17</v>
      </c>
      <c r="I184" s="46" t="s">
        <v>47</v>
      </c>
      <c r="J184" s="4">
        <v>15000</v>
      </c>
      <c r="K184">
        <v>231.83</v>
      </c>
    </row>
    <row r="185" spans="1:11">
      <c r="A185" t="s">
        <v>532</v>
      </c>
      <c r="B185" t="s">
        <v>461</v>
      </c>
      <c r="C185" t="s">
        <v>98</v>
      </c>
      <c r="D185" s="46" t="s">
        <v>465</v>
      </c>
      <c r="E185">
        <v>2025</v>
      </c>
      <c r="F185" t="s">
        <v>15</v>
      </c>
      <c r="G185" t="s">
        <v>533</v>
      </c>
      <c r="H185" t="s">
        <v>17</v>
      </c>
      <c r="I185" s="46" t="s">
        <v>47</v>
      </c>
      <c r="J185" s="4">
        <v>15000</v>
      </c>
      <c r="K185">
        <v>139.25</v>
      </c>
    </row>
    <row r="186" spans="1:11">
      <c r="A186" t="s">
        <v>534</v>
      </c>
      <c r="B186" t="s">
        <v>461</v>
      </c>
      <c r="C186" t="s">
        <v>98</v>
      </c>
      <c r="D186" s="46" t="s">
        <v>465</v>
      </c>
      <c r="E186">
        <v>2025</v>
      </c>
      <c r="F186" t="s">
        <v>327</v>
      </c>
      <c r="G186" t="s">
        <v>535</v>
      </c>
      <c r="H186" t="s">
        <v>17</v>
      </c>
      <c r="I186" s="46" t="s">
        <v>47</v>
      </c>
      <c r="J186" s="4">
        <v>15000</v>
      </c>
    </row>
    <row r="187" spans="1:11">
      <c r="A187" t="s">
        <v>536</v>
      </c>
      <c r="B187" t="s">
        <v>461</v>
      </c>
      <c r="C187" t="s">
        <v>98</v>
      </c>
      <c r="D187" s="46" t="s">
        <v>465</v>
      </c>
      <c r="E187">
        <v>2025</v>
      </c>
      <c r="F187" t="s">
        <v>316</v>
      </c>
      <c r="G187" t="s">
        <v>537</v>
      </c>
      <c r="H187" t="s">
        <v>17</v>
      </c>
      <c r="I187" s="46" t="s">
        <v>47</v>
      </c>
      <c r="J187" s="4">
        <v>15000</v>
      </c>
      <c r="K187">
        <v>124.06</v>
      </c>
    </row>
    <row r="188" spans="1:11">
      <c r="A188" t="s">
        <v>538</v>
      </c>
      <c r="B188" s="46" t="s">
        <v>461</v>
      </c>
      <c r="C188" s="46" t="s">
        <v>98</v>
      </c>
      <c r="D188" s="46" t="s">
        <v>465</v>
      </c>
      <c r="E188" s="3">
        <v>2025</v>
      </c>
      <c r="F188" s="46" t="s">
        <v>30</v>
      </c>
      <c r="G188" s="46" t="s">
        <v>539</v>
      </c>
      <c r="H188" s="46" t="s">
        <v>17</v>
      </c>
      <c r="I188" s="46" t="s">
        <v>47</v>
      </c>
      <c r="J188" s="4">
        <v>15000</v>
      </c>
      <c r="K188" s="3">
        <v>359.1</v>
      </c>
    </row>
    <row r="189" spans="1:11">
      <c r="A189" t="s">
        <v>540</v>
      </c>
      <c r="B189" t="s">
        <v>461</v>
      </c>
      <c r="C189" t="s">
        <v>98</v>
      </c>
      <c r="D189" s="46" t="s">
        <v>465</v>
      </c>
      <c r="E189">
        <v>2025</v>
      </c>
      <c r="F189" t="s">
        <v>481</v>
      </c>
      <c r="G189" t="s">
        <v>541</v>
      </c>
      <c r="H189" t="s">
        <v>17</v>
      </c>
      <c r="I189" s="46" t="s">
        <v>47</v>
      </c>
      <c r="J189" s="4">
        <v>15000</v>
      </c>
      <c r="K189">
        <v>210.78</v>
      </c>
    </row>
    <row r="190" spans="1:11">
      <c r="A190" t="s">
        <v>542</v>
      </c>
      <c r="B190" t="s">
        <v>461</v>
      </c>
      <c r="C190" t="s">
        <v>98</v>
      </c>
      <c r="D190" s="46" t="s">
        <v>465</v>
      </c>
      <c r="E190">
        <v>2025</v>
      </c>
      <c r="F190" t="s">
        <v>63</v>
      </c>
      <c r="G190" t="s">
        <v>543</v>
      </c>
      <c r="H190" t="s">
        <v>17</v>
      </c>
      <c r="I190" s="46" t="s">
        <v>47</v>
      </c>
      <c r="J190" s="4">
        <v>15000</v>
      </c>
      <c r="K190">
        <v>174.67</v>
      </c>
    </row>
    <row r="191" spans="1:11">
      <c r="A191" t="s">
        <v>544</v>
      </c>
      <c r="B191" t="s">
        <v>461</v>
      </c>
      <c r="C191" t="s">
        <v>98</v>
      </c>
      <c r="D191" s="46" t="s">
        <v>465</v>
      </c>
      <c r="E191">
        <v>2025</v>
      </c>
      <c r="F191" t="s">
        <v>30</v>
      </c>
      <c r="G191" t="s">
        <v>545</v>
      </c>
      <c r="H191" t="s">
        <v>17</v>
      </c>
      <c r="I191" s="46" t="s">
        <v>47</v>
      </c>
      <c r="J191" s="4">
        <v>15000</v>
      </c>
      <c r="K191">
        <v>217.79</v>
      </c>
    </row>
    <row r="192" spans="1:11">
      <c r="A192" t="s">
        <v>546</v>
      </c>
      <c r="B192" t="s">
        <v>461</v>
      </c>
      <c r="C192" t="s">
        <v>98</v>
      </c>
      <c r="D192" s="46" t="s">
        <v>465</v>
      </c>
      <c r="E192">
        <v>2025</v>
      </c>
      <c r="F192" t="s">
        <v>481</v>
      </c>
      <c r="G192" t="s">
        <v>491</v>
      </c>
      <c r="H192" t="s">
        <v>17</v>
      </c>
      <c r="I192" s="46" t="s">
        <v>47</v>
      </c>
      <c r="J192" s="4">
        <v>15000</v>
      </c>
      <c r="K192">
        <v>232.83</v>
      </c>
    </row>
    <row r="193" spans="1:11" hidden="1">
      <c r="A193" t="s">
        <v>547</v>
      </c>
      <c r="B193" t="s">
        <v>461</v>
      </c>
      <c r="C193" t="s">
        <v>548</v>
      </c>
      <c r="D193" t="s">
        <v>549</v>
      </c>
      <c r="E193">
        <v>2023</v>
      </c>
      <c r="F193" t="s">
        <v>481</v>
      </c>
      <c r="G193" t="s">
        <v>550</v>
      </c>
      <c r="H193" t="s">
        <v>17</v>
      </c>
      <c r="I193" s="46" t="s">
        <v>47</v>
      </c>
      <c r="J193" s="4">
        <v>15000</v>
      </c>
      <c r="K193">
        <v>70.44</v>
      </c>
    </row>
    <row r="194" spans="1:11">
      <c r="A194" t="s">
        <v>551</v>
      </c>
      <c r="B194" t="s">
        <v>461</v>
      </c>
      <c r="C194" t="s">
        <v>98</v>
      </c>
      <c r="D194" s="46" t="s">
        <v>465</v>
      </c>
      <c r="E194">
        <v>2026</v>
      </c>
      <c r="F194" t="s">
        <v>15</v>
      </c>
      <c r="G194" t="s">
        <v>552</v>
      </c>
      <c r="H194" t="s">
        <v>17</v>
      </c>
      <c r="I194" s="46" t="s">
        <v>47</v>
      </c>
      <c r="J194" s="4">
        <v>15000</v>
      </c>
      <c r="K194">
        <v>227.67</v>
      </c>
    </row>
    <row r="195" spans="1:11">
      <c r="A195" t="s">
        <v>553</v>
      </c>
      <c r="B195" t="s">
        <v>461</v>
      </c>
      <c r="C195" t="s">
        <v>98</v>
      </c>
      <c r="D195" s="46" t="s">
        <v>465</v>
      </c>
      <c r="E195">
        <v>2026</v>
      </c>
      <c r="F195" t="s">
        <v>51</v>
      </c>
      <c r="G195" t="s">
        <v>410</v>
      </c>
      <c r="H195" t="s">
        <v>17</v>
      </c>
      <c r="I195" s="46" t="s">
        <v>47</v>
      </c>
      <c r="J195" s="4">
        <v>15000</v>
      </c>
      <c r="K195" s="3">
        <v>0</v>
      </c>
    </row>
    <row r="196" spans="1:11">
      <c r="A196" t="s">
        <v>554</v>
      </c>
      <c r="B196" t="s">
        <v>461</v>
      </c>
      <c r="C196" t="s">
        <v>98</v>
      </c>
      <c r="D196" s="46" t="s">
        <v>465</v>
      </c>
      <c r="E196">
        <v>2026</v>
      </c>
      <c r="F196" t="s">
        <v>33</v>
      </c>
      <c r="G196" t="s">
        <v>555</v>
      </c>
      <c r="H196" t="s">
        <v>17</v>
      </c>
      <c r="I196" s="46" t="s">
        <v>47</v>
      </c>
      <c r="J196" s="4">
        <v>15000</v>
      </c>
      <c r="K196">
        <v>133.94999999999999</v>
      </c>
    </row>
    <row r="197" spans="1:11">
      <c r="A197" t="s">
        <v>556</v>
      </c>
      <c r="B197" t="s">
        <v>461</v>
      </c>
      <c r="C197" t="s">
        <v>98</v>
      </c>
      <c r="D197" s="46" t="s">
        <v>465</v>
      </c>
      <c r="E197">
        <v>2026</v>
      </c>
      <c r="F197" t="s">
        <v>23</v>
      </c>
      <c r="G197" t="s">
        <v>234</v>
      </c>
      <c r="H197" t="s">
        <v>17</v>
      </c>
      <c r="I197" s="46" t="s">
        <v>47</v>
      </c>
      <c r="J197" s="4">
        <v>15000</v>
      </c>
      <c r="K197">
        <v>164.67</v>
      </c>
    </row>
    <row r="198" spans="1:11">
      <c r="A198" t="s">
        <v>557</v>
      </c>
      <c r="B198" t="s">
        <v>461</v>
      </c>
      <c r="C198" t="s">
        <v>98</v>
      </c>
      <c r="D198" s="46" t="s">
        <v>465</v>
      </c>
      <c r="E198">
        <v>2026</v>
      </c>
      <c r="F198" t="s">
        <v>30</v>
      </c>
      <c r="G198" t="s">
        <v>558</v>
      </c>
      <c r="H198" t="s">
        <v>17</v>
      </c>
      <c r="I198" s="46" t="s">
        <v>47</v>
      </c>
      <c r="J198" s="4">
        <v>15000</v>
      </c>
      <c r="K198">
        <v>52.18</v>
      </c>
    </row>
    <row r="199" spans="1:11">
      <c r="A199" t="s">
        <v>559</v>
      </c>
      <c r="B199" t="s">
        <v>461</v>
      </c>
      <c r="C199" t="s">
        <v>98</v>
      </c>
      <c r="D199" s="46" t="s">
        <v>465</v>
      </c>
      <c r="E199">
        <v>2026</v>
      </c>
      <c r="F199" t="s">
        <v>481</v>
      </c>
      <c r="G199" t="s">
        <v>560</v>
      </c>
      <c r="H199" t="s">
        <v>17</v>
      </c>
      <c r="I199" s="46" t="s">
        <v>47</v>
      </c>
      <c r="J199" s="4">
        <v>15000</v>
      </c>
    </row>
    <row r="200" spans="1:11">
      <c r="A200" t="s">
        <v>561</v>
      </c>
      <c r="B200" t="s">
        <v>461</v>
      </c>
      <c r="C200" t="s">
        <v>98</v>
      </c>
      <c r="D200" s="46" t="s">
        <v>465</v>
      </c>
      <c r="E200">
        <v>2022</v>
      </c>
      <c r="F200" t="s">
        <v>562</v>
      </c>
      <c r="H200" t="s">
        <v>17</v>
      </c>
      <c r="I200" s="46" t="s">
        <v>47</v>
      </c>
      <c r="J200" s="4">
        <v>15000</v>
      </c>
    </row>
    <row r="201" spans="1:11" hidden="1">
      <c r="A201" t="s">
        <v>563</v>
      </c>
      <c r="B201" t="s">
        <v>564</v>
      </c>
      <c r="C201" t="s">
        <v>54</v>
      </c>
      <c r="D201" t="s">
        <v>565</v>
      </c>
      <c r="E201">
        <v>2017</v>
      </c>
      <c r="F201" t="s">
        <v>51</v>
      </c>
      <c r="G201" t="s">
        <v>566</v>
      </c>
      <c r="H201" t="s">
        <v>17</v>
      </c>
      <c r="I201" s="46" t="s">
        <v>47</v>
      </c>
      <c r="J201" s="4">
        <v>15000</v>
      </c>
    </row>
    <row r="202" spans="1:11" hidden="1">
      <c r="A202" t="s">
        <v>567</v>
      </c>
      <c r="B202" t="s">
        <v>564</v>
      </c>
      <c r="C202" t="s">
        <v>54</v>
      </c>
      <c r="D202" t="s">
        <v>568</v>
      </c>
      <c r="E202">
        <v>2017</v>
      </c>
      <c r="F202" t="s">
        <v>63</v>
      </c>
      <c r="G202" t="s">
        <v>132</v>
      </c>
      <c r="H202" t="s">
        <v>17</v>
      </c>
      <c r="I202" s="46" t="s">
        <v>47</v>
      </c>
      <c r="J202" s="4">
        <v>15000</v>
      </c>
      <c r="K202">
        <v>373.2</v>
      </c>
    </row>
    <row r="203" spans="1:11" hidden="1">
      <c r="A203" t="s">
        <v>569</v>
      </c>
      <c r="B203" t="s">
        <v>564</v>
      </c>
      <c r="C203" t="s">
        <v>54</v>
      </c>
      <c r="D203" t="s">
        <v>570</v>
      </c>
      <c r="E203">
        <v>2020</v>
      </c>
      <c r="F203" t="s">
        <v>571</v>
      </c>
      <c r="G203" t="s">
        <v>572</v>
      </c>
      <c r="H203" t="s">
        <v>37</v>
      </c>
      <c r="I203" s="46" t="s">
        <v>47</v>
      </c>
      <c r="J203" s="4">
        <v>15000</v>
      </c>
    </row>
    <row r="204" spans="1:11" hidden="1">
      <c r="A204" t="s">
        <v>573</v>
      </c>
      <c r="B204" t="s">
        <v>461</v>
      </c>
      <c r="C204" t="s">
        <v>98</v>
      </c>
      <c r="D204" t="s">
        <v>574</v>
      </c>
      <c r="E204">
        <v>2021</v>
      </c>
      <c r="F204" t="s">
        <v>26</v>
      </c>
      <c r="G204" t="s">
        <v>575</v>
      </c>
      <c r="H204" t="s">
        <v>28</v>
      </c>
      <c r="I204" s="46" t="s">
        <v>47</v>
      </c>
      <c r="J204" s="4">
        <v>15000</v>
      </c>
    </row>
    <row r="205" spans="1:11">
      <c r="A205" t="s">
        <v>576</v>
      </c>
      <c r="B205" t="s">
        <v>461</v>
      </c>
      <c r="C205" t="s">
        <v>98</v>
      </c>
      <c r="D205" s="46" t="s">
        <v>577</v>
      </c>
      <c r="E205">
        <v>2021</v>
      </c>
      <c r="F205" t="s">
        <v>578</v>
      </c>
      <c r="G205" t="s">
        <v>579</v>
      </c>
      <c r="H205" t="s">
        <v>17</v>
      </c>
      <c r="I205" s="46" t="s">
        <v>47</v>
      </c>
      <c r="J205" s="4">
        <v>15000</v>
      </c>
      <c r="K205">
        <v>154.56</v>
      </c>
    </row>
    <row r="206" spans="1:11" hidden="1">
      <c r="A206" t="s">
        <v>580</v>
      </c>
      <c r="B206" t="s">
        <v>461</v>
      </c>
      <c r="C206" t="s">
        <v>98</v>
      </c>
      <c r="D206" t="s">
        <v>574</v>
      </c>
      <c r="E206">
        <v>2021</v>
      </c>
      <c r="H206" t="s">
        <v>28</v>
      </c>
      <c r="I206" s="46" t="s">
        <v>47</v>
      </c>
      <c r="J206" s="4">
        <v>15000</v>
      </c>
    </row>
    <row r="207" spans="1:11">
      <c r="A207" t="s">
        <v>581</v>
      </c>
      <c r="B207" t="s">
        <v>461</v>
      </c>
      <c r="C207" t="s">
        <v>98</v>
      </c>
      <c r="D207" s="46" t="s">
        <v>577</v>
      </c>
      <c r="E207">
        <v>2021</v>
      </c>
      <c r="F207" t="s">
        <v>366</v>
      </c>
      <c r="G207" t="s">
        <v>56</v>
      </c>
      <c r="H207" t="s">
        <v>17</v>
      </c>
      <c r="I207" s="46" t="s">
        <v>47</v>
      </c>
      <c r="J207" s="4">
        <v>15000</v>
      </c>
      <c r="K207">
        <v>149.51</v>
      </c>
    </row>
    <row r="208" spans="1:11" hidden="1">
      <c r="A208" t="s">
        <v>582</v>
      </c>
      <c r="B208" t="s">
        <v>461</v>
      </c>
      <c r="C208" t="s">
        <v>98</v>
      </c>
      <c r="D208" t="s">
        <v>583</v>
      </c>
      <c r="E208">
        <v>2021</v>
      </c>
      <c r="H208" t="s">
        <v>28</v>
      </c>
      <c r="I208" s="46" t="s">
        <v>47</v>
      </c>
      <c r="J208" s="4">
        <v>15000</v>
      </c>
    </row>
    <row r="209" spans="1:11">
      <c r="A209" t="s">
        <v>584</v>
      </c>
      <c r="B209" t="s">
        <v>461</v>
      </c>
      <c r="C209" t="s">
        <v>98</v>
      </c>
      <c r="D209" s="46" t="s">
        <v>577</v>
      </c>
      <c r="E209">
        <v>2021</v>
      </c>
      <c r="F209" t="s">
        <v>578</v>
      </c>
      <c r="G209" t="s">
        <v>585</v>
      </c>
      <c r="H209" t="s">
        <v>17</v>
      </c>
      <c r="I209" s="46" t="s">
        <v>47</v>
      </c>
      <c r="J209" s="4">
        <v>15000</v>
      </c>
      <c r="K209">
        <v>182.22</v>
      </c>
    </row>
    <row r="210" spans="1:11" hidden="1">
      <c r="A210" t="s">
        <v>586</v>
      </c>
      <c r="B210" t="s">
        <v>461</v>
      </c>
      <c r="C210" t="s">
        <v>98</v>
      </c>
      <c r="D210" t="s">
        <v>574</v>
      </c>
      <c r="E210">
        <v>2021</v>
      </c>
      <c r="F210" t="s">
        <v>23</v>
      </c>
      <c r="G210" t="s">
        <v>575</v>
      </c>
      <c r="H210" t="s">
        <v>28</v>
      </c>
      <c r="I210" s="46" t="s">
        <v>47</v>
      </c>
      <c r="J210" s="4">
        <v>10000</v>
      </c>
      <c r="K210">
        <v>127.59</v>
      </c>
    </row>
    <row r="211" spans="1:11" hidden="1">
      <c r="A211" t="s">
        <v>587</v>
      </c>
      <c r="B211" t="s">
        <v>461</v>
      </c>
      <c r="C211" t="s">
        <v>98</v>
      </c>
      <c r="D211" t="s">
        <v>574</v>
      </c>
      <c r="E211">
        <v>2021</v>
      </c>
      <c r="H211" t="s">
        <v>28</v>
      </c>
      <c r="I211" s="46" t="s">
        <v>47</v>
      </c>
      <c r="J211" s="4">
        <v>15000</v>
      </c>
    </row>
    <row r="212" spans="1:11" hidden="1">
      <c r="A212" t="s">
        <v>588</v>
      </c>
      <c r="B212" t="s">
        <v>461</v>
      </c>
      <c r="C212" t="s">
        <v>98</v>
      </c>
      <c r="D212" t="s">
        <v>574</v>
      </c>
      <c r="E212">
        <v>2021</v>
      </c>
      <c r="F212" t="s">
        <v>589</v>
      </c>
      <c r="G212" t="s">
        <v>590</v>
      </c>
      <c r="H212" t="s">
        <v>28</v>
      </c>
      <c r="I212" s="46" t="s">
        <v>47</v>
      </c>
      <c r="J212" s="4">
        <v>15000</v>
      </c>
      <c r="K212">
        <v>244.62</v>
      </c>
    </row>
    <row r="213" spans="1:11" hidden="1">
      <c r="A213" t="s">
        <v>591</v>
      </c>
      <c r="B213" t="s">
        <v>461</v>
      </c>
      <c r="C213" t="s">
        <v>98</v>
      </c>
      <c r="D213" t="s">
        <v>592</v>
      </c>
      <c r="E213">
        <v>2021</v>
      </c>
      <c r="H213" t="s">
        <v>28</v>
      </c>
      <c r="I213" s="46" t="s">
        <v>47</v>
      </c>
      <c r="J213" s="4">
        <v>15000</v>
      </c>
      <c r="K213" s="3"/>
    </row>
    <row r="214" spans="1:11" hidden="1">
      <c r="A214" t="s">
        <v>593</v>
      </c>
      <c r="B214" t="s">
        <v>461</v>
      </c>
      <c r="C214" t="s">
        <v>98</v>
      </c>
      <c r="D214" t="s">
        <v>592</v>
      </c>
      <c r="E214">
        <v>2021</v>
      </c>
      <c r="H214" t="s">
        <v>28</v>
      </c>
      <c r="I214" s="46" t="s">
        <v>47</v>
      </c>
      <c r="J214" s="4">
        <v>15000</v>
      </c>
      <c r="K214">
        <v>0</v>
      </c>
    </row>
    <row r="215" spans="1:11" hidden="1">
      <c r="A215" t="s">
        <v>594</v>
      </c>
      <c r="B215" t="s">
        <v>505</v>
      </c>
      <c r="C215" t="s">
        <v>54</v>
      </c>
      <c r="D215" t="s">
        <v>595</v>
      </c>
      <c r="E215">
        <v>2010</v>
      </c>
      <c r="F215" t="s">
        <v>37</v>
      </c>
      <c r="G215" t="s">
        <v>56</v>
      </c>
      <c r="H215" t="s">
        <v>28</v>
      </c>
      <c r="I215" s="46" t="s">
        <v>47</v>
      </c>
      <c r="J215" s="4">
        <v>15000</v>
      </c>
    </row>
    <row r="216" spans="1:11" hidden="1">
      <c r="A216" t="s">
        <v>596</v>
      </c>
      <c r="B216" t="s">
        <v>505</v>
      </c>
      <c r="C216" t="s">
        <v>54</v>
      </c>
      <c r="D216" t="s">
        <v>597</v>
      </c>
      <c r="E216">
        <v>2017</v>
      </c>
      <c r="H216" t="s">
        <v>28</v>
      </c>
      <c r="I216" s="46" t="s">
        <v>47</v>
      </c>
      <c r="J216" s="4">
        <v>15000</v>
      </c>
    </row>
    <row r="217" spans="1:11" hidden="1">
      <c r="A217" t="s">
        <v>598</v>
      </c>
      <c r="B217" t="s">
        <v>505</v>
      </c>
      <c r="C217" t="s">
        <v>54</v>
      </c>
      <c r="D217" t="s">
        <v>599</v>
      </c>
      <c r="E217">
        <v>2013</v>
      </c>
      <c r="H217" t="s">
        <v>28</v>
      </c>
      <c r="I217" s="46" t="s">
        <v>47</v>
      </c>
      <c r="J217" s="4">
        <v>15000</v>
      </c>
    </row>
    <row r="218" spans="1:11" hidden="1">
      <c r="A218" t="s">
        <v>600</v>
      </c>
      <c r="B218" t="s">
        <v>461</v>
      </c>
      <c r="C218" t="s">
        <v>601</v>
      </c>
      <c r="D218" t="s">
        <v>602</v>
      </c>
      <c r="E218">
        <v>2023</v>
      </c>
      <c r="H218" t="s">
        <v>28</v>
      </c>
      <c r="I218" s="46" t="s">
        <v>47</v>
      </c>
      <c r="J218" s="4">
        <v>15000</v>
      </c>
    </row>
    <row r="219" spans="1:11" hidden="1">
      <c r="A219" t="s">
        <v>603</v>
      </c>
      <c r="B219" t="s">
        <v>461</v>
      </c>
      <c r="C219" t="s">
        <v>601</v>
      </c>
      <c r="D219" t="s">
        <v>602</v>
      </c>
      <c r="E219">
        <v>2023</v>
      </c>
      <c r="F219" t="s">
        <v>26</v>
      </c>
      <c r="G219" t="s">
        <v>585</v>
      </c>
      <c r="H219" t="s">
        <v>28</v>
      </c>
      <c r="I219" s="46" t="s">
        <v>47</v>
      </c>
      <c r="J219" s="4">
        <v>15000</v>
      </c>
      <c r="K219">
        <v>131.58000000000001</v>
      </c>
    </row>
    <row r="220" spans="1:11" hidden="1">
      <c r="A220" t="s">
        <v>604</v>
      </c>
      <c r="B220" t="s">
        <v>461</v>
      </c>
      <c r="C220" t="s">
        <v>601</v>
      </c>
      <c r="D220" t="s">
        <v>602</v>
      </c>
      <c r="E220">
        <v>2023</v>
      </c>
      <c r="F220" t="s">
        <v>30</v>
      </c>
      <c r="G220" t="s">
        <v>605</v>
      </c>
      <c r="H220" t="s">
        <v>17</v>
      </c>
      <c r="I220" s="46" t="s">
        <v>47</v>
      </c>
      <c r="J220" s="4">
        <v>15000</v>
      </c>
      <c r="K220">
        <v>171.54</v>
      </c>
    </row>
    <row r="221" spans="1:11" hidden="1">
      <c r="A221" t="s">
        <v>606</v>
      </c>
      <c r="B221" t="s">
        <v>461</v>
      </c>
      <c r="C221" t="s">
        <v>601</v>
      </c>
      <c r="D221" t="s">
        <v>602</v>
      </c>
      <c r="E221">
        <v>2023</v>
      </c>
      <c r="F221" t="s">
        <v>578</v>
      </c>
      <c r="G221" t="s">
        <v>607</v>
      </c>
      <c r="H221" t="s">
        <v>17</v>
      </c>
      <c r="I221" s="46" t="s">
        <v>47</v>
      </c>
      <c r="J221" s="4">
        <v>10000</v>
      </c>
      <c r="K221">
        <v>300.36</v>
      </c>
    </row>
    <row r="222" spans="1:11" hidden="1">
      <c r="A222" t="s">
        <v>608</v>
      </c>
      <c r="B222" t="s">
        <v>461</v>
      </c>
      <c r="C222" t="s">
        <v>601</v>
      </c>
      <c r="D222" t="s">
        <v>602</v>
      </c>
      <c r="E222">
        <v>2023</v>
      </c>
      <c r="F222" t="s">
        <v>30</v>
      </c>
      <c r="G222" t="s">
        <v>609</v>
      </c>
      <c r="H222" t="s">
        <v>17</v>
      </c>
      <c r="I222" s="46" t="s">
        <v>47</v>
      </c>
      <c r="J222" s="4">
        <v>15000</v>
      </c>
      <c r="K222">
        <v>214.46</v>
      </c>
    </row>
    <row r="223" spans="1:11" hidden="1">
      <c r="A223" t="s">
        <v>610</v>
      </c>
      <c r="B223" t="s">
        <v>461</v>
      </c>
      <c r="C223" t="s">
        <v>601</v>
      </c>
      <c r="D223" t="s">
        <v>602</v>
      </c>
      <c r="E223">
        <v>2023</v>
      </c>
      <c r="F223" t="s">
        <v>33</v>
      </c>
      <c r="G223" t="s">
        <v>46</v>
      </c>
      <c r="H223" t="s">
        <v>17</v>
      </c>
      <c r="I223" s="46" t="s">
        <v>47</v>
      </c>
      <c r="J223" s="4">
        <v>15000</v>
      </c>
      <c r="K223">
        <v>228.06</v>
      </c>
    </row>
    <row r="224" spans="1:11" hidden="1">
      <c r="A224" t="s">
        <v>611</v>
      </c>
      <c r="B224" t="s">
        <v>505</v>
      </c>
      <c r="C224" t="s">
        <v>506</v>
      </c>
      <c r="D224" t="s">
        <v>612</v>
      </c>
      <c r="E224">
        <v>2015</v>
      </c>
      <c r="H224" t="s">
        <v>28</v>
      </c>
      <c r="I224" s="46" t="s">
        <v>47</v>
      </c>
      <c r="J224" s="4">
        <v>10000</v>
      </c>
    </row>
    <row r="225" spans="1:11" hidden="1">
      <c r="A225" t="s">
        <v>613</v>
      </c>
      <c r="B225" t="s">
        <v>505</v>
      </c>
      <c r="C225" t="s">
        <v>479</v>
      </c>
      <c r="D225" t="s">
        <v>614</v>
      </c>
      <c r="E225">
        <v>2019</v>
      </c>
      <c r="H225" t="s">
        <v>28</v>
      </c>
      <c r="I225" s="46" t="s">
        <v>47</v>
      </c>
      <c r="J225" s="4">
        <v>15000</v>
      </c>
    </row>
    <row r="226" spans="1:11" hidden="1">
      <c r="A226" t="s">
        <v>615</v>
      </c>
      <c r="B226" t="s">
        <v>461</v>
      </c>
      <c r="C226" t="s">
        <v>616</v>
      </c>
      <c r="D226" t="s">
        <v>617</v>
      </c>
      <c r="E226">
        <v>2018</v>
      </c>
      <c r="F226" t="s">
        <v>37</v>
      </c>
      <c r="G226" t="s">
        <v>321</v>
      </c>
      <c r="H226" t="s">
        <v>17</v>
      </c>
      <c r="I226" s="46" t="s">
        <v>47</v>
      </c>
      <c r="J226" s="4">
        <v>15000</v>
      </c>
      <c r="K226">
        <v>0</v>
      </c>
    </row>
    <row r="227" spans="1:11" hidden="1">
      <c r="A227" t="s">
        <v>618</v>
      </c>
      <c r="B227" t="s">
        <v>505</v>
      </c>
      <c r="C227" t="s">
        <v>115</v>
      </c>
      <c r="D227" t="s">
        <v>619</v>
      </c>
      <c r="E227">
        <v>2018</v>
      </c>
      <c r="F227" t="s">
        <v>37</v>
      </c>
      <c r="G227" t="s">
        <v>56</v>
      </c>
      <c r="H227" t="s">
        <v>28</v>
      </c>
      <c r="I227" s="46" t="s">
        <v>47</v>
      </c>
      <c r="J227" s="4">
        <v>10000</v>
      </c>
    </row>
    <row r="228" spans="1:11" hidden="1">
      <c r="A228" t="s">
        <v>620</v>
      </c>
      <c r="B228" t="s">
        <v>505</v>
      </c>
      <c r="C228" t="s">
        <v>115</v>
      </c>
      <c r="D228" t="s">
        <v>621</v>
      </c>
      <c r="E228">
        <v>2017</v>
      </c>
      <c r="F228" t="s">
        <v>37</v>
      </c>
      <c r="G228" t="s">
        <v>622</v>
      </c>
      <c r="H228" t="s">
        <v>17</v>
      </c>
      <c r="I228" s="46" t="s">
        <v>47</v>
      </c>
      <c r="J228" s="4">
        <v>10000</v>
      </c>
      <c r="K228">
        <v>138.94999999999999</v>
      </c>
    </row>
    <row r="229" spans="1:11" hidden="1">
      <c r="A229" t="s">
        <v>623</v>
      </c>
      <c r="B229" t="s">
        <v>505</v>
      </c>
      <c r="C229" t="s">
        <v>115</v>
      </c>
      <c r="D229" t="s">
        <v>621</v>
      </c>
      <c r="E229">
        <v>2017</v>
      </c>
      <c r="F229" t="s">
        <v>578</v>
      </c>
      <c r="G229" t="s">
        <v>624</v>
      </c>
      <c r="H229" t="s">
        <v>17</v>
      </c>
      <c r="I229" s="46" t="s">
        <v>47</v>
      </c>
      <c r="J229" s="4">
        <v>10000</v>
      </c>
      <c r="K229">
        <v>109.96</v>
      </c>
    </row>
    <row r="230" spans="1:11" hidden="1">
      <c r="A230" t="s">
        <v>625</v>
      </c>
      <c r="B230" t="s">
        <v>505</v>
      </c>
      <c r="C230" t="s">
        <v>115</v>
      </c>
      <c r="D230" t="s">
        <v>621</v>
      </c>
      <c r="E230">
        <v>2017</v>
      </c>
      <c r="H230" t="s">
        <v>28</v>
      </c>
      <c r="I230" s="46" t="s">
        <v>47</v>
      </c>
      <c r="J230" s="4">
        <v>10000</v>
      </c>
      <c r="K230">
        <v>0</v>
      </c>
    </row>
    <row r="231" spans="1:11">
      <c r="A231" t="s">
        <v>626</v>
      </c>
      <c r="B231" t="s">
        <v>461</v>
      </c>
      <c r="C231" t="s">
        <v>98</v>
      </c>
      <c r="D231" s="46" t="s">
        <v>577</v>
      </c>
      <c r="E231">
        <v>2023</v>
      </c>
      <c r="F231" t="s">
        <v>30</v>
      </c>
      <c r="G231" t="s">
        <v>627</v>
      </c>
      <c r="H231" t="s">
        <v>17</v>
      </c>
      <c r="I231" s="46" t="s">
        <v>47</v>
      </c>
      <c r="J231" s="4">
        <v>15000</v>
      </c>
      <c r="K231" s="3">
        <v>158.91</v>
      </c>
    </row>
    <row r="232" spans="1:11">
      <c r="A232" t="s">
        <v>628</v>
      </c>
      <c r="B232" t="s">
        <v>461</v>
      </c>
      <c r="C232" t="s">
        <v>98</v>
      </c>
      <c r="D232" s="46" t="s">
        <v>577</v>
      </c>
      <c r="E232">
        <v>2023</v>
      </c>
      <c r="F232" t="s">
        <v>33</v>
      </c>
      <c r="G232" t="s">
        <v>629</v>
      </c>
      <c r="H232" t="s">
        <v>17</v>
      </c>
      <c r="I232" s="46" t="s">
        <v>47</v>
      </c>
      <c r="J232" s="4">
        <v>15000</v>
      </c>
      <c r="K232">
        <v>175.46</v>
      </c>
    </row>
    <row r="233" spans="1:11">
      <c r="A233" t="s">
        <v>630</v>
      </c>
      <c r="B233" t="s">
        <v>461</v>
      </c>
      <c r="C233" t="s">
        <v>98</v>
      </c>
      <c r="D233" s="46" t="s">
        <v>577</v>
      </c>
      <c r="E233">
        <v>2023</v>
      </c>
      <c r="F233" t="s">
        <v>366</v>
      </c>
      <c r="G233" t="s">
        <v>631</v>
      </c>
      <c r="H233" t="s">
        <v>17</v>
      </c>
      <c r="I233" s="46" t="s">
        <v>47</v>
      </c>
      <c r="J233" s="4">
        <v>15000</v>
      </c>
      <c r="K233">
        <v>116.42</v>
      </c>
    </row>
    <row r="234" spans="1:11">
      <c r="A234" t="s">
        <v>632</v>
      </c>
      <c r="B234" t="s">
        <v>461</v>
      </c>
      <c r="C234" t="s">
        <v>98</v>
      </c>
      <c r="D234" s="46" t="s">
        <v>577</v>
      </c>
      <c r="E234">
        <v>2023</v>
      </c>
      <c r="F234" t="s">
        <v>63</v>
      </c>
      <c r="G234" t="s">
        <v>633</v>
      </c>
      <c r="H234" t="s">
        <v>17</v>
      </c>
      <c r="I234" s="46" t="s">
        <v>47</v>
      </c>
      <c r="J234" s="4">
        <v>15000</v>
      </c>
      <c r="K234">
        <v>144.59</v>
      </c>
    </row>
    <row r="235" spans="1:11">
      <c r="A235" t="s">
        <v>634</v>
      </c>
      <c r="B235" t="s">
        <v>461</v>
      </c>
      <c r="C235" t="s">
        <v>98</v>
      </c>
      <c r="D235" s="46" t="s">
        <v>577</v>
      </c>
      <c r="E235">
        <v>2023</v>
      </c>
      <c r="F235" t="s">
        <v>30</v>
      </c>
      <c r="G235" t="s">
        <v>635</v>
      </c>
      <c r="H235" t="s">
        <v>17</v>
      </c>
      <c r="I235" s="46" t="s">
        <v>47</v>
      </c>
      <c r="J235" s="4">
        <v>15000</v>
      </c>
      <c r="K235">
        <v>396.96</v>
      </c>
    </row>
    <row r="236" spans="1:11">
      <c r="A236" t="s">
        <v>636</v>
      </c>
      <c r="B236" t="s">
        <v>461</v>
      </c>
      <c r="C236" t="s">
        <v>98</v>
      </c>
      <c r="D236" s="46" t="s">
        <v>577</v>
      </c>
      <c r="E236">
        <v>2023</v>
      </c>
      <c r="F236" t="s">
        <v>51</v>
      </c>
      <c r="G236" t="s">
        <v>637</v>
      </c>
      <c r="H236" t="s">
        <v>17</v>
      </c>
      <c r="I236" s="46" t="s">
        <v>47</v>
      </c>
      <c r="J236" s="4">
        <v>15000</v>
      </c>
      <c r="K236">
        <v>152.69999999999999</v>
      </c>
    </row>
    <row r="237" spans="1:11">
      <c r="A237" t="s">
        <v>638</v>
      </c>
      <c r="B237" t="s">
        <v>461</v>
      </c>
      <c r="C237" t="s">
        <v>98</v>
      </c>
      <c r="D237" s="46" t="s">
        <v>577</v>
      </c>
      <c r="E237">
        <v>2023</v>
      </c>
      <c r="F237" t="s">
        <v>33</v>
      </c>
      <c r="G237" t="s">
        <v>212</v>
      </c>
      <c r="H237" t="s">
        <v>17</v>
      </c>
      <c r="I237" s="46" t="s">
        <v>47</v>
      </c>
      <c r="J237" s="4">
        <v>15000</v>
      </c>
      <c r="K237">
        <v>194.3</v>
      </c>
    </row>
    <row r="238" spans="1:11">
      <c r="A238" t="s">
        <v>639</v>
      </c>
      <c r="B238" t="s">
        <v>461</v>
      </c>
      <c r="C238" t="s">
        <v>98</v>
      </c>
      <c r="D238" s="46" t="s">
        <v>577</v>
      </c>
      <c r="E238">
        <v>2023</v>
      </c>
      <c r="F238" t="s">
        <v>33</v>
      </c>
      <c r="G238" t="s">
        <v>640</v>
      </c>
      <c r="H238" t="s">
        <v>17</v>
      </c>
      <c r="I238" s="46" t="s">
        <v>47</v>
      </c>
      <c r="J238" s="4">
        <v>15000</v>
      </c>
      <c r="K238">
        <v>112.09</v>
      </c>
    </row>
    <row r="239" spans="1:11">
      <c r="A239" t="s">
        <v>641</v>
      </c>
      <c r="B239" t="s">
        <v>461</v>
      </c>
      <c r="C239" t="s">
        <v>98</v>
      </c>
      <c r="D239" s="46" t="s">
        <v>577</v>
      </c>
      <c r="E239">
        <v>2023</v>
      </c>
      <c r="F239" t="s">
        <v>63</v>
      </c>
      <c r="G239" t="s">
        <v>642</v>
      </c>
      <c r="H239" t="s">
        <v>17</v>
      </c>
      <c r="I239" s="46" t="s">
        <v>47</v>
      </c>
      <c r="J239" s="4">
        <v>15000</v>
      </c>
      <c r="K239">
        <v>148.02000000000001</v>
      </c>
    </row>
    <row r="240" spans="1:11">
      <c r="A240" t="s">
        <v>643</v>
      </c>
      <c r="B240" t="s">
        <v>461</v>
      </c>
      <c r="C240" t="s">
        <v>98</v>
      </c>
      <c r="D240" s="46" t="s">
        <v>577</v>
      </c>
      <c r="E240">
        <v>2023</v>
      </c>
      <c r="F240" t="s">
        <v>37</v>
      </c>
      <c r="G240" t="s">
        <v>471</v>
      </c>
      <c r="H240" t="s">
        <v>17</v>
      </c>
      <c r="I240" s="46" t="s">
        <v>47</v>
      </c>
      <c r="J240" s="4">
        <v>15000</v>
      </c>
      <c r="K240">
        <v>0</v>
      </c>
    </row>
    <row r="241" spans="1:11">
      <c r="A241" t="s">
        <v>644</v>
      </c>
      <c r="B241" t="s">
        <v>461</v>
      </c>
      <c r="C241" t="s">
        <v>98</v>
      </c>
      <c r="D241" s="46" t="s">
        <v>577</v>
      </c>
      <c r="E241">
        <v>2023</v>
      </c>
      <c r="F241" t="s">
        <v>124</v>
      </c>
      <c r="G241" t="s">
        <v>645</v>
      </c>
      <c r="H241" t="s">
        <v>17</v>
      </c>
      <c r="I241" s="46" t="s">
        <v>47</v>
      </c>
      <c r="J241" s="4">
        <v>10000</v>
      </c>
      <c r="K241">
        <v>166.87</v>
      </c>
    </row>
    <row r="242" spans="1:11" hidden="1">
      <c r="A242" t="s">
        <v>646</v>
      </c>
      <c r="B242" t="s">
        <v>461</v>
      </c>
      <c r="C242" t="s">
        <v>98</v>
      </c>
      <c r="D242" t="s">
        <v>462</v>
      </c>
      <c r="E242">
        <v>2023</v>
      </c>
      <c r="F242" t="s">
        <v>571</v>
      </c>
      <c r="G242" t="s">
        <v>56</v>
      </c>
      <c r="H242" t="s">
        <v>28</v>
      </c>
      <c r="I242" s="46" t="s">
        <v>47</v>
      </c>
      <c r="J242" s="4">
        <v>15000</v>
      </c>
      <c r="K242">
        <v>310.25</v>
      </c>
    </row>
    <row r="243" spans="1:11" ht="15" hidden="1" customHeight="1">
      <c r="A243" t="s">
        <v>647</v>
      </c>
      <c r="B243" t="s">
        <v>461</v>
      </c>
      <c r="C243" t="s">
        <v>98</v>
      </c>
      <c r="D243" t="s">
        <v>462</v>
      </c>
      <c r="E243">
        <v>2023</v>
      </c>
      <c r="F243" t="s">
        <v>562</v>
      </c>
      <c r="G243" t="s">
        <v>648</v>
      </c>
      <c r="H243" t="s">
        <v>28</v>
      </c>
      <c r="I243" s="46" t="s">
        <v>47</v>
      </c>
      <c r="J243" s="4">
        <v>15000</v>
      </c>
      <c r="K243">
        <v>87.39</v>
      </c>
    </row>
    <row r="244" spans="1:11" ht="15" hidden="1" customHeight="1">
      <c r="A244" t="s">
        <v>649</v>
      </c>
      <c r="B244" t="s">
        <v>650</v>
      </c>
      <c r="C244" t="s">
        <v>651</v>
      </c>
      <c r="D244" t="s">
        <v>652</v>
      </c>
      <c r="E244">
        <v>1990</v>
      </c>
      <c r="F244" t="s">
        <v>26</v>
      </c>
      <c r="G244" t="s">
        <v>149</v>
      </c>
      <c r="H244" t="s">
        <v>17</v>
      </c>
      <c r="I244" s="46" t="s">
        <v>18</v>
      </c>
      <c r="J244" s="4">
        <v>250</v>
      </c>
    </row>
    <row r="245" spans="1:11" ht="15" hidden="1" customHeight="1">
      <c r="A245" t="s">
        <v>653</v>
      </c>
      <c r="B245" t="s">
        <v>650</v>
      </c>
      <c r="C245" t="s">
        <v>654</v>
      </c>
      <c r="D245" t="s">
        <v>655</v>
      </c>
      <c r="E245">
        <v>2007</v>
      </c>
      <c r="F245" t="s">
        <v>26</v>
      </c>
      <c r="G245" t="s">
        <v>149</v>
      </c>
      <c r="H245" t="s">
        <v>17</v>
      </c>
      <c r="I245" s="46" t="s">
        <v>18</v>
      </c>
      <c r="J245" s="4">
        <v>250</v>
      </c>
    </row>
    <row r="246" spans="1:11" ht="15" hidden="1" customHeight="1">
      <c r="A246" t="s">
        <v>656</v>
      </c>
      <c r="B246" t="s">
        <v>650</v>
      </c>
      <c r="C246" t="s">
        <v>657</v>
      </c>
      <c r="D246" t="s">
        <v>658</v>
      </c>
      <c r="E246">
        <v>2010</v>
      </c>
      <c r="F246" t="s">
        <v>26</v>
      </c>
      <c r="G246" t="s">
        <v>149</v>
      </c>
      <c r="H246" t="s">
        <v>17</v>
      </c>
      <c r="I246" s="46" t="s">
        <v>18</v>
      </c>
      <c r="J246" s="4">
        <v>250</v>
      </c>
    </row>
    <row r="247" spans="1:11" ht="15" hidden="1" customHeight="1">
      <c r="A247" t="s">
        <v>659</v>
      </c>
      <c r="B247" t="s">
        <v>650</v>
      </c>
      <c r="C247" t="s">
        <v>660</v>
      </c>
      <c r="D247" t="s">
        <v>661</v>
      </c>
      <c r="E247">
        <v>2010</v>
      </c>
      <c r="F247" t="s">
        <v>26</v>
      </c>
      <c r="G247" t="s">
        <v>149</v>
      </c>
      <c r="H247" t="s">
        <v>17</v>
      </c>
      <c r="I247" s="46" t="s">
        <v>18</v>
      </c>
      <c r="J247" s="4">
        <v>250</v>
      </c>
    </row>
    <row r="248" spans="1:11" ht="15" hidden="1" customHeight="1">
      <c r="A248" t="s">
        <v>662</v>
      </c>
      <c r="B248" t="s">
        <v>203</v>
      </c>
      <c r="F248" t="s">
        <v>15</v>
      </c>
      <c r="H248" t="s">
        <v>37</v>
      </c>
      <c r="I248" s="46" t="s">
        <v>663</v>
      </c>
      <c r="J248" s="4">
        <v>250</v>
      </c>
    </row>
    <row r="249" spans="1:11" ht="15" hidden="1" customHeight="1">
      <c r="A249" t="s">
        <v>664</v>
      </c>
      <c r="B249" t="s">
        <v>665</v>
      </c>
      <c r="C249" t="s">
        <v>666</v>
      </c>
      <c r="D249" t="s">
        <v>667</v>
      </c>
      <c r="E249">
        <v>2005</v>
      </c>
      <c r="H249" t="s">
        <v>17</v>
      </c>
      <c r="I249" s="46" t="s">
        <v>663</v>
      </c>
      <c r="J249" s="4">
        <v>250</v>
      </c>
    </row>
  </sheetData>
  <mergeCells count="1">
    <mergeCell ref="A1:K1"/>
  </mergeCells>
  <pageMargins left="0.75" right="0.75" top="1" bottom="1" header="0.511811023622047" footer="0.511811023622047"/>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04"/>
  <sheetViews>
    <sheetView zoomScaleNormal="100" workbookViewId="0">
      <pane ySplit="3" topLeftCell="A639" activePane="bottomLeft" state="frozen"/>
      <selection pane="bottomLeft" activeCell="E640" sqref="E640"/>
      <selection activeCell="A287" sqref="A287:XFD287"/>
    </sheetView>
  </sheetViews>
  <sheetFormatPr defaultColWidth="9.140625" defaultRowHeight="15" customHeight="1"/>
  <cols>
    <col min="1" max="1" width="12" style="39" customWidth="1"/>
    <col min="2" max="2" width="12" customWidth="1"/>
    <col min="3" max="3" width="13" customWidth="1"/>
    <col min="4" max="4" width="15" customWidth="1"/>
    <col min="5" max="5" width="20" customWidth="1"/>
    <col min="6" max="6" width="34.5703125" bestFit="1" customWidth="1"/>
    <col min="7" max="7" width="37.140625" bestFit="1" customWidth="1"/>
  </cols>
  <sheetData>
    <row r="1" spans="1:7" ht="18.75" customHeight="1">
      <c r="A1" s="96" t="s">
        <v>668</v>
      </c>
      <c r="B1" s="96"/>
      <c r="C1" s="96"/>
      <c r="D1" s="96"/>
      <c r="E1" s="96"/>
      <c r="F1" s="96"/>
      <c r="G1" s="96"/>
    </row>
    <row r="3" spans="1:7">
      <c r="A3" s="7" t="s">
        <v>669</v>
      </c>
      <c r="B3" s="1" t="s">
        <v>1</v>
      </c>
      <c r="C3" s="1" t="s">
        <v>670</v>
      </c>
      <c r="D3" s="1" t="s">
        <v>671</v>
      </c>
      <c r="E3" s="1" t="s">
        <v>672</v>
      </c>
      <c r="F3" s="1" t="s">
        <v>7</v>
      </c>
      <c r="G3" s="1" t="s">
        <v>673</v>
      </c>
    </row>
    <row r="4" spans="1:7" hidden="1">
      <c r="A4" s="71">
        <v>46065</v>
      </c>
      <c r="B4" t="s">
        <v>12</v>
      </c>
      <c r="C4">
        <v>2852</v>
      </c>
    </row>
    <row r="5" spans="1:7" hidden="1">
      <c r="A5" s="71">
        <v>44607</v>
      </c>
      <c r="B5" t="s">
        <v>12</v>
      </c>
      <c r="C5">
        <v>1937</v>
      </c>
    </row>
    <row r="6" spans="1:7" hidden="1">
      <c r="A6" s="71">
        <v>44553</v>
      </c>
      <c r="B6" t="s">
        <v>12</v>
      </c>
      <c r="C6">
        <v>1683</v>
      </c>
    </row>
    <row r="7" spans="1:7" hidden="1">
      <c r="A7" s="71">
        <v>44329</v>
      </c>
      <c r="B7" t="s">
        <v>12</v>
      </c>
      <c r="C7">
        <v>985</v>
      </c>
    </row>
    <row r="8" spans="1:7" hidden="1">
      <c r="A8" s="71">
        <v>46132</v>
      </c>
      <c r="B8" t="s">
        <v>19</v>
      </c>
      <c r="C8">
        <v>10496</v>
      </c>
      <c r="E8" t="s">
        <v>674</v>
      </c>
    </row>
    <row r="9" spans="1:7" hidden="1">
      <c r="A9" s="71">
        <v>46115</v>
      </c>
      <c r="B9" t="s">
        <v>19</v>
      </c>
      <c r="C9">
        <v>10378</v>
      </c>
      <c r="D9">
        <v>260271</v>
      </c>
      <c r="E9" t="s">
        <v>63</v>
      </c>
    </row>
    <row r="10" spans="1:7" hidden="1">
      <c r="A10" s="71">
        <v>46101</v>
      </c>
      <c r="B10" t="s">
        <v>19</v>
      </c>
      <c r="C10">
        <v>10368</v>
      </c>
      <c r="D10">
        <v>262575</v>
      </c>
      <c r="E10" t="s">
        <v>63</v>
      </c>
    </row>
    <row r="11" spans="1:7" hidden="1">
      <c r="A11" s="71">
        <v>46099</v>
      </c>
      <c r="B11" t="s">
        <v>19</v>
      </c>
      <c r="C11">
        <v>10361</v>
      </c>
      <c r="D11">
        <v>262326</v>
      </c>
      <c r="E11" t="s">
        <v>63</v>
      </c>
    </row>
    <row r="12" spans="1:7" hidden="1">
      <c r="A12" s="71">
        <v>45056</v>
      </c>
      <c r="B12" t="s">
        <v>25</v>
      </c>
      <c r="C12">
        <v>5327</v>
      </c>
      <c r="D12">
        <v>126893</v>
      </c>
    </row>
    <row r="13" spans="1:7" hidden="1">
      <c r="A13" s="71">
        <v>46114</v>
      </c>
      <c r="B13" t="s">
        <v>29</v>
      </c>
      <c r="D13">
        <v>261250</v>
      </c>
      <c r="E13" t="s">
        <v>675</v>
      </c>
    </row>
    <row r="14" spans="1:7" hidden="1">
      <c r="A14" s="71">
        <v>46113</v>
      </c>
      <c r="B14" t="s">
        <v>29</v>
      </c>
      <c r="D14">
        <v>260933</v>
      </c>
      <c r="E14" t="s">
        <v>675</v>
      </c>
    </row>
    <row r="15" spans="1:7" hidden="1">
      <c r="A15" s="71">
        <v>46108</v>
      </c>
      <c r="B15" t="s">
        <v>29</v>
      </c>
      <c r="E15" t="s">
        <v>675</v>
      </c>
      <c r="F15" t="s">
        <v>676</v>
      </c>
      <c r="G15" t="s">
        <v>677</v>
      </c>
    </row>
    <row r="16" spans="1:7" hidden="1">
      <c r="A16" s="71">
        <v>46083</v>
      </c>
      <c r="B16" t="s">
        <v>29</v>
      </c>
      <c r="C16">
        <v>8820</v>
      </c>
      <c r="D16">
        <v>258456</v>
      </c>
    </row>
    <row r="17" spans="1:5" hidden="1">
      <c r="A17" s="71">
        <v>46107</v>
      </c>
      <c r="B17" t="s">
        <v>32</v>
      </c>
      <c r="C17">
        <v>10623</v>
      </c>
      <c r="D17">
        <v>257067</v>
      </c>
      <c r="E17" t="s">
        <v>33</v>
      </c>
    </row>
    <row r="18" spans="1:5" hidden="1">
      <c r="A18" s="71">
        <v>46107</v>
      </c>
      <c r="B18" t="s">
        <v>32</v>
      </c>
      <c r="C18">
        <v>10611</v>
      </c>
      <c r="D18">
        <v>256570</v>
      </c>
      <c r="E18" t="s">
        <v>33</v>
      </c>
    </row>
    <row r="19" spans="1:5" hidden="1">
      <c r="A19" s="71">
        <v>46105</v>
      </c>
      <c r="B19" t="s">
        <v>32</v>
      </c>
      <c r="C19">
        <v>10599</v>
      </c>
      <c r="D19">
        <v>256409</v>
      </c>
      <c r="E19" t="s">
        <v>33</v>
      </c>
    </row>
    <row r="20" spans="1:5" hidden="1">
      <c r="A20" s="71">
        <v>46105</v>
      </c>
      <c r="B20" t="s">
        <v>32</v>
      </c>
      <c r="C20">
        <v>10590</v>
      </c>
      <c r="D20">
        <v>256246</v>
      </c>
      <c r="E20" t="s">
        <v>33</v>
      </c>
    </row>
    <row r="21" spans="1:5" hidden="1">
      <c r="A21" s="71">
        <v>46105</v>
      </c>
      <c r="B21" t="s">
        <v>35</v>
      </c>
      <c r="C21">
        <v>8345</v>
      </c>
      <c r="E21" t="s">
        <v>37</v>
      </c>
    </row>
    <row r="22" spans="1:5" hidden="1">
      <c r="A22" s="71">
        <v>46070</v>
      </c>
      <c r="B22" t="s">
        <v>35</v>
      </c>
      <c r="D22">
        <v>250115</v>
      </c>
    </row>
    <row r="23" spans="1:5" hidden="1">
      <c r="A23" s="71">
        <v>46052</v>
      </c>
      <c r="B23" t="s">
        <v>35</v>
      </c>
      <c r="C23">
        <v>8328</v>
      </c>
      <c r="D23">
        <v>168556</v>
      </c>
    </row>
    <row r="24" spans="1:5" hidden="1">
      <c r="A24" s="71">
        <v>46049</v>
      </c>
      <c r="B24" t="s">
        <v>35</v>
      </c>
      <c r="C24">
        <v>8221</v>
      </c>
      <c r="D24">
        <v>168332</v>
      </c>
    </row>
    <row r="25" spans="1:5" hidden="1">
      <c r="A25" s="71">
        <v>46092</v>
      </c>
      <c r="B25" t="s">
        <v>36</v>
      </c>
      <c r="C25">
        <v>10923</v>
      </c>
      <c r="E25" t="s">
        <v>23</v>
      </c>
    </row>
    <row r="26" spans="1:5" hidden="1">
      <c r="A26" s="71">
        <v>46087</v>
      </c>
      <c r="B26" t="s">
        <v>36</v>
      </c>
      <c r="C26">
        <v>10837</v>
      </c>
    </row>
    <row r="27" spans="1:5" hidden="1">
      <c r="A27" s="71">
        <v>46086</v>
      </c>
      <c r="B27" t="s">
        <v>36</v>
      </c>
      <c r="C27">
        <v>10820</v>
      </c>
    </row>
    <row r="28" spans="1:5" hidden="1">
      <c r="A28" s="71">
        <v>46065</v>
      </c>
      <c r="B28" t="s">
        <v>36</v>
      </c>
      <c r="C28">
        <v>10863</v>
      </c>
    </row>
    <row r="29" spans="1:5" hidden="1">
      <c r="A29" s="71">
        <v>46107</v>
      </c>
      <c r="B29" t="s">
        <v>39</v>
      </c>
      <c r="D29">
        <v>48763</v>
      </c>
      <c r="E29" t="s">
        <v>33</v>
      </c>
    </row>
    <row r="30" spans="1:5" hidden="1">
      <c r="A30" s="71">
        <v>46077</v>
      </c>
      <c r="B30" t="s">
        <v>39</v>
      </c>
      <c r="D30">
        <v>98639</v>
      </c>
    </row>
    <row r="31" spans="1:5" hidden="1">
      <c r="A31" s="71">
        <v>46077</v>
      </c>
      <c r="B31" t="s">
        <v>39</v>
      </c>
      <c r="D31">
        <v>98639</v>
      </c>
    </row>
    <row r="32" spans="1:5" hidden="1">
      <c r="A32" s="71">
        <v>46062</v>
      </c>
      <c r="B32" t="s">
        <v>39</v>
      </c>
      <c r="C32" s="47"/>
      <c r="D32">
        <v>98550</v>
      </c>
    </row>
    <row r="33" spans="1:5" hidden="1">
      <c r="A33" s="71">
        <v>46106</v>
      </c>
      <c r="B33" t="s">
        <v>42</v>
      </c>
      <c r="D33">
        <v>190409</v>
      </c>
      <c r="E33" t="s">
        <v>33</v>
      </c>
    </row>
    <row r="34" spans="1:5" hidden="1">
      <c r="A34" s="71">
        <v>46101</v>
      </c>
      <c r="B34" t="s">
        <v>42</v>
      </c>
      <c r="D34">
        <v>190215</v>
      </c>
      <c r="E34" t="s">
        <v>33</v>
      </c>
    </row>
    <row r="35" spans="1:5" hidden="1">
      <c r="A35" s="71">
        <v>46098</v>
      </c>
      <c r="B35" t="s">
        <v>42</v>
      </c>
      <c r="D35">
        <v>190022</v>
      </c>
      <c r="E35" t="s">
        <v>33</v>
      </c>
    </row>
    <row r="36" spans="1:5" hidden="1">
      <c r="A36" s="71">
        <v>46080</v>
      </c>
      <c r="B36" t="s">
        <v>42</v>
      </c>
      <c r="D36">
        <v>189344</v>
      </c>
    </row>
    <row r="37" spans="1:5" hidden="1">
      <c r="A37" s="71">
        <v>46111</v>
      </c>
      <c r="B37" t="s">
        <v>48</v>
      </c>
      <c r="D37">
        <v>275886</v>
      </c>
      <c r="E37" t="s">
        <v>51</v>
      </c>
    </row>
    <row r="38" spans="1:5" hidden="1">
      <c r="A38" s="71">
        <v>46101</v>
      </c>
      <c r="B38" t="s">
        <v>48</v>
      </c>
      <c r="D38">
        <v>275095</v>
      </c>
      <c r="E38" t="s">
        <v>51</v>
      </c>
    </row>
    <row r="39" spans="1:5" hidden="1">
      <c r="A39" s="71">
        <v>46098</v>
      </c>
      <c r="B39" t="s">
        <v>48</v>
      </c>
      <c r="D39">
        <v>274769</v>
      </c>
      <c r="E39" t="s">
        <v>51</v>
      </c>
    </row>
    <row r="40" spans="1:5" hidden="1">
      <c r="A40" s="71">
        <v>46078</v>
      </c>
      <c r="B40" t="s">
        <v>48</v>
      </c>
      <c r="D40">
        <v>274320</v>
      </c>
    </row>
    <row r="41" spans="1:5" hidden="1">
      <c r="A41" s="71">
        <v>46050</v>
      </c>
      <c r="B41" t="s">
        <v>60</v>
      </c>
      <c r="D41">
        <v>121065</v>
      </c>
    </row>
    <row r="42" spans="1:5" hidden="1">
      <c r="A42" s="71">
        <v>46043</v>
      </c>
      <c r="B42" t="s">
        <v>60</v>
      </c>
      <c r="D42">
        <v>802320</v>
      </c>
    </row>
    <row r="43" spans="1:5" hidden="1">
      <c r="A43" s="71">
        <v>46036</v>
      </c>
      <c r="B43" t="s">
        <v>60</v>
      </c>
      <c r="D43">
        <v>802920</v>
      </c>
    </row>
    <row r="44" spans="1:5" hidden="1">
      <c r="A44" s="71">
        <v>45994</v>
      </c>
      <c r="B44" t="s">
        <v>60</v>
      </c>
      <c r="D44">
        <v>802920</v>
      </c>
    </row>
    <row r="45" spans="1:5" hidden="1">
      <c r="A45" s="71">
        <v>46107</v>
      </c>
      <c r="B45" t="s">
        <v>65</v>
      </c>
      <c r="C45">
        <v>3882</v>
      </c>
      <c r="E45" t="s">
        <v>33</v>
      </c>
    </row>
    <row r="46" spans="1:5" hidden="1">
      <c r="A46" s="71">
        <v>46107</v>
      </c>
      <c r="B46" t="s">
        <v>65</v>
      </c>
      <c r="C46">
        <v>3887</v>
      </c>
      <c r="E46" t="s">
        <v>33</v>
      </c>
    </row>
    <row r="47" spans="1:5" hidden="1">
      <c r="A47" s="71">
        <v>46106</v>
      </c>
      <c r="B47" t="s">
        <v>65</v>
      </c>
      <c r="C47">
        <v>3877</v>
      </c>
      <c r="E47" t="s">
        <v>33</v>
      </c>
    </row>
    <row r="48" spans="1:5" hidden="1">
      <c r="A48" s="71">
        <v>46099</v>
      </c>
      <c r="B48" t="s">
        <v>65</v>
      </c>
      <c r="C48">
        <v>3868</v>
      </c>
      <c r="E48" t="s">
        <v>33</v>
      </c>
    </row>
    <row r="49" spans="1:7" hidden="1">
      <c r="A49" s="71">
        <v>46064</v>
      </c>
      <c r="B49" t="s">
        <v>69</v>
      </c>
      <c r="D49">
        <v>333912</v>
      </c>
      <c r="E49" t="s">
        <v>37</v>
      </c>
    </row>
    <row r="50" spans="1:7" hidden="1">
      <c r="A50" s="71">
        <v>46058</v>
      </c>
      <c r="B50" t="s">
        <v>69</v>
      </c>
      <c r="D50">
        <v>330885</v>
      </c>
    </row>
    <row r="51" spans="1:7" hidden="1">
      <c r="A51" s="71">
        <v>46050</v>
      </c>
      <c r="B51" t="s">
        <v>69</v>
      </c>
      <c r="D51">
        <v>330286</v>
      </c>
    </row>
    <row r="52" spans="1:7" hidden="1">
      <c r="A52" s="71">
        <v>46043</v>
      </c>
      <c r="B52" t="s">
        <v>69</v>
      </c>
      <c r="D52">
        <v>329180</v>
      </c>
    </row>
    <row r="53" spans="1:7" hidden="1">
      <c r="A53" s="71">
        <v>46100</v>
      </c>
      <c r="B53" t="s">
        <v>74</v>
      </c>
      <c r="E53" t="s">
        <v>316</v>
      </c>
      <c r="F53" t="s">
        <v>678</v>
      </c>
      <c r="G53" t="s">
        <v>677</v>
      </c>
    </row>
    <row r="54" spans="1:7" hidden="1">
      <c r="A54" s="71">
        <v>46094</v>
      </c>
      <c r="B54" t="s">
        <v>74</v>
      </c>
      <c r="E54" t="s">
        <v>316</v>
      </c>
      <c r="F54" t="s">
        <v>678</v>
      </c>
      <c r="G54" t="s">
        <v>677</v>
      </c>
    </row>
    <row r="55" spans="1:7" hidden="1">
      <c r="A55" s="71">
        <v>46044</v>
      </c>
      <c r="B55" t="s">
        <v>74</v>
      </c>
      <c r="D55">
        <v>329583</v>
      </c>
    </row>
    <row r="56" spans="1:7" hidden="1">
      <c r="A56" s="71">
        <v>46034</v>
      </c>
      <c r="B56" t="s">
        <v>78</v>
      </c>
      <c r="D56">
        <v>114148</v>
      </c>
    </row>
    <row r="57" spans="1:7" hidden="1">
      <c r="A57" s="71">
        <v>46099</v>
      </c>
      <c r="B57" t="s">
        <v>79</v>
      </c>
      <c r="D57">
        <v>917261</v>
      </c>
      <c r="E57" t="s">
        <v>63</v>
      </c>
    </row>
    <row r="58" spans="1:7" hidden="1">
      <c r="A58" s="71">
        <v>46086</v>
      </c>
      <c r="B58" t="s">
        <v>79</v>
      </c>
      <c r="D58">
        <v>512848</v>
      </c>
    </row>
    <row r="59" spans="1:7" hidden="1">
      <c r="A59" s="71">
        <v>46085</v>
      </c>
      <c r="B59" t="s">
        <v>79</v>
      </c>
      <c r="D59">
        <v>516492</v>
      </c>
    </row>
    <row r="60" spans="1:7" hidden="1">
      <c r="A60" s="71">
        <v>46083</v>
      </c>
      <c r="B60" t="s">
        <v>79</v>
      </c>
      <c r="D60">
        <v>514492</v>
      </c>
    </row>
    <row r="61" spans="1:7" hidden="1">
      <c r="A61" s="71">
        <v>46115</v>
      </c>
      <c r="B61" t="s">
        <v>82</v>
      </c>
      <c r="D61">
        <v>194120</v>
      </c>
      <c r="E61" t="s">
        <v>63</v>
      </c>
    </row>
    <row r="62" spans="1:7" hidden="1">
      <c r="A62" s="71">
        <v>46104</v>
      </c>
      <c r="B62" t="s">
        <v>82</v>
      </c>
      <c r="C62">
        <v>2841</v>
      </c>
      <c r="E62" t="s">
        <v>15</v>
      </c>
    </row>
    <row r="63" spans="1:7" hidden="1">
      <c r="A63" s="71">
        <v>46101</v>
      </c>
      <c r="B63" t="s">
        <v>82</v>
      </c>
      <c r="C63">
        <v>2832</v>
      </c>
      <c r="D63">
        <v>195800</v>
      </c>
      <c r="E63" t="s">
        <v>15</v>
      </c>
    </row>
    <row r="64" spans="1:7" hidden="1">
      <c r="A64" s="71">
        <v>46101</v>
      </c>
      <c r="B64" t="s">
        <v>82</v>
      </c>
      <c r="D64">
        <v>195800</v>
      </c>
      <c r="E64" t="s">
        <v>15</v>
      </c>
      <c r="F64" t="s">
        <v>679</v>
      </c>
      <c r="G64" t="s">
        <v>677</v>
      </c>
    </row>
    <row r="65" spans="1:5" hidden="1">
      <c r="A65" s="71">
        <v>46070</v>
      </c>
      <c r="B65" t="s">
        <v>86</v>
      </c>
      <c r="C65">
        <v>3360</v>
      </c>
    </row>
    <row r="66" spans="1:5" hidden="1">
      <c r="A66" s="71">
        <v>46060</v>
      </c>
      <c r="B66" t="s">
        <v>86</v>
      </c>
      <c r="C66">
        <v>3340</v>
      </c>
    </row>
    <row r="67" spans="1:5" hidden="1">
      <c r="A67" s="71">
        <v>46056</v>
      </c>
      <c r="B67" t="s">
        <v>86</v>
      </c>
      <c r="C67">
        <v>3324</v>
      </c>
    </row>
    <row r="68" spans="1:5" hidden="1">
      <c r="A68" s="71">
        <v>46111</v>
      </c>
      <c r="B68" t="s">
        <v>89</v>
      </c>
      <c r="C68">
        <v>3552</v>
      </c>
      <c r="D68">
        <v>89291</v>
      </c>
      <c r="E68" t="s">
        <v>51</v>
      </c>
    </row>
    <row r="69" spans="1:5" hidden="1">
      <c r="A69" s="71">
        <v>46098</v>
      </c>
      <c r="B69" t="s">
        <v>89</v>
      </c>
      <c r="C69">
        <v>3502</v>
      </c>
      <c r="D69">
        <v>88762</v>
      </c>
      <c r="E69" t="s">
        <v>51</v>
      </c>
    </row>
    <row r="70" spans="1:5" hidden="1">
      <c r="A70" s="71">
        <v>46077</v>
      </c>
      <c r="B70" t="s">
        <v>89</v>
      </c>
      <c r="C70">
        <v>3440</v>
      </c>
      <c r="D70">
        <v>88032</v>
      </c>
    </row>
    <row r="71" spans="1:5" hidden="1">
      <c r="A71" s="71">
        <v>46072</v>
      </c>
      <c r="B71" t="s">
        <v>89</v>
      </c>
      <c r="C71">
        <v>3431</v>
      </c>
      <c r="D71">
        <v>87953</v>
      </c>
    </row>
    <row r="72" spans="1:5" hidden="1">
      <c r="A72" s="71">
        <v>46106</v>
      </c>
      <c r="B72" t="s">
        <v>91</v>
      </c>
      <c r="C72">
        <v>3774</v>
      </c>
      <c r="D72">
        <v>97492</v>
      </c>
      <c r="E72" t="s">
        <v>15</v>
      </c>
    </row>
    <row r="73" spans="1:5" hidden="1">
      <c r="A73" s="71">
        <v>46100</v>
      </c>
      <c r="B73" t="s">
        <v>91</v>
      </c>
      <c r="C73">
        <v>3759</v>
      </c>
      <c r="D73">
        <v>97224</v>
      </c>
      <c r="E73" t="s">
        <v>63</v>
      </c>
    </row>
    <row r="74" spans="1:5" hidden="1">
      <c r="A74" s="71">
        <v>46098</v>
      </c>
      <c r="B74" t="s">
        <v>91</v>
      </c>
      <c r="C74">
        <v>3751</v>
      </c>
      <c r="D74">
        <v>97036</v>
      </c>
      <c r="E74" t="s">
        <v>63</v>
      </c>
    </row>
    <row r="75" spans="1:5" hidden="1">
      <c r="A75" s="71">
        <v>46093</v>
      </c>
      <c r="B75" t="s">
        <v>91</v>
      </c>
      <c r="C75">
        <v>3694</v>
      </c>
    </row>
    <row r="76" spans="1:5" hidden="1">
      <c r="A76" s="71">
        <v>46101</v>
      </c>
      <c r="B76" t="s">
        <v>93</v>
      </c>
      <c r="C76">
        <v>3720</v>
      </c>
      <c r="E76" t="s">
        <v>206</v>
      </c>
    </row>
    <row r="77" spans="1:5" hidden="1">
      <c r="A77" s="71">
        <v>46087</v>
      </c>
      <c r="B77" t="s">
        <v>93</v>
      </c>
      <c r="D77">
        <v>99818</v>
      </c>
    </row>
    <row r="78" spans="1:5" hidden="1">
      <c r="A78" s="71">
        <v>46076</v>
      </c>
      <c r="B78" t="s">
        <v>93</v>
      </c>
      <c r="D78">
        <v>99221</v>
      </c>
    </row>
    <row r="79" spans="1:5" hidden="1">
      <c r="A79" s="71">
        <v>46072</v>
      </c>
      <c r="B79" t="s">
        <v>93</v>
      </c>
      <c r="D79">
        <v>98782</v>
      </c>
    </row>
    <row r="80" spans="1:5" hidden="1">
      <c r="A80" s="71">
        <v>46048</v>
      </c>
      <c r="B80" t="s">
        <v>95</v>
      </c>
      <c r="D80">
        <v>48160</v>
      </c>
    </row>
    <row r="81" spans="1:7" hidden="1">
      <c r="A81" s="71">
        <v>46100</v>
      </c>
      <c r="B81" t="s">
        <v>96</v>
      </c>
      <c r="D81">
        <v>79301</v>
      </c>
      <c r="E81" t="s">
        <v>51</v>
      </c>
    </row>
    <row r="82" spans="1:7" hidden="1">
      <c r="A82" s="71">
        <v>46100</v>
      </c>
      <c r="B82" t="s">
        <v>96</v>
      </c>
      <c r="D82">
        <v>79301</v>
      </c>
      <c r="E82" t="s">
        <v>680</v>
      </c>
      <c r="F82" t="s">
        <v>681</v>
      </c>
      <c r="G82" t="s">
        <v>677</v>
      </c>
    </row>
    <row r="83" spans="1:7" hidden="1">
      <c r="A83" s="71">
        <v>46072</v>
      </c>
      <c r="B83" t="s">
        <v>96</v>
      </c>
      <c r="C83">
        <v>1471</v>
      </c>
      <c r="D83">
        <v>75372</v>
      </c>
    </row>
    <row r="84" spans="1:7" hidden="1">
      <c r="A84" s="71">
        <v>46070</v>
      </c>
      <c r="B84" t="s">
        <v>96</v>
      </c>
      <c r="D84">
        <v>74376</v>
      </c>
    </row>
    <row r="85" spans="1:7" hidden="1">
      <c r="A85" s="71">
        <v>46114</v>
      </c>
      <c r="B85" t="s">
        <v>104</v>
      </c>
      <c r="D85">
        <v>126821</v>
      </c>
      <c r="E85" t="s">
        <v>680</v>
      </c>
    </row>
    <row r="86" spans="1:7" hidden="1">
      <c r="A86" s="71">
        <v>46107</v>
      </c>
      <c r="B86" t="s">
        <v>104</v>
      </c>
      <c r="D86">
        <v>125252</v>
      </c>
      <c r="E86" t="s">
        <v>33</v>
      </c>
    </row>
    <row r="87" spans="1:7" hidden="1">
      <c r="A87" s="71">
        <v>46106</v>
      </c>
      <c r="B87" t="s">
        <v>104</v>
      </c>
      <c r="D87">
        <v>125001</v>
      </c>
      <c r="E87" t="s">
        <v>33</v>
      </c>
    </row>
    <row r="88" spans="1:7" hidden="1">
      <c r="A88" s="71">
        <v>46100</v>
      </c>
      <c r="B88" t="s">
        <v>104</v>
      </c>
      <c r="D88">
        <v>123978</v>
      </c>
      <c r="E88" t="s">
        <v>680</v>
      </c>
    </row>
    <row r="89" spans="1:7" hidden="1">
      <c r="A89" s="71">
        <v>46105</v>
      </c>
      <c r="B89" t="s">
        <v>107</v>
      </c>
      <c r="D89">
        <v>141791</v>
      </c>
      <c r="E89" t="s">
        <v>33</v>
      </c>
    </row>
    <row r="90" spans="1:7" hidden="1">
      <c r="A90" s="71">
        <v>46090</v>
      </c>
      <c r="B90" t="s">
        <v>107</v>
      </c>
      <c r="D90">
        <v>141196</v>
      </c>
      <c r="E90" t="s">
        <v>589</v>
      </c>
      <c r="F90" t="s">
        <v>682</v>
      </c>
      <c r="G90" t="s">
        <v>677</v>
      </c>
    </row>
    <row r="91" spans="1:7" hidden="1">
      <c r="A91" s="71">
        <v>46086</v>
      </c>
      <c r="B91" t="s">
        <v>107</v>
      </c>
      <c r="D91">
        <v>140968</v>
      </c>
    </row>
    <row r="92" spans="1:7" hidden="1">
      <c r="A92" s="71">
        <v>46078</v>
      </c>
      <c r="B92" t="s">
        <v>107</v>
      </c>
      <c r="D92">
        <v>140754</v>
      </c>
    </row>
    <row r="93" spans="1:7" hidden="1">
      <c r="A93" s="71">
        <v>46020</v>
      </c>
      <c r="B93" t="s">
        <v>114</v>
      </c>
      <c r="D93">
        <v>80732</v>
      </c>
    </row>
    <row r="94" spans="1:7" hidden="1">
      <c r="A94" s="71">
        <v>45996</v>
      </c>
      <c r="B94" t="s">
        <v>114</v>
      </c>
      <c r="D94">
        <v>79323</v>
      </c>
    </row>
    <row r="95" spans="1:7" hidden="1">
      <c r="A95" s="71">
        <v>46003</v>
      </c>
      <c r="B95" t="s">
        <v>117</v>
      </c>
      <c r="D95">
        <v>80500</v>
      </c>
    </row>
    <row r="96" spans="1:7" hidden="1">
      <c r="A96" s="71">
        <v>46000</v>
      </c>
      <c r="B96" t="s">
        <v>117</v>
      </c>
      <c r="D96">
        <v>79675</v>
      </c>
    </row>
    <row r="97" spans="1:7" hidden="1">
      <c r="A97" s="71">
        <v>46115</v>
      </c>
      <c r="B97" t="s">
        <v>118</v>
      </c>
      <c r="C97">
        <v>7602</v>
      </c>
      <c r="D97">
        <v>193220</v>
      </c>
      <c r="E97" t="s">
        <v>63</v>
      </c>
    </row>
    <row r="98" spans="1:7" hidden="1">
      <c r="A98" s="71">
        <v>46104</v>
      </c>
      <c r="B98" t="s">
        <v>118</v>
      </c>
      <c r="C98">
        <v>7962</v>
      </c>
      <c r="D98">
        <v>195464</v>
      </c>
      <c r="E98" t="s">
        <v>33</v>
      </c>
    </row>
    <row r="99" spans="1:7" hidden="1">
      <c r="A99" s="71">
        <v>46100</v>
      </c>
      <c r="B99" t="s">
        <v>118</v>
      </c>
      <c r="C99">
        <v>7678</v>
      </c>
      <c r="D99">
        <v>195090</v>
      </c>
      <c r="E99" t="s">
        <v>33</v>
      </c>
    </row>
    <row r="100" spans="1:7" hidden="1">
      <c r="A100" s="71">
        <v>46099</v>
      </c>
      <c r="B100" t="s">
        <v>118</v>
      </c>
      <c r="C100">
        <v>7674</v>
      </c>
      <c r="D100">
        <v>195002</v>
      </c>
      <c r="E100" t="s">
        <v>33</v>
      </c>
    </row>
    <row r="101" spans="1:7" hidden="1">
      <c r="A101" s="71">
        <v>46050</v>
      </c>
      <c r="B101" t="s">
        <v>120</v>
      </c>
      <c r="D101">
        <v>121065</v>
      </c>
    </row>
    <row r="102" spans="1:7" hidden="1">
      <c r="A102" s="71">
        <v>46037</v>
      </c>
      <c r="B102" t="s">
        <v>120</v>
      </c>
      <c r="D102">
        <v>22982</v>
      </c>
    </row>
    <row r="103" spans="1:7" hidden="1">
      <c r="A103" s="71">
        <v>46077</v>
      </c>
      <c r="B103" t="s">
        <v>122</v>
      </c>
      <c r="D103">
        <v>62298</v>
      </c>
    </row>
    <row r="104" spans="1:7" hidden="1">
      <c r="A104" s="71">
        <v>46070</v>
      </c>
      <c r="B104" t="s">
        <v>122</v>
      </c>
      <c r="D104">
        <v>61755</v>
      </c>
    </row>
    <row r="105" spans="1:7" hidden="1">
      <c r="A105" s="71">
        <v>46064</v>
      </c>
      <c r="B105" t="s">
        <v>122</v>
      </c>
      <c r="D105">
        <v>61167</v>
      </c>
    </row>
    <row r="106" spans="1:7" hidden="1">
      <c r="A106" s="71">
        <v>46062</v>
      </c>
      <c r="B106" t="s">
        <v>122</v>
      </c>
      <c r="D106">
        <v>60862</v>
      </c>
    </row>
    <row r="107" spans="1:7" hidden="1">
      <c r="A107" s="71">
        <v>46100</v>
      </c>
      <c r="B107" t="s">
        <v>126</v>
      </c>
      <c r="D107">
        <v>649418</v>
      </c>
      <c r="E107" t="s">
        <v>680</v>
      </c>
    </row>
    <row r="108" spans="1:7" hidden="1">
      <c r="A108" s="71">
        <v>46100</v>
      </c>
      <c r="B108" t="s">
        <v>126</v>
      </c>
      <c r="D108">
        <v>649418</v>
      </c>
      <c r="E108" t="s">
        <v>680</v>
      </c>
      <c r="F108" t="s">
        <v>73</v>
      </c>
      <c r="G108" t="s">
        <v>677</v>
      </c>
    </row>
    <row r="109" spans="1:7" hidden="1">
      <c r="A109" s="71">
        <v>46086</v>
      </c>
      <c r="B109" t="s">
        <v>126</v>
      </c>
      <c r="D109">
        <v>647481</v>
      </c>
    </row>
    <row r="110" spans="1:7" hidden="1">
      <c r="A110" s="71">
        <v>46085</v>
      </c>
      <c r="B110" t="s">
        <v>126</v>
      </c>
      <c r="D110">
        <v>646986</v>
      </c>
    </row>
    <row r="111" spans="1:7" hidden="1">
      <c r="A111" s="71">
        <v>46098</v>
      </c>
      <c r="B111" t="s">
        <v>128</v>
      </c>
      <c r="E111" t="s">
        <v>15</v>
      </c>
      <c r="F111" t="s">
        <v>132</v>
      </c>
      <c r="G111" t="s">
        <v>677</v>
      </c>
    </row>
    <row r="112" spans="1:7" hidden="1">
      <c r="A112" s="71">
        <v>46091</v>
      </c>
      <c r="B112" t="s">
        <v>128</v>
      </c>
      <c r="D112">
        <v>121996</v>
      </c>
    </row>
    <row r="113" spans="1:5" hidden="1">
      <c r="A113" s="71">
        <v>46087</v>
      </c>
      <c r="B113" t="s">
        <v>128</v>
      </c>
      <c r="D113">
        <v>121800</v>
      </c>
    </row>
    <row r="114" spans="1:5" hidden="1">
      <c r="A114" s="71">
        <v>46034</v>
      </c>
      <c r="B114" t="s">
        <v>128</v>
      </c>
    </row>
    <row r="115" spans="1:5" hidden="1">
      <c r="A115" s="71">
        <v>46111</v>
      </c>
      <c r="B115" t="s">
        <v>136</v>
      </c>
      <c r="D115">
        <v>298159</v>
      </c>
      <c r="E115" t="s">
        <v>33</v>
      </c>
    </row>
    <row r="116" spans="1:5" hidden="1">
      <c r="A116" s="71">
        <v>46108</v>
      </c>
      <c r="B116" t="s">
        <v>136</v>
      </c>
      <c r="D116">
        <v>297881</v>
      </c>
      <c r="E116" t="s">
        <v>51</v>
      </c>
    </row>
    <row r="117" spans="1:5" hidden="1">
      <c r="A117" s="71">
        <v>46099</v>
      </c>
      <c r="B117" t="s">
        <v>136</v>
      </c>
      <c r="D117">
        <v>296470</v>
      </c>
      <c r="E117" t="s">
        <v>51</v>
      </c>
    </row>
    <row r="118" spans="1:5" hidden="1">
      <c r="A118" s="71">
        <v>46079</v>
      </c>
      <c r="B118" t="s">
        <v>136</v>
      </c>
      <c r="D118">
        <v>293891</v>
      </c>
      <c r="E118" t="s">
        <v>37</v>
      </c>
    </row>
    <row r="119" spans="1:5" hidden="1">
      <c r="A119" s="71">
        <v>46107</v>
      </c>
      <c r="B119" t="s">
        <v>143</v>
      </c>
      <c r="D119">
        <v>805073</v>
      </c>
      <c r="E119" t="s">
        <v>33</v>
      </c>
    </row>
    <row r="120" spans="1:5" hidden="1">
      <c r="A120" s="71">
        <v>46104</v>
      </c>
      <c r="B120" t="s">
        <v>143</v>
      </c>
      <c r="D120">
        <v>804683</v>
      </c>
      <c r="E120" t="s">
        <v>33</v>
      </c>
    </row>
    <row r="121" spans="1:5" hidden="1">
      <c r="A121" s="71">
        <v>46100</v>
      </c>
      <c r="B121" t="s">
        <v>143</v>
      </c>
      <c r="D121">
        <v>804423</v>
      </c>
      <c r="E121" t="s">
        <v>33</v>
      </c>
    </row>
    <row r="122" spans="1:5" hidden="1">
      <c r="A122" s="71">
        <v>46099</v>
      </c>
      <c r="B122" t="s">
        <v>143</v>
      </c>
      <c r="D122">
        <v>804235</v>
      </c>
      <c r="E122" t="s">
        <v>33</v>
      </c>
    </row>
    <row r="123" spans="1:5" hidden="1">
      <c r="A123" s="71">
        <v>44218</v>
      </c>
      <c r="B123" t="s">
        <v>146</v>
      </c>
      <c r="D123">
        <v>169355</v>
      </c>
    </row>
    <row r="124" spans="1:5" hidden="1">
      <c r="A124" s="71">
        <v>43983</v>
      </c>
      <c r="B124" t="s">
        <v>683</v>
      </c>
      <c r="C124">
        <v>6797</v>
      </c>
      <c r="D124">
        <v>211988</v>
      </c>
    </row>
    <row r="125" spans="1:5" hidden="1">
      <c r="A125" s="71">
        <v>43900</v>
      </c>
      <c r="B125" t="s">
        <v>684</v>
      </c>
      <c r="C125">
        <v>6157</v>
      </c>
    </row>
    <row r="126" spans="1:5" hidden="1">
      <c r="A126" s="71">
        <v>44001</v>
      </c>
      <c r="B126" t="s">
        <v>685</v>
      </c>
      <c r="C126">
        <v>6579</v>
      </c>
      <c r="D126">
        <v>214768</v>
      </c>
    </row>
    <row r="127" spans="1:5" hidden="1">
      <c r="A127" s="71">
        <v>43913</v>
      </c>
      <c r="B127" t="s">
        <v>685</v>
      </c>
      <c r="C127">
        <v>6217</v>
      </c>
    </row>
    <row r="128" spans="1:5" hidden="1">
      <c r="A128" s="71">
        <v>43956</v>
      </c>
      <c r="B128" t="s">
        <v>686</v>
      </c>
      <c r="C128">
        <v>6517</v>
      </c>
    </row>
    <row r="129" spans="1:5" hidden="1">
      <c r="A129" s="71">
        <v>44596</v>
      </c>
      <c r="B129" t="s">
        <v>687</v>
      </c>
      <c r="C129">
        <v>8305</v>
      </c>
    </row>
    <row r="130" spans="1:5" hidden="1">
      <c r="A130" s="71">
        <v>43987</v>
      </c>
      <c r="B130" t="s">
        <v>687</v>
      </c>
      <c r="C130">
        <v>6274</v>
      </c>
    </row>
    <row r="131" spans="1:5" hidden="1">
      <c r="A131" s="71">
        <v>46108</v>
      </c>
      <c r="B131" t="s">
        <v>150</v>
      </c>
      <c r="C131">
        <v>481560</v>
      </c>
      <c r="E131" t="s">
        <v>15</v>
      </c>
    </row>
    <row r="132" spans="1:5" hidden="1">
      <c r="A132" s="71">
        <v>46058</v>
      </c>
      <c r="B132" t="s">
        <v>150</v>
      </c>
      <c r="D132">
        <v>261307</v>
      </c>
    </row>
    <row r="133" spans="1:5" hidden="1">
      <c r="A133" s="71">
        <v>46056</v>
      </c>
      <c r="B133" t="s">
        <v>150</v>
      </c>
      <c r="D133">
        <v>261266</v>
      </c>
    </row>
    <row r="134" spans="1:5" hidden="1">
      <c r="A134" s="71">
        <v>46052</v>
      </c>
      <c r="B134" t="s">
        <v>150</v>
      </c>
      <c r="D134">
        <v>261206</v>
      </c>
    </row>
    <row r="135" spans="1:5" hidden="1">
      <c r="A135" s="71">
        <v>46107</v>
      </c>
      <c r="B135" t="s">
        <v>152</v>
      </c>
      <c r="D135">
        <v>481018</v>
      </c>
      <c r="E135" t="s">
        <v>33</v>
      </c>
    </row>
    <row r="136" spans="1:5" hidden="1">
      <c r="A136" s="71">
        <v>46104</v>
      </c>
      <c r="B136" t="s">
        <v>152</v>
      </c>
      <c r="D136">
        <v>480980</v>
      </c>
      <c r="E136" t="s">
        <v>33</v>
      </c>
    </row>
    <row r="137" spans="1:5" hidden="1">
      <c r="A137" s="71">
        <v>46090</v>
      </c>
      <c r="B137" t="s">
        <v>152</v>
      </c>
      <c r="D137">
        <v>478563</v>
      </c>
      <c r="E137" t="s">
        <v>33</v>
      </c>
    </row>
    <row r="138" spans="1:5" hidden="1">
      <c r="A138" s="71">
        <v>46085</v>
      </c>
      <c r="B138" t="s">
        <v>152</v>
      </c>
      <c r="D138">
        <v>477620</v>
      </c>
      <c r="E138" t="s">
        <v>33</v>
      </c>
    </row>
    <row r="139" spans="1:5" hidden="1">
      <c r="A139" s="71">
        <v>46107</v>
      </c>
      <c r="B139" t="s">
        <v>157</v>
      </c>
      <c r="D139">
        <v>141119</v>
      </c>
      <c r="E139" t="s">
        <v>33</v>
      </c>
    </row>
    <row r="140" spans="1:5" hidden="1">
      <c r="A140" s="71">
        <v>46104</v>
      </c>
      <c r="B140" t="s">
        <v>157</v>
      </c>
      <c r="D140">
        <v>140936</v>
      </c>
      <c r="E140" t="s">
        <v>33</v>
      </c>
    </row>
    <row r="141" spans="1:5" hidden="1">
      <c r="A141" s="71">
        <v>46079</v>
      </c>
      <c r="B141" t="s">
        <v>157</v>
      </c>
      <c r="D141">
        <v>140245</v>
      </c>
      <c r="E141" t="s">
        <v>33</v>
      </c>
    </row>
    <row r="142" spans="1:5" hidden="1">
      <c r="A142" s="71">
        <v>46077</v>
      </c>
      <c r="B142" t="s">
        <v>157</v>
      </c>
      <c r="D142">
        <v>140128</v>
      </c>
    </row>
    <row r="143" spans="1:5" hidden="1">
      <c r="A143" s="71">
        <v>44308</v>
      </c>
      <c r="B143" t="s">
        <v>159</v>
      </c>
      <c r="C143">
        <v>7867</v>
      </c>
      <c r="D143">
        <v>112495</v>
      </c>
    </row>
    <row r="144" spans="1:5" hidden="1">
      <c r="A144" s="71">
        <v>43977</v>
      </c>
      <c r="B144" t="s">
        <v>688</v>
      </c>
      <c r="D144">
        <v>171044</v>
      </c>
    </row>
    <row r="145" spans="1:5" hidden="1">
      <c r="A145" s="71">
        <v>45005</v>
      </c>
      <c r="B145" t="s">
        <v>689</v>
      </c>
      <c r="C145">
        <v>5728</v>
      </c>
      <c r="D145">
        <v>207869</v>
      </c>
    </row>
    <row r="146" spans="1:5" hidden="1">
      <c r="A146" s="71">
        <v>46078</v>
      </c>
      <c r="B146" t="s">
        <v>690</v>
      </c>
      <c r="D146">
        <v>315180</v>
      </c>
    </row>
    <row r="147" spans="1:5" hidden="1">
      <c r="A147" s="71">
        <v>46077</v>
      </c>
      <c r="B147" t="s">
        <v>690</v>
      </c>
      <c r="D147">
        <v>314811</v>
      </c>
    </row>
    <row r="148" spans="1:5" hidden="1">
      <c r="A148" s="71">
        <v>46076</v>
      </c>
      <c r="B148" t="s">
        <v>690</v>
      </c>
      <c r="D148">
        <v>314044</v>
      </c>
    </row>
    <row r="149" spans="1:5" hidden="1">
      <c r="A149" s="71">
        <v>46072</v>
      </c>
      <c r="B149" t="s">
        <v>690</v>
      </c>
      <c r="D149">
        <v>313697</v>
      </c>
    </row>
    <row r="150" spans="1:5" hidden="1">
      <c r="A150" s="71">
        <v>45014</v>
      </c>
      <c r="B150" t="s">
        <v>691</v>
      </c>
      <c r="C150">
        <v>5680</v>
      </c>
      <c r="D150">
        <v>174589</v>
      </c>
    </row>
    <row r="151" spans="1:5" hidden="1">
      <c r="A151" s="71">
        <v>45014</v>
      </c>
      <c r="B151" t="s">
        <v>691</v>
      </c>
      <c r="C151">
        <v>5680</v>
      </c>
      <c r="D151">
        <v>174589</v>
      </c>
    </row>
    <row r="152" spans="1:5" hidden="1">
      <c r="A152" s="71">
        <v>44991</v>
      </c>
      <c r="B152" t="s">
        <v>162</v>
      </c>
      <c r="C152">
        <v>10625</v>
      </c>
      <c r="D152">
        <v>237000</v>
      </c>
    </row>
    <row r="153" spans="1:5" hidden="1">
      <c r="A153" s="71">
        <v>44398</v>
      </c>
      <c r="B153" t="s">
        <v>162</v>
      </c>
      <c r="D153">
        <v>148794</v>
      </c>
    </row>
    <row r="154" spans="1:5" hidden="1">
      <c r="A154" s="71">
        <v>44209</v>
      </c>
      <c r="B154" t="s">
        <v>162</v>
      </c>
      <c r="D154">
        <v>122456</v>
      </c>
    </row>
    <row r="155" spans="1:5" hidden="1">
      <c r="A155" s="71">
        <v>44067</v>
      </c>
      <c r="B155" t="s">
        <v>692</v>
      </c>
      <c r="C155">
        <v>3313</v>
      </c>
      <c r="D155">
        <v>155149</v>
      </c>
    </row>
    <row r="156" spans="1:5" hidden="1">
      <c r="A156" s="71">
        <v>46072</v>
      </c>
      <c r="B156" t="s">
        <v>163</v>
      </c>
      <c r="D156">
        <v>106761</v>
      </c>
      <c r="E156" t="s">
        <v>63</v>
      </c>
    </row>
    <row r="157" spans="1:5" hidden="1">
      <c r="A157" s="71">
        <v>46056</v>
      </c>
      <c r="B157" t="s">
        <v>163</v>
      </c>
      <c r="C157">
        <v>1626</v>
      </c>
    </row>
    <row r="158" spans="1:5" hidden="1">
      <c r="A158" s="71">
        <v>46006</v>
      </c>
      <c r="B158" t="s">
        <v>163</v>
      </c>
      <c r="D158">
        <v>106761</v>
      </c>
    </row>
    <row r="159" spans="1:5" hidden="1">
      <c r="A159" s="71">
        <v>45019</v>
      </c>
      <c r="B159" t="s">
        <v>163</v>
      </c>
      <c r="C159">
        <v>6418</v>
      </c>
      <c r="E159" t="s">
        <v>63</v>
      </c>
    </row>
    <row r="160" spans="1:5" hidden="1">
      <c r="A160" s="71">
        <v>46108</v>
      </c>
      <c r="B160" t="s">
        <v>167</v>
      </c>
      <c r="D160">
        <v>199190</v>
      </c>
      <c r="E160" t="s">
        <v>675</v>
      </c>
    </row>
    <row r="161" spans="1:7" hidden="1">
      <c r="A161" s="71">
        <v>46107</v>
      </c>
      <c r="B161" t="s">
        <v>167</v>
      </c>
      <c r="D161">
        <v>199097</v>
      </c>
      <c r="E161" t="s">
        <v>675</v>
      </c>
    </row>
    <row r="162" spans="1:7" hidden="1">
      <c r="A162" s="71">
        <v>46107</v>
      </c>
      <c r="B162" t="s">
        <v>167</v>
      </c>
      <c r="D162">
        <v>199097</v>
      </c>
      <c r="E162" t="s">
        <v>675</v>
      </c>
      <c r="F162" t="s">
        <v>168</v>
      </c>
      <c r="G162" t="s">
        <v>677</v>
      </c>
    </row>
    <row r="163" spans="1:7" hidden="1">
      <c r="A163" s="71">
        <v>46092</v>
      </c>
      <c r="B163" t="s">
        <v>167</v>
      </c>
      <c r="D163">
        <v>192388</v>
      </c>
      <c r="E163" t="s">
        <v>33</v>
      </c>
      <c r="F163" t="s">
        <v>693</v>
      </c>
      <c r="G163" t="s">
        <v>677</v>
      </c>
    </row>
    <row r="164" spans="1:7" hidden="1">
      <c r="A164" s="71">
        <v>46133</v>
      </c>
      <c r="B164" t="s">
        <v>169</v>
      </c>
      <c r="D164">
        <v>212042</v>
      </c>
      <c r="E164" t="s">
        <v>37</v>
      </c>
    </row>
    <row r="165" spans="1:7" hidden="1">
      <c r="A165" s="71">
        <v>46115</v>
      </c>
      <c r="B165" t="s">
        <v>169</v>
      </c>
      <c r="C165">
        <v>1990</v>
      </c>
      <c r="D165">
        <v>208014</v>
      </c>
      <c r="E165" t="s">
        <v>63</v>
      </c>
    </row>
    <row r="166" spans="1:7" hidden="1">
      <c r="A166" s="71">
        <v>46112</v>
      </c>
      <c r="B166" t="s">
        <v>169</v>
      </c>
      <c r="C166">
        <v>2125</v>
      </c>
      <c r="D166">
        <v>219496</v>
      </c>
      <c r="E166" t="s">
        <v>63</v>
      </c>
    </row>
    <row r="167" spans="1:7" hidden="1">
      <c r="A167" s="71">
        <v>46100</v>
      </c>
      <c r="B167" t="s">
        <v>169</v>
      </c>
      <c r="C167">
        <v>2072</v>
      </c>
      <c r="D167">
        <v>209627</v>
      </c>
      <c r="E167" t="s">
        <v>63</v>
      </c>
    </row>
    <row r="168" spans="1:7" hidden="1">
      <c r="A168" s="71">
        <v>46107</v>
      </c>
      <c r="B168" t="s">
        <v>171</v>
      </c>
      <c r="C168">
        <v>8634</v>
      </c>
      <c r="D168">
        <v>166100</v>
      </c>
      <c r="E168" t="s">
        <v>33</v>
      </c>
    </row>
    <row r="169" spans="1:7" hidden="1">
      <c r="A169" s="71">
        <v>46106</v>
      </c>
      <c r="B169" t="s">
        <v>171</v>
      </c>
      <c r="C169">
        <v>8625</v>
      </c>
      <c r="D169">
        <v>165946</v>
      </c>
      <c r="E169" t="s">
        <v>33</v>
      </c>
    </row>
    <row r="170" spans="1:7" hidden="1">
      <c r="A170" s="71">
        <v>46100</v>
      </c>
      <c r="B170" t="s">
        <v>171</v>
      </c>
      <c r="C170">
        <v>8612</v>
      </c>
      <c r="D170">
        <v>165673</v>
      </c>
      <c r="E170" t="s">
        <v>33</v>
      </c>
    </row>
    <row r="171" spans="1:7" hidden="1">
      <c r="A171" s="71">
        <v>46099</v>
      </c>
      <c r="B171" t="s">
        <v>171</v>
      </c>
      <c r="C171">
        <v>8606</v>
      </c>
      <c r="D171">
        <v>165567</v>
      </c>
      <c r="E171" t="s">
        <v>33</v>
      </c>
    </row>
    <row r="172" spans="1:7" hidden="1">
      <c r="A172" s="71">
        <v>46114</v>
      </c>
      <c r="B172" t="s">
        <v>173</v>
      </c>
      <c r="D172">
        <v>212344</v>
      </c>
      <c r="E172" t="s">
        <v>675</v>
      </c>
    </row>
    <row r="173" spans="1:7" hidden="1">
      <c r="A173" s="71">
        <v>46112</v>
      </c>
      <c r="B173" t="s">
        <v>173</v>
      </c>
      <c r="D173">
        <v>211790</v>
      </c>
      <c r="E173" t="s">
        <v>675</v>
      </c>
    </row>
    <row r="174" spans="1:7" hidden="1">
      <c r="A174" s="71">
        <v>46106</v>
      </c>
      <c r="B174" t="s">
        <v>173</v>
      </c>
      <c r="D174">
        <v>210873</v>
      </c>
      <c r="E174" t="s">
        <v>675</v>
      </c>
    </row>
    <row r="175" spans="1:7" hidden="1">
      <c r="A175" s="71">
        <v>46106</v>
      </c>
      <c r="B175" t="s">
        <v>173</v>
      </c>
      <c r="E175" t="s">
        <v>675</v>
      </c>
      <c r="F175" t="s">
        <v>694</v>
      </c>
      <c r="G175" t="s">
        <v>677</v>
      </c>
    </row>
    <row r="176" spans="1:7" hidden="1">
      <c r="A176" s="71">
        <v>46085</v>
      </c>
      <c r="B176" t="s">
        <v>175</v>
      </c>
    </row>
    <row r="177" spans="1:5" hidden="1">
      <c r="A177" s="71">
        <v>46078</v>
      </c>
      <c r="B177" t="s">
        <v>175</v>
      </c>
      <c r="D177">
        <v>193551</v>
      </c>
    </row>
    <row r="178" spans="1:5" hidden="1">
      <c r="A178" s="71">
        <v>46059</v>
      </c>
      <c r="B178" t="s">
        <v>175</v>
      </c>
      <c r="C178">
        <v>8719</v>
      </c>
      <c r="D178">
        <v>193520</v>
      </c>
    </row>
    <row r="179" spans="1:5" hidden="1">
      <c r="A179" s="71">
        <v>46051</v>
      </c>
      <c r="B179" t="s">
        <v>175</v>
      </c>
      <c r="D179">
        <v>193247</v>
      </c>
    </row>
    <row r="180" spans="1:5" hidden="1">
      <c r="A180" s="71">
        <v>46056</v>
      </c>
      <c r="B180" t="s">
        <v>176</v>
      </c>
      <c r="D180">
        <v>87289</v>
      </c>
    </row>
    <row r="181" spans="1:5" hidden="1">
      <c r="A181" s="71">
        <v>46107</v>
      </c>
      <c r="B181" t="s">
        <v>180</v>
      </c>
      <c r="C181">
        <v>8894</v>
      </c>
      <c r="D181">
        <v>167802</v>
      </c>
      <c r="E181" t="s">
        <v>33</v>
      </c>
    </row>
    <row r="182" spans="1:5" hidden="1">
      <c r="A182" s="71">
        <v>46105</v>
      </c>
      <c r="B182" t="s">
        <v>180</v>
      </c>
      <c r="C182">
        <v>8877</v>
      </c>
      <c r="D182">
        <v>167522</v>
      </c>
      <c r="E182" t="s">
        <v>33</v>
      </c>
    </row>
    <row r="183" spans="1:5" hidden="1">
      <c r="A183" s="71">
        <v>46100</v>
      </c>
      <c r="B183" t="s">
        <v>180</v>
      </c>
      <c r="C183">
        <v>8864</v>
      </c>
      <c r="D183">
        <v>167286</v>
      </c>
      <c r="E183" t="s">
        <v>33</v>
      </c>
    </row>
    <row r="184" spans="1:5" hidden="1">
      <c r="A184" s="71">
        <v>46099</v>
      </c>
      <c r="B184" t="s">
        <v>180</v>
      </c>
      <c r="C184">
        <v>8850</v>
      </c>
      <c r="D184">
        <v>167002</v>
      </c>
      <c r="E184" t="s">
        <v>33</v>
      </c>
    </row>
    <row r="185" spans="1:5" hidden="1">
      <c r="A185" s="71">
        <v>46065</v>
      </c>
      <c r="B185" t="s">
        <v>183</v>
      </c>
      <c r="E185" t="s">
        <v>33</v>
      </c>
    </row>
    <row r="186" spans="1:5" hidden="1">
      <c r="A186" s="71">
        <v>46063</v>
      </c>
      <c r="B186" t="s">
        <v>183</v>
      </c>
      <c r="C186">
        <v>3148</v>
      </c>
      <c r="D186">
        <v>571151</v>
      </c>
    </row>
    <row r="187" spans="1:5" hidden="1">
      <c r="A187" s="71">
        <v>46058</v>
      </c>
      <c r="B187" t="s">
        <v>183</v>
      </c>
      <c r="C187">
        <v>3273</v>
      </c>
      <c r="D187">
        <v>570280</v>
      </c>
    </row>
    <row r="188" spans="1:5" hidden="1">
      <c r="A188" s="71">
        <v>46052</v>
      </c>
      <c r="B188" t="s">
        <v>183</v>
      </c>
      <c r="C188">
        <v>3122</v>
      </c>
      <c r="D188">
        <v>569319</v>
      </c>
    </row>
    <row r="189" spans="1:5" hidden="1">
      <c r="A189" s="71">
        <v>46080</v>
      </c>
      <c r="B189" t="s">
        <v>185</v>
      </c>
      <c r="D189">
        <v>534934</v>
      </c>
    </row>
    <row r="190" spans="1:5" hidden="1">
      <c r="A190" s="71">
        <v>46053</v>
      </c>
      <c r="B190" t="s">
        <v>185</v>
      </c>
      <c r="D190">
        <v>534403</v>
      </c>
    </row>
    <row r="191" spans="1:5" hidden="1">
      <c r="A191" s="71">
        <v>46051</v>
      </c>
      <c r="B191" t="s">
        <v>185</v>
      </c>
      <c r="D191">
        <v>433790</v>
      </c>
    </row>
    <row r="192" spans="1:5" hidden="1">
      <c r="A192" s="71">
        <v>46048</v>
      </c>
      <c r="B192" t="s">
        <v>185</v>
      </c>
      <c r="D192">
        <v>533309</v>
      </c>
    </row>
    <row r="193" spans="1:7" hidden="1">
      <c r="A193" s="71">
        <v>46114</v>
      </c>
      <c r="B193" t="s">
        <v>188</v>
      </c>
      <c r="D193">
        <v>342905</v>
      </c>
      <c r="E193" t="s">
        <v>675</v>
      </c>
    </row>
    <row r="194" spans="1:7" hidden="1">
      <c r="A194" s="71">
        <v>46111</v>
      </c>
      <c r="B194" t="s">
        <v>188</v>
      </c>
      <c r="D194">
        <v>342589</v>
      </c>
      <c r="E194" t="s">
        <v>675</v>
      </c>
    </row>
    <row r="195" spans="1:7" hidden="1">
      <c r="A195" s="71">
        <v>46107</v>
      </c>
      <c r="B195" t="s">
        <v>188</v>
      </c>
      <c r="D195">
        <v>342347</v>
      </c>
      <c r="E195" t="s">
        <v>675</v>
      </c>
    </row>
    <row r="196" spans="1:7" hidden="1">
      <c r="A196" s="71">
        <v>46107</v>
      </c>
      <c r="B196" t="s">
        <v>188</v>
      </c>
      <c r="D196">
        <v>342347</v>
      </c>
      <c r="E196" t="s">
        <v>675</v>
      </c>
      <c r="F196" t="s">
        <v>190</v>
      </c>
      <c r="G196" t="s">
        <v>677</v>
      </c>
    </row>
    <row r="197" spans="1:7" hidden="1">
      <c r="A197" s="71">
        <v>46092</v>
      </c>
      <c r="B197" t="s">
        <v>191</v>
      </c>
      <c r="D197">
        <v>132950</v>
      </c>
      <c r="E197" t="s">
        <v>33</v>
      </c>
      <c r="F197" t="s">
        <v>192</v>
      </c>
      <c r="G197" t="s">
        <v>677</v>
      </c>
    </row>
    <row r="198" spans="1:7" hidden="1">
      <c r="A198" s="71">
        <v>46078</v>
      </c>
      <c r="B198" t="s">
        <v>191</v>
      </c>
      <c r="D198">
        <v>132835</v>
      </c>
    </row>
    <row r="199" spans="1:7" hidden="1">
      <c r="A199" s="71">
        <v>46063</v>
      </c>
      <c r="B199" t="s">
        <v>191</v>
      </c>
      <c r="D199">
        <v>132655</v>
      </c>
    </row>
    <row r="200" spans="1:7" hidden="1">
      <c r="A200" s="71">
        <v>46052</v>
      </c>
      <c r="B200" t="s">
        <v>191</v>
      </c>
      <c r="D200">
        <v>132557</v>
      </c>
    </row>
    <row r="201" spans="1:7" hidden="1">
      <c r="A201" s="71">
        <v>46062</v>
      </c>
      <c r="B201" t="s">
        <v>695</v>
      </c>
      <c r="C201">
        <v>422</v>
      </c>
    </row>
    <row r="202" spans="1:7" hidden="1">
      <c r="A202" s="71">
        <v>46104</v>
      </c>
      <c r="B202" t="s">
        <v>196</v>
      </c>
      <c r="D202">
        <v>352</v>
      </c>
      <c r="E202" t="s">
        <v>15</v>
      </c>
    </row>
    <row r="203" spans="1:7" hidden="1">
      <c r="A203" s="71">
        <v>46001</v>
      </c>
      <c r="B203" t="s">
        <v>196</v>
      </c>
      <c r="C203">
        <v>609</v>
      </c>
    </row>
    <row r="204" spans="1:7" hidden="1">
      <c r="A204" s="71">
        <v>46101</v>
      </c>
      <c r="B204" t="s">
        <v>202</v>
      </c>
      <c r="C204">
        <v>604</v>
      </c>
      <c r="E204" t="s">
        <v>206</v>
      </c>
    </row>
    <row r="205" spans="1:7" hidden="1">
      <c r="A205" s="71">
        <v>46087</v>
      </c>
      <c r="B205" t="s">
        <v>202</v>
      </c>
      <c r="C205">
        <v>589</v>
      </c>
      <c r="E205" t="s">
        <v>63</v>
      </c>
    </row>
    <row r="206" spans="1:7" hidden="1">
      <c r="A206" s="71">
        <v>46045</v>
      </c>
      <c r="B206" t="s">
        <v>202</v>
      </c>
      <c r="C206">
        <v>691</v>
      </c>
      <c r="E206" t="s">
        <v>63</v>
      </c>
    </row>
    <row r="207" spans="1:7" hidden="1">
      <c r="A207" s="71">
        <v>46028</v>
      </c>
      <c r="B207" t="s">
        <v>202</v>
      </c>
      <c r="C207">
        <v>381</v>
      </c>
      <c r="E207" t="s">
        <v>63</v>
      </c>
    </row>
    <row r="208" spans="1:7" hidden="1">
      <c r="A208" s="71">
        <v>45009</v>
      </c>
      <c r="B208" t="s">
        <v>696</v>
      </c>
      <c r="C208">
        <v>1173</v>
      </c>
    </row>
    <row r="209" spans="1:5" hidden="1">
      <c r="A209" s="71">
        <v>46106</v>
      </c>
      <c r="B209" t="s">
        <v>208</v>
      </c>
      <c r="C209">
        <v>1537</v>
      </c>
      <c r="E209" t="s">
        <v>33</v>
      </c>
    </row>
    <row r="210" spans="1:5" hidden="1">
      <c r="A210" s="71">
        <v>46079</v>
      </c>
      <c r="B210" t="s">
        <v>208</v>
      </c>
      <c r="C210">
        <v>1323</v>
      </c>
    </row>
    <row r="211" spans="1:5" hidden="1">
      <c r="A211" s="71">
        <v>46050</v>
      </c>
      <c r="B211" t="s">
        <v>208</v>
      </c>
      <c r="C211">
        <v>1509</v>
      </c>
    </row>
    <row r="212" spans="1:5" hidden="1">
      <c r="A212" s="71">
        <v>46048</v>
      </c>
      <c r="B212" t="s">
        <v>208</v>
      </c>
      <c r="D212">
        <v>58585</v>
      </c>
    </row>
    <row r="213" spans="1:5" hidden="1">
      <c r="A213" s="71">
        <v>46104</v>
      </c>
      <c r="B213" t="s">
        <v>211</v>
      </c>
      <c r="D213">
        <v>2555</v>
      </c>
      <c r="E213" t="s">
        <v>15</v>
      </c>
    </row>
    <row r="214" spans="1:5" hidden="1">
      <c r="A214" s="71">
        <v>46098</v>
      </c>
      <c r="B214" t="s">
        <v>211</v>
      </c>
      <c r="C214">
        <v>31</v>
      </c>
      <c r="E214" t="s">
        <v>63</v>
      </c>
    </row>
    <row r="215" spans="1:5" hidden="1">
      <c r="A215" s="71">
        <v>46086</v>
      </c>
      <c r="B215" t="s">
        <v>211</v>
      </c>
    </row>
    <row r="216" spans="1:5" hidden="1">
      <c r="A216" s="71">
        <v>46079</v>
      </c>
      <c r="B216" t="s">
        <v>211</v>
      </c>
      <c r="C216">
        <v>208</v>
      </c>
    </row>
    <row r="217" spans="1:5" hidden="1">
      <c r="A217" s="71">
        <v>46079</v>
      </c>
      <c r="B217" t="s">
        <v>662</v>
      </c>
      <c r="C217">
        <v>785</v>
      </c>
    </row>
    <row r="218" spans="1:5" hidden="1">
      <c r="A218" s="71">
        <v>46066</v>
      </c>
      <c r="B218" t="s">
        <v>662</v>
      </c>
      <c r="C218">
        <v>744</v>
      </c>
    </row>
    <row r="219" spans="1:5" hidden="1">
      <c r="A219" s="71">
        <v>46064</v>
      </c>
      <c r="B219" t="s">
        <v>662</v>
      </c>
      <c r="C219">
        <v>733</v>
      </c>
    </row>
    <row r="220" spans="1:5" hidden="1">
      <c r="A220" s="71">
        <v>46057</v>
      </c>
      <c r="B220" t="s">
        <v>662</v>
      </c>
      <c r="C220">
        <v>716</v>
      </c>
    </row>
    <row r="221" spans="1:5" hidden="1">
      <c r="A221" s="71">
        <v>46100</v>
      </c>
      <c r="B221" t="s">
        <v>697</v>
      </c>
      <c r="C221">
        <v>15747</v>
      </c>
      <c r="E221" t="s">
        <v>23</v>
      </c>
    </row>
    <row r="222" spans="1:5" hidden="1">
      <c r="A222" s="71">
        <v>46107</v>
      </c>
      <c r="B222" t="s">
        <v>235</v>
      </c>
      <c r="C222">
        <v>2050</v>
      </c>
      <c r="E222" t="s">
        <v>33</v>
      </c>
    </row>
    <row r="223" spans="1:5" hidden="1">
      <c r="A223" s="71">
        <v>46105</v>
      </c>
      <c r="B223" t="s">
        <v>235</v>
      </c>
      <c r="C223">
        <v>2037</v>
      </c>
      <c r="E223" t="s">
        <v>33</v>
      </c>
    </row>
    <row r="224" spans="1:5" hidden="1">
      <c r="A224" s="71">
        <v>46101</v>
      </c>
      <c r="B224" t="s">
        <v>235</v>
      </c>
      <c r="C224">
        <v>2030</v>
      </c>
      <c r="E224" t="s">
        <v>33</v>
      </c>
    </row>
    <row r="225" spans="1:5" hidden="1">
      <c r="A225" s="71">
        <v>46099</v>
      </c>
      <c r="B225" t="s">
        <v>235</v>
      </c>
      <c r="C225">
        <v>2018</v>
      </c>
      <c r="E225" t="s">
        <v>33</v>
      </c>
    </row>
    <row r="226" spans="1:5" hidden="1">
      <c r="A226" s="71">
        <v>46100</v>
      </c>
      <c r="B226" t="s">
        <v>245</v>
      </c>
      <c r="C226">
        <v>5170</v>
      </c>
      <c r="E226" t="s">
        <v>63</v>
      </c>
    </row>
    <row r="227" spans="1:5" hidden="1">
      <c r="A227" s="71">
        <v>46079</v>
      </c>
      <c r="B227" t="s">
        <v>245</v>
      </c>
      <c r="C227">
        <v>5141</v>
      </c>
    </row>
    <row r="228" spans="1:5" hidden="1">
      <c r="A228" s="71">
        <v>46077</v>
      </c>
      <c r="B228" t="s">
        <v>245</v>
      </c>
      <c r="C228">
        <v>5737</v>
      </c>
    </row>
    <row r="229" spans="1:5" hidden="1">
      <c r="A229" s="71">
        <v>46071</v>
      </c>
      <c r="B229" t="s">
        <v>245</v>
      </c>
      <c r="C229">
        <v>512195</v>
      </c>
    </row>
    <row r="230" spans="1:5" hidden="1">
      <c r="A230" s="71">
        <v>46107</v>
      </c>
      <c r="B230" t="s">
        <v>249</v>
      </c>
      <c r="C230">
        <v>6556</v>
      </c>
      <c r="E230" t="s">
        <v>33</v>
      </c>
    </row>
    <row r="231" spans="1:5" hidden="1">
      <c r="A231" s="71">
        <v>46105</v>
      </c>
      <c r="B231" t="s">
        <v>249</v>
      </c>
      <c r="C231">
        <v>6543</v>
      </c>
      <c r="E231" t="s">
        <v>33</v>
      </c>
    </row>
    <row r="232" spans="1:5" hidden="1">
      <c r="A232" s="71">
        <v>46101</v>
      </c>
      <c r="B232" t="s">
        <v>249</v>
      </c>
      <c r="C232">
        <v>6535</v>
      </c>
      <c r="E232" t="s">
        <v>33</v>
      </c>
    </row>
    <row r="233" spans="1:5" hidden="1">
      <c r="A233" s="71">
        <v>46029</v>
      </c>
      <c r="B233" t="s">
        <v>251</v>
      </c>
      <c r="C233">
        <v>3727</v>
      </c>
    </row>
    <row r="234" spans="1:5" hidden="1">
      <c r="A234" s="71">
        <v>46020</v>
      </c>
      <c r="B234" t="s">
        <v>251</v>
      </c>
      <c r="C234">
        <v>3741</v>
      </c>
    </row>
    <row r="235" spans="1:5" hidden="1">
      <c r="A235" s="71">
        <v>46008</v>
      </c>
      <c r="B235" t="s">
        <v>251</v>
      </c>
      <c r="C235">
        <v>3964</v>
      </c>
    </row>
    <row r="236" spans="1:5" hidden="1">
      <c r="A236" s="71">
        <v>46001</v>
      </c>
      <c r="B236" t="s">
        <v>251</v>
      </c>
      <c r="C236">
        <v>3723</v>
      </c>
    </row>
    <row r="237" spans="1:5" hidden="1">
      <c r="A237" s="71">
        <v>46107</v>
      </c>
      <c r="B237" t="s">
        <v>253</v>
      </c>
      <c r="C237">
        <v>4916</v>
      </c>
      <c r="E237" t="s">
        <v>33</v>
      </c>
    </row>
    <row r="238" spans="1:5" hidden="1">
      <c r="A238" s="71">
        <v>46105</v>
      </c>
      <c r="B238" t="s">
        <v>253</v>
      </c>
      <c r="C238">
        <v>4903</v>
      </c>
      <c r="E238" t="s">
        <v>33</v>
      </c>
    </row>
    <row r="239" spans="1:5" hidden="1">
      <c r="A239" s="71">
        <v>46101</v>
      </c>
      <c r="B239" t="s">
        <v>253</v>
      </c>
      <c r="C239">
        <v>4896</v>
      </c>
      <c r="E239" t="s">
        <v>33</v>
      </c>
    </row>
    <row r="240" spans="1:5" hidden="1">
      <c r="A240" s="71">
        <v>46099</v>
      </c>
      <c r="B240" t="s">
        <v>253</v>
      </c>
      <c r="C240">
        <v>4884</v>
      </c>
      <c r="E240" t="s">
        <v>33</v>
      </c>
    </row>
    <row r="241" spans="1:5" hidden="1">
      <c r="A241" s="71">
        <v>46135</v>
      </c>
      <c r="B241" t="s">
        <v>259</v>
      </c>
      <c r="C241">
        <v>15846</v>
      </c>
      <c r="E241" t="s">
        <v>674</v>
      </c>
    </row>
    <row r="242" spans="1:5" hidden="1">
      <c r="A242" s="71">
        <v>46115</v>
      </c>
      <c r="B242" t="s">
        <v>259</v>
      </c>
      <c r="C242">
        <v>15686</v>
      </c>
      <c r="E242" t="s">
        <v>63</v>
      </c>
    </row>
    <row r="243" spans="1:5" hidden="1">
      <c r="A243" s="71">
        <v>46112</v>
      </c>
      <c r="B243" t="s">
        <v>259</v>
      </c>
      <c r="C243" s="47">
        <v>15801</v>
      </c>
      <c r="E243" t="s">
        <v>63</v>
      </c>
    </row>
    <row r="244" spans="1:5" hidden="1">
      <c r="A244" s="71">
        <v>46099</v>
      </c>
      <c r="B244" t="s">
        <v>259</v>
      </c>
      <c r="C244">
        <v>15747</v>
      </c>
      <c r="E244" t="s">
        <v>63</v>
      </c>
    </row>
    <row r="245" spans="1:5" hidden="1">
      <c r="A245" s="71">
        <v>46135</v>
      </c>
      <c r="B245" t="s">
        <v>263</v>
      </c>
      <c r="C245">
        <v>3006</v>
      </c>
      <c r="E245" t="s">
        <v>698</v>
      </c>
    </row>
    <row r="246" spans="1:5" hidden="1">
      <c r="A246" s="71">
        <v>46115</v>
      </c>
      <c r="B246" t="s">
        <v>263</v>
      </c>
      <c r="C246">
        <v>2727</v>
      </c>
      <c r="E246" t="s">
        <v>63</v>
      </c>
    </row>
    <row r="247" spans="1:5" hidden="1">
      <c r="A247" s="71">
        <v>46101</v>
      </c>
      <c r="B247" t="s">
        <v>263</v>
      </c>
      <c r="C247">
        <v>2830</v>
      </c>
      <c r="E247" t="s">
        <v>63</v>
      </c>
    </row>
    <row r="248" spans="1:5" hidden="1">
      <c r="A248" s="71">
        <v>46100</v>
      </c>
      <c r="B248" t="s">
        <v>263</v>
      </c>
      <c r="C248">
        <v>2838</v>
      </c>
      <c r="E248" t="s">
        <v>23</v>
      </c>
    </row>
    <row r="249" spans="1:5" hidden="1">
      <c r="A249" s="71">
        <v>46107</v>
      </c>
      <c r="B249" t="s">
        <v>268</v>
      </c>
      <c r="C249">
        <v>10057</v>
      </c>
      <c r="E249" t="s">
        <v>33</v>
      </c>
    </row>
    <row r="250" spans="1:5" hidden="1">
      <c r="A250" s="71">
        <v>46105</v>
      </c>
      <c r="B250" t="s">
        <v>268</v>
      </c>
      <c r="C250">
        <v>10045</v>
      </c>
      <c r="E250" t="s">
        <v>33</v>
      </c>
    </row>
    <row r="251" spans="1:5" hidden="1">
      <c r="A251" s="71">
        <v>46101</v>
      </c>
      <c r="B251" t="s">
        <v>268</v>
      </c>
      <c r="C251">
        <v>10034</v>
      </c>
      <c r="E251" t="s">
        <v>33</v>
      </c>
    </row>
    <row r="252" spans="1:5" hidden="1">
      <c r="A252" s="71">
        <v>46099</v>
      </c>
      <c r="B252" t="s">
        <v>268</v>
      </c>
      <c r="C252">
        <v>10025</v>
      </c>
      <c r="E252" t="s">
        <v>33</v>
      </c>
    </row>
    <row r="253" spans="1:5" hidden="1">
      <c r="A253" s="71">
        <v>46111</v>
      </c>
      <c r="B253" t="s">
        <v>273</v>
      </c>
      <c r="C253">
        <v>5690</v>
      </c>
      <c r="E253" t="s">
        <v>51</v>
      </c>
    </row>
    <row r="254" spans="1:5" hidden="1">
      <c r="A254" s="71">
        <v>46108</v>
      </c>
      <c r="B254" t="s">
        <v>273</v>
      </c>
      <c r="C254">
        <v>5686</v>
      </c>
      <c r="E254" t="s">
        <v>51</v>
      </c>
    </row>
    <row r="255" spans="1:5" hidden="1">
      <c r="A255" s="71">
        <v>46101</v>
      </c>
      <c r="B255" t="s">
        <v>273</v>
      </c>
      <c r="C255">
        <v>5658</v>
      </c>
      <c r="E255" t="s">
        <v>51</v>
      </c>
    </row>
    <row r="256" spans="1:5" hidden="1">
      <c r="A256" s="71">
        <v>46099</v>
      </c>
      <c r="B256" t="s">
        <v>273</v>
      </c>
      <c r="C256">
        <v>5651</v>
      </c>
      <c r="E256" t="s">
        <v>51</v>
      </c>
    </row>
    <row r="257" spans="1:7" hidden="1">
      <c r="A257" s="71">
        <v>46098</v>
      </c>
      <c r="B257" t="s">
        <v>278</v>
      </c>
      <c r="D257">
        <v>4226</v>
      </c>
      <c r="E257" t="s">
        <v>63</v>
      </c>
    </row>
    <row r="258" spans="1:7" hidden="1">
      <c r="A258" s="71">
        <v>46080</v>
      </c>
      <c r="B258" t="s">
        <v>278</v>
      </c>
      <c r="C258">
        <v>4168</v>
      </c>
      <c r="E258" t="s">
        <v>51</v>
      </c>
    </row>
    <row r="259" spans="1:7" hidden="1">
      <c r="A259" s="71">
        <v>46078</v>
      </c>
      <c r="B259" t="s">
        <v>278</v>
      </c>
      <c r="C259">
        <v>4156</v>
      </c>
    </row>
    <row r="260" spans="1:7" hidden="1">
      <c r="A260" s="71">
        <v>46076</v>
      </c>
      <c r="B260" t="s">
        <v>278</v>
      </c>
      <c r="C260">
        <v>4148</v>
      </c>
    </row>
    <row r="261" spans="1:7" hidden="1">
      <c r="A261" s="71">
        <v>46099</v>
      </c>
      <c r="B261" t="s">
        <v>281</v>
      </c>
      <c r="C261">
        <v>1474</v>
      </c>
      <c r="E261" t="s">
        <v>514</v>
      </c>
    </row>
    <row r="262" spans="1:7" hidden="1">
      <c r="A262" s="71">
        <v>46099</v>
      </c>
      <c r="B262" t="s">
        <v>281</v>
      </c>
      <c r="C262">
        <v>1474</v>
      </c>
      <c r="E262" t="s">
        <v>514</v>
      </c>
      <c r="F262" t="s">
        <v>699</v>
      </c>
      <c r="G262" t="s">
        <v>677</v>
      </c>
    </row>
    <row r="263" spans="1:7" hidden="1">
      <c r="A263" s="71">
        <v>46094</v>
      </c>
      <c r="B263" t="s">
        <v>281</v>
      </c>
      <c r="C263">
        <v>1472</v>
      </c>
      <c r="E263" t="s">
        <v>514</v>
      </c>
      <c r="F263" t="s">
        <v>699</v>
      </c>
      <c r="G263" t="s">
        <v>677</v>
      </c>
    </row>
    <row r="264" spans="1:7" hidden="1">
      <c r="A264" s="71">
        <v>46094</v>
      </c>
      <c r="B264" t="s">
        <v>281</v>
      </c>
      <c r="C264">
        <v>1472</v>
      </c>
      <c r="E264" t="s">
        <v>514</v>
      </c>
    </row>
    <row r="265" spans="1:7" hidden="1">
      <c r="A265" s="71">
        <v>46029</v>
      </c>
      <c r="B265" t="s">
        <v>283</v>
      </c>
      <c r="C265">
        <v>771</v>
      </c>
    </row>
    <row r="266" spans="1:7" hidden="1">
      <c r="A266" s="71">
        <v>46028</v>
      </c>
      <c r="B266" t="s">
        <v>283</v>
      </c>
      <c r="C266">
        <v>761</v>
      </c>
    </row>
    <row r="267" spans="1:7" hidden="1">
      <c r="A267" s="71">
        <v>46020</v>
      </c>
      <c r="B267" t="s">
        <v>283</v>
      </c>
      <c r="C267">
        <v>761</v>
      </c>
    </row>
    <row r="268" spans="1:7" hidden="1">
      <c r="A268" s="71">
        <v>46015</v>
      </c>
      <c r="B268" t="s">
        <v>283</v>
      </c>
      <c r="C268">
        <v>760</v>
      </c>
    </row>
    <row r="269" spans="1:7" hidden="1">
      <c r="A269" s="71">
        <v>46135</v>
      </c>
      <c r="B269" t="s">
        <v>293</v>
      </c>
      <c r="C269">
        <v>1743</v>
      </c>
      <c r="E269" t="s">
        <v>23</v>
      </c>
    </row>
    <row r="270" spans="1:7" hidden="1">
      <c r="A270" s="71">
        <v>46115</v>
      </c>
      <c r="B270" t="s">
        <v>293</v>
      </c>
      <c r="C270">
        <v>1457</v>
      </c>
      <c r="E270" t="s">
        <v>63</v>
      </c>
    </row>
    <row r="271" spans="1:7" hidden="1">
      <c r="A271" s="71">
        <v>46112</v>
      </c>
      <c r="B271" t="s">
        <v>293</v>
      </c>
      <c r="C271">
        <v>1637</v>
      </c>
      <c r="E271" t="s">
        <v>63</v>
      </c>
    </row>
    <row r="272" spans="1:7" hidden="1">
      <c r="A272" s="71">
        <v>46106</v>
      </c>
      <c r="B272" t="s">
        <v>293</v>
      </c>
      <c r="C272">
        <v>1592</v>
      </c>
      <c r="E272" t="s">
        <v>15</v>
      </c>
    </row>
    <row r="273" spans="1:7" hidden="1">
      <c r="A273" s="71">
        <v>46099</v>
      </c>
      <c r="B273" t="s">
        <v>296</v>
      </c>
      <c r="C273">
        <v>5326</v>
      </c>
      <c r="E273" t="s">
        <v>15</v>
      </c>
    </row>
    <row r="274" spans="1:7" hidden="1">
      <c r="A274" s="71">
        <v>46099</v>
      </c>
      <c r="B274" t="s">
        <v>296</v>
      </c>
      <c r="E274" t="s">
        <v>15</v>
      </c>
      <c r="F274" t="s">
        <v>700</v>
      </c>
      <c r="G274" t="s">
        <v>677</v>
      </c>
    </row>
    <row r="275" spans="1:7" hidden="1">
      <c r="A275" s="71">
        <v>46098</v>
      </c>
      <c r="B275" t="s">
        <v>296</v>
      </c>
      <c r="C275">
        <v>1896</v>
      </c>
      <c r="E275" t="s">
        <v>63</v>
      </c>
    </row>
    <row r="276" spans="1:7" hidden="1">
      <c r="A276" s="71">
        <v>46078</v>
      </c>
      <c r="B276" t="s">
        <v>296</v>
      </c>
      <c r="C276">
        <v>1882</v>
      </c>
    </row>
    <row r="277" spans="1:7" hidden="1">
      <c r="A277" s="71">
        <v>46092</v>
      </c>
      <c r="B277" t="s">
        <v>301</v>
      </c>
      <c r="C277">
        <v>8958</v>
      </c>
      <c r="E277" t="s">
        <v>33</v>
      </c>
      <c r="F277" t="s">
        <v>701</v>
      </c>
      <c r="G277" t="s">
        <v>677</v>
      </c>
    </row>
    <row r="278" spans="1:7" hidden="1">
      <c r="A278" s="71">
        <v>46083</v>
      </c>
      <c r="B278" t="s">
        <v>301</v>
      </c>
      <c r="C278">
        <v>8919</v>
      </c>
    </row>
    <row r="279" spans="1:7" hidden="1">
      <c r="A279" s="71">
        <v>46101</v>
      </c>
      <c r="B279" t="s">
        <v>305</v>
      </c>
      <c r="C279">
        <v>8701</v>
      </c>
      <c r="E279" t="s">
        <v>63</v>
      </c>
    </row>
    <row r="280" spans="1:7" hidden="1">
      <c r="A280" s="71">
        <v>46098</v>
      </c>
      <c r="B280" t="s">
        <v>305</v>
      </c>
      <c r="C280">
        <v>8683</v>
      </c>
      <c r="E280" t="s">
        <v>63</v>
      </c>
    </row>
    <row r="281" spans="1:7" hidden="1">
      <c r="A281" s="71">
        <v>46080</v>
      </c>
      <c r="B281" t="s">
        <v>305</v>
      </c>
      <c r="C281">
        <v>8620</v>
      </c>
    </row>
    <row r="282" spans="1:7" hidden="1">
      <c r="A282" s="71">
        <v>46078</v>
      </c>
      <c r="B282" t="s">
        <v>305</v>
      </c>
      <c r="C282">
        <v>8607</v>
      </c>
    </row>
    <row r="283" spans="1:7" hidden="1">
      <c r="A283" s="71">
        <v>46108</v>
      </c>
      <c r="B283" t="s">
        <v>307</v>
      </c>
      <c r="C283">
        <v>14614</v>
      </c>
      <c r="E283" t="s">
        <v>15</v>
      </c>
    </row>
    <row r="284" spans="1:7" hidden="1">
      <c r="A284" s="71">
        <v>46106</v>
      </c>
      <c r="B284" t="s">
        <v>307</v>
      </c>
      <c r="C284">
        <v>14530</v>
      </c>
      <c r="E284" t="s">
        <v>15</v>
      </c>
    </row>
    <row r="285" spans="1:7" hidden="1">
      <c r="A285" s="71">
        <v>46111</v>
      </c>
      <c r="B285" t="s">
        <v>311</v>
      </c>
      <c r="C285">
        <v>17019</v>
      </c>
      <c r="E285" t="s">
        <v>51</v>
      </c>
    </row>
    <row r="286" spans="1:7" hidden="1">
      <c r="A286" s="71">
        <v>46099</v>
      </c>
      <c r="B286" t="s">
        <v>311</v>
      </c>
      <c r="C286">
        <v>16984</v>
      </c>
      <c r="E286" t="s">
        <v>51</v>
      </c>
    </row>
    <row r="287" spans="1:7" hidden="1">
      <c r="A287" s="71">
        <v>46098</v>
      </c>
      <c r="B287" t="s">
        <v>311</v>
      </c>
      <c r="C287">
        <v>16977</v>
      </c>
      <c r="E287" t="s">
        <v>51</v>
      </c>
    </row>
    <row r="288" spans="1:7" hidden="1">
      <c r="A288" s="71">
        <v>46076</v>
      </c>
      <c r="B288" t="s">
        <v>311</v>
      </c>
      <c r="C288">
        <v>16911</v>
      </c>
    </row>
    <row r="289" spans="1:7" hidden="1">
      <c r="A289" s="71">
        <v>46139</v>
      </c>
      <c r="B289" t="s">
        <v>313</v>
      </c>
      <c r="C289">
        <v>21474</v>
      </c>
      <c r="E289" t="s">
        <v>702</v>
      </c>
    </row>
    <row r="290" spans="1:7" hidden="1">
      <c r="A290" s="71">
        <v>46106</v>
      </c>
      <c r="B290" t="s">
        <v>313</v>
      </c>
      <c r="C290">
        <v>21437</v>
      </c>
      <c r="E290" t="s">
        <v>316</v>
      </c>
      <c r="F290" t="s">
        <v>317</v>
      </c>
      <c r="G290" t="s">
        <v>677</v>
      </c>
    </row>
    <row r="291" spans="1:7" hidden="1">
      <c r="A291" s="71">
        <v>46104</v>
      </c>
      <c r="B291" t="s">
        <v>313</v>
      </c>
      <c r="C291">
        <v>21430</v>
      </c>
      <c r="E291" t="s">
        <v>702</v>
      </c>
    </row>
    <row r="292" spans="1:7" hidden="1">
      <c r="A292" s="71">
        <v>46100</v>
      </c>
      <c r="B292" t="s">
        <v>313</v>
      </c>
      <c r="C292">
        <v>21428</v>
      </c>
      <c r="E292" t="s">
        <v>316</v>
      </c>
      <c r="F292" t="s">
        <v>317</v>
      </c>
      <c r="G292" t="s">
        <v>677</v>
      </c>
    </row>
    <row r="293" spans="1:7" hidden="1">
      <c r="A293" s="71">
        <v>45061</v>
      </c>
      <c r="B293" t="s">
        <v>318</v>
      </c>
      <c r="C293">
        <v>10128</v>
      </c>
    </row>
    <row r="294" spans="1:7" hidden="1">
      <c r="A294" s="71">
        <v>44309</v>
      </c>
      <c r="B294" t="s">
        <v>703</v>
      </c>
      <c r="C294">
        <v>11587</v>
      </c>
    </row>
    <row r="295" spans="1:7" hidden="1">
      <c r="A295" s="71">
        <v>46079</v>
      </c>
      <c r="B295" t="s">
        <v>322</v>
      </c>
      <c r="C295">
        <v>27779</v>
      </c>
    </row>
    <row r="296" spans="1:7" hidden="1">
      <c r="A296" s="71">
        <v>46077</v>
      </c>
      <c r="B296" t="s">
        <v>322</v>
      </c>
      <c r="C296">
        <v>27767</v>
      </c>
    </row>
    <row r="297" spans="1:7" hidden="1">
      <c r="A297" s="71">
        <v>46073</v>
      </c>
      <c r="B297" t="s">
        <v>322</v>
      </c>
      <c r="C297">
        <v>27759</v>
      </c>
    </row>
    <row r="298" spans="1:7" hidden="1">
      <c r="A298" s="71">
        <v>46071</v>
      </c>
      <c r="B298" t="s">
        <v>322</v>
      </c>
      <c r="C298">
        <v>27747</v>
      </c>
    </row>
    <row r="299" spans="1:7" hidden="1">
      <c r="A299" s="71">
        <v>46108</v>
      </c>
      <c r="B299" t="s">
        <v>324</v>
      </c>
      <c r="C299">
        <v>14098</v>
      </c>
      <c r="E299" t="s">
        <v>327</v>
      </c>
    </row>
    <row r="300" spans="1:7" hidden="1">
      <c r="A300" s="71">
        <v>45189</v>
      </c>
      <c r="B300" t="s">
        <v>328</v>
      </c>
      <c r="C300">
        <v>7947</v>
      </c>
    </row>
    <row r="301" spans="1:7" hidden="1">
      <c r="A301" s="71">
        <v>46108</v>
      </c>
      <c r="B301" t="s">
        <v>330</v>
      </c>
      <c r="C301">
        <v>9000.5</v>
      </c>
      <c r="E301" t="s">
        <v>327</v>
      </c>
    </row>
    <row r="302" spans="1:7" hidden="1">
      <c r="A302" s="71">
        <v>46044</v>
      </c>
      <c r="B302" t="s">
        <v>330</v>
      </c>
      <c r="C302">
        <v>6835</v>
      </c>
    </row>
    <row r="303" spans="1:7" hidden="1">
      <c r="A303" s="71">
        <v>46038</v>
      </c>
      <c r="B303" t="s">
        <v>330</v>
      </c>
      <c r="C303">
        <v>8929</v>
      </c>
    </row>
    <row r="304" spans="1:7" hidden="1">
      <c r="A304" s="71">
        <v>46031</v>
      </c>
      <c r="B304" t="s">
        <v>330</v>
      </c>
      <c r="C304">
        <v>8923</v>
      </c>
    </row>
    <row r="305" spans="1:7" hidden="1">
      <c r="A305" s="71">
        <v>44426</v>
      </c>
      <c r="B305" t="s">
        <v>704</v>
      </c>
      <c r="C305">
        <v>2655</v>
      </c>
    </row>
    <row r="306" spans="1:7" hidden="1">
      <c r="A306" s="71">
        <v>46107</v>
      </c>
      <c r="B306" t="s">
        <v>333</v>
      </c>
      <c r="C306">
        <v>7073</v>
      </c>
      <c r="E306" t="s">
        <v>33</v>
      </c>
    </row>
    <row r="307" spans="1:7" hidden="1">
      <c r="A307" s="71">
        <v>46097</v>
      </c>
      <c r="B307" t="s">
        <v>333</v>
      </c>
      <c r="C307">
        <v>7060</v>
      </c>
      <c r="E307" t="s">
        <v>33</v>
      </c>
      <c r="F307" t="s">
        <v>705</v>
      </c>
      <c r="G307" t="s">
        <v>677</v>
      </c>
    </row>
    <row r="308" spans="1:7" hidden="1">
      <c r="A308" s="71">
        <v>46092</v>
      </c>
      <c r="B308" t="s">
        <v>333</v>
      </c>
      <c r="C308">
        <v>7049</v>
      </c>
      <c r="E308" t="s">
        <v>33</v>
      </c>
      <c r="F308" t="s">
        <v>705</v>
      </c>
      <c r="G308" t="s">
        <v>677</v>
      </c>
    </row>
    <row r="309" spans="1:7" hidden="1">
      <c r="A309" s="71">
        <v>46078</v>
      </c>
      <c r="B309" t="s">
        <v>333</v>
      </c>
      <c r="C309">
        <v>7036</v>
      </c>
    </row>
    <row r="310" spans="1:7" hidden="1">
      <c r="A310" s="71">
        <v>46107</v>
      </c>
      <c r="B310" t="s">
        <v>338</v>
      </c>
      <c r="C310">
        <v>26059</v>
      </c>
      <c r="E310" t="s">
        <v>33</v>
      </c>
    </row>
    <row r="311" spans="1:7" hidden="1">
      <c r="A311" s="71">
        <v>46106</v>
      </c>
      <c r="B311" t="s">
        <v>338</v>
      </c>
      <c r="C311">
        <v>26049</v>
      </c>
      <c r="E311" t="s">
        <v>33</v>
      </c>
    </row>
    <row r="312" spans="1:7" hidden="1">
      <c r="A312" s="71">
        <v>46105</v>
      </c>
      <c r="B312" t="s">
        <v>338</v>
      </c>
      <c r="C312">
        <v>26043</v>
      </c>
      <c r="E312" t="s">
        <v>33</v>
      </c>
    </row>
    <row r="313" spans="1:7" hidden="1">
      <c r="A313" s="71">
        <v>46104</v>
      </c>
      <c r="B313" t="s">
        <v>338</v>
      </c>
      <c r="C313">
        <v>26036</v>
      </c>
      <c r="E313" t="s">
        <v>33</v>
      </c>
    </row>
    <row r="314" spans="1:7" hidden="1">
      <c r="A314" s="71">
        <v>46079</v>
      </c>
      <c r="B314" t="s">
        <v>341</v>
      </c>
      <c r="C314">
        <v>11880</v>
      </c>
    </row>
    <row r="315" spans="1:7" hidden="1">
      <c r="A315" s="71">
        <v>46076</v>
      </c>
      <c r="B315" t="s">
        <v>341</v>
      </c>
      <c r="C315">
        <v>11867</v>
      </c>
    </row>
    <row r="316" spans="1:7" hidden="1">
      <c r="A316" s="71">
        <v>46072</v>
      </c>
      <c r="B316" t="s">
        <v>341</v>
      </c>
      <c r="C316">
        <v>11863</v>
      </c>
    </row>
    <row r="317" spans="1:7" hidden="1">
      <c r="A317" s="71">
        <v>46070</v>
      </c>
      <c r="B317" t="s">
        <v>341</v>
      </c>
      <c r="C317">
        <v>11866</v>
      </c>
    </row>
    <row r="318" spans="1:7" hidden="1">
      <c r="A318" s="71">
        <v>46104</v>
      </c>
      <c r="B318" t="s">
        <v>346</v>
      </c>
      <c r="C318">
        <v>1965</v>
      </c>
      <c r="E318" t="s">
        <v>15</v>
      </c>
    </row>
    <row r="319" spans="1:7" hidden="1">
      <c r="A319" s="71">
        <v>46101</v>
      </c>
      <c r="B319" t="s">
        <v>346</v>
      </c>
      <c r="E319" t="s">
        <v>206</v>
      </c>
    </row>
    <row r="320" spans="1:7" hidden="1">
      <c r="A320" s="71">
        <v>46087</v>
      </c>
      <c r="B320" t="s">
        <v>346</v>
      </c>
      <c r="C320">
        <v>1932</v>
      </c>
    </row>
    <row r="321" spans="1:7" hidden="1">
      <c r="A321" s="71">
        <v>46085</v>
      </c>
      <c r="B321" t="s">
        <v>346</v>
      </c>
      <c r="C321">
        <v>1929</v>
      </c>
    </row>
    <row r="322" spans="1:7" hidden="1">
      <c r="A322" s="71">
        <v>46094</v>
      </c>
      <c r="B322" t="s">
        <v>352</v>
      </c>
      <c r="C322">
        <v>8627</v>
      </c>
      <c r="E322" t="s">
        <v>316</v>
      </c>
      <c r="F322" t="s">
        <v>706</v>
      </c>
      <c r="G322" t="s">
        <v>677</v>
      </c>
    </row>
    <row r="323" spans="1:7" hidden="1">
      <c r="A323" s="71">
        <v>45152</v>
      </c>
      <c r="B323" t="s">
        <v>352</v>
      </c>
      <c r="C323">
        <v>8411</v>
      </c>
    </row>
    <row r="324" spans="1:7" hidden="1">
      <c r="A324" s="71">
        <v>44995</v>
      </c>
      <c r="B324" t="s">
        <v>352</v>
      </c>
      <c r="C324">
        <v>8368</v>
      </c>
    </row>
    <row r="325" spans="1:7" hidden="1">
      <c r="A325" s="71">
        <v>46101</v>
      </c>
      <c r="B325" t="s">
        <v>359</v>
      </c>
      <c r="E325" t="s">
        <v>206</v>
      </c>
    </row>
    <row r="326" spans="1:7" hidden="1">
      <c r="A326" s="71">
        <v>46087</v>
      </c>
      <c r="B326" t="s">
        <v>359</v>
      </c>
      <c r="C326">
        <v>8282</v>
      </c>
    </row>
    <row r="327" spans="1:7" hidden="1">
      <c r="A327" s="71">
        <v>46064</v>
      </c>
      <c r="B327" t="s">
        <v>359</v>
      </c>
      <c r="C327">
        <v>8263</v>
      </c>
    </row>
    <row r="328" spans="1:7" hidden="1">
      <c r="A328" s="71">
        <v>46009</v>
      </c>
      <c r="B328" t="s">
        <v>359</v>
      </c>
      <c r="C328">
        <v>8239.6</v>
      </c>
    </row>
    <row r="329" spans="1:7" hidden="1">
      <c r="A329" s="71">
        <v>46136</v>
      </c>
      <c r="B329" t="s">
        <v>360</v>
      </c>
      <c r="C329">
        <v>7120</v>
      </c>
      <c r="E329" t="s">
        <v>707</v>
      </c>
    </row>
    <row r="330" spans="1:7" hidden="1">
      <c r="A330" s="71">
        <v>46105</v>
      </c>
      <c r="B330" t="s">
        <v>360</v>
      </c>
      <c r="C330">
        <v>7054</v>
      </c>
      <c r="E330" t="s">
        <v>33</v>
      </c>
    </row>
    <row r="331" spans="1:7" hidden="1">
      <c r="A331" s="71">
        <v>46101</v>
      </c>
      <c r="B331" t="s">
        <v>360</v>
      </c>
      <c r="C331">
        <v>7046</v>
      </c>
      <c r="E331" t="s">
        <v>33</v>
      </c>
    </row>
    <row r="332" spans="1:7" hidden="1">
      <c r="A332" s="71">
        <v>46107</v>
      </c>
      <c r="B332" t="s">
        <v>362</v>
      </c>
      <c r="C332">
        <v>15666</v>
      </c>
      <c r="E332" t="s">
        <v>33</v>
      </c>
    </row>
    <row r="333" spans="1:7" hidden="1">
      <c r="A333" s="71">
        <v>46105</v>
      </c>
      <c r="B333" t="s">
        <v>362</v>
      </c>
      <c r="C333">
        <v>15652</v>
      </c>
      <c r="E333" t="s">
        <v>33</v>
      </c>
    </row>
    <row r="334" spans="1:7" hidden="1">
      <c r="A334" s="71">
        <v>46101</v>
      </c>
      <c r="B334" t="s">
        <v>362</v>
      </c>
      <c r="C334">
        <v>15644</v>
      </c>
      <c r="E334" t="s">
        <v>33</v>
      </c>
    </row>
    <row r="335" spans="1:7" hidden="1">
      <c r="A335" s="71">
        <v>46099</v>
      </c>
      <c r="B335" t="s">
        <v>362</v>
      </c>
      <c r="C335">
        <v>15634</v>
      </c>
      <c r="E335" t="s">
        <v>33</v>
      </c>
    </row>
    <row r="336" spans="1:7" hidden="1">
      <c r="A336" s="71">
        <v>46107</v>
      </c>
      <c r="B336" t="s">
        <v>365</v>
      </c>
      <c r="C336">
        <v>13667</v>
      </c>
      <c r="E336" t="s">
        <v>675</v>
      </c>
    </row>
    <row r="337" spans="1:7" hidden="1">
      <c r="A337" s="71">
        <v>46107</v>
      </c>
      <c r="B337" t="s">
        <v>365</v>
      </c>
      <c r="E337" t="s">
        <v>675</v>
      </c>
      <c r="F337" t="s">
        <v>708</v>
      </c>
      <c r="G337" t="s">
        <v>677</v>
      </c>
    </row>
    <row r="338" spans="1:7" hidden="1">
      <c r="A338" s="71">
        <v>46100</v>
      </c>
      <c r="B338" t="s">
        <v>365</v>
      </c>
      <c r="C338">
        <v>13660</v>
      </c>
      <c r="E338" t="s">
        <v>675</v>
      </c>
    </row>
    <row r="339" spans="1:7" hidden="1">
      <c r="A339" s="71">
        <v>46100</v>
      </c>
      <c r="B339" t="s">
        <v>365</v>
      </c>
      <c r="C339">
        <v>13660</v>
      </c>
      <c r="E339" t="s">
        <v>675</v>
      </c>
      <c r="F339" t="s">
        <v>709</v>
      </c>
      <c r="G339" t="s">
        <v>677</v>
      </c>
    </row>
    <row r="340" spans="1:7" hidden="1">
      <c r="A340" s="71">
        <v>44385</v>
      </c>
      <c r="B340" t="s">
        <v>710</v>
      </c>
      <c r="C340">
        <v>16489</v>
      </c>
    </row>
    <row r="341" spans="1:7" hidden="1">
      <c r="A341" s="71">
        <v>46107</v>
      </c>
      <c r="B341" t="s">
        <v>371</v>
      </c>
      <c r="C341">
        <v>16889</v>
      </c>
      <c r="E341" t="s">
        <v>33</v>
      </c>
    </row>
    <row r="342" spans="1:7" hidden="1">
      <c r="A342" s="71">
        <v>46099</v>
      </c>
      <c r="B342" t="s">
        <v>371</v>
      </c>
      <c r="C342">
        <v>16871</v>
      </c>
      <c r="E342" t="s">
        <v>33</v>
      </c>
    </row>
    <row r="343" spans="1:7" hidden="1">
      <c r="A343" s="71">
        <v>46072</v>
      </c>
      <c r="B343" t="s">
        <v>371</v>
      </c>
      <c r="C343">
        <v>16815</v>
      </c>
    </row>
    <row r="344" spans="1:7" hidden="1">
      <c r="A344" s="71">
        <v>46029</v>
      </c>
      <c r="B344" t="s">
        <v>371</v>
      </c>
      <c r="C344">
        <v>16778</v>
      </c>
    </row>
    <row r="345" spans="1:7" hidden="1">
      <c r="A345" s="71">
        <v>46111</v>
      </c>
      <c r="B345" t="s">
        <v>373</v>
      </c>
      <c r="C345">
        <v>4871</v>
      </c>
      <c r="E345" t="s">
        <v>675</v>
      </c>
    </row>
    <row r="346" spans="1:7" hidden="1">
      <c r="A346" s="71">
        <v>46107</v>
      </c>
      <c r="B346" t="s">
        <v>373</v>
      </c>
      <c r="C346">
        <v>4861</v>
      </c>
      <c r="E346" t="s">
        <v>675</v>
      </c>
    </row>
    <row r="347" spans="1:7" hidden="1">
      <c r="A347" s="71">
        <v>46107</v>
      </c>
      <c r="B347" t="s">
        <v>373</v>
      </c>
      <c r="C347">
        <v>4861</v>
      </c>
      <c r="E347" t="s">
        <v>675</v>
      </c>
      <c r="F347" t="s">
        <v>711</v>
      </c>
      <c r="G347" t="s">
        <v>677</v>
      </c>
    </row>
    <row r="348" spans="1:7" hidden="1">
      <c r="A348" s="71">
        <v>44343</v>
      </c>
      <c r="B348" t="s">
        <v>712</v>
      </c>
      <c r="C348">
        <v>12060</v>
      </c>
    </row>
    <row r="349" spans="1:7" hidden="1">
      <c r="A349" s="71">
        <v>46084</v>
      </c>
      <c r="B349" t="s">
        <v>380</v>
      </c>
      <c r="C349">
        <v>5671</v>
      </c>
    </row>
    <row r="350" spans="1:7" hidden="1">
      <c r="A350" s="71">
        <v>45040</v>
      </c>
      <c r="B350" t="s">
        <v>380</v>
      </c>
      <c r="C350">
        <v>4000</v>
      </c>
    </row>
    <row r="351" spans="1:7" hidden="1">
      <c r="A351" s="71">
        <v>46107</v>
      </c>
      <c r="B351" t="s">
        <v>383</v>
      </c>
      <c r="C351">
        <v>3774</v>
      </c>
      <c r="E351" t="s">
        <v>33</v>
      </c>
    </row>
    <row r="352" spans="1:7" hidden="1">
      <c r="A352" s="71">
        <v>46105</v>
      </c>
      <c r="B352" t="s">
        <v>383</v>
      </c>
      <c r="C352">
        <v>3763</v>
      </c>
      <c r="E352" t="s">
        <v>33</v>
      </c>
    </row>
    <row r="353" spans="1:7" hidden="1">
      <c r="A353" s="71">
        <v>46099</v>
      </c>
      <c r="B353" t="s">
        <v>383</v>
      </c>
      <c r="C353">
        <v>3745</v>
      </c>
      <c r="E353" t="s">
        <v>33</v>
      </c>
    </row>
    <row r="354" spans="1:7" hidden="1">
      <c r="A354" s="71">
        <v>46083</v>
      </c>
      <c r="B354" t="s">
        <v>383</v>
      </c>
      <c r="C354">
        <v>3724</v>
      </c>
      <c r="E354" t="s">
        <v>33</v>
      </c>
    </row>
    <row r="355" spans="1:7" hidden="1">
      <c r="A355" s="71">
        <v>46129</v>
      </c>
      <c r="B355" t="s">
        <v>385</v>
      </c>
      <c r="C355">
        <v>3578</v>
      </c>
      <c r="E355" t="s">
        <v>15</v>
      </c>
    </row>
    <row r="356" spans="1:7" hidden="1">
      <c r="A356" s="71">
        <v>46112</v>
      </c>
      <c r="B356" t="s">
        <v>385</v>
      </c>
      <c r="C356">
        <v>3558</v>
      </c>
      <c r="E356" t="s">
        <v>15</v>
      </c>
    </row>
    <row r="357" spans="1:7" hidden="1">
      <c r="A357" s="71">
        <v>46101</v>
      </c>
      <c r="B357" t="s">
        <v>385</v>
      </c>
      <c r="C357">
        <v>3545</v>
      </c>
      <c r="E357" t="s">
        <v>206</v>
      </c>
    </row>
    <row r="358" spans="1:7" hidden="1">
      <c r="A358" s="71">
        <v>46099</v>
      </c>
      <c r="B358" t="s">
        <v>385</v>
      </c>
      <c r="C358">
        <v>3544</v>
      </c>
    </row>
    <row r="359" spans="1:7" hidden="1">
      <c r="A359" s="71">
        <v>46094</v>
      </c>
      <c r="B359" t="s">
        <v>388</v>
      </c>
      <c r="C359">
        <v>13040</v>
      </c>
      <c r="E359" t="s">
        <v>514</v>
      </c>
    </row>
    <row r="360" spans="1:7" hidden="1">
      <c r="A360" s="71">
        <v>46093</v>
      </c>
      <c r="B360" t="s">
        <v>388</v>
      </c>
      <c r="C360">
        <v>13039</v>
      </c>
      <c r="E360" t="s">
        <v>514</v>
      </c>
      <c r="F360" t="s">
        <v>713</v>
      </c>
      <c r="G360" t="s">
        <v>677</v>
      </c>
    </row>
    <row r="361" spans="1:7" hidden="1">
      <c r="A361" s="71">
        <v>46093</v>
      </c>
      <c r="B361" t="s">
        <v>388</v>
      </c>
      <c r="C361">
        <v>13039</v>
      </c>
      <c r="E361" t="s">
        <v>514</v>
      </c>
    </row>
    <row r="362" spans="1:7" hidden="1">
      <c r="A362" s="71">
        <v>46087</v>
      </c>
      <c r="B362" t="s">
        <v>388</v>
      </c>
      <c r="C362">
        <v>13034</v>
      </c>
    </row>
    <row r="363" spans="1:7" hidden="1">
      <c r="A363" s="71">
        <v>46027</v>
      </c>
      <c r="B363" t="s">
        <v>389</v>
      </c>
      <c r="C363">
        <v>5937</v>
      </c>
    </row>
    <row r="364" spans="1:7" hidden="1">
      <c r="A364" s="71">
        <v>46042</v>
      </c>
      <c r="B364" t="s">
        <v>390</v>
      </c>
      <c r="C364">
        <v>7950</v>
      </c>
    </row>
    <row r="365" spans="1:7" hidden="1">
      <c r="A365" s="71">
        <v>45021</v>
      </c>
      <c r="B365" t="s">
        <v>390</v>
      </c>
      <c r="C365">
        <v>6823</v>
      </c>
    </row>
    <row r="366" spans="1:7" hidden="1">
      <c r="A366" s="71">
        <v>44505</v>
      </c>
      <c r="B366" t="s">
        <v>390</v>
      </c>
      <c r="C366">
        <v>5757</v>
      </c>
    </row>
    <row r="367" spans="1:7" hidden="1">
      <c r="A367" s="71">
        <v>46114</v>
      </c>
      <c r="B367" t="s">
        <v>391</v>
      </c>
      <c r="C367">
        <v>17345</v>
      </c>
      <c r="E367" t="s">
        <v>675</v>
      </c>
    </row>
    <row r="368" spans="1:7" hidden="1">
      <c r="A368" s="71">
        <v>46108</v>
      </c>
      <c r="B368" t="s">
        <v>391</v>
      </c>
      <c r="C368">
        <v>17337</v>
      </c>
      <c r="E368" t="s">
        <v>675</v>
      </c>
    </row>
    <row r="369" spans="1:7" hidden="1">
      <c r="A369" s="71">
        <v>46105</v>
      </c>
      <c r="B369" t="s">
        <v>391</v>
      </c>
      <c r="C369">
        <v>17322</v>
      </c>
      <c r="E369" t="s">
        <v>675</v>
      </c>
    </row>
    <row r="370" spans="1:7" hidden="1">
      <c r="A370" s="71">
        <v>46101</v>
      </c>
      <c r="B370" t="s">
        <v>391</v>
      </c>
      <c r="C370">
        <v>17312</v>
      </c>
      <c r="E370" t="s">
        <v>675</v>
      </c>
    </row>
    <row r="371" spans="1:7" hidden="1">
      <c r="A371" s="71">
        <v>45996</v>
      </c>
      <c r="B371" t="s">
        <v>394</v>
      </c>
      <c r="D371">
        <v>227056</v>
      </c>
    </row>
    <row r="372" spans="1:7" hidden="1">
      <c r="A372" s="71">
        <v>45085</v>
      </c>
      <c r="B372" t="s">
        <v>394</v>
      </c>
      <c r="C372">
        <v>9276</v>
      </c>
    </row>
    <row r="373" spans="1:7" hidden="1">
      <c r="A373" s="71">
        <v>46139</v>
      </c>
      <c r="B373" t="s">
        <v>396</v>
      </c>
      <c r="C373">
        <v>169</v>
      </c>
      <c r="E373" t="s">
        <v>714</v>
      </c>
    </row>
    <row r="374" spans="1:7" hidden="1">
      <c r="A374" s="71">
        <v>46113</v>
      </c>
      <c r="B374" t="s">
        <v>396</v>
      </c>
      <c r="C374">
        <v>91</v>
      </c>
      <c r="E374" t="s">
        <v>675</v>
      </c>
    </row>
    <row r="375" spans="1:7" hidden="1">
      <c r="A375" s="71">
        <v>46111</v>
      </c>
      <c r="B375" t="s">
        <v>396</v>
      </c>
      <c r="C375">
        <v>75</v>
      </c>
      <c r="E375" t="s">
        <v>675</v>
      </c>
    </row>
    <row r="376" spans="1:7" hidden="1">
      <c r="A376" s="71">
        <v>46107</v>
      </c>
      <c r="B376" t="s">
        <v>396</v>
      </c>
      <c r="E376" t="s">
        <v>675</v>
      </c>
      <c r="F376" t="s">
        <v>398</v>
      </c>
      <c r="G376" t="s">
        <v>677</v>
      </c>
    </row>
    <row r="377" spans="1:7" hidden="1">
      <c r="A377" s="71">
        <v>46107</v>
      </c>
      <c r="B377" t="s">
        <v>399</v>
      </c>
      <c r="C377">
        <v>8660</v>
      </c>
      <c r="E377" t="s">
        <v>33</v>
      </c>
    </row>
    <row r="378" spans="1:7" hidden="1">
      <c r="A378" s="71">
        <v>46105</v>
      </c>
      <c r="B378" t="s">
        <v>399</v>
      </c>
      <c r="C378">
        <v>8647</v>
      </c>
      <c r="E378" t="s">
        <v>33</v>
      </c>
    </row>
    <row r="379" spans="1:7" hidden="1">
      <c r="A379" s="71">
        <v>46104</v>
      </c>
      <c r="B379" t="s">
        <v>399</v>
      </c>
      <c r="C379">
        <v>8642</v>
      </c>
      <c r="E379" t="s">
        <v>33</v>
      </c>
    </row>
    <row r="380" spans="1:7" hidden="1">
      <c r="A380" s="71">
        <v>46100</v>
      </c>
      <c r="B380" t="s">
        <v>399</v>
      </c>
      <c r="C380">
        <v>8632</v>
      </c>
      <c r="E380" t="s">
        <v>33</v>
      </c>
    </row>
    <row r="381" spans="1:7" hidden="1">
      <c r="A381" s="71">
        <v>46111</v>
      </c>
      <c r="B381" t="s">
        <v>408</v>
      </c>
      <c r="C381">
        <v>12802</v>
      </c>
      <c r="E381" t="s">
        <v>51</v>
      </c>
    </row>
    <row r="382" spans="1:7" hidden="1">
      <c r="A382" s="71">
        <v>46108</v>
      </c>
      <c r="B382" t="s">
        <v>408</v>
      </c>
      <c r="C382">
        <v>12798</v>
      </c>
      <c r="E382" t="s">
        <v>51</v>
      </c>
    </row>
    <row r="383" spans="1:7" hidden="1">
      <c r="A383" s="71">
        <v>46099</v>
      </c>
      <c r="B383" t="s">
        <v>408</v>
      </c>
      <c r="C383">
        <v>12760</v>
      </c>
      <c r="E383" t="s">
        <v>51</v>
      </c>
    </row>
    <row r="384" spans="1:7" hidden="1">
      <c r="A384" s="71">
        <v>46098</v>
      </c>
      <c r="B384" t="s">
        <v>408</v>
      </c>
      <c r="C384">
        <v>12756</v>
      </c>
      <c r="E384" t="s">
        <v>51</v>
      </c>
    </row>
    <row r="385" spans="1:5" hidden="1">
      <c r="A385" s="71">
        <v>46107</v>
      </c>
      <c r="B385" t="s">
        <v>411</v>
      </c>
      <c r="C385">
        <v>4470</v>
      </c>
      <c r="E385" t="s">
        <v>33</v>
      </c>
    </row>
    <row r="386" spans="1:5" hidden="1">
      <c r="A386" s="71">
        <v>46105</v>
      </c>
      <c r="B386" t="s">
        <v>411</v>
      </c>
      <c r="C386">
        <v>4459</v>
      </c>
      <c r="E386" t="s">
        <v>33</v>
      </c>
    </row>
    <row r="387" spans="1:5" hidden="1">
      <c r="A387" s="71">
        <v>46101</v>
      </c>
      <c r="B387" t="s">
        <v>411</v>
      </c>
      <c r="C387">
        <v>4450</v>
      </c>
      <c r="E387" t="s">
        <v>33</v>
      </c>
    </row>
    <row r="388" spans="1:5" hidden="1">
      <c r="A388" s="71">
        <v>46099</v>
      </c>
      <c r="B388" t="s">
        <v>411</v>
      </c>
      <c r="C388">
        <v>4441</v>
      </c>
      <c r="E388" t="s">
        <v>33</v>
      </c>
    </row>
    <row r="389" spans="1:5" hidden="1">
      <c r="A389" s="71">
        <v>46106</v>
      </c>
      <c r="B389" t="s">
        <v>417</v>
      </c>
      <c r="C389">
        <v>10358</v>
      </c>
      <c r="E389" t="s">
        <v>33</v>
      </c>
    </row>
    <row r="390" spans="1:5" hidden="1">
      <c r="A390" s="71">
        <v>46105</v>
      </c>
      <c r="B390" t="s">
        <v>417</v>
      </c>
      <c r="C390">
        <v>10350</v>
      </c>
      <c r="E390" t="s">
        <v>33</v>
      </c>
    </row>
    <row r="391" spans="1:5" hidden="1">
      <c r="A391" s="71">
        <v>46104</v>
      </c>
      <c r="B391" t="s">
        <v>417</v>
      </c>
      <c r="C391">
        <v>10342</v>
      </c>
      <c r="E391" t="s">
        <v>33</v>
      </c>
    </row>
    <row r="392" spans="1:5" hidden="1">
      <c r="A392" s="71">
        <v>46101</v>
      </c>
      <c r="B392" t="s">
        <v>417</v>
      </c>
      <c r="C392">
        <v>10339</v>
      </c>
      <c r="E392" t="s">
        <v>33</v>
      </c>
    </row>
    <row r="393" spans="1:5" hidden="1">
      <c r="A393" s="71">
        <v>46135</v>
      </c>
      <c r="B393" t="s">
        <v>420</v>
      </c>
      <c r="C393">
        <v>8457</v>
      </c>
      <c r="E393" t="s">
        <v>674</v>
      </c>
    </row>
    <row r="394" spans="1:5" hidden="1">
      <c r="A394" s="71">
        <v>46115</v>
      </c>
      <c r="B394" t="s">
        <v>420</v>
      </c>
      <c r="C394">
        <v>8264</v>
      </c>
      <c r="E394" t="s">
        <v>63</v>
      </c>
    </row>
    <row r="395" spans="1:5" hidden="1">
      <c r="A395" s="71">
        <v>46112</v>
      </c>
      <c r="B395" t="s">
        <v>420</v>
      </c>
      <c r="C395">
        <v>8376</v>
      </c>
      <c r="E395" t="s">
        <v>63</v>
      </c>
    </row>
    <row r="396" spans="1:5" hidden="1">
      <c r="A396" s="71">
        <v>46100</v>
      </c>
      <c r="B396" t="s">
        <v>420</v>
      </c>
      <c r="C396">
        <v>8326</v>
      </c>
      <c r="E396" t="s">
        <v>23</v>
      </c>
    </row>
    <row r="397" spans="1:5" hidden="1">
      <c r="A397" s="71">
        <v>46098</v>
      </c>
      <c r="B397" t="s">
        <v>423</v>
      </c>
      <c r="C397">
        <v>5695</v>
      </c>
      <c r="E397" t="s">
        <v>63</v>
      </c>
    </row>
    <row r="398" spans="1:5" hidden="1">
      <c r="A398" s="71">
        <v>46076</v>
      </c>
      <c r="B398" t="s">
        <v>423</v>
      </c>
      <c r="C398">
        <v>5633</v>
      </c>
      <c r="E398" t="s">
        <v>51</v>
      </c>
    </row>
    <row r="399" spans="1:5" hidden="1">
      <c r="A399" s="71">
        <v>46072</v>
      </c>
      <c r="B399" t="s">
        <v>423</v>
      </c>
      <c r="C399">
        <v>5621</v>
      </c>
    </row>
    <row r="400" spans="1:5" hidden="1">
      <c r="A400" s="71">
        <v>46070</v>
      </c>
      <c r="B400" t="s">
        <v>423</v>
      </c>
      <c r="C400">
        <v>5609</v>
      </c>
    </row>
    <row r="401" spans="1:7" hidden="1">
      <c r="A401" s="71">
        <v>46129</v>
      </c>
      <c r="B401" t="s">
        <v>427</v>
      </c>
      <c r="C401">
        <v>589</v>
      </c>
      <c r="E401" t="s">
        <v>15</v>
      </c>
    </row>
    <row r="402" spans="1:7" hidden="1">
      <c r="A402" s="71">
        <v>46112</v>
      </c>
      <c r="B402" t="s">
        <v>427</v>
      </c>
      <c r="C402">
        <v>580</v>
      </c>
      <c r="E402" t="s">
        <v>15</v>
      </c>
    </row>
    <row r="403" spans="1:7" hidden="1">
      <c r="A403" s="71">
        <v>46106</v>
      </c>
      <c r="B403" t="s">
        <v>427</v>
      </c>
      <c r="C403">
        <v>568</v>
      </c>
      <c r="E403" t="s">
        <v>15</v>
      </c>
    </row>
    <row r="404" spans="1:7" hidden="1">
      <c r="A404" s="71">
        <v>46101</v>
      </c>
      <c r="B404" t="s">
        <v>427</v>
      </c>
      <c r="C404">
        <v>567</v>
      </c>
      <c r="E404" t="s">
        <v>206</v>
      </c>
    </row>
    <row r="405" spans="1:7" hidden="1">
      <c r="A405" s="71">
        <v>46108</v>
      </c>
      <c r="B405" t="s">
        <v>430</v>
      </c>
      <c r="C405">
        <v>6777</v>
      </c>
      <c r="E405" t="s">
        <v>327</v>
      </c>
    </row>
    <row r="406" spans="1:7" hidden="1">
      <c r="A406" s="71">
        <v>46113</v>
      </c>
      <c r="B406" t="s">
        <v>433</v>
      </c>
      <c r="C406">
        <v>6553</v>
      </c>
      <c r="E406" t="s">
        <v>675</v>
      </c>
    </row>
    <row r="407" spans="1:7" hidden="1">
      <c r="A407" s="71">
        <v>46106</v>
      </c>
      <c r="B407" t="s">
        <v>433</v>
      </c>
      <c r="C407">
        <v>6529</v>
      </c>
      <c r="E407" t="s">
        <v>675</v>
      </c>
    </row>
    <row r="408" spans="1:7" hidden="1">
      <c r="A408" s="71">
        <v>46106</v>
      </c>
      <c r="B408" t="s">
        <v>433</v>
      </c>
      <c r="C408">
        <v>6529</v>
      </c>
      <c r="E408" t="s">
        <v>675</v>
      </c>
      <c r="F408" t="s">
        <v>708</v>
      </c>
      <c r="G408" t="s">
        <v>677</v>
      </c>
    </row>
    <row r="409" spans="1:7" hidden="1">
      <c r="A409" s="71">
        <v>46104</v>
      </c>
      <c r="B409" t="s">
        <v>433</v>
      </c>
      <c r="C409">
        <v>6530</v>
      </c>
      <c r="E409" t="s">
        <v>675</v>
      </c>
    </row>
    <row r="410" spans="1:7" hidden="1">
      <c r="A410" s="71">
        <v>46098</v>
      </c>
      <c r="B410" t="s">
        <v>434</v>
      </c>
      <c r="C410">
        <v>10101</v>
      </c>
      <c r="E410" t="s">
        <v>63</v>
      </c>
    </row>
    <row r="411" spans="1:7" hidden="1">
      <c r="A411" s="71">
        <v>46080</v>
      </c>
      <c r="B411" t="s">
        <v>434</v>
      </c>
      <c r="C411">
        <v>10041</v>
      </c>
      <c r="E411" t="s">
        <v>51</v>
      </c>
    </row>
    <row r="412" spans="1:7" hidden="1">
      <c r="A412" s="71">
        <v>46078</v>
      </c>
      <c r="B412" t="s">
        <v>434</v>
      </c>
      <c r="C412">
        <v>10028</v>
      </c>
    </row>
    <row r="413" spans="1:7" hidden="1">
      <c r="A413" s="71">
        <v>46076</v>
      </c>
      <c r="B413" t="s">
        <v>434</v>
      </c>
      <c r="C413">
        <v>10014</v>
      </c>
    </row>
    <row r="414" spans="1:7" hidden="1">
      <c r="A414" s="71">
        <v>45994</v>
      </c>
      <c r="B414" t="s">
        <v>440</v>
      </c>
      <c r="C414">
        <v>1733</v>
      </c>
    </row>
    <row r="415" spans="1:7" hidden="1">
      <c r="A415" s="71">
        <v>46107</v>
      </c>
      <c r="B415" t="s">
        <v>443</v>
      </c>
      <c r="C415">
        <v>2054</v>
      </c>
      <c r="E415" t="s">
        <v>33</v>
      </c>
    </row>
    <row r="416" spans="1:7" hidden="1">
      <c r="A416" s="71">
        <v>46105</v>
      </c>
      <c r="B416" t="s">
        <v>443</v>
      </c>
      <c r="C416">
        <v>2044</v>
      </c>
      <c r="E416" t="s">
        <v>33</v>
      </c>
    </row>
    <row r="417" spans="1:5" hidden="1">
      <c r="A417" s="71">
        <v>46101</v>
      </c>
      <c r="B417" t="s">
        <v>443</v>
      </c>
      <c r="C417">
        <v>2037</v>
      </c>
      <c r="E417" t="s">
        <v>33</v>
      </c>
    </row>
    <row r="418" spans="1:5" hidden="1">
      <c r="A418" s="71">
        <v>46099</v>
      </c>
      <c r="B418" t="s">
        <v>443</v>
      </c>
      <c r="C418">
        <v>2028</v>
      </c>
      <c r="E418" t="s">
        <v>33</v>
      </c>
    </row>
    <row r="419" spans="1:5" hidden="1">
      <c r="A419" s="71">
        <v>46111</v>
      </c>
      <c r="B419" t="s">
        <v>446</v>
      </c>
      <c r="C419">
        <v>2396</v>
      </c>
      <c r="E419" t="s">
        <v>51</v>
      </c>
    </row>
    <row r="420" spans="1:5" hidden="1">
      <c r="A420" s="71">
        <v>46101</v>
      </c>
      <c r="B420" t="s">
        <v>446</v>
      </c>
      <c r="C420">
        <v>2363</v>
      </c>
      <c r="E420" t="s">
        <v>51</v>
      </c>
    </row>
    <row r="421" spans="1:5" hidden="1">
      <c r="A421" s="71">
        <v>46099</v>
      </c>
      <c r="B421" t="s">
        <v>446</v>
      </c>
      <c r="C421">
        <v>2354</v>
      </c>
      <c r="E421" t="s">
        <v>51</v>
      </c>
    </row>
    <row r="422" spans="1:5" hidden="1">
      <c r="A422" s="71">
        <v>46076</v>
      </c>
      <c r="B422" t="s">
        <v>446</v>
      </c>
      <c r="C422">
        <v>2293</v>
      </c>
      <c r="E422" t="s">
        <v>51</v>
      </c>
    </row>
    <row r="423" spans="1:5" hidden="1">
      <c r="A423" s="71">
        <v>46101</v>
      </c>
      <c r="B423" t="s">
        <v>449</v>
      </c>
      <c r="C423">
        <v>1742</v>
      </c>
      <c r="E423" t="s">
        <v>63</v>
      </c>
    </row>
    <row r="424" spans="1:5" hidden="1">
      <c r="A424" s="71">
        <v>46098</v>
      </c>
      <c r="B424" t="s">
        <v>449</v>
      </c>
      <c r="C424">
        <v>1735</v>
      </c>
      <c r="E424" t="s">
        <v>63</v>
      </c>
    </row>
    <row r="425" spans="1:5" hidden="1">
      <c r="A425" s="71">
        <v>46078</v>
      </c>
      <c r="B425" t="s">
        <v>449</v>
      </c>
      <c r="C425">
        <v>1678</v>
      </c>
    </row>
    <row r="426" spans="1:5" hidden="1">
      <c r="A426" s="71">
        <v>46072</v>
      </c>
      <c r="B426" t="s">
        <v>449</v>
      </c>
      <c r="C426">
        <v>1670</v>
      </c>
    </row>
    <row r="427" spans="1:5" hidden="1">
      <c r="A427" s="71">
        <v>46129</v>
      </c>
      <c r="B427" t="s">
        <v>451</v>
      </c>
      <c r="C427">
        <v>1861</v>
      </c>
      <c r="E427" t="s">
        <v>15</v>
      </c>
    </row>
    <row r="428" spans="1:5" hidden="1">
      <c r="A428" s="71">
        <v>46112</v>
      </c>
      <c r="B428" t="s">
        <v>451</v>
      </c>
      <c r="C428">
        <v>1804</v>
      </c>
      <c r="E428" t="s">
        <v>15</v>
      </c>
    </row>
    <row r="429" spans="1:5" hidden="1">
      <c r="A429" s="71">
        <v>46108</v>
      </c>
      <c r="B429" t="s">
        <v>451</v>
      </c>
      <c r="C429">
        <v>1794</v>
      </c>
      <c r="E429" t="s">
        <v>15</v>
      </c>
    </row>
    <row r="430" spans="1:5" hidden="1">
      <c r="A430" s="71">
        <v>46106</v>
      </c>
      <c r="B430" t="s">
        <v>451</v>
      </c>
      <c r="C430">
        <v>1781</v>
      </c>
      <c r="E430" t="s">
        <v>15</v>
      </c>
    </row>
    <row r="431" spans="1:5" hidden="1">
      <c r="A431" s="71">
        <v>46104</v>
      </c>
      <c r="B431" t="s">
        <v>453</v>
      </c>
      <c r="C431">
        <v>1950</v>
      </c>
      <c r="E431" t="s">
        <v>15</v>
      </c>
    </row>
    <row r="432" spans="1:5" hidden="1">
      <c r="A432" s="71">
        <v>46101</v>
      </c>
      <c r="B432" t="s">
        <v>453</v>
      </c>
      <c r="C432">
        <v>1947</v>
      </c>
      <c r="E432" t="s">
        <v>206</v>
      </c>
    </row>
    <row r="433" spans="1:7" hidden="1">
      <c r="A433" s="71">
        <v>46073</v>
      </c>
      <c r="B433" t="s">
        <v>453</v>
      </c>
      <c r="C433">
        <v>1926</v>
      </c>
    </row>
    <row r="434" spans="1:7" hidden="1">
      <c r="A434" s="71">
        <v>46056</v>
      </c>
      <c r="B434" t="s">
        <v>453</v>
      </c>
      <c r="C434">
        <v>1930</v>
      </c>
    </row>
    <row r="435" spans="1:7" hidden="1">
      <c r="A435" s="71">
        <v>46079</v>
      </c>
      <c r="B435" t="s">
        <v>456</v>
      </c>
      <c r="C435">
        <v>2405</v>
      </c>
      <c r="E435" t="s">
        <v>15</v>
      </c>
    </row>
    <row r="436" spans="1:7" hidden="1">
      <c r="A436" s="71">
        <v>46043</v>
      </c>
      <c r="B436" t="s">
        <v>456</v>
      </c>
      <c r="C436">
        <v>2386</v>
      </c>
    </row>
    <row r="437" spans="1:7" hidden="1">
      <c r="A437" s="71">
        <v>46009</v>
      </c>
      <c r="B437" t="s">
        <v>456</v>
      </c>
      <c r="C437">
        <v>1830</v>
      </c>
    </row>
    <row r="438" spans="1:7" hidden="1">
      <c r="A438" s="71">
        <v>45994</v>
      </c>
      <c r="B438" t="s">
        <v>456</v>
      </c>
      <c r="C438">
        <v>2363</v>
      </c>
    </row>
    <row r="439" spans="1:7" hidden="1">
      <c r="A439" s="71">
        <v>46107</v>
      </c>
      <c r="B439" t="s">
        <v>458</v>
      </c>
      <c r="C439">
        <v>2285</v>
      </c>
      <c r="E439" t="s">
        <v>33</v>
      </c>
    </row>
    <row r="440" spans="1:7" hidden="1">
      <c r="A440" s="71">
        <v>46106</v>
      </c>
      <c r="B440" t="s">
        <v>458</v>
      </c>
      <c r="C440">
        <v>2274</v>
      </c>
      <c r="E440" t="s">
        <v>33</v>
      </c>
    </row>
    <row r="441" spans="1:7" hidden="1">
      <c r="A441" s="71">
        <v>46105</v>
      </c>
      <c r="B441" t="s">
        <v>458</v>
      </c>
      <c r="C441">
        <v>2267</v>
      </c>
      <c r="E441" t="s">
        <v>33</v>
      </c>
    </row>
    <row r="442" spans="1:7" hidden="1">
      <c r="A442" s="71">
        <v>46104</v>
      </c>
      <c r="B442" t="s">
        <v>458</v>
      </c>
      <c r="C442">
        <v>2259</v>
      </c>
      <c r="E442" t="s">
        <v>33</v>
      </c>
    </row>
    <row r="443" spans="1:7" hidden="1">
      <c r="A443" s="71">
        <v>46133</v>
      </c>
      <c r="B443" t="s">
        <v>715</v>
      </c>
      <c r="D443">
        <v>307623</v>
      </c>
    </row>
    <row r="444" spans="1:7" hidden="1">
      <c r="A444" s="71">
        <v>44328</v>
      </c>
      <c r="B444" t="s">
        <v>716</v>
      </c>
      <c r="D444">
        <v>623700</v>
      </c>
    </row>
    <row r="445" spans="1:7" hidden="1">
      <c r="A445" s="71">
        <v>44242</v>
      </c>
      <c r="B445" t="s">
        <v>716</v>
      </c>
      <c r="D445">
        <v>612317</v>
      </c>
    </row>
    <row r="446" spans="1:7" hidden="1">
      <c r="A446" s="71">
        <v>46139</v>
      </c>
      <c r="B446" t="s">
        <v>460</v>
      </c>
      <c r="D446">
        <v>99450</v>
      </c>
      <c r="E446" t="s">
        <v>702</v>
      </c>
    </row>
    <row r="447" spans="1:7" hidden="1">
      <c r="A447" s="71">
        <v>46133</v>
      </c>
      <c r="B447" t="s">
        <v>460</v>
      </c>
      <c r="D447">
        <v>99063</v>
      </c>
      <c r="E447" t="s">
        <v>26</v>
      </c>
    </row>
    <row r="448" spans="1:7" hidden="1">
      <c r="A448" s="71">
        <v>46108</v>
      </c>
      <c r="B448" t="s">
        <v>460</v>
      </c>
      <c r="D448">
        <v>97630</v>
      </c>
      <c r="E448" t="s">
        <v>316</v>
      </c>
      <c r="F448" t="s">
        <v>717</v>
      </c>
      <c r="G448" t="s">
        <v>677</v>
      </c>
    </row>
    <row r="449" spans="1:7" hidden="1">
      <c r="A449" s="71">
        <v>46104</v>
      </c>
      <c r="B449" t="s">
        <v>460</v>
      </c>
      <c r="D449">
        <v>97507</v>
      </c>
      <c r="E449" t="s">
        <v>316</v>
      </c>
      <c r="F449" t="s">
        <v>717</v>
      </c>
      <c r="G449" t="s">
        <v>677</v>
      </c>
    </row>
    <row r="450" spans="1:7" hidden="1">
      <c r="A450" s="71">
        <v>46073</v>
      </c>
      <c r="B450" t="s">
        <v>464</v>
      </c>
      <c r="D450">
        <v>104779</v>
      </c>
    </row>
    <row r="451" spans="1:7" hidden="1">
      <c r="A451" s="71">
        <v>46105</v>
      </c>
      <c r="B451" t="s">
        <v>467</v>
      </c>
      <c r="D451">
        <v>108622</v>
      </c>
      <c r="E451" t="s">
        <v>37</v>
      </c>
    </row>
    <row r="452" spans="1:7" hidden="1">
      <c r="A452" s="71">
        <v>46086</v>
      </c>
      <c r="B452" t="s">
        <v>467</v>
      </c>
      <c r="D452">
        <v>105926</v>
      </c>
    </row>
    <row r="453" spans="1:7" hidden="1">
      <c r="A453" s="71">
        <v>46085</v>
      </c>
      <c r="B453" t="s">
        <v>467</v>
      </c>
      <c r="D453">
        <v>105517</v>
      </c>
    </row>
    <row r="454" spans="1:7" hidden="1">
      <c r="A454" s="71">
        <v>46083</v>
      </c>
      <c r="B454" t="s">
        <v>467</v>
      </c>
      <c r="D454">
        <v>105293</v>
      </c>
    </row>
    <row r="455" spans="1:7" hidden="1">
      <c r="A455" s="71">
        <v>46133</v>
      </c>
      <c r="B455" t="s">
        <v>472</v>
      </c>
      <c r="D455">
        <v>77882</v>
      </c>
      <c r="E455" t="s">
        <v>26</v>
      </c>
    </row>
    <row r="456" spans="1:7" hidden="1">
      <c r="A456" s="71">
        <v>46100</v>
      </c>
      <c r="B456" t="s">
        <v>472</v>
      </c>
      <c r="D456">
        <v>73803</v>
      </c>
      <c r="E456" t="s">
        <v>680</v>
      </c>
    </row>
    <row r="457" spans="1:7" hidden="1">
      <c r="A457" s="71">
        <v>46100</v>
      </c>
      <c r="B457" t="s">
        <v>472</v>
      </c>
      <c r="D457">
        <v>73803</v>
      </c>
      <c r="E457" t="s">
        <v>680</v>
      </c>
      <c r="F457" t="s">
        <v>718</v>
      </c>
      <c r="G457" t="s">
        <v>677</v>
      </c>
    </row>
    <row r="458" spans="1:7" hidden="1">
      <c r="A458" s="71">
        <v>46099</v>
      </c>
      <c r="B458" t="s">
        <v>472</v>
      </c>
      <c r="D458">
        <v>73362</v>
      </c>
      <c r="E458" t="s">
        <v>33</v>
      </c>
    </row>
    <row r="459" spans="1:7" hidden="1">
      <c r="A459" s="71">
        <v>46048</v>
      </c>
      <c r="B459" t="s">
        <v>474</v>
      </c>
      <c r="D459">
        <v>58660</v>
      </c>
    </row>
    <row r="460" spans="1:7" hidden="1">
      <c r="A460" s="71">
        <v>46055</v>
      </c>
      <c r="B460" t="s">
        <v>478</v>
      </c>
      <c r="D460">
        <v>77781</v>
      </c>
    </row>
    <row r="461" spans="1:7" hidden="1">
      <c r="A461" s="71">
        <v>46021</v>
      </c>
      <c r="B461" t="s">
        <v>478</v>
      </c>
      <c r="C461">
        <v>10283</v>
      </c>
      <c r="D461">
        <v>246005</v>
      </c>
    </row>
    <row r="462" spans="1:7" hidden="1">
      <c r="A462" s="71">
        <v>45994</v>
      </c>
      <c r="B462" t="s">
        <v>483</v>
      </c>
      <c r="D462">
        <v>66902</v>
      </c>
    </row>
    <row r="463" spans="1:7" hidden="1">
      <c r="A463" s="71">
        <v>46133</v>
      </c>
      <c r="B463" t="s">
        <v>485</v>
      </c>
      <c r="D463">
        <v>82711</v>
      </c>
      <c r="E463" t="s">
        <v>344</v>
      </c>
    </row>
    <row r="464" spans="1:7" hidden="1">
      <c r="A464" s="71">
        <v>46105</v>
      </c>
      <c r="B464" t="s">
        <v>485</v>
      </c>
      <c r="D464">
        <v>78946</v>
      </c>
      <c r="E464" t="s">
        <v>680</v>
      </c>
    </row>
    <row r="465" spans="1:5" hidden="1">
      <c r="A465" s="71">
        <v>46084</v>
      </c>
      <c r="B465" t="s">
        <v>485</v>
      </c>
      <c r="D465">
        <v>75328</v>
      </c>
    </row>
    <row r="466" spans="1:5" hidden="1">
      <c r="A466" s="71">
        <v>46079</v>
      </c>
      <c r="B466" t="s">
        <v>485</v>
      </c>
      <c r="D466">
        <v>74616</v>
      </c>
    </row>
    <row r="467" spans="1:5" hidden="1">
      <c r="A467" s="71">
        <v>46114</v>
      </c>
      <c r="B467" t="s">
        <v>489</v>
      </c>
      <c r="D467">
        <v>88308</v>
      </c>
      <c r="E467" t="s">
        <v>680</v>
      </c>
    </row>
    <row r="468" spans="1:5" hidden="1">
      <c r="A468" s="71">
        <v>46108</v>
      </c>
      <c r="B468" t="s">
        <v>489</v>
      </c>
      <c r="D468">
        <v>86162</v>
      </c>
      <c r="E468" t="s">
        <v>680</v>
      </c>
    </row>
    <row r="469" spans="1:5" hidden="1">
      <c r="A469" s="71">
        <v>46098</v>
      </c>
      <c r="B469" t="s">
        <v>489</v>
      </c>
      <c r="D469">
        <v>84571</v>
      </c>
      <c r="E469" t="s">
        <v>33</v>
      </c>
    </row>
    <row r="470" spans="1:5" hidden="1">
      <c r="A470" s="71">
        <v>46090</v>
      </c>
      <c r="B470" t="s">
        <v>489</v>
      </c>
      <c r="D470">
        <v>83200</v>
      </c>
    </row>
    <row r="471" spans="1:5" hidden="1">
      <c r="A471" s="71">
        <v>46133</v>
      </c>
      <c r="B471" t="s">
        <v>492</v>
      </c>
      <c r="D471">
        <v>110641</v>
      </c>
      <c r="E471" t="s">
        <v>719</v>
      </c>
    </row>
    <row r="472" spans="1:5" hidden="1">
      <c r="A472" s="71">
        <v>46078</v>
      </c>
      <c r="B472" t="s">
        <v>492</v>
      </c>
      <c r="D472">
        <v>104318</v>
      </c>
    </row>
    <row r="473" spans="1:5" hidden="1">
      <c r="A473" s="71">
        <v>46077</v>
      </c>
      <c r="B473" t="s">
        <v>492</v>
      </c>
      <c r="D473">
        <v>103822</v>
      </c>
    </row>
    <row r="474" spans="1:5" hidden="1">
      <c r="A474" s="71">
        <v>46076</v>
      </c>
      <c r="B474" t="s">
        <v>492</v>
      </c>
      <c r="D474">
        <v>103262</v>
      </c>
    </row>
    <row r="475" spans="1:5" hidden="1">
      <c r="A475" s="71">
        <v>46133</v>
      </c>
      <c r="B475" t="s">
        <v>494</v>
      </c>
      <c r="D475">
        <v>98245</v>
      </c>
      <c r="E475" t="s">
        <v>200</v>
      </c>
    </row>
    <row r="476" spans="1:5" hidden="1">
      <c r="A476" s="71">
        <v>46112</v>
      </c>
      <c r="B476" t="s">
        <v>494</v>
      </c>
      <c r="D476">
        <v>95135</v>
      </c>
      <c r="E476" t="s">
        <v>63</v>
      </c>
    </row>
    <row r="477" spans="1:5" hidden="1">
      <c r="A477" s="71">
        <v>46108</v>
      </c>
      <c r="B477" t="s">
        <v>494</v>
      </c>
      <c r="D477">
        <v>94201</v>
      </c>
      <c r="E477" t="s">
        <v>51</v>
      </c>
    </row>
    <row r="478" spans="1:5" hidden="1">
      <c r="A478" s="71">
        <v>46059</v>
      </c>
      <c r="B478" t="s">
        <v>496</v>
      </c>
      <c r="D478">
        <v>56286</v>
      </c>
    </row>
    <row r="479" spans="1:5" hidden="1">
      <c r="A479" s="71">
        <v>46056</v>
      </c>
      <c r="B479" t="s">
        <v>496</v>
      </c>
      <c r="D479">
        <v>55822</v>
      </c>
    </row>
    <row r="480" spans="1:5" hidden="1">
      <c r="A480" s="71">
        <v>46053</v>
      </c>
      <c r="B480" t="s">
        <v>496</v>
      </c>
      <c r="D480">
        <v>55070</v>
      </c>
    </row>
    <row r="481" spans="1:6" hidden="1">
      <c r="A481" s="71">
        <v>46072</v>
      </c>
      <c r="B481" t="s">
        <v>498</v>
      </c>
      <c r="D481">
        <v>107331</v>
      </c>
    </row>
    <row r="482" spans="1:6" hidden="1">
      <c r="A482" s="71">
        <v>46066</v>
      </c>
      <c r="B482" t="s">
        <v>498</v>
      </c>
      <c r="D482">
        <v>106707</v>
      </c>
    </row>
    <row r="483" spans="1:6" hidden="1">
      <c r="A483" s="71">
        <v>46065</v>
      </c>
      <c r="B483" t="s">
        <v>498</v>
      </c>
      <c r="D483">
        <v>106355</v>
      </c>
    </row>
    <row r="484" spans="1:6" hidden="1">
      <c r="A484" s="71">
        <v>46136</v>
      </c>
      <c r="B484" t="s">
        <v>500</v>
      </c>
      <c r="D484">
        <v>122790</v>
      </c>
      <c r="E484" t="s">
        <v>707</v>
      </c>
    </row>
    <row r="485" spans="1:6" hidden="1">
      <c r="A485" s="71">
        <v>46133</v>
      </c>
      <c r="B485" t="s">
        <v>500</v>
      </c>
      <c r="D485">
        <v>122354</v>
      </c>
      <c r="E485" t="s">
        <v>720</v>
      </c>
    </row>
    <row r="486" spans="1:6" hidden="1">
      <c r="A486" s="71">
        <v>46101</v>
      </c>
      <c r="B486" t="s">
        <v>500</v>
      </c>
      <c r="D486">
        <v>116537</v>
      </c>
      <c r="E486" t="s">
        <v>63</v>
      </c>
    </row>
    <row r="487" spans="1:6" hidden="1">
      <c r="A487" s="71">
        <v>46080</v>
      </c>
      <c r="B487" t="s">
        <v>500</v>
      </c>
      <c r="D487">
        <v>112584</v>
      </c>
    </row>
    <row r="488" spans="1:6" hidden="1">
      <c r="A488" s="71">
        <v>46077</v>
      </c>
      <c r="B488" t="s">
        <v>502</v>
      </c>
      <c r="D488">
        <v>62985</v>
      </c>
    </row>
    <row r="489" spans="1:6" hidden="1">
      <c r="A489" s="71">
        <v>46083</v>
      </c>
      <c r="B489" t="s">
        <v>502</v>
      </c>
      <c r="D489">
        <v>64032</v>
      </c>
    </row>
    <row r="490" spans="1:6" hidden="1">
      <c r="A490" s="71">
        <v>46086</v>
      </c>
      <c r="B490" t="s">
        <v>509</v>
      </c>
      <c r="D490">
        <v>62939</v>
      </c>
    </row>
    <row r="491" spans="1:6" hidden="1">
      <c r="A491" s="71">
        <v>46090</v>
      </c>
      <c r="B491" t="s">
        <v>509</v>
      </c>
      <c r="D491">
        <v>64682</v>
      </c>
    </row>
    <row r="492" spans="1:6" hidden="1">
      <c r="A492" s="71">
        <v>46133</v>
      </c>
      <c r="B492" t="s">
        <v>504</v>
      </c>
      <c r="D492">
        <v>105494</v>
      </c>
      <c r="E492" t="s">
        <v>26</v>
      </c>
    </row>
    <row r="493" spans="1:6" hidden="1">
      <c r="A493" s="71">
        <v>46107</v>
      </c>
      <c r="B493" t="s">
        <v>504</v>
      </c>
      <c r="D493">
        <v>99837</v>
      </c>
      <c r="E493" t="s">
        <v>37</v>
      </c>
      <c r="F493" t="s">
        <v>721</v>
      </c>
    </row>
    <row r="494" spans="1:6" hidden="1">
      <c r="A494" s="71">
        <v>46090</v>
      </c>
      <c r="B494" t="s">
        <v>504</v>
      </c>
      <c r="D494">
        <v>94990</v>
      </c>
      <c r="E494" t="s">
        <v>37</v>
      </c>
      <c r="F494" t="s">
        <v>721</v>
      </c>
    </row>
    <row r="495" spans="1:6" hidden="1">
      <c r="A495" s="71">
        <v>46086</v>
      </c>
      <c r="B495" t="s">
        <v>504</v>
      </c>
      <c r="D495">
        <v>93455</v>
      </c>
      <c r="E495" t="s">
        <v>37</v>
      </c>
      <c r="F495" t="s">
        <v>721</v>
      </c>
    </row>
    <row r="496" spans="1:6" hidden="1">
      <c r="A496" s="71">
        <v>46099</v>
      </c>
      <c r="B496" t="s">
        <v>509</v>
      </c>
      <c r="D496">
        <v>66415</v>
      </c>
      <c r="E496" t="s">
        <v>33</v>
      </c>
    </row>
    <row r="497" spans="1:5" hidden="1">
      <c r="A497" s="71">
        <v>46101</v>
      </c>
      <c r="B497" t="s">
        <v>502</v>
      </c>
      <c r="D497">
        <v>66205</v>
      </c>
      <c r="E497" t="s">
        <v>33</v>
      </c>
    </row>
    <row r="498" spans="1:5" hidden="1">
      <c r="A498" s="71">
        <v>46105</v>
      </c>
      <c r="B498" t="s">
        <v>502</v>
      </c>
      <c r="D498">
        <v>67095</v>
      </c>
      <c r="E498" t="s">
        <v>33</v>
      </c>
    </row>
    <row r="499" spans="1:5" hidden="1">
      <c r="A499" s="71">
        <v>46107</v>
      </c>
      <c r="B499" t="s">
        <v>509</v>
      </c>
      <c r="D499">
        <v>67530</v>
      </c>
      <c r="E499" t="s">
        <v>33</v>
      </c>
    </row>
    <row r="500" spans="1:5" hidden="1">
      <c r="A500" s="71">
        <v>46133</v>
      </c>
      <c r="B500" t="s">
        <v>511</v>
      </c>
      <c r="D500">
        <v>54674</v>
      </c>
      <c r="E500" t="s">
        <v>26</v>
      </c>
    </row>
    <row r="501" spans="1:5" hidden="1">
      <c r="A501" s="71">
        <v>46112</v>
      </c>
      <c r="B501" t="s">
        <v>511</v>
      </c>
      <c r="D501">
        <v>52367</v>
      </c>
      <c r="E501" t="s">
        <v>15</v>
      </c>
    </row>
    <row r="502" spans="1:5" hidden="1">
      <c r="A502" s="71">
        <v>46108</v>
      </c>
      <c r="B502" t="s">
        <v>511</v>
      </c>
      <c r="D502">
        <v>52054</v>
      </c>
      <c r="E502" t="s">
        <v>15</v>
      </c>
    </row>
    <row r="503" spans="1:5" hidden="1">
      <c r="A503" s="71">
        <v>46106</v>
      </c>
      <c r="B503" t="s">
        <v>511</v>
      </c>
      <c r="D503">
        <v>51643</v>
      </c>
      <c r="E503" t="s">
        <v>15</v>
      </c>
    </row>
    <row r="504" spans="1:5" hidden="1">
      <c r="A504" s="71">
        <v>46120</v>
      </c>
      <c r="B504" t="s">
        <v>513</v>
      </c>
      <c r="D504">
        <v>47499</v>
      </c>
      <c r="E504" t="s">
        <v>514</v>
      </c>
    </row>
    <row r="505" spans="1:5" hidden="1">
      <c r="A505" s="71">
        <v>46111</v>
      </c>
      <c r="B505" t="s">
        <v>513</v>
      </c>
      <c r="D505">
        <v>46849</v>
      </c>
      <c r="E505" t="s">
        <v>514</v>
      </c>
    </row>
    <row r="506" spans="1:5" hidden="1">
      <c r="A506" s="71">
        <v>46107</v>
      </c>
      <c r="B506" t="s">
        <v>513</v>
      </c>
      <c r="D506">
        <v>46500</v>
      </c>
      <c r="E506" t="s">
        <v>514</v>
      </c>
    </row>
    <row r="507" spans="1:5" hidden="1">
      <c r="A507" s="71">
        <v>46101</v>
      </c>
      <c r="B507" t="s">
        <v>513</v>
      </c>
      <c r="D507">
        <v>45856</v>
      </c>
      <c r="E507" t="s">
        <v>514</v>
      </c>
    </row>
    <row r="508" spans="1:5" hidden="1">
      <c r="A508" s="71">
        <v>46139</v>
      </c>
      <c r="B508" t="s">
        <v>516</v>
      </c>
      <c r="D508">
        <v>60235</v>
      </c>
      <c r="E508" t="s">
        <v>714</v>
      </c>
    </row>
    <row r="509" spans="1:5" hidden="1">
      <c r="A509" s="71">
        <v>46133</v>
      </c>
      <c r="B509" t="s">
        <v>516</v>
      </c>
      <c r="D509">
        <v>58685</v>
      </c>
      <c r="E509" t="s">
        <v>26</v>
      </c>
    </row>
    <row r="510" spans="1:5" hidden="1">
      <c r="A510" s="71">
        <v>46113</v>
      </c>
      <c r="B510" t="s">
        <v>516</v>
      </c>
      <c r="D510">
        <v>56097</v>
      </c>
      <c r="E510" t="s">
        <v>675</v>
      </c>
    </row>
    <row r="511" spans="1:5" hidden="1">
      <c r="A511" s="71">
        <v>46111</v>
      </c>
      <c r="B511" t="s">
        <v>516</v>
      </c>
      <c r="D511">
        <v>55483</v>
      </c>
      <c r="E511" t="s">
        <v>675</v>
      </c>
    </row>
    <row r="512" spans="1:5" hidden="1">
      <c r="A512" s="71">
        <v>46136</v>
      </c>
      <c r="B512" t="s">
        <v>518</v>
      </c>
      <c r="D512">
        <v>70545</v>
      </c>
      <c r="E512" t="s">
        <v>707</v>
      </c>
    </row>
    <row r="513" spans="1:7" hidden="1">
      <c r="A513" s="71">
        <v>46133</v>
      </c>
      <c r="B513" t="s">
        <v>518</v>
      </c>
      <c r="D513">
        <v>69717</v>
      </c>
      <c r="E513" t="s">
        <v>26</v>
      </c>
    </row>
    <row r="514" spans="1:7" hidden="1">
      <c r="A514" s="71">
        <v>46111</v>
      </c>
      <c r="B514" t="s">
        <v>518</v>
      </c>
      <c r="D514">
        <v>66650</v>
      </c>
      <c r="E514" t="s">
        <v>680</v>
      </c>
    </row>
    <row r="515" spans="1:7" hidden="1">
      <c r="A515" s="71">
        <v>46101</v>
      </c>
      <c r="B515" t="s">
        <v>518</v>
      </c>
      <c r="D515">
        <v>65192</v>
      </c>
      <c r="E515" t="s">
        <v>63</v>
      </c>
    </row>
    <row r="516" spans="1:7" hidden="1">
      <c r="A516" s="71">
        <v>46133</v>
      </c>
      <c r="B516" t="s">
        <v>520</v>
      </c>
      <c r="D516">
        <v>80272</v>
      </c>
      <c r="E516" t="s">
        <v>26</v>
      </c>
    </row>
    <row r="517" spans="1:7" hidden="1">
      <c r="A517" s="71">
        <v>46112</v>
      </c>
      <c r="B517" t="s">
        <v>520</v>
      </c>
      <c r="D517">
        <v>76555</v>
      </c>
      <c r="E517" t="s">
        <v>15</v>
      </c>
    </row>
    <row r="518" spans="1:7" hidden="1">
      <c r="A518" s="71">
        <v>46108</v>
      </c>
      <c r="B518" t="s">
        <v>520</v>
      </c>
      <c r="D518">
        <v>75418</v>
      </c>
      <c r="E518" t="s">
        <v>15</v>
      </c>
    </row>
    <row r="519" spans="1:7" hidden="1">
      <c r="A519" s="71">
        <v>46106</v>
      </c>
      <c r="B519" t="s">
        <v>520</v>
      </c>
      <c r="D519">
        <v>75279</v>
      </c>
      <c r="E519" t="s">
        <v>15</v>
      </c>
    </row>
    <row r="520" spans="1:7" hidden="1">
      <c r="A520" s="71">
        <v>46136</v>
      </c>
      <c r="B520" t="s">
        <v>522</v>
      </c>
      <c r="D520">
        <v>46461</v>
      </c>
      <c r="E520" t="s">
        <v>707</v>
      </c>
    </row>
    <row r="521" spans="1:7" hidden="1">
      <c r="A521" s="71">
        <v>46101</v>
      </c>
      <c r="B521" t="s">
        <v>522</v>
      </c>
      <c r="D521">
        <v>42979</v>
      </c>
      <c r="E521" t="s">
        <v>63</v>
      </c>
    </row>
    <row r="522" spans="1:7" hidden="1">
      <c r="A522" s="71">
        <v>46098</v>
      </c>
      <c r="B522" t="s">
        <v>522</v>
      </c>
      <c r="D522">
        <v>42560</v>
      </c>
      <c r="E522" t="s">
        <v>63</v>
      </c>
    </row>
    <row r="523" spans="1:7" hidden="1">
      <c r="A523" s="71">
        <v>46078</v>
      </c>
      <c r="B523" t="s">
        <v>522</v>
      </c>
      <c r="D523">
        <v>40452</v>
      </c>
    </row>
    <row r="524" spans="1:7" hidden="1">
      <c r="A524" s="71">
        <v>46133</v>
      </c>
      <c r="B524" t="s">
        <v>524</v>
      </c>
      <c r="D524">
        <v>84545</v>
      </c>
      <c r="E524" t="s">
        <v>707</v>
      </c>
    </row>
    <row r="525" spans="1:7" hidden="1">
      <c r="A525" s="71">
        <v>46111</v>
      </c>
      <c r="B525" t="s">
        <v>524</v>
      </c>
      <c r="D525">
        <v>81278</v>
      </c>
      <c r="E525" t="s">
        <v>675</v>
      </c>
    </row>
    <row r="526" spans="1:7" hidden="1">
      <c r="A526" s="71">
        <v>46107</v>
      </c>
      <c r="B526" t="s">
        <v>524</v>
      </c>
      <c r="E526" t="s">
        <v>675</v>
      </c>
      <c r="F526" t="s">
        <v>722</v>
      </c>
      <c r="G526" t="s">
        <v>677</v>
      </c>
    </row>
    <row r="527" spans="1:7" hidden="1">
      <c r="A527" s="71">
        <v>46105</v>
      </c>
      <c r="B527" t="s">
        <v>524</v>
      </c>
      <c r="E527" t="s">
        <v>675</v>
      </c>
      <c r="F527" t="s">
        <v>722</v>
      </c>
      <c r="G527" t="s">
        <v>677</v>
      </c>
    </row>
    <row r="528" spans="1:7" hidden="1">
      <c r="A528" s="71">
        <v>46108</v>
      </c>
      <c r="B528" t="s">
        <v>526</v>
      </c>
      <c r="D528">
        <v>55477</v>
      </c>
      <c r="E528" t="s">
        <v>51</v>
      </c>
    </row>
    <row r="529" spans="1:6" hidden="1">
      <c r="A529" s="71">
        <v>46101</v>
      </c>
      <c r="B529" t="s">
        <v>526</v>
      </c>
      <c r="D529">
        <v>54468</v>
      </c>
      <c r="E529" t="s">
        <v>51</v>
      </c>
    </row>
    <row r="530" spans="1:6" hidden="1">
      <c r="A530" s="71">
        <v>46099</v>
      </c>
      <c r="B530" t="s">
        <v>526</v>
      </c>
      <c r="D530">
        <v>54233</v>
      </c>
      <c r="E530" t="s">
        <v>51</v>
      </c>
    </row>
    <row r="531" spans="1:6" hidden="1">
      <c r="A531" s="71">
        <v>46078</v>
      </c>
      <c r="B531" t="s">
        <v>526</v>
      </c>
      <c r="D531">
        <v>51537</v>
      </c>
      <c r="E531" t="s">
        <v>51</v>
      </c>
    </row>
    <row r="532" spans="1:6" hidden="1">
      <c r="A532" s="71">
        <v>46120</v>
      </c>
      <c r="B532" t="s">
        <v>528</v>
      </c>
      <c r="D532">
        <v>67281</v>
      </c>
      <c r="E532" t="s">
        <v>514</v>
      </c>
    </row>
    <row r="533" spans="1:6" hidden="1">
      <c r="A533" s="71">
        <v>46118</v>
      </c>
      <c r="B533" t="s">
        <v>528</v>
      </c>
      <c r="D533">
        <v>67020</v>
      </c>
      <c r="E533" t="s">
        <v>514</v>
      </c>
    </row>
    <row r="534" spans="1:6" hidden="1">
      <c r="A534" s="71">
        <v>46113</v>
      </c>
      <c r="B534" t="s">
        <v>528</v>
      </c>
      <c r="D534">
        <v>66381</v>
      </c>
      <c r="E534" t="s">
        <v>514</v>
      </c>
    </row>
    <row r="535" spans="1:6" hidden="1">
      <c r="A535" s="71">
        <v>46111</v>
      </c>
      <c r="B535" t="s">
        <v>528</v>
      </c>
      <c r="D535">
        <v>65840</v>
      </c>
      <c r="E535" t="s">
        <v>514</v>
      </c>
    </row>
    <row r="536" spans="1:6" hidden="1">
      <c r="A536" s="71">
        <v>46133</v>
      </c>
      <c r="B536" t="s">
        <v>530</v>
      </c>
      <c r="D536">
        <v>69314</v>
      </c>
      <c r="E536" t="s">
        <v>720</v>
      </c>
    </row>
    <row r="537" spans="1:6" hidden="1">
      <c r="A537" s="71">
        <v>46106</v>
      </c>
      <c r="B537" t="s">
        <v>530</v>
      </c>
      <c r="D537">
        <v>65604</v>
      </c>
      <c r="E537" t="s">
        <v>15</v>
      </c>
    </row>
    <row r="538" spans="1:6" hidden="1">
      <c r="A538" s="71">
        <v>46104</v>
      </c>
      <c r="B538" t="s">
        <v>530</v>
      </c>
      <c r="D538">
        <v>65434</v>
      </c>
      <c r="E538" t="s">
        <v>15</v>
      </c>
    </row>
    <row r="539" spans="1:6" hidden="1">
      <c r="A539" s="71">
        <v>46101</v>
      </c>
      <c r="B539" t="s">
        <v>530</v>
      </c>
      <c r="D539">
        <v>64890</v>
      </c>
      <c r="E539" t="s">
        <v>206</v>
      </c>
    </row>
    <row r="540" spans="1:6" hidden="1">
      <c r="A540" s="71">
        <v>46136</v>
      </c>
      <c r="B540" t="s">
        <v>532</v>
      </c>
      <c r="D540">
        <v>74968</v>
      </c>
      <c r="E540" t="s">
        <v>707</v>
      </c>
    </row>
    <row r="541" spans="1:6" hidden="1">
      <c r="A541" s="71">
        <v>46133</v>
      </c>
      <c r="B541" t="s">
        <v>532</v>
      </c>
      <c r="D541">
        <v>74126</v>
      </c>
      <c r="E541" t="s">
        <v>723</v>
      </c>
    </row>
    <row r="542" spans="1:6" hidden="1">
      <c r="A542" s="71">
        <v>46112</v>
      </c>
      <c r="B542" t="s">
        <v>532</v>
      </c>
      <c r="D542">
        <v>71317</v>
      </c>
      <c r="E542" t="s">
        <v>15</v>
      </c>
    </row>
    <row r="543" spans="1:6" hidden="1">
      <c r="A543" s="71">
        <v>46108</v>
      </c>
      <c r="B543" t="s">
        <v>532</v>
      </c>
      <c r="D543">
        <v>70810</v>
      </c>
      <c r="E543" t="s">
        <v>15</v>
      </c>
    </row>
    <row r="544" spans="1:6" hidden="1">
      <c r="A544" s="71">
        <v>46105</v>
      </c>
      <c r="B544" t="s">
        <v>534</v>
      </c>
      <c r="D544">
        <v>86820</v>
      </c>
      <c r="E544" t="s">
        <v>327</v>
      </c>
      <c r="F544" t="s">
        <v>535</v>
      </c>
    </row>
    <row r="545" spans="1:7" hidden="1">
      <c r="A545" s="71">
        <v>46097</v>
      </c>
      <c r="B545" t="s">
        <v>534</v>
      </c>
      <c r="D545">
        <v>85654</v>
      </c>
      <c r="E545" t="s">
        <v>327</v>
      </c>
      <c r="F545" t="s">
        <v>535</v>
      </c>
    </row>
    <row r="546" spans="1:7" hidden="1">
      <c r="A546" s="71">
        <v>46139</v>
      </c>
      <c r="B546" t="s">
        <v>536</v>
      </c>
      <c r="D546">
        <v>81234</v>
      </c>
      <c r="E546" t="s">
        <v>702</v>
      </c>
    </row>
    <row r="547" spans="1:7" hidden="1">
      <c r="A547" s="71">
        <v>46108</v>
      </c>
      <c r="B547" t="s">
        <v>536</v>
      </c>
      <c r="D547">
        <v>77393</v>
      </c>
      <c r="E547" t="s">
        <v>316</v>
      </c>
      <c r="F547" t="s">
        <v>724</v>
      </c>
      <c r="G547" t="s">
        <v>677</v>
      </c>
    </row>
    <row r="548" spans="1:7" hidden="1">
      <c r="A548" s="71">
        <v>46098</v>
      </c>
      <c r="B548" t="s">
        <v>536</v>
      </c>
      <c r="D548">
        <v>75766</v>
      </c>
      <c r="E548" t="s">
        <v>316</v>
      </c>
      <c r="F548" t="s">
        <v>724</v>
      </c>
      <c r="G548" t="s">
        <v>677</v>
      </c>
    </row>
    <row r="549" spans="1:7" hidden="1">
      <c r="A549" s="71">
        <v>46094</v>
      </c>
      <c r="B549" t="s">
        <v>536</v>
      </c>
      <c r="D549">
        <v>75164</v>
      </c>
      <c r="E549" t="s">
        <v>316</v>
      </c>
      <c r="F549" t="s">
        <v>724</v>
      </c>
      <c r="G549" t="s">
        <v>677</v>
      </c>
    </row>
    <row r="550" spans="1:7" hidden="1">
      <c r="A550" s="71">
        <v>46133</v>
      </c>
      <c r="B550" t="s">
        <v>538</v>
      </c>
      <c r="D550">
        <v>87236</v>
      </c>
      <c r="E550" t="s">
        <v>26</v>
      </c>
    </row>
    <row r="551" spans="1:7" hidden="1">
      <c r="A551" s="71">
        <v>46114</v>
      </c>
      <c r="B551" t="s">
        <v>538</v>
      </c>
      <c r="D551">
        <v>83133</v>
      </c>
      <c r="E551" t="s">
        <v>675</v>
      </c>
    </row>
    <row r="552" spans="1:7" hidden="1">
      <c r="A552" s="71">
        <v>46113</v>
      </c>
      <c r="B552" t="s">
        <v>538</v>
      </c>
      <c r="D552">
        <v>82742</v>
      </c>
      <c r="E552" t="s">
        <v>675</v>
      </c>
    </row>
    <row r="553" spans="1:7" hidden="1">
      <c r="A553" s="71">
        <v>46099</v>
      </c>
      <c r="B553" t="s">
        <v>538</v>
      </c>
      <c r="D553">
        <v>78670</v>
      </c>
      <c r="E553" t="s">
        <v>675</v>
      </c>
    </row>
    <row r="554" spans="1:7" hidden="1">
      <c r="A554" s="71">
        <v>46133</v>
      </c>
      <c r="B554" t="s">
        <v>540</v>
      </c>
      <c r="D554">
        <v>99814</v>
      </c>
      <c r="E554" t="s">
        <v>719</v>
      </c>
    </row>
    <row r="555" spans="1:7" hidden="1">
      <c r="A555" s="71">
        <v>46073</v>
      </c>
      <c r="B555" t="s">
        <v>540</v>
      </c>
      <c r="D555">
        <v>94450</v>
      </c>
    </row>
    <row r="556" spans="1:7" hidden="1">
      <c r="A556" s="71">
        <v>46065</v>
      </c>
      <c r="B556" t="s">
        <v>540</v>
      </c>
      <c r="D556">
        <v>92773</v>
      </c>
    </row>
    <row r="557" spans="1:7" hidden="1">
      <c r="A557" s="71">
        <v>46064</v>
      </c>
      <c r="B557" t="s">
        <v>540</v>
      </c>
      <c r="D557">
        <v>92092</v>
      </c>
    </row>
    <row r="558" spans="1:7" hidden="1">
      <c r="A558" s="71">
        <v>46133</v>
      </c>
      <c r="B558" t="s">
        <v>542</v>
      </c>
      <c r="D558">
        <v>48159</v>
      </c>
      <c r="E558" t="s">
        <v>719</v>
      </c>
    </row>
    <row r="559" spans="1:7" hidden="1">
      <c r="A559" s="71">
        <v>46104</v>
      </c>
      <c r="B559" t="s">
        <v>542</v>
      </c>
      <c r="D559">
        <v>43874</v>
      </c>
      <c r="E559" t="s">
        <v>15</v>
      </c>
    </row>
    <row r="560" spans="1:7" hidden="1">
      <c r="A560" s="71">
        <v>46099</v>
      </c>
      <c r="B560" t="s">
        <v>542</v>
      </c>
      <c r="D560">
        <v>42906</v>
      </c>
      <c r="E560" t="s">
        <v>15</v>
      </c>
    </row>
    <row r="561" spans="1:7" hidden="1">
      <c r="A561" s="71">
        <v>46099</v>
      </c>
      <c r="B561" t="s">
        <v>542</v>
      </c>
      <c r="D561">
        <v>42906</v>
      </c>
      <c r="E561" t="s">
        <v>15</v>
      </c>
      <c r="F561" t="s">
        <v>725</v>
      </c>
      <c r="G561" t="s">
        <v>677</v>
      </c>
    </row>
    <row r="562" spans="1:7" hidden="1">
      <c r="A562" s="71">
        <v>46063</v>
      </c>
      <c r="B562" t="s">
        <v>544</v>
      </c>
      <c r="D562">
        <v>60050</v>
      </c>
    </row>
    <row r="563" spans="1:7" hidden="1">
      <c r="A563" s="71">
        <v>46062</v>
      </c>
      <c r="B563" t="s">
        <v>544</v>
      </c>
      <c r="D563">
        <v>59630</v>
      </c>
    </row>
    <row r="564" spans="1:7" hidden="1">
      <c r="A564" s="71">
        <v>46031</v>
      </c>
      <c r="B564" t="s">
        <v>544</v>
      </c>
      <c r="D564">
        <v>59377</v>
      </c>
    </row>
    <row r="565" spans="1:7" hidden="1">
      <c r="A565" s="71">
        <v>46031</v>
      </c>
      <c r="B565" t="s">
        <v>544</v>
      </c>
      <c r="D565">
        <v>59243</v>
      </c>
    </row>
    <row r="566" spans="1:7" hidden="1">
      <c r="A566" s="71">
        <v>46104</v>
      </c>
      <c r="B566" t="s">
        <v>546</v>
      </c>
      <c r="E566" t="s">
        <v>33</v>
      </c>
      <c r="F566" t="s">
        <v>726</v>
      </c>
      <c r="G566" t="s">
        <v>677</v>
      </c>
    </row>
    <row r="567" spans="1:7" hidden="1">
      <c r="A567" s="71">
        <v>46097</v>
      </c>
      <c r="B567" t="s">
        <v>546</v>
      </c>
      <c r="D567">
        <v>93371</v>
      </c>
      <c r="E567" t="s">
        <v>33</v>
      </c>
      <c r="F567" t="s">
        <v>727</v>
      </c>
      <c r="G567" t="s">
        <v>677</v>
      </c>
    </row>
    <row r="568" spans="1:7" hidden="1">
      <c r="A568" s="71">
        <v>46094</v>
      </c>
      <c r="B568" t="s">
        <v>546</v>
      </c>
      <c r="D568">
        <v>92535</v>
      </c>
      <c r="E568" t="s">
        <v>33</v>
      </c>
      <c r="F568" t="s">
        <v>728</v>
      </c>
      <c r="G568" t="s">
        <v>677</v>
      </c>
    </row>
    <row r="569" spans="1:7" hidden="1">
      <c r="A569" s="71">
        <v>46094</v>
      </c>
      <c r="B569" t="s">
        <v>546</v>
      </c>
      <c r="D569">
        <v>92535</v>
      </c>
      <c r="E569" t="s">
        <v>729</v>
      </c>
    </row>
    <row r="570" spans="1:7" hidden="1">
      <c r="A570" s="71">
        <v>46085</v>
      </c>
      <c r="B570" t="s">
        <v>547</v>
      </c>
      <c r="D570">
        <v>34811</v>
      </c>
    </row>
    <row r="571" spans="1:7" hidden="1">
      <c r="A571" s="71">
        <v>46066</v>
      </c>
      <c r="B571" t="s">
        <v>547</v>
      </c>
      <c r="D571">
        <v>33419</v>
      </c>
    </row>
    <row r="572" spans="1:7" hidden="1">
      <c r="A572" s="71">
        <v>46021</v>
      </c>
      <c r="B572" t="s">
        <v>547</v>
      </c>
      <c r="D572">
        <v>30303</v>
      </c>
    </row>
    <row r="573" spans="1:7" hidden="1">
      <c r="A573" s="71">
        <v>46133</v>
      </c>
      <c r="B573" t="s">
        <v>551</v>
      </c>
      <c r="D573">
        <v>22731</v>
      </c>
    </row>
    <row r="574" spans="1:7" hidden="1">
      <c r="A574" s="71">
        <v>46112</v>
      </c>
      <c r="B574" t="s">
        <v>551</v>
      </c>
      <c r="D574">
        <v>19788</v>
      </c>
      <c r="E574" t="s">
        <v>15</v>
      </c>
    </row>
    <row r="575" spans="1:7" hidden="1">
      <c r="A575" s="71">
        <v>46108</v>
      </c>
      <c r="B575" t="s">
        <v>551</v>
      </c>
      <c r="D575">
        <v>19236</v>
      </c>
      <c r="E575" t="s">
        <v>15</v>
      </c>
    </row>
    <row r="576" spans="1:7" hidden="1">
      <c r="A576" s="71">
        <v>46106</v>
      </c>
      <c r="B576" t="s">
        <v>551</v>
      </c>
      <c r="D576">
        <v>19065</v>
      </c>
      <c r="E576" t="s">
        <v>15</v>
      </c>
    </row>
    <row r="577" spans="1:7" hidden="1">
      <c r="A577" s="71">
        <v>46101</v>
      </c>
      <c r="B577" t="s">
        <v>553</v>
      </c>
      <c r="D577">
        <v>23789</v>
      </c>
    </row>
    <row r="578" spans="1:7" hidden="1">
      <c r="A578" s="71">
        <v>46057</v>
      </c>
      <c r="B578" t="s">
        <v>553</v>
      </c>
      <c r="D578">
        <v>23669</v>
      </c>
    </row>
    <row r="579" spans="1:7" hidden="1">
      <c r="A579" s="71">
        <v>46107</v>
      </c>
      <c r="B579" t="s">
        <v>554</v>
      </c>
      <c r="D579">
        <v>18053</v>
      </c>
      <c r="E579" t="s">
        <v>33</v>
      </c>
    </row>
    <row r="580" spans="1:7" hidden="1">
      <c r="A580" s="71">
        <v>46101</v>
      </c>
      <c r="B580" t="s">
        <v>554</v>
      </c>
      <c r="D580">
        <v>17406</v>
      </c>
      <c r="E580" t="s">
        <v>33</v>
      </c>
    </row>
    <row r="581" spans="1:7" hidden="1">
      <c r="A581" s="71">
        <v>46101</v>
      </c>
      <c r="B581" t="s">
        <v>554</v>
      </c>
      <c r="D581">
        <v>17406</v>
      </c>
      <c r="E581" t="s">
        <v>33</v>
      </c>
      <c r="F581" t="s">
        <v>730</v>
      </c>
      <c r="G581" t="s">
        <v>677</v>
      </c>
    </row>
    <row r="582" spans="1:7" hidden="1">
      <c r="A582" s="71">
        <v>46097</v>
      </c>
      <c r="B582" t="s">
        <v>554</v>
      </c>
      <c r="D582">
        <v>16420</v>
      </c>
      <c r="E582" t="s">
        <v>33</v>
      </c>
      <c r="F582" t="s">
        <v>731</v>
      </c>
      <c r="G582" t="s">
        <v>677</v>
      </c>
    </row>
    <row r="583" spans="1:7" hidden="1">
      <c r="A583" s="71">
        <v>46133</v>
      </c>
      <c r="B583" t="s">
        <v>556</v>
      </c>
      <c r="D583">
        <v>24785</v>
      </c>
    </row>
    <row r="584" spans="1:7" hidden="1">
      <c r="A584" s="71">
        <v>46076</v>
      </c>
      <c r="B584" t="s">
        <v>556</v>
      </c>
      <c r="D584">
        <v>18398</v>
      </c>
    </row>
    <row r="585" spans="1:7" hidden="1">
      <c r="A585" s="71">
        <v>46072</v>
      </c>
      <c r="B585" t="s">
        <v>556</v>
      </c>
      <c r="D585">
        <v>17698</v>
      </c>
    </row>
    <row r="586" spans="1:7" hidden="1">
      <c r="A586" s="71">
        <v>46070</v>
      </c>
      <c r="B586" t="s">
        <v>556</v>
      </c>
      <c r="D586">
        <v>17513</v>
      </c>
    </row>
    <row r="587" spans="1:7" hidden="1">
      <c r="A587" s="71">
        <v>46133</v>
      </c>
      <c r="B587" t="s">
        <v>557</v>
      </c>
      <c r="D587">
        <v>28123</v>
      </c>
    </row>
    <row r="588" spans="1:7" hidden="1">
      <c r="A588" s="71">
        <v>46114</v>
      </c>
      <c r="B588" t="s">
        <v>557</v>
      </c>
      <c r="D588">
        <v>25212</v>
      </c>
      <c r="E588" t="s">
        <v>675</v>
      </c>
    </row>
    <row r="589" spans="1:7" hidden="1">
      <c r="A589" s="71">
        <v>46107</v>
      </c>
      <c r="B589" t="s">
        <v>557</v>
      </c>
      <c r="D589">
        <v>23813</v>
      </c>
      <c r="E589" t="s">
        <v>675</v>
      </c>
    </row>
    <row r="590" spans="1:7" hidden="1">
      <c r="A590" s="71">
        <v>46107</v>
      </c>
      <c r="B590" t="s">
        <v>557</v>
      </c>
      <c r="D590">
        <v>23813</v>
      </c>
      <c r="E590" t="s">
        <v>675</v>
      </c>
      <c r="F590" t="s">
        <v>732</v>
      </c>
      <c r="G590" t="s">
        <v>677</v>
      </c>
    </row>
    <row r="591" spans="1:7" hidden="1">
      <c r="A591" s="71">
        <v>44998</v>
      </c>
      <c r="B591" t="s">
        <v>563</v>
      </c>
      <c r="D591">
        <v>510507</v>
      </c>
    </row>
    <row r="592" spans="1:7" hidden="1">
      <c r="A592" s="71">
        <v>46080</v>
      </c>
      <c r="B592" t="s">
        <v>567</v>
      </c>
      <c r="D592">
        <v>559749</v>
      </c>
    </row>
    <row r="593" spans="1:5" hidden="1">
      <c r="A593" s="71">
        <v>46078</v>
      </c>
      <c r="B593" t="s">
        <v>567</v>
      </c>
      <c r="D593">
        <v>559552</v>
      </c>
    </row>
    <row r="594" spans="1:5" hidden="1">
      <c r="A594" s="71">
        <v>46076</v>
      </c>
      <c r="B594" t="s">
        <v>567</v>
      </c>
      <c r="D594">
        <v>559311</v>
      </c>
    </row>
    <row r="595" spans="1:5" hidden="1">
      <c r="A595" s="71">
        <v>45000</v>
      </c>
      <c r="B595" t="s">
        <v>569</v>
      </c>
      <c r="D595">
        <v>256600</v>
      </c>
    </row>
    <row r="596" spans="1:5" hidden="1">
      <c r="A596" s="71">
        <v>44320</v>
      </c>
      <c r="B596" t="s">
        <v>733</v>
      </c>
      <c r="D596">
        <v>106150</v>
      </c>
    </row>
    <row r="597" spans="1:5" hidden="1">
      <c r="A597" s="71">
        <v>45190</v>
      </c>
      <c r="B597" t="s">
        <v>573</v>
      </c>
      <c r="D597">
        <v>113489</v>
      </c>
    </row>
    <row r="598" spans="1:5" hidden="1">
      <c r="A598" s="71">
        <v>46104</v>
      </c>
      <c r="B598" t="s">
        <v>581</v>
      </c>
      <c r="D598">
        <v>153871</v>
      </c>
      <c r="E598" t="s">
        <v>33</v>
      </c>
    </row>
    <row r="599" spans="1:5" hidden="1">
      <c r="A599" s="71">
        <v>46101</v>
      </c>
      <c r="B599" t="s">
        <v>581</v>
      </c>
      <c r="D599">
        <v>152842</v>
      </c>
      <c r="E599" t="s">
        <v>33</v>
      </c>
    </row>
    <row r="600" spans="1:5" hidden="1">
      <c r="A600" s="71">
        <v>46083</v>
      </c>
      <c r="B600" t="s">
        <v>581</v>
      </c>
      <c r="D600">
        <v>150457</v>
      </c>
      <c r="E600" t="s">
        <v>33</v>
      </c>
    </row>
    <row r="601" spans="1:5" hidden="1">
      <c r="A601" s="71">
        <v>46080</v>
      </c>
      <c r="B601" t="s">
        <v>581</v>
      </c>
      <c r="D601">
        <v>149771</v>
      </c>
    </row>
    <row r="602" spans="1:5" hidden="1">
      <c r="A602" s="71">
        <v>46133</v>
      </c>
      <c r="B602" t="s">
        <v>584</v>
      </c>
      <c r="D602">
        <v>188442</v>
      </c>
      <c r="E602" t="s">
        <v>26</v>
      </c>
    </row>
    <row r="603" spans="1:5" hidden="1">
      <c r="A603" s="71">
        <v>46034</v>
      </c>
      <c r="B603" t="s">
        <v>584</v>
      </c>
      <c r="D603">
        <v>187031</v>
      </c>
    </row>
    <row r="604" spans="1:5" hidden="1">
      <c r="A604" s="71">
        <v>46030</v>
      </c>
      <c r="B604" t="s">
        <v>584</v>
      </c>
      <c r="D604">
        <v>186218</v>
      </c>
    </row>
    <row r="605" spans="1:5" hidden="1">
      <c r="A605" s="71">
        <v>46133</v>
      </c>
      <c r="B605" t="s">
        <v>586</v>
      </c>
      <c r="D605">
        <v>242494</v>
      </c>
      <c r="E605" t="s">
        <v>26</v>
      </c>
    </row>
    <row r="606" spans="1:5" hidden="1">
      <c r="A606" s="71">
        <v>46100</v>
      </c>
      <c r="B606" t="s">
        <v>586</v>
      </c>
      <c r="D606">
        <v>240293</v>
      </c>
      <c r="E606" t="s">
        <v>63</v>
      </c>
    </row>
    <row r="607" spans="1:5" hidden="1">
      <c r="A607" s="71">
        <v>46079</v>
      </c>
      <c r="B607" t="s">
        <v>586</v>
      </c>
      <c r="D607">
        <v>237260</v>
      </c>
    </row>
    <row r="608" spans="1:5" hidden="1">
      <c r="A608" s="71">
        <v>46076</v>
      </c>
      <c r="B608" t="s">
        <v>586</v>
      </c>
      <c r="D608">
        <v>237160</v>
      </c>
    </row>
    <row r="609" spans="1:7" hidden="1">
      <c r="A609" s="71">
        <v>46098</v>
      </c>
      <c r="B609" t="s">
        <v>588</v>
      </c>
      <c r="D609">
        <v>227541</v>
      </c>
      <c r="E609" t="s">
        <v>63</v>
      </c>
    </row>
    <row r="610" spans="1:7" hidden="1">
      <c r="A610" s="71">
        <v>46092</v>
      </c>
      <c r="B610" t="s">
        <v>588</v>
      </c>
      <c r="D610">
        <v>226726</v>
      </c>
      <c r="E610" t="s">
        <v>589</v>
      </c>
      <c r="F610" t="s">
        <v>590</v>
      </c>
      <c r="G610" t="s">
        <v>677</v>
      </c>
    </row>
    <row r="611" spans="1:7" hidden="1">
      <c r="A611" s="71">
        <v>46077</v>
      </c>
      <c r="B611" t="s">
        <v>588</v>
      </c>
      <c r="D611">
        <v>224814</v>
      </c>
    </row>
    <row r="612" spans="1:7" hidden="1">
      <c r="A612" s="71">
        <v>46076</v>
      </c>
      <c r="B612" t="s">
        <v>588</v>
      </c>
      <c r="D612">
        <v>224581</v>
      </c>
    </row>
    <row r="613" spans="1:7" hidden="1">
      <c r="A613" s="71">
        <v>46066</v>
      </c>
      <c r="B613" t="s">
        <v>593</v>
      </c>
      <c r="D613">
        <v>147597</v>
      </c>
    </row>
    <row r="614" spans="1:7" hidden="1">
      <c r="A614" s="71">
        <v>46009</v>
      </c>
      <c r="B614" t="s">
        <v>593</v>
      </c>
      <c r="D614">
        <v>138220</v>
      </c>
    </row>
    <row r="615" spans="1:7" hidden="1">
      <c r="A615" s="71">
        <v>44851</v>
      </c>
      <c r="B615" t="s">
        <v>596</v>
      </c>
      <c r="D615" t="s">
        <v>734</v>
      </c>
    </row>
    <row r="616" spans="1:7" hidden="1">
      <c r="A616" s="71">
        <v>44643</v>
      </c>
      <c r="B616" t="s">
        <v>596</v>
      </c>
      <c r="D616">
        <v>118036</v>
      </c>
    </row>
    <row r="617" spans="1:7" hidden="1">
      <c r="A617" s="71">
        <v>45064</v>
      </c>
      <c r="B617" t="s">
        <v>735</v>
      </c>
      <c r="D617">
        <v>246972</v>
      </c>
    </row>
    <row r="618" spans="1:7" hidden="1">
      <c r="A618" s="71">
        <v>46045</v>
      </c>
      <c r="B618" t="s">
        <v>603</v>
      </c>
      <c r="D618">
        <v>137077</v>
      </c>
    </row>
    <row r="619" spans="1:7" hidden="1">
      <c r="A619" s="71">
        <v>46043</v>
      </c>
      <c r="B619" t="s">
        <v>603</v>
      </c>
      <c r="D619">
        <v>135845</v>
      </c>
    </row>
    <row r="620" spans="1:7" hidden="1">
      <c r="A620" s="71">
        <v>46041</v>
      </c>
      <c r="B620" t="s">
        <v>603</v>
      </c>
      <c r="D620">
        <v>136563</v>
      </c>
    </row>
    <row r="621" spans="1:7" hidden="1">
      <c r="A621" s="71">
        <v>46035</v>
      </c>
      <c r="B621" t="s">
        <v>603</v>
      </c>
      <c r="D621">
        <v>136003</v>
      </c>
    </row>
    <row r="622" spans="1:7" hidden="1">
      <c r="A622" s="71">
        <v>46133</v>
      </c>
      <c r="B622" t="s">
        <v>604</v>
      </c>
      <c r="D622">
        <v>170476</v>
      </c>
      <c r="E622" t="s">
        <v>26</v>
      </c>
    </row>
    <row r="623" spans="1:7" hidden="1">
      <c r="A623" s="71">
        <v>46113</v>
      </c>
      <c r="B623" t="s">
        <v>604</v>
      </c>
      <c r="D623">
        <v>168135</v>
      </c>
      <c r="E623" t="s">
        <v>675</v>
      </c>
    </row>
    <row r="624" spans="1:7" hidden="1">
      <c r="A624" s="71">
        <v>46111</v>
      </c>
      <c r="B624" t="s">
        <v>604</v>
      </c>
      <c r="D624">
        <v>167753</v>
      </c>
      <c r="E624" t="s">
        <v>675</v>
      </c>
    </row>
    <row r="625" spans="1:7" hidden="1">
      <c r="A625" s="71">
        <v>46091</v>
      </c>
      <c r="B625" t="s">
        <v>604</v>
      </c>
      <c r="D625">
        <v>166412</v>
      </c>
    </row>
    <row r="626" spans="1:7" hidden="1">
      <c r="A626" s="71">
        <v>46133</v>
      </c>
      <c r="B626" t="s">
        <v>606</v>
      </c>
      <c r="D626">
        <v>148370</v>
      </c>
      <c r="E626" t="s">
        <v>723</v>
      </c>
    </row>
    <row r="627" spans="1:7" hidden="1">
      <c r="A627" s="71">
        <v>46112</v>
      </c>
      <c r="B627" t="s">
        <v>606</v>
      </c>
      <c r="D627">
        <v>144264</v>
      </c>
      <c r="E627" t="s">
        <v>15</v>
      </c>
    </row>
    <row r="628" spans="1:7" hidden="1">
      <c r="A628" s="71">
        <v>46106</v>
      </c>
      <c r="B628" t="s">
        <v>606</v>
      </c>
      <c r="D628">
        <v>143843</v>
      </c>
      <c r="E628" t="s">
        <v>15</v>
      </c>
    </row>
    <row r="629" spans="1:7" hidden="1">
      <c r="A629" s="71">
        <v>46092</v>
      </c>
      <c r="B629" t="s">
        <v>606</v>
      </c>
      <c r="D629">
        <v>140796</v>
      </c>
      <c r="E629" t="s">
        <v>589</v>
      </c>
      <c r="G629" t="s">
        <v>677</v>
      </c>
    </row>
    <row r="630" spans="1:7" hidden="1">
      <c r="A630" s="71">
        <v>46133</v>
      </c>
      <c r="B630" t="s">
        <v>608</v>
      </c>
      <c r="D630">
        <v>150214</v>
      </c>
      <c r="E630" t="s">
        <v>344</v>
      </c>
    </row>
    <row r="631" spans="1:7" hidden="1">
      <c r="A631" s="71">
        <v>46113</v>
      </c>
      <c r="B631" t="s">
        <v>608</v>
      </c>
      <c r="D631">
        <v>148559</v>
      </c>
      <c r="E631" t="s">
        <v>675</v>
      </c>
    </row>
    <row r="632" spans="1:7" hidden="1">
      <c r="A632" s="71">
        <v>46111</v>
      </c>
      <c r="B632" t="s">
        <v>608</v>
      </c>
      <c r="D632">
        <v>149192</v>
      </c>
      <c r="E632" t="s">
        <v>675</v>
      </c>
    </row>
    <row r="633" spans="1:7" hidden="1">
      <c r="A633" s="71">
        <v>46108</v>
      </c>
      <c r="B633" t="s">
        <v>608</v>
      </c>
      <c r="D633">
        <v>147793</v>
      </c>
      <c r="E633" t="s">
        <v>675</v>
      </c>
    </row>
    <row r="634" spans="1:7" hidden="1">
      <c r="A634" s="71">
        <v>46107</v>
      </c>
      <c r="B634" t="s">
        <v>610</v>
      </c>
      <c r="D634">
        <v>143354</v>
      </c>
      <c r="E634" t="s">
        <v>33</v>
      </c>
    </row>
    <row r="635" spans="1:7" hidden="1">
      <c r="A635" s="71">
        <v>46104</v>
      </c>
      <c r="B635" t="s">
        <v>610</v>
      </c>
      <c r="D635">
        <v>142813</v>
      </c>
      <c r="E635" t="s">
        <v>33</v>
      </c>
    </row>
    <row r="636" spans="1:7" hidden="1">
      <c r="A636" s="71">
        <v>46101</v>
      </c>
      <c r="B636" t="s">
        <v>610</v>
      </c>
      <c r="D636">
        <v>142418</v>
      </c>
      <c r="E636" t="s">
        <v>33</v>
      </c>
    </row>
    <row r="637" spans="1:7" hidden="1">
      <c r="A637" s="71">
        <v>46083</v>
      </c>
      <c r="B637" t="s">
        <v>610</v>
      </c>
      <c r="D637">
        <v>139427</v>
      </c>
      <c r="E637" t="s">
        <v>33</v>
      </c>
    </row>
    <row r="638" spans="1:7" hidden="1">
      <c r="A638" s="71">
        <v>46007</v>
      </c>
      <c r="B638" t="s">
        <v>615</v>
      </c>
      <c r="D638">
        <v>153679</v>
      </c>
    </row>
    <row r="639" spans="1:7">
      <c r="A639" s="71">
        <v>46114</v>
      </c>
      <c r="B639" t="s">
        <v>620</v>
      </c>
      <c r="D639">
        <v>306341</v>
      </c>
      <c r="E639" t="s">
        <v>680</v>
      </c>
    </row>
    <row r="640" spans="1:7">
      <c r="A640" s="71">
        <v>46099</v>
      </c>
      <c r="B640" t="s">
        <v>620</v>
      </c>
      <c r="D640">
        <v>303885</v>
      </c>
      <c r="E640" t="s">
        <v>680</v>
      </c>
    </row>
    <row r="641" spans="1:7">
      <c r="A641" s="71">
        <v>46099</v>
      </c>
      <c r="B641" t="s">
        <v>620</v>
      </c>
      <c r="D641">
        <v>303885</v>
      </c>
      <c r="E641" t="s">
        <v>680</v>
      </c>
      <c r="F641" t="s">
        <v>736</v>
      </c>
      <c r="G641" t="s">
        <v>677</v>
      </c>
    </row>
    <row r="642" spans="1:7">
      <c r="A642" s="71">
        <v>46091</v>
      </c>
      <c r="B642" t="s">
        <v>620</v>
      </c>
      <c r="D642">
        <v>302604</v>
      </c>
      <c r="E642" t="s">
        <v>680</v>
      </c>
      <c r="F642" t="s">
        <v>736</v>
      </c>
    </row>
    <row r="643" spans="1:7" hidden="1">
      <c r="A643" s="71">
        <v>46133</v>
      </c>
      <c r="B643" t="s">
        <v>623</v>
      </c>
      <c r="D643">
        <v>266420</v>
      </c>
      <c r="E643" t="s">
        <v>26</v>
      </c>
    </row>
    <row r="644" spans="1:7" hidden="1">
      <c r="A644" s="71">
        <v>46112</v>
      </c>
      <c r="B644" t="s">
        <v>623</v>
      </c>
      <c r="D644">
        <v>264620</v>
      </c>
      <c r="E644" t="s">
        <v>15</v>
      </c>
    </row>
    <row r="645" spans="1:7" hidden="1">
      <c r="A645" s="71">
        <v>46101</v>
      </c>
      <c r="B645" t="s">
        <v>623</v>
      </c>
      <c r="D645">
        <v>263250</v>
      </c>
      <c r="E645" t="s">
        <v>15</v>
      </c>
    </row>
    <row r="646" spans="1:7" hidden="1">
      <c r="A646" s="71">
        <v>46101</v>
      </c>
      <c r="B646" t="s">
        <v>623</v>
      </c>
      <c r="D646">
        <v>263250</v>
      </c>
      <c r="E646" t="s">
        <v>15</v>
      </c>
      <c r="F646" t="s">
        <v>624</v>
      </c>
      <c r="G646" t="s">
        <v>677</v>
      </c>
    </row>
    <row r="647" spans="1:7" hidden="1">
      <c r="A647" s="71">
        <v>46104</v>
      </c>
      <c r="B647" t="s">
        <v>625</v>
      </c>
      <c r="D647">
        <v>263620</v>
      </c>
      <c r="E647" t="s">
        <v>15</v>
      </c>
    </row>
    <row r="648" spans="1:7" hidden="1">
      <c r="A648" s="71">
        <v>46133</v>
      </c>
      <c r="B648" t="s">
        <v>626</v>
      </c>
      <c r="D648">
        <v>155441</v>
      </c>
      <c r="E648" t="s">
        <v>737</v>
      </c>
    </row>
    <row r="649" spans="1:7" hidden="1">
      <c r="A649" s="71">
        <v>46111</v>
      </c>
      <c r="B649" t="s">
        <v>626</v>
      </c>
      <c r="D649">
        <v>152955</v>
      </c>
      <c r="E649" t="s">
        <v>675</v>
      </c>
    </row>
    <row r="650" spans="1:7" hidden="1">
      <c r="A650" s="71">
        <v>46108</v>
      </c>
      <c r="B650" t="s">
        <v>626</v>
      </c>
      <c r="D650">
        <v>152564</v>
      </c>
      <c r="E650" t="s">
        <v>675</v>
      </c>
    </row>
    <row r="651" spans="1:7" hidden="1">
      <c r="A651" s="71">
        <v>46105</v>
      </c>
      <c r="B651" t="s">
        <v>626</v>
      </c>
      <c r="D651">
        <v>152100</v>
      </c>
      <c r="E651" t="s">
        <v>675</v>
      </c>
    </row>
    <row r="652" spans="1:7" hidden="1">
      <c r="A652" s="71">
        <v>46104</v>
      </c>
      <c r="B652" t="s">
        <v>628</v>
      </c>
      <c r="D652">
        <v>125496</v>
      </c>
      <c r="E652" t="s">
        <v>33</v>
      </c>
    </row>
    <row r="653" spans="1:7" hidden="1">
      <c r="A653" s="71">
        <v>46101</v>
      </c>
      <c r="B653" t="s">
        <v>628</v>
      </c>
      <c r="D653">
        <v>124575</v>
      </c>
      <c r="E653" t="s">
        <v>33</v>
      </c>
    </row>
    <row r="654" spans="1:7" hidden="1">
      <c r="A654" s="71">
        <v>46099</v>
      </c>
      <c r="B654" t="s">
        <v>628</v>
      </c>
      <c r="D654">
        <v>124330</v>
      </c>
      <c r="E654" t="s">
        <v>33</v>
      </c>
    </row>
    <row r="655" spans="1:7" hidden="1">
      <c r="A655" s="71">
        <v>46083</v>
      </c>
      <c r="B655" t="s">
        <v>628</v>
      </c>
      <c r="D655">
        <v>122294</v>
      </c>
    </row>
    <row r="656" spans="1:7" hidden="1">
      <c r="A656" s="71">
        <v>46069</v>
      </c>
      <c r="B656" t="s">
        <v>630</v>
      </c>
      <c r="D656">
        <v>105621</v>
      </c>
    </row>
    <row r="657" spans="1:5" hidden="1">
      <c r="A657" s="71">
        <v>46059</v>
      </c>
      <c r="B657" t="s">
        <v>630</v>
      </c>
      <c r="D657">
        <v>108975</v>
      </c>
    </row>
    <row r="658" spans="1:5" hidden="1">
      <c r="A658" s="71">
        <v>46058</v>
      </c>
      <c r="B658" t="s">
        <v>630</v>
      </c>
      <c r="D658">
        <v>108837</v>
      </c>
    </row>
    <row r="659" spans="1:5" hidden="1">
      <c r="A659" s="71">
        <v>46049</v>
      </c>
      <c r="B659" t="s">
        <v>630</v>
      </c>
      <c r="D659">
        <v>107827</v>
      </c>
    </row>
    <row r="660" spans="1:5" hidden="1">
      <c r="A660" s="71">
        <v>46136</v>
      </c>
      <c r="B660" t="s">
        <v>632</v>
      </c>
      <c r="E660" t="s">
        <v>707</v>
      </c>
    </row>
    <row r="661" spans="1:5" hidden="1">
      <c r="A661" s="71">
        <v>46133</v>
      </c>
      <c r="B661" t="s">
        <v>632</v>
      </c>
      <c r="D661">
        <v>134800</v>
      </c>
      <c r="E661" t="s">
        <v>200</v>
      </c>
    </row>
    <row r="662" spans="1:5" hidden="1">
      <c r="A662" s="71">
        <v>46111</v>
      </c>
      <c r="B662" t="s">
        <v>632</v>
      </c>
      <c r="D662">
        <v>131346</v>
      </c>
    </row>
    <row r="663" spans="1:5" hidden="1">
      <c r="A663" s="71">
        <v>46101</v>
      </c>
      <c r="B663" t="s">
        <v>632</v>
      </c>
      <c r="D663">
        <v>129410</v>
      </c>
      <c r="E663" t="s">
        <v>63</v>
      </c>
    </row>
    <row r="664" spans="1:5" hidden="1">
      <c r="A664" s="71">
        <v>46133</v>
      </c>
      <c r="B664" t="s">
        <v>634</v>
      </c>
      <c r="D664">
        <v>114573</v>
      </c>
      <c r="E664" t="s">
        <v>26</v>
      </c>
    </row>
    <row r="665" spans="1:5" hidden="1">
      <c r="A665" s="71">
        <v>46114</v>
      </c>
      <c r="B665" t="s">
        <v>634</v>
      </c>
      <c r="D665">
        <v>113324</v>
      </c>
      <c r="E665" t="s">
        <v>675</v>
      </c>
    </row>
    <row r="666" spans="1:5" hidden="1">
      <c r="A666" s="71">
        <v>46111</v>
      </c>
      <c r="B666" t="s">
        <v>634</v>
      </c>
      <c r="D666">
        <v>112901</v>
      </c>
      <c r="E666" t="s">
        <v>675</v>
      </c>
    </row>
    <row r="667" spans="1:5" hidden="1">
      <c r="A667" s="71">
        <v>46108</v>
      </c>
      <c r="B667" t="s">
        <v>634</v>
      </c>
      <c r="D667">
        <v>112676</v>
      </c>
      <c r="E667" t="s">
        <v>675</v>
      </c>
    </row>
    <row r="668" spans="1:5" hidden="1">
      <c r="A668" s="71">
        <v>46111</v>
      </c>
      <c r="B668" t="s">
        <v>636</v>
      </c>
      <c r="D668">
        <v>95862</v>
      </c>
      <c r="E668" t="s">
        <v>51</v>
      </c>
    </row>
    <row r="669" spans="1:5" hidden="1">
      <c r="A669" s="71">
        <v>46108</v>
      </c>
      <c r="B669" t="s">
        <v>636</v>
      </c>
      <c r="D669">
        <v>95309</v>
      </c>
      <c r="E669" t="s">
        <v>51</v>
      </c>
    </row>
    <row r="670" spans="1:5" hidden="1">
      <c r="A670" s="71">
        <v>46101</v>
      </c>
      <c r="B670" t="s">
        <v>636</v>
      </c>
      <c r="D670">
        <v>95091</v>
      </c>
      <c r="E670" t="s">
        <v>51</v>
      </c>
    </row>
    <row r="671" spans="1:5" hidden="1">
      <c r="A671" s="71">
        <v>46076</v>
      </c>
      <c r="B671" t="s">
        <v>636</v>
      </c>
      <c r="D671">
        <v>90312</v>
      </c>
      <c r="E671" t="s">
        <v>51</v>
      </c>
    </row>
    <row r="672" spans="1:5" hidden="1">
      <c r="A672" s="71">
        <v>46107</v>
      </c>
      <c r="B672" t="s">
        <v>638</v>
      </c>
      <c r="D672">
        <v>110977</v>
      </c>
      <c r="E672" t="s">
        <v>33</v>
      </c>
    </row>
    <row r="673" spans="1:7" hidden="1">
      <c r="A673" s="71">
        <v>46101</v>
      </c>
      <c r="B673" t="s">
        <v>638</v>
      </c>
      <c r="D673">
        <v>109773</v>
      </c>
      <c r="E673" t="s">
        <v>33</v>
      </c>
    </row>
    <row r="674" spans="1:7" hidden="1">
      <c r="A674" s="71">
        <v>46080</v>
      </c>
      <c r="B674" t="s">
        <v>638</v>
      </c>
      <c r="D674">
        <v>107236</v>
      </c>
    </row>
    <row r="675" spans="1:7" hidden="1">
      <c r="A675" s="71">
        <v>46079</v>
      </c>
      <c r="B675" t="s">
        <v>638</v>
      </c>
      <c r="D675">
        <v>106998</v>
      </c>
    </row>
    <row r="676" spans="1:7" hidden="1">
      <c r="A676" s="71">
        <v>46104</v>
      </c>
      <c r="B676" t="s">
        <v>639</v>
      </c>
      <c r="D676">
        <v>93964</v>
      </c>
      <c r="E676" t="s">
        <v>33</v>
      </c>
    </row>
    <row r="677" spans="1:7" hidden="1">
      <c r="A677" s="71">
        <v>46101</v>
      </c>
      <c r="B677" t="s">
        <v>639</v>
      </c>
      <c r="D677">
        <v>93231</v>
      </c>
      <c r="E677" t="s">
        <v>33</v>
      </c>
    </row>
    <row r="678" spans="1:7" hidden="1">
      <c r="A678" s="71">
        <v>46101</v>
      </c>
      <c r="B678" t="s">
        <v>639</v>
      </c>
      <c r="D678">
        <v>92994</v>
      </c>
      <c r="E678" t="s">
        <v>33</v>
      </c>
      <c r="F678" t="s">
        <v>738</v>
      </c>
      <c r="G678" t="s">
        <v>739</v>
      </c>
    </row>
    <row r="679" spans="1:7" hidden="1">
      <c r="A679" s="71">
        <v>46098</v>
      </c>
      <c r="B679" t="s">
        <v>639</v>
      </c>
      <c r="D679">
        <v>92723</v>
      </c>
      <c r="E679" t="s">
        <v>33</v>
      </c>
    </row>
    <row r="680" spans="1:7" hidden="1">
      <c r="A680" s="71">
        <v>46136</v>
      </c>
      <c r="B680" t="s">
        <v>641</v>
      </c>
      <c r="D680">
        <v>151721</v>
      </c>
      <c r="E680" t="s">
        <v>707</v>
      </c>
    </row>
    <row r="681" spans="1:7" hidden="1">
      <c r="A681" s="71">
        <v>46133</v>
      </c>
      <c r="B681" t="s">
        <v>641</v>
      </c>
      <c r="D681">
        <v>150765</v>
      </c>
      <c r="E681" t="s">
        <v>707</v>
      </c>
    </row>
    <row r="682" spans="1:7" hidden="1">
      <c r="A682" s="71">
        <v>46101</v>
      </c>
      <c r="B682" t="s">
        <v>641</v>
      </c>
      <c r="D682">
        <v>146056</v>
      </c>
      <c r="E682" t="s">
        <v>63</v>
      </c>
    </row>
    <row r="683" spans="1:7" hidden="1">
      <c r="A683" s="71">
        <v>46098</v>
      </c>
      <c r="B683" t="s">
        <v>641</v>
      </c>
      <c r="D683">
        <v>145462</v>
      </c>
      <c r="E683" t="s">
        <v>63</v>
      </c>
    </row>
    <row r="684" spans="1:7" hidden="1">
      <c r="A684" s="71">
        <v>46133</v>
      </c>
      <c r="B684" t="s">
        <v>643</v>
      </c>
      <c r="D684">
        <v>133636</v>
      </c>
      <c r="E684" t="s">
        <v>723</v>
      </c>
    </row>
    <row r="685" spans="1:7" hidden="1">
      <c r="A685" s="71">
        <v>46105</v>
      </c>
      <c r="B685" t="s">
        <v>643</v>
      </c>
      <c r="D685">
        <v>129880</v>
      </c>
      <c r="E685" t="s">
        <v>37</v>
      </c>
    </row>
    <row r="686" spans="1:7" hidden="1">
      <c r="A686" s="71">
        <v>46104</v>
      </c>
      <c r="B686" t="s">
        <v>643</v>
      </c>
      <c r="D686">
        <v>123029</v>
      </c>
      <c r="E686" t="s">
        <v>15</v>
      </c>
    </row>
    <row r="687" spans="1:7" hidden="1">
      <c r="A687" s="71">
        <v>46009</v>
      </c>
      <c r="B687" t="s">
        <v>643</v>
      </c>
      <c r="D687">
        <v>96224</v>
      </c>
    </row>
    <row r="688" spans="1:7" hidden="1">
      <c r="A688" s="71">
        <v>46108</v>
      </c>
      <c r="B688" t="s">
        <v>644</v>
      </c>
      <c r="D688">
        <v>112051</v>
      </c>
      <c r="E688" t="s">
        <v>316</v>
      </c>
      <c r="F688" t="s">
        <v>740</v>
      </c>
      <c r="G688" t="s">
        <v>677</v>
      </c>
    </row>
    <row r="689" spans="1:7" hidden="1">
      <c r="A689" s="71">
        <v>46106</v>
      </c>
      <c r="B689" t="s">
        <v>644</v>
      </c>
      <c r="D689">
        <v>111602</v>
      </c>
      <c r="E689" t="s">
        <v>316</v>
      </c>
      <c r="F689" t="s">
        <v>740</v>
      </c>
      <c r="G689" t="s">
        <v>677</v>
      </c>
    </row>
    <row r="690" spans="1:7" hidden="1">
      <c r="A690" s="71">
        <v>46104</v>
      </c>
      <c r="B690" t="s">
        <v>644</v>
      </c>
      <c r="D690">
        <v>111189</v>
      </c>
      <c r="E690" t="s">
        <v>316</v>
      </c>
      <c r="F690" t="s">
        <v>740</v>
      </c>
      <c r="G690" t="s">
        <v>677</v>
      </c>
    </row>
    <row r="691" spans="1:7" hidden="1">
      <c r="A691" s="71">
        <v>46013</v>
      </c>
      <c r="B691" t="s">
        <v>646</v>
      </c>
      <c r="D691">
        <v>105907</v>
      </c>
    </row>
    <row r="692" spans="1:7" hidden="1">
      <c r="A692" s="71">
        <v>46003</v>
      </c>
      <c r="B692" t="s">
        <v>646</v>
      </c>
      <c r="D692">
        <v>102384</v>
      </c>
    </row>
    <row r="693" spans="1:7" hidden="1">
      <c r="A693" s="71">
        <v>46002</v>
      </c>
      <c r="B693" t="s">
        <v>646</v>
      </c>
      <c r="D693">
        <v>102679</v>
      </c>
    </row>
    <row r="694" spans="1:7" hidden="1">
      <c r="A694" s="71">
        <v>46015</v>
      </c>
      <c r="B694" t="s">
        <v>647</v>
      </c>
      <c r="D694">
        <v>96800</v>
      </c>
    </row>
    <row r="695" spans="1:7" hidden="1">
      <c r="A695" s="71">
        <v>46011</v>
      </c>
      <c r="B695" t="s">
        <v>647</v>
      </c>
      <c r="D695">
        <v>96458</v>
      </c>
    </row>
    <row r="696" spans="1:7" hidden="1">
      <c r="A696" s="71">
        <v>46003</v>
      </c>
      <c r="B696" t="s">
        <v>647</v>
      </c>
      <c r="D696">
        <v>96340</v>
      </c>
    </row>
    <row r="697" spans="1:7" hidden="1">
      <c r="A697" s="71">
        <v>46000</v>
      </c>
      <c r="B697" t="s">
        <v>647</v>
      </c>
      <c r="D697">
        <v>95914</v>
      </c>
    </row>
    <row r="698" spans="1:7" ht="15" hidden="1" customHeight="1">
      <c r="A698" s="71">
        <v>46113</v>
      </c>
      <c r="B698" t="s">
        <v>32</v>
      </c>
      <c r="C698">
        <v>10654</v>
      </c>
      <c r="D698">
        <v>258189</v>
      </c>
    </row>
    <row r="699" spans="1:7" ht="15" hidden="1" customHeight="1">
      <c r="A699" s="71">
        <v>46113</v>
      </c>
      <c r="B699" t="s">
        <v>118</v>
      </c>
      <c r="C699">
        <v>7720</v>
      </c>
      <c r="D699">
        <v>196347</v>
      </c>
    </row>
    <row r="700" spans="1:7" ht="15" hidden="1" customHeight="1">
      <c r="A700" s="71">
        <v>46113</v>
      </c>
      <c r="B700" t="s">
        <v>509</v>
      </c>
      <c r="D700">
        <v>68812</v>
      </c>
    </row>
    <row r="701" spans="1:7" ht="15" hidden="1" customHeight="1">
      <c r="A701" s="71">
        <v>46113</v>
      </c>
      <c r="B701" t="s">
        <v>411</v>
      </c>
      <c r="C701">
        <v>4497</v>
      </c>
    </row>
    <row r="702" spans="1:7" ht="15" hidden="1" customHeight="1">
      <c r="A702" s="71">
        <v>46113</v>
      </c>
      <c r="B702" t="s">
        <v>362</v>
      </c>
      <c r="C702">
        <v>15686</v>
      </c>
    </row>
    <row r="703" spans="1:7" ht="15" hidden="1" customHeight="1">
      <c r="A703" s="71">
        <v>46113</v>
      </c>
      <c r="B703" t="s">
        <v>399</v>
      </c>
      <c r="C703">
        <v>8678</v>
      </c>
    </row>
    <row r="704" spans="1:7" ht="15" hidden="1" customHeight="1">
      <c r="A704" s="71">
        <v>46113</v>
      </c>
      <c r="B704" t="s">
        <v>638</v>
      </c>
      <c r="D704">
        <v>112070</v>
      </c>
    </row>
    <row r="705" spans="1:4" ht="15" hidden="1" customHeight="1">
      <c r="A705" s="71">
        <v>46113</v>
      </c>
      <c r="B705" t="s">
        <v>268</v>
      </c>
      <c r="C705">
        <v>10083</v>
      </c>
    </row>
    <row r="706" spans="1:4" ht="15" hidden="1" customHeight="1">
      <c r="A706" s="71">
        <v>46113</v>
      </c>
      <c r="B706" t="s">
        <v>639</v>
      </c>
      <c r="D706">
        <v>94930</v>
      </c>
    </row>
    <row r="707" spans="1:4" ht="15" hidden="1" customHeight="1">
      <c r="A707" s="71">
        <v>46113</v>
      </c>
      <c r="B707" t="s">
        <v>253</v>
      </c>
      <c r="C707">
        <v>4934</v>
      </c>
    </row>
    <row r="708" spans="1:4" ht="15" hidden="1" customHeight="1">
      <c r="A708" s="71">
        <v>46113</v>
      </c>
      <c r="B708" t="s">
        <v>458</v>
      </c>
      <c r="C708">
        <v>2313</v>
      </c>
    </row>
    <row r="709" spans="1:4" ht="15" hidden="1" customHeight="1">
      <c r="A709" s="71">
        <v>46113</v>
      </c>
      <c r="B709" t="s">
        <v>249</v>
      </c>
      <c r="C709">
        <v>6574</v>
      </c>
    </row>
    <row r="710" spans="1:4" ht="15" hidden="1" customHeight="1">
      <c r="A710" s="71">
        <v>46113</v>
      </c>
      <c r="B710" t="s">
        <v>235</v>
      </c>
      <c r="C710">
        <v>2068</v>
      </c>
    </row>
    <row r="711" spans="1:4" ht="15" hidden="1" customHeight="1">
      <c r="A711" s="71">
        <v>46113</v>
      </c>
      <c r="B711" t="s">
        <v>417</v>
      </c>
      <c r="C711">
        <v>10389</v>
      </c>
    </row>
    <row r="712" spans="1:4" ht="15" hidden="1" customHeight="1">
      <c r="A712" s="71">
        <v>46113</v>
      </c>
      <c r="B712" t="s">
        <v>39</v>
      </c>
      <c r="C712">
        <v>145</v>
      </c>
    </row>
    <row r="713" spans="1:4" ht="15" hidden="1" customHeight="1">
      <c r="A713" s="71">
        <v>46113</v>
      </c>
      <c r="B713" t="s">
        <v>65</v>
      </c>
      <c r="C713">
        <v>3913</v>
      </c>
    </row>
    <row r="714" spans="1:4" ht="15" hidden="1" customHeight="1">
      <c r="A714" s="71">
        <v>46113</v>
      </c>
      <c r="B714" t="s">
        <v>338</v>
      </c>
      <c r="C714">
        <v>26080</v>
      </c>
    </row>
    <row r="715" spans="1:4" ht="15" hidden="1" customHeight="1">
      <c r="A715" s="71">
        <v>46113</v>
      </c>
      <c r="B715" t="s">
        <v>171</v>
      </c>
      <c r="C715">
        <v>8670</v>
      </c>
      <c r="D715">
        <v>166771</v>
      </c>
    </row>
    <row r="716" spans="1:4" ht="15" hidden="1" customHeight="1">
      <c r="A716" s="71">
        <v>46113</v>
      </c>
      <c r="B716" t="s">
        <v>443</v>
      </c>
      <c r="C716">
        <v>2070</v>
      </c>
    </row>
    <row r="717" spans="1:4" ht="15" hidden="1" customHeight="1">
      <c r="A717" s="71">
        <v>46114</v>
      </c>
      <c r="B717" t="s">
        <v>118</v>
      </c>
      <c r="C717">
        <v>7729</v>
      </c>
      <c r="D717">
        <v>196745</v>
      </c>
    </row>
    <row r="718" spans="1:4" ht="15" hidden="1" customHeight="1">
      <c r="A718" s="71">
        <v>46114</v>
      </c>
      <c r="B718" t="s">
        <v>581</v>
      </c>
      <c r="D718">
        <v>155488</v>
      </c>
    </row>
    <row r="719" spans="1:4" ht="15" hidden="1" customHeight="1">
      <c r="A719" s="71">
        <v>46114</v>
      </c>
      <c r="B719" t="s">
        <v>65</v>
      </c>
      <c r="C719">
        <v>3920</v>
      </c>
    </row>
    <row r="720" spans="1:4" ht="15" hidden="1" customHeight="1">
      <c r="A720" s="71">
        <v>46114</v>
      </c>
      <c r="B720" t="s">
        <v>32</v>
      </c>
      <c r="C720">
        <v>10665</v>
      </c>
      <c r="D720">
        <v>258639</v>
      </c>
    </row>
    <row r="721" spans="1:5" ht="15" hidden="1" customHeight="1">
      <c r="A721" s="71">
        <v>46114</v>
      </c>
      <c r="B721" t="s">
        <v>180</v>
      </c>
      <c r="C721">
        <v>8939</v>
      </c>
      <c r="D721">
        <v>168778</v>
      </c>
    </row>
    <row r="722" spans="1:5" ht="15" hidden="1" customHeight="1">
      <c r="A722" s="71">
        <v>46114</v>
      </c>
      <c r="B722" t="s">
        <v>554</v>
      </c>
      <c r="D722">
        <v>19225</v>
      </c>
    </row>
    <row r="723" spans="1:5" ht="15" hidden="1" customHeight="1">
      <c r="A723" s="71">
        <v>46114</v>
      </c>
      <c r="B723" t="s">
        <v>171</v>
      </c>
      <c r="C723">
        <v>8677</v>
      </c>
      <c r="D723">
        <v>166953</v>
      </c>
    </row>
    <row r="724" spans="1:5" ht="15" hidden="1" customHeight="1">
      <c r="A724" s="71">
        <v>46114</v>
      </c>
      <c r="B724" t="s">
        <v>152</v>
      </c>
      <c r="D724">
        <v>483171</v>
      </c>
    </row>
    <row r="725" spans="1:5" ht="15" hidden="1" customHeight="1">
      <c r="A725" s="71">
        <v>46114</v>
      </c>
      <c r="B725" t="s">
        <v>383</v>
      </c>
      <c r="C725">
        <v>3795</v>
      </c>
    </row>
    <row r="726" spans="1:5" ht="15" hidden="1" customHeight="1">
      <c r="A726" s="71">
        <v>46114</v>
      </c>
      <c r="B726" t="s">
        <v>338</v>
      </c>
      <c r="C726">
        <v>26002</v>
      </c>
    </row>
    <row r="727" spans="1:5" ht="15" hidden="1" customHeight="1">
      <c r="A727" s="71">
        <v>46114</v>
      </c>
      <c r="B727" t="s">
        <v>502</v>
      </c>
      <c r="D727">
        <v>68155</v>
      </c>
      <c r="E727" t="s">
        <v>33</v>
      </c>
    </row>
    <row r="728" spans="1:5" ht="15" hidden="1" customHeight="1">
      <c r="A728" s="71">
        <v>46114</v>
      </c>
      <c r="B728" t="s">
        <v>458</v>
      </c>
      <c r="C728">
        <v>2322</v>
      </c>
    </row>
    <row r="729" spans="1:5" ht="15" hidden="1" customHeight="1">
      <c r="A729" s="71">
        <v>46114</v>
      </c>
      <c r="B729" t="s">
        <v>143</v>
      </c>
      <c r="D729">
        <v>805814</v>
      </c>
    </row>
    <row r="730" spans="1:5" ht="15" hidden="1" customHeight="1">
      <c r="A730" s="71">
        <v>46114</v>
      </c>
      <c r="B730" t="s">
        <v>628</v>
      </c>
      <c r="D730">
        <v>126898</v>
      </c>
    </row>
    <row r="731" spans="1:5" ht="15" hidden="1" customHeight="1">
      <c r="A731" s="71">
        <v>46114</v>
      </c>
      <c r="B731" t="s">
        <v>65</v>
      </c>
      <c r="C731">
        <v>3926</v>
      </c>
    </row>
    <row r="732" spans="1:5" ht="15" hidden="1" customHeight="1">
      <c r="A732" s="71">
        <v>46114</v>
      </c>
      <c r="B732" t="s">
        <v>576</v>
      </c>
      <c r="D732">
        <v>164090</v>
      </c>
    </row>
    <row r="733" spans="1:5" ht="15" hidden="1" customHeight="1">
      <c r="A733" s="71">
        <v>46114</v>
      </c>
      <c r="B733" t="s">
        <v>581</v>
      </c>
      <c r="D733">
        <v>155670</v>
      </c>
    </row>
    <row r="734" spans="1:5" ht="15" hidden="1" customHeight="1">
      <c r="A734" s="71">
        <v>46114</v>
      </c>
      <c r="B734" t="s">
        <v>639</v>
      </c>
      <c r="D734">
        <v>95055</v>
      </c>
    </row>
    <row r="735" spans="1:5" ht="15" hidden="1" customHeight="1">
      <c r="A735" s="71">
        <v>46114</v>
      </c>
      <c r="B735" t="s">
        <v>610</v>
      </c>
      <c r="D735">
        <v>143843</v>
      </c>
    </row>
    <row r="736" spans="1:5" ht="15" hidden="1" customHeight="1">
      <c r="A736" s="71">
        <v>46114</v>
      </c>
      <c r="B736" t="s">
        <v>509</v>
      </c>
      <c r="D736">
        <v>69014</v>
      </c>
    </row>
    <row r="737" spans="1:4" ht="15" hidden="1" customHeight="1">
      <c r="A737" s="71">
        <v>46114</v>
      </c>
      <c r="B737" t="s">
        <v>638</v>
      </c>
      <c r="D737">
        <v>112383</v>
      </c>
    </row>
    <row r="738" spans="1:4" ht="15" hidden="1" customHeight="1">
      <c r="A738" s="71">
        <v>46114</v>
      </c>
      <c r="B738" t="s">
        <v>42</v>
      </c>
      <c r="D738">
        <v>190856</v>
      </c>
    </row>
    <row r="739" spans="1:4" ht="15" hidden="1" customHeight="1">
      <c r="A739" s="71">
        <v>46114</v>
      </c>
      <c r="B739" t="s">
        <v>741</v>
      </c>
      <c r="D739">
        <v>258061</v>
      </c>
    </row>
    <row r="740" spans="1:4" ht="15" hidden="1" customHeight="1">
      <c r="A740" s="71">
        <v>46118</v>
      </c>
      <c r="B740" t="s">
        <v>32</v>
      </c>
      <c r="C740">
        <v>10673</v>
      </c>
      <c r="D740">
        <v>258797</v>
      </c>
    </row>
    <row r="741" spans="1:4" ht="15" hidden="1" customHeight="1">
      <c r="A741" s="71">
        <v>46118</v>
      </c>
      <c r="B741" t="s">
        <v>118</v>
      </c>
      <c r="C741">
        <v>7739</v>
      </c>
      <c r="D741">
        <v>196985</v>
      </c>
    </row>
    <row r="742" spans="1:4" ht="15" hidden="1" customHeight="1">
      <c r="A742" s="71">
        <v>46118</v>
      </c>
      <c r="B742" t="s">
        <v>268</v>
      </c>
      <c r="C742">
        <v>10093</v>
      </c>
    </row>
    <row r="743" spans="1:4" ht="15" hidden="1" customHeight="1">
      <c r="A743" s="71">
        <v>46118</v>
      </c>
      <c r="B743" t="s">
        <v>362</v>
      </c>
      <c r="C743">
        <v>15696</v>
      </c>
    </row>
    <row r="744" spans="1:4" ht="15" hidden="1" customHeight="1">
      <c r="A744" s="71">
        <v>46118</v>
      </c>
      <c r="B744" t="s">
        <v>180</v>
      </c>
      <c r="C744">
        <v>8947</v>
      </c>
      <c r="D744">
        <v>168910</v>
      </c>
    </row>
    <row r="745" spans="1:4" ht="15" hidden="1" customHeight="1">
      <c r="A745" s="71">
        <v>46118</v>
      </c>
      <c r="B745" t="s">
        <v>638</v>
      </c>
      <c r="D745">
        <v>112690</v>
      </c>
    </row>
    <row r="746" spans="1:4" ht="15" hidden="1" customHeight="1">
      <c r="A746" s="71">
        <v>46118</v>
      </c>
      <c r="B746" t="s">
        <v>554</v>
      </c>
      <c r="D746">
        <v>20006</v>
      </c>
    </row>
    <row r="747" spans="1:4" ht="15" hidden="1" customHeight="1">
      <c r="A747" s="71">
        <v>46118</v>
      </c>
      <c r="B747" t="s">
        <v>411</v>
      </c>
      <c r="C747">
        <v>4512</v>
      </c>
    </row>
    <row r="748" spans="1:4" ht="15" hidden="1" customHeight="1">
      <c r="A748" s="71">
        <v>46118</v>
      </c>
      <c r="B748" t="s">
        <v>380</v>
      </c>
      <c r="C748">
        <v>5705</v>
      </c>
    </row>
    <row r="749" spans="1:4" ht="15" hidden="1" customHeight="1">
      <c r="A749" s="71">
        <v>46118</v>
      </c>
      <c r="B749" t="s">
        <v>253</v>
      </c>
      <c r="C749">
        <v>4947</v>
      </c>
    </row>
    <row r="750" spans="1:4" ht="15" hidden="1" customHeight="1">
      <c r="A750" s="71">
        <v>46118</v>
      </c>
      <c r="B750" t="s">
        <v>249</v>
      </c>
      <c r="C750">
        <v>6586</v>
      </c>
    </row>
    <row r="751" spans="1:4" ht="15" hidden="1" customHeight="1">
      <c r="A751" s="71">
        <v>46118</v>
      </c>
      <c r="B751" t="s">
        <v>235</v>
      </c>
      <c r="C751">
        <v>2079</v>
      </c>
    </row>
    <row r="752" spans="1:4" ht="15" hidden="1" customHeight="1">
      <c r="A752" s="71">
        <v>46118</v>
      </c>
      <c r="B752" t="s">
        <v>417</v>
      </c>
      <c r="C752">
        <v>10396</v>
      </c>
    </row>
    <row r="753" spans="1:4" ht="15" hidden="1" customHeight="1">
      <c r="A753" s="71">
        <v>46118</v>
      </c>
      <c r="D753">
        <v>358596</v>
      </c>
    </row>
    <row r="754" spans="1:4" ht="15" hidden="1" customHeight="1">
      <c r="A754" s="71">
        <v>46118</v>
      </c>
      <c r="B754" t="s">
        <v>458</v>
      </c>
      <c r="C754">
        <v>2327</v>
      </c>
    </row>
    <row r="755" spans="1:4" ht="15" hidden="1" customHeight="1">
      <c r="A755" s="71">
        <v>46118</v>
      </c>
      <c r="B755" t="s">
        <v>443</v>
      </c>
      <c r="C755">
        <v>2065</v>
      </c>
    </row>
    <row r="756" spans="1:4" ht="15" hidden="1" customHeight="1">
      <c r="A756" s="71">
        <v>46119</v>
      </c>
      <c r="B756" t="s">
        <v>581</v>
      </c>
      <c r="D756">
        <v>156420</v>
      </c>
    </row>
    <row r="757" spans="1:4" ht="15" hidden="1" customHeight="1">
      <c r="A757" s="71">
        <v>46119</v>
      </c>
      <c r="B757" t="s">
        <v>118</v>
      </c>
      <c r="C757">
        <v>7748</v>
      </c>
      <c r="D757">
        <v>197420</v>
      </c>
    </row>
    <row r="758" spans="1:4" ht="15" hidden="1" customHeight="1">
      <c r="A758" s="71">
        <v>46119</v>
      </c>
      <c r="B758" t="s">
        <v>32</v>
      </c>
      <c r="C758">
        <v>10681</v>
      </c>
      <c r="D758">
        <v>259093</v>
      </c>
    </row>
    <row r="759" spans="1:4" ht="15" hidden="1" customHeight="1">
      <c r="A759" s="71">
        <v>46119</v>
      </c>
      <c r="B759" t="s">
        <v>171</v>
      </c>
      <c r="C759">
        <v>8691</v>
      </c>
      <c r="D759">
        <v>167250</v>
      </c>
    </row>
    <row r="760" spans="1:4" ht="15" hidden="1" customHeight="1">
      <c r="A760" s="71">
        <v>46119</v>
      </c>
      <c r="B760" t="s">
        <v>628</v>
      </c>
      <c r="D760">
        <v>127868</v>
      </c>
    </row>
    <row r="761" spans="1:4" ht="15" hidden="1" customHeight="1">
      <c r="A761" s="71">
        <v>46119</v>
      </c>
      <c r="B761" t="s">
        <v>639</v>
      </c>
      <c r="D761">
        <v>95842</v>
      </c>
    </row>
    <row r="762" spans="1:4" ht="15" hidden="1" customHeight="1">
      <c r="A762" s="71">
        <v>46119</v>
      </c>
      <c r="B762" t="s">
        <v>742</v>
      </c>
      <c r="D762">
        <v>108898</v>
      </c>
    </row>
    <row r="763" spans="1:4" ht="15" hidden="1" customHeight="1">
      <c r="A763" s="71">
        <v>46119</v>
      </c>
      <c r="B763" t="s">
        <v>211</v>
      </c>
      <c r="C763">
        <v>241</v>
      </c>
    </row>
    <row r="764" spans="1:4" ht="15" hidden="1" customHeight="1">
      <c r="A764" s="71">
        <v>46119</v>
      </c>
      <c r="D764">
        <v>50039</v>
      </c>
    </row>
    <row r="765" spans="1:4" ht="15" hidden="1" customHeight="1">
      <c r="A765" s="71">
        <v>46119</v>
      </c>
      <c r="B765" t="s">
        <v>39</v>
      </c>
      <c r="C765">
        <v>9884</v>
      </c>
    </row>
    <row r="766" spans="1:4" ht="15" hidden="1" customHeight="1">
      <c r="A766" s="71">
        <v>46119</v>
      </c>
      <c r="B766" t="s">
        <v>576</v>
      </c>
      <c r="D766">
        <v>164819</v>
      </c>
    </row>
    <row r="767" spans="1:4" ht="15" hidden="1" customHeight="1">
      <c r="A767" s="71">
        <v>46119</v>
      </c>
      <c r="B767" t="s">
        <v>65</v>
      </c>
      <c r="C767">
        <v>3931</v>
      </c>
    </row>
    <row r="768" spans="1:4" ht="15" hidden="1" customHeight="1">
      <c r="A768" s="71">
        <v>46119</v>
      </c>
      <c r="B768" t="s">
        <v>338</v>
      </c>
      <c r="C768">
        <v>26096</v>
      </c>
    </row>
    <row r="769" spans="1:5" ht="15" hidden="1" customHeight="1">
      <c r="A769" s="71">
        <v>46119</v>
      </c>
      <c r="B769" t="s">
        <v>180</v>
      </c>
      <c r="C769">
        <v>8955</v>
      </c>
      <c r="D769">
        <v>169077</v>
      </c>
    </row>
    <row r="770" spans="1:5" ht="15" hidden="1" customHeight="1">
      <c r="A770" s="71">
        <v>46119</v>
      </c>
      <c r="B770" t="s">
        <v>417</v>
      </c>
      <c r="C770">
        <v>10406</v>
      </c>
    </row>
    <row r="771" spans="1:5" ht="15" hidden="1" customHeight="1">
      <c r="A771" s="71">
        <v>46119</v>
      </c>
      <c r="B771" t="s">
        <v>502</v>
      </c>
      <c r="D771">
        <v>69035</v>
      </c>
      <c r="E771" t="s">
        <v>33</v>
      </c>
    </row>
    <row r="772" spans="1:5" ht="15" hidden="1" customHeight="1">
      <c r="A772" s="71">
        <v>46119</v>
      </c>
      <c r="B772" t="s">
        <v>183</v>
      </c>
      <c r="D772">
        <v>57232</v>
      </c>
    </row>
    <row r="773" spans="1:5" ht="15" hidden="1" customHeight="1">
      <c r="A773" s="71">
        <v>46119</v>
      </c>
      <c r="B773" t="s">
        <v>399</v>
      </c>
    </row>
    <row r="774" spans="1:5" ht="15" hidden="1" customHeight="1">
      <c r="A774" s="71">
        <v>46119</v>
      </c>
      <c r="B774" t="s">
        <v>157</v>
      </c>
      <c r="D774">
        <v>141590</v>
      </c>
    </row>
    <row r="775" spans="1:5" ht="15" hidden="1" customHeight="1">
      <c r="A775" s="71">
        <v>46120</v>
      </c>
      <c r="D775">
        <v>416065</v>
      </c>
    </row>
    <row r="776" spans="1:5" ht="15" hidden="1" customHeight="1">
      <c r="A776" s="71">
        <v>46120</v>
      </c>
      <c r="B776" t="s">
        <v>118</v>
      </c>
      <c r="C776">
        <v>7753</v>
      </c>
      <c r="D776">
        <v>197506</v>
      </c>
    </row>
    <row r="777" spans="1:5" ht="15" hidden="1" customHeight="1">
      <c r="A777" s="71">
        <v>46120</v>
      </c>
      <c r="B777" t="s">
        <v>42</v>
      </c>
      <c r="D777">
        <v>190960</v>
      </c>
    </row>
    <row r="778" spans="1:5" ht="15" hidden="1" customHeight="1">
      <c r="A778" s="71">
        <v>46120</v>
      </c>
      <c r="B778" t="s">
        <v>268</v>
      </c>
      <c r="C778">
        <v>10103</v>
      </c>
    </row>
    <row r="779" spans="1:5" ht="15" hidden="1" customHeight="1">
      <c r="A779" s="71">
        <v>46120</v>
      </c>
      <c r="B779" t="s">
        <v>383</v>
      </c>
      <c r="C779">
        <v>3807</v>
      </c>
    </row>
    <row r="780" spans="1:5" ht="15" hidden="1" customHeight="1">
      <c r="A780" s="71">
        <v>46120</v>
      </c>
      <c r="B780" t="s">
        <v>411</v>
      </c>
      <c r="C780">
        <v>4523</v>
      </c>
    </row>
    <row r="781" spans="1:5" ht="15" hidden="1" customHeight="1">
      <c r="A781" s="71">
        <v>46120</v>
      </c>
      <c r="B781" t="s">
        <v>362</v>
      </c>
      <c r="C781">
        <v>15709</v>
      </c>
    </row>
    <row r="782" spans="1:5" ht="15" hidden="1" customHeight="1">
      <c r="A782" s="71">
        <v>46120</v>
      </c>
      <c r="B782" t="s">
        <v>371</v>
      </c>
      <c r="C782">
        <v>16915</v>
      </c>
    </row>
    <row r="783" spans="1:5" ht="15" hidden="1" customHeight="1">
      <c r="A783" s="71">
        <v>46120</v>
      </c>
      <c r="B783" t="s">
        <v>333</v>
      </c>
      <c r="C783">
        <v>7094</v>
      </c>
    </row>
    <row r="784" spans="1:5" ht="15" hidden="1" customHeight="1">
      <c r="A784" s="71">
        <v>46120</v>
      </c>
      <c r="B784" t="s">
        <v>417</v>
      </c>
      <c r="C784">
        <v>10412</v>
      </c>
    </row>
    <row r="785" spans="1:4" ht="15" hidden="1" customHeight="1">
      <c r="A785" s="71">
        <v>46120</v>
      </c>
      <c r="B785" t="s">
        <v>458</v>
      </c>
      <c r="C785">
        <v>2337</v>
      </c>
    </row>
    <row r="786" spans="1:4" ht="15" hidden="1" customHeight="1">
      <c r="A786" s="71">
        <v>46120</v>
      </c>
      <c r="B786" t="s">
        <v>338</v>
      </c>
      <c r="C786">
        <v>26103</v>
      </c>
    </row>
    <row r="787" spans="1:4" ht="15" hidden="1" customHeight="1">
      <c r="A787" s="71">
        <v>46120</v>
      </c>
      <c r="B787" t="s">
        <v>171</v>
      </c>
      <c r="C787">
        <v>8704</v>
      </c>
      <c r="D787">
        <v>167522</v>
      </c>
    </row>
    <row r="788" spans="1:4" ht="15" hidden="1" customHeight="1">
      <c r="A788" s="71">
        <v>46120</v>
      </c>
      <c r="D788">
        <v>358909</v>
      </c>
    </row>
    <row r="789" spans="1:4" ht="15" hidden="1" customHeight="1">
      <c r="A789" s="71">
        <v>46120</v>
      </c>
      <c r="B789" t="s">
        <v>664</v>
      </c>
      <c r="C789">
        <v>3980</v>
      </c>
    </row>
    <row r="790" spans="1:4" ht="15" hidden="1" customHeight="1">
      <c r="A790" s="71">
        <v>46120</v>
      </c>
      <c r="B790" t="s">
        <v>180</v>
      </c>
      <c r="C790">
        <v>8965</v>
      </c>
      <c r="D790">
        <v>169306</v>
      </c>
    </row>
    <row r="791" spans="1:4" ht="15" hidden="1" customHeight="1">
      <c r="A791" s="71">
        <v>46120</v>
      </c>
      <c r="B791" t="s">
        <v>32</v>
      </c>
      <c r="C791">
        <v>10694</v>
      </c>
      <c r="D791">
        <v>259394</v>
      </c>
    </row>
    <row r="792" spans="1:4" ht="15" hidden="1" customHeight="1">
      <c r="A792" s="71">
        <v>46120</v>
      </c>
      <c r="D792">
        <v>38207</v>
      </c>
    </row>
    <row r="793" spans="1:4" ht="15" hidden="1" customHeight="1">
      <c r="A793" s="71">
        <v>46120</v>
      </c>
      <c r="B793" t="s">
        <v>143</v>
      </c>
      <c r="D793">
        <v>806307</v>
      </c>
    </row>
    <row r="794" spans="1:4" ht="15" hidden="1" customHeight="1">
      <c r="A794" s="71">
        <v>46120</v>
      </c>
    </row>
    <row r="795" spans="1:4" ht="15" hidden="1" customHeight="1">
      <c r="A795" s="71">
        <v>46120</v>
      </c>
      <c r="B795" t="s">
        <v>118</v>
      </c>
      <c r="C795">
        <v>7762</v>
      </c>
      <c r="D795">
        <v>197904</v>
      </c>
    </row>
    <row r="796" spans="1:4" ht="15" hidden="1" customHeight="1">
      <c r="A796" s="71">
        <v>46120</v>
      </c>
      <c r="B796" t="s">
        <v>65</v>
      </c>
      <c r="C796">
        <v>3939</v>
      </c>
    </row>
    <row r="797" spans="1:4" ht="15" hidden="1" customHeight="1">
      <c r="A797" s="71">
        <v>46121</v>
      </c>
      <c r="B797" t="s">
        <v>32</v>
      </c>
      <c r="C797">
        <v>10702</v>
      </c>
      <c r="D797">
        <v>259679</v>
      </c>
    </row>
    <row r="798" spans="1:4" ht="15" hidden="1" customHeight="1">
      <c r="A798" s="71">
        <v>46121</v>
      </c>
      <c r="B798" t="s">
        <v>253</v>
      </c>
      <c r="C798">
        <v>4957</v>
      </c>
    </row>
    <row r="799" spans="1:4" ht="15" hidden="1" customHeight="1">
      <c r="A799" s="71">
        <v>46121</v>
      </c>
      <c r="B799" t="s">
        <v>249</v>
      </c>
      <c r="C799">
        <v>6597</v>
      </c>
    </row>
    <row r="800" spans="1:4" ht="15" hidden="1" customHeight="1">
      <c r="A800" s="71">
        <v>46121</v>
      </c>
      <c r="B800" t="s">
        <v>235</v>
      </c>
      <c r="C800">
        <v>2089</v>
      </c>
    </row>
    <row r="801" spans="1:5" ht="15" hidden="1" customHeight="1">
      <c r="A801" s="71">
        <v>46121</v>
      </c>
      <c r="B801" t="s">
        <v>338</v>
      </c>
      <c r="C801">
        <v>26109</v>
      </c>
    </row>
    <row r="802" spans="1:5" ht="15" hidden="1" customHeight="1">
      <c r="A802" s="71">
        <v>46121</v>
      </c>
      <c r="B802" t="s">
        <v>171</v>
      </c>
      <c r="C802">
        <v>8711</v>
      </c>
      <c r="D802">
        <v>167681</v>
      </c>
    </row>
    <row r="803" spans="1:5" ht="15" hidden="1" customHeight="1">
      <c r="A803" s="71">
        <v>46122</v>
      </c>
      <c r="B803" t="s">
        <v>502</v>
      </c>
      <c r="D803">
        <v>69177</v>
      </c>
      <c r="E803" t="s">
        <v>33</v>
      </c>
    </row>
    <row r="804" spans="1:5" ht="15" hidden="1" customHeight="1">
      <c r="A804" s="71">
        <v>46121</v>
      </c>
      <c r="B804" t="s">
        <v>65</v>
      </c>
      <c r="C804">
        <v>3944</v>
      </c>
    </row>
    <row r="805" spans="1:5" ht="15" hidden="1" customHeight="1">
      <c r="A805" s="71">
        <v>46121</v>
      </c>
      <c r="B805" t="s">
        <v>443</v>
      </c>
      <c r="C805">
        <v>2087</v>
      </c>
    </row>
    <row r="806" spans="1:5" ht="15" hidden="1" customHeight="1">
      <c r="A806" s="71">
        <v>46121</v>
      </c>
      <c r="B806" t="s">
        <v>208</v>
      </c>
      <c r="C806">
        <v>1564</v>
      </c>
    </row>
    <row r="807" spans="1:5" ht="15" hidden="1" customHeight="1">
      <c r="A807" s="71">
        <v>46121</v>
      </c>
      <c r="B807" t="s">
        <v>743</v>
      </c>
      <c r="C807">
        <v>289</v>
      </c>
    </row>
    <row r="808" spans="1:5" ht="15" hidden="1" customHeight="1">
      <c r="A808" s="71">
        <v>46121</v>
      </c>
      <c r="B808" t="s">
        <v>118</v>
      </c>
      <c r="C808">
        <v>7770</v>
      </c>
      <c r="D808">
        <v>198332</v>
      </c>
    </row>
    <row r="809" spans="1:5" ht="15" hidden="1" customHeight="1">
      <c r="A809" s="71">
        <v>46121</v>
      </c>
      <c r="B809" t="s">
        <v>554</v>
      </c>
      <c r="D809">
        <v>20471</v>
      </c>
    </row>
    <row r="810" spans="1:5" ht="15" hidden="1" customHeight="1">
      <c r="A810" s="71">
        <v>46121</v>
      </c>
      <c r="B810" t="s">
        <v>742</v>
      </c>
      <c r="D810">
        <v>109226</v>
      </c>
    </row>
    <row r="811" spans="1:5" ht="15" hidden="1" customHeight="1">
      <c r="A811" s="71">
        <v>46121</v>
      </c>
      <c r="B811" t="s">
        <v>741</v>
      </c>
      <c r="D811">
        <v>258693</v>
      </c>
    </row>
    <row r="812" spans="1:5" ht="15" hidden="1" customHeight="1">
      <c r="A812" s="71">
        <v>46122</v>
      </c>
      <c r="B812" t="s">
        <v>65</v>
      </c>
      <c r="C812">
        <v>3949</v>
      </c>
    </row>
    <row r="813" spans="1:5" ht="15" hidden="1" customHeight="1">
      <c r="A813" s="71">
        <v>46122</v>
      </c>
      <c r="D813">
        <v>50440</v>
      </c>
    </row>
    <row r="814" spans="1:5" ht="15" hidden="1" customHeight="1">
      <c r="A814" s="71">
        <v>46122</v>
      </c>
      <c r="B814" t="s">
        <v>32</v>
      </c>
      <c r="C814">
        <v>10713</v>
      </c>
      <c r="D814">
        <v>259988</v>
      </c>
    </row>
    <row r="815" spans="1:5" ht="15" hidden="1" customHeight="1">
      <c r="A815" s="71">
        <v>46122</v>
      </c>
      <c r="B815" t="s">
        <v>411</v>
      </c>
      <c r="C815">
        <v>4534</v>
      </c>
    </row>
    <row r="816" spans="1:5" ht="15" hidden="1" customHeight="1">
      <c r="A816" s="71">
        <v>46122</v>
      </c>
      <c r="B816" t="s">
        <v>362</v>
      </c>
      <c r="C816">
        <v>15720</v>
      </c>
    </row>
    <row r="817" spans="1:5" ht="15" hidden="1" customHeight="1">
      <c r="A817" s="71">
        <v>46122</v>
      </c>
      <c r="B817" t="s">
        <v>268</v>
      </c>
      <c r="C817">
        <v>10117</v>
      </c>
    </row>
    <row r="818" spans="1:5" ht="15" hidden="1" customHeight="1">
      <c r="A818" s="71">
        <v>46122</v>
      </c>
      <c r="B818" t="s">
        <v>383</v>
      </c>
      <c r="C818">
        <v>3818</v>
      </c>
    </row>
    <row r="819" spans="1:5" ht="15" hidden="1" customHeight="1">
      <c r="A819" s="71">
        <v>46122</v>
      </c>
      <c r="B819" t="s">
        <v>180</v>
      </c>
      <c r="C819">
        <v>8982</v>
      </c>
      <c r="D819">
        <v>169592</v>
      </c>
    </row>
    <row r="820" spans="1:5" ht="15" hidden="1" customHeight="1">
      <c r="A820" s="71">
        <v>46122</v>
      </c>
    </row>
    <row r="821" spans="1:5" ht="15" hidden="1" customHeight="1">
      <c r="A821" s="71">
        <v>46122</v>
      </c>
      <c r="B821" t="s">
        <v>171</v>
      </c>
      <c r="C821">
        <v>8727</v>
      </c>
      <c r="D821">
        <v>167880</v>
      </c>
    </row>
    <row r="822" spans="1:5" ht="15" hidden="1" customHeight="1">
      <c r="A822" s="71">
        <v>46122</v>
      </c>
      <c r="B822" t="s">
        <v>458</v>
      </c>
      <c r="C822">
        <v>2349</v>
      </c>
    </row>
    <row r="823" spans="1:5" ht="15" hidden="1" customHeight="1">
      <c r="A823" s="71">
        <v>46122</v>
      </c>
      <c r="D823">
        <v>359198</v>
      </c>
    </row>
    <row r="824" spans="1:5" ht="15" hidden="1" customHeight="1">
      <c r="A824" s="71">
        <v>46122</v>
      </c>
      <c r="B824" t="s">
        <v>338</v>
      </c>
      <c r="C824">
        <v>26117</v>
      </c>
    </row>
    <row r="825" spans="1:5" ht="15" hidden="1" customHeight="1">
      <c r="A825" s="71">
        <v>46122</v>
      </c>
      <c r="D825">
        <v>38682</v>
      </c>
    </row>
    <row r="826" spans="1:5" ht="15" hidden="1" customHeight="1">
      <c r="A826" s="71">
        <v>46122</v>
      </c>
      <c r="B826" t="s">
        <v>417</v>
      </c>
      <c r="C826">
        <v>10422</v>
      </c>
    </row>
    <row r="827" spans="1:5" ht="15" hidden="1" customHeight="1">
      <c r="A827" s="71">
        <v>46122</v>
      </c>
      <c r="B827" t="s">
        <v>42</v>
      </c>
    </row>
    <row r="828" spans="1:5" ht="15" hidden="1" customHeight="1">
      <c r="A828" s="71">
        <v>46125</v>
      </c>
      <c r="B828" t="s">
        <v>502</v>
      </c>
      <c r="D828">
        <v>70008</v>
      </c>
      <c r="E828" t="s">
        <v>33</v>
      </c>
    </row>
    <row r="829" spans="1:5" ht="15" hidden="1" customHeight="1">
      <c r="A829" s="71">
        <v>46122</v>
      </c>
      <c r="B829" t="s">
        <v>39</v>
      </c>
      <c r="C829">
        <v>1453</v>
      </c>
    </row>
    <row r="830" spans="1:5" ht="15" hidden="1" customHeight="1">
      <c r="A830" s="71">
        <v>46122</v>
      </c>
      <c r="B830" t="s">
        <v>576</v>
      </c>
      <c r="D830">
        <v>165199</v>
      </c>
    </row>
    <row r="831" spans="1:5" ht="15" hidden="1" customHeight="1">
      <c r="A831" s="71">
        <v>46122</v>
      </c>
      <c r="B831" t="s">
        <v>118</v>
      </c>
      <c r="C831">
        <v>7779</v>
      </c>
      <c r="D831">
        <v>198737</v>
      </c>
    </row>
    <row r="832" spans="1:5" ht="15" hidden="1" customHeight="1">
      <c r="A832" s="71">
        <v>46122</v>
      </c>
      <c r="B832" t="s">
        <v>42</v>
      </c>
      <c r="D832">
        <v>191135</v>
      </c>
    </row>
    <row r="833" spans="1:4" ht="15" hidden="1" customHeight="1">
      <c r="A833" s="71">
        <v>46122</v>
      </c>
      <c r="B833" t="s">
        <v>639</v>
      </c>
      <c r="D833">
        <v>96057</v>
      </c>
    </row>
    <row r="834" spans="1:4" ht="15" hidden="1" customHeight="1">
      <c r="A834" s="71">
        <v>46125</v>
      </c>
      <c r="B834" t="s">
        <v>32</v>
      </c>
      <c r="C834">
        <v>10719</v>
      </c>
      <c r="D834">
        <v>250336</v>
      </c>
    </row>
    <row r="835" spans="1:4" ht="15" hidden="1" customHeight="1">
      <c r="A835" s="71">
        <v>46125</v>
      </c>
      <c r="D835">
        <v>13873</v>
      </c>
    </row>
    <row r="836" spans="1:4" ht="15" hidden="1" customHeight="1">
      <c r="A836" s="71">
        <v>46125</v>
      </c>
      <c r="B836" t="s">
        <v>581</v>
      </c>
      <c r="D836">
        <v>157523</v>
      </c>
    </row>
    <row r="837" spans="1:4" ht="15" hidden="1" customHeight="1">
      <c r="A837" s="71">
        <v>46125</v>
      </c>
      <c r="B837" t="s">
        <v>554</v>
      </c>
      <c r="D837">
        <v>21495</v>
      </c>
    </row>
    <row r="838" spans="1:4" ht="15" hidden="1" customHeight="1">
      <c r="A838" s="71">
        <v>46125</v>
      </c>
      <c r="B838" t="s">
        <v>65</v>
      </c>
      <c r="C838">
        <v>3956</v>
      </c>
    </row>
    <row r="839" spans="1:4" ht="15" hidden="1" customHeight="1">
      <c r="A839" s="71">
        <v>46125</v>
      </c>
      <c r="B839" t="s">
        <v>456</v>
      </c>
      <c r="C839">
        <v>2438</v>
      </c>
    </row>
    <row r="840" spans="1:4" ht="15" hidden="1" customHeight="1">
      <c r="A840" s="71">
        <v>46125</v>
      </c>
      <c r="B840" t="s">
        <v>253</v>
      </c>
      <c r="C840">
        <v>4962</v>
      </c>
    </row>
    <row r="841" spans="1:4" ht="15" hidden="1" customHeight="1">
      <c r="A841" s="71">
        <v>46125</v>
      </c>
      <c r="B841" t="s">
        <v>249</v>
      </c>
      <c r="C841">
        <v>6602</v>
      </c>
    </row>
    <row r="842" spans="1:4" ht="15" hidden="1" customHeight="1">
      <c r="A842" s="71">
        <v>46125</v>
      </c>
      <c r="B842" t="s">
        <v>235</v>
      </c>
      <c r="C842">
        <v>2094</v>
      </c>
    </row>
    <row r="843" spans="1:4" ht="15" hidden="1" customHeight="1">
      <c r="A843" s="71">
        <v>46125</v>
      </c>
      <c r="B843" t="s">
        <v>417</v>
      </c>
      <c r="C843">
        <v>10427</v>
      </c>
    </row>
    <row r="844" spans="1:4" ht="15" hidden="1" customHeight="1">
      <c r="A844" s="71">
        <v>46127</v>
      </c>
      <c r="B844" t="s">
        <v>509</v>
      </c>
      <c r="D844">
        <v>71452</v>
      </c>
    </row>
    <row r="845" spans="1:4" ht="15" hidden="1" customHeight="1">
      <c r="A845" s="71">
        <v>46125</v>
      </c>
      <c r="B845" t="s">
        <v>338</v>
      </c>
      <c r="C845">
        <v>26122</v>
      </c>
    </row>
    <row r="846" spans="1:4" ht="15" hidden="1" customHeight="1">
      <c r="A846" s="71">
        <v>46125</v>
      </c>
      <c r="B846" t="s">
        <v>443</v>
      </c>
      <c r="C846">
        <v>2095</v>
      </c>
    </row>
    <row r="847" spans="1:4" ht="15" hidden="1" customHeight="1">
      <c r="A847" s="71">
        <v>46125</v>
      </c>
      <c r="B847" t="s">
        <v>171</v>
      </c>
      <c r="C847">
        <v>8730</v>
      </c>
      <c r="D847">
        <v>168050</v>
      </c>
    </row>
    <row r="848" spans="1:4" ht="15" hidden="1" customHeight="1">
      <c r="A848" s="71">
        <v>46125</v>
      </c>
      <c r="B848" t="s">
        <v>118</v>
      </c>
      <c r="C848">
        <v>7785</v>
      </c>
      <c r="D848">
        <v>198977</v>
      </c>
    </row>
    <row r="849" spans="1:4" ht="15" hidden="1" customHeight="1">
      <c r="A849" s="71">
        <v>46125</v>
      </c>
      <c r="B849" t="s">
        <v>628</v>
      </c>
      <c r="D849">
        <v>128295</v>
      </c>
    </row>
    <row r="850" spans="1:4" ht="15" hidden="1" customHeight="1">
      <c r="A850" s="71">
        <v>46125</v>
      </c>
      <c r="B850" t="s">
        <v>743</v>
      </c>
      <c r="C850">
        <v>294</v>
      </c>
    </row>
    <row r="851" spans="1:4" ht="15" hidden="1" customHeight="1">
      <c r="A851" s="71">
        <v>46125</v>
      </c>
      <c r="D851">
        <v>416537</v>
      </c>
    </row>
    <row r="852" spans="1:4" ht="15" hidden="1" customHeight="1">
      <c r="A852" s="71">
        <v>46125</v>
      </c>
      <c r="D852">
        <v>39435</v>
      </c>
    </row>
    <row r="853" spans="1:4" ht="15" hidden="1" customHeight="1">
      <c r="A853" s="71">
        <v>46125</v>
      </c>
      <c r="B853" t="s">
        <v>157</v>
      </c>
      <c r="D853">
        <v>141873</v>
      </c>
    </row>
    <row r="854" spans="1:4" ht="15" hidden="1" customHeight="1">
      <c r="A854" s="71">
        <v>46125</v>
      </c>
    </row>
    <row r="855" spans="1:4" ht="15" hidden="1" customHeight="1">
      <c r="A855" s="71">
        <v>46125</v>
      </c>
      <c r="B855" t="s">
        <v>742</v>
      </c>
      <c r="D855">
        <v>11029</v>
      </c>
    </row>
    <row r="856" spans="1:4" ht="15" hidden="1" customHeight="1">
      <c r="A856" s="71">
        <v>46126</v>
      </c>
      <c r="B856" t="s">
        <v>32</v>
      </c>
      <c r="C856">
        <v>10727</v>
      </c>
      <c r="D856">
        <v>260652</v>
      </c>
    </row>
    <row r="857" spans="1:4" ht="15" hidden="1" customHeight="1">
      <c r="A857" s="71">
        <v>46126</v>
      </c>
      <c r="B857" t="s">
        <v>411</v>
      </c>
      <c r="C857">
        <v>4547</v>
      </c>
    </row>
    <row r="858" spans="1:4" ht="15" hidden="1" customHeight="1">
      <c r="A858" s="71">
        <v>46126</v>
      </c>
      <c r="B858" t="s">
        <v>371</v>
      </c>
      <c r="C858">
        <v>16922</v>
      </c>
    </row>
    <row r="859" spans="1:4" ht="15" hidden="1" customHeight="1">
      <c r="A859" s="71">
        <v>46126</v>
      </c>
      <c r="B859" t="s">
        <v>333</v>
      </c>
      <c r="C859">
        <v>7103</v>
      </c>
    </row>
    <row r="860" spans="1:4" ht="15" hidden="1" customHeight="1">
      <c r="A860" s="71">
        <v>46126</v>
      </c>
      <c r="B860" t="s">
        <v>383</v>
      </c>
      <c r="C860">
        <v>3824</v>
      </c>
    </row>
    <row r="861" spans="1:4" ht="15" hidden="1" customHeight="1">
      <c r="A861" s="71">
        <v>46126</v>
      </c>
      <c r="B861" t="s">
        <v>268</v>
      </c>
      <c r="C861">
        <v>10126</v>
      </c>
    </row>
    <row r="862" spans="1:4" ht="15" hidden="1" customHeight="1">
      <c r="A862" s="71">
        <v>46126</v>
      </c>
      <c r="B862" t="s">
        <v>362</v>
      </c>
      <c r="C862">
        <v>15730</v>
      </c>
    </row>
    <row r="863" spans="1:4" ht="15" hidden="1" customHeight="1">
      <c r="A863" s="71">
        <v>46126</v>
      </c>
      <c r="B863" t="s">
        <v>171</v>
      </c>
      <c r="C863">
        <v>8737</v>
      </c>
      <c r="D863">
        <v>168164</v>
      </c>
    </row>
    <row r="864" spans="1:4" ht="15" hidden="1" customHeight="1">
      <c r="A864" s="71">
        <v>46126</v>
      </c>
      <c r="B864" t="s">
        <v>576</v>
      </c>
      <c r="D864">
        <v>166162</v>
      </c>
    </row>
    <row r="865" spans="1:5" ht="15" hidden="1" customHeight="1">
      <c r="A865" s="71">
        <v>46126</v>
      </c>
      <c r="B865" t="s">
        <v>118</v>
      </c>
      <c r="C865">
        <v>7793</v>
      </c>
      <c r="D865">
        <v>199275</v>
      </c>
    </row>
    <row r="866" spans="1:5" ht="15" hidden="1" customHeight="1">
      <c r="A866" s="71">
        <v>46126</v>
      </c>
      <c r="D866">
        <v>359615</v>
      </c>
    </row>
    <row r="867" spans="1:5" ht="15" hidden="1" customHeight="1">
      <c r="A867" s="71">
        <v>46126</v>
      </c>
      <c r="B867" t="s">
        <v>338</v>
      </c>
      <c r="C867">
        <v>26129</v>
      </c>
    </row>
    <row r="868" spans="1:5" ht="15" hidden="1" customHeight="1">
      <c r="A868" s="71">
        <v>46127</v>
      </c>
      <c r="B868" t="s">
        <v>143</v>
      </c>
      <c r="D868">
        <v>806644</v>
      </c>
    </row>
    <row r="869" spans="1:5" ht="15" hidden="1" customHeight="1">
      <c r="A869" s="71">
        <v>46127</v>
      </c>
      <c r="B869" t="s">
        <v>118</v>
      </c>
      <c r="C869">
        <v>7800</v>
      </c>
      <c r="D869">
        <v>199415</v>
      </c>
    </row>
    <row r="870" spans="1:5" ht="15" hidden="1" customHeight="1">
      <c r="A870" s="71">
        <v>46128</v>
      </c>
      <c r="B870" t="s">
        <v>502</v>
      </c>
      <c r="D870">
        <v>70590</v>
      </c>
      <c r="E870" t="s">
        <v>33</v>
      </c>
    </row>
    <row r="871" spans="1:5" ht="15" hidden="1" customHeight="1">
      <c r="A871" s="71">
        <v>46127</v>
      </c>
      <c r="B871" t="s">
        <v>638</v>
      </c>
      <c r="D871">
        <v>113451</v>
      </c>
    </row>
    <row r="872" spans="1:5" ht="15" hidden="1" customHeight="1">
      <c r="A872" s="71">
        <v>46127</v>
      </c>
      <c r="D872">
        <v>50882</v>
      </c>
    </row>
    <row r="873" spans="1:5" ht="15" hidden="1" customHeight="1">
      <c r="A873" s="71">
        <v>46127</v>
      </c>
      <c r="B873" t="s">
        <v>171</v>
      </c>
      <c r="C873">
        <v>8745</v>
      </c>
      <c r="D873">
        <v>168366</v>
      </c>
    </row>
    <row r="874" spans="1:5" ht="15" hidden="1" customHeight="1">
      <c r="A874" s="71">
        <v>46127</v>
      </c>
      <c r="B874" t="s">
        <v>42</v>
      </c>
      <c r="D874">
        <v>191261</v>
      </c>
    </row>
    <row r="875" spans="1:5" ht="15" hidden="1" customHeight="1">
      <c r="A875" s="71">
        <v>46128</v>
      </c>
      <c r="D875">
        <v>40032</v>
      </c>
    </row>
    <row r="876" spans="1:5" ht="15" hidden="1" customHeight="1">
      <c r="A876" s="71">
        <v>46128</v>
      </c>
      <c r="B876" t="s">
        <v>411</v>
      </c>
      <c r="C876">
        <v>4560</v>
      </c>
    </row>
    <row r="877" spans="1:5" ht="15" hidden="1" customHeight="1">
      <c r="A877" s="71">
        <v>46128</v>
      </c>
      <c r="B877" t="s">
        <v>362</v>
      </c>
      <c r="C877">
        <v>15745</v>
      </c>
    </row>
    <row r="878" spans="1:5" ht="15" hidden="1" customHeight="1">
      <c r="A878" s="71">
        <v>46128</v>
      </c>
      <c r="B878" t="s">
        <v>458</v>
      </c>
      <c r="C878">
        <v>2364</v>
      </c>
    </row>
    <row r="879" spans="1:5" ht="15" hidden="1" customHeight="1">
      <c r="A879" s="71">
        <v>46128</v>
      </c>
      <c r="B879" t="s">
        <v>417</v>
      </c>
      <c r="C879">
        <v>10430</v>
      </c>
    </row>
    <row r="880" spans="1:5" ht="15" hidden="1" customHeight="1">
      <c r="A880" s="71">
        <v>46129</v>
      </c>
      <c r="B880" t="s">
        <v>502</v>
      </c>
      <c r="D880">
        <v>70601</v>
      </c>
      <c r="E880" t="s">
        <v>33</v>
      </c>
    </row>
    <row r="881" spans="1:4" ht="15" hidden="1" customHeight="1">
      <c r="A881" s="71">
        <v>46128</v>
      </c>
      <c r="B881" t="s">
        <v>338</v>
      </c>
      <c r="C881">
        <v>26138</v>
      </c>
    </row>
    <row r="882" spans="1:4" ht="15" hidden="1" customHeight="1">
      <c r="A882" s="71">
        <v>46128</v>
      </c>
      <c r="D882">
        <v>298986</v>
      </c>
    </row>
    <row r="883" spans="1:4" ht="15" hidden="1" customHeight="1">
      <c r="A883" s="71">
        <v>46128</v>
      </c>
      <c r="D883">
        <v>416867</v>
      </c>
    </row>
    <row r="884" spans="1:4" ht="15" hidden="1" customHeight="1">
      <c r="A884" s="71">
        <v>46128</v>
      </c>
      <c r="B884" t="s">
        <v>180</v>
      </c>
      <c r="C884">
        <v>9000</v>
      </c>
      <c r="D884">
        <v>170033</v>
      </c>
    </row>
    <row r="885" spans="1:4" ht="15" hidden="1" customHeight="1">
      <c r="A885" s="71">
        <v>46128</v>
      </c>
      <c r="B885" t="s">
        <v>32</v>
      </c>
      <c r="C885">
        <v>10744</v>
      </c>
      <c r="D885">
        <v>260956</v>
      </c>
    </row>
    <row r="886" spans="1:4" ht="15" hidden="1" customHeight="1">
      <c r="A886" s="71">
        <v>46128</v>
      </c>
      <c r="D886">
        <v>359981</v>
      </c>
    </row>
    <row r="887" spans="1:4" hidden="1">
      <c r="A887" s="71">
        <v>46128</v>
      </c>
      <c r="B887" t="s">
        <v>664</v>
      </c>
      <c r="C887">
        <v>3783</v>
      </c>
    </row>
    <row r="888" spans="1:4" ht="15" hidden="1" customHeight="1">
      <c r="A888" s="71">
        <v>46128</v>
      </c>
      <c r="B888" t="s">
        <v>443</v>
      </c>
      <c r="C888">
        <v>2108</v>
      </c>
    </row>
    <row r="889" spans="1:4" ht="15" hidden="1" customHeight="1">
      <c r="A889" s="71">
        <v>46128</v>
      </c>
      <c r="B889" t="s">
        <v>268</v>
      </c>
      <c r="C889">
        <v>10137</v>
      </c>
    </row>
    <row r="890" spans="1:4" ht="15" hidden="1" customHeight="1">
      <c r="A890" s="71">
        <v>46128</v>
      </c>
      <c r="B890" t="s">
        <v>639</v>
      </c>
      <c r="D890">
        <v>96666</v>
      </c>
    </row>
    <row r="891" spans="1:4" ht="15" hidden="1" customHeight="1">
      <c r="A891" s="71">
        <v>46128</v>
      </c>
      <c r="B891" t="s">
        <v>383</v>
      </c>
      <c r="C891">
        <v>3832</v>
      </c>
    </row>
    <row r="892" spans="1:4" ht="15" hidden="1" customHeight="1">
      <c r="A892" s="71">
        <v>46128</v>
      </c>
      <c r="B892" t="s">
        <v>171</v>
      </c>
      <c r="C892">
        <v>8754</v>
      </c>
      <c r="D892">
        <v>168559</v>
      </c>
    </row>
    <row r="893" spans="1:4" ht="15" hidden="1" customHeight="1">
      <c r="A893" s="71">
        <v>46128</v>
      </c>
      <c r="B893" t="s">
        <v>380</v>
      </c>
      <c r="C893">
        <v>5714</v>
      </c>
    </row>
    <row r="894" spans="1:4" ht="15" hidden="1" customHeight="1">
      <c r="A894" s="71">
        <v>46129</v>
      </c>
      <c r="B894" t="s">
        <v>581</v>
      </c>
      <c r="D894">
        <v>158014</v>
      </c>
    </row>
    <row r="895" spans="1:4" ht="15" hidden="1" customHeight="1">
      <c r="A895" s="71">
        <v>46129</v>
      </c>
      <c r="B895" t="s">
        <v>638</v>
      </c>
      <c r="D895">
        <v>113562</v>
      </c>
    </row>
    <row r="896" spans="1:4" ht="15" hidden="1" customHeight="1">
      <c r="A896" s="71">
        <v>46129</v>
      </c>
      <c r="B896" t="s">
        <v>554</v>
      </c>
      <c r="D896">
        <v>21854</v>
      </c>
    </row>
    <row r="897" spans="1:5" ht="15" hidden="1" customHeight="1">
      <c r="A897" s="71">
        <v>46129</v>
      </c>
      <c r="B897" t="s">
        <v>576</v>
      </c>
      <c r="D897">
        <v>166556</v>
      </c>
    </row>
    <row r="898" spans="1:5" ht="15" hidden="1" customHeight="1">
      <c r="A898" s="71">
        <v>46129</v>
      </c>
      <c r="B898" t="s">
        <v>628</v>
      </c>
      <c r="D898">
        <v>128505</v>
      </c>
    </row>
    <row r="899" spans="1:5" ht="15" hidden="1" customHeight="1">
      <c r="A899" s="71">
        <v>46129</v>
      </c>
      <c r="D899">
        <v>14628</v>
      </c>
    </row>
    <row r="900" spans="1:5" ht="15" hidden="1" customHeight="1">
      <c r="A900" s="71">
        <v>46129</v>
      </c>
      <c r="B900" t="s">
        <v>253</v>
      </c>
      <c r="C900">
        <v>4977</v>
      </c>
    </row>
    <row r="901" spans="1:5" ht="15" hidden="1" customHeight="1">
      <c r="A901" s="71">
        <v>46129</v>
      </c>
      <c r="B901" t="s">
        <v>249</v>
      </c>
      <c r="C901">
        <v>6617</v>
      </c>
    </row>
    <row r="902" spans="1:5" ht="15" hidden="1" customHeight="1">
      <c r="A902" s="71">
        <v>46129</v>
      </c>
      <c r="B902" t="s">
        <v>235</v>
      </c>
      <c r="C902">
        <v>2109</v>
      </c>
    </row>
    <row r="903" spans="1:5" ht="15" hidden="1" customHeight="1">
      <c r="A903" s="71">
        <v>46132</v>
      </c>
      <c r="B903" t="s">
        <v>502</v>
      </c>
      <c r="D903">
        <v>71430</v>
      </c>
      <c r="E903" t="s">
        <v>33</v>
      </c>
    </row>
    <row r="904" spans="1:5" ht="15" hidden="1" customHeight="1">
      <c r="A904" s="71">
        <v>46129</v>
      </c>
      <c r="B904" t="s">
        <v>417</v>
      </c>
      <c r="C904">
        <v>10438</v>
      </c>
    </row>
    <row r="905" spans="1:5" ht="15" hidden="1" customHeight="1">
      <c r="A905" s="71">
        <v>46129</v>
      </c>
      <c r="B905" t="s">
        <v>458</v>
      </c>
      <c r="C905">
        <v>2372</v>
      </c>
    </row>
    <row r="906" spans="1:5" ht="15" hidden="1" customHeight="1">
      <c r="A906" s="71">
        <v>46129</v>
      </c>
      <c r="B906" t="s">
        <v>171</v>
      </c>
      <c r="C906">
        <v>8762</v>
      </c>
      <c r="D906">
        <v>168752</v>
      </c>
    </row>
    <row r="907" spans="1:5" ht="15" hidden="1" customHeight="1">
      <c r="A907" s="71">
        <v>46129</v>
      </c>
      <c r="B907" t="s">
        <v>180</v>
      </c>
      <c r="C907">
        <v>9009</v>
      </c>
      <c r="D907">
        <v>170240</v>
      </c>
    </row>
    <row r="908" spans="1:5" ht="15" hidden="1" customHeight="1">
      <c r="A908" s="71">
        <v>46129</v>
      </c>
      <c r="B908" t="s">
        <v>118</v>
      </c>
      <c r="C908">
        <v>7811</v>
      </c>
      <c r="D908">
        <v>199680</v>
      </c>
    </row>
    <row r="909" spans="1:5" ht="15" hidden="1" customHeight="1">
      <c r="A909" s="71">
        <v>46129</v>
      </c>
      <c r="B909" t="s">
        <v>742</v>
      </c>
      <c r="D909">
        <v>110357</v>
      </c>
    </row>
    <row r="910" spans="1:5" ht="15" hidden="1" customHeight="1">
      <c r="A910" s="71">
        <v>46129</v>
      </c>
      <c r="B910" t="s">
        <v>741</v>
      </c>
      <c r="D910">
        <v>259118</v>
      </c>
    </row>
    <row r="911" spans="1:5" ht="15" hidden="1" customHeight="1">
      <c r="A911" s="71">
        <v>46129</v>
      </c>
      <c r="B911" t="s">
        <v>42</v>
      </c>
      <c r="D911">
        <v>191379</v>
      </c>
    </row>
    <row r="912" spans="1:5" ht="15" hidden="1" customHeight="1">
      <c r="A912" s="71">
        <v>46129</v>
      </c>
      <c r="D912">
        <v>40495</v>
      </c>
    </row>
    <row r="913" spans="1:4" ht="15" hidden="1" customHeight="1">
      <c r="A913" s="71">
        <v>46129</v>
      </c>
      <c r="B913" t="s">
        <v>554</v>
      </c>
      <c r="D913">
        <v>21924</v>
      </c>
    </row>
    <row r="914" spans="1:4" ht="15" hidden="1" customHeight="1">
      <c r="A914" s="71">
        <v>46129</v>
      </c>
      <c r="B914" t="s">
        <v>639</v>
      </c>
      <c r="D914">
        <v>96751</v>
      </c>
    </row>
    <row r="915" spans="1:4" ht="15" hidden="1" customHeight="1">
      <c r="A915" s="71">
        <v>46132</v>
      </c>
      <c r="B915" t="s">
        <v>143</v>
      </c>
      <c r="D915">
        <v>807064</v>
      </c>
    </row>
    <row r="916" spans="1:4" ht="15" hidden="1" customHeight="1">
      <c r="A916" s="71">
        <v>46132</v>
      </c>
      <c r="B916" t="s">
        <v>360</v>
      </c>
      <c r="C916">
        <v>5712</v>
      </c>
    </row>
    <row r="917" spans="1:4" ht="15" hidden="1" customHeight="1">
      <c r="A917" s="71">
        <v>46135</v>
      </c>
      <c r="B917" t="s">
        <v>509</v>
      </c>
      <c r="D917">
        <v>72577</v>
      </c>
    </row>
    <row r="918" spans="1:4" ht="15" hidden="1" customHeight="1">
      <c r="A918" s="71">
        <v>46132</v>
      </c>
      <c r="D918">
        <v>51371</v>
      </c>
    </row>
    <row r="919" spans="1:4" ht="15" hidden="1" customHeight="1">
      <c r="A919" s="71">
        <v>46132</v>
      </c>
      <c r="D919">
        <v>41177</v>
      </c>
    </row>
    <row r="920" spans="1:4" ht="15" hidden="1" customHeight="1">
      <c r="A920" s="71">
        <v>46132</v>
      </c>
      <c r="B920" t="s">
        <v>183</v>
      </c>
      <c r="D920">
        <v>57479</v>
      </c>
    </row>
    <row r="921" spans="1:4" ht="15" hidden="1" customHeight="1">
      <c r="A921" s="71">
        <v>46132</v>
      </c>
      <c r="B921" t="s">
        <v>417</v>
      </c>
      <c r="C921">
        <v>10446</v>
      </c>
    </row>
    <row r="922" spans="1:4" ht="15" hidden="1" customHeight="1">
      <c r="A922" s="71">
        <v>46132</v>
      </c>
      <c r="B922" t="s">
        <v>458</v>
      </c>
      <c r="C922">
        <v>2380</v>
      </c>
    </row>
    <row r="923" spans="1:4" ht="15" hidden="1" customHeight="1">
      <c r="A923" s="71">
        <v>46132</v>
      </c>
      <c r="B923" t="s">
        <v>32</v>
      </c>
      <c r="C923">
        <v>10763</v>
      </c>
      <c r="D923">
        <v>261346</v>
      </c>
    </row>
    <row r="924" spans="1:4" ht="15" hidden="1" customHeight="1">
      <c r="A924" s="71">
        <v>46132</v>
      </c>
      <c r="B924" t="s">
        <v>180</v>
      </c>
      <c r="C924">
        <v>9018</v>
      </c>
      <c r="D924">
        <v>170435</v>
      </c>
    </row>
    <row r="925" spans="1:4" ht="15" hidden="1" customHeight="1">
      <c r="A925" s="71">
        <v>46132</v>
      </c>
      <c r="B925" t="s">
        <v>171</v>
      </c>
      <c r="C925">
        <v>8774</v>
      </c>
      <c r="D925">
        <v>169005</v>
      </c>
    </row>
    <row r="926" spans="1:4" ht="15" hidden="1" customHeight="1">
      <c r="A926" s="71">
        <v>46132</v>
      </c>
      <c r="B926" t="s">
        <v>443</v>
      </c>
      <c r="C926">
        <v>2118</v>
      </c>
    </row>
    <row r="927" spans="1:4" ht="15" hidden="1" customHeight="1">
      <c r="A927" s="71">
        <v>46132</v>
      </c>
      <c r="B927" t="s">
        <v>639</v>
      </c>
      <c r="D927">
        <v>97338</v>
      </c>
    </row>
    <row r="928" spans="1:4" ht="15" hidden="1" customHeight="1">
      <c r="A928" s="71">
        <v>46133</v>
      </c>
      <c r="B928" t="s">
        <v>157</v>
      </c>
      <c r="D928">
        <v>142083</v>
      </c>
    </row>
    <row r="929" spans="1:4" ht="15" hidden="1" customHeight="1">
      <c r="A929" s="71">
        <v>46133</v>
      </c>
      <c r="D929">
        <v>417244</v>
      </c>
    </row>
    <row r="930" spans="1:4" ht="15" hidden="1" customHeight="1">
      <c r="A930" s="71">
        <v>46133</v>
      </c>
      <c r="B930" t="s">
        <v>638</v>
      </c>
      <c r="D930">
        <v>114064</v>
      </c>
    </row>
    <row r="931" spans="1:4" ht="15" hidden="1" customHeight="1">
      <c r="A931" s="71">
        <v>46133</v>
      </c>
      <c r="B931" t="s">
        <v>576</v>
      </c>
      <c r="D931">
        <v>167229</v>
      </c>
    </row>
    <row r="932" spans="1:4" hidden="1">
      <c r="A932" s="71">
        <v>46133</v>
      </c>
    </row>
    <row r="933" spans="1:4" ht="15" hidden="1" customHeight="1">
      <c r="A933" s="71">
        <v>46133</v>
      </c>
      <c r="B933" t="s">
        <v>362</v>
      </c>
      <c r="C933">
        <v>15759</v>
      </c>
    </row>
    <row r="934" spans="1:4" ht="15" hidden="1" customHeight="1">
      <c r="A934" s="71">
        <v>46133</v>
      </c>
      <c r="B934" t="s">
        <v>333</v>
      </c>
      <c r="C934">
        <v>7113</v>
      </c>
    </row>
    <row r="935" spans="1:4" ht="15" hidden="1" customHeight="1">
      <c r="A935" s="71">
        <v>46133</v>
      </c>
      <c r="B935" t="s">
        <v>268</v>
      </c>
      <c r="C935">
        <v>10151</v>
      </c>
    </row>
    <row r="936" spans="1:4" ht="15" hidden="1" customHeight="1">
      <c r="A936" s="71">
        <v>46133</v>
      </c>
      <c r="B936" t="s">
        <v>383</v>
      </c>
      <c r="C936">
        <v>3842</v>
      </c>
    </row>
    <row r="937" spans="1:4" ht="15" hidden="1" customHeight="1">
      <c r="A937" s="71">
        <v>46133</v>
      </c>
      <c r="B937" t="s">
        <v>554</v>
      </c>
      <c r="D937">
        <v>22923</v>
      </c>
    </row>
    <row r="938" spans="1:4" ht="15" hidden="1" customHeight="1">
      <c r="A938" s="71">
        <v>46133</v>
      </c>
      <c r="B938" t="s">
        <v>39</v>
      </c>
      <c r="C938">
        <v>145</v>
      </c>
    </row>
    <row r="939" spans="1:4" ht="15" hidden="1" customHeight="1">
      <c r="A939" s="71">
        <v>46133</v>
      </c>
      <c r="B939" t="s">
        <v>65</v>
      </c>
      <c r="C939">
        <v>3698</v>
      </c>
    </row>
    <row r="940" spans="1:4" ht="15" hidden="1" customHeight="1">
      <c r="A940" s="71">
        <v>46133</v>
      </c>
      <c r="B940" t="s">
        <v>191</v>
      </c>
      <c r="D940">
        <v>133047</v>
      </c>
    </row>
    <row r="941" spans="1:4" ht="15" hidden="1" customHeight="1">
      <c r="A941" s="71">
        <v>46133</v>
      </c>
      <c r="D941">
        <v>299145</v>
      </c>
    </row>
    <row r="942" spans="1:4" ht="15" hidden="1" customHeight="1">
      <c r="A942" s="71">
        <v>46133</v>
      </c>
      <c r="B942" t="s">
        <v>253</v>
      </c>
      <c r="C942">
        <v>4982</v>
      </c>
    </row>
    <row r="943" spans="1:4" ht="15" hidden="1" customHeight="1">
      <c r="A943" s="71">
        <v>46133</v>
      </c>
      <c r="B943" t="s">
        <v>249</v>
      </c>
      <c r="C943">
        <v>6624</v>
      </c>
    </row>
    <row r="944" spans="1:4" ht="15" hidden="1" customHeight="1">
      <c r="A944" s="71">
        <v>46133</v>
      </c>
      <c r="B944" t="s">
        <v>235</v>
      </c>
      <c r="C944">
        <v>2114</v>
      </c>
    </row>
    <row r="945" spans="1:4" ht="15" hidden="1" customHeight="1">
      <c r="A945" s="71">
        <v>46133</v>
      </c>
      <c r="B945" t="s">
        <v>417</v>
      </c>
      <c r="C945">
        <v>10452</v>
      </c>
    </row>
    <row r="946" spans="1:4" ht="15" hidden="1" customHeight="1">
      <c r="A946" s="71">
        <v>46133</v>
      </c>
      <c r="B946" t="s">
        <v>458</v>
      </c>
      <c r="C946">
        <v>2385</v>
      </c>
    </row>
    <row r="947" spans="1:4" ht="15" hidden="1" customHeight="1">
      <c r="A947" s="71">
        <v>46133</v>
      </c>
      <c r="B947" t="s">
        <v>180</v>
      </c>
      <c r="C947">
        <v>9025</v>
      </c>
      <c r="D947">
        <v>170581</v>
      </c>
    </row>
    <row r="948" spans="1:4" ht="15" hidden="1" customHeight="1">
      <c r="A948" s="71">
        <v>46133</v>
      </c>
      <c r="B948" t="s">
        <v>171</v>
      </c>
      <c r="C948">
        <v>8782</v>
      </c>
      <c r="D948">
        <v>169182</v>
      </c>
    </row>
    <row r="949" spans="1:4" ht="15" hidden="1" customHeight="1">
      <c r="A949" s="71">
        <v>46133</v>
      </c>
      <c r="B949" t="s">
        <v>380</v>
      </c>
      <c r="D949">
        <v>5729</v>
      </c>
    </row>
    <row r="950" spans="1:4" ht="15" hidden="1" customHeight="1">
      <c r="A950" s="71">
        <v>46133</v>
      </c>
      <c r="B950" t="s">
        <v>411</v>
      </c>
      <c r="C950">
        <v>4572</v>
      </c>
    </row>
    <row r="951" spans="1:4" ht="15" hidden="1" customHeight="1">
      <c r="A951" s="71">
        <v>46133</v>
      </c>
      <c r="B951" t="s">
        <v>742</v>
      </c>
      <c r="D951">
        <v>110970</v>
      </c>
    </row>
    <row r="952" spans="1:4" ht="15" hidden="1" customHeight="1">
      <c r="A952" s="71">
        <v>46134</v>
      </c>
      <c r="B952" t="s">
        <v>443</v>
      </c>
      <c r="C952">
        <v>2127</v>
      </c>
    </row>
    <row r="953" spans="1:4" ht="15" hidden="1" customHeight="1">
      <c r="A953" s="71">
        <v>46134</v>
      </c>
      <c r="B953" t="s">
        <v>208</v>
      </c>
      <c r="C953">
        <v>1557</v>
      </c>
    </row>
    <row r="954" spans="1:4" ht="15" hidden="1" customHeight="1">
      <c r="A954" s="71">
        <v>46134</v>
      </c>
      <c r="B954" t="s">
        <v>664</v>
      </c>
    </row>
    <row r="955" spans="1:4" ht="15" hidden="1" customHeight="1">
      <c r="A955" s="71">
        <v>46134</v>
      </c>
      <c r="B955" t="s">
        <v>65</v>
      </c>
      <c r="C955">
        <v>3980</v>
      </c>
    </row>
    <row r="956" spans="1:4" ht="15" hidden="1" customHeight="1">
      <c r="A956" s="71">
        <v>46134</v>
      </c>
      <c r="B956" t="s">
        <v>118</v>
      </c>
      <c r="C956">
        <v>7823</v>
      </c>
      <c r="D956">
        <v>199925</v>
      </c>
    </row>
    <row r="957" spans="1:4" ht="15" hidden="1" customHeight="1">
      <c r="A957" s="71">
        <v>46134</v>
      </c>
      <c r="B957" t="s">
        <v>32</v>
      </c>
      <c r="C957">
        <v>10777</v>
      </c>
      <c r="D957">
        <v>261727</v>
      </c>
    </row>
    <row r="958" spans="1:4" ht="15" hidden="1" customHeight="1">
      <c r="A958" s="71">
        <v>46134</v>
      </c>
      <c r="B958" t="s">
        <v>417</v>
      </c>
      <c r="C958">
        <v>10458</v>
      </c>
    </row>
    <row r="959" spans="1:4" ht="15" hidden="1" customHeight="1">
      <c r="A959" s="71">
        <v>46134</v>
      </c>
      <c r="B959" t="s">
        <v>458</v>
      </c>
      <c r="C959">
        <v>2392</v>
      </c>
    </row>
    <row r="960" spans="1:4" ht="15" hidden="1" customHeight="1">
      <c r="A960" s="71">
        <v>46134</v>
      </c>
      <c r="B960" t="s">
        <v>171</v>
      </c>
      <c r="C960">
        <v>8792</v>
      </c>
      <c r="D960">
        <v>169364</v>
      </c>
    </row>
    <row r="961" spans="1:5" ht="15" hidden="1" customHeight="1">
      <c r="A961" s="71">
        <v>46134</v>
      </c>
      <c r="B961" t="s">
        <v>42</v>
      </c>
      <c r="D961">
        <v>191502</v>
      </c>
    </row>
    <row r="962" spans="1:5" ht="15" hidden="1" customHeight="1">
      <c r="A962" s="71">
        <v>46135</v>
      </c>
      <c r="D962">
        <v>41765</v>
      </c>
    </row>
    <row r="963" spans="1:5" ht="15" hidden="1" customHeight="1">
      <c r="A963" s="71">
        <v>46135</v>
      </c>
      <c r="B963" t="s">
        <v>638</v>
      </c>
      <c r="D963">
        <v>114280</v>
      </c>
    </row>
    <row r="964" spans="1:5" ht="15" hidden="1" customHeight="1">
      <c r="A964" s="71">
        <v>46136</v>
      </c>
      <c r="B964" t="s">
        <v>502</v>
      </c>
      <c r="D964">
        <v>71483</v>
      </c>
      <c r="E964" t="s">
        <v>33</v>
      </c>
    </row>
    <row r="965" spans="1:5" ht="15" hidden="1" customHeight="1">
      <c r="A965" s="71">
        <v>46135</v>
      </c>
      <c r="B965" t="s">
        <v>333</v>
      </c>
      <c r="C965">
        <v>7118</v>
      </c>
    </row>
    <row r="966" spans="1:5" ht="15" hidden="1" customHeight="1">
      <c r="A966" s="71">
        <v>46135</v>
      </c>
      <c r="B966" t="s">
        <v>362</v>
      </c>
      <c r="C966">
        <v>15773</v>
      </c>
    </row>
    <row r="967" spans="1:5" ht="15" hidden="1" customHeight="1">
      <c r="A967" s="71">
        <v>46135</v>
      </c>
      <c r="B967" t="s">
        <v>268</v>
      </c>
      <c r="C967">
        <v>10161</v>
      </c>
    </row>
    <row r="968" spans="1:5" ht="15" hidden="1" customHeight="1">
      <c r="A968" s="71">
        <v>46135</v>
      </c>
      <c r="B968" t="s">
        <v>383</v>
      </c>
      <c r="C968">
        <v>3850</v>
      </c>
    </row>
    <row r="969" spans="1:5" ht="15" hidden="1" customHeight="1">
      <c r="A969" s="71">
        <v>46135</v>
      </c>
      <c r="B969" t="s">
        <v>65</v>
      </c>
      <c r="C969">
        <v>3985</v>
      </c>
    </row>
    <row r="970" spans="1:5" ht="15" hidden="1" customHeight="1">
      <c r="A970" s="71">
        <v>46135</v>
      </c>
      <c r="B970" t="s">
        <v>253</v>
      </c>
      <c r="C970">
        <v>4988</v>
      </c>
    </row>
    <row r="971" spans="1:5" ht="15" hidden="1" customHeight="1">
      <c r="A971" s="71">
        <v>46135</v>
      </c>
      <c r="B971" t="s">
        <v>249</v>
      </c>
      <c r="C971">
        <v>6630</v>
      </c>
    </row>
    <row r="972" spans="1:5" ht="15" hidden="1" customHeight="1">
      <c r="A972" s="71">
        <v>46135</v>
      </c>
      <c r="B972" t="s">
        <v>235</v>
      </c>
      <c r="C972">
        <v>2120</v>
      </c>
    </row>
    <row r="973" spans="1:5" ht="15" hidden="1" customHeight="1">
      <c r="A973" s="71">
        <v>46135</v>
      </c>
      <c r="B973" t="s">
        <v>417</v>
      </c>
      <c r="C973">
        <v>10464</v>
      </c>
    </row>
    <row r="974" spans="1:5" ht="15" hidden="1" customHeight="1">
      <c r="A974" s="71">
        <v>46135</v>
      </c>
      <c r="B974" t="s">
        <v>458</v>
      </c>
      <c r="C974">
        <v>2397</v>
      </c>
    </row>
    <row r="975" spans="1:5" ht="15" hidden="1" customHeight="1">
      <c r="A975" s="71">
        <v>46135</v>
      </c>
      <c r="B975" t="s">
        <v>180</v>
      </c>
      <c r="C975">
        <v>9042</v>
      </c>
      <c r="D975">
        <v>170856</v>
      </c>
    </row>
    <row r="976" spans="1:5" ht="15" hidden="1" customHeight="1">
      <c r="A976" s="71">
        <v>46135</v>
      </c>
      <c r="B976" t="s">
        <v>171</v>
      </c>
      <c r="C976">
        <v>8799</v>
      </c>
      <c r="D976">
        <v>169501</v>
      </c>
    </row>
    <row r="977" spans="1:5" ht="15" hidden="1" customHeight="1">
      <c r="A977" s="71">
        <v>46135</v>
      </c>
      <c r="D977">
        <v>299439</v>
      </c>
    </row>
    <row r="978" spans="1:5" ht="15" hidden="1" customHeight="1">
      <c r="A978" s="71">
        <v>46135</v>
      </c>
      <c r="B978" t="s">
        <v>411</v>
      </c>
      <c r="C978">
        <v>4581</v>
      </c>
    </row>
    <row r="979" spans="1:5" ht="15" hidden="1" customHeight="1">
      <c r="A979" s="71">
        <v>46135</v>
      </c>
      <c r="D979">
        <v>417534</v>
      </c>
    </row>
    <row r="980" spans="1:5" ht="15" hidden="1" customHeight="1">
      <c r="A980" s="71">
        <v>46135</v>
      </c>
      <c r="B980" t="s">
        <v>399</v>
      </c>
      <c r="C980">
        <v>8699</v>
      </c>
    </row>
    <row r="981" spans="1:5" ht="15" hidden="1" customHeight="1">
      <c r="A981" s="71">
        <v>46135</v>
      </c>
      <c r="D981">
        <v>360766</v>
      </c>
    </row>
    <row r="982" spans="1:5" ht="15" hidden="1" customHeight="1">
      <c r="A982" s="71">
        <v>46135</v>
      </c>
      <c r="B982" t="s">
        <v>32</v>
      </c>
      <c r="C982">
        <v>10786</v>
      </c>
      <c r="D982">
        <v>261963</v>
      </c>
    </row>
    <row r="983" spans="1:5" ht="15" hidden="1" customHeight="1">
      <c r="A983" s="71">
        <v>46135</v>
      </c>
      <c r="B983" t="s">
        <v>118</v>
      </c>
      <c r="C983">
        <v>7893</v>
      </c>
      <c r="D983">
        <v>200223</v>
      </c>
    </row>
    <row r="984" spans="1:5" ht="15" hidden="1" customHeight="1">
      <c r="A984" s="71">
        <v>46135</v>
      </c>
      <c r="D984">
        <v>15464</v>
      </c>
    </row>
    <row r="985" spans="1:5" ht="15" hidden="1" customHeight="1">
      <c r="A985" s="71">
        <v>46135</v>
      </c>
      <c r="B985" t="s">
        <v>371</v>
      </c>
      <c r="D985">
        <v>16948</v>
      </c>
    </row>
    <row r="986" spans="1:5" ht="15" hidden="1" customHeight="1">
      <c r="A986" s="71">
        <v>46135</v>
      </c>
      <c r="B986" t="s">
        <v>143</v>
      </c>
      <c r="D986">
        <v>807456</v>
      </c>
    </row>
    <row r="987" spans="1:5" ht="15" hidden="1" customHeight="1">
      <c r="A987" s="71">
        <v>46136</v>
      </c>
      <c r="B987" t="s">
        <v>742</v>
      </c>
      <c r="D987">
        <v>11118</v>
      </c>
    </row>
    <row r="988" spans="1:5" ht="15" hidden="1" customHeight="1">
      <c r="A988" s="71">
        <v>46136</v>
      </c>
      <c r="B988" t="s">
        <v>639</v>
      </c>
      <c r="D988">
        <v>97559</v>
      </c>
    </row>
    <row r="989" spans="1:5" ht="15" hidden="1" customHeight="1">
      <c r="A989" s="71">
        <v>46136</v>
      </c>
      <c r="B989" t="s">
        <v>417</v>
      </c>
      <c r="C989">
        <v>10474</v>
      </c>
    </row>
    <row r="990" spans="1:5" ht="15" hidden="1" customHeight="1">
      <c r="A990" s="71">
        <v>46139</v>
      </c>
      <c r="B990" t="s">
        <v>502</v>
      </c>
      <c r="D990">
        <v>72279</v>
      </c>
      <c r="E990" t="s">
        <v>33</v>
      </c>
    </row>
    <row r="991" spans="1:5" ht="15" hidden="1" customHeight="1">
      <c r="A991" s="71">
        <v>46136</v>
      </c>
      <c r="B991" t="s">
        <v>458</v>
      </c>
      <c r="C991">
        <v>2405</v>
      </c>
    </row>
    <row r="992" spans="1:5" ht="15" hidden="1" customHeight="1">
      <c r="A992" s="71">
        <v>46136</v>
      </c>
      <c r="B992" t="s">
        <v>399</v>
      </c>
      <c r="C992">
        <v>8704</v>
      </c>
    </row>
    <row r="993" spans="1:4" ht="15" hidden="1" customHeight="1">
      <c r="A993" s="71">
        <v>46136</v>
      </c>
      <c r="B993" t="s">
        <v>576</v>
      </c>
      <c r="D993">
        <v>167571</v>
      </c>
    </row>
    <row r="994" spans="1:4" ht="15" hidden="1" customHeight="1">
      <c r="A994" s="71">
        <v>46136</v>
      </c>
      <c r="B994" t="s">
        <v>628</v>
      </c>
      <c r="D994">
        <v>129107</v>
      </c>
    </row>
    <row r="995" spans="1:4" ht="15" hidden="1" customHeight="1">
      <c r="A995" s="71">
        <v>46136</v>
      </c>
      <c r="B995" t="s">
        <v>741</v>
      </c>
      <c r="D995">
        <v>259539</v>
      </c>
    </row>
    <row r="996" spans="1:4" ht="15" hidden="1" customHeight="1">
      <c r="A996" s="71">
        <v>46136</v>
      </c>
      <c r="B996" t="s">
        <v>554</v>
      </c>
      <c r="D996">
        <v>23402</v>
      </c>
    </row>
    <row r="997" spans="1:4" ht="15" hidden="1" customHeight="1">
      <c r="A997" s="71">
        <v>46136</v>
      </c>
      <c r="D997">
        <v>42047</v>
      </c>
    </row>
    <row r="998" spans="1:4" ht="15" hidden="1" customHeight="1">
      <c r="A998" s="71">
        <v>46136</v>
      </c>
      <c r="B998" t="s">
        <v>638</v>
      </c>
      <c r="D998">
        <v>114470</v>
      </c>
    </row>
    <row r="999" spans="1:4" ht="15" hidden="1" customHeight="1">
      <c r="A999" s="71">
        <v>46136</v>
      </c>
      <c r="B999" t="s">
        <v>118</v>
      </c>
      <c r="D999">
        <v>199562</v>
      </c>
    </row>
    <row r="1000" spans="1:4" ht="15" hidden="1" customHeight="1">
      <c r="A1000" s="71">
        <v>46139</v>
      </c>
      <c r="B1000" t="s">
        <v>411</v>
      </c>
      <c r="C1000">
        <v>4595</v>
      </c>
    </row>
    <row r="1001" spans="1:4" ht="15" hidden="1" customHeight="1">
      <c r="A1001" s="71">
        <v>46139</v>
      </c>
      <c r="B1001" t="s">
        <v>180</v>
      </c>
      <c r="C1001">
        <v>9054</v>
      </c>
      <c r="D1001">
        <v>171059</v>
      </c>
    </row>
    <row r="1002" spans="1:4" ht="15" hidden="1" customHeight="1">
      <c r="A1002" s="71">
        <v>46139</v>
      </c>
      <c r="B1002" t="s">
        <v>171</v>
      </c>
      <c r="C1002">
        <v>8812</v>
      </c>
      <c r="D1002">
        <v>169768</v>
      </c>
    </row>
    <row r="1003" spans="1:4" ht="15" hidden="1" customHeight="1">
      <c r="A1003" s="71">
        <v>46139</v>
      </c>
      <c r="B1003" t="s">
        <v>417</v>
      </c>
      <c r="C1003">
        <v>10477</v>
      </c>
    </row>
    <row r="1004" spans="1:4" ht="15" hidden="1" customHeight="1">
      <c r="A1004" s="71">
        <v>46142</v>
      </c>
      <c r="B1004" t="s">
        <v>509</v>
      </c>
      <c r="D1004">
        <v>73788</v>
      </c>
    </row>
    <row r="1005" spans="1:4" ht="15" hidden="1" customHeight="1">
      <c r="A1005" s="71">
        <v>46139</v>
      </c>
      <c r="B1005" t="s">
        <v>458</v>
      </c>
      <c r="C1005">
        <v>2408</v>
      </c>
    </row>
    <row r="1006" spans="1:4" ht="15" hidden="1" customHeight="1">
      <c r="A1006" s="71">
        <v>46139</v>
      </c>
      <c r="B1006" t="s">
        <v>253</v>
      </c>
      <c r="C1006">
        <v>4993</v>
      </c>
    </row>
    <row r="1007" spans="1:4" ht="15" hidden="1" customHeight="1">
      <c r="A1007" s="71">
        <v>46139</v>
      </c>
      <c r="B1007" t="s">
        <v>249</v>
      </c>
      <c r="C1007">
        <v>6637</v>
      </c>
    </row>
    <row r="1008" spans="1:4" ht="15" hidden="1" customHeight="1">
      <c r="A1008" s="71">
        <v>46139</v>
      </c>
      <c r="B1008" t="s">
        <v>235</v>
      </c>
      <c r="C1008">
        <v>2126</v>
      </c>
    </row>
    <row r="1009" spans="1:4" ht="15" hidden="1" customHeight="1">
      <c r="A1009" s="71">
        <v>46139</v>
      </c>
      <c r="B1009" t="s">
        <v>338</v>
      </c>
      <c r="C1009">
        <v>26146</v>
      </c>
    </row>
    <row r="1010" spans="1:4" ht="15" hidden="1" customHeight="1">
      <c r="A1010" s="71">
        <v>46139</v>
      </c>
      <c r="D1010">
        <v>417916</v>
      </c>
    </row>
    <row r="1011" spans="1:4" ht="15" hidden="1" customHeight="1">
      <c r="A1011" s="71">
        <v>46139</v>
      </c>
      <c r="B1011" t="s">
        <v>554</v>
      </c>
      <c r="D1011">
        <v>24294</v>
      </c>
    </row>
    <row r="1012" spans="1:4" ht="15" hidden="1" customHeight="1">
      <c r="A1012" s="71">
        <v>46139</v>
      </c>
      <c r="D1012">
        <v>361207</v>
      </c>
    </row>
    <row r="1013" spans="1:4" ht="15" hidden="1" customHeight="1">
      <c r="A1013" s="71">
        <v>46139</v>
      </c>
      <c r="B1013" t="s">
        <v>157</v>
      </c>
      <c r="D1013">
        <v>142367</v>
      </c>
    </row>
    <row r="1014" spans="1:4" ht="15" hidden="1" customHeight="1">
      <c r="A1014" s="71">
        <v>46139</v>
      </c>
      <c r="B1014" t="s">
        <v>65</v>
      </c>
      <c r="C1014">
        <v>3993</v>
      </c>
    </row>
    <row r="1015" spans="1:4" ht="15" hidden="1" customHeight="1">
      <c r="A1015" s="71">
        <v>46139</v>
      </c>
      <c r="B1015" t="s">
        <v>32</v>
      </c>
      <c r="C1015">
        <v>10801</v>
      </c>
      <c r="D1015">
        <v>262246</v>
      </c>
    </row>
    <row r="1016" spans="1:4" ht="15" hidden="1" customHeight="1">
      <c r="A1016" s="71">
        <v>46139</v>
      </c>
      <c r="B1016" t="s">
        <v>362</v>
      </c>
      <c r="C1016">
        <v>15786</v>
      </c>
    </row>
    <row r="1017" spans="1:4" ht="15" hidden="1" customHeight="1">
      <c r="A1017" s="71">
        <v>46139</v>
      </c>
      <c r="B1017" t="s">
        <v>42</v>
      </c>
      <c r="D1017">
        <v>191660</v>
      </c>
    </row>
    <row r="1018" spans="1:4" ht="15" hidden="1" customHeight="1">
      <c r="A1018" s="71">
        <v>46139</v>
      </c>
      <c r="B1018" t="s">
        <v>742</v>
      </c>
      <c r="D1018">
        <v>111795</v>
      </c>
    </row>
    <row r="1019" spans="1:4" ht="15" hidden="1" customHeight="1">
      <c r="A1019" s="71">
        <v>46139</v>
      </c>
      <c r="B1019" t="s">
        <v>741</v>
      </c>
      <c r="D1019">
        <v>42686</v>
      </c>
    </row>
    <row r="1020" spans="1:4" ht="15" hidden="1" customHeight="1">
      <c r="A1020" s="71">
        <v>46140</v>
      </c>
      <c r="B1020" t="s">
        <v>118</v>
      </c>
      <c r="C1020">
        <v>7853</v>
      </c>
      <c r="D1020">
        <v>200766</v>
      </c>
    </row>
    <row r="1021" spans="1:4" ht="15" hidden="1" customHeight="1">
      <c r="A1021" s="71">
        <v>46140</v>
      </c>
      <c r="D1021">
        <v>16048</v>
      </c>
    </row>
    <row r="1022" spans="1:4" ht="15" hidden="1" customHeight="1">
      <c r="A1022" s="71">
        <v>46140</v>
      </c>
      <c r="B1022" t="s">
        <v>638</v>
      </c>
      <c r="D1022">
        <v>114896</v>
      </c>
    </row>
    <row r="1023" spans="1:4" ht="15" hidden="1" customHeight="1">
      <c r="A1023" s="71">
        <v>46140</v>
      </c>
      <c r="B1023" t="s">
        <v>443</v>
      </c>
      <c r="D1023">
        <v>2145</v>
      </c>
    </row>
    <row r="1024" spans="1:4" ht="15" hidden="1" customHeight="1">
      <c r="A1024" s="71">
        <v>46140</v>
      </c>
      <c r="D1024">
        <v>299822</v>
      </c>
    </row>
    <row r="1025" spans="1:4" ht="15" hidden="1" customHeight="1">
      <c r="A1025" s="71">
        <v>46140</v>
      </c>
      <c r="B1025" t="s">
        <v>743</v>
      </c>
      <c r="C1025">
        <v>304</v>
      </c>
    </row>
    <row r="1026" spans="1:4" ht="15" hidden="1" customHeight="1">
      <c r="A1026" s="71">
        <v>46140</v>
      </c>
      <c r="B1026" t="s">
        <v>338</v>
      </c>
      <c r="C1026">
        <v>26151</v>
      </c>
    </row>
    <row r="1027" spans="1:4" ht="15" hidden="1" customHeight="1">
      <c r="A1027" s="71">
        <v>46140</v>
      </c>
      <c r="B1027" t="s">
        <v>417</v>
      </c>
      <c r="C1027">
        <v>10483</v>
      </c>
    </row>
    <row r="1028" spans="1:4" ht="15" hidden="1" customHeight="1">
      <c r="A1028" s="71">
        <v>46140</v>
      </c>
      <c r="B1028" t="s">
        <v>458</v>
      </c>
      <c r="C1028">
        <v>2413</v>
      </c>
    </row>
    <row r="1029" spans="1:4" ht="15" hidden="1" customHeight="1">
      <c r="A1029" s="71">
        <v>46140</v>
      </c>
      <c r="B1029" t="s">
        <v>576</v>
      </c>
      <c r="D1029">
        <v>168262</v>
      </c>
    </row>
    <row r="1030" spans="1:4" ht="15" hidden="1" customHeight="1">
      <c r="A1030" s="71">
        <v>46140</v>
      </c>
      <c r="B1030" t="s">
        <v>171</v>
      </c>
      <c r="C1030">
        <v>8820</v>
      </c>
      <c r="D1030">
        <v>169963</v>
      </c>
    </row>
    <row r="1031" spans="1:4" ht="15" hidden="1" customHeight="1">
      <c r="A1031" s="71">
        <v>46140</v>
      </c>
      <c r="B1031" t="s">
        <v>143</v>
      </c>
      <c r="D1031">
        <v>807840</v>
      </c>
    </row>
    <row r="1032" spans="1:4" ht="15" hidden="1" customHeight="1">
      <c r="A1032" s="71">
        <v>46141</v>
      </c>
      <c r="B1032" t="s">
        <v>118</v>
      </c>
      <c r="C1032">
        <v>7862</v>
      </c>
      <c r="D1032">
        <v>200971</v>
      </c>
    </row>
    <row r="1033" spans="1:4" ht="15" hidden="1" customHeight="1">
      <c r="A1033" s="71">
        <v>46141</v>
      </c>
      <c r="B1033" t="s">
        <v>171</v>
      </c>
      <c r="C1033">
        <v>8827</v>
      </c>
      <c r="D1033">
        <v>170140</v>
      </c>
    </row>
    <row r="1034" spans="1:4" ht="15" hidden="1" customHeight="1">
      <c r="A1034" s="71">
        <v>46141</v>
      </c>
      <c r="B1034" t="s">
        <v>180</v>
      </c>
      <c r="C1034">
        <v>9069</v>
      </c>
      <c r="D1034">
        <v>171386</v>
      </c>
    </row>
    <row r="1035" spans="1:4" ht="15" hidden="1" customHeight="1">
      <c r="A1035" s="71">
        <v>46141</v>
      </c>
      <c r="B1035" t="s">
        <v>157</v>
      </c>
      <c r="D1035">
        <v>142391</v>
      </c>
    </row>
    <row r="1036" spans="1:4" ht="15" hidden="1" customHeight="1">
      <c r="A1036" s="71">
        <v>46141</v>
      </c>
      <c r="D1036">
        <v>300035</v>
      </c>
    </row>
    <row r="1037" spans="1:4" ht="15" hidden="1" customHeight="1">
      <c r="A1037" s="71">
        <v>46141</v>
      </c>
      <c r="B1037" t="s">
        <v>138</v>
      </c>
      <c r="C1037">
        <v>1887</v>
      </c>
    </row>
    <row r="1038" spans="1:4" ht="15" hidden="1" customHeight="1">
      <c r="A1038" s="71">
        <v>46141</v>
      </c>
      <c r="B1038" t="s">
        <v>32</v>
      </c>
      <c r="C1038">
        <v>10810</v>
      </c>
      <c r="D1038">
        <v>262456</v>
      </c>
    </row>
    <row r="1039" spans="1:4" ht="15" hidden="1" customHeight="1">
      <c r="A1039" s="71">
        <v>46141</v>
      </c>
      <c r="B1039" t="s">
        <v>183</v>
      </c>
      <c r="D1039">
        <v>57751</v>
      </c>
    </row>
    <row r="1040" spans="1:4" ht="15" hidden="1" customHeight="1">
      <c r="A1040" s="71">
        <v>46141</v>
      </c>
      <c r="B1040" t="s">
        <v>411</v>
      </c>
      <c r="C1040">
        <v>4607</v>
      </c>
    </row>
    <row r="1041" spans="1:5" ht="15" hidden="1" customHeight="1">
      <c r="A1041" s="71">
        <v>46141</v>
      </c>
      <c r="B1041" t="s">
        <v>333</v>
      </c>
      <c r="C1041">
        <v>7130</v>
      </c>
    </row>
    <row r="1042" spans="1:5" ht="15" hidden="1" customHeight="1">
      <c r="A1042" s="71">
        <v>46141</v>
      </c>
      <c r="B1042" t="s">
        <v>268</v>
      </c>
      <c r="C1042">
        <v>10186</v>
      </c>
    </row>
    <row r="1043" spans="1:5" ht="15" hidden="1" customHeight="1">
      <c r="A1043" s="71">
        <v>46141</v>
      </c>
      <c r="B1043" t="s">
        <v>253</v>
      </c>
      <c r="C1043">
        <v>5001</v>
      </c>
    </row>
    <row r="1044" spans="1:5" ht="15" hidden="1" customHeight="1">
      <c r="A1044" s="71">
        <v>46141</v>
      </c>
      <c r="B1044" t="s">
        <v>249</v>
      </c>
      <c r="C1044">
        <v>6645</v>
      </c>
    </row>
    <row r="1045" spans="1:5" ht="15" hidden="1" customHeight="1">
      <c r="A1045" s="71">
        <v>46141</v>
      </c>
      <c r="B1045" t="s">
        <v>235</v>
      </c>
      <c r="C1045">
        <v>2133</v>
      </c>
    </row>
    <row r="1046" spans="1:5" ht="15" hidden="1" customHeight="1">
      <c r="A1046" s="71">
        <v>46141</v>
      </c>
      <c r="B1046" t="s">
        <v>417</v>
      </c>
      <c r="C1046">
        <v>10493</v>
      </c>
    </row>
    <row r="1047" spans="1:5" hidden="1">
      <c r="A1047" s="71">
        <v>46141</v>
      </c>
      <c r="B1047" t="s">
        <v>458</v>
      </c>
      <c r="C1047">
        <v>2421</v>
      </c>
    </row>
    <row r="1048" spans="1:5" ht="15" hidden="1" customHeight="1">
      <c r="A1048" s="71">
        <v>46141</v>
      </c>
      <c r="B1048" t="s">
        <v>338</v>
      </c>
      <c r="C1048">
        <v>26160</v>
      </c>
    </row>
    <row r="1049" spans="1:5" ht="15" hidden="1" customHeight="1">
      <c r="A1049" s="71">
        <v>46141</v>
      </c>
      <c r="B1049" t="s">
        <v>639</v>
      </c>
      <c r="D1049">
        <v>98196</v>
      </c>
    </row>
    <row r="1050" spans="1:5" ht="15" hidden="1" customHeight="1">
      <c r="A1050" s="71">
        <v>46141</v>
      </c>
      <c r="B1050" t="s">
        <v>118</v>
      </c>
      <c r="C1050">
        <v>7870</v>
      </c>
      <c r="D1050">
        <v>201364</v>
      </c>
    </row>
    <row r="1051" spans="1:5" ht="15" hidden="1" customHeight="1">
      <c r="A1051" s="71">
        <v>46141</v>
      </c>
      <c r="B1051" t="s">
        <v>79</v>
      </c>
      <c r="D1051">
        <v>511829</v>
      </c>
    </row>
    <row r="1052" spans="1:5" ht="15" hidden="1" customHeight="1">
      <c r="A1052" s="71">
        <v>46141</v>
      </c>
      <c r="B1052" t="s">
        <v>42</v>
      </c>
      <c r="D1052">
        <v>191825</v>
      </c>
    </row>
    <row r="1053" spans="1:5" ht="15" hidden="1" customHeight="1">
      <c r="A1053" s="71">
        <v>46142</v>
      </c>
      <c r="B1053" t="s">
        <v>554</v>
      </c>
      <c r="D1053">
        <v>24843</v>
      </c>
    </row>
    <row r="1054" spans="1:5" ht="15" hidden="1" customHeight="1">
      <c r="A1054" s="71">
        <v>46142</v>
      </c>
      <c r="B1054" t="s">
        <v>638</v>
      </c>
      <c r="D1054">
        <v>115118</v>
      </c>
    </row>
    <row r="1055" spans="1:5" ht="15" hidden="1" customHeight="1">
      <c r="A1055" s="71">
        <v>46142</v>
      </c>
      <c r="B1055" t="s">
        <v>502</v>
      </c>
      <c r="D1055">
        <v>72300</v>
      </c>
      <c r="E1055" t="s">
        <v>33</v>
      </c>
    </row>
    <row r="1056" spans="1:5" ht="15" hidden="1" customHeight="1">
      <c r="A1056" s="71">
        <v>46142</v>
      </c>
    </row>
    <row r="1057" spans="1:5" ht="15" hidden="1" customHeight="1">
      <c r="A1057" s="71">
        <v>46142</v>
      </c>
      <c r="B1057" t="s">
        <v>180</v>
      </c>
      <c r="C1057">
        <v>9078</v>
      </c>
      <c r="D1057">
        <v>171587</v>
      </c>
    </row>
    <row r="1058" spans="1:5" ht="15" hidden="1" customHeight="1">
      <c r="A1058" s="71">
        <v>46142</v>
      </c>
      <c r="B1058" t="s">
        <v>32</v>
      </c>
      <c r="C1058">
        <v>10821</v>
      </c>
      <c r="D1058">
        <v>262956</v>
      </c>
    </row>
    <row r="1059" spans="1:5" ht="15" hidden="1" customHeight="1">
      <c r="A1059" s="71">
        <v>46142</v>
      </c>
      <c r="B1059" t="s">
        <v>362</v>
      </c>
      <c r="C1059">
        <v>15808</v>
      </c>
    </row>
    <row r="1060" spans="1:5" ht="15" hidden="1" customHeight="1">
      <c r="A1060" s="71">
        <v>46142</v>
      </c>
      <c r="D1060">
        <v>418328</v>
      </c>
    </row>
    <row r="1061" spans="1:5" ht="15" hidden="1" customHeight="1">
      <c r="A1061" s="71">
        <v>46142</v>
      </c>
      <c r="B1061" t="s">
        <v>417</v>
      </c>
      <c r="C1061">
        <v>10503</v>
      </c>
    </row>
    <row r="1062" spans="1:5" ht="15" hidden="1" customHeight="1">
      <c r="A1062" s="71">
        <v>46142</v>
      </c>
      <c r="B1062" t="s">
        <v>458</v>
      </c>
      <c r="C1062">
        <v>2430</v>
      </c>
    </row>
    <row r="1063" spans="1:5" ht="15" hidden="1" customHeight="1">
      <c r="A1063" s="71">
        <v>46142</v>
      </c>
      <c r="B1063" t="s">
        <v>338</v>
      </c>
      <c r="C1063">
        <v>26166</v>
      </c>
    </row>
    <row r="1064" spans="1:5" ht="15" hidden="1" customHeight="1">
      <c r="A1064" s="71">
        <v>46146</v>
      </c>
      <c r="B1064" t="s">
        <v>502</v>
      </c>
      <c r="D1064">
        <v>73123</v>
      </c>
      <c r="E1064" t="s">
        <v>33</v>
      </c>
    </row>
    <row r="1065" spans="1:5" ht="15" hidden="1" customHeight="1">
      <c r="A1065" s="71">
        <v>46142</v>
      </c>
      <c r="B1065" t="s">
        <v>118</v>
      </c>
      <c r="C1065">
        <v>7876</v>
      </c>
      <c r="D1065">
        <v>201620</v>
      </c>
    </row>
    <row r="1066" spans="1:5" ht="15" hidden="1" customHeight="1">
      <c r="A1066" s="71">
        <v>46142</v>
      </c>
      <c r="D1066">
        <v>361648</v>
      </c>
    </row>
    <row r="1067" spans="1:5" ht="15" hidden="1" customHeight="1">
      <c r="A1067" s="71">
        <v>46142</v>
      </c>
      <c r="D1067">
        <v>104196</v>
      </c>
    </row>
    <row r="1068" spans="1:5" ht="15" hidden="1" customHeight="1">
      <c r="A1068" s="71">
        <v>46142</v>
      </c>
      <c r="B1068" t="s">
        <v>171</v>
      </c>
      <c r="C1068">
        <v>8841</v>
      </c>
      <c r="D1068">
        <v>170465</v>
      </c>
    </row>
    <row r="1069" spans="1:5" ht="15" hidden="1" customHeight="1">
      <c r="A1069" s="71">
        <v>46142</v>
      </c>
      <c r="B1069" t="s">
        <v>639</v>
      </c>
      <c r="D1069">
        <v>98295</v>
      </c>
    </row>
    <row r="1070" spans="1:5" ht="15" hidden="1" customHeight="1">
      <c r="A1070" s="71">
        <v>46142</v>
      </c>
      <c r="B1070" t="s">
        <v>628</v>
      </c>
      <c r="D1070">
        <v>129527</v>
      </c>
    </row>
    <row r="1071" spans="1:5" ht="15" hidden="1" customHeight="1">
      <c r="A1071" s="71">
        <v>46142</v>
      </c>
      <c r="B1071" t="s">
        <v>741</v>
      </c>
      <c r="D1071">
        <v>259997</v>
      </c>
    </row>
    <row r="1072" spans="1:5" ht="15" hidden="1" customHeight="1">
      <c r="A1072" s="71">
        <v>46142</v>
      </c>
      <c r="B1072" t="s">
        <v>742</v>
      </c>
      <c r="D1072">
        <v>112092</v>
      </c>
    </row>
    <row r="1073" spans="1:4" ht="15" hidden="1" customHeight="1">
      <c r="A1073" s="71">
        <v>46142</v>
      </c>
      <c r="D1073">
        <v>16839</v>
      </c>
    </row>
    <row r="1074" spans="1:4" ht="15" hidden="1" customHeight="1">
      <c r="A1074" s="71">
        <v>46146</v>
      </c>
      <c r="B1074" t="s">
        <v>411</v>
      </c>
      <c r="C1074">
        <v>9619</v>
      </c>
    </row>
    <row r="1075" spans="1:4" ht="15" hidden="1" customHeight="1">
      <c r="A1075" s="71">
        <v>46146</v>
      </c>
      <c r="B1075" t="s">
        <v>639</v>
      </c>
      <c r="D1075">
        <v>99061</v>
      </c>
    </row>
    <row r="1076" spans="1:4" ht="15" hidden="1" customHeight="1">
      <c r="A1076" s="71">
        <v>46149</v>
      </c>
      <c r="B1076" t="s">
        <v>509</v>
      </c>
      <c r="D1076">
        <v>74936</v>
      </c>
    </row>
    <row r="1077" spans="1:4" ht="15" hidden="1" customHeight="1">
      <c r="A1077" s="71">
        <v>46146</v>
      </c>
      <c r="D1077">
        <v>43978</v>
      </c>
    </row>
    <row r="1078" spans="1:4" ht="15" hidden="1" customHeight="1">
      <c r="A1078" s="71">
        <v>46146</v>
      </c>
      <c r="B1078" t="s">
        <v>136</v>
      </c>
      <c r="D1078">
        <v>300425</v>
      </c>
    </row>
    <row r="1079" spans="1:4" ht="15" hidden="1" customHeight="1">
      <c r="A1079" s="71">
        <v>46146</v>
      </c>
      <c r="B1079" t="s">
        <v>253</v>
      </c>
      <c r="C1079">
        <v>5009</v>
      </c>
    </row>
    <row r="1080" spans="1:4" ht="15" hidden="1" customHeight="1">
      <c r="A1080" s="71">
        <v>46146</v>
      </c>
      <c r="B1080" t="s">
        <v>249</v>
      </c>
      <c r="C1080">
        <v>6654</v>
      </c>
    </row>
    <row r="1081" spans="1:4" ht="15" hidden="1" customHeight="1">
      <c r="A1081" s="71">
        <v>46146</v>
      </c>
      <c r="B1081" t="s">
        <v>235</v>
      </c>
      <c r="C1081">
        <v>2141</v>
      </c>
    </row>
    <row r="1082" spans="1:4" ht="15" hidden="1" customHeight="1">
      <c r="A1082" s="71">
        <v>46146</v>
      </c>
      <c r="B1082" t="s">
        <v>554</v>
      </c>
      <c r="D1082">
        <v>25867</v>
      </c>
    </row>
    <row r="1083" spans="1:4" ht="15" hidden="1" customHeight="1">
      <c r="A1083" s="71">
        <v>46146</v>
      </c>
      <c r="B1083" t="s">
        <v>417</v>
      </c>
      <c r="C1083">
        <v>10509</v>
      </c>
    </row>
    <row r="1084" spans="1:4" ht="15" hidden="1" customHeight="1">
      <c r="A1084" s="71">
        <v>46146</v>
      </c>
      <c r="B1084" t="s">
        <v>458</v>
      </c>
      <c r="C1084">
        <v>2435</v>
      </c>
    </row>
    <row r="1085" spans="1:4" ht="15" hidden="1" customHeight="1">
      <c r="A1085" s="71">
        <v>46146</v>
      </c>
      <c r="B1085" t="s">
        <v>362</v>
      </c>
      <c r="C1085">
        <v>15815</v>
      </c>
    </row>
    <row r="1086" spans="1:4" ht="15" hidden="1" customHeight="1">
      <c r="A1086" s="71">
        <v>46146</v>
      </c>
      <c r="B1086" t="s">
        <v>664</v>
      </c>
      <c r="C1086">
        <v>3806</v>
      </c>
    </row>
    <row r="1087" spans="1:4" ht="15" hidden="1" customHeight="1">
      <c r="A1087" s="71">
        <v>46146</v>
      </c>
      <c r="B1087" t="s">
        <v>171</v>
      </c>
      <c r="C1087">
        <v>8849</v>
      </c>
      <c r="D1087">
        <v>170639</v>
      </c>
    </row>
    <row r="1088" spans="1:4" ht="15" hidden="1" customHeight="1">
      <c r="A1088" s="71">
        <v>46146</v>
      </c>
      <c r="B1088" t="s">
        <v>638</v>
      </c>
      <c r="D1088">
        <v>115558</v>
      </c>
    </row>
    <row r="1089" spans="1:4" ht="15" hidden="1" customHeight="1">
      <c r="A1089" s="71">
        <v>46146</v>
      </c>
      <c r="B1089" t="s">
        <v>118</v>
      </c>
      <c r="D1089">
        <v>808294</v>
      </c>
    </row>
    <row r="1090" spans="1:4" ht="15" hidden="1" customHeight="1">
      <c r="A1090" s="71">
        <v>46147</v>
      </c>
      <c r="D1090">
        <v>17171</v>
      </c>
    </row>
    <row r="1091" spans="1:4" ht="15" hidden="1" customHeight="1">
      <c r="A1091" s="71">
        <v>46147</v>
      </c>
      <c r="B1091" t="s">
        <v>268</v>
      </c>
      <c r="C1091">
        <v>10195</v>
      </c>
    </row>
    <row r="1092" spans="1:4" ht="15" hidden="1" customHeight="1">
      <c r="A1092" s="71">
        <v>46147</v>
      </c>
      <c r="B1092" t="s">
        <v>333</v>
      </c>
      <c r="C1092">
        <v>7139</v>
      </c>
    </row>
    <row r="1093" spans="1:4" ht="15" hidden="1" customHeight="1">
      <c r="A1093" s="71">
        <v>46147</v>
      </c>
      <c r="B1093" t="s">
        <v>458</v>
      </c>
      <c r="C1093">
        <v>2442</v>
      </c>
    </row>
    <row r="1094" spans="1:4" ht="15" hidden="1" customHeight="1">
      <c r="A1094" s="71">
        <v>46147</v>
      </c>
      <c r="B1094" t="s">
        <v>338</v>
      </c>
      <c r="C1094">
        <v>26170</v>
      </c>
    </row>
    <row r="1095" spans="1:4" ht="15" hidden="1" customHeight="1">
      <c r="A1095" s="71">
        <v>46147</v>
      </c>
      <c r="D1095">
        <v>418680</v>
      </c>
    </row>
    <row r="1096" spans="1:4" ht="15" hidden="1" customHeight="1">
      <c r="A1096" s="71">
        <v>46147</v>
      </c>
      <c r="B1096" t="s">
        <v>180</v>
      </c>
      <c r="C1096">
        <v>9089</v>
      </c>
      <c r="D1096">
        <v>171795</v>
      </c>
    </row>
    <row r="1097" spans="1:4" ht="15" hidden="1" customHeight="1">
      <c r="A1097" s="71">
        <v>46147</v>
      </c>
      <c r="B1097" t="s">
        <v>171</v>
      </c>
      <c r="C1097">
        <v>8856</v>
      </c>
      <c r="D1097">
        <v>170806</v>
      </c>
    </row>
    <row r="1098" spans="1:4" ht="15" hidden="1" customHeight="1">
      <c r="A1098" s="71">
        <v>46147</v>
      </c>
      <c r="B1098" t="s">
        <v>610</v>
      </c>
      <c r="D1098">
        <v>144888</v>
      </c>
    </row>
    <row r="1099" spans="1:4" ht="15" hidden="1" customHeight="1">
      <c r="A1099" s="71">
        <v>46147</v>
      </c>
      <c r="B1099" t="s">
        <v>138</v>
      </c>
      <c r="C1099">
        <v>1892</v>
      </c>
    </row>
    <row r="1100" spans="1:4" ht="15" hidden="1" customHeight="1">
      <c r="A1100" s="71">
        <v>46147</v>
      </c>
      <c r="B1100" t="s">
        <v>443</v>
      </c>
      <c r="C1100">
        <v>2163</v>
      </c>
    </row>
    <row r="1101" spans="1:4" ht="15" hidden="1" customHeight="1">
      <c r="A1101" s="71">
        <v>46147</v>
      </c>
      <c r="B1101" t="s">
        <v>118</v>
      </c>
      <c r="C1101">
        <v>7889</v>
      </c>
      <c r="D1101">
        <v>202050</v>
      </c>
    </row>
    <row r="1102" spans="1:4" ht="15" hidden="1" customHeight="1">
      <c r="A1102" s="71">
        <v>46147</v>
      </c>
      <c r="D1102">
        <v>361962</v>
      </c>
    </row>
    <row r="1103" spans="1:4" ht="15" hidden="1" customHeight="1">
      <c r="A1103" s="71">
        <v>46147</v>
      </c>
      <c r="B1103" t="s">
        <v>42</v>
      </c>
      <c r="D1103">
        <v>192010</v>
      </c>
    </row>
    <row r="1104" spans="1:4" ht="15" hidden="1" customHeight="1">
      <c r="A1104" s="71">
        <v>46148</v>
      </c>
      <c r="D1104">
        <v>44325</v>
      </c>
    </row>
    <row r="1105" spans="1:5" ht="15" hidden="1" customHeight="1">
      <c r="A1105" s="71">
        <v>46148</v>
      </c>
      <c r="B1105" t="s">
        <v>741</v>
      </c>
      <c r="D1105">
        <v>260697</v>
      </c>
    </row>
    <row r="1106" spans="1:5" ht="15" hidden="1" customHeight="1">
      <c r="A1106" s="71">
        <v>46148</v>
      </c>
      <c r="B1106" t="s">
        <v>546</v>
      </c>
      <c r="D1106">
        <v>100365</v>
      </c>
    </row>
    <row r="1107" spans="1:5" ht="15" hidden="1" customHeight="1">
      <c r="A1107" s="71">
        <v>46148</v>
      </c>
      <c r="B1107" t="s">
        <v>138</v>
      </c>
      <c r="D1107">
        <v>39202</v>
      </c>
    </row>
    <row r="1108" spans="1:5" ht="15" hidden="1" customHeight="1">
      <c r="A1108" s="71">
        <v>46148</v>
      </c>
      <c r="B1108" t="s">
        <v>411</v>
      </c>
      <c r="C1108">
        <v>4631</v>
      </c>
    </row>
    <row r="1109" spans="1:5" ht="15" hidden="1" customHeight="1">
      <c r="A1109" s="71">
        <v>46148</v>
      </c>
      <c r="B1109" t="s">
        <v>362</v>
      </c>
      <c r="C1109">
        <v>15829</v>
      </c>
    </row>
    <row r="1110" spans="1:5" ht="15" hidden="1" customHeight="1">
      <c r="A1110" s="71">
        <v>46148</v>
      </c>
      <c r="B1110" t="s">
        <v>417</v>
      </c>
      <c r="C1110">
        <v>10517</v>
      </c>
    </row>
    <row r="1111" spans="1:5" ht="15" hidden="1" customHeight="1">
      <c r="A1111" s="71">
        <v>46148</v>
      </c>
      <c r="B1111" t="s">
        <v>338</v>
      </c>
      <c r="C1111">
        <v>26179</v>
      </c>
    </row>
    <row r="1112" spans="1:5" ht="15" hidden="1" customHeight="1">
      <c r="A1112" s="71">
        <v>46148</v>
      </c>
      <c r="B1112" t="s">
        <v>458</v>
      </c>
      <c r="C1112">
        <v>2449</v>
      </c>
    </row>
    <row r="1113" spans="1:5" ht="15" hidden="1" customHeight="1">
      <c r="A1113" s="71">
        <v>46148</v>
      </c>
      <c r="B1113" t="s">
        <v>253</v>
      </c>
      <c r="C1113">
        <v>5016</v>
      </c>
    </row>
    <row r="1114" spans="1:5" ht="15" hidden="1" customHeight="1">
      <c r="A1114" s="71">
        <v>46148</v>
      </c>
      <c r="B1114" t="s">
        <v>249</v>
      </c>
      <c r="C1114">
        <v>6662</v>
      </c>
    </row>
    <row r="1115" spans="1:5" hidden="1">
      <c r="A1115" s="71">
        <v>46148</v>
      </c>
      <c r="B1115" t="s">
        <v>235</v>
      </c>
      <c r="C1115">
        <v>2147</v>
      </c>
    </row>
    <row r="1116" spans="1:5" hidden="1">
      <c r="A1116" s="71">
        <v>46148</v>
      </c>
      <c r="B1116" t="s">
        <v>180</v>
      </c>
      <c r="C1116">
        <v>9098</v>
      </c>
      <c r="D1116" s="47">
        <v>171960</v>
      </c>
    </row>
    <row r="1117" spans="1:5" ht="15" hidden="1" customHeight="1">
      <c r="A1117" s="71">
        <v>46148</v>
      </c>
      <c r="B1117" t="s">
        <v>171</v>
      </c>
      <c r="C1117">
        <v>8865</v>
      </c>
      <c r="D1117">
        <v>170987</v>
      </c>
    </row>
    <row r="1118" spans="1:5" ht="15" hidden="1" customHeight="1">
      <c r="A1118" s="71">
        <v>46148</v>
      </c>
      <c r="B1118" t="s">
        <v>742</v>
      </c>
      <c r="D1118">
        <v>112681</v>
      </c>
    </row>
    <row r="1119" spans="1:5" ht="15" hidden="1" customHeight="1">
      <c r="A1119" s="71">
        <v>46148</v>
      </c>
      <c r="B1119" t="s">
        <v>107</v>
      </c>
      <c r="D1119">
        <v>141889</v>
      </c>
    </row>
    <row r="1120" spans="1:5" ht="15" hidden="1" customHeight="1">
      <c r="A1120" s="71">
        <v>46150</v>
      </c>
      <c r="B1120" t="s">
        <v>502</v>
      </c>
      <c r="D1120">
        <v>73166</v>
      </c>
      <c r="E1120" t="s">
        <v>33</v>
      </c>
    </row>
    <row r="1121" spans="1:4" ht="15" hidden="1" customHeight="1">
      <c r="A1121" s="71">
        <v>46149</v>
      </c>
      <c r="B1121" t="s">
        <v>268</v>
      </c>
      <c r="C1121">
        <v>10204</v>
      </c>
    </row>
    <row r="1122" spans="1:4" ht="15" hidden="1" customHeight="1">
      <c r="A1122" s="71">
        <v>46149</v>
      </c>
      <c r="B1122" t="s">
        <v>171</v>
      </c>
      <c r="C1122">
        <v>8873</v>
      </c>
      <c r="D1122">
        <v>171162</v>
      </c>
    </row>
    <row r="1123" spans="1:4" ht="15" hidden="1" customHeight="1">
      <c r="A1123" s="71">
        <v>46149</v>
      </c>
      <c r="B1123" t="s">
        <v>180</v>
      </c>
      <c r="C1123">
        <v>9106</v>
      </c>
      <c r="D1123">
        <v>172113</v>
      </c>
    </row>
    <row r="1124" spans="1:4" ht="15" hidden="1" customHeight="1">
      <c r="A1124" s="71">
        <v>46149</v>
      </c>
      <c r="B1124" t="s">
        <v>417</v>
      </c>
      <c r="C1124">
        <v>10525</v>
      </c>
    </row>
    <row r="1125" spans="1:4" ht="15" hidden="1" customHeight="1">
      <c r="A1125" s="71">
        <v>46149</v>
      </c>
      <c r="B1125" t="s">
        <v>458</v>
      </c>
      <c r="C1125">
        <v>2456</v>
      </c>
    </row>
    <row r="1126" spans="1:4" ht="15" hidden="1" customHeight="1">
      <c r="A1126" s="71">
        <v>46149</v>
      </c>
      <c r="B1126" t="s">
        <v>664</v>
      </c>
      <c r="C1126">
        <v>3795</v>
      </c>
    </row>
    <row r="1127" spans="1:4" ht="15" hidden="1" customHeight="1">
      <c r="A1127" s="71">
        <v>46149</v>
      </c>
      <c r="D1127">
        <v>362269</v>
      </c>
    </row>
    <row r="1128" spans="1:4" ht="15" hidden="1" customHeight="1">
      <c r="A1128" s="71">
        <v>46149</v>
      </c>
      <c r="B1128" t="s">
        <v>610</v>
      </c>
      <c r="D1128">
        <v>145220</v>
      </c>
    </row>
    <row r="1129" spans="1:4" ht="15" hidden="1" customHeight="1">
      <c r="A1129" s="71">
        <v>46149</v>
      </c>
      <c r="B1129" t="s">
        <v>143</v>
      </c>
      <c r="D1129">
        <v>808638</v>
      </c>
    </row>
    <row r="1130" spans="1:4" ht="15" hidden="1" customHeight="1">
      <c r="A1130" s="71">
        <v>46149</v>
      </c>
      <c r="B1130" t="s">
        <v>42</v>
      </c>
      <c r="D1130">
        <v>192120</v>
      </c>
    </row>
    <row r="1131" spans="1:4" ht="15" hidden="1" customHeight="1">
      <c r="A1131" s="71">
        <v>46150</v>
      </c>
      <c r="B1131" t="s">
        <v>638</v>
      </c>
      <c r="D1131">
        <v>115846</v>
      </c>
    </row>
    <row r="1132" spans="1:4" ht="15" hidden="1" customHeight="1">
      <c r="A1132" s="71">
        <v>46150</v>
      </c>
      <c r="B1132" t="s">
        <v>118</v>
      </c>
      <c r="C1132">
        <v>7900</v>
      </c>
      <c r="D1132">
        <v>202538</v>
      </c>
    </row>
    <row r="1133" spans="1:4" ht="15" hidden="1" customHeight="1">
      <c r="A1133" s="71">
        <v>46150</v>
      </c>
      <c r="D1133">
        <v>17635</v>
      </c>
    </row>
    <row r="1134" spans="1:4" ht="15" hidden="1" customHeight="1">
      <c r="A1134" s="71">
        <v>46150</v>
      </c>
      <c r="B1134" t="s">
        <v>554</v>
      </c>
      <c r="D1134">
        <v>23683</v>
      </c>
    </row>
    <row r="1135" spans="1:4" ht="15" hidden="1" customHeight="1">
      <c r="A1135" s="71">
        <v>46150</v>
      </c>
      <c r="B1135" t="s">
        <v>628</v>
      </c>
      <c r="D1135">
        <v>129846</v>
      </c>
    </row>
    <row r="1136" spans="1:4" ht="15" hidden="1" customHeight="1">
      <c r="A1136" s="71">
        <v>46150</v>
      </c>
      <c r="B1136" t="s">
        <v>639</v>
      </c>
      <c r="D1136">
        <v>99446</v>
      </c>
    </row>
    <row r="1137" spans="1:4" ht="15" hidden="1" customHeight="1">
      <c r="A1137" s="71">
        <v>46150</v>
      </c>
      <c r="B1137" t="s">
        <v>136</v>
      </c>
      <c r="D1137">
        <v>300972</v>
      </c>
    </row>
    <row r="1138" spans="1:4" ht="15" hidden="1" customHeight="1">
      <c r="A1138" s="71">
        <v>46150</v>
      </c>
      <c r="B1138" t="s">
        <v>411</v>
      </c>
      <c r="C1138">
        <v>4645</v>
      </c>
    </row>
    <row r="1139" spans="1:4" ht="15" hidden="1" customHeight="1">
      <c r="A1139" s="71">
        <v>46150</v>
      </c>
      <c r="B1139" t="s">
        <v>152</v>
      </c>
      <c r="D1139">
        <v>491250</v>
      </c>
    </row>
    <row r="1140" spans="1:4" ht="15" hidden="1" customHeight="1">
      <c r="A1140" s="71">
        <v>46150</v>
      </c>
      <c r="B1140" t="s">
        <v>362</v>
      </c>
      <c r="C1140">
        <v>15841</v>
      </c>
    </row>
    <row r="1141" spans="1:4" ht="15" hidden="1" customHeight="1">
      <c r="A1141" s="71">
        <v>46150</v>
      </c>
      <c r="B1141" t="s">
        <v>417</v>
      </c>
      <c r="C1141">
        <v>10530</v>
      </c>
    </row>
    <row r="1142" spans="1:4" ht="15" hidden="1" customHeight="1">
      <c r="A1142" s="71">
        <v>46150</v>
      </c>
      <c r="B1142" t="s">
        <v>65</v>
      </c>
      <c r="C1142">
        <v>4017</v>
      </c>
    </row>
    <row r="1143" spans="1:4" ht="15" hidden="1" customHeight="1">
      <c r="A1143" s="71">
        <v>46150</v>
      </c>
      <c r="B1143" t="s">
        <v>399</v>
      </c>
      <c r="C1143">
        <v>8748</v>
      </c>
    </row>
    <row r="1144" spans="1:4" ht="15" hidden="1" customHeight="1">
      <c r="A1144" s="71">
        <v>46150</v>
      </c>
      <c r="B1144" t="s">
        <v>458</v>
      </c>
      <c r="C1144">
        <v>2462</v>
      </c>
    </row>
    <row r="1145" spans="1:4" ht="15" hidden="1" customHeight="1">
      <c r="A1145" s="71">
        <v>46150</v>
      </c>
      <c r="B1145" t="s">
        <v>79</v>
      </c>
      <c r="D1145">
        <v>324041</v>
      </c>
    </row>
    <row r="1146" spans="1:4" ht="15" hidden="1" customHeight="1">
      <c r="A1146" s="71">
        <v>46150</v>
      </c>
      <c r="D1146">
        <v>44736</v>
      </c>
    </row>
    <row r="1147" spans="1:4" ht="15" hidden="1" customHeight="1">
      <c r="A1147" s="71">
        <v>46150</v>
      </c>
      <c r="B1147" t="s">
        <v>554</v>
      </c>
      <c r="D1147">
        <v>26446</v>
      </c>
    </row>
    <row r="1148" spans="1:4" ht="15" hidden="1" customHeight="1">
      <c r="A1148" s="71">
        <v>46153</v>
      </c>
      <c r="B1148" t="s">
        <v>268</v>
      </c>
      <c r="C1148">
        <v>10216</v>
      </c>
    </row>
    <row r="1149" spans="1:4" hidden="1">
      <c r="A1149" s="71">
        <v>46153</v>
      </c>
      <c r="B1149" t="s">
        <v>333</v>
      </c>
      <c r="C1149">
        <v>7156</v>
      </c>
    </row>
    <row r="1150" spans="1:4" ht="15" hidden="1" customHeight="1">
      <c r="A1150" s="71">
        <v>46153</v>
      </c>
      <c r="B1150" t="s">
        <v>371</v>
      </c>
      <c r="C1150">
        <v>16969</v>
      </c>
    </row>
    <row r="1151" spans="1:4" ht="15" hidden="1" customHeight="1">
      <c r="A1151" s="71">
        <v>46153</v>
      </c>
      <c r="B1151" t="s">
        <v>554</v>
      </c>
      <c r="D1151">
        <v>27392</v>
      </c>
    </row>
    <row r="1152" spans="1:4" ht="15" hidden="1" customHeight="1">
      <c r="A1152" s="71">
        <v>46153</v>
      </c>
      <c r="B1152" t="s">
        <v>443</v>
      </c>
      <c r="C1152">
        <v>2177</v>
      </c>
    </row>
    <row r="1153" spans="1:4" ht="15" hidden="1" customHeight="1">
      <c r="A1153" s="71">
        <v>46153</v>
      </c>
      <c r="B1153" t="s">
        <v>253</v>
      </c>
      <c r="C1153">
        <v>5021</v>
      </c>
    </row>
    <row r="1154" spans="1:4" ht="15" hidden="1" customHeight="1">
      <c r="A1154" s="71">
        <v>46153</v>
      </c>
      <c r="B1154" t="s">
        <v>249</v>
      </c>
      <c r="C1154">
        <v>6666</v>
      </c>
    </row>
    <row r="1155" spans="1:4" ht="15" hidden="1" customHeight="1">
      <c r="A1155" s="71">
        <v>46153</v>
      </c>
      <c r="B1155" t="s">
        <v>235</v>
      </c>
      <c r="C1155">
        <v>2152</v>
      </c>
    </row>
    <row r="1156" spans="1:4" ht="15" hidden="1" customHeight="1">
      <c r="A1156" s="71">
        <v>46155</v>
      </c>
      <c r="B1156" t="s">
        <v>509</v>
      </c>
      <c r="D1156">
        <v>76202</v>
      </c>
    </row>
    <row r="1157" spans="1:4" ht="15" hidden="1" customHeight="1">
      <c r="A1157" s="71">
        <v>46153</v>
      </c>
      <c r="B1157" t="s">
        <v>171</v>
      </c>
      <c r="C1157">
        <v>8882</v>
      </c>
      <c r="D1157">
        <v>171353</v>
      </c>
    </row>
    <row r="1158" spans="1:4" ht="15" hidden="1" customHeight="1">
      <c r="A1158" s="71">
        <v>46153</v>
      </c>
      <c r="D1158">
        <v>362661</v>
      </c>
    </row>
    <row r="1159" spans="1:4" ht="15" hidden="1" customHeight="1">
      <c r="A1159" s="71">
        <v>46153</v>
      </c>
      <c r="B1159" t="s">
        <v>180</v>
      </c>
      <c r="C1159">
        <v>9121</v>
      </c>
      <c r="D1159">
        <v>172360</v>
      </c>
    </row>
    <row r="1160" spans="1:4" ht="15" hidden="1" customHeight="1">
      <c r="A1160" s="71">
        <v>46153</v>
      </c>
      <c r="B1160" t="s">
        <v>472</v>
      </c>
      <c r="D1160">
        <v>81373</v>
      </c>
    </row>
    <row r="1161" spans="1:4" ht="15" hidden="1" customHeight="1">
      <c r="A1161" s="71">
        <v>46153</v>
      </c>
      <c r="B1161" t="s">
        <v>742</v>
      </c>
      <c r="D1161">
        <v>113857</v>
      </c>
    </row>
    <row r="1162" spans="1:4" ht="15" hidden="1" customHeight="1">
      <c r="A1162" s="71">
        <v>46153</v>
      </c>
      <c r="B1162" t="s">
        <v>138</v>
      </c>
      <c r="C1162">
        <v>1911</v>
      </c>
    </row>
    <row r="1163" spans="1:4" ht="15" hidden="1" customHeight="1">
      <c r="A1163" s="71">
        <v>46153</v>
      </c>
      <c r="D1163">
        <v>45428</v>
      </c>
    </row>
    <row r="1164" spans="1:4" ht="15" hidden="1" customHeight="1">
      <c r="A1164" s="71">
        <v>46154</v>
      </c>
      <c r="B1164" t="s">
        <v>638</v>
      </c>
      <c r="D1164">
        <v>116283</v>
      </c>
    </row>
    <row r="1165" spans="1:4" ht="15" hidden="1" customHeight="1">
      <c r="A1165" s="71">
        <v>46154</v>
      </c>
      <c r="B1165" t="s">
        <v>183</v>
      </c>
      <c r="D1165">
        <v>57918</v>
      </c>
    </row>
    <row r="1166" spans="1:4" ht="15" hidden="1" customHeight="1">
      <c r="A1166" s="71">
        <v>46154</v>
      </c>
      <c r="B1166" t="s">
        <v>411</v>
      </c>
      <c r="C1166">
        <v>4656</v>
      </c>
    </row>
    <row r="1167" spans="1:4" ht="15" hidden="1" customHeight="1">
      <c r="A1167" s="71">
        <v>46154</v>
      </c>
      <c r="B1167" t="s">
        <v>610</v>
      </c>
      <c r="D1167">
        <v>145683</v>
      </c>
    </row>
    <row r="1168" spans="1:4" ht="15" hidden="1" customHeight="1">
      <c r="A1168" s="71">
        <v>46154</v>
      </c>
      <c r="B1168" t="s">
        <v>458</v>
      </c>
      <c r="C1168">
        <v>2469</v>
      </c>
    </row>
    <row r="1169" spans="1:5" ht="15" hidden="1" customHeight="1">
      <c r="A1169" s="71">
        <v>46154</v>
      </c>
      <c r="B1169" t="s">
        <v>417</v>
      </c>
      <c r="C1169">
        <v>10537</v>
      </c>
    </row>
    <row r="1170" spans="1:5" ht="15" hidden="1" customHeight="1">
      <c r="A1170" s="71">
        <v>46154</v>
      </c>
      <c r="B1170" t="s">
        <v>399</v>
      </c>
      <c r="C1170">
        <v>8620</v>
      </c>
    </row>
    <row r="1171" spans="1:5" ht="15" hidden="1" customHeight="1">
      <c r="A1171" s="71">
        <v>46154</v>
      </c>
      <c r="D1171">
        <v>419315</v>
      </c>
    </row>
    <row r="1172" spans="1:5" ht="15" hidden="1" customHeight="1">
      <c r="A1172" s="71">
        <v>46154</v>
      </c>
      <c r="B1172" t="s">
        <v>180</v>
      </c>
      <c r="C1172">
        <v>9127</v>
      </c>
      <c r="D1172">
        <v>172497</v>
      </c>
    </row>
    <row r="1173" spans="1:5" ht="15" hidden="1" customHeight="1">
      <c r="A1173" s="71">
        <v>46154</v>
      </c>
      <c r="B1173" t="s">
        <v>171</v>
      </c>
      <c r="C1173">
        <v>8889</v>
      </c>
      <c r="D1173">
        <v>171486</v>
      </c>
    </row>
    <row r="1174" spans="1:5" ht="15" hidden="1" customHeight="1">
      <c r="A1174" s="71">
        <v>46154</v>
      </c>
      <c r="B1174" t="s">
        <v>143</v>
      </c>
      <c r="D1174">
        <v>808845</v>
      </c>
    </row>
    <row r="1175" spans="1:5" ht="15" hidden="1" customHeight="1">
      <c r="A1175" s="71">
        <v>46155</v>
      </c>
      <c r="B1175" t="s">
        <v>42</v>
      </c>
      <c r="D1175">
        <v>192245</v>
      </c>
    </row>
    <row r="1176" spans="1:5" ht="15" hidden="1" customHeight="1">
      <c r="A1176" s="71">
        <v>46155</v>
      </c>
      <c r="B1176" t="s">
        <v>472</v>
      </c>
      <c r="D1176">
        <v>81467</v>
      </c>
    </row>
    <row r="1177" spans="1:5" ht="15" hidden="1" customHeight="1">
      <c r="A1177" s="71">
        <v>46155</v>
      </c>
      <c r="B1177" t="s">
        <v>152</v>
      </c>
      <c r="D1177">
        <v>492290</v>
      </c>
    </row>
    <row r="1178" spans="1:5" ht="15" hidden="1" customHeight="1">
      <c r="A1178" s="71">
        <v>46157</v>
      </c>
      <c r="B1178" t="s">
        <v>502</v>
      </c>
      <c r="D1178">
        <v>74041</v>
      </c>
      <c r="E1178" t="s">
        <v>33</v>
      </c>
    </row>
    <row r="1179" spans="1:5" ht="15" hidden="1" customHeight="1">
      <c r="A1179" s="71">
        <v>46155</v>
      </c>
      <c r="B1179" t="s">
        <v>542</v>
      </c>
      <c r="D1179">
        <v>51300</v>
      </c>
    </row>
    <row r="1180" spans="1:5" ht="15" hidden="1" customHeight="1">
      <c r="A1180" s="71">
        <v>46155</v>
      </c>
      <c r="B1180" t="s">
        <v>639</v>
      </c>
      <c r="D1180">
        <v>99995</v>
      </c>
    </row>
    <row r="1181" spans="1:5" ht="15" hidden="1" customHeight="1">
      <c r="A1181" s="71">
        <v>46155</v>
      </c>
      <c r="B1181" t="s">
        <v>333</v>
      </c>
      <c r="C1181">
        <v>7162</v>
      </c>
    </row>
    <row r="1182" spans="1:5" ht="15" hidden="1" customHeight="1">
      <c r="A1182" s="71">
        <v>46155</v>
      </c>
      <c r="B1182" t="s">
        <v>443</v>
      </c>
      <c r="C1182">
        <v>2188</v>
      </c>
    </row>
    <row r="1183" spans="1:5" ht="15" hidden="1" customHeight="1">
      <c r="A1183" s="71">
        <v>46155</v>
      </c>
      <c r="B1183" t="s">
        <v>362</v>
      </c>
      <c r="C1183">
        <v>15854</v>
      </c>
    </row>
    <row r="1184" spans="1:5" ht="15" hidden="1" customHeight="1">
      <c r="A1184" s="71">
        <v>46155</v>
      </c>
      <c r="B1184" t="s">
        <v>12</v>
      </c>
      <c r="D1184">
        <v>158684</v>
      </c>
    </row>
    <row r="1185" spans="1:6" ht="15" hidden="1" customHeight="1">
      <c r="A1185" s="71">
        <v>46155</v>
      </c>
      <c r="B1185" t="s">
        <v>492</v>
      </c>
      <c r="D1185">
        <v>115335</v>
      </c>
    </row>
    <row r="1186" spans="1:6" ht="15" hidden="1" customHeight="1">
      <c r="A1186" s="71">
        <v>46155</v>
      </c>
      <c r="B1186" t="s">
        <v>458</v>
      </c>
      <c r="C1186">
        <v>2479</v>
      </c>
    </row>
    <row r="1187" spans="1:6" ht="15" hidden="1" customHeight="1">
      <c r="A1187" s="71">
        <v>46155</v>
      </c>
      <c r="B1187" t="s">
        <v>338</v>
      </c>
      <c r="C1187">
        <v>26184</v>
      </c>
    </row>
    <row r="1188" spans="1:6" ht="15" hidden="1" customHeight="1">
      <c r="A1188" s="71">
        <v>46155</v>
      </c>
      <c r="B1188" t="s">
        <v>136</v>
      </c>
      <c r="D1188">
        <v>301481</v>
      </c>
    </row>
    <row r="1189" spans="1:6" ht="15" hidden="1" customHeight="1">
      <c r="A1189" s="71">
        <v>46155</v>
      </c>
      <c r="D1189">
        <v>363015</v>
      </c>
    </row>
    <row r="1190" spans="1:6" ht="15" hidden="1" customHeight="1">
      <c r="A1190" s="71">
        <v>46155</v>
      </c>
      <c r="B1190" t="s">
        <v>104</v>
      </c>
      <c r="D1190">
        <v>131718</v>
      </c>
    </row>
    <row r="1191" spans="1:6" ht="15" customHeight="1">
      <c r="A1191" s="71">
        <v>46156</v>
      </c>
      <c r="B1191" t="s">
        <v>620</v>
      </c>
      <c r="D1191">
        <v>309808</v>
      </c>
      <c r="E1191" t="s">
        <v>680</v>
      </c>
      <c r="F1191" t="s">
        <v>736</v>
      </c>
    </row>
    <row r="1192" spans="1:6" ht="15" hidden="1" customHeight="1">
      <c r="A1192" s="71">
        <v>46156</v>
      </c>
      <c r="B1192" t="s">
        <v>399</v>
      </c>
      <c r="C1192">
        <v>8729</v>
      </c>
    </row>
    <row r="1193" spans="1:6" ht="15" hidden="1" customHeight="1">
      <c r="A1193" s="71">
        <v>46156</v>
      </c>
      <c r="B1193" t="s">
        <v>554</v>
      </c>
      <c r="D1193">
        <v>27708</v>
      </c>
    </row>
    <row r="1194" spans="1:6" ht="15" hidden="1" customHeight="1">
      <c r="A1194" s="71">
        <v>46156</v>
      </c>
      <c r="B1194" t="s">
        <v>338</v>
      </c>
      <c r="C1194">
        <v>26170</v>
      </c>
    </row>
    <row r="1195" spans="1:6" ht="15" hidden="1" customHeight="1">
      <c r="A1195" s="71">
        <v>46156</v>
      </c>
      <c r="B1195" t="s">
        <v>253</v>
      </c>
      <c r="C1195">
        <v>5029</v>
      </c>
    </row>
    <row r="1196" spans="1:6" ht="15" hidden="1" customHeight="1">
      <c r="A1196" s="71">
        <v>46156</v>
      </c>
      <c r="B1196" t="s">
        <v>249</v>
      </c>
      <c r="C1196">
        <v>6677</v>
      </c>
    </row>
    <row r="1197" spans="1:6" ht="15" hidden="1" customHeight="1">
      <c r="A1197" s="71">
        <v>46156</v>
      </c>
      <c r="B1197" t="s">
        <v>235</v>
      </c>
      <c r="C1197">
        <v>2156</v>
      </c>
    </row>
    <row r="1198" spans="1:6" ht="15" hidden="1" customHeight="1">
      <c r="A1198" s="71">
        <v>46156</v>
      </c>
      <c r="B1198" t="s">
        <v>458</v>
      </c>
      <c r="C1198">
        <v>2484</v>
      </c>
    </row>
    <row r="1199" spans="1:6" ht="15" hidden="1" customHeight="1">
      <c r="A1199" s="71">
        <v>46156</v>
      </c>
      <c r="B1199" t="s">
        <v>664</v>
      </c>
      <c r="C1199">
        <v>3790</v>
      </c>
    </row>
    <row r="1200" spans="1:6" ht="15" hidden="1" customHeight="1">
      <c r="A1200" s="71">
        <v>46156</v>
      </c>
      <c r="B1200" t="s">
        <v>143</v>
      </c>
      <c r="D1200">
        <v>809205</v>
      </c>
    </row>
    <row r="1201" spans="1:5" ht="15" hidden="1" customHeight="1">
      <c r="A1201" s="71">
        <v>46156</v>
      </c>
      <c r="B1201" t="s">
        <v>610</v>
      </c>
      <c r="D1201">
        <v>146160</v>
      </c>
    </row>
    <row r="1202" spans="1:5" ht="15" hidden="1" customHeight="1">
      <c r="A1202" s="71">
        <v>46156</v>
      </c>
      <c r="D1202">
        <v>46022</v>
      </c>
    </row>
    <row r="1203" spans="1:5" ht="15" hidden="1" customHeight="1">
      <c r="A1203" s="71">
        <v>46156</v>
      </c>
      <c r="B1203" t="s">
        <v>42</v>
      </c>
      <c r="D1203">
        <v>192360</v>
      </c>
    </row>
    <row r="1204" spans="1:5" ht="15" hidden="1" customHeight="1">
      <c r="A1204" s="71">
        <v>46157</v>
      </c>
      <c r="B1204" t="s">
        <v>138</v>
      </c>
      <c r="C1204">
        <v>1927</v>
      </c>
    </row>
    <row r="1205" spans="1:5" ht="15" hidden="1" customHeight="1">
      <c r="A1205" s="71">
        <v>46157</v>
      </c>
      <c r="B1205" t="s">
        <v>180</v>
      </c>
      <c r="C1205">
        <v>9148</v>
      </c>
      <c r="D1205">
        <v>172707</v>
      </c>
    </row>
    <row r="1206" spans="1:5" ht="15" hidden="1" customHeight="1">
      <c r="A1206" s="71">
        <v>46157</v>
      </c>
      <c r="B1206" t="s">
        <v>638</v>
      </c>
      <c r="D1206">
        <v>116485</v>
      </c>
    </row>
    <row r="1207" spans="1:5" ht="15" hidden="1" customHeight="1">
      <c r="A1207" s="71">
        <v>46157</v>
      </c>
      <c r="B1207" t="s">
        <v>152</v>
      </c>
      <c r="D1207">
        <v>493528</v>
      </c>
    </row>
    <row r="1208" spans="1:5" ht="15" hidden="1" customHeight="1">
      <c r="A1208" s="71">
        <v>46157</v>
      </c>
      <c r="B1208" t="s">
        <v>162</v>
      </c>
      <c r="C1208">
        <v>4661</v>
      </c>
    </row>
    <row r="1209" spans="1:5" ht="15" hidden="1" customHeight="1">
      <c r="A1209" s="71">
        <v>46157</v>
      </c>
      <c r="B1209" t="s">
        <v>268</v>
      </c>
      <c r="C1209">
        <v>10225</v>
      </c>
    </row>
    <row r="1210" spans="1:5" ht="15" hidden="1" customHeight="1">
      <c r="A1210" s="71">
        <v>46157</v>
      </c>
      <c r="B1210" t="s">
        <v>338</v>
      </c>
      <c r="C1210">
        <v>26196</v>
      </c>
    </row>
    <row r="1211" spans="1:5" ht="15" hidden="1" customHeight="1">
      <c r="A1211" s="71">
        <v>46157</v>
      </c>
      <c r="B1211" t="s">
        <v>509</v>
      </c>
      <c r="D1211">
        <v>76431</v>
      </c>
    </row>
    <row r="1212" spans="1:5" ht="15" hidden="1" customHeight="1">
      <c r="A1212" s="71">
        <v>46157</v>
      </c>
      <c r="B1212" t="s">
        <v>458</v>
      </c>
      <c r="C1212">
        <v>2492</v>
      </c>
    </row>
    <row r="1213" spans="1:5" ht="15" hidden="1" customHeight="1">
      <c r="A1213" s="71">
        <v>46160</v>
      </c>
      <c r="B1213" t="s">
        <v>502</v>
      </c>
      <c r="D1213">
        <v>74852</v>
      </c>
      <c r="E1213" t="s">
        <v>33</v>
      </c>
    </row>
    <row r="1214" spans="1:5" ht="15" hidden="1" customHeight="1">
      <c r="A1214" s="71">
        <v>46157</v>
      </c>
      <c r="D1214">
        <v>419656</v>
      </c>
    </row>
    <row r="1215" spans="1:5" ht="15" hidden="1" customHeight="1">
      <c r="A1215" s="71">
        <v>46157</v>
      </c>
      <c r="B1215" t="s">
        <v>362</v>
      </c>
      <c r="C1215">
        <v>15867</v>
      </c>
    </row>
    <row r="1216" spans="1:5" ht="15" hidden="1" customHeight="1">
      <c r="A1216" s="71">
        <v>46157</v>
      </c>
    </row>
    <row r="1217" spans="1:4" ht="15" hidden="1" customHeight="1">
      <c r="A1217" s="71">
        <v>46157</v>
      </c>
      <c r="B1217" t="s">
        <v>138</v>
      </c>
      <c r="D1217">
        <v>34909</v>
      </c>
    </row>
    <row r="1218" spans="1:4" ht="15" hidden="1" customHeight="1">
      <c r="A1218" s="71">
        <v>46157</v>
      </c>
      <c r="D1218">
        <v>363355</v>
      </c>
    </row>
    <row r="1219" spans="1:4" ht="15" hidden="1" customHeight="1">
      <c r="A1219" s="71">
        <v>46157</v>
      </c>
      <c r="B1219" t="s">
        <v>741</v>
      </c>
      <c r="C1219">
        <v>261105</v>
      </c>
    </row>
    <row r="1220" spans="1:4" ht="15" hidden="1" customHeight="1">
      <c r="A1220" s="71">
        <v>46157</v>
      </c>
      <c r="B1220" t="s">
        <v>554</v>
      </c>
      <c r="D1220">
        <v>27862</v>
      </c>
    </row>
    <row r="1221" spans="1:4" ht="15" hidden="1" customHeight="1">
      <c r="A1221" s="71">
        <v>46157</v>
      </c>
      <c r="B1221" t="s">
        <v>639</v>
      </c>
      <c r="D1221">
        <v>100167</v>
      </c>
    </row>
    <row r="1222" spans="1:4" ht="15" hidden="1" customHeight="1">
      <c r="A1222" s="71">
        <v>46157</v>
      </c>
      <c r="B1222" t="s">
        <v>742</v>
      </c>
      <c r="D1222">
        <v>114360</v>
      </c>
    </row>
    <row r="1223" spans="1:4" ht="15" hidden="1" customHeight="1">
      <c r="A1223" s="71">
        <v>46157</v>
      </c>
      <c r="D1223">
        <v>78802</v>
      </c>
    </row>
    <row r="1224" spans="1:4" ht="15" hidden="1" customHeight="1">
      <c r="A1224" s="71">
        <v>46160</v>
      </c>
      <c r="D1224">
        <v>46661</v>
      </c>
    </row>
    <row r="1225" spans="1:4" ht="15" hidden="1" customHeight="1">
      <c r="A1225" s="71">
        <v>46160</v>
      </c>
      <c r="B1225" t="s">
        <v>458</v>
      </c>
      <c r="C1225">
        <v>2495</v>
      </c>
    </row>
    <row r="1226" spans="1:4" ht="15" hidden="1" customHeight="1">
      <c r="A1226" s="71">
        <v>46160</v>
      </c>
      <c r="B1226" t="s">
        <v>253</v>
      </c>
      <c r="C1226">
        <v>5033</v>
      </c>
    </row>
    <row r="1227" spans="1:4" ht="15" hidden="1" customHeight="1">
      <c r="A1227" s="71">
        <v>46160</v>
      </c>
      <c r="B1227" t="s">
        <v>249</v>
      </c>
      <c r="C1227">
        <v>6682</v>
      </c>
    </row>
    <row r="1228" spans="1:4" ht="15" hidden="1" customHeight="1">
      <c r="A1228" s="71">
        <v>46160</v>
      </c>
      <c r="B1228" t="s">
        <v>235</v>
      </c>
      <c r="C1228">
        <v>2165</v>
      </c>
    </row>
    <row r="1229" spans="1:4" ht="15" hidden="1" customHeight="1">
      <c r="A1229" s="71">
        <v>46160</v>
      </c>
    </row>
    <row r="1230" spans="1:4" ht="15" hidden="1" customHeight="1">
      <c r="A1230" s="71">
        <v>46160</v>
      </c>
      <c r="B1230" t="s">
        <v>443</v>
      </c>
      <c r="C1230">
        <v>2203</v>
      </c>
    </row>
    <row r="1231" spans="1:4" ht="15" hidden="1" customHeight="1">
      <c r="A1231" s="71">
        <v>46162</v>
      </c>
      <c r="B1231" t="s">
        <v>509</v>
      </c>
      <c r="D1231">
        <v>77384</v>
      </c>
    </row>
    <row r="1232" spans="1:4" ht="15" hidden="1" customHeight="1">
      <c r="A1232" s="71">
        <v>46160</v>
      </c>
      <c r="B1232" t="s">
        <v>554</v>
      </c>
      <c r="D1232">
        <v>28768</v>
      </c>
    </row>
    <row r="1233" spans="1:5" ht="15" hidden="1" customHeight="1">
      <c r="A1233" s="71">
        <v>46160</v>
      </c>
      <c r="B1233" t="s">
        <v>399</v>
      </c>
      <c r="C1233">
        <v>8741</v>
      </c>
    </row>
    <row r="1234" spans="1:5" ht="15" hidden="1" customHeight="1">
      <c r="A1234" s="71">
        <v>46160</v>
      </c>
      <c r="B1234" t="s">
        <v>742</v>
      </c>
      <c r="D1234">
        <v>114995</v>
      </c>
    </row>
    <row r="1235" spans="1:5" ht="15" hidden="1" customHeight="1">
      <c r="A1235" s="71">
        <v>46160</v>
      </c>
      <c r="B1235" t="s">
        <v>638</v>
      </c>
      <c r="D1235">
        <v>116999</v>
      </c>
    </row>
    <row r="1236" spans="1:5" ht="15" hidden="1" customHeight="1">
      <c r="A1236" s="71">
        <v>46161</v>
      </c>
      <c r="B1236" t="s">
        <v>180</v>
      </c>
      <c r="C1236">
        <v>9159</v>
      </c>
      <c r="D1236">
        <v>172893</v>
      </c>
    </row>
    <row r="1237" spans="1:5" ht="15" hidden="1" customHeight="1">
      <c r="A1237" s="71">
        <v>46161</v>
      </c>
      <c r="B1237" t="s">
        <v>136</v>
      </c>
      <c r="D1237">
        <v>302237</v>
      </c>
    </row>
    <row r="1238" spans="1:5" ht="15" hidden="1" customHeight="1">
      <c r="A1238" s="71">
        <v>46161</v>
      </c>
      <c r="B1238" t="s">
        <v>333</v>
      </c>
      <c r="C1238">
        <v>7172</v>
      </c>
    </row>
    <row r="1239" spans="1:5" ht="15" hidden="1" customHeight="1">
      <c r="A1239" s="71">
        <v>46161</v>
      </c>
      <c r="B1239" t="s">
        <v>664</v>
      </c>
      <c r="C1239">
        <v>3790</v>
      </c>
    </row>
    <row r="1240" spans="1:5" ht="15" hidden="1" customHeight="1">
      <c r="A1240" s="71">
        <v>46161</v>
      </c>
      <c r="B1240" t="s">
        <v>411</v>
      </c>
      <c r="C1240">
        <v>4684</v>
      </c>
    </row>
    <row r="1241" spans="1:5" ht="15" hidden="1" customHeight="1">
      <c r="A1241" s="71">
        <v>46161</v>
      </c>
      <c r="D1241">
        <v>420329</v>
      </c>
    </row>
    <row r="1242" spans="1:5" ht="15" hidden="1" customHeight="1">
      <c r="A1242" s="71">
        <v>46161</v>
      </c>
      <c r="B1242" t="s">
        <v>183</v>
      </c>
      <c r="D1242">
        <v>58176</v>
      </c>
    </row>
    <row r="1243" spans="1:5" ht="15" hidden="1" customHeight="1">
      <c r="A1243" s="71">
        <v>46161</v>
      </c>
      <c r="B1243" t="s">
        <v>138</v>
      </c>
      <c r="C1243">
        <v>1939</v>
      </c>
    </row>
    <row r="1244" spans="1:5" ht="15" hidden="1" customHeight="1">
      <c r="A1244" s="71">
        <v>46161</v>
      </c>
      <c r="B1244" t="s">
        <v>610</v>
      </c>
      <c r="D1244">
        <v>146574</v>
      </c>
    </row>
    <row r="1245" spans="1:5" ht="15" hidden="1" customHeight="1">
      <c r="A1245" s="71">
        <v>46161</v>
      </c>
      <c r="B1245" t="s">
        <v>143</v>
      </c>
      <c r="D1245">
        <v>809438</v>
      </c>
    </row>
    <row r="1246" spans="1:5" ht="15" hidden="1" customHeight="1">
      <c r="A1246" s="71">
        <v>46162</v>
      </c>
      <c r="B1246" t="s">
        <v>42</v>
      </c>
      <c r="D1246">
        <v>192520</v>
      </c>
    </row>
    <row r="1247" spans="1:5" ht="15" hidden="1" customHeight="1">
      <c r="A1247" s="71">
        <v>46163</v>
      </c>
      <c r="B1247" t="s">
        <v>502</v>
      </c>
      <c r="D1247">
        <v>74979</v>
      </c>
      <c r="E1247" t="s">
        <v>33</v>
      </c>
    </row>
    <row r="1248" spans="1:5" ht="15" hidden="1" customHeight="1">
      <c r="A1248" s="71">
        <v>46162</v>
      </c>
      <c r="B1248" t="s">
        <v>399</v>
      </c>
      <c r="C1248">
        <v>8750</v>
      </c>
    </row>
    <row r="1249" spans="1:5" ht="15" hidden="1" customHeight="1">
      <c r="A1249" s="71">
        <v>46162</v>
      </c>
      <c r="B1249" t="s">
        <v>458</v>
      </c>
      <c r="C1249">
        <v>2503</v>
      </c>
    </row>
    <row r="1250" spans="1:5" ht="15" hidden="1" customHeight="1">
      <c r="A1250" s="71">
        <v>46162</v>
      </c>
      <c r="B1250" t="s">
        <v>180</v>
      </c>
      <c r="C1250">
        <v>9170</v>
      </c>
      <c r="D1250">
        <v>173073</v>
      </c>
    </row>
    <row r="1251" spans="1:5" ht="15" hidden="1" customHeight="1">
      <c r="A1251" s="71">
        <v>46162</v>
      </c>
      <c r="B1251" t="s">
        <v>639</v>
      </c>
      <c r="D1251">
        <v>100644</v>
      </c>
    </row>
    <row r="1252" spans="1:5" ht="15" hidden="1" customHeight="1">
      <c r="A1252" s="71">
        <v>46162</v>
      </c>
    </row>
    <row r="1253" spans="1:5" ht="15" hidden="1" customHeight="1">
      <c r="A1253" s="71">
        <v>46163</v>
      </c>
      <c r="B1253" t="s">
        <v>638</v>
      </c>
      <c r="D1253">
        <v>117259</v>
      </c>
    </row>
    <row r="1254" spans="1:5" ht="15" hidden="1" customHeight="1">
      <c r="A1254" s="71">
        <v>46163</v>
      </c>
      <c r="D1254">
        <v>47243</v>
      </c>
    </row>
    <row r="1255" spans="1:5" ht="15" hidden="1" customHeight="1">
      <c r="A1255" s="71">
        <v>46163</v>
      </c>
      <c r="B1255" t="s">
        <v>741</v>
      </c>
      <c r="D1255">
        <v>262464</v>
      </c>
    </row>
    <row r="1256" spans="1:5" hidden="1">
      <c r="A1256" s="71">
        <v>46163</v>
      </c>
      <c r="B1256" t="s">
        <v>628</v>
      </c>
      <c r="D1256">
        <v>130588</v>
      </c>
    </row>
    <row r="1257" spans="1:5" ht="15" hidden="1" customHeight="1">
      <c r="A1257" s="71">
        <v>46163</v>
      </c>
      <c r="B1257" t="s">
        <v>742</v>
      </c>
      <c r="D1257">
        <v>115239</v>
      </c>
    </row>
    <row r="1258" spans="1:5" ht="15" hidden="1" customHeight="1">
      <c r="A1258" s="71">
        <v>46163</v>
      </c>
      <c r="B1258" t="s">
        <v>268</v>
      </c>
      <c r="C1258">
        <v>10238</v>
      </c>
    </row>
    <row r="1259" spans="1:5" ht="15" hidden="1" customHeight="1">
      <c r="A1259" s="71">
        <v>46163</v>
      </c>
      <c r="B1259" t="s">
        <v>411</v>
      </c>
      <c r="C1259">
        <v>4397</v>
      </c>
    </row>
    <row r="1260" spans="1:5" ht="15" hidden="1" customHeight="1">
      <c r="A1260" s="71">
        <v>46171</v>
      </c>
      <c r="B1260" t="s">
        <v>502</v>
      </c>
      <c r="D1260">
        <v>75846</v>
      </c>
      <c r="E1260" t="s">
        <v>33</v>
      </c>
    </row>
    <row r="1261" spans="1:5" ht="15" hidden="1" customHeight="1">
      <c r="A1261" s="71">
        <v>46163</v>
      </c>
      <c r="D1261">
        <v>420565</v>
      </c>
    </row>
    <row r="1262" spans="1:5" ht="15" hidden="1" customHeight="1">
      <c r="A1262" s="71">
        <v>46163</v>
      </c>
    </row>
    <row r="1263" spans="1:5" ht="15" hidden="1" customHeight="1">
      <c r="A1263" s="71">
        <v>46163</v>
      </c>
      <c r="B1263" t="s">
        <v>42</v>
      </c>
      <c r="D1263">
        <v>192620</v>
      </c>
    </row>
    <row r="1264" spans="1:5" ht="15" hidden="1" customHeight="1">
      <c r="A1264" s="71">
        <v>46167</v>
      </c>
      <c r="B1264" t="s">
        <v>554</v>
      </c>
      <c r="D1264">
        <v>30125</v>
      </c>
    </row>
    <row r="1265" spans="1:4" ht="15" hidden="1" customHeight="1">
      <c r="A1265" s="71">
        <v>46167</v>
      </c>
      <c r="B1265" t="s">
        <v>333</v>
      </c>
      <c r="C1265">
        <v>7178</v>
      </c>
    </row>
    <row r="1266" spans="1:4" ht="15" hidden="1" customHeight="1">
      <c r="A1266" s="71">
        <v>46167</v>
      </c>
      <c r="B1266" t="s">
        <v>371</v>
      </c>
      <c r="C1266">
        <v>16988</v>
      </c>
    </row>
    <row r="1267" spans="1:4" ht="15" hidden="1" customHeight="1">
      <c r="A1267" s="71">
        <v>46167</v>
      </c>
      <c r="B1267" t="s">
        <v>443</v>
      </c>
      <c r="C1267">
        <v>2222</v>
      </c>
    </row>
    <row r="1268" spans="1:4" ht="15" hidden="1" customHeight="1">
      <c r="A1268" s="71">
        <v>46167</v>
      </c>
      <c r="B1268" t="s">
        <v>180</v>
      </c>
      <c r="C1268">
        <v>9185</v>
      </c>
      <c r="D1268">
        <v>173318</v>
      </c>
    </row>
    <row r="1269" spans="1:4" ht="15" hidden="1" customHeight="1">
      <c r="A1269" s="71">
        <v>46167</v>
      </c>
      <c r="B1269" t="s">
        <v>322</v>
      </c>
      <c r="C1269">
        <v>27812</v>
      </c>
    </row>
    <row r="1270" spans="1:4" ht="15" hidden="1" customHeight="1">
      <c r="A1270" s="71">
        <v>46167</v>
      </c>
      <c r="B1270" t="s">
        <v>458</v>
      </c>
      <c r="C1270">
        <v>2517</v>
      </c>
    </row>
    <row r="1271" spans="1:4" ht="15" hidden="1" customHeight="1">
      <c r="A1271" s="71">
        <v>46167</v>
      </c>
      <c r="D1271">
        <v>19857</v>
      </c>
    </row>
    <row r="1272" spans="1:4" ht="15" hidden="1" customHeight="1">
      <c r="A1272" s="71">
        <v>46167</v>
      </c>
      <c r="D1272">
        <v>364064</v>
      </c>
    </row>
    <row r="1273" spans="1:4" ht="15" hidden="1" customHeight="1">
      <c r="A1273" s="71">
        <v>46167</v>
      </c>
      <c r="B1273" t="s">
        <v>399</v>
      </c>
      <c r="C1273">
        <v>8758</v>
      </c>
    </row>
    <row r="1274" spans="1:4" ht="15" hidden="1" customHeight="1">
      <c r="A1274" s="71">
        <v>46167</v>
      </c>
      <c r="D1274">
        <v>48020</v>
      </c>
    </row>
    <row r="1275" spans="1:4" ht="15" hidden="1" customHeight="1">
      <c r="A1275" s="71">
        <v>46167</v>
      </c>
      <c r="B1275" t="s">
        <v>638</v>
      </c>
      <c r="D1275">
        <v>117704</v>
      </c>
    </row>
    <row r="1276" spans="1:4" ht="15" hidden="1" customHeight="1">
      <c r="A1276" s="71">
        <v>46168</v>
      </c>
      <c r="B1276" t="s">
        <v>138</v>
      </c>
      <c r="C1276">
        <v>1953</v>
      </c>
    </row>
    <row r="1277" spans="1:4" ht="15" hidden="1" customHeight="1">
      <c r="A1277" s="71">
        <v>46168</v>
      </c>
      <c r="B1277" t="s">
        <v>143</v>
      </c>
      <c r="D1277">
        <v>809762</v>
      </c>
    </row>
    <row r="1278" spans="1:4" ht="15" hidden="1" customHeight="1">
      <c r="A1278" s="71">
        <v>46168</v>
      </c>
      <c r="B1278" t="s">
        <v>136</v>
      </c>
      <c r="D1278">
        <v>302984</v>
      </c>
    </row>
    <row r="1279" spans="1:4" ht="15" hidden="1" customHeight="1">
      <c r="A1279" s="71">
        <v>46168</v>
      </c>
      <c r="B1279" t="s">
        <v>643</v>
      </c>
      <c r="D1279">
        <v>138456</v>
      </c>
    </row>
    <row r="1280" spans="1:4" ht="15" hidden="1" customHeight="1">
      <c r="A1280" s="71">
        <v>46168</v>
      </c>
      <c r="B1280" t="s">
        <v>742</v>
      </c>
      <c r="D1280">
        <v>115916</v>
      </c>
    </row>
    <row r="1281" spans="1:4" ht="15" hidden="1" customHeight="1">
      <c r="A1281" s="71">
        <v>46168</v>
      </c>
      <c r="B1281" t="s">
        <v>152</v>
      </c>
      <c r="D1281">
        <v>496990</v>
      </c>
    </row>
    <row r="1282" spans="1:4" ht="15" hidden="1" customHeight="1">
      <c r="A1282" s="71">
        <v>46168</v>
      </c>
      <c r="B1282" t="s">
        <v>42</v>
      </c>
      <c r="D1282">
        <v>192730</v>
      </c>
    </row>
    <row r="1283" spans="1:4" ht="15" hidden="1" customHeight="1">
      <c r="A1283" s="71">
        <v>46169</v>
      </c>
      <c r="B1283" t="s">
        <v>180</v>
      </c>
      <c r="C1283">
        <v>9198</v>
      </c>
      <c r="D1283">
        <v>173613</v>
      </c>
    </row>
    <row r="1284" spans="1:4" ht="15" hidden="1" customHeight="1">
      <c r="A1284" s="71">
        <v>46169</v>
      </c>
      <c r="B1284" t="s">
        <v>638</v>
      </c>
      <c r="D1284">
        <v>117775</v>
      </c>
    </row>
    <row r="1285" spans="1:4" ht="15" hidden="1" customHeight="1">
      <c r="A1285" s="71">
        <v>46169</v>
      </c>
      <c r="B1285" t="s">
        <v>399</v>
      </c>
      <c r="C1285">
        <v>8767</v>
      </c>
    </row>
    <row r="1286" spans="1:4" ht="15" hidden="1" customHeight="1">
      <c r="A1286" s="71">
        <v>46169</v>
      </c>
      <c r="B1286" t="s">
        <v>268</v>
      </c>
      <c r="C1286">
        <v>10247</v>
      </c>
    </row>
    <row r="1287" spans="1:4" ht="15" hidden="1" customHeight="1">
      <c r="A1287" s="71">
        <v>46169</v>
      </c>
      <c r="B1287" t="s">
        <v>371</v>
      </c>
      <c r="C1287">
        <v>16996</v>
      </c>
    </row>
    <row r="1288" spans="1:4" ht="15" hidden="1" customHeight="1">
      <c r="A1288" s="71">
        <v>46169</v>
      </c>
      <c r="B1288" t="s">
        <v>417</v>
      </c>
      <c r="C1288">
        <v>10553</v>
      </c>
    </row>
    <row r="1289" spans="1:4" ht="15" hidden="1" customHeight="1">
      <c r="A1289" s="71">
        <v>46169</v>
      </c>
      <c r="D1289">
        <v>420868</v>
      </c>
    </row>
    <row r="1290" spans="1:4" ht="15" hidden="1" customHeight="1">
      <c r="A1290" s="71">
        <v>46169</v>
      </c>
      <c r="B1290" t="s">
        <v>322</v>
      </c>
      <c r="C1290">
        <v>27820</v>
      </c>
    </row>
    <row r="1291" spans="1:4" ht="15" hidden="1" customHeight="1">
      <c r="A1291" s="71">
        <v>46169</v>
      </c>
      <c r="B1291" t="s">
        <v>183</v>
      </c>
      <c r="D1291">
        <v>58366</v>
      </c>
    </row>
    <row r="1292" spans="1:4" ht="15" hidden="1" customHeight="1">
      <c r="A1292" s="71">
        <v>46169</v>
      </c>
      <c r="B1292" t="s">
        <v>628</v>
      </c>
      <c r="D1292">
        <v>131689</v>
      </c>
    </row>
    <row r="1293" spans="1:4" ht="15" hidden="1" customHeight="1">
      <c r="A1293" s="71">
        <v>46169</v>
      </c>
      <c r="B1293" t="s">
        <v>542</v>
      </c>
      <c r="D1293">
        <v>54102</v>
      </c>
    </row>
    <row r="1294" spans="1:4" ht="15" hidden="1" customHeight="1">
      <c r="A1294" s="71">
        <v>46169</v>
      </c>
      <c r="B1294" t="s">
        <v>554</v>
      </c>
      <c r="D1294">
        <v>30732</v>
      </c>
    </row>
    <row r="1295" spans="1:4" ht="15" hidden="1" customHeight="1">
      <c r="A1295" s="71">
        <v>46170</v>
      </c>
      <c r="D1295">
        <v>48616</v>
      </c>
    </row>
    <row r="1296" spans="1:4" ht="15" hidden="1" customHeight="1">
      <c r="A1296" s="71">
        <v>46170</v>
      </c>
      <c r="B1296" t="s">
        <v>333</v>
      </c>
      <c r="C1296">
        <v>7181</v>
      </c>
    </row>
    <row r="1297" spans="1:4" ht="15" hidden="1" customHeight="1">
      <c r="A1297" s="71">
        <v>46170</v>
      </c>
      <c r="B1297" t="s">
        <v>138</v>
      </c>
      <c r="C1297">
        <v>1963</v>
      </c>
    </row>
    <row r="1298" spans="1:4" ht="15" hidden="1" customHeight="1">
      <c r="A1298" s="71">
        <v>46170</v>
      </c>
      <c r="D1298">
        <v>364448</v>
      </c>
    </row>
    <row r="1299" spans="1:4" ht="15" hidden="1" customHeight="1">
      <c r="A1299" s="71">
        <v>46170</v>
      </c>
      <c r="B1299" t="s">
        <v>138</v>
      </c>
      <c r="D1299">
        <v>34909</v>
      </c>
    </row>
    <row r="1300" spans="1:4" ht="15" hidden="1" customHeight="1">
      <c r="A1300" s="71">
        <v>46170</v>
      </c>
      <c r="B1300" t="s">
        <v>322</v>
      </c>
      <c r="C1300">
        <v>27822</v>
      </c>
    </row>
    <row r="1301" spans="1:4" ht="15" hidden="1" customHeight="1">
      <c r="A1301" s="71">
        <v>46170</v>
      </c>
      <c r="B1301" t="s">
        <v>399</v>
      </c>
      <c r="C1301">
        <v>8776</v>
      </c>
    </row>
    <row r="1302" spans="1:4" ht="15" hidden="1" customHeight="1">
      <c r="A1302" s="71">
        <v>46171</v>
      </c>
      <c r="B1302" t="s">
        <v>42</v>
      </c>
      <c r="D1302">
        <v>192870</v>
      </c>
    </row>
    <row r="1303" spans="1:4" ht="15" hidden="1" customHeight="1">
      <c r="A1303" s="71">
        <v>46171</v>
      </c>
      <c r="B1303" t="s">
        <v>152</v>
      </c>
      <c r="D1303">
        <v>497980</v>
      </c>
    </row>
    <row r="1304" spans="1:4" ht="15" hidden="1" customHeight="1">
      <c r="A1304" s="71">
        <v>46171</v>
      </c>
      <c r="B1304" t="s">
        <v>180</v>
      </c>
      <c r="C1304">
        <v>9214</v>
      </c>
      <c r="D1304">
        <v>173900</v>
      </c>
    </row>
    <row r="1305" spans="1:4" ht="15" hidden="1" customHeight="1">
      <c r="A1305" s="71">
        <v>46171</v>
      </c>
      <c r="B1305" t="s">
        <v>638</v>
      </c>
      <c r="D1305">
        <v>117972</v>
      </c>
    </row>
    <row r="1306" spans="1:4" ht="15" hidden="1" customHeight="1">
      <c r="A1306" s="71">
        <v>46171</v>
      </c>
      <c r="B1306" t="s">
        <v>411</v>
      </c>
      <c r="C1306">
        <v>4705</v>
      </c>
    </row>
    <row r="1307" spans="1:4" ht="15" hidden="1" customHeight="1">
      <c r="A1307" s="71">
        <v>46171</v>
      </c>
      <c r="B1307" t="s">
        <v>322</v>
      </c>
      <c r="C1307">
        <v>27824</v>
      </c>
    </row>
    <row r="1308" spans="1:4" ht="15" hidden="1" customHeight="1">
      <c r="A1308" s="71">
        <v>46171</v>
      </c>
      <c r="D1308">
        <v>421182</v>
      </c>
    </row>
    <row r="1309" spans="1:4" ht="15" hidden="1" customHeight="1">
      <c r="A1309" s="71">
        <v>46171</v>
      </c>
      <c r="B1309" t="s">
        <v>509</v>
      </c>
      <c r="D1309">
        <v>79224</v>
      </c>
    </row>
    <row r="1310" spans="1:4" ht="15" hidden="1" customHeight="1">
      <c r="A1310" s="71">
        <v>46171</v>
      </c>
      <c r="B1310" t="s">
        <v>417</v>
      </c>
      <c r="C1310">
        <v>10560</v>
      </c>
    </row>
    <row r="1311" spans="1:4" ht="15" hidden="1" customHeight="1">
      <c r="A1311" s="71">
        <v>46171</v>
      </c>
    </row>
    <row r="1312" spans="1:4" ht="15" hidden="1" customHeight="1">
      <c r="A1312" s="71">
        <v>46171</v>
      </c>
      <c r="B1312" t="s">
        <v>556</v>
      </c>
      <c r="D1312">
        <v>30906</v>
      </c>
    </row>
    <row r="1313" spans="1:5" ht="15" hidden="1" customHeight="1">
      <c r="A1313" s="71">
        <v>46171</v>
      </c>
      <c r="D1313">
        <v>48916</v>
      </c>
    </row>
    <row r="1314" spans="1:5" ht="15" hidden="1" customHeight="1">
      <c r="A1314" s="71">
        <v>46171</v>
      </c>
      <c r="B1314" t="s">
        <v>741</v>
      </c>
      <c r="D1314">
        <v>262958</v>
      </c>
    </row>
    <row r="1315" spans="1:5" ht="15" hidden="1" customHeight="1">
      <c r="A1315" s="71">
        <v>46171</v>
      </c>
      <c r="B1315" t="s">
        <v>639</v>
      </c>
      <c r="D1315">
        <v>101403</v>
      </c>
    </row>
    <row r="1316" spans="1:5" ht="15" hidden="1" customHeight="1">
      <c r="A1316" s="71">
        <v>46178</v>
      </c>
      <c r="B1316" t="s">
        <v>502</v>
      </c>
      <c r="D1316">
        <v>76726</v>
      </c>
      <c r="E1316" t="s">
        <v>33</v>
      </c>
    </row>
    <row r="1317" spans="1:5" ht="15" hidden="1" customHeight="1">
      <c r="A1317" s="71">
        <v>46174</v>
      </c>
      <c r="B1317" t="s">
        <v>417</v>
      </c>
      <c r="C1317">
        <v>10563</v>
      </c>
    </row>
    <row r="1318" spans="1:5" ht="15" hidden="1" customHeight="1">
      <c r="A1318" s="71">
        <v>46174</v>
      </c>
      <c r="B1318" t="s">
        <v>322</v>
      </c>
      <c r="C1318">
        <v>27828</v>
      </c>
    </row>
    <row r="1319" spans="1:5" hidden="1">
      <c r="A1319" s="71">
        <v>46174</v>
      </c>
    </row>
    <row r="1320" spans="1:5" ht="15" hidden="1" customHeight="1">
      <c r="A1320" s="71">
        <v>46174</v>
      </c>
      <c r="B1320" t="s">
        <v>136</v>
      </c>
      <c r="D1320">
        <v>303504</v>
      </c>
    </row>
    <row r="1321" spans="1:5" ht="15" hidden="1" customHeight="1">
      <c r="A1321" s="71">
        <v>46174</v>
      </c>
      <c r="B1321" t="s">
        <v>411</v>
      </c>
      <c r="C1321">
        <v>4712</v>
      </c>
    </row>
    <row r="1322" spans="1:5" ht="15" hidden="1" customHeight="1">
      <c r="A1322" s="71">
        <v>46174</v>
      </c>
      <c r="B1322" t="s">
        <v>443</v>
      </c>
      <c r="C1322">
        <v>2243</v>
      </c>
    </row>
    <row r="1323" spans="1:5" ht="15" hidden="1" customHeight="1">
      <c r="A1323" s="71">
        <v>46174</v>
      </c>
      <c r="B1323" t="s">
        <v>742</v>
      </c>
      <c r="D1323">
        <v>116683</v>
      </c>
    </row>
    <row r="1324" spans="1:5" ht="15" hidden="1" customHeight="1">
      <c r="A1324" s="71">
        <v>46174</v>
      </c>
      <c r="B1324" t="s">
        <v>143</v>
      </c>
      <c r="D1324">
        <v>810160</v>
      </c>
    </row>
    <row r="1325" spans="1:5" ht="15" hidden="1" customHeight="1">
      <c r="A1325" s="71">
        <v>46175</v>
      </c>
      <c r="B1325" t="s">
        <v>180</v>
      </c>
      <c r="C1325">
        <v>9224</v>
      </c>
      <c r="D1325">
        <v>174034</v>
      </c>
    </row>
    <row r="1326" spans="1:5" ht="15" hidden="1" customHeight="1">
      <c r="A1326" s="71">
        <v>46175</v>
      </c>
      <c r="B1326" t="s">
        <v>638</v>
      </c>
      <c r="D1326">
        <v>118430</v>
      </c>
    </row>
    <row r="1327" spans="1:5" ht="15" hidden="1" customHeight="1">
      <c r="A1327" s="71">
        <v>46175</v>
      </c>
      <c r="B1327" t="s">
        <v>399</v>
      </c>
      <c r="C1327">
        <v>8784</v>
      </c>
    </row>
    <row r="1328" spans="1:5" ht="15" hidden="1" customHeight="1">
      <c r="A1328" s="71">
        <v>46175</v>
      </c>
      <c r="B1328" t="s">
        <v>141</v>
      </c>
      <c r="C1328">
        <v>1979</v>
      </c>
    </row>
    <row r="1329" spans="1:4" ht="15" hidden="1" customHeight="1">
      <c r="A1329" s="71">
        <v>46175</v>
      </c>
      <c r="D1329">
        <v>49673</v>
      </c>
    </row>
    <row r="1330" spans="1:4" ht="15" hidden="1" customHeight="1">
      <c r="A1330" s="71">
        <v>46175</v>
      </c>
      <c r="B1330" t="s">
        <v>42</v>
      </c>
      <c r="D1330">
        <v>193040</v>
      </c>
    </row>
    <row r="1331" spans="1:4" ht="15" hidden="1" customHeight="1">
      <c r="A1331" s="71">
        <v>46176</v>
      </c>
      <c r="D1331">
        <v>365172</v>
      </c>
    </row>
    <row r="1332" spans="1:4" ht="15" hidden="1" customHeight="1">
      <c r="A1332" s="71">
        <v>46176</v>
      </c>
      <c r="B1332" t="s">
        <v>411</v>
      </c>
      <c r="C1332">
        <v>4723</v>
      </c>
    </row>
    <row r="1333" spans="1:4" ht="15" hidden="1" customHeight="1">
      <c r="A1333" s="71">
        <v>46176</v>
      </c>
      <c r="B1333" t="s">
        <v>183</v>
      </c>
      <c r="D1333">
        <v>58638</v>
      </c>
    </row>
    <row r="1334" spans="1:4" ht="15" hidden="1" customHeight="1">
      <c r="A1334" s="71">
        <v>46176</v>
      </c>
      <c r="B1334" t="s">
        <v>138</v>
      </c>
      <c r="D1334">
        <v>34909</v>
      </c>
    </row>
    <row r="1335" spans="1:4" ht="15" hidden="1" customHeight="1">
      <c r="A1335" s="71">
        <v>46176</v>
      </c>
      <c r="B1335" t="s">
        <v>417</v>
      </c>
      <c r="C1335">
        <v>10571</v>
      </c>
    </row>
    <row r="1336" spans="1:4" ht="15" hidden="1" customHeight="1">
      <c r="A1336" s="71">
        <v>46176</v>
      </c>
      <c r="B1336" t="s">
        <v>639</v>
      </c>
      <c r="D1336">
        <v>102163</v>
      </c>
    </row>
    <row r="1337" spans="1:4" ht="15" hidden="1" customHeight="1">
      <c r="A1337" s="71">
        <v>46176</v>
      </c>
      <c r="B1337" t="s">
        <v>143</v>
      </c>
      <c r="D1337">
        <v>810414</v>
      </c>
    </row>
    <row r="1338" spans="1:4" ht="15" hidden="1" customHeight="1">
      <c r="A1338" s="71">
        <v>46176</v>
      </c>
      <c r="B1338" t="s">
        <v>610</v>
      </c>
      <c r="D1338">
        <v>147132</v>
      </c>
    </row>
    <row r="1339" spans="1:4" ht="15" hidden="1" customHeight="1">
      <c r="A1339" s="71">
        <v>46176</v>
      </c>
      <c r="B1339" t="s">
        <v>554</v>
      </c>
      <c r="D1339">
        <v>31297</v>
      </c>
    </row>
    <row r="1340" spans="1:4" ht="15" hidden="1" customHeight="1">
      <c r="A1340" s="71">
        <v>46177</v>
      </c>
      <c r="B1340" t="s">
        <v>180</v>
      </c>
      <c r="C1340">
        <v>9240</v>
      </c>
      <c r="D1340">
        <v>174307</v>
      </c>
    </row>
    <row r="1341" spans="1:4" ht="15" hidden="1" customHeight="1">
      <c r="A1341" s="71">
        <v>46177</v>
      </c>
      <c r="B1341" t="s">
        <v>628</v>
      </c>
      <c r="D1341">
        <v>132428</v>
      </c>
    </row>
    <row r="1342" spans="1:4" ht="15" hidden="1" customHeight="1">
      <c r="A1342" s="71">
        <v>46177</v>
      </c>
      <c r="B1342" t="s">
        <v>443</v>
      </c>
      <c r="C1342">
        <v>2257</v>
      </c>
    </row>
    <row r="1343" spans="1:4" ht="15" hidden="1" customHeight="1">
      <c r="A1343" s="71">
        <v>46177</v>
      </c>
      <c r="B1343" t="s">
        <v>417</v>
      </c>
      <c r="C1343">
        <v>10578</v>
      </c>
    </row>
    <row r="1344" spans="1:4" ht="15" hidden="1" customHeight="1">
      <c r="A1344" s="71">
        <v>46177</v>
      </c>
      <c r="B1344" t="s">
        <v>458</v>
      </c>
      <c r="C1344">
        <v>2531</v>
      </c>
    </row>
    <row r="1345" spans="1:4" ht="15" hidden="1" customHeight="1">
      <c r="A1345" s="71">
        <v>46177</v>
      </c>
      <c r="B1345" t="s">
        <v>569</v>
      </c>
      <c r="D1345">
        <v>412275</v>
      </c>
    </row>
    <row r="1346" spans="1:4" ht="15" hidden="1" customHeight="1">
      <c r="A1346" s="71">
        <v>46177</v>
      </c>
      <c r="B1346" t="s">
        <v>371</v>
      </c>
      <c r="C1346">
        <v>17005</v>
      </c>
    </row>
    <row r="1347" spans="1:4" ht="15" hidden="1" customHeight="1">
      <c r="A1347" s="71">
        <v>46177</v>
      </c>
      <c r="B1347" t="s">
        <v>322</v>
      </c>
      <c r="C1347">
        <v>27836</v>
      </c>
    </row>
    <row r="1348" spans="1:4" ht="15" hidden="1" customHeight="1">
      <c r="A1348" s="71">
        <v>46177</v>
      </c>
      <c r="D1348">
        <v>50180</v>
      </c>
    </row>
    <row r="1349" spans="1:4" ht="15" hidden="1" customHeight="1">
      <c r="A1349" s="71">
        <v>46177</v>
      </c>
      <c r="B1349" t="s">
        <v>742</v>
      </c>
      <c r="D1349">
        <v>116993</v>
      </c>
    </row>
    <row r="1350" spans="1:4" ht="15" hidden="1" customHeight="1">
      <c r="A1350" s="71">
        <v>46177</v>
      </c>
      <c r="B1350" t="s">
        <v>42</v>
      </c>
      <c r="D1350">
        <v>193310</v>
      </c>
    </row>
    <row r="1351" spans="1:4" ht="15" hidden="1" customHeight="1">
      <c r="A1351" s="71">
        <v>46178</v>
      </c>
      <c r="B1351" t="s">
        <v>152</v>
      </c>
      <c r="D1351">
        <v>500330</v>
      </c>
    </row>
    <row r="1352" spans="1:4" ht="15" hidden="1" customHeight="1">
      <c r="A1352" s="71">
        <v>46178</v>
      </c>
      <c r="B1352" t="s">
        <v>638</v>
      </c>
      <c r="D1352">
        <v>118728</v>
      </c>
    </row>
    <row r="1353" spans="1:4" ht="15" hidden="1" customHeight="1">
      <c r="A1353" s="71">
        <v>46178</v>
      </c>
      <c r="B1353" t="s">
        <v>628</v>
      </c>
      <c r="D1353">
        <v>132505</v>
      </c>
    </row>
    <row r="1354" spans="1:4" ht="15" hidden="1" customHeight="1">
      <c r="A1354" s="71">
        <v>46178</v>
      </c>
      <c r="B1354" t="s">
        <v>411</v>
      </c>
      <c r="C1354">
        <v>4737</v>
      </c>
    </row>
    <row r="1355" spans="1:4" ht="15" hidden="1" customHeight="1">
      <c r="A1355" s="71">
        <v>46178</v>
      </c>
      <c r="B1355" t="s">
        <v>417</v>
      </c>
      <c r="C1355">
        <v>10587</v>
      </c>
    </row>
    <row r="1356" spans="1:4" hidden="1">
      <c r="A1356" s="71">
        <v>46178</v>
      </c>
      <c r="B1356" t="s">
        <v>509</v>
      </c>
      <c r="D1356">
        <v>81046</v>
      </c>
    </row>
    <row r="1357" spans="1:4" ht="15" hidden="1" customHeight="1">
      <c r="A1357" s="71">
        <v>46178</v>
      </c>
      <c r="D1357">
        <v>365460</v>
      </c>
    </row>
    <row r="1358" spans="1:4" ht="15" hidden="1" customHeight="1">
      <c r="A1358" s="71">
        <v>46178</v>
      </c>
      <c r="B1358" t="s">
        <v>556</v>
      </c>
      <c r="D1358">
        <v>32437</v>
      </c>
    </row>
    <row r="1359" spans="1:4" ht="15" hidden="1" customHeight="1">
      <c r="A1359" s="71">
        <v>46178</v>
      </c>
    </row>
    <row r="1360" spans="1:4" ht="15" hidden="1" customHeight="1">
      <c r="A1360" s="71">
        <v>46178</v>
      </c>
      <c r="D1360">
        <v>50313</v>
      </c>
    </row>
    <row r="1361" spans="1:4" ht="15" hidden="1" customHeight="1">
      <c r="A1361" s="71">
        <v>46178</v>
      </c>
      <c r="B1361" t="s">
        <v>741</v>
      </c>
      <c r="D1361">
        <v>263464</v>
      </c>
    </row>
    <row r="1362" spans="1:4" ht="15" hidden="1" customHeight="1">
      <c r="A1362" s="71">
        <v>46178</v>
      </c>
      <c r="B1362" t="s">
        <v>171</v>
      </c>
      <c r="C1362">
        <v>8900</v>
      </c>
      <c r="D1362">
        <v>171777</v>
      </c>
    </row>
    <row r="1363" spans="1:4" ht="15" hidden="1" customHeight="1">
      <c r="A1363" s="79"/>
      <c r="B1363" s="88"/>
    </row>
    <row r="1364" spans="1:4" ht="15" hidden="1" customHeight="1">
      <c r="A1364" s="71">
        <v>46178</v>
      </c>
      <c r="B1364" t="s">
        <v>639</v>
      </c>
      <c r="D1364">
        <v>102342</v>
      </c>
    </row>
    <row r="1365" spans="1:4" ht="15" hidden="1" customHeight="1">
      <c r="A1365" s="71">
        <v>46181</v>
      </c>
      <c r="B1365" t="s">
        <v>417</v>
      </c>
      <c r="C1365">
        <v>10590</v>
      </c>
    </row>
    <row r="1366" spans="1:4" ht="15" hidden="1" customHeight="1">
      <c r="A1366" s="71">
        <v>46181</v>
      </c>
      <c r="B1366" t="s">
        <v>458</v>
      </c>
      <c r="C1366">
        <v>2537</v>
      </c>
    </row>
    <row r="1367" spans="1:4" ht="15" hidden="1" customHeight="1">
      <c r="A1367" s="71">
        <v>46181</v>
      </c>
      <c r="B1367" t="s">
        <v>136</v>
      </c>
      <c r="D1367">
        <v>304195</v>
      </c>
    </row>
    <row r="1368" spans="1:4" ht="15" hidden="1" customHeight="1">
      <c r="A1368" s="71">
        <v>46181</v>
      </c>
      <c r="B1368" t="s">
        <v>141</v>
      </c>
      <c r="C1368">
        <v>1993</v>
      </c>
    </row>
    <row r="1369" spans="1:4" ht="15" hidden="1" customHeight="1">
      <c r="A1369" s="71">
        <v>46181</v>
      </c>
      <c r="B1369" t="s">
        <v>664</v>
      </c>
      <c r="C1369">
        <v>3900</v>
      </c>
    </row>
    <row r="1370" spans="1:4" ht="15" hidden="1" customHeight="1">
      <c r="A1370" s="71">
        <v>46181</v>
      </c>
      <c r="D1370">
        <v>51011</v>
      </c>
    </row>
    <row r="1371" spans="1:4" ht="15" hidden="1" customHeight="1">
      <c r="A1371" s="71">
        <v>46182</v>
      </c>
      <c r="B1371" t="s">
        <v>171</v>
      </c>
      <c r="C1371">
        <v>8907</v>
      </c>
      <c r="D1371">
        <v>172026</v>
      </c>
    </row>
    <row r="1372" spans="1:4" ht="15" hidden="1" customHeight="1">
      <c r="A1372" s="71">
        <v>46182</v>
      </c>
      <c r="B1372" t="s">
        <v>638</v>
      </c>
      <c r="D1372">
        <v>119103</v>
      </c>
    </row>
    <row r="1373" spans="1:4" ht="15" hidden="1" customHeight="1">
      <c r="A1373" s="71">
        <v>46182</v>
      </c>
      <c r="B1373" t="s">
        <v>695</v>
      </c>
      <c r="C1373">
        <v>434</v>
      </c>
    </row>
    <row r="1374" spans="1:4" ht="15" hidden="1" customHeight="1">
      <c r="A1374" s="71">
        <v>46182</v>
      </c>
      <c r="B1374" t="s">
        <v>628</v>
      </c>
      <c r="D1374">
        <v>132855</v>
      </c>
    </row>
    <row r="1375" spans="1:4" ht="15" hidden="1" customHeight="1">
      <c r="A1375" s="71">
        <v>46182</v>
      </c>
      <c r="B1375" t="s">
        <v>143</v>
      </c>
      <c r="D1375">
        <v>810571</v>
      </c>
    </row>
    <row r="1376" spans="1:4" ht="15" hidden="1" customHeight="1">
      <c r="A1376" s="71">
        <v>46178</v>
      </c>
      <c r="B1376" t="s">
        <v>420</v>
      </c>
      <c r="C1376">
        <v>8497</v>
      </c>
    </row>
    <row r="1377" spans="1:4" ht="15" hidden="1" customHeight="1">
      <c r="A1377" s="71">
        <v>46160</v>
      </c>
      <c r="B1377" t="s">
        <v>19</v>
      </c>
      <c r="C1377">
        <v>10633</v>
      </c>
    </row>
    <row r="1378" spans="1:4" ht="15" hidden="1" customHeight="1">
      <c r="A1378" s="71">
        <v>46178</v>
      </c>
      <c r="B1378" t="s">
        <v>449</v>
      </c>
      <c r="C1378">
        <v>1999</v>
      </c>
    </row>
    <row r="1379" spans="1:4" ht="15" hidden="1" customHeight="1">
      <c r="A1379" s="71">
        <v>46177</v>
      </c>
      <c r="B1379" t="s">
        <v>278</v>
      </c>
      <c r="C1379">
        <v>4446</v>
      </c>
    </row>
    <row r="1380" spans="1:4" ht="15" hidden="1" customHeight="1">
      <c r="A1380" s="71">
        <v>46178</v>
      </c>
      <c r="B1380" t="s">
        <v>305</v>
      </c>
      <c r="C1380">
        <v>8894</v>
      </c>
    </row>
    <row r="1381" spans="1:4" ht="15" hidden="1" customHeight="1">
      <c r="A1381" s="71">
        <v>46169</v>
      </c>
      <c r="B1381" t="s">
        <v>423</v>
      </c>
      <c r="C1381">
        <v>5858</v>
      </c>
    </row>
    <row r="1382" spans="1:4" ht="15" hidden="1" customHeight="1">
      <c r="A1382" s="71">
        <v>46176</v>
      </c>
      <c r="B1382" t="s">
        <v>311</v>
      </c>
      <c r="C1382">
        <v>17175</v>
      </c>
    </row>
    <row r="1383" spans="1:4" ht="15" hidden="1" customHeight="1">
      <c r="A1383" s="71">
        <v>46178</v>
      </c>
      <c r="B1383" t="s">
        <v>500</v>
      </c>
      <c r="D1383">
        <v>129402</v>
      </c>
    </row>
    <row r="1384" spans="1:4" ht="15" hidden="1" customHeight="1">
      <c r="A1384" s="71">
        <v>46178</v>
      </c>
      <c r="B1384" t="s">
        <v>632</v>
      </c>
      <c r="D1384">
        <v>139007</v>
      </c>
    </row>
    <row r="1385" spans="1:4" ht="15" hidden="1" customHeight="1">
      <c r="A1385" s="71">
        <v>46178</v>
      </c>
      <c r="B1385" t="s">
        <v>641</v>
      </c>
      <c r="D1385">
        <v>158673</v>
      </c>
    </row>
    <row r="1386" spans="1:4" ht="15" hidden="1" customHeight="1">
      <c r="A1386" s="71">
        <v>46178</v>
      </c>
      <c r="B1386" t="s">
        <v>518</v>
      </c>
      <c r="D1386">
        <v>76049</v>
      </c>
    </row>
    <row r="1387" spans="1:4" ht="15" hidden="1" customHeight="1">
      <c r="A1387" s="71">
        <v>46178</v>
      </c>
      <c r="B1387" t="s">
        <v>522</v>
      </c>
      <c r="D1387">
        <v>50072</v>
      </c>
    </row>
    <row r="1388" spans="1:4" ht="15" hidden="1" customHeight="1">
      <c r="A1388" s="71">
        <v>46178</v>
      </c>
      <c r="B1388" t="s">
        <v>546</v>
      </c>
      <c r="D1388">
        <v>105438</v>
      </c>
    </row>
    <row r="1389" spans="1:4" ht="15" hidden="1" customHeight="1">
      <c r="A1389" s="71">
        <v>46178</v>
      </c>
      <c r="B1389" t="s">
        <v>532</v>
      </c>
      <c r="D1389">
        <v>80238</v>
      </c>
    </row>
    <row r="1390" spans="1:4" ht="15" hidden="1" customHeight="1">
      <c r="A1390" s="71">
        <v>46160</v>
      </c>
      <c r="B1390" t="s">
        <v>19</v>
      </c>
      <c r="C1390">
        <v>10633</v>
      </c>
    </row>
    <row r="1391" spans="1:4" ht="15" hidden="1" customHeight="1">
      <c r="A1391" s="71">
        <v>46131</v>
      </c>
      <c r="B1391" t="s">
        <v>449</v>
      </c>
      <c r="C1391">
        <v>1944</v>
      </c>
    </row>
    <row r="1392" spans="1:4" ht="15" hidden="1" customHeight="1">
      <c r="A1392" s="71">
        <v>46163</v>
      </c>
      <c r="B1392" t="s">
        <v>305</v>
      </c>
      <c r="C1392">
        <v>8894</v>
      </c>
    </row>
    <row r="1393" spans="1:4" ht="15" hidden="1" customHeight="1">
      <c r="A1393" s="71">
        <v>46163</v>
      </c>
      <c r="B1393" t="s">
        <v>641</v>
      </c>
      <c r="D1393">
        <v>156455</v>
      </c>
    </row>
    <row r="1394" spans="1:4" ht="15" hidden="1" customHeight="1">
      <c r="A1394" s="71">
        <v>46163</v>
      </c>
      <c r="B1394" t="s">
        <v>518</v>
      </c>
      <c r="D1394">
        <v>74488</v>
      </c>
    </row>
    <row r="1395" spans="1:4" ht="15" hidden="1" customHeight="1">
      <c r="A1395" s="71">
        <v>46133</v>
      </c>
      <c r="B1395" t="s">
        <v>532</v>
      </c>
      <c r="D1395">
        <v>78172</v>
      </c>
    </row>
    <row r="1396" spans="1:4" ht="15" hidden="1" customHeight="1">
      <c r="A1396" s="71">
        <v>46185</v>
      </c>
      <c r="B1396" t="s">
        <v>449</v>
      </c>
      <c r="C1396">
        <v>2026</v>
      </c>
    </row>
    <row r="1397" spans="1:4" ht="15" hidden="1" customHeight="1">
      <c r="A1397" s="71">
        <v>46185</v>
      </c>
      <c r="B1397" t="s">
        <v>278</v>
      </c>
      <c r="C1397">
        <v>4457</v>
      </c>
    </row>
    <row r="1398" spans="1:4" ht="15" hidden="1" customHeight="1">
      <c r="A1398" s="71">
        <v>46185</v>
      </c>
      <c r="B1398" t="s">
        <v>163</v>
      </c>
    </row>
    <row r="1399" spans="1:4" ht="15" hidden="1" customHeight="1">
      <c r="A1399" s="71">
        <v>46185</v>
      </c>
      <c r="B1399" t="s">
        <v>500</v>
      </c>
      <c r="D1399">
        <v>130401</v>
      </c>
    </row>
    <row r="1400" spans="1:4" ht="15" hidden="1" customHeight="1">
      <c r="A1400" s="71">
        <v>46185</v>
      </c>
      <c r="B1400" t="s">
        <v>632</v>
      </c>
      <c r="C1400">
        <v>140014</v>
      </c>
    </row>
    <row r="1401" spans="1:4" ht="15" hidden="1" customHeight="1">
      <c r="A1401" s="71">
        <v>46185</v>
      </c>
      <c r="B1401" t="s">
        <v>641</v>
      </c>
      <c r="C1401">
        <v>159652</v>
      </c>
    </row>
    <row r="1402" spans="1:4" ht="15" hidden="1" customHeight="1">
      <c r="A1402" s="71">
        <v>46185</v>
      </c>
      <c r="B1402" t="s">
        <v>518</v>
      </c>
      <c r="C1402">
        <v>76049</v>
      </c>
    </row>
    <row r="1403" spans="1:4" ht="15" hidden="1" customHeight="1">
      <c r="A1403" s="71">
        <v>46185</v>
      </c>
      <c r="B1403" t="s">
        <v>522</v>
      </c>
      <c r="C1403">
        <v>50628</v>
      </c>
    </row>
    <row r="1404" spans="1:4" ht="15" hidden="1" customHeight="1">
      <c r="A1404" s="71">
        <v>46185</v>
      </c>
      <c r="B1404" t="s">
        <v>546</v>
      </c>
      <c r="C1404">
        <v>105438</v>
      </c>
    </row>
    <row r="1405" spans="1:4" ht="15" hidden="1" customHeight="1">
      <c r="A1405" s="71">
        <v>46185</v>
      </c>
      <c r="B1405" t="s">
        <v>532</v>
      </c>
      <c r="C1405">
        <v>81171</v>
      </c>
    </row>
    <row r="1406" spans="1:4" ht="15" hidden="1" customHeight="1">
      <c r="A1406" s="71">
        <v>46185</v>
      </c>
      <c r="B1406" t="s">
        <v>567</v>
      </c>
    </row>
    <row r="1407" spans="1:4" ht="15" hidden="1" customHeight="1">
      <c r="A1407" s="71">
        <v>46190</v>
      </c>
      <c r="B1407" t="s">
        <v>171</v>
      </c>
      <c r="C1407">
        <v>8937</v>
      </c>
    </row>
    <row r="1408" spans="1:4" ht="15" hidden="1" customHeight="1">
      <c r="A1408" s="71">
        <v>46190</v>
      </c>
      <c r="B1408" t="s">
        <v>180</v>
      </c>
      <c r="C1408">
        <v>9263</v>
      </c>
    </row>
    <row r="1409" spans="1:5" ht="15" hidden="1" customHeight="1">
      <c r="A1409" s="71">
        <v>46190</v>
      </c>
      <c r="B1409" t="s">
        <v>180</v>
      </c>
      <c r="C1409">
        <v>9268</v>
      </c>
    </row>
    <row r="1410" spans="1:5" ht="15" hidden="1" customHeight="1">
      <c r="A1410" s="71">
        <v>46190</v>
      </c>
      <c r="B1410" t="s">
        <v>333</v>
      </c>
      <c r="C1410">
        <v>7212</v>
      </c>
    </row>
    <row r="1411" spans="1:5" ht="15" hidden="1" customHeight="1">
      <c r="A1411" s="71">
        <v>46190</v>
      </c>
      <c r="B1411" t="s">
        <v>411</v>
      </c>
      <c r="C1411">
        <v>4777</v>
      </c>
      <c r="E1411" t="s">
        <v>33</v>
      </c>
    </row>
    <row r="1412" spans="1:5" ht="15" hidden="1" customHeight="1">
      <c r="A1412" s="71">
        <v>46190</v>
      </c>
      <c r="B1412" t="s">
        <v>417</v>
      </c>
      <c r="C1412">
        <v>10631</v>
      </c>
      <c r="E1412" t="s">
        <v>33</v>
      </c>
    </row>
    <row r="1413" spans="1:5" ht="15" hidden="1" customHeight="1">
      <c r="A1413" s="71">
        <v>46191</v>
      </c>
      <c r="B1413" t="s">
        <v>333</v>
      </c>
      <c r="C1413">
        <v>7216</v>
      </c>
      <c r="E1413" t="s">
        <v>33</v>
      </c>
    </row>
    <row r="1414" spans="1:5" ht="15" hidden="1" customHeight="1">
      <c r="A1414" s="71">
        <v>46191</v>
      </c>
      <c r="B1414" t="s">
        <v>417</v>
      </c>
      <c r="C1414">
        <v>10635</v>
      </c>
      <c r="E1414" t="s">
        <v>33</v>
      </c>
    </row>
    <row r="1415" spans="1:5" ht="15" hidden="1" customHeight="1">
      <c r="A1415" s="71">
        <v>46191</v>
      </c>
      <c r="B1415" t="s">
        <v>458</v>
      </c>
      <c r="C1415">
        <v>2580</v>
      </c>
      <c r="E1415" t="s">
        <v>33</v>
      </c>
    </row>
    <row r="1416" spans="1:5" ht="15" hidden="1" customHeight="1">
      <c r="A1416" s="71">
        <v>46189</v>
      </c>
      <c r="B1416" t="s">
        <v>42</v>
      </c>
      <c r="D1416">
        <v>193745</v>
      </c>
      <c r="E1416" t="s">
        <v>33</v>
      </c>
    </row>
    <row r="1417" spans="1:5" ht="15" hidden="1" customHeight="1">
      <c r="A1417" s="71">
        <v>46189</v>
      </c>
      <c r="B1417" t="s">
        <v>141</v>
      </c>
      <c r="C1417">
        <v>2020</v>
      </c>
      <c r="E1417" t="s">
        <v>33</v>
      </c>
    </row>
    <row r="1418" spans="1:5" ht="15" hidden="1" customHeight="1">
      <c r="A1418" s="71">
        <v>46189</v>
      </c>
      <c r="B1418" t="s">
        <v>171</v>
      </c>
      <c r="C1418">
        <v>8936</v>
      </c>
      <c r="E1418" t="s">
        <v>33</v>
      </c>
    </row>
    <row r="1419" spans="1:5" ht="15" hidden="1" customHeight="1">
      <c r="A1419" s="71">
        <v>46189</v>
      </c>
      <c r="B1419" t="s">
        <v>171</v>
      </c>
      <c r="C1419">
        <v>8936</v>
      </c>
      <c r="E1419" t="s">
        <v>33</v>
      </c>
    </row>
    <row r="1420" spans="1:5" ht="15" hidden="1" customHeight="1">
      <c r="A1420" s="71">
        <v>46189</v>
      </c>
      <c r="B1420" t="s">
        <v>180</v>
      </c>
      <c r="C1420">
        <v>9263</v>
      </c>
      <c r="E1420" t="s">
        <v>33</v>
      </c>
    </row>
    <row r="1421" spans="1:5" ht="15" hidden="1" customHeight="1">
      <c r="A1421" s="71">
        <v>46189</v>
      </c>
      <c r="B1421" t="s">
        <v>183</v>
      </c>
      <c r="C1421">
        <v>3332</v>
      </c>
      <c r="E1421" t="s">
        <v>33</v>
      </c>
    </row>
    <row r="1422" spans="1:5" ht="15" hidden="1" customHeight="1">
      <c r="A1422" s="71">
        <v>46189</v>
      </c>
      <c r="B1422" t="s">
        <v>333</v>
      </c>
      <c r="C1422">
        <v>7206</v>
      </c>
      <c r="E1422" t="s">
        <v>33</v>
      </c>
    </row>
    <row r="1423" spans="1:5" ht="15" hidden="1" customHeight="1">
      <c r="A1423" s="71">
        <v>46189</v>
      </c>
      <c r="B1423" t="s">
        <v>333</v>
      </c>
      <c r="C1423">
        <v>7208</v>
      </c>
      <c r="E1423" t="s">
        <v>33</v>
      </c>
    </row>
    <row r="1424" spans="1:5" ht="15" hidden="1" customHeight="1">
      <c r="A1424" s="71">
        <v>46189</v>
      </c>
      <c r="B1424" t="s">
        <v>399</v>
      </c>
      <c r="C1424">
        <v>8811</v>
      </c>
      <c r="E1424" t="s">
        <v>33</v>
      </c>
    </row>
    <row r="1425" spans="1:5" ht="15" hidden="1" customHeight="1">
      <c r="A1425" s="71">
        <v>46189</v>
      </c>
      <c r="B1425" t="s">
        <v>399</v>
      </c>
      <c r="C1425">
        <v>8814</v>
      </c>
      <c r="E1425" t="s">
        <v>33</v>
      </c>
    </row>
    <row r="1426" spans="1:5" ht="15" hidden="1" customHeight="1">
      <c r="A1426" s="71">
        <v>46189</v>
      </c>
      <c r="B1426" t="s">
        <v>411</v>
      </c>
      <c r="C1426">
        <v>4766</v>
      </c>
      <c r="E1426" t="s">
        <v>33</v>
      </c>
    </row>
    <row r="1427" spans="1:5" ht="15" hidden="1" customHeight="1">
      <c r="A1427" s="71">
        <v>46189</v>
      </c>
      <c r="B1427" t="s">
        <v>411</v>
      </c>
      <c r="C1427">
        <v>4771</v>
      </c>
      <c r="E1427" t="s">
        <v>33</v>
      </c>
    </row>
    <row r="1428" spans="1:5" ht="15" hidden="1" customHeight="1">
      <c r="A1428" s="71">
        <v>46189</v>
      </c>
      <c r="B1428" t="s">
        <v>417</v>
      </c>
      <c r="C1428">
        <v>10626</v>
      </c>
      <c r="E1428" t="s">
        <v>33</v>
      </c>
    </row>
    <row r="1429" spans="1:5" ht="15" hidden="1" customHeight="1">
      <c r="A1429" s="71">
        <v>46189</v>
      </c>
      <c r="B1429" t="s">
        <v>443</v>
      </c>
      <c r="C1429">
        <v>2297</v>
      </c>
      <c r="E1429" t="s">
        <v>33</v>
      </c>
    </row>
    <row r="1430" spans="1:5" ht="15" hidden="1" customHeight="1">
      <c r="A1430" s="71">
        <v>46189</v>
      </c>
      <c r="B1430" t="s">
        <v>458</v>
      </c>
      <c r="C1430">
        <v>2574</v>
      </c>
      <c r="E1430" t="s">
        <v>33</v>
      </c>
    </row>
    <row r="1431" spans="1:5" ht="15" hidden="1" customHeight="1">
      <c r="A1431" s="71">
        <v>46189</v>
      </c>
      <c r="B1431" t="s">
        <v>542</v>
      </c>
      <c r="D1431">
        <v>57547</v>
      </c>
      <c r="E1431" t="s">
        <v>33</v>
      </c>
    </row>
    <row r="1432" spans="1:5" ht="15" hidden="1" customHeight="1">
      <c r="A1432" s="71">
        <v>46189</v>
      </c>
      <c r="B1432" t="s">
        <v>554</v>
      </c>
      <c r="D1432">
        <v>32667</v>
      </c>
      <c r="E1432" t="s">
        <v>33</v>
      </c>
    </row>
    <row r="1433" spans="1:5" ht="15" hidden="1" customHeight="1">
      <c r="A1433" s="71">
        <v>46188</v>
      </c>
      <c r="B1433" t="s">
        <v>569</v>
      </c>
      <c r="D1433">
        <v>413122</v>
      </c>
      <c r="E1433" t="s">
        <v>33</v>
      </c>
    </row>
    <row r="1434" spans="1:5" ht="15" hidden="1" customHeight="1">
      <c r="A1434" s="71"/>
    </row>
    <row r="1435" spans="1:5" ht="15" hidden="1" customHeight="1">
      <c r="A1435" s="71"/>
    </row>
    <row r="1436" spans="1:5" ht="15" hidden="1" customHeight="1">
      <c r="A1436" s="71"/>
    </row>
    <row r="1437" spans="1:5" ht="15" hidden="1" customHeight="1">
      <c r="A1437" s="71"/>
    </row>
    <row r="1438" spans="1:5" ht="15" hidden="1" customHeight="1">
      <c r="A1438" s="71"/>
    </row>
    <row r="1439" spans="1:5" ht="15" hidden="1" customHeight="1">
      <c r="A1439" s="71"/>
    </row>
    <row r="1440" spans="1:5" ht="15" hidden="1" customHeight="1">
      <c r="A1440" s="71"/>
    </row>
    <row r="1441" spans="1:1" ht="15" hidden="1" customHeight="1">
      <c r="A1441" s="71"/>
    </row>
    <row r="1442" spans="1:1" ht="15" hidden="1" customHeight="1">
      <c r="A1442" s="71"/>
    </row>
    <row r="1443" spans="1:1" ht="15" hidden="1" customHeight="1">
      <c r="A1443" s="71"/>
    </row>
    <row r="1444" spans="1:1" ht="15" hidden="1" customHeight="1">
      <c r="A1444" s="71"/>
    </row>
    <row r="1445" spans="1:1" ht="15" hidden="1" customHeight="1">
      <c r="A1445" s="71"/>
    </row>
    <row r="1446" spans="1:1" ht="15" hidden="1" customHeight="1">
      <c r="A1446" s="71"/>
    </row>
    <row r="1447" spans="1:1" ht="15" hidden="1" customHeight="1">
      <c r="A1447" s="71"/>
    </row>
    <row r="1448" spans="1:1" ht="15" hidden="1" customHeight="1">
      <c r="A1448" s="71"/>
    </row>
    <row r="1449" spans="1:1" ht="15" hidden="1" customHeight="1">
      <c r="A1449" s="71"/>
    </row>
    <row r="1450" spans="1:1" ht="15" hidden="1" customHeight="1">
      <c r="A1450" s="71"/>
    </row>
    <row r="1451" spans="1:1" ht="15" hidden="1" customHeight="1">
      <c r="A1451" s="71"/>
    </row>
    <row r="1452" spans="1:1" ht="15" hidden="1" customHeight="1">
      <c r="A1452" s="71"/>
    </row>
    <row r="1453" spans="1:1" ht="15" hidden="1" customHeight="1">
      <c r="A1453" s="71"/>
    </row>
    <row r="1454" spans="1:1" ht="15" hidden="1" customHeight="1">
      <c r="A1454" s="71"/>
    </row>
    <row r="1455" spans="1:1" ht="15" hidden="1" customHeight="1">
      <c r="A1455" s="71"/>
    </row>
    <row r="1456" spans="1:1" ht="15" hidden="1" customHeight="1">
      <c r="A1456" s="71"/>
    </row>
    <row r="1457" spans="1:1" ht="15" hidden="1" customHeight="1">
      <c r="A1457" s="71"/>
    </row>
    <row r="1458" spans="1:1" ht="15" hidden="1" customHeight="1">
      <c r="A1458" s="71"/>
    </row>
    <row r="1459" spans="1:1" ht="15" hidden="1" customHeight="1">
      <c r="A1459" s="71"/>
    </row>
    <row r="1460" spans="1:1" ht="15" hidden="1" customHeight="1">
      <c r="A1460" s="71"/>
    </row>
    <row r="1461" spans="1:1" ht="15" hidden="1" customHeight="1">
      <c r="A1461" s="71"/>
    </row>
    <row r="1462" spans="1:1" ht="15" hidden="1" customHeight="1">
      <c r="A1462" s="71"/>
    </row>
    <row r="1463" spans="1:1" ht="15" hidden="1" customHeight="1">
      <c r="A1463" s="71"/>
    </row>
    <row r="1464" spans="1:1" ht="15" hidden="1" customHeight="1">
      <c r="A1464" s="71"/>
    </row>
    <row r="1465" spans="1:1" ht="15" hidden="1" customHeight="1">
      <c r="A1465" s="71"/>
    </row>
    <row r="1466" spans="1:1" ht="15" hidden="1" customHeight="1">
      <c r="A1466" s="71"/>
    </row>
    <row r="1467" spans="1:1" ht="15" hidden="1" customHeight="1">
      <c r="A1467" s="71"/>
    </row>
    <row r="1468" spans="1:1" ht="15" hidden="1" customHeight="1">
      <c r="A1468" s="71"/>
    </row>
    <row r="1469" spans="1:1" ht="15" hidden="1" customHeight="1">
      <c r="A1469" s="71"/>
    </row>
    <row r="1470" spans="1:1" ht="15" hidden="1" customHeight="1">
      <c r="A1470" s="71"/>
    </row>
    <row r="1471" spans="1:1" ht="15" hidden="1" customHeight="1">
      <c r="A1471" s="71"/>
    </row>
    <row r="1472" spans="1:1" ht="15" hidden="1" customHeight="1">
      <c r="A1472" s="71"/>
    </row>
    <row r="1473" spans="1:1" ht="15" hidden="1" customHeight="1">
      <c r="A1473" s="71"/>
    </row>
    <row r="1474" spans="1:1" ht="15" hidden="1" customHeight="1">
      <c r="A1474" s="71"/>
    </row>
    <row r="1475" spans="1:1" ht="15" hidden="1" customHeight="1">
      <c r="A1475" s="71"/>
    </row>
    <row r="1476" spans="1:1" ht="15" hidden="1" customHeight="1">
      <c r="A1476" s="71"/>
    </row>
    <row r="1477" spans="1:1" ht="15" hidden="1" customHeight="1">
      <c r="A1477" s="71"/>
    </row>
    <row r="1478" spans="1:1" ht="15" hidden="1" customHeight="1">
      <c r="A1478" s="71"/>
    </row>
    <row r="1479" spans="1:1" ht="15" hidden="1" customHeight="1">
      <c r="A1479" s="71"/>
    </row>
    <row r="1480" spans="1:1" ht="15" hidden="1" customHeight="1">
      <c r="A1480" s="71"/>
    </row>
    <row r="1481" spans="1:1" ht="15" hidden="1" customHeight="1">
      <c r="A1481" s="71"/>
    </row>
    <row r="1482" spans="1:1" ht="15" hidden="1" customHeight="1">
      <c r="A1482" s="71"/>
    </row>
    <row r="1483" spans="1:1" ht="15" hidden="1" customHeight="1">
      <c r="A1483" s="71"/>
    </row>
    <row r="1484" spans="1:1" ht="15" hidden="1" customHeight="1">
      <c r="A1484" s="71"/>
    </row>
    <row r="1485" spans="1:1" ht="15" hidden="1" customHeight="1">
      <c r="A1485" s="71"/>
    </row>
    <row r="1486" spans="1:1" ht="15" hidden="1" customHeight="1">
      <c r="A1486" s="71"/>
    </row>
    <row r="1487" spans="1:1" ht="15" hidden="1" customHeight="1">
      <c r="A1487" s="71"/>
    </row>
    <row r="1488" spans="1:1" ht="15" hidden="1" customHeight="1">
      <c r="A1488" s="71"/>
    </row>
    <row r="1489" spans="1:1" ht="15" hidden="1" customHeight="1">
      <c r="A1489" s="71"/>
    </row>
    <row r="1490" spans="1:1" ht="15" hidden="1" customHeight="1">
      <c r="A1490" s="71"/>
    </row>
    <row r="1491" spans="1:1" ht="15" hidden="1" customHeight="1">
      <c r="A1491" s="71"/>
    </row>
    <row r="1492" spans="1:1" ht="15" hidden="1" customHeight="1">
      <c r="A1492" s="71"/>
    </row>
    <row r="1493" spans="1:1" ht="15" hidden="1" customHeight="1">
      <c r="A1493" s="71"/>
    </row>
    <row r="1494" spans="1:1" ht="15" hidden="1" customHeight="1">
      <c r="A1494" s="71"/>
    </row>
    <row r="1495" spans="1:1" ht="15" hidden="1" customHeight="1">
      <c r="A1495" s="71"/>
    </row>
    <row r="1496" spans="1:1" ht="15" hidden="1" customHeight="1">
      <c r="A1496" s="71"/>
    </row>
    <row r="1497" spans="1:1" ht="15" hidden="1" customHeight="1">
      <c r="A1497" s="71"/>
    </row>
    <row r="1498" spans="1:1" ht="15" hidden="1" customHeight="1">
      <c r="A1498" s="71"/>
    </row>
    <row r="1499" spans="1:1" ht="15" hidden="1" customHeight="1">
      <c r="A1499" s="71"/>
    </row>
    <row r="1500" spans="1:1" ht="15" hidden="1" customHeight="1">
      <c r="A1500" s="71"/>
    </row>
    <row r="1501" spans="1:1" ht="15" hidden="1" customHeight="1">
      <c r="A1501" s="71"/>
    </row>
    <row r="1502" spans="1:1" ht="15" hidden="1" customHeight="1">
      <c r="A1502" s="71"/>
    </row>
    <row r="1503" spans="1:1" ht="15" hidden="1" customHeight="1">
      <c r="A1503" s="71"/>
    </row>
    <row r="1504" spans="1:1" ht="15" hidden="1" customHeight="1">
      <c r="A1504" s="71"/>
    </row>
    <row r="1505" spans="1:1" ht="15" hidden="1" customHeight="1">
      <c r="A1505" s="71"/>
    </row>
    <row r="1506" spans="1:1" ht="15" hidden="1" customHeight="1">
      <c r="A1506" s="71"/>
    </row>
    <row r="1507" spans="1:1" ht="15" hidden="1" customHeight="1">
      <c r="A1507" s="71"/>
    </row>
    <row r="1508" spans="1:1" ht="15" hidden="1" customHeight="1">
      <c r="A1508" s="71"/>
    </row>
    <row r="1509" spans="1:1" ht="15" hidden="1" customHeight="1">
      <c r="A1509" s="71"/>
    </row>
    <row r="1510" spans="1:1" ht="15" hidden="1" customHeight="1">
      <c r="A1510" s="71"/>
    </row>
    <row r="1511" spans="1:1" ht="15" hidden="1" customHeight="1">
      <c r="A1511" s="71"/>
    </row>
    <row r="1512" spans="1:1" ht="15" hidden="1" customHeight="1">
      <c r="A1512" s="71"/>
    </row>
    <row r="1513" spans="1:1" hidden="1">
      <c r="A1513" s="71"/>
    </row>
    <row r="1514" spans="1:1" ht="15" hidden="1" customHeight="1">
      <c r="A1514" s="71"/>
    </row>
    <row r="1515" spans="1:1" ht="15" hidden="1" customHeight="1">
      <c r="A1515" s="71"/>
    </row>
    <row r="1516" spans="1:1" ht="15" hidden="1" customHeight="1">
      <c r="A1516" s="71"/>
    </row>
    <row r="1517" spans="1:1" ht="15" hidden="1" customHeight="1">
      <c r="A1517" s="71"/>
    </row>
    <row r="1518" spans="1:1" ht="15" hidden="1" customHeight="1">
      <c r="A1518" s="71"/>
    </row>
    <row r="1519" spans="1:1" ht="15" hidden="1" customHeight="1">
      <c r="A1519" s="71"/>
    </row>
    <row r="1520" spans="1:1" ht="15" hidden="1" customHeight="1">
      <c r="A1520" s="71"/>
    </row>
    <row r="1521" spans="1:1" ht="15" hidden="1" customHeight="1">
      <c r="A1521" s="71"/>
    </row>
    <row r="1522" spans="1:1" ht="15" hidden="1" customHeight="1">
      <c r="A1522" s="71"/>
    </row>
    <row r="1523" spans="1:1" ht="15" hidden="1" customHeight="1">
      <c r="A1523" s="71"/>
    </row>
    <row r="1524" spans="1:1" ht="15" hidden="1" customHeight="1">
      <c r="A1524" s="71"/>
    </row>
    <row r="1525" spans="1:1" ht="15" hidden="1" customHeight="1">
      <c r="A1525" s="71"/>
    </row>
    <row r="1526" spans="1:1" ht="15" hidden="1" customHeight="1">
      <c r="A1526" s="71"/>
    </row>
    <row r="1527" spans="1:1" ht="15" hidden="1" customHeight="1">
      <c r="A1527" s="71"/>
    </row>
    <row r="1528" spans="1:1" ht="15" hidden="1" customHeight="1">
      <c r="A1528" s="71"/>
    </row>
    <row r="1529" spans="1:1" ht="15" hidden="1" customHeight="1">
      <c r="A1529" s="71"/>
    </row>
    <row r="1530" spans="1:1" ht="15" hidden="1" customHeight="1">
      <c r="A1530" s="71"/>
    </row>
    <row r="1531" spans="1:1" ht="15" hidden="1" customHeight="1">
      <c r="A1531" s="71"/>
    </row>
    <row r="1532" spans="1:1" ht="15" hidden="1" customHeight="1">
      <c r="A1532" s="71"/>
    </row>
    <row r="1533" spans="1:1" ht="15" hidden="1" customHeight="1">
      <c r="A1533" s="71"/>
    </row>
    <row r="1534" spans="1:1" ht="15" hidden="1" customHeight="1">
      <c r="A1534" s="71"/>
    </row>
    <row r="1535" spans="1:1" ht="15" hidden="1" customHeight="1">
      <c r="A1535" s="71"/>
    </row>
    <row r="1536" spans="1:1" ht="15" hidden="1" customHeight="1">
      <c r="A1536" s="71"/>
    </row>
    <row r="1537" spans="1:1" ht="15" hidden="1" customHeight="1">
      <c r="A1537" s="71"/>
    </row>
    <row r="1538" spans="1:1" ht="15" hidden="1" customHeight="1">
      <c r="A1538" s="71"/>
    </row>
    <row r="1539" spans="1:1" ht="15" hidden="1" customHeight="1">
      <c r="A1539" s="71"/>
    </row>
    <row r="1540" spans="1:1" ht="15" hidden="1" customHeight="1">
      <c r="A1540" s="71"/>
    </row>
    <row r="1541" spans="1:1" ht="15" hidden="1" customHeight="1">
      <c r="A1541" s="71"/>
    </row>
    <row r="1542" spans="1:1" ht="15" hidden="1" customHeight="1">
      <c r="A1542" s="71"/>
    </row>
    <row r="1543" spans="1:1" ht="15" hidden="1" customHeight="1">
      <c r="A1543" s="71"/>
    </row>
    <row r="1544" spans="1:1" ht="15" hidden="1" customHeight="1">
      <c r="A1544" s="71"/>
    </row>
    <row r="1545" spans="1:1" ht="15" hidden="1" customHeight="1">
      <c r="A1545" s="71"/>
    </row>
    <row r="1546" spans="1:1" ht="15" hidden="1" customHeight="1">
      <c r="A1546" s="71"/>
    </row>
    <row r="1547" spans="1:1" ht="15" hidden="1" customHeight="1">
      <c r="A1547" s="71"/>
    </row>
    <row r="1548" spans="1:1" ht="15" hidden="1" customHeight="1">
      <c r="A1548" s="71"/>
    </row>
    <row r="1549" spans="1:1" ht="15" hidden="1" customHeight="1">
      <c r="A1549" s="71"/>
    </row>
    <row r="1550" spans="1:1" ht="15" hidden="1" customHeight="1">
      <c r="A1550" s="71"/>
    </row>
    <row r="1551" spans="1:1" ht="15" hidden="1" customHeight="1">
      <c r="A1551" s="71"/>
    </row>
    <row r="1552" spans="1:1" ht="15" hidden="1" customHeight="1">
      <c r="A1552" s="71"/>
    </row>
    <row r="1553" spans="1:1" ht="15" hidden="1" customHeight="1">
      <c r="A1553" s="71"/>
    </row>
    <row r="1554" spans="1:1" ht="15" hidden="1" customHeight="1">
      <c r="A1554" s="71"/>
    </row>
    <row r="1555" spans="1:1" ht="15" hidden="1" customHeight="1">
      <c r="A1555" s="71"/>
    </row>
    <row r="1556" spans="1:1" ht="15" hidden="1" customHeight="1">
      <c r="A1556" s="71"/>
    </row>
    <row r="1557" spans="1:1" ht="15" hidden="1" customHeight="1">
      <c r="A1557" s="71"/>
    </row>
    <row r="1558" spans="1:1" ht="15" hidden="1" customHeight="1">
      <c r="A1558" s="71"/>
    </row>
    <row r="1559" spans="1:1" ht="15" hidden="1" customHeight="1">
      <c r="A1559" s="71"/>
    </row>
    <row r="1560" spans="1:1" ht="15" hidden="1" customHeight="1">
      <c r="A1560" s="71"/>
    </row>
    <row r="1561" spans="1:1" ht="15" hidden="1" customHeight="1">
      <c r="A1561" s="71"/>
    </row>
    <row r="1562" spans="1:1" ht="15" hidden="1" customHeight="1">
      <c r="A1562" s="71"/>
    </row>
    <row r="1563" spans="1:1" ht="15" hidden="1" customHeight="1">
      <c r="A1563" s="71"/>
    </row>
    <row r="1564" spans="1:1" ht="15" hidden="1" customHeight="1">
      <c r="A1564" s="71"/>
    </row>
    <row r="1565" spans="1:1" ht="15" hidden="1" customHeight="1">
      <c r="A1565" s="71"/>
    </row>
    <row r="1566" spans="1:1" ht="15" hidden="1" customHeight="1">
      <c r="A1566" s="71"/>
    </row>
    <row r="1567" spans="1:1" ht="15" hidden="1" customHeight="1">
      <c r="A1567" s="71"/>
    </row>
    <row r="1568" spans="1:1" ht="15" hidden="1" customHeight="1">
      <c r="A1568" s="71"/>
    </row>
    <row r="1569" spans="1:1" ht="15" hidden="1" customHeight="1">
      <c r="A1569" s="71"/>
    </row>
    <row r="1570" spans="1:1" hidden="1">
      <c r="A1570" s="71"/>
    </row>
    <row r="1571" spans="1:1" ht="15" hidden="1" customHeight="1">
      <c r="A1571" s="71"/>
    </row>
    <row r="1572" spans="1:1" ht="15" hidden="1" customHeight="1">
      <c r="A1572" s="71"/>
    </row>
    <row r="1573" spans="1:1" ht="15" hidden="1" customHeight="1">
      <c r="A1573" s="71"/>
    </row>
    <row r="1574" spans="1:1" ht="15" hidden="1" customHeight="1">
      <c r="A1574" s="71"/>
    </row>
    <row r="1575" spans="1:1" ht="15" hidden="1" customHeight="1">
      <c r="A1575" s="71"/>
    </row>
    <row r="1576" spans="1:1" ht="15" hidden="1" customHeight="1">
      <c r="A1576" s="71"/>
    </row>
    <row r="1577" spans="1:1" ht="15" hidden="1" customHeight="1">
      <c r="A1577" s="71"/>
    </row>
    <row r="1578" spans="1:1" ht="15" hidden="1" customHeight="1">
      <c r="A1578" s="71"/>
    </row>
    <row r="1579" spans="1:1" ht="15" hidden="1" customHeight="1">
      <c r="A1579" s="71"/>
    </row>
    <row r="1580" spans="1:1" ht="15" hidden="1" customHeight="1">
      <c r="A1580" s="71"/>
    </row>
    <row r="1581" spans="1:1" ht="15" hidden="1" customHeight="1">
      <c r="A1581" s="71"/>
    </row>
    <row r="1582" spans="1:1" ht="15" hidden="1" customHeight="1">
      <c r="A1582" s="71"/>
    </row>
    <row r="1583" spans="1:1" ht="15" hidden="1" customHeight="1">
      <c r="A1583" s="71"/>
    </row>
    <row r="1584" spans="1:1" ht="15" hidden="1" customHeight="1">
      <c r="A1584" s="71"/>
    </row>
    <row r="1585" spans="1:1" ht="15" hidden="1" customHeight="1">
      <c r="A1585" s="71"/>
    </row>
    <row r="1586" spans="1:1" ht="15" hidden="1" customHeight="1">
      <c r="A1586" s="71"/>
    </row>
    <row r="1587" spans="1:1" ht="15" hidden="1" customHeight="1">
      <c r="A1587" s="71"/>
    </row>
    <row r="1588" spans="1:1" ht="15" hidden="1" customHeight="1">
      <c r="A1588" s="71"/>
    </row>
    <row r="1589" spans="1:1" ht="15" hidden="1" customHeight="1">
      <c r="A1589" s="71"/>
    </row>
    <row r="1590" spans="1:1" ht="15" hidden="1" customHeight="1">
      <c r="A1590" s="71"/>
    </row>
    <row r="1591" spans="1:1" ht="15" hidden="1" customHeight="1">
      <c r="A1591" s="71"/>
    </row>
    <row r="1592" spans="1:1" ht="15" hidden="1" customHeight="1">
      <c r="A1592" s="71"/>
    </row>
    <row r="1593" spans="1:1" ht="15" hidden="1" customHeight="1">
      <c r="A1593" s="71"/>
    </row>
    <row r="1594" spans="1:1" ht="15" hidden="1" customHeight="1">
      <c r="A1594" s="71"/>
    </row>
    <row r="1595" spans="1:1" ht="15" hidden="1" customHeight="1">
      <c r="A1595" s="71"/>
    </row>
    <row r="1596" spans="1:1" ht="15" hidden="1" customHeight="1">
      <c r="A1596" s="71"/>
    </row>
    <row r="1597" spans="1:1" ht="15" hidden="1" customHeight="1">
      <c r="A1597" s="71"/>
    </row>
    <row r="1598" spans="1:1" ht="15" hidden="1" customHeight="1">
      <c r="A1598" s="71"/>
    </row>
    <row r="1599" spans="1:1" ht="15" hidden="1" customHeight="1">
      <c r="A1599" s="71"/>
    </row>
    <row r="1600" spans="1:1" ht="15" hidden="1" customHeight="1">
      <c r="A1600" s="71"/>
    </row>
    <row r="1601" spans="1:1" ht="15" hidden="1" customHeight="1">
      <c r="A1601" s="71"/>
    </row>
    <row r="1602" spans="1:1" ht="15" hidden="1" customHeight="1">
      <c r="A1602" s="71"/>
    </row>
    <row r="1603" spans="1:1" ht="15" hidden="1" customHeight="1">
      <c r="A1603" s="71"/>
    </row>
    <row r="1604" spans="1:1" ht="15" hidden="1" customHeight="1">
      <c r="A1604" s="71"/>
    </row>
    <row r="1605" spans="1:1" ht="15" hidden="1" customHeight="1">
      <c r="A1605" s="71"/>
    </row>
    <row r="1606" spans="1:1" ht="15" hidden="1" customHeight="1">
      <c r="A1606" s="71"/>
    </row>
    <row r="1607" spans="1:1" ht="15" hidden="1" customHeight="1">
      <c r="A1607" s="71"/>
    </row>
    <row r="1608" spans="1:1" ht="15" hidden="1" customHeight="1">
      <c r="A1608" s="71"/>
    </row>
    <row r="1609" spans="1:1" ht="15" hidden="1" customHeight="1">
      <c r="A1609" s="71"/>
    </row>
    <row r="1610" spans="1:1" ht="15" hidden="1" customHeight="1">
      <c r="A1610" s="71"/>
    </row>
    <row r="1611" spans="1:1" ht="15" hidden="1" customHeight="1">
      <c r="A1611" s="71"/>
    </row>
    <row r="1612" spans="1:1" ht="15" hidden="1" customHeight="1">
      <c r="A1612" s="71"/>
    </row>
    <row r="1613" spans="1:1" ht="15" hidden="1" customHeight="1">
      <c r="A1613" s="71"/>
    </row>
    <row r="1614" spans="1:1" ht="15" hidden="1" customHeight="1">
      <c r="A1614" s="71"/>
    </row>
    <row r="1615" spans="1:1" ht="15" hidden="1" customHeight="1">
      <c r="A1615" s="71"/>
    </row>
    <row r="1616" spans="1:1" ht="15" hidden="1" customHeight="1">
      <c r="A1616" s="71"/>
    </row>
    <row r="1617" spans="1:1" ht="15" hidden="1" customHeight="1">
      <c r="A1617" s="71"/>
    </row>
    <row r="1618" spans="1:1" ht="15" hidden="1" customHeight="1">
      <c r="A1618" s="71"/>
    </row>
    <row r="1619" spans="1:1" ht="15" hidden="1" customHeight="1">
      <c r="A1619" s="71"/>
    </row>
    <row r="1620" spans="1:1" ht="15" hidden="1" customHeight="1">
      <c r="A1620" s="71"/>
    </row>
    <row r="1621" spans="1:1" ht="15" hidden="1" customHeight="1">
      <c r="A1621" s="71"/>
    </row>
    <row r="1622" spans="1:1" hidden="1">
      <c r="A1622" s="71"/>
    </row>
    <row r="1623" spans="1:1" ht="15" hidden="1" customHeight="1">
      <c r="A1623" s="71"/>
    </row>
    <row r="1624" spans="1:1" ht="15" hidden="1" customHeight="1">
      <c r="A1624" s="71"/>
    </row>
    <row r="1625" spans="1:1" ht="15" hidden="1" customHeight="1">
      <c r="A1625" s="71"/>
    </row>
    <row r="1626" spans="1:1" ht="15" hidden="1" customHeight="1">
      <c r="A1626" s="71"/>
    </row>
    <row r="1627" spans="1:1" ht="15" hidden="1" customHeight="1">
      <c r="A1627" s="71"/>
    </row>
    <row r="1628" spans="1:1" ht="15" hidden="1" customHeight="1">
      <c r="A1628" s="71"/>
    </row>
    <row r="1629" spans="1:1" ht="15" hidden="1" customHeight="1">
      <c r="A1629" s="71"/>
    </row>
    <row r="1630" spans="1:1" ht="15" hidden="1" customHeight="1">
      <c r="A1630" s="71"/>
    </row>
    <row r="1631" spans="1:1" ht="15" hidden="1" customHeight="1">
      <c r="A1631" s="71"/>
    </row>
    <row r="1632" spans="1:1" ht="15" hidden="1" customHeight="1">
      <c r="A1632" s="71"/>
    </row>
    <row r="1633" spans="1:1" ht="15" hidden="1" customHeight="1">
      <c r="A1633" s="71"/>
    </row>
    <row r="1634" spans="1:1" ht="15" hidden="1" customHeight="1">
      <c r="A1634" s="71"/>
    </row>
    <row r="1635" spans="1:1" ht="15" hidden="1" customHeight="1">
      <c r="A1635" s="71"/>
    </row>
    <row r="1636" spans="1:1" ht="15" hidden="1" customHeight="1">
      <c r="A1636" s="71"/>
    </row>
    <row r="1637" spans="1:1" ht="15" hidden="1" customHeight="1">
      <c r="A1637" s="71"/>
    </row>
    <row r="1638" spans="1:1" ht="15" hidden="1" customHeight="1">
      <c r="A1638" s="71"/>
    </row>
    <row r="1639" spans="1:1" ht="15" hidden="1" customHeight="1">
      <c r="A1639" s="71"/>
    </row>
    <row r="1640" spans="1:1" ht="15" hidden="1" customHeight="1">
      <c r="A1640" s="71"/>
    </row>
    <row r="1641" spans="1:1" ht="15" hidden="1" customHeight="1">
      <c r="A1641" s="71"/>
    </row>
    <row r="1642" spans="1:1" ht="15" hidden="1" customHeight="1">
      <c r="A1642" s="71"/>
    </row>
    <row r="1643" spans="1:1" ht="15" hidden="1" customHeight="1">
      <c r="A1643" s="71"/>
    </row>
    <row r="1644" spans="1:1" ht="15" hidden="1" customHeight="1">
      <c r="A1644" s="71"/>
    </row>
    <row r="1645" spans="1:1" ht="15" hidden="1" customHeight="1">
      <c r="A1645" s="71"/>
    </row>
    <row r="1646" spans="1:1" ht="15" hidden="1" customHeight="1">
      <c r="A1646" s="71"/>
    </row>
    <row r="1647" spans="1:1" ht="15" hidden="1" customHeight="1">
      <c r="A1647" s="71"/>
    </row>
    <row r="1648" spans="1:1" ht="15" hidden="1" customHeight="1">
      <c r="A1648" s="71"/>
    </row>
    <row r="1649" spans="1:1" ht="15" hidden="1" customHeight="1">
      <c r="A1649" s="71"/>
    </row>
    <row r="1650" spans="1:1" ht="15" hidden="1" customHeight="1">
      <c r="A1650" s="71"/>
    </row>
    <row r="1651" spans="1:1" ht="15" hidden="1" customHeight="1">
      <c r="A1651" s="71"/>
    </row>
    <row r="1652" spans="1:1" ht="15" hidden="1" customHeight="1">
      <c r="A1652" s="71"/>
    </row>
    <row r="1653" spans="1:1" ht="15" hidden="1" customHeight="1">
      <c r="A1653" s="71"/>
    </row>
    <row r="1654" spans="1:1" ht="15" hidden="1" customHeight="1">
      <c r="A1654" s="71"/>
    </row>
    <row r="1655" spans="1:1" ht="15" hidden="1" customHeight="1">
      <c r="A1655" s="71"/>
    </row>
    <row r="1656" spans="1:1" ht="15" hidden="1" customHeight="1">
      <c r="A1656" s="71"/>
    </row>
    <row r="1657" spans="1:1" ht="15" hidden="1" customHeight="1">
      <c r="A1657" s="71"/>
    </row>
    <row r="1658" spans="1:1" ht="15" hidden="1" customHeight="1">
      <c r="A1658" s="71"/>
    </row>
    <row r="1659" spans="1:1" ht="15" hidden="1" customHeight="1">
      <c r="A1659" s="71"/>
    </row>
    <row r="1660" spans="1:1" ht="15" hidden="1" customHeight="1">
      <c r="A1660" s="71"/>
    </row>
    <row r="1661" spans="1:1" ht="15" hidden="1" customHeight="1">
      <c r="A1661" s="71"/>
    </row>
    <row r="1662" spans="1:1" ht="15" hidden="1" customHeight="1">
      <c r="A1662" s="71"/>
    </row>
    <row r="1663" spans="1:1" ht="15" hidden="1" customHeight="1">
      <c r="A1663" s="71"/>
    </row>
    <row r="1664" spans="1:1" ht="15" hidden="1" customHeight="1">
      <c r="A1664" s="71"/>
    </row>
    <row r="1665" spans="1:1" ht="15" hidden="1" customHeight="1">
      <c r="A1665" s="71"/>
    </row>
    <row r="1666" spans="1:1" ht="15" hidden="1" customHeight="1">
      <c r="A1666" s="71"/>
    </row>
    <row r="1667" spans="1:1" hidden="1">
      <c r="A1667" s="71"/>
    </row>
    <row r="1668" spans="1:1" ht="15" hidden="1" customHeight="1">
      <c r="A1668" s="71"/>
    </row>
    <row r="1669" spans="1:1" ht="15" hidden="1" customHeight="1">
      <c r="A1669" s="71"/>
    </row>
    <row r="1670" spans="1:1" ht="15" hidden="1" customHeight="1">
      <c r="A1670" s="71"/>
    </row>
    <row r="1671" spans="1:1" ht="15" hidden="1" customHeight="1">
      <c r="A1671" s="71"/>
    </row>
    <row r="1672" spans="1:1" ht="15" hidden="1" customHeight="1">
      <c r="A1672" s="71"/>
    </row>
    <row r="1673" spans="1:1" ht="15" hidden="1" customHeight="1">
      <c r="A1673" s="71"/>
    </row>
    <row r="1674" spans="1:1" ht="15" hidden="1" customHeight="1">
      <c r="A1674" s="71"/>
    </row>
    <row r="1675" spans="1:1" ht="15" hidden="1" customHeight="1">
      <c r="A1675" s="71"/>
    </row>
    <row r="1676" spans="1:1" ht="15" hidden="1" customHeight="1">
      <c r="A1676" s="71"/>
    </row>
    <row r="1677" spans="1:1" ht="15" hidden="1" customHeight="1">
      <c r="A1677" s="71"/>
    </row>
    <row r="1678" spans="1:1" ht="15" hidden="1" customHeight="1">
      <c r="A1678" s="71"/>
    </row>
    <row r="1679" spans="1:1" ht="15" hidden="1" customHeight="1">
      <c r="A1679" s="71"/>
    </row>
    <row r="1680" spans="1:1" ht="15" hidden="1" customHeight="1">
      <c r="A1680" s="71"/>
    </row>
    <row r="1681" spans="1:1" ht="15" hidden="1" customHeight="1">
      <c r="A1681" s="71"/>
    </row>
    <row r="1682" spans="1:1" ht="15" hidden="1" customHeight="1">
      <c r="A1682" s="71"/>
    </row>
    <row r="1683" spans="1:1" ht="15" hidden="1" customHeight="1">
      <c r="A1683" s="71"/>
    </row>
    <row r="1684" spans="1:1" ht="15" hidden="1" customHeight="1">
      <c r="A1684" s="71"/>
    </row>
    <row r="1685" spans="1:1" ht="15" hidden="1" customHeight="1">
      <c r="A1685" s="71"/>
    </row>
    <row r="1686" spans="1:1" ht="15" hidden="1" customHeight="1">
      <c r="A1686" s="71"/>
    </row>
    <row r="1687" spans="1:1" ht="15" hidden="1" customHeight="1">
      <c r="A1687" s="71"/>
    </row>
    <row r="1688" spans="1:1" ht="15" hidden="1" customHeight="1">
      <c r="A1688" s="71"/>
    </row>
    <row r="1689" spans="1:1" ht="15" hidden="1" customHeight="1">
      <c r="A1689" s="71"/>
    </row>
    <row r="1690" spans="1:1" ht="15" hidden="1" customHeight="1">
      <c r="A1690" s="71"/>
    </row>
    <row r="1691" spans="1:1" ht="15" hidden="1" customHeight="1">
      <c r="A1691" s="71"/>
    </row>
    <row r="1692" spans="1:1" ht="15" hidden="1" customHeight="1">
      <c r="A1692" s="71"/>
    </row>
    <row r="1693" spans="1:1" ht="15" hidden="1" customHeight="1">
      <c r="A1693" s="71"/>
    </row>
    <row r="1694" spans="1:1" ht="15" hidden="1" customHeight="1">
      <c r="A1694" s="71"/>
    </row>
    <row r="1695" spans="1:1" ht="15" hidden="1" customHeight="1">
      <c r="A1695" s="71"/>
    </row>
    <row r="1696" spans="1:1" ht="15" hidden="1" customHeight="1">
      <c r="A1696" s="71"/>
    </row>
    <row r="1697" spans="1:1" ht="15" hidden="1" customHeight="1">
      <c r="A1697" s="71"/>
    </row>
    <row r="1698" spans="1:1" ht="15" hidden="1" customHeight="1">
      <c r="A1698" s="71"/>
    </row>
    <row r="1699" spans="1:1" ht="15" hidden="1" customHeight="1">
      <c r="A1699" s="71"/>
    </row>
    <row r="1700" spans="1:1" ht="15" hidden="1" customHeight="1">
      <c r="A1700" s="71"/>
    </row>
    <row r="1701" spans="1:1" ht="15" hidden="1" customHeight="1">
      <c r="A1701" s="71"/>
    </row>
    <row r="1702" spans="1:1" ht="15" hidden="1" customHeight="1">
      <c r="A1702" s="71"/>
    </row>
    <row r="1703" spans="1:1" ht="15" hidden="1" customHeight="1">
      <c r="A1703" s="71"/>
    </row>
    <row r="1704" spans="1:1" ht="15" hidden="1" customHeight="1">
      <c r="A1704" s="71"/>
    </row>
    <row r="1705" spans="1:1" ht="15" hidden="1" customHeight="1">
      <c r="A1705" s="71"/>
    </row>
    <row r="1706" spans="1:1" ht="15" hidden="1" customHeight="1">
      <c r="A1706" s="71"/>
    </row>
    <row r="1707" spans="1:1" ht="15" hidden="1" customHeight="1">
      <c r="A1707" s="71"/>
    </row>
    <row r="1708" spans="1:1" ht="15" hidden="1" customHeight="1">
      <c r="A1708" s="71"/>
    </row>
    <row r="1709" spans="1:1" ht="15" hidden="1" customHeight="1">
      <c r="A1709" s="71"/>
    </row>
    <row r="1710" spans="1:1" ht="15" hidden="1" customHeight="1">
      <c r="A1710" s="71"/>
    </row>
    <row r="1711" spans="1:1" ht="15" hidden="1" customHeight="1">
      <c r="A1711" s="71"/>
    </row>
    <row r="1712" spans="1:1" ht="15" hidden="1" customHeight="1">
      <c r="A1712" s="71"/>
    </row>
    <row r="1713" spans="1:1" hidden="1">
      <c r="A1713" s="71"/>
    </row>
    <row r="1714" spans="1:1" ht="15" hidden="1" customHeight="1">
      <c r="A1714" s="71"/>
    </row>
    <row r="1715" spans="1:1" ht="15" hidden="1" customHeight="1">
      <c r="A1715" s="71"/>
    </row>
    <row r="1716" spans="1:1" ht="15" hidden="1" customHeight="1">
      <c r="A1716" s="71"/>
    </row>
    <row r="1717" spans="1:1" ht="15" hidden="1" customHeight="1">
      <c r="A1717" s="71"/>
    </row>
    <row r="1718" spans="1:1" ht="15" hidden="1" customHeight="1">
      <c r="A1718" s="71"/>
    </row>
    <row r="1719" spans="1:1" ht="15" hidden="1" customHeight="1">
      <c r="A1719" s="71"/>
    </row>
    <row r="1720" spans="1:1" ht="15" hidden="1" customHeight="1">
      <c r="A1720" s="71"/>
    </row>
    <row r="1721" spans="1:1" ht="15" hidden="1" customHeight="1">
      <c r="A1721" s="71"/>
    </row>
    <row r="1722" spans="1:1" ht="15" hidden="1" customHeight="1">
      <c r="A1722" s="71"/>
    </row>
    <row r="1723" spans="1:1" ht="15" hidden="1" customHeight="1">
      <c r="A1723" s="71"/>
    </row>
    <row r="1724" spans="1:1" ht="15" hidden="1" customHeight="1">
      <c r="A1724" s="71"/>
    </row>
    <row r="1725" spans="1:1" ht="15" hidden="1" customHeight="1">
      <c r="A1725" s="71"/>
    </row>
    <row r="1726" spans="1:1" ht="15" hidden="1" customHeight="1">
      <c r="A1726" s="71"/>
    </row>
    <row r="1727" spans="1:1" ht="15" hidden="1" customHeight="1">
      <c r="A1727" s="71"/>
    </row>
    <row r="1728" spans="1:1" ht="15" hidden="1" customHeight="1">
      <c r="A1728" s="71"/>
    </row>
    <row r="1729" spans="1:1" ht="15" hidden="1" customHeight="1">
      <c r="A1729" s="71"/>
    </row>
    <row r="1730" spans="1:1" ht="15" hidden="1" customHeight="1">
      <c r="A1730" s="71"/>
    </row>
    <row r="1731" spans="1:1" ht="15" hidden="1" customHeight="1">
      <c r="A1731" s="71"/>
    </row>
    <row r="1732" spans="1:1" ht="15" hidden="1" customHeight="1">
      <c r="A1732" s="71"/>
    </row>
    <row r="1733" spans="1:1" ht="15" hidden="1" customHeight="1">
      <c r="A1733" s="71"/>
    </row>
    <row r="1734" spans="1:1" ht="15" hidden="1" customHeight="1">
      <c r="A1734" s="71"/>
    </row>
    <row r="1735" spans="1:1" ht="15" hidden="1" customHeight="1">
      <c r="A1735" s="71"/>
    </row>
    <row r="1736" spans="1:1" ht="15" hidden="1" customHeight="1">
      <c r="A1736" s="71"/>
    </row>
    <row r="1737" spans="1:1" ht="15" hidden="1" customHeight="1">
      <c r="A1737" s="71"/>
    </row>
    <row r="1738" spans="1:1" ht="15" hidden="1" customHeight="1">
      <c r="A1738" s="71"/>
    </row>
    <row r="1739" spans="1:1" ht="15" hidden="1" customHeight="1">
      <c r="A1739" s="71"/>
    </row>
    <row r="1740" spans="1:1" ht="15" hidden="1" customHeight="1">
      <c r="A1740" s="71"/>
    </row>
    <row r="1741" spans="1:1" ht="15" hidden="1" customHeight="1">
      <c r="A1741" s="71"/>
    </row>
    <row r="1742" spans="1:1" ht="15" hidden="1" customHeight="1">
      <c r="A1742" s="71"/>
    </row>
    <row r="1743" spans="1:1" ht="15" hidden="1" customHeight="1">
      <c r="A1743" s="71"/>
    </row>
    <row r="1744" spans="1:1" ht="15" hidden="1" customHeight="1">
      <c r="A1744" s="71"/>
    </row>
    <row r="1745" spans="1:1" ht="15" hidden="1" customHeight="1">
      <c r="A1745" s="71"/>
    </row>
    <row r="1746" spans="1:1" ht="15" hidden="1" customHeight="1">
      <c r="A1746" s="71"/>
    </row>
    <row r="1747" spans="1:1" ht="15" hidden="1" customHeight="1">
      <c r="A1747" s="71"/>
    </row>
    <row r="1748" spans="1:1" ht="15" hidden="1" customHeight="1">
      <c r="A1748" s="71"/>
    </row>
    <row r="1749" spans="1:1" ht="15" hidden="1" customHeight="1">
      <c r="A1749" s="71"/>
    </row>
    <row r="1750" spans="1:1" ht="15" hidden="1" customHeight="1">
      <c r="A1750" s="71"/>
    </row>
    <row r="1751" spans="1:1" ht="15" hidden="1" customHeight="1">
      <c r="A1751" s="71"/>
    </row>
    <row r="1752" spans="1:1" ht="15" hidden="1" customHeight="1">
      <c r="A1752" s="71"/>
    </row>
    <row r="1753" spans="1:1" ht="15" hidden="1" customHeight="1">
      <c r="A1753" s="71"/>
    </row>
    <row r="1754" spans="1:1" ht="15" hidden="1" customHeight="1">
      <c r="A1754" s="71"/>
    </row>
    <row r="1755" spans="1:1" ht="15" hidden="1" customHeight="1">
      <c r="A1755" s="71"/>
    </row>
    <row r="1756" spans="1:1" ht="15" hidden="1" customHeight="1">
      <c r="A1756" s="71"/>
    </row>
    <row r="1757" spans="1:1" ht="15" hidden="1" customHeight="1">
      <c r="A1757" s="71"/>
    </row>
    <row r="1758" spans="1:1" ht="15" hidden="1" customHeight="1">
      <c r="A1758" s="71"/>
    </row>
    <row r="1759" spans="1:1" ht="15" hidden="1" customHeight="1">
      <c r="A1759" s="71"/>
    </row>
    <row r="1760" spans="1:1" ht="15" hidden="1" customHeight="1">
      <c r="A1760" s="71"/>
    </row>
    <row r="1761" spans="1:1" ht="15" hidden="1" customHeight="1">
      <c r="A1761" s="71"/>
    </row>
    <row r="1762" spans="1:1" ht="15" hidden="1" customHeight="1">
      <c r="A1762" s="71"/>
    </row>
    <row r="1763" spans="1:1" ht="15" hidden="1" customHeight="1">
      <c r="A1763" s="71"/>
    </row>
    <row r="1764" spans="1:1" ht="15" hidden="1" customHeight="1">
      <c r="A1764" s="71"/>
    </row>
    <row r="1765" spans="1:1" ht="15" hidden="1" customHeight="1">
      <c r="A1765" s="71"/>
    </row>
    <row r="1766" spans="1:1" ht="15" hidden="1" customHeight="1">
      <c r="A1766" s="71"/>
    </row>
    <row r="1767" spans="1:1" ht="15" hidden="1" customHeight="1">
      <c r="A1767" s="71"/>
    </row>
    <row r="1768" spans="1:1" hidden="1">
      <c r="A1768" s="71"/>
    </row>
    <row r="1769" spans="1:1" ht="15" hidden="1" customHeight="1">
      <c r="A1769" s="71"/>
    </row>
    <row r="1770" spans="1:1" ht="15" hidden="1" customHeight="1">
      <c r="A1770" s="71"/>
    </row>
    <row r="1771" spans="1:1" ht="15" hidden="1" customHeight="1">
      <c r="A1771" s="71"/>
    </row>
    <row r="1772" spans="1:1" ht="15" hidden="1" customHeight="1">
      <c r="A1772" s="71"/>
    </row>
    <row r="1773" spans="1:1" ht="15" hidden="1" customHeight="1">
      <c r="A1773" s="71"/>
    </row>
    <row r="1774" spans="1:1" ht="15" hidden="1" customHeight="1">
      <c r="A1774" s="71"/>
    </row>
    <row r="1775" spans="1:1" ht="15" hidden="1" customHeight="1">
      <c r="A1775" s="71"/>
    </row>
    <row r="1776" spans="1:1" ht="15" hidden="1" customHeight="1">
      <c r="A1776" s="71"/>
    </row>
    <row r="1777" spans="1:1" ht="15" hidden="1" customHeight="1">
      <c r="A1777" s="71"/>
    </row>
    <row r="1778" spans="1:1" ht="15" hidden="1" customHeight="1">
      <c r="A1778" s="71"/>
    </row>
    <row r="1779" spans="1:1" ht="15" hidden="1" customHeight="1">
      <c r="A1779" s="71"/>
    </row>
    <row r="1780" spans="1:1" ht="15" hidden="1" customHeight="1">
      <c r="A1780" s="71"/>
    </row>
    <row r="1781" spans="1:1" ht="15" hidden="1" customHeight="1">
      <c r="A1781" s="71"/>
    </row>
    <row r="1782" spans="1:1" ht="15" hidden="1" customHeight="1">
      <c r="A1782" s="71"/>
    </row>
    <row r="1783" spans="1:1" ht="15" hidden="1" customHeight="1">
      <c r="A1783" s="71"/>
    </row>
    <row r="1784" spans="1:1" ht="15" hidden="1" customHeight="1">
      <c r="A1784" s="71"/>
    </row>
    <row r="1785" spans="1:1" ht="15" hidden="1" customHeight="1">
      <c r="A1785" s="71"/>
    </row>
    <row r="1786" spans="1:1" ht="15" hidden="1" customHeight="1">
      <c r="A1786" s="71"/>
    </row>
    <row r="1787" spans="1:1" ht="15" hidden="1" customHeight="1">
      <c r="A1787" s="71"/>
    </row>
    <row r="1788" spans="1:1" ht="15" hidden="1" customHeight="1">
      <c r="A1788" s="71"/>
    </row>
    <row r="1789" spans="1:1" ht="15" hidden="1" customHeight="1">
      <c r="A1789" s="71"/>
    </row>
    <row r="1790" spans="1:1" ht="15" hidden="1" customHeight="1">
      <c r="A1790" s="71"/>
    </row>
    <row r="1791" spans="1:1" ht="15" hidden="1" customHeight="1">
      <c r="A1791" s="71"/>
    </row>
    <row r="1792" spans="1:1" ht="15" hidden="1" customHeight="1">
      <c r="A1792" s="71"/>
    </row>
    <row r="1793" spans="1:1" ht="15" hidden="1" customHeight="1">
      <c r="A1793" s="71"/>
    </row>
    <row r="1794" spans="1:1" ht="15" hidden="1" customHeight="1">
      <c r="A1794" s="71"/>
    </row>
    <row r="1795" spans="1:1" ht="15" hidden="1" customHeight="1">
      <c r="A1795" s="71"/>
    </row>
    <row r="1796" spans="1:1" ht="15" hidden="1" customHeight="1">
      <c r="A1796" s="71"/>
    </row>
    <row r="1797" spans="1:1" ht="15" hidden="1" customHeight="1">
      <c r="A1797" s="71"/>
    </row>
    <row r="1798" spans="1:1" ht="15" hidden="1" customHeight="1">
      <c r="A1798" s="71"/>
    </row>
    <row r="1799" spans="1:1" ht="15" hidden="1" customHeight="1">
      <c r="A1799" s="71"/>
    </row>
    <row r="1800" spans="1:1" ht="15" hidden="1" customHeight="1">
      <c r="A1800" s="71"/>
    </row>
    <row r="1801" spans="1:1" ht="15" hidden="1" customHeight="1">
      <c r="A1801" s="71"/>
    </row>
    <row r="1802" spans="1:1" ht="15" hidden="1" customHeight="1">
      <c r="A1802" s="71"/>
    </row>
    <row r="1803" spans="1:1" ht="15" hidden="1" customHeight="1">
      <c r="A1803" s="71"/>
    </row>
    <row r="1804" spans="1:1" ht="15" hidden="1" customHeight="1">
      <c r="A1804" s="71"/>
    </row>
    <row r="1805" spans="1:1" ht="15" hidden="1" customHeight="1">
      <c r="A1805" s="71"/>
    </row>
    <row r="1806" spans="1:1" ht="15" hidden="1" customHeight="1">
      <c r="A1806" s="71"/>
    </row>
    <row r="1807" spans="1:1" ht="15" hidden="1" customHeight="1">
      <c r="A1807" s="71"/>
    </row>
    <row r="1808" spans="1:1" ht="15" hidden="1" customHeight="1">
      <c r="A1808" s="71"/>
    </row>
    <row r="1809" spans="1:1" ht="15" hidden="1" customHeight="1">
      <c r="A1809" s="71"/>
    </row>
    <row r="1810" spans="1:1" ht="15" hidden="1" customHeight="1">
      <c r="A1810" s="71"/>
    </row>
    <row r="1811" spans="1:1" ht="15" hidden="1" customHeight="1">
      <c r="A1811" s="71"/>
    </row>
    <row r="1812" spans="1:1" ht="15" hidden="1" customHeight="1">
      <c r="A1812" s="71"/>
    </row>
    <row r="1813" spans="1:1" ht="15" hidden="1" customHeight="1">
      <c r="A1813" s="71"/>
    </row>
    <row r="1814" spans="1:1" ht="15" hidden="1" customHeight="1">
      <c r="A1814" s="71"/>
    </row>
    <row r="1815" spans="1:1" ht="15" hidden="1" customHeight="1">
      <c r="A1815" s="71"/>
    </row>
    <row r="1816" spans="1:1" ht="15" hidden="1" customHeight="1">
      <c r="A1816" s="71"/>
    </row>
    <row r="1817" spans="1:1" ht="15" hidden="1" customHeight="1">
      <c r="A1817" s="71"/>
    </row>
    <row r="1818" spans="1:1" ht="15" hidden="1" customHeight="1">
      <c r="A1818" s="71"/>
    </row>
    <row r="1819" spans="1:1" ht="15" hidden="1" customHeight="1">
      <c r="A1819" s="71"/>
    </row>
    <row r="1820" spans="1:1" ht="15" hidden="1" customHeight="1">
      <c r="A1820" s="71"/>
    </row>
    <row r="1821" spans="1:1" ht="15" hidden="1" customHeight="1">
      <c r="A1821" s="71"/>
    </row>
    <row r="1822" spans="1:1" ht="15" hidden="1" customHeight="1">
      <c r="A1822" s="71"/>
    </row>
    <row r="1823" spans="1:1" ht="15" hidden="1" customHeight="1">
      <c r="A1823" s="71"/>
    </row>
    <row r="1824" spans="1:1" ht="15" hidden="1" customHeight="1">
      <c r="A1824" s="71"/>
    </row>
    <row r="1825" spans="1:1" ht="15" hidden="1" customHeight="1">
      <c r="A1825" s="71"/>
    </row>
    <row r="1826" spans="1:1" hidden="1">
      <c r="A1826" s="71"/>
    </row>
    <row r="1827" spans="1:1" ht="15" hidden="1" customHeight="1">
      <c r="A1827" s="71"/>
    </row>
    <row r="1828" spans="1:1" ht="15" hidden="1" customHeight="1">
      <c r="A1828" s="71"/>
    </row>
    <row r="1829" spans="1:1" ht="15" hidden="1" customHeight="1">
      <c r="A1829" s="71"/>
    </row>
    <row r="1830" spans="1:1" ht="15" hidden="1" customHeight="1">
      <c r="A1830" s="71"/>
    </row>
    <row r="1831" spans="1:1" ht="15" hidden="1" customHeight="1">
      <c r="A1831" s="71"/>
    </row>
    <row r="1832" spans="1:1" ht="15" hidden="1" customHeight="1">
      <c r="A1832" s="71"/>
    </row>
    <row r="1833" spans="1:1" ht="15" hidden="1" customHeight="1">
      <c r="A1833" s="71"/>
    </row>
    <row r="1834" spans="1:1" ht="15" hidden="1" customHeight="1">
      <c r="A1834" s="71"/>
    </row>
    <row r="1835" spans="1:1" ht="15" hidden="1" customHeight="1">
      <c r="A1835" s="71"/>
    </row>
    <row r="1836" spans="1:1" ht="15" hidden="1" customHeight="1">
      <c r="A1836" s="71"/>
    </row>
    <row r="1837" spans="1:1" ht="15" hidden="1" customHeight="1">
      <c r="A1837" s="71"/>
    </row>
    <row r="1838" spans="1:1" ht="15" hidden="1" customHeight="1">
      <c r="A1838" s="71"/>
    </row>
    <row r="1839" spans="1:1" ht="15" hidden="1" customHeight="1">
      <c r="A1839" s="71"/>
    </row>
    <row r="1840" spans="1:1" ht="15" hidden="1" customHeight="1">
      <c r="A1840" s="71"/>
    </row>
    <row r="1841" spans="1:1" ht="15" hidden="1" customHeight="1">
      <c r="A1841" s="71"/>
    </row>
    <row r="1842" spans="1:1" ht="15" hidden="1" customHeight="1">
      <c r="A1842" s="71"/>
    </row>
    <row r="1843" spans="1:1" ht="15" hidden="1" customHeight="1">
      <c r="A1843" s="71"/>
    </row>
    <row r="1844" spans="1:1" ht="15" hidden="1" customHeight="1">
      <c r="A1844" s="71"/>
    </row>
    <row r="1845" spans="1:1" ht="15" hidden="1" customHeight="1">
      <c r="A1845" s="71"/>
    </row>
    <row r="1846" spans="1:1" ht="15" hidden="1" customHeight="1">
      <c r="A1846" s="71"/>
    </row>
    <row r="1847" spans="1:1" ht="15" hidden="1" customHeight="1">
      <c r="A1847" s="71"/>
    </row>
    <row r="1848" spans="1:1" ht="15" hidden="1" customHeight="1">
      <c r="A1848" s="71"/>
    </row>
    <row r="1849" spans="1:1" ht="15" hidden="1" customHeight="1">
      <c r="A1849" s="71"/>
    </row>
    <row r="1850" spans="1:1" ht="15" hidden="1" customHeight="1">
      <c r="A1850" s="71"/>
    </row>
    <row r="1851" spans="1:1" ht="15" hidden="1" customHeight="1">
      <c r="A1851" s="71"/>
    </row>
    <row r="1852" spans="1:1" ht="15" hidden="1" customHeight="1">
      <c r="A1852" s="71"/>
    </row>
    <row r="1853" spans="1:1" ht="15" hidden="1" customHeight="1">
      <c r="A1853" s="71"/>
    </row>
    <row r="1854" spans="1:1" ht="15" hidden="1" customHeight="1">
      <c r="A1854" s="71"/>
    </row>
    <row r="1855" spans="1:1" ht="15" hidden="1" customHeight="1">
      <c r="A1855" s="71"/>
    </row>
    <row r="1856" spans="1:1" ht="15" hidden="1" customHeight="1">
      <c r="A1856" s="71"/>
    </row>
    <row r="1857" spans="1:1" ht="15" hidden="1" customHeight="1">
      <c r="A1857" s="71"/>
    </row>
    <row r="1858" spans="1:1" ht="15" hidden="1" customHeight="1">
      <c r="A1858" s="71"/>
    </row>
    <row r="1859" spans="1:1" ht="15" hidden="1" customHeight="1">
      <c r="A1859" s="71"/>
    </row>
    <row r="1860" spans="1:1" ht="15" hidden="1" customHeight="1">
      <c r="A1860" s="71"/>
    </row>
    <row r="1861" spans="1:1" ht="15" hidden="1" customHeight="1">
      <c r="A1861" s="71"/>
    </row>
    <row r="1862" spans="1:1" ht="15" hidden="1" customHeight="1">
      <c r="A1862" s="71"/>
    </row>
    <row r="1863" spans="1:1" ht="15" hidden="1" customHeight="1">
      <c r="A1863" s="71"/>
    </row>
    <row r="1864" spans="1:1" ht="15" hidden="1" customHeight="1">
      <c r="A1864" s="71"/>
    </row>
    <row r="1865" spans="1:1" ht="15" hidden="1" customHeight="1">
      <c r="A1865" s="71"/>
    </row>
    <row r="1866" spans="1:1" ht="15" hidden="1" customHeight="1">
      <c r="A1866" s="71"/>
    </row>
    <row r="1867" spans="1:1" ht="15" hidden="1" customHeight="1">
      <c r="A1867" s="71"/>
    </row>
    <row r="1868" spans="1:1" ht="15" hidden="1" customHeight="1">
      <c r="A1868" s="71"/>
    </row>
    <row r="1869" spans="1:1" ht="15" hidden="1" customHeight="1">
      <c r="A1869" s="71"/>
    </row>
    <row r="1870" spans="1:1" ht="15" hidden="1" customHeight="1">
      <c r="A1870" s="71"/>
    </row>
    <row r="1871" spans="1:1" ht="15" hidden="1" customHeight="1">
      <c r="A1871" s="71"/>
    </row>
    <row r="1872" spans="1:1" ht="15" hidden="1" customHeight="1">
      <c r="A1872" s="71"/>
    </row>
    <row r="1873" spans="1:1" ht="15" hidden="1" customHeight="1">
      <c r="A1873" s="71"/>
    </row>
    <row r="1874" spans="1:1" ht="15" hidden="1" customHeight="1">
      <c r="A1874" s="71"/>
    </row>
    <row r="1875" spans="1:1" ht="15" hidden="1" customHeight="1">
      <c r="A1875" s="71"/>
    </row>
    <row r="1876" spans="1:1" ht="15" hidden="1" customHeight="1">
      <c r="A1876" s="71"/>
    </row>
    <row r="1877" spans="1:1" hidden="1">
      <c r="A1877" s="71"/>
    </row>
    <row r="1878" spans="1:1" ht="15" hidden="1" customHeight="1">
      <c r="A1878" s="71"/>
    </row>
    <row r="1879" spans="1:1" ht="15" hidden="1" customHeight="1">
      <c r="A1879" s="71"/>
    </row>
    <row r="1880" spans="1:1" ht="15" hidden="1" customHeight="1">
      <c r="A1880" s="71"/>
    </row>
    <row r="1881" spans="1:1" ht="15" hidden="1" customHeight="1">
      <c r="A1881" s="71"/>
    </row>
    <row r="1882" spans="1:1" ht="15" hidden="1" customHeight="1">
      <c r="A1882" s="71"/>
    </row>
    <row r="1883" spans="1:1" ht="15" hidden="1" customHeight="1">
      <c r="A1883" s="71"/>
    </row>
    <row r="1884" spans="1:1" ht="15" hidden="1" customHeight="1">
      <c r="A1884" s="71"/>
    </row>
    <row r="1885" spans="1:1" ht="15" hidden="1" customHeight="1">
      <c r="A1885" s="71"/>
    </row>
    <row r="1886" spans="1:1" ht="15" hidden="1" customHeight="1">
      <c r="A1886" s="71"/>
    </row>
    <row r="1887" spans="1:1" ht="15" hidden="1" customHeight="1">
      <c r="A1887" s="71"/>
    </row>
    <row r="1888" spans="1:1" ht="15" hidden="1" customHeight="1">
      <c r="A1888" s="71"/>
    </row>
    <row r="1889" spans="1:1" ht="15" hidden="1" customHeight="1">
      <c r="A1889" s="71"/>
    </row>
    <row r="1890" spans="1:1" ht="15" hidden="1" customHeight="1">
      <c r="A1890" s="71"/>
    </row>
    <row r="1891" spans="1:1" ht="15" hidden="1" customHeight="1">
      <c r="A1891" s="71"/>
    </row>
    <row r="1892" spans="1:1" ht="15" hidden="1" customHeight="1">
      <c r="A1892" s="71"/>
    </row>
    <row r="1893" spans="1:1" ht="15" hidden="1" customHeight="1">
      <c r="A1893" s="71"/>
    </row>
    <row r="1894" spans="1:1" ht="15" hidden="1" customHeight="1">
      <c r="A1894" s="71"/>
    </row>
    <row r="1895" spans="1:1" ht="15" hidden="1" customHeight="1">
      <c r="A1895" s="71"/>
    </row>
    <row r="1896" spans="1:1" ht="15" hidden="1" customHeight="1">
      <c r="A1896" s="71"/>
    </row>
    <row r="1897" spans="1:1" ht="15" hidden="1" customHeight="1">
      <c r="A1897" s="71"/>
    </row>
    <row r="1898" spans="1:1" ht="15" hidden="1" customHeight="1">
      <c r="A1898" s="71"/>
    </row>
    <row r="1899" spans="1:1" ht="15" hidden="1" customHeight="1">
      <c r="A1899" s="71"/>
    </row>
    <row r="1900" spans="1:1" ht="15" hidden="1" customHeight="1">
      <c r="A1900" s="71"/>
    </row>
    <row r="1901" spans="1:1" ht="15" hidden="1" customHeight="1">
      <c r="A1901" s="71"/>
    </row>
    <row r="1902" spans="1:1" ht="15" hidden="1" customHeight="1">
      <c r="A1902" s="71"/>
    </row>
    <row r="1903" spans="1:1" ht="15" hidden="1" customHeight="1">
      <c r="A1903" s="71"/>
    </row>
    <row r="1904" spans="1:1" ht="15" hidden="1" customHeight="1">
      <c r="A1904" s="71"/>
    </row>
    <row r="1905" spans="1:1" ht="15" hidden="1" customHeight="1">
      <c r="A1905" s="71"/>
    </row>
    <row r="1906" spans="1:1" ht="15" hidden="1" customHeight="1">
      <c r="A1906" s="71"/>
    </row>
    <row r="1907" spans="1:1" ht="15" hidden="1" customHeight="1">
      <c r="A1907" s="71"/>
    </row>
    <row r="1908" spans="1:1" ht="15" hidden="1" customHeight="1">
      <c r="A1908" s="71"/>
    </row>
    <row r="1909" spans="1:1" ht="15" hidden="1" customHeight="1">
      <c r="A1909" s="71"/>
    </row>
    <row r="1910" spans="1:1" ht="15" hidden="1" customHeight="1">
      <c r="A1910" s="71"/>
    </row>
    <row r="1911" spans="1:1" ht="15" hidden="1" customHeight="1">
      <c r="A1911" s="71"/>
    </row>
    <row r="1912" spans="1:1" ht="15" hidden="1" customHeight="1">
      <c r="A1912" s="71"/>
    </row>
    <row r="1913" spans="1:1" ht="15" hidden="1" customHeight="1">
      <c r="A1913" s="71"/>
    </row>
    <row r="1914" spans="1:1" ht="15" hidden="1" customHeight="1">
      <c r="A1914" s="71"/>
    </row>
    <row r="1915" spans="1:1" ht="15" hidden="1" customHeight="1">
      <c r="A1915" s="71"/>
    </row>
    <row r="1916" spans="1:1" ht="15" hidden="1" customHeight="1">
      <c r="A1916" s="71"/>
    </row>
    <row r="1917" spans="1:1" ht="15" hidden="1" customHeight="1">
      <c r="A1917" s="71"/>
    </row>
    <row r="1918" spans="1:1" ht="15" hidden="1" customHeight="1">
      <c r="A1918" s="71"/>
    </row>
    <row r="1919" spans="1:1" ht="15" hidden="1" customHeight="1">
      <c r="A1919" s="71"/>
    </row>
    <row r="1920" spans="1:1" ht="15" hidden="1" customHeight="1">
      <c r="A1920" s="71"/>
    </row>
    <row r="1921" spans="1:1" ht="15" hidden="1" customHeight="1">
      <c r="A1921" s="71"/>
    </row>
    <row r="1922" spans="1:1" ht="15" hidden="1" customHeight="1">
      <c r="A1922" s="71"/>
    </row>
    <row r="1923" spans="1:1" ht="15" hidden="1" customHeight="1">
      <c r="A1923" s="71"/>
    </row>
    <row r="1924" spans="1:1" ht="15" hidden="1" customHeight="1">
      <c r="A1924" s="71"/>
    </row>
    <row r="1925" spans="1:1" ht="15" hidden="1" customHeight="1">
      <c r="A1925" s="71"/>
    </row>
    <row r="1926" spans="1:1" ht="15" hidden="1" customHeight="1">
      <c r="A1926" s="71"/>
    </row>
    <row r="1927" spans="1:1" ht="15" hidden="1" customHeight="1">
      <c r="A1927" s="71"/>
    </row>
    <row r="1928" spans="1:1" ht="15" hidden="1" customHeight="1">
      <c r="A1928" s="71"/>
    </row>
    <row r="1929" spans="1:1" ht="15" hidden="1" customHeight="1">
      <c r="A1929" s="71"/>
    </row>
    <row r="1930" spans="1:1" ht="15" hidden="1" customHeight="1">
      <c r="A1930" s="71"/>
    </row>
    <row r="1931" spans="1:1" ht="15" hidden="1" customHeight="1">
      <c r="A1931" s="71"/>
    </row>
    <row r="1932" spans="1:1" ht="15" hidden="1" customHeight="1">
      <c r="A1932" s="71"/>
    </row>
    <row r="1933" spans="1:1" ht="15" hidden="1" customHeight="1">
      <c r="A1933" s="71"/>
    </row>
    <row r="1934" spans="1:1" hidden="1">
      <c r="A1934" s="71"/>
    </row>
    <row r="1935" spans="1:1" ht="15" hidden="1" customHeight="1">
      <c r="A1935" s="71"/>
    </row>
    <row r="1936" spans="1:1" ht="15" hidden="1" customHeight="1">
      <c r="A1936" s="71"/>
    </row>
    <row r="1937" spans="1:1" ht="15" hidden="1" customHeight="1">
      <c r="A1937" s="71"/>
    </row>
    <row r="1938" spans="1:1" ht="15" hidden="1" customHeight="1">
      <c r="A1938" s="71"/>
    </row>
    <row r="1939" spans="1:1" ht="15" hidden="1" customHeight="1">
      <c r="A1939" s="71"/>
    </row>
    <row r="1940" spans="1:1" ht="15" hidden="1" customHeight="1">
      <c r="A1940" s="71"/>
    </row>
    <row r="1941" spans="1:1" ht="15" hidden="1" customHeight="1">
      <c r="A1941" s="71"/>
    </row>
    <row r="1942" spans="1:1" ht="15" hidden="1" customHeight="1">
      <c r="A1942" s="71"/>
    </row>
    <row r="1943" spans="1:1" ht="15" hidden="1" customHeight="1">
      <c r="A1943" s="71"/>
    </row>
    <row r="1944" spans="1:1" ht="15" hidden="1" customHeight="1">
      <c r="A1944" s="71"/>
    </row>
    <row r="1945" spans="1:1" ht="15" hidden="1" customHeight="1">
      <c r="A1945" s="71"/>
    </row>
    <row r="1946" spans="1:1" ht="15" hidden="1" customHeight="1">
      <c r="A1946" s="71"/>
    </row>
    <row r="1947" spans="1:1" ht="15" hidden="1" customHeight="1">
      <c r="A1947" s="71"/>
    </row>
    <row r="1948" spans="1:1" ht="15" hidden="1" customHeight="1">
      <c r="A1948" s="71"/>
    </row>
    <row r="1949" spans="1:1" ht="15" hidden="1" customHeight="1">
      <c r="A1949" s="71"/>
    </row>
    <row r="1950" spans="1:1" ht="15" hidden="1" customHeight="1">
      <c r="A1950" s="71"/>
    </row>
    <row r="1951" spans="1:1" ht="15" hidden="1" customHeight="1">
      <c r="A1951" s="71"/>
    </row>
    <row r="1952" spans="1:1" ht="15" hidden="1" customHeight="1">
      <c r="A1952" s="71"/>
    </row>
    <row r="1953" spans="1:1" ht="15" hidden="1" customHeight="1">
      <c r="A1953" s="71"/>
    </row>
    <row r="1954" spans="1:1" ht="15" hidden="1" customHeight="1">
      <c r="A1954" s="71"/>
    </row>
    <row r="1955" spans="1:1" ht="15" hidden="1" customHeight="1">
      <c r="A1955" s="71"/>
    </row>
    <row r="1956" spans="1:1" ht="15" hidden="1" customHeight="1">
      <c r="A1956" s="71"/>
    </row>
    <row r="1957" spans="1:1" ht="15" hidden="1" customHeight="1">
      <c r="A1957" s="71"/>
    </row>
    <row r="1958" spans="1:1" ht="15" hidden="1" customHeight="1">
      <c r="A1958" s="71"/>
    </row>
    <row r="1959" spans="1:1" ht="15" hidden="1" customHeight="1">
      <c r="A1959" s="71"/>
    </row>
    <row r="1960" spans="1:1" ht="15" hidden="1" customHeight="1">
      <c r="A1960" s="71"/>
    </row>
    <row r="1961" spans="1:1" ht="15" hidden="1" customHeight="1">
      <c r="A1961" s="71"/>
    </row>
    <row r="1962" spans="1:1" ht="15" hidden="1" customHeight="1">
      <c r="A1962" s="71"/>
    </row>
    <row r="1963" spans="1:1" ht="15" hidden="1" customHeight="1">
      <c r="A1963" s="71"/>
    </row>
    <row r="1964" spans="1:1" ht="15" hidden="1" customHeight="1">
      <c r="A1964" s="71"/>
    </row>
    <row r="1965" spans="1:1" ht="15" hidden="1" customHeight="1">
      <c r="A1965" s="71"/>
    </row>
    <row r="1966" spans="1:1" ht="15" hidden="1" customHeight="1">
      <c r="A1966" s="71"/>
    </row>
    <row r="1967" spans="1:1" ht="15" hidden="1" customHeight="1">
      <c r="A1967" s="71"/>
    </row>
    <row r="1968" spans="1:1" ht="15" hidden="1" customHeight="1">
      <c r="A1968" s="71"/>
    </row>
    <row r="1969" spans="1:1" ht="15" hidden="1" customHeight="1">
      <c r="A1969" s="71"/>
    </row>
    <row r="1970" spans="1:1" ht="15" hidden="1" customHeight="1">
      <c r="A1970" s="71"/>
    </row>
    <row r="1971" spans="1:1" ht="15" hidden="1" customHeight="1">
      <c r="A1971" s="71"/>
    </row>
    <row r="1972" spans="1:1" ht="15" hidden="1" customHeight="1">
      <c r="A1972" s="71"/>
    </row>
    <row r="1973" spans="1:1" hidden="1">
      <c r="A1973" s="71"/>
    </row>
    <row r="1974" spans="1:1" ht="15" hidden="1" customHeight="1">
      <c r="A1974" s="71"/>
    </row>
    <row r="1975" spans="1:1" ht="15" hidden="1" customHeight="1">
      <c r="A1975" s="71"/>
    </row>
    <row r="1976" spans="1:1" ht="15" hidden="1" customHeight="1">
      <c r="A1976" s="71"/>
    </row>
    <row r="1977" spans="1:1" ht="15" hidden="1" customHeight="1">
      <c r="A1977" s="71"/>
    </row>
    <row r="1978" spans="1:1" ht="15" hidden="1" customHeight="1">
      <c r="A1978" s="71"/>
    </row>
    <row r="1979" spans="1:1" ht="15" hidden="1" customHeight="1">
      <c r="A1979" s="71"/>
    </row>
    <row r="1980" spans="1:1" ht="15" hidden="1" customHeight="1">
      <c r="A1980" s="71"/>
    </row>
    <row r="1981" spans="1:1" ht="15" hidden="1" customHeight="1">
      <c r="A1981" s="71"/>
    </row>
    <row r="1982" spans="1:1" ht="15" hidden="1" customHeight="1">
      <c r="A1982" s="71"/>
    </row>
    <row r="1983" spans="1:1" ht="15" hidden="1" customHeight="1">
      <c r="A1983" s="71"/>
    </row>
    <row r="1984" spans="1:1" ht="15" hidden="1" customHeight="1">
      <c r="A1984" s="71"/>
    </row>
    <row r="1985" spans="1:1" ht="15" hidden="1" customHeight="1">
      <c r="A1985" s="71"/>
    </row>
    <row r="1986" spans="1:1" ht="15" hidden="1" customHeight="1">
      <c r="A1986" s="71"/>
    </row>
    <row r="1987" spans="1:1" ht="15" hidden="1" customHeight="1">
      <c r="A1987" s="71"/>
    </row>
    <row r="1988" spans="1:1" ht="15" hidden="1" customHeight="1">
      <c r="A1988" s="71"/>
    </row>
    <row r="1989" spans="1:1" ht="15" hidden="1" customHeight="1">
      <c r="A1989" s="71"/>
    </row>
    <row r="1990" spans="1:1" ht="15" hidden="1" customHeight="1">
      <c r="A1990" s="71"/>
    </row>
    <row r="1991" spans="1:1" ht="15" hidden="1" customHeight="1">
      <c r="A1991" s="71"/>
    </row>
    <row r="1992" spans="1:1" ht="15" hidden="1" customHeight="1">
      <c r="A1992" s="71"/>
    </row>
    <row r="1993" spans="1:1" ht="15" hidden="1" customHeight="1">
      <c r="A1993" s="71"/>
    </row>
    <row r="1994" spans="1:1" ht="15" hidden="1" customHeight="1">
      <c r="A1994" s="71"/>
    </row>
    <row r="1995" spans="1:1" ht="15" hidden="1" customHeight="1">
      <c r="A1995" s="71"/>
    </row>
    <row r="1996" spans="1:1" ht="15" hidden="1" customHeight="1">
      <c r="A1996" s="71"/>
    </row>
    <row r="1997" spans="1:1" ht="15" hidden="1" customHeight="1">
      <c r="A1997" s="71"/>
    </row>
    <row r="1998" spans="1:1" ht="15" hidden="1" customHeight="1">
      <c r="A1998" s="71"/>
    </row>
    <row r="1999" spans="1:1" ht="15" hidden="1" customHeight="1">
      <c r="A1999" s="71"/>
    </row>
    <row r="2000" spans="1:1" ht="15" hidden="1" customHeight="1">
      <c r="A2000" s="71"/>
    </row>
    <row r="2001" spans="1:1" ht="15" hidden="1" customHeight="1">
      <c r="A2001" s="71"/>
    </row>
    <row r="2002" spans="1:1" ht="15" hidden="1" customHeight="1">
      <c r="A2002" s="71"/>
    </row>
    <row r="2003" spans="1:1" ht="15" hidden="1" customHeight="1">
      <c r="A2003" s="71"/>
    </row>
    <row r="2004" spans="1:1" ht="15" hidden="1" customHeight="1">
      <c r="A2004" s="71"/>
    </row>
    <row r="2005" spans="1:1" ht="15" hidden="1" customHeight="1">
      <c r="A2005" s="71"/>
    </row>
    <row r="2006" spans="1:1" ht="15" hidden="1" customHeight="1">
      <c r="A2006" s="71"/>
    </row>
    <row r="2007" spans="1:1" ht="15" hidden="1" customHeight="1">
      <c r="A2007" s="71"/>
    </row>
    <row r="2008" spans="1:1" ht="15" hidden="1" customHeight="1">
      <c r="A2008" s="71"/>
    </row>
    <row r="2009" spans="1:1" ht="15" hidden="1" customHeight="1">
      <c r="A2009" s="71"/>
    </row>
    <row r="2010" spans="1:1" ht="15" hidden="1" customHeight="1">
      <c r="A2010" s="71"/>
    </row>
    <row r="2011" spans="1:1" ht="15" hidden="1" customHeight="1">
      <c r="A2011" s="71"/>
    </row>
    <row r="2012" spans="1:1" ht="15" hidden="1" customHeight="1">
      <c r="A2012" s="71"/>
    </row>
    <row r="2013" spans="1:1" ht="15" hidden="1" customHeight="1">
      <c r="A2013" s="71"/>
    </row>
    <row r="2014" spans="1:1" ht="15" hidden="1" customHeight="1">
      <c r="A2014" s="71"/>
    </row>
    <row r="2015" spans="1:1" ht="15" hidden="1" customHeight="1">
      <c r="A2015" s="71"/>
    </row>
    <row r="2016" spans="1:1" ht="15" hidden="1" customHeight="1">
      <c r="A2016" s="71"/>
    </row>
    <row r="2017" spans="1:1" ht="15" hidden="1" customHeight="1">
      <c r="A2017" s="71"/>
    </row>
    <row r="2018" spans="1:1" ht="15" hidden="1" customHeight="1">
      <c r="A2018" s="71"/>
    </row>
    <row r="2019" spans="1:1" ht="15" hidden="1" customHeight="1">
      <c r="A2019" s="71"/>
    </row>
    <row r="2020" spans="1:1" ht="15" hidden="1" customHeight="1">
      <c r="A2020" s="71"/>
    </row>
    <row r="2021" spans="1:1" ht="15" hidden="1" customHeight="1">
      <c r="A2021" s="71"/>
    </row>
    <row r="2022" spans="1:1" ht="15" hidden="1" customHeight="1">
      <c r="A2022" s="71"/>
    </row>
    <row r="2023" spans="1:1" ht="15" hidden="1" customHeight="1">
      <c r="A2023" s="71"/>
    </row>
    <row r="2024" spans="1:1" ht="15" hidden="1" customHeight="1">
      <c r="A2024" s="71"/>
    </row>
    <row r="2025" spans="1:1" ht="15" hidden="1" customHeight="1">
      <c r="A2025" s="71"/>
    </row>
    <row r="2026" spans="1:1" ht="15" hidden="1" customHeight="1">
      <c r="A2026" s="71"/>
    </row>
    <row r="2027" spans="1:1" ht="15" hidden="1" customHeight="1">
      <c r="A2027" s="71"/>
    </row>
    <row r="2028" spans="1:1" ht="15" hidden="1" customHeight="1">
      <c r="A2028" s="71"/>
    </row>
    <row r="2029" spans="1:1" ht="15" hidden="1" customHeight="1">
      <c r="A2029" s="71"/>
    </row>
    <row r="2030" spans="1:1" ht="15" hidden="1" customHeight="1">
      <c r="A2030" s="71"/>
    </row>
    <row r="2031" spans="1:1" ht="15" hidden="1" customHeight="1">
      <c r="A2031" s="71"/>
    </row>
    <row r="2032" spans="1:1" ht="15" hidden="1" customHeight="1">
      <c r="A2032" s="71"/>
    </row>
    <row r="2033" spans="1:1" ht="15" hidden="1" customHeight="1">
      <c r="A2033" s="71"/>
    </row>
    <row r="2034" spans="1:1" ht="15" hidden="1" customHeight="1">
      <c r="A2034" s="71"/>
    </row>
    <row r="2035" spans="1:1" ht="15" hidden="1" customHeight="1">
      <c r="A2035" s="71"/>
    </row>
    <row r="2036" spans="1:1" ht="15" hidden="1" customHeight="1">
      <c r="A2036" s="71"/>
    </row>
    <row r="2037" spans="1:1" ht="15" hidden="1" customHeight="1">
      <c r="A2037" s="71"/>
    </row>
    <row r="2038" spans="1:1" ht="15" hidden="1" customHeight="1">
      <c r="A2038" s="71"/>
    </row>
    <row r="2039" spans="1:1" ht="15" hidden="1" customHeight="1">
      <c r="A2039" s="71"/>
    </row>
    <row r="2040" spans="1:1" ht="15" hidden="1" customHeight="1">
      <c r="A2040" s="71"/>
    </row>
    <row r="2041" spans="1:1" ht="15" hidden="1" customHeight="1">
      <c r="A2041" s="71"/>
    </row>
    <row r="2042" spans="1:1" ht="15" hidden="1" customHeight="1">
      <c r="A2042" s="71"/>
    </row>
    <row r="2043" spans="1:1" ht="15" hidden="1" customHeight="1">
      <c r="A2043" s="71"/>
    </row>
    <row r="2044" spans="1:1" ht="15" hidden="1" customHeight="1">
      <c r="A2044" s="71"/>
    </row>
    <row r="2045" spans="1:1" ht="15" hidden="1" customHeight="1">
      <c r="A2045" s="71"/>
    </row>
    <row r="2046" spans="1:1" ht="15" hidden="1" customHeight="1">
      <c r="A2046" s="71"/>
    </row>
    <row r="2047" spans="1:1" ht="15" hidden="1" customHeight="1">
      <c r="A2047" s="71"/>
    </row>
    <row r="2048" spans="1:1" ht="15" hidden="1" customHeight="1">
      <c r="A2048" s="71"/>
    </row>
    <row r="2049" spans="1:1" ht="15" hidden="1" customHeight="1">
      <c r="A2049" s="71"/>
    </row>
    <row r="2050" spans="1:1" ht="15" hidden="1" customHeight="1">
      <c r="A2050" s="71"/>
    </row>
    <row r="2051" spans="1:1" ht="15" hidden="1" customHeight="1">
      <c r="A2051" s="71"/>
    </row>
    <row r="2052" spans="1:1" ht="15" hidden="1" customHeight="1">
      <c r="A2052" s="71"/>
    </row>
    <row r="2053" spans="1:1" ht="15" hidden="1" customHeight="1">
      <c r="A2053" s="71"/>
    </row>
    <row r="2054" spans="1:1" ht="15" hidden="1" customHeight="1">
      <c r="A2054" s="71"/>
    </row>
    <row r="2055" spans="1:1" ht="15" hidden="1" customHeight="1">
      <c r="A2055" s="71"/>
    </row>
    <row r="2056" spans="1:1" ht="15" hidden="1" customHeight="1">
      <c r="A2056" s="71"/>
    </row>
    <row r="2057" spans="1:1" ht="15" hidden="1" customHeight="1">
      <c r="A2057" s="71"/>
    </row>
    <row r="2058" spans="1:1" ht="15" hidden="1" customHeight="1">
      <c r="A2058" s="71"/>
    </row>
    <row r="2059" spans="1:1" ht="15" hidden="1" customHeight="1">
      <c r="A2059" s="71"/>
    </row>
    <row r="2060" spans="1:1" ht="15" hidden="1" customHeight="1">
      <c r="A2060" s="71"/>
    </row>
    <row r="2061" spans="1:1" ht="15" hidden="1" customHeight="1">
      <c r="A2061" s="71"/>
    </row>
    <row r="2062" spans="1:1" ht="15" hidden="1" customHeight="1">
      <c r="A2062" s="71"/>
    </row>
    <row r="2063" spans="1:1" ht="15" hidden="1" customHeight="1">
      <c r="A2063" s="71"/>
    </row>
    <row r="2064" spans="1:1" ht="15" hidden="1" customHeight="1">
      <c r="A2064" s="71"/>
    </row>
    <row r="2065" spans="1:1" ht="15" hidden="1" customHeight="1">
      <c r="A2065" s="71"/>
    </row>
    <row r="2066" spans="1:1" ht="15" hidden="1" customHeight="1">
      <c r="A2066" s="71"/>
    </row>
    <row r="2067" spans="1:1" ht="15" hidden="1" customHeight="1">
      <c r="A2067" s="71"/>
    </row>
    <row r="2068" spans="1:1" ht="15" hidden="1" customHeight="1">
      <c r="A2068" s="71"/>
    </row>
    <row r="2069" spans="1:1" ht="15" hidden="1" customHeight="1">
      <c r="A2069" s="71"/>
    </row>
    <row r="2070" spans="1:1" ht="15" hidden="1" customHeight="1">
      <c r="A2070" s="71"/>
    </row>
    <row r="2071" spans="1:1" ht="15" hidden="1" customHeight="1">
      <c r="A2071" s="71"/>
    </row>
    <row r="2072" spans="1:1" ht="15" hidden="1" customHeight="1">
      <c r="A2072" s="71"/>
    </row>
    <row r="2073" spans="1:1" ht="15" hidden="1" customHeight="1">
      <c r="A2073" s="71"/>
    </row>
    <row r="2074" spans="1:1" ht="15" hidden="1" customHeight="1">
      <c r="A2074" s="71"/>
    </row>
    <row r="2075" spans="1:1" ht="15" hidden="1" customHeight="1">
      <c r="A2075" s="71"/>
    </row>
    <row r="2076" spans="1:1" ht="15" hidden="1" customHeight="1">
      <c r="A2076" s="71"/>
    </row>
    <row r="2077" spans="1:1" ht="15" hidden="1" customHeight="1">
      <c r="A2077" s="71"/>
    </row>
    <row r="2078" spans="1:1" ht="15" hidden="1" customHeight="1">
      <c r="A2078" s="71"/>
    </row>
    <row r="2079" spans="1:1" ht="15" hidden="1" customHeight="1">
      <c r="A2079" s="71"/>
    </row>
    <row r="2080" spans="1:1" ht="15" hidden="1" customHeight="1">
      <c r="A2080" s="71"/>
    </row>
    <row r="2081" spans="1:1" ht="15" hidden="1" customHeight="1">
      <c r="A2081" s="71"/>
    </row>
    <row r="2082" spans="1:1" ht="15" hidden="1" customHeight="1">
      <c r="A2082" s="71"/>
    </row>
    <row r="2083" spans="1:1" ht="15" hidden="1" customHeight="1">
      <c r="A2083" s="71"/>
    </row>
    <row r="2084" spans="1:1" ht="15" hidden="1" customHeight="1">
      <c r="A2084" s="71"/>
    </row>
    <row r="2085" spans="1:1" ht="15" hidden="1" customHeight="1">
      <c r="A2085" s="71"/>
    </row>
    <row r="2086" spans="1:1" ht="15" hidden="1" customHeight="1">
      <c r="A2086" s="71"/>
    </row>
    <row r="2087" spans="1:1" ht="15" hidden="1" customHeight="1">
      <c r="A2087" s="71"/>
    </row>
    <row r="2088" spans="1:1" ht="15" hidden="1" customHeight="1">
      <c r="A2088" s="71"/>
    </row>
    <row r="2089" spans="1:1" ht="15" hidden="1" customHeight="1">
      <c r="A2089" s="71"/>
    </row>
    <row r="2090" spans="1:1" ht="15" hidden="1" customHeight="1">
      <c r="A2090" s="71"/>
    </row>
    <row r="2091" spans="1:1" ht="15" hidden="1" customHeight="1">
      <c r="A2091" s="71"/>
    </row>
    <row r="2092" spans="1:1" ht="15" hidden="1" customHeight="1">
      <c r="A2092" s="71"/>
    </row>
    <row r="2093" spans="1:1" ht="15" hidden="1" customHeight="1">
      <c r="A2093" s="71"/>
    </row>
    <row r="2094" spans="1:1" ht="15" hidden="1" customHeight="1">
      <c r="A2094" s="71"/>
    </row>
    <row r="2095" spans="1:1" ht="15" hidden="1" customHeight="1">
      <c r="A2095" s="71"/>
    </row>
    <row r="2096" spans="1:1" ht="15" hidden="1" customHeight="1">
      <c r="A2096" s="71"/>
    </row>
    <row r="2097" spans="1:1" ht="15" hidden="1" customHeight="1">
      <c r="A2097" s="71"/>
    </row>
    <row r="2098" spans="1:1" ht="15" hidden="1" customHeight="1">
      <c r="A2098" s="71"/>
    </row>
    <row r="2099" spans="1:1" ht="15" hidden="1" customHeight="1">
      <c r="A2099" s="71"/>
    </row>
    <row r="2100" spans="1:1" ht="15" hidden="1" customHeight="1">
      <c r="A2100" s="71"/>
    </row>
    <row r="2101" spans="1:1" ht="15" hidden="1" customHeight="1">
      <c r="A2101" s="71"/>
    </row>
    <row r="2102" spans="1:1" ht="15" hidden="1" customHeight="1">
      <c r="A2102" s="71"/>
    </row>
    <row r="2103" spans="1:1" ht="15" hidden="1" customHeight="1">
      <c r="A2103" s="71"/>
    </row>
    <row r="2104" spans="1:1" ht="15" hidden="1" customHeight="1">
      <c r="A2104" s="71"/>
    </row>
    <row r="2105" spans="1:1" ht="15" hidden="1" customHeight="1">
      <c r="A2105" s="71"/>
    </row>
    <row r="2106" spans="1:1" ht="15" hidden="1" customHeight="1">
      <c r="A2106" s="71"/>
    </row>
    <row r="2107" spans="1:1" ht="15" hidden="1" customHeight="1">
      <c r="A2107" s="71"/>
    </row>
    <row r="2108" spans="1:1" ht="15" hidden="1" customHeight="1">
      <c r="A2108" s="71"/>
    </row>
    <row r="2109" spans="1:1" ht="15" hidden="1" customHeight="1">
      <c r="A2109" s="71"/>
    </row>
    <row r="2110" spans="1:1" ht="15" hidden="1" customHeight="1">
      <c r="A2110" s="71"/>
    </row>
    <row r="2111" spans="1:1" ht="15" hidden="1" customHeight="1">
      <c r="A2111" s="71"/>
    </row>
    <row r="2112" spans="1:1" ht="15" hidden="1" customHeight="1">
      <c r="A2112" s="71"/>
    </row>
    <row r="2113" spans="1:1" ht="15" hidden="1" customHeight="1">
      <c r="A2113" s="71"/>
    </row>
    <row r="2114" spans="1:1" ht="15" hidden="1" customHeight="1">
      <c r="A2114" s="71"/>
    </row>
    <row r="2115" spans="1:1" ht="15" hidden="1" customHeight="1">
      <c r="A2115" s="71"/>
    </row>
    <row r="2116" spans="1:1" ht="15" hidden="1" customHeight="1">
      <c r="A2116" s="71"/>
    </row>
    <row r="2117" spans="1:1" ht="15" hidden="1" customHeight="1">
      <c r="A2117" s="71"/>
    </row>
    <row r="2118" spans="1:1" ht="15" hidden="1" customHeight="1">
      <c r="A2118" s="71"/>
    </row>
    <row r="2119" spans="1:1" ht="15" hidden="1" customHeight="1">
      <c r="A2119" s="71"/>
    </row>
    <row r="2120" spans="1:1" ht="15" hidden="1" customHeight="1">
      <c r="A2120" s="71"/>
    </row>
    <row r="2121" spans="1:1" ht="15" hidden="1" customHeight="1">
      <c r="A2121" s="71"/>
    </row>
    <row r="2122" spans="1:1" ht="15" hidden="1" customHeight="1">
      <c r="A2122" s="71"/>
    </row>
    <row r="2123" spans="1:1" ht="15" hidden="1" customHeight="1">
      <c r="A2123" s="71"/>
    </row>
    <row r="2124" spans="1:1" ht="15" hidden="1" customHeight="1">
      <c r="A2124" s="71"/>
    </row>
    <row r="2125" spans="1:1" ht="15" hidden="1" customHeight="1">
      <c r="A2125" s="71"/>
    </row>
    <row r="2126" spans="1:1" ht="15" hidden="1" customHeight="1">
      <c r="A2126" s="71"/>
    </row>
    <row r="2127" spans="1:1" ht="15" hidden="1" customHeight="1">
      <c r="A2127" s="71"/>
    </row>
    <row r="2128" spans="1:1" ht="15" hidden="1" customHeight="1">
      <c r="A2128" s="71"/>
    </row>
    <row r="2129" spans="1:1" ht="15" hidden="1" customHeight="1">
      <c r="A2129" s="71"/>
    </row>
    <row r="2130" spans="1:1" ht="15" hidden="1" customHeight="1">
      <c r="A2130" s="71"/>
    </row>
    <row r="2131" spans="1:1" ht="15" hidden="1" customHeight="1">
      <c r="A2131" s="71"/>
    </row>
    <row r="2132" spans="1:1" ht="15" hidden="1" customHeight="1">
      <c r="A2132" s="71"/>
    </row>
    <row r="2133" spans="1:1" ht="15" hidden="1" customHeight="1">
      <c r="A2133" s="71"/>
    </row>
    <row r="2134" spans="1:1" ht="15" hidden="1" customHeight="1">
      <c r="A2134" s="71"/>
    </row>
    <row r="2135" spans="1:1" ht="15" hidden="1" customHeight="1">
      <c r="A2135" s="71"/>
    </row>
    <row r="2136" spans="1:1" ht="15" hidden="1" customHeight="1">
      <c r="A2136" s="71"/>
    </row>
    <row r="2137" spans="1:1" ht="15" hidden="1" customHeight="1">
      <c r="A2137" s="71"/>
    </row>
    <row r="2138" spans="1:1" ht="15" hidden="1" customHeight="1">
      <c r="A2138" s="71"/>
    </row>
    <row r="2139" spans="1:1" ht="15" hidden="1" customHeight="1">
      <c r="A2139" s="71"/>
    </row>
    <row r="2140" spans="1:1" ht="15" hidden="1" customHeight="1">
      <c r="A2140" s="71"/>
    </row>
    <row r="2141" spans="1:1" ht="15" hidden="1" customHeight="1">
      <c r="A2141" s="71"/>
    </row>
    <row r="2142" spans="1:1" ht="15" hidden="1" customHeight="1">
      <c r="A2142" s="71"/>
    </row>
    <row r="2143" spans="1:1" ht="15" hidden="1" customHeight="1">
      <c r="A2143" s="71"/>
    </row>
    <row r="2144" spans="1:1" ht="15" hidden="1" customHeight="1">
      <c r="A2144" s="71"/>
    </row>
    <row r="2145" spans="1:1" ht="15" hidden="1" customHeight="1">
      <c r="A2145" s="71"/>
    </row>
    <row r="2146" spans="1:1" ht="15" hidden="1" customHeight="1">
      <c r="A2146" s="71"/>
    </row>
    <row r="2147" spans="1:1" ht="15" hidden="1" customHeight="1">
      <c r="A2147" s="71"/>
    </row>
    <row r="2148" spans="1:1" ht="15" hidden="1" customHeight="1">
      <c r="A2148" s="71"/>
    </row>
    <row r="2149" spans="1:1" ht="15" hidden="1" customHeight="1">
      <c r="A2149" s="71"/>
    </row>
    <row r="2150" spans="1:1" ht="15" hidden="1" customHeight="1">
      <c r="A2150" s="71"/>
    </row>
    <row r="2151" spans="1:1" ht="15" hidden="1" customHeight="1">
      <c r="A2151" s="71"/>
    </row>
    <row r="2152" spans="1:1" ht="15" hidden="1" customHeight="1">
      <c r="A2152" s="71"/>
    </row>
    <row r="2153" spans="1:1" ht="15" hidden="1" customHeight="1">
      <c r="A2153" s="71"/>
    </row>
    <row r="2154" spans="1:1" ht="15" hidden="1" customHeight="1">
      <c r="A2154" s="71"/>
    </row>
    <row r="2155" spans="1:1" ht="15" hidden="1" customHeight="1">
      <c r="A2155" s="71"/>
    </row>
    <row r="2156" spans="1:1" ht="15" hidden="1" customHeight="1">
      <c r="A2156" s="71"/>
    </row>
    <row r="2157" spans="1:1" ht="15" hidden="1" customHeight="1">
      <c r="A2157" s="71"/>
    </row>
    <row r="2158" spans="1:1" ht="15" hidden="1" customHeight="1">
      <c r="A2158" s="71"/>
    </row>
    <row r="2159" spans="1:1" ht="15" hidden="1" customHeight="1">
      <c r="A2159" s="71"/>
    </row>
    <row r="2160" spans="1:1" ht="15" hidden="1" customHeight="1">
      <c r="A2160" s="71"/>
    </row>
    <row r="2161" spans="1:1" ht="15" hidden="1" customHeight="1">
      <c r="A2161" s="71"/>
    </row>
    <row r="2162" spans="1:1" ht="15" hidden="1" customHeight="1">
      <c r="A2162" s="71"/>
    </row>
    <row r="2163" spans="1:1" ht="15" hidden="1" customHeight="1">
      <c r="A2163" s="71"/>
    </row>
    <row r="2164" spans="1:1" ht="15" hidden="1" customHeight="1">
      <c r="A2164" s="71"/>
    </row>
    <row r="2165" spans="1:1" ht="15" hidden="1" customHeight="1">
      <c r="A2165" s="71"/>
    </row>
    <row r="2166" spans="1:1" ht="15" hidden="1" customHeight="1">
      <c r="A2166" s="71"/>
    </row>
    <row r="2167" spans="1:1" ht="15" hidden="1" customHeight="1">
      <c r="A2167" s="71"/>
    </row>
    <row r="2168" spans="1:1" ht="15" hidden="1" customHeight="1">
      <c r="A2168" s="71"/>
    </row>
    <row r="2169" spans="1:1" ht="15" hidden="1" customHeight="1">
      <c r="A2169" s="71"/>
    </row>
    <row r="2170" spans="1:1" ht="15" hidden="1" customHeight="1">
      <c r="A2170" s="71"/>
    </row>
    <row r="2171" spans="1:1" hidden="1">
      <c r="A2171" s="71"/>
    </row>
    <row r="2172" spans="1:1" ht="15" hidden="1" customHeight="1">
      <c r="A2172" s="71"/>
    </row>
    <row r="2173" spans="1:1" ht="15" hidden="1" customHeight="1">
      <c r="A2173" s="71"/>
    </row>
    <row r="2174" spans="1:1" ht="15" hidden="1" customHeight="1">
      <c r="A2174" s="71"/>
    </row>
    <row r="2175" spans="1:1" ht="15" hidden="1" customHeight="1">
      <c r="A2175" s="71"/>
    </row>
    <row r="2176" spans="1:1" ht="15" hidden="1" customHeight="1">
      <c r="A2176" s="71"/>
    </row>
    <row r="2177" spans="1:1" ht="15" hidden="1" customHeight="1">
      <c r="A2177" s="71"/>
    </row>
    <row r="2178" spans="1:1" ht="15" hidden="1" customHeight="1">
      <c r="A2178" s="71"/>
    </row>
    <row r="2179" spans="1:1" ht="15" hidden="1" customHeight="1">
      <c r="A2179" s="71"/>
    </row>
    <row r="2180" spans="1:1" ht="15" hidden="1" customHeight="1">
      <c r="A2180" s="71"/>
    </row>
    <row r="2181" spans="1:1" ht="15" hidden="1" customHeight="1">
      <c r="A2181" s="71"/>
    </row>
    <row r="2182" spans="1:1" ht="15" hidden="1" customHeight="1">
      <c r="A2182" s="71"/>
    </row>
    <row r="2183" spans="1:1" ht="15" hidden="1" customHeight="1">
      <c r="A2183" s="71"/>
    </row>
    <row r="2184" spans="1:1" ht="15" hidden="1" customHeight="1">
      <c r="A2184" s="71"/>
    </row>
    <row r="2185" spans="1:1" ht="15" hidden="1" customHeight="1">
      <c r="A2185" s="71"/>
    </row>
    <row r="2186" spans="1:1" ht="15" hidden="1" customHeight="1">
      <c r="A2186" s="71"/>
    </row>
    <row r="2187" spans="1:1" ht="15" hidden="1" customHeight="1">
      <c r="A2187" s="71"/>
    </row>
    <row r="2188" spans="1:1" ht="15" hidden="1" customHeight="1">
      <c r="A2188" s="71"/>
    </row>
    <row r="2189" spans="1:1" ht="15" hidden="1" customHeight="1">
      <c r="A2189" s="71"/>
    </row>
    <row r="2190" spans="1:1" ht="15" hidden="1" customHeight="1">
      <c r="A2190" s="71"/>
    </row>
    <row r="2191" spans="1:1" ht="15" hidden="1" customHeight="1">
      <c r="A2191" s="71"/>
    </row>
    <row r="2192" spans="1:1" ht="15" hidden="1" customHeight="1">
      <c r="A2192" s="71"/>
    </row>
    <row r="2193" spans="1:1" ht="15" hidden="1" customHeight="1">
      <c r="A2193" s="71"/>
    </row>
    <row r="2194" spans="1:1" ht="15" hidden="1" customHeight="1">
      <c r="A2194" s="71"/>
    </row>
    <row r="2195" spans="1:1" ht="15" hidden="1" customHeight="1">
      <c r="A2195" s="71"/>
    </row>
    <row r="2196" spans="1:1" ht="15" hidden="1" customHeight="1">
      <c r="A2196" s="71"/>
    </row>
    <row r="2197" spans="1:1" ht="15" hidden="1" customHeight="1">
      <c r="A2197" s="71"/>
    </row>
    <row r="2198" spans="1:1" ht="15" hidden="1" customHeight="1">
      <c r="A2198" s="71"/>
    </row>
    <row r="2199" spans="1:1" ht="15" hidden="1" customHeight="1">
      <c r="A2199" s="71"/>
    </row>
    <row r="2200" spans="1:1" ht="15" hidden="1" customHeight="1">
      <c r="A2200" s="71"/>
    </row>
    <row r="2201" spans="1:1" ht="15" hidden="1" customHeight="1">
      <c r="A2201" s="71"/>
    </row>
    <row r="2202" spans="1:1" ht="15" hidden="1" customHeight="1">
      <c r="A2202" s="71"/>
    </row>
    <row r="2203" spans="1:1" ht="15" hidden="1" customHeight="1">
      <c r="A2203" s="71"/>
    </row>
    <row r="2204" spans="1:1" hidden="1">
      <c r="A2204" s="71"/>
    </row>
    <row r="2205" spans="1:1" ht="15" hidden="1" customHeight="1">
      <c r="A2205" s="71"/>
    </row>
    <row r="2206" spans="1:1" ht="15" hidden="1" customHeight="1">
      <c r="A2206" s="71"/>
    </row>
    <row r="2207" spans="1:1" ht="15" hidden="1" customHeight="1">
      <c r="A2207" s="71"/>
    </row>
    <row r="2208" spans="1:1" ht="15" hidden="1" customHeight="1">
      <c r="A2208" s="71"/>
    </row>
    <row r="2209" spans="1:1" ht="15" hidden="1" customHeight="1">
      <c r="A2209" s="71"/>
    </row>
    <row r="2210" spans="1:1" ht="15" hidden="1" customHeight="1">
      <c r="A2210" s="71"/>
    </row>
    <row r="2211" spans="1:1" ht="15" hidden="1" customHeight="1">
      <c r="A2211" s="71"/>
    </row>
    <row r="2212" spans="1:1" ht="15" hidden="1" customHeight="1">
      <c r="A2212" s="71"/>
    </row>
    <row r="2213" spans="1:1" ht="15" hidden="1" customHeight="1">
      <c r="A2213" s="71"/>
    </row>
    <row r="2214" spans="1:1" ht="15" hidden="1" customHeight="1">
      <c r="A2214" s="71"/>
    </row>
    <row r="2215" spans="1:1" ht="15" hidden="1" customHeight="1">
      <c r="A2215" s="71"/>
    </row>
    <row r="2216" spans="1:1" ht="15" hidden="1" customHeight="1">
      <c r="A2216" s="71"/>
    </row>
    <row r="2217" spans="1:1" ht="15" hidden="1" customHeight="1">
      <c r="A2217" s="71"/>
    </row>
    <row r="2218" spans="1:1" ht="15" hidden="1" customHeight="1">
      <c r="A2218" s="71"/>
    </row>
    <row r="2219" spans="1:1" ht="15" hidden="1" customHeight="1">
      <c r="A2219" s="71"/>
    </row>
    <row r="2220" spans="1:1" ht="15" hidden="1" customHeight="1">
      <c r="A2220" s="71"/>
    </row>
    <row r="2221" spans="1:1" ht="15" hidden="1" customHeight="1">
      <c r="A2221" s="71"/>
    </row>
    <row r="2222" spans="1:1" ht="15" hidden="1" customHeight="1">
      <c r="A2222" s="71"/>
    </row>
    <row r="2223" spans="1:1" ht="15" hidden="1" customHeight="1">
      <c r="A2223" s="71"/>
    </row>
    <row r="2224" spans="1:1" ht="15" hidden="1" customHeight="1">
      <c r="A2224" s="71"/>
    </row>
    <row r="2225" spans="1:1" ht="15" hidden="1" customHeight="1">
      <c r="A2225" s="71"/>
    </row>
    <row r="2226" spans="1:1" ht="15" hidden="1" customHeight="1">
      <c r="A2226" s="71"/>
    </row>
    <row r="2227" spans="1:1" ht="15" hidden="1" customHeight="1">
      <c r="A2227" s="71"/>
    </row>
    <row r="2228" spans="1:1" ht="15" hidden="1" customHeight="1">
      <c r="A2228" s="71"/>
    </row>
    <row r="2229" spans="1:1" ht="15" hidden="1" customHeight="1">
      <c r="A2229" s="71"/>
    </row>
    <row r="2230" spans="1:1" ht="15" hidden="1" customHeight="1">
      <c r="A2230" s="71"/>
    </row>
    <row r="2231" spans="1:1" ht="15" hidden="1" customHeight="1">
      <c r="A2231" s="71"/>
    </row>
    <row r="2232" spans="1:1" ht="15" hidden="1" customHeight="1">
      <c r="A2232" s="71"/>
    </row>
    <row r="2233" spans="1:1" ht="15" hidden="1" customHeight="1">
      <c r="A2233" s="71"/>
    </row>
    <row r="2234" spans="1:1" ht="15" hidden="1" customHeight="1">
      <c r="A2234" s="71"/>
    </row>
    <row r="2235" spans="1:1" ht="15" hidden="1" customHeight="1">
      <c r="A2235" s="71"/>
    </row>
    <row r="2236" spans="1:1" ht="15" hidden="1" customHeight="1">
      <c r="A2236" s="71"/>
    </row>
    <row r="2237" spans="1:1" ht="15" hidden="1" customHeight="1">
      <c r="A2237" s="71"/>
    </row>
    <row r="2238" spans="1:1" ht="15" hidden="1" customHeight="1">
      <c r="A2238" s="71"/>
    </row>
    <row r="2239" spans="1:1" ht="15" hidden="1" customHeight="1">
      <c r="A2239" s="71"/>
    </row>
    <row r="2240" spans="1:1" ht="15" hidden="1" customHeight="1">
      <c r="A2240" s="71"/>
    </row>
    <row r="2241" spans="1:1" ht="15" hidden="1" customHeight="1">
      <c r="A2241" s="71"/>
    </row>
    <row r="2242" spans="1:1" ht="15" hidden="1" customHeight="1">
      <c r="A2242" s="71"/>
    </row>
    <row r="2243" spans="1:1" ht="15" hidden="1" customHeight="1">
      <c r="A2243" s="71"/>
    </row>
    <row r="2244" spans="1:1" ht="15" hidden="1" customHeight="1">
      <c r="A2244" s="71"/>
    </row>
    <row r="2245" spans="1:1" ht="15" hidden="1" customHeight="1">
      <c r="A2245" s="71"/>
    </row>
    <row r="2246" spans="1:1" ht="15" hidden="1" customHeight="1">
      <c r="A2246" s="71"/>
    </row>
    <row r="2247" spans="1:1" ht="15" hidden="1" customHeight="1">
      <c r="A2247" s="71"/>
    </row>
    <row r="2248" spans="1:1" ht="15" hidden="1" customHeight="1">
      <c r="A2248" s="71"/>
    </row>
    <row r="2249" spans="1:1" ht="15" hidden="1" customHeight="1">
      <c r="A2249" s="71"/>
    </row>
    <row r="2250" spans="1:1" ht="15" hidden="1" customHeight="1">
      <c r="A2250" s="71"/>
    </row>
    <row r="2251" spans="1:1" ht="15" hidden="1" customHeight="1">
      <c r="A2251" s="71"/>
    </row>
    <row r="2252" spans="1:1" ht="15" hidden="1" customHeight="1">
      <c r="A2252" s="71"/>
    </row>
    <row r="2253" spans="1:1" ht="15" hidden="1" customHeight="1">
      <c r="A2253" s="71"/>
    </row>
    <row r="2254" spans="1:1" ht="15" hidden="1" customHeight="1">
      <c r="A2254" s="71"/>
    </row>
    <row r="2255" spans="1:1" ht="15" hidden="1" customHeight="1">
      <c r="A2255" s="71"/>
    </row>
    <row r="2256" spans="1:1" ht="15" hidden="1" customHeight="1">
      <c r="A2256" s="71"/>
    </row>
    <row r="2257" spans="1:1" ht="15" hidden="1" customHeight="1">
      <c r="A2257" s="71"/>
    </row>
    <row r="2258" spans="1:1" ht="15" hidden="1" customHeight="1">
      <c r="A2258" s="71"/>
    </row>
    <row r="2259" spans="1:1" ht="15" hidden="1" customHeight="1">
      <c r="A2259" s="71"/>
    </row>
    <row r="2260" spans="1:1" ht="15" hidden="1" customHeight="1">
      <c r="A2260" s="71"/>
    </row>
    <row r="2261" spans="1:1" ht="15" hidden="1" customHeight="1">
      <c r="A2261" s="71"/>
    </row>
    <row r="2262" spans="1:1" ht="15" hidden="1" customHeight="1">
      <c r="A2262" s="71"/>
    </row>
    <row r="2263" spans="1:1" ht="15" hidden="1" customHeight="1">
      <c r="A2263" s="71"/>
    </row>
    <row r="2264" spans="1:1" ht="15" hidden="1" customHeight="1">
      <c r="A2264" s="71"/>
    </row>
    <row r="2265" spans="1:1" ht="15" hidden="1" customHeight="1">
      <c r="A2265" s="71"/>
    </row>
    <row r="2266" spans="1:1" ht="15" hidden="1" customHeight="1">
      <c r="A2266" s="71"/>
    </row>
    <row r="2267" spans="1:1" ht="15" hidden="1" customHeight="1">
      <c r="A2267" s="71"/>
    </row>
    <row r="2268" spans="1:1" ht="15" hidden="1" customHeight="1">
      <c r="A2268" s="71"/>
    </row>
    <row r="2269" spans="1:1" ht="15" hidden="1" customHeight="1">
      <c r="A2269" s="71"/>
    </row>
    <row r="2270" spans="1:1" ht="15" hidden="1" customHeight="1">
      <c r="A2270" s="71"/>
    </row>
    <row r="2271" spans="1:1" ht="15" hidden="1" customHeight="1">
      <c r="A2271" s="71"/>
    </row>
    <row r="2272" spans="1:1" ht="15" hidden="1" customHeight="1">
      <c r="A2272" s="71"/>
    </row>
    <row r="2273" spans="1:5" ht="15" hidden="1" customHeight="1">
      <c r="A2273" s="71"/>
    </row>
    <row r="2274" spans="1:5" ht="15" hidden="1" customHeight="1">
      <c r="A2274" s="71"/>
    </row>
    <row r="2275" spans="1:5" ht="15" hidden="1" customHeight="1">
      <c r="A2275" s="71"/>
    </row>
    <row r="2276" spans="1:5" ht="15" hidden="1" customHeight="1">
      <c r="A2276" s="71"/>
    </row>
    <row r="2277" spans="1:5" ht="15" hidden="1" customHeight="1">
      <c r="A2277" s="71"/>
    </row>
    <row r="2278" spans="1:5" ht="15" hidden="1" customHeight="1">
      <c r="A2278" s="71"/>
    </row>
    <row r="2279" spans="1:5" ht="15" hidden="1" customHeight="1">
      <c r="A2279" s="71"/>
    </row>
    <row r="2280" spans="1:5" ht="15" hidden="1" customHeight="1">
      <c r="A2280" s="71"/>
    </row>
    <row r="2281" spans="1:5" ht="15" hidden="1" customHeight="1">
      <c r="A2281" s="71"/>
    </row>
    <row r="2282" spans="1:5" hidden="1">
      <c r="A2282" s="71"/>
      <c r="E2282" s="56"/>
    </row>
    <row r="2283" spans="1:5" ht="15" hidden="1" customHeight="1">
      <c r="A2283" s="71"/>
    </row>
    <row r="2284" spans="1:5" ht="15" hidden="1" customHeight="1">
      <c r="A2284" s="71"/>
    </row>
    <row r="2285" spans="1:5" ht="15" hidden="1" customHeight="1">
      <c r="A2285" s="71"/>
    </row>
    <row r="2286" spans="1:5" ht="15" hidden="1" customHeight="1">
      <c r="A2286" s="71"/>
    </row>
    <row r="2287" spans="1:5" ht="15" hidden="1" customHeight="1">
      <c r="A2287" s="71"/>
    </row>
    <row r="2288" spans="1:5" ht="15" hidden="1" customHeight="1">
      <c r="A2288" s="71"/>
    </row>
    <row r="2289" spans="1:1" ht="15" hidden="1" customHeight="1">
      <c r="A2289" s="71"/>
    </row>
    <row r="2290" spans="1:1" ht="15" hidden="1" customHeight="1">
      <c r="A2290" s="71"/>
    </row>
    <row r="2291" spans="1:1" ht="15" hidden="1" customHeight="1">
      <c r="A2291" s="71"/>
    </row>
    <row r="2292" spans="1:1" ht="15" hidden="1" customHeight="1">
      <c r="A2292" s="71"/>
    </row>
    <row r="2293" spans="1:1" ht="15" hidden="1" customHeight="1">
      <c r="A2293" s="71"/>
    </row>
    <row r="2294" spans="1:1" ht="15" hidden="1" customHeight="1">
      <c r="A2294" s="71"/>
    </row>
    <row r="2295" spans="1:1" ht="15" hidden="1" customHeight="1">
      <c r="A2295" s="71"/>
    </row>
    <row r="2296" spans="1:1" ht="15" hidden="1" customHeight="1">
      <c r="A2296" s="71"/>
    </row>
    <row r="2297" spans="1:1" ht="15" hidden="1" customHeight="1">
      <c r="A2297" s="71"/>
    </row>
    <row r="2298" spans="1:1" ht="15" hidden="1" customHeight="1">
      <c r="A2298" s="71"/>
    </row>
    <row r="2299" spans="1:1" ht="15" hidden="1" customHeight="1">
      <c r="A2299" s="71"/>
    </row>
    <row r="2300" spans="1:1" ht="15" hidden="1" customHeight="1">
      <c r="A2300" s="71"/>
    </row>
    <row r="2301" spans="1:1" ht="15" hidden="1" customHeight="1">
      <c r="A2301" s="71"/>
    </row>
    <row r="2302" spans="1:1" ht="15" hidden="1" customHeight="1">
      <c r="A2302" s="71"/>
    </row>
    <row r="2303" spans="1:1" ht="15" hidden="1" customHeight="1">
      <c r="A2303" s="71"/>
    </row>
    <row r="2304" spans="1:1" ht="15" hidden="1" customHeight="1">
      <c r="A2304" s="71"/>
    </row>
    <row r="2305" spans="1:1" ht="15" hidden="1" customHeight="1">
      <c r="A2305" s="71"/>
    </row>
    <row r="2306" spans="1:1" ht="15" hidden="1" customHeight="1">
      <c r="A2306" s="71"/>
    </row>
    <row r="2307" spans="1:1" ht="15" hidden="1" customHeight="1">
      <c r="A2307" s="71"/>
    </row>
    <row r="2308" spans="1:1" ht="15" hidden="1" customHeight="1">
      <c r="A2308" s="71"/>
    </row>
    <row r="2309" spans="1:1" ht="15" hidden="1" customHeight="1">
      <c r="A2309" s="71"/>
    </row>
    <row r="2310" spans="1:1" ht="15" hidden="1" customHeight="1">
      <c r="A2310" s="71"/>
    </row>
    <row r="2311" spans="1:1" ht="15" hidden="1" customHeight="1">
      <c r="A2311" s="71"/>
    </row>
    <row r="2312" spans="1:1" ht="15" hidden="1" customHeight="1">
      <c r="A2312" s="71"/>
    </row>
    <row r="2313" spans="1:1" ht="15" hidden="1" customHeight="1">
      <c r="A2313" s="71"/>
    </row>
    <row r="2314" spans="1:1" ht="15" hidden="1" customHeight="1">
      <c r="A2314" s="71"/>
    </row>
    <row r="2315" spans="1:1" ht="15" hidden="1" customHeight="1">
      <c r="A2315" s="71"/>
    </row>
    <row r="2316" spans="1:1" ht="15" hidden="1" customHeight="1">
      <c r="A2316" s="71"/>
    </row>
    <row r="2317" spans="1:1" hidden="1">
      <c r="A2317" s="71"/>
    </row>
    <row r="2318" spans="1:1" hidden="1">
      <c r="A2318" s="71"/>
    </row>
    <row r="2319" spans="1:1" ht="15" hidden="1" customHeight="1">
      <c r="A2319" s="71"/>
    </row>
    <row r="2320" spans="1:1" ht="15" hidden="1" customHeight="1">
      <c r="A2320" s="71"/>
    </row>
    <row r="2321" spans="1:1" ht="15" hidden="1" customHeight="1">
      <c r="A2321" s="71"/>
    </row>
    <row r="2322" spans="1:1" ht="15" hidden="1" customHeight="1">
      <c r="A2322" s="71"/>
    </row>
    <row r="2323" spans="1:1" ht="15" hidden="1" customHeight="1">
      <c r="A2323" s="71"/>
    </row>
    <row r="2324" spans="1:1" ht="15" hidden="1" customHeight="1">
      <c r="A2324" s="71"/>
    </row>
    <row r="2325" spans="1:1" ht="15" hidden="1" customHeight="1">
      <c r="A2325" s="71"/>
    </row>
    <row r="2326" spans="1:1" ht="15" hidden="1" customHeight="1">
      <c r="A2326" s="71"/>
    </row>
    <row r="2327" spans="1:1" ht="15" hidden="1" customHeight="1">
      <c r="A2327" s="71"/>
    </row>
    <row r="2328" spans="1:1" ht="15" hidden="1" customHeight="1">
      <c r="A2328" s="71"/>
    </row>
    <row r="2329" spans="1:1" ht="15" hidden="1" customHeight="1">
      <c r="A2329" s="71"/>
    </row>
    <row r="2330" spans="1:1" ht="15" hidden="1" customHeight="1">
      <c r="A2330" s="71"/>
    </row>
    <row r="2331" spans="1:1" ht="15" hidden="1" customHeight="1">
      <c r="A2331" s="71"/>
    </row>
    <row r="2332" spans="1:1" ht="15" hidden="1" customHeight="1">
      <c r="A2332" s="71"/>
    </row>
    <row r="2333" spans="1:1" ht="15" hidden="1" customHeight="1">
      <c r="A2333" s="71"/>
    </row>
    <row r="2334" spans="1:1" ht="15" hidden="1" customHeight="1">
      <c r="A2334" s="71"/>
    </row>
    <row r="2335" spans="1:1" ht="15" hidden="1" customHeight="1">
      <c r="A2335" s="71"/>
    </row>
    <row r="2336" spans="1:1" ht="15" hidden="1" customHeight="1">
      <c r="A2336" s="71"/>
    </row>
    <row r="2337" spans="1:1" ht="15" hidden="1" customHeight="1">
      <c r="A2337" s="71"/>
    </row>
    <row r="2338" spans="1:1" ht="15" hidden="1" customHeight="1">
      <c r="A2338" s="71"/>
    </row>
    <row r="2339" spans="1:1" ht="15" hidden="1" customHeight="1">
      <c r="A2339" s="71"/>
    </row>
    <row r="2340" spans="1:1" ht="15" hidden="1" customHeight="1">
      <c r="A2340" s="71"/>
    </row>
    <row r="2341" spans="1:1" ht="15" hidden="1" customHeight="1">
      <c r="A2341" s="71"/>
    </row>
    <row r="2342" spans="1:1" ht="15" hidden="1" customHeight="1">
      <c r="A2342" s="71"/>
    </row>
    <row r="2343" spans="1:1" ht="15" hidden="1" customHeight="1">
      <c r="A2343" s="71"/>
    </row>
    <row r="2344" spans="1:1" ht="15" hidden="1" customHeight="1">
      <c r="A2344" s="71"/>
    </row>
    <row r="2345" spans="1:1" ht="15" hidden="1" customHeight="1">
      <c r="A2345" s="71"/>
    </row>
    <row r="2346" spans="1:1" ht="15" hidden="1" customHeight="1">
      <c r="A2346" s="71"/>
    </row>
    <row r="2347" spans="1:1" ht="15" hidden="1" customHeight="1">
      <c r="A2347" s="71"/>
    </row>
    <row r="2348" spans="1:1" ht="15" hidden="1" customHeight="1">
      <c r="A2348" s="71"/>
    </row>
    <row r="2349" spans="1:1" ht="15" hidden="1" customHeight="1">
      <c r="A2349" s="71"/>
    </row>
    <row r="2350" spans="1:1" ht="15" hidden="1" customHeight="1">
      <c r="A2350" s="71"/>
    </row>
    <row r="2351" spans="1:1" ht="15" hidden="1" customHeight="1">
      <c r="A2351" s="71"/>
    </row>
    <row r="2352" spans="1:1" ht="15" hidden="1" customHeight="1">
      <c r="A2352" s="71"/>
    </row>
    <row r="2353" spans="1:5" hidden="1">
      <c r="A2353" s="71"/>
      <c r="E2353" s="56"/>
    </row>
    <row r="2354" spans="1:5" ht="15" hidden="1" customHeight="1">
      <c r="A2354" s="71"/>
    </row>
    <row r="2355" spans="1:5" ht="15" hidden="1" customHeight="1">
      <c r="A2355" s="71"/>
    </row>
    <row r="2356" spans="1:5" ht="15" hidden="1" customHeight="1">
      <c r="A2356" s="71"/>
    </row>
    <row r="2357" spans="1:5" ht="15" hidden="1" customHeight="1">
      <c r="A2357" s="71"/>
    </row>
    <row r="2358" spans="1:5" ht="15" hidden="1" customHeight="1">
      <c r="A2358" s="71"/>
    </row>
    <row r="2359" spans="1:5" ht="15" hidden="1" customHeight="1">
      <c r="A2359" s="71"/>
    </row>
    <row r="2360" spans="1:5" ht="15" hidden="1" customHeight="1">
      <c r="A2360" s="71"/>
    </row>
    <row r="2361" spans="1:5" ht="15" hidden="1" customHeight="1">
      <c r="A2361" s="71"/>
    </row>
    <row r="2362" spans="1:5" ht="15" hidden="1" customHeight="1">
      <c r="A2362" s="71"/>
    </row>
    <row r="2363" spans="1:5" ht="15" hidden="1" customHeight="1">
      <c r="A2363" s="71"/>
    </row>
    <row r="2364" spans="1:5" ht="15" hidden="1" customHeight="1">
      <c r="A2364" s="71"/>
    </row>
    <row r="2365" spans="1:5" ht="15" hidden="1" customHeight="1">
      <c r="A2365" s="71"/>
    </row>
    <row r="2366" spans="1:5" ht="15" hidden="1" customHeight="1">
      <c r="A2366" s="71"/>
    </row>
    <row r="2367" spans="1:5" ht="15" hidden="1" customHeight="1">
      <c r="A2367" s="71"/>
    </row>
    <row r="2368" spans="1:5" ht="15" hidden="1" customHeight="1">
      <c r="A2368" s="71"/>
    </row>
    <row r="2369" spans="1:1" ht="15" hidden="1" customHeight="1">
      <c r="A2369" s="71"/>
    </row>
    <row r="2370" spans="1:1" ht="15" hidden="1" customHeight="1">
      <c r="A2370" s="71"/>
    </row>
    <row r="2371" spans="1:1" ht="15" hidden="1" customHeight="1">
      <c r="A2371" s="71"/>
    </row>
    <row r="2372" spans="1:1" ht="15" hidden="1" customHeight="1">
      <c r="A2372" s="71"/>
    </row>
    <row r="2373" spans="1:1" ht="15" hidden="1" customHeight="1">
      <c r="A2373" s="71"/>
    </row>
    <row r="2374" spans="1:1" ht="15" hidden="1" customHeight="1">
      <c r="A2374" s="71"/>
    </row>
    <row r="2375" spans="1:1" ht="15" hidden="1" customHeight="1">
      <c r="A2375" s="71"/>
    </row>
    <row r="2376" spans="1:1" ht="15" hidden="1" customHeight="1">
      <c r="A2376" s="71"/>
    </row>
    <row r="2377" spans="1:1" ht="15" hidden="1" customHeight="1">
      <c r="A2377" s="71"/>
    </row>
    <row r="2378" spans="1:1" ht="15" hidden="1" customHeight="1">
      <c r="A2378" s="71"/>
    </row>
    <row r="2379" spans="1:1" ht="15" hidden="1" customHeight="1">
      <c r="A2379" s="71"/>
    </row>
    <row r="2380" spans="1:1" hidden="1">
      <c r="A2380" s="71"/>
    </row>
    <row r="2381" spans="1:1" ht="15" hidden="1" customHeight="1">
      <c r="A2381" s="71"/>
    </row>
    <row r="2382" spans="1:1" ht="15" hidden="1" customHeight="1">
      <c r="A2382" s="71"/>
    </row>
    <row r="2383" spans="1:1" ht="15" hidden="1" customHeight="1">
      <c r="A2383" s="71"/>
    </row>
    <row r="2384" spans="1:1" ht="15" hidden="1" customHeight="1">
      <c r="A2384" s="71"/>
    </row>
    <row r="2385" spans="1:1" ht="15" hidden="1" customHeight="1">
      <c r="A2385" s="71"/>
    </row>
    <row r="2386" spans="1:1" ht="15" hidden="1" customHeight="1">
      <c r="A2386" s="71"/>
    </row>
    <row r="2387" spans="1:1" ht="15" hidden="1" customHeight="1">
      <c r="A2387" s="71"/>
    </row>
    <row r="2388" spans="1:1" ht="15" hidden="1" customHeight="1">
      <c r="A2388" s="71"/>
    </row>
    <row r="2389" spans="1:1" ht="15" hidden="1" customHeight="1">
      <c r="A2389" s="71"/>
    </row>
    <row r="2390" spans="1:1" ht="15" hidden="1" customHeight="1">
      <c r="A2390" s="71"/>
    </row>
    <row r="2391" spans="1:1" ht="15" hidden="1" customHeight="1">
      <c r="A2391" s="71"/>
    </row>
    <row r="2392" spans="1:1" ht="15" hidden="1" customHeight="1">
      <c r="A2392" s="71"/>
    </row>
    <row r="2393" spans="1:1" ht="15" hidden="1" customHeight="1">
      <c r="A2393" s="71"/>
    </row>
    <row r="2394" spans="1:1" ht="15" hidden="1" customHeight="1">
      <c r="A2394" s="71"/>
    </row>
    <row r="2395" spans="1:1" ht="15" hidden="1" customHeight="1">
      <c r="A2395" s="71"/>
    </row>
    <row r="2396" spans="1:1" ht="15" hidden="1" customHeight="1">
      <c r="A2396" s="71"/>
    </row>
    <row r="2397" spans="1:1" ht="15" hidden="1" customHeight="1">
      <c r="A2397" s="71"/>
    </row>
    <row r="2398" spans="1:1" ht="15" hidden="1" customHeight="1">
      <c r="A2398" s="71"/>
    </row>
    <row r="2399" spans="1:1" ht="15" hidden="1" customHeight="1">
      <c r="A2399" s="71"/>
    </row>
    <row r="2400" spans="1:1" ht="15" hidden="1" customHeight="1">
      <c r="A2400" s="71"/>
    </row>
    <row r="2401" spans="1:1" ht="15" hidden="1" customHeight="1">
      <c r="A2401" s="71"/>
    </row>
    <row r="2402" spans="1:1" ht="15" hidden="1" customHeight="1">
      <c r="A2402" s="71"/>
    </row>
    <row r="2403" spans="1:1" ht="15" hidden="1" customHeight="1">
      <c r="A2403" s="71"/>
    </row>
    <row r="2404" spans="1:1" ht="15" hidden="1" customHeight="1">
      <c r="A2404" s="71"/>
    </row>
    <row r="2405" spans="1:1" ht="15" hidden="1" customHeight="1">
      <c r="A2405" s="71"/>
    </row>
    <row r="2406" spans="1:1" ht="15" hidden="1" customHeight="1">
      <c r="A2406" s="71"/>
    </row>
    <row r="2407" spans="1:1" ht="15" hidden="1" customHeight="1">
      <c r="A2407" s="71"/>
    </row>
    <row r="2408" spans="1:1" ht="15" hidden="1" customHeight="1">
      <c r="A2408" s="71"/>
    </row>
    <row r="2409" spans="1:1" ht="15" hidden="1" customHeight="1">
      <c r="A2409" s="71"/>
    </row>
    <row r="2410" spans="1:1" ht="15" hidden="1" customHeight="1">
      <c r="A2410" s="71"/>
    </row>
    <row r="2411" spans="1:1" ht="15" hidden="1" customHeight="1">
      <c r="A2411" s="71"/>
    </row>
    <row r="2412" spans="1:1" ht="15" hidden="1" customHeight="1">
      <c r="A2412" s="71"/>
    </row>
    <row r="2413" spans="1:1" ht="15" hidden="1" customHeight="1">
      <c r="A2413" s="71"/>
    </row>
    <row r="2414" spans="1:1" ht="15" hidden="1" customHeight="1">
      <c r="A2414" s="71"/>
    </row>
    <row r="2415" spans="1:1" ht="15" hidden="1" customHeight="1">
      <c r="A2415" s="71"/>
    </row>
    <row r="2416" spans="1:1" ht="15" hidden="1" customHeight="1">
      <c r="A2416" s="71"/>
    </row>
    <row r="2417" spans="1:1" ht="15" hidden="1" customHeight="1">
      <c r="A2417" s="71"/>
    </row>
    <row r="2418" spans="1:1" ht="15" hidden="1" customHeight="1">
      <c r="A2418" s="71"/>
    </row>
    <row r="2419" spans="1:1" ht="15" hidden="1" customHeight="1">
      <c r="A2419" s="71"/>
    </row>
    <row r="2420" spans="1:1" ht="15" hidden="1" customHeight="1">
      <c r="A2420" s="71"/>
    </row>
    <row r="2421" spans="1:1" ht="15" hidden="1" customHeight="1">
      <c r="A2421" s="71"/>
    </row>
    <row r="2422" spans="1:1" ht="15" hidden="1" customHeight="1">
      <c r="A2422" s="71"/>
    </row>
    <row r="2423" spans="1:1" ht="15" hidden="1" customHeight="1">
      <c r="A2423" s="71"/>
    </row>
    <row r="2424" spans="1:1" ht="15" hidden="1" customHeight="1">
      <c r="A2424" s="71"/>
    </row>
    <row r="2425" spans="1:1" ht="15" hidden="1" customHeight="1">
      <c r="A2425" s="71"/>
    </row>
    <row r="2426" spans="1:1" ht="15" hidden="1" customHeight="1">
      <c r="A2426" s="71"/>
    </row>
    <row r="2427" spans="1:1" ht="15" hidden="1" customHeight="1">
      <c r="A2427" s="71"/>
    </row>
    <row r="2428" spans="1:1" hidden="1">
      <c r="A2428" s="71"/>
    </row>
    <row r="2429" spans="1:1" ht="15" hidden="1" customHeight="1">
      <c r="A2429" s="71"/>
    </row>
    <row r="2430" spans="1:1" ht="15" hidden="1" customHeight="1">
      <c r="A2430" s="71"/>
    </row>
    <row r="2431" spans="1:1" ht="15" hidden="1" customHeight="1">
      <c r="A2431" s="71"/>
    </row>
    <row r="2432" spans="1:1" ht="15" hidden="1" customHeight="1">
      <c r="A2432" s="71"/>
    </row>
    <row r="2433" spans="1:1" ht="15" hidden="1" customHeight="1">
      <c r="A2433" s="71"/>
    </row>
    <row r="2434" spans="1:1" ht="15" hidden="1" customHeight="1">
      <c r="A2434" s="71"/>
    </row>
    <row r="2435" spans="1:1" ht="15" hidden="1" customHeight="1">
      <c r="A2435" s="71"/>
    </row>
    <row r="2436" spans="1:1" ht="15" hidden="1" customHeight="1">
      <c r="A2436" s="71"/>
    </row>
    <row r="2437" spans="1:1" ht="15" hidden="1" customHeight="1">
      <c r="A2437" s="71"/>
    </row>
    <row r="2438" spans="1:1" ht="15" hidden="1" customHeight="1">
      <c r="A2438" s="71"/>
    </row>
    <row r="2439" spans="1:1" ht="15" hidden="1" customHeight="1">
      <c r="A2439" s="71"/>
    </row>
    <row r="2440" spans="1:1" ht="15" hidden="1" customHeight="1">
      <c r="A2440" s="71"/>
    </row>
    <row r="2441" spans="1:1" ht="15" hidden="1" customHeight="1">
      <c r="A2441" s="71"/>
    </row>
    <row r="2442" spans="1:1" ht="15" hidden="1" customHeight="1">
      <c r="A2442" s="71"/>
    </row>
    <row r="2443" spans="1:1" ht="15" hidden="1" customHeight="1">
      <c r="A2443" s="71"/>
    </row>
    <row r="2444" spans="1:1" ht="15" hidden="1" customHeight="1">
      <c r="A2444" s="71"/>
    </row>
    <row r="2445" spans="1:1" ht="15" hidden="1" customHeight="1">
      <c r="A2445" s="71"/>
    </row>
    <row r="2446" spans="1:1" ht="15" hidden="1" customHeight="1">
      <c r="A2446" s="71"/>
    </row>
    <row r="2447" spans="1:1" ht="15" hidden="1" customHeight="1">
      <c r="A2447" s="71"/>
    </row>
    <row r="2448" spans="1:1" ht="15" hidden="1" customHeight="1">
      <c r="A2448" s="71"/>
    </row>
    <row r="2449" spans="1:5" ht="15" hidden="1" customHeight="1">
      <c r="A2449" s="71"/>
    </row>
    <row r="2450" spans="1:5" ht="15" hidden="1" customHeight="1">
      <c r="A2450" s="71"/>
    </row>
    <row r="2451" spans="1:5" ht="15" hidden="1" customHeight="1">
      <c r="A2451" s="71"/>
    </row>
    <row r="2452" spans="1:5" ht="15" hidden="1" customHeight="1">
      <c r="A2452" s="71"/>
    </row>
    <row r="2453" spans="1:5" ht="15" hidden="1" customHeight="1">
      <c r="A2453" s="71"/>
    </row>
    <row r="2454" spans="1:5" ht="15" hidden="1" customHeight="1">
      <c r="A2454" s="71"/>
    </row>
    <row r="2455" spans="1:5" ht="15" hidden="1" customHeight="1">
      <c r="A2455" s="71"/>
    </row>
    <row r="2456" spans="1:5" ht="15" hidden="1" customHeight="1">
      <c r="A2456" s="71"/>
    </row>
    <row r="2457" spans="1:5" ht="15" hidden="1" customHeight="1">
      <c r="A2457" s="71"/>
    </row>
    <row r="2458" spans="1:5" ht="15" hidden="1" customHeight="1">
      <c r="A2458" s="71"/>
    </row>
    <row r="2459" spans="1:5" ht="15" hidden="1" customHeight="1">
      <c r="A2459" s="71"/>
    </row>
    <row r="2460" spans="1:5" ht="15" hidden="1" customHeight="1">
      <c r="A2460" s="71"/>
    </row>
    <row r="2461" spans="1:5" ht="15" hidden="1" customHeight="1">
      <c r="A2461" s="71"/>
    </row>
    <row r="2462" spans="1:5" hidden="1">
      <c r="A2462" s="71"/>
      <c r="E2462" s="56"/>
    </row>
    <row r="2463" spans="1:5" hidden="1">
      <c r="A2463" s="71"/>
      <c r="E2463" s="56"/>
    </row>
    <row r="2464" spans="1:5" ht="15" hidden="1" customHeight="1">
      <c r="A2464" s="71"/>
    </row>
    <row r="2465" spans="1:1" ht="15" hidden="1" customHeight="1">
      <c r="A2465" s="71"/>
    </row>
    <row r="2466" spans="1:1" ht="15" hidden="1" customHeight="1">
      <c r="A2466" s="71"/>
    </row>
    <row r="2467" spans="1:1" ht="15" hidden="1" customHeight="1">
      <c r="A2467" s="71"/>
    </row>
    <row r="2468" spans="1:1" ht="15" hidden="1" customHeight="1">
      <c r="A2468" s="71"/>
    </row>
    <row r="2469" spans="1:1" ht="15" hidden="1" customHeight="1">
      <c r="A2469" s="71"/>
    </row>
    <row r="2470" spans="1:1" ht="15" hidden="1" customHeight="1">
      <c r="A2470" s="71"/>
    </row>
    <row r="2471" spans="1:1" ht="15" hidden="1" customHeight="1">
      <c r="A2471" s="71"/>
    </row>
    <row r="2472" spans="1:1" ht="15" hidden="1" customHeight="1">
      <c r="A2472" s="71"/>
    </row>
    <row r="2473" spans="1:1" ht="15" hidden="1" customHeight="1">
      <c r="A2473" s="71"/>
    </row>
    <row r="2474" spans="1:1" ht="15" hidden="1" customHeight="1">
      <c r="A2474" s="71"/>
    </row>
    <row r="2475" spans="1:1" ht="15" hidden="1" customHeight="1">
      <c r="A2475" s="71"/>
    </row>
    <row r="2476" spans="1:1" ht="15" hidden="1" customHeight="1">
      <c r="A2476" s="71"/>
    </row>
    <row r="2477" spans="1:1" ht="15" hidden="1" customHeight="1">
      <c r="A2477" s="71"/>
    </row>
    <row r="2478" spans="1:1" ht="15" hidden="1" customHeight="1">
      <c r="A2478" s="71"/>
    </row>
    <row r="2479" spans="1:1" ht="15" hidden="1" customHeight="1">
      <c r="A2479" s="71"/>
    </row>
    <row r="2480" spans="1:1" ht="15" hidden="1" customHeight="1">
      <c r="A2480" s="71"/>
    </row>
    <row r="2481" spans="1:1" ht="15" hidden="1" customHeight="1">
      <c r="A2481" s="71"/>
    </row>
    <row r="2482" spans="1:1" ht="15" hidden="1" customHeight="1">
      <c r="A2482" s="71"/>
    </row>
    <row r="2483" spans="1:1" ht="15" hidden="1" customHeight="1">
      <c r="A2483" s="71"/>
    </row>
    <row r="2484" spans="1:1" ht="15" hidden="1" customHeight="1">
      <c r="A2484" s="71"/>
    </row>
    <row r="2485" spans="1:1" ht="15" hidden="1" customHeight="1">
      <c r="A2485" s="71"/>
    </row>
    <row r="2486" spans="1:1" ht="15" hidden="1" customHeight="1">
      <c r="A2486" s="71"/>
    </row>
    <row r="2487" spans="1:1" ht="15" hidden="1" customHeight="1">
      <c r="A2487" s="71"/>
    </row>
    <row r="2488" spans="1:1" ht="15" hidden="1" customHeight="1">
      <c r="A2488" s="71"/>
    </row>
    <row r="2489" spans="1:1" ht="15" hidden="1" customHeight="1">
      <c r="A2489" s="71"/>
    </row>
    <row r="2490" spans="1:1" ht="15" hidden="1" customHeight="1">
      <c r="A2490" s="71"/>
    </row>
    <row r="2491" spans="1:1" ht="15" hidden="1" customHeight="1">
      <c r="A2491" s="71"/>
    </row>
    <row r="2492" spans="1:1" ht="15" hidden="1" customHeight="1">
      <c r="A2492" s="71"/>
    </row>
    <row r="2493" spans="1:1" ht="15" hidden="1" customHeight="1">
      <c r="A2493" s="71"/>
    </row>
    <row r="2494" spans="1:1" ht="15" hidden="1" customHeight="1">
      <c r="A2494" s="71"/>
    </row>
    <row r="2495" spans="1:1" ht="15" hidden="1" customHeight="1">
      <c r="A2495" s="71"/>
    </row>
    <row r="2496" spans="1:1" ht="15" hidden="1" customHeight="1">
      <c r="A2496" s="71"/>
    </row>
    <row r="2497" spans="1:5" ht="15" hidden="1" customHeight="1">
      <c r="A2497" s="71"/>
    </row>
    <row r="2498" spans="1:5" ht="15" hidden="1" customHeight="1">
      <c r="A2498" s="71"/>
    </row>
    <row r="2499" spans="1:5" ht="15" hidden="1" customHeight="1">
      <c r="A2499" s="71"/>
    </row>
    <row r="2500" spans="1:5" ht="15" hidden="1" customHeight="1">
      <c r="A2500" s="71"/>
    </row>
    <row r="2501" spans="1:5" ht="15" hidden="1" customHeight="1">
      <c r="A2501" s="71"/>
    </row>
    <row r="2502" spans="1:5" ht="15" hidden="1" customHeight="1">
      <c r="A2502" s="71"/>
    </row>
    <row r="2503" spans="1:5" ht="15" hidden="1" customHeight="1">
      <c r="A2503" s="71"/>
    </row>
    <row r="2504" spans="1:5" ht="15" hidden="1" customHeight="1">
      <c r="A2504" s="71"/>
    </row>
    <row r="2505" spans="1:5" ht="15" hidden="1" customHeight="1">
      <c r="A2505" s="71"/>
    </row>
    <row r="2506" spans="1:5" hidden="1">
      <c r="A2506" s="71"/>
      <c r="E2506" s="56"/>
    </row>
    <row r="2507" spans="1:5" ht="15" hidden="1" customHeight="1">
      <c r="A2507" s="71"/>
    </row>
    <row r="2508" spans="1:5" ht="15" hidden="1" customHeight="1">
      <c r="A2508" s="71"/>
    </row>
    <row r="2509" spans="1:5" ht="15" hidden="1" customHeight="1">
      <c r="A2509" s="71"/>
    </row>
    <row r="2510" spans="1:5" ht="15" hidden="1" customHeight="1">
      <c r="A2510" s="71"/>
    </row>
    <row r="2511" spans="1:5" ht="15" hidden="1" customHeight="1">
      <c r="A2511" s="71"/>
    </row>
    <row r="2512" spans="1:5" ht="15" hidden="1" customHeight="1">
      <c r="A2512" s="71"/>
    </row>
    <row r="2513" spans="1:1" ht="15" hidden="1" customHeight="1">
      <c r="A2513" s="71"/>
    </row>
    <row r="2514" spans="1:1" ht="15" hidden="1" customHeight="1">
      <c r="A2514" s="71"/>
    </row>
    <row r="2515" spans="1:1" ht="15" hidden="1" customHeight="1">
      <c r="A2515" s="71"/>
    </row>
    <row r="2516" spans="1:1" ht="15" hidden="1" customHeight="1">
      <c r="A2516" s="71"/>
    </row>
    <row r="2517" spans="1:1" ht="15" hidden="1" customHeight="1">
      <c r="A2517" s="71"/>
    </row>
    <row r="2518" spans="1:1" ht="15" hidden="1" customHeight="1">
      <c r="A2518" s="71"/>
    </row>
    <row r="2519" spans="1:1" ht="15" hidden="1" customHeight="1">
      <c r="A2519" s="71"/>
    </row>
    <row r="2520" spans="1:1" ht="15" hidden="1" customHeight="1">
      <c r="A2520" s="71"/>
    </row>
    <row r="2521" spans="1:1" ht="15" hidden="1" customHeight="1">
      <c r="A2521" s="71"/>
    </row>
    <row r="2522" spans="1:1" ht="15" hidden="1" customHeight="1">
      <c r="A2522" s="71"/>
    </row>
    <row r="2523" spans="1:1" ht="15" hidden="1" customHeight="1">
      <c r="A2523" s="71"/>
    </row>
    <row r="2524" spans="1:1" ht="15" hidden="1" customHeight="1">
      <c r="A2524" s="71"/>
    </row>
    <row r="2525" spans="1:1" ht="15" hidden="1" customHeight="1">
      <c r="A2525" s="71"/>
    </row>
    <row r="2526" spans="1:1" ht="15" hidden="1" customHeight="1">
      <c r="A2526" s="71"/>
    </row>
    <row r="2527" spans="1:1" ht="15" hidden="1" customHeight="1">
      <c r="A2527" s="71"/>
    </row>
    <row r="2528" spans="1:1" ht="15" hidden="1" customHeight="1">
      <c r="A2528" s="71"/>
    </row>
    <row r="2529" spans="1:1" ht="15" hidden="1" customHeight="1">
      <c r="A2529" s="71"/>
    </row>
    <row r="2530" spans="1:1" ht="15" hidden="1" customHeight="1">
      <c r="A2530" s="71"/>
    </row>
    <row r="2531" spans="1:1" ht="15" hidden="1" customHeight="1">
      <c r="A2531" s="71"/>
    </row>
    <row r="2532" spans="1:1" ht="15" hidden="1" customHeight="1">
      <c r="A2532" s="71"/>
    </row>
    <row r="2533" spans="1:1" ht="15" hidden="1" customHeight="1">
      <c r="A2533" s="71"/>
    </row>
    <row r="2534" spans="1:1" ht="15" hidden="1" customHeight="1">
      <c r="A2534" s="71"/>
    </row>
    <row r="2535" spans="1:1" ht="15" hidden="1" customHeight="1">
      <c r="A2535" s="71"/>
    </row>
    <row r="2536" spans="1:1" ht="15" hidden="1" customHeight="1">
      <c r="A2536" s="71"/>
    </row>
    <row r="2537" spans="1:1" ht="15" hidden="1" customHeight="1">
      <c r="A2537" s="71"/>
    </row>
    <row r="2538" spans="1:1" ht="15" hidden="1" customHeight="1">
      <c r="A2538" s="71"/>
    </row>
    <row r="2539" spans="1:1" ht="15" hidden="1" customHeight="1">
      <c r="A2539" s="71"/>
    </row>
    <row r="2540" spans="1:1" ht="15" hidden="1" customHeight="1">
      <c r="A2540" s="71"/>
    </row>
    <row r="2541" spans="1:1" ht="15" hidden="1" customHeight="1">
      <c r="A2541" s="71"/>
    </row>
    <row r="2542" spans="1:1" ht="15" hidden="1" customHeight="1">
      <c r="A2542" s="71"/>
    </row>
    <row r="2543" spans="1:1" ht="15" hidden="1" customHeight="1">
      <c r="A2543" s="71"/>
    </row>
    <row r="2544" spans="1:1" ht="15" hidden="1" customHeight="1">
      <c r="A2544" s="71"/>
    </row>
    <row r="2545" spans="1:1" ht="15" hidden="1" customHeight="1">
      <c r="A2545" s="71"/>
    </row>
    <row r="2546" spans="1:1" ht="15" hidden="1" customHeight="1">
      <c r="A2546" s="71"/>
    </row>
    <row r="2547" spans="1:1" ht="15" hidden="1" customHeight="1">
      <c r="A2547" s="71"/>
    </row>
    <row r="2548" spans="1:1" ht="15" hidden="1" customHeight="1">
      <c r="A2548" s="71"/>
    </row>
    <row r="2549" spans="1:1" ht="15" hidden="1" customHeight="1">
      <c r="A2549" s="71"/>
    </row>
    <row r="2550" spans="1:1" ht="15" hidden="1" customHeight="1">
      <c r="A2550" s="71"/>
    </row>
    <row r="2551" spans="1:1" ht="15" hidden="1" customHeight="1">
      <c r="A2551" s="71"/>
    </row>
    <row r="2552" spans="1:1" ht="15" hidden="1" customHeight="1">
      <c r="A2552" s="71"/>
    </row>
    <row r="2553" spans="1:1" ht="15" hidden="1" customHeight="1">
      <c r="A2553" s="71"/>
    </row>
    <row r="2554" spans="1:1" ht="15" hidden="1" customHeight="1">
      <c r="A2554" s="71"/>
    </row>
    <row r="2555" spans="1:1" ht="15" hidden="1" customHeight="1">
      <c r="A2555" s="71"/>
    </row>
    <row r="2556" spans="1:1" ht="15" hidden="1" customHeight="1">
      <c r="A2556" s="71"/>
    </row>
    <row r="2557" spans="1:1" ht="15" hidden="1" customHeight="1">
      <c r="A2557" s="71"/>
    </row>
    <row r="2558" spans="1:1" ht="15" hidden="1" customHeight="1">
      <c r="A2558" s="71"/>
    </row>
    <row r="2559" spans="1:1" ht="15" hidden="1" customHeight="1">
      <c r="A2559" s="71"/>
    </row>
    <row r="2560" spans="1:1" ht="15" hidden="1" customHeight="1">
      <c r="A2560" s="71"/>
    </row>
    <row r="2561" spans="1:5" ht="15" hidden="1" customHeight="1">
      <c r="A2561" s="71"/>
    </row>
    <row r="2562" spans="1:5" hidden="1">
      <c r="A2562" s="71"/>
      <c r="E2562" s="56"/>
    </row>
    <row r="2563" spans="1:5" ht="15" hidden="1" customHeight="1">
      <c r="A2563" s="71"/>
    </row>
    <row r="2564" spans="1:5" ht="15" hidden="1" customHeight="1">
      <c r="A2564" s="71"/>
    </row>
    <row r="2565" spans="1:5" ht="15" hidden="1" customHeight="1">
      <c r="A2565" s="71"/>
    </row>
    <row r="2566" spans="1:5" ht="15" hidden="1" customHeight="1">
      <c r="A2566" s="71"/>
    </row>
    <row r="2567" spans="1:5" ht="15" hidden="1" customHeight="1">
      <c r="A2567" s="71"/>
    </row>
    <row r="2568" spans="1:5" ht="15" hidden="1" customHeight="1">
      <c r="A2568" s="71"/>
    </row>
    <row r="2569" spans="1:5" ht="15" hidden="1" customHeight="1">
      <c r="A2569" s="71"/>
    </row>
    <row r="2570" spans="1:5" ht="15" hidden="1" customHeight="1">
      <c r="A2570" s="71"/>
    </row>
    <row r="2571" spans="1:5" ht="15" hidden="1" customHeight="1">
      <c r="A2571" s="71"/>
    </row>
    <row r="2572" spans="1:5" ht="15" hidden="1" customHeight="1">
      <c r="A2572" s="71"/>
    </row>
    <row r="2573" spans="1:5" ht="15" hidden="1" customHeight="1">
      <c r="A2573" s="71"/>
    </row>
    <row r="2574" spans="1:5" ht="15" hidden="1" customHeight="1">
      <c r="A2574" s="71"/>
    </row>
    <row r="2575" spans="1:5" ht="15" hidden="1" customHeight="1">
      <c r="A2575" s="71"/>
    </row>
    <row r="2576" spans="1:5" ht="15" hidden="1" customHeight="1">
      <c r="A2576" s="71"/>
    </row>
    <row r="2577" spans="1:1" ht="15" hidden="1" customHeight="1">
      <c r="A2577" s="71"/>
    </row>
    <row r="2578" spans="1:1" ht="15" hidden="1" customHeight="1">
      <c r="A2578" s="71"/>
    </row>
    <row r="2579" spans="1:1" ht="15" hidden="1" customHeight="1">
      <c r="A2579" s="71"/>
    </row>
    <row r="2580" spans="1:1" ht="15" hidden="1" customHeight="1">
      <c r="A2580" s="71"/>
    </row>
    <row r="2581" spans="1:1" ht="15" hidden="1" customHeight="1">
      <c r="A2581" s="71"/>
    </row>
    <row r="2582" spans="1:1" ht="15" hidden="1" customHeight="1">
      <c r="A2582" s="71"/>
    </row>
    <row r="2583" spans="1:1" ht="15" hidden="1" customHeight="1">
      <c r="A2583" s="71"/>
    </row>
    <row r="2584" spans="1:1" ht="15" hidden="1" customHeight="1">
      <c r="A2584" s="71"/>
    </row>
    <row r="2585" spans="1:1" ht="15" hidden="1" customHeight="1">
      <c r="A2585" s="71"/>
    </row>
    <row r="2586" spans="1:1" ht="15" hidden="1" customHeight="1">
      <c r="A2586" s="71"/>
    </row>
    <row r="2587" spans="1:1" ht="15" hidden="1" customHeight="1">
      <c r="A2587" s="71"/>
    </row>
    <row r="2588" spans="1:1" ht="15" hidden="1" customHeight="1">
      <c r="A2588" s="71"/>
    </row>
    <row r="2589" spans="1:1" ht="15" hidden="1" customHeight="1">
      <c r="A2589" s="71"/>
    </row>
    <row r="2590" spans="1:1" ht="15" hidden="1" customHeight="1">
      <c r="A2590" s="71"/>
    </row>
    <row r="2591" spans="1:1" ht="15" hidden="1" customHeight="1">
      <c r="A2591" s="71"/>
    </row>
    <row r="2592" spans="1:1" ht="15" hidden="1" customHeight="1">
      <c r="A2592" s="71"/>
    </row>
    <row r="2593" spans="1:1" ht="15" hidden="1" customHeight="1">
      <c r="A2593" s="71"/>
    </row>
    <row r="2594" spans="1:1" ht="15" hidden="1" customHeight="1">
      <c r="A2594" s="71"/>
    </row>
    <row r="2595" spans="1:1" ht="15" hidden="1" customHeight="1">
      <c r="A2595" s="71"/>
    </row>
    <row r="2596" spans="1:1" ht="15" hidden="1" customHeight="1">
      <c r="A2596" s="71"/>
    </row>
    <row r="2597" spans="1:1" ht="15" hidden="1" customHeight="1">
      <c r="A2597" s="71"/>
    </row>
    <row r="2598" spans="1:1" ht="15" hidden="1" customHeight="1">
      <c r="A2598" s="71"/>
    </row>
    <row r="2599" spans="1:1" ht="15" hidden="1" customHeight="1">
      <c r="A2599" s="71"/>
    </row>
    <row r="2600" spans="1:1" ht="15" hidden="1" customHeight="1">
      <c r="A2600" s="71"/>
    </row>
    <row r="2601" spans="1:1" ht="15" hidden="1" customHeight="1">
      <c r="A2601" s="71"/>
    </row>
    <row r="2602" spans="1:1" ht="15" hidden="1" customHeight="1">
      <c r="A2602" s="71"/>
    </row>
    <row r="2603" spans="1:1" ht="15" hidden="1" customHeight="1">
      <c r="A2603" s="71"/>
    </row>
    <row r="2604" spans="1:1" ht="15" hidden="1" customHeight="1">
      <c r="A2604" s="71"/>
    </row>
    <row r="2605" spans="1:1" ht="15" hidden="1" customHeight="1">
      <c r="A2605" s="71"/>
    </row>
    <row r="2606" spans="1:1" ht="15" hidden="1" customHeight="1">
      <c r="A2606" s="71"/>
    </row>
    <row r="2607" spans="1:1" ht="15" hidden="1" customHeight="1">
      <c r="A2607" s="71"/>
    </row>
    <row r="2608" spans="1:1" ht="15" hidden="1" customHeight="1">
      <c r="A2608" s="71"/>
    </row>
    <row r="2609" spans="1:3" ht="15" hidden="1" customHeight="1">
      <c r="A2609" s="71"/>
    </row>
    <row r="2610" spans="1:3" ht="15" hidden="1" customHeight="1">
      <c r="A2610" s="71"/>
    </row>
    <row r="2611" spans="1:3" ht="15" hidden="1" customHeight="1">
      <c r="A2611" s="71"/>
    </row>
    <row r="2612" spans="1:3" ht="15" hidden="1" customHeight="1">
      <c r="A2612" s="71"/>
    </row>
    <row r="2613" spans="1:3" ht="15" hidden="1" customHeight="1">
      <c r="A2613" s="71"/>
    </row>
    <row r="2614" spans="1:3" ht="15" hidden="1" customHeight="1">
      <c r="A2614" s="71"/>
    </row>
    <row r="2615" spans="1:3" ht="15" hidden="1" customHeight="1">
      <c r="A2615" s="71"/>
    </row>
    <row r="2616" spans="1:3" ht="15" hidden="1" customHeight="1">
      <c r="A2616" s="71"/>
    </row>
    <row r="2617" spans="1:3" ht="15" hidden="1" customHeight="1">
      <c r="A2617" s="71"/>
    </row>
    <row r="2618" spans="1:3" ht="15" hidden="1" customHeight="1">
      <c r="A2618" s="71"/>
    </row>
    <row r="2619" spans="1:3" hidden="1">
      <c r="A2619" s="71"/>
      <c r="C2619" s="47"/>
    </row>
    <row r="2620" spans="1:3" ht="15" hidden="1" customHeight="1">
      <c r="A2620" s="71"/>
    </row>
    <row r="2621" spans="1:3" ht="15" hidden="1" customHeight="1">
      <c r="A2621" s="71"/>
    </row>
    <row r="2622" spans="1:3" ht="15" hidden="1" customHeight="1">
      <c r="A2622" s="71"/>
    </row>
    <row r="2623" spans="1:3" ht="15" hidden="1" customHeight="1">
      <c r="A2623" s="71"/>
    </row>
    <row r="2624" spans="1:3" ht="15" hidden="1" customHeight="1">
      <c r="A2624" s="71"/>
    </row>
    <row r="2625" spans="1:1" ht="15" hidden="1" customHeight="1">
      <c r="A2625" s="71"/>
    </row>
    <row r="2626" spans="1:1" ht="15" hidden="1" customHeight="1">
      <c r="A2626" s="71"/>
    </row>
    <row r="2627" spans="1:1" ht="15" hidden="1" customHeight="1">
      <c r="A2627" s="71"/>
    </row>
    <row r="2628" spans="1:1" hidden="1">
      <c r="A2628" s="71"/>
    </row>
    <row r="2629" spans="1:1" hidden="1">
      <c r="A2629" s="71"/>
    </row>
    <row r="2630" spans="1:1" ht="15" hidden="1" customHeight="1">
      <c r="A2630" s="71"/>
    </row>
    <row r="2631" spans="1:1" ht="15" hidden="1" customHeight="1">
      <c r="A2631" s="71"/>
    </row>
    <row r="2632" spans="1:1" ht="15" hidden="1" customHeight="1">
      <c r="A2632" s="71"/>
    </row>
    <row r="2633" spans="1:1" ht="15" hidden="1" customHeight="1">
      <c r="A2633" s="71"/>
    </row>
    <row r="2634" spans="1:1" ht="15" hidden="1" customHeight="1">
      <c r="A2634" s="71"/>
    </row>
    <row r="2635" spans="1:1" ht="15" hidden="1" customHeight="1">
      <c r="A2635" s="71"/>
    </row>
    <row r="2636" spans="1:1" ht="15" hidden="1" customHeight="1">
      <c r="A2636" s="71"/>
    </row>
    <row r="2637" spans="1:1" ht="15" hidden="1" customHeight="1">
      <c r="A2637" s="71"/>
    </row>
    <row r="2638" spans="1:1" ht="15" hidden="1" customHeight="1">
      <c r="A2638" s="71"/>
    </row>
    <row r="2639" spans="1:1" ht="15" hidden="1" customHeight="1">
      <c r="A2639" s="71"/>
    </row>
    <row r="2640" spans="1:1" ht="15" hidden="1" customHeight="1">
      <c r="A2640" s="71"/>
    </row>
    <row r="2641" spans="1:1" ht="15" hidden="1" customHeight="1">
      <c r="A2641" s="71"/>
    </row>
    <row r="2642" spans="1:1" ht="15" hidden="1" customHeight="1">
      <c r="A2642" s="71"/>
    </row>
    <row r="2643" spans="1:1" ht="15" hidden="1" customHeight="1">
      <c r="A2643" s="71"/>
    </row>
    <row r="2644" spans="1:1" ht="15" hidden="1" customHeight="1">
      <c r="A2644" s="71"/>
    </row>
    <row r="2645" spans="1:1" ht="15" hidden="1" customHeight="1">
      <c r="A2645" s="71"/>
    </row>
    <row r="2646" spans="1:1" ht="15" hidden="1" customHeight="1">
      <c r="A2646" s="71"/>
    </row>
    <row r="2647" spans="1:1" ht="15" hidden="1" customHeight="1">
      <c r="A2647" s="71"/>
    </row>
    <row r="2648" spans="1:1" ht="15" hidden="1" customHeight="1">
      <c r="A2648" s="71"/>
    </row>
    <row r="2649" spans="1:1" ht="15" hidden="1" customHeight="1">
      <c r="A2649" s="71"/>
    </row>
    <row r="2650" spans="1:1" ht="15" hidden="1" customHeight="1">
      <c r="A2650" s="71"/>
    </row>
    <row r="2651" spans="1:1" ht="15" hidden="1" customHeight="1">
      <c r="A2651" s="71"/>
    </row>
    <row r="2652" spans="1:1" ht="15" hidden="1" customHeight="1">
      <c r="A2652" s="71"/>
    </row>
    <row r="2653" spans="1:1" ht="15" hidden="1" customHeight="1">
      <c r="A2653" s="71"/>
    </row>
    <row r="2654" spans="1:1" ht="15" hidden="1" customHeight="1">
      <c r="A2654" s="71"/>
    </row>
    <row r="2655" spans="1:1" ht="15" hidden="1" customHeight="1">
      <c r="A2655" s="71"/>
    </row>
    <row r="2656" spans="1:1" ht="15" hidden="1" customHeight="1">
      <c r="A2656" s="71"/>
    </row>
    <row r="2657" spans="1:1" ht="15" hidden="1" customHeight="1">
      <c r="A2657" s="71"/>
    </row>
    <row r="2658" spans="1:1" ht="15" hidden="1" customHeight="1">
      <c r="A2658" s="71"/>
    </row>
    <row r="2659" spans="1:1" ht="15" hidden="1" customHeight="1">
      <c r="A2659" s="71"/>
    </row>
    <row r="2660" spans="1:1" ht="15" hidden="1" customHeight="1">
      <c r="A2660" s="71"/>
    </row>
    <row r="2661" spans="1:1" ht="15" hidden="1" customHeight="1">
      <c r="A2661" s="71"/>
    </row>
    <row r="2662" spans="1:1" ht="15" hidden="1" customHeight="1">
      <c r="A2662" s="71"/>
    </row>
    <row r="2663" spans="1:1" ht="15" hidden="1" customHeight="1">
      <c r="A2663" s="71"/>
    </row>
    <row r="2664" spans="1:1" ht="15" hidden="1" customHeight="1">
      <c r="A2664" s="71"/>
    </row>
    <row r="2665" spans="1:1" ht="15" hidden="1" customHeight="1">
      <c r="A2665" s="71"/>
    </row>
    <row r="2666" spans="1:1" ht="15" hidden="1" customHeight="1">
      <c r="A2666" s="71"/>
    </row>
    <row r="2667" spans="1:1" ht="15" hidden="1" customHeight="1">
      <c r="A2667" s="71"/>
    </row>
    <row r="2668" spans="1:1" ht="15" hidden="1" customHeight="1">
      <c r="A2668" s="71"/>
    </row>
    <row r="2669" spans="1:1" ht="15" hidden="1" customHeight="1">
      <c r="A2669" s="71"/>
    </row>
    <row r="2670" spans="1:1" ht="15" hidden="1" customHeight="1">
      <c r="A2670" s="71"/>
    </row>
    <row r="2671" spans="1:1" ht="15" hidden="1" customHeight="1">
      <c r="A2671" s="71"/>
    </row>
    <row r="2672" spans="1:1" ht="15" hidden="1" customHeight="1">
      <c r="A2672" s="71"/>
    </row>
    <row r="2673" spans="1:1" ht="15" hidden="1" customHeight="1">
      <c r="A2673" s="71"/>
    </row>
    <row r="2674" spans="1:1" ht="15" hidden="1" customHeight="1">
      <c r="A2674" s="71"/>
    </row>
    <row r="2675" spans="1:1" ht="15" hidden="1" customHeight="1">
      <c r="A2675" s="71"/>
    </row>
    <row r="2676" spans="1:1" ht="15" hidden="1" customHeight="1">
      <c r="A2676" s="71"/>
    </row>
    <row r="2677" spans="1:1" ht="15" hidden="1" customHeight="1">
      <c r="A2677" s="71"/>
    </row>
    <row r="2678" spans="1:1" ht="15" hidden="1" customHeight="1">
      <c r="A2678" s="71"/>
    </row>
    <row r="2679" spans="1:1" hidden="1">
      <c r="A2679" s="71"/>
    </row>
    <row r="2680" spans="1:1" ht="15" hidden="1" customHeight="1">
      <c r="A2680" s="71"/>
    </row>
    <row r="2681" spans="1:1" ht="15" hidden="1" customHeight="1">
      <c r="A2681" s="71"/>
    </row>
    <row r="2682" spans="1:1" ht="15" hidden="1" customHeight="1">
      <c r="A2682" s="71"/>
    </row>
    <row r="2683" spans="1:1" ht="15" hidden="1" customHeight="1">
      <c r="A2683" s="71"/>
    </row>
    <row r="2684" spans="1:1" ht="15" hidden="1" customHeight="1">
      <c r="A2684" s="71"/>
    </row>
    <row r="2685" spans="1:1" ht="15" hidden="1" customHeight="1">
      <c r="A2685" s="71"/>
    </row>
    <row r="2686" spans="1:1" ht="15" hidden="1" customHeight="1">
      <c r="A2686" s="71"/>
    </row>
    <row r="2687" spans="1:1" ht="15" hidden="1" customHeight="1">
      <c r="A2687" s="71"/>
    </row>
    <row r="2688" spans="1:1" ht="15" hidden="1" customHeight="1">
      <c r="A2688" s="71"/>
    </row>
    <row r="2689" spans="1:1" ht="15" hidden="1" customHeight="1">
      <c r="A2689" s="71"/>
    </row>
    <row r="2690" spans="1:1" ht="15" hidden="1" customHeight="1">
      <c r="A2690" s="71"/>
    </row>
    <row r="2691" spans="1:1" ht="15" hidden="1" customHeight="1">
      <c r="A2691" s="71"/>
    </row>
    <row r="2692" spans="1:1" ht="15" hidden="1" customHeight="1">
      <c r="A2692" s="71"/>
    </row>
    <row r="2693" spans="1:1" ht="15" hidden="1" customHeight="1">
      <c r="A2693" s="71"/>
    </row>
    <row r="2694" spans="1:1" ht="15" hidden="1" customHeight="1">
      <c r="A2694" s="71"/>
    </row>
    <row r="2695" spans="1:1" ht="15" hidden="1" customHeight="1">
      <c r="A2695" s="71"/>
    </row>
    <row r="2696" spans="1:1" ht="15" hidden="1" customHeight="1">
      <c r="A2696" s="71"/>
    </row>
    <row r="2697" spans="1:1" ht="15" hidden="1" customHeight="1">
      <c r="A2697" s="71"/>
    </row>
    <row r="2698" spans="1:1" ht="15" hidden="1" customHeight="1">
      <c r="A2698" s="71"/>
    </row>
    <row r="2699" spans="1:1" ht="15" hidden="1" customHeight="1">
      <c r="A2699" s="71"/>
    </row>
    <row r="2700" spans="1:1" ht="15" hidden="1" customHeight="1">
      <c r="A2700" s="71"/>
    </row>
    <row r="2701" spans="1:1" ht="15" hidden="1" customHeight="1">
      <c r="A2701" s="71"/>
    </row>
    <row r="2702" spans="1:1" ht="15" hidden="1" customHeight="1">
      <c r="A2702" s="71"/>
    </row>
    <row r="2703" spans="1:1" ht="15" hidden="1" customHeight="1">
      <c r="A2703" s="71"/>
    </row>
    <row r="2704" spans="1:1" ht="15" hidden="1" customHeight="1">
      <c r="A2704" s="71"/>
    </row>
    <row r="2705" spans="1:1" ht="15" hidden="1" customHeight="1">
      <c r="A2705" s="71"/>
    </row>
    <row r="2706" spans="1:1" ht="15" hidden="1" customHeight="1">
      <c r="A2706" s="71"/>
    </row>
    <row r="2707" spans="1:1" ht="15" hidden="1" customHeight="1">
      <c r="A2707" s="71"/>
    </row>
    <row r="2708" spans="1:1" ht="15" hidden="1" customHeight="1">
      <c r="A2708" s="71"/>
    </row>
    <row r="2709" spans="1:1" ht="15" hidden="1" customHeight="1">
      <c r="A2709" s="71"/>
    </row>
    <row r="2710" spans="1:1" ht="15" hidden="1" customHeight="1">
      <c r="A2710" s="71"/>
    </row>
    <row r="2711" spans="1:1" ht="15" hidden="1" customHeight="1">
      <c r="A2711" s="71"/>
    </row>
    <row r="2712" spans="1:1" ht="15" hidden="1" customHeight="1">
      <c r="A2712" s="71"/>
    </row>
    <row r="2713" spans="1:1" ht="15" hidden="1" customHeight="1">
      <c r="A2713" s="71"/>
    </row>
    <row r="2714" spans="1:1" ht="15" hidden="1" customHeight="1">
      <c r="A2714" s="71"/>
    </row>
    <row r="2715" spans="1:1" ht="15" hidden="1" customHeight="1">
      <c r="A2715" s="71"/>
    </row>
    <row r="2716" spans="1:1" ht="15" hidden="1" customHeight="1">
      <c r="A2716" s="71"/>
    </row>
    <row r="2717" spans="1:1" ht="15" hidden="1" customHeight="1">
      <c r="A2717" s="71"/>
    </row>
    <row r="2718" spans="1:1" ht="15" hidden="1" customHeight="1">
      <c r="A2718" s="71"/>
    </row>
    <row r="2719" spans="1:1" ht="15" hidden="1" customHeight="1">
      <c r="A2719" s="71"/>
    </row>
    <row r="2720" spans="1:1" ht="15" hidden="1" customHeight="1">
      <c r="A2720" s="71"/>
    </row>
    <row r="2721" spans="1:1" ht="15" hidden="1" customHeight="1">
      <c r="A2721" s="71"/>
    </row>
    <row r="2722" spans="1:1" ht="15" hidden="1" customHeight="1">
      <c r="A2722" s="71"/>
    </row>
    <row r="2723" spans="1:1" hidden="1">
      <c r="A2723" s="71"/>
    </row>
    <row r="2724" spans="1:1" ht="15" hidden="1" customHeight="1">
      <c r="A2724" s="71"/>
    </row>
    <row r="2725" spans="1:1" ht="15" hidden="1" customHeight="1">
      <c r="A2725" s="71"/>
    </row>
    <row r="2726" spans="1:1" ht="15" hidden="1" customHeight="1">
      <c r="A2726" s="71"/>
    </row>
    <row r="2727" spans="1:1" ht="15" hidden="1" customHeight="1">
      <c r="A2727" s="71"/>
    </row>
    <row r="2728" spans="1:1" ht="15" hidden="1" customHeight="1">
      <c r="A2728" s="71"/>
    </row>
    <row r="2729" spans="1:1" ht="15" hidden="1" customHeight="1">
      <c r="A2729" s="71"/>
    </row>
    <row r="2730" spans="1:1" ht="15" hidden="1" customHeight="1">
      <c r="A2730" s="71"/>
    </row>
    <row r="2731" spans="1:1" ht="15" hidden="1" customHeight="1">
      <c r="A2731" s="71"/>
    </row>
    <row r="2732" spans="1:1" ht="15" hidden="1" customHeight="1">
      <c r="A2732" s="71"/>
    </row>
    <row r="2733" spans="1:1" ht="15" hidden="1" customHeight="1">
      <c r="A2733" s="71"/>
    </row>
    <row r="2734" spans="1:1" ht="15" hidden="1" customHeight="1">
      <c r="A2734" s="71"/>
    </row>
    <row r="2735" spans="1:1" ht="15" hidden="1" customHeight="1">
      <c r="A2735" s="71"/>
    </row>
    <row r="2736" spans="1:1" ht="15" hidden="1" customHeight="1">
      <c r="A2736" s="71"/>
    </row>
    <row r="2737" spans="1:1" ht="15" hidden="1" customHeight="1">
      <c r="A2737" s="71"/>
    </row>
    <row r="2738" spans="1:1" ht="15" hidden="1" customHeight="1">
      <c r="A2738" s="71"/>
    </row>
    <row r="2739" spans="1:1" ht="15" hidden="1" customHeight="1">
      <c r="A2739" s="71"/>
    </row>
    <row r="2740" spans="1:1" ht="15" hidden="1" customHeight="1">
      <c r="A2740" s="71"/>
    </row>
    <row r="2741" spans="1:1" ht="15" hidden="1" customHeight="1">
      <c r="A2741" s="71"/>
    </row>
    <row r="2742" spans="1:1" ht="15" hidden="1" customHeight="1">
      <c r="A2742" s="71"/>
    </row>
    <row r="2743" spans="1:1" ht="15" hidden="1" customHeight="1">
      <c r="A2743" s="71"/>
    </row>
    <row r="2744" spans="1:1" ht="15" hidden="1" customHeight="1">
      <c r="A2744" s="71"/>
    </row>
    <row r="2745" spans="1:1" ht="15" hidden="1" customHeight="1">
      <c r="A2745" s="71"/>
    </row>
    <row r="2746" spans="1:1" ht="15" hidden="1" customHeight="1">
      <c r="A2746" s="71"/>
    </row>
    <row r="2747" spans="1:1" ht="15" hidden="1" customHeight="1">
      <c r="A2747" s="71"/>
    </row>
    <row r="2748" spans="1:1" ht="15" hidden="1" customHeight="1">
      <c r="A2748" s="71"/>
    </row>
    <row r="2749" spans="1:1" ht="15" hidden="1" customHeight="1">
      <c r="A2749" s="71"/>
    </row>
    <row r="2750" spans="1:1" ht="15" hidden="1" customHeight="1">
      <c r="A2750" s="71"/>
    </row>
    <row r="2751" spans="1:1" ht="15" hidden="1" customHeight="1">
      <c r="A2751" s="71"/>
    </row>
    <row r="2752" spans="1:1" ht="15" hidden="1" customHeight="1">
      <c r="A2752" s="71"/>
    </row>
    <row r="2753" spans="1:5" ht="15" hidden="1" customHeight="1">
      <c r="A2753" s="71"/>
    </row>
    <row r="2754" spans="1:5" ht="15" hidden="1" customHeight="1">
      <c r="A2754" s="71"/>
    </row>
    <row r="2755" spans="1:5" ht="15" hidden="1" customHeight="1">
      <c r="A2755" s="71"/>
    </row>
    <row r="2756" spans="1:5" ht="15" hidden="1" customHeight="1">
      <c r="A2756" s="71"/>
    </row>
    <row r="2757" spans="1:5" ht="15" hidden="1" customHeight="1">
      <c r="A2757" s="71"/>
    </row>
    <row r="2758" spans="1:5" ht="15" hidden="1" customHeight="1">
      <c r="A2758" s="71"/>
    </row>
    <row r="2759" spans="1:5" ht="15" hidden="1" customHeight="1">
      <c r="A2759" s="71"/>
    </row>
    <row r="2760" spans="1:5" ht="15" hidden="1" customHeight="1">
      <c r="A2760" s="71"/>
    </row>
    <row r="2761" spans="1:5" ht="15" hidden="1" customHeight="1">
      <c r="A2761" s="71"/>
    </row>
    <row r="2762" spans="1:5" hidden="1">
      <c r="A2762" s="71"/>
      <c r="E2762" s="56"/>
    </row>
    <row r="2763" spans="1:5" hidden="1">
      <c r="A2763" s="71"/>
      <c r="E2763" s="56"/>
    </row>
    <row r="2764" spans="1:5" ht="15" hidden="1" customHeight="1">
      <c r="A2764" s="71"/>
    </row>
    <row r="2765" spans="1:5" ht="15" hidden="1" customHeight="1">
      <c r="A2765" s="71"/>
    </row>
    <row r="2766" spans="1:5" ht="15" hidden="1" customHeight="1">
      <c r="A2766" s="71"/>
    </row>
    <row r="2767" spans="1:5" ht="15" hidden="1" customHeight="1">
      <c r="A2767" s="71"/>
    </row>
    <row r="2768" spans="1:5" ht="15" hidden="1" customHeight="1">
      <c r="A2768" s="71"/>
    </row>
    <row r="2769" spans="1:1" ht="15" hidden="1" customHeight="1">
      <c r="A2769" s="71"/>
    </row>
    <row r="2770" spans="1:1" ht="15" hidden="1" customHeight="1">
      <c r="A2770" s="71"/>
    </row>
    <row r="2771" spans="1:1" ht="15" hidden="1" customHeight="1">
      <c r="A2771" s="71"/>
    </row>
    <row r="2772" spans="1:1" ht="15" hidden="1" customHeight="1">
      <c r="A2772" s="71"/>
    </row>
    <row r="2773" spans="1:1" ht="15" hidden="1" customHeight="1">
      <c r="A2773" s="71"/>
    </row>
    <row r="2774" spans="1:1" hidden="1">
      <c r="A2774" s="71"/>
    </row>
    <row r="2775" spans="1:1" ht="15" hidden="1" customHeight="1">
      <c r="A2775" s="71"/>
    </row>
    <row r="2776" spans="1:1" ht="15" hidden="1" customHeight="1">
      <c r="A2776" s="71"/>
    </row>
    <row r="2777" spans="1:1" ht="15" hidden="1" customHeight="1">
      <c r="A2777" s="71"/>
    </row>
    <row r="2778" spans="1:1" ht="15" hidden="1" customHeight="1">
      <c r="A2778" s="71"/>
    </row>
    <row r="2779" spans="1:1" ht="15" hidden="1" customHeight="1">
      <c r="A2779" s="71"/>
    </row>
    <row r="2780" spans="1:1" ht="15" hidden="1" customHeight="1">
      <c r="A2780" s="71"/>
    </row>
    <row r="2781" spans="1:1" ht="15" hidden="1" customHeight="1">
      <c r="A2781" s="71"/>
    </row>
    <row r="2782" spans="1:1" ht="15" hidden="1" customHeight="1">
      <c r="A2782" s="71"/>
    </row>
    <row r="2783" spans="1:1" ht="15" hidden="1" customHeight="1">
      <c r="A2783" s="71"/>
    </row>
    <row r="2784" spans="1:1" ht="15" hidden="1" customHeight="1">
      <c r="A2784" s="71"/>
    </row>
    <row r="2785" spans="1:1" ht="15" hidden="1" customHeight="1">
      <c r="A2785" s="71"/>
    </row>
    <row r="2786" spans="1:1" ht="15" hidden="1" customHeight="1">
      <c r="A2786" s="71"/>
    </row>
    <row r="2787" spans="1:1" ht="15" hidden="1" customHeight="1">
      <c r="A2787" s="71"/>
    </row>
    <row r="2788" spans="1:1" ht="15" hidden="1" customHeight="1">
      <c r="A2788" s="71"/>
    </row>
    <row r="2789" spans="1:1" ht="15" hidden="1" customHeight="1">
      <c r="A2789" s="71"/>
    </row>
    <row r="2790" spans="1:1" ht="15" hidden="1" customHeight="1">
      <c r="A2790" s="71"/>
    </row>
    <row r="2791" spans="1:1" ht="15" hidden="1" customHeight="1">
      <c r="A2791" s="71"/>
    </row>
    <row r="2792" spans="1:1" ht="15" hidden="1" customHeight="1">
      <c r="A2792" s="71"/>
    </row>
    <row r="2793" spans="1:1" ht="15" hidden="1" customHeight="1">
      <c r="A2793" s="71"/>
    </row>
    <row r="2794" spans="1:1" ht="15" hidden="1" customHeight="1">
      <c r="A2794" s="71"/>
    </row>
    <row r="2795" spans="1:1" ht="15" hidden="1" customHeight="1">
      <c r="A2795" s="71"/>
    </row>
    <row r="2796" spans="1:1" ht="15" hidden="1" customHeight="1">
      <c r="A2796" s="71"/>
    </row>
    <row r="2797" spans="1:1" ht="15" hidden="1" customHeight="1">
      <c r="A2797" s="71"/>
    </row>
    <row r="2798" spans="1:1" ht="15" hidden="1" customHeight="1">
      <c r="A2798" s="71"/>
    </row>
    <row r="2799" spans="1:1" ht="15" hidden="1" customHeight="1">
      <c r="A2799" s="71"/>
    </row>
    <row r="2800" spans="1:1" ht="15" hidden="1" customHeight="1">
      <c r="A2800" s="71"/>
    </row>
    <row r="2801" spans="1:5" ht="15" hidden="1" customHeight="1">
      <c r="A2801" s="71"/>
    </row>
    <row r="2802" spans="1:5" ht="15" hidden="1" customHeight="1">
      <c r="A2802" s="71"/>
    </row>
    <row r="2803" spans="1:5" ht="15" hidden="1" customHeight="1">
      <c r="A2803" s="71"/>
    </row>
    <row r="2804" spans="1:5" ht="15" hidden="1" customHeight="1">
      <c r="A2804" s="71"/>
    </row>
    <row r="2805" spans="1:5" ht="15" hidden="1" customHeight="1">
      <c r="A2805" s="71"/>
    </row>
    <row r="2806" spans="1:5" hidden="1">
      <c r="A2806" s="71"/>
      <c r="E2806" s="56"/>
    </row>
    <row r="2807" spans="1:5" ht="15" hidden="1" customHeight="1">
      <c r="A2807" s="71"/>
    </row>
    <row r="2808" spans="1:5" ht="15" hidden="1" customHeight="1">
      <c r="A2808" s="71"/>
    </row>
    <row r="2809" spans="1:5" ht="15" hidden="1" customHeight="1">
      <c r="A2809" s="71"/>
    </row>
    <row r="2810" spans="1:5" ht="15" hidden="1" customHeight="1">
      <c r="A2810" s="71"/>
    </row>
    <row r="2811" spans="1:5" ht="15" hidden="1" customHeight="1">
      <c r="A2811" s="71"/>
    </row>
    <row r="2812" spans="1:5" ht="15" hidden="1" customHeight="1">
      <c r="A2812" s="71"/>
    </row>
    <row r="2813" spans="1:5" ht="15" hidden="1" customHeight="1">
      <c r="A2813" s="71"/>
    </row>
    <row r="2814" spans="1:5" ht="15" hidden="1" customHeight="1">
      <c r="A2814" s="71"/>
    </row>
    <row r="2815" spans="1:5" ht="15" hidden="1" customHeight="1">
      <c r="A2815" s="71"/>
    </row>
    <row r="2816" spans="1:5" ht="15" hidden="1" customHeight="1">
      <c r="A2816" s="71"/>
    </row>
    <row r="2817" spans="1:1" ht="15" hidden="1" customHeight="1">
      <c r="A2817" s="71"/>
    </row>
    <row r="2818" spans="1:1" ht="15" hidden="1" customHeight="1">
      <c r="A2818" s="71"/>
    </row>
    <row r="2819" spans="1:1" ht="15" hidden="1" customHeight="1">
      <c r="A2819" s="71"/>
    </row>
    <row r="2820" spans="1:1" ht="15" hidden="1" customHeight="1">
      <c r="A2820" s="71"/>
    </row>
    <row r="2821" spans="1:1" ht="15" hidden="1" customHeight="1">
      <c r="A2821" s="71"/>
    </row>
    <row r="2822" spans="1:1" ht="15" hidden="1" customHeight="1">
      <c r="A2822" s="71"/>
    </row>
    <row r="2823" spans="1:1" ht="15" hidden="1" customHeight="1">
      <c r="A2823" s="71"/>
    </row>
    <row r="2824" spans="1:1" ht="15" hidden="1" customHeight="1">
      <c r="A2824" s="71"/>
    </row>
    <row r="2825" spans="1:1" hidden="1">
      <c r="A2825" s="71"/>
    </row>
    <row r="2826" spans="1:1" ht="15" hidden="1" customHeight="1">
      <c r="A2826" s="71"/>
    </row>
    <row r="2827" spans="1:1" ht="15" hidden="1" customHeight="1">
      <c r="A2827" s="71"/>
    </row>
    <row r="2828" spans="1:1" ht="15" hidden="1" customHeight="1">
      <c r="A2828" s="71"/>
    </row>
    <row r="2829" spans="1:1" ht="15" hidden="1" customHeight="1">
      <c r="A2829" s="71"/>
    </row>
    <row r="2830" spans="1:1" ht="15" hidden="1" customHeight="1">
      <c r="A2830" s="71"/>
    </row>
    <row r="2831" spans="1:1" ht="15" hidden="1" customHeight="1">
      <c r="A2831" s="71"/>
    </row>
    <row r="2832" spans="1:1" ht="15" hidden="1" customHeight="1">
      <c r="A2832" s="71"/>
    </row>
    <row r="2833" spans="1:1" ht="15" hidden="1" customHeight="1">
      <c r="A2833" s="71"/>
    </row>
    <row r="2834" spans="1:1" ht="15" hidden="1" customHeight="1">
      <c r="A2834" s="71"/>
    </row>
    <row r="2835" spans="1:1" ht="15" hidden="1" customHeight="1">
      <c r="A2835" s="71"/>
    </row>
    <row r="2836" spans="1:1" ht="15" hidden="1" customHeight="1">
      <c r="A2836" s="71"/>
    </row>
    <row r="2837" spans="1:1" ht="15" hidden="1" customHeight="1">
      <c r="A2837" s="71"/>
    </row>
    <row r="2838" spans="1:1" ht="15" hidden="1" customHeight="1">
      <c r="A2838" s="71"/>
    </row>
    <row r="2839" spans="1:1" ht="15" hidden="1" customHeight="1">
      <c r="A2839" s="71"/>
    </row>
    <row r="2840" spans="1:1" ht="15" hidden="1" customHeight="1">
      <c r="A2840" s="71"/>
    </row>
    <row r="2841" spans="1:1" ht="15" hidden="1" customHeight="1">
      <c r="A2841" s="71"/>
    </row>
    <row r="2842" spans="1:1" ht="15" hidden="1" customHeight="1">
      <c r="A2842" s="71"/>
    </row>
    <row r="2843" spans="1:1" ht="15" hidden="1" customHeight="1">
      <c r="A2843" s="71"/>
    </row>
    <row r="2844" spans="1:1" ht="15" hidden="1" customHeight="1">
      <c r="A2844" s="71"/>
    </row>
    <row r="2845" spans="1:1" ht="15" hidden="1" customHeight="1">
      <c r="A2845" s="71"/>
    </row>
    <row r="2846" spans="1:1" ht="15" hidden="1" customHeight="1">
      <c r="A2846" s="71"/>
    </row>
    <row r="2847" spans="1:1" ht="15" hidden="1" customHeight="1">
      <c r="A2847" s="71"/>
    </row>
    <row r="2848" spans="1:1" ht="15" hidden="1" customHeight="1">
      <c r="A2848" s="71"/>
    </row>
    <row r="2849" spans="1:5" ht="15" hidden="1" customHeight="1">
      <c r="A2849" s="71"/>
    </row>
    <row r="2850" spans="1:5" ht="15" hidden="1" customHeight="1">
      <c r="A2850" s="71"/>
    </row>
    <row r="2851" spans="1:5" ht="15" hidden="1" customHeight="1">
      <c r="A2851" s="71"/>
    </row>
    <row r="2852" spans="1:5" ht="15" hidden="1" customHeight="1">
      <c r="A2852" s="71"/>
    </row>
    <row r="2853" spans="1:5" ht="15" hidden="1" customHeight="1">
      <c r="A2853" s="71"/>
    </row>
    <row r="2854" spans="1:5" ht="15" hidden="1" customHeight="1">
      <c r="A2854" s="71"/>
    </row>
    <row r="2855" spans="1:5" ht="15" hidden="1" customHeight="1">
      <c r="A2855" s="71"/>
    </row>
    <row r="2856" spans="1:5" ht="15" hidden="1" customHeight="1">
      <c r="A2856" s="71"/>
    </row>
    <row r="2857" spans="1:5" ht="15" hidden="1" customHeight="1">
      <c r="A2857" s="71"/>
    </row>
    <row r="2858" spans="1:5" ht="15" hidden="1" customHeight="1">
      <c r="A2858" s="71"/>
    </row>
    <row r="2859" spans="1:5" ht="15" hidden="1" customHeight="1">
      <c r="A2859" s="71"/>
    </row>
    <row r="2860" spans="1:5" hidden="1">
      <c r="A2860" s="71"/>
      <c r="E2860" s="56"/>
    </row>
    <row r="2861" spans="1:5" ht="15" hidden="1" customHeight="1">
      <c r="A2861" s="71"/>
    </row>
    <row r="2862" spans="1:5" ht="15" hidden="1" customHeight="1">
      <c r="A2862" s="71"/>
    </row>
    <row r="2863" spans="1:5" ht="15" hidden="1" customHeight="1">
      <c r="A2863" s="71"/>
    </row>
    <row r="2864" spans="1:5" ht="15" hidden="1" customHeight="1">
      <c r="A2864" s="71"/>
    </row>
    <row r="2865" spans="1:1" ht="15" hidden="1" customHeight="1">
      <c r="A2865" s="71"/>
    </row>
    <row r="2866" spans="1:1" ht="15" hidden="1" customHeight="1">
      <c r="A2866" s="71"/>
    </row>
    <row r="2867" spans="1:1" ht="15" hidden="1" customHeight="1">
      <c r="A2867" s="71"/>
    </row>
    <row r="2868" spans="1:1" ht="15" hidden="1" customHeight="1">
      <c r="A2868" s="71"/>
    </row>
    <row r="2869" spans="1:1" ht="15" hidden="1" customHeight="1">
      <c r="A2869" s="71"/>
    </row>
    <row r="2870" spans="1:1" ht="15" hidden="1" customHeight="1">
      <c r="A2870" s="71"/>
    </row>
    <row r="2871" spans="1:1" ht="15" hidden="1" customHeight="1">
      <c r="A2871" s="71"/>
    </row>
    <row r="2872" spans="1:1" ht="15" hidden="1" customHeight="1">
      <c r="A2872" s="71"/>
    </row>
    <row r="2873" spans="1:1" ht="15" hidden="1" customHeight="1">
      <c r="A2873" s="71"/>
    </row>
    <row r="2874" spans="1:1" ht="15" hidden="1" customHeight="1">
      <c r="A2874" s="71"/>
    </row>
    <row r="2875" spans="1:1" ht="15" hidden="1" customHeight="1">
      <c r="A2875" s="71"/>
    </row>
    <row r="2876" spans="1:1" ht="15" hidden="1" customHeight="1">
      <c r="A2876" s="71"/>
    </row>
    <row r="2877" spans="1:1" ht="15" hidden="1" customHeight="1">
      <c r="A2877" s="71"/>
    </row>
    <row r="2878" spans="1:1" ht="15" hidden="1" customHeight="1">
      <c r="A2878" s="71"/>
    </row>
    <row r="2879" spans="1:1" ht="15" hidden="1" customHeight="1">
      <c r="A2879" s="71"/>
    </row>
    <row r="2880" spans="1:1" ht="15" hidden="1" customHeight="1">
      <c r="A2880" s="71"/>
    </row>
    <row r="2881" spans="1:1" ht="15" hidden="1" customHeight="1">
      <c r="A2881" s="71"/>
    </row>
    <row r="2882" spans="1:1" ht="15" hidden="1" customHeight="1">
      <c r="A2882" s="71"/>
    </row>
    <row r="2883" spans="1:1" ht="15" hidden="1" customHeight="1">
      <c r="A2883" s="71"/>
    </row>
    <row r="2884" spans="1:1" ht="15" hidden="1" customHeight="1">
      <c r="A2884" s="71"/>
    </row>
    <row r="2885" spans="1:1" ht="15" hidden="1" customHeight="1">
      <c r="A2885" s="71"/>
    </row>
    <row r="2886" spans="1:1" ht="15" hidden="1" customHeight="1">
      <c r="A2886" s="71"/>
    </row>
    <row r="2887" spans="1:1" ht="15" hidden="1" customHeight="1">
      <c r="A2887" s="71"/>
    </row>
    <row r="2888" spans="1:1" ht="15" hidden="1" customHeight="1">
      <c r="A2888" s="71"/>
    </row>
    <row r="2889" spans="1:1" ht="15" hidden="1" customHeight="1">
      <c r="A2889" s="71"/>
    </row>
    <row r="2890" spans="1:1" ht="15" hidden="1" customHeight="1">
      <c r="A2890" s="71"/>
    </row>
    <row r="2891" spans="1:1" ht="15" hidden="1" customHeight="1">
      <c r="A2891" s="71"/>
    </row>
    <row r="2892" spans="1:1" ht="15" hidden="1" customHeight="1">
      <c r="A2892" s="71"/>
    </row>
    <row r="2893" spans="1:1" ht="15" hidden="1" customHeight="1">
      <c r="A2893" s="71"/>
    </row>
    <row r="2894" spans="1:1" ht="15" hidden="1" customHeight="1">
      <c r="A2894" s="71"/>
    </row>
    <row r="2895" spans="1:1" ht="15" hidden="1" customHeight="1">
      <c r="A2895" s="71"/>
    </row>
    <row r="2896" spans="1:1" ht="15" hidden="1" customHeight="1">
      <c r="A2896" s="71"/>
    </row>
    <row r="2897" spans="1:5" ht="15" hidden="1" customHeight="1">
      <c r="A2897" s="71"/>
    </row>
    <row r="2898" spans="1:5" ht="15" hidden="1" customHeight="1">
      <c r="A2898" s="71"/>
    </row>
    <row r="2899" spans="1:5" ht="15" hidden="1" customHeight="1">
      <c r="A2899" s="71"/>
    </row>
    <row r="2900" spans="1:5" ht="15" hidden="1" customHeight="1">
      <c r="A2900" s="71"/>
    </row>
    <row r="2901" spans="1:5" ht="15" hidden="1" customHeight="1">
      <c r="A2901" s="71"/>
    </row>
    <row r="2902" spans="1:5" ht="15" hidden="1" customHeight="1">
      <c r="A2902" s="71"/>
    </row>
    <row r="2903" spans="1:5" ht="15" hidden="1" customHeight="1">
      <c r="A2903" s="71"/>
    </row>
    <row r="2904" spans="1:5" ht="15" hidden="1" customHeight="1">
      <c r="A2904" s="71"/>
    </row>
    <row r="2905" spans="1:5" ht="15" hidden="1" customHeight="1">
      <c r="A2905" s="71"/>
    </row>
    <row r="2906" spans="1:5" hidden="1">
      <c r="A2906" s="71"/>
      <c r="E2906" s="56"/>
    </row>
    <row r="2907" spans="1:5" ht="15" hidden="1" customHeight="1">
      <c r="A2907" s="71"/>
    </row>
    <row r="2908" spans="1:5" ht="15" hidden="1" customHeight="1">
      <c r="A2908" s="71"/>
    </row>
    <row r="2909" spans="1:5" ht="15" hidden="1" customHeight="1">
      <c r="A2909" s="71"/>
    </row>
    <row r="2910" spans="1:5" ht="15" hidden="1" customHeight="1">
      <c r="A2910" s="71"/>
    </row>
    <row r="2911" spans="1:5" ht="15" hidden="1" customHeight="1">
      <c r="A2911" s="71"/>
    </row>
    <row r="2912" spans="1:5" ht="15" hidden="1" customHeight="1">
      <c r="A2912" s="71"/>
    </row>
    <row r="2913" spans="1:1" ht="15" hidden="1" customHeight="1">
      <c r="A2913" s="71"/>
    </row>
    <row r="2914" spans="1:1" ht="15" hidden="1" customHeight="1">
      <c r="A2914" s="71"/>
    </row>
    <row r="2915" spans="1:1" ht="15" hidden="1" customHeight="1">
      <c r="A2915" s="71"/>
    </row>
    <row r="2916" spans="1:1" ht="15" hidden="1" customHeight="1">
      <c r="A2916" s="71"/>
    </row>
    <row r="2917" spans="1:1" ht="15" hidden="1" customHeight="1">
      <c r="A2917" s="71"/>
    </row>
    <row r="2918" spans="1:1" ht="15" hidden="1" customHeight="1">
      <c r="A2918" s="71"/>
    </row>
    <row r="2919" spans="1:1" ht="15" hidden="1" customHeight="1">
      <c r="A2919" s="71"/>
    </row>
    <row r="2920" spans="1:1" ht="15" hidden="1" customHeight="1">
      <c r="A2920" s="71"/>
    </row>
    <row r="2921" spans="1:1" ht="15" hidden="1" customHeight="1">
      <c r="A2921" s="71"/>
    </row>
    <row r="2922" spans="1:1" ht="15" hidden="1" customHeight="1">
      <c r="A2922" s="71"/>
    </row>
    <row r="2923" spans="1:1" ht="15" hidden="1" customHeight="1">
      <c r="A2923" s="71"/>
    </row>
    <row r="2924" spans="1:1" ht="15" hidden="1" customHeight="1">
      <c r="A2924" s="71"/>
    </row>
    <row r="2925" spans="1:1" ht="15" hidden="1" customHeight="1">
      <c r="A2925" s="71"/>
    </row>
    <row r="2926" spans="1:1" ht="15" hidden="1" customHeight="1">
      <c r="A2926" s="71"/>
    </row>
    <row r="2927" spans="1:1" ht="15" hidden="1" customHeight="1">
      <c r="A2927" s="71"/>
    </row>
    <row r="2928" spans="1:1" ht="15" hidden="1" customHeight="1">
      <c r="A2928" s="71"/>
    </row>
    <row r="2929" spans="1:1" ht="15" hidden="1" customHeight="1">
      <c r="A2929" s="71"/>
    </row>
    <row r="2930" spans="1:1" ht="15" hidden="1" customHeight="1">
      <c r="A2930" s="71"/>
    </row>
    <row r="2931" spans="1:1" ht="15" hidden="1" customHeight="1">
      <c r="A2931" s="71"/>
    </row>
    <row r="2932" spans="1:1" ht="15" hidden="1" customHeight="1">
      <c r="A2932" s="71"/>
    </row>
    <row r="2933" spans="1:1" ht="15" hidden="1" customHeight="1">
      <c r="A2933" s="71"/>
    </row>
    <row r="2934" spans="1:1" ht="15" hidden="1" customHeight="1">
      <c r="A2934" s="71"/>
    </row>
    <row r="2935" spans="1:1" ht="15" hidden="1" customHeight="1">
      <c r="A2935" s="71"/>
    </row>
    <row r="2936" spans="1:1" ht="15" hidden="1" customHeight="1">
      <c r="A2936" s="71"/>
    </row>
    <row r="2937" spans="1:1" ht="15" hidden="1" customHeight="1">
      <c r="A2937" s="71"/>
    </row>
    <row r="2938" spans="1:1" ht="15" hidden="1" customHeight="1">
      <c r="A2938" s="71"/>
    </row>
    <row r="2939" spans="1:1" ht="15" hidden="1" customHeight="1">
      <c r="A2939" s="71"/>
    </row>
    <row r="2940" spans="1:1" ht="15" hidden="1" customHeight="1">
      <c r="A2940" s="71"/>
    </row>
    <row r="2941" spans="1:1" ht="15" hidden="1" customHeight="1">
      <c r="A2941" s="71"/>
    </row>
    <row r="2942" spans="1:1" ht="15" hidden="1" customHeight="1">
      <c r="A2942" s="71"/>
    </row>
    <row r="2943" spans="1:1" ht="15" hidden="1" customHeight="1">
      <c r="A2943" s="71"/>
    </row>
    <row r="2944" spans="1:1" ht="15" hidden="1" customHeight="1">
      <c r="A2944" s="71"/>
    </row>
    <row r="2945" spans="1:1" ht="15" hidden="1" customHeight="1">
      <c r="A2945" s="71"/>
    </row>
    <row r="2946" spans="1:1" ht="15" hidden="1" customHeight="1">
      <c r="A2946" s="71"/>
    </row>
    <row r="2947" spans="1:1" ht="15" hidden="1" customHeight="1">
      <c r="A2947" s="71"/>
    </row>
    <row r="2948" spans="1:1" ht="15" hidden="1" customHeight="1">
      <c r="A2948" s="71"/>
    </row>
    <row r="2949" spans="1:1" ht="15" hidden="1" customHeight="1">
      <c r="A2949" s="71"/>
    </row>
    <row r="2950" spans="1:1" ht="15" hidden="1" customHeight="1">
      <c r="A2950" s="71"/>
    </row>
    <row r="2951" spans="1:1" ht="15" hidden="1" customHeight="1">
      <c r="A2951" s="71"/>
    </row>
    <row r="2952" spans="1:1" ht="15" hidden="1" customHeight="1">
      <c r="A2952" s="71"/>
    </row>
    <row r="2953" spans="1:1" ht="15" hidden="1" customHeight="1">
      <c r="A2953" s="71"/>
    </row>
    <row r="2954" spans="1:1" ht="15" hidden="1" customHeight="1">
      <c r="A2954" s="71"/>
    </row>
    <row r="2955" spans="1:1" ht="15" hidden="1" customHeight="1">
      <c r="A2955" s="71"/>
    </row>
    <row r="2956" spans="1:1" ht="15" hidden="1" customHeight="1">
      <c r="A2956" s="71"/>
    </row>
    <row r="2957" spans="1:1" ht="15" hidden="1" customHeight="1">
      <c r="A2957" s="71"/>
    </row>
    <row r="2958" spans="1:1" ht="15" hidden="1" customHeight="1">
      <c r="A2958" s="71"/>
    </row>
    <row r="2959" spans="1:1" ht="15" hidden="1" customHeight="1">
      <c r="A2959" s="71"/>
    </row>
    <row r="2960" spans="1:1" ht="15" hidden="1" customHeight="1">
      <c r="A2960" s="71"/>
    </row>
    <row r="2961" spans="1:5" ht="15" hidden="1" customHeight="1">
      <c r="A2961" s="71"/>
    </row>
    <row r="2962" spans="1:5" ht="15" hidden="1" customHeight="1">
      <c r="A2962" s="71"/>
    </row>
    <row r="2963" spans="1:5" ht="15" hidden="1" customHeight="1">
      <c r="A2963" s="71"/>
    </row>
    <row r="2964" spans="1:5" ht="15" hidden="1" customHeight="1">
      <c r="A2964" s="71"/>
    </row>
    <row r="2965" spans="1:5" ht="15" hidden="1" customHeight="1">
      <c r="A2965" s="71"/>
    </row>
    <row r="2966" spans="1:5" hidden="1">
      <c r="A2966" s="71"/>
      <c r="E2966" s="56"/>
    </row>
    <row r="2967" spans="1:5" ht="15" hidden="1" customHeight="1">
      <c r="A2967" s="71"/>
    </row>
    <row r="2968" spans="1:5" ht="15" hidden="1" customHeight="1">
      <c r="A2968" s="71"/>
    </row>
    <row r="2969" spans="1:5" ht="15" hidden="1" customHeight="1">
      <c r="A2969" s="71"/>
    </row>
    <row r="2970" spans="1:5" ht="15" hidden="1" customHeight="1">
      <c r="A2970" s="71"/>
    </row>
    <row r="2971" spans="1:5" ht="15" hidden="1" customHeight="1">
      <c r="A2971" s="71"/>
    </row>
    <row r="2972" spans="1:5" ht="15" hidden="1" customHeight="1">
      <c r="A2972" s="71"/>
    </row>
    <row r="2973" spans="1:5" ht="15" hidden="1" customHeight="1">
      <c r="A2973" s="71"/>
    </row>
    <row r="2974" spans="1:5" ht="15" hidden="1" customHeight="1">
      <c r="A2974" s="71"/>
    </row>
    <row r="2975" spans="1:5" ht="15" hidden="1" customHeight="1">
      <c r="A2975" s="71"/>
    </row>
    <row r="2976" spans="1:5" ht="15" hidden="1" customHeight="1">
      <c r="A2976" s="71"/>
    </row>
    <row r="2977" spans="1:1" ht="15" hidden="1" customHeight="1">
      <c r="A2977" s="71"/>
    </row>
    <row r="2978" spans="1:1" ht="15" hidden="1" customHeight="1">
      <c r="A2978" s="71"/>
    </row>
    <row r="2979" spans="1:1" ht="15" hidden="1" customHeight="1">
      <c r="A2979" s="71"/>
    </row>
    <row r="2980" spans="1:1" ht="15" hidden="1" customHeight="1">
      <c r="A2980" s="71"/>
    </row>
    <row r="2981" spans="1:1" ht="15" hidden="1" customHeight="1">
      <c r="A2981" s="71"/>
    </row>
    <row r="2982" spans="1:1" ht="15" hidden="1" customHeight="1">
      <c r="A2982" s="71"/>
    </row>
    <row r="2983" spans="1:1" ht="15" hidden="1" customHeight="1">
      <c r="A2983" s="71"/>
    </row>
    <row r="2984" spans="1:1" ht="15" hidden="1" customHeight="1">
      <c r="A2984" s="71"/>
    </row>
    <row r="2985" spans="1:1" ht="15" hidden="1" customHeight="1">
      <c r="A2985" s="71"/>
    </row>
    <row r="2986" spans="1:1" ht="15" hidden="1" customHeight="1">
      <c r="A2986" s="71"/>
    </row>
    <row r="2987" spans="1:1" ht="15" hidden="1" customHeight="1">
      <c r="A2987" s="71"/>
    </row>
    <row r="2988" spans="1:1" ht="15" hidden="1" customHeight="1">
      <c r="A2988" s="71"/>
    </row>
    <row r="2989" spans="1:1" ht="15" hidden="1" customHeight="1">
      <c r="A2989" s="71"/>
    </row>
    <row r="2990" spans="1:1" ht="15" hidden="1" customHeight="1">
      <c r="A2990" s="71"/>
    </row>
    <row r="2991" spans="1:1" ht="15" hidden="1" customHeight="1">
      <c r="A2991" s="71"/>
    </row>
    <row r="2992" spans="1:1" ht="15" hidden="1" customHeight="1">
      <c r="A2992" s="71"/>
    </row>
    <row r="2993" spans="1:1" ht="15" hidden="1" customHeight="1">
      <c r="A2993" s="71"/>
    </row>
    <row r="2994" spans="1:1" ht="15" hidden="1" customHeight="1">
      <c r="A2994" s="71"/>
    </row>
    <row r="2995" spans="1:1" ht="15" hidden="1" customHeight="1">
      <c r="A2995" s="71"/>
    </row>
    <row r="2996" spans="1:1" ht="15" hidden="1" customHeight="1">
      <c r="A2996" s="71"/>
    </row>
    <row r="2997" spans="1:1" ht="15" hidden="1" customHeight="1">
      <c r="A2997" s="71"/>
    </row>
    <row r="2998" spans="1:1" ht="15" hidden="1" customHeight="1">
      <c r="A2998" s="71"/>
    </row>
    <row r="2999" spans="1:1" ht="15" hidden="1" customHeight="1">
      <c r="A2999" s="71"/>
    </row>
    <row r="3000" spans="1:1" ht="15" hidden="1" customHeight="1">
      <c r="A3000" s="71"/>
    </row>
    <row r="3001" spans="1:1" ht="15" hidden="1" customHeight="1">
      <c r="A3001" s="71"/>
    </row>
    <row r="3002" spans="1:1" ht="15" hidden="1" customHeight="1">
      <c r="A3002" s="71"/>
    </row>
    <row r="3003" spans="1:1" ht="15" hidden="1" customHeight="1">
      <c r="A3003" s="71"/>
    </row>
    <row r="3004" spans="1:1" ht="15" hidden="1" customHeight="1">
      <c r="A3004" s="71"/>
    </row>
    <row r="3005" spans="1:1" ht="15" hidden="1" customHeight="1">
      <c r="A3005" s="71"/>
    </row>
    <row r="3006" spans="1:1" ht="15" hidden="1" customHeight="1">
      <c r="A3006" s="71"/>
    </row>
    <row r="3007" spans="1:1" ht="15" hidden="1" customHeight="1">
      <c r="A3007" s="71"/>
    </row>
    <row r="3008" spans="1:1" ht="15" hidden="1" customHeight="1">
      <c r="A3008" s="71"/>
    </row>
    <row r="3009" spans="1:1" ht="15" hidden="1" customHeight="1">
      <c r="A3009" s="71"/>
    </row>
    <row r="3010" spans="1:1" ht="15" hidden="1" customHeight="1">
      <c r="A3010" s="71"/>
    </row>
    <row r="3011" spans="1:1" ht="15" hidden="1" customHeight="1">
      <c r="A3011" s="71"/>
    </row>
    <row r="3012" spans="1:1" ht="15" hidden="1" customHeight="1">
      <c r="A3012" s="71"/>
    </row>
    <row r="3013" spans="1:1" ht="15" hidden="1" customHeight="1">
      <c r="A3013" s="71"/>
    </row>
    <row r="3014" spans="1:1" ht="15" hidden="1" customHeight="1">
      <c r="A3014" s="71"/>
    </row>
    <row r="3015" spans="1:1" ht="15" hidden="1" customHeight="1">
      <c r="A3015" s="71"/>
    </row>
    <row r="3016" spans="1:1" ht="15" hidden="1" customHeight="1">
      <c r="A3016" s="71"/>
    </row>
    <row r="3017" spans="1:1" ht="15" hidden="1" customHeight="1">
      <c r="A3017" s="71"/>
    </row>
    <row r="3018" spans="1:1" ht="15" hidden="1" customHeight="1">
      <c r="A3018" s="71"/>
    </row>
    <row r="3019" spans="1:1" ht="15" hidden="1" customHeight="1">
      <c r="A3019" s="71"/>
    </row>
    <row r="3020" spans="1:1" ht="15" hidden="1" customHeight="1">
      <c r="A3020" s="71"/>
    </row>
    <row r="3021" spans="1:1" ht="15" hidden="1" customHeight="1">
      <c r="A3021" s="71"/>
    </row>
    <row r="3022" spans="1:1" ht="15" hidden="1" customHeight="1">
      <c r="A3022" s="71"/>
    </row>
    <row r="3023" spans="1:1" ht="15" hidden="1" customHeight="1">
      <c r="A3023" s="71"/>
    </row>
    <row r="3024" spans="1:1" ht="15" hidden="1" customHeight="1">
      <c r="A3024" s="71"/>
    </row>
    <row r="3025" spans="1:1" ht="15" hidden="1" customHeight="1">
      <c r="A3025" s="71"/>
    </row>
    <row r="3026" spans="1:1" ht="15" hidden="1" customHeight="1">
      <c r="A3026" s="71"/>
    </row>
    <row r="3027" spans="1:1" ht="15" hidden="1" customHeight="1">
      <c r="A3027" s="71"/>
    </row>
    <row r="3028" spans="1:1" ht="15" hidden="1" customHeight="1">
      <c r="A3028" s="71"/>
    </row>
    <row r="3029" spans="1:1" ht="15" hidden="1" customHeight="1">
      <c r="A3029" s="71"/>
    </row>
    <row r="3030" spans="1:1" ht="15" hidden="1" customHeight="1">
      <c r="A3030" s="71"/>
    </row>
    <row r="3031" spans="1:1" ht="15" hidden="1" customHeight="1">
      <c r="A3031" s="71"/>
    </row>
    <row r="3032" spans="1:1" ht="15" hidden="1" customHeight="1">
      <c r="A3032" s="71"/>
    </row>
    <row r="3033" spans="1:1" ht="15" hidden="1" customHeight="1">
      <c r="A3033" s="71"/>
    </row>
    <row r="3034" spans="1:1" ht="15" hidden="1" customHeight="1">
      <c r="A3034" s="71"/>
    </row>
    <row r="3035" spans="1:1" ht="15" hidden="1" customHeight="1">
      <c r="A3035" s="71"/>
    </row>
    <row r="3036" spans="1:1" ht="15" hidden="1" customHeight="1">
      <c r="A3036" s="71"/>
    </row>
    <row r="3037" spans="1:1" ht="15" hidden="1" customHeight="1">
      <c r="A3037" s="71"/>
    </row>
    <row r="3038" spans="1:1" ht="15" hidden="1" customHeight="1">
      <c r="A3038" s="71"/>
    </row>
    <row r="3039" spans="1:1" ht="15" hidden="1" customHeight="1">
      <c r="A3039" s="71"/>
    </row>
    <row r="3040" spans="1:1" ht="15" hidden="1" customHeight="1">
      <c r="A3040" s="71"/>
    </row>
    <row r="3041" spans="1:1" ht="15" hidden="1" customHeight="1">
      <c r="A3041" s="71"/>
    </row>
    <row r="3042" spans="1:1" ht="15" hidden="1" customHeight="1">
      <c r="A3042" s="71"/>
    </row>
    <row r="3043" spans="1:1" ht="15" hidden="1" customHeight="1">
      <c r="A3043" s="71"/>
    </row>
    <row r="3044" spans="1:1" ht="15" hidden="1" customHeight="1">
      <c r="A3044" s="71"/>
    </row>
    <row r="3045" spans="1:1" ht="15" hidden="1" customHeight="1">
      <c r="A3045" s="71"/>
    </row>
    <row r="3046" spans="1:1" ht="15" hidden="1" customHeight="1">
      <c r="A3046" s="71"/>
    </row>
    <row r="3047" spans="1:1" ht="15" hidden="1" customHeight="1">
      <c r="A3047" s="71"/>
    </row>
    <row r="3048" spans="1:1" ht="15" hidden="1" customHeight="1">
      <c r="A3048" s="71"/>
    </row>
    <row r="3049" spans="1:1" ht="15" hidden="1" customHeight="1">
      <c r="A3049" s="71"/>
    </row>
    <row r="3050" spans="1:1" ht="15" hidden="1" customHeight="1">
      <c r="A3050" s="71"/>
    </row>
    <row r="3051" spans="1:1" ht="15" hidden="1" customHeight="1">
      <c r="A3051" s="71"/>
    </row>
    <row r="3052" spans="1:1" ht="15" hidden="1" customHeight="1">
      <c r="A3052" s="71"/>
    </row>
    <row r="3053" spans="1:1" ht="15" hidden="1" customHeight="1">
      <c r="A3053" s="71"/>
    </row>
    <row r="3054" spans="1:1" ht="15" hidden="1" customHeight="1">
      <c r="A3054" s="71"/>
    </row>
    <row r="3055" spans="1:1" ht="15" hidden="1" customHeight="1">
      <c r="A3055" s="71"/>
    </row>
    <row r="3056" spans="1:1" ht="15" hidden="1" customHeight="1">
      <c r="A3056" s="71"/>
    </row>
    <row r="3057" spans="1:1" hidden="1">
      <c r="A3057" s="71"/>
    </row>
    <row r="3058" spans="1:1" ht="15" hidden="1" customHeight="1">
      <c r="A3058" s="71"/>
    </row>
    <row r="3059" spans="1:1" ht="15" hidden="1" customHeight="1">
      <c r="A3059" s="71"/>
    </row>
    <row r="3060" spans="1:1" ht="15" hidden="1" customHeight="1">
      <c r="A3060" s="71"/>
    </row>
    <row r="3061" spans="1:1" ht="15" hidden="1" customHeight="1">
      <c r="A3061" s="71"/>
    </row>
    <row r="3062" spans="1:1" ht="15" hidden="1" customHeight="1">
      <c r="A3062" s="71"/>
    </row>
    <row r="3063" spans="1:1" ht="15" hidden="1" customHeight="1">
      <c r="A3063" s="71"/>
    </row>
    <row r="3064" spans="1:1" ht="15" hidden="1" customHeight="1">
      <c r="A3064" s="71"/>
    </row>
    <row r="3065" spans="1:1" ht="15" hidden="1" customHeight="1">
      <c r="A3065" s="71"/>
    </row>
    <row r="3066" spans="1:1" ht="15" hidden="1" customHeight="1">
      <c r="A3066" s="71"/>
    </row>
    <row r="3067" spans="1:1" ht="15" hidden="1" customHeight="1">
      <c r="A3067" s="71"/>
    </row>
    <row r="3068" spans="1:1" ht="15" hidden="1" customHeight="1">
      <c r="A3068" s="71"/>
    </row>
    <row r="3069" spans="1:1" ht="15" hidden="1" customHeight="1">
      <c r="A3069" s="71"/>
    </row>
    <row r="3070" spans="1:1" ht="15" hidden="1" customHeight="1">
      <c r="A3070" s="71"/>
    </row>
    <row r="3071" spans="1:1" ht="15" hidden="1" customHeight="1">
      <c r="A3071" s="71"/>
    </row>
    <row r="3072" spans="1:1" ht="15" hidden="1" customHeight="1">
      <c r="A3072" s="71"/>
    </row>
    <row r="3073" spans="1:1" ht="15" hidden="1" customHeight="1">
      <c r="A3073" s="71"/>
    </row>
    <row r="3074" spans="1:1" ht="15" hidden="1" customHeight="1">
      <c r="A3074" s="71"/>
    </row>
    <row r="3075" spans="1:1" ht="15" hidden="1" customHeight="1">
      <c r="A3075" s="71"/>
    </row>
    <row r="3076" spans="1:1" ht="15" hidden="1" customHeight="1">
      <c r="A3076" s="71"/>
    </row>
    <row r="3077" spans="1:1" ht="15" hidden="1" customHeight="1">
      <c r="A3077" s="71"/>
    </row>
    <row r="3078" spans="1:1" ht="15" hidden="1" customHeight="1">
      <c r="A3078" s="71"/>
    </row>
    <row r="3079" spans="1:1" ht="15" hidden="1" customHeight="1">
      <c r="A3079" s="71"/>
    </row>
    <row r="3080" spans="1:1" ht="15" hidden="1" customHeight="1">
      <c r="A3080" s="71"/>
    </row>
    <row r="3081" spans="1:1" ht="15" hidden="1" customHeight="1">
      <c r="A3081" s="71"/>
    </row>
    <row r="3082" spans="1:1" ht="15" hidden="1" customHeight="1">
      <c r="A3082" s="71"/>
    </row>
    <row r="3083" spans="1:1" ht="15" hidden="1" customHeight="1">
      <c r="A3083" s="71"/>
    </row>
    <row r="3084" spans="1:1" ht="15" hidden="1" customHeight="1">
      <c r="A3084" s="71"/>
    </row>
    <row r="3085" spans="1:1" ht="15" hidden="1" customHeight="1">
      <c r="A3085" s="71"/>
    </row>
    <row r="3086" spans="1:1" ht="15" hidden="1" customHeight="1">
      <c r="A3086" s="71"/>
    </row>
    <row r="3087" spans="1:1" ht="15" hidden="1" customHeight="1">
      <c r="A3087" s="71"/>
    </row>
    <row r="3088" spans="1:1" ht="15" hidden="1" customHeight="1">
      <c r="A3088" s="71"/>
    </row>
    <row r="3089" spans="1:1" ht="15" hidden="1" customHeight="1">
      <c r="A3089" s="71"/>
    </row>
    <row r="3090" spans="1:1" ht="15" hidden="1" customHeight="1">
      <c r="A3090" s="71"/>
    </row>
    <row r="3091" spans="1:1" ht="15" hidden="1" customHeight="1">
      <c r="A3091" s="71"/>
    </row>
    <row r="3092" spans="1:1" ht="15" hidden="1" customHeight="1">
      <c r="A3092" s="71"/>
    </row>
    <row r="3093" spans="1:1" ht="15" hidden="1" customHeight="1">
      <c r="A3093" s="71"/>
    </row>
    <row r="3094" spans="1:1" ht="15" hidden="1" customHeight="1">
      <c r="A3094" s="71"/>
    </row>
    <row r="3095" spans="1:1" ht="15" hidden="1" customHeight="1">
      <c r="A3095" s="71"/>
    </row>
    <row r="3096" spans="1:1" ht="15" hidden="1" customHeight="1">
      <c r="A3096" s="71"/>
    </row>
    <row r="3097" spans="1:1" ht="15" hidden="1" customHeight="1">
      <c r="A3097" s="71"/>
    </row>
    <row r="3098" spans="1:1" ht="15" hidden="1" customHeight="1">
      <c r="A3098" s="71"/>
    </row>
    <row r="3099" spans="1:1" ht="15" hidden="1" customHeight="1">
      <c r="A3099" s="71"/>
    </row>
    <row r="3100" spans="1:1" ht="15" hidden="1" customHeight="1">
      <c r="A3100" s="71"/>
    </row>
    <row r="3101" spans="1:1" hidden="1">
      <c r="A3101" s="71"/>
    </row>
    <row r="3102" spans="1:1" ht="15" hidden="1" customHeight="1">
      <c r="A3102" s="71"/>
    </row>
    <row r="3103" spans="1:1" ht="15" hidden="1" customHeight="1">
      <c r="A3103" s="71"/>
    </row>
    <row r="3104" spans="1:1" ht="15" hidden="1" customHeight="1">
      <c r="A3104" s="71"/>
    </row>
    <row r="3105" spans="1:1" ht="15" hidden="1" customHeight="1">
      <c r="A3105" s="71"/>
    </row>
    <row r="3106" spans="1:1" ht="15" hidden="1" customHeight="1">
      <c r="A3106" s="71"/>
    </row>
    <row r="3107" spans="1:1" ht="15" hidden="1" customHeight="1">
      <c r="A3107" s="71"/>
    </row>
    <row r="3108" spans="1:1" ht="15" hidden="1" customHeight="1">
      <c r="A3108" s="71"/>
    </row>
    <row r="3109" spans="1:1" ht="15" hidden="1" customHeight="1">
      <c r="A3109" s="71"/>
    </row>
    <row r="3110" spans="1:1" ht="15" hidden="1" customHeight="1">
      <c r="A3110" s="71"/>
    </row>
    <row r="3111" spans="1:1" ht="15" hidden="1" customHeight="1">
      <c r="A3111" s="71"/>
    </row>
    <row r="3112" spans="1:1" ht="15" hidden="1" customHeight="1">
      <c r="A3112" s="71"/>
    </row>
    <row r="3113" spans="1:1" ht="15" hidden="1" customHeight="1">
      <c r="A3113" s="71"/>
    </row>
    <row r="3114" spans="1:1" ht="15" hidden="1" customHeight="1">
      <c r="A3114" s="71"/>
    </row>
    <row r="3115" spans="1:1" ht="15" hidden="1" customHeight="1">
      <c r="A3115" s="71"/>
    </row>
    <row r="3116" spans="1:1" ht="15" hidden="1" customHeight="1">
      <c r="A3116" s="71"/>
    </row>
    <row r="3117" spans="1:1" ht="15" hidden="1" customHeight="1">
      <c r="A3117" s="71"/>
    </row>
    <row r="3118" spans="1:1" ht="15" hidden="1" customHeight="1">
      <c r="A3118" s="71"/>
    </row>
    <row r="3119" spans="1:1" ht="15" hidden="1" customHeight="1">
      <c r="A3119" s="71"/>
    </row>
    <row r="3120" spans="1:1" ht="15" hidden="1" customHeight="1">
      <c r="A3120" s="71"/>
    </row>
    <row r="3121" spans="1:1" ht="15" hidden="1" customHeight="1">
      <c r="A3121" s="71"/>
    </row>
    <row r="3122" spans="1:1" ht="15" hidden="1" customHeight="1">
      <c r="A3122" s="71"/>
    </row>
    <row r="3123" spans="1:1" ht="15" hidden="1" customHeight="1">
      <c r="A3123" s="71"/>
    </row>
    <row r="3124" spans="1:1" ht="15" hidden="1" customHeight="1">
      <c r="A3124" s="71"/>
    </row>
    <row r="3125" spans="1:1" ht="15" hidden="1" customHeight="1">
      <c r="A3125" s="71"/>
    </row>
    <row r="3126" spans="1:1" ht="15" hidden="1" customHeight="1">
      <c r="A3126" s="71"/>
    </row>
    <row r="3127" spans="1:1" ht="15" hidden="1" customHeight="1">
      <c r="A3127" s="71"/>
    </row>
    <row r="3128" spans="1:1" ht="15" hidden="1" customHeight="1">
      <c r="A3128" s="71"/>
    </row>
    <row r="3129" spans="1:1" ht="15" hidden="1" customHeight="1">
      <c r="A3129" s="71"/>
    </row>
    <row r="3130" spans="1:1" ht="15" hidden="1" customHeight="1">
      <c r="A3130" s="71"/>
    </row>
    <row r="3131" spans="1:1" ht="15" hidden="1" customHeight="1">
      <c r="A3131" s="71"/>
    </row>
    <row r="3132" spans="1:1" ht="15" hidden="1" customHeight="1">
      <c r="A3132" s="71"/>
    </row>
    <row r="3133" spans="1:1" ht="15" hidden="1" customHeight="1">
      <c r="A3133" s="71"/>
    </row>
    <row r="3134" spans="1:1" ht="15" hidden="1" customHeight="1">
      <c r="A3134" s="71"/>
    </row>
    <row r="3135" spans="1:1" ht="15" hidden="1" customHeight="1">
      <c r="A3135" s="71"/>
    </row>
    <row r="3136" spans="1:1" ht="15" hidden="1" customHeight="1">
      <c r="A3136" s="71"/>
    </row>
    <row r="3137" spans="1:1" ht="15" hidden="1" customHeight="1">
      <c r="A3137" s="71"/>
    </row>
    <row r="3138" spans="1:1" ht="15" hidden="1" customHeight="1">
      <c r="A3138" s="71"/>
    </row>
    <row r="3139" spans="1:1" ht="15" hidden="1" customHeight="1">
      <c r="A3139" s="71"/>
    </row>
    <row r="3140" spans="1:1" ht="15" hidden="1" customHeight="1">
      <c r="A3140" s="71"/>
    </row>
    <row r="3141" spans="1:1" ht="15" hidden="1" customHeight="1">
      <c r="A3141" s="71"/>
    </row>
    <row r="3142" spans="1:1" ht="15" hidden="1" customHeight="1">
      <c r="A3142" s="71"/>
    </row>
    <row r="3143" spans="1:1" ht="15" hidden="1" customHeight="1">
      <c r="A3143" s="71"/>
    </row>
    <row r="3144" spans="1:1" ht="15" hidden="1" customHeight="1">
      <c r="A3144" s="71"/>
    </row>
    <row r="3145" spans="1:1" ht="15" hidden="1" customHeight="1">
      <c r="A3145" s="71"/>
    </row>
    <row r="3146" spans="1:1" ht="15" hidden="1" customHeight="1">
      <c r="A3146" s="71"/>
    </row>
    <row r="3147" spans="1:1" ht="15" hidden="1" customHeight="1">
      <c r="A3147" s="71"/>
    </row>
    <row r="3148" spans="1:1" ht="15" hidden="1" customHeight="1">
      <c r="A3148" s="71"/>
    </row>
    <row r="3149" spans="1:1" ht="15" hidden="1" customHeight="1">
      <c r="A3149" s="71"/>
    </row>
    <row r="3150" spans="1:1" ht="15" hidden="1" customHeight="1">
      <c r="A3150" s="71"/>
    </row>
    <row r="3151" spans="1:1" ht="15" hidden="1" customHeight="1">
      <c r="A3151" s="71"/>
    </row>
    <row r="3152" spans="1:1" ht="15" hidden="1" customHeight="1">
      <c r="A3152" s="71"/>
    </row>
    <row r="3153" spans="1:1" ht="15" hidden="1" customHeight="1">
      <c r="A3153" s="71"/>
    </row>
    <row r="3154" spans="1:1" ht="15" hidden="1" customHeight="1">
      <c r="A3154" s="71"/>
    </row>
    <row r="3155" spans="1:1" ht="15" hidden="1" customHeight="1">
      <c r="A3155" s="71"/>
    </row>
    <row r="3156" spans="1:1" ht="15" hidden="1" customHeight="1">
      <c r="A3156" s="71"/>
    </row>
    <row r="3157" spans="1:1" ht="15" hidden="1" customHeight="1">
      <c r="A3157" s="71"/>
    </row>
    <row r="3158" spans="1:1" ht="15" hidden="1" customHeight="1">
      <c r="A3158" s="71"/>
    </row>
    <row r="3159" spans="1:1" ht="15" hidden="1" customHeight="1">
      <c r="A3159" s="71"/>
    </row>
    <row r="3160" spans="1:1" ht="15" hidden="1" customHeight="1">
      <c r="A3160" s="71"/>
    </row>
    <row r="3161" spans="1:1" hidden="1">
      <c r="A3161" s="71"/>
    </row>
    <row r="3162" spans="1:1" ht="15" hidden="1" customHeight="1">
      <c r="A3162" s="71"/>
    </row>
    <row r="3163" spans="1:1" ht="15" hidden="1" customHeight="1">
      <c r="A3163" s="71"/>
    </row>
    <row r="3164" spans="1:1" ht="15" hidden="1" customHeight="1">
      <c r="A3164" s="71"/>
    </row>
    <row r="3165" spans="1:1" ht="15" hidden="1" customHeight="1">
      <c r="A3165" s="71"/>
    </row>
    <row r="3166" spans="1:1" ht="15" hidden="1" customHeight="1">
      <c r="A3166" s="71"/>
    </row>
    <row r="3167" spans="1:1" ht="15" hidden="1" customHeight="1">
      <c r="A3167" s="71"/>
    </row>
    <row r="3168" spans="1:1" ht="15" hidden="1" customHeight="1">
      <c r="A3168" s="71"/>
    </row>
    <row r="3169" spans="1:5" ht="15" hidden="1" customHeight="1">
      <c r="A3169" s="71"/>
    </row>
    <row r="3170" spans="1:5" ht="15" hidden="1" customHeight="1">
      <c r="A3170" s="71"/>
    </row>
    <row r="3171" spans="1:5" ht="15" hidden="1" customHeight="1">
      <c r="A3171" s="71"/>
    </row>
    <row r="3172" spans="1:5" ht="15" hidden="1" customHeight="1">
      <c r="A3172" s="71"/>
    </row>
    <row r="3173" spans="1:5" ht="15" hidden="1" customHeight="1">
      <c r="A3173" s="71"/>
    </row>
    <row r="3174" spans="1:5" ht="15" hidden="1" customHeight="1">
      <c r="A3174" s="71"/>
    </row>
    <row r="3175" spans="1:5" hidden="1">
      <c r="A3175" s="71"/>
      <c r="E3175" s="56"/>
    </row>
    <row r="3176" spans="1:5" ht="15" hidden="1" customHeight="1">
      <c r="A3176" s="71"/>
    </row>
    <row r="3177" spans="1:5" ht="15" hidden="1" customHeight="1">
      <c r="A3177" s="71"/>
    </row>
    <row r="3178" spans="1:5" ht="15" hidden="1" customHeight="1">
      <c r="A3178" s="71"/>
    </row>
    <row r="3179" spans="1:5" ht="15" hidden="1" customHeight="1">
      <c r="A3179" s="71"/>
    </row>
    <row r="3180" spans="1:5" ht="15" hidden="1" customHeight="1">
      <c r="A3180" s="71"/>
    </row>
    <row r="3181" spans="1:5" ht="15" hidden="1" customHeight="1">
      <c r="A3181" s="71"/>
    </row>
    <row r="3182" spans="1:5" ht="15" hidden="1" customHeight="1">
      <c r="A3182" s="71"/>
    </row>
    <row r="3183" spans="1:5" ht="15" hidden="1" customHeight="1">
      <c r="A3183" s="71"/>
    </row>
    <row r="3184" spans="1:5" ht="15" hidden="1" customHeight="1">
      <c r="A3184" s="71"/>
    </row>
    <row r="3185" spans="1:1" ht="15" hidden="1" customHeight="1">
      <c r="A3185" s="71"/>
    </row>
    <row r="3186" spans="1:1" ht="15" hidden="1" customHeight="1">
      <c r="A3186" s="71"/>
    </row>
    <row r="3187" spans="1:1" ht="15" hidden="1" customHeight="1">
      <c r="A3187" s="71"/>
    </row>
    <row r="3188" spans="1:1" ht="15" hidden="1" customHeight="1">
      <c r="A3188" s="71"/>
    </row>
    <row r="3189" spans="1:1" ht="15" hidden="1" customHeight="1">
      <c r="A3189" s="71"/>
    </row>
    <row r="3190" spans="1:1" ht="15" hidden="1" customHeight="1">
      <c r="A3190" s="71"/>
    </row>
    <row r="3191" spans="1:1" ht="15" hidden="1" customHeight="1">
      <c r="A3191" s="71"/>
    </row>
    <row r="3192" spans="1:1" ht="15" hidden="1" customHeight="1">
      <c r="A3192" s="71"/>
    </row>
    <row r="3193" spans="1:1" ht="15" hidden="1" customHeight="1">
      <c r="A3193" s="71"/>
    </row>
    <row r="3194" spans="1:1" ht="15" hidden="1" customHeight="1">
      <c r="A3194" s="71"/>
    </row>
    <row r="3195" spans="1:1" ht="15" hidden="1" customHeight="1">
      <c r="A3195" s="71"/>
    </row>
    <row r="3196" spans="1:1" ht="15" hidden="1" customHeight="1">
      <c r="A3196" s="71"/>
    </row>
    <row r="3197" spans="1:1" ht="15" hidden="1" customHeight="1">
      <c r="A3197" s="71"/>
    </row>
    <row r="3198" spans="1:1" ht="15" hidden="1" customHeight="1">
      <c r="A3198" s="71"/>
    </row>
    <row r="3199" spans="1:1" ht="15" hidden="1" customHeight="1">
      <c r="A3199" s="71"/>
    </row>
    <row r="3200" spans="1:1" ht="15" hidden="1" customHeight="1">
      <c r="A3200" s="71"/>
    </row>
    <row r="3201" spans="1:5" ht="15" hidden="1" customHeight="1">
      <c r="A3201" s="71"/>
    </row>
    <row r="3202" spans="1:5" ht="15" hidden="1" customHeight="1">
      <c r="A3202" s="71"/>
    </row>
    <row r="3203" spans="1:5" ht="15" hidden="1" customHeight="1">
      <c r="A3203" s="71"/>
    </row>
    <row r="3204" spans="1:5" ht="15" hidden="1" customHeight="1">
      <c r="A3204" s="71"/>
    </row>
    <row r="3205" spans="1:5" ht="15" hidden="1" customHeight="1">
      <c r="A3205" s="71"/>
    </row>
    <row r="3206" spans="1:5" ht="15" hidden="1" customHeight="1">
      <c r="A3206" s="71"/>
    </row>
    <row r="3207" spans="1:5" ht="15" hidden="1" customHeight="1">
      <c r="A3207" s="71"/>
    </row>
    <row r="3208" spans="1:5" ht="15" hidden="1" customHeight="1">
      <c r="A3208" s="71"/>
    </row>
    <row r="3209" spans="1:5" ht="15" hidden="1" customHeight="1">
      <c r="A3209" s="71"/>
    </row>
    <row r="3210" spans="1:5" ht="15" hidden="1" customHeight="1">
      <c r="A3210" s="71"/>
    </row>
    <row r="3211" spans="1:5" ht="15" hidden="1" customHeight="1">
      <c r="A3211" s="71"/>
    </row>
    <row r="3212" spans="1:5" hidden="1">
      <c r="A3212" s="71"/>
      <c r="E3212" s="56"/>
    </row>
    <row r="3213" spans="1:5" ht="15" hidden="1" customHeight="1">
      <c r="A3213" s="71"/>
    </row>
    <row r="3214" spans="1:5" ht="15" hidden="1" customHeight="1">
      <c r="A3214" s="71"/>
    </row>
    <row r="3215" spans="1:5" ht="15" hidden="1" customHeight="1">
      <c r="A3215" s="71"/>
    </row>
    <row r="3216" spans="1:5" ht="15" hidden="1" customHeight="1">
      <c r="A3216" s="71"/>
    </row>
    <row r="3217" spans="1:1" ht="15" hidden="1" customHeight="1">
      <c r="A3217" s="71"/>
    </row>
    <row r="3218" spans="1:1" ht="15" hidden="1" customHeight="1">
      <c r="A3218" s="71"/>
    </row>
    <row r="3219" spans="1:1" ht="15" hidden="1" customHeight="1">
      <c r="A3219" s="71"/>
    </row>
    <row r="3220" spans="1:1" ht="15" hidden="1" customHeight="1">
      <c r="A3220" s="71"/>
    </row>
    <row r="3221" spans="1:1" ht="15" hidden="1" customHeight="1">
      <c r="A3221" s="71"/>
    </row>
    <row r="3222" spans="1:1" ht="15" hidden="1" customHeight="1">
      <c r="A3222" s="71"/>
    </row>
    <row r="3223" spans="1:1" ht="15" hidden="1" customHeight="1">
      <c r="A3223" s="71"/>
    </row>
    <row r="3224" spans="1:1" ht="15" hidden="1" customHeight="1">
      <c r="A3224" s="71"/>
    </row>
    <row r="3225" spans="1:1" ht="15" hidden="1" customHeight="1">
      <c r="A3225" s="71"/>
    </row>
    <row r="3226" spans="1:1" ht="15" hidden="1" customHeight="1">
      <c r="A3226" s="71"/>
    </row>
    <row r="3227" spans="1:1" ht="15" hidden="1" customHeight="1">
      <c r="A3227" s="71"/>
    </row>
    <row r="3228" spans="1:1" ht="15" hidden="1" customHeight="1">
      <c r="A3228" s="71"/>
    </row>
    <row r="3229" spans="1:1" ht="15" hidden="1" customHeight="1">
      <c r="A3229" s="71"/>
    </row>
    <row r="3230" spans="1:1" ht="15" hidden="1" customHeight="1">
      <c r="A3230" s="71"/>
    </row>
    <row r="3231" spans="1:1" ht="15" hidden="1" customHeight="1">
      <c r="A3231" s="71"/>
    </row>
    <row r="3232" spans="1:1" ht="15" hidden="1" customHeight="1">
      <c r="A3232" s="71"/>
    </row>
    <row r="3233" spans="1:1" ht="15" hidden="1" customHeight="1">
      <c r="A3233" s="71"/>
    </row>
    <row r="3234" spans="1:1" ht="15" hidden="1" customHeight="1">
      <c r="A3234" s="71"/>
    </row>
    <row r="3235" spans="1:1" ht="15" hidden="1" customHeight="1">
      <c r="A3235" s="71"/>
    </row>
    <row r="3236" spans="1:1" ht="15" hidden="1" customHeight="1">
      <c r="A3236" s="71"/>
    </row>
    <row r="3237" spans="1:1" ht="15" hidden="1" customHeight="1">
      <c r="A3237" s="71"/>
    </row>
    <row r="3238" spans="1:1" ht="15" hidden="1" customHeight="1">
      <c r="A3238" s="71"/>
    </row>
    <row r="3239" spans="1:1" ht="15" hidden="1" customHeight="1">
      <c r="A3239" s="71"/>
    </row>
    <row r="3240" spans="1:1" ht="15" hidden="1" customHeight="1">
      <c r="A3240" s="71"/>
    </row>
    <row r="3241" spans="1:1" ht="15" hidden="1" customHeight="1">
      <c r="A3241" s="71"/>
    </row>
    <row r="3242" spans="1:1" ht="15" hidden="1" customHeight="1">
      <c r="A3242" s="71"/>
    </row>
    <row r="3243" spans="1:1" ht="15" hidden="1" customHeight="1">
      <c r="A3243" s="71"/>
    </row>
    <row r="3244" spans="1:1" ht="15" hidden="1" customHeight="1">
      <c r="A3244" s="71"/>
    </row>
    <row r="3245" spans="1:1" ht="15" hidden="1" customHeight="1">
      <c r="A3245" s="71"/>
    </row>
    <row r="3246" spans="1:1" ht="15" hidden="1" customHeight="1">
      <c r="A3246" s="71"/>
    </row>
    <row r="3247" spans="1:1" ht="15" hidden="1" customHeight="1">
      <c r="A3247" s="71"/>
    </row>
    <row r="3248" spans="1:1" ht="15" hidden="1" customHeight="1">
      <c r="A3248" s="71"/>
    </row>
    <row r="3249" spans="1:1" ht="15" hidden="1" customHeight="1">
      <c r="A3249" s="71"/>
    </row>
    <row r="3250" spans="1:1" ht="15" hidden="1" customHeight="1">
      <c r="A3250" s="71"/>
    </row>
    <row r="3251" spans="1:1" ht="15" hidden="1" customHeight="1">
      <c r="A3251" s="71"/>
    </row>
    <row r="3252" spans="1:1" ht="15" hidden="1" customHeight="1">
      <c r="A3252" s="71"/>
    </row>
    <row r="3253" spans="1:1" ht="15" hidden="1" customHeight="1">
      <c r="A3253" s="71"/>
    </row>
    <row r="3254" spans="1:1" ht="15" hidden="1" customHeight="1">
      <c r="A3254" s="71"/>
    </row>
    <row r="3255" spans="1:1" ht="15" hidden="1" customHeight="1">
      <c r="A3255" s="71"/>
    </row>
    <row r="3256" spans="1:1" ht="15" hidden="1" customHeight="1">
      <c r="A3256" s="71"/>
    </row>
    <row r="3257" spans="1:1" ht="15" hidden="1" customHeight="1">
      <c r="A3257" s="71"/>
    </row>
    <row r="3258" spans="1:1" ht="15" hidden="1" customHeight="1">
      <c r="A3258" s="71"/>
    </row>
    <row r="3259" spans="1:1" ht="15" hidden="1" customHeight="1">
      <c r="A3259" s="71"/>
    </row>
    <row r="3260" spans="1:1" ht="15" hidden="1" customHeight="1">
      <c r="A3260" s="71"/>
    </row>
    <row r="3261" spans="1:1" ht="15" hidden="1" customHeight="1">
      <c r="A3261" s="71"/>
    </row>
    <row r="3262" spans="1:1" ht="15" hidden="1" customHeight="1">
      <c r="A3262" s="71"/>
    </row>
    <row r="3263" spans="1:1" ht="15" hidden="1" customHeight="1">
      <c r="A3263" s="71"/>
    </row>
    <row r="3264" spans="1:1" ht="15" hidden="1" customHeight="1">
      <c r="A3264" s="71"/>
    </row>
    <row r="3265" spans="1:5" ht="15" hidden="1" customHeight="1">
      <c r="A3265" s="71"/>
    </row>
    <row r="3266" spans="1:5" ht="15" hidden="1" customHeight="1">
      <c r="A3266" s="71"/>
    </row>
    <row r="3267" spans="1:5" ht="15" hidden="1" customHeight="1">
      <c r="A3267" s="71"/>
    </row>
    <row r="3268" spans="1:5" ht="15" hidden="1" customHeight="1">
      <c r="A3268" s="71"/>
    </row>
    <row r="3269" spans="1:5" ht="15" hidden="1" customHeight="1">
      <c r="A3269" s="71"/>
    </row>
    <row r="3270" spans="1:5" ht="15" hidden="1" customHeight="1">
      <c r="A3270" s="71"/>
    </row>
    <row r="3271" spans="1:5" ht="15" hidden="1" customHeight="1">
      <c r="A3271" s="71"/>
    </row>
    <row r="3272" spans="1:5" ht="15" hidden="1" customHeight="1">
      <c r="A3272" s="71"/>
      <c r="E3272" s="56"/>
    </row>
    <row r="3273" spans="1:5" ht="15" hidden="1" customHeight="1">
      <c r="A3273" s="71"/>
    </row>
    <row r="3274" spans="1:5" ht="15" hidden="1" customHeight="1">
      <c r="A3274" s="71"/>
    </row>
    <row r="3275" spans="1:5" ht="15" hidden="1" customHeight="1">
      <c r="A3275" s="71"/>
    </row>
    <row r="3276" spans="1:5" ht="15" hidden="1" customHeight="1">
      <c r="A3276" s="71"/>
    </row>
    <row r="3277" spans="1:5" ht="15" hidden="1" customHeight="1">
      <c r="A3277" s="71"/>
    </row>
    <row r="3278" spans="1:5" ht="15" hidden="1" customHeight="1">
      <c r="A3278" s="71"/>
    </row>
    <row r="3279" spans="1:5" ht="15" hidden="1" customHeight="1">
      <c r="A3279" s="71"/>
    </row>
    <row r="3280" spans="1:5" ht="15" hidden="1" customHeight="1">
      <c r="A3280" s="71"/>
    </row>
    <row r="3281" spans="1:1" ht="15" hidden="1" customHeight="1">
      <c r="A3281" s="71"/>
    </row>
    <row r="3282" spans="1:1" ht="15" hidden="1" customHeight="1">
      <c r="A3282" s="71"/>
    </row>
    <row r="3283" spans="1:1" ht="15" hidden="1" customHeight="1">
      <c r="A3283" s="71"/>
    </row>
    <row r="3284" spans="1:1" ht="15" hidden="1" customHeight="1">
      <c r="A3284" s="71"/>
    </row>
    <row r="3285" spans="1:1" ht="15" hidden="1" customHeight="1">
      <c r="A3285" s="71"/>
    </row>
    <row r="3286" spans="1:1" ht="15" hidden="1" customHeight="1">
      <c r="A3286" s="71"/>
    </row>
    <row r="3287" spans="1:1" ht="15" hidden="1" customHeight="1">
      <c r="A3287" s="71"/>
    </row>
    <row r="3288" spans="1:1" ht="15" hidden="1" customHeight="1">
      <c r="A3288" s="71"/>
    </row>
    <row r="3289" spans="1:1" ht="15" hidden="1" customHeight="1">
      <c r="A3289" s="71"/>
    </row>
    <row r="3290" spans="1:1" ht="15" hidden="1" customHeight="1">
      <c r="A3290" s="71"/>
    </row>
    <row r="3291" spans="1:1" ht="15" hidden="1" customHeight="1">
      <c r="A3291" s="71"/>
    </row>
    <row r="3292" spans="1:1" ht="15" hidden="1" customHeight="1">
      <c r="A3292" s="71"/>
    </row>
    <row r="3293" spans="1:1" ht="15" hidden="1" customHeight="1">
      <c r="A3293" s="71"/>
    </row>
    <row r="3294" spans="1:1" ht="15" hidden="1" customHeight="1">
      <c r="A3294" s="71"/>
    </row>
    <row r="3295" spans="1:1" ht="15" hidden="1" customHeight="1">
      <c r="A3295" s="71"/>
    </row>
    <row r="3296" spans="1:1" ht="15" hidden="1" customHeight="1">
      <c r="A3296" s="71"/>
    </row>
    <row r="3297" spans="1:1" ht="15" hidden="1" customHeight="1">
      <c r="A3297" s="71"/>
    </row>
    <row r="3298" spans="1:1" ht="15" hidden="1" customHeight="1">
      <c r="A3298" s="71"/>
    </row>
    <row r="3299" spans="1:1" ht="15" hidden="1" customHeight="1">
      <c r="A3299" s="71"/>
    </row>
    <row r="3300" spans="1:1" ht="15" hidden="1" customHeight="1">
      <c r="A3300" s="71"/>
    </row>
    <row r="3301" spans="1:1" ht="15" hidden="1" customHeight="1">
      <c r="A3301" s="71"/>
    </row>
    <row r="3302" spans="1:1" ht="15" hidden="1" customHeight="1">
      <c r="A3302" s="71"/>
    </row>
    <row r="3303" spans="1:1" ht="15" hidden="1" customHeight="1">
      <c r="A3303" s="71"/>
    </row>
    <row r="3304" spans="1:1" ht="15" hidden="1" customHeight="1">
      <c r="A3304" s="71"/>
    </row>
    <row r="3305" spans="1:1" ht="15" hidden="1" customHeight="1">
      <c r="A3305" s="71"/>
    </row>
    <row r="3306" spans="1:1" ht="15" hidden="1" customHeight="1">
      <c r="A3306" s="71"/>
    </row>
    <row r="3307" spans="1:1" ht="15" hidden="1" customHeight="1">
      <c r="A3307" s="71"/>
    </row>
    <row r="3308" spans="1:1" ht="15" hidden="1" customHeight="1">
      <c r="A3308" s="71"/>
    </row>
    <row r="3309" spans="1:1" ht="15" hidden="1" customHeight="1">
      <c r="A3309" s="71"/>
    </row>
    <row r="3310" spans="1:1" ht="15" hidden="1" customHeight="1">
      <c r="A3310" s="71"/>
    </row>
    <row r="3311" spans="1:1" ht="15" hidden="1" customHeight="1">
      <c r="A3311" s="71"/>
    </row>
    <row r="3312" spans="1:1" ht="15" hidden="1" customHeight="1">
      <c r="A3312" s="71"/>
    </row>
    <row r="3313" spans="1:1" ht="15" hidden="1" customHeight="1">
      <c r="A3313" s="71"/>
    </row>
    <row r="3314" spans="1:1" ht="15" hidden="1" customHeight="1">
      <c r="A3314" s="71"/>
    </row>
    <row r="3315" spans="1:1" ht="15" hidden="1" customHeight="1">
      <c r="A3315" s="71"/>
    </row>
    <row r="3316" spans="1:1" ht="15" hidden="1" customHeight="1">
      <c r="A3316" s="71"/>
    </row>
    <row r="3317" spans="1:1" ht="15" hidden="1" customHeight="1">
      <c r="A3317" s="71"/>
    </row>
    <row r="3318" spans="1:1" ht="15" hidden="1" customHeight="1">
      <c r="A3318" s="71"/>
    </row>
    <row r="3319" spans="1:1" ht="15" hidden="1" customHeight="1">
      <c r="A3319" s="71"/>
    </row>
    <row r="3320" spans="1:1" ht="15" hidden="1" customHeight="1">
      <c r="A3320" s="71"/>
    </row>
    <row r="3321" spans="1:1" ht="15" hidden="1" customHeight="1">
      <c r="A3321" s="71"/>
    </row>
    <row r="3322" spans="1:1" ht="15" hidden="1" customHeight="1">
      <c r="A3322" s="71"/>
    </row>
    <row r="3323" spans="1:1" ht="15" hidden="1" customHeight="1">
      <c r="A3323" s="71"/>
    </row>
    <row r="3324" spans="1:1" ht="15" hidden="1" customHeight="1">
      <c r="A3324" s="71"/>
    </row>
    <row r="3325" spans="1:1" ht="15" hidden="1" customHeight="1">
      <c r="A3325" s="71"/>
    </row>
    <row r="3326" spans="1:1" ht="15" hidden="1" customHeight="1">
      <c r="A3326" s="71"/>
    </row>
    <row r="3327" spans="1:1" ht="15" hidden="1" customHeight="1">
      <c r="A3327" s="71"/>
    </row>
    <row r="3328" spans="1:1" ht="15" hidden="1" customHeight="1">
      <c r="A3328" s="71"/>
    </row>
    <row r="3329" spans="1:7" ht="15" hidden="1" customHeight="1">
      <c r="A3329" s="71"/>
    </row>
    <row r="3330" spans="1:7" ht="15" hidden="1" customHeight="1">
      <c r="A3330" s="71"/>
    </row>
    <row r="3331" spans="1:7" ht="15" hidden="1" customHeight="1">
      <c r="A3331" s="71"/>
    </row>
    <row r="3332" spans="1:7" ht="15" hidden="1" customHeight="1">
      <c r="A3332" s="71"/>
    </row>
    <row r="3333" spans="1:7" ht="15" hidden="1" customHeight="1">
      <c r="A3333" s="71"/>
    </row>
    <row r="3334" spans="1:7" ht="15" hidden="1" customHeight="1">
      <c r="A3334" s="71"/>
    </row>
    <row r="3335" spans="1:7" ht="15" hidden="1" customHeight="1">
      <c r="A3335" s="71"/>
    </row>
    <row r="3336" spans="1:7" ht="15" hidden="1" customHeight="1">
      <c r="A3336" s="71"/>
    </row>
    <row r="3337" spans="1:7" ht="15" hidden="1" customHeight="1">
      <c r="A3337" s="71"/>
    </row>
    <row r="3338" spans="1:7" ht="15" hidden="1" customHeight="1">
      <c r="A3338" s="71"/>
    </row>
    <row r="3339" spans="1:7" ht="15" hidden="1" customHeight="1">
      <c r="A3339" s="71"/>
    </row>
    <row r="3340" spans="1:7" ht="15" hidden="1" customHeight="1">
      <c r="A3340" s="71"/>
    </row>
    <row r="3341" spans="1:7" ht="15" hidden="1" customHeight="1">
      <c r="A3341" s="71"/>
    </row>
    <row r="3342" spans="1:7" ht="15" hidden="1" customHeight="1">
      <c r="A3342" s="71"/>
    </row>
    <row r="3343" spans="1:7" ht="15" hidden="1" customHeight="1">
      <c r="A3343" s="71"/>
    </row>
    <row r="3344" spans="1:7" ht="15" hidden="1" customHeight="1">
      <c r="A3344" s="71"/>
      <c r="E3344" s="8"/>
      <c r="G3344" s="95"/>
    </row>
    <row r="3345" spans="1:1" ht="15" hidden="1" customHeight="1">
      <c r="A3345" s="71"/>
    </row>
    <row r="3346" spans="1:1" ht="15" hidden="1" customHeight="1">
      <c r="A3346" s="71"/>
    </row>
    <row r="3347" spans="1:1" ht="15" hidden="1" customHeight="1">
      <c r="A3347" s="71"/>
    </row>
    <row r="3348" spans="1:1" ht="15" hidden="1" customHeight="1">
      <c r="A3348" s="71"/>
    </row>
    <row r="3349" spans="1:1" ht="15" hidden="1" customHeight="1">
      <c r="A3349" s="71"/>
    </row>
    <row r="3350" spans="1:1" ht="15" hidden="1" customHeight="1">
      <c r="A3350" s="71"/>
    </row>
    <row r="3351" spans="1:1" ht="15" hidden="1" customHeight="1">
      <c r="A3351" s="71"/>
    </row>
    <row r="3352" spans="1:1" ht="15" hidden="1" customHeight="1">
      <c r="A3352" s="71"/>
    </row>
    <row r="3353" spans="1:1" ht="15" hidden="1" customHeight="1">
      <c r="A3353" s="71"/>
    </row>
    <row r="3354" spans="1:1" ht="15" hidden="1" customHeight="1">
      <c r="A3354" s="71"/>
    </row>
    <row r="3355" spans="1:1" ht="15" hidden="1" customHeight="1">
      <c r="A3355" s="71"/>
    </row>
    <row r="3356" spans="1:1" ht="15" hidden="1" customHeight="1">
      <c r="A3356" s="71"/>
    </row>
    <row r="3357" spans="1:1" ht="15" hidden="1" customHeight="1">
      <c r="A3357" s="71"/>
    </row>
    <row r="3358" spans="1:1" ht="15" hidden="1" customHeight="1">
      <c r="A3358" s="71"/>
    </row>
    <row r="3359" spans="1:1" ht="15" hidden="1" customHeight="1">
      <c r="A3359" s="71"/>
    </row>
    <row r="3360" spans="1:1" ht="15" hidden="1" customHeight="1">
      <c r="A3360" s="71"/>
    </row>
    <row r="3361" spans="1:1" ht="15" hidden="1" customHeight="1">
      <c r="A3361" s="71"/>
    </row>
    <row r="3362" spans="1:1" ht="15" hidden="1" customHeight="1">
      <c r="A3362" s="71"/>
    </row>
    <row r="3363" spans="1:1" ht="15" hidden="1" customHeight="1">
      <c r="A3363" s="71"/>
    </row>
    <row r="3364" spans="1:1" ht="15" hidden="1" customHeight="1">
      <c r="A3364" s="71"/>
    </row>
    <row r="3365" spans="1:1" ht="15" hidden="1" customHeight="1">
      <c r="A3365" s="71"/>
    </row>
    <row r="3366" spans="1:1" ht="15" hidden="1" customHeight="1">
      <c r="A3366" s="71"/>
    </row>
    <row r="3367" spans="1:1" ht="15" hidden="1" customHeight="1">
      <c r="A3367" s="71"/>
    </row>
    <row r="3368" spans="1:1" ht="15" hidden="1" customHeight="1">
      <c r="A3368" s="71"/>
    </row>
    <row r="3369" spans="1:1" ht="15" hidden="1" customHeight="1">
      <c r="A3369" s="71"/>
    </row>
    <row r="3370" spans="1:1" ht="15" hidden="1" customHeight="1">
      <c r="A3370" s="71"/>
    </row>
    <row r="3371" spans="1:1" ht="15" hidden="1" customHeight="1">
      <c r="A3371" s="71"/>
    </row>
    <row r="3372" spans="1:1" ht="15" hidden="1" customHeight="1">
      <c r="A3372" s="71"/>
    </row>
    <row r="3373" spans="1:1" ht="15" hidden="1" customHeight="1">
      <c r="A3373" s="71"/>
    </row>
    <row r="3374" spans="1:1" ht="15" hidden="1" customHeight="1">
      <c r="A3374" s="71"/>
    </row>
    <row r="3375" spans="1:1" ht="15" hidden="1" customHeight="1">
      <c r="A3375" s="71"/>
    </row>
    <row r="3376" spans="1:1" ht="15" hidden="1" customHeight="1">
      <c r="A3376" s="71"/>
    </row>
    <row r="3377" spans="1:5" ht="15" hidden="1" customHeight="1">
      <c r="A3377" s="71"/>
    </row>
    <row r="3378" spans="1:5" ht="15" hidden="1" customHeight="1">
      <c r="A3378" s="71"/>
    </row>
    <row r="3379" spans="1:5" ht="15" hidden="1" customHeight="1">
      <c r="A3379" s="60"/>
      <c r="B3379" s="56"/>
      <c r="C3379" s="57"/>
      <c r="D3379" s="59"/>
      <c r="E3379" s="56"/>
    </row>
    <row r="3380" spans="1:5" ht="15" hidden="1" customHeight="1">
      <c r="A3380" s="60"/>
      <c r="B3380" s="56"/>
      <c r="C3380" s="57"/>
      <c r="D3380" s="59"/>
      <c r="E3380" s="56"/>
    </row>
    <row r="3381" spans="1:5" ht="15" hidden="1" customHeight="1">
      <c r="A3381" s="60"/>
      <c r="B3381" s="56"/>
      <c r="C3381" s="57"/>
      <c r="D3381" s="59"/>
      <c r="E3381" s="56"/>
    </row>
    <row r="3382" spans="1:5" ht="15" hidden="1" customHeight="1">
      <c r="A3382" s="60"/>
      <c r="B3382" s="56"/>
      <c r="C3382" s="57"/>
      <c r="D3382" s="59"/>
      <c r="E3382" s="56"/>
    </row>
    <row r="3383" spans="1:5" ht="15" hidden="1" customHeight="1">
      <c r="A3383" s="60"/>
      <c r="B3383" s="56"/>
      <c r="C3383" s="59"/>
      <c r="D3383" s="59"/>
      <c r="E3383" s="56"/>
    </row>
    <row r="3384" spans="1:5" ht="15" hidden="1" customHeight="1">
      <c r="A3384" s="60"/>
      <c r="B3384" s="56"/>
      <c r="C3384" s="59"/>
      <c r="D3384" s="59"/>
      <c r="E3384" s="56"/>
    </row>
    <row r="3385" spans="1:5" ht="15" hidden="1" customHeight="1">
      <c r="A3385" s="60"/>
      <c r="B3385" s="56"/>
      <c r="C3385" s="59"/>
      <c r="D3385" s="59"/>
      <c r="E3385" s="56"/>
    </row>
    <row r="3386" spans="1:5" ht="15" hidden="1" customHeight="1">
      <c r="A3386" s="60"/>
      <c r="B3386" s="56"/>
      <c r="C3386" s="59"/>
      <c r="D3386" s="59"/>
      <c r="E3386" s="56"/>
    </row>
    <row r="3387" spans="1:5" ht="15" hidden="1" customHeight="1">
      <c r="A3387" s="60"/>
      <c r="B3387" s="56"/>
      <c r="C3387" s="59"/>
      <c r="D3387" s="59"/>
      <c r="E3387" s="56"/>
    </row>
    <row r="3388" spans="1:5" ht="15" hidden="1" customHeight="1">
      <c r="A3388" s="72"/>
      <c r="B3388" s="54"/>
      <c r="C3388" s="58"/>
      <c r="D3388" s="58"/>
      <c r="E3388" s="54"/>
    </row>
    <row r="3389" spans="1:5" ht="15" hidden="1" customHeight="1">
      <c r="A3389" s="72"/>
      <c r="B3389" s="54"/>
      <c r="C3389" s="58"/>
      <c r="D3389" s="58"/>
      <c r="E3389" s="54"/>
    </row>
    <row r="3390" spans="1:5" ht="15" hidden="1" customHeight="1">
      <c r="A3390" s="72"/>
      <c r="B3390" s="54"/>
      <c r="C3390" s="58"/>
      <c r="D3390" s="58"/>
      <c r="E3390" s="54"/>
    </row>
    <row r="3391" spans="1:5" ht="15" hidden="1" customHeight="1">
      <c r="A3391" s="72"/>
      <c r="B3391" s="54"/>
      <c r="C3391" s="58"/>
      <c r="D3391" s="58"/>
      <c r="E3391" s="54"/>
    </row>
    <row r="3392" spans="1:5" ht="15" hidden="1" customHeight="1">
      <c r="A3392" s="72"/>
      <c r="B3392" s="54"/>
      <c r="C3392" s="58"/>
      <c r="D3392" s="58"/>
      <c r="E3392" s="54"/>
    </row>
    <row r="3393" spans="1:5" ht="15" hidden="1" customHeight="1">
      <c r="A3393" s="72"/>
      <c r="B3393" s="54"/>
      <c r="C3393" s="58"/>
      <c r="D3393" s="58"/>
      <c r="E3393" s="54"/>
    </row>
    <row r="3394" spans="1:5" ht="15" hidden="1" customHeight="1">
      <c r="A3394" s="72"/>
      <c r="B3394" s="54"/>
      <c r="C3394" s="58"/>
      <c r="D3394" s="58"/>
      <c r="E3394" s="54"/>
    </row>
    <row r="3395" spans="1:5" ht="15" hidden="1" customHeight="1">
      <c r="A3395" s="72"/>
      <c r="B3395" s="54"/>
      <c r="C3395" s="58"/>
      <c r="D3395" s="58"/>
      <c r="E3395" s="54"/>
    </row>
    <row r="3396" spans="1:5" ht="15" hidden="1" customHeight="1">
      <c r="A3396" s="72"/>
      <c r="B3396" s="54"/>
      <c r="C3396" s="58"/>
      <c r="D3396" s="58"/>
      <c r="E3396" s="54"/>
    </row>
    <row r="3397" spans="1:5" ht="15" hidden="1" customHeight="1">
      <c r="A3397" s="72"/>
      <c r="B3397" s="54"/>
      <c r="C3397" s="58"/>
      <c r="D3397" s="58"/>
      <c r="E3397" s="54"/>
    </row>
    <row r="3398" spans="1:5" ht="15" hidden="1" customHeight="1">
      <c r="A3398" s="72"/>
      <c r="B3398" s="54"/>
      <c r="C3398" s="58"/>
      <c r="D3398" s="58"/>
      <c r="E3398" s="54"/>
    </row>
    <row r="3399" spans="1:5" ht="15" hidden="1" customHeight="1">
      <c r="A3399" s="72"/>
      <c r="B3399" s="54"/>
      <c r="C3399" s="58"/>
      <c r="D3399" s="58"/>
      <c r="E3399" s="54"/>
    </row>
    <row r="3400" spans="1:5" ht="15" hidden="1" customHeight="1">
      <c r="A3400" s="72"/>
      <c r="B3400" s="54"/>
      <c r="C3400" s="58"/>
      <c r="D3400" s="58"/>
      <c r="E3400" s="54"/>
    </row>
    <row r="3401" spans="1:5" ht="15" hidden="1" customHeight="1">
      <c r="A3401" s="72"/>
      <c r="B3401" s="54"/>
      <c r="C3401" s="58"/>
      <c r="D3401" s="58"/>
      <c r="E3401" s="54"/>
    </row>
    <row r="3402" spans="1:5" ht="15" hidden="1" customHeight="1">
      <c r="A3402" s="72"/>
      <c r="B3402" s="54"/>
      <c r="C3402" s="58"/>
      <c r="D3402" s="58"/>
      <c r="E3402" s="54"/>
    </row>
    <row r="3403" spans="1:5" ht="15" hidden="1" customHeight="1">
      <c r="A3403" s="72"/>
      <c r="B3403" s="54"/>
      <c r="C3403" s="58"/>
      <c r="D3403" s="58"/>
      <c r="E3403" s="54"/>
    </row>
    <row r="3404" spans="1:5" ht="15" hidden="1" customHeight="1">
      <c r="A3404" s="72"/>
      <c r="B3404" s="54"/>
      <c r="C3404" s="58"/>
      <c r="D3404" s="58"/>
      <c r="E3404" s="54"/>
    </row>
    <row r="3405" spans="1:5" ht="15" hidden="1" customHeight="1">
      <c r="A3405" s="72"/>
      <c r="B3405" s="54"/>
      <c r="C3405" s="58"/>
      <c r="D3405" s="58"/>
      <c r="E3405" s="54"/>
    </row>
    <row r="3406" spans="1:5" ht="15" hidden="1" customHeight="1">
      <c r="A3406" s="72"/>
      <c r="B3406" s="54"/>
      <c r="C3406" s="58"/>
      <c r="D3406" s="58"/>
      <c r="E3406" s="54"/>
    </row>
    <row r="3407" spans="1:5" ht="15" hidden="1" customHeight="1">
      <c r="A3407" s="72"/>
      <c r="B3407" s="54"/>
      <c r="C3407" s="58"/>
      <c r="D3407" s="58"/>
      <c r="E3407" s="54"/>
    </row>
    <row r="3408" spans="1:5" ht="15" hidden="1" customHeight="1">
      <c r="A3408" s="72"/>
      <c r="B3408" s="54"/>
      <c r="C3408" s="58"/>
      <c r="D3408" s="58"/>
      <c r="E3408" s="54"/>
    </row>
    <row r="3409" spans="1:5" ht="15" hidden="1" customHeight="1">
      <c r="A3409" s="72"/>
      <c r="B3409" s="54"/>
      <c r="C3409" s="58"/>
      <c r="D3409" s="58"/>
      <c r="E3409" s="54"/>
    </row>
    <row r="3410" spans="1:5" ht="15" hidden="1" customHeight="1">
      <c r="A3410" s="72"/>
      <c r="B3410" s="54"/>
      <c r="C3410" s="58"/>
      <c r="D3410" s="58"/>
      <c r="E3410" s="54"/>
    </row>
    <row r="3411" spans="1:5" ht="15" hidden="1" customHeight="1">
      <c r="A3411" s="72"/>
      <c r="B3411" s="54"/>
      <c r="C3411" s="58"/>
      <c r="D3411" s="58"/>
      <c r="E3411" s="54"/>
    </row>
    <row r="3412" spans="1:5" ht="15" hidden="1" customHeight="1">
      <c r="A3412" s="72"/>
      <c r="B3412" s="54"/>
      <c r="C3412" s="58"/>
      <c r="D3412" s="58"/>
      <c r="E3412" s="54"/>
    </row>
    <row r="3413" spans="1:5" ht="15" hidden="1" customHeight="1">
      <c r="A3413" s="72"/>
      <c r="B3413" s="54"/>
      <c r="C3413" s="58"/>
      <c r="D3413" s="58"/>
      <c r="E3413" s="54"/>
    </row>
    <row r="3414" spans="1:5" ht="15" hidden="1" customHeight="1">
      <c r="A3414" s="72"/>
      <c r="B3414" s="54"/>
      <c r="C3414" s="58"/>
      <c r="D3414" s="58"/>
      <c r="E3414" s="54"/>
    </row>
    <row r="3415" spans="1:5" ht="15" hidden="1" customHeight="1">
      <c r="A3415" s="72"/>
      <c r="B3415" s="54"/>
      <c r="C3415" s="58"/>
      <c r="D3415" s="58"/>
      <c r="E3415" s="54"/>
    </row>
    <row r="3416" spans="1:5" ht="15" hidden="1" customHeight="1">
      <c r="A3416" s="72"/>
      <c r="B3416" s="54"/>
      <c r="C3416" s="55"/>
      <c r="D3416" s="58"/>
      <c r="E3416" s="54"/>
    </row>
    <row r="3417" spans="1:5" ht="15" hidden="1" customHeight="1">
      <c r="A3417" s="72"/>
      <c r="B3417" s="54"/>
      <c r="C3417" s="55"/>
      <c r="D3417" s="58"/>
      <c r="E3417" s="54"/>
    </row>
    <row r="3418" spans="1:5" ht="15" hidden="1" customHeight="1">
      <c r="A3418" s="72"/>
      <c r="B3418" s="54"/>
      <c r="C3418" s="55"/>
      <c r="D3418" s="58"/>
      <c r="E3418" s="54"/>
    </row>
    <row r="3419" spans="1:5" ht="15" hidden="1" customHeight="1">
      <c r="A3419" s="72"/>
      <c r="B3419" s="54"/>
      <c r="C3419" s="55"/>
      <c r="D3419" s="58"/>
      <c r="E3419" s="54"/>
    </row>
    <row r="3420" spans="1:5" ht="15" hidden="1" customHeight="1">
      <c r="A3420" s="72"/>
      <c r="B3420" s="54"/>
      <c r="C3420" s="54"/>
      <c r="D3420" s="54"/>
      <c r="E3420" s="54"/>
    </row>
    <row r="3421" spans="1:5" ht="15" hidden="1" customHeight="1">
      <c r="A3421" s="72"/>
      <c r="B3421" s="54"/>
      <c r="C3421" s="54"/>
      <c r="D3421" s="54"/>
      <c r="E3421" s="54"/>
    </row>
    <row r="3422" spans="1:5" ht="15" hidden="1" customHeight="1">
      <c r="A3422" s="72"/>
      <c r="B3422" s="54"/>
      <c r="C3422" s="54"/>
      <c r="D3422" s="54"/>
      <c r="E3422" s="54"/>
    </row>
    <row r="3423" spans="1:5" ht="15" hidden="1" customHeight="1">
      <c r="A3423" s="72"/>
      <c r="B3423" s="54"/>
      <c r="C3423" s="54"/>
      <c r="D3423" s="54"/>
      <c r="E3423" s="54"/>
    </row>
    <row r="3424" spans="1:5" ht="15" hidden="1" customHeight="1">
      <c r="A3424" s="72"/>
      <c r="B3424" s="54"/>
      <c r="C3424" s="54"/>
      <c r="D3424" s="54"/>
      <c r="E3424" s="54"/>
    </row>
    <row r="3425" spans="1:5" ht="15" hidden="1" customHeight="1">
      <c r="A3425" s="72"/>
      <c r="B3425" s="54"/>
      <c r="C3425" s="54"/>
      <c r="D3425" s="54"/>
      <c r="E3425" s="54"/>
    </row>
    <row r="3426" spans="1:5" ht="15" hidden="1" customHeight="1">
      <c r="A3426" s="72"/>
      <c r="B3426" s="54"/>
      <c r="C3426" s="54"/>
      <c r="D3426" s="54"/>
      <c r="E3426" s="54"/>
    </row>
    <row r="3427" spans="1:5" ht="15" hidden="1" customHeight="1">
      <c r="A3427" s="72"/>
      <c r="B3427" s="54"/>
      <c r="C3427" s="54"/>
      <c r="D3427" s="54"/>
      <c r="E3427" s="54"/>
    </row>
    <row r="3428" spans="1:5" ht="15" hidden="1" customHeight="1">
      <c r="A3428" s="72"/>
      <c r="B3428" s="54"/>
      <c r="C3428" s="54"/>
      <c r="D3428" s="54"/>
      <c r="E3428" s="54"/>
    </row>
    <row r="3429" spans="1:5" ht="15" hidden="1" customHeight="1">
      <c r="A3429" s="72"/>
      <c r="B3429" s="54"/>
      <c r="C3429" s="54"/>
      <c r="D3429" s="54"/>
      <c r="E3429" s="54"/>
    </row>
    <row r="3430" spans="1:5" ht="15" hidden="1" customHeight="1">
      <c r="A3430" s="72"/>
      <c r="B3430" s="54"/>
      <c r="C3430" s="54"/>
      <c r="D3430" s="54"/>
      <c r="E3430" s="54"/>
    </row>
    <row r="3431" spans="1:5" ht="15" hidden="1" customHeight="1">
      <c r="A3431" s="72"/>
      <c r="B3431" s="54"/>
      <c r="C3431" s="54"/>
      <c r="D3431" s="54"/>
      <c r="E3431" s="54"/>
    </row>
    <row r="3432" spans="1:5" ht="15" hidden="1" customHeight="1">
      <c r="A3432" s="72"/>
      <c r="B3432" s="54"/>
      <c r="C3432" s="54"/>
      <c r="D3432" s="54"/>
      <c r="E3432" s="54"/>
    </row>
    <row r="3433" spans="1:5" ht="15" hidden="1" customHeight="1">
      <c r="A3433" s="72"/>
      <c r="B3433" s="54"/>
      <c r="C3433" s="54"/>
      <c r="D3433" s="54"/>
      <c r="E3433" s="54"/>
    </row>
    <row r="3434" spans="1:5" ht="15" hidden="1" customHeight="1">
      <c r="A3434" s="72"/>
      <c r="B3434" s="54"/>
      <c r="C3434" s="55"/>
      <c r="D3434" s="58"/>
      <c r="E3434" s="54"/>
    </row>
    <row r="3435" spans="1:5" ht="15" hidden="1" customHeight="1">
      <c r="A3435" s="72"/>
      <c r="B3435" s="54"/>
      <c r="C3435" s="55"/>
      <c r="D3435" s="58"/>
      <c r="E3435" s="54"/>
    </row>
    <row r="3436" spans="1:5" ht="15" hidden="1" customHeight="1">
      <c r="A3436" s="72"/>
      <c r="B3436" s="54"/>
      <c r="C3436" s="58"/>
      <c r="D3436" s="58"/>
      <c r="E3436" s="54"/>
    </row>
    <row r="3437" spans="1:5" ht="15" hidden="1" customHeight="1">
      <c r="A3437" s="72"/>
      <c r="B3437" s="54"/>
      <c r="C3437" s="58"/>
      <c r="D3437" s="58"/>
      <c r="E3437" s="54"/>
    </row>
    <row r="3438" spans="1:5" ht="15" hidden="1" customHeight="1">
      <c r="A3438" s="72"/>
      <c r="B3438" s="54"/>
      <c r="C3438" s="58"/>
      <c r="D3438" s="58"/>
      <c r="E3438" s="54"/>
    </row>
    <row r="3439" spans="1:5" ht="15" hidden="1" customHeight="1">
      <c r="A3439" s="72"/>
      <c r="B3439" s="54"/>
      <c r="C3439" s="58"/>
      <c r="D3439" s="58"/>
      <c r="E3439" s="54"/>
    </row>
    <row r="3440" spans="1:5" ht="15" hidden="1" customHeight="1">
      <c r="A3440" s="72"/>
      <c r="B3440" s="54"/>
      <c r="C3440" s="58"/>
      <c r="D3440" s="58"/>
      <c r="E3440" s="54"/>
    </row>
    <row r="3441" spans="1:5" ht="15" hidden="1" customHeight="1">
      <c r="A3441" s="72"/>
      <c r="B3441" s="54"/>
      <c r="C3441" s="58"/>
      <c r="D3441" s="58"/>
      <c r="E3441" s="54"/>
    </row>
    <row r="3442" spans="1:5" ht="15" hidden="1" customHeight="1">
      <c r="A3442" s="72"/>
      <c r="B3442" s="54"/>
      <c r="C3442" s="58"/>
      <c r="D3442" s="58"/>
      <c r="E3442" s="54"/>
    </row>
    <row r="3443" spans="1:5" ht="15" hidden="1" customHeight="1">
      <c r="A3443" s="72"/>
      <c r="B3443" s="54"/>
      <c r="C3443" s="58"/>
      <c r="D3443" s="58"/>
      <c r="E3443" s="54"/>
    </row>
    <row r="3444" spans="1:5" ht="15" hidden="1" customHeight="1">
      <c r="A3444" s="72"/>
      <c r="B3444" s="54"/>
      <c r="C3444" s="58"/>
      <c r="D3444" s="58"/>
      <c r="E3444" s="54"/>
    </row>
    <row r="3445" spans="1:5" ht="15" hidden="1" customHeight="1">
      <c r="A3445" s="72"/>
      <c r="B3445" s="54"/>
      <c r="C3445" s="58"/>
      <c r="D3445" s="58"/>
      <c r="E3445" s="54"/>
    </row>
    <row r="3446" spans="1:5" ht="15" hidden="1" customHeight="1">
      <c r="A3446" s="72"/>
      <c r="B3446" s="54"/>
      <c r="C3446" s="58"/>
      <c r="D3446" s="58"/>
      <c r="E3446" s="54"/>
    </row>
    <row r="3447" spans="1:5" ht="15" hidden="1" customHeight="1">
      <c r="A3447" s="72"/>
      <c r="B3447" s="54"/>
      <c r="C3447" s="58"/>
      <c r="D3447" s="58"/>
      <c r="E3447" s="54"/>
    </row>
    <row r="3448" spans="1:5" ht="15" hidden="1" customHeight="1">
      <c r="A3448" s="72"/>
      <c r="B3448" s="54"/>
      <c r="C3448" s="58"/>
      <c r="D3448" s="58"/>
      <c r="E3448" s="54"/>
    </row>
    <row r="3449" spans="1:5" ht="15" hidden="1" customHeight="1">
      <c r="A3449" s="72"/>
      <c r="B3449" s="54"/>
      <c r="C3449" s="58"/>
      <c r="D3449" s="58"/>
      <c r="E3449" s="54"/>
    </row>
    <row r="3450" spans="1:5" ht="15" hidden="1" customHeight="1">
      <c r="A3450" s="72"/>
      <c r="B3450" s="54"/>
      <c r="C3450" s="58"/>
      <c r="D3450" s="58"/>
      <c r="E3450" s="54"/>
    </row>
    <row r="3451" spans="1:5" ht="15" hidden="1" customHeight="1">
      <c r="A3451" s="72"/>
      <c r="B3451" s="54"/>
      <c r="C3451" s="58"/>
      <c r="D3451" s="58"/>
      <c r="E3451" s="54"/>
    </row>
    <row r="3452" spans="1:5" ht="15" hidden="1" customHeight="1">
      <c r="A3452" s="72"/>
      <c r="B3452" s="54"/>
      <c r="C3452" s="58"/>
      <c r="D3452" s="58"/>
      <c r="E3452" s="54"/>
    </row>
    <row r="3453" spans="1:5" ht="15" hidden="1" customHeight="1">
      <c r="A3453" s="72"/>
      <c r="B3453" s="54"/>
      <c r="C3453" s="58"/>
      <c r="D3453" s="58"/>
      <c r="E3453" s="54"/>
    </row>
    <row r="3454" spans="1:5" ht="15" hidden="1" customHeight="1">
      <c r="A3454" s="72"/>
      <c r="B3454" s="54"/>
      <c r="C3454" s="58"/>
      <c r="D3454" s="58"/>
      <c r="E3454" s="54"/>
    </row>
    <row r="3455" spans="1:5" ht="15" hidden="1" customHeight="1">
      <c r="A3455" s="72"/>
      <c r="B3455" s="54"/>
      <c r="C3455" s="58"/>
      <c r="D3455" s="58"/>
      <c r="E3455" s="54"/>
    </row>
    <row r="3456" spans="1:5" ht="15" hidden="1" customHeight="1">
      <c r="A3456" s="72"/>
      <c r="B3456" s="54"/>
      <c r="C3456" s="58"/>
      <c r="D3456" s="58"/>
      <c r="E3456" s="54"/>
    </row>
    <row r="3457" spans="1:5" ht="15" hidden="1" customHeight="1">
      <c r="A3457" s="72"/>
      <c r="B3457" s="54"/>
      <c r="C3457" s="58"/>
      <c r="D3457" s="58"/>
      <c r="E3457" s="54"/>
    </row>
    <row r="3458" spans="1:5" ht="15" hidden="1" customHeight="1">
      <c r="A3458" s="72"/>
      <c r="B3458" s="54"/>
      <c r="C3458" s="58"/>
      <c r="D3458" s="58"/>
      <c r="E3458" s="54"/>
    </row>
    <row r="3459" spans="1:5" ht="15" hidden="1" customHeight="1">
      <c r="A3459" s="72"/>
      <c r="B3459" s="54"/>
      <c r="C3459" s="58"/>
      <c r="D3459" s="58"/>
      <c r="E3459" s="54"/>
    </row>
    <row r="3460" spans="1:5" ht="15" hidden="1" customHeight="1">
      <c r="A3460" s="72"/>
      <c r="B3460" s="54"/>
      <c r="C3460" s="58"/>
      <c r="D3460" s="58"/>
      <c r="E3460" s="54"/>
    </row>
    <row r="3461" spans="1:5" ht="15" hidden="1" customHeight="1">
      <c r="A3461" s="72"/>
      <c r="B3461" s="54"/>
      <c r="C3461" s="58"/>
      <c r="D3461" s="58"/>
      <c r="E3461" s="54"/>
    </row>
    <row r="3462" spans="1:5" ht="15" hidden="1" customHeight="1">
      <c r="A3462" s="72"/>
      <c r="B3462" s="54"/>
      <c r="C3462" s="58"/>
      <c r="D3462" s="58"/>
      <c r="E3462" s="54"/>
    </row>
    <row r="3463" spans="1:5" ht="15" hidden="1" customHeight="1">
      <c r="A3463" s="72"/>
      <c r="B3463" s="54"/>
      <c r="C3463" s="58"/>
      <c r="D3463" s="58"/>
      <c r="E3463" s="54"/>
    </row>
    <row r="3464" spans="1:5" ht="15" hidden="1" customHeight="1">
      <c r="A3464" s="72"/>
      <c r="B3464" s="54"/>
      <c r="C3464" s="58"/>
      <c r="D3464" s="58"/>
      <c r="E3464" s="54"/>
    </row>
    <row r="3465" spans="1:5" ht="15" hidden="1" customHeight="1">
      <c r="A3465" s="72"/>
      <c r="B3465" s="54"/>
      <c r="C3465" s="58"/>
      <c r="D3465" s="58"/>
      <c r="E3465" s="54"/>
    </row>
    <row r="3466" spans="1:5" ht="15" hidden="1" customHeight="1">
      <c r="A3466" s="72"/>
      <c r="B3466" s="54"/>
      <c r="C3466" s="58"/>
      <c r="D3466" s="58"/>
      <c r="E3466" s="54"/>
    </row>
    <row r="3467" spans="1:5" ht="15" hidden="1" customHeight="1">
      <c r="A3467" s="72"/>
      <c r="B3467" s="54"/>
      <c r="C3467" s="58"/>
      <c r="D3467" s="58"/>
      <c r="E3467" s="54"/>
    </row>
    <row r="3468" spans="1:5" ht="15" hidden="1" customHeight="1">
      <c r="A3468" s="72"/>
      <c r="B3468" s="54"/>
      <c r="C3468" s="58"/>
      <c r="D3468" s="58"/>
      <c r="E3468" s="54"/>
    </row>
    <row r="3469" spans="1:5" ht="15" hidden="1" customHeight="1">
      <c r="A3469" s="72"/>
      <c r="B3469" s="54"/>
      <c r="C3469" s="58"/>
      <c r="D3469" s="58"/>
      <c r="E3469" s="54"/>
    </row>
    <row r="3470" spans="1:5" ht="15" hidden="1" customHeight="1">
      <c r="A3470" s="72"/>
      <c r="B3470" s="54"/>
      <c r="C3470" s="58"/>
      <c r="D3470" s="58"/>
      <c r="E3470" s="54"/>
    </row>
    <row r="3471" spans="1:5" ht="15" hidden="1" customHeight="1">
      <c r="A3471" s="72"/>
      <c r="B3471" s="54"/>
      <c r="C3471" s="58"/>
      <c r="D3471" s="58"/>
      <c r="E3471" s="54"/>
    </row>
    <row r="3472" spans="1:5" ht="15" hidden="1" customHeight="1">
      <c r="A3472" s="72"/>
      <c r="B3472" s="54"/>
      <c r="C3472" s="58"/>
      <c r="D3472" s="58"/>
      <c r="E3472" s="54"/>
    </row>
    <row r="3473" spans="1:5" ht="15" hidden="1" customHeight="1">
      <c r="A3473" s="72"/>
      <c r="B3473" s="54"/>
      <c r="C3473" s="58"/>
      <c r="D3473" s="58"/>
      <c r="E3473" s="54"/>
    </row>
    <row r="3474" spans="1:5" ht="15" hidden="1" customHeight="1">
      <c r="A3474" s="72"/>
      <c r="B3474" s="54"/>
      <c r="C3474" s="58"/>
      <c r="D3474" s="58"/>
      <c r="E3474" s="54"/>
    </row>
    <row r="3475" spans="1:5" ht="15" hidden="1" customHeight="1">
      <c r="A3475" s="72"/>
      <c r="B3475" s="54"/>
      <c r="C3475" s="58"/>
      <c r="D3475" s="58"/>
      <c r="E3475" s="54"/>
    </row>
    <row r="3476" spans="1:5" ht="15" hidden="1" customHeight="1">
      <c r="A3476" s="72"/>
      <c r="B3476" s="54"/>
      <c r="C3476" s="58"/>
      <c r="D3476" s="58"/>
      <c r="E3476" s="54"/>
    </row>
    <row r="3477" spans="1:5" ht="15" hidden="1" customHeight="1">
      <c r="A3477" s="72"/>
      <c r="B3477" s="54"/>
      <c r="C3477" s="58"/>
      <c r="D3477" s="58"/>
      <c r="E3477" s="54"/>
    </row>
    <row r="3478" spans="1:5" ht="15" hidden="1" customHeight="1">
      <c r="A3478" s="72"/>
      <c r="B3478" s="54"/>
      <c r="C3478" s="58"/>
      <c r="D3478" s="58"/>
      <c r="E3478" s="54"/>
    </row>
    <row r="3479" spans="1:5" ht="15" hidden="1" customHeight="1">
      <c r="A3479" s="72"/>
      <c r="B3479" s="54"/>
      <c r="C3479" s="55"/>
      <c r="D3479" s="58"/>
      <c r="E3479" s="54"/>
    </row>
    <row r="3480" spans="1:5" ht="15" hidden="1" customHeight="1">
      <c r="A3480" s="72"/>
      <c r="B3480" s="54"/>
      <c r="C3480" s="55"/>
      <c r="D3480" s="58"/>
      <c r="E3480" s="54"/>
    </row>
    <row r="3481" spans="1:5" ht="15" hidden="1" customHeight="1">
      <c r="A3481" s="72"/>
      <c r="B3481" s="54"/>
      <c r="C3481" s="55"/>
      <c r="D3481" s="58"/>
      <c r="E3481" s="54"/>
    </row>
    <row r="3482" spans="1:5" ht="15" hidden="1" customHeight="1">
      <c r="A3482" s="72"/>
      <c r="B3482" s="54"/>
      <c r="C3482" s="54"/>
      <c r="D3482" s="54"/>
      <c r="E3482" s="54"/>
    </row>
    <row r="3483" spans="1:5" ht="15" hidden="1" customHeight="1">
      <c r="A3483" s="72"/>
      <c r="B3483" s="54"/>
      <c r="C3483" s="54"/>
      <c r="D3483" s="54"/>
      <c r="E3483" s="54"/>
    </row>
    <row r="3484" spans="1:5" ht="15" hidden="1" customHeight="1">
      <c r="A3484" s="72"/>
      <c r="B3484" s="54"/>
      <c r="C3484" s="54"/>
      <c r="D3484" s="54"/>
      <c r="E3484" s="54"/>
    </row>
    <row r="3485" spans="1:5" ht="15" hidden="1" customHeight="1">
      <c r="A3485" s="72"/>
      <c r="B3485" s="54"/>
      <c r="C3485" s="54"/>
      <c r="D3485" s="54"/>
      <c r="E3485" s="54"/>
    </row>
    <row r="3486" spans="1:5" ht="15" hidden="1" customHeight="1">
      <c r="A3486" s="72"/>
      <c r="B3486" s="54"/>
      <c r="C3486" s="54"/>
      <c r="D3486" s="54"/>
      <c r="E3486" s="54"/>
    </row>
    <row r="3487" spans="1:5" ht="15" hidden="1" customHeight="1">
      <c r="A3487" s="72"/>
      <c r="B3487" s="54"/>
      <c r="C3487" s="54"/>
      <c r="D3487" s="54"/>
      <c r="E3487" s="54"/>
    </row>
    <row r="3488" spans="1:5" ht="15" hidden="1" customHeight="1">
      <c r="A3488" s="72"/>
      <c r="B3488" s="54"/>
      <c r="C3488" s="54"/>
      <c r="D3488" s="54"/>
      <c r="E3488" s="54"/>
    </row>
    <row r="3489" spans="1:5" ht="15" hidden="1" customHeight="1">
      <c r="A3489" s="72"/>
      <c r="B3489" s="54"/>
      <c r="C3489" s="54"/>
      <c r="D3489" s="54"/>
      <c r="E3489" s="54"/>
    </row>
    <row r="3490" spans="1:5" ht="15" hidden="1" customHeight="1">
      <c r="A3490" s="72"/>
      <c r="B3490" s="54"/>
      <c r="C3490" s="54"/>
      <c r="D3490" s="54"/>
      <c r="E3490" s="54"/>
    </row>
    <row r="3491" spans="1:5" ht="15" hidden="1" customHeight="1">
      <c r="A3491" s="72"/>
      <c r="B3491" s="54"/>
      <c r="C3491" s="54"/>
      <c r="D3491" s="54"/>
      <c r="E3491" s="54"/>
    </row>
    <row r="3492" spans="1:5" ht="15" hidden="1" customHeight="1">
      <c r="A3492" s="72"/>
      <c r="B3492" s="54"/>
      <c r="C3492" s="54"/>
      <c r="D3492" s="54"/>
      <c r="E3492" s="54"/>
    </row>
    <row r="3493" spans="1:5" ht="15" hidden="1" customHeight="1">
      <c r="A3493" s="72"/>
      <c r="B3493" s="54"/>
      <c r="C3493" s="54"/>
      <c r="D3493" s="54"/>
      <c r="E3493" s="54"/>
    </row>
    <row r="3494" spans="1:5" ht="15" hidden="1" customHeight="1">
      <c r="A3494" s="72"/>
      <c r="B3494" s="54"/>
      <c r="C3494" s="54"/>
      <c r="D3494" s="54"/>
      <c r="E3494" s="54"/>
    </row>
    <row r="3495" spans="1:5" ht="15" hidden="1" customHeight="1">
      <c r="A3495" s="72"/>
      <c r="B3495" s="54"/>
      <c r="C3495" s="54"/>
      <c r="D3495" s="54"/>
      <c r="E3495" s="54"/>
    </row>
    <row r="3496" spans="1:5" ht="15" hidden="1" customHeight="1">
      <c r="A3496" s="72"/>
      <c r="B3496" s="54"/>
      <c r="C3496" s="54"/>
      <c r="D3496" s="54"/>
      <c r="E3496" s="54"/>
    </row>
    <row r="3497" spans="1:5" ht="15" hidden="1" customHeight="1">
      <c r="A3497" s="72"/>
      <c r="B3497" s="54"/>
      <c r="C3497" s="54"/>
      <c r="D3497" s="54"/>
      <c r="E3497" s="54"/>
    </row>
    <row r="3498" spans="1:5" ht="15" hidden="1" customHeight="1">
      <c r="A3498" s="72"/>
      <c r="B3498" s="54"/>
      <c r="C3498" s="54"/>
      <c r="D3498" s="54"/>
      <c r="E3498" s="54"/>
    </row>
    <row r="3499" spans="1:5" ht="15" hidden="1" customHeight="1">
      <c r="A3499" s="72"/>
      <c r="B3499" s="54"/>
      <c r="C3499" s="54"/>
      <c r="D3499" s="54"/>
      <c r="E3499" s="54"/>
    </row>
    <row r="3500" spans="1:5" ht="15" hidden="1" customHeight="1">
      <c r="A3500" s="72"/>
      <c r="B3500" s="54"/>
      <c r="C3500" s="54"/>
      <c r="D3500" s="54"/>
      <c r="E3500" s="54"/>
    </row>
    <row r="3501" spans="1:5" ht="15" hidden="1" customHeight="1">
      <c r="A3501" s="72"/>
      <c r="B3501" s="54"/>
      <c r="C3501" s="54"/>
      <c r="D3501" s="54"/>
      <c r="E3501" s="54"/>
    </row>
    <row r="3502" spans="1:5" ht="15" hidden="1" customHeight="1">
      <c r="A3502" s="72"/>
      <c r="B3502" s="54"/>
      <c r="C3502" s="54"/>
      <c r="D3502" s="54"/>
      <c r="E3502" s="54"/>
    </row>
    <row r="3503" spans="1:5" ht="15" hidden="1" customHeight="1">
      <c r="A3503" s="72"/>
      <c r="B3503" s="54"/>
      <c r="C3503" s="54"/>
      <c r="D3503" s="54"/>
      <c r="E3503" s="54"/>
    </row>
    <row r="3504" spans="1:5" ht="15" hidden="1" customHeight="1">
      <c r="A3504" s="72"/>
      <c r="B3504" s="54"/>
      <c r="C3504" s="55"/>
      <c r="D3504" s="58"/>
      <c r="E3504" s="54"/>
    </row>
    <row r="3505" spans="1:5" ht="15" hidden="1" customHeight="1">
      <c r="A3505" s="72"/>
      <c r="B3505" s="54"/>
      <c r="C3505" s="58"/>
      <c r="D3505" s="58"/>
      <c r="E3505" s="54"/>
    </row>
    <row r="3506" spans="1:5" ht="15" hidden="1" customHeight="1">
      <c r="A3506" s="72"/>
      <c r="B3506" s="54"/>
      <c r="C3506" s="58"/>
      <c r="D3506" s="58"/>
      <c r="E3506" s="54"/>
    </row>
    <row r="3507" spans="1:5" ht="15" hidden="1" customHeight="1">
      <c r="A3507" s="72"/>
      <c r="B3507" s="54"/>
      <c r="C3507" s="58"/>
      <c r="D3507" s="58"/>
      <c r="E3507" s="54"/>
    </row>
    <row r="3508" spans="1:5" ht="15" hidden="1" customHeight="1">
      <c r="A3508" s="72"/>
      <c r="B3508" s="54"/>
      <c r="C3508" s="58"/>
      <c r="D3508" s="58"/>
      <c r="E3508" s="54"/>
    </row>
    <row r="3509" spans="1:5" ht="15" hidden="1" customHeight="1">
      <c r="A3509" s="72"/>
      <c r="B3509" s="54"/>
      <c r="C3509" s="58"/>
      <c r="D3509" s="58"/>
      <c r="E3509" s="54"/>
    </row>
    <row r="3510" spans="1:5" ht="15" hidden="1" customHeight="1">
      <c r="A3510" s="72"/>
      <c r="B3510" s="54"/>
      <c r="C3510" s="58"/>
      <c r="D3510" s="58"/>
      <c r="E3510" s="54"/>
    </row>
    <row r="3511" spans="1:5" ht="15" hidden="1" customHeight="1">
      <c r="A3511" s="72"/>
      <c r="B3511" s="54"/>
      <c r="C3511" s="58"/>
      <c r="D3511" s="58"/>
      <c r="E3511" s="54"/>
    </row>
    <row r="3512" spans="1:5" ht="15" hidden="1" customHeight="1">
      <c r="A3512" s="72"/>
      <c r="B3512" s="54"/>
      <c r="C3512" s="58"/>
      <c r="D3512" s="58"/>
      <c r="E3512" s="54"/>
    </row>
    <row r="3513" spans="1:5" ht="15" hidden="1" customHeight="1">
      <c r="A3513" s="72"/>
      <c r="B3513" s="54"/>
      <c r="C3513" s="58"/>
      <c r="D3513" s="58"/>
      <c r="E3513" s="54"/>
    </row>
    <row r="3514" spans="1:5" ht="15" hidden="1" customHeight="1">
      <c r="A3514" s="72"/>
      <c r="B3514" s="54"/>
      <c r="C3514" s="58"/>
      <c r="D3514" s="58"/>
      <c r="E3514" s="54"/>
    </row>
    <row r="3515" spans="1:5" ht="15" hidden="1" customHeight="1">
      <c r="A3515" s="72"/>
      <c r="B3515" s="54"/>
      <c r="C3515" s="58"/>
      <c r="D3515" s="58"/>
      <c r="E3515" s="54"/>
    </row>
    <row r="3516" spans="1:5" ht="15" hidden="1" customHeight="1">
      <c r="A3516" s="72"/>
      <c r="B3516" s="54"/>
      <c r="C3516" s="58"/>
      <c r="D3516" s="58"/>
      <c r="E3516" s="54"/>
    </row>
    <row r="3517" spans="1:5" ht="15" hidden="1" customHeight="1">
      <c r="A3517" s="72"/>
      <c r="B3517" s="54"/>
      <c r="C3517" s="58"/>
      <c r="D3517" s="58"/>
      <c r="E3517" s="54"/>
    </row>
    <row r="3518" spans="1:5" ht="15" hidden="1" customHeight="1">
      <c r="A3518" s="72"/>
      <c r="B3518" s="54"/>
      <c r="C3518" s="58"/>
      <c r="D3518" s="58"/>
      <c r="E3518" s="54"/>
    </row>
    <row r="3519" spans="1:5" ht="15" hidden="1" customHeight="1">
      <c r="A3519" s="72"/>
      <c r="B3519" s="54"/>
      <c r="C3519" s="58"/>
      <c r="D3519" s="58"/>
      <c r="E3519" s="54"/>
    </row>
    <row r="3520" spans="1:5" ht="15" hidden="1" customHeight="1">
      <c r="A3520" s="72"/>
      <c r="B3520" s="54"/>
      <c r="C3520" s="58"/>
      <c r="D3520" s="58"/>
      <c r="E3520" s="54"/>
    </row>
    <row r="3521" spans="1:5" ht="15" hidden="1" customHeight="1">
      <c r="A3521" s="72"/>
      <c r="B3521" s="54"/>
      <c r="C3521" s="58"/>
      <c r="D3521" s="58"/>
      <c r="E3521" s="54"/>
    </row>
    <row r="3522" spans="1:5" ht="15" hidden="1" customHeight="1">
      <c r="A3522" s="72"/>
      <c r="B3522" s="54"/>
      <c r="C3522" s="58"/>
      <c r="D3522" s="58"/>
      <c r="E3522" s="54"/>
    </row>
    <row r="3523" spans="1:5" ht="15" hidden="1" customHeight="1">
      <c r="A3523" s="72"/>
      <c r="B3523" s="54"/>
      <c r="C3523" s="58"/>
      <c r="D3523" s="58"/>
      <c r="E3523" s="54"/>
    </row>
    <row r="3524" spans="1:5" ht="15" hidden="1" customHeight="1">
      <c r="A3524" s="72"/>
      <c r="B3524" s="54"/>
      <c r="C3524" s="58"/>
      <c r="D3524" s="58"/>
      <c r="E3524" s="54"/>
    </row>
    <row r="3525" spans="1:5" ht="15" hidden="1" customHeight="1">
      <c r="A3525" s="72"/>
      <c r="B3525" s="54"/>
      <c r="C3525" s="58"/>
      <c r="D3525" s="58"/>
      <c r="E3525" s="54"/>
    </row>
    <row r="3526" spans="1:5" ht="15" hidden="1" customHeight="1">
      <c r="A3526" s="72"/>
      <c r="B3526" s="54"/>
      <c r="C3526" s="58"/>
      <c r="D3526" s="58"/>
      <c r="E3526" s="54"/>
    </row>
    <row r="3527" spans="1:5" ht="15" hidden="1" customHeight="1">
      <c r="A3527" s="72"/>
      <c r="B3527" s="54"/>
      <c r="C3527" s="58"/>
      <c r="D3527" s="58"/>
      <c r="E3527" s="54"/>
    </row>
    <row r="3528" spans="1:5" ht="15" hidden="1" customHeight="1">
      <c r="A3528" s="72"/>
      <c r="B3528" s="54"/>
      <c r="C3528" s="58"/>
      <c r="D3528" s="58"/>
      <c r="E3528" s="54"/>
    </row>
    <row r="3529" spans="1:5" ht="15" hidden="1" customHeight="1">
      <c r="A3529" s="72"/>
      <c r="B3529" s="54"/>
      <c r="C3529" s="58"/>
      <c r="D3529" s="58"/>
      <c r="E3529" s="54"/>
    </row>
    <row r="3530" spans="1:5" ht="15" hidden="1" customHeight="1">
      <c r="A3530" s="72"/>
      <c r="B3530" s="54"/>
      <c r="C3530" s="58"/>
      <c r="D3530" s="58"/>
      <c r="E3530" s="54"/>
    </row>
    <row r="3531" spans="1:5" ht="15" hidden="1" customHeight="1">
      <c r="A3531" s="72"/>
      <c r="B3531" s="54"/>
      <c r="C3531" s="58"/>
      <c r="D3531" s="58"/>
      <c r="E3531" s="54"/>
    </row>
    <row r="3532" spans="1:5" ht="15" hidden="1" customHeight="1">
      <c r="A3532" s="72"/>
      <c r="B3532" s="54"/>
      <c r="C3532" s="58"/>
      <c r="D3532" s="58"/>
      <c r="E3532" s="54"/>
    </row>
    <row r="3533" spans="1:5" ht="15" hidden="1" customHeight="1">
      <c r="A3533" s="72"/>
      <c r="B3533" s="54"/>
      <c r="C3533" s="58"/>
      <c r="D3533" s="58"/>
      <c r="E3533" s="54"/>
    </row>
    <row r="3534" spans="1:5" ht="15" hidden="1" customHeight="1">
      <c r="A3534" s="72"/>
      <c r="B3534" s="54"/>
      <c r="C3534" s="58"/>
      <c r="D3534" s="58"/>
      <c r="E3534" s="54"/>
    </row>
    <row r="3535" spans="1:5" ht="15" hidden="1" customHeight="1">
      <c r="A3535" s="72"/>
      <c r="B3535" s="54"/>
      <c r="C3535" s="58"/>
      <c r="D3535" s="58"/>
      <c r="E3535" s="54"/>
    </row>
    <row r="3536" spans="1:5" ht="15" hidden="1" customHeight="1">
      <c r="A3536" s="72"/>
      <c r="B3536" s="54"/>
      <c r="C3536" s="55"/>
      <c r="D3536" s="58"/>
      <c r="E3536" s="54"/>
    </row>
    <row r="3537" spans="1:7" ht="15" hidden="1" customHeight="1">
      <c r="A3537" s="72"/>
      <c r="B3537" s="54"/>
      <c r="C3537" s="55"/>
      <c r="D3537" s="58"/>
      <c r="E3537" s="54"/>
      <c r="F3537" s="56"/>
      <c r="G3537" s="56"/>
    </row>
    <row r="3538" spans="1:7" ht="15" hidden="1" customHeight="1">
      <c r="A3538" s="72"/>
      <c r="B3538" s="54"/>
      <c r="C3538" s="54"/>
      <c r="D3538" s="54"/>
      <c r="E3538" s="54"/>
    </row>
    <row r="3539" spans="1:7" ht="15" hidden="1" customHeight="1">
      <c r="A3539" s="72"/>
      <c r="B3539" s="54"/>
      <c r="C3539" s="54"/>
      <c r="D3539" s="54"/>
      <c r="E3539" s="54"/>
    </row>
    <row r="3540" spans="1:7" ht="15" hidden="1" customHeight="1">
      <c r="A3540" s="72"/>
      <c r="B3540" s="54"/>
      <c r="C3540" s="54"/>
      <c r="D3540" s="54"/>
      <c r="E3540" s="54"/>
    </row>
    <row r="3541" spans="1:7" ht="15" hidden="1" customHeight="1">
      <c r="A3541" s="72"/>
      <c r="B3541" s="54"/>
      <c r="C3541" s="54"/>
      <c r="D3541" s="54"/>
      <c r="E3541" s="54"/>
    </row>
    <row r="3542" spans="1:7" ht="15" hidden="1" customHeight="1">
      <c r="A3542" s="72"/>
      <c r="B3542" s="54"/>
      <c r="C3542" s="54"/>
      <c r="D3542" s="54"/>
      <c r="E3542" s="54"/>
    </row>
    <row r="3543" spans="1:7" ht="15" hidden="1" customHeight="1">
      <c r="A3543" s="72"/>
      <c r="B3543" s="54"/>
      <c r="C3543" s="54"/>
      <c r="D3543" s="54"/>
      <c r="E3543" s="54"/>
    </row>
    <row r="3544" spans="1:7" ht="15" hidden="1" customHeight="1">
      <c r="A3544" s="72"/>
      <c r="B3544" s="54"/>
      <c r="C3544" s="54"/>
      <c r="D3544" s="54"/>
      <c r="E3544" s="54"/>
    </row>
    <row r="3545" spans="1:7" ht="15" hidden="1" customHeight="1">
      <c r="A3545" s="72"/>
      <c r="B3545" s="54"/>
      <c r="C3545" s="54"/>
      <c r="D3545" s="54"/>
      <c r="E3545" s="54"/>
    </row>
    <row r="3546" spans="1:7" ht="15" hidden="1" customHeight="1">
      <c r="A3546" s="72"/>
      <c r="B3546" s="54"/>
      <c r="C3546" s="54"/>
      <c r="D3546" s="54"/>
      <c r="E3546" s="54"/>
    </row>
    <row r="3547" spans="1:7" ht="15" hidden="1" customHeight="1">
      <c r="A3547" s="72"/>
      <c r="B3547" s="54"/>
      <c r="C3547" s="54"/>
      <c r="D3547" s="54"/>
      <c r="E3547" s="54"/>
    </row>
    <row r="3548" spans="1:7" ht="15" hidden="1" customHeight="1">
      <c r="A3548" s="72"/>
      <c r="B3548" s="54"/>
      <c r="C3548" s="54"/>
      <c r="D3548" s="54"/>
      <c r="E3548" s="54"/>
    </row>
    <row r="3549" spans="1:7" ht="15" hidden="1" customHeight="1">
      <c r="A3549" s="72"/>
      <c r="B3549" s="54"/>
      <c r="C3549" s="54"/>
      <c r="D3549" s="54"/>
      <c r="E3549" s="54"/>
    </row>
    <row r="3550" spans="1:7" ht="15" hidden="1" customHeight="1">
      <c r="A3550" s="72"/>
      <c r="B3550" s="54"/>
      <c r="C3550" s="54"/>
      <c r="D3550" s="54"/>
      <c r="E3550" s="54"/>
    </row>
    <row r="3551" spans="1:7" ht="15" hidden="1" customHeight="1">
      <c r="A3551" s="72"/>
      <c r="B3551" s="54"/>
      <c r="C3551" s="54"/>
      <c r="D3551" s="54"/>
      <c r="E3551" s="54"/>
    </row>
    <row r="3552" spans="1:7" ht="15" hidden="1" customHeight="1">
      <c r="A3552" s="72"/>
      <c r="B3552" s="54"/>
      <c r="C3552" s="54"/>
      <c r="D3552" s="54"/>
      <c r="E3552" s="54"/>
    </row>
    <row r="3553" spans="1:5" ht="15" hidden="1" customHeight="1">
      <c r="A3553" s="72"/>
      <c r="B3553" s="54"/>
      <c r="C3553" s="54"/>
      <c r="D3553" s="54"/>
      <c r="E3553" s="54"/>
    </row>
    <row r="3554" spans="1:5" ht="15" hidden="1" customHeight="1">
      <c r="A3554" s="72"/>
      <c r="B3554" s="54"/>
      <c r="C3554" s="54"/>
      <c r="D3554" s="54"/>
      <c r="E3554" s="54"/>
    </row>
    <row r="3555" spans="1:5" ht="15" hidden="1" customHeight="1">
      <c r="A3555" s="72"/>
      <c r="B3555" s="54"/>
      <c r="C3555" s="54"/>
      <c r="D3555" s="54"/>
      <c r="E3555" s="54"/>
    </row>
    <row r="3556" spans="1:5" ht="15" hidden="1" customHeight="1">
      <c r="A3556" s="72"/>
      <c r="B3556" s="54"/>
      <c r="C3556" s="54"/>
      <c r="D3556" s="54"/>
      <c r="E3556" s="54"/>
    </row>
    <row r="3557" spans="1:5" ht="15" hidden="1" customHeight="1">
      <c r="A3557" s="72"/>
      <c r="B3557" s="54"/>
      <c r="C3557" s="54"/>
      <c r="E3557" s="54"/>
    </row>
    <row r="3558" spans="1:5" ht="15" hidden="1" customHeight="1">
      <c r="A3558" s="72"/>
      <c r="B3558" s="54"/>
      <c r="C3558" s="54"/>
      <c r="D3558" s="54"/>
      <c r="E3558" s="54"/>
    </row>
    <row r="3559" spans="1:5" ht="15" hidden="1" customHeight="1">
      <c r="A3559" s="72"/>
      <c r="B3559" s="54"/>
      <c r="C3559" s="54"/>
      <c r="D3559" s="54"/>
      <c r="E3559" s="54"/>
    </row>
    <row r="3560" spans="1:5" ht="15" hidden="1" customHeight="1">
      <c r="A3560" s="72"/>
      <c r="B3560" s="54"/>
      <c r="C3560" s="54"/>
      <c r="D3560" s="54"/>
      <c r="E3560" s="54"/>
    </row>
    <row r="3561" spans="1:5" ht="15" hidden="1" customHeight="1">
      <c r="A3561" s="72"/>
      <c r="B3561" s="54"/>
      <c r="C3561" s="54"/>
      <c r="D3561" s="54"/>
      <c r="E3561" s="54"/>
    </row>
    <row r="3562" spans="1:5" ht="15" hidden="1" customHeight="1">
      <c r="A3562" s="72"/>
      <c r="B3562" s="54"/>
      <c r="C3562" s="54"/>
      <c r="D3562" s="54"/>
      <c r="E3562" s="54"/>
    </row>
    <row r="3563" spans="1:5" ht="15" hidden="1" customHeight="1">
      <c r="A3563" s="72"/>
      <c r="B3563" s="54"/>
      <c r="C3563" s="54"/>
      <c r="D3563" s="54"/>
      <c r="E3563" s="54"/>
    </row>
    <row r="3564" spans="1:5" ht="15" hidden="1" customHeight="1">
      <c r="A3564" s="72"/>
      <c r="B3564" s="54"/>
      <c r="C3564" s="54"/>
      <c r="D3564" s="54"/>
      <c r="E3564" s="54"/>
    </row>
    <row r="3565" spans="1:5" ht="15" hidden="1" customHeight="1">
      <c r="A3565" s="72"/>
      <c r="B3565" s="54"/>
      <c r="C3565" s="54"/>
      <c r="D3565" s="54"/>
      <c r="E3565" s="54"/>
    </row>
    <row r="3566" spans="1:5" ht="15" hidden="1" customHeight="1">
      <c r="A3566" s="72"/>
      <c r="B3566" s="54"/>
      <c r="C3566" s="54"/>
      <c r="D3566" s="54"/>
      <c r="E3566" s="54"/>
    </row>
    <row r="3567" spans="1:5" ht="15" hidden="1" customHeight="1">
      <c r="A3567" s="72"/>
      <c r="B3567" s="54"/>
      <c r="C3567" s="54"/>
      <c r="D3567" s="54"/>
      <c r="E3567" s="54"/>
    </row>
    <row r="3568" spans="1:5" ht="15" hidden="1" customHeight="1">
      <c r="A3568" s="72"/>
      <c r="B3568" s="54"/>
      <c r="C3568" s="54"/>
      <c r="D3568" s="54"/>
      <c r="E3568" s="54"/>
    </row>
    <row r="3569" spans="1:5" ht="15" hidden="1" customHeight="1">
      <c r="A3569" s="72"/>
      <c r="B3569" s="54"/>
      <c r="C3569" s="54"/>
      <c r="D3569" s="54"/>
      <c r="E3569" s="54"/>
    </row>
    <row r="3570" spans="1:5" ht="15" hidden="1" customHeight="1">
      <c r="A3570" s="72"/>
      <c r="B3570" s="54"/>
      <c r="C3570" s="54"/>
      <c r="D3570" s="54"/>
      <c r="E3570" s="54"/>
    </row>
    <row r="3571" spans="1:5" ht="15" hidden="1" customHeight="1">
      <c r="A3571" s="72"/>
      <c r="B3571" s="54"/>
      <c r="C3571" s="55"/>
      <c r="D3571" s="58"/>
      <c r="E3571" s="54"/>
    </row>
    <row r="3572" spans="1:5" ht="15" hidden="1" customHeight="1">
      <c r="A3572" s="72"/>
      <c r="B3572" s="54"/>
      <c r="C3572" s="55"/>
      <c r="D3572" s="58"/>
      <c r="E3572" s="54"/>
    </row>
    <row r="3573" spans="1:5" ht="15" hidden="1" customHeight="1">
      <c r="A3573" s="72"/>
      <c r="B3573" s="54"/>
      <c r="C3573" s="55"/>
      <c r="D3573" s="58"/>
      <c r="E3573" s="54"/>
    </row>
    <row r="3574" spans="1:5" ht="15" hidden="1" customHeight="1">
      <c r="A3574" s="72"/>
      <c r="B3574" s="54"/>
      <c r="C3574" s="55"/>
      <c r="D3574" s="58"/>
      <c r="E3574" s="54"/>
    </row>
    <row r="3575" spans="1:5" ht="15" hidden="1" customHeight="1">
      <c r="A3575" s="72"/>
      <c r="B3575" s="54"/>
      <c r="C3575" s="58"/>
      <c r="D3575" s="58"/>
      <c r="E3575" s="54"/>
    </row>
    <row r="3576" spans="1:5" ht="15" hidden="1" customHeight="1">
      <c r="A3576" s="72"/>
      <c r="B3576" s="54"/>
      <c r="C3576" s="58"/>
      <c r="D3576" s="58"/>
      <c r="E3576" s="54"/>
    </row>
    <row r="3577" spans="1:5" ht="15" hidden="1" customHeight="1">
      <c r="A3577" s="72"/>
      <c r="B3577" s="54"/>
      <c r="C3577" s="58"/>
      <c r="D3577" s="58"/>
      <c r="E3577" s="54"/>
    </row>
    <row r="3578" spans="1:5" ht="15" hidden="1" customHeight="1">
      <c r="A3578" s="72"/>
      <c r="B3578" s="54"/>
      <c r="C3578" s="58"/>
      <c r="D3578" s="58"/>
      <c r="E3578" s="54"/>
    </row>
    <row r="3579" spans="1:5" ht="15" hidden="1" customHeight="1">
      <c r="A3579" s="72"/>
      <c r="B3579" s="54"/>
      <c r="C3579" s="58"/>
      <c r="D3579" s="58"/>
      <c r="E3579" s="54"/>
    </row>
    <row r="3580" spans="1:5" ht="15" hidden="1" customHeight="1">
      <c r="A3580" s="72"/>
      <c r="B3580" s="54"/>
      <c r="C3580" s="58"/>
      <c r="D3580" s="58"/>
      <c r="E3580" s="54"/>
    </row>
    <row r="3581" spans="1:5" ht="15" hidden="1" customHeight="1">
      <c r="A3581" s="72"/>
      <c r="B3581" s="54"/>
      <c r="C3581" s="58"/>
      <c r="D3581" s="58"/>
      <c r="E3581" s="54"/>
    </row>
    <row r="3582" spans="1:5" ht="15" hidden="1" customHeight="1">
      <c r="A3582" s="72"/>
      <c r="B3582" s="54"/>
      <c r="C3582" s="58"/>
      <c r="D3582" s="58"/>
      <c r="E3582" s="54"/>
    </row>
    <row r="3583" spans="1:5" ht="15" hidden="1" customHeight="1">
      <c r="A3583" s="72"/>
      <c r="B3583" s="54"/>
      <c r="C3583" s="58"/>
      <c r="D3583" s="58"/>
      <c r="E3583" s="54"/>
    </row>
    <row r="3584" spans="1:5" ht="15" hidden="1" customHeight="1">
      <c r="A3584" s="72"/>
      <c r="B3584" s="54"/>
      <c r="C3584" s="58"/>
      <c r="D3584" s="58"/>
      <c r="E3584" s="54"/>
    </row>
    <row r="3585" spans="1:5" ht="15" hidden="1" customHeight="1">
      <c r="A3585" s="72"/>
      <c r="B3585" s="54"/>
      <c r="C3585" s="58"/>
      <c r="D3585" s="58"/>
      <c r="E3585" s="54"/>
    </row>
    <row r="3586" spans="1:5" ht="15" hidden="1" customHeight="1">
      <c r="A3586" s="72"/>
      <c r="B3586" s="54"/>
      <c r="C3586" s="58"/>
      <c r="D3586" s="58"/>
      <c r="E3586" s="54"/>
    </row>
    <row r="3587" spans="1:5" ht="15" hidden="1" customHeight="1">
      <c r="A3587" s="72"/>
      <c r="B3587" s="54"/>
      <c r="C3587" s="58"/>
      <c r="D3587" s="58"/>
      <c r="E3587" s="54"/>
    </row>
    <row r="3588" spans="1:5" ht="15" hidden="1" customHeight="1">
      <c r="A3588" s="72"/>
      <c r="B3588" s="54"/>
      <c r="C3588" s="58"/>
      <c r="D3588" s="58"/>
      <c r="E3588" s="54"/>
    </row>
    <row r="3589" spans="1:5" ht="15" hidden="1" customHeight="1">
      <c r="A3589" s="72"/>
      <c r="B3589" s="54"/>
      <c r="C3589" s="58"/>
      <c r="D3589" s="58"/>
      <c r="E3589" s="54"/>
    </row>
    <row r="3590" spans="1:5" ht="15" hidden="1" customHeight="1">
      <c r="A3590" s="72"/>
      <c r="B3590" s="54"/>
      <c r="C3590" s="58"/>
      <c r="D3590" s="58"/>
      <c r="E3590" s="54"/>
    </row>
    <row r="3591" spans="1:5" ht="15" hidden="1" customHeight="1">
      <c r="A3591" s="72"/>
      <c r="B3591" s="54"/>
      <c r="C3591" s="58"/>
      <c r="D3591" s="58"/>
      <c r="E3591" s="54"/>
    </row>
    <row r="3592" spans="1:5" ht="15" hidden="1" customHeight="1">
      <c r="A3592" s="72"/>
      <c r="B3592" s="54"/>
      <c r="C3592" s="58"/>
      <c r="D3592" s="58"/>
      <c r="E3592" s="54"/>
    </row>
    <row r="3593" spans="1:5" ht="15" hidden="1" customHeight="1">
      <c r="A3593" s="72"/>
      <c r="B3593" s="54"/>
      <c r="C3593" s="58"/>
      <c r="D3593" s="58"/>
      <c r="E3593" s="54"/>
    </row>
    <row r="3594" spans="1:5" ht="15" hidden="1" customHeight="1">
      <c r="A3594" s="72"/>
      <c r="B3594" s="54"/>
      <c r="C3594" s="58"/>
      <c r="D3594" s="58"/>
      <c r="E3594" s="54"/>
    </row>
    <row r="3595" spans="1:5" ht="15" hidden="1" customHeight="1">
      <c r="A3595" s="72"/>
      <c r="B3595" s="54"/>
      <c r="C3595" s="58"/>
      <c r="D3595" s="58"/>
      <c r="E3595" s="54"/>
    </row>
    <row r="3596" spans="1:5" ht="15" hidden="1" customHeight="1">
      <c r="A3596" s="72"/>
      <c r="B3596" s="54"/>
      <c r="C3596" s="58"/>
      <c r="D3596" s="58"/>
      <c r="E3596" s="54"/>
    </row>
    <row r="3597" spans="1:5" ht="15" hidden="1" customHeight="1">
      <c r="A3597" s="72"/>
      <c r="B3597" s="54"/>
      <c r="C3597" s="58"/>
      <c r="D3597" s="58"/>
      <c r="E3597" s="54"/>
    </row>
    <row r="3598" spans="1:5" ht="15" hidden="1" customHeight="1">
      <c r="A3598" s="72"/>
      <c r="B3598" s="54"/>
      <c r="C3598" s="58"/>
      <c r="D3598" s="58"/>
      <c r="E3598" s="54"/>
    </row>
    <row r="3599" spans="1:5" ht="15" hidden="1" customHeight="1">
      <c r="A3599" s="72"/>
      <c r="B3599" s="54"/>
      <c r="C3599" s="58"/>
      <c r="D3599" s="58"/>
      <c r="E3599" s="54"/>
    </row>
    <row r="3600" spans="1:5" ht="15" hidden="1" customHeight="1">
      <c r="A3600" s="72"/>
      <c r="B3600" s="54"/>
      <c r="C3600" s="58"/>
      <c r="D3600" s="58"/>
      <c r="E3600" s="54"/>
    </row>
    <row r="3601" spans="1:5" ht="15" hidden="1" customHeight="1">
      <c r="A3601" s="72"/>
      <c r="B3601" s="54"/>
      <c r="C3601" s="58"/>
      <c r="D3601" s="58"/>
      <c r="E3601" s="54"/>
    </row>
    <row r="3602" spans="1:5" ht="15" hidden="1" customHeight="1">
      <c r="A3602" s="72"/>
      <c r="B3602" s="54"/>
      <c r="C3602" s="58"/>
      <c r="D3602" s="58"/>
      <c r="E3602" s="54"/>
    </row>
    <row r="3603" spans="1:5" ht="15" hidden="1" customHeight="1">
      <c r="A3603" s="72"/>
      <c r="B3603" s="54"/>
      <c r="C3603" s="58"/>
      <c r="D3603" s="58"/>
      <c r="E3603" s="54"/>
    </row>
    <row r="3604" spans="1:5" ht="15" hidden="1" customHeight="1">
      <c r="A3604" s="72"/>
      <c r="B3604" s="54"/>
      <c r="C3604" s="58"/>
      <c r="D3604" s="58"/>
      <c r="E3604" s="54"/>
    </row>
    <row r="3605" spans="1:5" ht="15" hidden="1" customHeight="1">
      <c r="A3605" s="72"/>
      <c r="B3605" s="54"/>
      <c r="C3605" s="55"/>
      <c r="D3605" s="58"/>
      <c r="E3605" s="54"/>
    </row>
    <row r="3606" spans="1:5" ht="15" hidden="1" customHeight="1">
      <c r="A3606" s="72"/>
      <c r="B3606" s="54"/>
      <c r="C3606" s="55"/>
      <c r="D3606" s="58"/>
      <c r="E3606" s="54"/>
    </row>
    <row r="3607" spans="1:5" ht="15" hidden="1" customHeight="1">
      <c r="A3607" s="72"/>
      <c r="B3607" s="54"/>
      <c r="C3607" s="55"/>
      <c r="D3607" s="58"/>
      <c r="E3607" s="54"/>
    </row>
    <row r="3608" spans="1:5" ht="15" hidden="1" customHeight="1">
      <c r="A3608" s="72"/>
      <c r="B3608" s="54"/>
      <c r="C3608" s="55"/>
      <c r="D3608" s="58"/>
      <c r="E3608" s="54"/>
    </row>
    <row r="3609" spans="1:5" ht="15" hidden="1" customHeight="1">
      <c r="A3609" s="72"/>
      <c r="B3609" s="54"/>
      <c r="C3609" s="55"/>
      <c r="D3609" s="58"/>
      <c r="E3609" s="54"/>
    </row>
    <row r="3610" spans="1:5" ht="15" hidden="1" customHeight="1">
      <c r="A3610" s="72"/>
      <c r="B3610" s="54"/>
      <c r="C3610" s="55"/>
      <c r="D3610" s="58"/>
      <c r="E3610" s="54"/>
    </row>
    <row r="3611" spans="1:5" ht="15" hidden="1" customHeight="1">
      <c r="A3611" s="72"/>
      <c r="B3611" s="54"/>
      <c r="C3611" s="55"/>
      <c r="D3611" s="58"/>
      <c r="E3611" s="54"/>
    </row>
    <row r="3612" spans="1:5" ht="15" hidden="1" customHeight="1">
      <c r="A3612" s="72"/>
      <c r="B3612" s="54"/>
      <c r="C3612" s="55"/>
      <c r="D3612" s="58"/>
      <c r="E3612" s="54"/>
    </row>
    <row r="3613" spans="1:5" ht="15" hidden="1" customHeight="1">
      <c r="A3613" s="72"/>
      <c r="B3613" s="54"/>
      <c r="C3613" s="54"/>
      <c r="D3613" s="54"/>
      <c r="E3613" s="54"/>
    </row>
    <row r="3614" spans="1:5" ht="15" hidden="1" customHeight="1">
      <c r="A3614" s="72"/>
      <c r="B3614" s="54"/>
      <c r="C3614" s="54"/>
      <c r="D3614" s="54"/>
      <c r="E3614" s="54"/>
    </row>
    <row r="3615" spans="1:5" ht="15" hidden="1" customHeight="1">
      <c r="A3615" s="72"/>
      <c r="B3615" s="54"/>
      <c r="C3615" s="54"/>
      <c r="D3615" s="54"/>
      <c r="E3615" s="54"/>
    </row>
    <row r="3616" spans="1:5" ht="15" hidden="1" customHeight="1">
      <c r="A3616" s="72"/>
      <c r="B3616" s="54"/>
      <c r="C3616" s="54"/>
      <c r="D3616" s="54"/>
      <c r="E3616" s="54"/>
    </row>
    <row r="3617" spans="1:5" ht="15" hidden="1" customHeight="1">
      <c r="A3617" s="72"/>
      <c r="B3617" s="54"/>
      <c r="C3617" s="54"/>
      <c r="D3617" s="54"/>
      <c r="E3617" s="54"/>
    </row>
    <row r="3618" spans="1:5" ht="15" hidden="1" customHeight="1">
      <c r="A3618" s="72"/>
      <c r="B3618" s="54"/>
      <c r="C3618" s="54"/>
      <c r="D3618" s="54"/>
      <c r="E3618" s="54"/>
    </row>
    <row r="3619" spans="1:5" ht="15" hidden="1" customHeight="1">
      <c r="A3619" s="72"/>
      <c r="B3619" s="54"/>
      <c r="C3619" s="54"/>
      <c r="D3619" s="54"/>
      <c r="E3619" s="54"/>
    </row>
    <row r="3620" spans="1:5" ht="15" hidden="1" customHeight="1">
      <c r="A3620" s="72"/>
      <c r="B3620" s="54"/>
      <c r="C3620" s="55"/>
      <c r="D3620" s="58"/>
      <c r="E3620" s="54"/>
    </row>
    <row r="3621" spans="1:5" ht="15" hidden="1" customHeight="1">
      <c r="A3621" s="72"/>
      <c r="B3621" s="54"/>
      <c r="C3621" s="58"/>
      <c r="D3621" s="58"/>
      <c r="E3621" s="54"/>
    </row>
    <row r="3622" spans="1:5" ht="15" hidden="1" customHeight="1">
      <c r="A3622" s="72"/>
      <c r="B3622" s="54"/>
      <c r="C3622" s="58"/>
      <c r="D3622" s="58"/>
      <c r="E3622" s="54"/>
    </row>
    <row r="3623" spans="1:5" ht="15" hidden="1" customHeight="1">
      <c r="A3623" s="72"/>
      <c r="B3623" s="54"/>
      <c r="C3623" s="58"/>
      <c r="D3623" s="58"/>
      <c r="E3623" s="54"/>
    </row>
    <row r="3624" spans="1:5" ht="15" hidden="1" customHeight="1">
      <c r="A3624" s="72"/>
      <c r="B3624" s="54"/>
      <c r="C3624" s="58"/>
      <c r="D3624" s="58"/>
      <c r="E3624" s="54"/>
    </row>
    <row r="3625" spans="1:5" ht="15" hidden="1" customHeight="1">
      <c r="A3625" s="72"/>
      <c r="B3625" s="54"/>
      <c r="C3625" s="58"/>
      <c r="D3625" s="58"/>
      <c r="E3625" s="54"/>
    </row>
    <row r="3626" spans="1:5" ht="15" hidden="1" customHeight="1">
      <c r="A3626" s="72"/>
      <c r="B3626" s="54"/>
      <c r="C3626" s="58"/>
      <c r="D3626" s="58"/>
      <c r="E3626" s="54"/>
    </row>
    <row r="3627" spans="1:5" ht="15" hidden="1" customHeight="1">
      <c r="A3627" s="72"/>
      <c r="B3627" s="54"/>
      <c r="C3627" s="58"/>
      <c r="D3627" s="58"/>
      <c r="E3627" s="54"/>
    </row>
    <row r="3628" spans="1:5" ht="15" hidden="1" customHeight="1">
      <c r="A3628" s="72"/>
      <c r="B3628" s="54"/>
      <c r="C3628" s="58"/>
      <c r="D3628" s="58"/>
      <c r="E3628" s="54"/>
    </row>
    <row r="3629" spans="1:5" ht="15" hidden="1" customHeight="1">
      <c r="A3629" s="72"/>
      <c r="B3629" s="54"/>
      <c r="C3629" s="58"/>
      <c r="D3629" s="58"/>
      <c r="E3629" s="54"/>
    </row>
    <row r="3630" spans="1:5" ht="15" hidden="1" customHeight="1">
      <c r="A3630" s="72"/>
      <c r="B3630" s="54"/>
      <c r="C3630" s="58"/>
      <c r="D3630" s="58"/>
      <c r="E3630" s="54"/>
    </row>
    <row r="3631" spans="1:5" ht="15" hidden="1" customHeight="1">
      <c r="A3631" s="72"/>
      <c r="B3631" s="54"/>
      <c r="C3631" s="58"/>
      <c r="D3631" s="58"/>
      <c r="E3631" s="54"/>
    </row>
    <row r="3632" spans="1:5" ht="15" hidden="1" customHeight="1">
      <c r="A3632" s="72"/>
      <c r="B3632" s="54"/>
      <c r="C3632" s="58"/>
      <c r="D3632" s="58"/>
      <c r="E3632" s="54"/>
    </row>
    <row r="3633" spans="1:5" ht="15" hidden="1" customHeight="1">
      <c r="A3633" s="72"/>
      <c r="B3633" s="54"/>
      <c r="C3633" s="58"/>
      <c r="D3633" s="58"/>
      <c r="E3633" s="54"/>
    </row>
    <row r="3634" spans="1:5" ht="15" hidden="1" customHeight="1">
      <c r="A3634" s="72"/>
      <c r="B3634" s="54"/>
      <c r="C3634" s="58"/>
      <c r="D3634" s="58"/>
      <c r="E3634" s="54"/>
    </row>
    <row r="3635" spans="1:5" ht="15" hidden="1" customHeight="1">
      <c r="A3635" s="72"/>
      <c r="B3635" s="54"/>
      <c r="C3635" s="58"/>
      <c r="D3635" s="58"/>
      <c r="E3635" s="54"/>
    </row>
    <row r="3636" spans="1:5" ht="15" hidden="1" customHeight="1">
      <c r="A3636" s="72"/>
      <c r="B3636" s="54"/>
      <c r="C3636" s="58"/>
      <c r="D3636" s="58"/>
      <c r="E3636" s="54"/>
    </row>
    <row r="3637" spans="1:5" ht="15" hidden="1" customHeight="1">
      <c r="A3637" s="72"/>
      <c r="B3637" s="54"/>
      <c r="C3637" s="58"/>
      <c r="D3637" s="58"/>
      <c r="E3637" s="54"/>
    </row>
    <row r="3638" spans="1:5" ht="15" hidden="1" customHeight="1">
      <c r="A3638" s="72"/>
      <c r="B3638" s="54"/>
      <c r="C3638" s="58"/>
      <c r="D3638" s="58"/>
      <c r="E3638" s="54"/>
    </row>
    <row r="3639" spans="1:5" ht="15" hidden="1" customHeight="1">
      <c r="A3639" s="72"/>
      <c r="B3639" s="54"/>
      <c r="C3639" s="58"/>
      <c r="D3639" s="58"/>
      <c r="E3639" s="54"/>
    </row>
    <row r="3640" spans="1:5" ht="15" hidden="1" customHeight="1">
      <c r="A3640" s="72"/>
      <c r="B3640" s="54"/>
      <c r="C3640" s="58"/>
      <c r="D3640" s="58"/>
      <c r="E3640" s="54"/>
    </row>
    <row r="3641" spans="1:5" ht="15" hidden="1" customHeight="1">
      <c r="A3641" s="72"/>
      <c r="B3641" s="54"/>
      <c r="C3641" s="58"/>
      <c r="D3641" s="58"/>
      <c r="E3641" s="54"/>
    </row>
    <row r="3642" spans="1:5" ht="15" hidden="1" customHeight="1">
      <c r="A3642" s="72"/>
      <c r="B3642" s="54"/>
      <c r="C3642" s="58"/>
      <c r="D3642" s="58"/>
      <c r="E3642" s="54"/>
    </row>
    <row r="3643" spans="1:5" ht="15" hidden="1" customHeight="1">
      <c r="A3643" s="72"/>
      <c r="B3643" s="54"/>
      <c r="C3643" s="58"/>
      <c r="D3643" s="58"/>
      <c r="E3643" s="54"/>
    </row>
    <row r="3644" spans="1:5" ht="15" hidden="1" customHeight="1">
      <c r="A3644" s="72"/>
      <c r="B3644" s="54"/>
      <c r="C3644" s="58"/>
      <c r="D3644" s="58"/>
      <c r="E3644" s="54"/>
    </row>
    <row r="3645" spans="1:5" ht="15" hidden="1" customHeight="1">
      <c r="A3645" s="72"/>
      <c r="B3645" s="54"/>
      <c r="C3645" s="58"/>
      <c r="D3645" s="58"/>
      <c r="E3645" s="54"/>
    </row>
    <row r="3646" spans="1:5" ht="15" hidden="1" customHeight="1">
      <c r="A3646" s="72"/>
      <c r="B3646" s="54"/>
      <c r="C3646" s="58"/>
      <c r="D3646" s="58"/>
      <c r="E3646" s="54"/>
    </row>
    <row r="3647" spans="1:5" ht="15" hidden="1" customHeight="1">
      <c r="A3647" s="72"/>
      <c r="B3647" s="54"/>
      <c r="C3647" s="55"/>
      <c r="D3647" s="58"/>
      <c r="E3647" s="54"/>
    </row>
    <row r="3648" spans="1:5" ht="15" hidden="1" customHeight="1">
      <c r="A3648" s="72"/>
      <c r="B3648" s="54"/>
      <c r="C3648" s="55"/>
      <c r="D3648" s="58"/>
      <c r="E3648" s="54"/>
    </row>
    <row r="3649" spans="1:5" ht="15" hidden="1" customHeight="1">
      <c r="A3649" s="72"/>
      <c r="B3649" s="54"/>
      <c r="C3649" s="55"/>
      <c r="D3649" s="58"/>
      <c r="E3649" s="54"/>
    </row>
    <row r="3650" spans="1:5" ht="15" hidden="1" customHeight="1">
      <c r="A3650" s="72"/>
      <c r="B3650" s="54"/>
      <c r="C3650" s="55"/>
      <c r="D3650" s="58"/>
      <c r="E3650" s="54"/>
    </row>
    <row r="3651" spans="1:5" ht="15" hidden="1" customHeight="1">
      <c r="A3651" s="72"/>
      <c r="B3651" s="54"/>
      <c r="C3651" s="55"/>
      <c r="D3651" s="58"/>
      <c r="E3651" s="54"/>
    </row>
    <row r="3652" spans="1:5" ht="15" hidden="1" customHeight="1">
      <c r="A3652" s="72"/>
      <c r="B3652" s="54"/>
      <c r="C3652" s="58"/>
      <c r="D3652" s="58"/>
      <c r="E3652" s="54"/>
    </row>
    <row r="3653" spans="1:5" ht="15" hidden="1" customHeight="1">
      <c r="A3653" s="72"/>
      <c r="B3653" s="54"/>
      <c r="C3653" s="54"/>
      <c r="D3653" s="54"/>
      <c r="E3653" s="54"/>
    </row>
    <row r="3654" spans="1:5" ht="15" hidden="1" customHeight="1">
      <c r="A3654" s="72"/>
      <c r="B3654" s="54"/>
      <c r="C3654" s="54"/>
      <c r="D3654" s="54"/>
      <c r="E3654" s="54"/>
    </row>
    <row r="3655" spans="1:5" ht="15" hidden="1" customHeight="1">
      <c r="A3655" s="72"/>
      <c r="B3655" s="54"/>
      <c r="C3655" s="54"/>
      <c r="D3655" s="54"/>
      <c r="E3655" s="54"/>
    </row>
    <row r="3656" spans="1:5" ht="15" hidden="1" customHeight="1">
      <c r="A3656" s="72"/>
      <c r="B3656" s="54"/>
      <c r="C3656" s="54"/>
      <c r="D3656" s="54"/>
      <c r="E3656" s="54"/>
    </row>
    <row r="3657" spans="1:5" ht="15" hidden="1" customHeight="1">
      <c r="A3657" s="72"/>
      <c r="B3657" s="54"/>
      <c r="C3657" s="54"/>
      <c r="D3657" s="54"/>
      <c r="E3657" s="54"/>
    </row>
    <row r="3658" spans="1:5" ht="15" hidden="1" customHeight="1">
      <c r="A3658" s="72"/>
      <c r="B3658" s="54"/>
      <c r="C3658" s="55"/>
      <c r="D3658" s="58"/>
      <c r="E3658" s="54"/>
    </row>
    <row r="3659" spans="1:5" ht="15" hidden="1" customHeight="1">
      <c r="A3659" s="72"/>
      <c r="B3659" s="54"/>
      <c r="C3659" s="55"/>
      <c r="D3659" s="58"/>
      <c r="E3659" s="54"/>
    </row>
    <row r="3660" spans="1:5" ht="15" hidden="1" customHeight="1">
      <c r="A3660" s="72"/>
      <c r="B3660" s="54"/>
      <c r="C3660" s="58"/>
      <c r="D3660" s="58"/>
      <c r="E3660" s="54"/>
    </row>
    <row r="3661" spans="1:5" ht="15" hidden="1" customHeight="1">
      <c r="A3661" s="72"/>
      <c r="B3661" s="54"/>
      <c r="C3661" s="58"/>
      <c r="D3661" s="58"/>
      <c r="E3661" s="54"/>
    </row>
    <row r="3662" spans="1:5" ht="15" hidden="1" customHeight="1">
      <c r="A3662" s="72"/>
      <c r="B3662" s="54"/>
      <c r="C3662" s="58"/>
      <c r="D3662" s="58"/>
      <c r="E3662" s="54"/>
    </row>
    <row r="3663" spans="1:5" ht="15" hidden="1" customHeight="1">
      <c r="A3663" s="72"/>
      <c r="B3663" s="54"/>
      <c r="C3663" s="58"/>
      <c r="D3663" s="58"/>
      <c r="E3663" s="54"/>
    </row>
    <row r="3664" spans="1:5" ht="15" hidden="1" customHeight="1">
      <c r="A3664" s="72"/>
      <c r="B3664" s="54"/>
      <c r="C3664" s="58"/>
      <c r="D3664" s="58"/>
      <c r="E3664" s="54"/>
    </row>
    <row r="3665" spans="1:5" ht="15" hidden="1" customHeight="1">
      <c r="A3665" s="72"/>
      <c r="B3665" s="54"/>
      <c r="C3665" s="58"/>
      <c r="D3665" s="58"/>
      <c r="E3665" s="54"/>
    </row>
    <row r="3666" spans="1:5" ht="15" hidden="1" customHeight="1">
      <c r="A3666" s="72"/>
      <c r="B3666" s="54"/>
      <c r="C3666" s="58"/>
      <c r="D3666" s="58"/>
      <c r="E3666" s="54"/>
    </row>
    <row r="3667" spans="1:5" ht="15" hidden="1" customHeight="1">
      <c r="A3667" s="72"/>
      <c r="B3667" s="54"/>
      <c r="C3667" s="58"/>
      <c r="D3667" s="58"/>
      <c r="E3667" s="54"/>
    </row>
    <row r="3668" spans="1:5" ht="15" hidden="1" customHeight="1">
      <c r="A3668" s="72"/>
      <c r="B3668" s="54"/>
      <c r="C3668" s="58"/>
      <c r="D3668" s="58"/>
      <c r="E3668" s="54"/>
    </row>
    <row r="3669" spans="1:5" ht="15" hidden="1" customHeight="1">
      <c r="A3669" s="72"/>
      <c r="B3669" s="54"/>
      <c r="C3669" s="58"/>
      <c r="D3669" s="58"/>
      <c r="E3669" s="54"/>
    </row>
    <row r="3670" spans="1:5" ht="15" hidden="1" customHeight="1">
      <c r="A3670" s="72"/>
      <c r="B3670" s="54"/>
      <c r="C3670" s="58"/>
      <c r="D3670" s="58"/>
      <c r="E3670" s="54"/>
    </row>
    <row r="3671" spans="1:5" ht="15" hidden="1" customHeight="1">
      <c r="A3671" s="72"/>
      <c r="B3671" s="54"/>
      <c r="C3671" s="58"/>
      <c r="D3671" s="58"/>
      <c r="E3671" s="54"/>
    </row>
    <row r="3672" spans="1:5" ht="15" hidden="1" customHeight="1">
      <c r="A3672" s="72"/>
      <c r="B3672" s="54"/>
      <c r="C3672" s="58"/>
      <c r="D3672" s="58"/>
      <c r="E3672" s="54"/>
    </row>
    <row r="3673" spans="1:5" ht="15" hidden="1" customHeight="1">
      <c r="A3673" s="72"/>
      <c r="B3673" s="54"/>
      <c r="C3673" s="58"/>
      <c r="D3673" s="58"/>
      <c r="E3673" s="54"/>
    </row>
    <row r="3674" spans="1:5" ht="15" hidden="1" customHeight="1">
      <c r="A3674" s="72"/>
      <c r="B3674" s="54"/>
      <c r="C3674" s="58"/>
      <c r="D3674" s="58"/>
      <c r="E3674" s="54"/>
    </row>
    <row r="3675" spans="1:5" ht="15" hidden="1" customHeight="1">
      <c r="A3675" s="72"/>
      <c r="B3675" s="54"/>
      <c r="C3675" s="58"/>
      <c r="D3675" s="58"/>
      <c r="E3675" s="54"/>
    </row>
    <row r="3676" spans="1:5" ht="15" hidden="1" customHeight="1">
      <c r="A3676" s="72"/>
      <c r="B3676" s="54"/>
      <c r="C3676" s="58"/>
      <c r="D3676" s="58"/>
      <c r="E3676" s="54"/>
    </row>
    <row r="3677" spans="1:5" ht="15" hidden="1" customHeight="1">
      <c r="A3677" s="72"/>
      <c r="B3677" s="54"/>
      <c r="C3677" s="58"/>
      <c r="D3677" s="58"/>
      <c r="E3677" s="54"/>
    </row>
    <row r="3678" spans="1:5" ht="15" hidden="1" customHeight="1">
      <c r="A3678" s="72"/>
      <c r="B3678" s="54"/>
      <c r="C3678" s="58"/>
      <c r="D3678" s="58"/>
      <c r="E3678" s="54"/>
    </row>
    <row r="3679" spans="1:5" ht="15" hidden="1" customHeight="1">
      <c r="A3679" s="72"/>
      <c r="B3679" s="54"/>
      <c r="C3679" s="58"/>
      <c r="D3679" s="58"/>
      <c r="E3679" s="54"/>
    </row>
    <row r="3680" spans="1:5" ht="15" hidden="1" customHeight="1">
      <c r="A3680" s="72"/>
      <c r="B3680" s="54"/>
      <c r="C3680" s="58"/>
      <c r="D3680" s="58"/>
      <c r="E3680" s="54"/>
    </row>
    <row r="3681" spans="1:5" ht="15" hidden="1" customHeight="1">
      <c r="A3681" s="72"/>
      <c r="B3681" s="54"/>
      <c r="C3681" s="55"/>
      <c r="D3681" s="58"/>
      <c r="E3681" s="54"/>
    </row>
    <row r="3682" spans="1:5" ht="15" hidden="1" customHeight="1">
      <c r="A3682" s="72"/>
      <c r="B3682" s="54"/>
      <c r="C3682" s="55"/>
      <c r="D3682" s="58"/>
      <c r="E3682" s="54"/>
    </row>
    <row r="3683" spans="1:5" ht="15" hidden="1" customHeight="1">
      <c r="A3683" s="72"/>
      <c r="B3683" s="54"/>
      <c r="C3683" s="55"/>
      <c r="D3683" s="58"/>
      <c r="E3683" s="54"/>
    </row>
    <row r="3684" spans="1:5" ht="15" hidden="1" customHeight="1">
      <c r="A3684" s="72"/>
      <c r="B3684" s="54"/>
      <c r="C3684" s="54"/>
      <c r="D3684" s="54"/>
      <c r="E3684" s="54"/>
    </row>
    <row r="3685" spans="1:5" ht="15" hidden="1" customHeight="1">
      <c r="A3685" s="72"/>
      <c r="B3685" s="54"/>
      <c r="C3685" s="54"/>
      <c r="D3685" s="54"/>
      <c r="E3685" s="54"/>
    </row>
    <row r="3686" spans="1:5" ht="15" hidden="1" customHeight="1">
      <c r="A3686" s="72"/>
      <c r="B3686" s="54"/>
      <c r="C3686" s="54"/>
      <c r="D3686" s="54"/>
      <c r="E3686" s="54"/>
    </row>
    <row r="3687" spans="1:5" ht="15" hidden="1" customHeight="1">
      <c r="A3687" s="72"/>
      <c r="B3687" s="54"/>
      <c r="C3687" s="54"/>
      <c r="D3687" s="54"/>
      <c r="E3687" s="54"/>
    </row>
    <row r="3688" spans="1:5" ht="15" hidden="1" customHeight="1">
      <c r="A3688" s="72"/>
      <c r="B3688" s="54"/>
      <c r="C3688" s="54"/>
      <c r="D3688" s="54"/>
      <c r="E3688" s="54"/>
    </row>
    <row r="3689" spans="1:5" ht="15" hidden="1" customHeight="1">
      <c r="A3689" s="72"/>
      <c r="B3689" s="54"/>
      <c r="C3689" s="54"/>
      <c r="D3689" s="54"/>
      <c r="E3689" s="54"/>
    </row>
    <row r="3690" spans="1:5" ht="15" hidden="1" customHeight="1">
      <c r="A3690" s="72"/>
      <c r="B3690" s="54"/>
      <c r="C3690" s="54"/>
      <c r="D3690" s="54"/>
      <c r="E3690" s="54"/>
    </row>
    <row r="3691" spans="1:5" ht="15" hidden="1" customHeight="1">
      <c r="A3691" s="72"/>
      <c r="B3691" s="54"/>
      <c r="C3691" s="55"/>
      <c r="D3691" s="58"/>
      <c r="E3691" s="54"/>
    </row>
    <row r="3692" spans="1:5" ht="15" hidden="1" customHeight="1">
      <c r="A3692" s="72"/>
      <c r="B3692" s="54"/>
      <c r="C3692" s="58"/>
      <c r="D3692" s="58"/>
      <c r="E3692" s="54"/>
    </row>
    <row r="3693" spans="1:5" ht="15" hidden="1" customHeight="1">
      <c r="A3693" s="72"/>
      <c r="B3693" s="54"/>
      <c r="C3693" s="58"/>
      <c r="D3693" s="58"/>
      <c r="E3693" s="54"/>
    </row>
    <row r="3694" spans="1:5" ht="15" hidden="1" customHeight="1">
      <c r="A3694" s="72"/>
      <c r="B3694" s="54"/>
      <c r="C3694" s="58"/>
      <c r="D3694" s="58"/>
      <c r="E3694" s="54"/>
    </row>
    <row r="3695" spans="1:5" ht="15" hidden="1" customHeight="1">
      <c r="A3695" s="72"/>
      <c r="B3695" s="54"/>
      <c r="C3695" s="58"/>
      <c r="D3695" s="58"/>
      <c r="E3695" s="54"/>
    </row>
    <row r="3696" spans="1:5" ht="15" hidden="1" customHeight="1">
      <c r="A3696" s="72"/>
      <c r="B3696" s="54"/>
      <c r="C3696" s="58"/>
      <c r="D3696" s="58"/>
      <c r="E3696" s="54"/>
    </row>
    <row r="3697" spans="1:5" ht="15" hidden="1" customHeight="1">
      <c r="A3697" s="72"/>
      <c r="B3697" s="54"/>
      <c r="C3697" s="58"/>
      <c r="D3697" s="58"/>
      <c r="E3697" s="54"/>
    </row>
    <row r="3698" spans="1:5" ht="15" hidden="1" customHeight="1">
      <c r="A3698" s="72"/>
      <c r="B3698" s="54"/>
      <c r="C3698" s="58"/>
      <c r="D3698" s="58"/>
      <c r="E3698" s="54"/>
    </row>
    <row r="3699" spans="1:5" ht="15" hidden="1" customHeight="1">
      <c r="A3699" s="72"/>
      <c r="B3699" s="54"/>
      <c r="C3699" s="58"/>
      <c r="D3699" s="58"/>
      <c r="E3699" s="54"/>
    </row>
    <row r="3700" spans="1:5" ht="15" hidden="1" customHeight="1">
      <c r="A3700" s="72"/>
      <c r="B3700" s="54"/>
      <c r="C3700" s="58"/>
      <c r="D3700" s="58"/>
      <c r="E3700" s="54"/>
    </row>
    <row r="3701" spans="1:5" ht="15" hidden="1" customHeight="1">
      <c r="A3701" s="72"/>
      <c r="B3701" s="54"/>
      <c r="C3701" s="58"/>
      <c r="D3701" s="58"/>
      <c r="E3701" s="54"/>
    </row>
    <row r="3702" spans="1:5" ht="15" hidden="1" customHeight="1">
      <c r="A3702" s="72"/>
      <c r="B3702" s="54"/>
      <c r="C3702" s="58"/>
      <c r="D3702" s="58"/>
      <c r="E3702" s="54"/>
    </row>
    <row r="3703" spans="1:5" ht="15" hidden="1" customHeight="1">
      <c r="A3703" s="72"/>
      <c r="B3703" s="54"/>
      <c r="C3703" s="58"/>
      <c r="D3703" s="58"/>
      <c r="E3703" s="54"/>
    </row>
    <row r="3704" spans="1:5" ht="15" hidden="1" customHeight="1">
      <c r="A3704" s="72"/>
      <c r="B3704" s="54"/>
      <c r="C3704" s="58"/>
      <c r="D3704" s="58"/>
      <c r="E3704" s="54"/>
    </row>
    <row r="3705" spans="1:5" ht="15" hidden="1" customHeight="1">
      <c r="A3705" s="72"/>
      <c r="B3705" s="54"/>
      <c r="C3705" s="58"/>
      <c r="D3705" s="58"/>
      <c r="E3705" s="54"/>
    </row>
    <row r="3706" spans="1:5" ht="15" hidden="1" customHeight="1">
      <c r="A3706" s="72"/>
      <c r="B3706" s="54"/>
      <c r="C3706" s="58"/>
      <c r="D3706" s="58"/>
      <c r="E3706" s="54"/>
    </row>
    <row r="3707" spans="1:5" ht="15" hidden="1" customHeight="1">
      <c r="A3707" s="72"/>
      <c r="B3707" s="54"/>
      <c r="C3707" s="58"/>
      <c r="D3707" s="58"/>
      <c r="E3707" s="54"/>
    </row>
    <row r="3708" spans="1:5" ht="15" hidden="1" customHeight="1">
      <c r="A3708" s="72"/>
      <c r="B3708" s="54"/>
      <c r="C3708" s="58"/>
      <c r="D3708" s="58"/>
      <c r="E3708" s="54"/>
    </row>
    <row r="3709" spans="1:5" ht="15" hidden="1" customHeight="1">
      <c r="A3709" s="72"/>
      <c r="B3709" s="54"/>
      <c r="C3709" s="58"/>
      <c r="D3709" s="58"/>
      <c r="E3709" s="54"/>
    </row>
    <row r="3710" spans="1:5" ht="15" hidden="1" customHeight="1">
      <c r="A3710" s="72"/>
      <c r="B3710" s="54"/>
      <c r="C3710" s="58"/>
      <c r="D3710" s="58"/>
      <c r="E3710" s="54"/>
    </row>
    <row r="3711" spans="1:5" ht="15" hidden="1" customHeight="1">
      <c r="A3711" s="72"/>
      <c r="B3711" s="54"/>
      <c r="C3711" s="58"/>
      <c r="D3711" s="58"/>
      <c r="E3711" s="54"/>
    </row>
    <row r="3712" spans="1:5" ht="15" hidden="1" customHeight="1">
      <c r="A3712" s="72"/>
      <c r="B3712" s="54"/>
      <c r="C3712" s="58"/>
      <c r="D3712" s="58"/>
      <c r="E3712" s="54"/>
    </row>
    <row r="3713" spans="1:5" ht="15" hidden="1" customHeight="1">
      <c r="A3713" s="72"/>
      <c r="B3713" s="54"/>
      <c r="C3713" s="58"/>
      <c r="D3713" s="58"/>
      <c r="E3713" s="54"/>
    </row>
    <row r="3714" spans="1:5" ht="15" hidden="1" customHeight="1">
      <c r="A3714" s="72"/>
      <c r="B3714" s="54"/>
      <c r="C3714" s="58"/>
      <c r="D3714" s="58"/>
      <c r="E3714" s="54"/>
    </row>
    <row r="3715" spans="1:5" ht="15" hidden="1" customHeight="1">
      <c r="A3715" s="72"/>
      <c r="B3715" s="54"/>
      <c r="C3715" s="55"/>
      <c r="D3715" s="58"/>
      <c r="E3715" s="54"/>
    </row>
    <row r="3716" spans="1:5" ht="15" hidden="1" customHeight="1">
      <c r="A3716" s="72"/>
      <c r="B3716" s="54"/>
      <c r="C3716" s="54"/>
      <c r="D3716" s="54"/>
      <c r="E3716" s="54"/>
    </row>
    <row r="3717" spans="1:5" ht="15" hidden="1" customHeight="1">
      <c r="A3717" s="72"/>
      <c r="B3717" s="54"/>
      <c r="C3717" s="54"/>
      <c r="D3717" s="54"/>
      <c r="E3717" s="54"/>
    </row>
    <row r="3718" spans="1:5" ht="15" hidden="1" customHeight="1">
      <c r="A3718" s="72"/>
      <c r="B3718" s="54"/>
      <c r="C3718" s="54"/>
      <c r="D3718" s="54"/>
      <c r="E3718" s="54"/>
    </row>
    <row r="3719" spans="1:5" ht="15" hidden="1" customHeight="1">
      <c r="A3719" s="72"/>
      <c r="B3719" s="54"/>
      <c r="C3719" s="54"/>
      <c r="D3719" s="54"/>
      <c r="E3719" s="54"/>
    </row>
    <row r="3720" spans="1:5" ht="15" hidden="1" customHeight="1">
      <c r="A3720" s="72"/>
      <c r="B3720" s="54"/>
      <c r="C3720" s="54"/>
      <c r="D3720" s="54"/>
      <c r="E3720" s="54"/>
    </row>
    <row r="3721" spans="1:5" ht="15" hidden="1" customHeight="1">
      <c r="A3721" s="72"/>
      <c r="B3721" s="54"/>
      <c r="C3721" s="54"/>
      <c r="D3721" s="54"/>
      <c r="E3721" s="54"/>
    </row>
    <row r="3722" spans="1:5" ht="15" hidden="1" customHeight="1">
      <c r="A3722" s="72"/>
      <c r="B3722" s="54"/>
      <c r="C3722" s="54"/>
      <c r="D3722" s="54"/>
      <c r="E3722" s="54"/>
    </row>
    <row r="3723" spans="1:5" ht="15" hidden="1" customHeight="1">
      <c r="A3723" s="72"/>
      <c r="B3723" s="54"/>
      <c r="C3723" s="54"/>
      <c r="D3723" s="54"/>
      <c r="E3723" s="54"/>
    </row>
    <row r="3724" spans="1:5" ht="15" hidden="1" customHeight="1">
      <c r="A3724" s="72"/>
      <c r="B3724" s="54"/>
      <c r="C3724" s="54"/>
      <c r="D3724" s="54"/>
      <c r="E3724" s="54"/>
    </row>
    <row r="3725" spans="1:5" ht="15" hidden="1" customHeight="1">
      <c r="A3725" s="72"/>
      <c r="B3725" s="54"/>
      <c r="C3725" s="55"/>
      <c r="D3725" s="58"/>
      <c r="E3725" s="54"/>
    </row>
    <row r="3726" spans="1:5" ht="15" hidden="1" customHeight="1">
      <c r="A3726" s="72"/>
      <c r="B3726" s="54"/>
      <c r="C3726" s="55"/>
      <c r="D3726" s="58"/>
      <c r="E3726" s="54"/>
    </row>
    <row r="3727" spans="1:5" ht="15" hidden="1" customHeight="1">
      <c r="A3727" s="72"/>
      <c r="B3727" s="54"/>
      <c r="C3727" s="55"/>
      <c r="D3727" s="58"/>
      <c r="E3727" s="54"/>
    </row>
    <row r="3728" spans="1:5" ht="15" hidden="1" customHeight="1">
      <c r="A3728" s="72"/>
      <c r="B3728" s="54"/>
      <c r="C3728" s="58"/>
      <c r="D3728" s="58"/>
      <c r="E3728" s="54"/>
    </row>
    <row r="3729" spans="1:5" ht="15" hidden="1" customHeight="1">
      <c r="A3729" s="72"/>
      <c r="B3729" s="54"/>
      <c r="C3729" s="58"/>
      <c r="D3729" s="58"/>
      <c r="E3729" s="54"/>
    </row>
    <row r="3730" spans="1:5" ht="15" hidden="1" customHeight="1">
      <c r="A3730" s="72"/>
      <c r="B3730" s="54"/>
      <c r="C3730" s="58"/>
      <c r="D3730" s="58"/>
      <c r="E3730" s="54"/>
    </row>
    <row r="3731" spans="1:5" ht="15" hidden="1" customHeight="1">
      <c r="A3731" s="72"/>
      <c r="B3731" s="54"/>
      <c r="C3731" s="58"/>
      <c r="D3731" s="58"/>
      <c r="E3731" s="54"/>
    </row>
    <row r="3732" spans="1:5" ht="15" hidden="1" customHeight="1">
      <c r="A3732" s="72"/>
      <c r="B3732" s="54"/>
      <c r="C3732" s="58"/>
      <c r="D3732" s="58"/>
      <c r="E3732" s="54"/>
    </row>
    <row r="3733" spans="1:5" ht="15" hidden="1" customHeight="1">
      <c r="A3733" s="72"/>
      <c r="B3733" s="54"/>
      <c r="C3733" s="58"/>
      <c r="D3733" s="58"/>
      <c r="E3733" s="54"/>
    </row>
    <row r="3734" spans="1:5" ht="15" hidden="1" customHeight="1">
      <c r="A3734" s="72"/>
      <c r="B3734" s="54"/>
      <c r="C3734" s="58"/>
      <c r="D3734" s="58"/>
      <c r="E3734" s="54"/>
    </row>
    <row r="3735" spans="1:5" ht="15" hidden="1" customHeight="1">
      <c r="A3735" s="72"/>
      <c r="B3735" s="54"/>
      <c r="C3735" s="58"/>
      <c r="D3735" s="58"/>
      <c r="E3735" s="54"/>
    </row>
    <row r="3736" spans="1:5" ht="15" hidden="1" customHeight="1">
      <c r="A3736" s="72"/>
      <c r="B3736" s="54"/>
      <c r="C3736" s="58"/>
      <c r="D3736" s="58"/>
      <c r="E3736" s="54"/>
    </row>
    <row r="3737" spans="1:5" ht="15" hidden="1" customHeight="1">
      <c r="A3737" s="72"/>
      <c r="B3737" s="54"/>
      <c r="C3737" s="58"/>
      <c r="D3737" s="58"/>
      <c r="E3737" s="54"/>
    </row>
    <row r="3738" spans="1:5" ht="15" hidden="1" customHeight="1">
      <c r="A3738" s="72"/>
      <c r="B3738" s="54"/>
      <c r="C3738" s="58"/>
      <c r="D3738" s="58"/>
      <c r="E3738" s="54"/>
    </row>
    <row r="3739" spans="1:5" ht="15" hidden="1" customHeight="1">
      <c r="A3739" s="72"/>
      <c r="B3739" s="54"/>
      <c r="C3739" s="58"/>
      <c r="D3739" s="58"/>
      <c r="E3739" s="54"/>
    </row>
    <row r="3740" spans="1:5" ht="15" hidden="1" customHeight="1">
      <c r="A3740" s="72"/>
      <c r="B3740" s="54"/>
      <c r="C3740" s="58"/>
      <c r="D3740" s="58"/>
      <c r="E3740" s="54"/>
    </row>
    <row r="3741" spans="1:5" ht="15" hidden="1" customHeight="1">
      <c r="A3741" s="72"/>
      <c r="B3741" s="54"/>
      <c r="C3741" s="58"/>
      <c r="D3741" s="58"/>
      <c r="E3741" s="54"/>
    </row>
    <row r="3742" spans="1:5" ht="15" hidden="1" customHeight="1">
      <c r="A3742" s="72"/>
      <c r="B3742" s="54"/>
      <c r="C3742" s="58"/>
      <c r="D3742" s="58"/>
      <c r="E3742" s="54"/>
    </row>
    <row r="3743" spans="1:5" ht="15" hidden="1" customHeight="1">
      <c r="A3743" s="72"/>
      <c r="B3743" s="54"/>
      <c r="C3743" s="58"/>
      <c r="D3743" s="58"/>
      <c r="E3743" s="54"/>
    </row>
    <row r="3744" spans="1:5" ht="15" hidden="1" customHeight="1">
      <c r="A3744" s="72"/>
      <c r="B3744" s="54"/>
      <c r="C3744" s="58"/>
      <c r="D3744" s="58"/>
      <c r="E3744" s="54"/>
    </row>
    <row r="3745" spans="1:5" ht="15" hidden="1" customHeight="1">
      <c r="A3745" s="72"/>
      <c r="B3745" s="54"/>
      <c r="C3745" s="58"/>
      <c r="D3745" s="54"/>
      <c r="E3745" s="54"/>
    </row>
    <row r="3746" spans="1:5" ht="15" hidden="1" customHeight="1">
      <c r="A3746" s="72"/>
      <c r="B3746" s="54"/>
      <c r="C3746" s="58"/>
      <c r="D3746" s="58"/>
      <c r="E3746" s="54"/>
    </row>
    <row r="3747" spans="1:5" ht="15" hidden="1" customHeight="1">
      <c r="A3747" s="72"/>
      <c r="B3747" s="54"/>
      <c r="C3747" s="58"/>
      <c r="D3747" s="58"/>
      <c r="E3747" s="54"/>
    </row>
    <row r="3748" spans="1:5" ht="15" hidden="1" customHeight="1">
      <c r="A3748" s="72"/>
      <c r="B3748" s="54"/>
      <c r="C3748" s="58"/>
      <c r="D3748" s="58"/>
      <c r="E3748" s="54"/>
    </row>
    <row r="3749" spans="1:5" ht="15" hidden="1" customHeight="1">
      <c r="A3749" s="72"/>
      <c r="B3749" s="54"/>
      <c r="C3749" s="58"/>
      <c r="D3749" s="58"/>
      <c r="E3749" s="54"/>
    </row>
    <row r="3750" spans="1:5" ht="15" hidden="1" customHeight="1">
      <c r="A3750" s="72"/>
      <c r="B3750" s="54"/>
      <c r="C3750" s="58"/>
      <c r="D3750" s="58"/>
      <c r="E3750" s="54"/>
    </row>
    <row r="3751" spans="1:5" ht="15" hidden="1" customHeight="1">
      <c r="A3751" s="72"/>
      <c r="B3751" s="54"/>
      <c r="C3751" s="58"/>
      <c r="D3751" s="58"/>
      <c r="E3751" s="54"/>
    </row>
    <row r="3752" spans="1:5" ht="15" hidden="1" customHeight="1">
      <c r="A3752" s="72"/>
      <c r="B3752" s="54"/>
      <c r="C3752" s="58"/>
      <c r="D3752" s="58"/>
      <c r="E3752" s="54"/>
    </row>
    <row r="3753" spans="1:5" ht="15" hidden="1" customHeight="1">
      <c r="A3753" s="72"/>
      <c r="B3753" s="54"/>
      <c r="C3753" s="58"/>
      <c r="D3753" s="58"/>
      <c r="E3753" s="54"/>
    </row>
    <row r="3754" spans="1:5" ht="15" hidden="1" customHeight="1">
      <c r="A3754" s="72"/>
      <c r="B3754" s="54"/>
      <c r="C3754" s="58"/>
      <c r="D3754" s="58"/>
      <c r="E3754" s="54"/>
    </row>
    <row r="3755" spans="1:5" ht="15" hidden="1" customHeight="1">
      <c r="A3755" s="72"/>
      <c r="B3755" s="54"/>
      <c r="C3755" s="58"/>
      <c r="D3755" s="58"/>
      <c r="E3755" s="54"/>
    </row>
    <row r="3756" spans="1:5" ht="15" hidden="1" customHeight="1">
      <c r="A3756" s="72"/>
      <c r="B3756" s="54"/>
      <c r="C3756" s="58"/>
      <c r="D3756" s="58"/>
      <c r="E3756" s="54"/>
    </row>
    <row r="3757" spans="1:5" ht="15" hidden="1" customHeight="1">
      <c r="A3757" s="72"/>
      <c r="B3757" s="54"/>
      <c r="C3757" s="58"/>
      <c r="D3757" s="58"/>
      <c r="E3757" s="54"/>
    </row>
    <row r="3758" spans="1:5" ht="15" hidden="1" customHeight="1">
      <c r="A3758" s="72"/>
      <c r="B3758" s="54"/>
      <c r="C3758" s="58"/>
      <c r="D3758" s="58"/>
      <c r="E3758" s="54"/>
    </row>
    <row r="3759" spans="1:5" ht="15" hidden="1" customHeight="1">
      <c r="A3759" s="72"/>
      <c r="B3759" s="54"/>
      <c r="C3759" s="55"/>
      <c r="D3759" s="58"/>
      <c r="E3759" s="54"/>
    </row>
    <row r="3760" spans="1:5" ht="15" hidden="1" customHeight="1">
      <c r="A3760" s="72"/>
      <c r="B3760" s="54"/>
      <c r="C3760" s="55"/>
      <c r="D3760" s="58"/>
      <c r="E3760" s="54"/>
    </row>
    <row r="3761" spans="1:5" ht="15" hidden="1" customHeight="1">
      <c r="A3761" s="60"/>
      <c r="B3761" s="56"/>
      <c r="C3761" s="59"/>
      <c r="D3761" s="59"/>
      <c r="E3761" s="56"/>
    </row>
    <row r="3762" spans="1:5" ht="15" hidden="1" customHeight="1">
      <c r="A3762" s="71"/>
    </row>
    <row r="3763" spans="1:5" ht="15" hidden="1" customHeight="1">
      <c r="A3763" s="71"/>
    </row>
    <row r="3764" spans="1:5" ht="15" hidden="1" customHeight="1">
      <c r="A3764" s="71"/>
    </row>
    <row r="3765" spans="1:5" ht="15" hidden="1" customHeight="1">
      <c r="A3765" s="71"/>
    </row>
    <row r="3766" spans="1:5" ht="15" hidden="1" customHeight="1">
      <c r="A3766" s="60"/>
      <c r="B3766" s="56"/>
      <c r="C3766" s="59"/>
      <c r="D3766" s="59"/>
      <c r="E3766" s="56"/>
    </row>
    <row r="3767" spans="1:5" ht="15" hidden="1" customHeight="1">
      <c r="A3767" s="60"/>
      <c r="B3767" s="56"/>
      <c r="C3767" s="59"/>
      <c r="D3767" s="59"/>
      <c r="E3767" s="56"/>
    </row>
    <row r="3768" spans="1:5" ht="15" hidden="1" customHeight="1">
      <c r="A3768" s="60"/>
      <c r="B3768" s="56"/>
      <c r="C3768" s="59"/>
      <c r="D3768" s="59"/>
      <c r="E3768" s="56"/>
    </row>
    <row r="3769" spans="1:5" ht="15" hidden="1" customHeight="1">
      <c r="A3769" s="60"/>
      <c r="B3769" s="56"/>
      <c r="C3769" s="59"/>
      <c r="D3769" s="59"/>
      <c r="E3769" s="56"/>
    </row>
    <row r="3770" spans="1:5" ht="15" hidden="1" customHeight="1">
      <c r="A3770" s="60"/>
      <c r="B3770" s="56"/>
      <c r="C3770" s="59"/>
      <c r="D3770" s="59"/>
      <c r="E3770" s="56"/>
    </row>
    <row r="3771" spans="1:5" ht="15" hidden="1" customHeight="1">
      <c r="A3771" s="60"/>
      <c r="B3771" s="56"/>
      <c r="C3771" s="59"/>
      <c r="D3771" s="59"/>
      <c r="E3771" s="56"/>
    </row>
    <row r="3772" spans="1:5" ht="15" hidden="1" customHeight="1">
      <c r="A3772" s="60"/>
      <c r="B3772" s="56"/>
      <c r="C3772" s="59"/>
      <c r="D3772" s="59"/>
      <c r="E3772" s="56"/>
    </row>
    <row r="3773" spans="1:5" ht="15" hidden="1" customHeight="1">
      <c r="A3773" s="60"/>
      <c r="B3773" s="56"/>
      <c r="C3773" s="59"/>
      <c r="D3773" s="59"/>
      <c r="E3773" s="56"/>
    </row>
    <row r="3774" spans="1:5" ht="15" hidden="1" customHeight="1">
      <c r="A3774" s="60"/>
      <c r="B3774" s="56"/>
      <c r="C3774" s="59"/>
      <c r="D3774" s="59"/>
      <c r="E3774" s="56"/>
    </row>
    <row r="3775" spans="1:5" ht="15" hidden="1" customHeight="1">
      <c r="A3775" s="60"/>
      <c r="B3775" s="56"/>
      <c r="C3775" s="59"/>
      <c r="D3775" s="59"/>
      <c r="E3775" s="56"/>
    </row>
    <row r="3776" spans="1:5" ht="15" hidden="1" customHeight="1">
      <c r="A3776" s="60"/>
      <c r="B3776" s="56"/>
      <c r="C3776" s="59"/>
      <c r="D3776" s="59"/>
      <c r="E3776" s="56"/>
    </row>
    <row r="3777" spans="1:5" ht="15" hidden="1" customHeight="1">
      <c r="A3777" s="60"/>
      <c r="B3777" s="56"/>
      <c r="C3777" s="59"/>
      <c r="D3777" s="59"/>
      <c r="E3777" s="56"/>
    </row>
    <row r="3778" spans="1:5" ht="15" hidden="1" customHeight="1">
      <c r="A3778" s="60"/>
      <c r="B3778" s="56"/>
      <c r="C3778" s="59"/>
      <c r="D3778" s="59"/>
      <c r="E3778" s="56"/>
    </row>
    <row r="3779" spans="1:5" ht="15" hidden="1" customHeight="1">
      <c r="A3779" s="60"/>
      <c r="B3779" s="56"/>
      <c r="C3779" s="59"/>
      <c r="D3779" s="59"/>
      <c r="E3779" s="56"/>
    </row>
    <row r="3780" spans="1:5" ht="15" hidden="1" customHeight="1">
      <c r="A3780" s="60"/>
      <c r="B3780" s="56"/>
      <c r="C3780" s="59"/>
      <c r="D3780" s="59"/>
      <c r="E3780" s="56"/>
    </row>
    <row r="3781" spans="1:5" ht="15" hidden="1" customHeight="1">
      <c r="A3781" s="60"/>
      <c r="B3781" s="56"/>
      <c r="C3781" s="59"/>
      <c r="D3781" s="59"/>
      <c r="E3781" s="56"/>
    </row>
    <row r="3782" spans="1:5" ht="15" hidden="1" customHeight="1">
      <c r="A3782" s="60"/>
      <c r="B3782" s="56"/>
      <c r="C3782" s="57"/>
      <c r="D3782" s="59"/>
      <c r="E3782" s="56"/>
    </row>
    <row r="3783" spans="1:5" ht="15" hidden="1" customHeight="1">
      <c r="A3783" s="60"/>
      <c r="B3783" s="56"/>
      <c r="C3783" s="57"/>
      <c r="D3783" s="59"/>
      <c r="E3783" s="56"/>
    </row>
    <row r="3784" spans="1:5" ht="15" hidden="1" customHeight="1">
      <c r="A3784" s="60"/>
      <c r="B3784" s="56"/>
      <c r="C3784" s="57"/>
      <c r="D3784" s="59"/>
      <c r="E3784" s="56"/>
    </row>
    <row r="3785" spans="1:5" ht="15" hidden="1" customHeight="1">
      <c r="A3785" s="60"/>
      <c r="B3785" s="56"/>
      <c r="C3785" s="57"/>
      <c r="D3785" s="59"/>
      <c r="E3785" s="56"/>
    </row>
    <row r="3786" spans="1:5" ht="15" hidden="1" customHeight="1">
      <c r="A3786" s="71"/>
    </row>
    <row r="3787" spans="1:5" ht="15" hidden="1" customHeight="1">
      <c r="A3787" s="71"/>
    </row>
    <row r="3788" spans="1:5" ht="15" hidden="1" customHeight="1">
      <c r="A3788" s="71"/>
    </row>
    <row r="3789" spans="1:5" ht="15" hidden="1" customHeight="1">
      <c r="A3789" s="71"/>
    </row>
    <row r="3790" spans="1:5" ht="15" hidden="1" customHeight="1">
      <c r="A3790" s="60"/>
      <c r="B3790" s="56"/>
      <c r="C3790" s="57"/>
      <c r="D3790" s="59"/>
      <c r="E3790" s="56"/>
    </row>
    <row r="3791" spans="1:5" ht="15" hidden="1" customHeight="1">
      <c r="A3791" s="60"/>
      <c r="B3791" s="56"/>
      <c r="C3791" s="59"/>
      <c r="D3791" s="59"/>
      <c r="E3791" s="56"/>
    </row>
    <row r="3792" spans="1:5" ht="15" hidden="1" customHeight="1">
      <c r="A3792" s="60"/>
      <c r="B3792" s="56"/>
      <c r="C3792" s="59"/>
      <c r="D3792" s="59"/>
      <c r="E3792" s="56"/>
    </row>
    <row r="3793" spans="1:5" ht="15" hidden="1" customHeight="1">
      <c r="A3793" s="60"/>
      <c r="B3793" s="56"/>
      <c r="C3793" s="59"/>
      <c r="D3793" s="59"/>
      <c r="E3793" s="56"/>
    </row>
    <row r="3794" spans="1:5" ht="15" hidden="1" customHeight="1">
      <c r="A3794" s="60"/>
      <c r="B3794" s="56"/>
      <c r="C3794" s="59"/>
      <c r="D3794" s="59"/>
      <c r="E3794" s="56"/>
    </row>
    <row r="3795" spans="1:5" ht="15" hidden="1" customHeight="1">
      <c r="A3795" s="60"/>
      <c r="B3795" s="56"/>
      <c r="C3795" s="59"/>
      <c r="D3795" s="59"/>
      <c r="E3795" s="56"/>
    </row>
    <row r="3796" spans="1:5" ht="15" hidden="1" customHeight="1">
      <c r="A3796" s="60"/>
      <c r="B3796" s="56"/>
      <c r="C3796" s="59"/>
      <c r="D3796" s="59"/>
      <c r="E3796" s="56"/>
    </row>
    <row r="3797" spans="1:5" ht="15" hidden="1" customHeight="1">
      <c r="A3797" s="60"/>
      <c r="B3797" s="56"/>
      <c r="C3797" s="59"/>
      <c r="D3797" s="59"/>
      <c r="E3797" s="56"/>
    </row>
    <row r="3798" spans="1:5" ht="15" hidden="1" customHeight="1">
      <c r="A3798" s="60"/>
      <c r="B3798" s="56"/>
      <c r="C3798" s="59"/>
      <c r="D3798" s="59"/>
      <c r="E3798" s="56"/>
    </row>
    <row r="3799" spans="1:5" ht="15" hidden="1" customHeight="1">
      <c r="A3799" s="60"/>
      <c r="B3799" s="56"/>
      <c r="C3799" s="59"/>
      <c r="D3799" s="59"/>
      <c r="E3799" s="56"/>
    </row>
    <row r="3800" spans="1:5" ht="15" hidden="1" customHeight="1">
      <c r="A3800" s="60"/>
      <c r="B3800" s="56"/>
      <c r="C3800" s="59"/>
      <c r="D3800" s="59"/>
      <c r="E3800" s="56"/>
    </row>
    <row r="3801" spans="1:5" ht="15" hidden="1" customHeight="1">
      <c r="A3801" s="60"/>
      <c r="B3801" s="56"/>
      <c r="C3801" s="59"/>
      <c r="D3801" s="59"/>
      <c r="E3801" s="56"/>
    </row>
    <row r="3802" spans="1:5" ht="15" hidden="1" customHeight="1">
      <c r="A3802" s="60"/>
      <c r="B3802" s="56"/>
      <c r="C3802" s="59"/>
      <c r="D3802" s="59"/>
      <c r="E3802" s="56"/>
    </row>
    <row r="3803" spans="1:5" ht="15" hidden="1" customHeight="1">
      <c r="A3803" s="60"/>
      <c r="B3803" s="56"/>
      <c r="C3803" s="59"/>
      <c r="D3803" s="59"/>
      <c r="E3803" s="56"/>
    </row>
    <row r="3804" spans="1:5" ht="15" hidden="1" customHeight="1">
      <c r="A3804" s="60"/>
      <c r="B3804" s="56"/>
      <c r="C3804" s="59"/>
      <c r="D3804" s="59"/>
      <c r="E3804" s="56"/>
    </row>
    <row r="3805" spans="1:5" ht="15" hidden="1" customHeight="1">
      <c r="A3805" s="60"/>
      <c r="B3805" s="56"/>
      <c r="C3805" s="59"/>
      <c r="D3805" s="59"/>
      <c r="E3805" s="56"/>
    </row>
    <row r="3806" spans="1:5" ht="15" hidden="1" customHeight="1">
      <c r="A3806" s="60"/>
      <c r="B3806" s="56"/>
      <c r="C3806" s="59"/>
      <c r="D3806" s="59"/>
      <c r="E3806" s="56"/>
    </row>
    <row r="3807" spans="1:5" ht="15" hidden="1" customHeight="1">
      <c r="A3807" s="60"/>
      <c r="B3807" s="56"/>
      <c r="C3807" s="57"/>
      <c r="D3807" s="59"/>
      <c r="E3807" s="56"/>
    </row>
    <row r="3808" spans="1:5" ht="15" hidden="1" customHeight="1">
      <c r="A3808" s="60"/>
      <c r="B3808" s="56"/>
      <c r="C3808" s="57"/>
      <c r="D3808" s="59"/>
      <c r="E3808" s="56"/>
    </row>
    <row r="3809" spans="1:5" ht="15" hidden="1" customHeight="1">
      <c r="A3809" s="60"/>
      <c r="B3809" s="56"/>
      <c r="C3809" s="57"/>
      <c r="D3809" s="59"/>
      <c r="E3809" s="56"/>
    </row>
    <row r="3810" spans="1:5" ht="15" hidden="1" customHeight="1">
      <c r="A3810" s="60"/>
      <c r="B3810" s="56"/>
      <c r="C3810" s="57"/>
      <c r="D3810" s="59"/>
      <c r="E3810" s="56"/>
    </row>
    <row r="3811" spans="1:5" ht="15" hidden="1" customHeight="1">
      <c r="A3811" s="60"/>
      <c r="B3811" s="56"/>
      <c r="C3811" s="57"/>
      <c r="D3811" s="59"/>
      <c r="E3811" s="56"/>
    </row>
    <row r="3812" spans="1:5" ht="15" hidden="1" customHeight="1">
      <c r="A3812" s="60"/>
      <c r="B3812" s="56"/>
      <c r="C3812" s="59"/>
      <c r="D3812" s="59"/>
      <c r="E3812" s="56"/>
    </row>
    <row r="3813" spans="1:5" ht="15" hidden="1" customHeight="1">
      <c r="A3813" s="60"/>
      <c r="B3813" s="56"/>
      <c r="C3813" s="59"/>
      <c r="D3813" s="59"/>
      <c r="E3813" s="56"/>
    </row>
    <row r="3814" spans="1:5" ht="15" hidden="1" customHeight="1">
      <c r="A3814" s="60"/>
      <c r="B3814" s="56"/>
      <c r="C3814" s="59"/>
      <c r="D3814" s="59"/>
      <c r="E3814" s="56"/>
    </row>
    <row r="3815" spans="1:5" ht="15" hidden="1" customHeight="1">
      <c r="A3815" s="60"/>
      <c r="B3815" s="56"/>
      <c r="C3815" s="59"/>
      <c r="D3815" s="59"/>
      <c r="E3815" s="56"/>
    </row>
    <row r="3816" spans="1:5" ht="15" hidden="1" customHeight="1">
      <c r="A3816" s="60"/>
      <c r="B3816" s="56"/>
      <c r="C3816" s="59"/>
      <c r="D3816" s="59"/>
      <c r="E3816" s="56"/>
    </row>
    <row r="3817" spans="1:5" ht="15" hidden="1" customHeight="1">
      <c r="A3817" s="60"/>
      <c r="B3817" s="56"/>
      <c r="C3817" s="59"/>
      <c r="D3817" s="59"/>
      <c r="E3817" s="56"/>
    </row>
    <row r="3818" spans="1:5" ht="15" hidden="1" customHeight="1">
      <c r="A3818" s="60"/>
      <c r="B3818" s="56"/>
      <c r="C3818" s="59"/>
      <c r="D3818" s="59"/>
      <c r="E3818" s="56"/>
    </row>
    <row r="3819" spans="1:5" ht="15" hidden="1" customHeight="1">
      <c r="A3819" s="60"/>
      <c r="B3819" s="56"/>
      <c r="C3819" s="59"/>
      <c r="D3819" s="59"/>
      <c r="E3819" s="56"/>
    </row>
    <row r="3820" spans="1:5" ht="15" hidden="1" customHeight="1">
      <c r="A3820" s="60"/>
      <c r="B3820" s="56"/>
      <c r="C3820" s="59"/>
      <c r="D3820" s="59"/>
      <c r="E3820" s="56"/>
    </row>
    <row r="3821" spans="1:5" ht="15" hidden="1" customHeight="1">
      <c r="A3821" s="60"/>
      <c r="B3821" s="56"/>
      <c r="C3821" s="59"/>
      <c r="D3821" s="59"/>
      <c r="E3821" s="56"/>
    </row>
    <row r="3822" spans="1:5" ht="15" hidden="1" customHeight="1">
      <c r="A3822" s="60"/>
      <c r="B3822" s="56"/>
      <c r="C3822" s="59"/>
      <c r="D3822" s="59"/>
      <c r="E3822" s="56"/>
    </row>
    <row r="3823" spans="1:5" ht="15" hidden="1" customHeight="1">
      <c r="A3823" s="60"/>
      <c r="B3823" s="56"/>
      <c r="C3823" s="59"/>
      <c r="D3823" s="59"/>
      <c r="E3823" s="56"/>
    </row>
    <row r="3824" spans="1:5" ht="15" hidden="1" customHeight="1">
      <c r="A3824" s="60"/>
      <c r="B3824" s="56"/>
      <c r="C3824" s="59"/>
      <c r="D3824" s="59"/>
      <c r="E3824" s="56"/>
    </row>
    <row r="3825" spans="1:5" ht="15" hidden="1" customHeight="1">
      <c r="A3825" s="60"/>
      <c r="B3825" s="56"/>
      <c r="C3825" s="59"/>
      <c r="D3825" s="59"/>
      <c r="E3825" s="56"/>
    </row>
    <row r="3826" spans="1:5" ht="15" hidden="1" customHeight="1">
      <c r="A3826" s="60"/>
      <c r="B3826" s="56"/>
      <c r="C3826" s="57"/>
      <c r="D3826" s="59"/>
      <c r="E3826" s="56"/>
    </row>
    <row r="3827" spans="1:5" ht="15" hidden="1" customHeight="1">
      <c r="A3827" s="60"/>
      <c r="B3827" s="56"/>
      <c r="C3827" s="57"/>
      <c r="D3827" s="59"/>
      <c r="E3827" s="56"/>
    </row>
    <row r="3828" spans="1:5" ht="15" hidden="1" customHeight="1">
      <c r="A3828" s="60"/>
      <c r="B3828" s="56"/>
      <c r="C3828" s="57"/>
      <c r="D3828" s="59"/>
      <c r="E3828" s="56"/>
    </row>
    <row r="3829" spans="1:5" ht="15" hidden="1" customHeight="1">
      <c r="A3829" s="60"/>
      <c r="B3829" s="56"/>
      <c r="C3829" s="59"/>
      <c r="D3829" s="59"/>
      <c r="E3829" s="56"/>
    </row>
    <row r="3830" spans="1:5" ht="15" hidden="1" customHeight="1">
      <c r="A3830" s="60"/>
      <c r="B3830" s="56"/>
      <c r="C3830" s="59"/>
      <c r="D3830" s="59"/>
      <c r="E3830" s="56"/>
    </row>
    <row r="3831" spans="1:5" ht="15" hidden="1" customHeight="1">
      <c r="A3831" s="60"/>
      <c r="B3831" s="56"/>
      <c r="C3831" s="59"/>
      <c r="D3831" s="59"/>
      <c r="E3831" s="56"/>
    </row>
    <row r="3832" spans="1:5" ht="15" hidden="1" customHeight="1">
      <c r="A3832" s="60"/>
      <c r="B3832" s="56"/>
      <c r="C3832" s="59"/>
      <c r="D3832" s="59"/>
      <c r="E3832" s="56"/>
    </row>
    <row r="3833" spans="1:5" ht="15" hidden="1" customHeight="1">
      <c r="A3833" s="60"/>
      <c r="B3833" s="56"/>
      <c r="C3833" s="59"/>
      <c r="D3833" s="59"/>
      <c r="E3833" s="56"/>
    </row>
    <row r="3834" spans="1:5" ht="15" hidden="1" customHeight="1">
      <c r="A3834" s="60"/>
      <c r="B3834" s="56"/>
      <c r="C3834" s="59"/>
      <c r="D3834" s="59"/>
      <c r="E3834" s="56"/>
    </row>
    <row r="3835" spans="1:5" ht="15" hidden="1" customHeight="1">
      <c r="A3835" s="60"/>
      <c r="B3835" s="56"/>
      <c r="C3835" s="57"/>
      <c r="D3835" s="59"/>
      <c r="E3835" s="56"/>
    </row>
    <row r="3836" spans="1:5" ht="15" hidden="1" customHeight="1">
      <c r="A3836" s="60"/>
      <c r="B3836" s="56"/>
      <c r="C3836" s="57"/>
      <c r="D3836" s="59"/>
      <c r="E3836" s="56"/>
    </row>
    <row r="3837" spans="1:5" ht="15" hidden="1" customHeight="1">
      <c r="A3837" s="60"/>
      <c r="B3837" s="56"/>
      <c r="C3837" s="57"/>
      <c r="D3837" s="59"/>
      <c r="E3837" s="56"/>
    </row>
    <row r="3838" spans="1:5" ht="15" hidden="1" customHeight="1">
      <c r="A3838" s="60"/>
      <c r="B3838" s="56"/>
      <c r="C3838" s="59"/>
      <c r="D3838" s="59"/>
      <c r="E3838" s="56"/>
    </row>
    <row r="3839" spans="1:5" ht="15" hidden="1" customHeight="1">
      <c r="A3839" s="60"/>
      <c r="B3839" s="56"/>
      <c r="C3839" s="59"/>
      <c r="D3839" s="59"/>
      <c r="E3839" s="56"/>
    </row>
    <row r="3840" spans="1:5" ht="15" hidden="1" customHeight="1">
      <c r="A3840" s="60"/>
      <c r="B3840" s="56"/>
      <c r="C3840" s="59"/>
      <c r="D3840" s="59"/>
      <c r="E3840" s="56"/>
    </row>
    <row r="3841" spans="1:5" ht="15" hidden="1" customHeight="1">
      <c r="A3841" s="60"/>
      <c r="B3841" s="56"/>
      <c r="C3841" s="59"/>
      <c r="D3841" s="59"/>
      <c r="E3841" s="56"/>
    </row>
    <row r="3842" spans="1:5" ht="15" hidden="1" customHeight="1">
      <c r="A3842" s="60"/>
      <c r="B3842" s="56"/>
      <c r="C3842" s="59"/>
      <c r="D3842" s="59"/>
      <c r="E3842" s="56"/>
    </row>
    <row r="3843" spans="1:5" ht="15" hidden="1" customHeight="1">
      <c r="A3843" s="60"/>
      <c r="B3843" s="56"/>
      <c r="C3843" s="59"/>
      <c r="D3843" s="59"/>
      <c r="E3843" s="56"/>
    </row>
    <row r="3844" spans="1:5" ht="15" hidden="1" customHeight="1">
      <c r="A3844" s="60"/>
      <c r="B3844" s="56"/>
      <c r="C3844" s="59"/>
      <c r="D3844" s="59"/>
      <c r="E3844" s="56"/>
    </row>
    <row r="3845" spans="1:5" ht="15" hidden="1" customHeight="1">
      <c r="A3845" s="60"/>
      <c r="B3845" s="56"/>
      <c r="C3845" s="57"/>
      <c r="D3845" s="59"/>
      <c r="E3845" s="56"/>
    </row>
    <row r="3846" spans="1:5" ht="15" hidden="1" customHeight="1">
      <c r="A3846" s="60"/>
      <c r="B3846" s="56"/>
      <c r="C3846" s="57"/>
      <c r="D3846" s="59"/>
      <c r="E3846" s="56"/>
    </row>
    <row r="3847" spans="1:5" ht="15" hidden="1" customHeight="1">
      <c r="A3847" s="60"/>
      <c r="B3847" s="56"/>
      <c r="C3847" s="57"/>
      <c r="D3847" s="59"/>
      <c r="E3847" s="56"/>
    </row>
    <row r="3848" spans="1:5" ht="15" hidden="1" customHeight="1">
      <c r="A3848" s="60"/>
      <c r="B3848" s="56"/>
      <c r="C3848" s="59"/>
      <c r="D3848" s="59"/>
      <c r="E3848" s="56"/>
    </row>
    <row r="3849" spans="1:5" ht="15" hidden="1" customHeight="1">
      <c r="A3849" s="60"/>
      <c r="B3849" s="56"/>
      <c r="C3849" s="59"/>
      <c r="D3849" s="59"/>
      <c r="E3849" s="56"/>
    </row>
    <row r="3850" spans="1:5" ht="15" hidden="1" customHeight="1">
      <c r="A3850" s="60"/>
      <c r="B3850" s="56"/>
      <c r="C3850" s="59"/>
      <c r="D3850" s="59"/>
      <c r="E3850" s="56"/>
    </row>
    <row r="3851" spans="1:5" ht="15" hidden="1" customHeight="1">
      <c r="A3851" s="60"/>
      <c r="B3851" s="56"/>
      <c r="C3851" s="59"/>
      <c r="D3851" s="59"/>
      <c r="E3851" s="56"/>
    </row>
    <row r="3852" spans="1:5" ht="15" hidden="1" customHeight="1">
      <c r="A3852" s="60"/>
      <c r="B3852" s="56"/>
      <c r="C3852" s="59"/>
      <c r="D3852" s="59"/>
      <c r="E3852" s="56"/>
    </row>
    <row r="3853" spans="1:5" ht="15" hidden="1" customHeight="1">
      <c r="A3853" s="60"/>
      <c r="B3853" s="56"/>
      <c r="C3853" s="59"/>
      <c r="D3853" s="59"/>
      <c r="E3853" s="56"/>
    </row>
    <row r="3854" spans="1:5" ht="15" hidden="1" customHeight="1">
      <c r="A3854" s="60"/>
      <c r="B3854" s="56"/>
      <c r="C3854" s="59"/>
      <c r="D3854" s="59"/>
      <c r="E3854" s="56"/>
    </row>
    <row r="3855" spans="1:5" ht="15" hidden="1" customHeight="1">
      <c r="A3855" s="60"/>
      <c r="B3855" s="56"/>
      <c r="C3855" s="59"/>
      <c r="D3855" s="59"/>
      <c r="E3855" s="56"/>
    </row>
    <row r="3856" spans="1:5" ht="15" hidden="1" customHeight="1">
      <c r="A3856" s="60"/>
      <c r="B3856" s="56"/>
      <c r="C3856" s="59"/>
      <c r="D3856" s="59"/>
      <c r="E3856" s="56"/>
    </row>
    <row r="3857" spans="1:5" ht="15" hidden="1" customHeight="1">
      <c r="A3857" s="60"/>
      <c r="B3857" s="56"/>
      <c r="C3857" s="59"/>
      <c r="D3857" s="59"/>
      <c r="E3857" s="56"/>
    </row>
    <row r="3858" spans="1:5" ht="15" hidden="1" customHeight="1">
      <c r="A3858" s="71"/>
    </row>
    <row r="3859" spans="1:5" ht="15" hidden="1" customHeight="1">
      <c r="A3859" s="71"/>
    </row>
    <row r="3860" spans="1:5" ht="15" hidden="1" customHeight="1">
      <c r="A3860" s="71"/>
    </row>
    <row r="3861" spans="1:5" ht="15" hidden="1" customHeight="1">
      <c r="A3861" s="71"/>
    </row>
    <row r="3862" spans="1:5" ht="15" hidden="1" customHeight="1">
      <c r="A3862" s="71"/>
    </row>
    <row r="3863" spans="1:5" ht="15" hidden="1" customHeight="1">
      <c r="A3863" s="71"/>
    </row>
    <row r="3864" spans="1:5" ht="15" hidden="1" customHeight="1">
      <c r="A3864" s="71"/>
    </row>
    <row r="3865" spans="1:5" ht="15" hidden="1" customHeight="1">
      <c r="A3865" s="71"/>
    </row>
    <row r="3866" spans="1:5" ht="15" hidden="1" customHeight="1">
      <c r="A3866" s="71"/>
    </row>
    <row r="3867" spans="1:5" ht="15" hidden="1" customHeight="1">
      <c r="A3867" s="71"/>
    </row>
    <row r="3868" spans="1:5" ht="15" hidden="1" customHeight="1">
      <c r="A3868" s="71"/>
    </row>
    <row r="3869" spans="1:5" ht="15" hidden="1" customHeight="1">
      <c r="A3869" s="71"/>
    </row>
    <row r="3870" spans="1:5" ht="15" hidden="1" customHeight="1">
      <c r="A3870" s="71"/>
    </row>
    <row r="3871" spans="1:5" ht="15" hidden="1" customHeight="1">
      <c r="A3871" s="71"/>
    </row>
    <row r="3872" spans="1:5" ht="15" hidden="1" customHeight="1">
      <c r="A3872" s="71"/>
    </row>
    <row r="3873" spans="1:1" ht="15" hidden="1" customHeight="1">
      <c r="A3873" s="71"/>
    </row>
    <row r="3874" spans="1:1" ht="15" hidden="1" customHeight="1">
      <c r="A3874" s="71"/>
    </row>
    <row r="3875" spans="1:1" ht="15" hidden="1" customHeight="1">
      <c r="A3875" s="71"/>
    </row>
    <row r="3876" spans="1:1" ht="15" hidden="1" customHeight="1">
      <c r="A3876" s="71"/>
    </row>
    <row r="3877" spans="1:1" ht="15" hidden="1" customHeight="1">
      <c r="A3877" s="71"/>
    </row>
    <row r="3878" spans="1:1" ht="15" hidden="1" customHeight="1">
      <c r="A3878" s="71"/>
    </row>
    <row r="3879" spans="1:1" ht="15" hidden="1" customHeight="1">
      <c r="A3879" s="71"/>
    </row>
    <row r="3880" spans="1:1" ht="15" hidden="1" customHeight="1">
      <c r="A3880" s="71"/>
    </row>
    <row r="3881" spans="1:1" ht="15" hidden="1" customHeight="1">
      <c r="A3881" s="71"/>
    </row>
    <row r="3882" spans="1:1" ht="15" hidden="1" customHeight="1">
      <c r="A3882" s="71"/>
    </row>
    <row r="3883" spans="1:1" ht="15" hidden="1" customHeight="1">
      <c r="A3883" s="71"/>
    </row>
    <row r="3884" spans="1:1" ht="15" hidden="1" customHeight="1">
      <c r="A3884" s="71"/>
    </row>
    <row r="3885" spans="1:1" ht="15" hidden="1" customHeight="1">
      <c r="A3885" s="71"/>
    </row>
    <row r="3886" spans="1:1" ht="15" hidden="1" customHeight="1">
      <c r="A3886" s="71"/>
    </row>
    <row r="3887" spans="1:1" ht="15" hidden="1" customHeight="1">
      <c r="A3887" s="71"/>
    </row>
    <row r="3888" spans="1:1" ht="15" hidden="1" customHeight="1">
      <c r="A3888" s="71"/>
    </row>
    <row r="3889" spans="1:1" ht="15" hidden="1" customHeight="1">
      <c r="A3889" s="71"/>
    </row>
    <row r="3890" spans="1:1" ht="15" hidden="1" customHeight="1">
      <c r="A3890" s="71"/>
    </row>
    <row r="3891" spans="1:1" ht="15" hidden="1" customHeight="1">
      <c r="A3891" s="71"/>
    </row>
    <row r="3892" spans="1:1" ht="15" hidden="1" customHeight="1">
      <c r="A3892" s="71"/>
    </row>
    <row r="3893" spans="1:1" ht="15" hidden="1" customHeight="1">
      <c r="A3893" s="71"/>
    </row>
    <row r="3894" spans="1:1" ht="15" hidden="1" customHeight="1">
      <c r="A3894" s="71"/>
    </row>
    <row r="3895" spans="1:1" ht="15" hidden="1" customHeight="1">
      <c r="A3895" s="71"/>
    </row>
    <row r="3896" spans="1:1" ht="15" hidden="1" customHeight="1">
      <c r="A3896" s="71"/>
    </row>
    <row r="3897" spans="1:1" ht="15" hidden="1" customHeight="1">
      <c r="A3897" s="71"/>
    </row>
    <row r="3898" spans="1:1" ht="15" hidden="1" customHeight="1">
      <c r="A3898" s="71"/>
    </row>
    <row r="3899" spans="1:1" ht="15" hidden="1" customHeight="1">
      <c r="A3899" s="71"/>
    </row>
    <row r="3900" spans="1:1" ht="15" hidden="1" customHeight="1">
      <c r="A3900" s="71"/>
    </row>
    <row r="3901" spans="1:1" ht="15" hidden="1" customHeight="1">
      <c r="A3901" s="71"/>
    </row>
    <row r="3902" spans="1:1" ht="15" hidden="1" customHeight="1">
      <c r="A3902" s="71"/>
    </row>
    <row r="3903" spans="1:1" ht="15" hidden="1" customHeight="1">
      <c r="A3903" s="71"/>
    </row>
    <row r="3904" spans="1:1" ht="15" hidden="1" customHeight="1">
      <c r="A3904" s="71"/>
    </row>
    <row r="3905" spans="1:1" ht="15" hidden="1" customHeight="1">
      <c r="A3905" s="71"/>
    </row>
    <row r="3906" spans="1:1" ht="15" hidden="1" customHeight="1">
      <c r="A3906" s="71"/>
    </row>
    <row r="3907" spans="1:1" ht="15" hidden="1" customHeight="1">
      <c r="A3907" s="71"/>
    </row>
    <row r="3908" spans="1:1" ht="15" hidden="1" customHeight="1">
      <c r="A3908" s="71"/>
    </row>
    <row r="3909" spans="1:1" ht="15" hidden="1" customHeight="1">
      <c r="A3909" s="71"/>
    </row>
    <row r="3910" spans="1:1" ht="15" hidden="1" customHeight="1">
      <c r="A3910" s="71"/>
    </row>
    <row r="3911" spans="1:1" ht="15" hidden="1" customHeight="1">
      <c r="A3911" s="71"/>
    </row>
    <row r="3912" spans="1:1" ht="15" hidden="1" customHeight="1">
      <c r="A3912" s="71"/>
    </row>
    <row r="3913" spans="1:1" ht="15" hidden="1" customHeight="1">
      <c r="A3913" s="71"/>
    </row>
    <row r="3914" spans="1:1" ht="15" hidden="1" customHeight="1">
      <c r="A3914" s="71"/>
    </row>
    <row r="3915" spans="1:1" ht="15" hidden="1" customHeight="1">
      <c r="A3915" s="71"/>
    </row>
    <row r="3916" spans="1:1" ht="15" hidden="1" customHeight="1">
      <c r="A3916" s="71"/>
    </row>
    <row r="3917" spans="1:1" ht="15" hidden="1" customHeight="1">
      <c r="A3917" s="71"/>
    </row>
    <row r="3918" spans="1:1" ht="15" hidden="1" customHeight="1">
      <c r="A3918" s="71"/>
    </row>
    <row r="3919" spans="1:1" ht="15" hidden="1" customHeight="1">
      <c r="A3919" s="71"/>
    </row>
    <row r="3920" spans="1:1" ht="15" hidden="1" customHeight="1">
      <c r="A3920" s="71"/>
    </row>
    <row r="3921" spans="1:7" ht="15" hidden="1" customHeight="1">
      <c r="A3921" s="79">
        <v>46169</v>
      </c>
      <c r="B3921" t="s">
        <v>554</v>
      </c>
      <c r="D3921">
        <v>30138</v>
      </c>
    </row>
    <row r="3922" spans="1:7" ht="15" hidden="1" customHeight="1">
      <c r="A3922" s="79">
        <v>46199</v>
      </c>
      <c r="B3922" t="s">
        <v>101</v>
      </c>
      <c r="D3922">
        <v>52959</v>
      </c>
      <c r="E3922" t="s">
        <v>37</v>
      </c>
    </row>
    <row r="3923" spans="1:7" ht="15" hidden="1" customHeight="1">
      <c r="A3923" s="79">
        <v>46162</v>
      </c>
      <c r="B3923" t="s">
        <v>307</v>
      </c>
      <c r="C3923" s="85">
        <v>14740</v>
      </c>
    </row>
    <row r="3924" spans="1:7" ht="15" hidden="1" customHeight="1">
      <c r="A3924" s="79">
        <v>46086</v>
      </c>
      <c r="B3924" t="s">
        <v>86</v>
      </c>
      <c r="C3924">
        <v>3406</v>
      </c>
    </row>
    <row r="3925" spans="1:7" ht="15" hidden="1" customHeight="1">
      <c r="A3925" s="79">
        <v>46154</v>
      </c>
      <c r="B3925" t="s">
        <v>301</v>
      </c>
      <c r="C3925">
        <v>8971</v>
      </c>
      <c r="G3925" t="s">
        <v>744</v>
      </c>
    </row>
    <row r="3926" spans="1:7" ht="15" hidden="1" customHeight="1">
      <c r="A3926" s="79">
        <v>46136</v>
      </c>
      <c r="B3926" t="s">
        <v>305</v>
      </c>
      <c r="C3926">
        <v>8832</v>
      </c>
      <c r="G3926" t="s">
        <v>744</v>
      </c>
    </row>
    <row r="3927" spans="1:7" ht="15" hidden="1" customHeight="1">
      <c r="A3927" s="79">
        <v>46183</v>
      </c>
      <c r="B3927" t="s">
        <v>313</v>
      </c>
      <c r="C3927">
        <v>21615</v>
      </c>
      <c r="E3927" t="s">
        <v>316</v>
      </c>
    </row>
    <row r="3928" spans="1:7" ht="15" hidden="1" customHeight="1">
      <c r="A3928" s="79">
        <v>46183</v>
      </c>
      <c r="B3928" t="s">
        <v>745</v>
      </c>
      <c r="C3928">
        <v>653</v>
      </c>
      <c r="E3928" t="s">
        <v>316</v>
      </c>
    </row>
    <row r="3929" spans="1:7" ht="15" hidden="1" customHeight="1">
      <c r="A3929" s="79">
        <v>46183</v>
      </c>
      <c r="B3929" t="s">
        <v>360</v>
      </c>
      <c r="C3929">
        <v>7168</v>
      </c>
      <c r="E3929" t="s">
        <v>316</v>
      </c>
    </row>
    <row r="3930" spans="1:7" ht="15" hidden="1" customHeight="1">
      <c r="A3930" s="79">
        <v>46183</v>
      </c>
      <c r="B3930" t="s">
        <v>423</v>
      </c>
      <c r="C3930">
        <v>5905</v>
      </c>
      <c r="E3930" t="s">
        <v>316</v>
      </c>
    </row>
    <row r="3931" spans="1:7" ht="15" hidden="1" customHeight="1">
      <c r="A3931" s="79">
        <v>46183</v>
      </c>
      <c r="B3931" t="s">
        <v>169</v>
      </c>
      <c r="C3931">
        <v>2336</v>
      </c>
      <c r="E3931" t="s">
        <v>316</v>
      </c>
    </row>
    <row r="3932" spans="1:7" ht="15" hidden="1" customHeight="1">
      <c r="A3932" s="79">
        <v>46191</v>
      </c>
      <c r="B3932" s="88" t="s">
        <v>333</v>
      </c>
      <c r="C3932">
        <v>7216</v>
      </c>
      <c r="E3932" t="s">
        <v>33</v>
      </c>
    </row>
    <row r="3933" spans="1:7" ht="15" hidden="1" customHeight="1">
      <c r="A3933" s="79">
        <v>46191</v>
      </c>
      <c r="B3933" s="88" t="s">
        <v>417</v>
      </c>
      <c r="C3933">
        <v>10635</v>
      </c>
      <c r="E3933" t="s">
        <v>33</v>
      </c>
    </row>
    <row r="3934" spans="1:7" ht="15" hidden="1" customHeight="1">
      <c r="A3934" s="79">
        <v>46191</v>
      </c>
      <c r="B3934" s="88" t="s">
        <v>458</v>
      </c>
      <c r="C3934">
        <v>2580</v>
      </c>
      <c r="E3934" t="s">
        <v>33</v>
      </c>
    </row>
    <row r="3935" spans="1:7" ht="15" hidden="1" customHeight="1">
      <c r="A3935" s="79">
        <v>46191</v>
      </c>
      <c r="B3935" s="88" t="s">
        <v>443</v>
      </c>
      <c r="C3935">
        <v>2316</v>
      </c>
      <c r="E3935" t="s">
        <v>33</v>
      </c>
    </row>
    <row r="3936" spans="1:7" ht="15" hidden="1" customHeight="1">
      <c r="A3936" s="79">
        <v>46191</v>
      </c>
      <c r="B3936" s="88" t="s">
        <v>411</v>
      </c>
      <c r="C3936">
        <v>4784</v>
      </c>
      <c r="E3936" t="s">
        <v>33</v>
      </c>
    </row>
    <row r="3937" spans="1:5" ht="15" hidden="1" customHeight="1">
      <c r="A3937" s="79">
        <v>46191</v>
      </c>
      <c r="B3937" s="88" t="s">
        <v>171</v>
      </c>
      <c r="C3937">
        <v>8942</v>
      </c>
      <c r="D3937">
        <v>172714</v>
      </c>
      <c r="E3937" t="s">
        <v>33</v>
      </c>
    </row>
    <row r="3938" spans="1:5" ht="15" hidden="1" customHeight="1">
      <c r="A3938" s="79">
        <v>46191</v>
      </c>
      <c r="B3938" s="88" t="s">
        <v>638</v>
      </c>
      <c r="D3938">
        <v>119726</v>
      </c>
      <c r="E3938" t="s">
        <v>33</v>
      </c>
    </row>
    <row r="3939" spans="1:5" ht="15" hidden="1" customHeight="1">
      <c r="A3939" s="79">
        <v>46191</v>
      </c>
      <c r="B3939" s="88" t="s">
        <v>411</v>
      </c>
      <c r="C3939">
        <v>4777</v>
      </c>
      <c r="E3939" t="s">
        <v>33</v>
      </c>
    </row>
    <row r="3940" spans="1:5" ht="15" hidden="1" customHeight="1">
      <c r="A3940" s="79">
        <v>46191</v>
      </c>
      <c r="B3940" s="88" t="s">
        <v>664</v>
      </c>
      <c r="C3940">
        <v>3970</v>
      </c>
      <c r="E3940" t="s">
        <v>33</v>
      </c>
    </row>
    <row r="3941" spans="1:5" ht="15" hidden="1" customHeight="1">
      <c r="A3941" s="79">
        <v>46191</v>
      </c>
      <c r="B3941" s="88" t="s">
        <v>443</v>
      </c>
      <c r="C3941">
        <v>2311</v>
      </c>
      <c r="E3941" t="s">
        <v>33</v>
      </c>
    </row>
    <row r="3942" spans="1:5" ht="15" hidden="1" customHeight="1">
      <c r="A3942" s="79">
        <v>46191</v>
      </c>
      <c r="B3942" s="88" t="s">
        <v>399</v>
      </c>
      <c r="C3942">
        <v>8815</v>
      </c>
      <c r="E3942" t="s">
        <v>33</v>
      </c>
    </row>
    <row r="3943" spans="1:5" ht="15" hidden="1" customHeight="1">
      <c r="A3943" s="79">
        <v>46191</v>
      </c>
      <c r="B3943" s="88" t="s">
        <v>417</v>
      </c>
      <c r="C3943">
        <v>10631</v>
      </c>
      <c r="E3943" t="s">
        <v>33</v>
      </c>
    </row>
    <row r="3944" spans="1:5" ht="15" hidden="1" customHeight="1">
      <c r="A3944" s="79">
        <v>46191</v>
      </c>
      <c r="B3944" s="88" t="s">
        <v>569</v>
      </c>
      <c r="D3944">
        <v>413622</v>
      </c>
      <c r="E3944" t="s">
        <v>33</v>
      </c>
    </row>
    <row r="3945" spans="1:5" ht="15" hidden="1" customHeight="1">
      <c r="A3945" s="79">
        <v>46192</v>
      </c>
      <c r="B3945" s="88" t="s">
        <v>443</v>
      </c>
      <c r="C3945">
        <v>2321</v>
      </c>
      <c r="E3945" t="s">
        <v>33</v>
      </c>
    </row>
    <row r="3946" spans="1:5" ht="15" hidden="1" customHeight="1">
      <c r="A3946" s="79">
        <v>46192</v>
      </c>
      <c r="B3946" s="88" t="s">
        <v>411</v>
      </c>
      <c r="C3946">
        <v>4788</v>
      </c>
      <c r="D3946">
        <v>118589</v>
      </c>
      <c r="E3946" t="s">
        <v>33</v>
      </c>
    </row>
    <row r="3947" spans="1:5" ht="15" hidden="1" customHeight="1">
      <c r="A3947" s="79">
        <v>46192</v>
      </c>
      <c r="B3947" s="88" t="s">
        <v>171</v>
      </c>
      <c r="C3947">
        <v>8943</v>
      </c>
      <c r="D3947">
        <v>23853</v>
      </c>
      <c r="E3947" t="s">
        <v>33</v>
      </c>
    </row>
    <row r="3948" spans="1:5" ht="15" hidden="1" customHeight="1">
      <c r="A3948" s="79">
        <v>46192</v>
      </c>
      <c r="B3948" s="88" t="s">
        <v>333</v>
      </c>
      <c r="C3948">
        <v>7218</v>
      </c>
      <c r="E3948" t="s">
        <v>33</v>
      </c>
    </row>
    <row r="3949" spans="1:5" ht="15" hidden="1" customHeight="1">
      <c r="A3949" s="79">
        <v>46192</v>
      </c>
      <c r="B3949" s="88" t="s">
        <v>458</v>
      </c>
      <c r="C3949">
        <v>2584</v>
      </c>
      <c r="E3949" t="s">
        <v>33</v>
      </c>
    </row>
    <row r="3950" spans="1:5" ht="15" hidden="1" customHeight="1">
      <c r="A3950" s="79">
        <v>46192</v>
      </c>
      <c r="B3950" s="88" t="s">
        <v>458</v>
      </c>
      <c r="C3950">
        <v>2583</v>
      </c>
      <c r="D3950">
        <v>53059</v>
      </c>
      <c r="E3950" t="s">
        <v>33</v>
      </c>
    </row>
    <row r="3951" spans="1:5" ht="15" hidden="1" customHeight="1">
      <c r="A3951" s="71"/>
    </row>
    <row r="3952" spans="1:5" ht="15" hidden="1" customHeight="1">
      <c r="A3952" s="79">
        <v>46192</v>
      </c>
      <c r="B3952" s="88" t="s">
        <v>141</v>
      </c>
      <c r="C3952">
        <v>2033</v>
      </c>
      <c r="D3952">
        <v>83967</v>
      </c>
      <c r="E3952" t="s">
        <v>33</v>
      </c>
    </row>
    <row r="3953" spans="1:5" ht="15" hidden="1" customHeight="1">
      <c r="A3953" s="79">
        <v>46192</v>
      </c>
      <c r="B3953" s="88" t="s">
        <v>138</v>
      </c>
      <c r="D3953">
        <v>78355</v>
      </c>
      <c r="E3953" t="s">
        <v>33</v>
      </c>
    </row>
    <row r="3954" spans="1:5" ht="15" hidden="1" customHeight="1">
      <c r="A3954" s="79">
        <v>46192</v>
      </c>
      <c r="B3954" s="88" t="s">
        <v>639</v>
      </c>
      <c r="E3954" t="s">
        <v>33</v>
      </c>
    </row>
    <row r="3955" spans="1:5" ht="15" hidden="1" customHeight="1">
      <c r="A3955" s="79">
        <v>46192</v>
      </c>
      <c r="B3955" s="88" t="s">
        <v>554</v>
      </c>
      <c r="E3955" t="s">
        <v>33</v>
      </c>
    </row>
    <row r="3956" spans="1:5" ht="15" hidden="1" customHeight="1">
      <c r="A3956" s="79">
        <v>46195</v>
      </c>
      <c r="B3956" s="88" t="s">
        <v>443</v>
      </c>
      <c r="C3956">
        <v>2326</v>
      </c>
      <c r="D3956">
        <v>39202</v>
      </c>
      <c r="E3956" t="s">
        <v>33</v>
      </c>
    </row>
    <row r="3957" spans="1:5" ht="15" hidden="1" customHeight="1">
      <c r="A3957" s="79">
        <v>46195</v>
      </c>
      <c r="B3957" s="88" t="s">
        <v>411</v>
      </c>
      <c r="C3957">
        <v>4795</v>
      </c>
      <c r="D3957">
        <v>104051</v>
      </c>
      <c r="E3957" t="s">
        <v>33</v>
      </c>
    </row>
    <row r="3958" spans="1:5" ht="15" hidden="1" customHeight="1">
      <c r="A3958" s="79">
        <v>46195</v>
      </c>
      <c r="B3958" s="88" t="s">
        <v>171</v>
      </c>
      <c r="C3958">
        <v>8945</v>
      </c>
      <c r="D3958">
        <v>24220</v>
      </c>
      <c r="E3958" t="s">
        <v>33</v>
      </c>
    </row>
    <row r="3959" spans="1:5" ht="15" hidden="1" customHeight="1">
      <c r="A3959" s="71">
        <v>46196</v>
      </c>
      <c r="B3959" s="88" t="s">
        <v>136</v>
      </c>
      <c r="D3959">
        <v>307050</v>
      </c>
      <c r="E3959" t="s">
        <v>33</v>
      </c>
    </row>
    <row r="3960" spans="1:5" ht="15" hidden="1" customHeight="1">
      <c r="A3960" s="79">
        <v>46195</v>
      </c>
      <c r="B3960" s="88" t="s">
        <v>268</v>
      </c>
      <c r="C3960">
        <v>10268</v>
      </c>
      <c r="E3960" t="s">
        <v>33</v>
      </c>
    </row>
    <row r="3961" spans="1:5" ht="15" hidden="1" customHeight="1">
      <c r="A3961" s="79">
        <v>46195</v>
      </c>
      <c r="B3961" s="88" t="s">
        <v>458</v>
      </c>
      <c r="C3961">
        <v>2587</v>
      </c>
      <c r="E3961" t="s">
        <v>33</v>
      </c>
    </row>
    <row r="3962" spans="1:5" ht="15" hidden="1" customHeight="1">
      <c r="A3962" s="79">
        <v>46195</v>
      </c>
      <c r="B3962" s="88" t="s">
        <v>411</v>
      </c>
      <c r="C3962">
        <v>4790</v>
      </c>
      <c r="D3962">
        <v>172785</v>
      </c>
      <c r="E3962" t="s">
        <v>33</v>
      </c>
    </row>
    <row r="3963" spans="1:5" ht="15" hidden="1" customHeight="1">
      <c r="A3963" s="79">
        <v>46195</v>
      </c>
      <c r="B3963" s="88" t="s">
        <v>143</v>
      </c>
      <c r="E3963" t="s">
        <v>33</v>
      </c>
    </row>
    <row r="3964" spans="1:5" ht="15" hidden="1" customHeight="1">
      <c r="A3964" s="79">
        <v>46196</v>
      </c>
      <c r="B3964" s="88" t="s">
        <v>443</v>
      </c>
      <c r="C3964">
        <v>2332</v>
      </c>
      <c r="E3964" t="s">
        <v>33</v>
      </c>
    </row>
    <row r="3965" spans="1:5" ht="15" hidden="1" customHeight="1">
      <c r="A3965" s="79">
        <v>46196</v>
      </c>
      <c r="B3965" s="88" t="s">
        <v>411</v>
      </c>
      <c r="C3965">
        <v>4803</v>
      </c>
      <c r="E3965" t="s">
        <v>33</v>
      </c>
    </row>
    <row r="3966" spans="1:5" ht="15" hidden="1" customHeight="1">
      <c r="A3966" s="79">
        <v>46196</v>
      </c>
      <c r="B3966" s="88" t="s">
        <v>171</v>
      </c>
      <c r="C3966">
        <v>8946</v>
      </c>
      <c r="D3966">
        <v>120391</v>
      </c>
      <c r="E3966" t="s">
        <v>33</v>
      </c>
    </row>
    <row r="3967" spans="1:5" ht="15" hidden="1" customHeight="1">
      <c r="A3967" s="79">
        <v>46196</v>
      </c>
      <c r="B3967" s="88" t="s">
        <v>268</v>
      </c>
      <c r="C3967">
        <v>10273</v>
      </c>
      <c r="D3967">
        <v>811297</v>
      </c>
      <c r="E3967" t="s">
        <v>33</v>
      </c>
    </row>
    <row r="3968" spans="1:5" ht="15" hidden="1" customHeight="1">
      <c r="A3968" s="79">
        <v>46196</v>
      </c>
      <c r="B3968" s="88" t="s">
        <v>417</v>
      </c>
      <c r="C3968">
        <v>10640</v>
      </c>
      <c r="E3968" t="s">
        <v>33</v>
      </c>
    </row>
    <row r="3969" spans="1:5" ht="15" hidden="1" customHeight="1">
      <c r="A3969" s="79">
        <v>46196</v>
      </c>
      <c r="B3969" s="88" t="s">
        <v>554</v>
      </c>
      <c r="E3969" t="s">
        <v>33</v>
      </c>
    </row>
    <row r="3970" spans="1:5" ht="15" hidden="1" customHeight="1">
      <c r="A3970" s="79">
        <v>46196</v>
      </c>
      <c r="B3970" s="88" t="s">
        <v>443</v>
      </c>
      <c r="C3970">
        <v>2325</v>
      </c>
      <c r="D3970">
        <v>33613</v>
      </c>
      <c r="E3970" t="s">
        <v>33</v>
      </c>
    </row>
    <row r="3971" spans="1:5" ht="15" hidden="1" customHeight="1">
      <c r="A3971" s="79">
        <v>46196</v>
      </c>
      <c r="B3971" s="88" t="s">
        <v>333</v>
      </c>
      <c r="C3971">
        <v>7219</v>
      </c>
      <c r="D3971">
        <v>307050</v>
      </c>
      <c r="E3971" t="s">
        <v>33</v>
      </c>
    </row>
    <row r="3972" spans="1:5" ht="15" hidden="1" customHeight="1">
      <c r="A3972" s="79">
        <v>46196</v>
      </c>
      <c r="B3972" s="88" t="s">
        <v>171</v>
      </c>
      <c r="C3972">
        <v>8946</v>
      </c>
      <c r="D3972">
        <v>413972</v>
      </c>
      <c r="E3972" t="s">
        <v>33</v>
      </c>
    </row>
    <row r="3973" spans="1:5" ht="15" hidden="1" customHeight="1">
      <c r="A3973" s="79">
        <v>46197</v>
      </c>
      <c r="B3973" s="88" t="s">
        <v>411</v>
      </c>
      <c r="C3973">
        <v>4809</v>
      </c>
      <c r="E3973" t="s">
        <v>33</v>
      </c>
    </row>
    <row r="3974" spans="1:5" ht="15" hidden="1" customHeight="1">
      <c r="A3974" s="79">
        <v>46197</v>
      </c>
      <c r="B3974" s="88" t="s">
        <v>171</v>
      </c>
      <c r="C3974">
        <v>8950</v>
      </c>
      <c r="E3974" t="s">
        <v>33</v>
      </c>
    </row>
    <row r="3975" spans="1:5" ht="15" hidden="1" customHeight="1">
      <c r="A3975" s="79">
        <v>46197</v>
      </c>
      <c r="B3975" s="88" t="s">
        <v>268</v>
      </c>
      <c r="C3975">
        <v>10278</v>
      </c>
      <c r="D3975">
        <v>172791</v>
      </c>
      <c r="E3975" t="s">
        <v>33</v>
      </c>
    </row>
    <row r="3976" spans="1:5" ht="15" hidden="1" customHeight="1">
      <c r="A3976" s="79">
        <v>46197</v>
      </c>
      <c r="B3976" s="88" t="s">
        <v>411</v>
      </c>
      <c r="C3976">
        <v>4803</v>
      </c>
      <c r="E3976" t="s">
        <v>33</v>
      </c>
    </row>
    <row r="3977" spans="1:5" ht="15" hidden="1" customHeight="1">
      <c r="A3977" s="79">
        <v>46197</v>
      </c>
      <c r="B3977" s="88" t="s">
        <v>628</v>
      </c>
      <c r="D3977">
        <v>132860</v>
      </c>
      <c r="E3977" t="s">
        <v>33</v>
      </c>
    </row>
    <row r="3978" spans="1:5" ht="15" hidden="1" customHeight="1">
      <c r="A3978" s="79">
        <v>46197</v>
      </c>
      <c r="B3978" s="88" t="s">
        <v>443</v>
      </c>
      <c r="C3978">
        <v>2333</v>
      </c>
      <c r="E3978" t="s">
        <v>33</v>
      </c>
    </row>
    <row r="3979" spans="1:5" ht="15" hidden="1" customHeight="1">
      <c r="A3979" s="79">
        <v>46197</v>
      </c>
      <c r="B3979" s="88" t="s">
        <v>417</v>
      </c>
      <c r="C3979">
        <v>10634</v>
      </c>
      <c r="D3979">
        <v>54291</v>
      </c>
      <c r="E3979" t="s">
        <v>33</v>
      </c>
    </row>
    <row r="3980" spans="1:5" ht="15" hidden="1" customHeight="1">
      <c r="A3980" s="79">
        <v>46197</v>
      </c>
      <c r="B3980" s="88" t="s">
        <v>664</v>
      </c>
      <c r="C3980">
        <v>3970</v>
      </c>
      <c r="E3980" t="s">
        <v>33</v>
      </c>
    </row>
    <row r="3981" spans="1:5" ht="15" hidden="1" customHeight="1">
      <c r="A3981" s="79">
        <v>46197</v>
      </c>
      <c r="B3981" s="88" t="s">
        <v>268</v>
      </c>
      <c r="C3981">
        <v>10274</v>
      </c>
      <c r="E3981" t="s">
        <v>33</v>
      </c>
    </row>
    <row r="3982" spans="1:5" ht="15" hidden="1" customHeight="1">
      <c r="A3982" s="79">
        <v>46198</v>
      </c>
      <c r="B3982" s="88" t="s">
        <v>411</v>
      </c>
      <c r="C3982">
        <v>4816</v>
      </c>
      <c r="E3982" t="s">
        <v>33</v>
      </c>
    </row>
    <row r="3983" spans="1:5" ht="15" hidden="1" customHeight="1">
      <c r="A3983" s="79">
        <v>46198</v>
      </c>
      <c r="B3983" s="88" t="s">
        <v>171</v>
      </c>
      <c r="C3983">
        <v>8957</v>
      </c>
      <c r="E3983" t="s">
        <v>33</v>
      </c>
    </row>
    <row r="3984" spans="1:5" ht="15" hidden="1" customHeight="1">
      <c r="A3984" s="79">
        <v>46161</v>
      </c>
      <c r="B3984" t="s">
        <v>464</v>
      </c>
      <c r="D3984">
        <v>116347</v>
      </c>
    </row>
    <row r="3985" spans="1:4" ht="15" hidden="1" customHeight="1">
      <c r="A3985" s="79">
        <v>46147</v>
      </c>
      <c r="B3985" t="s">
        <v>576</v>
      </c>
      <c r="D3985">
        <v>169260</v>
      </c>
    </row>
    <row r="3986" spans="1:4" ht="15" hidden="1" customHeight="1">
      <c r="A3986" s="79">
        <v>46178</v>
      </c>
      <c r="B3986" t="s">
        <v>538</v>
      </c>
      <c r="D3986">
        <v>98990</v>
      </c>
    </row>
    <row r="3987" spans="1:4" ht="15" hidden="1" customHeight="1">
      <c r="A3987" s="79">
        <v>46174</v>
      </c>
      <c r="B3987" t="s">
        <v>643</v>
      </c>
      <c r="D3987">
        <v>139746</v>
      </c>
    </row>
    <row r="3988" spans="1:4" ht="15" hidden="1" customHeight="1">
      <c r="A3988" s="79">
        <v>46077</v>
      </c>
      <c r="B3988" t="s">
        <v>504</v>
      </c>
      <c r="D3988">
        <v>90248</v>
      </c>
    </row>
    <row r="3989" spans="1:4" ht="15" hidden="1" customHeight="1">
      <c r="A3989" s="79">
        <v>46121</v>
      </c>
      <c r="B3989" t="s">
        <v>504</v>
      </c>
      <c r="D3989" s="86">
        <v>104090</v>
      </c>
    </row>
    <row r="3990" spans="1:4" ht="15" hidden="1" customHeight="1">
      <c r="A3990" s="79">
        <v>46071</v>
      </c>
      <c r="B3990" t="s">
        <v>498</v>
      </c>
      <c r="D3990">
        <v>107335</v>
      </c>
    </row>
    <row r="3991" spans="1:4" ht="15" hidden="1" customHeight="1">
      <c r="A3991" s="79">
        <v>46126</v>
      </c>
      <c r="B3991" t="s">
        <v>498</v>
      </c>
      <c r="D3991">
        <v>117843</v>
      </c>
    </row>
    <row r="3992" spans="1:4" ht="15" hidden="1" customHeight="1">
      <c r="A3992" s="79">
        <v>46182</v>
      </c>
      <c r="B3992" t="s">
        <v>498</v>
      </c>
      <c r="D3992">
        <v>128642</v>
      </c>
    </row>
    <row r="3993" spans="1:4" ht="15" hidden="1" customHeight="1">
      <c r="A3993" s="79">
        <v>46118</v>
      </c>
      <c r="B3993" t="s">
        <v>489</v>
      </c>
      <c r="D3993">
        <v>90200</v>
      </c>
    </row>
    <row r="3994" spans="1:4" ht="15" customHeight="1">
      <c r="A3994" s="71"/>
    </row>
    <row r="3995" spans="1:4" ht="15" customHeight="1">
      <c r="A3995" s="71"/>
    </row>
    <row r="3996" spans="1:4" ht="15" customHeight="1">
      <c r="A3996" s="71"/>
    </row>
    <row r="3997" spans="1:4" ht="15" customHeight="1">
      <c r="A3997" s="71"/>
    </row>
    <row r="3998" spans="1:4" ht="15" customHeight="1">
      <c r="A3998" s="71"/>
    </row>
    <row r="3999" spans="1:4" ht="15" customHeight="1">
      <c r="A3999" s="71"/>
    </row>
    <row r="4000" spans="1:4" ht="15" customHeight="1">
      <c r="A4000" s="71"/>
    </row>
    <row r="4001" spans="1:1" ht="15" customHeight="1">
      <c r="A4001" s="71"/>
    </row>
    <row r="4002" spans="1:1" ht="15" customHeight="1">
      <c r="A4002" s="71"/>
    </row>
    <row r="4003" spans="1:1" ht="15" customHeight="1">
      <c r="A4003" s="71"/>
    </row>
    <row r="4004" spans="1:1" ht="15" customHeight="1">
      <c r="A4004" s="71"/>
    </row>
    <row r="4005" spans="1:1" ht="15" customHeight="1">
      <c r="A4005" s="71"/>
    </row>
    <row r="4006" spans="1:1" ht="15" customHeight="1">
      <c r="A4006" s="71"/>
    </row>
    <row r="4007" spans="1:1" ht="15" customHeight="1">
      <c r="A4007" s="71"/>
    </row>
    <row r="4008" spans="1:1" ht="15" customHeight="1">
      <c r="A4008" s="71"/>
    </row>
    <row r="4009" spans="1:1" ht="15" customHeight="1">
      <c r="A4009" s="71"/>
    </row>
    <row r="4010" spans="1:1" ht="15" customHeight="1">
      <c r="A4010" s="71"/>
    </row>
    <row r="4011" spans="1:1" ht="15" customHeight="1">
      <c r="A4011" s="71"/>
    </row>
    <row r="4012" spans="1:1" ht="15" customHeight="1">
      <c r="A4012" s="71"/>
    </row>
    <row r="4013" spans="1:1" ht="15" customHeight="1">
      <c r="A4013" s="71"/>
    </row>
    <row r="4014" spans="1:1" ht="15" customHeight="1">
      <c r="A4014" s="71"/>
    </row>
    <row r="4015" spans="1:1" ht="15" customHeight="1">
      <c r="A4015" s="71"/>
    </row>
    <row r="4016" spans="1:1" ht="15" customHeight="1">
      <c r="A4016" s="71"/>
    </row>
    <row r="4017" spans="1:1" ht="15" customHeight="1">
      <c r="A4017" s="71"/>
    </row>
    <row r="4018" spans="1:1" ht="15" customHeight="1">
      <c r="A4018" s="71"/>
    </row>
    <row r="4019" spans="1:1" ht="15" customHeight="1">
      <c r="A4019" s="71"/>
    </row>
    <row r="4020" spans="1:1" ht="15" customHeight="1">
      <c r="A4020" s="71"/>
    </row>
    <row r="4021" spans="1:1" ht="15" customHeight="1">
      <c r="A4021" s="71"/>
    </row>
    <row r="4022" spans="1:1" ht="15" customHeight="1">
      <c r="A4022" s="71"/>
    </row>
    <row r="4023" spans="1:1" ht="15" customHeight="1">
      <c r="A4023" s="71"/>
    </row>
    <row r="4024" spans="1:1" ht="15" customHeight="1">
      <c r="A4024" s="71"/>
    </row>
    <row r="4025" spans="1:1" ht="15" customHeight="1">
      <c r="A4025" s="71"/>
    </row>
    <row r="4026" spans="1:1" ht="15" customHeight="1">
      <c r="A4026" s="71"/>
    </row>
    <row r="4027" spans="1:1" ht="15" customHeight="1">
      <c r="A4027" s="71"/>
    </row>
    <row r="4028" spans="1:1" ht="15" customHeight="1">
      <c r="A4028" s="71"/>
    </row>
    <row r="4029" spans="1:1" ht="15" customHeight="1">
      <c r="A4029" s="71"/>
    </row>
    <row r="4030" spans="1:1" ht="15" customHeight="1">
      <c r="A4030" s="71"/>
    </row>
    <row r="4031" spans="1:1" ht="15" customHeight="1">
      <c r="A4031" s="71"/>
    </row>
    <row r="4032" spans="1:1" ht="15" customHeight="1">
      <c r="A4032" s="71"/>
    </row>
    <row r="4033" spans="1:1" ht="15" customHeight="1">
      <c r="A4033" s="71"/>
    </row>
    <row r="4034" spans="1:1" ht="15" customHeight="1">
      <c r="A4034" s="71"/>
    </row>
    <row r="4035" spans="1:1" ht="15" customHeight="1">
      <c r="A4035" s="71"/>
    </row>
    <row r="4036" spans="1:1" ht="15" customHeight="1">
      <c r="A4036" s="71"/>
    </row>
    <row r="4037" spans="1:1" ht="15" customHeight="1">
      <c r="A4037" s="71"/>
    </row>
    <row r="4038" spans="1:1" ht="15" customHeight="1">
      <c r="A4038" s="71"/>
    </row>
    <row r="4039" spans="1:1" ht="15" customHeight="1">
      <c r="A4039" s="71"/>
    </row>
    <row r="4040" spans="1:1" ht="15" customHeight="1">
      <c r="A4040" s="71"/>
    </row>
    <row r="4041" spans="1:1" ht="15" customHeight="1">
      <c r="A4041" s="71"/>
    </row>
    <row r="4042" spans="1:1" ht="15" customHeight="1">
      <c r="A4042" s="71"/>
    </row>
    <row r="4043" spans="1:1" ht="15" customHeight="1">
      <c r="A4043" s="71"/>
    </row>
    <row r="4044" spans="1:1" ht="15" customHeight="1">
      <c r="A4044" s="71"/>
    </row>
    <row r="4045" spans="1:1" ht="15" customHeight="1">
      <c r="A4045" s="71"/>
    </row>
    <row r="4046" spans="1:1" ht="15" customHeight="1">
      <c r="A4046" s="71"/>
    </row>
    <row r="4047" spans="1:1" ht="15" customHeight="1">
      <c r="A4047" s="71"/>
    </row>
    <row r="4048" spans="1:1" ht="15" customHeight="1">
      <c r="A4048" s="71"/>
    </row>
    <row r="4049" spans="1:1" ht="15" customHeight="1">
      <c r="A4049" s="71"/>
    </row>
    <row r="4050" spans="1:1" ht="15" customHeight="1">
      <c r="A4050" s="71"/>
    </row>
    <row r="4051" spans="1:1" ht="15" customHeight="1">
      <c r="A4051" s="71"/>
    </row>
    <row r="4052" spans="1:1" ht="15" customHeight="1">
      <c r="A4052" s="71"/>
    </row>
    <row r="4053" spans="1:1" ht="15" customHeight="1">
      <c r="A4053" s="71"/>
    </row>
    <row r="4054" spans="1:1" ht="15" customHeight="1">
      <c r="A4054" s="71"/>
    </row>
    <row r="4055" spans="1:1" ht="15" customHeight="1">
      <c r="A4055" s="71"/>
    </row>
    <row r="4056" spans="1:1" ht="15" customHeight="1">
      <c r="A4056" s="71"/>
    </row>
    <row r="4057" spans="1:1" ht="15" customHeight="1">
      <c r="A4057" s="71"/>
    </row>
    <row r="4058" spans="1:1" ht="15" customHeight="1">
      <c r="A4058" s="71"/>
    </row>
    <row r="4059" spans="1:1" ht="15" customHeight="1">
      <c r="A4059" s="71"/>
    </row>
    <row r="4060" spans="1:1" ht="15" customHeight="1">
      <c r="A4060" s="71"/>
    </row>
    <row r="4061" spans="1:1" ht="15" customHeight="1">
      <c r="A4061" s="71"/>
    </row>
    <row r="4062" spans="1:1" ht="15" customHeight="1">
      <c r="A4062" s="71"/>
    </row>
    <row r="4063" spans="1:1" ht="15" customHeight="1">
      <c r="A4063" s="71"/>
    </row>
    <row r="4064" spans="1:1" ht="15" customHeight="1">
      <c r="A4064" s="71"/>
    </row>
    <row r="4065" spans="1:1" ht="15" customHeight="1">
      <c r="A4065" s="71"/>
    </row>
    <row r="4066" spans="1:1" ht="15" customHeight="1">
      <c r="A4066" s="71"/>
    </row>
    <row r="4067" spans="1:1" ht="15" customHeight="1">
      <c r="A4067" s="71"/>
    </row>
    <row r="4068" spans="1:1" ht="15" customHeight="1">
      <c r="A4068" s="71"/>
    </row>
    <row r="4069" spans="1:1" ht="15" customHeight="1">
      <c r="A4069" s="71"/>
    </row>
    <row r="4070" spans="1:1" ht="15" customHeight="1">
      <c r="A4070" s="71"/>
    </row>
    <row r="4071" spans="1:1" ht="15" customHeight="1">
      <c r="A4071" s="71"/>
    </row>
    <row r="4072" spans="1:1" ht="15" customHeight="1">
      <c r="A4072" s="71"/>
    </row>
    <row r="4073" spans="1:1" ht="15" customHeight="1">
      <c r="A4073" s="71"/>
    </row>
    <row r="4074" spans="1:1" ht="15" customHeight="1">
      <c r="A4074" s="71"/>
    </row>
    <row r="4075" spans="1:1" ht="15" customHeight="1">
      <c r="A4075" s="71"/>
    </row>
    <row r="4076" spans="1:1" ht="15" customHeight="1">
      <c r="A4076" s="71"/>
    </row>
    <row r="4077" spans="1:1" ht="15" customHeight="1">
      <c r="A4077" s="71"/>
    </row>
    <row r="4078" spans="1:1" ht="15" customHeight="1">
      <c r="A4078" s="71"/>
    </row>
    <row r="4079" spans="1:1" ht="15" customHeight="1">
      <c r="A4079" s="71"/>
    </row>
    <row r="4080" spans="1:1" ht="15" customHeight="1">
      <c r="A4080" s="71"/>
    </row>
    <row r="4081" spans="1:1" ht="15" customHeight="1">
      <c r="A4081" s="71"/>
    </row>
    <row r="4082" spans="1:1" ht="15" customHeight="1">
      <c r="A4082" s="71"/>
    </row>
    <row r="4083" spans="1:1" ht="15" customHeight="1">
      <c r="A4083" s="71"/>
    </row>
    <row r="4084" spans="1:1" ht="15" customHeight="1">
      <c r="A4084" s="71"/>
    </row>
    <row r="4085" spans="1:1" ht="15" customHeight="1">
      <c r="A4085" s="71"/>
    </row>
    <row r="4086" spans="1:1" ht="15" customHeight="1">
      <c r="A4086" s="71"/>
    </row>
    <row r="4087" spans="1:1" ht="15" customHeight="1">
      <c r="A4087" s="71"/>
    </row>
    <row r="4088" spans="1:1" ht="15" customHeight="1">
      <c r="A4088" s="71"/>
    </row>
    <row r="4089" spans="1:1" ht="15" customHeight="1">
      <c r="A4089" s="71"/>
    </row>
    <row r="4090" spans="1:1" ht="15" customHeight="1">
      <c r="A4090" s="71"/>
    </row>
    <row r="4091" spans="1:1" ht="15" customHeight="1">
      <c r="A4091" s="71"/>
    </row>
    <row r="4092" spans="1:1" ht="15" customHeight="1">
      <c r="A4092" s="71"/>
    </row>
    <row r="4093" spans="1:1" ht="15" customHeight="1">
      <c r="A4093" s="71"/>
    </row>
    <row r="4094" spans="1:1" ht="15" customHeight="1">
      <c r="A4094" s="71"/>
    </row>
    <row r="4095" spans="1:1" ht="15" customHeight="1">
      <c r="A4095" s="71"/>
    </row>
    <row r="4096" spans="1:1" ht="15" customHeight="1">
      <c r="A4096" s="71"/>
    </row>
    <row r="4097" spans="1:1" ht="15" customHeight="1">
      <c r="A4097" s="71"/>
    </row>
    <row r="4098" spans="1:1" ht="15" customHeight="1">
      <c r="A4098" s="71"/>
    </row>
    <row r="4099" spans="1:1" ht="15" customHeight="1">
      <c r="A4099" s="71"/>
    </row>
    <row r="4100" spans="1:1" ht="15" customHeight="1">
      <c r="A4100" s="71"/>
    </row>
    <row r="4101" spans="1:1" ht="15" customHeight="1">
      <c r="A4101" s="71"/>
    </row>
    <row r="4102" spans="1:1" ht="15" customHeight="1">
      <c r="A4102" s="71"/>
    </row>
    <row r="4103" spans="1:1" ht="15" customHeight="1">
      <c r="A4103" s="71"/>
    </row>
    <row r="4104" spans="1:1" ht="15" customHeight="1">
      <c r="A4104" s="71"/>
    </row>
  </sheetData>
  <mergeCells count="1">
    <mergeCell ref="A1:G1"/>
  </mergeCell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J709"/>
  <sheetViews>
    <sheetView zoomScaleNormal="100" workbookViewId="0">
      <pane ySplit="3" topLeftCell="A186" activePane="bottomLeft" state="frozen"/>
      <selection pane="bottomLeft" activeCell="J707" sqref="J707"/>
      <selection activeCell="A287" sqref="A287:XFD287"/>
    </sheetView>
  </sheetViews>
  <sheetFormatPr defaultColWidth="9.140625" defaultRowHeight="15" customHeight="1"/>
  <cols>
    <col min="1" max="2" width="12" customWidth="1"/>
    <col min="3" max="3" width="22.85546875" customWidth="1"/>
    <col min="4" max="4" width="12" style="3" customWidth="1"/>
    <col min="5" max="5" width="10.28515625" customWidth="1"/>
    <col min="6" max="6" width="10" style="3" customWidth="1"/>
    <col min="7" max="7" width="13" bestFit="1" customWidth="1"/>
    <col min="8" max="8" width="32.140625" customWidth="1"/>
    <col min="9" max="9" width="25.42578125" style="9" customWidth="1"/>
    <col min="10" max="10" width="12" customWidth="1"/>
  </cols>
  <sheetData>
    <row r="3" spans="1:10">
      <c r="A3" s="1" t="s">
        <v>669</v>
      </c>
      <c r="B3" s="1" t="s">
        <v>1</v>
      </c>
      <c r="C3" s="1" t="s">
        <v>746</v>
      </c>
      <c r="D3" s="80" t="s">
        <v>747</v>
      </c>
      <c r="E3" s="1" t="s">
        <v>748</v>
      </c>
      <c r="F3" s="80" t="s">
        <v>749</v>
      </c>
      <c r="G3" s="1" t="s">
        <v>750</v>
      </c>
      <c r="H3" s="1" t="s">
        <v>751</v>
      </c>
      <c r="I3" s="10" t="s">
        <v>752</v>
      </c>
      <c r="J3" s="1" t="s">
        <v>753</v>
      </c>
    </row>
    <row r="4" spans="1:10" hidden="1">
      <c r="A4" s="71">
        <v>45967</v>
      </c>
      <c r="B4" t="s">
        <v>365</v>
      </c>
      <c r="C4" t="s">
        <v>754</v>
      </c>
      <c r="D4" s="3">
        <v>13469</v>
      </c>
      <c r="E4" t="s">
        <v>755</v>
      </c>
      <c r="F4" s="3">
        <v>15910</v>
      </c>
      <c r="J4" t="s">
        <v>756</v>
      </c>
    </row>
    <row r="5" spans="1:10" hidden="1">
      <c r="A5" s="71">
        <v>45954</v>
      </c>
      <c r="B5" t="s">
        <v>420</v>
      </c>
      <c r="C5" t="s">
        <v>754</v>
      </c>
      <c r="D5" s="3">
        <v>7636</v>
      </c>
      <c r="E5" t="s">
        <v>755</v>
      </c>
      <c r="F5" s="3">
        <v>15906</v>
      </c>
      <c r="J5" t="s">
        <v>756</v>
      </c>
    </row>
    <row r="6" spans="1:10" hidden="1">
      <c r="A6" s="71">
        <v>45967</v>
      </c>
      <c r="B6" t="s">
        <v>385</v>
      </c>
      <c r="C6" t="s">
        <v>754</v>
      </c>
      <c r="D6" s="3">
        <v>3240</v>
      </c>
      <c r="E6" t="s">
        <v>755</v>
      </c>
      <c r="F6" s="3">
        <v>15908</v>
      </c>
      <c r="J6" t="s">
        <v>756</v>
      </c>
    </row>
    <row r="7" spans="1:10" hidden="1">
      <c r="A7" s="71">
        <v>46042</v>
      </c>
      <c r="B7" t="s">
        <v>420</v>
      </c>
      <c r="C7" t="s">
        <v>754</v>
      </c>
      <c r="D7" s="3">
        <v>8046</v>
      </c>
      <c r="E7" t="s">
        <v>755</v>
      </c>
      <c r="J7" t="s">
        <v>756</v>
      </c>
    </row>
    <row r="8" spans="1:10" hidden="1">
      <c r="A8" s="71">
        <v>45972</v>
      </c>
      <c r="B8" t="s">
        <v>169</v>
      </c>
      <c r="C8" t="s">
        <v>754</v>
      </c>
      <c r="D8" s="3">
        <v>1453</v>
      </c>
      <c r="E8" t="s">
        <v>755</v>
      </c>
      <c r="F8" s="3">
        <v>15913</v>
      </c>
      <c r="J8" t="s">
        <v>756</v>
      </c>
    </row>
    <row r="9" spans="1:10" hidden="1">
      <c r="A9" s="71">
        <v>45980</v>
      </c>
      <c r="B9" t="s">
        <v>19</v>
      </c>
      <c r="C9" t="s">
        <v>754</v>
      </c>
      <c r="D9" s="3">
        <v>9695</v>
      </c>
      <c r="E9" t="s">
        <v>755</v>
      </c>
      <c r="F9" s="3">
        <v>15914</v>
      </c>
      <c r="J9" t="s">
        <v>756</v>
      </c>
    </row>
    <row r="10" spans="1:10" hidden="1">
      <c r="A10" s="71">
        <v>45982</v>
      </c>
      <c r="B10" t="s">
        <v>449</v>
      </c>
      <c r="C10" t="s">
        <v>754</v>
      </c>
      <c r="D10" s="3">
        <v>1413</v>
      </c>
      <c r="E10" t="s">
        <v>755</v>
      </c>
      <c r="F10" s="3">
        <v>15178</v>
      </c>
      <c r="J10" t="s">
        <v>756</v>
      </c>
    </row>
    <row r="11" spans="1:10" hidden="1">
      <c r="A11" s="71">
        <v>45985</v>
      </c>
      <c r="B11" t="s">
        <v>433</v>
      </c>
      <c r="C11" t="s">
        <v>754</v>
      </c>
      <c r="D11" s="3">
        <v>6327</v>
      </c>
      <c r="E11" t="s">
        <v>755</v>
      </c>
      <c r="F11" s="3">
        <v>15179</v>
      </c>
      <c r="J11" t="s">
        <v>756</v>
      </c>
    </row>
    <row r="12" spans="1:10" hidden="1">
      <c r="A12" s="71">
        <v>45993</v>
      </c>
      <c r="B12" t="s">
        <v>273</v>
      </c>
      <c r="C12" t="s">
        <v>754</v>
      </c>
      <c r="D12" s="3">
        <v>5321</v>
      </c>
      <c r="E12" t="s">
        <v>755</v>
      </c>
      <c r="F12" s="3">
        <v>15184</v>
      </c>
      <c r="J12" t="s">
        <v>756</v>
      </c>
    </row>
    <row r="13" spans="1:10" hidden="1">
      <c r="A13" s="71">
        <v>45995</v>
      </c>
      <c r="B13" t="s">
        <v>446</v>
      </c>
      <c r="C13" t="s">
        <v>754</v>
      </c>
      <c r="D13" s="3">
        <v>2060</v>
      </c>
      <c r="E13" t="s">
        <v>755</v>
      </c>
      <c r="F13" s="3">
        <v>15186</v>
      </c>
      <c r="J13" t="s">
        <v>756</v>
      </c>
    </row>
    <row r="14" spans="1:10" hidden="1">
      <c r="A14" s="71">
        <v>46008</v>
      </c>
      <c r="B14" t="s">
        <v>608</v>
      </c>
      <c r="C14" t="s">
        <v>757</v>
      </c>
      <c r="D14" s="3">
        <v>128090</v>
      </c>
      <c r="E14" t="s">
        <v>755</v>
      </c>
      <c r="F14" s="3" t="s">
        <v>758</v>
      </c>
      <c r="J14" t="s">
        <v>756</v>
      </c>
    </row>
    <row r="15" spans="1:10" hidden="1">
      <c r="A15" s="71">
        <v>46009</v>
      </c>
      <c r="B15" t="s">
        <v>606</v>
      </c>
      <c r="C15" t="s">
        <v>757</v>
      </c>
      <c r="D15" s="3">
        <v>128838</v>
      </c>
      <c r="E15" t="s">
        <v>755</v>
      </c>
      <c r="F15" s="3" t="s">
        <v>758</v>
      </c>
      <c r="J15" t="s">
        <v>756</v>
      </c>
    </row>
    <row r="16" spans="1:10" hidden="1">
      <c r="A16" s="71">
        <v>46014</v>
      </c>
      <c r="B16" t="s">
        <v>185</v>
      </c>
      <c r="C16" t="s">
        <v>757</v>
      </c>
      <c r="D16" s="3">
        <v>530211</v>
      </c>
      <c r="E16" t="s">
        <v>755</v>
      </c>
      <c r="F16" s="3" t="s">
        <v>758</v>
      </c>
      <c r="J16" t="s">
        <v>756</v>
      </c>
    </row>
    <row r="17" spans="1:10" hidden="1">
      <c r="A17" s="71">
        <v>46015</v>
      </c>
      <c r="B17" t="s">
        <v>152</v>
      </c>
      <c r="C17" t="s">
        <v>754</v>
      </c>
      <c r="D17" s="3">
        <v>461588</v>
      </c>
      <c r="E17" t="s">
        <v>755</v>
      </c>
      <c r="F17" s="3">
        <v>389</v>
      </c>
      <c r="J17" t="s">
        <v>756</v>
      </c>
    </row>
    <row r="18" spans="1:10" hidden="1">
      <c r="A18" s="71">
        <v>46028</v>
      </c>
      <c r="B18" t="s">
        <v>391</v>
      </c>
      <c r="C18" t="s">
        <v>757</v>
      </c>
      <c r="D18" s="3">
        <v>17076</v>
      </c>
      <c r="E18" t="s">
        <v>755</v>
      </c>
      <c r="F18" s="3">
        <v>389</v>
      </c>
      <c r="J18" t="s">
        <v>756</v>
      </c>
    </row>
    <row r="19" spans="1:10" hidden="1">
      <c r="A19" s="71">
        <v>46028</v>
      </c>
      <c r="B19" t="s">
        <v>141</v>
      </c>
      <c r="C19" t="s">
        <v>757</v>
      </c>
      <c r="D19" s="3">
        <v>331891</v>
      </c>
      <c r="E19" t="s">
        <v>755</v>
      </c>
      <c r="F19" s="3">
        <v>389</v>
      </c>
      <c r="J19" t="s">
        <v>756</v>
      </c>
    </row>
    <row r="20" spans="1:10" hidden="1">
      <c r="A20" s="71">
        <v>45971</v>
      </c>
      <c r="B20" t="s">
        <v>451</v>
      </c>
      <c r="C20" t="s">
        <v>757</v>
      </c>
      <c r="D20" s="3">
        <v>1496</v>
      </c>
      <c r="E20" t="s">
        <v>755</v>
      </c>
      <c r="F20" s="3">
        <v>15912</v>
      </c>
      <c r="J20" t="s">
        <v>756</v>
      </c>
    </row>
    <row r="21" spans="1:10" hidden="1">
      <c r="A21" s="71">
        <v>46031</v>
      </c>
      <c r="B21" t="s">
        <v>301</v>
      </c>
      <c r="C21" t="s">
        <v>757</v>
      </c>
      <c r="D21" s="3">
        <v>87661</v>
      </c>
      <c r="E21" t="s">
        <v>755</v>
      </c>
      <c r="F21" s="3">
        <v>389</v>
      </c>
      <c r="J21" t="s">
        <v>756</v>
      </c>
    </row>
    <row r="22" spans="1:10" hidden="1">
      <c r="A22" s="71">
        <v>46034</v>
      </c>
      <c r="B22" t="s">
        <v>516</v>
      </c>
      <c r="C22" t="s">
        <v>757</v>
      </c>
      <c r="E22" t="s">
        <v>755</v>
      </c>
      <c r="F22" s="3">
        <v>389</v>
      </c>
      <c r="J22" t="s">
        <v>756</v>
      </c>
    </row>
    <row r="23" spans="1:10" hidden="1">
      <c r="A23" s="71">
        <v>46034</v>
      </c>
      <c r="B23" t="s">
        <v>620</v>
      </c>
      <c r="C23" t="s">
        <v>757</v>
      </c>
      <c r="D23" s="3">
        <v>118530</v>
      </c>
      <c r="E23" t="s">
        <v>755</v>
      </c>
      <c r="F23" s="3" t="s">
        <v>758</v>
      </c>
      <c r="J23" t="s">
        <v>756</v>
      </c>
    </row>
    <row r="24" spans="1:10" hidden="1">
      <c r="A24" s="71">
        <v>46034</v>
      </c>
      <c r="B24" t="s">
        <v>662</v>
      </c>
      <c r="C24" t="s">
        <v>757</v>
      </c>
      <c r="D24" s="3">
        <v>681</v>
      </c>
      <c r="E24" t="s">
        <v>755</v>
      </c>
      <c r="J24" t="s">
        <v>756</v>
      </c>
    </row>
    <row r="25" spans="1:10" hidden="1">
      <c r="A25" s="71">
        <v>45908</v>
      </c>
      <c r="B25" t="s">
        <v>293</v>
      </c>
      <c r="C25" t="s">
        <v>754</v>
      </c>
      <c r="D25" s="3">
        <v>393</v>
      </c>
      <c r="E25" t="s">
        <v>755</v>
      </c>
      <c r="F25" s="3">
        <v>15911</v>
      </c>
      <c r="J25" t="s">
        <v>756</v>
      </c>
    </row>
    <row r="26" spans="1:10" hidden="1">
      <c r="A26" s="71">
        <v>46035</v>
      </c>
      <c r="B26" t="s">
        <v>634</v>
      </c>
      <c r="C26" t="s">
        <v>757</v>
      </c>
      <c r="D26" s="3">
        <v>105667</v>
      </c>
      <c r="E26" t="s">
        <v>755</v>
      </c>
      <c r="F26" s="3">
        <v>389</v>
      </c>
      <c r="J26" t="s">
        <v>756</v>
      </c>
    </row>
    <row r="27" spans="1:10" hidden="1">
      <c r="A27" s="71">
        <v>46036</v>
      </c>
      <c r="B27" t="s">
        <v>604</v>
      </c>
      <c r="C27" t="s">
        <v>757</v>
      </c>
      <c r="D27" s="3">
        <v>157018</v>
      </c>
      <c r="E27" t="s">
        <v>755</v>
      </c>
      <c r="F27" s="3">
        <v>389</v>
      </c>
      <c r="J27" t="s">
        <v>756</v>
      </c>
    </row>
    <row r="28" spans="1:10" hidden="1">
      <c r="A28" s="71">
        <v>45967</v>
      </c>
      <c r="B28" t="s">
        <v>293</v>
      </c>
      <c r="C28" t="s">
        <v>754</v>
      </c>
      <c r="D28" s="3">
        <v>748</v>
      </c>
      <c r="E28" t="s">
        <v>755</v>
      </c>
      <c r="F28" s="3">
        <v>15911</v>
      </c>
      <c r="J28" t="s">
        <v>756</v>
      </c>
    </row>
    <row r="29" spans="1:10" hidden="1">
      <c r="A29" s="71">
        <v>46037</v>
      </c>
      <c r="B29" t="s">
        <v>641</v>
      </c>
      <c r="C29" t="s">
        <v>757</v>
      </c>
      <c r="D29" s="3">
        <v>136208</v>
      </c>
      <c r="E29" t="s">
        <v>755</v>
      </c>
      <c r="F29" s="3">
        <v>389</v>
      </c>
      <c r="J29" t="s">
        <v>756</v>
      </c>
    </row>
    <row r="30" spans="1:10" hidden="1">
      <c r="A30" s="71">
        <v>45967</v>
      </c>
      <c r="B30" t="s">
        <v>263</v>
      </c>
      <c r="C30" t="s">
        <v>754</v>
      </c>
      <c r="D30" s="3">
        <v>2000</v>
      </c>
      <c r="E30" t="s">
        <v>755</v>
      </c>
      <c r="F30" s="3">
        <v>15909</v>
      </c>
      <c r="J30" t="s">
        <v>756</v>
      </c>
    </row>
    <row r="31" spans="1:10" hidden="1">
      <c r="A31" s="71">
        <v>46028</v>
      </c>
      <c r="B31" t="s">
        <v>263</v>
      </c>
      <c r="C31" t="s">
        <v>754</v>
      </c>
      <c r="D31" s="3">
        <v>2600</v>
      </c>
      <c r="E31" t="s">
        <v>755</v>
      </c>
      <c r="F31" s="3">
        <v>15920</v>
      </c>
      <c r="J31" t="s">
        <v>756</v>
      </c>
    </row>
    <row r="32" spans="1:10" hidden="1">
      <c r="A32" s="71">
        <v>46035</v>
      </c>
      <c r="B32" t="s">
        <v>293</v>
      </c>
      <c r="C32" t="s">
        <v>754</v>
      </c>
      <c r="D32" s="3">
        <v>1112</v>
      </c>
      <c r="E32" t="s">
        <v>755</v>
      </c>
      <c r="F32" s="3">
        <v>15921</v>
      </c>
      <c r="J32" t="s">
        <v>756</v>
      </c>
    </row>
    <row r="33" spans="1:10" hidden="1">
      <c r="A33" s="71">
        <v>46044</v>
      </c>
      <c r="B33" t="s">
        <v>118</v>
      </c>
      <c r="C33" t="s">
        <v>757</v>
      </c>
      <c r="D33" s="3">
        <v>189042</v>
      </c>
      <c r="E33" t="s">
        <v>755</v>
      </c>
      <c r="J33" t="s">
        <v>756</v>
      </c>
    </row>
    <row r="34" spans="1:10" hidden="1">
      <c r="A34" s="71">
        <v>46044</v>
      </c>
      <c r="B34" t="s">
        <v>35</v>
      </c>
      <c r="C34" t="s">
        <v>757</v>
      </c>
      <c r="D34" s="3">
        <v>8319</v>
      </c>
      <c r="E34" t="s">
        <v>755</v>
      </c>
      <c r="J34" t="s">
        <v>756</v>
      </c>
    </row>
    <row r="35" spans="1:10" hidden="1">
      <c r="A35" s="71">
        <v>46049</v>
      </c>
      <c r="B35" t="s">
        <v>396</v>
      </c>
      <c r="C35" t="s">
        <v>754</v>
      </c>
      <c r="E35" t="s">
        <v>755</v>
      </c>
      <c r="F35" s="3">
        <v>15440</v>
      </c>
      <c r="J35" t="s">
        <v>756</v>
      </c>
    </row>
    <row r="36" spans="1:10" hidden="1">
      <c r="A36" s="71">
        <v>46050</v>
      </c>
      <c r="B36" t="s">
        <v>268</v>
      </c>
      <c r="C36" t="s">
        <v>757</v>
      </c>
      <c r="D36" s="3">
        <v>9814</v>
      </c>
      <c r="E36" t="s">
        <v>755</v>
      </c>
      <c r="J36" t="s">
        <v>756</v>
      </c>
    </row>
    <row r="37" spans="1:10" hidden="1">
      <c r="A37" s="71">
        <v>46050</v>
      </c>
      <c r="B37" t="s">
        <v>496</v>
      </c>
      <c r="C37" t="s">
        <v>757</v>
      </c>
      <c r="D37" s="3">
        <v>54500</v>
      </c>
      <c r="E37" t="s">
        <v>755</v>
      </c>
      <c r="J37" t="s">
        <v>756</v>
      </c>
    </row>
    <row r="38" spans="1:10" hidden="1">
      <c r="A38" s="71">
        <v>46057</v>
      </c>
      <c r="B38" t="s">
        <v>362</v>
      </c>
      <c r="C38" t="s">
        <v>757</v>
      </c>
      <c r="D38" s="3">
        <v>15554</v>
      </c>
      <c r="E38" t="s">
        <v>755</v>
      </c>
      <c r="J38" t="s">
        <v>756</v>
      </c>
    </row>
    <row r="39" spans="1:10" hidden="1">
      <c r="A39" s="71">
        <v>46065</v>
      </c>
      <c r="B39" t="s">
        <v>608</v>
      </c>
      <c r="C39" t="s">
        <v>757</v>
      </c>
      <c r="D39" s="3">
        <v>138841</v>
      </c>
      <c r="E39" t="s">
        <v>755</v>
      </c>
      <c r="J39" t="s">
        <v>756</v>
      </c>
    </row>
    <row r="40" spans="1:10" hidden="1">
      <c r="A40" s="71">
        <v>46066</v>
      </c>
      <c r="B40" t="s">
        <v>167</v>
      </c>
      <c r="C40" t="s">
        <v>757</v>
      </c>
      <c r="D40" s="3">
        <v>9302</v>
      </c>
      <c r="E40" t="s">
        <v>755</v>
      </c>
      <c r="J40" t="s">
        <v>756</v>
      </c>
    </row>
    <row r="41" spans="1:10" hidden="1">
      <c r="A41" s="71">
        <v>46072</v>
      </c>
      <c r="B41" t="s">
        <v>522</v>
      </c>
      <c r="C41" t="s">
        <v>757</v>
      </c>
      <c r="D41" s="3">
        <v>39996</v>
      </c>
      <c r="E41" t="s">
        <v>755</v>
      </c>
      <c r="F41" s="3">
        <v>16152</v>
      </c>
      <c r="J41" t="s">
        <v>756</v>
      </c>
    </row>
    <row r="42" spans="1:10" hidden="1">
      <c r="A42" s="71">
        <v>46073</v>
      </c>
      <c r="B42" t="s">
        <v>528</v>
      </c>
      <c r="C42" t="s">
        <v>757</v>
      </c>
      <c r="D42" s="3">
        <v>58306</v>
      </c>
      <c r="E42" t="s">
        <v>755</v>
      </c>
      <c r="F42" s="3" t="s">
        <v>759</v>
      </c>
      <c r="J42" t="s">
        <v>756</v>
      </c>
    </row>
    <row r="43" spans="1:10" hidden="1">
      <c r="A43" s="71">
        <v>46073</v>
      </c>
      <c r="B43" t="s">
        <v>152</v>
      </c>
      <c r="C43" t="s">
        <v>754</v>
      </c>
      <c r="D43" s="3">
        <v>486500</v>
      </c>
      <c r="E43" t="s">
        <v>755</v>
      </c>
      <c r="F43" s="3">
        <v>15104</v>
      </c>
      <c r="J43" t="s">
        <v>756</v>
      </c>
    </row>
    <row r="44" spans="1:10" hidden="1">
      <c r="A44" s="71">
        <v>46074</v>
      </c>
      <c r="B44" t="s">
        <v>509</v>
      </c>
      <c r="C44" t="s">
        <v>757</v>
      </c>
      <c r="D44" s="3">
        <v>61948</v>
      </c>
      <c r="E44" t="s">
        <v>755</v>
      </c>
      <c r="F44" s="3">
        <v>15101</v>
      </c>
      <c r="J44" t="s">
        <v>756</v>
      </c>
    </row>
    <row r="45" spans="1:10" hidden="1">
      <c r="A45" s="71">
        <v>45965</v>
      </c>
      <c r="B45" t="s">
        <v>498</v>
      </c>
      <c r="C45" t="s">
        <v>757</v>
      </c>
      <c r="D45" s="3">
        <v>81949</v>
      </c>
      <c r="E45" t="s">
        <v>755</v>
      </c>
      <c r="F45" s="3">
        <v>389</v>
      </c>
      <c r="J45" t="s">
        <v>756</v>
      </c>
    </row>
    <row r="46" spans="1:10" hidden="1">
      <c r="A46" s="71">
        <v>45859</v>
      </c>
      <c r="B46" t="s">
        <v>608</v>
      </c>
      <c r="C46" t="s">
        <v>757</v>
      </c>
      <c r="D46" s="3">
        <v>110210</v>
      </c>
      <c r="E46" t="s">
        <v>755</v>
      </c>
      <c r="J46" t="s">
        <v>756</v>
      </c>
    </row>
    <row r="47" spans="1:10" hidden="1">
      <c r="A47" s="71">
        <v>46066</v>
      </c>
      <c r="B47" t="s">
        <v>263</v>
      </c>
      <c r="C47" t="s">
        <v>754</v>
      </c>
      <c r="D47" s="3">
        <v>2610</v>
      </c>
      <c r="E47" t="s">
        <v>755</v>
      </c>
      <c r="F47" s="3">
        <v>15961</v>
      </c>
      <c r="J47" t="s">
        <v>756</v>
      </c>
    </row>
    <row r="48" spans="1:10" hidden="1">
      <c r="A48" s="71">
        <v>46055</v>
      </c>
      <c r="B48" t="s">
        <v>494</v>
      </c>
      <c r="C48" t="s">
        <v>757</v>
      </c>
      <c r="D48" s="3">
        <v>79968</v>
      </c>
      <c r="E48" t="s">
        <v>755</v>
      </c>
      <c r="F48" s="3">
        <v>15956</v>
      </c>
      <c r="J48" t="s">
        <v>756</v>
      </c>
    </row>
    <row r="49" spans="1:10" hidden="1">
      <c r="A49" s="71">
        <v>46062</v>
      </c>
      <c r="B49" t="s">
        <v>19</v>
      </c>
      <c r="C49" t="s">
        <v>754</v>
      </c>
      <c r="D49" s="3">
        <v>10370</v>
      </c>
      <c r="E49" t="s">
        <v>755</v>
      </c>
      <c r="F49" s="3">
        <v>15959</v>
      </c>
      <c r="J49" t="s">
        <v>756</v>
      </c>
    </row>
    <row r="50" spans="1:10" hidden="1">
      <c r="A50" s="71">
        <v>46060</v>
      </c>
      <c r="B50" t="s">
        <v>29</v>
      </c>
      <c r="C50" t="s">
        <v>754</v>
      </c>
      <c r="D50" s="3">
        <v>8700</v>
      </c>
      <c r="E50" t="s">
        <v>755</v>
      </c>
      <c r="F50" s="3" t="s">
        <v>760</v>
      </c>
      <c r="J50" t="s">
        <v>756</v>
      </c>
    </row>
    <row r="51" spans="1:10" hidden="1">
      <c r="A51" s="71">
        <v>46078</v>
      </c>
      <c r="B51" t="s">
        <v>563</v>
      </c>
      <c r="C51" t="s">
        <v>757</v>
      </c>
      <c r="E51" t="s">
        <v>755</v>
      </c>
      <c r="F51" s="3" t="s">
        <v>760</v>
      </c>
      <c r="J51" t="s">
        <v>756</v>
      </c>
    </row>
    <row r="52" spans="1:10" hidden="1">
      <c r="A52" s="71"/>
      <c r="B52" t="s">
        <v>460</v>
      </c>
      <c r="C52" t="s">
        <v>757</v>
      </c>
      <c r="D52" s="3">
        <v>89665</v>
      </c>
      <c r="E52" t="s">
        <v>755</v>
      </c>
      <c r="J52" t="s">
        <v>756</v>
      </c>
    </row>
    <row r="53" spans="1:10" hidden="1">
      <c r="A53" s="71">
        <v>46086</v>
      </c>
      <c r="B53" t="s">
        <v>311</v>
      </c>
      <c r="C53" t="s">
        <v>754</v>
      </c>
      <c r="D53" s="3">
        <v>16953</v>
      </c>
      <c r="E53" t="s">
        <v>755</v>
      </c>
      <c r="J53" t="s">
        <v>756</v>
      </c>
    </row>
    <row r="54" spans="1:10" hidden="1">
      <c r="A54" s="71">
        <v>46086</v>
      </c>
      <c r="B54" t="s">
        <v>86</v>
      </c>
      <c r="C54" t="s">
        <v>754</v>
      </c>
      <c r="D54" s="3">
        <v>3406</v>
      </c>
      <c r="E54" t="s">
        <v>755</v>
      </c>
      <c r="J54" t="s">
        <v>756</v>
      </c>
    </row>
    <row r="55" spans="1:10" hidden="1">
      <c r="A55" s="71">
        <v>46085</v>
      </c>
      <c r="B55" t="s">
        <v>89</v>
      </c>
      <c r="C55" t="s">
        <v>754</v>
      </c>
      <c r="D55" s="3">
        <v>3468</v>
      </c>
      <c r="E55" t="s">
        <v>755</v>
      </c>
      <c r="J55" t="s">
        <v>756</v>
      </c>
    </row>
    <row r="56" spans="1:10" hidden="1">
      <c r="A56" s="71">
        <v>46086</v>
      </c>
      <c r="B56" t="s">
        <v>136</v>
      </c>
      <c r="C56" t="s">
        <v>757</v>
      </c>
      <c r="D56" s="3">
        <v>295000</v>
      </c>
      <c r="E56" t="s">
        <v>755</v>
      </c>
      <c r="J56" t="s">
        <v>756</v>
      </c>
    </row>
    <row r="57" spans="1:10" hidden="1">
      <c r="A57" s="71">
        <v>46084</v>
      </c>
      <c r="B57" t="s">
        <v>91</v>
      </c>
      <c r="C57" t="s">
        <v>754</v>
      </c>
      <c r="D57" s="3">
        <v>3654</v>
      </c>
      <c r="E57" t="s">
        <v>755</v>
      </c>
      <c r="J57" t="s">
        <v>756</v>
      </c>
    </row>
    <row r="58" spans="1:10" hidden="1">
      <c r="A58" s="71">
        <v>46083</v>
      </c>
      <c r="B58" t="s">
        <v>169</v>
      </c>
      <c r="C58" t="s">
        <v>754</v>
      </c>
      <c r="D58" s="3">
        <v>1978</v>
      </c>
      <c r="E58" t="s">
        <v>755</v>
      </c>
      <c r="J58" t="s">
        <v>756</v>
      </c>
    </row>
    <row r="59" spans="1:10" hidden="1">
      <c r="A59" s="71">
        <v>46086</v>
      </c>
      <c r="B59" t="s">
        <v>485</v>
      </c>
      <c r="C59" t="s">
        <v>757</v>
      </c>
      <c r="D59" s="3">
        <v>75400</v>
      </c>
      <c r="E59" t="s">
        <v>755</v>
      </c>
      <c r="G59" t="s">
        <v>761</v>
      </c>
      <c r="I59" s="9">
        <v>425505</v>
      </c>
      <c r="J59" t="s">
        <v>756</v>
      </c>
    </row>
    <row r="60" spans="1:10" hidden="1">
      <c r="A60" s="71">
        <v>46071</v>
      </c>
      <c r="B60" t="s">
        <v>498</v>
      </c>
      <c r="C60" t="s">
        <v>757</v>
      </c>
      <c r="D60" s="3">
        <v>107335</v>
      </c>
      <c r="E60" t="s">
        <v>755</v>
      </c>
      <c r="J60" t="s">
        <v>756</v>
      </c>
    </row>
    <row r="61" spans="1:10" hidden="1">
      <c r="A61" s="71">
        <v>46087</v>
      </c>
      <c r="B61" t="s">
        <v>467</v>
      </c>
      <c r="C61" t="s">
        <v>757</v>
      </c>
      <c r="D61" s="3">
        <v>105962</v>
      </c>
      <c r="E61" t="s">
        <v>755</v>
      </c>
      <c r="F61" s="3">
        <v>105962</v>
      </c>
      <c r="J61" t="s">
        <v>756</v>
      </c>
    </row>
    <row r="62" spans="1:10" hidden="1">
      <c r="A62" s="71">
        <v>46093</v>
      </c>
      <c r="B62" t="s">
        <v>628</v>
      </c>
      <c r="C62" t="s">
        <v>757</v>
      </c>
      <c r="D62" s="3">
        <v>123772</v>
      </c>
      <c r="E62" t="s">
        <v>755</v>
      </c>
      <c r="G62" t="s">
        <v>33</v>
      </c>
      <c r="J62" t="s">
        <v>756</v>
      </c>
    </row>
    <row r="63" spans="1:10" hidden="1">
      <c r="A63" s="71">
        <v>46093</v>
      </c>
      <c r="B63" t="s">
        <v>42</v>
      </c>
      <c r="C63" t="s">
        <v>757</v>
      </c>
      <c r="D63" s="3">
        <v>189849</v>
      </c>
      <c r="E63" t="s">
        <v>755</v>
      </c>
      <c r="G63" t="s">
        <v>729</v>
      </c>
      <c r="J63" t="s">
        <v>756</v>
      </c>
    </row>
    <row r="64" spans="1:10" hidden="1">
      <c r="A64" s="71">
        <v>46092</v>
      </c>
      <c r="B64" t="s">
        <v>383</v>
      </c>
      <c r="C64" t="s">
        <v>754</v>
      </c>
      <c r="D64" s="3">
        <v>3745</v>
      </c>
      <c r="E64" t="s">
        <v>755</v>
      </c>
      <c r="G64" t="s">
        <v>729</v>
      </c>
      <c r="H64" t="s">
        <v>762</v>
      </c>
      <c r="I64" s="9">
        <v>177476</v>
      </c>
      <c r="J64" t="s">
        <v>756</v>
      </c>
    </row>
    <row r="65" spans="1:10" hidden="1">
      <c r="A65" s="71">
        <v>46097</v>
      </c>
      <c r="B65" t="s">
        <v>259</v>
      </c>
      <c r="C65" t="s">
        <v>754</v>
      </c>
      <c r="D65" s="3">
        <v>15727</v>
      </c>
      <c r="E65" t="s">
        <v>755</v>
      </c>
      <c r="G65" t="s">
        <v>23</v>
      </c>
      <c r="I65" s="9">
        <v>866929</v>
      </c>
      <c r="J65" t="s">
        <v>756</v>
      </c>
    </row>
    <row r="66" spans="1:10" hidden="1">
      <c r="A66" s="71">
        <v>46094</v>
      </c>
      <c r="B66" t="s">
        <v>492</v>
      </c>
      <c r="C66" t="s">
        <v>757</v>
      </c>
      <c r="D66" s="3">
        <v>107210</v>
      </c>
      <c r="E66" t="s">
        <v>755</v>
      </c>
      <c r="G66" t="s">
        <v>761</v>
      </c>
      <c r="I66" s="9">
        <v>405817</v>
      </c>
      <c r="J66" t="s">
        <v>756</v>
      </c>
    </row>
    <row r="67" spans="1:10" hidden="1">
      <c r="A67" s="71">
        <v>46094</v>
      </c>
      <c r="B67" t="s">
        <v>388</v>
      </c>
      <c r="C67" t="s">
        <v>754</v>
      </c>
      <c r="D67" s="3">
        <v>13040</v>
      </c>
      <c r="E67" t="s">
        <v>755</v>
      </c>
      <c r="F67" s="3">
        <v>17151</v>
      </c>
      <c r="G67" t="s">
        <v>514</v>
      </c>
      <c r="H67" t="s">
        <v>763</v>
      </c>
      <c r="I67" s="9">
        <v>89099.98</v>
      </c>
      <c r="J67" t="s">
        <v>756</v>
      </c>
    </row>
    <row r="68" spans="1:10" hidden="1">
      <c r="A68" s="71">
        <v>46098</v>
      </c>
      <c r="B68" t="s">
        <v>391</v>
      </c>
      <c r="C68" t="s">
        <v>754</v>
      </c>
      <c r="D68" s="3">
        <v>17296</v>
      </c>
      <c r="E68" t="s">
        <v>755</v>
      </c>
      <c r="F68" s="3">
        <v>17155</v>
      </c>
      <c r="G68" t="s">
        <v>714</v>
      </c>
      <c r="H68" t="s">
        <v>762</v>
      </c>
      <c r="I68" s="9">
        <v>289773.33</v>
      </c>
      <c r="J68" t="s">
        <v>756</v>
      </c>
    </row>
    <row r="69" spans="1:10" hidden="1">
      <c r="A69" s="71">
        <v>46094</v>
      </c>
      <c r="B69" t="s">
        <v>373</v>
      </c>
      <c r="C69" t="s">
        <v>754</v>
      </c>
      <c r="D69" s="3">
        <v>17152</v>
      </c>
      <c r="E69" t="s">
        <v>755</v>
      </c>
      <c r="F69" s="3">
        <v>17152</v>
      </c>
      <c r="G69" t="s">
        <v>714</v>
      </c>
      <c r="H69" t="s">
        <v>764</v>
      </c>
      <c r="I69" s="9">
        <v>277000</v>
      </c>
      <c r="J69" t="s">
        <v>756</v>
      </c>
    </row>
    <row r="70" spans="1:10" hidden="1">
      <c r="A70" s="71">
        <v>46094</v>
      </c>
      <c r="B70" t="s">
        <v>365</v>
      </c>
      <c r="C70" t="s">
        <v>754</v>
      </c>
      <c r="D70" s="3">
        <v>13650</v>
      </c>
      <c r="E70" t="s">
        <v>755</v>
      </c>
      <c r="F70" s="3">
        <v>17153</v>
      </c>
      <c r="G70" t="s">
        <v>714</v>
      </c>
      <c r="H70" t="s">
        <v>765</v>
      </c>
      <c r="I70" s="9">
        <v>125352</v>
      </c>
      <c r="J70" t="s">
        <v>756</v>
      </c>
    </row>
    <row r="71" spans="1:10" hidden="1">
      <c r="A71" s="71">
        <v>46057</v>
      </c>
      <c r="B71" t="s">
        <v>385</v>
      </c>
      <c r="C71" t="s">
        <v>754</v>
      </c>
      <c r="D71" s="3">
        <v>3472</v>
      </c>
      <c r="E71" t="s">
        <v>755</v>
      </c>
      <c r="H71" t="s">
        <v>762</v>
      </c>
      <c r="I71" s="9">
        <v>177476</v>
      </c>
      <c r="J71" t="s">
        <v>756</v>
      </c>
    </row>
    <row r="72" spans="1:10" hidden="1">
      <c r="A72" s="71">
        <v>46098</v>
      </c>
      <c r="B72" t="s">
        <v>273</v>
      </c>
      <c r="C72" t="s">
        <v>754</v>
      </c>
      <c r="D72" s="3">
        <v>5648</v>
      </c>
      <c r="E72" t="s">
        <v>755</v>
      </c>
      <c r="F72" s="3">
        <v>15994</v>
      </c>
      <c r="G72" t="s">
        <v>51</v>
      </c>
      <c r="H72" t="s">
        <v>762</v>
      </c>
      <c r="I72" s="9">
        <v>177476</v>
      </c>
      <c r="J72" t="s">
        <v>756</v>
      </c>
    </row>
    <row r="73" spans="1:10" hidden="1">
      <c r="A73" s="71">
        <v>46093</v>
      </c>
      <c r="B73" t="s">
        <v>396</v>
      </c>
      <c r="C73" t="s">
        <v>754</v>
      </c>
      <c r="D73" s="3">
        <v>1713</v>
      </c>
      <c r="E73" t="s">
        <v>755</v>
      </c>
      <c r="G73" t="s">
        <v>63</v>
      </c>
      <c r="H73" t="s">
        <v>762</v>
      </c>
      <c r="I73" s="9">
        <v>133882.14000000001</v>
      </c>
      <c r="J73" t="s">
        <v>756</v>
      </c>
    </row>
    <row r="74" spans="1:10" hidden="1">
      <c r="A74" s="71">
        <v>46086</v>
      </c>
      <c r="B74" t="s">
        <v>554</v>
      </c>
      <c r="C74" t="s">
        <v>757</v>
      </c>
      <c r="D74" s="3">
        <v>14872</v>
      </c>
      <c r="E74" t="s">
        <v>755</v>
      </c>
      <c r="G74" t="s">
        <v>766</v>
      </c>
      <c r="H74" t="s">
        <v>767</v>
      </c>
      <c r="I74" s="9">
        <v>252383</v>
      </c>
      <c r="J74" t="s">
        <v>756</v>
      </c>
    </row>
    <row r="75" spans="1:10" hidden="1">
      <c r="A75" s="71">
        <v>46099</v>
      </c>
      <c r="B75" t="s">
        <v>557</v>
      </c>
      <c r="C75" t="s">
        <v>757</v>
      </c>
      <c r="D75" s="3">
        <v>22254</v>
      </c>
      <c r="E75" t="s">
        <v>755</v>
      </c>
      <c r="G75" t="s">
        <v>766</v>
      </c>
      <c r="H75" t="s">
        <v>767</v>
      </c>
      <c r="I75" s="9">
        <v>310988</v>
      </c>
      <c r="J75" t="s">
        <v>756</v>
      </c>
    </row>
    <row r="76" spans="1:10" hidden="1">
      <c r="A76" s="71">
        <v>46099</v>
      </c>
      <c r="B76" t="s">
        <v>538</v>
      </c>
      <c r="C76" t="s">
        <v>757</v>
      </c>
      <c r="D76" s="3">
        <v>78670</v>
      </c>
      <c r="E76" t="s">
        <v>755</v>
      </c>
      <c r="G76" t="s">
        <v>766</v>
      </c>
      <c r="H76" t="s">
        <v>767</v>
      </c>
      <c r="I76" s="9">
        <v>487719</v>
      </c>
      <c r="J76" t="s">
        <v>756</v>
      </c>
    </row>
    <row r="77" spans="1:10" hidden="1">
      <c r="A77" s="71">
        <v>46099</v>
      </c>
      <c r="B77" t="s">
        <v>644</v>
      </c>
      <c r="C77" t="s">
        <v>757</v>
      </c>
      <c r="D77" s="3">
        <v>110602</v>
      </c>
      <c r="E77" t="s">
        <v>755</v>
      </c>
      <c r="G77" t="s">
        <v>766</v>
      </c>
      <c r="H77" t="s">
        <v>767</v>
      </c>
      <c r="I77" s="9">
        <v>276888</v>
      </c>
      <c r="J77" t="s">
        <v>756</v>
      </c>
    </row>
    <row r="78" spans="1:10" hidden="1">
      <c r="A78" s="71">
        <v>46099</v>
      </c>
      <c r="B78" t="s">
        <v>524</v>
      </c>
      <c r="C78" t="s">
        <v>757</v>
      </c>
      <c r="D78" s="3">
        <v>78795</v>
      </c>
      <c r="E78" t="s">
        <v>755</v>
      </c>
      <c r="F78" s="3">
        <v>15106</v>
      </c>
      <c r="G78" t="s">
        <v>37</v>
      </c>
      <c r="H78" t="s">
        <v>763</v>
      </c>
      <c r="I78" s="9">
        <v>32014</v>
      </c>
      <c r="J78" t="s">
        <v>756</v>
      </c>
    </row>
    <row r="79" spans="1:10" hidden="1">
      <c r="A79" s="71">
        <v>46092</v>
      </c>
      <c r="B79" t="s">
        <v>36</v>
      </c>
      <c r="C79" t="s">
        <v>754</v>
      </c>
      <c r="D79" s="3">
        <v>10923</v>
      </c>
      <c r="E79" t="s">
        <v>755</v>
      </c>
      <c r="F79" s="3">
        <v>15107</v>
      </c>
      <c r="G79" t="s">
        <v>37</v>
      </c>
      <c r="J79" t="s">
        <v>756</v>
      </c>
    </row>
    <row r="80" spans="1:10" hidden="1">
      <c r="A80" s="71">
        <v>46093</v>
      </c>
      <c r="B80" t="s">
        <v>449</v>
      </c>
      <c r="C80" t="s">
        <v>754</v>
      </c>
      <c r="D80" s="3">
        <v>1713</v>
      </c>
      <c r="E80" t="s">
        <v>755</v>
      </c>
      <c r="F80" s="3">
        <v>15991</v>
      </c>
      <c r="G80" t="s">
        <v>63</v>
      </c>
      <c r="H80" t="s">
        <v>762</v>
      </c>
      <c r="I80" s="9">
        <v>133882.14000000001</v>
      </c>
      <c r="J80" t="s">
        <v>756</v>
      </c>
    </row>
    <row r="81" spans="1:10" hidden="1">
      <c r="A81" s="71">
        <v>46086</v>
      </c>
      <c r="B81" t="s">
        <v>293</v>
      </c>
      <c r="C81" t="s">
        <v>754</v>
      </c>
      <c r="D81" s="3">
        <v>1462</v>
      </c>
      <c r="E81" t="s">
        <v>755</v>
      </c>
      <c r="G81" t="s">
        <v>766</v>
      </c>
      <c r="H81" t="s">
        <v>767</v>
      </c>
      <c r="I81" s="9">
        <v>249078</v>
      </c>
      <c r="J81" t="s">
        <v>756</v>
      </c>
    </row>
    <row r="82" spans="1:10" hidden="1">
      <c r="A82" s="71">
        <v>46100</v>
      </c>
      <c r="B82" t="s">
        <v>173</v>
      </c>
      <c r="C82" t="s">
        <v>754</v>
      </c>
      <c r="D82" s="3">
        <v>9317</v>
      </c>
      <c r="E82" t="s">
        <v>755</v>
      </c>
      <c r="G82" t="s">
        <v>37</v>
      </c>
      <c r="J82" t="s">
        <v>756</v>
      </c>
    </row>
    <row r="83" spans="1:10" hidden="1">
      <c r="A83" s="71">
        <v>46099</v>
      </c>
      <c r="B83" t="s">
        <v>82</v>
      </c>
      <c r="C83" t="s">
        <v>757</v>
      </c>
      <c r="D83" s="3">
        <v>195600</v>
      </c>
      <c r="E83" t="s">
        <v>755</v>
      </c>
      <c r="H83" t="s">
        <v>768</v>
      </c>
      <c r="I83" s="9">
        <v>143221</v>
      </c>
      <c r="J83" t="s">
        <v>756</v>
      </c>
    </row>
    <row r="84" spans="1:10" hidden="1">
      <c r="A84" s="71">
        <v>46100</v>
      </c>
      <c r="B84" t="s">
        <v>430</v>
      </c>
      <c r="C84" t="s">
        <v>754</v>
      </c>
      <c r="D84" s="3">
        <v>6683</v>
      </c>
      <c r="E84" t="s">
        <v>755</v>
      </c>
      <c r="F84" s="3">
        <v>17156</v>
      </c>
      <c r="G84" t="s">
        <v>327</v>
      </c>
      <c r="J84" t="s">
        <v>756</v>
      </c>
    </row>
    <row r="85" spans="1:10" hidden="1">
      <c r="A85" s="71">
        <v>46058</v>
      </c>
      <c r="B85" t="s">
        <v>305</v>
      </c>
      <c r="C85" t="s">
        <v>754</v>
      </c>
      <c r="D85" s="3">
        <v>8547</v>
      </c>
      <c r="E85" t="s">
        <v>755</v>
      </c>
      <c r="G85" t="s">
        <v>63</v>
      </c>
      <c r="J85" t="s">
        <v>756</v>
      </c>
    </row>
    <row r="86" spans="1:10" hidden="1">
      <c r="A86" s="71">
        <v>46072</v>
      </c>
      <c r="B86" t="s">
        <v>518</v>
      </c>
      <c r="C86" t="s">
        <v>757</v>
      </c>
      <c r="D86" s="3">
        <v>61470</v>
      </c>
      <c r="E86" t="s">
        <v>755</v>
      </c>
      <c r="G86" t="s">
        <v>63</v>
      </c>
      <c r="J86" t="s">
        <v>756</v>
      </c>
    </row>
    <row r="87" spans="1:10" hidden="1">
      <c r="A87" s="71">
        <v>45974</v>
      </c>
      <c r="B87" t="s">
        <v>313</v>
      </c>
      <c r="C87" t="s">
        <v>754</v>
      </c>
      <c r="D87" s="3">
        <v>21210</v>
      </c>
      <c r="E87" t="s">
        <v>755</v>
      </c>
      <c r="G87" t="s">
        <v>702</v>
      </c>
      <c r="J87" t="s">
        <v>756</v>
      </c>
    </row>
    <row r="88" spans="1:10" hidden="1">
      <c r="A88" s="71">
        <v>46087</v>
      </c>
      <c r="B88" t="s">
        <v>520</v>
      </c>
      <c r="C88" t="s">
        <v>757</v>
      </c>
      <c r="D88" s="3">
        <v>71838</v>
      </c>
      <c r="E88" t="s">
        <v>755</v>
      </c>
      <c r="F88" s="3">
        <v>16205</v>
      </c>
      <c r="G88" t="s">
        <v>15</v>
      </c>
      <c r="J88" t="s">
        <v>756</v>
      </c>
    </row>
    <row r="89" spans="1:10" hidden="1">
      <c r="A89" s="71">
        <v>46085</v>
      </c>
      <c r="B89" t="s">
        <v>330</v>
      </c>
      <c r="C89" t="s">
        <v>754</v>
      </c>
      <c r="D89" s="3">
        <v>8980</v>
      </c>
      <c r="E89" t="s">
        <v>755</v>
      </c>
      <c r="F89" s="3">
        <v>16202</v>
      </c>
      <c r="J89" t="s">
        <v>756</v>
      </c>
    </row>
    <row r="90" spans="1:10" hidden="1">
      <c r="A90" s="71">
        <v>46031</v>
      </c>
      <c r="B90" t="s">
        <v>556</v>
      </c>
      <c r="C90" t="s">
        <v>757</v>
      </c>
      <c r="D90" s="3">
        <v>11406</v>
      </c>
      <c r="E90" t="s">
        <v>755</v>
      </c>
      <c r="G90" t="s">
        <v>766</v>
      </c>
      <c r="H90" t="s">
        <v>767</v>
      </c>
      <c r="I90" s="9">
        <v>254792</v>
      </c>
      <c r="J90" t="s">
        <v>756</v>
      </c>
    </row>
    <row r="91" spans="1:10" hidden="1">
      <c r="A91" s="71">
        <v>46020</v>
      </c>
      <c r="B91" t="s">
        <v>536</v>
      </c>
      <c r="C91" t="s">
        <v>757</v>
      </c>
      <c r="D91" s="3">
        <v>65636</v>
      </c>
      <c r="E91" t="s">
        <v>755</v>
      </c>
      <c r="G91" t="s">
        <v>766</v>
      </c>
      <c r="H91" t="s">
        <v>767</v>
      </c>
      <c r="I91" s="9">
        <v>573317</v>
      </c>
      <c r="J91" t="s">
        <v>756</v>
      </c>
    </row>
    <row r="92" spans="1:10" ht="15" hidden="1" customHeight="1">
      <c r="A92" s="71">
        <v>46027</v>
      </c>
      <c r="B92" t="s">
        <v>528</v>
      </c>
      <c r="C92" t="s">
        <v>757</v>
      </c>
      <c r="D92" s="3">
        <v>30210</v>
      </c>
      <c r="E92" t="s">
        <v>755</v>
      </c>
      <c r="J92" t="s">
        <v>756</v>
      </c>
    </row>
    <row r="93" spans="1:10" ht="15" hidden="1" customHeight="1">
      <c r="A93" s="71">
        <v>46029</v>
      </c>
      <c r="B93" t="s">
        <v>540</v>
      </c>
      <c r="C93" t="s">
        <v>757</v>
      </c>
      <c r="D93" s="3">
        <v>85271</v>
      </c>
      <c r="E93" t="s">
        <v>755</v>
      </c>
      <c r="G93" t="s">
        <v>766</v>
      </c>
      <c r="H93" t="s">
        <v>767</v>
      </c>
      <c r="I93" s="9">
        <v>725040</v>
      </c>
      <c r="J93" t="s">
        <v>756</v>
      </c>
    </row>
    <row r="94" spans="1:10" ht="15" hidden="1" customHeight="1">
      <c r="A94" s="71">
        <v>46105</v>
      </c>
      <c r="B94" t="s">
        <v>534</v>
      </c>
      <c r="C94" t="s">
        <v>757</v>
      </c>
      <c r="D94" s="81">
        <v>86820</v>
      </c>
      <c r="E94" t="s">
        <v>755</v>
      </c>
      <c r="G94" t="s">
        <v>766</v>
      </c>
      <c r="H94" t="s">
        <v>767</v>
      </c>
      <c r="I94" s="9">
        <v>698466</v>
      </c>
      <c r="J94" t="s">
        <v>756</v>
      </c>
    </row>
    <row r="95" spans="1:10" ht="15" hidden="1" customHeight="1">
      <c r="A95" s="71">
        <v>46101</v>
      </c>
      <c r="B95" t="s">
        <v>639</v>
      </c>
      <c r="C95" t="s">
        <v>757</v>
      </c>
      <c r="D95" s="3">
        <v>92994</v>
      </c>
      <c r="E95" t="s">
        <v>755</v>
      </c>
      <c r="J95" t="s">
        <v>756</v>
      </c>
    </row>
    <row r="96" spans="1:10" ht="15" hidden="1" customHeight="1">
      <c r="A96" s="71">
        <v>46077</v>
      </c>
      <c r="B96" t="s">
        <v>504</v>
      </c>
      <c r="C96" t="s">
        <v>757</v>
      </c>
      <c r="D96" s="3">
        <v>90248</v>
      </c>
      <c r="E96" t="s">
        <v>755</v>
      </c>
      <c r="J96" t="s">
        <v>756</v>
      </c>
    </row>
    <row r="97" spans="1:10" ht="15" hidden="1" customHeight="1">
      <c r="A97" s="71">
        <v>46105</v>
      </c>
      <c r="B97" t="s">
        <v>48</v>
      </c>
      <c r="C97" t="s">
        <v>757</v>
      </c>
      <c r="D97" s="3">
        <v>275548</v>
      </c>
      <c r="E97" t="s">
        <v>755</v>
      </c>
      <c r="G97" t="s">
        <v>51</v>
      </c>
      <c r="J97" t="s">
        <v>756</v>
      </c>
    </row>
    <row r="98" spans="1:10" ht="15" hidden="1" customHeight="1">
      <c r="A98" s="71">
        <v>46099</v>
      </c>
      <c r="B98" t="s">
        <v>494</v>
      </c>
      <c r="C98" t="s">
        <v>757</v>
      </c>
      <c r="D98" s="3">
        <v>90000</v>
      </c>
      <c r="E98" t="s">
        <v>755</v>
      </c>
      <c r="J98" t="s">
        <v>756</v>
      </c>
    </row>
    <row r="99" spans="1:10" ht="15" hidden="1" customHeight="1">
      <c r="A99" s="71">
        <v>46099</v>
      </c>
      <c r="B99" t="s">
        <v>82</v>
      </c>
      <c r="C99" t="s">
        <v>757</v>
      </c>
      <c r="D99" s="3">
        <v>195600</v>
      </c>
      <c r="E99" t="s">
        <v>755</v>
      </c>
      <c r="G99" t="s">
        <v>23</v>
      </c>
      <c r="H99" t="s">
        <v>768</v>
      </c>
      <c r="I99" s="9">
        <v>170432.99</v>
      </c>
      <c r="J99" t="s">
        <v>756</v>
      </c>
    </row>
    <row r="100" spans="1:10" ht="15" hidden="1" customHeight="1">
      <c r="A100" s="71"/>
      <c r="B100" t="s">
        <v>632</v>
      </c>
      <c r="C100" t="s">
        <v>757</v>
      </c>
      <c r="D100" s="3">
        <v>118530</v>
      </c>
      <c r="E100" t="s">
        <v>755</v>
      </c>
      <c r="J100" t="s">
        <v>756</v>
      </c>
    </row>
    <row r="101" spans="1:10" ht="15" hidden="1" customHeight="1">
      <c r="A101" s="71">
        <v>46105</v>
      </c>
      <c r="B101" t="s">
        <v>118</v>
      </c>
      <c r="C101" t="s">
        <v>754</v>
      </c>
      <c r="D101" s="3">
        <v>7682</v>
      </c>
      <c r="E101" t="s">
        <v>755</v>
      </c>
      <c r="G101" t="s">
        <v>33</v>
      </c>
      <c r="J101" t="s">
        <v>756</v>
      </c>
    </row>
    <row r="102" spans="1:10" ht="15" hidden="1" customHeight="1">
      <c r="A102" s="71">
        <v>46107</v>
      </c>
      <c r="B102" t="s">
        <v>235</v>
      </c>
      <c r="C102" t="s">
        <v>754</v>
      </c>
      <c r="D102" s="3">
        <v>2050</v>
      </c>
      <c r="E102" t="s">
        <v>755</v>
      </c>
      <c r="G102" t="s">
        <v>33</v>
      </c>
      <c r="J102" t="s">
        <v>756</v>
      </c>
    </row>
    <row r="103" spans="1:10" ht="15" hidden="1" customHeight="1">
      <c r="A103" s="71">
        <v>46108</v>
      </c>
      <c r="B103" t="s">
        <v>208</v>
      </c>
      <c r="C103" t="s">
        <v>754</v>
      </c>
      <c r="D103" s="3">
        <v>1541</v>
      </c>
      <c r="E103" t="s">
        <v>755</v>
      </c>
      <c r="G103" t="s">
        <v>33</v>
      </c>
      <c r="J103" t="s">
        <v>756</v>
      </c>
    </row>
    <row r="104" spans="1:10" ht="15" hidden="1" customHeight="1">
      <c r="A104" s="71">
        <v>46050</v>
      </c>
      <c r="B104" t="s">
        <v>553</v>
      </c>
      <c r="C104" t="s">
        <v>757</v>
      </c>
      <c r="D104" s="3">
        <v>12362</v>
      </c>
      <c r="E104" t="s">
        <v>755</v>
      </c>
      <c r="G104" t="s">
        <v>766</v>
      </c>
      <c r="I104" s="9">
        <v>263017</v>
      </c>
      <c r="J104" t="s">
        <v>756</v>
      </c>
    </row>
    <row r="105" spans="1:10" ht="15" hidden="1" customHeight="1">
      <c r="A105" s="71">
        <v>46054</v>
      </c>
      <c r="B105" t="s">
        <v>547</v>
      </c>
      <c r="C105" t="s">
        <v>757</v>
      </c>
      <c r="D105" s="3">
        <v>30000</v>
      </c>
      <c r="E105" t="s">
        <v>755</v>
      </c>
      <c r="J105" t="s">
        <v>756</v>
      </c>
    </row>
    <row r="106" spans="1:10" ht="15" hidden="1" customHeight="1">
      <c r="A106" s="71">
        <v>46105</v>
      </c>
      <c r="B106" t="s">
        <v>513</v>
      </c>
      <c r="C106" t="s">
        <v>757</v>
      </c>
      <c r="D106" s="3">
        <v>46246</v>
      </c>
      <c r="E106" t="s">
        <v>755</v>
      </c>
      <c r="J106" t="s">
        <v>756</v>
      </c>
    </row>
    <row r="107" spans="1:10" ht="15" hidden="1" customHeight="1">
      <c r="A107" s="71">
        <v>46105</v>
      </c>
      <c r="B107" t="s">
        <v>324</v>
      </c>
      <c r="C107" t="s">
        <v>754</v>
      </c>
      <c r="D107" s="3">
        <v>14082</v>
      </c>
      <c r="E107" t="s">
        <v>755</v>
      </c>
      <c r="G107" t="s">
        <v>327</v>
      </c>
      <c r="J107" t="s">
        <v>756</v>
      </c>
    </row>
    <row r="108" spans="1:10" ht="15" hidden="1" customHeight="1">
      <c r="A108" s="71">
        <v>46106</v>
      </c>
      <c r="B108" t="s">
        <v>567</v>
      </c>
      <c r="C108" t="s">
        <v>757</v>
      </c>
      <c r="D108" s="3">
        <v>561359</v>
      </c>
      <c r="E108" t="s">
        <v>755</v>
      </c>
      <c r="G108" t="s">
        <v>37</v>
      </c>
      <c r="J108" t="s">
        <v>756</v>
      </c>
    </row>
    <row r="109" spans="1:10" ht="15" hidden="1" customHeight="1">
      <c r="A109" s="71">
        <v>46111</v>
      </c>
      <c r="B109" t="s">
        <v>263</v>
      </c>
      <c r="C109" t="s">
        <v>754</v>
      </c>
      <c r="D109" s="3">
        <v>2885</v>
      </c>
      <c r="E109" t="s">
        <v>755</v>
      </c>
      <c r="G109" t="s">
        <v>23</v>
      </c>
      <c r="J109" t="s">
        <v>756</v>
      </c>
    </row>
    <row r="110" spans="1:10" ht="15" hidden="1" customHeight="1">
      <c r="A110" s="71">
        <v>46107</v>
      </c>
      <c r="B110" t="s">
        <v>420</v>
      </c>
      <c r="C110" t="s">
        <v>754</v>
      </c>
      <c r="D110" s="3">
        <v>8346</v>
      </c>
      <c r="E110" t="s">
        <v>755</v>
      </c>
      <c r="G110" t="s">
        <v>23</v>
      </c>
      <c r="J110" t="s">
        <v>756</v>
      </c>
    </row>
    <row r="111" spans="1:10" ht="15" hidden="1" customHeight="1">
      <c r="A111" s="71">
        <v>46104</v>
      </c>
      <c r="B111" t="s">
        <v>408</v>
      </c>
      <c r="C111" t="s">
        <v>754</v>
      </c>
      <c r="D111" s="3">
        <v>12775</v>
      </c>
      <c r="E111" t="s">
        <v>755</v>
      </c>
      <c r="G111" t="s">
        <v>51</v>
      </c>
      <c r="J111" t="s">
        <v>756</v>
      </c>
    </row>
    <row r="112" spans="1:10" ht="15" hidden="1" customHeight="1">
      <c r="A112" s="71">
        <v>46112</v>
      </c>
      <c r="B112" t="s">
        <v>188</v>
      </c>
      <c r="C112" t="s">
        <v>757</v>
      </c>
      <c r="D112" s="3">
        <v>342684</v>
      </c>
      <c r="E112" t="s">
        <v>755</v>
      </c>
      <c r="G112" t="s">
        <v>714</v>
      </c>
      <c r="J112" t="s">
        <v>756</v>
      </c>
    </row>
    <row r="113" spans="1:10" ht="15" hidden="1" customHeight="1">
      <c r="A113" s="71">
        <v>46099</v>
      </c>
      <c r="B113" t="s">
        <v>586</v>
      </c>
      <c r="C113" t="s">
        <v>757</v>
      </c>
      <c r="D113" s="3">
        <v>241448</v>
      </c>
      <c r="E113" t="s">
        <v>755</v>
      </c>
      <c r="G113" t="s">
        <v>23</v>
      </c>
      <c r="J113" t="s">
        <v>756</v>
      </c>
    </row>
    <row r="114" spans="1:10" ht="15" hidden="1" customHeight="1">
      <c r="A114" s="71">
        <v>46112</v>
      </c>
      <c r="B114" t="s">
        <v>623</v>
      </c>
      <c r="C114" t="s">
        <v>757</v>
      </c>
      <c r="D114" s="3">
        <v>306311</v>
      </c>
      <c r="E114" t="s">
        <v>755</v>
      </c>
      <c r="G114" t="s">
        <v>37</v>
      </c>
      <c r="J114" t="s">
        <v>756</v>
      </c>
    </row>
    <row r="115" spans="1:10" ht="15" hidden="1" customHeight="1">
      <c r="A115" s="71">
        <v>46113</v>
      </c>
      <c r="B115" t="s">
        <v>502</v>
      </c>
      <c r="C115" t="s">
        <v>757</v>
      </c>
      <c r="D115" s="3">
        <v>68137</v>
      </c>
      <c r="E115" t="s">
        <v>755</v>
      </c>
      <c r="G115" t="s">
        <v>33</v>
      </c>
      <c r="J115" t="s">
        <v>756</v>
      </c>
    </row>
    <row r="116" spans="1:10" ht="15" hidden="1" customHeight="1">
      <c r="A116" s="71">
        <v>46111</v>
      </c>
      <c r="B116" t="s">
        <v>253</v>
      </c>
      <c r="C116" t="s">
        <v>754</v>
      </c>
      <c r="D116" s="3">
        <v>4924</v>
      </c>
      <c r="E116" t="s">
        <v>755</v>
      </c>
      <c r="G116" t="s">
        <v>33</v>
      </c>
      <c r="J116" t="s">
        <v>756</v>
      </c>
    </row>
    <row r="117" spans="1:10" ht="15" hidden="1" customHeight="1">
      <c r="A117" s="71">
        <v>46120</v>
      </c>
      <c r="B117" t="s">
        <v>546</v>
      </c>
      <c r="C117" t="s">
        <v>757</v>
      </c>
      <c r="E117" t="s">
        <v>755</v>
      </c>
      <c r="G117" t="s">
        <v>766</v>
      </c>
    </row>
    <row r="118" spans="1:10" ht="15" hidden="1" customHeight="1">
      <c r="A118" s="71">
        <v>46118</v>
      </c>
      <c r="B118" t="s">
        <v>641</v>
      </c>
      <c r="C118" t="s">
        <v>757</v>
      </c>
      <c r="D118" s="3">
        <v>148168</v>
      </c>
      <c r="E118" t="s">
        <v>755</v>
      </c>
      <c r="G118" t="s">
        <v>37</v>
      </c>
      <c r="J118" t="s">
        <v>756</v>
      </c>
    </row>
    <row r="119" spans="1:10" ht="15" hidden="1" customHeight="1">
      <c r="A119" s="71">
        <v>46113</v>
      </c>
      <c r="B119" t="s">
        <v>12</v>
      </c>
      <c r="C119" t="s">
        <v>754</v>
      </c>
      <c r="D119" s="3">
        <v>2882</v>
      </c>
      <c r="E119" t="s">
        <v>755</v>
      </c>
      <c r="G119" t="s">
        <v>15</v>
      </c>
      <c r="J119" t="s">
        <v>756</v>
      </c>
    </row>
    <row r="120" spans="1:10" ht="15" hidden="1" customHeight="1">
      <c r="A120" s="71">
        <v>46118</v>
      </c>
      <c r="B120" t="s">
        <v>489</v>
      </c>
      <c r="C120" t="s">
        <v>757</v>
      </c>
      <c r="D120" s="3">
        <v>90200</v>
      </c>
      <c r="E120" t="s">
        <v>755</v>
      </c>
      <c r="G120" t="s">
        <v>761</v>
      </c>
    </row>
    <row r="121" spans="1:10" ht="15" hidden="1" customHeight="1">
      <c r="A121" s="71">
        <v>45944</v>
      </c>
      <c r="B121" t="s">
        <v>530</v>
      </c>
      <c r="C121" t="s">
        <v>757</v>
      </c>
      <c r="D121" s="3">
        <v>39117</v>
      </c>
      <c r="E121" t="s">
        <v>755</v>
      </c>
      <c r="G121" t="s">
        <v>766</v>
      </c>
      <c r="H121" t="s">
        <v>767</v>
      </c>
      <c r="I121" s="9">
        <v>405603</v>
      </c>
      <c r="J121" t="s">
        <v>756</v>
      </c>
    </row>
    <row r="122" spans="1:10" ht="15" hidden="1" customHeight="1">
      <c r="A122" s="71">
        <v>45986</v>
      </c>
      <c r="B122" t="s">
        <v>544</v>
      </c>
      <c r="C122" t="s">
        <v>757</v>
      </c>
      <c r="D122" s="3">
        <v>52833</v>
      </c>
      <c r="E122" t="s">
        <v>755</v>
      </c>
      <c r="G122" t="s">
        <v>766</v>
      </c>
      <c r="H122" t="s">
        <v>767</v>
      </c>
      <c r="I122" s="9">
        <v>546131</v>
      </c>
      <c r="J122" t="s">
        <v>756</v>
      </c>
    </row>
    <row r="123" spans="1:10" ht="15" hidden="1" customHeight="1">
      <c r="A123" s="71">
        <v>46118</v>
      </c>
      <c r="B123" t="s">
        <v>608</v>
      </c>
      <c r="C123" t="s">
        <v>757</v>
      </c>
      <c r="D123" s="3">
        <v>148444</v>
      </c>
      <c r="E123" t="s">
        <v>755</v>
      </c>
      <c r="J123" t="s">
        <v>756</v>
      </c>
    </row>
    <row r="124" spans="1:10" ht="15" hidden="1" customHeight="1">
      <c r="A124" s="71">
        <v>46093</v>
      </c>
      <c r="B124" t="s">
        <v>93</v>
      </c>
      <c r="C124" t="s">
        <v>754</v>
      </c>
      <c r="D124" s="3">
        <v>3693</v>
      </c>
      <c r="E124" t="s">
        <v>755</v>
      </c>
      <c r="J124" t="s">
        <v>756</v>
      </c>
    </row>
    <row r="125" spans="1:10" ht="15" hidden="1" customHeight="1">
      <c r="A125" s="71">
        <v>46108</v>
      </c>
      <c r="B125" t="s">
        <v>346</v>
      </c>
      <c r="C125" t="s">
        <v>754</v>
      </c>
      <c r="D125" s="3">
        <v>1974</v>
      </c>
      <c r="E125" t="s">
        <v>755</v>
      </c>
      <c r="J125" t="s">
        <v>756</v>
      </c>
    </row>
    <row r="126" spans="1:10" ht="15" hidden="1" customHeight="1">
      <c r="A126" s="71">
        <v>46121</v>
      </c>
      <c r="B126" t="s">
        <v>551</v>
      </c>
      <c r="C126" t="s">
        <v>757</v>
      </c>
      <c r="D126" s="3">
        <v>21224</v>
      </c>
      <c r="E126" t="s">
        <v>755</v>
      </c>
      <c r="G126" t="s">
        <v>766</v>
      </c>
      <c r="H126" t="s">
        <v>767</v>
      </c>
      <c r="I126" s="9">
        <v>499644</v>
      </c>
      <c r="J126" t="s">
        <v>756</v>
      </c>
    </row>
    <row r="127" spans="1:10" ht="15" hidden="1" customHeight="1">
      <c r="A127" s="71">
        <v>46121</v>
      </c>
      <c r="B127" t="s">
        <v>532</v>
      </c>
      <c r="C127" t="s">
        <v>757</v>
      </c>
      <c r="D127" s="3">
        <v>72423</v>
      </c>
      <c r="E127" t="s">
        <v>755</v>
      </c>
      <c r="G127" t="s">
        <v>766</v>
      </c>
      <c r="H127" t="s">
        <v>767</v>
      </c>
      <c r="I127" s="9">
        <v>607478</v>
      </c>
      <c r="J127" t="s">
        <v>756</v>
      </c>
    </row>
    <row r="128" spans="1:10" ht="15" hidden="1" customHeight="1">
      <c r="A128" s="71">
        <v>46121</v>
      </c>
      <c r="B128" t="s">
        <v>504</v>
      </c>
      <c r="C128" t="s">
        <v>757</v>
      </c>
      <c r="D128" s="3">
        <v>104090</v>
      </c>
      <c r="E128" t="s">
        <v>755</v>
      </c>
      <c r="G128" t="s">
        <v>37</v>
      </c>
      <c r="J128" t="s">
        <v>756</v>
      </c>
    </row>
    <row r="129" spans="1:10" ht="15" hidden="1" customHeight="1">
      <c r="A129" s="71">
        <v>46121</v>
      </c>
      <c r="B129" t="s">
        <v>313</v>
      </c>
      <c r="C129" t="s">
        <v>754</v>
      </c>
      <c r="D129" s="3">
        <v>21445</v>
      </c>
      <c r="E129" t="s">
        <v>755</v>
      </c>
      <c r="G129" t="s">
        <v>702</v>
      </c>
      <c r="J129" t="s">
        <v>756</v>
      </c>
    </row>
    <row r="130" spans="1:10" ht="15" hidden="1" customHeight="1">
      <c r="A130" s="71">
        <v>46125</v>
      </c>
      <c r="B130" t="s">
        <v>632</v>
      </c>
      <c r="C130" t="s">
        <v>757</v>
      </c>
      <c r="D130" s="3">
        <v>133477</v>
      </c>
      <c r="E130" t="s">
        <v>755</v>
      </c>
      <c r="G130" t="s">
        <v>37</v>
      </c>
      <c r="J130" t="s">
        <v>756</v>
      </c>
    </row>
    <row r="131" spans="1:10" ht="15" hidden="1" customHeight="1">
      <c r="A131" s="71">
        <v>46126</v>
      </c>
      <c r="B131" t="s">
        <v>498</v>
      </c>
      <c r="C131" t="s">
        <v>757</v>
      </c>
      <c r="D131" s="3">
        <v>117843</v>
      </c>
      <c r="E131" t="s">
        <v>755</v>
      </c>
      <c r="J131" t="s">
        <v>756</v>
      </c>
    </row>
    <row r="132" spans="1:10" ht="15" hidden="1" customHeight="1">
      <c r="A132" s="71">
        <v>46121</v>
      </c>
      <c r="B132" t="s">
        <v>122</v>
      </c>
      <c r="C132" t="s">
        <v>757</v>
      </c>
      <c r="D132" s="3">
        <v>67550</v>
      </c>
      <c r="E132" t="s">
        <v>755</v>
      </c>
      <c r="J132" t="s">
        <v>756</v>
      </c>
    </row>
    <row r="133" spans="1:10" ht="15" hidden="1" customHeight="1">
      <c r="A133" s="71">
        <v>46125</v>
      </c>
      <c r="B133" t="s">
        <v>423</v>
      </c>
      <c r="C133" t="s">
        <v>754</v>
      </c>
      <c r="D133" s="3">
        <v>5770</v>
      </c>
      <c r="E133" t="s">
        <v>755</v>
      </c>
      <c r="G133" t="s">
        <v>63</v>
      </c>
      <c r="J133" t="s">
        <v>756</v>
      </c>
    </row>
    <row r="134" spans="1:10" ht="15" hidden="1" customHeight="1">
      <c r="A134" s="71">
        <v>46106</v>
      </c>
      <c r="B134" t="s">
        <v>389</v>
      </c>
      <c r="C134" t="s">
        <v>754</v>
      </c>
      <c r="D134" s="3">
        <v>6071</v>
      </c>
      <c r="E134" t="s">
        <v>755</v>
      </c>
      <c r="G134" t="s">
        <v>37</v>
      </c>
      <c r="J134" t="s">
        <v>756</v>
      </c>
    </row>
    <row r="135" spans="1:10" ht="15" hidden="1" customHeight="1">
      <c r="A135" s="71">
        <v>46125</v>
      </c>
      <c r="B135" t="s">
        <v>19</v>
      </c>
      <c r="C135" t="s">
        <v>754</v>
      </c>
      <c r="D135" s="82">
        <v>10490</v>
      </c>
      <c r="E135" t="s">
        <v>755</v>
      </c>
      <c r="G135" t="s">
        <v>37</v>
      </c>
      <c r="J135" t="s">
        <v>756</v>
      </c>
    </row>
    <row r="136" spans="1:10" ht="15" hidden="1" customHeight="1">
      <c r="A136" s="71">
        <v>46121</v>
      </c>
      <c r="B136" t="s">
        <v>202</v>
      </c>
      <c r="C136" t="s">
        <v>754</v>
      </c>
      <c r="D136" s="3">
        <v>402</v>
      </c>
      <c r="E136" t="s">
        <v>755</v>
      </c>
      <c r="G136" t="s">
        <v>37</v>
      </c>
      <c r="J136" t="s">
        <v>756</v>
      </c>
    </row>
    <row r="137" spans="1:10" ht="15" hidden="1" customHeight="1">
      <c r="A137" s="71">
        <v>46120</v>
      </c>
      <c r="B137" t="s">
        <v>281</v>
      </c>
      <c r="C137" t="s">
        <v>754</v>
      </c>
      <c r="D137" s="3">
        <v>1540</v>
      </c>
      <c r="E137" t="s">
        <v>755</v>
      </c>
      <c r="J137" t="s">
        <v>756</v>
      </c>
    </row>
    <row r="138" spans="1:10" ht="15" hidden="1" customHeight="1">
      <c r="A138" s="71">
        <v>46124</v>
      </c>
      <c r="B138" t="s">
        <v>623</v>
      </c>
      <c r="C138" t="s">
        <v>757</v>
      </c>
      <c r="D138" s="3">
        <v>266000</v>
      </c>
      <c r="E138" t="s">
        <v>755</v>
      </c>
      <c r="G138" t="s">
        <v>15</v>
      </c>
      <c r="J138" t="s">
        <v>756</v>
      </c>
    </row>
    <row r="139" spans="1:10" ht="15" hidden="1" customHeight="1">
      <c r="A139" s="71">
        <v>46127</v>
      </c>
      <c r="B139" t="s">
        <v>662</v>
      </c>
      <c r="C139" t="s">
        <v>754</v>
      </c>
      <c r="D139" s="3">
        <v>867</v>
      </c>
      <c r="E139" t="s">
        <v>755</v>
      </c>
      <c r="G139" t="s">
        <v>15</v>
      </c>
      <c r="J139" t="s">
        <v>756</v>
      </c>
    </row>
    <row r="140" spans="1:10" ht="15" hidden="1" customHeight="1">
      <c r="A140" s="71">
        <v>46127</v>
      </c>
      <c r="B140" t="s">
        <v>32</v>
      </c>
      <c r="C140" t="s">
        <v>757</v>
      </c>
      <c r="D140" s="3">
        <v>10738</v>
      </c>
      <c r="E140" t="s">
        <v>755</v>
      </c>
      <c r="G140" t="s">
        <v>33</v>
      </c>
      <c r="J140" t="s">
        <v>756</v>
      </c>
    </row>
    <row r="141" spans="1:10" ht="15" hidden="1" customHeight="1">
      <c r="A141" s="71">
        <v>46132</v>
      </c>
      <c r="B141" t="s">
        <v>518</v>
      </c>
      <c r="C141" t="s">
        <v>757</v>
      </c>
      <c r="D141" s="3">
        <v>69677</v>
      </c>
      <c r="E141" t="s">
        <v>755</v>
      </c>
      <c r="G141" t="s">
        <v>33</v>
      </c>
      <c r="J141" t="s">
        <v>756</v>
      </c>
    </row>
    <row r="142" spans="1:10" ht="15" hidden="1" customHeight="1">
      <c r="A142" s="71">
        <v>46129</v>
      </c>
      <c r="B142" t="s">
        <v>603</v>
      </c>
      <c r="C142" t="s">
        <v>757</v>
      </c>
      <c r="D142" s="3">
        <v>170002</v>
      </c>
      <c r="E142" t="s">
        <v>755</v>
      </c>
      <c r="G142" t="s">
        <v>37</v>
      </c>
      <c r="J142" t="s">
        <v>756</v>
      </c>
    </row>
    <row r="143" spans="1:10" ht="15" hidden="1" customHeight="1">
      <c r="A143" s="71">
        <v>46129</v>
      </c>
      <c r="B143" t="s">
        <v>104</v>
      </c>
      <c r="C143" t="s">
        <v>757</v>
      </c>
      <c r="D143" s="3">
        <v>138500</v>
      </c>
      <c r="E143" t="s">
        <v>755</v>
      </c>
      <c r="G143" t="s">
        <v>37</v>
      </c>
      <c r="J143" t="s">
        <v>756</v>
      </c>
    </row>
    <row r="144" spans="1:10" ht="15" hidden="1" customHeight="1">
      <c r="A144" s="71">
        <v>46126</v>
      </c>
      <c r="B144" t="s">
        <v>636</v>
      </c>
      <c r="C144" t="s">
        <v>757</v>
      </c>
      <c r="D144" s="3">
        <v>98151</v>
      </c>
      <c r="E144" t="s">
        <v>755</v>
      </c>
      <c r="G144" t="s">
        <v>51</v>
      </c>
      <c r="J144" t="s">
        <v>756</v>
      </c>
    </row>
    <row r="145" spans="1:10" ht="15" hidden="1" customHeight="1">
      <c r="A145" s="71">
        <v>46100</v>
      </c>
      <c r="B145" t="s">
        <v>446</v>
      </c>
      <c r="C145" t="s">
        <v>754</v>
      </c>
      <c r="D145" s="3">
        <v>2360</v>
      </c>
      <c r="E145" t="s">
        <v>755</v>
      </c>
      <c r="J145" t="s">
        <v>756</v>
      </c>
    </row>
    <row r="146" spans="1:10" ht="15" hidden="1" customHeight="1">
      <c r="A146" s="71">
        <v>46133</v>
      </c>
      <c r="B146" t="s">
        <v>417</v>
      </c>
      <c r="C146" t="s">
        <v>754</v>
      </c>
      <c r="D146" s="3">
        <v>10453</v>
      </c>
      <c r="E146" t="s">
        <v>755</v>
      </c>
      <c r="G146" t="s">
        <v>33</v>
      </c>
      <c r="J146" t="s">
        <v>756</v>
      </c>
    </row>
    <row r="147" spans="1:10" ht="15" hidden="1" customHeight="1">
      <c r="A147" s="71">
        <v>46134</v>
      </c>
      <c r="B147" t="s">
        <v>268</v>
      </c>
      <c r="C147" t="s">
        <v>754</v>
      </c>
      <c r="D147" s="3">
        <v>10154</v>
      </c>
      <c r="E147" t="s">
        <v>755</v>
      </c>
      <c r="G147" t="s">
        <v>33</v>
      </c>
      <c r="J147" t="s">
        <v>756</v>
      </c>
    </row>
    <row r="148" spans="1:10" ht="15" hidden="1" customHeight="1">
      <c r="A148" s="71">
        <v>46135</v>
      </c>
      <c r="B148" t="s">
        <v>540</v>
      </c>
      <c r="C148" t="s">
        <v>757</v>
      </c>
      <c r="D148" s="3">
        <v>100657</v>
      </c>
      <c r="E148" t="s">
        <v>755</v>
      </c>
      <c r="G148" t="s">
        <v>37</v>
      </c>
      <c r="J148" t="s">
        <v>756</v>
      </c>
    </row>
    <row r="149" spans="1:10" ht="15" hidden="1" customHeight="1">
      <c r="A149" s="71">
        <v>46133</v>
      </c>
      <c r="B149" t="s">
        <v>434</v>
      </c>
      <c r="C149" t="s">
        <v>754</v>
      </c>
      <c r="D149" s="3">
        <v>10222</v>
      </c>
      <c r="E149" t="s">
        <v>755</v>
      </c>
      <c r="G149" t="s">
        <v>63</v>
      </c>
      <c r="J149" t="s">
        <v>756</v>
      </c>
    </row>
    <row r="150" spans="1:10" ht="15" hidden="1" customHeight="1">
      <c r="A150" s="71">
        <v>46132</v>
      </c>
      <c r="B150" t="s">
        <v>278</v>
      </c>
      <c r="C150" t="s">
        <v>754</v>
      </c>
      <c r="D150" s="3">
        <v>4308</v>
      </c>
      <c r="E150" t="s">
        <v>755</v>
      </c>
      <c r="G150" t="s">
        <v>63</v>
      </c>
      <c r="J150" t="s">
        <v>756</v>
      </c>
    </row>
    <row r="151" spans="1:10" ht="15" hidden="1" customHeight="1">
      <c r="A151" s="71">
        <v>46133</v>
      </c>
      <c r="B151" t="s">
        <v>360</v>
      </c>
      <c r="C151" t="s">
        <v>754</v>
      </c>
      <c r="D151" s="3">
        <v>7113</v>
      </c>
      <c r="E151" t="s">
        <v>755</v>
      </c>
      <c r="G151" t="s">
        <v>63</v>
      </c>
      <c r="J151" t="s">
        <v>756</v>
      </c>
    </row>
    <row r="152" spans="1:10" ht="15" hidden="1" customHeight="1">
      <c r="A152" s="71">
        <v>46136</v>
      </c>
      <c r="B152" t="s">
        <v>399</v>
      </c>
      <c r="C152" t="s">
        <v>754</v>
      </c>
      <c r="D152" s="3">
        <v>8705</v>
      </c>
      <c r="E152" t="s">
        <v>755</v>
      </c>
      <c r="G152" t="s">
        <v>33</v>
      </c>
      <c r="J152" t="s">
        <v>756</v>
      </c>
    </row>
    <row r="153" spans="1:10" ht="15" hidden="1" customHeight="1">
      <c r="A153" s="71">
        <v>46139</v>
      </c>
      <c r="B153" t="s">
        <v>509</v>
      </c>
      <c r="C153" t="s">
        <v>757</v>
      </c>
      <c r="D153" s="3">
        <v>73245</v>
      </c>
      <c r="E153" t="s">
        <v>755</v>
      </c>
      <c r="J153" t="s">
        <v>756</v>
      </c>
    </row>
    <row r="154" spans="1:10" ht="15" hidden="1" customHeight="1">
      <c r="A154" s="71">
        <v>46147</v>
      </c>
      <c r="B154" t="s">
        <v>443</v>
      </c>
      <c r="C154" t="s">
        <v>754</v>
      </c>
      <c r="D154" s="3">
        <v>2163</v>
      </c>
      <c r="E154" t="s">
        <v>755</v>
      </c>
      <c r="G154" t="s">
        <v>33</v>
      </c>
      <c r="H154" t="s">
        <v>46</v>
      </c>
      <c r="I154" s="86"/>
      <c r="J154" t="s">
        <v>756</v>
      </c>
    </row>
    <row r="155" spans="1:10" ht="15" hidden="1" customHeight="1">
      <c r="A155" s="71">
        <v>46146</v>
      </c>
      <c r="B155" t="s">
        <v>546</v>
      </c>
      <c r="C155" t="s">
        <v>757</v>
      </c>
      <c r="D155" s="3">
        <v>100000</v>
      </c>
      <c r="E155" t="s">
        <v>755</v>
      </c>
      <c r="G155" t="s">
        <v>769</v>
      </c>
      <c r="J155" t="s">
        <v>756</v>
      </c>
    </row>
    <row r="156" spans="1:10" ht="15" hidden="1" customHeight="1">
      <c r="A156" s="71">
        <v>46147</v>
      </c>
      <c r="B156" t="s">
        <v>65</v>
      </c>
      <c r="C156" t="s">
        <v>754</v>
      </c>
      <c r="D156" s="3">
        <v>4010</v>
      </c>
      <c r="E156" t="s">
        <v>755</v>
      </c>
      <c r="G156" t="s">
        <v>15</v>
      </c>
      <c r="J156" t="s">
        <v>756</v>
      </c>
    </row>
    <row r="157" spans="1:10" ht="15" hidden="1" customHeight="1">
      <c r="A157" s="71">
        <v>46147</v>
      </c>
      <c r="B157" t="s">
        <v>576</v>
      </c>
      <c r="C157" t="s">
        <v>757</v>
      </c>
      <c r="D157" s="3">
        <v>169260</v>
      </c>
      <c r="E157" t="s">
        <v>755</v>
      </c>
      <c r="G157" t="s">
        <v>15</v>
      </c>
      <c r="J157" t="s">
        <v>756</v>
      </c>
    </row>
    <row r="158" spans="1:10" ht="15" hidden="1" customHeight="1">
      <c r="A158" s="71">
        <v>46147</v>
      </c>
      <c r="B158" t="s">
        <v>460</v>
      </c>
      <c r="C158" t="s">
        <v>757</v>
      </c>
      <c r="D158" s="3">
        <v>99593</v>
      </c>
      <c r="E158" t="s">
        <v>755</v>
      </c>
      <c r="G158" t="s">
        <v>769</v>
      </c>
      <c r="J158" t="s">
        <v>756</v>
      </c>
    </row>
    <row r="159" spans="1:10" ht="15" hidden="1" customHeight="1">
      <c r="A159" s="71">
        <v>46141</v>
      </c>
      <c r="B159" t="s">
        <v>390</v>
      </c>
      <c r="C159" t="s">
        <v>754</v>
      </c>
      <c r="D159" s="3">
        <v>7968</v>
      </c>
      <c r="E159" t="s">
        <v>755</v>
      </c>
      <c r="G159" t="s">
        <v>769</v>
      </c>
      <c r="J159" t="s">
        <v>756</v>
      </c>
    </row>
    <row r="160" spans="1:10" ht="15" hidden="1" customHeight="1">
      <c r="A160" s="71">
        <v>46141</v>
      </c>
      <c r="B160" t="s">
        <v>581</v>
      </c>
      <c r="C160" t="s">
        <v>757</v>
      </c>
      <c r="D160" s="3">
        <v>158018</v>
      </c>
      <c r="E160" t="s">
        <v>755</v>
      </c>
      <c r="G160" t="s">
        <v>769</v>
      </c>
      <c r="J160" t="s">
        <v>756</v>
      </c>
    </row>
    <row r="161" spans="1:10" ht="15" hidden="1" customHeight="1">
      <c r="A161" s="71">
        <v>46141</v>
      </c>
      <c r="B161" t="s">
        <v>305</v>
      </c>
      <c r="C161" t="s">
        <v>754</v>
      </c>
      <c r="D161" s="3">
        <v>8832</v>
      </c>
      <c r="E161" t="s">
        <v>755</v>
      </c>
      <c r="G161" t="s">
        <v>63</v>
      </c>
      <c r="J161" t="s">
        <v>756</v>
      </c>
    </row>
    <row r="162" spans="1:10" ht="15" hidden="1" customHeight="1">
      <c r="A162" s="71">
        <v>46146</v>
      </c>
      <c r="B162" t="s">
        <v>451</v>
      </c>
      <c r="C162" t="s">
        <v>754</v>
      </c>
      <c r="D162" s="3">
        <v>1905</v>
      </c>
      <c r="E162" t="s">
        <v>755</v>
      </c>
      <c r="G162" t="s">
        <v>15</v>
      </c>
      <c r="J162" t="s">
        <v>756</v>
      </c>
    </row>
    <row r="163" spans="1:10" ht="15" hidden="1" customHeight="1">
      <c r="A163" s="71">
        <v>46146</v>
      </c>
      <c r="B163" t="s">
        <v>122</v>
      </c>
      <c r="C163" t="s">
        <v>757</v>
      </c>
      <c r="D163" s="3">
        <v>72839</v>
      </c>
      <c r="E163" t="s">
        <v>755</v>
      </c>
      <c r="G163" t="s">
        <v>769</v>
      </c>
      <c r="J163" t="s">
        <v>756</v>
      </c>
    </row>
    <row r="164" spans="1:10" ht="15" hidden="1" customHeight="1">
      <c r="A164" s="71">
        <v>46140</v>
      </c>
      <c r="B164" t="s">
        <v>427</v>
      </c>
      <c r="C164" t="s">
        <v>754</v>
      </c>
      <c r="D164" s="3">
        <v>596</v>
      </c>
      <c r="E164" t="s">
        <v>755</v>
      </c>
      <c r="G164" t="s">
        <v>23</v>
      </c>
      <c r="J164" t="s">
        <v>756</v>
      </c>
    </row>
    <row r="165" spans="1:10" ht="15" hidden="1" customHeight="1">
      <c r="A165" s="71">
        <v>46149</v>
      </c>
      <c r="B165" t="s">
        <v>171</v>
      </c>
      <c r="C165" t="s">
        <v>754</v>
      </c>
      <c r="D165" s="3">
        <v>8875</v>
      </c>
      <c r="E165" t="s">
        <v>755</v>
      </c>
      <c r="G165" t="s">
        <v>33</v>
      </c>
      <c r="J165" t="s">
        <v>756</v>
      </c>
    </row>
    <row r="166" spans="1:10" ht="15" hidden="1" customHeight="1">
      <c r="A166" s="71">
        <v>46106</v>
      </c>
      <c r="B166" t="s">
        <v>458</v>
      </c>
      <c r="C166" t="s">
        <v>754</v>
      </c>
      <c r="D166" s="3">
        <v>2277</v>
      </c>
      <c r="E166" t="s">
        <v>755</v>
      </c>
      <c r="G166" t="s">
        <v>33</v>
      </c>
      <c r="J166" t="s">
        <v>756</v>
      </c>
    </row>
    <row r="167" spans="1:10" ht="15" hidden="1" customHeight="1">
      <c r="A167" s="71">
        <v>46106</v>
      </c>
      <c r="B167" t="s">
        <v>411</v>
      </c>
      <c r="C167" t="s">
        <v>754</v>
      </c>
      <c r="D167" s="3">
        <v>4469</v>
      </c>
      <c r="E167" t="s">
        <v>755</v>
      </c>
      <c r="G167" t="s">
        <v>33</v>
      </c>
      <c r="J167" t="s">
        <v>756</v>
      </c>
    </row>
    <row r="168" spans="1:10" ht="15" hidden="1" customHeight="1">
      <c r="A168" s="71">
        <v>46154</v>
      </c>
      <c r="B168" t="s">
        <v>152</v>
      </c>
      <c r="C168" t="s">
        <v>757</v>
      </c>
      <c r="D168" s="3">
        <v>491662</v>
      </c>
      <c r="E168" t="s">
        <v>755</v>
      </c>
      <c r="G168" t="s">
        <v>769</v>
      </c>
      <c r="J168" t="s">
        <v>756</v>
      </c>
    </row>
    <row r="169" spans="1:10" ht="15" hidden="1" customHeight="1">
      <c r="A169" s="71">
        <v>46154</v>
      </c>
      <c r="B169" t="s">
        <v>301</v>
      </c>
      <c r="C169" t="s">
        <v>754</v>
      </c>
      <c r="D169" s="3">
        <v>8971</v>
      </c>
      <c r="E169" t="s">
        <v>755</v>
      </c>
      <c r="G169" t="s">
        <v>33</v>
      </c>
      <c r="J169" t="s">
        <v>756</v>
      </c>
    </row>
    <row r="170" spans="1:10" ht="15" hidden="1" customHeight="1">
      <c r="A170" s="71">
        <v>46154</v>
      </c>
      <c r="B170" t="s">
        <v>338</v>
      </c>
      <c r="C170" t="s">
        <v>754</v>
      </c>
      <c r="D170" s="3">
        <v>26181</v>
      </c>
      <c r="E170" t="s">
        <v>755</v>
      </c>
      <c r="G170" t="s">
        <v>33</v>
      </c>
      <c r="J170" t="s">
        <v>756</v>
      </c>
    </row>
    <row r="171" spans="1:10" ht="15" hidden="1" customHeight="1">
      <c r="A171" s="71">
        <v>46156</v>
      </c>
      <c r="B171" t="s">
        <v>536</v>
      </c>
      <c r="C171" t="s">
        <v>757</v>
      </c>
      <c r="D171" s="3">
        <v>83032</v>
      </c>
      <c r="E171" t="s">
        <v>755</v>
      </c>
      <c r="G171" t="s">
        <v>766</v>
      </c>
      <c r="H171" t="s">
        <v>767</v>
      </c>
      <c r="I171" s="9">
        <v>684542</v>
      </c>
      <c r="J171" t="s">
        <v>756</v>
      </c>
    </row>
    <row r="172" spans="1:10" ht="15" hidden="1" customHeight="1">
      <c r="A172" s="71">
        <v>46155</v>
      </c>
      <c r="B172" t="s">
        <v>530</v>
      </c>
      <c r="C172" t="s">
        <v>757</v>
      </c>
      <c r="D172" s="3">
        <v>72991</v>
      </c>
      <c r="E172" t="s">
        <v>755</v>
      </c>
      <c r="G172" t="s">
        <v>766</v>
      </c>
      <c r="H172" s="50" t="s">
        <v>767</v>
      </c>
      <c r="I172" s="9">
        <v>659905</v>
      </c>
      <c r="J172" t="s">
        <v>756</v>
      </c>
    </row>
    <row r="173" spans="1:10" ht="15" hidden="1" customHeight="1">
      <c r="A173" s="71">
        <v>46134</v>
      </c>
      <c r="B173" t="s">
        <v>526</v>
      </c>
      <c r="C173" t="s">
        <v>757</v>
      </c>
      <c r="D173" s="3">
        <v>58786</v>
      </c>
      <c r="E173" t="s">
        <v>755</v>
      </c>
      <c r="G173" t="s">
        <v>37</v>
      </c>
      <c r="J173" t="s">
        <v>756</v>
      </c>
    </row>
    <row r="174" spans="1:10" ht="15" hidden="1" customHeight="1">
      <c r="A174" s="71">
        <v>46133</v>
      </c>
      <c r="B174" t="s">
        <v>626</v>
      </c>
      <c r="C174" t="s">
        <v>757</v>
      </c>
      <c r="D174" s="3">
        <v>156473</v>
      </c>
      <c r="E174" t="s">
        <v>755</v>
      </c>
      <c r="F174" s="3">
        <v>16221</v>
      </c>
      <c r="G174" t="s">
        <v>769</v>
      </c>
      <c r="J174" t="s">
        <v>756</v>
      </c>
    </row>
    <row r="175" spans="1:10" ht="15" hidden="1" customHeight="1">
      <c r="A175" s="71">
        <v>46153</v>
      </c>
      <c r="B175" t="s">
        <v>359</v>
      </c>
      <c r="C175" t="s">
        <v>754</v>
      </c>
      <c r="D175" s="3">
        <v>8324</v>
      </c>
      <c r="E175" t="s">
        <v>755</v>
      </c>
      <c r="F175" s="3">
        <v>17197</v>
      </c>
      <c r="G175" t="s">
        <v>15</v>
      </c>
      <c r="J175" t="s">
        <v>756</v>
      </c>
    </row>
    <row r="176" spans="1:10" ht="15" hidden="1" customHeight="1">
      <c r="A176" s="71">
        <v>46150</v>
      </c>
      <c r="B176" t="s">
        <v>453</v>
      </c>
      <c r="C176" t="s">
        <v>754</v>
      </c>
      <c r="D176" s="3">
        <v>2012</v>
      </c>
      <c r="E176" t="s">
        <v>755</v>
      </c>
      <c r="F176" s="3">
        <v>1712</v>
      </c>
      <c r="G176" t="s">
        <v>15</v>
      </c>
      <c r="J176" t="s">
        <v>756</v>
      </c>
    </row>
    <row r="177" spans="1:10" ht="15" hidden="1" customHeight="1">
      <c r="A177" s="71">
        <v>46153</v>
      </c>
      <c r="B177" t="s">
        <v>293</v>
      </c>
      <c r="C177" t="s">
        <v>754</v>
      </c>
      <c r="D177" s="3">
        <v>1794</v>
      </c>
      <c r="E177" t="s">
        <v>755</v>
      </c>
      <c r="F177" s="3">
        <v>17198</v>
      </c>
      <c r="G177" t="s">
        <v>287</v>
      </c>
      <c r="J177" t="s">
        <v>756</v>
      </c>
    </row>
    <row r="178" spans="1:10" ht="15" hidden="1" customHeight="1">
      <c r="A178" s="71">
        <v>46155</v>
      </c>
      <c r="B178" t="s">
        <v>352</v>
      </c>
      <c r="C178" t="s">
        <v>754</v>
      </c>
      <c r="D178" s="3">
        <v>8627</v>
      </c>
      <c r="E178" t="s">
        <v>755</v>
      </c>
      <c r="F178" s="3">
        <v>17616</v>
      </c>
      <c r="G178" t="s">
        <v>769</v>
      </c>
      <c r="J178" t="s">
        <v>756</v>
      </c>
    </row>
    <row r="179" spans="1:10" ht="15" hidden="1" customHeight="1">
      <c r="A179" s="71">
        <v>46157</v>
      </c>
      <c r="B179" t="s">
        <v>91</v>
      </c>
      <c r="C179" t="s">
        <v>754</v>
      </c>
      <c r="D179" s="3">
        <v>3941</v>
      </c>
      <c r="E179" t="s">
        <v>755</v>
      </c>
      <c r="F179" s="3">
        <v>16604</v>
      </c>
      <c r="G179" t="s">
        <v>63</v>
      </c>
      <c r="J179" t="s">
        <v>756</v>
      </c>
    </row>
    <row r="180" spans="1:10" ht="15" hidden="1" customHeight="1">
      <c r="A180" s="71">
        <v>46155</v>
      </c>
      <c r="B180" t="s">
        <v>662</v>
      </c>
      <c r="C180" t="s">
        <v>754</v>
      </c>
      <c r="D180" s="3">
        <v>322</v>
      </c>
      <c r="E180" t="s">
        <v>755</v>
      </c>
      <c r="F180" s="3">
        <v>16602</v>
      </c>
      <c r="G180" t="s">
        <v>15</v>
      </c>
      <c r="J180" t="s">
        <v>756</v>
      </c>
    </row>
    <row r="181" spans="1:10" ht="15" hidden="1" customHeight="1">
      <c r="A181" s="71">
        <v>46160</v>
      </c>
      <c r="B181" t="s">
        <v>141</v>
      </c>
      <c r="C181" t="s">
        <v>754</v>
      </c>
      <c r="D181" s="3">
        <v>1944</v>
      </c>
      <c r="E181" t="s">
        <v>755</v>
      </c>
      <c r="F181" s="3">
        <v>16342</v>
      </c>
      <c r="G181" t="s">
        <v>33</v>
      </c>
      <c r="J181" t="s">
        <v>756</v>
      </c>
    </row>
    <row r="182" spans="1:10" ht="15" hidden="1" customHeight="1">
      <c r="A182" s="71">
        <v>46162</v>
      </c>
      <c r="B182" t="s">
        <v>138</v>
      </c>
      <c r="C182" t="s">
        <v>754</v>
      </c>
      <c r="D182" s="3">
        <v>34909</v>
      </c>
      <c r="E182" t="s">
        <v>755</v>
      </c>
      <c r="F182" s="3">
        <v>16351</v>
      </c>
      <c r="G182" t="s">
        <v>33</v>
      </c>
      <c r="J182" t="s">
        <v>756</v>
      </c>
    </row>
    <row r="183" spans="1:10" ht="15" hidden="1" customHeight="1">
      <c r="A183" s="71">
        <v>46167</v>
      </c>
      <c r="B183" t="s">
        <v>60</v>
      </c>
      <c r="C183" t="s">
        <v>754</v>
      </c>
      <c r="D183" s="3">
        <v>802920</v>
      </c>
      <c r="E183" t="s">
        <v>755</v>
      </c>
      <c r="F183" s="3">
        <v>16612</v>
      </c>
      <c r="G183" t="s">
        <v>15</v>
      </c>
      <c r="J183" t="s">
        <v>756</v>
      </c>
    </row>
    <row r="184" spans="1:10" ht="15" hidden="1" customHeight="1">
      <c r="A184" s="71">
        <v>46161</v>
      </c>
      <c r="B184" t="s">
        <v>464</v>
      </c>
      <c r="C184" t="s">
        <v>757</v>
      </c>
      <c r="D184" s="3">
        <v>116347</v>
      </c>
      <c r="E184" t="s">
        <v>755</v>
      </c>
      <c r="F184" s="3">
        <v>17205</v>
      </c>
      <c r="G184" t="s">
        <v>769</v>
      </c>
      <c r="J184" t="s">
        <v>756</v>
      </c>
    </row>
    <row r="185" spans="1:10" ht="15" hidden="1" customHeight="1">
      <c r="A185" s="71">
        <v>46167</v>
      </c>
      <c r="B185" t="s">
        <v>516</v>
      </c>
      <c r="C185" t="s">
        <v>757</v>
      </c>
      <c r="D185" s="3">
        <v>63698</v>
      </c>
      <c r="E185" t="s">
        <v>755</v>
      </c>
      <c r="F185" s="3">
        <v>17208</v>
      </c>
      <c r="G185" t="s">
        <v>769</v>
      </c>
      <c r="J185" t="s">
        <v>756</v>
      </c>
    </row>
    <row r="186" spans="1:10" ht="15" customHeight="1">
      <c r="A186" s="71">
        <v>46167</v>
      </c>
      <c r="B186" t="s">
        <v>542</v>
      </c>
      <c r="C186" t="s">
        <v>757</v>
      </c>
      <c r="D186" s="3">
        <v>53548</v>
      </c>
      <c r="E186" t="s">
        <v>755</v>
      </c>
      <c r="F186" s="3">
        <v>17209</v>
      </c>
      <c r="G186" t="s">
        <v>769</v>
      </c>
      <c r="H186" t="s">
        <v>495</v>
      </c>
      <c r="I186" s="9">
        <v>0</v>
      </c>
      <c r="J186" t="s">
        <v>756</v>
      </c>
    </row>
    <row r="187" spans="1:10" ht="15" hidden="1" customHeight="1">
      <c r="A187" s="71">
        <v>46162</v>
      </c>
      <c r="B187" t="s">
        <v>185</v>
      </c>
      <c r="C187" t="s">
        <v>757</v>
      </c>
      <c r="D187" s="3">
        <v>120593</v>
      </c>
      <c r="E187" t="s">
        <v>755</v>
      </c>
      <c r="F187" s="3">
        <v>15125</v>
      </c>
      <c r="G187" t="s">
        <v>769</v>
      </c>
      <c r="J187" t="s">
        <v>756</v>
      </c>
    </row>
    <row r="188" spans="1:10" ht="15" hidden="1" customHeight="1">
      <c r="A188" s="71">
        <v>46162</v>
      </c>
      <c r="B188" t="s">
        <v>511</v>
      </c>
      <c r="C188" t="s">
        <v>757</v>
      </c>
      <c r="D188" s="3">
        <v>57384</v>
      </c>
      <c r="E188" t="s">
        <v>755</v>
      </c>
      <c r="F188" s="3">
        <v>15126</v>
      </c>
      <c r="G188" t="s">
        <v>769</v>
      </c>
      <c r="J188" t="s">
        <v>756</v>
      </c>
    </row>
    <row r="189" spans="1:10" ht="15" hidden="1" customHeight="1">
      <c r="A189" s="71">
        <v>46161</v>
      </c>
      <c r="B189" t="s">
        <v>433</v>
      </c>
      <c r="C189" t="s">
        <v>754</v>
      </c>
      <c r="D189" s="3">
        <v>6689</v>
      </c>
      <c r="E189" t="s">
        <v>755</v>
      </c>
      <c r="F189" s="3">
        <v>16607</v>
      </c>
      <c r="G189" t="s">
        <v>770</v>
      </c>
      <c r="J189" t="s">
        <v>756</v>
      </c>
    </row>
    <row r="190" spans="1:10" ht="15" hidden="1" customHeight="1">
      <c r="A190" s="71">
        <v>46162</v>
      </c>
      <c r="B190" t="s">
        <v>307</v>
      </c>
      <c r="C190" t="s">
        <v>754</v>
      </c>
      <c r="D190" s="3">
        <v>14740</v>
      </c>
      <c r="E190" t="s">
        <v>755</v>
      </c>
      <c r="F190" s="3">
        <v>16610</v>
      </c>
      <c r="G190" t="s">
        <v>15</v>
      </c>
      <c r="J190" t="s">
        <v>756</v>
      </c>
    </row>
    <row r="191" spans="1:10" ht="15" hidden="1" customHeight="1">
      <c r="A191" s="71">
        <v>46161</v>
      </c>
      <c r="B191" t="s">
        <v>647</v>
      </c>
      <c r="C191" t="s">
        <v>757</v>
      </c>
      <c r="D191" s="3">
        <v>98889</v>
      </c>
      <c r="E191" t="s">
        <v>755</v>
      </c>
      <c r="F191" s="3">
        <v>19000</v>
      </c>
      <c r="G191" t="s">
        <v>769</v>
      </c>
      <c r="J191" t="s">
        <v>756</v>
      </c>
    </row>
    <row r="192" spans="1:10" ht="15" hidden="1" customHeight="1">
      <c r="A192" s="71">
        <v>46169</v>
      </c>
      <c r="B192" t="s">
        <v>371</v>
      </c>
      <c r="C192" t="s">
        <v>754</v>
      </c>
      <c r="D192" s="3">
        <v>17000</v>
      </c>
      <c r="E192" t="s">
        <v>755</v>
      </c>
      <c r="G192" t="s">
        <v>33</v>
      </c>
      <c r="J192" t="s">
        <v>756</v>
      </c>
    </row>
    <row r="193" spans="1:10" ht="15" hidden="1" customHeight="1">
      <c r="A193" s="71">
        <v>46169</v>
      </c>
      <c r="B193" t="s">
        <v>263</v>
      </c>
      <c r="C193" t="s">
        <v>757</v>
      </c>
      <c r="D193" s="3">
        <v>3193</v>
      </c>
      <c r="E193" t="s">
        <v>755</v>
      </c>
      <c r="F193" s="3">
        <v>16615</v>
      </c>
      <c r="G193" t="s">
        <v>327</v>
      </c>
      <c r="J193" t="s">
        <v>756</v>
      </c>
    </row>
    <row r="194" spans="1:10" ht="15" hidden="1" customHeight="1">
      <c r="A194" s="71">
        <v>46168</v>
      </c>
      <c r="B194" t="s">
        <v>128</v>
      </c>
      <c r="C194" t="s">
        <v>757</v>
      </c>
      <c r="D194" s="3">
        <v>5845</v>
      </c>
      <c r="E194" t="s">
        <v>755</v>
      </c>
      <c r="G194" t="s">
        <v>15</v>
      </c>
      <c r="J194" t="s">
        <v>756</v>
      </c>
    </row>
    <row r="195" spans="1:10" ht="15" hidden="1" customHeight="1">
      <c r="A195" s="71">
        <v>46133</v>
      </c>
      <c r="B195" t="s">
        <v>74</v>
      </c>
      <c r="C195" t="s">
        <v>757</v>
      </c>
      <c r="E195" t="s">
        <v>755</v>
      </c>
      <c r="F195" s="3">
        <v>15118</v>
      </c>
      <c r="G195" t="s">
        <v>37</v>
      </c>
      <c r="J195" t="s">
        <v>756</v>
      </c>
    </row>
    <row r="196" spans="1:10" ht="15" hidden="1" customHeight="1">
      <c r="A196" s="71">
        <v>46177</v>
      </c>
      <c r="B196" t="s">
        <v>554</v>
      </c>
      <c r="C196" t="s">
        <v>757</v>
      </c>
      <c r="D196" s="3">
        <v>31381</v>
      </c>
      <c r="E196" t="s">
        <v>755</v>
      </c>
      <c r="G196" t="s">
        <v>771</v>
      </c>
      <c r="H196" s="50" t="s">
        <v>767</v>
      </c>
      <c r="I196" s="9">
        <v>598471</v>
      </c>
      <c r="J196" t="s">
        <v>756</v>
      </c>
    </row>
    <row r="197" spans="1:10" ht="15" hidden="1" customHeight="1">
      <c r="A197" s="71">
        <v>46177</v>
      </c>
      <c r="B197" t="s">
        <v>551</v>
      </c>
      <c r="C197" t="s">
        <v>757</v>
      </c>
      <c r="D197" s="3">
        <v>32100</v>
      </c>
      <c r="E197" t="s">
        <v>755</v>
      </c>
      <c r="G197" t="s">
        <v>771</v>
      </c>
      <c r="H197" s="50" t="s">
        <v>767</v>
      </c>
      <c r="I197" s="9">
        <v>383324</v>
      </c>
      <c r="J197" t="s">
        <v>756</v>
      </c>
    </row>
    <row r="198" spans="1:10" ht="15" hidden="1" customHeight="1">
      <c r="A198" s="71">
        <v>46178</v>
      </c>
      <c r="B198" t="s">
        <v>538</v>
      </c>
      <c r="C198" t="s">
        <v>757</v>
      </c>
      <c r="D198" s="3">
        <v>98990</v>
      </c>
      <c r="E198" t="s">
        <v>755</v>
      </c>
      <c r="G198" t="s">
        <v>769</v>
      </c>
      <c r="J198" t="s">
        <v>756</v>
      </c>
    </row>
    <row r="199" spans="1:10" ht="15" hidden="1" customHeight="1">
      <c r="A199" s="71">
        <v>46181</v>
      </c>
      <c r="B199" t="s">
        <v>556</v>
      </c>
      <c r="C199" t="s">
        <v>757</v>
      </c>
      <c r="D199" s="3">
        <v>33065</v>
      </c>
      <c r="E199" t="s">
        <v>755</v>
      </c>
      <c r="G199" t="s">
        <v>771</v>
      </c>
      <c r="H199" s="50" t="s">
        <v>767</v>
      </c>
      <c r="I199" s="9">
        <v>330257</v>
      </c>
      <c r="J199" t="s">
        <v>756</v>
      </c>
    </row>
    <row r="200" spans="1:10" ht="15" hidden="1" customHeight="1">
      <c r="A200" s="71">
        <v>46181</v>
      </c>
      <c r="B200" t="s">
        <v>641</v>
      </c>
      <c r="C200" t="s">
        <v>757</v>
      </c>
      <c r="D200" s="3">
        <v>159017</v>
      </c>
      <c r="E200" t="s">
        <v>755</v>
      </c>
      <c r="G200" t="s">
        <v>769</v>
      </c>
      <c r="J200" t="s">
        <v>756</v>
      </c>
    </row>
    <row r="201" spans="1:10" ht="15" hidden="1" customHeight="1">
      <c r="A201" s="71">
        <v>46174</v>
      </c>
      <c r="B201" t="s">
        <v>122</v>
      </c>
      <c r="C201" t="s">
        <v>757</v>
      </c>
      <c r="D201" s="3">
        <v>78050</v>
      </c>
      <c r="E201" t="s">
        <v>755</v>
      </c>
      <c r="G201" t="s">
        <v>769</v>
      </c>
      <c r="J201" t="s">
        <v>756</v>
      </c>
    </row>
    <row r="202" spans="1:10" ht="15" hidden="1" customHeight="1">
      <c r="A202" s="71">
        <v>46184</v>
      </c>
      <c r="B202" t="s">
        <v>544</v>
      </c>
      <c r="C202" t="s">
        <v>757</v>
      </c>
      <c r="D202" s="3">
        <v>66289</v>
      </c>
      <c r="E202" t="s">
        <v>755</v>
      </c>
      <c r="G202" t="s">
        <v>766</v>
      </c>
      <c r="H202" s="50" t="s">
        <v>767</v>
      </c>
      <c r="I202" s="9">
        <v>574406</v>
      </c>
      <c r="J202" t="s">
        <v>756</v>
      </c>
    </row>
    <row r="203" spans="1:10" ht="15" hidden="1" customHeight="1">
      <c r="A203" s="71">
        <v>46112</v>
      </c>
      <c r="B203" t="s">
        <v>620</v>
      </c>
      <c r="C203" t="s">
        <v>757</v>
      </c>
      <c r="D203" s="3">
        <v>306311</v>
      </c>
      <c r="E203" t="s">
        <v>755</v>
      </c>
      <c r="G203" t="s">
        <v>769</v>
      </c>
      <c r="J203" t="s">
        <v>756</v>
      </c>
    </row>
    <row r="204" spans="1:10" ht="15" hidden="1" customHeight="1">
      <c r="A204" s="71">
        <v>46174</v>
      </c>
      <c r="B204" t="s">
        <v>643</v>
      </c>
      <c r="C204" t="s">
        <v>757</v>
      </c>
      <c r="D204" s="3">
        <v>139746</v>
      </c>
      <c r="E204" t="s">
        <v>755</v>
      </c>
      <c r="G204" t="s">
        <v>769</v>
      </c>
      <c r="J204" t="s">
        <v>756</v>
      </c>
    </row>
    <row r="205" spans="1:10" ht="15" hidden="1" customHeight="1">
      <c r="A205" s="71">
        <v>46182</v>
      </c>
      <c r="B205" t="s">
        <v>498</v>
      </c>
      <c r="C205" t="s">
        <v>757</v>
      </c>
      <c r="D205" s="3">
        <v>128642</v>
      </c>
      <c r="E205" t="s">
        <v>755</v>
      </c>
      <c r="G205" t="s">
        <v>769</v>
      </c>
      <c r="J205" t="s">
        <v>756</v>
      </c>
    </row>
    <row r="206" spans="1:10" ht="15" hidden="1" customHeight="1">
      <c r="A206" s="71">
        <v>46175</v>
      </c>
      <c r="B206" t="s">
        <v>249</v>
      </c>
      <c r="C206" t="s">
        <v>757</v>
      </c>
      <c r="D206" s="3">
        <v>6700</v>
      </c>
      <c r="E206" t="s">
        <v>755</v>
      </c>
      <c r="G206" t="s">
        <v>287</v>
      </c>
      <c r="J206" t="s">
        <v>756</v>
      </c>
    </row>
    <row r="207" spans="1:10" ht="15" hidden="1" customHeight="1">
      <c r="A207" s="71">
        <v>46178</v>
      </c>
      <c r="B207" t="s">
        <v>169</v>
      </c>
      <c r="C207" t="s">
        <v>757</v>
      </c>
      <c r="D207" s="3">
        <v>2325</v>
      </c>
      <c r="E207" t="s">
        <v>755</v>
      </c>
      <c r="G207" t="s">
        <v>316</v>
      </c>
      <c r="J207" t="s">
        <v>756</v>
      </c>
    </row>
    <row r="208" spans="1:10" ht="15" hidden="1" customHeight="1">
      <c r="A208" s="71">
        <v>46175</v>
      </c>
      <c r="B208" t="s">
        <v>29</v>
      </c>
      <c r="C208" t="s">
        <v>757</v>
      </c>
      <c r="D208" s="3">
        <v>9025</v>
      </c>
      <c r="E208" t="s">
        <v>755</v>
      </c>
      <c r="G208" t="s">
        <v>287</v>
      </c>
      <c r="J208" t="s">
        <v>756</v>
      </c>
    </row>
    <row r="209" spans="1:10" ht="15" hidden="1" customHeight="1">
      <c r="A209" s="71">
        <v>46183</v>
      </c>
      <c r="B209" s="50" t="s">
        <v>101</v>
      </c>
      <c r="C209" t="s">
        <v>757</v>
      </c>
      <c r="D209" s="3">
        <v>57380</v>
      </c>
      <c r="E209" t="s">
        <v>755</v>
      </c>
      <c r="G209" t="s">
        <v>769</v>
      </c>
      <c r="J209" t="s">
        <v>756</v>
      </c>
    </row>
    <row r="210" spans="1:10" ht="15" hidden="1" customHeight="1">
      <c r="A210" s="71">
        <v>46183</v>
      </c>
      <c r="B210" t="s">
        <v>634</v>
      </c>
      <c r="C210" t="s">
        <v>757</v>
      </c>
      <c r="D210" s="3">
        <v>120039</v>
      </c>
      <c r="E210" t="s">
        <v>755</v>
      </c>
      <c r="G210" t="s">
        <v>769</v>
      </c>
      <c r="J210" t="s">
        <v>756</v>
      </c>
    </row>
    <row r="211" spans="1:10" ht="15" hidden="1" customHeight="1">
      <c r="A211" s="71">
        <v>46185</v>
      </c>
      <c r="B211" t="s">
        <v>341</v>
      </c>
      <c r="C211" t="s">
        <v>757</v>
      </c>
      <c r="D211" s="3">
        <v>12021</v>
      </c>
      <c r="E211" t="s">
        <v>755</v>
      </c>
      <c r="G211" t="s">
        <v>287</v>
      </c>
      <c r="J211" t="s">
        <v>756</v>
      </c>
    </row>
    <row r="212" spans="1:10" ht="15" hidden="1" customHeight="1">
      <c r="A212" s="71">
        <v>46183</v>
      </c>
      <c r="B212" t="s">
        <v>389</v>
      </c>
      <c r="C212" t="s">
        <v>757</v>
      </c>
      <c r="D212" s="3">
        <v>6322</v>
      </c>
      <c r="E212" t="s">
        <v>755</v>
      </c>
      <c r="G212" t="s">
        <v>51</v>
      </c>
      <c r="J212" t="s">
        <v>756</v>
      </c>
    </row>
    <row r="213" spans="1:10" ht="15" hidden="1" customHeight="1">
      <c r="A213" s="71">
        <v>46181</v>
      </c>
      <c r="B213" t="s">
        <v>180</v>
      </c>
      <c r="C213" t="s">
        <v>757</v>
      </c>
      <c r="D213" s="3">
        <v>9251</v>
      </c>
      <c r="E213" t="s">
        <v>755</v>
      </c>
      <c r="G213" t="s">
        <v>33</v>
      </c>
      <c r="J213" t="s">
        <v>756</v>
      </c>
    </row>
    <row r="214" spans="1:10" ht="15" hidden="1" customHeight="1">
      <c r="A214" s="71">
        <v>46188</v>
      </c>
      <c r="B214" t="s">
        <v>606</v>
      </c>
      <c r="C214" t="s">
        <v>757</v>
      </c>
      <c r="D214" s="3">
        <v>157161</v>
      </c>
      <c r="E214" t="s">
        <v>755</v>
      </c>
      <c r="G214" t="s">
        <v>769</v>
      </c>
      <c r="J214" t="s">
        <v>756</v>
      </c>
    </row>
    <row r="215" spans="1:10" ht="15" hidden="1" customHeight="1">
      <c r="A215" s="71">
        <v>45533</v>
      </c>
      <c r="B215" t="s">
        <v>311</v>
      </c>
      <c r="C215" t="s">
        <v>754</v>
      </c>
      <c r="D215" s="3">
        <v>1303</v>
      </c>
      <c r="E215" t="s">
        <v>755</v>
      </c>
      <c r="G215" t="s">
        <v>772</v>
      </c>
      <c r="J215" t="s">
        <v>756</v>
      </c>
    </row>
    <row r="216" spans="1:10" ht="15" hidden="1" customHeight="1">
      <c r="A216" s="71">
        <v>46168</v>
      </c>
      <c r="B216" t="s">
        <v>547</v>
      </c>
      <c r="C216" t="s">
        <v>757</v>
      </c>
      <c r="D216" s="3">
        <v>41871</v>
      </c>
      <c r="E216" t="s">
        <v>755</v>
      </c>
      <c r="J216" t="s">
        <v>756</v>
      </c>
    </row>
    <row r="217" spans="1:10" ht="15" hidden="1" customHeight="1">
      <c r="A217" s="71">
        <v>46188</v>
      </c>
      <c r="B217" t="s">
        <v>524</v>
      </c>
      <c r="C217" t="s">
        <v>757</v>
      </c>
      <c r="D217" s="3">
        <v>96425</v>
      </c>
      <c r="E217" t="s">
        <v>755</v>
      </c>
      <c r="F217" s="3">
        <v>17224</v>
      </c>
      <c r="G217" t="s">
        <v>37</v>
      </c>
      <c r="J217" t="s">
        <v>756</v>
      </c>
    </row>
    <row r="218" spans="1:10" ht="15" hidden="1" customHeight="1">
      <c r="A218" s="71">
        <v>46189</v>
      </c>
      <c r="B218" t="s">
        <v>522</v>
      </c>
      <c r="C218" t="s">
        <v>757</v>
      </c>
      <c r="D218" s="3">
        <v>51036</v>
      </c>
      <c r="E218" t="s">
        <v>755</v>
      </c>
      <c r="F218" s="3">
        <v>17226</v>
      </c>
      <c r="G218" t="s">
        <v>37</v>
      </c>
      <c r="J218" t="s">
        <v>756</v>
      </c>
    </row>
    <row r="219" spans="1:10" ht="15" hidden="1" customHeight="1">
      <c r="A219" s="71">
        <v>46189</v>
      </c>
      <c r="B219" t="s">
        <v>615</v>
      </c>
      <c r="C219" t="s">
        <v>757</v>
      </c>
      <c r="D219" s="3">
        <v>324561</v>
      </c>
      <c r="E219" t="s">
        <v>755</v>
      </c>
      <c r="G219" t="s">
        <v>37</v>
      </c>
      <c r="J219" t="s">
        <v>756</v>
      </c>
    </row>
    <row r="220" spans="1:10" ht="15" hidden="1" customHeight="1">
      <c r="A220" s="71">
        <v>46192</v>
      </c>
      <c r="B220" t="s">
        <v>136</v>
      </c>
      <c r="C220" t="s">
        <v>757</v>
      </c>
      <c r="D220" s="3">
        <v>306826</v>
      </c>
      <c r="E220" t="s">
        <v>755</v>
      </c>
      <c r="G220" t="s">
        <v>33</v>
      </c>
      <c r="J220" t="s">
        <v>756</v>
      </c>
    </row>
    <row r="221" spans="1:10" ht="15" hidden="1" customHeight="1">
      <c r="A221" s="71">
        <v>46188</v>
      </c>
      <c r="B221" t="s">
        <v>639</v>
      </c>
      <c r="C221" t="s">
        <v>757</v>
      </c>
      <c r="D221" s="3">
        <v>103809</v>
      </c>
      <c r="E221" t="s">
        <v>755</v>
      </c>
      <c r="G221" t="s">
        <v>33</v>
      </c>
      <c r="J221" t="s">
        <v>756</v>
      </c>
    </row>
    <row r="222" spans="1:10" ht="15" hidden="1" customHeight="1">
      <c r="A222" s="71">
        <v>46196</v>
      </c>
      <c r="B222" t="s">
        <v>143</v>
      </c>
      <c r="C222" t="s">
        <v>757</v>
      </c>
      <c r="D222" s="3">
        <v>811356</v>
      </c>
      <c r="E222" t="s">
        <v>755</v>
      </c>
      <c r="G222" t="s">
        <v>33</v>
      </c>
      <c r="J222" t="s">
        <v>756</v>
      </c>
    </row>
    <row r="223" spans="1:10" ht="15" hidden="1" customHeight="1">
      <c r="A223" s="71">
        <v>46197</v>
      </c>
      <c r="B223" t="s">
        <v>458</v>
      </c>
      <c r="C223" t="s">
        <v>757</v>
      </c>
      <c r="D223" s="3">
        <v>2589</v>
      </c>
      <c r="E223" t="s">
        <v>755</v>
      </c>
      <c r="G223" t="s">
        <v>33</v>
      </c>
      <c r="J223" t="s">
        <v>756</v>
      </c>
    </row>
    <row r="224" spans="1:10" ht="15" hidden="1" customHeight="1">
      <c r="A224" s="71">
        <v>46198</v>
      </c>
      <c r="B224" t="s">
        <v>502</v>
      </c>
      <c r="C224" t="s">
        <v>757</v>
      </c>
      <c r="D224" s="3">
        <v>78356</v>
      </c>
      <c r="E224" t="s">
        <v>755</v>
      </c>
      <c r="G224" t="s">
        <v>33</v>
      </c>
      <c r="J224" t="s">
        <v>756</v>
      </c>
    </row>
    <row r="225" spans="1:10" ht="15" hidden="1" customHeight="1">
      <c r="A225" s="71">
        <v>46188</v>
      </c>
      <c r="B225" t="s">
        <v>86</v>
      </c>
      <c r="C225" t="s">
        <v>757</v>
      </c>
      <c r="D225" s="3">
        <v>3699</v>
      </c>
      <c r="E225" t="s">
        <v>755</v>
      </c>
      <c r="G225" t="s">
        <v>33</v>
      </c>
      <c r="J225" t="s">
        <v>756</v>
      </c>
    </row>
    <row r="226" spans="1:10" ht="15" hidden="1" customHeight="1">
      <c r="A226" s="71">
        <v>46195</v>
      </c>
      <c r="B226" t="s">
        <v>608</v>
      </c>
      <c r="C226" t="s">
        <v>757</v>
      </c>
      <c r="D226" s="3">
        <v>158877</v>
      </c>
      <c r="E226" t="s">
        <v>755</v>
      </c>
      <c r="G226" t="s">
        <v>33</v>
      </c>
      <c r="J226" t="s">
        <v>756</v>
      </c>
    </row>
    <row r="227" spans="1:10" ht="15" hidden="1" customHeight="1">
      <c r="A227" s="71">
        <v>46181</v>
      </c>
      <c r="B227" t="s">
        <v>36</v>
      </c>
      <c r="C227" t="s">
        <v>754</v>
      </c>
      <c r="D227" s="3">
        <v>10974</v>
      </c>
      <c r="E227" t="s">
        <v>755</v>
      </c>
      <c r="G227" t="s">
        <v>37</v>
      </c>
      <c r="J227" t="s">
        <v>756</v>
      </c>
    </row>
    <row r="228" spans="1:10" ht="15" hidden="1" customHeight="1">
      <c r="A228" s="71">
        <v>46199</v>
      </c>
      <c r="B228" t="s">
        <v>557</v>
      </c>
      <c r="C228" t="s">
        <v>757</v>
      </c>
      <c r="D228" s="3">
        <v>38968</v>
      </c>
      <c r="E228" t="s">
        <v>755</v>
      </c>
      <c r="G228" t="s">
        <v>766</v>
      </c>
      <c r="H228" s="50" t="s">
        <v>767</v>
      </c>
      <c r="I228" s="9">
        <v>351950</v>
      </c>
      <c r="J228" t="s">
        <v>756</v>
      </c>
    </row>
    <row r="229" spans="1:10" ht="15" hidden="1" customHeight="1">
      <c r="A229" s="71">
        <v>46203</v>
      </c>
      <c r="B229" t="s">
        <v>628</v>
      </c>
      <c r="C229" t="s">
        <v>757</v>
      </c>
      <c r="D229" s="3">
        <v>134647</v>
      </c>
      <c r="E229" t="s">
        <v>755</v>
      </c>
      <c r="G229" t="s">
        <v>33</v>
      </c>
      <c r="J229" t="s">
        <v>756</v>
      </c>
    </row>
    <row r="230" spans="1:10" ht="15" hidden="1" customHeight="1">
      <c r="A230" s="71">
        <v>46199</v>
      </c>
      <c r="B230" t="s">
        <v>449</v>
      </c>
      <c r="C230" t="s">
        <v>757</v>
      </c>
      <c r="D230" s="3">
        <v>2078</v>
      </c>
      <c r="E230" t="s">
        <v>755</v>
      </c>
      <c r="G230" t="s">
        <v>63</v>
      </c>
      <c r="J230" t="s">
        <v>756</v>
      </c>
    </row>
    <row r="231" spans="1:10" ht="15" hidden="1" customHeight="1">
      <c r="A231" s="71">
        <v>46205</v>
      </c>
      <c r="B231" t="s">
        <v>411</v>
      </c>
      <c r="C231" t="s">
        <v>754</v>
      </c>
      <c r="D231" s="3">
        <v>4829</v>
      </c>
      <c r="E231" t="s">
        <v>755</v>
      </c>
      <c r="G231" t="s">
        <v>33</v>
      </c>
      <c r="J231" t="s">
        <v>756</v>
      </c>
    </row>
    <row r="232" spans="1:10" ht="15" hidden="1" customHeight="1">
      <c r="A232" s="71">
        <v>43848</v>
      </c>
      <c r="B232" t="s">
        <v>563</v>
      </c>
      <c r="C232" t="s">
        <v>754</v>
      </c>
      <c r="E232" t="s">
        <v>755</v>
      </c>
      <c r="F232" s="90">
        <v>3717</v>
      </c>
      <c r="J232" t="s">
        <v>756</v>
      </c>
    </row>
    <row r="233" spans="1:10" ht="15" hidden="1" customHeight="1">
      <c r="A233" s="71">
        <v>43873</v>
      </c>
      <c r="B233" t="s">
        <v>318</v>
      </c>
      <c r="C233" t="s">
        <v>754</v>
      </c>
      <c r="D233" s="3">
        <v>8995</v>
      </c>
      <c r="E233" t="s">
        <v>755</v>
      </c>
      <c r="F233" s="90">
        <v>2151</v>
      </c>
      <c r="J233" t="s">
        <v>756</v>
      </c>
    </row>
    <row r="234" spans="1:10" ht="15" hidden="1" customHeight="1">
      <c r="A234" s="71">
        <v>43886</v>
      </c>
      <c r="B234" t="s">
        <v>346</v>
      </c>
      <c r="C234" t="s">
        <v>754</v>
      </c>
      <c r="D234" s="3">
        <v>14728</v>
      </c>
      <c r="E234" t="s">
        <v>755</v>
      </c>
      <c r="F234" s="90">
        <v>2781</v>
      </c>
      <c r="J234" t="s">
        <v>756</v>
      </c>
    </row>
    <row r="235" spans="1:10" ht="15" hidden="1" customHeight="1">
      <c r="A235" s="71">
        <v>43900</v>
      </c>
      <c r="B235" t="s">
        <v>684</v>
      </c>
      <c r="C235" t="s">
        <v>754</v>
      </c>
      <c r="D235" s="3">
        <v>6157</v>
      </c>
      <c r="E235" t="s">
        <v>755</v>
      </c>
      <c r="F235" s="90">
        <v>3470</v>
      </c>
      <c r="J235" t="s">
        <v>756</v>
      </c>
    </row>
    <row r="236" spans="1:10" ht="15" hidden="1" customHeight="1">
      <c r="A236" s="71">
        <v>43900</v>
      </c>
      <c r="B236" t="s">
        <v>365</v>
      </c>
      <c r="C236" t="s">
        <v>754</v>
      </c>
      <c r="D236" s="3">
        <v>8060</v>
      </c>
      <c r="E236" t="s">
        <v>755</v>
      </c>
      <c r="F236" s="90">
        <v>2402</v>
      </c>
      <c r="J236" t="s">
        <v>756</v>
      </c>
    </row>
    <row r="237" spans="1:10" ht="15" hidden="1" customHeight="1">
      <c r="A237" s="71">
        <v>43909</v>
      </c>
      <c r="B237" t="s">
        <v>307</v>
      </c>
      <c r="C237" t="s">
        <v>754</v>
      </c>
      <c r="D237" s="3">
        <v>10942</v>
      </c>
      <c r="E237" t="s">
        <v>755</v>
      </c>
      <c r="F237" s="90">
        <v>2796</v>
      </c>
      <c r="J237" t="s">
        <v>756</v>
      </c>
    </row>
    <row r="238" spans="1:10" ht="15" hidden="1" customHeight="1">
      <c r="A238" s="71">
        <v>43913</v>
      </c>
      <c r="B238" t="s">
        <v>685</v>
      </c>
      <c r="C238" t="s">
        <v>754</v>
      </c>
      <c r="D238" s="3">
        <v>6217</v>
      </c>
      <c r="E238" t="s">
        <v>755</v>
      </c>
      <c r="F238" s="90">
        <v>3304</v>
      </c>
      <c r="J238" t="s">
        <v>756</v>
      </c>
    </row>
    <row r="239" spans="1:10" ht="15" hidden="1" customHeight="1">
      <c r="A239" s="71">
        <v>43927</v>
      </c>
      <c r="B239" t="s">
        <v>157</v>
      </c>
      <c r="C239" t="s">
        <v>754</v>
      </c>
      <c r="E239" t="s">
        <v>755</v>
      </c>
      <c r="F239" s="90">
        <v>3264</v>
      </c>
      <c r="J239" t="s">
        <v>756</v>
      </c>
    </row>
    <row r="240" spans="1:10" ht="15" hidden="1" customHeight="1">
      <c r="A240" s="71">
        <v>43944</v>
      </c>
      <c r="B240" t="s">
        <v>773</v>
      </c>
      <c r="C240" t="s">
        <v>754</v>
      </c>
      <c r="D240" s="3">
        <v>6349</v>
      </c>
      <c r="E240" t="s">
        <v>755</v>
      </c>
      <c r="F240" s="90">
        <v>2158</v>
      </c>
      <c r="J240" t="s">
        <v>756</v>
      </c>
    </row>
    <row r="241" spans="1:10" ht="15" hidden="1" customHeight="1">
      <c r="A241" s="71">
        <v>43944</v>
      </c>
      <c r="B241" t="s">
        <v>774</v>
      </c>
      <c r="C241" t="s">
        <v>754</v>
      </c>
      <c r="D241" s="3">
        <v>101747</v>
      </c>
      <c r="E241" t="s">
        <v>755</v>
      </c>
      <c r="F241" s="90">
        <v>2156</v>
      </c>
      <c r="J241" t="s">
        <v>756</v>
      </c>
    </row>
    <row r="242" spans="1:10" ht="15" hidden="1" customHeight="1">
      <c r="A242" s="71">
        <v>43944</v>
      </c>
      <c r="B242" t="s">
        <v>687</v>
      </c>
      <c r="C242" t="s">
        <v>754</v>
      </c>
      <c r="D242" s="3">
        <v>5969</v>
      </c>
      <c r="E242" t="s">
        <v>755</v>
      </c>
      <c r="F242" s="90"/>
      <c r="J242" t="s">
        <v>756</v>
      </c>
    </row>
    <row r="243" spans="1:10" ht="15" hidden="1" customHeight="1">
      <c r="A243" s="71">
        <v>43945</v>
      </c>
      <c r="B243" t="s">
        <v>775</v>
      </c>
      <c r="C243" t="s">
        <v>754</v>
      </c>
      <c r="D243" s="3">
        <v>6815</v>
      </c>
      <c r="E243" t="s">
        <v>755</v>
      </c>
      <c r="F243" s="90">
        <v>2361</v>
      </c>
      <c r="J243" t="s">
        <v>756</v>
      </c>
    </row>
    <row r="244" spans="1:10" ht="15" hidden="1" customHeight="1">
      <c r="A244" s="71">
        <v>43948</v>
      </c>
      <c r="B244" t="s">
        <v>162</v>
      </c>
      <c r="C244" t="s">
        <v>754</v>
      </c>
      <c r="E244" t="s">
        <v>755</v>
      </c>
      <c r="F244" s="90">
        <v>2163</v>
      </c>
      <c r="J244" t="s">
        <v>756</v>
      </c>
    </row>
    <row r="245" spans="1:10" ht="15" hidden="1" customHeight="1">
      <c r="A245" s="71">
        <v>43956</v>
      </c>
      <c r="B245" t="s">
        <v>686</v>
      </c>
      <c r="C245" t="s">
        <v>754</v>
      </c>
      <c r="D245" s="3">
        <v>6517</v>
      </c>
      <c r="E245" t="s">
        <v>755</v>
      </c>
      <c r="F245" s="90">
        <v>3453</v>
      </c>
      <c r="J245" t="s">
        <v>756</v>
      </c>
    </row>
    <row r="246" spans="1:10" ht="15" hidden="1" customHeight="1">
      <c r="A246" s="71">
        <v>43970</v>
      </c>
      <c r="B246" t="s">
        <v>776</v>
      </c>
      <c r="C246" t="s">
        <v>754</v>
      </c>
      <c r="D246" s="3">
        <v>6326</v>
      </c>
      <c r="E246" t="s">
        <v>755</v>
      </c>
      <c r="F246" s="90">
        <v>3502</v>
      </c>
      <c r="J246" t="s">
        <v>756</v>
      </c>
    </row>
    <row r="247" spans="1:10" ht="15" hidden="1" customHeight="1">
      <c r="A247" s="71">
        <v>43977</v>
      </c>
      <c r="B247" t="s">
        <v>688</v>
      </c>
      <c r="C247" t="s">
        <v>754</v>
      </c>
      <c r="E247" t="s">
        <v>755</v>
      </c>
      <c r="F247" s="90">
        <v>3282</v>
      </c>
      <c r="J247" t="s">
        <v>756</v>
      </c>
    </row>
    <row r="248" spans="1:10" ht="15" hidden="1" customHeight="1">
      <c r="A248" s="71">
        <v>43977</v>
      </c>
      <c r="B248" t="s">
        <v>259</v>
      </c>
      <c r="C248" t="s">
        <v>754</v>
      </c>
      <c r="D248" s="3">
        <v>16454</v>
      </c>
      <c r="E248" t="s">
        <v>755</v>
      </c>
      <c r="F248" s="90">
        <v>2484.1</v>
      </c>
      <c r="J248" t="s">
        <v>756</v>
      </c>
    </row>
    <row r="249" spans="1:10" ht="15" hidden="1" customHeight="1">
      <c r="A249" s="71">
        <v>43977</v>
      </c>
      <c r="B249" t="s">
        <v>146</v>
      </c>
      <c r="C249" t="s">
        <v>754</v>
      </c>
      <c r="E249" t="s">
        <v>755</v>
      </c>
      <c r="F249" s="90">
        <v>2110</v>
      </c>
      <c r="J249" t="s">
        <v>756</v>
      </c>
    </row>
    <row r="250" spans="1:10" ht="15" hidden="1" customHeight="1">
      <c r="A250" s="71">
        <v>43980</v>
      </c>
      <c r="B250" t="s">
        <v>362</v>
      </c>
      <c r="C250" t="s">
        <v>754</v>
      </c>
      <c r="D250" s="3">
        <v>9568</v>
      </c>
      <c r="E250" t="s">
        <v>755</v>
      </c>
      <c r="F250" s="90">
        <v>2111.1</v>
      </c>
      <c r="J250" t="s">
        <v>756</v>
      </c>
    </row>
    <row r="251" spans="1:10" ht="15" hidden="1" customHeight="1">
      <c r="A251" s="71">
        <v>43983</v>
      </c>
      <c r="B251" t="s">
        <v>683</v>
      </c>
      <c r="C251" t="s">
        <v>754</v>
      </c>
      <c r="D251" s="3">
        <v>6797</v>
      </c>
      <c r="E251" t="s">
        <v>755</v>
      </c>
      <c r="F251" s="90">
        <v>2165</v>
      </c>
      <c r="J251" t="s">
        <v>756</v>
      </c>
    </row>
    <row r="252" spans="1:10" ht="15" hidden="1" customHeight="1">
      <c r="A252" s="71">
        <v>43987</v>
      </c>
      <c r="B252" t="s">
        <v>687</v>
      </c>
      <c r="C252" t="s">
        <v>754</v>
      </c>
      <c r="D252" s="3">
        <v>6274</v>
      </c>
      <c r="E252" t="s">
        <v>755</v>
      </c>
      <c r="F252" s="90">
        <v>3311</v>
      </c>
      <c r="J252" t="s">
        <v>756</v>
      </c>
    </row>
    <row r="253" spans="1:10" ht="15" hidden="1" customHeight="1">
      <c r="A253" s="71">
        <v>43994</v>
      </c>
      <c r="B253" t="s">
        <v>777</v>
      </c>
      <c r="C253" t="s">
        <v>754</v>
      </c>
      <c r="D253" s="3">
        <v>4082</v>
      </c>
      <c r="E253" t="s">
        <v>755</v>
      </c>
      <c r="F253" s="90">
        <v>3291</v>
      </c>
      <c r="J253" t="s">
        <v>756</v>
      </c>
    </row>
    <row r="254" spans="1:10" ht="15" hidden="1" customHeight="1">
      <c r="A254" s="71">
        <v>44001</v>
      </c>
      <c r="B254" t="s">
        <v>685</v>
      </c>
      <c r="C254" t="s">
        <v>754</v>
      </c>
      <c r="D254" s="3">
        <v>6579</v>
      </c>
      <c r="E254" t="s">
        <v>755</v>
      </c>
      <c r="F254" s="90">
        <v>2207</v>
      </c>
      <c r="J254" t="s">
        <v>756</v>
      </c>
    </row>
    <row r="255" spans="1:10" ht="15" hidden="1" customHeight="1">
      <c r="A255" s="71">
        <v>44009</v>
      </c>
      <c r="B255" t="s">
        <v>778</v>
      </c>
      <c r="C255" t="s">
        <v>754</v>
      </c>
      <c r="D255" s="3">
        <v>6874</v>
      </c>
      <c r="E255" t="s">
        <v>755</v>
      </c>
      <c r="F255" s="90">
        <v>3306</v>
      </c>
      <c r="J255" t="s">
        <v>756</v>
      </c>
    </row>
    <row r="256" spans="1:10" ht="15" hidden="1" customHeight="1">
      <c r="A256" s="71">
        <v>44061</v>
      </c>
      <c r="B256" t="s">
        <v>143</v>
      </c>
      <c r="C256" t="s">
        <v>754</v>
      </c>
      <c r="E256" t="s">
        <v>755</v>
      </c>
      <c r="F256" s="90">
        <v>2528</v>
      </c>
      <c r="J256" t="s">
        <v>756</v>
      </c>
    </row>
    <row r="257" spans="1:10" ht="15" hidden="1" customHeight="1">
      <c r="A257" s="71">
        <v>44067</v>
      </c>
      <c r="B257" t="s">
        <v>692</v>
      </c>
      <c r="C257" t="s">
        <v>754</v>
      </c>
      <c r="D257" s="3">
        <v>3313</v>
      </c>
      <c r="E257" t="s">
        <v>755</v>
      </c>
      <c r="F257" s="90">
        <v>2538</v>
      </c>
      <c r="J257" t="s">
        <v>756</v>
      </c>
    </row>
    <row r="258" spans="1:10" ht="15" hidden="1" customHeight="1">
      <c r="A258" s="71">
        <v>44106</v>
      </c>
      <c r="B258" t="s">
        <v>188</v>
      </c>
      <c r="C258" t="s">
        <v>754</v>
      </c>
      <c r="E258" t="s">
        <v>755</v>
      </c>
      <c r="F258" s="90">
        <v>2593</v>
      </c>
      <c r="J258" t="s">
        <v>756</v>
      </c>
    </row>
    <row r="259" spans="1:10" ht="15" hidden="1" customHeight="1">
      <c r="A259" s="71">
        <v>44180</v>
      </c>
      <c r="B259" t="s">
        <v>779</v>
      </c>
      <c r="C259" t="s">
        <v>754</v>
      </c>
      <c r="D259" s="3">
        <v>7414</v>
      </c>
      <c r="E259" t="s">
        <v>755</v>
      </c>
      <c r="F259" s="90">
        <v>3823</v>
      </c>
      <c r="J259" t="s">
        <v>756</v>
      </c>
    </row>
    <row r="260" spans="1:10" ht="15" hidden="1" customHeight="1">
      <c r="A260" s="71">
        <v>44183</v>
      </c>
      <c r="B260" t="s">
        <v>780</v>
      </c>
      <c r="C260" t="s">
        <v>754</v>
      </c>
      <c r="E260" t="s">
        <v>755</v>
      </c>
      <c r="F260" s="90">
        <v>3825</v>
      </c>
      <c r="J260" t="s">
        <v>756</v>
      </c>
    </row>
    <row r="261" spans="1:10" ht="15" hidden="1" customHeight="1">
      <c r="A261" s="71">
        <v>44199</v>
      </c>
      <c r="B261" t="s">
        <v>152</v>
      </c>
      <c r="C261" t="s">
        <v>754</v>
      </c>
      <c r="D261" s="3">
        <v>7230</v>
      </c>
      <c r="E261" t="s">
        <v>755</v>
      </c>
      <c r="F261" s="90">
        <v>8342</v>
      </c>
      <c r="J261" t="s">
        <v>756</v>
      </c>
    </row>
    <row r="262" spans="1:10" ht="15" hidden="1" customHeight="1">
      <c r="A262" s="71">
        <v>44208</v>
      </c>
      <c r="B262" t="s">
        <v>36</v>
      </c>
      <c r="C262" t="s">
        <v>754</v>
      </c>
      <c r="D262" s="3">
        <v>3339</v>
      </c>
      <c r="E262" t="s">
        <v>755</v>
      </c>
      <c r="F262" s="90">
        <v>4215</v>
      </c>
      <c r="J262" t="s">
        <v>756</v>
      </c>
    </row>
    <row r="263" spans="1:10" ht="15" hidden="1" customHeight="1">
      <c r="A263" s="71">
        <v>44209</v>
      </c>
      <c r="B263" t="s">
        <v>162</v>
      </c>
      <c r="C263" t="s">
        <v>754</v>
      </c>
      <c r="E263" t="s">
        <v>755</v>
      </c>
      <c r="F263" s="90">
        <v>3838</v>
      </c>
      <c r="J263" t="s">
        <v>756</v>
      </c>
    </row>
    <row r="264" spans="1:10" ht="15" hidden="1" customHeight="1">
      <c r="A264" s="71">
        <v>44209</v>
      </c>
      <c r="B264" t="s">
        <v>160</v>
      </c>
      <c r="C264" t="s">
        <v>754</v>
      </c>
      <c r="E264" t="s">
        <v>755</v>
      </c>
      <c r="F264" s="90">
        <v>2951</v>
      </c>
      <c r="J264" t="s">
        <v>756</v>
      </c>
    </row>
    <row r="265" spans="1:10" ht="15" hidden="1" customHeight="1">
      <c r="A265" s="71">
        <v>44218</v>
      </c>
      <c r="B265" t="s">
        <v>171</v>
      </c>
      <c r="C265" t="s">
        <v>754</v>
      </c>
      <c r="D265" s="3">
        <v>2075</v>
      </c>
      <c r="E265" t="s">
        <v>755</v>
      </c>
      <c r="F265" s="90">
        <v>3836</v>
      </c>
      <c r="J265" t="s">
        <v>756</v>
      </c>
    </row>
    <row r="266" spans="1:10" ht="15" hidden="1" customHeight="1">
      <c r="A266" s="71">
        <v>44218</v>
      </c>
      <c r="B266" t="s">
        <v>146</v>
      </c>
      <c r="C266" t="s">
        <v>754</v>
      </c>
      <c r="E266" t="s">
        <v>755</v>
      </c>
      <c r="F266" s="90">
        <v>3110</v>
      </c>
      <c r="J266" t="s">
        <v>756</v>
      </c>
    </row>
    <row r="267" spans="1:10" ht="15" hidden="1" customHeight="1">
      <c r="A267" s="71">
        <v>44219</v>
      </c>
      <c r="B267" t="s">
        <v>781</v>
      </c>
      <c r="C267" t="s">
        <v>754</v>
      </c>
      <c r="D267" s="3">
        <v>13224</v>
      </c>
      <c r="E267" t="s">
        <v>755</v>
      </c>
      <c r="F267" s="90">
        <v>3837</v>
      </c>
      <c r="J267" t="s">
        <v>756</v>
      </c>
    </row>
    <row r="268" spans="1:10" ht="15" hidden="1" customHeight="1">
      <c r="A268" s="71">
        <v>44220</v>
      </c>
      <c r="B268" t="s">
        <v>782</v>
      </c>
      <c r="C268" t="s">
        <v>754</v>
      </c>
      <c r="E268" t="s">
        <v>755</v>
      </c>
      <c r="F268" s="90">
        <v>3008</v>
      </c>
      <c r="J268" t="s">
        <v>756</v>
      </c>
    </row>
    <row r="269" spans="1:10" ht="15" hidden="1" customHeight="1">
      <c r="A269" s="71">
        <v>44229</v>
      </c>
      <c r="B269" t="s">
        <v>169</v>
      </c>
      <c r="C269" t="s">
        <v>754</v>
      </c>
      <c r="D269" s="3">
        <v>2141</v>
      </c>
      <c r="E269" t="s">
        <v>755</v>
      </c>
      <c r="F269" s="90">
        <v>2909</v>
      </c>
      <c r="J269" t="s">
        <v>756</v>
      </c>
    </row>
    <row r="270" spans="1:10" ht="15" hidden="1" customHeight="1">
      <c r="A270" s="71">
        <v>44229</v>
      </c>
      <c r="B270" t="s">
        <v>173</v>
      </c>
      <c r="C270" t="s">
        <v>754</v>
      </c>
      <c r="D270" s="3">
        <v>2276</v>
      </c>
      <c r="E270" t="s">
        <v>755</v>
      </c>
      <c r="F270" s="90">
        <v>2910</v>
      </c>
      <c r="J270" t="s">
        <v>756</v>
      </c>
    </row>
    <row r="271" spans="1:10" ht="15" hidden="1" customHeight="1">
      <c r="A271" s="71">
        <v>44235</v>
      </c>
      <c r="B271" t="s">
        <v>185</v>
      </c>
      <c r="C271" t="s">
        <v>754</v>
      </c>
      <c r="E271" t="s">
        <v>755</v>
      </c>
      <c r="F271" s="90">
        <v>3845</v>
      </c>
      <c r="J271" t="s">
        <v>756</v>
      </c>
    </row>
    <row r="272" spans="1:10" ht="15" hidden="1" customHeight="1">
      <c r="A272" s="71">
        <v>44242</v>
      </c>
      <c r="B272" t="s">
        <v>716</v>
      </c>
      <c r="C272" t="s">
        <v>754</v>
      </c>
      <c r="E272" t="s">
        <v>755</v>
      </c>
      <c r="F272" s="90">
        <v>3121</v>
      </c>
      <c r="J272" t="s">
        <v>756</v>
      </c>
    </row>
    <row r="273" spans="1:10" ht="15" hidden="1" customHeight="1">
      <c r="A273" s="71">
        <v>44245</v>
      </c>
      <c r="B273" t="s">
        <v>712</v>
      </c>
      <c r="C273" t="s">
        <v>754</v>
      </c>
      <c r="D273" s="3">
        <v>11701</v>
      </c>
      <c r="E273" t="s">
        <v>755</v>
      </c>
      <c r="F273" s="90">
        <v>4241</v>
      </c>
      <c r="J273" t="s">
        <v>756</v>
      </c>
    </row>
    <row r="274" spans="1:10" ht="15" hidden="1" customHeight="1">
      <c r="A274" s="71">
        <v>44250</v>
      </c>
      <c r="B274" t="s">
        <v>783</v>
      </c>
      <c r="C274" t="s">
        <v>754</v>
      </c>
      <c r="E274" t="s">
        <v>755</v>
      </c>
      <c r="F274" s="90">
        <v>3128</v>
      </c>
      <c r="J274" t="s">
        <v>756</v>
      </c>
    </row>
    <row r="275" spans="1:10" ht="15" hidden="1" customHeight="1">
      <c r="A275" s="71">
        <v>44257</v>
      </c>
      <c r="B275" t="s">
        <v>369</v>
      </c>
      <c r="C275" t="s">
        <v>754</v>
      </c>
      <c r="D275" s="3">
        <v>8875</v>
      </c>
      <c r="E275" t="s">
        <v>755</v>
      </c>
      <c r="F275" s="90">
        <v>3904</v>
      </c>
      <c r="J275" t="s">
        <v>756</v>
      </c>
    </row>
    <row r="276" spans="1:10" ht="15" hidden="1" customHeight="1">
      <c r="A276" s="71">
        <v>44280</v>
      </c>
      <c r="B276" t="s">
        <v>25</v>
      </c>
      <c r="C276" t="s">
        <v>754</v>
      </c>
      <c r="D276" s="3">
        <v>2426</v>
      </c>
      <c r="E276" t="s">
        <v>755</v>
      </c>
      <c r="F276" s="90">
        <v>2913</v>
      </c>
      <c r="J276" t="s">
        <v>756</v>
      </c>
    </row>
    <row r="277" spans="1:10" ht="15" hidden="1" customHeight="1">
      <c r="A277" s="71">
        <v>44280</v>
      </c>
      <c r="B277" t="s">
        <v>780</v>
      </c>
      <c r="C277" t="s">
        <v>754</v>
      </c>
      <c r="E277" t="s">
        <v>755</v>
      </c>
      <c r="F277" s="90">
        <v>2603</v>
      </c>
      <c r="J277" t="s">
        <v>756</v>
      </c>
    </row>
    <row r="278" spans="1:10" ht="15" hidden="1" customHeight="1">
      <c r="A278" s="71">
        <v>44286</v>
      </c>
      <c r="B278" t="s">
        <v>716</v>
      </c>
      <c r="C278" t="s">
        <v>754</v>
      </c>
      <c r="E278" t="s">
        <v>755</v>
      </c>
      <c r="F278" s="90">
        <v>2604</v>
      </c>
      <c r="J278" t="s">
        <v>756</v>
      </c>
    </row>
    <row r="279" spans="1:10" ht="15" hidden="1" customHeight="1">
      <c r="A279" s="71">
        <v>44298</v>
      </c>
      <c r="B279" t="s">
        <v>175</v>
      </c>
      <c r="C279" t="s">
        <v>754</v>
      </c>
      <c r="D279" s="3">
        <v>2654</v>
      </c>
      <c r="E279" t="s">
        <v>755</v>
      </c>
      <c r="F279" s="90">
        <v>4442</v>
      </c>
      <c r="J279" t="s">
        <v>756</v>
      </c>
    </row>
    <row r="280" spans="1:10" ht="15" hidden="1" customHeight="1">
      <c r="A280" s="71">
        <v>44302</v>
      </c>
      <c r="B280" t="s">
        <v>173</v>
      </c>
      <c r="C280" t="s">
        <v>754</v>
      </c>
      <c r="D280" s="3">
        <v>2666</v>
      </c>
      <c r="E280" t="s">
        <v>755</v>
      </c>
      <c r="F280" s="90">
        <v>4440</v>
      </c>
      <c r="J280" t="s">
        <v>756</v>
      </c>
    </row>
    <row r="281" spans="1:10" ht="15" hidden="1" customHeight="1">
      <c r="A281" s="71">
        <v>44305</v>
      </c>
      <c r="B281" t="s">
        <v>152</v>
      </c>
      <c r="C281" t="s">
        <v>754</v>
      </c>
      <c r="D281" s="3">
        <v>4281</v>
      </c>
      <c r="E281" t="s">
        <v>755</v>
      </c>
      <c r="F281" s="90">
        <v>3952</v>
      </c>
      <c r="J281" t="s">
        <v>756</v>
      </c>
    </row>
    <row r="282" spans="1:10" ht="15" hidden="1" customHeight="1">
      <c r="A282" s="71">
        <v>44306</v>
      </c>
      <c r="B282" t="s">
        <v>351</v>
      </c>
      <c r="C282" t="s">
        <v>754</v>
      </c>
      <c r="D282" s="3">
        <v>3954</v>
      </c>
      <c r="E282" t="s">
        <v>755</v>
      </c>
      <c r="F282" s="90">
        <v>3954</v>
      </c>
      <c r="J282" t="s">
        <v>756</v>
      </c>
    </row>
    <row r="283" spans="1:10" ht="15" hidden="1" customHeight="1">
      <c r="A283" s="71">
        <v>44307</v>
      </c>
      <c r="B283" t="s">
        <v>784</v>
      </c>
      <c r="C283" t="s">
        <v>754</v>
      </c>
      <c r="E283" t="s">
        <v>755</v>
      </c>
      <c r="F283" s="90">
        <v>2610</v>
      </c>
      <c r="J283" t="s">
        <v>756</v>
      </c>
    </row>
    <row r="284" spans="1:10" ht="15" hidden="1" customHeight="1">
      <c r="A284" s="71">
        <v>44308</v>
      </c>
      <c r="B284" t="s">
        <v>159</v>
      </c>
      <c r="C284" t="s">
        <v>754</v>
      </c>
      <c r="D284" s="3">
        <v>7867</v>
      </c>
      <c r="E284" t="s">
        <v>755</v>
      </c>
      <c r="F284" s="90">
        <v>4449</v>
      </c>
      <c r="J284" t="s">
        <v>756</v>
      </c>
    </row>
    <row r="285" spans="1:10" ht="15" hidden="1" customHeight="1">
      <c r="A285" s="71">
        <v>44309</v>
      </c>
      <c r="B285" t="s">
        <v>703</v>
      </c>
      <c r="C285" t="s">
        <v>754</v>
      </c>
      <c r="D285" s="3">
        <v>11587</v>
      </c>
      <c r="E285" t="s">
        <v>755</v>
      </c>
      <c r="F285" s="90">
        <v>4373</v>
      </c>
      <c r="J285" t="s">
        <v>756</v>
      </c>
    </row>
    <row r="286" spans="1:10" ht="15" hidden="1" customHeight="1">
      <c r="A286" s="71">
        <v>44310</v>
      </c>
      <c r="B286" t="s">
        <v>185</v>
      </c>
      <c r="C286" t="s">
        <v>754</v>
      </c>
      <c r="E286" t="s">
        <v>755</v>
      </c>
      <c r="F286" s="90">
        <v>4374</v>
      </c>
      <c r="J286" t="s">
        <v>756</v>
      </c>
    </row>
    <row r="287" spans="1:10" ht="15" hidden="1" customHeight="1">
      <c r="A287" s="71">
        <v>44313</v>
      </c>
      <c r="B287" t="s">
        <v>162</v>
      </c>
      <c r="C287" t="s">
        <v>754</v>
      </c>
      <c r="E287" t="s">
        <v>755</v>
      </c>
      <c r="F287" s="90">
        <v>4375</v>
      </c>
      <c r="J287" t="s">
        <v>756</v>
      </c>
    </row>
    <row r="288" spans="1:10" ht="15" hidden="1" customHeight="1">
      <c r="A288" s="71">
        <v>44319</v>
      </c>
      <c r="B288" t="s">
        <v>369</v>
      </c>
      <c r="C288" t="s">
        <v>754</v>
      </c>
      <c r="D288" s="3">
        <v>9126</v>
      </c>
      <c r="E288" t="s">
        <v>755</v>
      </c>
      <c r="F288" s="90" t="s">
        <v>785</v>
      </c>
      <c r="J288" t="s">
        <v>756</v>
      </c>
    </row>
    <row r="289" spans="1:10" ht="15" hidden="1" customHeight="1">
      <c r="A289" s="71">
        <v>44319</v>
      </c>
      <c r="B289" t="s">
        <v>369</v>
      </c>
      <c r="C289" t="s">
        <v>754</v>
      </c>
      <c r="D289" s="3">
        <v>9126</v>
      </c>
      <c r="E289" t="s">
        <v>755</v>
      </c>
      <c r="F289" s="90">
        <v>4346</v>
      </c>
      <c r="J289" t="s">
        <v>756</v>
      </c>
    </row>
    <row r="290" spans="1:10" ht="15" hidden="1" customHeight="1">
      <c r="A290" s="71">
        <v>44319</v>
      </c>
      <c r="B290" t="s">
        <v>150</v>
      </c>
      <c r="C290" t="s">
        <v>754</v>
      </c>
      <c r="D290" s="3">
        <v>7815</v>
      </c>
      <c r="E290" t="s">
        <v>755</v>
      </c>
      <c r="F290" s="90">
        <v>3152</v>
      </c>
      <c r="J290" t="s">
        <v>756</v>
      </c>
    </row>
    <row r="291" spans="1:10" ht="15" hidden="1" customHeight="1">
      <c r="A291" s="71">
        <v>44319</v>
      </c>
      <c r="B291" t="s">
        <v>786</v>
      </c>
      <c r="C291" t="s">
        <v>754</v>
      </c>
      <c r="E291" t="s">
        <v>755</v>
      </c>
      <c r="F291" s="90">
        <v>2613</v>
      </c>
      <c r="J291" t="s">
        <v>756</v>
      </c>
    </row>
    <row r="292" spans="1:10" ht="15" hidden="1" customHeight="1">
      <c r="A292" s="71">
        <v>44320</v>
      </c>
      <c r="B292" t="s">
        <v>733</v>
      </c>
      <c r="C292" t="s">
        <v>754</v>
      </c>
      <c r="E292" t="s">
        <v>755</v>
      </c>
      <c r="F292" s="90">
        <v>2614</v>
      </c>
      <c r="J292" t="s">
        <v>756</v>
      </c>
    </row>
    <row r="293" spans="1:10" ht="15" hidden="1" customHeight="1">
      <c r="A293" s="71">
        <v>44321</v>
      </c>
      <c r="B293" t="s">
        <v>342</v>
      </c>
      <c r="C293" t="s">
        <v>754</v>
      </c>
      <c r="D293" s="3">
        <v>11468</v>
      </c>
      <c r="E293" t="s">
        <v>755</v>
      </c>
      <c r="F293" s="90">
        <v>3151</v>
      </c>
      <c r="J293" t="s">
        <v>756</v>
      </c>
    </row>
    <row r="294" spans="1:10" ht="15" hidden="1" customHeight="1">
      <c r="A294" s="71">
        <v>44322</v>
      </c>
      <c r="B294" t="s">
        <v>230</v>
      </c>
      <c r="C294" t="s">
        <v>754</v>
      </c>
      <c r="D294" s="3">
        <v>7807</v>
      </c>
      <c r="E294" t="s">
        <v>755</v>
      </c>
      <c r="F294" s="90">
        <v>2919</v>
      </c>
      <c r="J294" t="s">
        <v>756</v>
      </c>
    </row>
    <row r="295" spans="1:10" ht="15" hidden="1" customHeight="1">
      <c r="A295" s="71">
        <v>44328</v>
      </c>
      <c r="B295" t="s">
        <v>716</v>
      </c>
      <c r="C295" t="s">
        <v>754</v>
      </c>
      <c r="E295" t="s">
        <v>755</v>
      </c>
      <c r="F295" s="90">
        <v>2617</v>
      </c>
      <c r="J295" t="s">
        <v>756</v>
      </c>
    </row>
    <row r="296" spans="1:10" ht="15" hidden="1" customHeight="1">
      <c r="A296" s="71">
        <v>44329</v>
      </c>
      <c r="B296" t="s">
        <v>341</v>
      </c>
      <c r="C296" t="s">
        <v>754</v>
      </c>
      <c r="D296" s="3">
        <v>4590</v>
      </c>
      <c r="E296" t="s">
        <v>755</v>
      </c>
      <c r="F296" s="90" t="s">
        <v>787</v>
      </c>
      <c r="J296" t="s">
        <v>756</v>
      </c>
    </row>
    <row r="297" spans="1:10" ht="15" hidden="1" customHeight="1">
      <c r="A297" s="71">
        <v>44329</v>
      </c>
      <c r="B297" t="s">
        <v>12</v>
      </c>
      <c r="C297" t="s">
        <v>754</v>
      </c>
      <c r="D297" s="3">
        <v>985</v>
      </c>
      <c r="E297" t="s">
        <v>755</v>
      </c>
      <c r="F297" s="90">
        <v>3002</v>
      </c>
      <c r="J297" t="s">
        <v>756</v>
      </c>
    </row>
    <row r="298" spans="1:10" ht="15" hidden="1" customHeight="1">
      <c r="A298" s="71">
        <v>44336</v>
      </c>
      <c r="B298" t="s">
        <v>169</v>
      </c>
      <c r="C298" t="s">
        <v>754</v>
      </c>
      <c r="D298" s="3">
        <v>2690</v>
      </c>
      <c r="E298" t="s">
        <v>755</v>
      </c>
      <c r="F298" s="90">
        <v>3280</v>
      </c>
      <c r="J298" t="s">
        <v>756</v>
      </c>
    </row>
    <row r="299" spans="1:10" ht="15" hidden="1" customHeight="1">
      <c r="A299" s="71">
        <v>44341</v>
      </c>
      <c r="B299" t="s">
        <v>563</v>
      </c>
      <c r="C299" t="s">
        <v>754</v>
      </c>
      <c r="E299" t="s">
        <v>755</v>
      </c>
      <c r="F299" s="90">
        <v>2621</v>
      </c>
      <c r="J299" t="s">
        <v>756</v>
      </c>
    </row>
    <row r="300" spans="1:10" ht="15" hidden="1" customHeight="1">
      <c r="A300" s="71">
        <v>44341</v>
      </c>
      <c r="B300" t="s">
        <v>783</v>
      </c>
      <c r="C300" t="s">
        <v>754</v>
      </c>
      <c r="E300" t="s">
        <v>755</v>
      </c>
      <c r="F300" s="90">
        <v>2620</v>
      </c>
      <c r="J300" t="s">
        <v>756</v>
      </c>
    </row>
    <row r="301" spans="1:10" ht="15" hidden="1" customHeight="1">
      <c r="A301" s="71">
        <v>44343</v>
      </c>
      <c r="B301" t="s">
        <v>712</v>
      </c>
      <c r="C301" t="s">
        <v>754</v>
      </c>
      <c r="D301" s="3">
        <v>12060</v>
      </c>
      <c r="E301" t="s">
        <v>755</v>
      </c>
      <c r="F301" s="90">
        <v>3895.1</v>
      </c>
      <c r="J301" t="s">
        <v>756</v>
      </c>
    </row>
    <row r="302" spans="1:10" ht="15" hidden="1" customHeight="1">
      <c r="A302" s="71">
        <v>44347</v>
      </c>
      <c r="B302" t="s">
        <v>784</v>
      </c>
      <c r="C302" t="s">
        <v>754</v>
      </c>
      <c r="E302" t="s">
        <v>755</v>
      </c>
      <c r="F302" s="90">
        <v>2624</v>
      </c>
      <c r="J302" t="s">
        <v>756</v>
      </c>
    </row>
    <row r="303" spans="1:10" ht="15" hidden="1" customHeight="1">
      <c r="A303" s="71">
        <v>44348</v>
      </c>
      <c r="B303" t="s">
        <v>788</v>
      </c>
      <c r="C303" t="s">
        <v>754</v>
      </c>
      <c r="E303" t="s">
        <v>755</v>
      </c>
      <c r="F303" s="90">
        <v>2627</v>
      </c>
      <c r="J303" t="s">
        <v>756</v>
      </c>
    </row>
    <row r="304" spans="1:10" ht="15" hidden="1" customHeight="1">
      <c r="A304" s="71">
        <v>44348</v>
      </c>
      <c r="B304" t="s">
        <v>789</v>
      </c>
      <c r="C304" t="s">
        <v>754</v>
      </c>
      <c r="E304" t="s">
        <v>755</v>
      </c>
      <c r="F304" s="90">
        <v>2625</v>
      </c>
      <c r="J304" t="s">
        <v>756</v>
      </c>
    </row>
    <row r="305" spans="1:10" ht="15" hidden="1" customHeight="1">
      <c r="A305" s="71">
        <v>44351</v>
      </c>
      <c r="B305" t="s">
        <v>365</v>
      </c>
      <c r="C305" t="s">
        <v>754</v>
      </c>
      <c r="D305" s="3">
        <v>9575</v>
      </c>
      <c r="E305" t="s">
        <v>755</v>
      </c>
      <c r="F305" s="90">
        <v>3220</v>
      </c>
      <c r="J305" t="s">
        <v>756</v>
      </c>
    </row>
    <row r="306" spans="1:10" ht="15" hidden="1" customHeight="1">
      <c r="A306" s="71">
        <v>44351</v>
      </c>
      <c r="B306" t="s">
        <v>338</v>
      </c>
      <c r="C306" t="s">
        <v>754</v>
      </c>
      <c r="D306" s="3">
        <v>22471</v>
      </c>
      <c r="E306" t="s">
        <v>755</v>
      </c>
      <c r="F306" s="90">
        <v>3218</v>
      </c>
      <c r="J306" t="s">
        <v>756</v>
      </c>
    </row>
    <row r="307" spans="1:10" ht="15" hidden="1" customHeight="1">
      <c r="A307" s="71">
        <v>44352</v>
      </c>
      <c r="B307" t="s">
        <v>313</v>
      </c>
      <c r="C307" t="s">
        <v>754</v>
      </c>
      <c r="D307" s="3">
        <v>18530</v>
      </c>
      <c r="E307" t="s">
        <v>755</v>
      </c>
      <c r="F307" s="90">
        <v>3221</v>
      </c>
      <c r="J307" t="s">
        <v>756</v>
      </c>
    </row>
    <row r="308" spans="1:10" ht="15" hidden="1" customHeight="1">
      <c r="A308" s="71">
        <v>44352</v>
      </c>
      <c r="B308" t="s">
        <v>569</v>
      </c>
      <c r="C308" t="s">
        <v>754</v>
      </c>
      <c r="E308" t="s">
        <v>755</v>
      </c>
      <c r="F308" s="90">
        <v>2628</v>
      </c>
      <c r="J308" t="s">
        <v>756</v>
      </c>
    </row>
    <row r="309" spans="1:10" ht="15" hidden="1" customHeight="1">
      <c r="A309" s="71">
        <v>44358</v>
      </c>
      <c r="B309" t="s">
        <v>143</v>
      </c>
      <c r="C309" t="s">
        <v>754</v>
      </c>
      <c r="E309" t="s">
        <v>755</v>
      </c>
      <c r="F309" s="90">
        <v>2631</v>
      </c>
      <c r="J309" t="s">
        <v>756</v>
      </c>
    </row>
    <row r="310" spans="1:10" ht="15" hidden="1" customHeight="1">
      <c r="A310" s="71">
        <v>44359</v>
      </c>
      <c r="B310" t="s">
        <v>42</v>
      </c>
      <c r="C310" t="s">
        <v>754</v>
      </c>
      <c r="E310" t="s">
        <v>755</v>
      </c>
      <c r="F310" s="90">
        <v>2632</v>
      </c>
      <c r="J310" t="s">
        <v>756</v>
      </c>
    </row>
    <row r="311" spans="1:10" ht="15" hidden="1" customHeight="1">
      <c r="A311" s="71">
        <v>44361</v>
      </c>
      <c r="B311" t="s">
        <v>157</v>
      </c>
      <c r="C311" t="s">
        <v>754</v>
      </c>
      <c r="D311" s="3">
        <v>11735</v>
      </c>
      <c r="E311" t="s">
        <v>755</v>
      </c>
      <c r="F311" s="90" t="s">
        <v>790</v>
      </c>
      <c r="J311" t="s">
        <v>756</v>
      </c>
    </row>
    <row r="312" spans="1:10" ht="15" hidden="1" customHeight="1">
      <c r="A312" s="71">
        <v>44364</v>
      </c>
      <c r="B312" t="s">
        <v>780</v>
      </c>
      <c r="C312" t="s">
        <v>754</v>
      </c>
      <c r="E312" t="s">
        <v>755</v>
      </c>
      <c r="F312" s="90">
        <v>3379</v>
      </c>
      <c r="J312" t="s">
        <v>756</v>
      </c>
    </row>
    <row r="313" spans="1:10" ht="15" hidden="1" customHeight="1">
      <c r="A313" s="71">
        <v>44365</v>
      </c>
      <c r="B313" t="s">
        <v>567</v>
      </c>
      <c r="C313" t="s">
        <v>754</v>
      </c>
      <c r="E313" t="s">
        <v>755</v>
      </c>
      <c r="F313" s="90">
        <v>2637</v>
      </c>
      <c r="J313" t="s">
        <v>756</v>
      </c>
    </row>
    <row r="314" spans="1:10" ht="15" hidden="1" customHeight="1">
      <c r="A314" s="71">
        <v>44371</v>
      </c>
      <c r="B314" t="s">
        <v>322</v>
      </c>
      <c r="C314" t="s">
        <v>754</v>
      </c>
      <c r="D314" s="3">
        <v>23530</v>
      </c>
      <c r="E314" t="s">
        <v>755</v>
      </c>
      <c r="F314" s="90">
        <v>3390</v>
      </c>
      <c r="J314" t="s">
        <v>756</v>
      </c>
    </row>
    <row r="315" spans="1:10" ht="15" hidden="1" customHeight="1">
      <c r="A315" s="71">
        <v>44371</v>
      </c>
      <c r="B315" t="s">
        <v>322</v>
      </c>
      <c r="C315" t="s">
        <v>754</v>
      </c>
      <c r="D315" s="3">
        <v>23530</v>
      </c>
      <c r="E315" t="s">
        <v>755</v>
      </c>
      <c r="F315" s="90">
        <v>2105</v>
      </c>
      <c r="J315" t="s">
        <v>756</v>
      </c>
    </row>
    <row r="316" spans="1:10" ht="15" hidden="1" customHeight="1">
      <c r="A316" s="71">
        <v>44376</v>
      </c>
      <c r="B316" t="s">
        <v>180</v>
      </c>
      <c r="C316" t="s">
        <v>754</v>
      </c>
      <c r="D316" s="3">
        <v>3355</v>
      </c>
      <c r="E316" t="s">
        <v>755</v>
      </c>
      <c r="F316" s="90" t="s">
        <v>791</v>
      </c>
      <c r="J316" t="s">
        <v>756</v>
      </c>
    </row>
    <row r="317" spans="1:10" ht="15" hidden="1" customHeight="1">
      <c r="A317" s="71">
        <v>44384</v>
      </c>
      <c r="B317" t="s">
        <v>371</v>
      </c>
      <c r="C317" t="s">
        <v>754</v>
      </c>
      <c r="D317" s="3">
        <v>12993</v>
      </c>
      <c r="E317" t="s">
        <v>755</v>
      </c>
      <c r="F317" s="90" t="s">
        <v>792</v>
      </c>
      <c r="J317" t="s">
        <v>756</v>
      </c>
    </row>
    <row r="318" spans="1:10" ht="15" hidden="1" customHeight="1">
      <c r="A318" s="71">
        <v>44384</v>
      </c>
      <c r="B318" t="s">
        <v>328</v>
      </c>
      <c r="C318" t="s">
        <v>754</v>
      </c>
      <c r="D318" s="3">
        <v>7192</v>
      </c>
      <c r="E318" t="s">
        <v>755</v>
      </c>
      <c r="F318" s="90">
        <v>2143</v>
      </c>
      <c r="J318" t="s">
        <v>756</v>
      </c>
    </row>
    <row r="319" spans="1:10" ht="15" hidden="1" customHeight="1">
      <c r="A319" s="71">
        <v>44385</v>
      </c>
      <c r="B319" t="s">
        <v>710</v>
      </c>
      <c r="C319" t="s">
        <v>754</v>
      </c>
      <c r="D319" s="3">
        <v>16489</v>
      </c>
      <c r="E319" t="s">
        <v>755</v>
      </c>
      <c r="F319" s="90">
        <v>5</v>
      </c>
      <c r="J319" t="s">
        <v>756</v>
      </c>
    </row>
    <row r="320" spans="1:10" ht="15" hidden="1" customHeight="1">
      <c r="A320" s="71">
        <v>44397</v>
      </c>
      <c r="B320" t="s">
        <v>716</v>
      </c>
      <c r="C320" t="s">
        <v>754</v>
      </c>
      <c r="E320" t="s">
        <v>755</v>
      </c>
      <c r="F320" s="90">
        <v>6606</v>
      </c>
      <c r="J320" t="s">
        <v>756</v>
      </c>
    </row>
    <row r="321" spans="1:10" ht="15" hidden="1" customHeight="1">
      <c r="A321" s="71">
        <v>44398</v>
      </c>
      <c r="B321" t="s">
        <v>162</v>
      </c>
      <c r="C321" t="s">
        <v>754</v>
      </c>
      <c r="E321" t="s">
        <v>755</v>
      </c>
      <c r="F321" s="90">
        <v>3</v>
      </c>
      <c r="J321" t="s">
        <v>756</v>
      </c>
    </row>
    <row r="322" spans="1:10" ht="15" hidden="1" customHeight="1">
      <c r="A322" s="71">
        <v>44406</v>
      </c>
      <c r="B322" t="s">
        <v>167</v>
      </c>
      <c r="C322" t="s">
        <v>754</v>
      </c>
      <c r="D322" s="3">
        <v>2615</v>
      </c>
      <c r="E322" t="s">
        <v>755</v>
      </c>
      <c r="F322" s="90" t="s">
        <v>793</v>
      </c>
      <c r="J322" t="s">
        <v>756</v>
      </c>
    </row>
    <row r="323" spans="1:10" ht="15" hidden="1" customHeight="1">
      <c r="A323" s="71">
        <v>44406</v>
      </c>
      <c r="B323" t="s">
        <v>36</v>
      </c>
      <c r="C323" t="s">
        <v>754</v>
      </c>
      <c r="D323" s="3">
        <v>4086</v>
      </c>
      <c r="E323" t="s">
        <v>755</v>
      </c>
      <c r="F323" s="90">
        <v>1.1000000000000001</v>
      </c>
      <c r="J323" t="s">
        <v>756</v>
      </c>
    </row>
    <row r="324" spans="1:10" ht="15" hidden="1" customHeight="1">
      <c r="A324" s="71">
        <v>44408</v>
      </c>
      <c r="B324" t="s">
        <v>42</v>
      </c>
      <c r="C324" t="s">
        <v>754</v>
      </c>
      <c r="E324" t="s">
        <v>755</v>
      </c>
      <c r="F324" s="90">
        <v>6605</v>
      </c>
      <c r="J324" t="s">
        <v>756</v>
      </c>
    </row>
    <row r="325" spans="1:10" ht="15" hidden="1" customHeight="1">
      <c r="A325" s="71">
        <v>44408</v>
      </c>
      <c r="B325" t="s">
        <v>188</v>
      </c>
      <c r="C325" t="s">
        <v>754</v>
      </c>
      <c r="D325" s="3">
        <v>7966</v>
      </c>
      <c r="E325" t="s">
        <v>755</v>
      </c>
      <c r="F325" s="90">
        <v>6604</v>
      </c>
      <c r="J325" t="s">
        <v>756</v>
      </c>
    </row>
    <row r="326" spans="1:10" ht="15" hidden="1" customHeight="1">
      <c r="A326" s="71">
        <v>44411</v>
      </c>
      <c r="B326" t="s">
        <v>152</v>
      </c>
      <c r="C326" t="s">
        <v>754</v>
      </c>
      <c r="D326" s="3">
        <v>4673</v>
      </c>
      <c r="E326" t="s">
        <v>755</v>
      </c>
      <c r="F326" s="90">
        <v>6751</v>
      </c>
      <c r="J326" t="s">
        <v>756</v>
      </c>
    </row>
    <row r="327" spans="1:10" ht="15" hidden="1" customHeight="1">
      <c r="A327" s="71">
        <v>44418</v>
      </c>
      <c r="B327" t="s">
        <v>362</v>
      </c>
      <c r="C327" t="s">
        <v>754</v>
      </c>
      <c r="D327" s="3">
        <v>10506</v>
      </c>
      <c r="E327" t="s">
        <v>755</v>
      </c>
      <c r="F327" s="90">
        <v>6704</v>
      </c>
      <c r="J327" t="s">
        <v>756</v>
      </c>
    </row>
    <row r="328" spans="1:10" ht="15" hidden="1" customHeight="1">
      <c r="A328" s="71">
        <v>44419</v>
      </c>
      <c r="B328" t="s">
        <v>689</v>
      </c>
      <c r="C328" t="s">
        <v>754</v>
      </c>
      <c r="E328" t="s">
        <v>755</v>
      </c>
      <c r="F328" s="90">
        <v>6755</v>
      </c>
      <c r="J328" t="s">
        <v>756</v>
      </c>
    </row>
    <row r="329" spans="1:10" ht="15" hidden="1" customHeight="1">
      <c r="A329" s="71">
        <v>44419</v>
      </c>
      <c r="B329" t="s">
        <v>338</v>
      </c>
      <c r="C329" t="s">
        <v>754</v>
      </c>
      <c r="D329" s="3">
        <v>22770</v>
      </c>
      <c r="E329" t="s">
        <v>755</v>
      </c>
      <c r="F329" s="90">
        <v>6510</v>
      </c>
      <c r="J329" t="s">
        <v>756</v>
      </c>
    </row>
    <row r="330" spans="1:10" ht="15" hidden="1" customHeight="1">
      <c r="A330" s="71">
        <v>44420</v>
      </c>
      <c r="B330" t="s">
        <v>783</v>
      </c>
      <c r="C330" t="s">
        <v>754</v>
      </c>
      <c r="E330" t="s">
        <v>755</v>
      </c>
      <c r="F330" s="90">
        <v>6614</v>
      </c>
      <c r="J330" t="s">
        <v>756</v>
      </c>
    </row>
    <row r="331" spans="1:10" ht="15" hidden="1" customHeight="1">
      <c r="A331" s="71">
        <v>44420</v>
      </c>
      <c r="B331" t="s">
        <v>48</v>
      </c>
      <c r="C331" t="s">
        <v>754</v>
      </c>
      <c r="E331" t="s">
        <v>755</v>
      </c>
      <c r="F331" s="90">
        <v>6611</v>
      </c>
      <c r="J331" t="s">
        <v>756</v>
      </c>
    </row>
    <row r="332" spans="1:10" ht="15" hidden="1" customHeight="1">
      <c r="A332" s="71">
        <v>44420</v>
      </c>
      <c r="B332" t="s">
        <v>324</v>
      </c>
      <c r="C332" t="s">
        <v>754</v>
      </c>
      <c r="D332" s="3">
        <v>12300</v>
      </c>
      <c r="E332" t="s">
        <v>755</v>
      </c>
      <c r="F332" s="90">
        <v>6551</v>
      </c>
      <c r="J332" t="s">
        <v>756</v>
      </c>
    </row>
    <row r="333" spans="1:10" ht="15" hidden="1" customHeight="1">
      <c r="A333" s="71">
        <v>44421</v>
      </c>
      <c r="B333" t="s">
        <v>176</v>
      </c>
      <c r="C333" t="s">
        <v>754</v>
      </c>
      <c r="D333" s="3">
        <v>2651</v>
      </c>
      <c r="E333" t="s">
        <v>755</v>
      </c>
      <c r="F333" s="90">
        <v>6617</v>
      </c>
      <c r="J333" t="s">
        <v>756</v>
      </c>
    </row>
    <row r="334" spans="1:10" ht="15" hidden="1" customHeight="1">
      <c r="A334" s="71">
        <v>44426</v>
      </c>
      <c r="B334" t="s">
        <v>704</v>
      </c>
      <c r="C334" t="s">
        <v>754</v>
      </c>
      <c r="D334" s="3">
        <v>2655</v>
      </c>
      <c r="E334" t="s">
        <v>755</v>
      </c>
      <c r="F334" s="90">
        <v>6512</v>
      </c>
      <c r="J334" t="s">
        <v>756</v>
      </c>
    </row>
    <row r="335" spans="1:10" ht="15" hidden="1" customHeight="1">
      <c r="A335" s="71">
        <v>44428</v>
      </c>
      <c r="B335" t="s">
        <v>781</v>
      </c>
      <c r="C335" t="s">
        <v>754</v>
      </c>
      <c r="D335" s="3">
        <v>13895</v>
      </c>
      <c r="E335" t="s">
        <v>755</v>
      </c>
      <c r="F335" s="90">
        <v>6709</v>
      </c>
      <c r="J335" t="s">
        <v>756</v>
      </c>
    </row>
    <row r="336" spans="1:10" ht="15" hidden="1" customHeight="1">
      <c r="A336" s="71">
        <v>44431</v>
      </c>
      <c r="B336" t="s">
        <v>32</v>
      </c>
      <c r="C336" t="s">
        <v>754</v>
      </c>
      <c r="D336" s="3">
        <v>4186</v>
      </c>
      <c r="E336" t="s">
        <v>755</v>
      </c>
      <c r="F336" s="90" t="s">
        <v>794</v>
      </c>
      <c r="J336" t="s">
        <v>756</v>
      </c>
    </row>
    <row r="337" spans="1:10" ht="15" hidden="1" customHeight="1">
      <c r="A337" s="71">
        <v>44431</v>
      </c>
      <c r="B337" t="s">
        <v>341</v>
      </c>
      <c r="C337" t="s">
        <v>754</v>
      </c>
      <c r="D337" s="3">
        <v>4986</v>
      </c>
      <c r="E337" t="s">
        <v>755</v>
      </c>
      <c r="F337" s="90">
        <v>6710</v>
      </c>
      <c r="J337" t="s">
        <v>756</v>
      </c>
    </row>
    <row r="338" spans="1:10" ht="15" hidden="1" customHeight="1">
      <c r="A338" s="71">
        <v>44433</v>
      </c>
      <c r="B338" t="s">
        <v>330</v>
      </c>
      <c r="C338" t="s">
        <v>754</v>
      </c>
      <c r="D338" s="3">
        <v>5381</v>
      </c>
      <c r="E338" t="s">
        <v>755</v>
      </c>
      <c r="F338" s="90">
        <v>6910</v>
      </c>
      <c r="J338" t="s">
        <v>756</v>
      </c>
    </row>
    <row r="339" spans="1:10" ht="15" hidden="1" customHeight="1">
      <c r="A339" s="71">
        <v>44433</v>
      </c>
      <c r="B339" t="s">
        <v>330</v>
      </c>
      <c r="C339" t="s">
        <v>754</v>
      </c>
      <c r="D339" s="3">
        <v>5381</v>
      </c>
      <c r="E339" t="s">
        <v>755</v>
      </c>
      <c r="F339" s="90">
        <v>3483</v>
      </c>
      <c r="J339" t="s">
        <v>756</v>
      </c>
    </row>
    <row r="340" spans="1:10" ht="15" hidden="1" customHeight="1">
      <c r="A340" s="71">
        <v>44441</v>
      </c>
      <c r="B340" t="s">
        <v>143</v>
      </c>
      <c r="C340" t="s">
        <v>754</v>
      </c>
      <c r="E340" t="s">
        <v>755</v>
      </c>
      <c r="F340" s="90">
        <v>6619</v>
      </c>
      <c r="J340" t="s">
        <v>756</v>
      </c>
    </row>
    <row r="341" spans="1:10" ht="15" hidden="1" customHeight="1">
      <c r="A341" s="71">
        <v>44441</v>
      </c>
      <c r="B341" t="s">
        <v>573</v>
      </c>
      <c r="C341" t="s">
        <v>754</v>
      </c>
      <c r="E341" t="s">
        <v>755</v>
      </c>
      <c r="F341" s="90"/>
      <c r="J341" t="s">
        <v>756</v>
      </c>
    </row>
    <row r="342" spans="1:10" ht="15" hidden="1" customHeight="1">
      <c r="A342" s="71">
        <v>44446</v>
      </c>
      <c r="B342" t="s">
        <v>171</v>
      </c>
      <c r="C342" t="s">
        <v>754</v>
      </c>
      <c r="D342" s="3">
        <v>2897</v>
      </c>
      <c r="E342" t="s">
        <v>755</v>
      </c>
      <c r="F342" s="90"/>
      <c r="J342" t="s">
        <v>756</v>
      </c>
    </row>
    <row r="343" spans="1:10" ht="15" hidden="1" customHeight="1">
      <c r="A343" s="71">
        <v>44448</v>
      </c>
      <c r="B343" t="s">
        <v>162</v>
      </c>
      <c r="C343" t="s">
        <v>754</v>
      </c>
      <c r="D343" s="3">
        <v>8328</v>
      </c>
      <c r="E343" t="s">
        <v>755</v>
      </c>
      <c r="F343" s="90">
        <v>6763</v>
      </c>
      <c r="J343" t="s">
        <v>756</v>
      </c>
    </row>
    <row r="344" spans="1:10" ht="15" hidden="1" customHeight="1">
      <c r="A344" s="71">
        <v>44448</v>
      </c>
      <c r="B344" t="s">
        <v>162</v>
      </c>
      <c r="C344" t="s">
        <v>754</v>
      </c>
      <c r="D344" s="3">
        <v>8304</v>
      </c>
      <c r="E344" t="s">
        <v>755</v>
      </c>
      <c r="F344" s="90">
        <v>4467</v>
      </c>
      <c r="J344" t="s">
        <v>756</v>
      </c>
    </row>
    <row r="345" spans="1:10" ht="15" hidden="1" customHeight="1">
      <c r="A345" s="71">
        <v>44453</v>
      </c>
      <c r="B345" t="s">
        <v>336</v>
      </c>
      <c r="C345" t="s">
        <v>754</v>
      </c>
      <c r="D345" s="3">
        <v>8563</v>
      </c>
      <c r="E345" t="s">
        <v>755</v>
      </c>
      <c r="F345" s="90" t="s">
        <v>795</v>
      </c>
      <c r="J345" t="s">
        <v>756</v>
      </c>
    </row>
    <row r="346" spans="1:10" ht="15" hidden="1" customHeight="1">
      <c r="A346" s="71">
        <v>44455</v>
      </c>
      <c r="B346" t="s">
        <v>57</v>
      </c>
      <c r="C346" t="s">
        <v>754</v>
      </c>
      <c r="E346" t="s">
        <v>755</v>
      </c>
      <c r="F346" s="90" t="s">
        <v>796</v>
      </c>
      <c r="J346" t="s">
        <v>756</v>
      </c>
    </row>
    <row r="347" spans="1:10" ht="15" hidden="1" customHeight="1">
      <c r="A347" s="71">
        <v>44462</v>
      </c>
      <c r="B347" t="s">
        <v>185</v>
      </c>
      <c r="C347" t="s">
        <v>754</v>
      </c>
      <c r="E347" t="s">
        <v>755</v>
      </c>
      <c r="F347" s="90">
        <v>6768</v>
      </c>
      <c r="J347" t="s">
        <v>756</v>
      </c>
    </row>
    <row r="348" spans="1:10" ht="15" hidden="1" customHeight="1">
      <c r="A348" s="71">
        <v>44463</v>
      </c>
      <c r="B348" t="s">
        <v>307</v>
      </c>
      <c r="C348" t="s">
        <v>754</v>
      </c>
      <c r="D348" s="3">
        <v>12103</v>
      </c>
      <c r="E348" t="s">
        <v>755</v>
      </c>
      <c r="F348" s="90">
        <v>6769</v>
      </c>
      <c r="J348" t="s">
        <v>756</v>
      </c>
    </row>
    <row r="349" spans="1:10" ht="15" hidden="1" customHeight="1">
      <c r="A349" s="71">
        <v>44463</v>
      </c>
      <c r="B349" t="s">
        <v>42</v>
      </c>
      <c r="C349" t="s">
        <v>754</v>
      </c>
      <c r="E349" t="s">
        <v>755</v>
      </c>
      <c r="F349" s="90">
        <v>6624</v>
      </c>
      <c r="J349" t="s">
        <v>756</v>
      </c>
    </row>
    <row r="350" spans="1:10" ht="15" hidden="1" customHeight="1">
      <c r="A350" s="71">
        <v>44466</v>
      </c>
      <c r="B350" t="s">
        <v>782</v>
      </c>
      <c r="C350" t="s">
        <v>754</v>
      </c>
      <c r="E350" t="s">
        <v>755</v>
      </c>
      <c r="F350" s="90"/>
      <c r="J350" t="s">
        <v>756</v>
      </c>
    </row>
    <row r="351" spans="1:10" ht="15" hidden="1" customHeight="1">
      <c r="A351" s="71">
        <v>44479</v>
      </c>
      <c r="B351" t="s">
        <v>581</v>
      </c>
      <c r="C351" t="s">
        <v>754</v>
      </c>
      <c r="E351" t="s">
        <v>755</v>
      </c>
      <c r="F351" s="90"/>
      <c r="J351" t="s">
        <v>756</v>
      </c>
    </row>
    <row r="352" spans="1:10" ht="15" hidden="1" customHeight="1">
      <c r="A352" s="71">
        <v>44488</v>
      </c>
      <c r="B352" t="s">
        <v>176</v>
      </c>
      <c r="C352" t="s">
        <v>754</v>
      </c>
      <c r="D352" s="3">
        <v>2651</v>
      </c>
      <c r="E352" t="s">
        <v>755</v>
      </c>
      <c r="F352" s="90">
        <v>6630</v>
      </c>
      <c r="J352" t="s">
        <v>756</v>
      </c>
    </row>
    <row r="353" spans="1:10" ht="15" hidden="1" customHeight="1">
      <c r="A353" s="71">
        <v>44489</v>
      </c>
      <c r="B353" t="s">
        <v>781</v>
      </c>
      <c r="C353" t="s">
        <v>754</v>
      </c>
      <c r="D353" s="3">
        <v>14142</v>
      </c>
      <c r="E353" t="s">
        <v>755</v>
      </c>
      <c r="F353" s="90">
        <v>6775</v>
      </c>
      <c r="J353" t="s">
        <v>756</v>
      </c>
    </row>
    <row r="354" spans="1:10" ht="15" hidden="1" customHeight="1">
      <c r="A354" s="71">
        <v>44489</v>
      </c>
      <c r="B354" t="s">
        <v>377</v>
      </c>
      <c r="C354" t="s">
        <v>754</v>
      </c>
      <c r="D354" s="3">
        <v>6353</v>
      </c>
      <c r="E354" t="s">
        <v>755</v>
      </c>
      <c r="F354" s="90">
        <v>6724</v>
      </c>
      <c r="J354" t="s">
        <v>756</v>
      </c>
    </row>
    <row r="355" spans="1:10" ht="15" hidden="1" customHeight="1">
      <c r="A355" s="71">
        <v>44489</v>
      </c>
      <c r="B355" t="s">
        <v>48</v>
      </c>
      <c r="C355" t="s">
        <v>754</v>
      </c>
      <c r="E355" t="s">
        <v>755</v>
      </c>
      <c r="F355" s="90">
        <v>6629</v>
      </c>
      <c r="J355" t="s">
        <v>756</v>
      </c>
    </row>
    <row r="356" spans="1:10" ht="15" hidden="1" customHeight="1">
      <c r="A356" s="71">
        <v>44491</v>
      </c>
      <c r="B356" t="s">
        <v>36</v>
      </c>
      <c r="C356" t="s">
        <v>754</v>
      </c>
      <c r="D356" s="3">
        <v>4479</v>
      </c>
      <c r="E356" t="s">
        <v>755</v>
      </c>
      <c r="F356" s="90">
        <v>6785</v>
      </c>
      <c r="J356" t="s">
        <v>756</v>
      </c>
    </row>
    <row r="357" spans="1:10" ht="15" hidden="1" customHeight="1">
      <c r="A357" s="71">
        <v>44494</v>
      </c>
      <c r="B357" t="s">
        <v>362</v>
      </c>
      <c r="C357" t="s">
        <v>754</v>
      </c>
      <c r="D357" s="3">
        <v>10796</v>
      </c>
      <c r="E357" t="s">
        <v>755</v>
      </c>
      <c r="F357" s="90">
        <v>6784</v>
      </c>
      <c r="J357" t="s">
        <v>756</v>
      </c>
    </row>
    <row r="358" spans="1:10" ht="15" hidden="1" customHeight="1">
      <c r="A358" s="71">
        <v>44494</v>
      </c>
      <c r="B358" t="s">
        <v>29</v>
      </c>
      <c r="C358" t="s">
        <v>754</v>
      </c>
      <c r="D358" s="3">
        <v>4539</v>
      </c>
      <c r="E358" t="s">
        <v>755</v>
      </c>
      <c r="F358" s="90">
        <v>6725</v>
      </c>
      <c r="J358" t="s">
        <v>756</v>
      </c>
    </row>
    <row r="359" spans="1:10" ht="15" hidden="1" customHeight="1">
      <c r="A359" s="71">
        <v>44496</v>
      </c>
      <c r="B359" t="s">
        <v>341</v>
      </c>
      <c r="C359" t="s">
        <v>754</v>
      </c>
      <c r="D359" s="3">
        <v>5307</v>
      </c>
      <c r="E359" t="s">
        <v>755</v>
      </c>
      <c r="F359" s="90">
        <v>7351</v>
      </c>
      <c r="J359" t="s">
        <v>756</v>
      </c>
    </row>
    <row r="360" spans="1:10" ht="15" hidden="1" customHeight="1">
      <c r="A360" s="71">
        <v>44496</v>
      </c>
      <c r="B360" t="s">
        <v>797</v>
      </c>
      <c r="C360" t="s">
        <v>754</v>
      </c>
      <c r="E360" t="s">
        <v>755</v>
      </c>
      <c r="F360" s="90"/>
      <c r="J360" t="s">
        <v>756</v>
      </c>
    </row>
    <row r="361" spans="1:10" ht="15" hidden="1" customHeight="1">
      <c r="A361" s="71">
        <v>44498</v>
      </c>
      <c r="B361" t="s">
        <v>360</v>
      </c>
      <c r="C361" t="s">
        <v>754</v>
      </c>
      <c r="D361" s="3">
        <v>4039</v>
      </c>
      <c r="E361" t="s">
        <v>755</v>
      </c>
      <c r="F361" s="90">
        <v>7353</v>
      </c>
      <c r="J361" t="s">
        <v>756</v>
      </c>
    </row>
    <row r="362" spans="1:10" ht="15" hidden="1" customHeight="1">
      <c r="A362" s="71">
        <v>44498</v>
      </c>
      <c r="B362" t="s">
        <v>716</v>
      </c>
      <c r="C362" t="s">
        <v>754</v>
      </c>
      <c r="D362" s="3">
        <v>646893</v>
      </c>
      <c r="E362" t="s">
        <v>755</v>
      </c>
      <c r="F362" s="90">
        <v>6787</v>
      </c>
      <c r="J362" t="s">
        <v>756</v>
      </c>
    </row>
    <row r="363" spans="1:10" ht="15" hidden="1" customHeight="1">
      <c r="A363" s="71">
        <v>44505</v>
      </c>
      <c r="B363" t="s">
        <v>167</v>
      </c>
      <c r="C363" t="s">
        <v>754</v>
      </c>
      <c r="D363" s="3">
        <v>3157</v>
      </c>
      <c r="E363" t="s">
        <v>755</v>
      </c>
      <c r="F363" s="90">
        <v>7198</v>
      </c>
      <c r="J363" t="s">
        <v>756</v>
      </c>
    </row>
    <row r="364" spans="1:10" ht="15" hidden="1" customHeight="1">
      <c r="A364" s="71">
        <v>44505</v>
      </c>
      <c r="B364" t="s">
        <v>390</v>
      </c>
      <c r="C364" t="s">
        <v>754</v>
      </c>
      <c r="D364" s="3">
        <v>5757</v>
      </c>
      <c r="E364" t="s">
        <v>755</v>
      </c>
      <c r="F364" s="90">
        <v>7356</v>
      </c>
      <c r="J364" t="s">
        <v>756</v>
      </c>
    </row>
    <row r="365" spans="1:10" ht="15" hidden="1" customHeight="1">
      <c r="A365" s="71">
        <v>44505</v>
      </c>
      <c r="B365" t="s">
        <v>383</v>
      </c>
      <c r="C365" t="s">
        <v>754</v>
      </c>
      <c r="D365" s="3">
        <v>1130</v>
      </c>
      <c r="E365" t="s">
        <v>755</v>
      </c>
      <c r="F365" s="90">
        <v>7199</v>
      </c>
      <c r="J365" t="s">
        <v>756</v>
      </c>
    </row>
    <row r="366" spans="1:10" ht="15" hidden="1" customHeight="1">
      <c r="A366" s="71">
        <v>44511</v>
      </c>
      <c r="B366" t="s">
        <v>712</v>
      </c>
      <c r="C366" t="s">
        <v>754</v>
      </c>
      <c r="D366" s="3">
        <v>12690</v>
      </c>
      <c r="E366" t="s">
        <v>755</v>
      </c>
      <c r="F366" s="90">
        <v>7308</v>
      </c>
      <c r="J366" t="s">
        <v>756</v>
      </c>
    </row>
    <row r="367" spans="1:10" ht="15" hidden="1" customHeight="1">
      <c r="A367" s="71">
        <v>44529</v>
      </c>
      <c r="B367" t="s">
        <v>173</v>
      </c>
      <c r="C367" t="s">
        <v>754</v>
      </c>
      <c r="D367" s="3">
        <v>3417</v>
      </c>
      <c r="E367" t="s">
        <v>755</v>
      </c>
      <c r="F367" s="90">
        <v>7365</v>
      </c>
      <c r="J367" t="s">
        <v>756</v>
      </c>
    </row>
    <row r="368" spans="1:10" ht="15" hidden="1" customHeight="1">
      <c r="A368" s="71">
        <v>44531</v>
      </c>
      <c r="B368" t="s">
        <v>307</v>
      </c>
      <c r="C368" t="s">
        <v>754</v>
      </c>
      <c r="D368" s="3">
        <v>12361</v>
      </c>
      <c r="E368" t="s">
        <v>755</v>
      </c>
      <c r="F368" s="90">
        <v>7577</v>
      </c>
      <c r="J368" t="s">
        <v>756</v>
      </c>
    </row>
    <row r="369" spans="1:10" ht="15" hidden="1" customHeight="1">
      <c r="A369" s="71">
        <v>44531</v>
      </c>
      <c r="B369" t="s">
        <v>307</v>
      </c>
      <c r="C369" t="s">
        <v>754</v>
      </c>
      <c r="D369" s="3">
        <v>12360</v>
      </c>
      <c r="E369" t="s">
        <v>755</v>
      </c>
      <c r="F369" s="90">
        <v>7425</v>
      </c>
      <c r="J369" t="s">
        <v>756</v>
      </c>
    </row>
    <row r="370" spans="1:10" ht="15" hidden="1" customHeight="1">
      <c r="A370" s="71">
        <v>44532</v>
      </c>
      <c r="B370" t="s">
        <v>586</v>
      </c>
      <c r="C370" t="s">
        <v>754</v>
      </c>
      <c r="D370" s="3">
        <v>10468</v>
      </c>
      <c r="E370" t="s">
        <v>755</v>
      </c>
      <c r="F370" s="90">
        <v>6638</v>
      </c>
      <c r="J370" t="s">
        <v>756</v>
      </c>
    </row>
    <row r="371" spans="1:10" ht="15" hidden="1" customHeight="1">
      <c r="A371" s="71">
        <v>44533</v>
      </c>
      <c r="B371" t="s">
        <v>175</v>
      </c>
      <c r="C371" t="s">
        <v>754</v>
      </c>
      <c r="D371" s="3">
        <v>3687</v>
      </c>
      <c r="E371" t="s">
        <v>755</v>
      </c>
      <c r="F371" s="90">
        <v>7428</v>
      </c>
      <c r="J371" t="s">
        <v>756</v>
      </c>
    </row>
    <row r="372" spans="1:10" ht="15" hidden="1" customHeight="1">
      <c r="A372" s="71">
        <v>44533</v>
      </c>
      <c r="B372" t="s">
        <v>176</v>
      </c>
      <c r="C372" t="s">
        <v>754</v>
      </c>
      <c r="D372" s="3">
        <v>3327</v>
      </c>
      <c r="E372" t="s">
        <v>755</v>
      </c>
      <c r="F372" s="90">
        <v>6637</v>
      </c>
      <c r="J372" t="s">
        <v>756</v>
      </c>
    </row>
    <row r="373" spans="1:10" ht="15" hidden="1" customHeight="1">
      <c r="A373" s="71">
        <v>44536</v>
      </c>
      <c r="B373" t="s">
        <v>48</v>
      </c>
      <c r="C373" t="s">
        <v>754</v>
      </c>
      <c r="E373" t="s">
        <v>755</v>
      </c>
      <c r="F373" s="90">
        <v>6640</v>
      </c>
      <c r="J373" t="s">
        <v>756</v>
      </c>
    </row>
    <row r="374" spans="1:10" ht="15" hidden="1" customHeight="1">
      <c r="A374" s="71">
        <v>44539</v>
      </c>
      <c r="B374" t="s">
        <v>162</v>
      </c>
      <c r="C374" t="s">
        <v>754</v>
      </c>
      <c r="E374" t="s">
        <v>755</v>
      </c>
      <c r="F374" s="90">
        <v>7113</v>
      </c>
      <c r="J374" t="s">
        <v>756</v>
      </c>
    </row>
    <row r="375" spans="1:10" ht="15" hidden="1" customHeight="1">
      <c r="A375" s="71">
        <v>44539</v>
      </c>
      <c r="B375" t="s">
        <v>152</v>
      </c>
      <c r="C375" t="s">
        <v>754</v>
      </c>
      <c r="D375" s="3">
        <v>5156</v>
      </c>
      <c r="E375" t="s">
        <v>755</v>
      </c>
      <c r="F375" s="90">
        <v>7114</v>
      </c>
      <c r="J375" t="s">
        <v>756</v>
      </c>
    </row>
    <row r="376" spans="1:10" ht="15" hidden="1" customHeight="1">
      <c r="A376" s="71">
        <v>44539</v>
      </c>
      <c r="B376" t="s">
        <v>152</v>
      </c>
      <c r="C376" t="s">
        <v>754</v>
      </c>
      <c r="D376" s="3">
        <v>5156</v>
      </c>
      <c r="E376" t="s">
        <v>755</v>
      </c>
      <c r="F376" s="90">
        <v>7114</v>
      </c>
      <c r="J376" t="s">
        <v>756</v>
      </c>
    </row>
    <row r="377" spans="1:10" ht="15" hidden="1" customHeight="1">
      <c r="A377" s="71">
        <v>44539</v>
      </c>
      <c r="B377" t="s">
        <v>588</v>
      </c>
      <c r="C377" t="s">
        <v>754</v>
      </c>
      <c r="D377" s="3">
        <v>20509</v>
      </c>
      <c r="E377" t="s">
        <v>755</v>
      </c>
      <c r="F377" s="90">
        <v>6641</v>
      </c>
      <c r="J377" t="s">
        <v>756</v>
      </c>
    </row>
    <row r="378" spans="1:10" ht="15" hidden="1" customHeight="1">
      <c r="A378" s="71">
        <v>44551</v>
      </c>
      <c r="B378" t="s">
        <v>338</v>
      </c>
      <c r="C378" t="s">
        <v>754</v>
      </c>
      <c r="D378" s="3">
        <v>23100</v>
      </c>
      <c r="E378" t="s">
        <v>755</v>
      </c>
      <c r="F378" s="90">
        <v>7504</v>
      </c>
      <c r="J378" t="s">
        <v>756</v>
      </c>
    </row>
    <row r="379" spans="1:10" ht="15" hidden="1" customHeight="1">
      <c r="A379" s="71">
        <v>44553</v>
      </c>
      <c r="B379" t="s">
        <v>12</v>
      </c>
      <c r="C379" t="s">
        <v>754</v>
      </c>
      <c r="D379" s="3">
        <v>1683</v>
      </c>
      <c r="E379" t="s">
        <v>755</v>
      </c>
      <c r="F379" s="90">
        <v>7527</v>
      </c>
      <c r="J379" t="s">
        <v>756</v>
      </c>
    </row>
    <row r="380" spans="1:10" ht="15" hidden="1" customHeight="1">
      <c r="A380" s="71">
        <v>44558</v>
      </c>
      <c r="B380" t="s">
        <v>157</v>
      </c>
      <c r="C380" t="s">
        <v>754</v>
      </c>
      <c r="D380" s="3">
        <v>12086</v>
      </c>
      <c r="E380" t="s">
        <v>755</v>
      </c>
      <c r="F380" s="90">
        <v>7528</v>
      </c>
      <c r="J380" t="s">
        <v>756</v>
      </c>
    </row>
    <row r="381" spans="1:10" ht="15" hidden="1" customHeight="1">
      <c r="A381" s="71">
        <v>44559</v>
      </c>
      <c r="B381" t="s">
        <v>169</v>
      </c>
      <c r="C381" t="s">
        <v>754</v>
      </c>
      <c r="D381" s="3">
        <v>3508</v>
      </c>
      <c r="E381" t="s">
        <v>755</v>
      </c>
      <c r="F381" s="90">
        <v>7692</v>
      </c>
      <c r="J381" t="s">
        <v>756</v>
      </c>
    </row>
    <row r="382" spans="1:10" ht="15" hidden="1" customHeight="1">
      <c r="A382" s="71">
        <v>44574</v>
      </c>
      <c r="B382" t="s">
        <v>19</v>
      </c>
      <c r="C382" t="s">
        <v>754</v>
      </c>
      <c r="D382" s="3">
        <v>4923</v>
      </c>
      <c r="E382" t="s">
        <v>755</v>
      </c>
      <c r="F382" s="90">
        <v>7732</v>
      </c>
      <c r="J382" t="s">
        <v>756</v>
      </c>
    </row>
    <row r="383" spans="1:10" ht="15" hidden="1" customHeight="1">
      <c r="A383" s="71">
        <v>44575</v>
      </c>
      <c r="B383" t="s">
        <v>576</v>
      </c>
      <c r="C383" t="s">
        <v>754</v>
      </c>
      <c r="E383" t="s">
        <v>755</v>
      </c>
      <c r="F383" s="90">
        <v>3004</v>
      </c>
      <c r="J383" t="s">
        <v>756</v>
      </c>
    </row>
    <row r="384" spans="1:10" ht="15" hidden="1" customHeight="1">
      <c r="A384" s="71">
        <v>44575</v>
      </c>
      <c r="B384" t="s">
        <v>563</v>
      </c>
      <c r="C384" t="s">
        <v>754</v>
      </c>
      <c r="E384" t="s">
        <v>755</v>
      </c>
      <c r="F384" s="90">
        <v>3003</v>
      </c>
      <c r="J384" t="s">
        <v>756</v>
      </c>
    </row>
    <row r="385" spans="1:10" ht="15" hidden="1" customHeight="1">
      <c r="A385" s="71">
        <v>44580</v>
      </c>
      <c r="B385" t="s">
        <v>588</v>
      </c>
      <c r="C385" t="s">
        <v>754</v>
      </c>
      <c r="E385" t="s">
        <v>755</v>
      </c>
      <c r="F385" s="90">
        <v>3006</v>
      </c>
      <c r="J385" t="s">
        <v>756</v>
      </c>
    </row>
    <row r="386" spans="1:10" ht="15" hidden="1" customHeight="1">
      <c r="A386" s="71">
        <v>44583</v>
      </c>
      <c r="B386" t="s">
        <v>582</v>
      </c>
      <c r="C386" t="s">
        <v>754</v>
      </c>
      <c r="E386" t="s">
        <v>755</v>
      </c>
      <c r="F386" s="90">
        <v>3007</v>
      </c>
      <c r="J386" t="s">
        <v>756</v>
      </c>
    </row>
    <row r="387" spans="1:10" ht="15" hidden="1" customHeight="1">
      <c r="A387" s="71">
        <v>44584</v>
      </c>
      <c r="B387" t="s">
        <v>389</v>
      </c>
      <c r="C387" t="s">
        <v>754</v>
      </c>
      <c r="D387" s="3">
        <v>4930</v>
      </c>
      <c r="E387" t="s">
        <v>755</v>
      </c>
      <c r="F387" s="90">
        <v>8347</v>
      </c>
      <c r="J387" t="s">
        <v>756</v>
      </c>
    </row>
    <row r="388" spans="1:10" ht="15" hidden="1" customHeight="1">
      <c r="A388" s="71">
        <v>44586</v>
      </c>
      <c r="B388" t="s">
        <v>716</v>
      </c>
      <c r="C388" t="s">
        <v>754</v>
      </c>
      <c r="E388" t="s">
        <v>755</v>
      </c>
      <c r="F388" s="90">
        <v>3012</v>
      </c>
      <c r="J388" t="s">
        <v>756</v>
      </c>
    </row>
    <row r="389" spans="1:10" ht="15" hidden="1" customHeight="1">
      <c r="A389" s="71">
        <v>44586</v>
      </c>
      <c r="B389" t="s">
        <v>797</v>
      </c>
      <c r="C389" t="s">
        <v>754</v>
      </c>
      <c r="E389" t="s">
        <v>755</v>
      </c>
      <c r="F389" s="90">
        <v>3011</v>
      </c>
      <c r="J389" t="s">
        <v>756</v>
      </c>
    </row>
    <row r="390" spans="1:10" ht="15" hidden="1" customHeight="1">
      <c r="A390" s="71">
        <v>44587</v>
      </c>
      <c r="B390" t="s">
        <v>569</v>
      </c>
      <c r="C390" t="s">
        <v>754</v>
      </c>
      <c r="D390" s="3">
        <v>169378</v>
      </c>
      <c r="E390" t="s">
        <v>755</v>
      </c>
      <c r="F390" s="90">
        <v>7543</v>
      </c>
      <c r="J390" t="s">
        <v>756</v>
      </c>
    </row>
    <row r="391" spans="1:10" ht="15" hidden="1" customHeight="1">
      <c r="A391" s="71">
        <v>44587</v>
      </c>
      <c r="B391" t="s">
        <v>780</v>
      </c>
      <c r="C391" t="s">
        <v>754</v>
      </c>
      <c r="E391" t="s">
        <v>755</v>
      </c>
      <c r="F391" s="90">
        <v>3013</v>
      </c>
      <c r="J391" t="s">
        <v>756</v>
      </c>
    </row>
    <row r="392" spans="1:10" ht="15" hidden="1" customHeight="1">
      <c r="A392" s="71">
        <v>44594</v>
      </c>
      <c r="B392" t="s">
        <v>239</v>
      </c>
      <c r="C392" t="s">
        <v>754</v>
      </c>
      <c r="D392" s="3">
        <v>11404</v>
      </c>
      <c r="E392" t="s">
        <v>755</v>
      </c>
      <c r="F392" s="90">
        <v>8207</v>
      </c>
      <c r="J392" t="s">
        <v>756</v>
      </c>
    </row>
    <row r="393" spans="1:10" ht="15" hidden="1" customHeight="1">
      <c r="A393" s="71">
        <v>44595</v>
      </c>
      <c r="B393" t="s">
        <v>359</v>
      </c>
      <c r="C393" t="s">
        <v>754</v>
      </c>
      <c r="D393" s="3">
        <v>7900</v>
      </c>
      <c r="E393" t="s">
        <v>755</v>
      </c>
      <c r="F393" s="90">
        <v>8217</v>
      </c>
      <c r="J393" t="s">
        <v>756</v>
      </c>
    </row>
    <row r="394" spans="1:10" ht="15" hidden="1" customHeight="1">
      <c r="A394" s="71">
        <v>44595</v>
      </c>
      <c r="B394" t="s">
        <v>143</v>
      </c>
      <c r="C394" t="s">
        <v>754</v>
      </c>
      <c r="E394" t="s">
        <v>755</v>
      </c>
      <c r="F394" s="90">
        <v>3016</v>
      </c>
      <c r="J394" t="s">
        <v>756</v>
      </c>
    </row>
    <row r="395" spans="1:10" ht="15" hidden="1" customHeight="1">
      <c r="A395" s="71">
        <v>44596</v>
      </c>
      <c r="B395" t="s">
        <v>687</v>
      </c>
      <c r="C395" t="s">
        <v>754</v>
      </c>
      <c r="D395" s="3">
        <v>8305</v>
      </c>
      <c r="E395" t="s">
        <v>755</v>
      </c>
      <c r="F395" s="90">
        <v>7745</v>
      </c>
      <c r="J395" t="s">
        <v>756</v>
      </c>
    </row>
    <row r="396" spans="1:10" ht="15" hidden="1" customHeight="1">
      <c r="A396" s="71">
        <v>44600</v>
      </c>
      <c r="B396" t="s">
        <v>162</v>
      </c>
      <c r="C396" t="s">
        <v>754</v>
      </c>
      <c r="E396" t="s">
        <v>755</v>
      </c>
      <c r="F396" s="90">
        <v>7116</v>
      </c>
      <c r="J396" t="s">
        <v>756</v>
      </c>
    </row>
    <row r="397" spans="1:10" ht="15" hidden="1" customHeight="1">
      <c r="A397" s="71">
        <v>44603</v>
      </c>
      <c r="B397" t="s">
        <v>691</v>
      </c>
      <c r="C397" t="s">
        <v>754</v>
      </c>
      <c r="D397" s="3">
        <v>4219</v>
      </c>
      <c r="E397" t="s">
        <v>755</v>
      </c>
      <c r="F397" s="90">
        <v>7618</v>
      </c>
      <c r="J397" t="s">
        <v>756</v>
      </c>
    </row>
    <row r="398" spans="1:10" ht="15" hidden="1" customHeight="1">
      <c r="A398" s="71">
        <v>44604</v>
      </c>
      <c r="B398" t="s">
        <v>567</v>
      </c>
      <c r="C398" t="s">
        <v>754</v>
      </c>
      <c r="E398" t="s">
        <v>755</v>
      </c>
      <c r="F398" s="90">
        <v>3019</v>
      </c>
      <c r="J398" t="s">
        <v>756</v>
      </c>
    </row>
    <row r="399" spans="1:10" ht="15" hidden="1" customHeight="1">
      <c r="A399" s="71">
        <v>44607</v>
      </c>
      <c r="B399" t="s">
        <v>12</v>
      </c>
      <c r="C399" t="s">
        <v>754</v>
      </c>
      <c r="D399" s="3">
        <v>1937</v>
      </c>
      <c r="E399" t="s">
        <v>755</v>
      </c>
      <c r="F399" s="90" t="s">
        <v>798</v>
      </c>
      <c r="J399" t="s">
        <v>756</v>
      </c>
    </row>
    <row r="400" spans="1:10" ht="15" hidden="1" customHeight="1">
      <c r="A400" s="71">
        <v>44609</v>
      </c>
      <c r="B400" t="s">
        <v>150</v>
      </c>
      <c r="C400" t="s">
        <v>754</v>
      </c>
      <c r="E400" t="s">
        <v>755</v>
      </c>
      <c r="F400" s="90">
        <v>7809</v>
      </c>
      <c r="J400" t="s">
        <v>756</v>
      </c>
    </row>
    <row r="401" spans="1:10" ht="15" hidden="1" customHeight="1">
      <c r="A401" s="71">
        <v>44613</v>
      </c>
      <c r="B401" t="s">
        <v>593</v>
      </c>
      <c r="C401" t="s">
        <v>754</v>
      </c>
      <c r="D401" s="3">
        <v>27500</v>
      </c>
      <c r="E401" t="s">
        <v>755</v>
      </c>
      <c r="F401" s="90">
        <v>3020</v>
      </c>
      <c r="J401" t="s">
        <v>756</v>
      </c>
    </row>
    <row r="402" spans="1:10" ht="15" hidden="1" customHeight="1">
      <c r="A402" s="71">
        <v>44616</v>
      </c>
      <c r="B402" t="s">
        <v>594</v>
      </c>
      <c r="C402" t="s">
        <v>754</v>
      </c>
      <c r="E402" t="s">
        <v>755</v>
      </c>
      <c r="F402" s="90">
        <v>3022</v>
      </c>
      <c r="J402" t="s">
        <v>756</v>
      </c>
    </row>
    <row r="403" spans="1:10" ht="15" hidden="1" customHeight="1">
      <c r="A403" s="71">
        <v>44616</v>
      </c>
      <c r="B403" t="s">
        <v>587</v>
      </c>
      <c r="C403" t="s">
        <v>754</v>
      </c>
      <c r="D403" s="3">
        <v>26593</v>
      </c>
      <c r="E403" t="s">
        <v>755</v>
      </c>
      <c r="F403" s="90">
        <v>3021</v>
      </c>
      <c r="J403" t="s">
        <v>756</v>
      </c>
    </row>
    <row r="404" spans="1:10" ht="15" hidden="1" customHeight="1">
      <c r="A404" s="71">
        <v>44620</v>
      </c>
      <c r="B404" t="s">
        <v>581</v>
      </c>
      <c r="C404" t="s">
        <v>754</v>
      </c>
      <c r="E404" t="s">
        <v>755</v>
      </c>
      <c r="F404" s="90">
        <v>3024</v>
      </c>
      <c r="J404" t="s">
        <v>756</v>
      </c>
    </row>
    <row r="405" spans="1:10" ht="15" hidden="1" customHeight="1">
      <c r="A405" s="71">
        <v>44622</v>
      </c>
      <c r="B405" t="s">
        <v>584</v>
      </c>
      <c r="C405" t="s">
        <v>754</v>
      </c>
      <c r="E405" t="s">
        <v>755</v>
      </c>
      <c r="F405" s="90">
        <v>3023</v>
      </c>
      <c r="J405" t="s">
        <v>756</v>
      </c>
    </row>
    <row r="406" spans="1:10" ht="15" hidden="1" customHeight="1">
      <c r="A406" s="71">
        <v>44623</v>
      </c>
      <c r="B406" t="s">
        <v>586</v>
      </c>
      <c r="C406" t="s">
        <v>754</v>
      </c>
      <c r="E406" t="s">
        <v>755</v>
      </c>
      <c r="F406" s="90">
        <v>3025</v>
      </c>
      <c r="J406" t="s">
        <v>756</v>
      </c>
    </row>
    <row r="407" spans="1:10" ht="15" hidden="1" customHeight="1">
      <c r="A407" s="71">
        <v>44625</v>
      </c>
      <c r="B407" t="s">
        <v>582</v>
      </c>
      <c r="C407" t="s">
        <v>754</v>
      </c>
      <c r="E407" t="s">
        <v>755</v>
      </c>
      <c r="F407" s="90">
        <v>3026</v>
      </c>
      <c r="J407" t="s">
        <v>756</v>
      </c>
    </row>
    <row r="408" spans="1:10" ht="15" hidden="1" customHeight="1">
      <c r="A408" s="71">
        <v>44627</v>
      </c>
      <c r="B408" t="s">
        <v>782</v>
      </c>
      <c r="C408" t="s">
        <v>754</v>
      </c>
      <c r="E408" t="s">
        <v>755</v>
      </c>
      <c r="F408" s="90">
        <v>3027</v>
      </c>
      <c r="J408" t="s">
        <v>756</v>
      </c>
    </row>
    <row r="409" spans="1:10" ht="15" hidden="1" customHeight="1">
      <c r="A409" s="71">
        <v>44629</v>
      </c>
      <c r="B409" t="s">
        <v>178</v>
      </c>
      <c r="C409" t="s">
        <v>754</v>
      </c>
      <c r="D409" s="3">
        <v>1227</v>
      </c>
      <c r="E409" t="s">
        <v>755</v>
      </c>
      <c r="F409" s="90">
        <v>3030</v>
      </c>
      <c r="J409" t="s">
        <v>756</v>
      </c>
    </row>
    <row r="410" spans="1:10" ht="15" hidden="1" customHeight="1">
      <c r="A410" s="71">
        <v>44635</v>
      </c>
      <c r="B410" t="s">
        <v>588</v>
      </c>
      <c r="C410" t="s">
        <v>754</v>
      </c>
      <c r="E410" t="s">
        <v>755</v>
      </c>
      <c r="F410" s="90">
        <v>3032</v>
      </c>
      <c r="J410" t="s">
        <v>756</v>
      </c>
    </row>
    <row r="411" spans="1:10" ht="15" hidden="1" customHeight="1">
      <c r="A411" s="71">
        <v>44637</v>
      </c>
      <c r="B411" t="s">
        <v>780</v>
      </c>
      <c r="C411" t="s">
        <v>754</v>
      </c>
      <c r="E411" t="s">
        <v>755</v>
      </c>
      <c r="F411" s="90">
        <v>3033</v>
      </c>
      <c r="J411" t="s">
        <v>756</v>
      </c>
    </row>
    <row r="412" spans="1:10" ht="15" hidden="1" customHeight="1">
      <c r="A412" s="71">
        <v>44638</v>
      </c>
      <c r="B412" t="s">
        <v>341</v>
      </c>
      <c r="C412" t="s">
        <v>754</v>
      </c>
      <c r="D412" s="3">
        <v>5990</v>
      </c>
      <c r="E412" t="s">
        <v>755</v>
      </c>
      <c r="F412" s="90" t="s">
        <v>799</v>
      </c>
      <c r="J412" t="s">
        <v>756</v>
      </c>
    </row>
    <row r="413" spans="1:10" ht="15" hidden="1" customHeight="1">
      <c r="A413" s="71">
        <v>44638</v>
      </c>
      <c r="B413" t="s">
        <v>143</v>
      </c>
      <c r="C413" t="s">
        <v>754</v>
      </c>
      <c r="E413" t="s">
        <v>755</v>
      </c>
      <c r="F413" s="90">
        <v>3034</v>
      </c>
      <c r="J413" t="s">
        <v>756</v>
      </c>
    </row>
    <row r="414" spans="1:10" ht="15" hidden="1" customHeight="1">
      <c r="A414" s="71">
        <v>44641</v>
      </c>
      <c r="B414" t="s">
        <v>25</v>
      </c>
      <c r="C414" t="s">
        <v>754</v>
      </c>
      <c r="E414" t="s">
        <v>755</v>
      </c>
      <c r="F414" s="90">
        <v>8206</v>
      </c>
      <c r="J414" t="s">
        <v>756</v>
      </c>
    </row>
    <row r="415" spans="1:10" ht="15" hidden="1" customHeight="1">
      <c r="A415" s="71">
        <v>44641</v>
      </c>
      <c r="B415" t="s">
        <v>171</v>
      </c>
      <c r="C415" t="s">
        <v>754</v>
      </c>
      <c r="D415" s="3">
        <v>3843</v>
      </c>
      <c r="E415" t="s">
        <v>755</v>
      </c>
      <c r="F415" s="90">
        <v>8204</v>
      </c>
      <c r="J415" t="s">
        <v>756</v>
      </c>
    </row>
    <row r="416" spans="1:10" ht="15" hidden="1" customHeight="1">
      <c r="A416" s="71">
        <v>44643</v>
      </c>
      <c r="B416" t="s">
        <v>391</v>
      </c>
      <c r="C416" t="s">
        <v>754</v>
      </c>
      <c r="D416" s="3">
        <v>15125</v>
      </c>
      <c r="E416" t="s">
        <v>755</v>
      </c>
      <c r="F416" s="90">
        <v>8205</v>
      </c>
      <c r="J416" t="s">
        <v>756</v>
      </c>
    </row>
    <row r="417" spans="1:10" ht="15" hidden="1" customHeight="1">
      <c r="A417" s="71">
        <v>44643</v>
      </c>
      <c r="B417" t="s">
        <v>596</v>
      </c>
      <c r="C417" t="s">
        <v>754</v>
      </c>
      <c r="E417" t="s">
        <v>755</v>
      </c>
      <c r="F417" s="90">
        <v>3035</v>
      </c>
      <c r="J417" t="s">
        <v>756</v>
      </c>
    </row>
    <row r="418" spans="1:10" ht="15" hidden="1" customHeight="1">
      <c r="A418" s="71">
        <v>44644</v>
      </c>
      <c r="B418" t="s">
        <v>576</v>
      </c>
      <c r="C418" t="s">
        <v>754</v>
      </c>
      <c r="E418" t="s">
        <v>755</v>
      </c>
      <c r="F418" s="90">
        <v>3036</v>
      </c>
      <c r="J418" t="s">
        <v>756</v>
      </c>
    </row>
    <row r="419" spans="1:10" ht="15" hidden="1" customHeight="1">
      <c r="A419" s="71">
        <v>44649</v>
      </c>
      <c r="B419" t="s">
        <v>12</v>
      </c>
      <c r="C419" t="s">
        <v>754</v>
      </c>
      <c r="D419" s="3">
        <v>2191</v>
      </c>
      <c r="E419" t="s">
        <v>755</v>
      </c>
      <c r="F419" s="90">
        <v>7836</v>
      </c>
      <c r="J419" t="s">
        <v>756</v>
      </c>
    </row>
    <row r="420" spans="1:10" ht="15" hidden="1" customHeight="1">
      <c r="A420" s="71">
        <v>44652</v>
      </c>
      <c r="B420" t="s">
        <v>797</v>
      </c>
      <c r="C420" t="s">
        <v>754</v>
      </c>
      <c r="E420" t="s">
        <v>755</v>
      </c>
      <c r="F420" s="90">
        <v>3040</v>
      </c>
      <c r="J420" t="s">
        <v>756</v>
      </c>
    </row>
    <row r="421" spans="1:10" ht="15" hidden="1" customHeight="1">
      <c r="A421" s="71">
        <v>44656</v>
      </c>
      <c r="B421" t="s">
        <v>188</v>
      </c>
      <c r="C421" t="s">
        <v>754</v>
      </c>
      <c r="D421" s="3">
        <v>8296</v>
      </c>
      <c r="E421" t="s">
        <v>755</v>
      </c>
      <c r="F421" s="90">
        <v>3015</v>
      </c>
      <c r="J421" t="s">
        <v>756</v>
      </c>
    </row>
    <row r="422" spans="1:10" ht="15" hidden="1" customHeight="1">
      <c r="A422" s="71">
        <v>44657</v>
      </c>
      <c r="B422" t="s">
        <v>567</v>
      </c>
      <c r="C422" t="s">
        <v>754</v>
      </c>
      <c r="E422" t="s">
        <v>755</v>
      </c>
      <c r="F422" s="90">
        <v>8551</v>
      </c>
      <c r="J422" t="s">
        <v>756</v>
      </c>
    </row>
    <row r="423" spans="1:10" ht="15" hidden="1" customHeight="1">
      <c r="A423" s="71">
        <v>44657</v>
      </c>
      <c r="B423" t="s">
        <v>777</v>
      </c>
      <c r="C423" t="s">
        <v>754</v>
      </c>
      <c r="D423" s="3">
        <v>4172</v>
      </c>
      <c r="E423" t="s">
        <v>755</v>
      </c>
      <c r="F423" s="90">
        <v>8213</v>
      </c>
      <c r="J423" t="s">
        <v>756</v>
      </c>
    </row>
    <row r="424" spans="1:10" ht="15" hidden="1" customHeight="1">
      <c r="A424" s="71">
        <v>44657</v>
      </c>
      <c r="B424" t="s">
        <v>330</v>
      </c>
      <c r="C424" t="s">
        <v>754</v>
      </c>
      <c r="D424" s="3">
        <v>5960</v>
      </c>
      <c r="E424" t="s">
        <v>755</v>
      </c>
      <c r="F424" s="90">
        <v>8154</v>
      </c>
      <c r="J424" t="s">
        <v>756</v>
      </c>
    </row>
    <row r="425" spans="1:10" ht="15" hidden="1" customHeight="1">
      <c r="A425" s="71">
        <v>44658</v>
      </c>
      <c r="B425" t="s">
        <v>183</v>
      </c>
      <c r="C425" t="s">
        <v>754</v>
      </c>
      <c r="D425" s="3">
        <v>40349</v>
      </c>
      <c r="E425" t="s">
        <v>755</v>
      </c>
      <c r="F425" s="90">
        <v>8560</v>
      </c>
      <c r="J425" t="s">
        <v>756</v>
      </c>
    </row>
    <row r="426" spans="1:10" ht="15" hidden="1" customHeight="1">
      <c r="A426" s="71">
        <v>44658</v>
      </c>
      <c r="B426" t="s">
        <v>573</v>
      </c>
      <c r="C426" t="s">
        <v>754</v>
      </c>
      <c r="E426" t="s">
        <v>755</v>
      </c>
      <c r="F426" s="90">
        <v>3041</v>
      </c>
      <c r="J426" t="s">
        <v>756</v>
      </c>
    </row>
    <row r="427" spans="1:10" ht="15" hidden="1" customHeight="1">
      <c r="A427" s="71">
        <v>44663</v>
      </c>
      <c r="B427" t="s">
        <v>42</v>
      </c>
      <c r="C427" t="s">
        <v>754</v>
      </c>
      <c r="E427" t="s">
        <v>755</v>
      </c>
      <c r="F427" s="90">
        <v>10704</v>
      </c>
      <c r="J427" t="s">
        <v>756</v>
      </c>
    </row>
    <row r="428" spans="1:10" ht="15" hidden="1" customHeight="1">
      <c r="A428" s="71">
        <v>44664</v>
      </c>
      <c r="B428" t="s">
        <v>782</v>
      </c>
      <c r="C428" t="s">
        <v>754</v>
      </c>
      <c r="E428" t="s">
        <v>755</v>
      </c>
      <c r="F428" s="90">
        <v>8158</v>
      </c>
      <c r="J428" t="s">
        <v>756</v>
      </c>
    </row>
    <row r="429" spans="1:10" ht="15" hidden="1" customHeight="1">
      <c r="A429" s="71">
        <v>44671</v>
      </c>
      <c r="B429" t="s">
        <v>365</v>
      </c>
      <c r="C429" t="s">
        <v>754</v>
      </c>
      <c r="D429" s="3">
        <v>10258</v>
      </c>
      <c r="E429" t="s">
        <v>755</v>
      </c>
      <c r="F429" s="90">
        <v>8208</v>
      </c>
      <c r="J429" t="s">
        <v>756</v>
      </c>
    </row>
    <row r="430" spans="1:10" ht="15" hidden="1" customHeight="1">
      <c r="A430" s="71">
        <v>44671</v>
      </c>
      <c r="B430" t="s">
        <v>185</v>
      </c>
      <c r="C430" t="s">
        <v>754</v>
      </c>
      <c r="E430" t="s">
        <v>755</v>
      </c>
      <c r="F430" s="90">
        <v>8201</v>
      </c>
      <c r="J430" t="s">
        <v>756</v>
      </c>
    </row>
    <row r="431" spans="1:10" ht="15" hidden="1" customHeight="1">
      <c r="A431" s="71">
        <v>44672</v>
      </c>
      <c r="B431" t="s">
        <v>152</v>
      </c>
      <c r="C431" t="s">
        <v>754</v>
      </c>
      <c r="D431" s="3">
        <v>5879</v>
      </c>
      <c r="E431" t="s">
        <v>755</v>
      </c>
      <c r="F431" s="90">
        <v>8209</v>
      </c>
      <c r="J431" t="s">
        <v>756</v>
      </c>
    </row>
    <row r="432" spans="1:10" ht="15" hidden="1" customHeight="1">
      <c r="A432" s="71">
        <v>44673</v>
      </c>
      <c r="B432" t="s">
        <v>704</v>
      </c>
      <c r="C432" t="s">
        <v>754</v>
      </c>
      <c r="D432" s="3">
        <v>3022</v>
      </c>
      <c r="E432" t="s">
        <v>755</v>
      </c>
      <c r="F432" s="90">
        <v>8211</v>
      </c>
      <c r="J432" t="s">
        <v>756</v>
      </c>
    </row>
    <row r="433" spans="1:10" ht="15" hidden="1" customHeight="1">
      <c r="A433" s="71">
        <v>44677</v>
      </c>
      <c r="B433" t="s">
        <v>593</v>
      </c>
      <c r="C433" t="s">
        <v>754</v>
      </c>
      <c r="E433" t="s">
        <v>755</v>
      </c>
      <c r="F433" s="90">
        <v>3043</v>
      </c>
      <c r="J433" t="s">
        <v>756</v>
      </c>
    </row>
    <row r="434" spans="1:10" ht="15" hidden="1" customHeight="1">
      <c r="A434" s="71">
        <v>44677</v>
      </c>
      <c r="B434" t="s">
        <v>780</v>
      </c>
      <c r="C434" t="s">
        <v>754</v>
      </c>
      <c r="E434" t="s">
        <v>755</v>
      </c>
      <c r="F434" s="90">
        <v>3042</v>
      </c>
      <c r="J434" t="s">
        <v>756</v>
      </c>
    </row>
    <row r="435" spans="1:10" ht="15" hidden="1" customHeight="1">
      <c r="A435" s="71">
        <v>44679</v>
      </c>
      <c r="B435" t="s">
        <v>19</v>
      </c>
      <c r="C435" t="s">
        <v>754</v>
      </c>
      <c r="D435" s="3">
        <v>5370</v>
      </c>
      <c r="E435" t="s">
        <v>755</v>
      </c>
      <c r="F435" s="90">
        <v>8210</v>
      </c>
      <c r="J435" t="s">
        <v>756</v>
      </c>
    </row>
    <row r="436" spans="1:10" ht="15" hidden="1" customHeight="1">
      <c r="A436" s="71">
        <v>44679</v>
      </c>
      <c r="B436" t="s">
        <v>582</v>
      </c>
      <c r="C436" t="s">
        <v>754</v>
      </c>
      <c r="E436" t="s">
        <v>755</v>
      </c>
      <c r="F436" s="90">
        <v>8168</v>
      </c>
      <c r="J436" t="s">
        <v>756</v>
      </c>
    </row>
    <row r="437" spans="1:10" ht="15" hidden="1" customHeight="1">
      <c r="A437" s="71">
        <v>44685</v>
      </c>
      <c r="B437" t="s">
        <v>159</v>
      </c>
      <c r="C437" t="s">
        <v>754</v>
      </c>
      <c r="D437" s="3">
        <v>8643</v>
      </c>
      <c r="E437" t="s">
        <v>755</v>
      </c>
      <c r="F437" s="90">
        <v>8562</v>
      </c>
      <c r="J437" t="s">
        <v>756</v>
      </c>
    </row>
    <row r="438" spans="1:10" ht="15" hidden="1" customHeight="1">
      <c r="A438" s="71">
        <v>44685</v>
      </c>
      <c r="B438" t="s">
        <v>580</v>
      </c>
      <c r="C438" t="s">
        <v>754</v>
      </c>
      <c r="E438" t="s">
        <v>755</v>
      </c>
      <c r="F438" s="90">
        <v>8174</v>
      </c>
      <c r="J438" t="s">
        <v>756</v>
      </c>
    </row>
    <row r="439" spans="1:10" ht="15" hidden="1" customHeight="1">
      <c r="A439" s="71">
        <v>44686</v>
      </c>
      <c r="B439" t="s">
        <v>202</v>
      </c>
      <c r="C439" t="s">
        <v>754</v>
      </c>
      <c r="D439" s="3">
        <v>1015</v>
      </c>
      <c r="E439" t="s">
        <v>755</v>
      </c>
      <c r="F439" s="90">
        <v>8221</v>
      </c>
      <c r="J439" t="s">
        <v>756</v>
      </c>
    </row>
    <row r="440" spans="1:10" ht="15" hidden="1" customHeight="1">
      <c r="A440" s="71">
        <v>44686</v>
      </c>
      <c r="B440" t="s">
        <v>690</v>
      </c>
      <c r="C440" t="s">
        <v>754</v>
      </c>
      <c r="D440" s="3">
        <v>4408</v>
      </c>
      <c r="E440" t="s">
        <v>755</v>
      </c>
      <c r="F440" s="90">
        <v>8178</v>
      </c>
      <c r="J440" t="s">
        <v>756</v>
      </c>
    </row>
    <row r="441" spans="1:10" ht="15" hidden="1" customHeight="1">
      <c r="A441" s="71">
        <v>44686</v>
      </c>
      <c r="B441" t="s">
        <v>797</v>
      </c>
      <c r="C441" t="s">
        <v>754</v>
      </c>
      <c r="E441" t="s">
        <v>755</v>
      </c>
      <c r="F441" s="90">
        <v>3045</v>
      </c>
      <c r="J441" t="s">
        <v>756</v>
      </c>
    </row>
    <row r="442" spans="1:10" ht="15" hidden="1" customHeight="1">
      <c r="A442" s="71">
        <v>44687</v>
      </c>
      <c r="B442" t="s">
        <v>385</v>
      </c>
      <c r="C442" t="s">
        <v>754</v>
      </c>
      <c r="D442" s="3">
        <v>1504</v>
      </c>
      <c r="E442" t="s">
        <v>755</v>
      </c>
      <c r="F442" s="90">
        <v>8569</v>
      </c>
      <c r="J442" t="s">
        <v>756</v>
      </c>
    </row>
    <row r="443" spans="1:10" ht="15" hidden="1" customHeight="1">
      <c r="A443" s="71">
        <v>44687</v>
      </c>
      <c r="B443" t="s">
        <v>385</v>
      </c>
      <c r="C443" t="s">
        <v>754</v>
      </c>
      <c r="D443" s="3">
        <v>1504</v>
      </c>
      <c r="E443" t="s">
        <v>755</v>
      </c>
      <c r="F443" s="90">
        <v>8028</v>
      </c>
      <c r="J443" t="s">
        <v>756</v>
      </c>
    </row>
    <row r="444" spans="1:10" ht="15" hidden="1" customHeight="1">
      <c r="A444" s="71">
        <v>44687</v>
      </c>
      <c r="B444" t="s">
        <v>588</v>
      </c>
      <c r="C444" t="s">
        <v>754</v>
      </c>
      <c r="E444" t="s">
        <v>755</v>
      </c>
      <c r="F444" s="90">
        <v>3046</v>
      </c>
      <c r="J444" t="s">
        <v>756</v>
      </c>
    </row>
    <row r="445" spans="1:10" ht="15" hidden="1" customHeight="1">
      <c r="A445" s="71">
        <v>44687</v>
      </c>
      <c r="B445" t="s">
        <v>587</v>
      </c>
      <c r="C445" t="s">
        <v>754</v>
      </c>
      <c r="E445" t="s">
        <v>755</v>
      </c>
      <c r="F445" s="90">
        <v>3044</v>
      </c>
      <c r="J445" t="s">
        <v>756</v>
      </c>
    </row>
    <row r="446" spans="1:10" ht="15" hidden="1" customHeight="1">
      <c r="A446" s="71">
        <v>44691</v>
      </c>
      <c r="B446" t="s">
        <v>36</v>
      </c>
      <c r="C446" t="s">
        <v>754</v>
      </c>
      <c r="D446" s="3">
        <v>5065</v>
      </c>
      <c r="E446" t="s">
        <v>755</v>
      </c>
      <c r="F446" s="90">
        <v>8220</v>
      </c>
      <c r="J446" t="s">
        <v>756</v>
      </c>
    </row>
    <row r="447" spans="1:10" ht="15" hidden="1" customHeight="1">
      <c r="A447" s="71">
        <v>44691</v>
      </c>
      <c r="B447" t="s">
        <v>581</v>
      </c>
      <c r="C447" t="s">
        <v>754</v>
      </c>
      <c r="E447" t="s">
        <v>755</v>
      </c>
      <c r="F447" s="90">
        <v>3048</v>
      </c>
      <c r="J447" t="s">
        <v>756</v>
      </c>
    </row>
    <row r="448" spans="1:10" ht="15" hidden="1" customHeight="1">
      <c r="A448" s="71">
        <v>44692</v>
      </c>
      <c r="B448" t="s">
        <v>175</v>
      </c>
      <c r="C448" t="s">
        <v>754</v>
      </c>
      <c r="D448" s="3">
        <v>4372</v>
      </c>
      <c r="E448" t="s">
        <v>755</v>
      </c>
      <c r="F448" s="90">
        <v>8219</v>
      </c>
      <c r="J448" t="s">
        <v>756</v>
      </c>
    </row>
    <row r="449" spans="1:10" ht="15" hidden="1" customHeight="1">
      <c r="A449" s="71">
        <v>44692</v>
      </c>
      <c r="B449" t="s">
        <v>143</v>
      </c>
      <c r="C449" t="s">
        <v>754</v>
      </c>
      <c r="E449" t="s">
        <v>755</v>
      </c>
      <c r="F449" s="90">
        <v>3047</v>
      </c>
      <c r="J449" t="s">
        <v>756</v>
      </c>
    </row>
    <row r="450" spans="1:10" ht="15" hidden="1" customHeight="1">
      <c r="A450" s="71">
        <v>44693</v>
      </c>
      <c r="B450" t="s">
        <v>42</v>
      </c>
      <c r="C450" t="s">
        <v>754</v>
      </c>
      <c r="D450" s="3">
        <v>95927</v>
      </c>
      <c r="E450" t="s">
        <v>755</v>
      </c>
      <c r="F450" s="90">
        <v>8579</v>
      </c>
      <c r="J450" t="s">
        <v>756</v>
      </c>
    </row>
    <row r="451" spans="1:10" ht="15" hidden="1" customHeight="1">
      <c r="A451" s="71">
        <v>44697</v>
      </c>
      <c r="B451" t="s">
        <v>338</v>
      </c>
      <c r="C451" t="s">
        <v>754</v>
      </c>
      <c r="D451" s="3">
        <v>23315</v>
      </c>
      <c r="E451" t="s">
        <v>755</v>
      </c>
      <c r="F451" s="90">
        <v>8222</v>
      </c>
      <c r="J451" t="s">
        <v>756</v>
      </c>
    </row>
    <row r="452" spans="1:10" ht="15" hidden="1" customHeight="1">
      <c r="A452" s="71">
        <v>44714</v>
      </c>
      <c r="B452" t="s">
        <v>330</v>
      </c>
      <c r="C452" t="s">
        <v>754</v>
      </c>
      <c r="D452" s="3">
        <v>6121</v>
      </c>
      <c r="E452" t="s">
        <v>755</v>
      </c>
      <c r="F452" s="90">
        <v>8684</v>
      </c>
      <c r="J452" t="s">
        <v>756</v>
      </c>
    </row>
    <row r="453" spans="1:10" ht="15" hidden="1" customHeight="1">
      <c r="A453" s="71">
        <v>44714</v>
      </c>
      <c r="B453" t="s">
        <v>689</v>
      </c>
      <c r="C453" t="s">
        <v>754</v>
      </c>
      <c r="D453" s="3">
        <v>4537</v>
      </c>
      <c r="E453" t="s">
        <v>755</v>
      </c>
      <c r="F453" s="90">
        <v>8602</v>
      </c>
      <c r="J453" t="s">
        <v>756</v>
      </c>
    </row>
    <row r="454" spans="1:10" ht="15" hidden="1" customHeight="1">
      <c r="A454" s="71">
        <v>44714</v>
      </c>
      <c r="B454" t="s">
        <v>29</v>
      </c>
      <c r="C454" t="s">
        <v>754</v>
      </c>
      <c r="D454" s="3">
        <v>5719</v>
      </c>
      <c r="E454" t="s">
        <v>755</v>
      </c>
      <c r="F454" s="90">
        <v>8601</v>
      </c>
      <c r="J454" t="s">
        <v>756</v>
      </c>
    </row>
    <row r="455" spans="1:10" ht="15" hidden="1" customHeight="1">
      <c r="A455" s="71">
        <v>44715</v>
      </c>
      <c r="B455" t="s">
        <v>169</v>
      </c>
      <c r="C455" t="s">
        <v>754</v>
      </c>
      <c r="D455" s="3">
        <v>4146</v>
      </c>
      <c r="E455" t="s">
        <v>755</v>
      </c>
      <c r="F455" s="90">
        <v>8603</v>
      </c>
      <c r="J455" t="s">
        <v>756</v>
      </c>
    </row>
    <row r="456" spans="1:10" ht="15" hidden="1" customHeight="1">
      <c r="A456" s="71">
        <v>44718</v>
      </c>
      <c r="B456" t="s">
        <v>334</v>
      </c>
      <c r="C456" t="s">
        <v>754</v>
      </c>
      <c r="D456" s="3">
        <v>18873</v>
      </c>
      <c r="E456" t="s">
        <v>755</v>
      </c>
      <c r="F456" s="90">
        <v>8688</v>
      </c>
      <c r="J456" t="s">
        <v>756</v>
      </c>
    </row>
    <row r="457" spans="1:10" ht="15" hidden="1" customHeight="1">
      <c r="A457" s="71">
        <v>44718</v>
      </c>
      <c r="B457" t="s">
        <v>800</v>
      </c>
      <c r="C457" t="s">
        <v>754</v>
      </c>
      <c r="D457" s="3">
        <v>6548</v>
      </c>
      <c r="E457" t="s">
        <v>755</v>
      </c>
      <c r="F457" s="90">
        <v>8604</v>
      </c>
      <c r="J457" t="s">
        <v>756</v>
      </c>
    </row>
    <row r="458" spans="1:10" ht="15" hidden="1" customHeight="1">
      <c r="A458" s="71">
        <v>44719</v>
      </c>
      <c r="B458" t="s">
        <v>591</v>
      </c>
      <c r="C458" t="s">
        <v>754</v>
      </c>
      <c r="E458" t="s">
        <v>755</v>
      </c>
      <c r="F458" s="90">
        <v>8696</v>
      </c>
      <c r="J458" t="s">
        <v>756</v>
      </c>
    </row>
    <row r="459" spans="1:10" ht="15" hidden="1" customHeight="1">
      <c r="A459" s="71">
        <v>44719</v>
      </c>
      <c r="B459" t="s">
        <v>260</v>
      </c>
      <c r="C459" t="s">
        <v>754</v>
      </c>
      <c r="D459" s="3">
        <v>7598</v>
      </c>
      <c r="E459" t="s">
        <v>755</v>
      </c>
      <c r="F459" s="90">
        <v>8605</v>
      </c>
      <c r="J459" t="s">
        <v>756</v>
      </c>
    </row>
    <row r="460" spans="1:10" ht="15" hidden="1" customHeight="1">
      <c r="A460" s="71">
        <v>44719</v>
      </c>
      <c r="B460" t="s">
        <v>780</v>
      </c>
      <c r="C460" t="s">
        <v>754</v>
      </c>
      <c r="D460" s="3">
        <v>454144</v>
      </c>
      <c r="E460" t="s">
        <v>755</v>
      </c>
      <c r="F460" s="90">
        <v>8504</v>
      </c>
      <c r="J460" t="s">
        <v>756</v>
      </c>
    </row>
    <row r="461" spans="1:10" ht="15" hidden="1" customHeight="1">
      <c r="A461" s="71">
        <v>44722</v>
      </c>
      <c r="B461" t="s">
        <v>25</v>
      </c>
      <c r="C461" t="s">
        <v>754</v>
      </c>
      <c r="D461" s="3">
        <v>4177</v>
      </c>
      <c r="E461" t="s">
        <v>755</v>
      </c>
      <c r="F461" s="90">
        <v>8609</v>
      </c>
      <c r="J461" t="s">
        <v>756</v>
      </c>
    </row>
    <row r="462" spans="1:10" ht="15" hidden="1" customHeight="1">
      <c r="A462" s="71">
        <v>44725</v>
      </c>
      <c r="B462" t="s">
        <v>712</v>
      </c>
      <c r="C462" t="s">
        <v>754</v>
      </c>
      <c r="D462" s="3">
        <v>13368</v>
      </c>
      <c r="E462" t="s">
        <v>755</v>
      </c>
      <c r="F462" s="90">
        <v>8706</v>
      </c>
      <c r="J462" t="s">
        <v>756</v>
      </c>
    </row>
    <row r="463" spans="1:10" ht="15" hidden="1" customHeight="1">
      <c r="A463" s="71">
        <v>44725</v>
      </c>
      <c r="B463" t="s">
        <v>32</v>
      </c>
      <c r="C463" t="s">
        <v>754</v>
      </c>
      <c r="D463" s="3">
        <v>5437</v>
      </c>
      <c r="E463" t="s">
        <v>755</v>
      </c>
      <c r="F463" s="90">
        <v>8610</v>
      </c>
      <c r="J463" t="s">
        <v>756</v>
      </c>
    </row>
    <row r="464" spans="1:10" ht="15" hidden="1" customHeight="1">
      <c r="A464" s="71">
        <v>44735</v>
      </c>
      <c r="B464" t="s">
        <v>390</v>
      </c>
      <c r="C464" t="s">
        <v>754</v>
      </c>
      <c r="D464" s="3">
        <v>6161</v>
      </c>
      <c r="E464" t="s">
        <v>755</v>
      </c>
      <c r="F464" s="90">
        <v>8720</v>
      </c>
      <c r="J464" t="s">
        <v>756</v>
      </c>
    </row>
    <row r="465" spans="1:10" ht="15" hidden="1" customHeight="1">
      <c r="A465" s="71">
        <v>44738</v>
      </c>
      <c r="B465" t="s">
        <v>311</v>
      </c>
      <c r="C465" t="s">
        <v>754</v>
      </c>
      <c r="D465" s="3">
        <v>13314</v>
      </c>
      <c r="E465" t="s">
        <v>755</v>
      </c>
      <c r="F465" s="90">
        <v>8311</v>
      </c>
      <c r="J465" t="s">
        <v>756</v>
      </c>
    </row>
    <row r="466" spans="1:10" ht="15" hidden="1" customHeight="1">
      <c r="A466" s="71">
        <v>44742</v>
      </c>
      <c r="B466" t="s">
        <v>596</v>
      </c>
      <c r="C466" t="s">
        <v>754</v>
      </c>
      <c r="D466" s="3">
        <v>131600</v>
      </c>
      <c r="E466" t="s">
        <v>755</v>
      </c>
      <c r="F466" s="90">
        <v>8514</v>
      </c>
      <c r="J466" t="s">
        <v>756</v>
      </c>
    </row>
    <row r="467" spans="1:10" ht="15" hidden="1" customHeight="1">
      <c r="A467" s="71">
        <v>44743</v>
      </c>
      <c r="B467" t="s">
        <v>580</v>
      </c>
      <c r="C467" t="s">
        <v>754</v>
      </c>
      <c r="D467" s="3">
        <v>61575</v>
      </c>
      <c r="E467" t="s">
        <v>755</v>
      </c>
      <c r="F467" s="90">
        <v>8516</v>
      </c>
      <c r="J467" t="s">
        <v>756</v>
      </c>
    </row>
    <row r="468" spans="1:10" ht="15" hidden="1" customHeight="1">
      <c r="A468" s="71">
        <v>44743</v>
      </c>
      <c r="B468" t="s">
        <v>588</v>
      </c>
      <c r="C468" t="s">
        <v>754</v>
      </c>
      <c r="D468" s="3">
        <v>52744</v>
      </c>
      <c r="E468" t="s">
        <v>755</v>
      </c>
      <c r="F468" s="90">
        <v>8515</v>
      </c>
      <c r="J468" t="s">
        <v>756</v>
      </c>
    </row>
    <row r="469" spans="1:10" ht="15" hidden="1" customHeight="1">
      <c r="A469" s="71">
        <v>44747</v>
      </c>
      <c r="B469" t="s">
        <v>780</v>
      </c>
      <c r="C469" t="s">
        <v>754</v>
      </c>
      <c r="D469" s="3">
        <v>458407</v>
      </c>
      <c r="E469" t="s">
        <v>755</v>
      </c>
      <c r="F469" s="90">
        <v>8518</v>
      </c>
      <c r="J469" t="s">
        <v>756</v>
      </c>
    </row>
    <row r="470" spans="1:10" ht="15" hidden="1" customHeight="1">
      <c r="A470" s="71">
        <v>44757</v>
      </c>
      <c r="B470" t="s">
        <v>333</v>
      </c>
      <c r="C470" t="s">
        <v>754</v>
      </c>
      <c r="D470" s="3">
        <v>5589</v>
      </c>
      <c r="E470" t="s">
        <v>755</v>
      </c>
      <c r="F470" s="90">
        <v>8909</v>
      </c>
      <c r="J470" t="s">
        <v>756</v>
      </c>
    </row>
    <row r="471" spans="1:10" ht="15" hidden="1" customHeight="1">
      <c r="A471" s="71">
        <v>44761</v>
      </c>
      <c r="B471" t="s">
        <v>782</v>
      </c>
      <c r="C471" t="s">
        <v>754</v>
      </c>
      <c r="E471" t="s">
        <v>755</v>
      </c>
      <c r="F471" s="90">
        <v>8983</v>
      </c>
      <c r="J471" t="s">
        <v>756</v>
      </c>
    </row>
    <row r="472" spans="1:10" ht="15" hidden="1" customHeight="1">
      <c r="A472" s="71">
        <v>44769</v>
      </c>
      <c r="B472" t="s">
        <v>567</v>
      </c>
      <c r="C472" t="s">
        <v>754</v>
      </c>
      <c r="E472" t="s">
        <v>755</v>
      </c>
      <c r="F472" s="90">
        <v>8813</v>
      </c>
      <c r="J472" t="s">
        <v>756</v>
      </c>
    </row>
    <row r="473" spans="1:10" ht="15" hidden="1" customHeight="1">
      <c r="A473" s="71">
        <v>44770</v>
      </c>
      <c r="B473" t="s">
        <v>569</v>
      </c>
      <c r="C473" t="s">
        <v>754</v>
      </c>
      <c r="E473" t="s">
        <v>755</v>
      </c>
      <c r="F473" s="90">
        <v>8814</v>
      </c>
      <c r="J473" t="s">
        <v>756</v>
      </c>
    </row>
    <row r="474" spans="1:10" ht="15" hidden="1" customHeight="1">
      <c r="A474" s="71">
        <v>44774</v>
      </c>
      <c r="B474" t="s">
        <v>594</v>
      </c>
      <c r="C474" t="s">
        <v>754</v>
      </c>
      <c r="D474" s="3">
        <v>395774</v>
      </c>
      <c r="E474" t="s">
        <v>755</v>
      </c>
      <c r="F474" s="90">
        <v>8523</v>
      </c>
      <c r="J474" t="s">
        <v>756</v>
      </c>
    </row>
    <row r="475" spans="1:10" ht="15" hidden="1" customHeight="1">
      <c r="A475" s="71">
        <v>44775</v>
      </c>
      <c r="B475" t="s">
        <v>336</v>
      </c>
      <c r="C475" t="s">
        <v>754</v>
      </c>
      <c r="D475" s="3">
        <v>9344</v>
      </c>
      <c r="E475" t="s">
        <v>755</v>
      </c>
      <c r="F475" s="90">
        <v>8634</v>
      </c>
      <c r="J475" t="s">
        <v>756</v>
      </c>
    </row>
    <row r="476" spans="1:10" ht="15" hidden="1" customHeight="1">
      <c r="A476" s="71">
        <v>44776</v>
      </c>
      <c r="B476" t="s">
        <v>365</v>
      </c>
      <c r="C476" t="s">
        <v>754</v>
      </c>
      <c r="D476" s="3">
        <v>10610</v>
      </c>
      <c r="E476" t="s">
        <v>755</v>
      </c>
      <c r="F476" s="90">
        <v>8838</v>
      </c>
      <c r="J476" t="s">
        <v>756</v>
      </c>
    </row>
    <row r="477" spans="1:10" ht="15" hidden="1" customHeight="1">
      <c r="A477" s="71">
        <v>44778</v>
      </c>
      <c r="B477" t="s">
        <v>789</v>
      </c>
      <c r="C477" t="s">
        <v>754</v>
      </c>
      <c r="E477" t="s">
        <v>755</v>
      </c>
      <c r="F477" s="90">
        <v>8525</v>
      </c>
      <c r="J477" t="s">
        <v>756</v>
      </c>
    </row>
    <row r="478" spans="1:10" ht="15" hidden="1" customHeight="1">
      <c r="A478" s="71">
        <v>44798</v>
      </c>
      <c r="B478" t="s">
        <v>580</v>
      </c>
      <c r="C478" t="s">
        <v>754</v>
      </c>
      <c r="E478" t="s">
        <v>755</v>
      </c>
      <c r="F478" s="90">
        <v>8765</v>
      </c>
      <c r="J478" t="s">
        <v>756</v>
      </c>
    </row>
    <row r="479" spans="1:10" ht="15" hidden="1" customHeight="1">
      <c r="A479" s="71">
        <v>44798</v>
      </c>
      <c r="B479" t="s">
        <v>797</v>
      </c>
      <c r="C479" t="s">
        <v>754</v>
      </c>
      <c r="E479" t="s">
        <v>755</v>
      </c>
      <c r="F479" s="90">
        <v>8764</v>
      </c>
      <c r="J479" t="s">
        <v>756</v>
      </c>
    </row>
    <row r="480" spans="1:10" ht="15" hidden="1" customHeight="1">
      <c r="A480" s="71">
        <v>44802</v>
      </c>
      <c r="B480" t="s">
        <v>573</v>
      </c>
      <c r="C480" t="s">
        <v>754</v>
      </c>
      <c r="E480" t="s">
        <v>755</v>
      </c>
      <c r="F480" s="90">
        <v>8527</v>
      </c>
      <c r="J480" t="s">
        <v>756</v>
      </c>
    </row>
    <row r="481" spans="1:10" ht="15" hidden="1" customHeight="1">
      <c r="A481" s="71">
        <v>44806</v>
      </c>
      <c r="B481" t="s">
        <v>48</v>
      </c>
      <c r="C481" t="s">
        <v>754</v>
      </c>
      <c r="E481" t="s">
        <v>755</v>
      </c>
      <c r="F481" s="90">
        <v>8527.1</v>
      </c>
      <c r="J481" t="s">
        <v>756</v>
      </c>
    </row>
    <row r="482" spans="1:10" ht="15" hidden="1" customHeight="1">
      <c r="A482" s="71">
        <v>44810</v>
      </c>
      <c r="B482" t="s">
        <v>780</v>
      </c>
      <c r="C482" t="s">
        <v>754</v>
      </c>
      <c r="E482" t="s">
        <v>755</v>
      </c>
      <c r="F482" s="90">
        <v>8530</v>
      </c>
      <c r="J482" t="s">
        <v>756</v>
      </c>
    </row>
    <row r="483" spans="1:10" ht="15" hidden="1" customHeight="1">
      <c r="A483" s="71">
        <v>44813</v>
      </c>
      <c r="B483" t="s">
        <v>581</v>
      </c>
      <c r="C483" t="s">
        <v>754</v>
      </c>
      <c r="E483" t="s">
        <v>755</v>
      </c>
      <c r="F483" s="90">
        <v>8529</v>
      </c>
      <c r="J483" t="s">
        <v>756</v>
      </c>
    </row>
    <row r="484" spans="1:10" ht="15" hidden="1" customHeight="1">
      <c r="A484" s="71">
        <v>44814</v>
      </c>
      <c r="B484" t="s">
        <v>587</v>
      </c>
      <c r="C484" t="s">
        <v>754</v>
      </c>
      <c r="E484" t="s">
        <v>755</v>
      </c>
      <c r="F484" s="90">
        <v>8532</v>
      </c>
      <c r="J484" t="s">
        <v>756</v>
      </c>
    </row>
    <row r="485" spans="1:10" ht="15" hidden="1" customHeight="1">
      <c r="A485" s="71">
        <v>44816</v>
      </c>
      <c r="B485" t="s">
        <v>586</v>
      </c>
      <c r="C485" t="s">
        <v>754</v>
      </c>
      <c r="E485" t="s">
        <v>755</v>
      </c>
      <c r="F485" s="90">
        <v>8531</v>
      </c>
      <c r="J485" t="s">
        <v>756</v>
      </c>
    </row>
    <row r="486" spans="1:10" ht="15" hidden="1" customHeight="1">
      <c r="A486" s="71">
        <v>44827</v>
      </c>
      <c r="B486" t="s">
        <v>324</v>
      </c>
      <c r="C486" t="s">
        <v>754</v>
      </c>
      <c r="D486" s="3">
        <v>12985</v>
      </c>
      <c r="E486" t="s">
        <v>755</v>
      </c>
      <c r="F486" s="90" t="s">
        <v>801</v>
      </c>
      <c r="J486" t="s">
        <v>756</v>
      </c>
    </row>
    <row r="487" spans="1:10" ht="15" hidden="1" customHeight="1">
      <c r="A487" s="71">
        <v>44827</v>
      </c>
      <c r="B487" t="s">
        <v>588</v>
      </c>
      <c r="C487" t="s">
        <v>754</v>
      </c>
      <c r="E487" t="s">
        <v>755</v>
      </c>
      <c r="F487" s="90">
        <v>8534</v>
      </c>
      <c r="J487" t="s">
        <v>756</v>
      </c>
    </row>
    <row r="488" spans="1:10" ht="15" hidden="1" customHeight="1">
      <c r="A488" s="71">
        <v>44831</v>
      </c>
      <c r="B488" t="s">
        <v>563</v>
      </c>
      <c r="C488" t="s">
        <v>754</v>
      </c>
      <c r="E488" t="s">
        <v>755</v>
      </c>
      <c r="F488" s="90">
        <v>8540</v>
      </c>
      <c r="J488" t="s">
        <v>756</v>
      </c>
    </row>
    <row r="489" spans="1:10" ht="15" hidden="1" customHeight="1">
      <c r="A489" s="71">
        <v>44831</v>
      </c>
      <c r="B489" t="s">
        <v>582</v>
      </c>
      <c r="C489" t="s">
        <v>754</v>
      </c>
      <c r="E489" t="s">
        <v>755</v>
      </c>
      <c r="F489" s="90"/>
      <c r="J489" t="s">
        <v>756</v>
      </c>
    </row>
    <row r="490" spans="1:10" ht="15" hidden="1" customHeight="1">
      <c r="A490" s="71">
        <v>44831</v>
      </c>
      <c r="B490" t="s">
        <v>588</v>
      </c>
      <c r="C490" t="s">
        <v>754</v>
      </c>
      <c r="E490" t="s">
        <v>755</v>
      </c>
      <c r="F490" s="90"/>
      <c r="J490" t="s">
        <v>756</v>
      </c>
    </row>
    <row r="491" spans="1:10" ht="15" hidden="1" customHeight="1">
      <c r="A491" s="71">
        <v>44838</v>
      </c>
      <c r="B491" t="s">
        <v>36</v>
      </c>
      <c r="C491" t="s">
        <v>754</v>
      </c>
      <c r="D491" s="3">
        <v>6094</v>
      </c>
      <c r="E491" t="s">
        <v>755</v>
      </c>
      <c r="F491" s="90">
        <v>9151</v>
      </c>
      <c r="J491" t="s">
        <v>756</v>
      </c>
    </row>
    <row r="492" spans="1:10" ht="15" hidden="1" customHeight="1">
      <c r="A492" s="71">
        <v>44849</v>
      </c>
      <c r="B492" t="s">
        <v>576</v>
      </c>
      <c r="C492" t="s">
        <v>754</v>
      </c>
      <c r="E492" t="s">
        <v>755</v>
      </c>
      <c r="F492" s="90">
        <v>8537</v>
      </c>
      <c r="J492" t="s">
        <v>756</v>
      </c>
    </row>
    <row r="493" spans="1:10" ht="15" hidden="1" customHeight="1">
      <c r="A493" s="71">
        <v>44851</v>
      </c>
      <c r="B493" t="s">
        <v>596</v>
      </c>
      <c r="C493" t="s">
        <v>754</v>
      </c>
      <c r="D493" s="3" t="s">
        <v>734</v>
      </c>
      <c r="E493" t="s">
        <v>755</v>
      </c>
      <c r="F493" s="90">
        <v>9287</v>
      </c>
      <c r="J493" t="s">
        <v>756</v>
      </c>
    </row>
    <row r="494" spans="1:10" ht="15" hidden="1" customHeight="1">
      <c r="A494" s="71">
        <v>44851</v>
      </c>
      <c r="B494" t="s">
        <v>780</v>
      </c>
      <c r="C494" t="s">
        <v>754</v>
      </c>
      <c r="E494" t="s">
        <v>755</v>
      </c>
      <c r="F494" s="90">
        <v>8538</v>
      </c>
      <c r="J494" t="s">
        <v>756</v>
      </c>
    </row>
    <row r="495" spans="1:10" ht="15" hidden="1" customHeight="1">
      <c r="A495" s="71">
        <v>44855</v>
      </c>
      <c r="B495" t="s">
        <v>42</v>
      </c>
      <c r="C495" t="s">
        <v>754</v>
      </c>
      <c r="E495" t="s">
        <v>755</v>
      </c>
      <c r="F495" s="90">
        <v>7372</v>
      </c>
      <c r="J495" t="s">
        <v>756</v>
      </c>
    </row>
    <row r="496" spans="1:10" ht="15" hidden="1" customHeight="1">
      <c r="A496" s="71">
        <v>44858</v>
      </c>
      <c r="B496" t="s">
        <v>593</v>
      </c>
      <c r="C496" t="s">
        <v>754</v>
      </c>
      <c r="E496" t="s">
        <v>755</v>
      </c>
      <c r="F496" s="90">
        <v>88542</v>
      </c>
      <c r="J496" t="s">
        <v>756</v>
      </c>
    </row>
    <row r="497" spans="1:10" ht="15" hidden="1" customHeight="1">
      <c r="A497" s="71">
        <v>44872</v>
      </c>
      <c r="B497" t="s">
        <v>580</v>
      </c>
      <c r="C497" t="s">
        <v>754</v>
      </c>
      <c r="E497" t="s">
        <v>755</v>
      </c>
      <c r="F497" s="90">
        <v>8856</v>
      </c>
      <c r="J497" t="s">
        <v>756</v>
      </c>
    </row>
    <row r="498" spans="1:10" ht="15" hidden="1" customHeight="1">
      <c r="A498" s="71">
        <v>44874</v>
      </c>
      <c r="B498" t="s">
        <v>152</v>
      </c>
      <c r="C498" t="s">
        <v>754</v>
      </c>
      <c r="D498" s="3">
        <v>6918</v>
      </c>
      <c r="E498" t="s">
        <v>755</v>
      </c>
      <c r="F498" s="90" t="s">
        <v>802</v>
      </c>
      <c r="J498" t="s">
        <v>756</v>
      </c>
    </row>
    <row r="499" spans="1:10" ht="15" hidden="1" customHeight="1">
      <c r="A499" s="71">
        <v>44874</v>
      </c>
      <c r="B499" t="s">
        <v>143</v>
      </c>
      <c r="C499" t="s">
        <v>754</v>
      </c>
      <c r="E499" t="s">
        <v>755</v>
      </c>
      <c r="F499" s="90">
        <v>8543</v>
      </c>
      <c r="J499" t="s">
        <v>756</v>
      </c>
    </row>
    <row r="500" spans="1:10" ht="15" hidden="1" customHeight="1">
      <c r="A500" s="71">
        <v>44875</v>
      </c>
      <c r="B500" t="s">
        <v>175</v>
      </c>
      <c r="C500" t="s">
        <v>754</v>
      </c>
      <c r="D500" s="3">
        <v>5036</v>
      </c>
      <c r="E500" t="s">
        <v>755</v>
      </c>
      <c r="F500" s="90" t="s">
        <v>802</v>
      </c>
      <c r="J500" t="s">
        <v>756</v>
      </c>
    </row>
    <row r="501" spans="1:10" ht="15" hidden="1" customHeight="1">
      <c r="A501" s="71">
        <v>44875</v>
      </c>
      <c r="B501" t="s">
        <v>167</v>
      </c>
      <c r="C501" t="s">
        <v>754</v>
      </c>
      <c r="D501" s="3">
        <v>4787</v>
      </c>
      <c r="E501" t="s">
        <v>755</v>
      </c>
      <c r="F501" s="90" t="s">
        <v>802</v>
      </c>
      <c r="J501" t="s">
        <v>756</v>
      </c>
    </row>
    <row r="502" spans="1:10" ht="15" hidden="1" customHeight="1">
      <c r="A502" s="71">
        <v>44875</v>
      </c>
      <c r="B502" t="s">
        <v>171</v>
      </c>
      <c r="C502" t="s">
        <v>754</v>
      </c>
      <c r="D502" s="3">
        <v>4669</v>
      </c>
      <c r="E502" t="s">
        <v>755</v>
      </c>
      <c r="F502" s="90">
        <v>9330</v>
      </c>
      <c r="J502" t="s">
        <v>756</v>
      </c>
    </row>
    <row r="503" spans="1:10" ht="15" hidden="1" customHeight="1">
      <c r="A503" s="71">
        <v>44876</v>
      </c>
      <c r="B503" t="s">
        <v>180</v>
      </c>
      <c r="C503" t="s">
        <v>754</v>
      </c>
      <c r="D503" s="3">
        <v>5140</v>
      </c>
      <c r="E503" t="s">
        <v>755</v>
      </c>
      <c r="F503" s="90"/>
      <c r="J503" t="s">
        <v>756</v>
      </c>
    </row>
    <row r="504" spans="1:10" ht="15" hidden="1" customHeight="1">
      <c r="A504" s="71">
        <v>44881</v>
      </c>
      <c r="B504" t="s">
        <v>48</v>
      </c>
      <c r="C504" t="s">
        <v>754</v>
      </c>
      <c r="E504" t="s">
        <v>755</v>
      </c>
      <c r="F504" s="90">
        <v>8544</v>
      </c>
      <c r="J504" t="s">
        <v>756</v>
      </c>
    </row>
    <row r="505" spans="1:10" ht="15" hidden="1" customHeight="1">
      <c r="A505" s="71">
        <v>44882</v>
      </c>
      <c r="B505" t="s">
        <v>211</v>
      </c>
      <c r="C505" t="s">
        <v>754</v>
      </c>
      <c r="E505" t="s">
        <v>755</v>
      </c>
      <c r="F505" s="90">
        <v>8318</v>
      </c>
      <c r="J505" t="s">
        <v>756</v>
      </c>
    </row>
    <row r="506" spans="1:10" ht="15" hidden="1" customHeight="1">
      <c r="A506" s="71">
        <v>44883</v>
      </c>
      <c r="B506" t="s">
        <v>780</v>
      </c>
      <c r="C506" t="s">
        <v>754</v>
      </c>
      <c r="E506" t="s">
        <v>755</v>
      </c>
      <c r="F506" s="90">
        <v>8546</v>
      </c>
      <c r="J506" t="s">
        <v>756</v>
      </c>
    </row>
    <row r="507" spans="1:10" ht="15" hidden="1" customHeight="1">
      <c r="A507" s="71">
        <v>44884</v>
      </c>
      <c r="B507" t="s">
        <v>587</v>
      </c>
      <c r="C507" t="s">
        <v>754</v>
      </c>
      <c r="E507" t="s">
        <v>755</v>
      </c>
      <c r="F507" s="90">
        <v>8545</v>
      </c>
      <c r="J507" t="s">
        <v>756</v>
      </c>
    </row>
    <row r="508" spans="1:10" ht="15" hidden="1" customHeight="1">
      <c r="A508" s="71">
        <v>44886</v>
      </c>
      <c r="B508" t="s">
        <v>797</v>
      </c>
      <c r="C508" t="s">
        <v>754</v>
      </c>
      <c r="E508" t="s">
        <v>755</v>
      </c>
      <c r="F508" s="90">
        <v>8547</v>
      </c>
      <c r="J508" t="s">
        <v>756</v>
      </c>
    </row>
    <row r="509" spans="1:10" ht="15" hidden="1" customHeight="1">
      <c r="A509" s="71">
        <v>44888</v>
      </c>
      <c r="B509" t="s">
        <v>12</v>
      </c>
      <c r="C509" t="s">
        <v>754</v>
      </c>
      <c r="D509" s="3">
        <v>2472</v>
      </c>
      <c r="E509" t="s">
        <v>755</v>
      </c>
      <c r="F509" s="90"/>
      <c r="J509" t="s">
        <v>756</v>
      </c>
    </row>
    <row r="510" spans="1:10" ht="15" hidden="1" customHeight="1">
      <c r="A510" s="71">
        <v>44889</v>
      </c>
      <c r="B510" t="s">
        <v>782</v>
      </c>
      <c r="C510" t="s">
        <v>754</v>
      </c>
      <c r="E510" t="s">
        <v>755</v>
      </c>
      <c r="F510" s="90">
        <v>8548</v>
      </c>
      <c r="J510" t="s">
        <v>756</v>
      </c>
    </row>
    <row r="511" spans="1:10" ht="15" hidden="1" customHeight="1">
      <c r="A511" s="71">
        <v>44890</v>
      </c>
      <c r="B511" t="s">
        <v>594</v>
      </c>
      <c r="C511" t="s">
        <v>754</v>
      </c>
      <c r="E511" t="s">
        <v>755</v>
      </c>
      <c r="F511" s="90">
        <v>8549</v>
      </c>
      <c r="J511" t="s">
        <v>756</v>
      </c>
    </row>
    <row r="512" spans="1:10" ht="15" hidden="1" customHeight="1">
      <c r="A512" s="71">
        <v>44893</v>
      </c>
      <c r="B512" t="s">
        <v>573</v>
      </c>
      <c r="C512" t="s">
        <v>754</v>
      </c>
      <c r="E512" t="s">
        <v>755</v>
      </c>
      <c r="F512" s="90">
        <v>8550</v>
      </c>
      <c r="J512" t="s">
        <v>756</v>
      </c>
    </row>
    <row r="513" spans="1:10" ht="15" hidden="1" customHeight="1">
      <c r="A513" s="71">
        <v>44894</v>
      </c>
      <c r="B513" t="s">
        <v>586</v>
      </c>
      <c r="C513" t="s">
        <v>754</v>
      </c>
      <c r="E513" t="s">
        <v>755</v>
      </c>
      <c r="F513" s="90">
        <v>9855</v>
      </c>
      <c r="J513" t="s">
        <v>756</v>
      </c>
    </row>
    <row r="514" spans="1:10" ht="15" hidden="1" customHeight="1">
      <c r="A514" s="71">
        <v>44897</v>
      </c>
      <c r="B514" t="s">
        <v>563</v>
      </c>
      <c r="C514" t="s">
        <v>754</v>
      </c>
      <c r="E514" t="s">
        <v>755</v>
      </c>
      <c r="F514" s="90">
        <v>9853</v>
      </c>
      <c r="J514" t="s">
        <v>756</v>
      </c>
    </row>
    <row r="515" spans="1:10" ht="15" hidden="1" customHeight="1">
      <c r="A515" s="71">
        <v>44897</v>
      </c>
      <c r="B515" t="s">
        <v>42</v>
      </c>
      <c r="C515" t="s">
        <v>754</v>
      </c>
      <c r="E515" t="s">
        <v>755</v>
      </c>
      <c r="F515" s="90">
        <v>8898</v>
      </c>
      <c r="J515" t="s">
        <v>756</v>
      </c>
    </row>
    <row r="516" spans="1:10" ht="15" hidden="1" customHeight="1">
      <c r="A516" s="71">
        <v>44898</v>
      </c>
      <c r="B516" t="s">
        <v>588</v>
      </c>
      <c r="C516" t="s">
        <v>754</v>
      </c>
      <c r="E516" t="s">
        <v>755</v>
      </c>
      <c r="F516" s="90">
        <v>9851</v>
      </c>
      <c r="J516" t="s">
        <v>756</v>
      </c>
    </row>
    <row r="517" spans="1:10" ht="15" hidden="1" customHeight="1">
      <c r="A517" s="71">
        <v>44900</v>
      </c>
      <c r="B517" t="s">
        <v>584</v>
      </c>
      <c r="C517" t="s">
        <v>754</v>
      </c>
      <c r="E517" t="s">
        <v>755</v>
      </c>
      <c r="F517" s="90">
        <v>9852</v>
      </c>
      <c r="J517" t="s">
        <v>756</v>
      </c>
    </row>
    <row r="518" spans="1:10" ht="15" hidden="1" customHeight="1">
      <c r="A518" s="71">
        <v>44904</v>
      </c>
      <c r="B518" t="s">
        <v>576</v>
      </c>
      <c r="C518" t="s">
        <v>754</v>
      </c>
      <c r="E518" t="s">
        <v>755</v>
      </c>
      <c r="F518" s="90">
        <v>9856</v>
      </c>
      <c r="J518" t="s">
        <v>756</v>
      </c>
    </row>
    <row r="519" spans="1:10" ht="15" hidden="1" customHeight="1">
      <c r="A519" s="71">
        <v>44907</v>
      </c>
      <c r="B519" t="s">
        <v>598</v>
      </c>
      <c r="C519" t="s">
        <v>754</v>
      </c>
      <c r="E519" t="s">
        <v>755</v>
      </c>
      <c r="F519" s="90">
        <v>9857</v>
      </c>
      <c r="J519" t="s">
        <v>756</v>
      </c>
    </row>
    <row r="520" spans="1:10" ht="15" hidden="1" customHeight="1">
      <c r="A520" s="71">
        <v>44908</v>
      </c>
      <c r="B520" t="s">
        <v>351</v>
      </c>
      <c r="C520" t="s">
        <v>754</v>
      </c>
      <c r="D520" s="3">
        <v>6759</v>
      </c>
      <c r="E520" t="s">
        <v>755</v>
      </c>
      <c r="F520" s="90">
        <v>7388</v>
      </c>
      <c r="J520" t="s">
        <v>756</v>
      </c>
    </row>
    <row r="521" spans="1:10" ht="15" hidden="1" customHeight="1">
      <c r="A521" s="71">
        <v>44917</v>
      </c>
      <c r="B521" t="s">
        <v>388</v>
      </c>
      <c r="C521" t="s">
        <v>754</v>
      </c>
      <c r="D521" s="3">
        <v>11043</v>
      </c>
      <c r="E521" t="s">
        <v>755</v>
      </c>
      <c r="F521" s="90">
        <v>9232</v>
      </c>
      <c r="J521" t="s">
        <v>756</v>
      </c>
    </row>
    <row r="522" spans="1:10" ht="15" hidden="1" customHeight="1">
      <c r="A522" s="71">
        <v>44922</v>
      </c>
      <c r="B522" t="s">
        <v>780</v>
      </c>
      <c r="C522" t="s">
        <v>754</v>
      </c>
      <c r="E522" t="s">
        <v>755</v>
      </c>
      <c r="F522" s="90">
        <v>9862</v>
      </c>
      <c r="J522" t="s">
        <v>756</v>
      </c>
    </row>
    <row r="523" spans="1:10" ht="15" hidden="1" customHeight="1">
      <c r="A523" s="71">
        <v>44925</v>
      </c>
      <c r="B523" t="s">
        <v>69</v>
      </c>
      <c r="C523" t="s">
        <v>754</v>
      </c>
      <c r="E523" t="s">
        <v>755</v>
      </c>
      <c r="F523" s="90">
        <v>8341</v>
      </c>
      <c r="J523" t="s">
        <v>756</v>
      </c>
    </row>
    <row r="524" spans="1:10" ht="15" hidden="1" customHeight="1">
      <c r="A524" s="71">
        <v>44931</v>
      </c>
      <c r="B524" t="s">
        <v>311</v>
      </c>
      <c r="C524" t="s">
        <v>754</v>
      </c>
      <c r="D524" s="3">
        <v>13730</v>
      </c>
      <c r="E524" t="s">
        <v>755</v>
      </c>
      <c r="F524" s="90">
        <v>9560</v>
      </c>
      <c r="J524" t="s">
        <v>756</v>
      </c>
    </row>
    <row r="525" spans="1:10" ht="15" hidden="1" customHeight="1">
      <c r="A525" s="71">
        <v>44937</v>
      </c>
      <c r="B525" t="s">
        <v>69</v>
      </c>
      <c r="C525" t="s">
        <v>754</v>
      </c>
      <c r="D525" s="3">
        <v>328000</v>
      </c>
      <c r="E525" t="s">
        <v>755</v>
      </c>
      <c r="F525" s="90">
        <v>9902</v>
      </c>
      <c r="J525" t="s">
        <v>756</v>
      </c>
    </row>
    <row r="526" spans="1:10" ht="15" hidden="1" customHeight="1">
      <c r="A526" s="71">
        <v>44944</v>
      </c>
      <c r="B526" t="s">
        <v>175</v>
      </c>
      <c r="C526" t="s">
        <v>754</v>
      </c>
      <c r="D526" s="3">
        <v>5238</v>
      </c>
      <c r="E526" t="s">
        <v>755</v>
      </c>
      <c r="F526" s="90">
        <v>9960</v>
      </c>
      <c r="J526" t="s">
        <v>756</v>
      </c>
    </row>
    <row r="527" spans="1:10" ht="15" hidden="1" customHeight="1">
      <c r="A527" s="71">
        <v>44947</v>
      </c>
      <c r="B527" t="s">
        <v>587</v>
      </c>
      <c r="C527" t="s">
        <v>754</v>
      </c>
      <c r="E527" t="s">
        <v>755</v>
      </c>
      <c r="F527" s="90">
        <v>9867</v>
      </c>
      <c r="J527" t="s">
        <v>756</v>
      </c>
    </row>
    <row r="528" spans="1:10" ht="15" hidden="1" customHeight="1">
      <c r="A528" s="71">
        <v>44949</v>
      </c>
      <c r="B528" t="s">
        <v>690</v>
      </c>
      <c r="C528" t="s">
        <v>754</v>
      </c>
      <c r="D528" s="3">
        <v>5343</v>
      </c>
      <c r="E528" t="s">
        <v>755</v>
      </c>
      <c r="F528" s="90">
        <v>7120</v>
      </c>
      <c r="J528" t="s">
        <v>756</v>
      </c>
    </row>
    <row r="529" spans="1:10" ht="15" hidden="1" customHeight="1">
      <c r="A529" s="71">
        <v>44953</v>
      </c>
      <c r="B529" t="s">
        <v>780</v>
      </c>
      <c r="C529" t="s">
        <v>754</v>
      </c>
      <c r="E529" t="s">
        <v>755</v>
      </c>
      <c r="F529" s="90">
        <v>9864</v>
      </c>
      <c r="J529" t="s">
        <v>756</v>
      </c>
    </row>
    <row r="530" spans="1:10" ht="15" hidden="1" customHeight="1">
      <c r="A530" s="71">
        <v>44956</v>
      </c>
      <c r="B530" t="s">
        <v>563</v>
      </c>
      <c r="C530" t="s">
        <v>754</v>
      </c>
      <c r="E530" t="s">
        <v>755</v>
      </c>
      <c r="F530" s="90">
        <v>9865</v>
      </c>
      <c r="J530" t="s">
        <v>756</v>
      </c>
    </row>
    <row r="531" spans="1:10" ht="15" hidden="1" customHeight="1">
      <c r="A531" s="71">
        <v>44958</v>
      </c>
      <c r="B531" t="s">
        <v>191</v>
      </c>
      <c r="C531" t="s">
        <v>754</v>
      </c>
      <c r="E531" t="s">
        <v>755</v>
      </c>
      <c r="F531" s="90">
        <v>10234</v>
      </c>
      <c r="J531" t="s">
        <v>756</v>
      </c>
    </row>
    <row r="532" spans="1:10" ht="15" hidden="1" customHeight="1">
      <c r="A532" s="71">
        <v>44959</v>
      </c>
      <c r="B532" t="s">
        <v>580</v>
      </c>
      <c r="C532" t="s">
        <v>754</v>
      </c>
      <c r="E532" t="s">
        <v>755</v>
      </c>
      <c r="F532" s="90">
        <v>10237</v>
      </c>
      <c r="J532" t="s">
        <v>756</v>
      </c>
    </row>
    <row r="533" spans="1:10" ht="15" hidden="1" customHeight="1">
      <c r="A533" s="71">
        <v>44961</v>
      </c>
      <c r="B533" t="s">
        <v>573</v>
      </c>
      <c r="C533" t="s">
        <v>754</v>
      </c>
      <c r="E533" t="s">
        <v>755</v>
      </c>
      <c r="F533" s="90">
        <v>9866</v>
      </c>
      <c r="J533" t="s">
        <v>756</v>
      </c>
    </row>
    <row r="534" spans="1:10" ht="15" hidden="1" customHeight="1">
      <c r="A534" s="71">
        <v>44963</v>
      </c>
      <c r="B534" t="s">
        <v>567</v>
      </c>
      <c r="C534" t="s">
        <v>754</v>
      </c>
      <c r="E534" t="s">
        <v>755</v>
      </c>
      <c r="F534" s="90">
        <v>9581</v>
      </c>
      <c r="J534" t="s">
        <v>756</v>
      </c>
    </row>
    <row r="535" spans="1:10" ht="15" hidden="1" customHeight="1">
      <c r="A535" s="71">
        <v>44965</v>
      </c>
      <c r="B535" t="s">
        <v>383</v>
      </c>
      <c r="C535" t="s">
        <v>754</v>
      </c>
      <c r="D535" s="3">
        <v>1786</v>
      </c>
      <c r="E535" t="s">
        <v>755</v>
      </c>
      <c r="F535" s="90">
        <v>9587</v>
      </c>
      <c r="J535" t="s">
        <v>756</v>
      </c>
    </row>
    <row r="536" spans="1:10" ht="15" hidden="1" customHeight="1">
      <c r="A536" s="71">
        <v>44966</v>
      </c>
      <c r="B536" t="s">
        <v>362</v>
      </c>
      <c r="C536" t="s">
        <v>754</v>
      </c>
      <c r="D536" s="3">
        <v>12230</v>
      </c>
      <c r="E536" t="s">
        <v>755</v>
      </c>
      <c r="F536" s="90">
        <v>9589</v>
      </c>
      <c r="J536" t="s">
        <v>756</v>
      </c>
    </row>
    <row r="537" spans="1:10" ht="15" hidden="1" customHeight="1">
      <c r="A537" s="71">
        <v>44967</v>
      </c>
      <c r="B537" t="s">
        <v>341</v>
      </c>
      <c r="C537" t="s">
        <v>754</v>
      </c>
      <c r="D537" s="3">
        <v>7421</v>
      </c>
      <c r="E537" t="s">
        <v>755</v>
      </c>
      <c r="F537" s="90">
        <v>9590</v>
      </c>
      <c r="J537" t="s">
        <v>756</v>
      </c>
    </row>
    <row r="538" spans="1:10" ht="15" hidden="1" customHeight="1">
      <c r="A538" s="71">
        <v>44971</v>
      </c>
      <c r="B538" t="s">
        <v>735</v>
      </c>
      <c r="C538" t="s">
        <v>754</v>
      </c>
      <c r="E538" t="s">
        <v>755</v>
      </c>
      <c r="F538" s="90">
        <v>9858</v>
      </c>
      <c r="J538" t="s">
        <v>756</v>
      </c>
    </row>
    <row r="539" spans="1:10" ht="15" hidden="1" customHeight="1">
      <c r="A539" s="71">
        <v>44971</v>
      </c>
      <c r="B539" t="s">
        <v>42</v>
      </c>
      <c r="C539" t="s">
        <v>754</v>
      </c>
      <c r="E539" t="s">
        <v>755</v>
      </c>
      <c r="F539" s="90">
        <v>9596</v>
      </c>
      <c r="J539" t="s">
        <v>756</v>
      </c>
    </row>
    <row r="540" spans="1:10" ht="15" hidden="1" customHeight="1">
      <c r="A540" s="71">
        <v>44974</v>
      </c>
      <c r="B540" t="s">
        <v>365</v>
      </c>
      <c r="C540" t="s">
        <v>754</v>
      </c>
      <c r="D540" s="3">
        <v>11273</v>
      </c>
      <c r="E540" t="s">
        <v>755</v>
      </c>
      <c r="F540" s="90">
        <v>10104</v>
      </c>
      <c r="J540" t="s">
        <v>756</v>
      </c>
    </row>
    <row r="541" spans="1:10" ht="15" hidden="1" customHeight="1">
      <c r="A541" s="71">
        <v>44977</v>
      </c>
      <c r="B541" t="s">
        <v>196</v>
      </c>
      <c r="C541" t="s">
        <v>754</v>
      </c>
      <c r="D541" s="3">
        <v>218</v>
      </c>
      <c r="E541" t="s">
        <v>755</v>
      </c>
      <c r="F541" s="90">
        <v>10108</v>
      </c>
      <c r="J541" t="s">
        <v>756</v>
      </c>
    </row>
    <row r="542" spans="1:10" ht="15" hidden="1" customHeight="1">
      <c r="A542" s="71">
        <v>44978</v>
      </c>
      <c r="B542" t="s">
        <v>143</v>
      </c>
      <c r="C542" t="s">
        <v>754</v>
      </c>
      <c r="E542" t="s">
        <v>755</v>
      </c>
      <c r="F542" s="90">
        <v>10110</v>
      </c>
      <c r="J542" t="s">
        <v>756</v>
      </c>
    </row>
    <row r="543" spans="1:10" ht="15" hidden="1" customHeight="1">
      <c r="A543" s="71">
        <v>44984</v>
      </c>
      <c r="B543" t="s">
        <v>396</v>
      </c>
      <c r="C543" t="s">
        <v>754</v>
      </c>
      <c r="D543" s="3">
        <v>5590</v>
      </c>
      <c r="E543" t="s">
        <v>755</v>
      </c>
      <c r="F543" s="90">
        <v>10118</v>
      </c>
      <c r="J543" t="s">
        <v>756</v>
      </c>
    </row>
    <row r="544" spans="1:10" ht="15" hidden="1" customHeight="1">
      <c r="A544" s="71">
        <v>44985</v>
      </c>
      <c r="B544" t="s">
        <v>780</v>
      </c>
      <c r="C544" t="s">
        <v>754</v>
      </c>
      <c r="E544" t="s">
        <v>755</v>
      </c>
      <c r="F544" s="90">
        <v>9872</v>
      </c>
      <c r="J544" t="s">
        <v>756</v>
      </c>
    </row>
    <row r="545" spans="1:10" ht="15" hidden="1" customHeight="1">
      <c r="A545" s="71">
        <v>44988</v>
      </c>
      <c r="B545" t="s">
        <v>576</v>
      </c>
      <c r="C545" t="s">
        <v>754</v>
      </c>
      <c r="E545" t="s">
        <v>755</v>
      </c>
      <c r="F545" s="90">
        <v>9869</v>
      </c>
      <c r="J545" t="s">
        <v>756</v>
      </c>
    </row>
    <row r="546" spans="1:10" ht="15" hidden="1" customHeight="1">
      <c r="A546" s="71">
        <v>44991</v>
      </c>
      <c r="B546" t="s">
        <v>162</v>
      </c>
      <c r="C546" t="s">
        <v>754</v>
      </c>
      <c r="D546" s="3">
        <v>10625</v>
      </c>
      <c r="E546" t="s">
        <v>755</v>
      </c>
      <c r="F546" s="90">
        <v>7127</v>
      </c>
      <c r="J546" t="s">
        <v>756</v>
      </c>
    </row>
    <row r="547" spans="1:10" ht="15" hidden="1" customHeight="1">
      <c r="A547" s="71">
        <v>44993</v>
      </c>
      <c r="B547" t="s">
        <v>48</v>
      </c>
      <c r="C547" t="s">
        <v>754</v>
      </c>
      <c r="E547" t="s">
        <v>755</v>
      </c>
      <c r="F547" s="90">
        <v>9868</v>
      </c>
      <c r="J547" t="s">
        <v>756</v>
      </c>
    </row>
    <row r="548" spans="1:10" ht="15" hidden="1" customHeight="1">
      <c r="A548" s="71">
        <v>44994</v>
      </c>
      <c r="B548" t="s">
        <v>202</v>
      </c>
      <c r="C548" t="s">
        <v>754</v>
      </c>
      <c r="D548" s="3">
        <v>1225</v>
      </c>
      <c r="E548" t="s">
        <v>755</v>
      </c>
      <c r="F548" s="90">
        <v>10142</v>
      </c>
      <c r="J548" t="s">
        <v>756</v>
      </c>
    </row>
    <row r="549" spans="1:10" ht="15" hidden="1" customHeight="1">
      <c r="A549" s="71">
        <v>44994</v>
      </c>
      <c r="B549" t="s">
        <v>581</v>
      </c>
      <c r="C549" t="s">
        <v>754</v>
      </c>
      <c r="E549" t="s">
        <v>755</v>
      </c>
      <c r="F549" s="90">
        <v>9863</v>
      </c>
      <c r="J549" t="s">
        <v>756</v>
      </c>
    </row>
    <row r="550" spans="1:10" ht="15" hidden="1" customHeight="1">
      <c r="A550" s="71">
        <v>44995</v>
      </c>
      <c r="B550" t="s">
        <v>352</v>
      </c>
      <c r="C550" t="s">
        <v>754</v>
      </c>
      <c r="D550" s="3">
        <v>8368</v>
      </c>
      <c r="E550" t="s">
        <v>755</v>
      </c>
      <c r="F550" s="90">
        <v>10146</v>
      </c>
      <c r="J550" t="s">
        <v>756</v>
      </c>
    </row>
    <row r="551" spans="1:10" ht="15" hidden="1" customHeight="1">
      <c r="A551" s="71">
        <v>44998</v>
      </c>
      <c r="B551" t="s">
        <v>318</v>
      </c>
      <c r="C551" t="s">
        <v>754</v>
      </c>
      <c r="D551" s="3">
        <v>9900</v>
      </c>
      <c r="E551" t="s">
        <v>755</v>
      </c>
      <c r="F551" s="90">
        <v>10379</v>
      </c>
      <c r="J551" t="s">
        <v>756</v>
      </c>
    </row>
    <row r="552" spans="1:10" ht="15" hidden="1" customHeight="1">
      <c r="A552" s="71">
        <v>44998</v>
      </c>
      <c r="B552" t="s">
        <v>563</v>
      </c>
      <c r="C552" t="s">
        <v>754</v>
      </c>
      <c r="E552" t="s">
        <v>755</v>
      </c>
      <c r="F552" s="90">
        <v>9870</v>
      </c>
      <c r="J552" t="s">
        <v>756</v>
      </c>
    </row>
    <row r="553" spans="1:10" ht="15" hidden="1" customHeight="1">
      <c r="A553" s="71">
        <v>44998</v>
      </c>
      <c r="B553" t="s">
        <v>180</v>
      </c>
      <c r="C553" t="s">
        <v>754</v>
      </c>
      <c r="D553" s="3">
        <v>5440</v>
      </c>
      <c r="E553" t="s">
        <v>755</v>
      </c>
      <c r="F553" s="90"/>
      <c r="J553" t="s">
        <v>756</v>
      </c>
    </row>
    <row r="554" spans="1:10" ht="15" hidden="1" customHeight="1">
      <c r="A554" s="71">
        <v>44999</v>
      </c>
      <c r="B554" t="s">
        <v>396</v>
      </c>
      <c r="C554" t="s">
        <v>754</v>
      </c>
      <c r="D554" s="3">
        <v>9006</v>
      </c>
      <c r="E554" t="s">
        <v>755</v>
      </c>
      <c r="F554" s="90">
        <v>10380</v>
      </c>
      <c r="J554" t="s">
        <v>756</v>
      </c>
    </row>
    <row r="555" spans="1:10" ht="15" hidden="1" customHeight="1">
      <c r="A555" s="71">
        <v>45000</v>
      </c>
      <c r="B555" t="s">
        <v>569</v>
      </c>
      <c r="C555" t="s">
        <v>754</v>
      </c>
      <c r="E555" t="s">
        <v>755</v>
      </c>
      <c r="F555" s="90">
        <v>10553</v>
      </c>
      <c r="J555" t="s">
        <v>756</v>
      </c>
    </row>
    <row r="556" spans="1:10" ht="15" hidden="1" customHeight="1">
      <c r="A556" s="71">
        <v>45000</v>
      </c>
      <c r="B556" t="s">
        <v>613</v>
      </c>
      <c r="C556" t="s">
        <v>754</v>
      </c>
      <c r="E556" t="s">
        <v>755</v>
      </c>
      <c r="F556" s="90">
        <v>9875</v>
      </c>
      <c r="J556" t="s">
        <v>756</v>
      </c>
    </row>
    <row r="557" spans="1:10" ht="15" hidden="1" customHeight="1">
      <c r="A557" s="71">
        <v>45000</v>
      </c>
      <c r="B557" t="s">
        <v>594</v>
      </c>
      <c r="C557" t="s">
        <v>754</v>
      </c>
      <c r="E557" t="s">
        <v>755</v>
      </c>
      <c r="F557" s="90">
        <v>9874</v>
      </c>
      <c r="J557" t="s">
        <v>756</v>
      </c>
    </row>
    <row r="558" spans="1:10" ht="15" hidden="1" customHeight="1">
      <c r="A558" s="71">
        <v>45001</v>
      </c>
      <c r="B558" t="s">
        <v>735</v>
      </c>
      <c r="C558" t="s">
        <v>754</v>
      </c>
      <c r="E558" t="s">
        <v>755</v>
      </c>
      <c r="F558" s="90">
        <v>9871</v>
      </c>
      <c r="J558" t="s">
        <v>756</v>
      </c>
    </row>
    <row r="559" spans="1:10" ht="15" hidden="1" customHeight="1">
      <c r="A559" s="71">
        <v>45005</v>
      </c>
      <c r="B559" t="s">
        <v>36</v>
      </c>
      <c r="C559" t="s">
        <v>754</v>
      </c>
      <c r="D559" s="3">
        <v>6591</v>
      </c>
      <c r="E559" t="s">
        <v>755</v>
      </c>
      <c r="F559" s="90">
        <v>7129</v>
      </c>
      <c r="J559" t="s">
        <v>756</v>
      </c>
    </row>
    <row r="560" spans="1:10" ht="15" hidden="1" customHeight="1">
      <c r="A560" s="71">
        <v>45005</v>
      </c>
      <c r="B560" t="s">
        <v>689</v>
      </c>
      <c r="C560" t="s">
        <v>754</v>
      </c>
      <c r="D560" s="3">
        <v>5728</v>
      </c>
      <c r="E560" t="s">
        <v>755</v>
      </c>
      <c r="F560" s="90">
        <v>7128</v>
      </c>
      <c r="J560" t="s">
        <v>756</v>
      </c>
    </row>
    <row r="561" spans="1:10" ht="15" hidden="1" customHeight="1">
      <c r="A561" s="71">
        <v>45006</v>
      </c>
      <c r="B561" t="s">
        <v>369</v>
      </c>
      <c r="C561" t="s">
        <v>754</v>
      </c>
      <c r="D561" s="3">
        <v>10583</v>
      </c>
      <c r="E561" t="s">
        <v>755</v>
      </c>
      <c r="F561" s="90">
        <v>10384</v>
      </c>
      <c r="J561" t="s">
        <v>756</v>
      </c>
    </row>
    <row r="562" spans="1:10" ht="15" hidden="1" customHeight="1">
      <c r="A562" s="71">
        <v>45007</v>
      </c>
      <c r="B562" t="s">
        <v>152</v>
      </c>
      <c r="C562" t="s">
        <v>754</v>
      </c>
      <c r="D562" s="3">
        <v>7686</v>
      </c>
      <c r="E562" t="s">
        <v>755</v>
      </c>
      <c r="F562" s="90">
        <v>10563</v>
      </c>
      <c r="J562" t="s">
        <v>756</v>
      </c>
    </row>
    <row r="563" spans="1:10" ht="15" hidden="1" customHeight="1">
      <c r="A563" s="71">
        <v>45009</v>
      </c>
      <c r="B563" t="s">
        <v>696</v>
      </c>
      <c r="C563" t="s">
        <v>754</v>
      </c>
      <c r="D563" s="3">
        <v>1173</v>
      </c>
      <c r="E563" t="s">
        <v>755</v>
      </c>
      <c r="F563" s="90">
        <v>10571</v>
      </c>
      <c r="J563" t="s">
        <v>756</v>
      </c>
    </row>
    <row r="564" spans="1:10" ht="15" hidden="1" customHeight="1">
      <c r="A564" s="71">
        <v>45013</v>
      </c>
      <c r="B564" t="s">
        <v>19</v>
      </c>
      <c r="C564" t="s">
        <v>754</v>
      </c>
      <c r="D564" s="3">
        <v>6550</v>
      </c>
      <c r="E564" t="s">
        <v>755</v>
      </c>
      <c r="F564" s="90">
        <v>7131</v>
      </c>
      <c r="J564" t="s">
        <v>756</v>
      </c>
    </row>
    <row r="565" spans="1:10" ht="15" hidden="1" customHeight="1">
      <c r="A565" s="71">
        <v>45014</v>
      </c>
      <c r="B565" t="s">
        <v>691</v>
      </c>
      <c r="C565" t="s">
        <v>754</v>
      </c>
      <c r="D565" s="3">
        <v>5680</v>
      </c>
      <c r="E565" t="s">
        <v>755</v>
      </c>
      <c r="F565" s="90" t="s">
        <v>785</v>
      </c>
      <c r="J565" t="s">
        <v>756</v>
      </c>
    </row>
    <row r="566" spans="1:10" ht="15" hidden="1" customHeight="1">
      <c r="A566" s="71">
        <v>45014</v>
      </c>
      <c r="B566" t="s">
        <v>691</v>
      </c>
      <c r="C566" t="s">
        <v>754</v>
      </c>
      <c r="D566" s="3">
        <v>5680</v>
      </c>
      <c r="E566" t="s">
        <v>755</v>
      </c>
      <c r="F566" s="90">
        <v>7132</v>
      </c>
      <c r="J566" t="s">
        <v>756</v>
      </c>
    </row>
    <row r="567" spans="1:10" ht="15" hidden="1" customHeight="1">
      <c r="A567" s="71">
        <v>45015</v>
      </c>
      <c r="B567" t="s">
        <v>39</v>
      </c>
      <c r="C567" t="s">
        <v>754</v>
      </c>
      <c r="E567" t="s">
        <v>755</v>
      </c>
      <c r="F567" s="90">
        <v>10577</v>
      </c>
      <c r="J567" t="s">
        <v>756</v>
      </c>
    </row>
    <row r="568" spans="1:10" ht="15" hidden="1" customHeight="1">
      <c r="A568" s="71">
        <v>45016</v>
      </c>
      <c r="B568" t="s">
        <v>171</v>
      </c>
      <c r="C568" t="s">
        <v>754</v>
      </c>
      <c r="D568" s="3">
        <v>4847</v>
      </c>
      <c r="E568" t="s">
        <v>755</v>
      </c>
      <c r="F568" s="90">
        <v>7133</v>
      </c>
      <c r="J568" t="s">
        <v>756</v>
      </c>
    </row>
    <row r="569" spans="1:10" ht="15" hidden="1" customHeight="1">
      <c r="A569" s="71">
        <v>45019</v>
      </c>
      <c r="B569" t="s">
        <v>163</v>
      </c>
      <c r="C569" t="s">
        <v>754</v>
      </c>
      <c r="D569" s="3">
        <v>6418</v>
      </c>
      <c r="E569" t="s">
        <v>755</v>
      </c>
      <c r="F569" s="90">
        <v>10585</v>
      </c>
      <c r="J569" t="s">
        <v>756</v>
      </c>
    </row>
    <row r="570" spans="1:10" ht="15" hidden="1" customHeight="1">
      <c r="A570" s="71">
        <v>45019</v>
      </c>
      <c r="B570" t="s">
        <v>183</v>
      </c>
      <c r="C570" t="s">
        <v>754</v>
      </c>
      <c r="D570" s="3">
        <v>1761</v>
      </c>
      <c r="E570" t="s">
        <v>755</v>
      </c>
      <c r="F570" s="90">
        <v>10584</v>
      </c>
      <c r="J570" t="s">
        <v>756</v>
      </c>
    </row>
    <row r="571" spans="1:10" ht="15" hidden="1" customHeight="1">
      <c r="A571" s="71">
        <v>45021</v>
      </c>
      <c r="B571" t="s">
        <v>390</v>
      </c>
      <c r="C571" t="s">
        <v>754</v>
      </c>
      <c r="D571" s="3">
        <v>6823</v>
      </c>
      <c r="E571" t="s">
        <v>755</v>
      </c>
      <c r="F571" s="90">
        <v>10593</v>
      </c>
      <c r="J571" t="s">
        <v>756</v>
      </c>
    </row>
    <row r="572" spans="1:10" ht="15" hidden="1" customHeight="1">
      <c r="A572" s="71">
        <v>45022</v>
      </c>
      <c r="B572" t="s">
        <v>615</v>
      </c>
      <c r="C572" t="s">
        <v>754</v>
      </c>
      <c r="E572" t="s">
        <v>755</v>
      </c>
      <c r="F572" s="90">
        <v>9877</v>
      </c>
      <c r="J572" t="s">
        <v>756</v>
      </c>
    </row>
    <row r="573" spans="1:10" ht="15" hidden="1" customHeight="1">
      <c r="A573" s="71">
        <v>45022</v>
      </c>
      <c r="B573" t="s">
        <v>587</v>
      </c>
      <c r="C573" t="s">
        <v>754</v>
      </c>
      <c r="E573" t="s">
        <v>755</v>
      </c>
      <c r="F573" s="90">
        <v>9876</v>
      </c>
      <c r="J573" t="s">
        <v>756</v>
      </c>
    </row>
    <row r="574" spans="1:10" ht="15" hidden="1" customHeight="1">
      <c r="A574" s="71">
        <v>45026</v>
      </c>
      <c r="B574" t="s">
        <v>157</v>
      </c>
      <c r="C574" t="s">
        <v>754</v>
      </c>
      <c r="D574" s="3">
        <v>12927</v>
      </c>
      <c r="E574" t="s">
        <v>755</v>
      </c>
      <c r="F574" s="90">
        <v>10552</v>
      </c>
      <c r="J574" t="s">
        <v>756</v>
      </c>
    </row>
    <row r="575" spans="1:10" ht="15" hidden="1" customHeight="1">
      <c r="A575" s="71">
        <v>45029</v>
      </c>
      <c r="B575" t="s">
        <v>239</v>
      </c>
      <c r="C575" t="s">
        <v>754</v>
      </c>
      <c r="D575" s="3">
        <v>12416</v>
      </c>
      <c r="E575" t="s">
        <v>755</v>
      </c>
      <c r="F575" s="90">
        <v>10388</v>
      </c>
      <c r="J575" t="s">
        <v>756</v>
      </c>
    </row>
    <row r="576" spans="1:10" ht="15" hidden="1" customHeight="1">
      <c r="A576" s="71">
        <v>45033</v>
      </c>
      <c r="B576" t="s">
        <v>780</v>
      </c>
      <c r="C576" t="s">
        <v>754</v>
      </c>
      <c r="E576" t="s">
        <v>755</v>
      </c>
      <c r="F576" s="90">
        <v>9884</v>
      </c>
      <c r="J576" t="s">
        <v>756</v>
      </c>
    </row>
    <row r="577" spans="1:10" ht="15" hidden="1" customHeight="1">
      <c r="A577" s="71">
        <v>45034</v>
      </c>
      <c r="B577" t="s">
        <v>341</v>
      </c>
      <c r="C577" t="s">
        <v>754</v>
      </c>
      <c r="D577" s="3">
        <v>7794</v>
      </c>
      <c r="E577" t="s">
        <v>755</v>
      </c>
      <c r="F577" s="90">
        <v>10720</v>
      </c>
      <c r="J577" t="s">
        <v>756</v>
      </c>
    </row>
    <row r="578" spans="1:10" ht="15" hidden="1" customHeight="1">
      <c r="A578" s="71">
        <v>45034</v>
      </c>
      <c r="B578" t="s">
        <v>146</v>
      </c>
      <c r="C578" t="s">
        <v>754</v>
      </c>
      <c r="E578" t="s">
        <v>755</v>
      </c>
      <c r="F578" s="90">
        <v>9885</v>
      </c>
      <c r="J578" t="s">
        <v>756</v>
      </c>
    </row>
    <row r="579" spans="1:10" ht="15" hidden="1" customHeight="1">
      <c r="A579" s="71">
        <v>45035</v>
      </c>
      <c r="B579" t="s">
        <v>311</v>
      </c>
      <c r="C579" t="s">
        <v>754</v>
      </c>
      <c r="D579" s="3" t="s">
        <v>734</v>
      </c>
      <c r="E579" t="s">
        <v>755</v>
      </c>
      <c r="F579" s="90">
        <v>10724</v>
      </c>
      <c r="J579" t="s">
        <v>756</v>
      </c>
    </row>
    <row r="580" spans="1:10" ht="15" hidden="1" customHeight="1">
      <c r="A580" s="71">
        <v>45040</v>
      </c>
      <c r="B580" t="s">
        <v>380</v>
      </c>
      <c r="C580" t="s">
        <v>754</v>
      </c>
      <c r="D580" s="3">
        <v>4000</v>
      </c>
      <c r="E580" t="s">
        <v>755</v>
      </c>
      <c r="F580" s="90">
        <v>9342</v>
      </c>
      <c r="J580" t="s">
        <v>756</v>
      </c>
    </row>
    <row r="581" spans="1:10" ht="15" hidden="1" customHeight="1">
      <c r="A581" s="71">
        <v>45041</v>
      </c>
      <c r="B581" t="s">
        <v>399</v>
      </c>
      <c r="C581" t="s">
        <v>754</v>
      </c>
      <c r="D581" s="3">
        <v>6050</v>
      </c>
      <c r="E581" t="s">
        <v>755</v>
      </c>
      <c r="F581" s="90">
        <v>9343</v>
      </c>
      <c r="J581" t="s">
        <v>756</v>
      </c>
    </row>
    <row r="582" spans="1:10" ht="15" hidden="1" customHeight="1">
      <c r="A582" s="71">
        <v>45042</v>
      </c>
      <c r="B582" t="s">
        <v>176</v>
      </c>
      <c r="C582" t="s">
        <v>754</v>
      </c>
      <c r="E582" t="s">
        <v>755</v>
      </c>
      <c r="F582" s="90">
        <v>9886</v>
      </c>
      <c r="J582" t="s">
        <v>756</v>
      </c>
    </row>
    <row r="583" spans="1:10" ht="15" hidden="1" customHeight="1">
      <c r="A583" s="71">
        <v>45048</v>
      </c>
      <c r="B583" t="s">
        <v>580</v>
      </c>
      <c r="C583" t="s">
        <v>754</v>
      </c>
      <c r="E583" t="s">
        <v>755</v>
      </c>
      <c r="F583" s="90">
        <v>9894</v>
      </c>
      <c r="J583" t="s">
        <v>756</v>
      </c>
    </row>
    <row r="584" spans="1:10" ht="15" hidden="1" customHeight="1">
      <c r="A584" s="71">
        <v>45051</v>
      </c>
      <c r="B584" t="s">
        <v>35</v>
      </c>
      <c r="C584" t="s">
        <v>754</v>
      </c>
      <c r="E584" t="s">
        <v>755</v>
      </c>
      <c r="F584" s="90">
        <v>10264</v>
      </c>
      <c r="J584" t="s">
        <v>756</v>
      </c>
    </row>
    <row r="585" spans="1:10" ht="15" hidden="1" customHeight="1">
      <c r="A585" s="71">
        <v>45052</v>
      </c>
      <c r="B585" t="s">
        <v>573</v>
      </c>
      <c r="C585" t="s">
        <v>754</v>
      </c>
      <c r="E585" t="s">
        <v>755</v>
      </c>
      <c r="F585" s="90">
        <v>9890.1</v>
      </c>
      <c r="J585" t="s">
        <v>756</v>
      </c>
    </row>
    <row r="586" spans="1:10" ht="15" hidden="1" customHeight="1">
      <c r="A586" s="71">
        <v>45054</v>
      </c>
      <c r="B586" t="s">
        <v>32</v>
      </c>
      <c r="C586" t="s">
        <v>754</v>
      </c>
      <c r="D586" s="3">
        <v>6702</v>
      </c>
      <c r="E586" t="s">
        <v>755</v>
      </c>
      <c r="F586" s="90">
        <v>7134</v>
      </c>
      <c r="J586" t="s">
        <v>756</v>
      </c>
    </row>
    <row r="587" spans="1:10" ht="15" hidden="1" customHeight="1">
      <c r="A587" s="71">
        <v>45056</v>
      </c>
      <c r="B587" t="s">
        <v>25</v>
      </c>
      <c r="C587" t="s">
        <v>754</v>
      </c>
      <c r="D587" s="3">
        <v>5327</v>
      </c>
      <c r="E587" t="s">
        <v>755</v>
      </c>
      <c r="F587" s="90">
        <v>7135</v>
      </c>
      <c r="J587" t="s">
        <v>756</v>
      </c>
    </row>
    <row r="588" spans="1:10" ht="15" hidden="1" customHeight="1">
      <c r="A588" s="71">
        <v>45058</v>
      </c>
      <c r="B588" t="s">
        <v>618</v>
      </c>
      <c r="C588" t="s">
        <v>754</v>
      </c>
      <c r="E588" t="s">
        <v>755</v>
      </c>
      <c r="F588" s="90">
        <v>9889</v>
      </c>
      <c r="J588" t="s">
        <v>756</v>
      </c>
    </row>
    <row r="589" spans="1:10" ht="15" hidden="1" customHeight="1">
      <c r="A589" s="71">
        <v>45061</v>
      </c>
      <c r="B589" t="s">
        <v>581</v>
      </c>
      <c r="C589" t="s">
        <v>754</v>
      </c>
      <c r="E589" t="s">
        <v>755</v>
      </c>
      <c r="F589" s="90">
        <v>9888</v>
      </c>
      <c r="J589" t="s">
        <v>756</v>
      </c>
    </row>
    <row r="590" spans="1:10" ht="15" hidden="1" customHeight="1">
      <c r="A590" s="71">
        <v>45061</v>
      </c>
      <c r="B590" t="s">
        <v>318</v>
      </c>
      <c r="C590" t="s">
        <v>754</v>
      </c>
      <c r="D590" s="3">
        <v>10128</v>
      </c>
      <c r="E590" t="s">
        <v>755</v>
      </c>
      <c r="F590" s="90"/>
      <c r="J590" t="s">
        <v>756</v>
      </c>
    </row>
    <row r="591" spans="1:10" ht="15" hidden="1" customHeight="1">
      <c r="A591" s="71">
        <v>45063</v>
      </c>
      <c r="B591" t="s">
        <v>338</v>
      </c>
      <c r="C591" t="s">
        <v>754</v>
      </c>
      <c r="D591" s="3">
        <v>23985</v>
      </c>
      <c r="E591" t="s">
        <v>755</v>
      </c>
      <c r="F591" s="90">
        <v>10397</v>
      </c>
      <c r="J591" t="s">
        <v>756</v>
      </c>
    </row>
    <row r="592" spans="1:10" ht="15" hidden="1" customHeight="1">
      <c r="A592" s="71">
        <v>45064</v>
      </c>
      <c r="B592" t="s">
        <v>362</v>
      </c>
      <c r="C592" t="s">
        <v>754</v>
      </c>
      <c r="D592" s="3">
        <v>12478</v>
      </c>
      <c r="E592" t="s">
        <v>755</v>
      </c>
      <c r="F592" s="90">
        <v>11403</v>
      </c>
      <c r="J592" t="s">
        <v>756</v>
      </c>
    </row>
    <row r="593" spans="1:10" ht="15" hidden="1" customHeight="1">
      <c r="A593" s="71">
        <v>45064</v>
      </c>
      <c r="B593" t="s">
        <v>735</v>
      </c>
      <c r="C593" t="s">
        <v>754</v>
      </c>
      <c r="E593" t="s">
        <v>755</v>
      </c>
      <c r="F593" s="90">
        <v>9891</v>
      </c>
      <c r="J593" t="s">
        <v>756</v>
      </c>
    </row>
    <row r="594" spans="1:10" ht="15" hidden="1" customHeight="1">
      <c r="A594" s="71">
        <v>45068</v>
      </c>
      <c r="B594" t="s">
        <v>152</v>
      </c>
      <c r="C594" t="s">
        <v>754</v>
      </c>
      <c r="D594" s="3">
        <v>8002</v>
      </c>
      <c r="E594" t="s">
        <v>755</v>
      </c>
      <c r="F594" s="90">
        <v>10267</v>
      </c>
      <c r="J594" t="s">
        <v>756</v>
      </c>
    </row>
    <row r="595" spans="1:10" ht="15" hidden="1" customHeight="1">
      <c r="A595" s="71">
        <v>45072</v>
      </c>
      <c r="B595" t="s">
        <v>587</v>
      </c>
      <c r="C595" t="s">
        <v>754</v>
      </c>
      <c r="E595" t="s">
        <v>755</v>
      </c>
      <c r="F595" s="90">
        <v>9887</v>
      </c>
      <c r="J595" t="s">
        <v>756</v>
      </c>
    </row>
    <row r="596" spans="1:10" ht="15" hidden="1" customHeight="1">
      <c r="A596" s="71">
        <v>45075</v>
      </c>
      <c r="B596" t="s">
        <v>735</v>
      </c>
      <c r="C596" t="s">
        <v>754</v>
      </c>
      <c r="E596" t="s">
        <v>755</v>
      </c>
      <c r="F596" s="90">
        <v>8777</v>
      </c>
      <c r="J596" t="s">
        <v>756</v>
      </c>
    </row>
    <row r="597" spans="1:10" ht="15" hidden="1" customHeight="1">
      <c r="A597" s="71">
        <v>45076</v>
      </c>
      <c r="B597" t="s">
        <v>330</v>
      </c>
      <c r="C597" t="s">
        <v>754</v>
      </c>
      <c r="D597" s="3">
        <v>14751</v>
      </c>
      <c r="E597" t="s">
        <v>755</v>
      </c>
      <c r="F597" s="90">
        <v>10958</v>
      </c>
      <c r="J597" t="s">
        <v>756</v>
      </c>
    </row>
    <row r="598" spans="1:10" ht="15" hidden="1" customHeight="1">
      <c r="A598" s="71">
        <v>45076</v>
      </c>
      <c r="B598" t="s">
        <v>29</v>
      </c>
      <c r="C598" t="s">
        <v>754</v>
      </c>
      <c r="D598" s="3">
        <v>6900</v>
      </c>
      <c r="E598" t="s">
        <v>755</v>
      </c>
      <c r="F598" s="90">
        <v>9367</v>
      </c>
      <c r="J598" t="s">
        <v>756</v>
      </c>
    </row>
    <row r="599" spans="1:10" ht="15" hidden="1" customHeight="1">
      <c r="A599" s="71">
        <v>45078</v>
      </c>
      <c r="B599" t="s">
        <v>175</v>
      </c>
      <c r="C599" t="s">
        <v>754</v>
      </c>
      <c r="D599" s="3">
        <v>5740</v>
      </c>
      <c r="E599" t="s">
        <v>755</v>
      </c>
      <c r="F599" s="90">
        <v>9372</v>
      </c>
      <c r="J599" t="s">
        <v>756</v>
      </c>
    </row>
    <row r="600" spans="1:10" ht="15" hidden="1" customHeight="1">
      <c r="A600" s="71">
        <v>45082</v>
      </c>
      <c r="B600" t="s">
        <v>346</v>
      </c>
      <c r="C600" t="s">
        <v>754</v>
      </c>
      <c r="D600" s="3">
        <v>468</v>
      </c>
      <c r="E600" t="s">
        <v>755</v>
      </c>
      <c r="F600" s="90">
        <v>11409</v>
      </c>
      <c r="J600" t="s">
        <v>756</v>
      </c>
    </row>
    <row r="601" spans="1:10" ht="15" hidden="1" customHeight="1">
      <c r="A601" s="71">
        <v>45082</v>
      </c>
      <c r="B601" t="s">
        <v>596</v>
      </c>
      <c r="C601" t="s">
        <v>754</v>
      </c>
      <c r="D601" s="3">
        <v>945</v>
      </c>
      <c r="E601" t="s">
        <v>755</v>
      </c>
      <c r="F601" s="90">
        <v>9898</v>
      </c>
      <c r="J601" t="s">
        <v>756</v>
      </c>
    </row>
    <row r="602" spans="1:10" ht="15" hidden="1" customHeight="1">
      <c r="A602" s="71">
        <v>45082</v>
      </c>
      <c r="B602" t="s">
        <v>373</v>
      </c>
      <c r="C602" t="s">
        <v>754</v>
      </c>
      <c r="D602" s="3">
        <v>3458</v>
      </c>
      <c r="E602" t="s">
        <v>755</v>
      </c>
      <c r="F602" s="90">
        <v>9374</v>
      </c>
      <c r="J602" t="s">
        <v>756</v>
      </c>
    </row>
    <row r="603" spans="1:10" ht="15" hidden="1" customHeight="1">
      <c r="A603" s="71">
        <v>45085</v>
      </c>
      <c r="B603" t="s">
        <v>394</v>
      </c>
      <c r="C603" t="s">
        <v>754</v>
      </c>
      <c r="D603" s="3">
        <v>9276</v>
      </c>
      <c r="E603" t="s">
        <v>755</v>
      </c>
      <c r="F603" s="90">
        <v>10398</v>
      </c>
      <c r="J603" t="s">
        <v>756</v>
      </c>
    </row>
    <row r="604" spans="1:10" ht="15" hidden="1" customHeight="1">
      <c r="A604" s="71">
        <v>45086</v>
      </c>
      <c r="B604" t="s">
        <v>380</v>
      </c>
      <c r="C604" t="s">
        <v>754</v>
      </c>
      <c r="D604" s="3">
        <v>4018</v>
      </c>
      <c r="E604" t="s">
        <v>755</v>
      </c>
      <c r="F604" s="90">
        <v>11411</v>
      </c>
      <c r="J604" t="s">
        <v>756</v>
      </c>
    </row>
    <row r="605" spans="1:10" ht="15" hidden="1" customHeight="1">
      <c r="A605" s="71">
        <v>45091</v>
      </c>
      <c r="B605" t="s">
        <v>19</v>
      </c>
      <c r="C605" t="s">
        <v>754</v>
      </c>
      <c r="D605" s="3">
        <v>6889</v>
      </c>
      <c r="E605" t="s">
        <v>755</v>
      </c>
      <c r="F605" s="90">
        <v>10963</v>
      </c>
      <c r="J605" t="s">
        <v>756</v>
      </c>
    </row>
    <row r="606" spans="1:10" ht="15" hidden="1" customHeight="1">
      <c r="A606" s="71">
        <v>45091</v>
      </c>
      <c r="B606" t="s">
        <v>797</v>
      </c>
      <c r="C606" t="s">
        <v>754</v>
      </c>
      <c r="E606" t="s">
        <v>755</v>
      </c>
      <c r="F606" s="90">
        <v>9387</v>
      </c>
      <c r="J606" t="s">
        <v>756</v>
      </c>
    </row>
    <row r="607" spans="1:10" ht="15" hidden="1" customHeight="1">
      <c r="A607" s="71">
        <v>45092</v>
      </c>
      <c r="B607" t="s">
        <v>388</v>
      </c>
      <c r="C607" t="s">
        <v>754</v>
      </c>
      <c r="D607" s="3">
        <v>11398</v>
      </c>
      <c r="E607" t="s">
        <v>755</v>
      </c>
      <c r="F607" s="90">
        <v>10785</v>
      </c>
      <c r="J607" t="s">
        <v>756</v>
      </c>
    </row>
    <row r="608" spans="1:10" ht="15" hidden="1" customHeight="1">
      <c r="A608" s="71">
        <v>45093</v>
      </c>
      <c r="B608" t="s">
        <v>569</v>
      </c>
      <c r="C608" t="s">
        <v>754</v>
      </c>
      <c r="E608" t="s">
        <v>755</v>
      </c>
      <c r="F608" s="90">
        <v>8780</v>
      </c>
      <c r="J608" t="s">
        <v>756</v>
      </c>
    </row>
    <row r="609" spans="1:10" ht="15" hidden="1" customHeight="1">
      <c r="A609" s="71">
        <v>45095</v>
      </c>
      <c r="B609" t="s">
        <v>573</v>
      </c>
      <c r="C609" t="s">
        <v>754</v>
      </c>
      <c r="E609" t="s">
        <v>755</v>
      </c>
      <c r="F609" s="90">
        <v>9895</v>
      </c>
      <c r="J609" t="s">
        <v>756</v>
      </c>
    </row>
    <row r="610" spans="1:10" ht="15" hidden="1" customHeight="1">
      <c r="A610" s="71">
        <v>45095</v>
      </c>
      <c r="B610" t="s">
        <v>146</v>
      </c>
      <c r="C610" t="s">
        <v>754</v>
      </c>
      <c r="D610" s="3">
        <v>296</v>
      </c>
      <c r="E610" t="s">
        <v>755</v>
      </c>
      <c r="F610" s="90">
        <v>9807</v>
      </c>
      <c r="J610" t="s">
        <v>756</v>
      </c>
    </row>
    <row r="611" spans="1:10" ht="15" hidden="1" customHeight="1">
      <c r="A611" s="71">
        <v>45096</v>
      </c>
      <c r="B611" t="s">
        <v>146</v>
      </c>
      <c r="C611" t="s">
        <v>754</v>
      </c>
      <c r="E611" t="s">
        <v>755</v>
      </c>
      <c r="F611" s="90">
        <v>7138</v>
      </c>
      <c r="J611" t="s">
        <v>756</v>
      </c>
    </row>
    <row r="612" spans="1:10" ht="15" hidden="1" customHeight="1">
      <c r="A612" s="71">
        <v>45097</v>
      </c>
      <c r="B612" t="s">
        <v>584</v>
      </c>
      <c r="C612" t="s">
        <v>754</v>
      </c>
      <c r="E612" t="s">
        <v>755</v>
      </c>
      <c r="F612" s="90">
        <v>10789</v>
      </c>
      <c r="J612" t="s">
        <v>756</v>
      </c>
    </row>
    <row r="613" spans="1:10" ht="15" hidden="1" customHeight="1">
      <c r="A613" s="71">
        <v>45107</v>
      </c>
      <c r="B613" t="s">
        <v>48</v>
      </c>
      <c r="C613" t="s">
        <v>754</v>
      </c>
      <c r="E613" t="s">
        <v>755</v>
      </c>
      <c r="F613" s="90">
        <v>9899</v>
      </c>
      <c r="J613" t="s">
        <v>756</v>
      </c>
    </row>
    <row r="614" spans="1:10" ht="15" hidden="1" customHeight="1">
      <c r="A614" s="71">
        <v>45110</v>
      </c>
      <c r="B614" t="s">
        <v>394</v>
      </c>
      <c r="C614" t="s">
        <v>754</v>
      </c>
      <c r="D614" s="3">
        <v>9293</v>
      </c>
      <c r="E614" t="s">
        <v>755</v>
      </c>
      <c r="F614" s="90">
        <v>11419</v>
      </c>
      <c r="J614" t="s">
        <v>756</v>
      </c>
    </row>
    <row r="615" spans="1:10" ht="15" hidden="1" customHeight="1">
      <c r="A615" s="71">
        <v>45113</v>
      </c>
      <c r="B615" t="s">
        <v>162</v>
      </c>
      <c r="C615" t="s">
        <v>754</v>
      </c>
      <c r="E615" t="s">
        <v>755</v>
      </c>
      <c r="F615" s="90">
        <v>11420</v>
      </c>
      <c r="J615" t="s">
        <v>756</v>
      </c>
    </row>
    <row r="616" spans="1:10" ht="15" hidden="1" customHeight="1">
      <c r="A616" s="71">
        <v>45117</v>
      </c>
      <c r="B616" t="s">
        <v>36</v>
      </c>
      <c r="C616" t="s">
        <v>754</v>
      </c>
      <c r="D616" s="3">
        <v>6945</v>
      </c>
      <c r="E616" t="s">
        <v>755</v>
      </c>
      <c r="F616" s="90">
        <v>10404</v>
      </c>
      <c r="J616" t="s">
        <v>756</v>
      </c>
    </row>
    <row r="617" spans="1:10" ht="15" hidden="1" customHeight="1">
      <c r="A617" s="71">
        <v>45118</v>
      </c>
      <c r="B617" t="s">
        <v>338</v>
      </c>
      <c r="C617" t="s">
        <v>754</v>
      </c>
      <c r="D617" s="3">
        <v>24054</v>
      </c>
      <c r="E617" t="s">
        <v>755</v>
      </c>
      <c r="F617" s="90">
        <v>11422</v>
      </c>
      <c r="J617" t="s">
        <v>756</v>
      </c>
    </row>
    <row r="618" spans="1:10" ht="15" hidden="1" customHeight="1">
      <c r="A618" s="71">
        <v>45119</v>
      </c>
      <c r="B618" t="s">
        <v>689</v>
      </c>
      <c r="C618" t="s">
        <v>754</v>
      </c>
      <c r="D618" s="3">
        <v>6062</v>
      </c>
      <c r="E618" t="s">
        <v>755</v>
      </c>
      <c r="F618" s="90" t="s">
        <v>793</v>
      </c>
      <c r="J618" t="s">
        <v>756</v>
      </c>
    </row>
    <row r="619" spans="1:10" ht="15" hidden="1" customHeight="1">
      <c r="A619" s="71">
        <v>45119</v>
      </c>
      <c r="B619" t="s">
        <v>178</v>
      </c>
      <c r="C619" t="s">
        <v>754</v>
      </c>
      <c r="E619" t="s">
        <v>755</v>
      </c>
      <c r="F619" s="90">
        <v>11423</v>
      </c>
      <c r="J619" t="s">
        <v>756</v>
      </c>
    </row>
    <row r="620" spans="1:10" ht="15" hidden="1" customHeight="1">
      <c r="A620" s="71">
        <v>45124</v>
      </c>
      <c r="B620" t="s">
        <v>341</v>
      </c>
      <c r="C620" t="s">
        <v>754</v>
      </c>
      <c r="D620" s="3">
        <v>11425</v>
      </c>
      <c r="E620" t="s">
        <v>755</v>
      </c>
      <c r="F620" s="90">
        <v>11424</v>
      </c>
      <c r="J620" t="s">
        <v>756</v>
      </c>
    </row>
    <row r="621" spans="1:10" ht="15" hidden="1" customHeight="1">
      <c r="A621" s="71">
        <v>45138</v>
      </c>
      <c r="B621" t="s">
        <v>690</v>
      </c>
      <c r="C621" t="s">
        <v>754</v>
      </c>
      <c r="D621" s="3">
        <v>5681</v>
      </c>
      <c r="E621" t="s">
        <v>755</v>
      </c>
      <c r="F621" s="90">
        <v>10424</v>
      </c>
      <c r="J621" t="s">
        <v>756</v>
      </c>
    </row>
    <row r="622" spans="1:10" ht="15" hidden="1" customHeight="1">
      <c r="A622" s="71">
        <v>45141</v>
      </c>
      <c r="B622" t="s">
        <v>65</v>
      </c>
      <c r="C622" t="s">
        <v>754</v>
      </c>
      <c r="D622" s="3">
        <v>2209</v>
      </c>
      <c r="E622" t="s">
        <v>755</v>
      </c>
      <c r="F622" s="90">
        <v>11052</v>
      </c>
      <c r="J622" t="s">
        <v>756</v>
      </c>
    </row>
    <row r="623" spans="1:10" ht="15" hidden="1" customHeight="1">
      <c r="A623" s="71">
        <v>45146</v>
      </c>
      <c r="B623" t="s">
        <v>324</v>
      </c>
      <c r="C623" t="s">
        <v>754</v>
      </c>
      <c r="D623" s="3">
        <v>13561</v>
      </c>
      <c r="E623" t="s">
        <v>755</v>
      </c>
      <c r="F623" s="90">
        <v>10979</v>
      </c>
      <c r="J623" t="s">
        <v>756</v>
      </c>
    </row>
    <row r="624" spans="1:10" ht="15" hidden="1" customHeight="1">
      <c r="A624" s="71">
        <v>45146</v>
      </c>
      <c r="B624" t="s">
        <v>188</v>
      </c>
      <c r="C624" t="s">
        <v>754</v>
      </c>
      <c r="D624" s="3">
        <v>9627</v>
      </c>
      <c r="E624" t="s">
        <v>755</v>
      </c>
      <c r="F624" s="90">
        <v>10441</v>
      </c>
      <c r="J624" t="s">
        <v>756</v>
      </c>
    </row>
    <row r="625" spans="1:10" ht="15" hidden="1" customHeight="1">
      <c r="A625" s="71">
        <v>45146</v>
      </c>
      <c r="B625" t="s">
        <v>42</v>
      </c>
      <c r="C625" t="s">
        <v>754</v>
      </c>
      <c r="D625" s="3">
        <v>138875</v>
      </c>
      <c r="E625" t="s">
        <v>755</v>
      </c>
      <c r="F625" s="90">
        <v>10440</v>
      </c>
      <c r="J625" t="s">
        <v>756</v>
      </c>
    </row>
    <row r="626" spans="1:10" ht="15" hidden="1" customHeight="1">
      <c r="A626" s="71">
        <v>45146</v>
      </c>
      <c r="B626" t="s">
        <v>143</v>
      </c>
      <c r="C626" t="s">
        <v>754</v>
      </c>
      <c r="D626" s="3">
        <v>742498</v>
      </c>
      <c r="E626" t="s">
        <v>755</v>
      </c>
      <c r="F626" s="90">
        <v>8790</v>
      </c>
      <c r="J626" t="s">
        <v>756</v>
      </c>
    </row>
    <row r="627" spans="1:10" ht="15" hidden="1" customHeight="1">
      <c r="A627" s="71">
        <v>45152</v>
      </c>
      <c r="B627" t="s">
        <v>352</v>
      </c>
      <c r="C627" t="s">
        <v>754</v>
      </c>
      <c r="D627" s="3">
        <v>8411</v>
      </c>
      <c r="E627" t="s">
        <v>755</v>
      </c>
      <c r="F627" s="90">
        <v>11056</v>
      </c>
      <c r="J627" t="s">
        <v>756</v>
      </c>
    </row>
    <row r="628" spans="1:10" ht="15" hidden="1" customHeight="1">
      <c r="A628" s="71">
        <v>45154</v>
      </c>
      <c r="B628" t="s">
        <v>173</v>
      </c>
      <c r="C628" t="s">
        <v>754</v>
      </c>
      <c r="D628" s="3">
        <v>5705</v>
      </c>
      <c r="E628" t="s">
        <v>755</v>
      </c>
      <c r="F628" s="90">
        <v>1157</v>
      </c>
      <c r="J628" t="s">
        <v>756</v>
      </c>
    </row>
    <row r="629" spans="1:10" ht="15" hidden="1" customHeight="1">
      <c r="A629" s="71">
        <v>45156</v>
      </c>
      <c r="B629" t="s">
        <v>230</v>
      </c>
      <c r="C629" t="s">
        <v>754</v>
      </c>
      <c r="D629" s="3">
        <v>8754</v>
      </c>
      <c r="E629" t="s">
        <v>755</v>
      </c>
      <c r="F629" s="90">
        <v>11058</v>
      </c>
      <c r="J629" t="s">
        <v>756</v>
      </c>
    </row>
    <row r="630" spans="1:10" ht="15" hidden="1" customHeight="1">
      <c r="A630" s="71">
        <v>45163</v>
      </c>
      <c r="B630" t="s">
        <v>684</v>
      </c>
      <c r="C630" t="s">
        <v>754</v>
      </c>
      <c r="E630" t="s">
        <v>755</v>
      </c>
      <c r="F630" s="90">
        <v>11443</v>
      </c>
      <c r="J630" t="s">
        <v>756</v>
      </c>
    </row>
    <row r="631" spans="1:10" ht="15" hidden="1" customHeight="1">
      <c r="A631" s="71">
        <v>45163</v>
      </c>
      <c r="B631" t="s">
        <v>25</v>
      </c>
      <c r="C631" t="s">
        <v>754</v>
      </c>
      <c r="D631" s="3">
        <v>5660</v>
      </c>
      <c r="E631" t="s">
        <v>755</v>
      </c>
      <c r="F631" s="90">
        <v>10628</v>
      </c>
      <c r="J631" t="s">
        <v>756</v>
      </c>
    </row>
    <row r="632" spans="1:10" ht="15" hidden="1" customHeight="1">
      <c r="A632" s="71">
        <v>45167</v>
      </c>
      <c r="B632" t="s">
        <v>362</v>
      </c>
      <c r="C632" t="s">
        <v>754</v>
      </c>
      <c r="D632" s="3">
        <v>12728</v>
      </c>
      <c r="E632" t="s">
        <v>755</v>
      </c>
      <c r="F632" s="90">
        <v>10862</v>
      </c>
      <c r="J632" t="s">
        <v>756</v>
      </c>
    </row>
    <row r="633" spans="1:10" ht="15" hidden="1" customHeight="1">
      <c r="A633" s="71">
        <v>45170</v>
      </c>
      <c r="B633" t="s">
        <v>593</v>
      </c>
      <c r="C633" t="s">
        <v>754</v>
      </c>
      <c r="D633" s="3">
        <v>86848</v>
      </c>
      <c r="E633" t="s">
        <v>755</v>
      </c>
      <c r="F633" s="90">
        <v>11374</v>
      </c>
      <c r="J633" t="s">
        <v>756</v>
      </c>
    </row>
    <row r="634" spans="1:10" ht="15" hidden="1" customHeight="1">
      <c r="A634" s="71">
        <v>45174</v>
      </c>
      <c r="B634" t="s">
        <v>697</v>
      </c>
      <c r="C634" t="s">
        <v>754</v>
      </c>
      <c r="E634" t="s">
        <v>755</v>
      </c>
      <c r="F634" s="90">
        <v>10282</v>
      </c>
      <c r="J634" t="s">
        <v>756</v>
      </c>
    </row>
    <row r="635" spans="1:10" ht="15" hidden="1" customHeight="1">
      <c r="A635" s="71">
        <v>45176</v>
      </c>
      <c r="B635" t="s">
        <v>803</v>
      </c>
      <c r="C635" t="s">
        <v>754</v>
      </c>
      <c r="E635" t="s">
        <v>755</v>
      </c>
      <c r="F635" s="90">
        <v>11105</v>
      </c>
      <c r="J635" t="s">
        <v>756</v>
      </c>
    </row>
    <row r="636" spans="1:10" ht="15" hidden="1" customHeight="1">
      <c r="A636" s="71">
        <v>45180</v>
      </c>
      <c r="B636" t="s">
        <v>580</v>
      </c>
      <c r="C636" t="s">
        <v>754</v>
      </c>
      <c r="E636" t="s">
        <v>755</v>
      </c>
      <c r="F636" s="90">
        <v>11372</v>
      </c>
      <c r="J636" t="s">
        <v>756</v>
      </c>
    </row>
    <row r="637" spans="1:10" ht="15" hidden="1" customHeight="1">
      <c r="A637" s="71">
        <v>45189</v>
      </c>
      <c r="B637" t="s">
        <v>328</v>
      </c>
      <c r="C637" t="s">
        <v>754</v>
      </c>
      <c r="D637" s="3">
        <v>7947</v>
      </c>
      <c r="E637" t="s">
        <v>755</v>
      </c>
      <c r="F637" s="90">
        <v>10864</v>
      </c>
      <c r="J637" t="s">
        <v>756</v>
      </c>
    </row>
    <row r="638" spans="1:10" ht="15" hidden="1" customHeight="1">
      <c r="A638" s="71">
        <v>45190</v>
      </c>
      <c r="B638" t="s">
        <v>573</v>
      </c>
      <c r="C638" t="s">
        <v>754</v>
      </c>
      <c r="E638" t="s">
        <v>755</v>
      </c>
      <c r="F638" s="90">
        <v>10036</v>
      </c>
      <c r="J638" t="s">
        <v>756</v>
      </c>
    </row>
    <row r="639" spans="1:10" ht="15" hidden="1" customHeight="1">
      <c r="A639" s="71">
        <v>45192</v>
      </c>
      <c r="B639" t="s">
        <v>180</v>
      </c>
      <c r="C639" t="s">
        <v>754</v>
      </c>
      <c r="E639" t="s">
        <v>755</v>
      </c>
      <c r="F639" s="90">
        <v>11152</v>
      </c>
      <c r="J639" t="s">
        <v>756</v>
      </c>
    </row>
    <row r="640" spans="1:10" ht="15" hidden="1" customHeight="1">
      <c r="A640" s="71">
        <v>45194</v>
      </c>
      <c r="B640" t="s">
        <v>389</v>
      </c>
      <c r="C640" t="s">
        <v>754</v>
      </c>
      <c r="D640" s="3">
        <v>5412</v>
      </c>
      <c r="E640" t="s">
        <v>755</v>
      </c>
      <c r="F640" s="90">
        <v>8400</v>
      </c>
      <c r="J640" t="s">
        <v>756</v>
      </c>
    </row>
    <row r="641" spans="1:10" ht="15" hidden="1" customHeight="1">
      <c r="A641" s="71">
        <v>45198</v>
      </c>
      <c r="B641" t="s">
        <v>162</v>
      </c>
      <c r="C641" t="s">
        <v>754</v>
      </c>
      <c r="E641" t="s">
        <v>755</v>
      </c>
      <c r="F641" s="90">
        <v>9360</v>
      </c>
      <c r="J641" t="s">
        <v>756</v>
      </c>
    </row>
    <row r="642" spans="1:10" ht="15" hidden="1" customHeight="1">
      <c r="A642" s="71">
        <v>45198</v>
      </c>
      <c r="B642" t="s">
        <v>341</v>
      </c>
      <c r="C642" t="s">
        <v>754</v>
      </c>
      <c r="D642" s="3">
        <v>8483</v>
      </c>
      <c r="E642" t="s">
        <v>755</v>
      </c>
      <c r="F642" s="90">
        <v>9010</v>
      </c>
      <c r="J642" t="s">
        <v>756</v>
      </c>
    </row>
    <row r="643" spans="1:10" ht="15" hidden="1" customHeight="1">
      <c r="A643" s="71">
        <v>45202</v>
      </c>
      <c r="B643" t="s">
        <v>587</v>
      </c>
      <c r="C643" t="s">
        <v>754</v>
      </c>
      <c r="E643" t="s">
        <v>755</v>
      </c>
      <c r="F643" s="90">
        <v>10034</v>
      </c>
      <c r="J643" t="s">
        <v>756</v>
      </c>
    </row>
    <row r="644" spans="1:10" ht="15" hidden="1" customHeight="1">
      <c r="A644" s="71">
        <v>45203</v>
      </c>
      <c r="B644" t="s">
        <v>689</v>
      </c>
      <c r="C644" t="s">
        <v>754</v>
      </c>
      <c r="D644" s="3">
        <v>6437</v>
      </c>
      <c r="E644" t="s">
        <v>755</v>
      </c>
      <c r="F644" s="90">
        <v>10033</v>
      </c>
      <c r="J644" t="s">
        <v>756</v>
      </c>
    </row>
    <row r="645" spans="1:10" ht="15" hidden="1" customHeight="1">
      <c r="A645" s="71">
        <v>45204</v>
      </c>
      <c r="B645" t="s">
        <v>202</v>
      </c>
      <c r="C645" t="s">
        <v>754</v>
      </c>
      <c r="D645" s="3">
        <v>1262</v>
      </c>
      <c r="E645" t="s">
        <v>755</v>
      </c>
      <c r="F645" s="90">
        <v>11154</v>
      </c>
      <c r="J645" t="s">
        <v>756</v>
      </c>
    </row>
    <row r="646" spans="1:10" ht="15" hidden="1" customHeight="1">
      <c r="A646" s="71">
        <v>45204</v>
      </c>
      <c r="B646" t="s">
        <v>322</v>
      </c>
      <c r="C646" t="s">
        <v>754</v>
      </c>
      <c r="D646" s="3">
        <v>24432</v>
      </c>
      <c r="E646" t="s">
        <v>755</v>
      </c>
      <c r="F646" s="90">
        <v>11116</v>
      </c>
      <c r="J646" t="s">
        <v>756</v>
      </c>
    </row>
    <row r="647" spans="1:10" ht="15" hidden="1" customHeight="1">
      <c r="A647" s="71">
        <v>45209</v>
      </c>
      <c r="B647" t="s">
        <v>36</v>
      </c>
      <c r="C647" t="s">
        <v>754</v>
      </c>
      <c r="D647" s="3">
        <v>7474</v>
      </c>
      <c r="E647" t="s">
        <v>755</v>
      </c>
      <c r="F647" s="90">
        <v>10005</v>
      </c>
      <c r="J647" t="s">
        <v>756</v>
      </c>
    </row>
    <row r="648" spans="1:10" ht="15" hidden="1" customHeight="1">
      <c r="A648" s="71">
        <v>45211</v>
      </c>
      <c r="B648" t="s">
        <v>185</v>
      </c>
      <c r="C648" t="s">
        <v>754</v>
      </c>
      <c r="D648" s="3">
        <v>705</v>
      </c>
      <c r="E648" t="s">
        <v>755</v>
      </c>
      <c r="F648" s="90">
        <v>11120</v>
      </c>
      <c r="J648" t="s">
        <v>756</v>
      </c>
    </row>
    <row r="649" spans="1:10" ht="15" hidden="1" customHeight="1">
      <c r="A649" s="71">
        <v>45215</v>
      </c>
      <c r="B649" t="s">
        <v>318</v>
      </c>
      <c r="C649" t="s">
        <v>754</v>
      </c>
      <c r="D649" s="3">
        <v>10365</v>
      </c>
      <c r="E649" t="s">
        <v>755</v>
      </c>
      <c r="F649" s="90">
        <v>10868</v>
      </c>
      <c r="J649" t="s">
        <v>756</v>
      </c>
    </row>
    <row r="650" spans="1:10" ht="15" hidden="1" customHeight="1">
      <c r="A650" s="71">
        <v>45215</v>
      </c>
      <c r="B650" t="s">
        <v>569</v>
      </c>
      <c r="C650" t="s">
        <v>754</v>
      </c>
      <c r="D650" s="3">
        <v>299925</v>
      </c>
      <c r="E650" t="s">
        <v>755</v>
      </c>
      <c r="F650" s="90">
        <v>9044</v>
      </c>
      <c r="J650" t="s">
        <v>756</v>
      </c>
    </row>
    <row r="651" spans="1:10" ht="15" hidden="1" customHeight="1">
      <c r="A651" s="71">
        <v>45216</v>
      </c>
      <c r="B651" t="s">
        <v>178</v>
      </c>
      <c r="C651" t="s">
        <v>754</v>
      </c>
      <c r="D651" s="3">
        <v>267182</v>
      </c>
      <c r="E651" t="s">
        <v>755</v>
      </c>
      <c r="F651" s="90">
        <v>10869</v>
      </c>
      <c r="J651" t="s">
        <v>756</v>
      </c>
    </row>
    <row r="652" spans="1:10" ht="15" hidden="1" customHeight="1">
      <c r="A652" s="71">
        <v>45216</v>
      </c>
      <c r="B652" t="s">
        <v>175</v>
      </c>
      <c r="C652" t="s">
        <v>754</v>
      </c>
      <c r="D652" s="3">
        <v>6202</v>
      </c>
      <c r="E652" t="s">
        <v>755</v>
      </c>
      <c r="F652" s="90">
        <v>9047</v>
      </c>
      <c r="J652" t="s">
        <v>756</v>
      </c>
    </row>
    <row r="653" spans="1:10" ht="15" hidden="1" customHeight="1">
      <c r="A653" s="71">
        <v>45217</v>
      </c>
      <c r="B653" t="s">
        <v>159</v>
      </c>
      <c r="C653" t="s">
        <v>754</v>
      </c>
      <c r="D653" s="3">
        <v>9206</v>
      </c>
      <c r="E653" t="s">
        <v>755</v>
      </c>
      <c r="F653" s="90">
        <v>11068</v>
      </c>
      <c r="J653" t="s">
        <v>756</v>
      </c>
    </row>
    <row r="654" spans="1:10" ht="15" hidden="1" customHeight="1">
      <c r="A654" s="71">
        <v>45217</v>
      </c>
      <c r="B654" t="s">
        <v>180</v>
      </c>
      <c r="C654" t="s">
        <v>754</v>
      </c>
      <c r="D654" s="3">
        <v>6162</v>
      </c>
      <c r="E654" t="s">
        <v>755</v>
      </c>
      <c r="F654" s="90">
        <v>11066</v>
      </c>
      <c r="J654" t="s">
        <v>756</v>
      </c>
    </row>
    <row r="655" spans="1:10" ht="15" hidden="1" customHeight="1">
      <c r="A655" s="71">
        <v>45218</v>
      </c>
      <c r="B655" t="s">
        <v>183</v>
      </c>
      <c r="C655" t="s">
        <v>754</v>
      </c>
      <c r="D655" s="3">
        <v>1820</v>
      </c>
      <c r="E655" t="s">
        <v>755</v>
      </c>
      <c r="F655" s="90">
        <v>11070</v>
      </c>
      <c r="J655" t="s">
        <v>756</v>
      </c>
    </row>
    <row r="656" spans="1:10" ht="15" hidden="1" customHeight="1">
      <c r="A656" s="71">
        <v>45219</v>
      </c>
      <c r="B656" t="s">
        <v>586</v>
      </c>
      <c r="C656" t="s">
        <v>754</v>
      </c>
      <c r="D656" s="3">
        <v>109852</v>
      </c>
      <c r="E656" t="s">
        <v>755</v>
      </c>
      <c r="F656" s="90">
        <v>11380</v>
      </c>
      <c r="J656" t="s">
        <v>756</v>
      </c>
    </row>
    <row r="657" spans="1:10" ht="15" hidden="1" customHeight="1">
      <c r="A657" s="71">
        <v>45219</v>
      </c>
      <c r="B657" t="s">
        <v>584</v>
      </c>
      <c r="C657" t="s">
        <v>754</v>
      </c>
      <c r="D657" s="3">
        <v>119559</v>
      </c>
      <c r="E657" t="s">
        <v>755</v>
      </c>
      <c r="F657" s="90">
        <v>11379</v>
      </c>
      <c r="J657" t="s">
        <v>756</v>
      </c>
    </row>
    <row r="658" spans="1:10" ht="15" hidden="1" customHeight="1">
      <c r="A658" s="71">
        <v>45219</v>
      </c>
      <c r="B658" t="s">
        <v>417</v>
      </c>
      <c r="C658" t="s">
        <v>754</v>
      </c>
      <c r="D658" s="3">
        <v>7185</v>
      </c>
      <c r="E658" t="s">
        <v>755</v>
      </c>
      <c r="F658" s="90">
        <v>11259</v>
      </c>
      <c r="J658" t="s">
        <v>756</v>
      </c>
    </row>
    <row r="659" spans="1:10" ht="15" hidden="1" customHeight="1">
      <c r="A659" s="71">
        <v>45219</v>
      </c>
      <c r="B659" t="s">
        <v>143</v>
      </c>
      <c r="C659" t="s">
        <v>754</v>
      </c>
      <c r="E659" t="s">
        <v>755</v>
      </c>
      <c r="F659" s="90">
        <v>10046</v>
      </c>
      <c r="J659" t="s">
        <v>756</v>
      </c>
    </row>
    <row r="660" spans="1:10" ht="15" hidden="1" customHeight="1">
      <c r="A660" s="71">
        <v>45222</v>
      </c>
      <c r="B660" t="s">
        <v>800</v>
      </c>
      <c r="C660" t="s">
        <v>754</v>
      </c>
      <c r="D660" s="3">
        <v>7876</v>
      </c>
      <c r="E660" t="s">
        <v>755</v>
      </c>
      <c r="F660" s="90">
        <v>10285</v>
      </c>
      <c r="J660" t="s">
        <v>756</v>
      </c>
    </row>
    <row r="661" spans="1:10" ht="15" hidden="1" customHeight="1">
      <c r="A661" s="71">
        <v>45224</v>
      </c>
      <c r="B661" t="s">
        <v>388</v>
      </c>
      <c r="C661" t="s">
        <v>754</v>
      </c>
      <c r="D661" s="3">
        <v>11567</v>
      </c>
      <c r="E661" t="s">
        <v>755</v>
      </c>
      <c r="F661" s="90">
        <v>10461</v>
      </c>
      <c r="J661" t="s">
        <v>756</v>
      </c>
    </row>
    <row r="662" spans="1:10" ht="15" hidden="1" customHeight="1">
      <c r="A662" s="71">
        <v>45225</v>
      </c>
      <c r="B662" t="s">
        <v>330</v>
      </c>
      <c r="C662" t="s">
        <v>754</v>
      </c>
      <c r="D662" s="3">
        <v>7029</v>
      </c>
      <c r="E662" t="s">
        <v>755</v>
      </c>
      <c r="F662" s="90">
        <v>10463</v>
      </c>
      <c r="J662" t="s">
        <v>756</v>
      </c>
    </row>
    <row r="663" spans="1:10" ht="15" hidden="1" customHeight="1">
      <c r="A663" s="71">
        <v>45229</v>
      </c>
      <c r="B663" t="s">
        <v>581</v>
      </c>
      <c r="C663" t="s">
        <v>754</v>
      </c>
      <c r="D663" s="3">
        <v>129500</v>
      </c>
      <c r="E663" t="s">
        <v>755</v>
      </c>
      <c r="F663" s="90">
        <v>11390</v>
      </c>
      <c r="J663" t="s">
        <v>756</v>
      </c>
    </row>
    <row r="664" spans="1:10" ht="15" hidden="1" customHeight="1">
      <c r="A664" s="71">
        <v>45230</v>
      </c>
      <c r="B664" t="s">
        <v>146</v>
      </c>
      <c r="C664" t="s">
        <v>754</v>
      </c>
      <c r="D664" s="3">
        <v>238100</v>
      </c>
      <c r="E664" t="s">
        <v>755</v>
      </c>
      <c r="F664" s="90">
        <v>10469</v>
      </c>
      <c r="J664" t="s">
        <v>756</v>
      </c>
    </row>
    <row r="665" spans="1:10" ht="15" hidden="1" customHeight="1">
      <c r="A665" s="71">
        <v>45232</v>
      </c>
      <c r="B665" t="s">
        <v>162</v>
      </c>
      <c r="C665" t="s">
        <v>754</v>
      </c>
      <c r="D665" s="3">
        <v>18529</v>
      </c>
      <c r="E665" t="s">
        <v>755</v>
      </c>
      <c r="F665" s="90">
        <v>10951</v>
      </c>
      <c r="J665" t="s">
        <v>756</v>
      </c>
    </row>
    <row r="666" spans="1:10" ht="15" hidden="1" customHeight="1">
      <c r="A666" s="71">
        <v>45232</v>
      </c>
      <c r="B666" t="s">
        <v>613</v>
      </c>
      <c r="C666" t="s">
        <v>754</v>
      </c>
      <c r="D666" s="3">
        <v>190629</v>
      </c>
      <c r="E666" t="s">
        <v>755</v>
      </c>
      <c r="F666" s="90">
        <v>10304</v>
      </c>
      <c r="J666" t="s">
        <v>756</v>
      </c>
    </row>
    <row r="667" spans="1:10" ht="15" hidden="1" customHeight="1">
      <c r="A667" s="71">
        <v>45234</v>
      </c>
      <c r="B667" t="s">
        <v>593</v>
      </c>
      <c r="C667" t="s">
        <v>754</v>
      </c>
      <c r="D667" s="3">
        <v>97182</v>
      </c>
      <c r="E667" t="s">
        <v>755</v>
      </c>
      <c r="F667" s="90">
        <v>11391</v>
      </c>
      <c r="J667" t="s">
        <v>756</v>
      </c>
    </row>
    <row r="668" spans="1:10" ht="15" hidden="1" customHeight="1">
      <c r="A668" s="71">
        <v>45234</v>
      </c>
      <c r="B668" t="s">
        <v>25</v>
      </c>
      <c r="C668" t="s">
        <v>754</v>
      </c>
      <c r="D668" s="3">
        <v>5942</v>
      </c>
      <c r="E668" t="s">
        <v>755</v>
      </c>
      <c r="F668" s="90">
        <v>11170</v>
      </c>
      <c r="J668" t="s">
        <v>756</v>
      </c>
    </row>
    <row r="669" spans="1:10" ht="15" hidden="1" customHeight="1">
      <c r="A669" s="71">
        <v>45237</v>
      </c>
      <c r="B669" t="s">
        <v>580</v>
      </c>
      <c r="C669" t="s">
        <v>754</v>
      </c>
      <c r="E669" t="s">
        <v>755</v>
      </c>
      <c r="F669" s="90">
        <v>11399</v>
      </c>
      <c r="J669" t="s">
        <v>756</v>
      </c>
    </row>
    <row r="670" spans="1:10" ht="15" hidden="1" customHeight="1">
      <c r="A670" s="71">
        <v>45237</v>
      </c>
      <c r="B670" t="s">
        <v>580</v>
      </c>
      <c r="C670" t="s">
        <v>754</v>
      </c>
      <c r="E670" t="s">
        <v>755</v>
      </c>
      <c r="F670" s="90">
        <v>11392</v>
      </c>
      <c r="J670" t="s">
        <v>756</v>
      </c>
    </row>
    <row r="671" spans="1:10" ht="15" hidden="1" customHeight="1">
      <c r="A671" s="71">
        <v>45237</v>
      </c>
      <c r="B671" t="s">
        <v>690</v>
      </c>
      <c r="C671" t="s">
        <v>754</v>
      </c>
      <c r="D671" s="3">
        <v>6016</v>
      </c>
      <c r="E671" t="s">
        <v>755</v>
      </c>
      <c r="F671" s="90">
        <v>11071</v>
      </c>
      <c r="J671" t="s">
        <v>756</v>
      </c>
    </row>
    <row r="672" spans="1:10" ht="15" hidden="1" customHeight="1">
      <c r="A672" s="71">
        <v>45240</v>
      </c>
      <c r="B672" t="s">
        <v>573</v>
      </c>
      <c r="C672" t="s">
        <v>754</v>
      </c>
      <c r="E672" t="s">
        <v>755</v>
      </c>
      <c r="F672" s="90">
        <v>11393</v>
      </c>
      <c r="J672" t="s">
        <v>756</v>
      </c>
    </row>
    <row r="673" spans="1:10" ht="15" hidden="1" customHeight="1">
      <c r="A673" s="71">
        <v>45243</v>
      </c>
      <c r="B673" t="s">
        <v>596</v>
      </c>
      <c r="C673" t="s">
        <v>754</v>
      </c>
      <c r="E673" t="s">
        <v>755</v>
      </c>
      <c r="F673" s="90">
        <v>10301</v>
      </c>
      <c r="J673" t="s">
        <v>756</v>
      </c>
    </row>
    <row r="674" spans="1:10" ht="15" hidden="1" customHeight="1">
      <c r="A674" s="71">
        <v>45244</v>
      </c>
      <c r="B674" t="s">
        <v>336</v>
      </c>
      <c r="C674" t="s">
        <v>754</v>
      </c>
      <c r="D674" s="3">
        <v>9740</v>
      </c>
      <c r="E674" t="s">
        <v>755</v>
      </c>
      <c r="F674" s="90">
        <v>11133</v>
      </c>
      <c r="J674" t="s">
        <v>756</v>
      </c>
    </row>
    <row r="675" spans="1:10" ht="15" hidden="1" customHeight="1">
      <c r="A675" s="71">
        <v>45245</v>
      </c>
      <c r="B675" t="s">
        <v>48</v>
      </c>
      <c r="C675" t="s">
        <v>754</v>
      </c>
      <c r="D675" s="3">
        <v>215725</v>
      </c>
      <c r="E675" t="s">
        <v>755</v>
      </c>
      <c r="F675" s="90">
        <v>11397</v>
      </c>
      <c r="J675" t="s">
        <v>756</v>
      </c>
    </row>
    <row r="676" spans="1:10" ht="15" hidden="1" customHeight="1">
      <c r="A676" s="71">
        <v>45246</v>
      </c>
      <c r="B676" t="s">
        <v>167</v>
      </c>
      <c r="C676" t="s">
        <v>754</v>
      </c>
      <c r="D676" s="3">
        <v>6085</v>
      </c>
      <c r="E676" t="s">
        <v>755</v>
      </c>
      <c r="F676" s="90">
        <v>10872</v>
      </c>
      <c r="J676" t="s">
        <v>756</v>
      </c>
    </row>
    <row r="677" spans="1:10" ht="15" hidden="1" customHeight="1">
      <c r="A677" s="71">
        <v>45246</v>
      </c>
      <c r="B677" t="s">
        <v>74</v>
      </c>
      <c r="C677" t="s">
        <v>754</v>
      </c>
      <c r="E677" t="s">
        <v>755</v>
      </c>
      <c r="F677" s="90">
        <v>11173</v>
      </c>
      <c r="J677" t="s">
        <v>756</v>
      </c>
    </row>
    <row r="678" spans="1:10" ht="15" hidden="1" customHeight="1">
      <c r="A678" s="71">
        <v>45246</v>
      </c>
      <c r="B678" t="s">
        <v>74</v>
      </c>
      <c r="C678" t="s">
        <v>754</v>
      </c>
      <c r="D678" s="3">
        <v>395318</v>
      </c>
      <c r="E678" t="s">
        <v>755</v>
      </c>
      <c r="F678" s="90">
        <v>11073</v>
      </c>
      <c r="J678" t="s">
        <v>756</v>
      </c>
    </row>
    <row r="679" spans="1:10" ht="15" hidden="1" customHeight="1">
      <c r="A679" s="71">
        <v>45254</v>
      </c>
      <c r="B679" t="s">
        <v>152</v>
      </c>
      <c r="C679" t="s">
        <v>754</v>
      </c>
      <c r="D679" s="3">
        <v>313827</v>
      </c>
      <c r="E679" t="s">
        <v>755</v>
      </c>
      <c r="F679" s="90">
        <v>10288</v>
      </c>
      <c r="J679" t="s">
        <v>756</v>
      </c>
    </row>
    <row r="680" spans="1:10" ht="15" hidden="1" customHeight="1">
      <c r="A680" s="71">
        <v>45258</v>
      </c>
      <c r="B680" t="s">
        <v>594</v>
      </c>
      <c r="C680" t="s">
        <v>754</v>
      </c>
      <c r="E680" t="s">
        <v>755</v>
      </c>
      <c r="F680" s="90">
        <v>10303</v>
      </c>
      <c r="J680" t="s">
        <v>756</v>
      </c>
    </row>
    <row r="681" spans="1:10" ht="15" hidden="1" customHeight="1">
      <c r="A681" s="71">
        <v>45264</v>
      </c>
      <c r="B681" t="s">
        <v>42</v>
      </c>
      <c r="C681" t="s">
        <v>754</v>
      </c>
      <c r="D681" s="3">
        <v>151543</v>
      </c>
      <c r="E681" t="s">
        <v>755</v>
      </c>
      <c r="F681" s="90">
        <v>10533</v>
      </c>
      <c r="J681" t="s">
        <v>756</v>
      </c>
    </row>
    <row r="682" spans="1:10" ht="15" hidden="1" customHeight="1">
      <c r="A682" s="71">
        <v>45265</v>
      </c>
      <c r="B682" t="s">
        <v>420</v>
      </c>
      <c r="C682" t="s">
        <v>754</v>
      </c>
      <c r="D682" s="3">
        <v>5065</v>
      </c>
      <c r="E682" t="s">
        <v>755</v>
      </c>
      <c r="F682" s="90">
        <v>11144</v>
      </c>
      <c r="J682" t="s">
        <v>756</v>
      </c>
    </row>
    <row r="683" spans="1:10" ht="15" hidden="1" customHeight="1">
      <c r="A683" s="71">
        <v>45267</v>
      </c>
      <c r="B683" t="s">
        <v>362</v>
      </c>
      <c r="C683" t="s">
        <v>754</v>
      </c>
      <c r="D683" s="3">
        <v>13008</v>
      </c>
      <c r="E683" t="s">
        <v>755</v>
      </c>
      <c r="F683" s="90">
        <v>10876</v>
      </c>
      <c r="J683" t="s">
        <v>756</v>
      </c>
    </row>
    <row r="684" spans="1:10" ht="15" hidden="1" customHeight="1">
      <c r="A684" s="71">
        <v>45267</v>
      </c>
      <c r="B684" t="s">
        <v>346</v>
      </c>
      <c r="C684" t="s">
        <v>754</v>
      </c>
      <c r="D684" s="3">
        <v>7115</v>
      </c>
      <c r="E684" t="s">
        <v>755</v>
      </c>
      <c r="F684" s="90">
        <v>10877</v>
      </c>
      <c r="J684" t="s">
        <v>756</v>
      </c>
    </row>
    <row r="685" spans="1:10" ht="15" hidden="1" customHeight="1">
      <c r="A685" s="71">
        <v>45272</v>
      </c>
      <c r="B685" t="s">
        <v>411</v>
      </c>
      <c r="C685" t="s">
        <v>754</v>
      </c>
      <c r="D685" s="3">
        <v>1663</v>
      </c>
      <c r="E685" t="s">
        <v>755</v>
      </c>
      <c r="F685" s="90">
        <v>11149</v>
      </c>
      <c r="J685" t="s">
        <v>756</v>
      </c>
    </row>
    <row r="686" spans="1:10" ht="15" hidden="1" customHeight="1">
      <c r="A686" s="71">
        <v>45273</v>
      </c>
      <c r="B686" t="s">
        <v>171</v>
      </c>
      <c r="C686" t="s">
        <v>754</v>
      </c>
      <c r="D686" s="3">
        <v>5641</v>
      </c>
      <c r="E686" t="s">
        <v>755</v>
      </c>
      <c r="F686" s="90">
        <v>11150</v>
      </c>
      <c r="J686" t="s">
        <v>756</v>
      </c>
    </row>
    <row r="687" spans="1:10" ht="15" hidden="1" customHeight="1">
      <c r="A687" s="71">
        <v>45273</v>
      </c>
      <c r="B687" t="s">
        <v>328</v>
      </c>
      <c r="C687" t="s">
        <v>754</v>
      </c>
      <c r="D687" s="3">
        <v>8117</v>
      </c>
      <c r="E687" t="s">
        <v>755</v>
      </c>
      <c r="F687" s="90">
        <v>10053</v>
      </c>
      <c r="J687" t="s">
        <v>756</v>
      </c>
    </row>
    <row r="688" spans="1:10" ht="15" hidden="1" customHeight="1">
      <c r="A688" s="71">
        <v>45279</v>
      </c>
      <c r="B688" t="s">
        <v>388</v>
      </c>
      <c r="C688" t="s">
        <v>754</v>
      </c>
      <c r="D688" s="3">
        <v>11784</v>
      </c>
      <c r="E688" t="s">
        <v>755</v>
      </c>
      <c r="F688" s="90">
        <v>10544</v>
      </c>
      <c r="J688" t="s">
        <v>756</v>
      </c>
    </row>
    <row r="689" spans="1:10" ht="15" hidden="1" customHeight="1">
      <c r="A689" s="71">
        <v>45281</v>
      </c>
      <c r="B689" t="s">
        <v>408</v>
      </c>
      <c r="C689" t="s">
        <v>754</v>
      </c>
      <c r="D689" s="3">
        <v>9995</v>
      </c>
      <c r="E689" t="s">
        <v>755</v>
      </c>
      <c r="F689" s="90">
        <v>10294</v>
      </c>
      <c r="J689" t="s">
        <v>756</v>
      </c>
    </row>
    <row r="690" spans="1:10" ht="15" hidden="1" customHeight="1">
      <c r="A690" s="71">
        <v>45282</v>
      </c>
      <c r="B690" t="s">
        <v>369</v>
      </c>
      <c r="C690" t="s">
        <v>754</v>
      </c>
      <c r="D690" s="3">
        <v>11107</v>
      </c>
      <c r="E690" t="s">
        <v>755</v>
      </c>
      <c r="F690" s="90">
        <v>10875</v>
      </c>
      <c r="J690" t="s">
        <v>756</v>
      </c>
    </row>
    <row r="691" spans="1:10" ht="15" hidden="1" customHeight="1">
      <c r="A691" s="71">
        <v>46079</v>
      </c>
      <c r="B691" t="s">
        <v>362</v>
      </c>
      <c r="C691" t="s">
        <v>754</v>
      </c>
      <c r="D691" s="3">
        <v>15874</v>
      </c>
      <c r="E691" t="s">
        <v>755</v>
      </c>
      <c r="F691" s="3">
        <v>17771</v>
      </c>
      <c r="J691" t="s">
        <v>756</v>
      </c>
    </row>
    <row r="692" spans="1:10" ht="15" hidden="1" customHeight="1">
      <c r="A692" s="71">
        <v>46196</v>
      </c>
      <c r="B692" t="s">
        <v>346</v>
      </c>
      <c r="C692" t="s">
        <v>754</v>
      </c>
      <c r="D692" s="3">
        <v>1994</v>
      </c>
      <c r="E692" t="s">
        <v>755</v>
      </c>
      <c r="F692" s="3">
        <v>17768</v>
      </c>
      <c r="J692" t="s">
        <v>756</v>
      </c>
    </row>
    <row r="693" spans="1:10" ht="15" hidden="1" customHeight="1">
      <c r="A693" s="71">
        <v>44734</v>
      </c>
      <c r="B693" t="s">
        <v>19</v>
      </c>
      <c r="C693" t="s">
        <v>754</v>
      </c>
      <c r="D693" s="3">
        <v>9678</v>
      </c>
      <c r="E693" t="s">
        <v>755</v>
      </c>
      <c r="F693" s="3">
        <v>17228</v>
      </c>
      <c r="J693" t="s">
        <v>756</v>
      </c>
    </row>
    <row r="694" spans="1:10" ht="15" hidden="1" customHeight="1">
      <c r="A694" s="71">
        <v>46197</v>
      </c>
      <c r="B694" t="s">
        <v>19</v>
      </c>
      <c r="C694" t="s">
        <v>754</v>
      </c>
      <c r="D694" s="3">
        <v>11042</v>
      </c>
      <c r="E694" t="s">
        <v>755</v>
      </c>
      <c r="F694" s="3">
        <v>17769</v>
      </c>
      <c r="J694" t="s">
        <v>756</v>
      </c>
    </row>
    <row r="695" spans="1:10" ht="15" hidden="1" customHeight="1">
      <c r="A695" s="71">
        <v>46210</v>
      </c>
      <c r="B695" t="s">
        <v>504</v>
      </c>
      <c r="C695" t="s">
        <v>757</v>
      </c>
      <c r="D695" s="3">
        <v>119305</v>
      </c>
      <c r="E695" t="s">
        <v>755</v>
      </c>
      <c r="J695" t="s">
        <v>756</v>
      </c>
    </row>
    <row r="696" spans="1:10" ht="15" hidden="1" customHeight="1">
      <c r="A696" s="71">
        <v>46218</v>
      </c>
      <c r="B696" t="s">
        <v>104</v>
      </c>
      <c r="C696" t="s">
        <v>757</v>
      </c>
      <c r="D696" s="3">
        <v>141910</v>
      </c>
      <c r="E696" t="s">
        <v>755</v>
      </c>
      <c r="G696" t="s">
        <v>37</v>
      </c>
      <c r="J696" t="s">
        <v>756</v>
      </c>
    </row>
    <row r="697" spans="1:10" ht="15" hidden="1" customHeight="1">
      <c r="A697" s="71">
        <v>46224</v>
      </c>
      <c r="B697" t="s">
        <v>551</v>
      </c>
      <c r="C697" t="s">
        <v>757</v>
      </c>
      <c r="D697" s="3">
        <v>40195</v>
      </c>
      <c r="E697" t="s">
        <v>755</v>
      </c>
      <c r="G697" t="s">
        <v>37</v>
      </c>
      <c r="J697" t="s">
        <v>756</v>
      </c>
    </row>
    <row r="698" spans="1:10" ht="15" hidden="1" customHeight="1">
      <c r="A698" s="71">
        <v>46237</v>
      </c>
      <c r="B698" t="s">
        <v>532</v>
      </c>
      <c r="C698" t="s">
        <v>757</v>
      </c>
      <c r="D698" s="3">
        <v>87659</v>
      </c>
      <c r="E698" t="s">
        <v>755</v>
      </c>
      <c r="G698" t="s">
        <v>37</v>
      </c>
      <c r="J698" t="s">
        <v>756</v>
      </c>
    </row>
    <row r="699" spans="1:10" ht="15" hidden="1" customHeight="1">
      <c r="A699" s="71">
        <v>46230</v>
      </c>
      <c r="B699" t="s">
        <v>388</v>
      </c>
      <c r="C699" t="s">
        <v>804</v>
      </c>
      <c r="D699" s="3">
        <v>13312</v>
      </c>
      <c r="E699" t="s">
        <v>755</v>
      </c>
      <c r="G699" t="s">
        <v>37</v>
      </c>
      <c r="J699" t="s">
        <v>756</v>
      </c>
    </row>
    <row r="700" spans="1:10" ht="15" hidden="1" customHeight="1">
      <c r="A700" s="71">
        <v>46234</v>
      </c>
      <c r="B700" t="s">
        <v>485</v>
      </c>
      <c r="C700" t="s">
        <v>757</v>
      </c>
      <c r="D700" s="3">
        <v>93023</v>
      </c>
      <c r="E700" t="s">
        <v>755</v>
      </c>
      <c r="G700" t="s">
        <v>37</v>
      </c>
      <c r="J700" t="s">
        <v>756</v>
      </c>
    </row>
    <row r="701" spans="1:10" ht="15" hidden="1" customHeight="1">
      <c r="A701" s="71">
        <v>46219</v>
      </c>
      <c r="B701" t="s">
        <v>620</v>
      </c>
      <c r="C701" t="s">
        <v>757</v>
      </c>
      <c r="D701" s="3">
        <v>315000</v>
      </c>
      <c r="E701" t="s">
        <v>755</v>
      </c>
      <c r="G701" t="s">
        <v>769</v>
      </c>
      <c r="J701" t="s">
        <v>756</v>
      </c>
    </row>
    <row r="702" spans="1:10" ht="15" customHeight="1">
      <c r="A702" s="71">
        <v>45863</v>
      </c>
      <c r="B702" t="s">
        <v>542</v>
      </c>
      <c r="C702" t="s">
        <v>757</v>
      </c>
      <c r="D702" s="3">
        <v>25771</v>
      </c>
      <c r="E702" t="s">
        <v>755</v>
      </c>
      <c r="F702" s="3">
        <v>205005573</v>
      </c>
      <c r="G702" t="s">
        <v>766</v>
      </c>
      <c r="H702" t="s">
        <v>805</v>
      </c>
      <c r="I702" s="9">
        <v>330802</v>
      </c>
      <c r="J702" t="s">
        <v>756</v>
      </c>
    </row>
    <row r="703" spans="1:10" ht="15" customHeight="1">
      <c r="A703" s="71">
        <v>45749</v>
      </c>
      <c r="B703" t="s">
        <v>542</v>
      </c>
      <c r="C703" t="s">
        <v>757</v>
      </c>
      <c r="D703" s="3">
        <v>10051</v>
      </c>
      <c r="E703" t="s">
        <v>755</v>
      </c>
      <c r="F703" s="3">
        <v>204841271</v>
      </c>
      <c r="G703" t="s">
        <v>766</v>
      </c>
      <c r="H703" t="s">
        <v>805</v>
      </c>
      <c r="I703" s="9">
        <v>160919</v>
      </c>
      <c r="J703" t="s">
        <v>756</v>
      </c>
    </row>
    <row r="704" spans="1:10" ht="15" customHeight="1">
      <c r="A704" s="71">
        <v>46055</v>
      </c>
      <c r="B704" t="s">
        <v>542</v>
      </c>
      <c r="C704" t="s">
        <v>757</v>
      </c>
      <c r="D704" s="3">
        <v>39680</v>
      </c>
      <c r="E704" t="s">
        <v>755</v>
      </c>
      <c r="F704" s="3">
        <v>16041</v>
      </c>
      <c r="G704" t="s">
        <v>769</v>
      </c>
      <c r="H704" t="s">
        <v>473</v>
      </c>
      <c r="I704" s="9">
        <v>0</v>
      </c>
      <c r="J704" t="s">
        <v>756</v>
      </c>
    </row>
    <row r="705" spans="1:10" ht="15" hidden="1" customHeight="1">
      <c r="A705" s="94">
        <v>45769</v>
      </c>
      <c r="B705" t="s">
        <v>443</v>
      </c>
      <c r="C705" t="s">
        <v>757</v>
      </c>
      <c r="D705" s="3">
        <v>507</v>
      </c>
      <c r="E705" t="s">
        <v>755</v>
      </c>
      <c r="H705" t="s">
        <v>806</v>
      </c>
      <c r="I705" s="86">
        <v>488574.38</v>
      </c>
      <c r="J705" t="s">
        <v>756</v>
      </c>
    </row>
    <row r="706" spans="1:10" ht="15" hidden="1" customHeight="1">
      <c r="A706" s="94">
        <v>45565</v>
      </c>
      <c r="B706" t="s">
        <v>443</v>
      </c>
      <c r="C706" t="s">
        <v>757</v>
      </c>
      <c r="D706" s="3">
        <v>248</v>
      </c>
      <c r="E706" t="s">
        <v>755</v>
      </c>
      <c r="H706" t="s">
        <v>806</v>
      </c>
      <c r="I706" s="86">
        <v>338567</v>
      </c>
      <c r="J706" t="s">
        <v>756</v>
      </c>
    </row>
    <row r="707" spans="1:10" ht="15" hidden="1" customHeight="1">
      <c r="A707" s="94">
        <v>45844</v>
      </c>
      <c r="B707" t="s">
        <v>443</v>
      </c>
      <c r="C707" t="s">
        <v>754</v>
      </c>
      <c r="D707" s="3">
        <v>1014</v>
      </c>
      <c r="E707" t="s">
        <v>755</v>
      </c>
      <c r="H707" t="s">
        <v>806</v>
      </c>
      <c r="I707" s="86">
        <v>309677</v>
      </c>
      <c r="J707" t="s">
        <v>756</v>
      </c>
    </row>
    <row r="708" spans="1:10" ht="15" hidden="1" customHeight="1">
      <c r="A708" s="94">
        <v>45933</v>
      </c>
      <c r="B708" t="s">
        <v>443</v>
      </c>
      <c r="C708" t="s">
        <v>757</v>
      </c>
      <c r="D708" s="3">
        <v>1480</v>
      </c>
      <c r="E708" t="s">
        <v>755</v>
      </c>
      <c r="H708" t="s">
        <v>806</v>
      </c>
      <c r="I708" s="86">
        <v>342000</v>
      </c>
      <c r="J708" t="s">
        <v>756</v>
      </c>
    </row>
    <row r="709" spans="1:10" ht="15" hidden="1" customHeight="1">
      <c r="A709" s="94">
        <v>46081</v>
      </c>
      <c r="B709" t="s">
        <v>443</v>
      </c>
      <c r="C709" t="s">
        <v>754</v>
      </c>
      <c r="D709" s="3">
        <v>1889</v>
      </c>
      <c r="E709" t="s">
        <v>755</v>
      </c>
      <c r="G709" t="s">
        <v>33</v>
      </c>
      <c r="H709" t="s">
        <v>46</v>
      </c>
      <c r="I709" s="86"/>
      <c r="J709" t="s">
        <v>756</v>
      </c>
    </row>
  </sheetData>
  <phoneticPr fontId="16" type="noConversion"/>
  <pageMargins left="0.75" right="0.75" top="1" bottom="1" header="0.511811023622047" footer="0.511811023622047"/>
  <pageSetup paperSize="9"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E0C23-AD67-405B-9AEF-EB1A6092E816}">
  <dimension ref="A1:J45"/>
  <sheetViews>
    <sheetView topLeftCell="A36" workbookViewId="0">
      <selection activeCell="A45" sqref="A45"/>
    </sheetView>
  </sheetViews>
  <sheetFormatPr defaultRowHeight="15"/>
  <cols>
    <col min="1" max="1" width="15.85546875" bestFit="1" customWidth="1"/>
    <col min="2" max="2" width="33.28515625" bestFit="1" customWidth="1"/>
    <col min="3" max="3" width="22.140625" bestFit="1" customWidth="1"/>
    <col min="5" max="5" width="9.28515625" bestFit="1" customWidth="1"/>
    <col min="6" max="6" width="12.140625" bestFit="1" customWidth="1"/>
  </cols>
  <sheetData>
    <row r="1" spans="1:10">
      <c r="A1" s="97" t="s">
        <v>807</v>
      </c>
      <c r="B1" s="97"/>
      <c r="C1" s="97"/>
      <c r="D1" s="97"/>
      <c r="E1" s="97"/>
      <c r="F1" s="97"/>
      <c r="G1" s="97"/>
      <c r="H1" s="97"/>
      <c r="I1" s="97"/>
      <c r="J1" s="97"/>
    </row>
    <row r="2" spans="1:10">
      <c r="A2" s="97"/>
      <c r="B2" s="97"/>
      <c r="C2" s="97"/>
      <c r="D2" s="97"/>
      <c r="E2" s="97"/>
      <c r="F2" s="97"/>
      <c r="G2" s="97"/>
      <c r="H2" s="97"/>
      <c r="I2" s="97"/>
      <c r="J2" s="97"/>
    </row>
    <row r="3" spans="1:10">
      <c r="A3" t="s">
        <v>808</v>
      </c>
      <c r="B3" t="s">
        <v>809</v>
      </c>
      <c r="C3" t="s">
        <v>810</v>
      </c>
      <c r="D3" t="s">
        <v>811</v>
      </c>
      <c r="E3" t="s">
        <v>812</v>
      </c>
      <c r="F3" t="s">
        <v>6</v>
      </c>
    </row>
    <row r="4" spans="1:10">
      <c r="A4" t="s">
        <v>813</v>
      </c>
      <c r="B4" t="s">
        <v>814</v>
      </c>
      <c r="C4" t="s">
        <v>815</v>
      </c>
      <c r="D4">
        <v>2</v>
      </c>
      <c r="E4">
        <v>23799.9</v>
      </c>
    </row>
    <row r="5" spans="1:10">
      <c r="A5" t="s">
        <v>816</v>
      </c>
      <c r="B5" t="s">
        <v>817</v>
      </c>
      <c r="C5" t="s">
        <v>815</v>
      </c>
      <c r="D5">
        <v>7</v>
      </c>
      <c r="E5">
        <v>24499</v>
      </c>
    </row>
    <row r="6" spans="1:10">
      <c r="A6" t="s">
        <v>818</v>
      </c>
      <c r="B6" t="s">
        <v>819</v>
      </c>
      <c r="C6" t="s">
        <v>815</v>
      </c>
      <c r="D6">
        <v>1</v>
      </c>
      <c r="E6">
        <v>24600</v>
      </c>
    </row>
    <row r="7" spans="1:10">
      <c r="A7" t="s">
        <v>820</v>
      </c>
      <c r="B7" t="s">
        <v>821</v>
      </c>
      <c r="C7" t="s">
        <v>815</v>
      </c>
      <c r="D7">
        <v>2</v>
      </c>
      <c r="E7">
        <v>35301.29</v>
      </c>
    </row>
    <row r="8" spans="1:10">
      <c r="A8" t="s">
        <v>822</v>
      </c>
      <c r="B8" t="s">
        <v>823</v>
      </c>
      <c r="C8" t="s">
        <v>815</v>
      </c>
      <c r="D8">
        <v>3</v>
      </c>
      <c r="E8">
        <v>143221.43</v>
      </c>
    </row>
    <row r="9" spans="1:10">
      <c r="A9" t="s">
        <v>824</v>
      </c>
      <c r="B9" t="s">
        <v>825</v>
      </c>
      <c r="C9" t="s">
        <v>815</v>
      </c>
      <c r="D9">
        <v>0</v>
      </c>
      <c r="E9">
        <v>147685.20000000001</v>
      </c>
    </row>
    <row r="10" spans="1:10">
      <c r="A10" t="s">
        <v>826</v>
      </c>
      <c r="B10" t="s">
        <v>827</v>
      </c>
      <c r="C10" t="s">
        <v>815</v>
      </c>
      <c r="D10">
        <v>1</v>
      </c>
      <c r="E10">
        <v>23899.89</v>
      </c>
    </row>
    <row r="11" spans="1:10">
      <c r="A11" t="s">
        <v>828</v>
      </c>
      <c r="B11" t="s">
        <v>829</v>
      </c>
      <c r="C11" t="s">
        <v>815</v>
      </c>
      <c r="D11">
        <v>2</v>
      </c>
      <c r="E11">
        <v>30899.98</v>
      </c>
    </row>
    <row r="12" spans="1:10">
      <c r="A12" t="s">
        <v>830</v>
      </c>
      <c r="B12" t="s">
        <v>831</v>
      </c>
      <c r="C12" t="s">
        <v>815</v>
      </c>
      <c r="D12">
        <v>2</v>
      </c>
      <c r="E12">
        <v>190541</v>
      </c>
    </row>
    <row r="13" spans="1:10">
      <c r="A13" t="s">
        <v>832</v>
      </c>
      <c r="B13" t="s">
        <v>833</v>
      </c>
      <c r="C13" t="s">
        <v>815</v>
      </c>
      <c r="D13">
        <v>4</v>
      </c>
      <c r="E13">
        <v>200572</v>
      </c>
    </row>
    <row r="14" spans="1:10">
      <c r="A14" t="s">
        <v>834</v>
      </c>
      <c r="B14" t="s">
        <v>835</v>
      </c>
      <c r="C14" t="s">
        <v>815</v>
      </c>
      <c r="D14">
        <v>1</v>
      </c>
      <c r="E14">
        <v>312122</v>
      </c>
    </row>
    <row r="15" spans="1:10">
      <c r="A15" t="s">
        <v>836</v>
      </c>
      <c r="B15" t="s">
        <v>837</v>
      </c>
      <c r="C15" t="s">
        <v>815</v>
      </c>
      <c r="D15">
        <v>1</v>
      </c>
      <c r="E15">
        <v>229300</v>
      </c>
    </row>
    <row r="16" spans="1:10">
      <c r="A16" t="s">
        <v>838</v>
      </c>
      <c r="B16" t="s">
        <v>839</v>
      </c>
      <c r="C16" t="s">
        <v>815</v>
      </c>
      <c r="D16">
        <v>2</v>
      </c>
      <c r="E16">
        <v>339770</v>
      </c>
    </row>
    <row r="17" spans="1:5">
      <c r="A17" t="s">
        <v>840</v>
      </c>
      <c r="B17" t="s">
        <v>841</v>
      </c>
      <c r="C17" t="s">
        <v>815</v>
      </c>
      <c r="D17">
        <v>1</v>
      </c>
      <c r="E17">
        <v>72768</v>
      </c>
    </row>
    <row r="18" spans="1:5">
      <c r="A18" t="s">
        <v>842</v>
      </c>
      <c r="B18" t="s">
        <v>843</v>
      </c>
      <c r="C18" t="s">
        <v>815</v>
      </c>
      <c r="D18">
        <v>1</v>
      </c>
      <c r="E18">
        <v>533484</v>
      </c>
    </row>
    <row r="19" spans="1:5">
      <c r="A19" t="s">
        <v>844</v>
      </c>
      <c r="B19" t="s">
        <v>845</v>
      </c>
      <c r="C19" t="s">
        <v>815</v>
      </c>
      <c r="D19">
        <v>2</v>
      </c>
      <c r="E19">
        <v>60112</v>
      </c>
    </row>
    <row r="20" spans="1:5">
      <c r="A20" t="s">
        <v>846</v>
      </c>
      <c r="B20" t="s">
        <v>847</v>
      </c>
      <c r="C20" t="s">
        <v>815</v>
      </c>
      <c r="D20">
        <v>1</v>
      </c>
      <c r="E20">
        <v>136602</v>
      </c>
    </row>
    <row r="21" spans="1:5">
      <c r="A21" t="s">
        <v>848</v>
      </c>
      <c r="B21" t="s">
        <v>849</v>
      </c>
      <c r="C21" t="s">
        <v>815</v>
      </c>
      <c r="D21">
        <v>1</v>
      </c>
    </row>
    <row r="22" spans="1:5">
      <c r="A22" t="s">
        <v>850</v>
      </c>
      <c r="B22" t="s">
        <v>851</v>
      </c>
      <c r="C22" t="s">
        <v>815</v>
      </c>
      <c r="D22">
        <v>1</v>
      </c>
    </row>
    <row r="23" spans="1:5">
      <c r="A23" t="s">
        <v>852</v>
      </c>
      <c r="B23" t="s">
        <v>853</v>
      </c>
      <c r="C23" t="s">
        <v>815</v>
      </c>
      <c r="D23">
        <v>1</v>
      </c>
    </row>
    <row r="24" spans="1:5">
      <c r="A24" t="s">
        <v>854</v>
      </c>
      <c r="B24" t="s">
        <v>855</v>
      </c>
      <c r="C24" t="s">
        <v>815</v>
      </c>
      <c r="D24">
        <v>1</v>
      </c>
    </row>
    <row r="25" spans="1:5">
      <c r="A25" t="s">
        <v>856</v>
      </c>
      <c r="B25" t="s">
        <v>857</v>
      </c>
      <c r="C25" t="s">
        <v>815</v>
      </c>
      <c r="D25">
        <v>1</v>
      </c>
    </row>
    <row r="26" spans="1:5">
      <c r="A26" t="s">
        <v>858</v>
      </c>
      <c r="B26" t="s">
        <v>859</v>
      </c>
      <c r="C26" t="s">
        <v>815</v>
      </c>
      <c r="D26">
        <v>1</v>
      </c>
    </row>
    <row r="27" spans="1:5">
      <c r="A27" t="s">
        <v>860</v>
      </c>
      <c r="B27" t="s">
        <v>861</v>
      </c>
      <c r="C27" t="s">
        <v>815</v>
      </c>
      <c r="D27">
        <v>2</v>
      </c>
    </row>
    <row r="28" spans="1:5">
      <c r="A28" t="s">
        <v>862</v>
      </c>
      <c r="B28" t="s">
        <v>863</v>
      </c>
      <c r="C28" t="s">
        <v>815</v>
      </c>
      <c r="D28">
        <v>1</v>
      </c>
    </row>
    <row r="29" spans="1:5">
      <c r="A29" t="s">
        <v>864</v>
      </c>
      <c r="B29" t="s">
        <v>865</v>
      </c>
      <c r="C29" t="s">
        <v>815</v>
      </c>
      <c r="D29">
        <v>3</v>
      </c>
    </row>
    <row r="30" spans="1:5">
      <c r="A30" t="s">
        <v>866</v>
      </c>
      <c r="B30" t="s">
        <v>867</v>
      </c>
      <c r="C30" t="s">
        <v>815</v>
      </c>
      <c r="D30">
        <v>1</v>
      </c>
    </row>
    <row r="31" spans="1:5">
      <c r="A31" t="s">
        <v>868</v>
      </c>
      <c r="B31" t="s">
        <v>869</v>
      </c>
      <c r="C31" t="s">
        <v>815</v>
      </c>
      <c r="D31">
        <v>1</v>
      </c>
      <c r="E31">
        <v>227618</v>
      </c>
    </row>
    <row r="32" spans="1:5">
      <c r="A32" t="s">
        <v>870</v>
      </c>
      <c r="B32" t="s">
        <v>871</v>
      </c>
      <c r="C32" t="s">
        <v>815</v>
      </c>
      <c r="D32">
        <v>1</v>
      </c>
      <c r="E32">
        <v>213063</v>
      </c>
    </row>
    <row r="33" spans="1:5">
      <c r="A33" t="s">
        <v>872</v>
      </c>
      <c r="B33" t="s">
        <v>873</v>
      </c>
      <c r="C33" t="s">
        <v>874</v>
      </c>
      <c r="D33">
        <v>1</v>
      </c>
    </row>
    <row r="34" spans="1:5">
      <c r="A34" t="s">
        <v>875</v>
      </c>
      <c r="B34" t="s">
        <v>875</v>
      </c>
      <c r="C34" t="s">
        <v>876</v>
      </c>
      <c r="D34">
        <v>1</v>
      </c>
    </row>
    <row r="35" spans="1:5">
      <c r="A35" t="s">
        <v>877</v>
      </c>
      <c r="B35" t="s">
        <v>877</v>
      </c>
      <c r="C35" t="s">
        <v>874</v>
      </c>
      <c r="D35">
        <v>1</v>
      </c>
    </row>
    <row r="36" spans="1:5">
      <c r="A36" t="s">
        <v>878</v>
      </c>
      <c r="B36" t="s">
        <v>878</v>
      </c>
      <c r="C36" t="s">
        <v>879</v>
      </c>
      <c r="D36">
        <v>1</v>
      </c>
    </row>
    <row r="37" spans="1:5">
      <c r="A37" t="s">
        <v>880</v>
      </c>
      <c r="B37" t="s">
        <v>880</v>
      </c>
      <c r="C37" t="s">
        <v>881</v>
      </c>
      <c r="D37">
        <v>1</v>
      </c>
    </row>
    <row r="38" spans="1:5">
      <c r="A38" t="s">
        <v>882</v>
      </c>
      <c r="B38" t="s">
        <v>882</v>
      </c>
      <c r="C38" t="s">
        <v>881</v>
      </c>
      <c r="D38">
        <v>1</v>
      </c>
    </row>
    <row r="39" spans="1:5">
      <c r="A39" t="s">
        <v>883</v>
      </c>
      <c r="B39" t="s">
        <v>883</v>
      </c>
      <c r="C39" t="s">
        <v>879</v>
      </c>
      <c r="D39">
        <v>1</v>
      </c>
    </row>
    <row r="40" spans="1:5">
      <c r="A40" t="s">
        <v>884</v>
      </c>
      <c r="B40" t="s">
        <v>885</v>
      </c>
      <c r="C40" t="s">
        <v>815</v>
      </c>
      <c r="D40">
        <v>1</v>
      </c>
      <c r="E40">
        <v>800603</v>
      </c>
    </row>
    <row r="41" spans="1:5">
      <c r="A41" t="s">
        <v>886</v>
      </c>
      <c r="B41" t="s">
        <v>887</v>
      </c>
      <c r="C41" t="s">
        <v>815</v>
      </c>
      <c r="D41">
        <v>1</v>
      </c>
      <c r="E41">
        <v>212500</v>
      </c>
    </row>
    <row r="42" spans="1:5">
      <c r="A42" t="s">
        <v>888</v>
      </c>
      <c r="B42" t="s">
        <v>889</v>
      </c>
      <c r="C42" t="s">
        <v>815</v>
      </c>
      <c r="D42">
        <v>2</v>
      </c>
      <c r="E42">
        <v>380600</v>
      </c>
    </row>
    <row r="43" spans="1:5">
      <c r="A43" t="s">
        <v>890</v>
      </c>
      <c r="B43" t="s">
        <v>891</v>
      </c>
      <c r="C43" t="s">
        <v>815</v>
      </c>
      <c r="D43">
        <v>1</v>
      </c>
    </row>
    <row r="44" spans="1:5">
      <c r="A44" t="s">
        <v>892</v>
      </c>
      <c r="B44" t="s">
        <v>893</v>
      </c>
      <c r="C44" t="s">
        <v>815</v>
      </c>
      <c r="D44">
        <v>1</v>
      </c>
    </row>
    <row r="45" spans="1:5">
      <c r="A45" t="s">
        <v>894</v>
      </c>
      <c r="B45" t="s">
        <v>895</v>
      </c>
      <c r="C45" t="s">
        <v>815</v>
      </c>
      <c r="D45">
        <v>2</v>
      </c>
    </row>
  </sheetData>
  <mergeCells count="1">
    <mergeCell ref="A1:J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AE051-16AF-41E4-AD3B-C68EE807FE98}">
  <dimension ref="A1:C223"/>
  <sheetViews>
    <sheetView tabSelected="1" topLeftCell="A41" workbookViewId="0">
      <selection activeCell="B63" sqref="B63"/>
    </sheetView>
  </sheetViews>
  <sheetFormatPr defaultRowHeight="15"/>
  <cols>
    <col min="1" max="1" width="42.5703125" style="46" bestFit="1" customWidth="1"/>
    <col min="2" max="2" width="16" bestFit="1" customWidth="1"/>
    <col min="3" max="3" width="11.42578125" bestFit="1" customWidth="1"/>
  </cols>
  <sheetData>
    <row r="1" spans="1:3">
      <c r="A1" s="116" t="s">
        <v>896</v>
      </c>
      <c r="B1" s="116"/>
      <c r="C1" s="116"/>
    </row>
    <row r="2" spans="1:3">
      <c r="A2" s="116"/>
      <c r="B2" s="116"/>
      <c r="C2" s="116"/>
    </row>
    <row r="3" spans="1:3">
      <c r="A3" s="46" t="s">
        <v>897</v>
      </c>
      <c r="B3" t="s">
        <v>898</v>
      </c>
      <c r="C3" t="s">
        <v>899</v>
      </c>
    </row>
    <row r="4" spans="1:3">
      <c r="A4" s="46" t="s">
        <v>303</v>
      </c>
      <c r="C4">
        <v>1</v>
      </c>
    </row>
    <row r="5" spans="1:3">
      <c r="A5" s="46" t="s">
        <v>428</v>
      </c>
      <c r="C5">
        <v>1</v>
      </c>
    </row>
    <row r="6" spans="1:3">
      <c r="A6" s="46" t="s">
        <v>62</v>
      </c>
      <c r="C6">
        <v>1</v>
      </c>
    </row>
    <row r="7" spans="1:3">
      <c r="A7" s="46" t="s">
        <v>900</v>
      </c>
      <c r="C7">
        <v>1</v>
      </c>
    </row>
    <row r="8" spans="1:3">
      <c r="A8" s="46" t="s">
        <v>901</v>
      </c>
      <c r="C8">
        <v>1</v>
      </c>
    </row>
    <row r="9" spans="1:3">
      <c r="A9" s="46">
        <v>26220</v>
      </c>
      <c r="B9" t="s">
        <v>866</v>
      </c>
      <c r="C9">
        <v>1</v>
      </c>
    </row>
    <row r="10" spans="1:3">
      <c r="A10" s="46" t="s">
        <v>437</v>
      </c>
      <c r="C10">
        <v>1</v>
      </c>
    </row>
    <row r="11" spans="1:3">
      <c r="A11" s="46" t="s">
        <v>343</v>
      </c>
      <c r="C11">
        <v>1</v>
      </c>
    </row>
    <row r="12" spans="1:3">
      <c r="A12" s="46" t="s">
        <v>400</v>
      </c>
      <c r="C12">
        <v>1</v>
      </c>
    </row>
    <row r="13" spans="1:3">
      <c r="A13" s="46" t="s">
        <v>397</v>
      </c>
      <c r="B13" t="s">
        <v>870</v>
      </c>
      <c r="C13">
        <v>1</v>
      </c>
    </row>
    <row r="14" spans="1:3">
      <c r="A14" s="46">
        <v>4300</v>
      </c>
      <c r="B14" t="s">
        <v>846</v>
      </c>
      <c r="C14">
        <v>1</v>
      </c>
    </row>
    <row r="15" spans="1:3">
      <c r="A15" s="46" t="s">
        <v>382</v>
      </c>
      <c r="C15">
        <v>1</v>
      </c>
    </row>
    <row r="16" spans="1:3">
      <c r="A16" s="46" t="s">
        <v>902</v>
      </c>
      <c r="C16">
        <v>1</v>
      </c>
    </row>
    <row r="17" spans="1:3">
      <c r="A17" s="46">
        <v>512</v>
      </c>
      <c r="C17">
        <v>1</v>
      </c>
    </row>
    <row r="18" spans="1:3">
      <c r="A18" s="46" t="s">
        <v>441</v>
      </c>
      <c r="B18" t="s">
        <v>856</v>
      </c>
      <c r="C18">
        <v>1</v>
      </c>
    </row>
    <row r="19" spans="1:3">
      <c r="A19" s="46" t="s">
        <v>379</v>
      </c>
      <c r="B19" t="s">
        <v>860</v>
      </c>
      <c r="C19">
        <v>1</v>
      </c>
    </row>
    <row r="20" spans="1:3">
      <c r="A20" s="46" t="s">
        <v>339</v>
      </c>
      <c r="C20">
        <v>1</v>
      </c>
    </row>
    <row r="21" spans="1:3">
      <c r="A21" s="46" t="s">
        <v>409</v>
      </c>
      <c r="C21">
        <v>1</v>
      </c>
    </row>
    <row r="22" spans="1:3">
      <c r="A22" s="46">
        <v>674</v>
      </c>
      <c r="C22">
        <v>1</v>
      </c>
    </row>
    <row r="23" spans="1:3">
      <c r="A23" s="46" t="s">
        <v>370</v>
      </c>
      <c r="C23">
        <v>1</v>
      </c>
    </row>
    <row r="24" spans="1:3">
      <c r="A24" s="46">
        <v>7400</v>
      </c>
      <c r="C24">
        <v>1</v>
      </c>
    </row>
    <row r="25" spans="1:3">
      <c r="A25" s="46">
        <v>7600</v>
      </c>
      <c r="C25">
        <v>1</v>
      </c>
    </row>
    <row r="26" spans="1:3">
      <c r="A26" s="46" t="s">
        <v>403</v>
      </c>
      <c r="C26">
        <v>1</v>
      </c>
    </row>
    <row r="27" spans="1:3">
      <c r="A27" s="46" t="s">
        <v>309</v>
      </c>
      <c r="B27" t="s">
        <v>838</v>
      </c>
      <c r="C27">
        <v>1</v>
      </c>
    </row>
    <row r="28" spans="1:3">
      <c r="A28" s="46" t="s">
        <v>363</v>
      </c>
      <c r="C28">
        <v>1</v>
      </c>
    </row>
    <row r="29" spans="1:3">
      <c r="A29" s="46" t="s">
        <v>137</v>
      </c>
      <c r="C29">
        <v>1</v>
      </c>
    </row>
    <row r="30" spans="1:3">
      <c r="A30" s="46" t="s">
        <v>484</v>
      </c>
      <c r="C30">
        <v>1</v>
      </c>
    </row>
    <row r="31" spans="1:3">
      <c r="A31" s="46" t="s">
        <v>76</v>
      </c>
      <c r="C31">
        <v>1</v>
      </c>
    </row>
    <row r="32" spans="1:3">
      <c r="A32" s="46" t="s">
        <v>323</v>
      </c>
      <c r="B32" t="s">
        <v>842</v>
      </c>
      <c r="C32">
        <v>1</v>
      </c>
    </row>
    <row r="33" spans="1:3">
      <c r="A33" s="46" t="s">
        <v>135</v>
      </c>
      <c r="C33">
        <v>1</v>
      </c>
    </row>
    <row r="34" spans="1:3">
      <c r="A34" s="46" t="s">
        <v>55</v>
      </c>
      <c r="C34">
        <v>1</v>
      </c>
    </row>
    <row r="35" spans="1:3">
      <c r="A35" s="46" t="s">
        <v>127</v>
      </c>
      <c r="C35">
        <v>1</v>
      </c>
    </row>
    <row r="36" spans="1:3">
      <c r="A36" s="46" t="s">
        <v>349</v>
      </c>
      <c r="C36">
        <v>1</v>
      </c>
    </row>
    <row r="37" spans="1:3">
      <c r="A37" s="46" t="s">
        <v>614</v>
      </c>
      <c r="C37">
        <v>1</v>
      </c>
    </row>
    <row r="38" spans="1:3">
      <c r="A38" s="46" t="s">
        <v>444</v>
      </c>
      <c r="B38" t="s">
        <v>868</v>
      </c>
      <c r="C38">
        <v>1</v>
      </c>
    </row>
    <row r="39" spans="1:3">
      <c r="A39" s="46" t="s">
        <v>276</v>
      </c>
      <c r="B39" t="s">
        <v>854</v>
      </c>
      <c r="C39">
        <v>1</v>
      </c>
    </row>
    <row r="40" spans="1:3">
      <c r="A40" s="46" t="s">
        <v>279</v>
      </c>
      <c r="C40">
        <v>1</v>
      </c>
    </row>
    <row r="41" spans="1:3">
      <c r="A41" s="46" t="s">
        <v>480</v>
      </c>
      <c r="C41">
        <v>1</v>
      </c>
    </row>
    <row r="42" spans="1:3">
      <c r="A42" s="46" t="s">
        <v>386</v>
      </c>
      <c r="B42" t="s">
        <v>892</v>
      </c>
      <c r="C42">
        <v>1</v>
      </c>
    </row>
    <row r="43" spans="1:3">
      <c r="A43" s="46" t="s">
        <v>99</v>
      </c>
      <c r="B43" t="s">
        <v>890</v>
      </c>
      <c r="C43">
        <v>1</v>
      </c>
    </row>
    <row r="44" spans="1:3">
      <c r="A44" s="46" t="s">
        <v>358</v>
      </c>
      <c r="C44">
        <v>1</v>
      </c>
    </row>
    <row r="45" spans="1:3">
      <c r="A45" s="46" t="s">
        <v>354</v>
      </c>
      <c r="C45">
        <v>1</v>
      </c>
    </row>
    <row r="46" spans="1:3">
      <c r="A46" s="46" t="s">
        <v>140</v>
      </c>
      <c r="C46">
        <v>1</v>
      </c>
    </row>
    <row r="47" spans="1:3">
      <c r="A47" s="46" t="s">
        <v>619</v>
      </c>
      <c r="C47">
        <v>1</v>
      </c>
    </row>
    <row r="48" spans="1:3">
      <c r="A48" s="46" t="s">
        <v>315</v>
      </c>
      <c r="B48" t="s">
        <v>832</v>
      </c>
      <c r="C48">
        <v>1</v>
      </c>
    </row>
    <row r="49" spans="1:3">
      <c r="A49" s="46" t="s">
        <v>421</v>
      </c>
      <c r="B49" t="s">
        <v>834</v>
      </c>
      <c r="C49">
        <v>1</v>
      </c>
    </row>
    <row r="50" spans="1:3">
      <c r="A50" s="46" t="s">
        <v>418</v>
      </c>
      <c r="C50">
        <v>1</v>
      </c>
    </row>
    <row r="51" spans="1:3">
      <c r="A51" s="46" t="s">
        <v>337</v>
      </c>
      <c r="C51">
        <v>1</v>
      </c>
    </row>
    <row r="52" spans="1:3">
      <c r="A52" s="46" t="s">
        <v>612</v>
      </c>
      <c r="C52">
        <v>1</v>
      </c>
    </row>
    <row r="53" spans="1:3">
      <c r="A53" s="46" t="s">
        <v>142</v>
      </c>
      <c r="C53">
        <v>1</v>
      </c>
    </row>
    <row r="54" spans="1:3">
      <c r="A54" s="46" t="s">
        <v>392</v>
      </c>
      <c r="C54">
        <v>1</v>
      </c>
    </row>
    <row r="55" spans="1:3">
      <c r="A55" s="46" t="s">
        <v>331</v>
      </c>
      <c r="C55">
        <v>1</v>
      </c>
    </row>
    <row r="56" spans="1:3">
      <c r="A56" s="46" t="s">
        <v>271</v>
      </c>
      <c r="C56">
        <v>1</v>
      </c>
    </row>
    <row r="57" spans="1:3">
      <c r="A57" s="46" t="s">
        <v>84</v>
      </c>
      <c r="B57" t="s">
        <v>824</v>
      </c>
      <c r="C57">
        <v>1</v>
      </c>
    </row>
    <row r="58" spans="1:3">
      <c r="A58" s="46" t="s">
        <v>299</v>
      </c>
      <c r="C58">
        <v>1</v>
      </c>
    </row>
    <row r="59" spans="1:3">
      <c r="A59" s="46" t="s">
        <v>416</v>
      </c>
      <c r="C59">
        <v>1</v>
      </c>
    </row>
    <row r="60" spans="1:3">
      <c r="A60" s="46" t="s">
        <v>110</v>
      </c>
      <c r="B60" t="s">
        <v>852</v>
      </c>
      <c r="C60">
        <v>1</v>
      </c>
    </row>
    <row r="61" spans="1:3">
      <c r="A61" s="46" t="s">
        <v>258</v>
      </c>
      <c r="C61">
        <v>1</v>
      </c>
    </row>
    <row r="62" spans="1:3">
      <c r="A62" s="46" t="s">
        <v>447</v>
      </c>
      <c r="C62">
        <v>1</v>
      </c>
    </row>
    <row r="63" spans="1:3">
      <c r="A63" s="46" t="s">
        <v>286</v>
      </c>
      <c r="B63" t="s">
        <v>894</v>
      </c>
      <c r="C63">
        <v>1</v>
      </c>
    </row>
    <row r="64" spans="1:3">
      <c r="A64" s="46" t="s">
        <v>247</v>
      </c>
      <c r="C64">
        <v>1</v>
      </c>
    </row>
    <row r="65" spans="1:3">
      <c r="A65" s="46" t="s">
        <v>549</v>
      </c>
      <c r="C65">
        <v>1</v>
      </c>
    </row>
    <row r="66" spans="1:3">
      <c r="A66" s="46" t="s">
        <v>123</v>
      </c>
      <c r="B66" t="s">
        <v>822</v>
      </c>
      <c r="C66">
        <v>1</v>
      </c>
    </row>
    <row r="67" spans="1:3">
      <c r="A67" s="46" t="s">
        <v>116</v>
      </c>
      <c r="B67" t="s">
        <v>888</v>
      </c>
      <c r="C67">
        <v>1</v>
      </c>
    </row>
    <row r="68" spans="1:3">
      <c r="A68" s="46" t="s">
        <v>621</v>
      </c>
      <c r="C68">
        <v>1</v>
      </c>
    </row>
    <row r="69" spans="1:3">
      <c r="A69" s="46" t="s">
        <v>335</v>
      </c>
      <c r="C69">
        <v>1</v>
      </c>
    </row>
    <row r="70" spans="1:3">
      <c r="A70" s="46" t="s">
        <v>131</v>
      </c>
      <c r="B70" t="s">
        <v>836</v>
      </c>
      <c r="C70">
        <v>1</v>
      </c>
    </row>
    <row r="71" spans="1:3">
      <c r="A71" s="46" t="s">
        <v>71</v>
      </c>
      <c r="B71" t="s">
        <v>858</v>
      </c>
      <c r="C71">
        <v>1</v>
      </c>
    </row>
    <row r="72" spans="1:3">
      <c r="A72" s="46" t="s">
        <v>80</v>
      </c>
      <c r="B72" t="s">
        <v>850</v>
      </c>
      <c r="C72">
        <v>1</v>
      </c>
    </row>
    <row r="73" spans="1:3">
      <c r="A73" s="46" t="s">
        <v>67</v>
      </c>
      <c r="B73" t="s">
        <v>848</v>
      </c>
      <c r="C73">
        <v>1</v>
      </c>
    </row>
    <row r="74" spans="1:3">
      <c r="A74" s="46" t="s">
        <v>243</v>
      </c>
      <c r="C74">
        <v>1</v>
      </c>
    </row>
    <row r="75" spans="1:3">
      <c r="A75" s="46" t="s">
        <v>254</v>
      </c>
      <c r="C75">
        <v>1</v>
      </c>
    </row>
    <row r="76" spans="1:3">
      <c r="A76" s="46" t="s">
        <v>487</v>
      </c>
      <c r="B76" t="s">
        <v>828</v>
      </c>
      <c r="C76">
        <v>1</v>
      </c>
    </row>
    <row r="77" spans="1:3">
      <c r="A77" s="46" t="s">
        <v>154</v>
      </c>
      <c r="C77">
        <v>1</v>
      </c>
    </row>
    <row r="78" spans="1:3">
      <c r="A78" s="46" t="s">
        <v>395</v>
      </c>
      <c r="C78">
        <v>1</v>
      </c>
    </row>
    <row r="79" spans="1:3">
      <c r="A79" s="46" t="s">
        <v>319</v>
      </c>
      <c r="C79">
        <v>1</v>
      </c>
    </row>
    <row r="80" spans="1:3">
      <c r="A80" s="46" t="s">
        <v>507</v>
      </c>
      <c r="B80" t="s">
        <v>818</v>
      </c>
      <c r="C80">
        <v>1</v>
      </c>
    </row>
    <row r="81" spans="1:3">
      <c r="A81" s="46" t="s">
        <v>469</v>
      </c>
      <c r="B81" t="s">
        <v>826</v>
      </c>
      <c r="C81">
        <v>1</v>
      </c>
    </row>
    <row r="82" spans="1:3">
      <c r="A82" s="46" t="s">
        <v>161</v>
      </c>
      <c r="C82">
        <v>1</v>
      </c>
    </row>
    <row r="83" spans="1:3">
      <c r="A83" s="46" t="s">
        <v>261</v>
      </c>
      <c r="C83">
        <v>1</v>
      </c>
    </row>
    <row r="84" spans="1:3">
      <c r="A84" s="46" t="s">
        <v>233</v>
      </c>
      <c r="C84">
        <v>1</v>
      </c>
    </row>
    <row r="85" spans="1:3">
      <c r="A85" s="46" t="s">
        <v>376</v>
      </c>
      <c r="C85">
        <v>1</v>
      </c>
    </row>
    <row r="86" spans="1:3">
      <c r="A86" s="46" t="s">
        <v>617</v>
      </c>
      <c r="C86">
        <v>1</v>
      </c>
    </row>
    <row r="87" spans="1:3">
      <c r="A87" s="46" t="s">
        <v>565</v>
      </c>
      <c r="C87">
        <v>1</v>
      </c>
    </row>
    <row r="88" spans="1:3">
      <c r="A88" s="46" t="s">
        <v>568</v>
      </c>
      <c r="C88">
        <v>1</v>
      </c>
    </row>
    <row r="89" spans="1:3">
      <c r="A89" s="46" t="s">
        <v>570</v>
      </c>
      <c r="C89">
        <v>1</v>
      </c>
    </row>
    <row r="90" spans="1:3">
      <c r="A90" s="46" t="s">
        <v>294</v>
      </c>
      <c r="C90">
        <v>1</v>
      </c>
    </row>
    <row r="91" spans="1:3">
      <c r="A91" s="46" t="s">
        <v>266</v>
      </c>
      <c r="C91">
        <v>1</v>
      </c>
    </row>
    <row r="92" spans="1:3">
      <c r="A92" s="46" t="s">
        <v>465</v>
      </c>
      <c r="B92" t="s">
        <v>813</v>
      </c>
      <c r="C92">
        <v>1</v>
      </c>
    </row>
    <row r="93" spans="1:3">
      <c r="A93" s="46" t="s">
        <v>903</v>
      </c>
      <c r="B93" t="s">
        <v>813</v>
      </c>
      <c r="C93">
        <v>1</v>
      </c>
    </row>
    <row r="94" spans="1:3">
      <c r="A94" s="46" t="s">
        <v>577</v>
      </c>
      <c r="B94" t="s">
        <v>816</v>
      </c>
      <c r="C94">
        <v>1</v>
      </c>
    </row>
    <row r="95" spans="1:3">
      <c r="A95" s="46" t="s">
        <v>165</v>
      </c>
      <c r="B95" t="s">
        <v>862</v>
      </c>
      <c r="C95">
        <v>1</v>
      </c>
    </row>
    <row r="96" spans="1:3">
      <c r="A96" s="46" t="s">
        <v>602</v>
      </c>
      <c r="B96" t="s">
        <v>820</v>
      </c>
      <c r="C96">
        <v>1</v>
      </c>
    </row>
    <row r="97" spans="1:3">
      <c r="A97" s="46" t="s">
        <v>181</v>
      </c>
      <c r="B97" t="s">
        <v>830</v>
      </c>
      <c r="C97">
        <v>1</v>
      </c>
    </row>
    <row r="98" spans="1:3">
      <c r="A98" s="46" t="s">
        <v>186</v>
      </c>
      <c r="B98" t="s">
        <v>830</v>
      </c>
      <c r="C98">
        <v>1</v>
      </c>
    </row>
    <row r="99" spans="1:3">
      <c r="A99" s="46" t="s">
        <v>87</v>
      </c>
      <c r="B99" t="s">
        <v>830</v>
      </c>
      <c r="C99">
        <v>1</v>
      </c>
    </row>
    <row r="100" spans="1:3">
      <c r="A100" s="46" t="s">
        <v>22</v>
      </c>
      <c r="B100" t="s">
        <v>830</v>
      </c>
      <c r="C100">
        <v>1</v>
      </c>
    </row>
    <row r="101" spans="1:3">
      <c r="A101" s="46" t="s">
        <v>407</v>
      </c>
      <c r="C101">
        <v>1</v>
      </c>
    </row>
    <row r="102" spans="1:3">
      <c r="A102" s="46" t="s">
        <v>240</v>
      </c>
      <c r="C102">
        <v>1</v>
      </c>
    </row>
    <row r="103" spans="1:3">
      <c r="A103" s="46" t="s">
        <v>50</v>
      </c>
      <c r="C103">
        <v>1</v>
      </c>
    </row>
    <row r="104" spans="1:3">
      <c r="A104" s="46" t="s">
        <v>599</v>
      </c>
      <c r="C104">
        <v>1</v>
      </c>
    </row>
    <row r="105" spans="1:3">
      <c r="A105" s="46" t="s">
        <v>595</v>
      </c>
      <c r="C105">
        <v>1</v>
      </c>
    </row>
    <row r="106" spans="1:3">
      <c r="A106" s="46" t="s">
        <v>597</v>
      </c>
      <c r="C106">
        <v>1</v>
      </c>
    </row>
    <row r="107" spans="1:3">
      <c r="A107" s="46" t="s">
        <v>45</v>
      </c>
      <c r="B107" t="s">
        <v>822</v>
      </c>
      <c r="C107">
        <v>1</v>
      </c>
    </row>
    <row r="108" spans="1:3">
      <c r="A108" s="46" t="s">
        <v>144</v>
      </c>
      <c r="B108" t="s">
        <v>822</v>
      </c>
      <c r="C108">
        <v>1</v>
      </c>
    </row>
    <row r="109" spans="1:3">
      <c r="A109" s="46" t="s">
        <v>177</v>
      </c>
      <c r="B109" t="s">
        <v>822</v>
      </c>
      <c r="C109">
        <v>1</v>
      </c>
    </row>
    <row r="110" spans="1:3">
      <c r="A110" s="46" t="s">
        <v>147</v>
      </c>
      <c r="B110" t="s">
        <v>822</v>
      </c>
      <c r="C110">
        <v>1</v>
      </c>
    </row>
    <row r="111" spans="1:3">
      <c r="A111" s="46" t="s">
        <v>189</v>
      </c>
      <c r="B111" t="s">
        <v>822</v>
      </c>
      <c r="C111">
        <v>1</v>
      </c>
    </row>
    <row r="112" spans="1:3">
      <c r="A112" s="46" t="s">
        <v>425</v>
      </c>
      <c r="C112">
        <v>1</v>
      </c>
    </row>
    <row r="113" spans="1:3">
      <c r="A113" s="46" t="s">
        <v>326</v>
      </c>
      <c r="C113">
        <v>1</v>
      </c>
    </row>
    <row r="114" spans="1:3">
      <c r="A114" s="46" t="s">
        <v>667</v>
      </c>
      <c r="B114" s="46" t="s">
        <v>844</v>
      </c>
      <c r="C114" s="3">
        <v>1</v>
      </c>
    </row>
    <row r="115" spans="1:3">
      <c r="B115" s="46"/>
      <c r="C115" s="46"/>
    </row>
    <row r="116" spans="1:3">
      <c r="B116" s="46"/>
      <c r="C116" s="46"/>
    </row>
    <row r="117" spans="1:3">
      <c r="B117" s="46"/>
      <c r="C117" s="46"/>
    </row>
    <row r="118" spans="1:3">
      <c r="B118" s="46"/>
      <c r="C118" s="46"/>
    </row>
    <row r="119" spans="1:3">
      <c r="B119" s="46"/>
      <c r="C119" s="46"/>
    </row>
    <row r="120" spans="1:3">
      <c r="B120" s="46"/>
      <c r="C120" s="46"/>
    </row>
    <row r="121" spans="1:3">
      <c r="B121" s="46"/>
      <c r="C121" s="46"/>
    </row>
    <row r="122" spans="1:3">
      <c r="B122" s="46"/>
      <c r="C122" s="46"/>
    </row>
    <row r="123" spans="1:3">
      <c r="B123" s="46"/>
      <c r="C123" s="46"/>
    </row>
    <row r="124" spans="1:3">
      <c r="B124" s="46"/>
      <c r="C124" s="46"/>
    </row>
    <row r="125" spans="1:3">
      <c r="B125" s="46"/>
      <c r="C125" s="46"/>
    </row>
    <row r="126" spans="1:3">
      <c r="B126" s="46"/>
      <c r="C126" s="46"/>
    </row>
    <row r="127" spans="1:3">
      <c r="B127" s="46"/>
      <c r="C127" s="46"/>
    </row>
    <row r="128" spans="1:3">
      <c r="B128" s="46"/>
      <c r="C128" s="46"/>
    </row>
    <row r="129" spans="2:3">
      <c r="B129" s="46"/>
      <c r="C129" s="46"/>
    </row>
    <row r="130" spans="2:3">
      <c r="B130" s="46"/>
      <c r="C130" s="46"/>
    </row>
    <row r="131" spans="2:3">
      <c r="B131" s="46"/>
      <c r="C131" s="46"/>
    </row>
    <row r="132" spans="2:3">
      <c r="B132" s="46"/>
      <c r="C132" s="46"/>
    </row>
    <row r="133" spans="2:3">
      <c r="B133" s="46"/>
      <c r="C133" s="46"/>
    </row>
    <row r="134" spans="2:3">
      <c r="B134" s="46"/>
      <c r="C134" s="46"/>
    </row>
    <row r="135" spans="2:3">
      <c r="B135" s="46"/>
      <c r="C135" s="46"/>
    </row>
    <row r="136" spans="2:3">
      <c r="B136" s="46"/>
      <c r="C136" s="46"/>
    </row>
    <row r="137" spans="2:3">
      <c r="B137" s="46"/>
      <c r="C137" s="46"/>
    </row>
    <row r="138" spans="2:3">
      <c r="B138" s="46"/>
      <c r="C138" s="46"/>
    </row>
    <row r="139" spans="2:3">
      <c r="B139" s="46"/>
      <c r="C139" s="46"/>
    </row>
    <row r="140" spans="2:3">
      <c r="B140" s="46"/>
      <c r="C140" s="46"/>
    </row>
    <row r="141" spans="2:3">
      <c r="B141" s="46"/>
      <c r="C141" s="46"/>
    </row>
    <row r="142" spans="2:3">
      <c r="B142" s="46"/>
      <c r="C142" s="46"/>
    </row>
    <row r="143" spans="2:3">
      <c r="B143" s="46"/>
      <c r="C143" s="46"/>
    </row>
    <row r="144" spans="2:3">
      <c r="B144" s="46"/>
      <c r="C144" s="46"/>
    </row>
    <row r="145" spans="2:3">
      <c r="B145" s="46"/>
      <c r="C145" s="46"/>
    </row>
    <row r="146" spans="2:3">
      <c r="B146" s="46"/>
      <c r="C146" s="46"/>
    </row>
    <row r="147" spans="2:3">
      <c r="B147" s="46"/>
      <c r="C147" s="46"/>
    </row>
    <row r="148" spans="2:3">
      <c r="B148" s="46"/>
      <c r="C148" s="46"/>
    </row>
    <row r="149" spans="2:3">
      <c r="B149" s="46"/>
      <c r="C149" s="46"/>
    </row>
    <row r="150" spans="2:3">
      <c r="B150" s="46"/>
      <c r="C150" s="46"/>
    </row>
    <row r="151" spans="2:3">
      <c r="B151" s="46"/>
      <c r="C151" s="46"/>
    </row>
    <row r="152" spans="2:3">
      <c r="B152" s="46"/>
      <c r="C152" s="46"/>
    </row>
    <row r="153" spans="2:3">
      <c r="B153" s="46"/>
      <c r="C153" s="46"/>
    </row>
    <row r="154" spans="2:3">
      <c r="B154" s="46"/>
      <c r="C154" s="46"/>
    </row>
    <row r="155" spans="2:3">
      <c r="B155" s="46"/>
      <c r="C155" s="46"/>
    </row>
    <row r="156" spans="2:3">
      <c r="B156" s="46"/>
      <c r="C156" s="46"/>
    </row>
    <row r="157" spans="2:3">
      <c r="B157" s="46"/>
      <c r="C157" s="46"/>
    </row>
    <row r="158" spans="2:3">
      <c r="B158" s="46"/>
      <c r="C158" s="46"/>
    </row>
    <row r="159" spans="2:3">
      <c r="B159" s="46"/>
      <c r="C159" s="46"/>
    </row>
    <row r="160" spans="2:3">
      <c r="B160" s="46"/>
      <c r="C160" s="46"/>
    </row>
    <row r="161" spans="2:3">
      <c r="B161" s="46"/>
      <c r="C161" s="46"/>
    </row>
    <row r="162" spans="2:3">
      <c r="B162" s="46"/>
      <c r="C162" s="46"/>
    </row>
    <row r="163" spans="2:3">
      <c r="B163" s="46"/>
      <c r="C163" s="46"/>
    </row>
    <row r="164" spans="2:3">
      <c r="B164" s="46"/>
      <c r="C164" s="46"/>
    </row>
    <row r="165" spans="2:3">
      <c r="B165" s="46"/>
      <c r="C165" s="46"/>
    </row>
    <row r="166" spans="2:3">
      <c r="B166" s="46"/>
      <c r="C166" s="46"/>
    </row>
    <row r="167" spans="2:3">
      <c r="B167" s="46"/>
      <c r="C167" s="46"/>
    </row>
    <row r="168" spans="2:3">
      <c r="B168" s="46"/>
      <c r="C168" s="46"/>
    </row>
    <row r="169" spans="2:3">
      <c r="B169" s="46"/>
      <c r="C169" s="46"/>
    </row>
    <row r="170" spans="2:3">
      <c r="B170" s="46"/>
      <c r="C170" s="46"/>
    </row>
    <row r="171" spans="2:3">
      <c r="B171" s="46"/>
      <c r="C171" s="46"/>
    </row>
    <row r="172" spans="2:3">
      <c r="B172" s="46"/>
      <c r="C172" s="46"/>
    </row>
    <row r="173" spans="2:3">
      <c r="B173" s="46"/>
      <c r="C173" s="46"/>
    </row>
    <row r="174" spans="2:3">
      <c r="B174" s="46"/>
      <c r="C174" s="46"/>
    </row>
    <row r="175" spans="2:3">
      <c r="B175" s="46"/>
      <c r="C175" s="46"/>
    </row>
    <row r="176" spans="2:3">
      <c r="B176" s="46"/>
      <c r="C176" s="46"/>
    </row>
    <row r="177" spans="2:3">
      <c r="B177" s="46"/>
      <c r="C177" s="46"/>
    </row>
    <row r="178" spans="2:3">
      <c r="B178" s="46"/>
      <c r="C178" s="46"/>
    </row>
    <row r="179" spans="2:3">
      <c r="B179" s="46"/>
      <c r="C179" s="46"/>
    </row>
    <row r="180" spans="2:3">
      <c r="B180" s="46"/>
      <c r="C180" s="46"/>
    </row>
    <row r="181" spans="2:3">
      <c r="B181" s="46"/>
      <c r="C181" s="46"/>
    </row>
    <row r="182" spans="2:3">
      <c r="B182" s="46"/>
      <c r="C182" s="46"/>
    </row>
    <row r="183" spans="2:3">
      <c r="B183" s="46"/>
      <c r="C183" s="46"/>
    </row>
    <row r="184" spans="2:3">
      <c r="B184" s="46"/>
      <c r="C184" s="46"/>
    </row>
    <row r="185" spans="2:3">
      <c r="B185" s="46"/>
      <c r="C185" s="46"/>
    </row>
    <row r="186" spans="2:3">
      <c r="B186" s="46"/>
      <c r="C186" s="46"/>
    </row>
    <row r="187" spans="2:3">
      <c r="B187" s="46"/>
      <c r="C187" s="46"/>
    </row>
    <row r="188" spans="2:3">
      <c r="B188" s="46"/>
      <c r="C188" s="46"/>
    </row>
    <row r="189" spans="2:3">
      <c r="B189" s="46"/>
      <c r="C189" s="46"/>
    </row>
    <row r="190" spans="2:3">
      <c r="B190" s="46"/>
      <c r="C190" s="46"/>
    </row>
    <row r="191" spans="2:3">
      <c r="B191" s="46"/>
      <c r="C191" s="46"/>
    </row>
    <row r="192" spans="2:3">
      <c r="B192" s="46"/>
      <c r="C192" s="46"/>
    </row>
    <row r="193" spans="2:3">
      <c r="B193" s="46"/>
      <c r="C193" s="46"/>
    </row>
    <row r="194" spans="2:3">
      <c r="B194" s="46"/>
      <c r="C194" s="46"/>
    </row>
    <row r="195" spans="2:3">
      <c r="B195" s="46"/>
      <c r="C195" s="46"/>
    </row>
    <row r="196" spans="2:3">
      <c r="B196" s="46"/>
      <c r="C196" s="46"/>
    </row>
    <row r="197" spans="2:3">
      <c r="B197" s="46"/>
      <c r="C197" s="46"/>
    </row>
    <row r="198" spans="2:3">
      <c r="B198" s="46"/>
      <c r="C198" s="46"/>
    </row>
    <row r="199" spans="2:3">
      <c r="B199" s="46"/>
      <c r="C199" s="46"/>
    </row>
    <row r="200" spans="2:3">
      <c r="B200" s="46"/>
      <c r="C200" s="46"/>
    </row>
    <row r="201" spans="2:3">
      <c r="B201" s="46"/>
      <c r="C201" s="46"/>
    </row>
    <row r="202" spans="2:3">
      <c r="B202" s="46"/>
      <c r="C202" s="46"/>
    </row>
    <row r="203" spans="2:3">
      <c r="B203" s="46"/>
      <c r="C203" s="46"/>
    </row>
    <row r="204" spans="2:3">
      <c r="B204" s="46"/>
      <c r="C204" s="46"/>
    </row>
    <row r="205" spans="2:3">
      <c r="B205" s="46"/>
      <c r="C205" s="46"/>
    </row>
    <row r="206" spans="2:3">
      <c r="B206" s="46"/>
      <c r="C206" s="46"/>
    </row>
    <row r="207" spans="2:3">
      <c r="B207" s="46"/>
      <c r="C207" s="46"/>
    </row>
    <row r="208" spans="2:3">
      <c r="B208" s="46"/>
      <c r="C208" s="46"/>
    </row>
    <row r="209" spans="2:3">
      <c r="B209" s="46"/>
      <c r="C209" s="46"/>
    </row>
    <row r="210" spans="2:3">
      <c r="B210" s="46"/>
      <c r="C210" s="46"/>
    </row>
    <row r="211" spans="2:3">
      <c r="B211" s="46"/>
      <c r="C211" s="46"/>
    </row>
    <row r="212" spans="2:3">
      <c r="B212" s="46"/>
      <c r="C212" s="46"/>
    </row>
    <row r="213" spans="2:3">
      <c r="B213" s="46"/>
      <c r="C213" s="46"/>
    </row>
    <row r="214" spans="2:3">
      <c r="B214" s="46"/>
      <c r="C214" s="46"/>
    </row>
    <row r="215" spans="2:3">
      <c r="B215" s="46"/>
      <c r="C215" s="46"/>
    </row>
    <row r="216" spans="2:3">
      <c r="B216" s="46"/>
      <c r="C216" s="46"/>
    </row>
    <row r="217" spans="2:3">
      <c r="B217" s="46"/>
      <c r="C217" s="46"/>
    </row>
    <row r="218" spans="2:3">
      <c r="B218" s="46"/>
      <c r="C218" s="46"/>
    </row>
    <row r="219" spans="2:3">
      <c r="B219" s="46"/>
      <c r="C219" s="46"/>
    </row>
    <row r="220" spans="2:3">
      <c r="B220" s="46"/>
      <c r="C220" s="46"/>
    </row>
    <row r="221" spans="2:3">
      <c r="B221" s="46"/>
      <c r="C221" s="46"/>
    </row>
    <row r="222" spans="2:3">
      <c r="B222" s="46"/>
      <c r="C222" s="46"/>
    </row>
    <row r="223" spans="2:3">
      <c r="B223" s="46"/>
      <c r="C223" s="46"/>
    </row>
  </sheetData>
  <mergeCells count="1">
    <mergeCell ref="A1:C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17"/>
  <sheetViews>
    <sheetView zoomScaleNormal="100" workbookViewId="0">
      <pane ySplit="3" topLeftCell="A355" activePane="bottomLeft" state="frozen"/>
      <selection pane="bottomLeft" activeCell="B370" sqref="B370"/>
      <selection activeCell="A287" sqref="A287:XFD287"/>
    </sheetView>
  </sheetViews>
  <sheetFormatPr defaultColWidth="9.140625" defaultRowHeight="15" customHeight="1"/>
  <cols>
    <col min="1" max="1" width="11.5703125" style="6" customWidth="1"/>
    <col min="2" max="2" width="15.140625" customWidth="1"/>
    <col min="3" max="3" width="11.7109375" customWidth="1"/>
    <col min="4" max="4" width="39" customWidth="1"/>
    <col min="5" max="5" width="44.85546875" customWidth="1"/>
    <col min="6" max="6" width="17.5703125" customWidth="1"/>
    <col min="7" max="7" width="20.5703125" customWidth="1"/>
    <col min="8" max="8" width="23.85546875" customWidth="1"/>
    <col min="10" max="10" width="10.5703125" bestFit="1" customWidth="1"/>
    <col min="11" max="11" width="21.85546875" bestFit="1" customWidth="1"/>
  </cols>
  <sheetData>
    <row r="1" spans="1:8" ht="18.75" customHeight="1">
      <c r="A1" s="96" t="s">
        <v>904</v>
      </c>
      <c r="B1" s="96"/>
      <c r="C1" s="96"/>
      <c r="D1" s="96"/>
      <c r="E1" s="96"/>
      <c r="F1" s="96"/>
      <c r="G1" s="96"/>
      <c r="H1" s="96"/>
    </row>
    <row r="3" spans="1:8">
      <c r="A3" s="7" t="s">
        <v>669</v>
      </c>
      <c r="B3" s="1" t="s">
        <v>905</v>
      </c>
      <c r="C3" s="1" t="s">
        <v>1</v>
      </c>
      <c r="D3" s="1" t="s">
        <v>906</v>
      </c>
      <c r="E3" s="1" t="s">
        <v>907</v>
      </c>
      <c r="F3" s="1" t="s">
        <v>908</v>
      </c>
      <c r="G3" s="1" t="s">
        <v>909</v>
      </c>
      <c r="H3" s="1" t="s">
        <v>910</v>
      </c>
    </row>
    <row r="4" spans="1:8">
      <c r="A4" s="91">
        <v>46065.519203044001</v>
      </c>
      <c r="B4" s="92" t="s">
        <v>911</v>
      </c>
      <c r="C4" t="s">
        <v>504</v>
      </c>
      <c r="D4" s="92" t="s">
        <v>912</v>
      </c>
      <c r="E4" s="92" t="s">
        <v>763</v>
      </c>
      <c r="F4" s="93">
        <v>32201.4</v>
      </c>
      <c r="G4" s="41" t="s">
        <v>913</v>
      </c>
      <c r="H4" s="42" t="s">
        <v>914</v>
      </c>
    </row>
    <row r="5" spans="1:8">
      <c r="A5" s="91">
        <v>46065.519203044001</v>
      </c>
      <c r="B5" s="92" t="s">
        <v>911</v>
      </c>
      <c r="C5" t="s">
        <v>509</v>
      </c>
      <c r="D5" s="92" t="s">
        <v>912</v>
      </c>
      <c r="E5" s="92" t="s">
        <v>763</v>
      </c>
      <c r="F5" s="93">
        <v>32201.4</v>
      </c>
      <c r="G5" s="41" t="s">
        <v>913</v>
      </c>
      <c r="H5" s="42" t="s">
        <v>914</v>
      </c>
    </row>
    <row r="6" spans="1:8">
      <c r="A6" s="91">
        <v>46065.519203044001</v>
      </c>
      <c r="B6" s="92" t="s">
        <v>911</v>
      </c>
      <c r="C6" t="s">
        <v>511</v>
      </c>
      <c r="D6" s="92" t="s">
        <v>912</v>
      </c>
      <c r="E6" s="92" t="s">
        <v>763</v>
      </c>
      <c r="F6" s="93">
        <v>32201.4</v>
      </c>
      <c r="G6" s="41" t="s">
        <v>913</v>
      </c>
      <c r="H6" s="42" t="s">
        <v>914</v>
      </c>
    </row>
    <row r="7" spans="1:8">
      <c r="A7" s="91">
        <v>46065.519203044001</v>
      </c>
      <c r="B7" s="92" t="s">
        <v>911</v>
      </c>
      <c r="C7" t="s">
        <v>513</v>
      </c>
      <c r="D7" s="92" t="s">
        <v>912</v>
      </c>
      <c r="E7" s="92" t="s">
        <v>763</v>
      </c>
      <c r="F7" s="93">
        <v>32201.4</v>
      </c>
      <c r="G7" s="41" t="s">
        <v>913</v>
      </c>
      <c r="H7" s="42" t="s">
        <v>914</v>
      </c>
    </row>
    <row r="8" spans="1:8">
      <c r="A8" s="91">
        <v>46065.519203044001</v>
      </c>
      <c r="B8" s="92" t="s">
        <v>911</v>
      </c>
      <c r="C8" t="s">
        <v>516</v>
      </c>
      <c r="D8" s="92" t="s">
        <v>912</v>
      </c>
      <c r="E8" s="92" t="s">
        <v>763</v>
      </c>
      <c r="F8" s="93">
        <v>32201.4</v>
      </c>
      <c r="G8" s="41" t="s">
        <v>913</v>
      </c>
      <c r="H8" s="42" t="s">
        <v>914</v>
      </c>
    </row>
    <row r="9" spans="1:8">
      <c r="A9" s="91">
        <v>46065.519203044001</v>
      </c>
      <c r="B9" s="92" t="s">
        <v>911</v>
      </c>
      <c r="C9" t="s">
        <v>518</v>
      </c>
      <c r="D9" s="92" t="s">
        <v>912</v>
      </c>
      <c r="E9" s="92" t="s">
        <v>763</v>
      </c>
      <c r="F9" s="93">
        <v>32201.4</v>
      </c>
      <c r="G9" s="41" t="s">
        <v>913</v>
      </c>
      <c r="H9" s="42" t="s">
        <v>914</v>
      </c>
    </row>
    <row r="10" spans="1:8">
      <c r="A10" s="91">
        <v>46065.519203044001</v>
      </c>
      <c r="B10" s="92" t="s">
        <v>911</v>
      </c>
      <c r="C10" t="s">
        <v>520</v>
      </c>
      <c r="D10" s="92" t="s">
        <v>912</v>
      </c>
      <c r="E10" s="92" t="s">
        <v>763</v>
      </c>
      <c r="F10" s="93">
        <v>32201.4</v>
      </c>
      <c r="G10" s="41" t="s">
        <v>913</v>
      </c>
      <c r="H10" s="42" t="s">
        <v>914</v>
      </c>
    </row>
    <row r="11" spans="1:8">
      <c r="A11" s="91">
        <v>46065.519203044001</v>
      </c>
      <c r="B11" s="92" t="s">
        <v>911</v>
      </c>
      <c r="C11" t="s">
        <v>522</v>
      </c>
      <c r="D11" s="92" t="s">
        <v>912</v>
      </c>
      <c r="E11" s="92" t="s">
        <v>763</v>
      </c>
      <c r="F11" s="93">
        <v>32201.4</v>
      </c>
      <c r="G11" s="41" t="s">
        <v>913</v>
      </c>
      <c r="H11" s="42" t="s">
        <v>914</v>
      </c>
    </row>
    <row r="12" spans="1:8">
      <c r="A12" s="91">
        <v>46065.519203044001</v>
      </c>
      <c r="B12" s="92" t="s">
        <v>911</v>
      </c>
      <c r="C12" t="s">
        <v>524</v>
      </c>
      <c r="D12" s="92" t="s">
        <v>912</v>
      </c>
      <c r="E12" s="92" t="s">
        <v>763</v>
      </c>
      <c r="F12" s="93">
        <v>32201.4</v>
      </c>
      <c r="G12" s="41" t="s">
        <v>913</v>
      </c>
      <c r="H12" s="42" t="s">
        <v>914</v>
      </c>
    </row>
    <row r="13" spans="1:8">
      <c r="A13" s="91">
        <v>46065.519203044001</v>
      </c>
      <c r="B13" s="92" t="s">
        <v>911</v>
      </c>
      <c r="C13" t="s">
        <v>526</v>
      </c>
      <c r="D13" s="92" t="s">
        <v>912</v>
      </c>
      <c r="E13" s="92" t="s">
        <v>763</v>
      </c>
      <c r="F13" s="93">
        <v>32201.4</v>
      </c>
      <c r="G13" s="41" t="s">
        <v>913</v>
      </c>
      <c r="H13" s="42" t="s">
        <v>914</v>
      </c>
    </row>
    <row r="14" spans="1:8">
      <c r="A14" s="71">
        <v>46069.447153738402</v>
      </c>
      <c r="B14" t="s">
        <v>915</v>
      </c>
      <c r="C14" t="s">
        <v>167</v>
      </c>
      <c r="D14" t="s">
        <v>916</v>
      </c>
      <c r="E14" t="s">
        <v>763</v>
      </c>
      <c r="F14" s="35">
        <v>5764.6988000000001</v>
      </c>
      <c r="G14" t="s">
        <v>917</v>
      </c>
      <c r="H14" t="s">
        <v>914</v>
      </c>
    </row>
    <row r="15" spans="1:8">
      <c r="A15" s="71">
        <v>46069.447153738402</v>
      </c>
      <c r="B15" t="s">
        <v>915</v>
      </c>
      <c r="C15" t="s">
        <v>169</v>
      </c>
      <c r="D15" t="s">
        <v>916</v>
      </c>
      <c r="E15" t="s">
        <v>763</v>
      </c>
      <c r="F15" s="35">
        <v>5764.6988000000001</v>
      </c>
      <c r="G15" t="s">
        <v>917</v>
      </c>
      <c r="H15" t="s">
        <v>914</v>
      </c>
    </row>
    <row r="16" spans="1:8">
      <c r="A16" s="71">
        <v>46069.447153738402</v>
      </c>
      <c r="B16" t="s">
        <v>915</v>
      </c>
      <c r="C16" t="s">
        <v>171</v>
      </c>
      <c r="D16" t="s">
        <v>916</v>
      </c>
      <c r="E16" t="s">
        <v>763</v>
      </c>
      <c r="F16" s="35">
        <v>5764.6988000000001</v>
      </c>
      <c r="G16" t="s">
        <v>917</v>
      </c>
      <c r="H16" t="s">
        <v>914</v>
      </c>
    </row>
    <row r="17" spans="1:8">
      <c r="A17" s="71">
        <v>46069.447153738402</v>
      </c>
      <c r="B17" t="s">
        <v>915</v>
      </c>
      <c r="C17" t="s">
        <v>173</v>
      </c>
      <c r="D17" t="s">
        <v>916</v>
      </c>
      <c r="E17" t="s">
        <v>763</v>
      </c>
      <c r="F17" s="35">
        <v>5764.6988000000001</v>
      </c>
      <c r="G17" t="s">
        <v>917</v>
      </c>
      <c r="H17" t="s">
        <v>914</v>
      </c>
    </row>
    <row r="18" spans="1:8">
      <c r="A18" s="71">
        <v>46069.447153738402</v>
      </c>
      <c r="B18" t="s">
        <v>915</v>
      </c>
      <c r="C18" t="s">
        <v>180</v>
      </c>
      <c r="D18" t="s">
        <v>916</v>
      </c>
      <c r="E18" t="s">
        <v>763</v>
      </c>
      <c r="F18" s="35">
        <v>5764.6988000000001</v>
      </c>
      <c r="G18" t="s">
        <v>917</v>
      </c>
      <c r="H18" t="s">
        <v>914</v>
      </c>
    </row>
    <row r="19" spans="1:8">
      <c r="A19" s="71">
        <v>46069.447153738402</v>
      </c>
      <c r="B19" t="s">
        <v>915</v>
      </c>
      <c r="C19" t="s">
        <v>19</v>
      </c>
      <c r="D19" t="s">
        <v>916</v>
      </c>
      <c r="E19" t="s">
        <v>763</v>
      </c>
      <c r="F19" s="35">
        <v>5764.6988000000001</v>
      </c>
      <c r="G19" t="s">
        <v>917</v>
      </c>
      <c r="H19" t="s">
        <v>914</v>
      </c>
    </row>
    <row r="20" spans="1:8">
      <c r="A20" s="71">
        <v>46069.447153738402</v>
      </c>
      <c r="B20" t="s">
        <v>915</v>
      </c>
      <c r="C20" t="s">
        <v>29</v>
      </c>
      <c r="D20" t="s">
        <v>916</v>
      </c>
      <c r="E20" t="s">
        <v>763</v>
      </c>
      <c r="F20" s="35">
        <v>5764.6988000000001</v>
      </c>
      <c r="G20" t="s">
        <v>917</v>
      </c>
      <c r="H20" t="s">
        <v>914</v>
      </c>
    </row>
    <row r="21" spans="1:8">
      <c r="A21" s="71">
        <v>46069.447153738402</v>
      </c>
      <c r="B21" t="s">
        <v>915</v>
      </c>
      <c r="C21" t="s">
        <v>32</v>
      </c>
      <c r="D21" t="s">
        <v>916</v>
      </c>
      <c r="E21" t="s">
        <v>763</v>
      </c>
      <c r="F21" s="35">
        <v>5764.6988000000001</v>
      </c>
      <c r="G21" t="s">
        <v>917</v>
      </c>
      <c r="H21" t="s">
        <v>914</v>
      </c>
    </row>
    <row r="22" spans="1:8">
      <c r="A22" s="71">
        <v>46069.447153738402</v>
      </c>
      <c r="B22" t="s">
        <v>915</v>
      </c>
      <c r="C22" t="s">
        <v>35</v>
      </c>
      <c r="D22" t="s">
        <v>916</v>
      </c>
      <c r="E22" t="s">
        <v>763</v>
      </c>
      <c r="F22" s="35">
        <v>5764.6988000000001</v>
      </c>
      <c r="G22" t="s">
        <v>917</v>
      </c>
      <c r="H22" t="s">
        <v>914</v>
      </c>
    </row>
    <row r="23" spans="1:8">
      <c r="A23" s="71">
        <v>46069.447153738402</v>
      </c>
      <c r="B23" t="s">
        <v>915</v>
      </c>
      <c r="C23" t="s">
        <v>36</v>
      </c>
      <c r="D23" t="s">
        <v>916</v>
      </c>
      <c r="E23" t="s">
        <v>763</v>
      </c>
      <c r="F23" s="35">
        <v>5764.6988000000001</v>
      </c>
      <c r="G23" t="s">
        <v>917</v>
      </c>
      <c r="H23" t="s">
        <v>914</v>
      </c>
    </row>
    <row r="24" spans="1:8">
      <c r="A24" s="71">
        <v>46069.447153738402</v>
      </c>
      <c r="B24" t="s">
        <v>915</v>
      </c>
      <c r="C24" t="s">
        <v>86</v>
      </c>
      <c r="D24" t="s">
        <v>916</v>
      </c>
      <c r="E24" t="s">
        <v>763</v>
      </c>
      <c r="F24" s="35">
        <v>5764.6988000000001</v>
      </c>
      <c r="G24" t="s">
        <v>917</v>
      </c>
      <c r="H24" t="s">
        <v>914</v>
      </c>
    </row>
    <row r="25" spans="1:8">
      <c r="A25" s="71">
        <v>46069.447153738402</v>
      </c>
      <c r="B25" t="s">
        <v>915</v>
      </c>
      <c r="C25" t="s">
        <v>89</v>
      </c>
      <c r="D25" t="s">
        <v>916</v>
      </c>
      <c r="E25" t="s">
        <v>763</v>
      </c>
      <c r="F25" s="35">
        <v>5764.6988000000001</v>
      </c>
      <c r="G25" t="s">
        <v>917</v>
      </c>
      <c r="H25" t="s">
        <v>914</v>
      </c>
    </row>
    <row r="26" spans="1:8">
      <c r="A26" s="71">
        <v>46069.447153738402</v>
      </c>
      <c r="B26" t="s">
        <v>915</v>
      </c>
      <c r="C26" t="s">
        <v>91</v>
      </c>
      <c r="D26" t="s">
        <v>916</v>
      </c>
      <c r="E26" t="s">
        <v>763</v>
      </c>
      <c r="F26" s="35">
        <v>5764.6988000000001</v>
      </c>
      <c r="G26" t="s">
        <v>917</v>
      </c>
      <c r="H26" t="s">
        <v>914</v>
      </c>
    </row>
    <row r="27" spans="1:8">
      <c r="A27" s="71">
        <v>46069.447153738402</v>
      </c>
      <c r="B27" t="s">
        <v>915</v>
      </c>
      <c r="C27" t="s">
        <v>93</v>
      </c>
      <c r="D27" t="s">
        <v>916</v>
      </c>
      <c r="E27" t="s">
        <v>763</v>
      </c>
      <c r="F27" s="35">
        <v>5764.6988000000001</v>
      </c>
      <c r="G27" t="s">
        <v>917</v>
      </c>
      <c r="H27" t="s">
        <v>914</v>
      </c>
    </row>
    <row r="28" spans="1:8">
      <c r="A28" s="71">
        <v>46069.447153738402</v>
      </c>
      <c r="B28" t="s">
        <v>915</v>
      </c>
      <c r="C28" t="s">
        <v>167</v>
      </c>
      <c r="D28" t="s">
        <v>916</v>
      </c>
      <c r="E28" t="s">
        <v>763</v>
      </c>
      <c r="F28" s="35">
        <v>5764.6988000000001</v>
      </c>
      <c r="G28" t="s">
        <v>917</v>
      </c>
      <c r="H28" t="s">
        <v>914</v>
      </c>
    </row>
    <row r="29" spans="1:8">
      <c r="A29" s="71">
        <v>46069.447153738402</v>
      </c>
      <c r="B29" t="s">
        <v>915</v>
      </c>
      <c r="C29" t="s">
        <v>169</v>
      </c>
      <c r="D29" t="s">
        <v>916</v>
      </c>
      <c r="E29" t="s">
        <v>763</v>
      </c>
      <c r="F29" s="35">
        <v>5764.6988000000001</v>
      </c>
      <c r="G29" t="s">
        <v>917</v>
      </c>
      <c r="H29" t="s">
        <v>914</v>
      </c>
    </row>
    <row r="30" spans="1:8">
      <c r="A30" s="71">
        <v>46069.447153738402</v>
      </c>
      <c r="B30" t="s">
        <v>915</v>
      </c>
      <c r="C30" t="s">
        <v>171</v>
      </c>
      <c r="D30" t="s">
        <v>916</v>
      </c>
      <c r="E30" t="s">
        <v>763</v>
      </c>
      <c r="F30" s="35">
        <v>5764.6988000000001</v>
      </c>
      <c r="G30" t="s">
        <v>917</v>
      </c>
      <c r="H30" t="s">
        <v>914</v>
      </c>
    </row>
    <row r="31" spans="1:8">
      <c r="A31" s="71">
        <v>46069.640180520801</v>
      </c>
      <c r="B31" t="s">
        <v>918</v>
      </c>
      <c r="C31" t="str">
        <f>_xlfn.TEXTAFTER(TRIM(tblComprasPM[[#This Row],[Descripcion]]), " ", -1)</f>
        <v>CD-69</v>
      </c>
      <c r="D31" t="s">
        <v>919</v>
      </c>
      <c r="E31" t="s">
        <v>762</v>
      </c>
      <c r="F31" s="35">
        <v>162393.35</v>
      </c>
      <c r="G31" t="s">
        <v>913</v>
      </c>
      <c r="H31" t="s">
        <v>914</v>
      </c>
    </row>
    <row r="32" spans="1:8">
      <c r="A32" s="71">
        <v>46070.7495109144</v>
      </c>
      <c r="B32" t="s">
        <v>920</v>
      </c>
      <c r="C32" t="str">
        <f>_xlfn.TEXTAFTER(TRIM(tblComprasPM[[#This Row],[Descripcion]]), " ", -1)</f>
        <v>CD-45</v>
      </c>
      <c r="D32" t="s">
        <v>921</v>
      </c>
      <c r="E32" t="s">
        <v>762</v>
      </c>
      <c r="F32" s="35">
        <v>108651.76</v>
      </c>
      <c r="G32" t="s">
        <v>913</v>
      </c>
      <c r="H32" t="s">
        <v>914</v>
      </c>
    </row>
    <row r="33" spans="1:8">
      <c r="A33" s="71">
        <v>46071.352886226901</v>
      </c>
      <c r="B33" t="s">
        <v>922</v>
      </c>
      <c r="C33" t="str">
        <f>_xlfn.TEXTAFTER(TRIM(tblComprasPM[[#This Row],[Descripcion]]), " ", -1)</f>
        <v>CD-45</v>
      </c>
      <c r="D33" t="s">
        <v>921</v>
      </c>
      <c r="E33" t="s">
        <v>923</v>
      </c>
      <c r="F33" s="35">
        <v>59673.74</v>
      </c>
      <c r="G33" t="s">
        <v>913</v>
      </c>
      <c r="H33" t="s">
        <v>924</v>
      </c>
    </row>
    <row r="34" spans="1:8">
      <c r="A34" s="71">
        <v>46071.627082372703</v>
      </c>
      <c r="B34" t="s">
        <v>925</v>
      </c>
      <c r="C34" t="str">
        <f>_xlfn.TEXTAFTER(TRIM(tblComprasPM[[#This Row],[Descripcion]]), " ", -1)</f>
        <v>CD-119</v>
      </c>
      <c r="D34" t="s">
        <v>926</v>
      </c>
      <c r="E34" t="s">
        <v>768</v>
      </c>
      <c r="F34" s="35">
        <v>201663.35</v>
      </c>
      <c r="G34" t="s">
        <v>913</v>
      </c>
      <c r="H34" t="s">
        <v>914</v>
      </c>
    </row>
    <row r="35" spans="1:8">
      <c r="A35" s="71">
        <v>46072.422364780097</v>
      </c>
      <c r="B35" t="s">
        <v>927</v>
      </c>
      <c r="C35" t="str">
        <f>_xlfn.TEXTAFTER(TRIM(tblComprasPM[[#This Row],[Descripcion]]), " ", -1)</f>
        <v>CD-88</v>
      </c>
      <c r="D35" t="s">
        <v>928</v>
      </c>
      <c r="E35" t="s">
        <v>768</v>
      </c>
      <c r="F35" s="35">
        <v>402316.39</v>
      </c>
      <c r="G35" t="s">
        <v>913</v>
      </c>
      <c r="H35" t="s">
        <v>914</v>
      </c>
    </row>
    <row r="36" spans="1:8">
      <c r="A36" s="71">
        <v>46072.696969097196</v>
      </c>
      <c r="B36" t="s">
        <v>929</v>
      </c>
      <c r="C36" t="str">
        <f>_xlfn.TEXTAFTER(TRIM(tblComprasPM[[#This Row],[Descripcion]]), " ", -1)</f>
        <v>MD-84</v>
      </c>
      <c r="D36" t="s">
        <v>930</v>
      </c>
      <c r="E36" t="s">
        <v>923</v>
      </c>
      <c r="F36" s="35">
        <v>456581.58</v>
      </c>
      <c r="G36" t="s">
        <v>913</v>
      </c>
      <c r="H36" t="s">
        <v>924</v>
      </c>
    </row>
    <row r="37" spans="1:8">
      <c r="A37" s="71">
        <v>46073.410563310201</v>
      </c>
      <c r="B37" t="s">
        <v>931</v>
      </c>
      <c r="C37" t="s">
        <v>19</v>
      </c>
      <c r="D37" t="s">
        <v>932</v>
      </c>
      <c r="E37" t="s">
        <v>768</v>
      </c>
      <c r="F37" s="35">
        <v>13095.53</v>
      </c>
      <c r="G37" t="s">
        <v>917</v>
      </c>
      <c r="H37" t="s">
        <v>914</v>
      </c>
    </row>
    <row r="38" spans="1:8">
      <c r="A38" s="71">
        <v>46073.410563310201</v>
      </c>
      <c r="B38" t="s">
        <v>931</v>
      </c>
      <c r="C38" t="s">
        <v>29</v>
      </c>
      <c r="D38" t="s">
        <v>932</v>
      </c>
      <c r="E38" t="s">
        <v>768</v>
      </c>
      <c r="F38" s="35">
        <v>13095.53</v>
      </c>
      <c r="G38" t="s">
        <v>917</v>
      </c>
      <c r="H38" t="s">
        <v>914</v>
      </c>
    </row>
    <row r="39" spans="1:8">
      <c r="A39" s="71">
        <v>46073.410563310201</v>
      </c>
      <c r="B39" t="s">
        <v>931</v>
      </c>
      <c r="C39" t="s">
        <v>32</v>
      </c>
      <c r="D39" t="s">
        <v>932</v>
      </c>
      <c r="E39" t="s">
        <v>768</v>
      </c>
      <c r="F39" s="35">
        <v>13095.53</v>
      </c>
      <c r="G39" t="s">
        <v>917</v>
      </c>
      <c r="H39" t="s">
        <v>914</v>
      </c>
    </row>
    <row r="40" spans="1:8">
      <c r="A40" s="71">
        <v>46073.410563310201</v>
      </c>
      <c r="B40" t="s">
        <v>931</v>
      </c>
      <c r="C40" t="s">
        <v>35</v>
      </c>
      <c r="D40" t="s">
        <v>932</v>
      </c>
      <c r="E40" t="s">
        <v>768</v>
      </c>
      <c r="F40" s="35">
        <v>13095.53</v>
      </c>
      <c r="G40" t="s">
        <v>917</v>
      </c>
      <c r="H40" t="s">
        <v>914</v>
      </c>
    </row>
    <row r="41" spans="1:8">
      <c r="A41" s="71">
        <v>46073.410563310201</v>
      </c>
      <c r="B41" t="s">
        <v>931</v>
      </c>
      <c r="C41" t="s">
        <v>36</v>
      </c>
      <c r="D41" t="s">
        <v>932</v>
      </c>
      <c r="E41" t="s">
        <v>768</v>
      </c>
      <c r="F41" s="35">
        <v>13095.53</v>
      </c>
      <c r="G41" t="s">
        <v>917</v>
      </c>
      <c r="H41" t="s">
        <v>914</v>
      </c>
    </row>
    <row r="42" spans="1:8">
      <c r="A42" s="71">
        <v>46073.410563310201</v>
      </c>
      <c r="B42" t="s">
        <v>931</v>
      </c>
      <c r="C42" t="s">
        <v>86</v>
      </c>
      <c r="D42" t="s">
        <v>932</v>
      </c>
      <c r="E42" t="s">
        <v>768</v>
      </c>
      <c r="F42" s="35">
        <v>13095.53</v>
      </c>
      <c r="G42" t="s">
        <v>917</v>
      </c>
      <c r="H42" t="s">
        <v>914</v>
      </c>
    </row>
    <row r="43" spans="1:8">
      <c r="A43" s="71">
        <v>46073.410563310201</v>
      </c>
      <c r="B43" t="s">
        <v>931</v>
      </c>
      <c r="C43" t="s">
        <v>89</v>
      </c>
      <c r="D43" t="s">
        <v>932</v>
      </c>
      <c r="E43" t="s">
        <v>768</v>
      </c>
      <c r="F43" s="35">
        <v>13095.53</v>
      </c>
      <c r="G43" t="s">
        <v>917</v>
      </c>
      <c r="H43" t="s">
        <v>914</v>
      </c>
    </row>
    <row r="44" spans="1:8">
      <c r="A44" s="71">
        <v>46073.410563310201</v>
      </c>
      <c r="B44" t="s">
        <v>931</v>
      </c>
      <c r="C44" t="s">
        <v>91</v>
      </c>
      <c r="D44" t="s">
        <v>932</v>
      </c>
      <c r="E44" t="s">
        <v>768</v>
      </c>
      <c r="F44" s="35">
        <v>13095.53</v>
      </c>
      <c r="G44" t="s">
        <v>917</v>
      </c>
      <c r="H44" t="s">
        <v>914</v>
      </c>
    </row>
    <row r="45" spans="1:8">
      <c r="A45" s="71">
        <v>46073.410563310201</v>
      </c>
      <c r="B45" t="s">
        <v>931</v>
      </c>
      <c r="C45" t="s">
        <v>93</v>
      </c>
      <c r="D45" t="s">
        <v>932</v>
      </c>
      <c r="E45" t="s">
        <v>768</v>
      </c>
      <c r="F45" s="35">
        <v>13095.53</v>
      </c>
      <c r="G45" t="s">
        <v>917</v>
      </c>
      <c r="H45" t="s">
        <v>914</v>
      </c>
    </row>
    <row r="46" spans="1:8">
      <c r="A46" s="71">
        <v>46073.410563310201</v>
      </c>
      <c r="B46" t="s">
        <v>931</v>
      </c>
      <c r="C46" t="s">
        <v>167</v>
      </c>
      <c r="D46" t="s">
        <v>932</v>
      </c>
      <c r="E46" t="s">
        <v>768</v>
      </c>
      <c r="F46" s="35">
        <v>13095.53</v>
      </c>
      <c r="G46" t="s">
        <v>917</v>
      </c>
      <c r="H46" t="s">
        <v>914</v>
      </c>
    </row>
    <row r="47" spans="1:8">
      <c r="A47" s="71">
        <v>46073.410563310201</v>
      </c>
      <c r="B47" t="s">
        <v>931</v>
      </c>
      <c r="C47" t="s">
        <v>169</v>
      </c>
      <c r="D47" t="s">
        <v>932</v>
      </c>
      <c r="E47" t="s">
        <v>768</v>
      </c>
      <c r="F47" s="35">
        <v>13095.53</v>
      </c>
      <c r="G47" t="s">
        <v>917</v>
      </c>
      <c r="H47" t="s">
        <v>914</v>
      </c>
    </row>
    <row r="48" spans="1:8">
      <c r="A48" s="71">
        <v>46073.410563310201</v>
      </c>
      <c r="B48" t="s">
        <v>931</v>
      </c>
      <c r="C48" t="s">
        <v>171</v>
      </c>
      <c r="D48" t="s">
        <v>932</v>
      </c>
      <c r="E48" t="s">
        <v>768</v>
      </c>
      <c r="F48" s="35">
        <v>13095.53</v>
      </c>
      <c r="G48" t="s">
        <v>917</v>
      </c>
      <c r="H48" t="s">
        <v>914</v>
      </c>
    </row>
    <row r="49" spans="1:8">
      <c r="A49" s="71">
        <v>46073.410563310201</v>
      </c>
      <c r="B49" t="s">
        <v>931</v>
      </c>
      <c r="C49" t="s">
        <v>173</v>
      </c>
      <c r="D49" t="s">
        <v>932</v>
      </c>
      <c r="E49" t="s">
        <v>768</v>
      </c>
      <c r="F49" s="35">
        <v>13095.53</v>
      </c>
      <c r="G49" t="s">
        <v>917</v>
      </c>
      <c r="H49" t="s">
        <v>914</v>
      </c>
    </row>
    <row r="50" spans="1:8">
      <c r="A50" s="71">
        <v>46073.410563310201</v>
      </c>
      <c r="B50" t="s">
        <v>931</v>
      </c>
      <c r="C50" t="s">
        <v>180</v>
      </c>
      <c r="D50" t="s">
        <v>932</v>
      </c>
      <c r="E50" t="s">
        <v>768</v>
      </c>
      <c r="F50" s="35">
        <v>13095.53</v>
      </c>
      <c r="G50" t="s">
        <v>917</v>
      </c>
      <c r="H50" t="s">
        <v>914</v>
      </c>
    </row>
    <row r="51" spans="1:8">
      <c r="A51" s="71">
        <v>46073.410563310201</v>
      </c>
      <c r="B51" t="s">
        <v>931</v>
      </c>
      <c r="C51" t="s">
        <v>169</v>
      </c>
      <c r="D51" t="s">
        <v>932</v>
      </c>
      <c r="E51" t="s">
        <v>768</v>
      </c>
      <c r="F51" s="35">
        <v>13095.53</v>
      </c>
      <c r="G51" t="s">
        <v>917</v>
      </c>
      <c r="H51" t="s">
        <v>914</v>
      </c>
    </row>
    <row r="52" spans="1:8">
      <c r="A52" s="71">
        <v>46073.410563310201</v>
      </c>
      <c r="B52" t="s">
        <v>931</v>
      </c>
      <c r="C52" t="s">
        <v>171</v>
      </c>
      <c r="D52" t="s">
        <v>932</v>
      </c>
      <c r="E52" t="s">
        <v>768</v>
      </c>
      <c r="F52" s="35">
        <v>13095.53</v>
      </c>
      <c r="G52" t="s">
        <v>917</v>
      </c>
      <c r="H52" t="s">
        <v>914</v>
      </c>
    </row>
    <row r="53" spans="1:8">
      <c r="A53" s="71">
        <v>46073.410563310201</v>
      </c>
      <c r="B53" t="s">
        <v>931</v>
      </c>
      <c r="C53" t="s">
        <v>173</v>
      </c>
      <c r="D53" t="s">
        <v>932</v>
      </c>
      <c r="E53" t="s">
        <v>768</v>
      </c>
      <c r="F53" s="35">
        <v>13095.53</v>
      </c>
      <c r="G53" t="s">
        <v>917</v>
      </c>
      <c r="H53" t="s">
        <v>914</v>
      </c>
    </row>
    <row r="54" spans="1:8">
      <c r="A54" s="71">
        <v>46073.523869641198</v>
      </c>
      <c r="B54" t="s">
        <v>933</v>
      </c>
      <c r="C54" t="str">
        <f>_xlfn.TEXTAFTER(TRIM(tblComprasPM[[#This Row],[Descripcion]]), " ", -1)</f>
        <v>VD-29</v>
      </c>
      <c r="D54" t="s">
        <v>934</v>
      </c>
      <c r="E54" t="s">
        <v>767</v>
      </c>
      <c r="F54" s="35">
        <v>61356.4</v>
      </c>
      <c r="G54" t="s">
        <v>913</v>
      </c>
      <c r="H54" t="s">
        <v>914</v>
      </c>
    </row>
    <row r="55" spans="1:8">
      <c r="A55" s="71">
        <v>46073.540666631998</v>
      </c>
      <c r="B55" t="s">
        <v>935</v>
      </c>
      <c r="C55" t="s">
        <v>35</v>
      </c>
      <c r="D55" t="s">
        <v>936</v>
      </c>
      <c r="E55" t="s">
        <v>937</v>
      </c>
      <c r="F55" s="35">
        <v>7700</v>
      </c>
      <c r="G55" t="s">
        <v>917</v>
      </c>
      <c r="H55" t="s">
        <v>914</v>
      </c>
    </row>
    <row r="56" spans="1:8">
      <c r="A56" s="71">
        <v>46073.540666631998</v>
      </c>
      <c r="B56" t="s">
        <v>935</v>
      </c>
      <c r="C56" t="s">
        <v>36</v>
      </c>
      <c r="D56" t="s">
        <v>936</v>
      </c>
      <c r="E56" t="s">
        <v>937</v>
      </c>
      <c r="F56" s="35">
        <v>7700</v>
      </c>
      <c r="G56" t="s">
        <v>917</v>
      </c>
      <c r="H56" t="s">
        <v>914</v>
      </c>
    </row>
    <row r="57" spans="1:8">
      <c r="A57" s="71">
        <v>46073.540666631998</v>
      </c>
      <c r="B57" t="s">
        <v>935</v>
      </c>
      <c r="C57" t="s">
        <v>86</v>
      </c>
      <c r="D57" t="s">
        <v>936</v>
      </c>
      <c r="E57" t="s">
        <v>937</v>
      </c>
      <c r="F57" s="35">
        <v>7700</v>
      </c>
      <c r="G57" t="s">
        <v>917</v>
      </c>
      <c r="H57" t="s">
        <v>914</v>
      </c>
    </row>
    <row r="58" spans="1:8">
      <c r="A58" s="71">
        <v>46073.540666631998</v>
      </c>
      <c r="B58" t="s">
        <v>935</v>
      </c>
      <c r="C58" t="s">
        <v>89</v>
      </c>
      <c r="D58" t="s">
        <v>936</v>
      </c>
      <c r="E58" t="s">
        <v>937</v>
      </c>
      <c r="F58" s="35">
        <v>7700</v>
      </c>
      <c r="G58" t="s">
        <v>917</v>
      </c>
      <c r="H58" t="s">
        <v>914</v>
      </c>
    </row>
    <row r="59" spans="1:8">
      <c r="A59" s="71">
        <v>46073.540666631998</v>
      </c>
      <c r="B59" t="s">
        <v>935</v>
      </c>
      <c r="C59" t="s">
        <v>91</v>
      </c>
      <c r="D59" t="s">
        <v>936</v>
      </c>
      <c r="E59" t="s">
        <v>937</v>
      </c>
      <c r="F59" s="35">
        <v>7700</v>
      </c>
      <c r="G59" t="s">
        <v>917</v>
      </c>
      <c r="H59" t="s">
        <v>914</v>
      </c>
    </row>
    <row r="60" spans="1:8">
      <c r="A60" s="71">
        <v>46073.540666631998</v>
      </c>
      <c r="B60" t="s">
        <v>935</v>
      </c>
      <c r="C60" t="s">
        <v>93</v>
      </c>
      <c r="D60" t="s">
        <v>936</v>
      </c>
      <c r="E60" t="s">
        <v>937</v>
      </c>
      <c r="F60" s="35">
        <v>7700</v>
      </c>
      <c r="G60" t="s">
        <v>917</v>
      </c>
      <c r="H60" t="s">
        <v>914</v>
      </c>
    </row>
    <row r="61" spans="1:8">
      <c r="A61" s="71">
        <v>46073.540666631998</v>
      </c>
      <c r="B61" t="s">
        <v>935</v>
      </c>
      <c r="C61" t="s">
        <v>167</v>
      </c>
      <c r="D61" t="s">
        <v>936</v>
      </c>
      <c r="E61" t="s">
        <v>937</v>
      </c>
      <c r="F61" s="35">
        <v>7700</v>
      </c>
      <c r="G61" t="s">
        <v>917</v>
      </c>
      <c r="H61" t="s">
        <v>914</v>
      </c>
    </row>
    <row r="62" spans="1:8">
      <c r="A62" s="71">
        <v>46073.540666631998</v>
      </c>
      <c r="B62" t="s">
        <v>935</v>
      </c>
      <c r="C62" t="s">
        <v>169</v>
      </c>
      <c r="D62" t="s">
        <v>936</v>
      </c>
      <c r="E62" t="s">
        <v>937</v>
      </c>
      <c r="F62" s="35">
        <v>7700</v>
      </c>
      <c r="G62" t="s">
        <v>917</v>
      </c>
      <c r="H62" t="s">
        <v>914</v>
      </c>
    </row>
    <row r="63" spans="1:8">
      <c r="A63" s="71">
        <v>46073.540666631998</v>
      </c>
      <c r="B63" t="s">
        <v>935</v>
      </c>
      <c r="C63" t="s">
        <v>171</v>
      </c>
      <c r="D63" t="s">
        <v>936</v>
      </c>
      <c r="E63" t="s">
        <v>937</v>
      </c>
      <c r="F63" s="35">
        <v>7700</v>
      </c>
      <c r="G63" t="s">
        <v>917</v>
      </c>
      <c r="H63" t="s">
        <v>914</v>
      </c>
    </row>
    <row r="64" spans="1:8">
      <c r="A64" s="71">
        <v>46073.540666631998</v>
      </c>
      <c r="B64" t="s">
        <v>935</v>
      </c>
      <c r="C64" t="s">
        <v>173</v>
      </c>
      <c r="D64" t="s">
        <v>936</v>
      </c>
      <c r="E64" t="s">
        <v>937</v>
      </c>
      <c r="F64" s="35">
        <v>7700</v>
      </c>
      <c r="G64" t="s">
        <v>917</v>
      </c>
      <c r="H64" t="s">
        <v>914</v>
      </c>
    </row>
    <row r="65" spans="1:8">
      <c r="A65" s="71">
        <v>46073.540666631998</v>
      </c>
      <c r="B65" t="s">
        <v>935</v>
      </c>
      <c r="C65" t="s">
        <v>180</v>
      </c>
      <c r="D65" t="s">
        <v>936</v>
      </c>
      <c r="E65" t="s">
        <v>937</v>
      </c>
      <c r="F65" s="35">
        <v>7700</v>
      </c>
      <c r="G65" t="s">
        <v>917</v>
      </c>
      <c r="H65" t="s">
        <v>914</v>
      </c>
    </row>
    <row r="66" spans="1:8">
      <c r="A66" s="71">
        <v>46073.540666631998</v>
      </c>
      <c r="B66" t="s">
        <v>935</v>
      </c>
      <c r="C66" t="s">
        <v>19</v>
      </c>
      <c r="D66" t="s">
        <v>936</v>
      </c>
      <c r="E66" t="s">
        <v>937</v>
      </c>
      <c r="F66" s="35">
        <v>7700</v>
      </c>
      <c r="G66" t="s">
        <v>917</v>
      </c>
      <c r="H66" t="s">
        <v>914</v>
      </c>
    </row>
    <row r="67" spans="1:8">
      <c r="A67" s="71">
        <v>46073.540666631998</v>
      </c>
      <c r="B67" t="s">
        <v>935</v>
      </c>
      <c r="C67" t="s">
        <v>29</v>
      </c>
      <c r="D67" t="s">
        <v>936</v>
      </c>
      <c r="E67" t="s">
        <v>937</v>
      </c>
      <c r="F67" s="35">
        <v>7700</v>
      </c>
      <c r="G67" t="s">
        <v>917</v>
      </c>
      <c r="H67" t="s">
        <v>914</v>
      </c>
    </row>
    <row r="68" spans="1:8">
      <c r="A68" s="71">
        <v>46073.540666631998</v>
      </c>
      <c r="B68" t="s">
        <v>935</v>
      </c>
      <c r="C68" t="s">
        <v>32</v>
      </c>
      <c r="D68" t="s">
        <v>936</v>
      </c>
      <c r="E68" t="s">
        <v>937</v>
      </c>
      <c r="F68" s="35">
        <v>7700</v>
      </c>
      <c r="G68" t="s">
        <v>917</v>
      </c>
      <c r="H68" t="s">
        <v>914</v>
      </c>
    </row>
    <row r="69" spans="1:8">
      <c r="A69" s="71">
        <v>46073.540666631998</v>
      </c>
      <c r="B69" t="s">
        <v>935</v>
      </c>
      <c r="C69" t="s">
        <v>35</v>
      </c>
      <c r="D69" t="s">
        <v>936</v>
      </c>
      <c r="E69" t="s">
        <v>937</v>
      </c>
      <c r="F69" s="35">
        <v>7700</v>
      </c>
      <c r="G69" t="s">
        <v>917</v>
      </c>
      <c r="H69" t="s">
        <v>914</v>
      </c>
    </row>
    <row r="70" spans="1:8">
      <c r="A70" s="71">
        <v>46073.540666631998</v>
      </c>
      <c r="B70" t="s">
        <v>935</v>
      </c>
      <c r="C70" t="s">
        <v>36</v>
      </c>
      <c r="D70" t="s">
        <v>936</v>
      </c>
      <c r="E70" t="s">
        <v>937</v>
      </c>
      <c r="F70" s="35">
        <v>7700</v>
      </c>
      <c r="G70" t="s">
        <v>917</v>
      </c>
      <c r="H70" t="s">
        <v>914</v>
      </c>
    </row>
    <row r="71" spans="1:8">
      <c r="A71" s="71">
        <v>46073.540666631998</v>
      </c>
      <c r="B71" t="s">
        <v>935</v>
      </c>
      <c r="C71" t="s">
        <v>86</v>
      </c>
      <c r="D71" t="s">
        <v>936</v>
      </c>
      <c r="E71" t="s">
        <v>937</v>
      </c>
      <c r="F71" s="35">
        <v>7700</v>
      </c>
      <c r="G71" t="s">
        <v>917</v>
      </c>
      <c r="H71" t="s">
        <v>914</v>
      </c>
    </row>
    <row r="72" spans="1:8">
      <c r="A72" s="71">
        <v>46073.685945798599</v>
      </c>
      <c r="B72" t="s">
        <v>938</v>
      </c>
      <c r="C72" t="str">
        <f>_xlfn.TEXTAFTER(TRIM(tblComprasPM[[#This Row],[Descripcion]]), " ", -1)</f>
        <v>VD-125</v>
      </c>
      <c r="D72" t="s">
        <v>939</v>
      </c>
      <c r="E72" t="s">
        <v>767</v>
      </c>
      <c r="F72" s="35">
        <v>426593.58</v>
      </c>
      <c r="G72" t="s">
        <v>913</v>
      </c>
      <c r="H72" t="s">
        <v>914</v>
      </c>
    </row>
    <row r="73" spans="1:8">
      <c r="A73" s="71">
        <v>46076.363726701398</v>
      </c>
      <c r="B73" t="s">
        <v>940</v>
      </c>
      <c r="C73" t="str">
        <f>_xlfn.TEXTAFTER(TRIM(tblComprasPM[[#This Row],[Descripcion]]), " ", -1)</f>
        <v>CD-110</v>
      </c>
      <c r="D73" t="s">
        <v>941</v>
      </c>
      <c r="E73" t="s">
        <v>763</v>
      </c>
      <c r="F73" s="35">
        <v>21301</v>
      </c>
      <c r="G73" t="s">
        <v>913</v>
      </c>
      <c r="H73" t="s">
        <v>914</v>
      </c>
    </row>
    <row r="74" spans="1:8">
      <c r="A74" s="71">
        <v>46076.407432673601</v>
      </c>
      <c r="B74" t="s">
        <v>942</v>
      </c>
      <c r="C74" t="str">
        <f>_xlfn.TEXTAFTER(TRIM(tblComprasPM[[#This Row],[Descripcion]]), " ", -1)</f>
        <v>CD-98</v>
      </c>
      <c r="D74" t="s">
        <v>943</v>
      </c>
      <c r="E74" t="s">
        <v>768</v>
      </c>
      <c r="F74" s="35">
        <v>271270.02</v>
      </c>
      <c r="G74" t="s">
        <v>913</v>
      </c>
      <c r="H74" t="s">
        <v>914</v>
      </c>
    </row>
    <row r="75" spans="1:8">
      <c r="A75" s="71">
        <v>46076.468356400503</v>
      </c>
      <c r="B75" t="s">
        <v>944</v>
      </c>
      <c r="C75" t="str">
        <f>_xlfn.TEXTAFTER(TRIM(tblComprasPM[[#This Row],[Descripcion]]), " ", -1)</f>
        <v>CD-69</v>
      </c>
      <c r="D75" t="s">
        <v>945</v>
      </c>
      <c r="E75" t="s">
        <v>763</v>
      </c>
      <c r="F75" s="35">
        <v>76299.824999999997</v>
      </c>
      <c r="G75" t="s">
        <v>913</v>
      </c>
      <c r="H75" t="s">
        <v>914</v>
      </c>
    </row>
    <row r="76" spans="1:8">
      <c r="A76" s="71">
        <v>46076.483925694498</v>
      </c>
      <c r="B76" t="s">
        <v>946</v>
      </c>
      <c r="C76" t="str">
        <f>_xlfn.TEXTAFTER(TRIM(tblComprasPM[[#This Row],[Descripcion]]), " ", -1)</f>
        <v>CD-86</v>
      </c>
      <c r="D76" t="s">
        <v>947</v>
      </c>
      <c r="E76" t="s">
        <v>763</v>
      </c>
      <c r="F76" s="35">
        <v>288199.9596</v>
      </c>
      <c r="G76" t="s">
        <v>913</v>
      </c>
      <c r="H76" t="s">
        <v>914</v>
      </c>
    </row>
    <row r="77" spans="1:8">
      <c r="A77" s="71">
        <v>46076.552599768504</v>
      </c>
      <c r="B77" t="s">
        <v>948</v>
      </c>
      <c r="C77" t="str">
        <f>_xlfn.TEXTAFTER(TRIM(tblComprasPM[[#This Row],[Descripcion]]), " ", -1)</f>
        <v>O</v>
      </c>
      <c r="D77" t="s">
        <v>949</v>
      </c>
      <c r="E77" t="s">
        <v>950</v>
      </c>
      <c r="F77" s="35">
        <v>387603.23</v>
      </c>
      <c r="G77" t="s">
        <v>913</v>
      </c>
      <c r="H77" t="s">
        <v>914</v>
      </c>
    </row>
    <row r="78" spans="1:8">
      <c r="A78" s="71">
        <v>46078.357904513898</v>
      </c>
      <c r="B78" t="s">
        <v>951</v>
      </c>
      <c r="C78" t="str">
        <f>_xlfn.TEXTAFTER(TRIM(tblComprasPM[[#This Row],[Descripcion]]), " ", -1)</f>
        <v>CD-116</v>
      </c>
      <c r="D78" t="s">
        <v>952</v>
      </c>
      <c r="E78" t="s">
        <v>763</v>
      </c>
      <c r="F78" s="35">
        <v>94000.004000000001</v>
      </c>
      <c r="G78" t="s">
        <v>913</v>
      </c>
      <c r="H78" t="s">
        <v>914</v>
      </c>
    </row>
    <row r="79" spans="1:8">
      <c r="A79" s="71">
        <v>46078.424829247699</v>
      </c>
      <c r="B79" t="s">
        <v>953</v>
      </c>
      <c r="C79" t="str">
        <f>_xlfn.TEXTAFTER(TRIM(tblComprasPM[[#This Row],[Descripcion]]), " ", -1)</f>
        <v>MD-75</v>
      </c>
      <c r="D79" t="s">
        <v>954</v>
      </c>
      <c r="E79" t="s">
        <v>762</v>
      </c>
      <c r="F79" s="35">
        <v>357653.31</v>
      </c>
      <c r="G79" t="s">
        <v>913</v>
      </c>
      <c r="H79" t="s">
        <v>914</v>
      </c>
    </row>
    <row r="80" spans="1:8">
      <c r="A80" s="71">
        <v>46078.648084178203</v>
      </c>
      <c r="B80" t="s">
        <v>955</v>
      </c>
      <c r="C80" t="str">
        <f>_xlfn.TEXTAFTER(TRIM(tblComprasPM[[#This Row],[Descripcion]]), " ", -1)</f>
        <v>MD-96</v>
      </c>
      <c r="D80" t="s">
        <v>956</v>
      </c>
      <c r="E80" t="s">
        <v>767</v>
      </c>
      <c r="F80" s="35">
        <v>258526.31</v>
      </c>
      <c r="G80" t="s">
        <v>913</v>
      </c>
      <c r="H80" t="s">
        <v>914</v>
      </c>
    </row>
    <row r="81" spans="1:8">
      <c r="A81" s="71">
        <v>46078.661368634297</v>
      </c>
      <c r="B81" t="s">
        <v>957</v>
      </c>
      <c r="C81" t="str">
        <f>_xlfn.TEXTAFTER(TRIM(tblComprasPM[[#This Row],[Descripcion]]), " ", -1)</f>
        <v>CD-71</v>
      </c>
      <c r="D81" t="s">
        <v>958</v>
      </c>
      <c r="E81" t="s">
        <v>762</v>
      </c>
      <c r="F81" s="35">
        <v>393830.5</v>
      </c>
      <c r="G81" t="s">
        <v>913</v>
      </c>
      <c r="H81" t="s">
        <v>914</v>
      </c>
    </row>
    <row r="82" spans="1:8">
      <c r="A82" s="71">
        <v>46079.431099421301</v>
      </c>
      <c r="B82" t="s">
        <v>959</v>
      </c>
      <c r="C82" t="str">
        <f>_xlfn.TEXTAFTER(TRIM(tblComprasPM[[#This Row],[Descripcion]]), " ", -1)</f>
        <v>CD-93</v>
      </c>
      <c r="D82" t="s">
        <v>960</v>
      </c>
      <c r="E82" t="s">
        <v>768</v>
      </c>
      <c r="F82" s="35">
        <v>170432.99</v>
      </c>
      <c r="G82" t="s">
        <v>913</v>
      </c>
      <c r="H82" t="s">
        <v>914</v>
      </c>
    </row>
    <row r="83" spans="1:8">
      <c r="A83" s="71">
        <v>46079.4319211806</v>
      </c>
      <c r="B83" t="s">
        <v>961</v>
      </c>
      <c r="C83" t="str">
        <f>_xlfn.TEXTAFTER(TRIM(tblComprasPM[[#This Row],[Descripcion]]), " ", -1)</f>
        <v>CD-51</v>
      </c>
      <c r="D83" t="s">
        <v>962</v>
      </c>
      <c r="E83" t="s">
        <v>768</v>
      </c>
      <c r="F83" s="35">
        <v>131994.79999999999</v>
      </c>
      <c r="G83" t="s">
        <v>913</v>
      </c>
      <c r="H83" t="s">
        <v>914</v>
      </c>
    </row>
    <row r="84" spans="1:8">
      <c r="A84" s="71">
        <v>46079.451422071797</v>
      </c>
      <c r="B84" t="s">
        <v>963</v>
      </c>
      <c r="C84" t="str">
        <f>_xlfn.TEXTAFTER(TRIM(tblComprasPM[[#This Row],[Descripcion]]), " ", -1)</f>
        <v>CD-96</v>
      </c>
      <c r="D84" t="s">
        <v>964</v>
      </c>
      <c r="E84" t="s">
        <v>763</v>
      </c>
      <c r="F84" s="35">
        <v>75899.973100000003</v>
      </c>
      <c r="G84" t="s">
        <v>913</v>
      </c>
      <c r="H84" t="s">
        <v>914</v>
      </c>
    </row>
    <row r="85" spans="1:8">
      <c r="A85" s="71">
        <v>46079.682637534701</v>
      </c>
      <c r="B85" t="s">
        <v>965</v>
      </c>
      <c r="C85" t="str">
        <f>_xlfn.TEXTAFTER(TRIM(tblComprasPM[[#This Row],[Descripcion]]), " ", -1)</f>
        <v>MD-79</v>
      </c>
      <c r="D85" t="s">
        <v>966</v>
      </c>
      <c r="E85" t="s">
        <v>763</v>
      </c>
      <c r="F85" s="35">
        <v>337399.95030000003</v>
      </c>
      <c r="G85" t="s">
        <v>913</v>
      </c>
      <c r="H85" t="s">
        <v>914</v>
      </c>
    </row>
    <row r="86" spans="1:8">
      <c r="A86" s="71">
        <v>46079.691275543999</v>
      </c>
      <c r="B86" t="s">
        <v>967</v>
      </c>
      <c r="C86" t="str">
        <f>_xlfn.TEXTAFTER(TRIM(tblComprasPM[[#This Row],[Descripcion]]), " ", -1)</f>
        <v>CD-113</v>
      </c>
      <c r="D86" t="s">
        <v>968</v>
      </c>
      <c r="E86" t="s">
        <v>763</v>
      </c>
      <c r="F86" s="35">
        <v>92199.974300000002</v>
      </c>
      <c r="G86" t="s">
        <v>913</v>
      </c>
      <c r="H86" t="s">
        <v>914</v>
      </c>
    </row>
    <row r="87" spans="1:8">
      <c r="A87" s="71">
        <v>46080.468502974501</v>
      </c>
      <c r="B87" t="s">
        <v>969</v>
      </c>
      <c r="C87" t="str">
        <f>_xlfn.TEXTAFTER(TRIM(tblComprasPM[[#This Row],[Descripcion]]), " ", -1)</f>
        <v>MD-25</v>
      </c>
      <c r="D87" t="s">
        <v>970</v>
      </c>
      <c r="E87" t="s">
        <v>762</v>
      </c>
      <c r="F87" s="35">
        <v>736402.94</v>
      </c>
      <c r="G87" t="s">
        <v>913</v>
      </c>
      <c r="H87" t="s">
        <v>914</v>
      </c>
    </row>
    <row r="88" spans="1:8">
      <c r="A88" s="71">
        <v>46083.444348263904</v>
      </c>
      <c r="B88" t="s">
        <v>971</v>
      </c>
      <c r="C88" t="str">
        <f>_xlfn.TEXTAFTER(TRIM(tblComprasPM[[#This Row],[Descripcion]]), " ", -1)</f>
        <v>MD-103</v>
      </c>
      <c r="D88" t="s">
        <v>972</v>
      </c>
      <c r="E88" t="s">
        <v>762</v>
      </c>
      <c r="F88" s="35">
        <v>263781.34999999998</v>
      </c>
      <c r="G88" t="s">
        <v>913</v>
      </c>
      <c r="H88" t="s">
        <v>914</v>
      </c>
    </row>
    <row r="89" spans="1:8">
      <c r="A89" s="71">
        <v>46083.500426041697</v>
      </c>
      <c r="B89" t="s">
        <v>973</v>
      </c>
      <c r="C89" t="str">
        <f>_xlfn.TEXTAFTER(TRIM(tblComprasPM[[#This Row],[Descripcion]]), " ", -1)</f>
        <v>MD-39</v>
      </c>
      <c r="D89" t="s">
        <v>974</v>
      </c>
      <c r="E89" t="s">
        <v>762</v>
      </c>
      <c r="F89" s="35">
        <v>237325.27</v>
      </c>
      <c r="G89" t="s">
        <v>913</v>
      </c>
      <c r="H89" t="s">
        <v>914</v>
      </c>
    </row>
    <row r="90" spans="1:8">
      <c r="A90" s="71">
        <v>46083.514697685197</v>
      </c>
      <c r="B90" t="s">
        <v>975</v>
      </c>
      <c r="C90" t="s">
        <v>19</v>
      </c>
      <c r="D90" t="s">
        <v>976</v>
      </c>
      <c r="E90" t="s">
        <v>977</v>
      </c>
      <c r="F90" s="35">
        <v>264548.7513</v>
      </c>
      <c r="G90" t="s">
        <v>913</v>
      </c>
      <c r="H90" t="s">
        <v>914</v>
      </c>
    </row>
    <row r="91" spans="1:8">
      <c r="A91" s="71">
        <v>46083.514697685197</v>
      </c>
      <c r="B91" t="s">
        <v>975</v>
      </c>
      <c r="C91" t="s">
        <v>29</v>
      </c>
      <c r="D91" t="s">
        <v>976</v>
      </c>
      <c r="E91" t="s">
        <v>977</v>
      </c>
      <c r="F91" s="35">
        <v>264548.7513</v>
      </c>
      <c r="G91" t="s">
        <v>913</v>
      </c>
      <c r="H91" t="s">
        <v>914</v>
      </c>
    </row>
    <row r="92" spans="1:8">
      <c r="A92" s="71">
        <v>46083.514697685197</v>
      </c>
      <c r="B92" t="s">
        <v>975</v>
      </c>
      <c r="C92" t="s">
        <v>167</v>
      </c>
      <c r="D92" t="s">
        <v>976</v>
      </c>
      <c r="E92" t="s">
        <v>977</v>
      </c>
      <c r="F92" s="35">
        <v>264548.7513</v>
      </c>
      <c r="G92" t="s">
        <v>913</v>
      </c>
      <c r="H92" t="s">
        <v>914</v>
      </c>
    </row>
    <row r="93" spans="1:8">
      <c r="A93" s="71">
        <v>46083.514697685197</v>
      </c>
      <c r="B93" t="s">
        <v>975</v>
      </c>
      <c r="C93" t="s">
        <v>169</v>
      </c>
      <c r="D93" t="s">
        <v>976</v>
      </c>
      <c r="E93" t="s">
        <v>977</v>
      </c>
      <c r="F93" s="35">
        <v>264548.7513</v>
      </c>
      <c r="G93" t="s">
        <v>913</v>
      </c>
      <c r="H93" t="s">
        <v>914</v>
      </c>
    </row>
    <row r="94" spans="1:8">
      <c r="A94" s="71">
        <v>46083.514697685197</v>
      </c>
      <c r="B94" t="s">
        <v>975</v>
      </c>
      <c r="C94" t="s">
        <v>171</v>
      </c>
      <c r="D94" t="s">
        <v>976</v>
      </c>
      <c r="E94" t="s">
        <v>977</v>
      </c>
      <c r="F94" s="35">
        <v>264548.7513</v>
      </c>
      <c r="G94" t="s">
        <v>913</v>
      </c>
      <c r="H94" t="s">
        <v>914</v>
      </c>
    </row>
    <row r="95" spans="1:8">
      <c r="A95" s="71">
        <v>46083.514697685197</v>
      </c>
      <c r="B95" t="s">
        <v>975</v>
      </c>
      <c r="C95" t="s">
        <v>173</v>
      </c>
      <c r="D95" t="s">
        <v>976</v>
      </c>
      <c r="E95" t="s">
        <v>977</v>
      </c>
      <c r="F95" s="35">
        <v>264548.7513</v>
      </c>
      <c r="G95" t="s">
        <v>913</v>
      </c>
      <c r="H95" t="s">
        <v>914</v>
      </c>
    </row>
    <row r="96" spans="1:8">
      <c r="A96" s="71">
        <v>46083.514697685197</v>
      </c>
      <c r="B96" t="s">
        <v>975</v>
      </c>
      <c r="C96" t="s">
        <v>180</v>
      </c>
      <c r="D96" t="s">
        <v>976</v>
      </c>
      <c r="E96" t="s">
        <v>977</v>
      </c>
      <c r="F96" s="35">
        <v>264548.7513</v>
      </c>
      <c r="G96" t="s">
        <v>913</v>
      </c>
      <c r="H96" t="s">
        <v>914</v>
      </c>
    </row>
    <row r="97" spans="1:8">
      <c r="A97" s="71">
        <v>46083.514697685197</v>
      </c>
      <c r="B97" t="s">
        <v>975</v>
      </c>
      <c r="C97" t="s">
        <v>185</v>
      </c>
      <c r="D97" t="s">
        <v>976</v>
      </c>
      <c r="E97" t="s">
        <v>977</v>
      </c>
      <c r="F97" s="35">
        <v>264548.7513</v>
      </c>
      <c r="G97" t="s">
        <v>913</v>
      </c>
      <c r="H97" t="s">
        <v>914</v>
      </c>
    </row>
    <row r="98" spans="1:8">
      <c r="A98" s="71">
        <v>46083.550651423597</v>
      </c>
      <c r="B98" t="s">
        <v>978</v>
      </c>
      <c r="C98" t="str">
        <f>_xlfn.TEXTAFTER(TRIM(tblComprasPM[[#This Row],[Descripcion]]), " ", -1)</f>
        <v>CD-122/123/</v>
      </c>
      <c r="D98" t="s">
        <v>979</v>
      </c>
      <c r="E98" t="s">
        <v>763</v>
      </c>
      <c r="F98" s="35">
        <v>26999.91</v>
      </c>
      <c r="G98" t="s">
        <v>913</v>
      </c>
      <c r="H98" t="s">
        <v>914</v>
      </c>
    </row>
    <row r="99" spans="1:8">
      <c r="A99" s="71">
        <v>46083.615776238403</v>
      </c>
      <c r="B99" t="s">
        <v>980</v>
      </c>
      <c r="C99" t="str">
        <f>_xlfn.TEXTAFTER(TRIM(tblComprasPM[[#This Row],[Descripcion]]), " ", -1)</f>
        <v>CD-94</v>
      </c>
      <c r="D99" t="s">
        <v>981</v>
      </c>
      <c r="E99" t="s">
        <v>977</v>
      </c>
      <c r="F99" s="35">
        <v>458830.68</v>
      </c>
      <c r="G99" t="s">
        <v>913</v>
      </c>
      <c r="H99" t="s">
        <v>914</v>
      </c>
    </row>
    <row r="100" spans="1:8">
      <c r="A100" s="71">
        <v>46083.669711955998</v>
      </c>
      <c r="B100" t="s">
        <v>982</v>
      </c>
      <c r="C100" t="str">
        <f>_xlfn.TEXTAFTER(TRIM(tblComprasPM[[#This Row],[Descripcion]]), " ", -1)</f>
        <v>VD-89</v>
      </c>
      <c r="D100" t="s">
        <v>983</v>
      </c>
      <c r="E100" t="s">
        <v>767</v>
      </c>
      <c r="F100" s="35">
        <v>312029.90000000002</v>
      </c>
      <c r="G100" t="s">
        <v>913</v>
      </c>
      <c r="H100" t="s">
        <v>914</v>
      </c>
    </row>
    <row r="101" spans="1:8">
      <c r="A101" s="71">
        <v>46084.554178669001</v>
      </c>
      <c r="B101" t="s">
        <v>984</v>
      </c>
      <c r="C101" t="str">
        <f>_xlfn.TEXTAFTER(TRIM(tblComprasPM[[#This Row],[Descripcion]]), " ", -1)</f>
        <v>MD-89</v>
      </c>
      <c r="D101" t="s">
        <v>985</v>
      </c>
      <c r="E101" t="s">
        <v>762</v>
      </c>
      <c r="F101" s="35">
        <v>237325.27</v>
      </c>
      <c r="G101" t="s">
        <v>913</v>
      </c>
      <c r="H101" t="s">
        <v>914</v>
      </c>
    </row>
    <row r="102" spans="1:8">
      <c r="A102" s="71">
        <v>46084.6612838773</v>
      </c>
      <c r="B102" t="s">
        <v>986</v>
      </c>
      <c r="C102" t="str">
        <f>_xlfn.TEXTAFTER(TRIM(tblComprasPM[[#This Row],[Descripcion]]), " ", -1)</f>
        <v>MD-28</v>
      </c>
      <c r="D102" t="s">
        <v>987</v>
      </c>
      <c r="E102" t="s">
        <v>762</v>
      </c>
      <c r="F102" s="35">
        <v>115923.85</v>
      </c>
      <c r="G102" t="s">
        <v>913</v>
      </c>
      <c r="H102" t="s">
        <v>914</v>
      </c>
    </row>
    <row r="103" spans="1:8">
      <c r="A103" s="71">
        <v>46084.6612838773</v>
      </c>
      <c r="B103" t="s">
        <v>986</v>
      </c>
      <c r="C103" t="str">
        <f>_xlfn.TEXTAFTER(TRIM(tblComprasPM[[#This Row],[Descripcion]]), " ", -1)</f>
        <v>MD-28</v>
      </c>
      <c r="D103" t="s">
        <v>987</v>
      </c>
      <c r="E103" t="s">
        <v>762</v>
      </c>
      <c r="F103" s="35">
        <v>115923.85</v>
      </c>
      <c r="G103" t="s">
        <v>913</v>
      </c>
      <c r="H103" t="s">
        <v>914</v>
      </c>
    </row>
    <row r="104" spans="1:8">
      <c r="A104" s="71">
        <v>46084.685665543999</v>
      </c>
      <c r="B104" t="s">
        <v>988</v>
      </c>
      <c r="C104" t="str">
        <f>_xlfn.TEXTAFTER(TRIM(tblComprasPM[[#This Row],[Descripcion]]), " ", -1)</f>
        <v>CD-14</v>
      </c>
      <c r="D104" t="s">
        <v>989</v>
      </c>
      <c r="E104" t="s">
        <v>762</v>
      </c>
      <c r="F104" s="35">
        <v>63816.13</v>
      </c>
      <c r="G104" t="s">
        <v>913</v>
      </c>
      <c r="H104" t="s">
        <v>914</v>
      </c>
    </row>
    <row r="105" spans="1:8">
      <c r="A105" s="71">
        <v>46084.6933587616</v>
      </c>
      <c r="B105" t="s">
        <v>990</v>
      </c>
      <c r="C105" t="str">
        <f>_xlfn.TEXTAFTER(TRIM(tblComprasPM[[#This Row],[Descripcion]]), " ", -1)</f>
        <v>MD-49</v>
      </c>
      <c r="D105" t="s">
        <v>991</v>
      </c>
      <c r="E105" t="s">
        <v>762</v>
      </c>
      <c r="F105" s="35">
        <v>204885.87</v>
      </c>
      <c r="G105" t="s">
        <v>913</v>
      </c>
      <c r="H105" t="s">
        <v>914</v>
      </c>
    </row>
    <row r="106" spans="1:8">
      <c r="A106" s="71">
        <v>46085.464667673601</v>
      </c>
      <c r="B106" t="s">
        <v>992</v>
      </c>
      <c r="C106" t="str">
        <f>_xlfn.TEXTAFTER(TRIM(tblComprasPM[[#This Row],[Descripcion]]), " ", -1)</f>
        <v>MD-107</v>
      </c>
      <c r="D106" t="s">
        <v>993</v>
      </c>
      <c r="E106" t="s">
        <v>767</v>
      </c>
      <c r="F106" s="35">
        <v>211515.36</v>
      </c>
      <c r="G106" t="s">
        <v>913</v>
      </c>
      <c r="H106" t="s">
        <v>914</v>
      </c>
    </row>
    <row r="107" spans="1:8">
      <c r="A107" s="71">
        <v>46085.498313113399</v>
      </c>
      <c r="B107" t="s">
        <v>994</v>
      </c>
      <c r="C107" t="str">
        <f>_xlfn.TEXTAFTER(TRIM(tblComprasPM[[#This Row],[Descripcion]]), " ", -1)</f>
        <v>MD-87</v>
      </c>
      <c r="D107" t="s">
        <v>995</v>
      </c>
      <c r="E107" t="s">
        <v>762</v>
      </c>
      <c r="F107" s="35">
        <v>450580.41</v>
      </c>
      <c r="G107" t="s">
        <v>913</v>
      </c>
      <c r="H107" t="s">
        <v>914</v>
      </c>
    </row>
    <row r="108" spans="1:8">
      <c r="A108" s="71">
        <v>46085.547314004602</v>
      </c>
      <c r="B108" t="s">
        <v>996</v>
      </c>
      <c r="C108" t="str">
        <f>_xlfn.TEXTAFTER(TRIM(tblComprasPM[[#This Row],[Descripcion]]), " ", -1)</f>
        <v>MD-26</v>
      </c>
      <c r="D108" t="s">
        <v>997</v>
      </c>
      <c r="E108" t="s">
        <v>762</v>
      </c>
      <c r="F108" s="35">
        <v>496871.41</v>
      </c>
      <c r="G108" t="s">
        <v>913</v>
      </c>
      <c r="H108" t="s">
        <v>914</v>
      </c>
    </row>
    <row r="109" spans="1:8">
      <c r="A109" s="71">
        <v>46085.559944872701</v>
      </c>
      <c r="B109" t="s">
        <v>998</v>
      </c>
      <c r="C109" t="str">
        <f>_xlfn.TEXTAFTER(TRIM(tblComprasPM[[#This Row],[Descripcion]]), " ", -1)</f>
        <v>MD-73</v>
      </c>
      <c r="D109" t="s">
        <v>999</v>
      </c>
      <c r="E109" t="s">
        <v>762</v>
      </c>
      <c r="F109" s="35">
        <v>289773.33</v>
      </c>
      <c r="G109" t="s">
        <v>913</v>
      </c>
      <c r="H109" t="s">
        <v>914</v>
      </c>
    </row>
    <row r="110" spans="1:8">
      <c r="A110" s="71">
        <v>46085.626711226898</v>
      </c>
      <c r="B110" t="s">
        <v>1000</v>
      </c>
      <c r="C110" t="str">
        <f>_xlfn.TEXTAFTER(TRIM(tblComprasPM[[#This Row],[Descripcion]]), " ", -1)</f>
        <v>CD-100</v>
      </c>
      <c r="D110" t="s">
        <v>1001</v>
      </c>
      <c r="E110" t="s">
        <v>762</v>
      </c>
      <c r="F110" s="35">
        <v>199255.98</v>
      </c>
      <c r="G110" t="s">
        <v>913</v>
      </c>
      <c r="H110" t="s">
        <v>914</v>
      </c>
    </row>
    <row r="111" spans="1:8">
      <c r="A111" s="71">
        <v>46085.664697835702</v>
      </c>
      <c r="B111" t="s">
        <v>1002</v>
      </c>
      <c r="C111" t="str">
        <f>_xlfn.TEXTAFTER(TRIM(tblComprasPM[[#This Row],[Descripcion]]), " ", -1)</f>
        <v>MD-100</v>
      </c>
      <c r="D111" t="s">
        <v>1003</v>
      </c>
      <c r="E111" t="s">
        <v>767</v>
      </c>
      <c r="F111" s="35">
        <v>360956.75</v>
      </c>
      <c r="G111" t="s">
        <v>913</v>
      </c>
      <c r="H111" t="s">
        <v>914</v>
      </c>
    </row>
    <row r="112" spans="1:8">
      <c r="A112" s="71">
        <v>46086.416198495397</v>
      </c>
      <c r="B112" t="s">
        <v>1004</v>
      </c>
      <c r="C112" t="s">
        <v>606</v>
      </c>
      <c r="D112" t="s">
        <v>1005</v>
      </c>
      <c r="E112" t="s">
        <v>763</v>
      </c>
      <c r="F112" s="35">
        <v>18800.036499999998</v>
      </c>
      <c r="G112" t="s">
        <v>913</v>
      </c>
      <c r="H112" t="s">
        <v>914</v>
      </c>
    </row>
    <row r="113" spans="1:8">
      <c r="A113" s="71">
        <v>46086.422014780102</v>
      </c>
      <c r="B113" t="s">
        <v>1006</v>
      </c>
      <c r="C113" t="s">
        <v>307</v>
      </c>
      <c r="D113" t="s">
        <v>1007</v>
      </c>
      <c r="E113" t="s">
        <v>763</v>
      </c>
      <c r="F113" s="35">
        <v>26999.91</v>
      </c>
      <c r="G113" t="s">
        <v>913</v>
      </c>
      <c r="H113" t="s">
        <v>914</v>
      </c>
    </row>
    <row r="114" spans="1:8">
      <c r="A114" s="71">
        <v>46086.422014780102</v>
      </c>
      <c r="B114" t="s">
        <v>1006</v>
      </c>
      <c r="C114" t="str">
        <f>_xlfn.TEXTAFTER(TRIM(tblComprasPM[[#This Row],[Descripcion]]), " ", -1)</f>
        <v>MD-107</v>
      </c>
      <c r="D114" t="s">
        <v>1007</v>
      </c>
      <c r="E114" t="s">
        <v>763</v>
      </c>
      <c r="F114" s="35">
        <v>26999.91</v>
      </c>
      <c r="G114" t="s">
        <v>913</v>
      </c>
      <c r="H114" t="s">
        <v>914</v>
      </c>
    </row>
    <row r="115" spans="1:8">
      <c r="A115" s="71">
        <v>46086.516942939801</v>
      </c>
      <c r="B115" t="s">
        <v>1008</v>
      </c>
      <c r="C115" t="str">
        <f>_xlfn.TEXTAFTER(TRIM(tblComprasPM[[#This Row],[Descripcion]]), " ", -1)</f>
        <v>VD-138</v>
      </c>
      <c r="D115" t="s">
        <v>1009</v>
      </c>
      <c r="E115" t="s">
        <v>767</v>
      </c>
      <c r="F115" s="35">
        <v>300335.77</v>
      </c>
      <c r="G115" t="s">
        <v>913</v>
      </c>
      <c r="H115" t="s">
        <v>914</v>
      </c>
    </row>
    <row r="116" spans="1:8">
      <c r="A116" s="71">
        <v>46086.626455555597</v>
      </c>
      <c r="B116" t="s">
        <v>1010</v>
      </c>
      <c r="C116" t="str">
        <f>_xlfn.TEXTAFTER(TRIM(tblComprasPM[[#This Row],[Descripcion]]), " ", -1)</f>
        <v>VD-38</v>
      </c>
      <c r="D116" t="s">
        <v>1011</v>
      </c>
      <c r="E116" t="s">
        <v>763</v>
      </c>
      <c r="F116" s="35">
        <v>40499.972099999999</v>
      </c>
      <c r="G116" t="s">
        <v>913</v>
      </c>
      <c r="H116" t="s">
        <v>914</v>
      </c>
    </row>
    <row r="117" spans="1:8">
      <c r="A117" s="71">
        <v>46086.684334803198</v>
      </c>
      <c r="B117" t="s">
        <v>1012</v>
      </c>
      <c r="C117" t="str">
        <f>_xlfn.TEXTAFTER(TRIM(tblComprasPM[[#This Row],[Descripcion]]), " ", -1)</f>
        <v>MD-82</v>
      </c>
      <c r="D117" t="s">
        <v>1013</v>
      </c>
      <c r="E117" t="s">
        <v>762</v>
      </c>
      <c r="F117" s="35">
        <v>321247.64</v>
      </c>
      <c r="G117" t="s">
        <v>913</v>
      </c>
      <c r="H117" t="s">
        <v>914</v>
      </c>
    </row>
    <row r="118" spans="1:8">
      <c r="A118" s="71">
        <v>46086.696630439801</v>
      </c>
      <c r="B118" t="s">
        <v>1014</v>
      </c>
      <c r="C118" t="str">
        <f>_xlfn.TEXTAFTER(TRIM(tblComprasPM[[#This Row],[Descripcion]]), " ", -1)</f>
        <v>MD-105</v>
      </c>
      <c r="D118" t="s">
        <v>1015</v>
      </c>
      <c r="E118" t="s">
        <v>762</v>
      </c>
      <c r="F118" s="35">
        <v>255083.64</v>
      </c>
      <c r="G118" t="s">
        <v>913</v>
      </c>
      <c r="H118" t="s">
        <v>914</v>
      </c>
    </row>
    <row r="119" spans="1:8">
      <c r="A119" s="71">
        <v>46086.701264432901</v>
      </c>
      <c r="B119" t="s">
        <v>1016</v>
      </c>
      <c r="C119" t="str">
        <f>_xlfn.TEXTAFTER(TRIM(tblComprasPM[[#This Row],[Descripcion]]), " ", -1)</f>
        <v>MD-76</v>
      </c>
      <c r="D119" t="s">
        <v>1017</v>
      </c>
      <c r="E119" t="s">
        <v>762</v>
      </c>
      <c r="F119" s="35">
        <v>283936.38</v>
      </c>
      <c r="G119" t="s">
        <v>913</v>
      </c>
      <c r="H119" t="s">
        <v>914</v>
      </c>
    </row>
    <row r="120" spans="1:8">
      <c r="A120" s="71">
        <v>46086.705769826403</v>
      </c>
      <c r="B120" t="s">
        <v>1018</v>
      </c>
      <c r="C120" t="str">
        <f>_xlfn.TEXTAFTER(TRIM(tblComprasPM[[#This Row],[Descripcion]]), " ", -1)</f>
        <v>CD-127</v>
      </c>
      <c r="D120" t="s">
        <v>1019</v>
      </c>
      <c r="E120" t="s">
        <v>762</v>
      </c>
      <c r="F120" s="35">
        <v>222792.99</v>
      </c>
      <c r="G120" t="s">
        <v>913</v>
      </c>
      <c r="H120" t="s">
        <v>914</v>
      </c>
    </row>
    <row r="121" spans="1:8">
      <c r="A121" s="71">
        <v>46086.710126585698</v>
      </c>
      <c r="B121" t="s">
        <v>1020</v>
      </c>
      <c r="C121" t="str">
        <f>_xlfn.TEXTAFTER(TRIM(tblComprasPM[[#This Row],[Descripcion]]), " ", -1)</f>
        <v>MD-95</v>
      </c>
      <c r="D121" t="s">
        <v>1021</v>
      </c>
      <c r="E121" t="s">
        <v>762</v>
      </c>
      <c r="F121" s="35">
        <v>133882.14000000001</v>
      </c>
      <c r="G121" t="s">
        <v>913</v>
      </c>
      <c r="H121" t="s">
        <v>914</v>
      </c>
    </row>
    <row r="122" spans="1:8">
      <c r="A122" s="71">
        <v>46086.750033020799</v>
      </c>
      <c r="B122" t="s">
        <v>1022</v>
      </c>
      <c r="C122" t="str">
        <f>_xlfn.TEXTAFTER(TRIM(tblComprasPM[[#This Row],[Descripcion]]), " ", -1)</f>
        <v>MD-85</v>
      </c>
      <c r="D122" t="s">
        <v>1023</v>
      </c>
      <c r="E122" t="s">
        <v>762</v>
      </c>
      <c r="F122" s="35">
        <v>206424.54</v>
      </c>
      <c r="G122" t="s">
        <v>913</v>
      </c>
      <c r="H122" t="s">
        <v>914</v>
      </c>
    </row>
    <row r="123" spans="1:8">
      <c r="A123" s="71">
        <v>46087.498166435202</v>
      </c>
      <c r="B123" t="s">
        <v>1024</v>
      </c>
      <c r="C123" t="s">
        <v>485</v>
      </c>
      <c r="D123" s="50" t="s">
        <v>1025</v>
      </c>
      <c r="E123" t="s">
        <v>950</v>
      </c>
      <c r="F123" s="35">
        <v>506350.95</v>
      </c>
      <c r="G123" t="s">
        <v>913</v>
      </c>
      <c r="H123" t="s">
        <v>914</v>
      </c>
    </row>
    <row r="124" spans="1:8">
      <c r="A124" s="71">
        <v>46091.371380127297</v>
      </c>
      <c r="B124" t="s">
        <v>1026</v>
      </c>
      <c r="C124" t="str">
        <f>_xlfn.TEXTAFTER(TRIM(tblComprasPM[[#This Row],[Descripcion]]), " ", -1)</f>
        <v>EQP-7</v>
      </c>
      <c r="D124" t="s">
        <v>1027</v>
      </c>
      <c r="E124" t="s">
        <v>762</v>
      </c>
      <c r="F124" s="35">
        <v>111593.44</v>
      </c>
      <c r="G124" t="s">
        <v>913</v>
      </c>
      <c r="H124" t="s">
        <v>914</v>
      </c>
    </row>
    <row r="125" spans="1:8">
      <c r="A125" s="71">
        <v>46091.475044826402</v>
      </c>
      <c r="B125" t="s">
        <v>1028</v>
      </c>
      <c r="C125" t="str">
        <f>_xlfn.TEXTAFTER(TRIM(tblComprasPM[[#This Row],[Descripcion]]), " ", -1)</f>
        <v>ED-61</v>
      </c>
      <c r="D125" t="s">
        <v>1029</v>
      </c>
      <c r="E125" t="s">
        <v>763</v>
      </c>
      <c r="F125" s="35">
        <v>31799.977299999999</v>
      </c>
      <c r="G125" t="s">
        <v>913</v>
      </c>
      <c r="H125" t="s">
        <v>914</v>
      </c>
    </row>
    <row r="126" spans="1:8">
      <c r="A126" s="71">
        <v>46092.556124456001</v>
      </c>
      <c r="B126" t="s">
        <v>1030</v>
      </c>
      <c r="C126" t="str">
        <f>_xlfn.TEXTAFTER(TRIM(tblComprasPM[[#This Row],[Descripcion]]), " ", -1)</f>
        <v>EQP-7</v>
      </c>
      <c r="D126" t="s">
        <v>1031</v>
      </c>
      <c r="E126" t="s">
        <v>762</v>
      </c>
      <c r="F126" s="35">
        <v>119511.7</v>
      </c>
      <c r="G126" t="s">
        <v>913</v>
      </c>
      <c r="H126" t="s">
        <v>914</v>
      </c>
    </row>
    <row r="127" spans="1:8">
      <c r="A127" s="71">
        <v>46093.364912696801</v>
      </c>
      <c r="B127" t="s">
        <v>1032</v>
      </c>
      <c r="C127" t="str">
        <f>_xlfn.TEXTAFTER(TRIM(tblComprasPM[[#This Row],[Descripcion]]), " ", -1)</f>
        <v>CD-119</v>
      </c>
      <c r="D127" t="s">
        <v>1033</v>
      </c>
      <c r="E127" t="s">
        <v>768</v>
      </c>
      <c r="F127" s="35">
        <v>170432.99</v>
      </c>
      <c r="G127" t="s">
        <v>913</v>
      </c>
      <c r="H127" t="s">
        <v>914</v>
      </c>
    </row>
    <row r="128" spans="1:8">
      <c r="A128" s="71">
        <v>46093.447327395799</v>
      </c>
      <c r="B128" t="s">
        <v>1034</v>
      </c>
      <c r="C128" t="s">
        <v>89</v>
      </c>
      <c r="D128" t="s">
        <v>1035</v>
      </c>
      <c r="E128" t="s">
        <v>763</v>
      </c>
      <c r="F128" s="35">
        <v>6023.5280000000002</v>
      </c>
      <c r="G128" t="s">
        <v>917</v>
      </c>
      <c r="H128" t="s">
        <v>914</v>
      </c>
    </row>
    <row r="129" spans="1:8">
      <c r="A129" s="71">
        <v>46093.447327395799</v>
      </c>
      <c r="B129" t="s">
        <v>1034</v>
      </c>
      <c r="C129" t="s">
        <v>91</v>
      </c>
      <c r="D129" t="s">
        <v>1035</v>
      </c>
      <c r="E129" t="s">
        <v>763</v>
      </c>
      <c r="F129" s="35">
        <v>6023.5280000000002</v>
      </c>
      <c r="G129" t="s">
        <v>917</v>
      </c>
      <c r="H129" t="s">
        <v>914</v>
      </c>
    </row>
    <row r="130" spans="1:8">
      <c r="A130" s="71">
        <v>46093.447327395799</v>
      </c>
      <c r="B130" t="s">
        <v>1034</v>
      </c>
      <c r="C130" t="s">
        <v>93</v>
      </c>
      <c r="D130" t="s">
        <v>1035</v>
      </c>
      <c r="E130" t="s">
        <v>763</v>
      </c>
      <c r="F130" s="35">
        <v>6023.5280000000002</v>
      </c>
      <c r="G130" t="s">
        <v>917</v>
      </c>
      <c r="H130" t="s">
        <v>914</v>
      </c>
    </row>
    <row r="131" spans="1:8">
      <c r="A131" s="71">
        <v>46093.447327395799</v>
      </c>
      <c r="B131" t="s">
        <v>1034</v>
      </c>
      <c r="C131" t="s">
        <v>167</v>
      </c>
      <c r="D131" t="s">
        <v>1035</v>
      </c>
      <c r="E131" t="s">
        <v>763</v>
      </c>
      <c r="F131" s="35">
        <v>6023.5280000000002</v>
      </c>
      <c r="G131" t="s">
        <v>917</v>
      </c>
      <c r="H131" t="s">
        <v>914</v>
      </c>
    </row>
    <row r="132" spans="1:8">
      <c r="A132" s="71">
        <v>46093.447327395799</v>
      </c>
      <c r="B132" t="s">
        <v>1034</v>
      </c>
      <c r="C132" t="s">
        <v>169</v>
      </c>
      <c r="D132" t="s">
        <v>1035</v>
      </c>
      <c r="E132" t="s">
        <v>763</v>
      </c>
      <c r="F132" s="35">
        <v>6023.5280000000002</v>
      </c>
      <c r="G132" t="s">
        <v>917</v>
      </c>
      <c r="H132" t="s">
        <v>914</v>
      </c>
    </row>
    <row r="133" spans="1:8">
      <c r="A133" s="71">
        <v>46093.447327395799</v>
      </c>
      <c r="B133" t="s">
        <v>1034</v>
      </c>
      <c r="C133" t="s">
        <v>171</v>
      </c>
      <c r="D133" t="s">
        <v>1035</v>
      </c>
      <c r="E133" t="s">
        <v>763</v>
      </c>
      <c r="F133" s="35">
        <v>6023.5280000000002</v>
      </c>
      <c r="G133" t="s">
        <v>917</v>
      </c>
      <c r="H133" t="s">
        <v>914</v>
      </c>
    </row>
    <row r="134" spans="1:8">
      <c r="A134" s="71">
        <v>46093.447327395799</v>
      </c>
      <c r="B134" t="s">
        <v>1034</v>
      </c>
      <c r="C134" t="s">
        <v>173</v>
      </c>
      <c r="D134" t="s">
        <v>1035</v>
      </c>
      <c r="E134" t="s">
        <v>763</v>
      </c>
      <c r="F134" s="35">
        <v>6023.5280000000002</v>
      </c>
      <c r="G134" t="s">
        <v>917</v>
      </c>
      <c r="H134" t="s">
        <v>914</v>
      </c>
    </row>
    <row r="135" spans="1:8">
      <c r="A135" s="71">
        <v>46093.447327395799</v>
      </c>
      <c r="B135" t="s">
        <v>1034</v>
      </c>
      <c r="C135" t="s">
        <v>180</v>
      </c>
      <c r="D135" t="s">
        <v>1035</v>
      </c>
      <c r="E135" t="s">
        <v>763</v>
      </c>
      <c r="F135" s="35">
        <v>6023.5280000000002</v>
      </c>
      <c r="G135" t="s">
        <v>917</v>
      </c>
      <c r="H135" t="s">
        <v>914</v>
      </c>
    </row>
    <row r="136" spans="1:8">
      <c r="A136" s="71">
        <v>46093.447327395799</v>
      </c>
      <c r="B136" t="s">
        <v>1034</v>
      </c>
      <c r="C136" t="s">
        <v>19</v>
      </c>
      <c r="D136" t="s">
        <v>1035</v>
      </c>
      <c r="E136" t="s">
        <v>763</v>
      </c>
      <c r="F136" s="35">
        <v>6023.5280000000002</v>
      </c>
      <c r="G136" t="s">
        <v>917</v>
      </c>
      <c r="H136" t="s">
        <v>914</v>
      </c>
    </row>
    <row r="137" spans="1:8">
      <c r="A137" s="71">
        <v>46093.447327395799</v>
      </c>
      <c r="B137" t="s">
        <v>1034</v>
      </c>
      <c r="C137" t="s">
        <v>29</v>
      </c>
      <c r="D137" t="s">
        <v>1035</v>
      </c>
      <c r="E137" t="s">
        <v>763</v>
      </c>
      <c r="F137" s="35">
        <v>6023.5280000000002</v>
      </c>
      <c r="G137" t="s">
        <v>917</v>
      </c>
      <c r="H137" t="s">
        <v>914</v>
      </c>
    </row>
    <row r="138" spans="1:8">
      <c r="A138" s="71">
        <v>46093.447327395799</v>
      </c>
      <c r="B138" t="s">
        <v>1034</v>
      </c>
      <c r="C138" t="s">
        <v>32</v>
      </c>
      <c r="D138" t="s">
        <v>1035</v>
      </c>
      <c r="E138" t="s">
        <v>763</v>
      </c>
      <c r="F138" s="35">
        <v>6023.5280000000002</v>
      </c>
      <c r="G138" t="s">
        <v>917</v>
      </c>
      <c r="H138" t="s">
        <v>914</v>
      </c>
    </row>
    <row r="139" spans="1:8">
      <c r="A139" s="71">
        <v>46093.447327395799</v>
      </c>
      <c r="B139" t="s">
        <v>1034</v>
      </c>
      <c r="C139" t="s">
        <v>35</v>
      </c>
      <c r="D139" t="s">
        <v>1035</v>
      </c>
      <c r="E139" t="s">
        <v>763</v>
      </c>
      <c r="F139" s="35">
        <v>6023.5280000000002</v>
      </c>
      <c r="G139" t="s">
        <v>917</v>
      </c>
      <c r="H139" t="s">
        <v>914</v>
      </c>
    </row>
    <row r="140" spans="1:8">
      <c r="A140" s="71">
        <v>46093.447327395799</v>
      </c>
      <c r="B140" t="s">
        <v>1034</v>
      </c>
      <c r="C140" t="s">
        <v>36</v>
      </c>
      <c r="D140" t="s">
        <v>1035</v>
      </c>
      <c r="E140" t="s">
        <v>763</v>
      </c>
      <c r="F140" s="35">
        <v>6023.5280000000002</v>
      </c>
      <c r="G140" t="s">
        <v>917</v>
      </c>
      <c r="H140" t="s">
        <v>914</v>
      </c>
    </row>
    <row r="141" spans="1:8">
      <c r="A141" s="71">
        <v>46093.447327395799</v>
      </c>
      <c r="B141" t="s">
        <v>1034</v>
      </c>
      <c r="C141" t="s">
        <v>86</v>
      </c>
      <c r="D141" t="s">
        <v>1035</v>
      </c>
      <c r="E141" t="s">
        <v>763</v>
      </c>
      <c r="F141" s="35">
        <v>6023.5280000000002</v>
      </c>
      <c r="G141" t="s">
        <v>917</v>
      </c>
      <c r="H141" t="s">
        <v>914</v>
      </c>
    </row>
    <row r="142" spans="1:8">
      <c r="A142" s="71">
        <v>46093.447327395799</v>
      </c>
      <c r="B142" t="s">
        <v>1034</v>
      </c>
      <c r="C142" t="s">
        <v>89</v>
      </c>
      <c r="D142" t="s">
        <v>1035</v>
      </c>
      <c r="E142" t="s">
        <v>763</v>
      </c>
      <c r="F142" s="35">
        <v>6023.5280000000002</v>
      </c>
      <c r="G142" t="s">
        <v>917</v>
      </c>
      <c r="H142" t="s">
        <v>914</v>
      </c>
    </row>
    <row r="143" spans="1:8">
      <c r="A143" s="71">
        <v>46093.447327395799</v>
      </c>
      <c r="B143" t="s">
        <v>1034</v>
      </c>
      <c r="C143" t="s">
        <v>91</v>
      </c>
      <c r="D143" t="s">
        <v>1035</v>
      </c>
      <c r="E143" t="s">
        <v>763</v>
      </c>
      <c r="F143" s="35">
        <v>6023.5280000000002</v>
      </c>
      <c r="G143" t="s">
        <v>917</v>
      </c>
      <c r="H143" t="s">
        <v>914</v>
      </c>
    </row>
    <row r="144" spans="1:8">
      <c r="A144" s="71">
        <v>46093.447327395799</v>
      </c>
      <c r="B144" t="s">
        <v>1034</v>
      </c>
      <c r="C144" t="s">
        <v>93</v>
      </c>
      <c r="D144" t="s">
        <v>1035</v>
      </c>
      <c r="E144" t="s">
        <v>763</v>
      </c>
      <c r="F144" s="35">
        <v>6023.5280000000002</v>
      </c>
      <c r="G144" t="s">
        <v>917</v>
      </c>
      <c r="H144" t="s">
        <v>914</v>
      </c>
    </row>
    <row r="145" spans="1:8">
      <c r="A145" s="71">
        <v>46093.460116550901</v>
      </c>
      <c r="B145" t="s">
        <v>1036</v>
      </c>
      <c r="C145" t="s">
        <v>19</v>
      </c>
      <c r="D145" t="s">
        <v>1037</v>
      </c>
      <c r="E145" t="s">
        <v>763</v>
      </c>
      <c r="F145" s="35">
        <v>8847.0535999999993</v>
      </c>
      <c r="G145" t="s">
        <v>917</v>
      </c>
      <c r="H145" t="s">
        <v>914</v>
      </c>
    </row>
    <row r="146" spans="1:8">
      <c r="A146" s="71">
        <v>46093.460116550901</v>
      </c>
      <c r="B146" t="s">
        <v>1036</v>
      </c>
      <c r="C146" t="s">
        <v>29</v>
      </c>
      <c r="D146" t="s">
        <v>1037</v>
      </c>
      <c r="E146" t="s">
        <v>763</v>
      </c>
      <c r="F146" s="35">
        <v>8847.0535999999993</v>
      </c>
      <c r="G146" t="s">
        <v>917</v>
      </c>
      <c r="H146" t="s">
        <v>914</v>
      </c>
    </row>
    <row r="147" spans="1:8">
      <c r="A147" s="71">
        <v>46093.460116550901</v>
      </c>
      <c r="B147" t="s">
        <v>1036</v>
      </c>
      <c r="C147" t="s">
        <v>32</v>
      </c>
      <c r="D147" t="s">
        <v>1037</v>
      </c>
      <c r="E147" t="s">
        <v>763</v>
      </c>
      <c r="F147" s="35">
        <v>8847.0535999999993</v>
      </c>
      <c r="G147" t="s">
        <v>917</v>
      </c>
      <c r="H147" t="s">
        <v>914</v>
      </c>
    </row>
    <row r="148" spans="1:8">
      <c r="A148" s="71">
        <v>46093.460116550901</v>
      </c>
      <c r="B148" t="s">
        <v>1036</v>
      </c>
      <c r="C148" t="s">
        <v>35</v>
      </c>
      <c r="D148" t="s">
        <v>1037</v>
      </c>
      <c r="E148" t="s">
        <v>763</v>
      </c>
      <c r="F148" s="35">
        <v>8847.0535999999993</v>
      </c>
      <c r="G148" t="s">
        <v>917</v>
      </c>
      <c r="H148" t="s">
        <v>914</v>
      </c>
    </row>
    <row r="149" spans="1:8">
      <c r="A149" s="71">
        <v>46093.460116550901</v>
      </c>
      <c r="B149" t="s">
        <v>1036</v>
      </c>
      <c r="C149" t="s">
        <v>36</v>
      </c>
      <c r="D149" t="s">
        <v>1037</v>
      </c>
      <c r="E149" t="s">
        <v>763</v>
      </c>
      <c r="F149" s="35">
        <v>8847.0535999999993</v>
      </c>
      <c r="G149" t="s">
        <v>917</v>
      </c>
      <c r="H149" t="s">
        <v>914</v>
      </c>
    </row>
    <row r="150" spans="1:8">
      <c r="A150" s="71">
        <v>46093.460116550901</v>
      </c>
      <c r="B150" t="s">
        <v>1036</v>
      </c>
      <c r="C150" t="s">
        <v>86</v>
      </c>
      <c r="D150" t="s">
        <v>1037</v>
      </c>
      <c r="E150" t="s">
        <v>763</v>
      </c>
      <c r="F150" s="35">
        <v>8847.0535999999993</v>
      </c>
      <c r="G150" t="s">
        <v>917</v>
      </c>
      <c r="H150" t="s">
        <v>914</v>
      </c>
    </row>
    <row r="151" spans="1:8">
      <c r="A151" s="71">
        <v>46093.460116550901</v>
      </c>
      <c r="B151" t="s">
        <v>1036</v>
      </c>
      <c r="C151" t="s">
        <v>89</v>
      </c>
      <c r="D151" t="s">
        <v>1037</v>
      </c>
      <c r="E151" t="s">
        <v>763</v>
      </c>
      <c r="F151" s="35">
        <v>8847.0535999999993</v>
      </c>
      <c r="G151" t="s">
        <v>917</v>
      </c>
      <c r="H151" t="s">
        <v>914</v>
      </c>
    </row>
    <row r="152" spans="1:8">
      <c r="A152" s="71">
        <v>46093.460116550901</v>
      </c>
      <c r="B152" t="s">
        <v>1036</v>
      </c>
      <c r="C152" t="s">
        <v>91</v>
      </c>
      <c r="D152" t="s">
        <v>1037</v>
      </c>
      <c r="E152" t="s">
        <v>763</v>
      </c>
      <c r="F152" s="35">
        <v>8847.0535999999993</v>
      </c>
      <c r="G152" t="s">
        <v>917</v>
      </c>
      <c r="H152" t="s">
        <v>914</v>
      </c>
    </row>
    <row r="153" spans="1:8">
      <c r="A153" s="71">
        <v>46093.460116550901</v>
      </c>
      <c r="B153" t="s">
        <v>1036</v>
      </c>
      <c r="C153" t="s">
        <v>93</v>
      </c>
      <c r="D153" t="s">
        <v>1037</v>
      </c>
      <c r="E153" t="s">
        <v>763</v>
      </c>
      <c r="F153" s="35">
        <v>8847.0535999999993</v>
      </c>
      <c r="G153" t="s">
        <v>917</v>
      </c>
      <c r="H153" t="s">
        <v>914</v>
      </c>
    </row>
    <row r="154" spans="1:8">
      <c r="A154" s="71">
        <v>46093.460116550901</v>
      </c>
      <c r="B154" t="s">
        <v>1036</v>
      </c>
      <c r="C154" t="s">
        <v>167</v>
      </c>
      <c r="D154" t="s">
        <v>1037</v>
      </c>
      <c r="E154" t="s">
        <v>763</v>
      </c>
      <c r="F154" s="35">
        <v>8847.0535999999993</v>
      </c>
      <c r="G154" t="s">
        <v>917</v>
      </c>
      <c r="H154" t="s">
        <v>914</v>
      </c>
    </row>
    <row r="155" spans="1:8">
      <c r="A155" s="71">
        <v>46093.460116550901</v>
      </c>
      <c r="B155" t="s">
        <v>1036</v>
      </c>
      <c r="C155" t="s">
        <v>169</v>
      </c>
      <c r="D155" t="s">
        <v>1037</v>
      </c>
      <c r="E155" t="s">
        <v>763</v>
      </c>
      <c r="F155" s="35">
        <v>8847.0535999999993</v>
      </c>
      <c r="G155" t="s">
        <v>917</v>
      </c>
      <c r="H155" t="s">
        <v>914</v>
      </c>
    </row>
    <row r="156" spans="1:8">
      <c r="A156" s="71">
        <v>46093.460116550901</v>
      </c>
      <c r="B156" t="s">
        <v>1036</v>
      </c>
      <c r="C156" t="s">
        <v>171</v>
      </c>
      <c r="D156" t="s">
        <v>1037</v>
      </c>
      <c r="E156" t="s">
        <v>763</v>
      </c>
      <c r="F156" s="35">
        <v>8847.0535999999993</v>
      </c>
      <c r="G156" t="s">
        <v>917</v>
      </c>
      <c r="H156" t="s">
        <v>914</v>
      </c>
    </row>
    <row r="157" spans="1:8">
      <c r="A157" s="71">
        <v>46093.460116550901</v>
      </c>
      <c r="B157" t="s">
        <v>1036</v>
      </c>
      <c r="C157" t="s">
        <v>173</v>
      </c>
      <c r="D157" t="s">
        <v>1037</v>
      </c>
      <c r="E157" t="s">
        <v>763</v>
      </c>
      <c r="F157" s="35">
        <v>8847.0535999999993</v>
      </c>
      <c r="G157" t="s">
        <v>917</v>
      </c>
      <c r="H157" t="s">
        <v>914</v>
      </c>
    </row>
    <row r="158" spans="1:8">
      <c r="A158" s="71">
        <v>46093.460116550901</v>
      </c>
      <c r="B158" t="s">
        <v>1036</v>
      </c>
      <c r="C158" t="s">
        <v>180</v>
      </c>
      <c r="D158" t="s">
        <v>1037</v>
      </c>
      <c r="E158" t="s">
        <v>763</v>
      </c>
      <c r="F158" s="35">
        <v>8847.0535999999993</v>
      </c>
      <c r="G158" t="s">
        <v>917</v>
      </c>
      <c r="H158" t="s">
        <v>914</v>
      </c>
    </row>
    <row r="159" spans="1:8">
      <c r="A159" s="71">
        <v>46093.460116550901</v>
      </c>
      <c r="B159" t="s">
        <v>1036</v>
      </c>
      <c r="C159" t="s">
        <v>19</v>
      </c>
      <c r="D159" t="s">
        <v>1037</v>
      </c>
      <c r="E159" t="s">
        <v>763</v>
      </c>
      <c r="F159" s="35">
        <v>8847.0535999999993</v>
      </c>
      <c r="G159" t="s">
        <v>917</v>
      </c>
      <c r="H159" t="s">
        <v>914</v>
      </c>
    </row>
    <row r="160" spans="1:8">
      <c r="A160" s="71">
        <v>46093.460116550901</v>
      </c>
      <c r="B160" t="s">
        <v>1036</v>
      </c>
      <c r="C160" t="s">
        <v>29</v>
      </c>
      <c r="D160" t="s">
        <v>1037</v>
      </c>
      <c r="E160" t="s">
        <v>763</v>
      </c>
      <c r="F160" s="35">
        <v>8847.0535999999993</v>
      </c>
      <c r="G160" t="s">
        <v>917</v>
      </c>
      <c r="H160" t="s">
        <v>914</v>
      </c>
    </row>
    <row r="161" spans="1:8">
      <c r="A161" s="71">
        <v>46093.460116550901</v>
      </c>
      <c r="B161" t="s">
        <v>1036</v>
      </c>
      <c r="C161" t="s">
        <v>32</v>
      </c>
      <c r="D161" t="s">
        <v>1037</v>
      </c>
      <c r="E161" t="s">
        <v>763</v>
      </c>
      <c r="F161" s="35">
        <v>8847.0535999999993</v>
      </c>
      <c r="G161" t="s">
        <v>917</v>
      </c>
      <c r="H161" t="s">
        <v>914</v>
      </c>
    </row>
    <row r="162" spans="1:8">
      <c r="A162" s="71">
        <v>46093.467881979203</v>
      </c>
      <c r="B162" t="s">
        <v>1038</v>
      </c>
      <c r="C162" t="str">
        <f>_xlfn.TEXTAFTER(TRIM(tblComprasPM[[#This Row],[Descripcion]]), " ", -1)</f>
        <v>VD-13</v>
      </c>
      <c r="D162" t="s">
        <v>1039</v>
      </c>
      <c r="E162" t="s">
        <v>767</v>
      </c>
      <c r="F162" s="35">
        <v>300335.77</v>
      </c>
      <c r="G162" t="s">
        <v>913</v>
      </c>
      <c r="H162" t="s">
        <v>914</v>
      </c>
    </row>
    <row r="163" spans="1:8">
      <c r="A163" s="71">
        <v>46093.472586689801</v>
      </c>
      <c r="B163" t="s">
        <v>1040</v>
      </c>
      <c r="C163" t="str">
        <f>_xlfn.TEXTAFTER(TRIM(tblComprasPM[[#This Row],[Descripcion]]), " ", -1)</f>
        <v>TALLER</v>
      </c>
      <c r="D163" t="s">
        <v>1041</v>
      </c>
      <c r="E163" t="s">
        <v>763</v>
      </c>
      <c r="F163" s="35">
        <v>38549.9</v>
      </c>
      <c r="G163" t="s">
        <v>1042</v>
      </c>
      <c r="H163" t="s">
        <v>914</v>
      </c>
    </row>
    <row r="164" spans="1:8">
      <c r="A164" s="71">
        <v>46093.485688888897</v>
      </c>
      <c r="B164" t="s">
        <v>1043</v>
      </c>
      <c r="C164" t="str">
        <f>_xlfn.TEXTAFTER(TRIM(tblComprasPM[[#This Row],[Descripcion]]), " ", -1)</f>
        <v>CD-109</v>
      </c>
      <c r="D164" t="s">
        <v>1044</v>
      </c>
      <c r="E164" t="s">
        <v>768</v>
      </c>
      <c r="F164" s="35">
        <v>170432.99</v>
      </c>
      <c r="G164" t="s">
        <v>913</v>
      </c>
      <c r="H164" t="s">
        <v>914</v>
      </c>
    </row>
    <row r="165" spans="1:8">
      <c r="A165" s="71">
        <v>46093.625469872699</v>
      </c>
      <c r="B165" t="s">
        <v>1045</v>
      </c>
      <c r="C165" t="str">
        <f>_xlfn.TEXTAFTER(TRIM(tblComprasPM[[#This Row],[Descripcion]]), " ", -1)</f>
        <v>EQP-7</v>
      </c>
      <c r="D165" t="s">
        <v>1046</v>
      </c>
      <c r="E165" t="s">
        <v>763</v>
      </c>
      <c r="F165" s="35">
        <v>397399.97639999999</v>
      </c>
      <c r="G165" t="s">
        <v>913</v>
      </c>
      <c r="H165" t="s">
        <v>914</v>
      </c>
    </row>
    <row r="166" spans="1:8">
      <c r="A166" s="71">
        <v>46093.632126932898</v>
      </c>
      <c r="B166" t="s">
        <v>1047</v>
      </c>
      <c r="C166" t="str">
        <f>_xlfn.TEXTAFTER(TRIM(tblComprasPM[[#This Row],[Descripcion]]), " ", -1)</f>
        <v>MD-104</v>
      </c>
      <c r="D166" t="s">
        <v>1048</v>
      </c>
      <c r="E166" t="s">
        <v>767</v>
      </c>
      <c r="F166" s="35">
        <v>397094.67</v>
      </c>
      <c r="G166" t="s">
        <v>913</v>
      </c>
      <c r="H166" t="s">
        <v>914</v>
      </c>
    </row>
    <row r="167" spans="1:8">
      <c r="A167" s="71">
        <v>46093.6329742245</v>
      </c>
      <c r="B167" t="s">
        <v>1049</v>
      </c>
      <c r="C167" t="str">
        <f>_xlfn.TEXTAFTER(TRIM(tblComprasPM[[#This Row],[Descripcion]]), " ", -1)</f>
        <v>MD-99</v>
      </c>
      <c r="D167" t="s">
        <v>1050</v>
      </c>
      <c r="E167" t="s">
        <v>767</v>
      </c>
      <c r="F167" s="35">
        <v>360959.13</v>
      </c>
      <c r="G167" t="s">
        <v>913</v>
      </c>
      <c r="H167" t="s">
        <v>914</v>
      </c>
    </row>
    <row r="168" spans="1:8">
      <c r="A168" s="71">
        <v>46093.649381215298</v>
      </c>
      <c r="B168" t="s">
        <v>1051</v>
      </c>
      <c r="C168" t="str">
        <f>_xlfn.TEXTAFTER(TRIM(tblComprasPM[[#This Row],[Descripcion]]), " ", -1)</f>
        <v>CD-92</v>
      </c>
      <c r="D168" t="s">
        <v>1052</v>
      </c>
      <c r="E168" t="s">
        <v>768</v>
      </c>
      <c r="F168" s="35">
        <v>170432.99</v>
      </c>
      <c r="G168" t="s">
        <v>913</v>
      </c>
      <c r="H168" t="s">
        <v>914</v>
      </c>
    </row>
    <row r="169" spans="1:8">
      <c r="A169" s="40">
        <v>46093.717566053201</v>
      </c>
      <c r="B169" s="41" t="s">
        <v>1053</v>
      </c>
      <c r="C169" s="41" t="str">
        <f>_xlfn.TEXTAFTER(TRIM(tblComprasPM[[#This Row],[Descripcion]]), " ", -1)</f>
        <v>EQP-18</v>
      </c>
      <c r="D169" s="41" t="s">
        <v>1054</v>
      </c>
      <c r="E169" s="41" t="s">
        <v>763</v>
      </c>
      <c r="F169" s="43">
        <v>319799.99310000002</v>
      </c>
      <c r="G169" s="41" t="s">
        <v>913</v>
      </c>
      <c r="H169" s="41" t="s">
        <v>914</v>
      </c>
    </row>
    <row r="170" spans="1:8">
      <c r="A170" s="40">
        <v>46093.724767326399</v>
      </c>
      <c r="B170" s="41" t="s">
        <v>1055</v>
      </c>
      <c r="C170" s="41" t="str">
        <f>_xlfn.TEXTAFTER(TRIM(tblComprasPM[[#This Row],[Descripcion]]), " ", -1)</f>
        <v>EQP-16</v>
      </c>
      <c r="D170" s="41" t="s">
        <v>1056</v>
      </c>
      <c r="E170" s="41" t="s">
        <v>762</v>
      </c>
      <c r="F170" s="43">
        <v>559290.48</v>
      </c>
      <c r="G170" s="41" t="s">
        <v>913</v>
      </c>
      <c r="H170" s="41" t="s">
        <v>914</v>
      </c>
    </row>
    <row r="171" spans="1:8">
      <c r="A171" s="40">
        <v>46094.669263854201</v>
      </c>
      <c r="B171" s="41" t="s">
        <v>1057</v>
      </c>
      <c r="C171" s="41" t="str">
        <f>_xlfn.TEXTAFTER(TRIM(tblComprasPM[[#This Row],[Descripcion]]), " ", -1)</f>
        <v>MD-70</v>
      </c>
      <c r="D171" s="41" t="s">
        <v>1058</v>
      </c>
      <c r="E171" s="41" t="s">
        <v>763</v>
      </c>
      <c r="F171" s="43">
        <v>89099.976699999999</v>
      </c>
      <c r="G171" s="41" t="s">
        <v>913</v>
      </c>
      <c r="H171" s="42" t="s">
        <v>914</v>
      </c>
    </row>
    <row r="172" spans="1:8">
      <c r="A172" s="40">
        <v>46098</v>
      </c>
      <c r="B172" s="42" t="s">
        <v>1059</v>
      </c>
      <c r="C172" s="41" t="str">
        <f>_xlfn.TEXTAFTER(TRIM(tblComprasPM[[#This Row],[Descripcion]]), " ", -1)</f>
        <v>EQP-7</v>
      </c>
      <c r="D172" s="41" t="s">
        <v>1060</v>
      </c>
      <c r="E172" s="41" t="s">
        <v>762</v>
      </c>
      <c r="F172" s="35">
        <v>238478.38</v>
      </c>
      <c r="G172" s="41" t="s">
        <v>913</v>
      </c>
      <c r="H172" s="41" t="s">
        <v>914</v>
      </c>
    </row>
    <row r="173" spans="1:8">
      <c r="A173" s="40">
        <v>46098</v>
      </c>
      <c r="B173" s="42" t="s">
        <v>1061</v>
      </c>
      <c r="C173" s="41" t="str">
        <f>_xlfn.TEXTAFTER(TRIM(tblComprasPM[[#This Row],[Descripcion]]), " ", -1)</f>
        <v>MD-26</v>
      </c>
      <c r="D173" s="41" t="s">
        <v>1062</v>
      </c>
      <c r="E173" s="41" t="s">
        <v>763</v>
      </c>
      <c r="F173" s="35">
        <v>38549.9</v>
      </c>
      <c r="G173" s="41" t="s">
        <v>913</v>
      </c>
      <c r="H173" s="41" t="s">
        <v>914</v>
      </c>
    </row>
    <row r="174" spans="1:8">
      <c r="A174" s="40">
        <v>46099</v>
      </c>
      <c r="B174" s="42" t="s">
        <v>1063</v>
      </c>
      <c r="C174" s="41" t="str">
        <f>_xlfn.TEXTAFTER(TRIM(tblComprasPM[[#This Row],[Descripcion]]), " ", -1)</f>
        <v>MD-83</v>
      </c>
      <c r="D174" s="41" t="s">
        <v>1064</v>
      </c>
      <c r="E174" s="41" t="s">
        <v>765</v>
      </c>
      <c r="F174" s="43">
        <v>228128.95</v>
      </c>
      <c r="G174" s="41" t="s">
        <v>913</v>
      </c>
      <c r="H174" s="41" t="s">
        <v>924</v>
      </c>
    </row>
    <row r="175" spans="1:8">
      <c r="A175" s="40">
        <v>46100</v>
      </c>
      <c r="B175" s="42" t="s">
        <v>1065</v>
      </c>
      <c r="C175" s="41" t="str">
        <f>_xlfn.TEXTAFTER(TRIM(tblComprasPM[[#This Row],[Descripcion]]), " ", -1)</f>
        <v>VD-130</v>
      </c>
      <c r="D175" s="41" t="s">
        <v>1066</v>
      </c>
      <c r="E175" s="41" t="s">
        <v>767</v>
      </c>
      <c r="F175" s="43">
        <v>580385.61</v>
      </c>
      <c r="G175" s="41" t="s">
        <v>913</v>
      </c>
      <c r="H175" s="41" t="s">
        <v>914</v>
      </c>
    </row>
    <row r="176" spans="1:8">
      <c r="A176" s="40">
        <v>46100</v>
      </c>
      <c r="B176" s="42" t="s">
        <v>1067</v>
      </c>
      <c r="C176" s="41" t="str">
        <f>_xlfn.TEXTAFTER(TRIM(tblComprasPM[[#This Row],[Descripcion]]), " ", -1)</f>
        <v>VD-140</v>
      </c>
      <c r="D176" s="41" t="s">
        <v>1068</v>
      </c>
      <c r="E176" s="41" t="s">
        <v>767</v>
      </c>
      <c r="F176" s="43">
        <v>440390.44</v>
      </c>
      <c r="G176" s="41" t="s">
        <v>913</v>
      </c>
      <c r="H176" s="41" t="s">
        <v>914</v>
      </c>
    </row>
    <row r="177" spans="1:8">
      <c r="A177" s="40">
        <v>46100</v>
      </c>
      <c r="B177" s="42" t="s">
        <v>1069</v>
      </c>
      <c r="C177" s="41" t="str">
        <f>_xlfn.TEXTAFTER(TRIM(tblComprasPM[[#This Row],[Descripcion]]), " ", -1)</f>
        <v>VD-97</v>
      </c>
      <c r="D177" s="41" t="s">
        <v>1070</v>
      </c>
      <c r="E177" s="41" t="s">
        <v>767</v>
      </c>
      <c r="F177" s="43">
        <v>392089.53</v>
      </c>
      <c r="G177" s="41" t="s">
        <v>913</v>
      </c>
      <c r="H177" s="41" t="s">
        <v>914</v>
      </c>
    </row>
    <row r="178" spans="1:8">
      <c r="A178" s="40">
        <v>46100</v>
      </c>
      <c r="B178" s="42" t="s">
        <v>1071</v>
      </c>
      <c r="C178" s="41" t="str">
        <f>_xlfn.TEXTAFTER(TRIM(tblComprasPM[[#This Row],[Descripcion]]), " ", -1)</f>
        <v>MD-83</v>
      </c>
      <c r="D178" s="41" t="s">
        <v>1072</v>
      </c>
      <c r="E178" s="41" t="s">
        <v>763</v>
      </c>
      <c r="F178" s="43">
        <v>234799.89</v>
      </c>
      <c r="G178" s="41" t="s">
        <v>913</v>
      </c>
      <c r="H178" s="41" t="s">
        <v>914</v>
      </c>
    </row>
    <row r="179" spans="1:8">
      <c r="A179" s="40">
        <v>46100</v>
      </c>
      <c r="B179" s="42" t="s">
        <v>1073</v>
      </c>
      <c r="C179" s="41" t="str">
        <f>_xlfn.TEXTAFTER(TRIM(tblComprasPM[[#This Row],[Descripcion]]), " ", -1)</f>
        <v>MD-46</v>
      </c>
      <c r="D179" s="41" t="s">
        <v>1074</v>
      </c>
      <c r="E179" s="41" t="s">
        <v>765</v>
      </c>
      <c r="F179" s="43">
        <v>228336.01</v>
      </c>
      <c r="G179" s="41" t="s">
        <v>913</v>
      </c>
      <c r="H179" s="41" t="s">
        <v>914</v>
      </c>
    </row>
    <row r="180" spans="1:8">
      <c r="A180" s="40">
        <v>46100</v>
      </c>
      <c r="B180" s="42" t="s">
        <v>1075</v>
      </c>
      <c r="C180" s="41" t="str">
        <f>_xlfn.TEXTAFTER(TRIM(tblComprasPM[[#This Row],[Descripcion]]), " ", -1)</f>
        <v>ED-52</v>
      </c>
      <c r="D180" s="41" t="s">
        <v>1076</v>
      </c>
      <c r="E180" s="41" t="s">
        <v>762</v>
      </c>
      <c r="F180" s="43">
        <v>149298.59</v>
      </c>
      <c r="G180" s="41" t="s">
        <v>913</v>
      </c>
      <c r="H180" s="41" t="s">
        <v>914</v>
      </c>
    </row>
    <row r="181" spans="1:8">
      <c r="A181" s="40">
        <v>46100</v>
      </c>
      <c r="B181" s="42" t="s">
        <v>1077</v>
      </c>
      <c r="C181" s="41" t="str">
        <f>_xlfn.TEXTAFTER(TRIM(tblComprasPM[[#This Row],[Descripcion]]), " ", -1)</f>
        <v>CD-115</v>
      </c>
      <c r="D181" s="41" t="s">
        <v>1078</v>
      </c>
      <c r="E181" s="41" t="s">
        <v>767</v>
      </c>
      <c r="F181" s="43">
        <v>121145.57</v>
      </c>
      <c r="G181" s="41" t="s">
        <v>913</v>
      </c>
      <c r="H181" s="41" t="s">
        <v>914</v>
      </c>
    </row>
    <row r="182" spans="1:8">
      <c r="A182" s="40">
        <v>46100</v>
      </c>
      <c r="B182" s="42" t="s">
        <v>1079</v>
      </c>
      <c r="C182" s="41" t="str">
        <f>_xlfn.TEXTAFTER(TRIM(tblComprasPM[[#This Row],[Descripcion]]), " ", -1)</f>
        <v>ED-74</v>
      </c>
      <c r="D182" s="41" t="s">
        <v>1080</v>
      </c>
      <c r="E182" s="41" t="s">
        <v>763</v>
      </c>
      <c r="F182" s="43">
        <v>91699.98</v>
      </c>
      <c r="G182" s="41" t="s">
        <v>913</v>
      </c>
      <c r="H182" s="41" t="s">
        <v>914</v>
      </c>
    </row>
    <row r="183" spans="1:8">
      <c r="A183" s="40">
        <v>46100</v>
      </c>
      <c r="B183" s="42" t="s">
        <v>1081</v>
      </c>
      <c r="C183" s="41" t="s">
        <v>173</v>
      </c>
      <c r="D183" s="41" t="s">
        <v>1082</v>
      </c>
      <c r="E183" s="41" t="s">
        <v>977</v>
      </c>
      <c r="F183" s="43">
        <v>85871.59</v>
      </c>
      <c r="G183" s="41" t="s">
        <v>913</v>
      </c>
      <c r="H183" s="41" t="s">
        <v>914</v>
      </c>
    </row>
    <row r="184" spans="1:8">
      <c r="A184" s="40">
        <v>46100</v>
      </c>
      <c r="B184" s="42" t="s">
        <v>1083</v>
      </c>
      <c r="C184" s="41" t="str">
        <f>_xlfn.TEXTAFTER(TRIM(tblComprasPM[[#This Row],[Descripcion]]), " ", -1)</f>
        <v>MD-57</v>
      </c>
      <c r="D184" s="41" t="s">
        <v>1084</v>
      </c>
      <c r="E184" s="41" t="s">
        <v>762</v>
      </c>
      <c r="F184" s="43">
        <v>68582.080000000002</v>
      </c>
      <c r="G184" s="41" t="s">
        <v>913</v>
      </c>
      <c r="H184" s="41" t="s">
        <v>914</v>
      </c>
    </row>
    <row r="185" spans="1:8">
      <c r="A185" s="40">
        <v>46101</v>
      </c>
      <c r="B185" s="42" t="s">
        <v>1085</v>
      </c>
      <c r="C185" s="41" t="str">
        <f>_xlfn.TEXTAFTER(TRIM(tblComprasPM[[#This Row],[Descripcion]]), " ", -1)</f>
        <v>MD-49</v>
      </c>
      <c r="D185" s="41" t="s">
        <v>1086</v>
      </c>
      <c r="E185" s="41" t="s">
        <v>763</v>
      </c>
      <c r="F185" s="43">
        <v>164899.99</v>
      </c>
      <c r="G185" s="41" t="s">
        <v>913</v>
      </c>
      <c r="H185" s="41" t="s">
        <v>914</v>
      </c>
    </row>
    <row r="186" spans="1:8" ht="15.75" customHeight="1">
      <c r="A186" s="40">
        <v>46104.379210416701</v>
      </c>
      <c r="B186" s="44" t="s">
        <v>1087</v>
      </c>
      <c r="C186" s="41" t="str">
        <f>_xlfn.TEXTAFTER(TRIM(tblComprasPM[[#This Row],[Descripcion]]), " ", -1)</f>
        <v>MD-105</v>
      </c>
      <c r="D186" s="45" t="s">
        <v>1088</v>
      </c>
      <c r="E186" s="50" t="s">
        <v>763</v>
      </c>
      <c r="F186" s="35">
        <v>110299.9814</v>
      </c>
      <c r="G186" s="41" t="s">
        <v>913</v>
      </c>
      <c r="H186" s="42" t="s">
        <v>914</v>
      </c>
    </row>
    <row r="187" spans="1:8" ht="15.75" customHeight="1">
      <c r="A187" s="40">
        <v>46104.427122835601</v>
      </c>
      <c r="B187" s="44" t="s">
        <v>1089</v>
      </c>
      <c r="C187" s="41" t="str">
        <f>_xlfn.TEXTAFTER(TRIM(tblComprasPM[[#This Row],[Descripcion]]), " ", -1)</f>
        <v>VD-84</v>
      </c>
      <c r="D187" s="45" t="s">
        <v>1090</v>
      </c>
      <c r="E187" s="50" t="s">
        <v>763</v>
      </c>
      <c r="F187" s="35">
        <v>23599.960999999999</v>
      </c>
      <c r="G187" s="41" t="s">
        <v>913</v>
      </c>
      <c r="H187" s="42" t="s">
        <v>914</v>
      </c>
    </row>
    <row r="188" spans="1:8" ht="15.75" customHeight="1">
      <c r="A188" s="40">
        <v>46104.430481481497</v>
      </c>
      <c r="B188" s="44" t="s">
        <v>1091</v>
      </c>
      <c r="C188" s="41" t="str">
        <f>_xlfn.TEXTAFTER(TRIM(tblComprasPM[[#This Row],[Descripcion]]), " ", -1)</f>
        <v>MD-76</v>
      </c>
      <c r="D188" s="45" t="s">
        <v>1092</v>
      </c>
      <c r="E188" s="50" t="s">
        <v>763</v>
      </c>
      <c r="F188" s="35">
        <v>14500.15</v>
      </c>
      <c r="G188" s="41" t="s">
        <v>913</v>
      </c>
      <c r="H188" s="42" t="s">
        <v>914</v>
      </c>
    </row>
    <row r="189" spans="1:8" ht="15.75" customHeight="1">
      <c r="A189" s="40">
        <v>46104.470781678203</v>
      </c>
      <c r="B189" s="44" t="s">
        <v>1093</v>
      </c>
      <c r="C189" s="41" t="str">
        <f>_xlfn.TEXTAFTER(TRIM(tblComprasPM[[#This Row],[Descripcion]]), " ", -1)</f>
        <v>MD-85</v>
      </c>
      <c r="D189" s="45" t="s">
        <v>1094</v>
      </c>
      <c r="E189" s="50" t="s">
        <v>1095</v>
      </c>
      <c r="F189" s="35">
        <v>99901.69</v>
      </c>
      <c r="G189" s="41" t="s">
        <v>913</v>
      </c>
      <c r="H189" s="42" t="s">
        <v>1096</v>
      </c>
    </row>
    <row r="190" spans="1:8" ht="15.75" customHeight="1">
      <c r="A190" s="40">
        <v>46104.621280289401</v>
      </c>
      <c r="B190" s="44" t="s">
        <v>1097</v>
      </c>
      <c r="C190" s="41" t="str">
        <f>_xlfn.TEXTAFTER(TRIM(tblComprasPM[[#This Row],[Descripcion]]), " ", -1)</f>
        <v>CD-68</v>
      </c>
      <c r="D190" s="45" t="s">
        <v>1098</v>
      </c>
      <c r="E190" s="50" t="s">
        <v>763</v>
      </c>
      <c r="F190" s="35">
        <v>381399.96230000001</v>
      </c>
      <c r="G190" s="41" t="s">
        <v>913</v>
      </c>
      <c r="H190" s="42" t="s">
        <v>914</v>
      </c>
    </row>
    <row r="191" spans="1:8" ht="15.75" customHeight="1">
      <c r="A191" s="40">
        <v>46104.729813854203</v>
      </c>
      <c r="B191" s="44" t="s">
        <v>1099</v>
      </c>
      <c r="C191" s="41" t="str">
        <f>_xlfn.TEXTAFTER(TRIM(tblComprasPM[[#This Row],[Descripcion]]), " ", -1)</f>
        <v>EQP-16</v>
      </c>
      <c r="D191" s="45" t="s">
        <v>1100</v>
      </c>
      <c r="E191" s="50" t="s">
        <v>762</v>
      </c>
      <c r="F191" s="35">
        <v>38684.519999999997</v>
      </c>
      <c r="G191" s="41" t="s">
        <v>913</v>
      </c>
      <c r="H191" s="42" t="s">
        <v>914</v>
      </c>
    </row>
    <row r="192" spans="1:8" ht="15.75" customHeight="1">
      <c r="A192" s="40">
        <v>46104.729813854203</v>
      </c>
      <c r="B192" s="44" t="s">
        <v>1099</v>
      </c>
      <c r="C192" s="41" t="s">
        <v>259</v>
      </c>
      <c r="D192" s="45" t="s">
        <v>1100</v>
      </c>
      <c r="E192" s="50" t="s">
        <v>762</v>
      </c>
      <c r="F192" s="35">
        <v>38684.519999999997</v>
      </c>
      <c r="G192" s="41" t="s">
        <v>913</v>
      </c>
      <c r="H192" s="42" t="s">
        <v>914</v>
      </c>
    </row>
    <row r="193" spans="1:8" ht="15.75" customHeight="1">
      <c r="A193" s="40">
        <v>46104.734478391198</v>
      </c>
      <c r="B193" s="44" t="s">
        <v>1101</v>
      </c>
      <c r="C193" s="41" t="str">
        <f>_xlfn.TEXTAFTER(TRIM(tblComprasPM[[#This Row],[Descripcion]]), " ", -1)</f>
        <v>CD-138</v>
      </c>
      <c r="D193" s="45" t="s">
        <v>1102</v>
      </c>
      <c r="E193" s="50" t="s">
        <v>762</v>
      </c>
      <c r="F193" s="35">
        <v>305483.71000000002</v>
      </c>
      <c r="G193" s="41" t="s">
        <v>913</v>
      </c>
      <c r="H193" s="42" t="s">
        <v>914</v>
      </c>
    </row>
    <row r="194" spans="1:8" ht="15.75" customHeight="1">
      <c r="A194" s="49">
        <v>46105</v>
      </c>
      <c r="B194" s="50" t="s">
        <v>1103</v>
      </c>
      <c r="C194" t="str">
        <f>_xlfn.TEXTAFTER(TRIM(tblComprasPM[[#This Row],[Descripcion]]), " ", -1)</f>
        <v>VD-128</v>
      </c>
      <c r="D194" s="50" t="s">
        <v>1104</v>
      </c>
      <c r="E194" s="50" t="s">
        <v>767</v>
      </c>
      <c r="F194" s="35">
        <v>831174.54</v>
      </c>
      <c r="G194" s="41" t="s">
        <v>913</v>
      </c>
      <c r="H194" s="42" t="s">
        <v>914</v>
      </c>
    </row>
    <row r="195" spans="1:8" ht="15.75" customHeight="1">
      <c r="A195" s="49">
        <v>46105</v>
      </c>
      <c r="B195" s="50" t="s">
        <v>1105</v>
      </c>
      <c r="C195" t="str">
        <f>_xlfn.TEXTAFTER(TRIM(tblComprasPM[[#This Row],[Descripcion]]), " ", -1)</f>
        <v>ED-63</v>
      </c>
      <c r="D195" s="50" t="s">
        <v>1106</v>
      </c>
      <c r="E195" s="50" t="s">
        <v>762</v>
      </c>
      <c r="F195" s="35">
        <v>126877.8</v>
      </c>
      <c r="G195" s="41" t="s">
        <v>913</v>
      </c>
      <c r="H195" s="42" t="s">
        <v>914</v>
      </c>
    </row>
    <row r="196" spans="1:8" ht="15.75" customHeight="1">
      <c r="A196" s="49">
        <v>46105</v>
      </c>
      <c r="B196" s="50" t="s">
        <v>1107</v>
      </c>
      <c r="C196" t="str">
        <f>_xlfn.TEXTAFTER(TRIM(tblComprasPM[[#This Row],[Descripcion]]), " ", -1)</f>
        <v>VD-108</v>
      </c>
      <c r="D196" s="50" t="s">
        <v>1108</v>
      </c>
      <c r="E196" s="50" t="s">
        <v>1109</v>
      </c>
      <c r="F196" s="35">
        <v>110000.03</v>
      </c>
      <c r="G196" s="41" t="s">
        <v>913</v>
      </c>
      <c r="H196" s="42" t="s">
        <v>914</v>
      </c>
    </row>
    <row r="197" spans="1:8" ht="15.75" customHeight="1">
      <c r="A197" s="49">
        <v>46105</v>
      </c>
      <c r="B197" s="50" t="s">
        <v>1110</v>
      </c>
      <c r="C197" t="str">
        <f>_xlfn.TEXTAFTER(TRIM(tblComprasPM[[#This Row],[Descripcion]]), " ", -1)</f>
        <v>MD-57</v>
      </c>
      <c r="D197" s="50" t="s">
        <v>1111</v>
      </c>
      <c r="E197" s="50" t="s">
        <v>1112</v>
      </c>
      <c r="F197" s="35">
        <v>55490.89</v>
      </c>
      <c r="G197" s="41" t="s">
        <v>913</v>
      </c>
      <c r="H197" s="42" t="s">
        <v>914</v>
      </c>
    </row>
    <row r="198" spans="1:8" ht="15.75" customHeight="1">
      <c r="A198" s="40">
        <v>46105.635110648102</v>
      </c>
      <c r="B198" s="44" t="s">
        <v>1105</v>
      </c>
      <c r="C198" s="41" t="str">
        <f>_xlfn.TEXTAFTER(TRIM(tblComprasPM[[#This Row],[Descripcion]]), " ", -1)</f>
        <v>ED-63</v>
      </c>
      <c r="D198" s="45" t="s">
        <v>1106</v>
      </c>
      <c r="E198" s="50" t="s">
        <v>762</v>
      </c>
      <c r="F198" s="35">
        <v>126877.8</v>
      </c>
      <c r="G198" s="41" t="s">
        <v>913</v>
      </c>
      <c r="H198" s="42" t="s">
        <v>914</v>
      </c>
    </row>
    <row r="199" spans="1:8" ht="15.75" customHeight="1">
      <c r="A199" s="49">
        <v>46106</v>
      </c>
      <c r="B199" s="50" t="s">
        <v>1113</v>
      </c>
      <c r="C199" t="str">
        <f>_xlfn.TEXTAFTER(TRIM(tblComprasPM[[#This Row],[Descripcion]]), " ", -1)</f>
        <v>MD-108</v>
      </c>
      <c r="D199" s="50" t="s">
        <v>1114</v>
      </c>
      <c r="E199" s="50" t="s">
        <v>923</v>
      </c>
      <c r="F199" s="35">
        <v>320165.93</v>
      </c>
      <c r="G199" s="41" t="s">
        <v>913</v>
      </c>
      <c r="H199" s="42" t="s">
        <v>914</v>
      </c>
    </row>
    <row r="200" spans="1:8" ht="15.75" customHeight="1">
      <c r="A200" s="49">
        <v>46106</v>
      </c>
      <c r="B200" s="50" t="s">
        <v>1113</v>
      </c>
      <c r="C200" t="s">
        <v>453</v>
      </c>
      <c r="D200" s="50" t="s">
        <v>1114</v>
      </c>
      <c r="E200" s="50" t="s">
        <v>923</v>
      </c>
      <c r="F200" s="35">
        <v>320165.93</v>
      </c>
      <c r="G200" s="41" t="s">
        <v>913</v>
      </c>
      <c r="H200" s="42" t="s">
        <v>914</v>
      </c>
    </row>
    <row r="201" spans="1:8" ht="15.75" customHeight="1">
      <c r="A201" s="49">
        <v>46106</v>
      </c>
      <c r="B201" s="50" t="s">
        <v>1115</v>
      </c>
      <c r="C201" t="str">
        <f>_xlfn.TEXTAFTER(TRIM(tblComprasPM[[#This Row],[Descripcion]]), " ", -1)</f>
        <v>MD-93</v>
      </c>
      <c r="D201" s="50" t="s">
        <v>1116</v>
      </c>
      <c r="E201" s="50" t="s">
        <v>767</v>
      </c>
      <c r="F201" s="35">
        <v>261044.95</v>
      </c>
      <c r="G201" s="41" t="s">
        <v>913</v>
      </c>
      <c r="H201" s="42" t="s">
        <v>914</v>
      </c>
    </row>
    <row r="202" spans="1:8">
      <c r="A202" s="49">
        <v>46106</v>
      </c>
      <c r="B202" s="50" t="s">
        <v>1117</v>
      </c>
      <c r="C202" t="str">
        <f>_xlfn.TEXTAFTER(TRIM(tblComprasPM[[#This Row],[Descripcion]]), " ", -1)</f>
        <v>MD-87</v>
      </c>
      <c r="D202" s="50" t="s">
        <v>1118</v>
      </c>
      <c r="E202" s="50" t="s">
        <v>923</v>
      </c>
      <c r="F202" s="35">
        <v>64141.8</v>
      </c>
      <c r="G202" s="41" t="s">
        <v>913</v>
      </c>
      <c r="H202" s="42" t="s">
        <v>914</v>
      </c>
    </row>
    <row r="203" spans="1:8" ht="15" customHeight="1">
      <c r="A203" s="49">
        <v>46106</v>
      </c>
      <c r="B203" s="50" t="s">
        <v>1117</v>
      </c>
      <c r="C203" t="s">
        <v>423</v>
      </c>
      <c r="D203" s="50" t="s">
        <v>1118</v>
      </c>
      <c r="E203" s="50" t="s">
        <v>923</v>
      </c>
      <c r="F203" s="35">
        <v>64141.8</v>
      </c>
      <c r="G203" s="41" t="s">
        <v>913</v>
      </c>
      <c r="H203" s="42" t="s">
        <v>914</v>
      </c>
    </row>
    <row r="204" spans="1:8" ht="15" customHeight="1">
      <c r="A204" s="49">
        <v>46111</v>
      </c>
      <c r="B204" s="50" t="s">
        <v>1119</v>
      </c>
      <c r="C204" t="str">
        <f>_xlfn.TEXTAFTER(TRIM(tblComprasPM[[#This Row],[Descripcion]]), " ", -1)</f>
        <v>MD-110</v>
      </c>
      <c r="D204" s="50" t="s">
        <v>1120</v>
      </c>
      <c r="E204" s="50" t="s">
        <v>1095</v>
      </c>
      <c r="F204" s="35">
        <v>775405.19</v>
      </c>
      <c r="G204" s="41" t="s">
        <v>913</v>
      </c>
      <c r="H204" s="42" t="s">
        <v>914</v>
      </c>
    </row>
    <row r="205" spans="1:8" ht="15" customHeight="1">
      <c r="A205" s="49">
        <v>46111</v>
      </c>
      <c r="B205" s="50" t="s">
        <v>1121</v>
      </c>
      <c r="C205" t="str">
        <f>_xlfn.TEXTAFTER(TRIM(tblComprasPM[[#This Row],[Descripcion]]), " ", -1)</f>
        <v>VD-139</v>
      </c>
      <c r="D205" s="50" t="s">
        <v>1122</v>
      </c>
      <c r="E205" s="50" t="s">
        <v>767</v>
      </c>
      <c r="F205" s="35">
        <v>209386.45</v>
      </c>
      <c r="G205" s="41" t="s">
        <v>913</v>
      </c>
      <c r="H205" s="42" t="s">
        <v>914</v>
      </c>
    </row>
    <row r="206" spans="1:8" ht="15" customHeight="1">
      <c r="A206" s="49">
        <v>46113</v>
      </c>
      <c r="B206" s="50" t="s">
        <v>1123</v>
      </c>
      <c r="C206" t="str">
        <f>_xlfn.TEXTAFTER(TRIM(tblComprasPM[[#This Row],[Descripcion]]), " ", -1)</f>
        <v>MD-80</v>
      </c>
      <c r="D206" s="50" t="s">
        <v>1124</v>
      </c>
      <c r="E206" s="50" t="s">
        <v>1125</v>
      </c>
      <c r="F206" s="35">
        <v>332797.78000000003</v>
      </c>
      <c r="G206" s="41" t="s">
        <v>913</v>
      </c>
      <c r="H206" s="42" t="s">
        <v>914</v>
      </c>
    </row>
    <row r="207" spans="1:8" ht="15" customHeight="1">
      <c r="A207" s="49">
        <v>46113</v>
      </c>
      <c r="B207" s="50" t="s">
        <v>1126</v>
      </c>
      <c r="C207" t="str">
        <f>_xlfn.TEXTAFTER(TRIM(tblComprasPM[[#This Row],[Descripcion]]), " ", -1)</f>
        <v>EQP-11</v>
      </c>
      <c r="D207" s="50" t="s">
        <v>1127</v>
      </c>
      <c r="E207" s="50" t="s">
        <v>763</v>
      </c>
      <c r="F207" s="35">
        <v>176399.98</v>
      </c>
      <c r="G207" s="41" t="s">
        <v>913</v>
      </c>
      <c r="H207" s="42" t="s">
        <v>914</v>
      </c>
    </row>
    <row r="208" spans="1:8" ht="15" customHeight="1">
      <c r="A208" s="49">
        <v>46114</v>
      </c>
      <c r="B208" s="50" t="s">
        <v>1128</v>
      </c>
      <c r="C208" t="str">
        <f>_xlfn.TEXTAFTER(TRIM(tblComprasPM[[#This Row],[Descripcion]]), " ", -1)</f>
        <v>EQP-18</v>
      </c>
      <c r="D208" s="50" t="s">
        <v>1129</v>
      </c>
      <c r="E208" s="50" t="s">
        <v>763</v>
      </c>
      <c r="F208" s="35">
        <v>131599.72</v>
      </c>
      <c r="G208" s="41" t="s">
        <v>913</v>
      </c>
      <c r="H208" s="42" t="s">
        <v>914</v>
      </c>
    </row>
    <row r="209" spans="1:8" ht="15" customHeight="1">
      <c r="A209" s="49">
        <v>46114</v>
      </c>
      <c r="B209" s="50" t="s">
        <v>1130</v>
      </c>
      <c r="C209" t="s">
        <v>626</v>
      </c>
      <c r="D209" s="50" t="s">
        <v>1131</v>
      </c>
      <c r="E209" s="50" t="s">
        <v>767</v>
      </c>
      <c r="F209" s="35">
        <v>21192</v>
      </c>
      <c r="G209" s="41" t="s">
        <v>913</v>
      </c>
      <c r="H209" s="42" t="s">
        <v>914</v>
      </c>
    </row>
    <row r="210" spans="1:8" ht="15" customHeight="1">
      <c r="A210" s="49">
        <v>46114</v>
      </c>
      <c r="B210" s="50" t="s">
        <v>1130</v>
      </c>
      <c r="C210" t="s">
        <v>628</v>
      </c>
      <c r="D210" s="50" t="s">
        <v>1131</v>
      </c>
      <c r="E210" s="50" t="s">
        <v>767</v>
      </c>
      <c r="F210" s="35">
        <v>21192</v>
      </c>
      <c r="G210" s="41" t="s">
        <v>913</v>
      </c>
      <c r="H210" s="42" t="s">
        <v>914</v>
      </c>
    </row>
    <row r="211" spans="1:8" ht="15" customHeight="1">
      <c r="A211" s="49">
        <v>46114</v>
      </c>
      <c r="B211" s="50" t="s">
        <v>1130</v>
      </c>
      <c r="C211" t="s">
        <v>630</v>
      </c>
      <c r="D211" s="50" t="s">
        <v>1131</v>
      </c>
      <c r="E211" s="50" t="s">
        <v>767</v>
      </c>
      <c r="F211" s="35">
        <v>21192</v>
      </c>
      <c r="G211" s="41" t="s">
        <v>913</v>
      </c>
      <c r="H211" s="42" t="s">
        <v>914</v>
      </c>
    </row>
    <row r="212" spans="1:8" ht="15" customHeight="1">
      <c r="A212" s="49">
        <v>46114</v>
      </c>
      <c r="B212" s="50" t="s">
        <v>1130</v>
      </c>
      <c r="C212" t="s">
        <v>632</v>
      </c>
      <c r="D212" s="50" t="s">
        <v>1131</v>
      </c>
      <c r="E212" s="50" t="s">
        <v>767</v>
      </c>
      <c r="F212" s="35">
        <v>21192</v>
      </c>
      <c r="G212" s="41" t="s">
        <v>913</v>
      </c>
      <c r="H212" s="42" t="s">
        <v>914</v>
      </c>
    </row>
    <row r="213" spans="1:8" ht="15" customHeight="1">
      <c r="A213" s="49">
        <v>46114</v>
      </c>
      <c r="B213" s="50" t="s">
        <v>1130</v>
      </c>
      <c r="C213" t="s">
        <v>634</v>
      </c>
      <c r="D213" s="50" t="s">
        <v>1131</v>
      </c>
      <c r="E213" s="50" t="s">
        <v>767</v>
      </c>
      <c r="F213" s="35">
        <v>21192</v>
      </c>
      <c r="G213" s="41" t="s">
        <v>913</v>
      </c>
      <c r="H213" s="42" t="s">
        <v>914</v>
      </c>
    </row>
    <row r="214" spans="1:8" ht="15" customHeight="1">
      <c r="A214" s="49">
        <v>46114</v>
      </c>
      <c r="B214" s="50" t="s">
        <v>1130</v>
      </c>
      <c r="C214" t="s">
        <v>636</v>
      </c>
      <c r="D214" s="50" t="s">
        <v>1131</v>
      </c>
      <c r="E214" s="50" t="s">
        <v>767</v>
      </c>
      <c r="F214" s="35">
        <v>21192</v>
      </c>
      <c r="G214" s="41" t="s">
        <v>913</v>
      </c>
      <c r="H214" s="42" t="s">
        <v>914</v>
      </c>
    </row>
    <row r="215" spans="1:8" ht="15" customHeight="1">
      <c r="A215" s="49">
        <v>46114</v>
      </c>
      <c r="B215" s="50" t="s">
        <v>1130</v>
      </c>
      <c r="C215" t="s">
        <v>638</v>
      </c>
      <c r="D215" s="50" t="s">
        <v>1131</v>
      </c>
      <c r="E215" s="50" t="s">
        <v>767</v>
      </c>
      <c r="F215" s="35">
        <v>21192</v>
      </c>
      <c r="G215" s="41" t="s">
        <v>913</v>
      </c>
      <c r="H215" s="42" t="s">
        <v>914</v>
      </c>
    </row>
    <row r="216" spans="1:8" ht="15" customHeight="1">
      <c r="A216" s="49">
        <v>46114</v>
      </c>
      <c r="B216" s="50" t="s">
        <v>1130</v>
      </c>
      <c r="C216" t="s">
        <v>639</v>
      </c>
      <c r="D216" s="50" t="s">
        <v>1131</v>
      </c>
      <c r="E216" s="50" t="s">
        <v>767</v>
      </c>
      <c r="F216" s="35">
        <v>21192</v>
      </c>
      <c r="G216" s="41" t="s">
        <v>913</v>
      </c>
      <c r="H216" s="42" t="s">
        <v>914</v>
      </c>
    </row>
    <row r="217" spans="1:8" ht="15" customHeight="1">
      <c r="A217" s="49">
        <v>46114</v>
      </c>
      <c r="B217" s="50" t="s">
        <v>1130</v>
      </c>
      <c r="C217" t="s">
        <v>641</v>
      </c>
      <c r="D217" s="50" t="s">
        <v>1131</v>
      </c>
      <c r="E217" s="50" t="s">
        <v>767</v>
      </c>
      <c r="F217" s="35">
        <v>21192</v>
      </c>
      <c r="G217" s="41" t="s">
        <v>913</v>
      </c>
      <c r="H217" s="42" t="s">
        <v>914</v>
      </c>
    </row>
    <row r="218" spans="1:8" ht="15" customHeight="1">
      <c r="A218" s="49">
        <v>46114</v>
      </c>
      <c r="B218" s="50" t="s">
        <v>1130</v>
      </c>
      <c r="C218" t="s">
        <v>643</v>
      </c>
      <c r="D218" s="50" t="s">
        <v>1131</v>
      </c>
      <c r="E218" s="50" t="s">
        <v>767</v>
      </c>
      <c r="F218" s="35">
        <v>21192</v>
      </c>
      <c r="G218" s="41" t="s">
        <v>913</v>
      </c>
      <c r="H218" s="42" t="s">
        <v>914</v>
      </c>
    </row>
    <row r="219" spans="1:8" ht="15" customHeight="1">
      <c r="A219" s="71">
        <v>46118</v>
      </c>
      <c r="B219" t="s">
        <v>1132</v>
      </c>
      <c r="C219" t="str">
        <f>_xlfn.TEXTAFTER(TRIM(tblComprasPM[[#This Row],[Descripcion]]), " ", -1)</f>
        <v>MD-53</v>
      </c>
      <c r="D219" s="50" t="s">
        <v>1133</v>
      </c>
      <c r="E219" s="50" t="s">
        <v>762</v>
      </c>
      <c r="F219" s="35">
        <v>268361.65999999997</v>
      </c>
      <c r="G219" s="41" t="s">
        <v>913</v>
      </c>
      <c r="H219" s="42" t="s">
        <v>914</v>
      </c>
    </row>
    <row r="220" spans="1:8" ht="15" customHeight="1">
      <c r="A220" s="71">
        <v>46118</v>
      </c>
      <c r="B220" t="s">
        <v>1134</v>
      </c>
      <c r="C220" t="s">
        <v>504</v>
      </c>
      <c r="D220" s="50" t="s">
        <v>1135</v>
      </c>
      <c r="E220" s="50" t="s">
        <v>763</v>
      </c>
      <c r="F220" s="35">
        <v>24399.973999999998</v>
      </c>
      <c r="G220" t="s">
        <v>913</v>
      </c>
      <c r="H220" t="s">
        <v>914</v>
      </c>
    </row>
    <row r="221" spans="1:8" ht="15" customHeight="1">
      <c r="A221" s="71">
        <v>46118</v>
      </c>
      <c r="B221" t="s">
        <v>1134</v>
      </c>
      <c r="C221" t="s">
        <v>509</v>
      </c>
      <c r="D221" s="50" t="s">
        <v>1135</v>
      </c>
      <c r="E221" s="50" t="s">
        <v>763</v>
      </c>
      <c r="F221" s="35">
        <v>24399.973999999998</v>
      </c>
      <c r="G221" t="s">
        <v>913</v>
      </c>
      <c r="H221" t="s">
        <v>914</v>
      </c>
    </row>
    <row r="222" spans="1:8" ht="15" customHeight="1">
      <c r="A222" s="71">
        <v>46118</v>
      </c>
      <c r="B222" t="s">
        <v>1134</v>
      </c>
      <c r="C222" t="s">
        <v>511</v>
      </c>
      <c r="D222" s="50" t="s">
        <v>1135</v>
      </c>
      <c r="E222" s="50" t="s">
        <v>763</v>
      </c>
      <c r="F222" s="35">
        <v>24399.973999999998</v>
      </c>
      <c r="G222" t="s">
        <v>913</v>
      </c>
      <c r="H222" t="s">
        <v>914</v>
      </c>
    </row>
    <row r="223" spans="1:8" ht="15" customHeight="1">
      <c r="A223" s="71">
        <v>46118</v>
      </c>
      <c r="B223" t="s">
        <v>1134</v>
      </c>
      <c r="C223" t="s">
        <v>513</v>
      </c>
      <c r="D223" s="50" t="s">
        <v>1135</v>
      </c>
      <c r="E223" s="50" t="s">
        <v>763</v>
      </c>
      <c r="F223" s="35">
        <v>24399.973999999998</v>
      </c>
      <c r="G223" t="s">
        <v>913</v>
      </c>
      <c r="H223" t="s">
        <v>914</v>
      </c>
    </row>
    <row r="224" spans="1:8" ht="15" customHeight="1">
      <c r="A224" s="71">
        <v>46118</v>
      </c>
      <c r="B224" t="s">
        <v>1134</v>
      </c>
      <c r="C224" t="s">
        <v>516</v>
      </c>
      <c r="D224" s="50" t="s">
        <v>1135</v>
      </c>
      <c r="E224" s="50" t="s">
        <v>763</v>
      </c>
      <c r="F224" s="35">
        <v>24399.973999999998</v>
      </c>
      <c r="G224" t="s">
        <v>913</v>
      </c>
      <c r="H224" t="s">
        <v>914</v>
      </c>
    </row>
    <row r="225" spans="1:8" ht="15" customHeight="1">
      <c r="A225" s="71">
        <v>46118</v>
      </c>
      <c r="B225" t="s">
        <v>1134</v>
      </c>
      <c r="C225" t="s">
        <v>518</v>
      </c>
      <c r="D225" s="50" t="s">
        <v>1135</v>
      </c>
      <c r="E225" s="50" t="s">
        <v>763</v>
      </c>
      <c r="F225" s="35">
        <v>24399.973999999998</v>
      </c>
      <c r="G225" t="s">
        <v>913</v>
      </c>
      <c r="H225" t="s">
        <v>914</v>
      </c>
    </row>
    <row r="226" spans="1:8" ht="15" customHeight="1">
      <c r="A226" s="71">
        <v>46118.408281215299</v>
      </c>
      <c r="B226" t="s">
        <v>1134</v>
      </c>
      <c r="C226" t="s">
        <v>520</v>
      </c>
      <c r="D226" s="50" t="s">
        <v>1135</v>
      </c>
      <c r="E226" s="50" t="s">
        <v>763</v>
      </c>
      <c r="F226" s="35">
        <v>24399.973999999998</v>
      </c>
      <c r="G226" t="s">
        <v>913</v>
      </c>
      <c r="H226" t="s">
        <v>914</v>
      </c>
    </row>
    <row r="227" spans="1:8" ht="15" customHeight="1">
      <c r="A227" s="71">
        <v>46118.408281215299</v>
      </c>
      <c r="B227" t="s">
        <v>1134</v>
      </c>
      <c r="C227" t="s">
        <v>522</v>
      </c>
      <c r="D227" s="50" t="s">
        <v>1135</v>
      </c>
      <c r="E227" s="50" t="s">
        <v>763</v>
      </c>
      <c r="F227" s="35">
        <v>24399.973999999998</v>
      </c>
      <c r="G227" t="s">
        <v>913</v>
      </c>
      <c r="H227" t="s">
        <v>914</v>
      </c>
    </row>
    <row r="228" spans="1:8" ht="15" customHeight="1">
      <c r="A228" s="71">
        <v>46118.408281215299</v>
      </c>
      <c r="B228" t="s">
        <v>1134</v>
      </c>
      <c r="C228" t="s">
        <v>524</v>
      </c>
      <c r="D228" s="50" t="s">
        <v>1135</v>
      </c>
      <c r="E228" s="50" t="s">
        <v>763</v>
      </c>
      <c r="F228" s="35">
        <v>24399.973999999998</v>
      </c>
      <c r="G228" t="s">
        <v>913</v>
      </c>
      <c r="H228" t="s">
        <v>914</v>
      </c>
    </row>
    <row r="229" spans="1:8" ht="15" customHeight="1">
      <c r="A229" s="71">
        <v>46118.408281215299</v>
      </c>
      <c r="B229" t="s">
        <v>1134</v>
      </c>
      <c r="C229" t="s">
        <v>526</v>
      </c>
      <c r="D229" s="50" t="s">
        <v>1135</v>
      </c>
      <c r="E229" s="50" t="s">
        <v>763</v>
      </c>
      <c r="F229" s="35">
        <v>24399.973999999998</v>
      </c>
      <c r="G229" t="s">
        <v>913</v>
      </c>
      <c r="H229" t="s">
        <v>914</v>
      </c>
    </row>
    <row r="230" spans="1:8" ht="15" customHeight="1">
      <c r="A230" s="71">
        <v>46118.4804357986</v>
      </c>
      <c r="B230" t="s">
        <v>1136</v>
      </c>
      <c r="C230" t="str">
        <f>_xlfn.TEXTAFTER(TRIM(tblComprasPM[[#This Row],[Descripcion]]), " ", -1)</f>
        <v>MD-36</v>
      </c>
      <c r="D230" s="50" t="s">
        <v>1137</v>
      </c>
      <c r="E230" s="50" t="s">
        <v>762</v>
      </c>
      <c r="F230" s="35">
        <v>634845.96</v>
      </c>
      <c r="G230" t="s">
        <v>913</v>
      </c>
      <c r="H230" t="s">
        <v>914</v>
      </c>
    </row>
    <row r="231" spans="1:8" ht="15" customHeight="1">
      <c r="A231" s="71">
        <v>46119.349964039298</v>
      </c>
      <c r="B231" t="s">
        <v>1138</v>
      </c>
      <c r="C231" t="str">
        <f>_xlfn.TEXTAFTER(TRIM(tblComprasPM[[#This Row],[Descripcion]]), " ", -1)</f>
        <v>CD-114</v>
      </c>
      <c r="D231" s="50" t="s">
        <v>1139</v>
      </c>
      <c r="E231" s="50" t="s">
        <v>762</v>
      </c>
      <c r="F231" s="35">
        <v>147899.15</v>
      </c>
      <c r="G231" t="s">
        <v>913</v>
      </c>
      <c r="H231" t="s">
        <v>914</v>
      </c>
    </row>
    <row r="232" spans="1:8" ht="15" customHeight="1">
      <c r="A232" s="71">
        <v>46119.430838807901</v>
      </c>
      <c r="B232" t="s">
        <v>1140</v>
      </c>
      <c r="C232" t="s">
        <v>604</v>
      </c>
      <c r="D232" s="50" t="s">
        <v>1141</v>
      </c>
      <c r="E232" s="50" t="s">
        <v>763</v>
      </c>
      <c r="F232" s="35">
        <v>20399.98</v>
      </c>
      <c r="G232" t="s">
        <v>913</v>
      </c>
      <c r="H232" t="s">
        <v>914</v>
      </c>
    </row>
    <row r="233" spans="1:8" ht="15" customHeight="1">
      <c r="A233" s="71">
        <v>46119.430838807901</v>
      </c>
      <c r="B233" t="s">
        <v>1140</v>
      </c>
      <c r="C233" t="s">
        <v>606</v>
      </c>
      <c r="D233" s="50" t="s">
        <v>1141</v>
      </c>
      <c r="E233" s="50" t="s">
        <v>763</v>
      </c>
      <c r="F233" s="35">
        <v>20399.98</v>
      </c>
      <c r="G233" t="s">
        <v>913</v>
      </c>
      <c r="H233" t="s">
        <v>914</v>
      </c>
    </row>
    <row r="234" spans="1:8" ht="15" customHeight="1">
      <c r="A234" s="71">
        <v>46119.430838807901</v>
      </c>
      <c r="B234" t="s">
        <v>1140</v>
      </c>
      <c r="C234" t="s">
        <v>608</v>
      </c>
      <c r="D234" s="50" t="s">
        <v>1141</v>
      </c>
      <c r="E234" s="50" t="s">
        <v>763</v>
      </c>
      <c r="F234" s="35">
        <v>20399.98</v>
      </c>
      <c r="G234" t="s">
        <v>913</v>
      </c>
      <c r="H234" t="s">
        <v>914</v>
      </c>
    </row>
    <row r="235" spans="1:8" ht="15" customHeight="1">
      <c r="A235" s="71">
        <v>46119.461431099502</v>
      </c>
      <c r="B235" t="s">
        <v>1142</v>
      </c>
      <c r="C235" t="str">
        <f>_xlfn.TEXTAFTER(TRIM(tblComprasPM[[#This Row],[Descripcion]]), " ", -1)</f>
        <v>CD-136</v>
      </c>
      <c r="D235" s="50" t="s">
        <v>1143</v>
      </c>
      <c r="E235" s="50" t="s">
        <v>763</v>
      </c>
      <c r="F235" s="35">
        <v>54299.973700000002</v>
      </c>
      <c r="G235" s="41" t="s">
        <v>913</v>
      </c>
      <c r="H235" s="42" t="s">
        <v>914</v>
      </c>
    </row>
    <row r="236" spans="1:8" ht="15" customHeight="1">
      <c r="A236" s="71">
        <v>46121.485532835701</v>
      </c>
      <c r="B236" t="s">
        <v>1144</v>
      </c>
      <c r="C236" t="str">
        <f>_xlfn.TEXTAFTER(TRIM(tblComprasPM[[#This Row],[Descripcion]]), " ", -1)</f>
        <v>ED-73</v>
      </c>
      <c r="D236" s="50" t="s">
        <v>1145</v>
      </c>
      <c r="E236" s="50" t="s">
        <v>763</v>
      </c>
      <c r="F236" s="35">
        <v>39400.9</v>
      </c>
      <c r="G236" s="41" t="s">
        <v>913</v>
      </c>
      <c r="H236" s="42" t="s">
        <v>914</v>
      </c>
    </row>
    <row r="237" spans="1:8" ht="15" customHeight="1">
      <c r="A237" s="71">
        <v>46122.500261539397</v>
      </c>
      <c r="B237" t="s">
        <v>1146</v>
      </c>
      <c r="C237" t="str">
        <f>_xlfn.TEXTAFTER(TRIM(tblComprasPM[[#This Row],[Descripcion]]), " ", -1)</f>
        <v>VD-84</v>
      </c>
      <c r="D237" s="50" t="s">
        <v>1147</v>
      </c>
      <c r="E237" s="50" t="s">
        <v>763</v>
      </c>
      <c r="F237" s="35">
        <v>9799.65</v>
      </c>
      <c r="G237" s="41" t="s">
        <v>913</v>
      </c>
      <c r="H237" s="42" t="s">
        <v>914</v>
      </c>
    </row>
    <row r="238" spans="1:8" ht="15" customHeight="1">
      <c r="A238" s="71">
        <v>46127</v>
      </c>
      <c r="B238" t="s">
        <v>1148</v>
      </c>
      <c r="C238" t="s">
        <v>626</v>
      </c>
      <c r="D238" s="50" t="s">
        <v>1149</v>
      </c>
      <c r="E238" s="50" t="s">
        <v>763</v>
      </c>
      <c r="F238" s="35">
        <v>24499.97</v>
      </c>
      <c r="G238" t="s">
        <v>913</v>
      </c>
      <c r="H238" t="s">
        <v>914</v>
      </c>
    </row>
    <row r="239" spans="1:8" ht="15" customHeight="1">
      <c r="A239" s="71">
        <v>46127</v>
      </c>
      <c r="B239" t="s">
        <v>1148</v>
      </c>
      <c r="C239" t="s">
        <v>628</v>
      </c>
      <c r="D239" s="50" t="s">
        <v>1149</v>
      </c>
      <c r="E239" s="50" t="s">
        <v>763</v>
      </c>
      <c r="F239" s="35">
        <v>24499.97</v>
      </c>
      <c r="G239" t="s">
        <v>913</v>
      </c>
      <c r="H239" t="s">
        <v>914</v>
      </c>
    </row>
    <row r="240" spans="1:8" ht="15" customHeight="1">
      <c r="A240" s="71">
        <v>46127</v>
      </c>
      <c r="B240" t="s">
        <v>1148</v>
      </c>
      <c r="C240" t="s">
        <v>630</v>
      </c>
      <c r="D240" s="50" t="s">
        <v>1149</v>
      </c>
      <c r="E240" s="50" t="s">
        <v>763</v>
      </c>
      <c r="F240" s="35">
        <v>24499.97</v>
      </c>
      <c r="G240" t="s">
        <v>913</v>
      </c>
      <c r="H240" t="s">
        <v>914</v>
      </c>
    </row>
    <row r="241" spans="1:8" ht="15" customHeight="1">
      <c r="A241" s="71">
        <v>46127</v>
      </c>
      <c r="B241" t="s">
        <v>1148</v>
      </c>
      <c r="C241" t="s">
        <v>632</v>
      </c>
      <c r="D241" s="50" t="s">
        <v>1149</v>
      </c>
      <c r="E241" s="50" t="s">
        <v>763</v>
      </c>
      <c r="F241" s="35">
        <v>24499.97</v>
      </c>
      <c r="G241" t="s">
        <v>913</v>
      </c>
      <c r="H241" t="s">
        <v>914</v>
      </c>
    </row>
    <row r="242" spans="1:8" ht="15" customHeight="1">
      <c r="A242" s="71">
        <v>46127</v>
      </c>
      <c r="B242" t="s">
        <v>1148</v>
      </c>
      <c r="C242" t="s">
        <v>634</v>
      </c>
      <c r="D242" s="50" t="s">
        <v>1149</v>
      </c>
      <c r="E242" s="50" t="s">
        <v>763</v>
      </c>
      <c r="F242" s="35">
        <v>24499.97</v>
      </c>
      <c r="G242" t="s">
        <v>913</v>
      </c>
      <c r="H242" t="s">
        <v>914</v>
      </c>
    </row>
    <row r="243" spans="1:8" ht="15" customHeight="1">
      <c r="A243" s="71">
        <v>46127</v>
      </c>
      <c r="B243" t="s">
        <v>1148</v>
      </c>
      <c r="C243" t="s">
        <v>636</v>
      </c>
      <c r="D243" s="50" t="s">
        <v>1149</v>
      </c>
      <c r="E243" s="50" t="s">
        <v>763</v>
      </c>
      <c r="F243" s="35">
        <v>24499.97</v>
      </c>
      <c r="G243" t="s">
        <v>913</v>
      </c>
      <c r="H243" t="s">
        <v>914</v>
      </c>
    </row>
    <row r="244" spans="1:8" ht="15" customHeight="1">
      <c r="A244" s="71">
        <v>46127</v>
      </c>
      <c r="B244" t="s">
        <v>1148</v>
      </c>
      <c r="C244" t="s">
        <v>638</v>
      </c>
      <c r="D244" s="50" t="s">
        <v>1149</v>
      </c>
      <c r="E244" s="50" t="s">
        <v>763</v>
      </c>
      <c r="F244" s="35">
        <v>24499.97</v>
      </c>
      <c r="G244" t="s">
        <v>913</v>
      </c>
      <c r="H244" t="s">
        <v>914</v>
      </c>
    </row>
    <row r="245" spans="1:8" ht="15" customHeight="1">
      <c r="A245" s="71">
        <v>46127</v>
      </c>
      <c r="B245" t="s">
        <v>1148</v>
      </c>
      <c r="C245" t="s">
        <v>639</v>
      </c>
      <c r="D245" s="50" t="s">
        <v>1149</v>
      </c>
      <c r="E245" s="50" t="s">
        <v>763</v>
      </c>
      <c r="F245" s="35">
        <v>24499.97</v>
      </c>
      <c r="G245" t="s">
        <v>913</v>
      </c>
      <c r="H245" t="s">
        <v>914</v>
      </c>
    </row>
    <row r="246" spans="1:8" ht="15" customHeight="1">
      <c r="A246" s="71">
        <v>46127</v>
      </c>
      <c r="B246" t="s">
        <v>1148</v>
      </c>
      <c r="C246" t="s">
        <v>641</v>
      </c>
      <c r="D246" s="50" t="s">
        <v>1149</v>
      </c>
      <c r="E246" s="50" t="s">
        <v>763</v>
      </c>
      <c r="F246" s="35">
        <v>24499.97</v>
      </c>
      <c r="G246" t="s">
        <v>913</v>
      </c>
      <c r="H246" t="s">
        <v>914</v>
      </c>
    </row>
    <row r="247" spans="1:8" ht="15" customHeight="1">
      <c r="A247" s="71">
        <v>46127</v>
      </c>
      <c r="B247" t="s">
        <v>1148</v>
      </c>
      <c r="C247" t="s">
        <v>643</v>
      </c>
      <c r="D247" s="50" t="s">
        <v>1149</v>
      </c>
      <c r="E247" s="50" t="s">
        <v>763</v>
      </c>
      <c r="F247" s="35">
        <v>24499.97</v>
      </c>
      <c r="G247" t="s">
        <v>913</v>
      </c>
      <c r="H247" t="s">
        <v>914</v>
      </c>
    </row>
    <row r="248" spans="1:8" ht="15" customHeight="1">
      <c r="A248" s="71">
        <v>46128.371488044002</v>
      </c>
      <c r="B248" t="s">
        <v>1150</v>
      </c>
      <c r="C248" t="str">
        <f>_xlfn.TEXTAFTER(TRIM(tblComprasPM[[#This Row],[Descripcion]]), " ", -1)</f>
        <v>CD-108</v>
      </c>
      <c r="D248" s="50" t="s">
        <v>1151</v>
      </c>
      <c r="E248" s="50" t="s">
        <v>763</v>
      </c>
      <c r="F248" s="35">
        <v>178599.96356999999</v>
      </c>
      <c r="G248" s="41" t="s">
        <v>913</v>
      </c>
      <c r="H248" s="42" t="s">
        <v>914</v>
      </c>
    </row>
    <row r="249" spans="1:8" ht="15" customHeight="1">
      <c r="A249" s="71">
        <v>46128.519272141202</v>
      </c>
      <c r="B249" t="s">
        <v>1152</v>
      </c>
      <c r="C249" t="str">
        <f>_xlfn.TEXTAFTER(TRIM(tblComprasPM[[#This Row],[Descripcion]]), " ", -1)</f>
        <v>CD-113</v>
      </c>
      <c r="D249" s="50" t="s">
        <v>1153</v>
      </c>
      <c r="E249" s="50" t="s">
        <v>763</v>
      </c>
      <c r="F249" s="35">
        <v>13800.43</v>
      </c>
      <c r="G249" s="41" t="s">
        <v>913</v>
      </c>
      <c r="H249" s="42" t="s">
        <v>914</v>
      </c>
    </row>
    <row r="250" spans="1:8" ht="15" customHeight="1">
      <c r="A250" s="71">
        <v>46128.535379282403</v>
      </c>
      <c r="B250" t="s">
        <v>1154</v>
      </c>
      <c r="C250" t="str">
        <f>_xlfn.TEXTAFTER(TRIM(tblComprasPM[[#This Row],[Descripcion]]), " ", -1)</f>
        <v>CD-137</v>
      </c>
      <c r="D250" s="50" t="s">
        <v>1155</v>
      </c>
      <c r="E250" s="50" t="s">
        <v>762</v>
      </c>
      <c r="F250" s="35">
        <v>223858.04</v>
      </c>
      <c r="G250" t="s">
        <v>913</v>
      </c>
      <c r="H250" t="s">
        <v>914</v>
      </c>
    </row>
    <row r="251" spans="1:8" ht="15" customHeight="1">
      <c r="A251" s="71">
        <v>46129.615965543999</v>
      </c>
      <c r="B251" t="s">
        <v>1156</v>
      </c>
      <c r="C251" t="str">
        <f>_xlfn.TEXTAFTER(TRIM(tblComprasPM[[#This Row],[Descripcion]]), " ", -1)</f>
        <v>MD-140</v>
      </c>
      <c r="D251" t="s">
        <v>1157</v>
      </c>
      <c r="E251" t="s">
        <v>767</v>
      </c>
      <c r="F251" s="35">
        <v>81611.39</v>
      </c>
      <c r="G251" t="s">
        <v>913</v>
      </c>
      <c r="H251" t="s">
        <v>914</v>
      </c>
    </row>
    <row r="252" spans="1:8" ht="15" customHeight="1">
      <c r="A252" s="71">
        <v>46129.616025381903</v>
      </c>
      <c r="B252" t="s">
        <v>1152</v>
      </c>
      <c r="C252" t="str">
        <f>_xlfn.TEXTAFTER(TRIM(tblComprasPM[[#This Row],[Descripcion]]), " ", -1)</f>
        <v>CD-113</v>
      </c>
      <c r="D252" t="s">
        <v>1153</v>
      </c>
      <c r="E252" t="s">
        <v>763</v>
      </c>
      <c r="F252" s="35">
        <v>13800.43</v>
      </c>
      <c r="G252" t="s">
        <v>913</v>
      </c>
      <c r="H252" s="42" t="s">
        <v>914</v>
      </c>
    </row>
    <row r="253" spans="1:8" ht="15" customHeight="1">
      <c r="A253" s="71">
        <v>46129.616075844897</v>
      </c>
      <c r="B253" t="s">
        <v>1154</v>
      </c>
      <c r="C253" t="str">
        <f>_xlfn.TEXTAFTER(TRIM(tblComprasPM[[#This Row],[Descripcion]]), " ", -1)</f>
        <v>CD-137</v>
      </c>
      <c r="D253" t="s">
        <v>1155</v>
      </c>
      <c r="E253" t="s">
        <v>762</v>
      </c>
      <c r="F253" s="35">
        <v>223858.04</v>
      </c>
      <c r="G253" t="s">
        <v>913</v>
      </c>
      <c r="H253" s="42" t="s">
        <v>914</v>
      </c>
    </row>
    <row r="254" spans="1:8" ht="15" customHeight="1">
      <c r="A254" s="71">
        <v>46129.616176585601</v>
      </c>
      <c r="B254" t="s">
        <v>1158</v>
      </c>
      <c r="C254" t="str">
        <f>_xlfn.TEXTAFTER(TRIM(tblComprasPM[[#This Row],[Descripcion]]), " ", -1)</f>
        <v>CD-101</v>
      </c>
      <c r="D254" t="s">
        <v>1159</v>
      </c>
      <c r="E254" t="s">
        <v>1160</v>
      </c>
      <c r="F254" s="35">
        <v>547085.84</v>
      </c>
      <c r="G254" t="s">
        <v>913</v>
      </c>
      <c r="H254" t="s">
        <v>914</v>
      </c>
    </row>
    <row r="255" spans="1:8" ht="15" customHeight="1">
      <c r="A255" s="71">
        <v>46132.7142520833</v>
      </c>
      <c r="B255" t="s">
        <v>1161</v>
      </c>
      <c r="C255" t="str">
        <f>_xlfn.TEXTAFTER(TRIM(tblComprasPM[[#This Row],[Descripcion]]), " ", -1)</f>
        <v>MD-95</v>
      </c>
      <c r="D255" t="s">
        <v>1162</v>
      </c>
      <c r="E255" t="s">
        <v>762</v>
      </c>
      <c r="F255" s="35">
        <v>149861.46</v>
      </c>
      <c r="G255" t="s">
        <v>913</v>
      </c>
      <c r="H255" t="s">
        <v>914</v>
      </c>
    </row>
    <row r="256" spans="1:8" ht="15" customHeight="1">
      <c r="A256" s="71">
        <v>46132.714388622699</v>
      </c>
      <c r="B256" t="s">
        <v>1163</v>
      </c>
      <c r="C256" t="str">
        <f>_xlfn.TEXTAFTER(TRIM(tblComprasPM[[#This Row],[Descripcion]]), " ", -1)</f>
        <v>MD-55</v>
      </c>
      <c r="D256" t="s">
        <v>1164</v>
      </c>
      <c r="E256" t="s">
        <v>1160</v>
      </c>
      <c r="F256" s="35">
        <v>549049</v>
      </c>
      <c r="G256" t="s">
        <v>913</v>
      </c>
      <c r="H256" s="42" t="s">
        <v>914</v>
      </c>
    </row>
    <row r="257" spans="1:8" ht="15" customHeight="1">
      <c r="A257" s="71">
        <v>46132.714388622699</v>
      </c>
      <c r="B257" t="s">
        <v>1163</v>
      </c>
      <c r="C257" t="str">
        <f>_xlfn.TEXTAFTER(TRIM(tblComprasPM[[#This Row],[Descripcion]]), " ", -1)</f>
        <v>MD-66</v>
      </c>
      <c r="D257" t="s">
        <v>1165</v>
      </c>
      <c r="E257" t="s">
        <v>1160</v>
      </c>
      <c r="F257" s="35">
        <v>546049</v>
      </c>
      <c r="G257" t="s">
        <v>913</v>
      </c>
      <c r="H257" s="42" t="s">
        <v>914</v>
      </c>
    </row>
    <row r="258" spans="1:8" ht="15" customHeight="1">
      <c r="A258" s="71">
        <v>46132.714388622699</v>
      </c>
      <c r="B258" t="s">
        <v>1163</v>
      </c>
      <c r="C258" t="str">
        <f>_xlfn.TEXTAFTER(TRIM(tblComprasPM[[#This Row],[Descripcion]]), " ", -1)</f>
        <v>MD-102</v>
      </c>
      <c r="D258" t="s">
        <v>1166</v>
      </c>
      <c r="E258" t="s">
        <v>1160</v>
      </c>
      <c r="F258" s="35">
        <v>546049</v>
      </c>
      <c r="G258" t="s">
        <v>913</v>
      </c>
      <c r="H258" t="s">
        <v>914</v>
      </c>
    </row>
    <row r="259" spans="1:8" ht="15" customHeight="1">
      <c r="A259" s="71">
        <v>46133.517267361101</v>
      </c>
      <c r="B259" t="s">
        <v>1167</v>
      </c>
      <c r="C259" t="str">
        <f>_xlfn.TEXTAFTER(TRIM(tblComprasPM[[#This Row],[Descripcion]]), " ", -1)</f>
        <v>MD-76</v>
      </c>
      <c r="D259" t="s">
        <v>1168</v>
      </c>
      <c r="E259" t="s">
        <v>1169</v>
      </c>
      <c r="F259" s="35">
        <v>456242.43</v>
      </c>
      <c r="G259" t="s">
        <v>913</v>
      </c>
      <c r="H259" t="s">
        <v>914</v>
      </c>
    </row>
    <row r="260" spans="1:8" ht="15" customHeight="1">
      <c r="A260" s="71">
        <v>46136.449583715301</v>
      </c>
      <c r="B260" t="s">
        <v>1170</v>
      </c>
      <c r="C260" t="s">
        <v>171</v>
      </c>
      <c r="D260" t="s">
        <v>1171</v>
      </c>
      <c r="E260" t="s">
        <v>763</v>
      </c>
      <c r="F260" s="35">
        <v>40199.980000000003</v>
      </c>
      <c r="G260" t="s">
        <v>913</v>
      </c>
      <c r="H260" s="42" t="s">
        <v>914</v>
      </c>
    </row>
    <row r="261" spans="1:8" ht="15" customHeight="1">
      <c r="A261" s="71">
        <v>46136.449583715301</v>
      </c>
      <c r="B261" t="s">
        <v>1170</v>
      </c>
      <c r="C261" t="s">
        <v>173</v>
      </c>
      <c r="D261" t="s">
        <v>1171</v>
      </c>
      <c r="E261" t="s">
        <v>763</v>
      </c>
      <c r="F261" s="35">
        <v>40199.980000000003</v>
      </c>
      <c r="G261" t="s">
        <v>913</v>
      </c>
      <c r="H261" t="s">
        <v>914</v>
      </c>
    </row>
    <row r="262" spans="1:8" ht="15" customHeight="1">
      <c r="A262" s="71">
        <v>46136.6736726042</v>
      </c>
      <c r="B262" t="s">
        <v>1172</v>
      </c>
      <c r="C262" t="s">
        <v>528</v>
      </c>
      <c r="D262" t="s">
        <v>1173</v>
      </c>
      <c r="E262" t="s">
        <v>763</v>
      </c>
      <c r="F262" s="35">
        <v>23799.98</v>
      </c>
      <c r="G262" t="s">
        <v>913</v>
      </c>
      <c r="H262" s="42" t="s">
        <v>914</v>
      </c>
    </row>
    <row r="263" spans="1:8" ht="15" customHeight="1">
      <c r="A263" s="71">
        <v>46136.6736726042</v>
      </c>
      <c r="B263" t="s">
        <v>1172</v>
      </c>
      <c r="C263" t="s">
        <v>530</v>
      </c>
      <c r="D263" t="s">
        <v>1173</v>
      </c>
      <c r="E263" t="s">
        <v>763</v>
      </c>
      <c r="F263" s="35">
        <v>23799.98</v>
      </c>
      <c r="G263" t="s">
        <v>913</v>
      </c>
      <c r="H263" s="42" t="s">
        <v>914</v>
      </c>
    </row>
    <row r="264" spans="1:8" ht="15" customHeight="1">
      <c r="A264" s="71">
        <v>46136.6736726042</v>
      </c>
      <c r="B264" t="s">
        <v>1172</v>
      </c>
      <c r="C264" t="s">
        <v>532</v>
      </c>
      <c r="D264" t="s">
        <v>1173</v>
      </c>
      <c r="E264" t="s">
        <v>763</v>
      </c>
      <c r="F264" s="35">
        <v>23799.98</v>
      </c>
      <c r="G264" t="s">
        <v>913</v>
      </c>
      <c r="H264" t="s">
        <v>914</v>
      </c>
    </row>
    <row r="265" spans="1:8" ht="15" customHeight="1">
      <c r="A265" s="71">
        <v>46136.6736726042</v>
      </c>
      <c r="B265" t="s">
        <v>1172</v>
      </c>
      <c r="C265" t="s">
        <v>534</v>
      </c>
      <c r="D265" t="s">
        <v>1173</v>
      </c>
      <c r="E265" t="s">
        <v>763</v>
      </c>
      <c r="F265" s="35">
        <v>23799.98</v>
      </c>
      <c r="G265" t="s">
        <v>913</v>
      </c>
      <c r="H265" s="42" t="s">
        <v>914</v>
      </c>
    </row>
    <row r="266" spans="1:8" ht="15" customHeight="1">
      <c r="A266" s="71">
        <v>46136.6736726042</v>
      </c>
      <c r="B266" t="s">
        <v>1172</v>
      </c>
      <c r="C266" t="s">
        <v>536</v>
      </c>
      <c r="D266" t="s">
        <v>1173</v>
      </c>
      <c r="E266" t="s">
        <v>763</v>
      </c>
      <c r="F266" s="35">
        <v>23799.98</v>
      </c>
      <c r="G266" t="s">
        <v>913</v>
      </c>
      <c r="H266" s="42" t="s">
        <v>914</v>
      </c>
    </row>
    <row r="267" spans="1:8" ht="15" customHeight="1">
      <c r="A267" s="71">
        <v>46136.6736726042</v>
      </c>
      <c r="B267" t="s">
        <v>1172</v>
      </c>
      <c r="C267" t="s">
        <v>538</v>
      </c>
      <c r="D267" t="s">
        <v>1173</v>
      </c>
      <c r="E267" t="s">
        <v>763</v>
      </c>
      <c r="F267" s="35">
        <v>23799.98</v>
      </c>
      <c r="G267" t="s">
        <v>913</v>
      </c>
      <c r="H267" t="s">
        <v>914</v>
      </c>
    </row>
    <row r="268" spans="1:8" ht="15" customHeight="1">
      <c r="A268" s="71">
        <v>46136.6736726042</v>
      </c>
      <c r="B268" t="s">
        <v>1172</v>
      </c>
      <c r="C268" t="s">
        <v>540</v>
      </c>
      <c r="D268" t="s">
        <v>1173</v>
      </c>
      <c r="E268" t="s">
        <v>763</v>
      </c>
      <c r="F268" s="35">
        <v>23799.98</v>
      </c>
      <c r="G268" t="s">
        <v>913</v>
      </c>
      <c r="H268" s="42" t="s">
        <v>914</v>
      </c>
    </row>
    <row r="269" spans="1:8" ht="15" customHeight="1">
      <c r="A269" s="71">
        <v>46136.6736726042</v>
      </c>
      <c r="B269" t="s">
        <v>1172</v>
      </c>
      <c r="C269" t="s">
        <v>542</v>
      </c>
      <c r="D269" t="s">
        <v>1173</v>
      </c>
      <c r="E269" t="s">
        <v>763</v>
      </c>
      <c r="F269" s="35">
        <v>23799.98</v>
      </c>
      <c r="G269" t="s">
        <v>913</v>
      </c>
      <c r="H269" s="42" t="s">
        <v>914</v>
      </c>
    </row>
    <row r="270" spans="1:8" ht="15" customHeight="1">
      <c r="A270" s="71">
        <v>46136.6736726042</v>
      </c>
      <c r="B270" t="s">
        <v>1172</v>
      </c>
      <c r="C270" t="s">
        <v>544</v>
      </c>
      <c r="D270" t="s">
        <v>1173</v>
      </c>
      <c r="E270" t="s">
        <v>763</v>
      </c>
      <c r="F270" s="35">
        <v>23799.98</v>
      </c>
      <c r="G270" t="s">
        <v>913</v>
      </c>
      <c r="H270" t="s">
        <v>914</v>
      </c>
    </row>
    <row r="271" spans="1:8" ht="15" customHeight="1">
      <c r="A271" s="71">
        <v>46136.6736726042</v>
      </c>
      <c r="B271" t="s">
        <v>1172</v>
      </c>
      <c r="C271" t="s">
        <v>546</v>
      </c>
      <c r="D271" t="s">
        <v>1173</v>
      </c>
      <c r="E271" t="s">
        <v>763</v>
      </c>
      <c r="F271" s="35">
        <v>23799.98</v>
      </c>
      <c r="G271" t="s">
        <v>913</v>
      </c>
      <c r="H271" s="42" t="s">
        <v>914</v>
      </c>
    </row>
    <row r="272" spans="1:8" ht="15" customHeight="1">
      <c r="A272" s="71">
        <v>46139.565101770801</v>
      </c>
      <c r="B272" t="s">
        <v>1174</v>
      </c>
      <c r="C272" t="str">
        <f>_xlfn.TEXTAFTER(TRIM(tblComprasPM[[#This Row],[Descripcion]]), " ", -1)</f>
        <v>CD-118</v>
      </c>
      <c r="D272" t="s">
        <v>1175</v>
      </c>
      <c r="E272" t="s">
        <v>767</v>
      </c>
      <c r="F272" s="35">
        <v>155392.57999999999</v>
      </c>
      <c r="G272" t="s">
        <v>913</v>
      </c>
      <c r="H272" t="s">
        <v>914</v>
      </c>
    </row>
    <row r="273" spans="1:8" ht="15" customHeight="1">
      <c r="A273" s="71">
        <v>46139.649283877297</v>
      </c>
      <c r="B273" t="s">
        <v>1176</v>
      </c>
      <c r="C273" t="str">
        <f>_xlfn.TEXTAFTER(TRIM(tblComprasPM[[#This Row],[Descripcion]]), " ", -1)</f>
        <v>MD-107</v>
      </c>
      <c r="D273" t="s">
        <v>1177</v>
      </c>
      <c r="E273" t="s">
        <v>767</v>
      </c>
      <c r="F273" s="35">
        <v>264075.28000000003</v>
      </c>
      <c r="G273" t="s">
        <v>913</v>
      </c>
      <c r="H273" t="s">
        <v>914</v>
      </c>
    </row>
    <row r="274" spans="1:8" ht="15" customHeight="1">
      <c r="A274" s="71">
        <v>46140.483474918998</v>
      </c>
      <c r="B274" t="s">
        <v>1178</v>
      </c>
      <c r="C274" t="str">
        <f>_xlfn.TEXTAFTER(TRIM(tblComprasPM[[#This Row],[Descripcion]]), " ", -1)</f>
        <v>MD-107</v>
      </c>
      <c r="D274" t="s">
        <v>1177</v>
      </c>
      <c r="E274" t="s">
        <v>767</v>
      </c>
      <c r="F274" s="35">
        <v>27184.36</v>
      </c>
      <c r="G274" t="s">
        <v>913</v>
      </c>
      <c r="H274" s="42" t="s">
        <v>914</v>
      </c>
    </row>
    <row r="275" spans="1:8" ht="15" customHeight="1">
      <c r="A275" s="71">
        <v>46142.533688391202</v>
      </c>
      <c r="B275" t="s">
        <v>1179</v>
      </c>
      <c r="C275" t="str">
        <f>_xlfn.TEXTAFTER(TRIM(tblComprasPM[[#This Row],[Descripcion]]), " ", -1)</f>
        <v>ED-15</v>
      </c>
      <c r="D275" t="s">
        <v>1180</v>
      </c>
      <c r="E275" t="s">
        <v>763</v>
      </c>
      <c r="F275" s="35">
        <v>51599.59</v>
      </c>
      <c r="G275" t="s">
        <v>913</v>
      </c>
      <c r="H275" s="42" t="s">
        <v>914</v>
      </c>
    </row>
    <row r="276" spans="1:8" ht="15" customHeight="1">
      <c r="A276" s="71">
        <v>46142.533763275504</v>
      </c>
      <c r="B276" t="s">
        <v>1181</v>
      </c>
      <c r="C276" t="str">
        <f>_xlfn.TEXTAFTER(TRIM(tblComprasPM[[#This Row],[Descripcion]]), " ", -1)</f>
        <v>MD-51</v>
      </c>
      <c r="D276" t="s">
        <v>1182</v>
      </c>
      <c r="E276" t="s">
        <v>762</v>
      </c>
      <c r="F276" s="35">
        <v>31972.92</v>
      </c>
      <c r="G276" t="s">
        <v>913</v>
      </c>
      <c r="H276" t="s">
        <v>914</v>
      </c>
    </row>
    <row r="277" spans="1:8" ht="15" customHeight="1">
      <c r="A277" s="71">
        <v>46142.533839236101</v>
      </c>
      <c r="B277" t="s">
        <v>1183</v>
      </c>
      <c r="C277" t="str">
        <f>_xlfn.TEXTAFTER(TRIM(tblComprasPM[[#This Row],[Descripcion]]), " ", -1)</f>
        <v>CD-69</v>
      </c>
      <c r="D277" t="s">
        <v>1184</v>
      </c>
      <c r="E277" t="s">
        <v>1185</v>
      </c>
      <c r="F277" s="35">
        <v>452020.31</v>
      </c>
      <c r="G277" t="s">
        <v>913</v>
      </c>
      <c r="H277" t="s">
        <v>914</v>
      </c>
    </row>
    <row r="278" spans="1:8" ht="15" customHeight="1">
      <c r="A278" s="71">
        <v>46142.533922106501</v>
      </c>
      <c r="B278" t="s">
        <v>1186</v>
      </c>
      <c r="C278" t="str">
        <f>_xlfn.TEXTAFTER(TRIM(tblComprasPM[[#This Row],[Descripcion]]), " ", -1)</f>
        <v>CD-96</v>
      </c>
      <c r="D278" t="s">
        <v>1187</v>
      </c>
      <c r="E278" t="s">
        <v>762</v>
      </c>
      <c r="F278" s="35">
        <v>139897.59</v>
      </c>
      <c r="G278" t="s">
        <v>913</v>
      </c>
      <c r="H278" s="42" t="s">
        <v>914</v>
      </c>
    </row>
    <row r="279" spans="1:8" ht="15" customHeight="1">
      <c r="A279" s="71">
        <v>46142.533997338003</v>
      </c>
      <c r="B279" t="s">
        <v>1188</v>
      </c>
      <c r="C279" t="str">
        <f>_xlfn.TEXTAFTER(TRIM(tblComprasPM[[#This Row],[Descripcion]]), " ", -1)</f>
        <v>ED-73</v>
      </c>
      <c r="D279" t="s">
        <v>1189</v>
      </c>
      <c r="E279" t="s">
        <v>762</v>
      </c>
      <c r="F279" s="35">
        <v>30984.03</v>
      </c>
      <c r="G279" t="s">
        <v>913</v>
      </c>
      <c r="H279" s="42" t="s">
        <v>914</v>
      </c>
    </row>
    <row r="280" spans="1:8" ht="15" customHeight="1">
      <c r="A280" s="71">
        <v>46142.5341338773</v>
      </c>
      <c r="B280" t="s">
        <v>1190</v>
      </c>
      <c r="C280" t="str">
        <f>_xlfn.TEXTAFTER(TRIM(tblComprasPM[[#This Row],[Descripcion]]), " ", -1)</f>
        <v>ED-82</v>
      </c>
      <c r="D280" t="s">
        <v>1191</v>
      </c>
      <c r="E280" t="s">
        <v>763</v>
      </c>
      <c r="F280" s="35">
        <v>52799.990599999997</v>
      </c>
      <c r="G280" t="s">
        <v>913</v>
      </c>
      <c r="H280" t="s">
        <v>914</v>
      </c>
    </row>
    <row r="281" spans="1:8" ht="15" customHeight="1">
      <c r="A281" s="71">
        <v>46146.415671678202</v>
      </c>
      <c r="B281" t="s">
        <v>1192</v>
      </c>
      <c r="C281" t="str">
        <f>_xlfn.TEXTAFTER(TRIM(tblComprasPM[[#This Row],[Descripcion]]), " ", -1)</f>
        <v>ED-61</v>
      </c>
      <c r="D281" t="s">
        <v>1193</v>
      </c>
      <c r="E281" t="s">
        <v>762</v>
      </c>
      <c r="F281" s="35">
        <v>10800.44</v>
      </c>
      <c r="G281" t="s">
        <v>913</v>
      </c>
      <c r="H281" t="s">
        <v>914</v>
      </c>
    </row>
    <row r="282" spans="1:8" ht="15" customHeight="1">
      <c r="A282" s="71">
        <v>46146.415785219899</v>
      </c>
      <c r="B282" t="s">
        <v>1194</v>
      </c>
      <c r="C282" t="str">
        <f>_xlfn.TEXTAFTER(TRIM(tblComprasPM[[#This Row],[Descripcion]]), " ", -1)</f>
        <v>CD-128</v>
      </c>
      <c r="D282" t="s">
        <v>1195</v>
      </c>
      <c r="E282" t="s">
        <v>762</v>
      </c>
      <c r="F282" s="35">
        <v>183418.27</v>
      </c>
      <c r="G282" t="s">
        <v>913</v>
      </c>
      <c r="H282" s="42" t="s">
        <v>914</v>
      </c>
    </row>
    <row r="283" spans="1:8" ht="15" customHeight="1">
      <c r="A283" s="71">
        <v>46146.415869710603</v>
      </c>
      <c r="B283" t="s">
        <v>1196</v>
      </c>
      <c r="C283" t="str">
        <f>_xlfn.TEXTAFTER(TRIM(tblComprasPM[[#This Row],[Descripcion]]), " ", -1)</f>
        <v>CD-134</v>
      </c>
      <c r="D283" t="s">
        <v>1197</v>
      </c>
      <c r="E283" t="s">
        <v>762</v>
      </c>
      <c r="F283" s="35">
        <v>162080.38</v>
      </c>
      <c r="G283" t="s">
        <v>913</v>
      </c>
      <c r="H283" s="42" t="s">
        <v>914</v>
      </c>
    </row>
    <row r="284" spans="1:8" ht="15" customHeight="1">
      <c r="A284" s="71">
        <v>46146.415923958302</v>
      </c>
      <c r="B284" t="s">
        <v>1198</v>
      </c>
      <c r="C284" t="str">
        <f>_xlfn.TEXTAFTER(TRIM(tblComprasPM[[#This Row],[Descripcion]]), " ", -1)</f>
        <v>CD-142</v>
      </c>
      <c r="D284" t="s">
        <v>1199</v>
      </c>
      <c r="E284" t="s">
        <v>762</v>
      </c>
      <c r="F284" s="35">
        <v>206297.21</v>
      </c>
      <c r="G284" t="s">
        <v>913</v>
      </c>
      <c r="H284" t="s">
        <v>914</v>
      </c>
    </row>
    <row r="285" spans="1:8" ht="15" customHeight="1">
      <c r="A285" s="71">
        <v>46146.541044791702</v>
      </c>
      <c r="B285" t="s">
        <v>1200</v>
      </c>
      <c r="C285" t="str">
        <f>_xlfn.TEXTAFTER(TRIM(tblComprasPM[[#This Row],[Descripcion]]), " ", -1)</f>
        <v>ED-61</v>
      </c>
      <c r="D285" t="s">
        <v>1193</v>
      </c>
      <c r="E285" t="s">
        <v>763</v>
      </c>
      <c r="F285" s="35">
        <v>19699.997800000001</v>
      </c>
      <c r="G285" t="s">
        <v>913</v>
      </c>
      <c r="H285" t="s">
        <v>914</v>
      </c>
    </row>
    <row r="286" spans="1:8" ht="15" customHeight="1">
      <c r="A286" s="71">
        <v>46146.541249803202</v>
      </c>
      <c r="B286" t="s">
        <v>1201</v>
      </c>
      <c r="C286" t="str">
        <f>_xlfn.TEXTAFTER(TRIM(tblComprasPM[[#This Row],[Descripcion]]), " ", -1)</f>
        <v>CD-108</v>
      </c>
      <c r="D286" t="s">
        <v>1151</v>
      </c>
      <c r="E286" t="s">
        <v>762</v>
      </c>
      <c r="F286" s="35">
        <v>72768.5</v>
      </c>
      <c r="G286" t="s">
        <v>913</v>
      </c>
      <c r="H286" s="42" t="s">
        <v>914</v>
      </c>
    </row>
    <row r="287" spans="1:8" ht="15" customHeight="1">
      <c r="A287" s="71">
        <v>46147.380388888902</v>
      </c>
      <c r="B287" t="s">
        <v>1202</v>
      </c>
      <c r="C287" t="str">
        <f>_xlfn.TEXTAFTER(TRIM(tblComprasPM[[#This Row],[Descripcion]]), " ", -1)</f>
        <v>MD-88</v>
      </c>
      <c r="D287" t="s">
        <v>1203</v>
      </c>
      <c r="E287" t="s">
        <v>923</v>
      </c>
      <c r="F287" s="35">
        <v>447697.04</v>
      </c>
      <c r="G287" t="s">
        <v>913</v>
      </c>
      <c r="H287" s="42" t="s">
        <v>914</v>
      </c>
    </row>
    <row r="288" spans="1:8" ht="15" customHeight="1">
      <c r="A288" s="71">
        <v>46147.386011724499</v>
      </c>
      <c r="B288" t="s">
        <v>1204</v>
      </c>
      <c r="C288" t="str">
        <f>_xlfn.TEXTAFTER(TRIM(tblComprasPM[[#This Row],[Descripcion]]), " ", -1)</f>
        <v>EQP-17</v>
      </c>
      <c r="D288" t="s">
        <v>1205</v>
      </c>
      <c r="E288" t="s">
        <v>762</v>
      </c>
      <c r="F288" s="35">
        <v>359014.67</v>
      </c>
      <c r="G288" t="s">
        <v>913</v>
      </c>
      <c r="H288" t="s">
        <v>914</v>
      </c>
    </row>
    <row r="289" spans="1:8" ht="15" customHeight="1">
      <c r="A289" s="71">
        <v>46147.636475544001</v>
      </c>
      <c r="B289" t="s">
        <v>1204</v>
      </c>
      <c r="C289" t="str">
        <f>_xlfn.TEXTAFTER(TRIM(tblComprasPM[[#This Row],[Descripcion]]), " ", -1)</f>
        <v>EQP-17</v>
      </c>
      <c r="D289" t="s">
        <v>1205</v>
      </c>
      <c r="E289" t="s">
        <v>762</v>
      </c>
      <c r="F289" s="35">
        <v>359014.67</v>
      </c>
      <c r="G289" t="s">
        <v>913</v>
      </c>
      <c r="H289" s="42" t="s">
        <v>914</v>
      </c>
    </row>
    <row r="290" spans="1:8" ht="15" customHeight="1">
      <c r="A290" s="71">
        <v>46148.4678185995</v>
      </c>
      <c r="B290" t="s">
        <v>1206</v>
      </c>
      <c r="C290" t="str">
        <f>_xlfn.TEXTAFTER(TRIM(tblComprasPM[[#This Row],[Descripcion]]), " ", -1)</f>
        <v>MD-73</v>
      </c>
      <c r="D290" t="s">
        <v>1207</v>
      </c>
      <c r="E290" t="s">
        <v>1208</v>
      </c>
      <c r="F290" s="35">
        <v>204967.98</v>
      </c>
      <c r="G290" t="s">
        <v>913</v>
      </c>
      <c r="H290" t="s">
        <v>914</v>
      </c>
    </row>
    <row r="291" spans="1:8" ht="15" customHeight="1">
      <c r="A291" s="71">
        <v>46154.344671180603</v>
      </c>
      <c r="B291" t="s">
        <v>1209</v>
      </c>
      <c r="C291" t="str">
        <f>_xlfn.TEXTAFTER(TRIM(tblComprasPM[[#This Row],[Descripcion]]), " ", -1)</f>
        <v>VD-135</v>
      </c>
      <c r="D291" t="s">
        <v>1210</v>
      </c>
      <c r="E291" t="s">
        <v>763</v>
      </c>
      <c r="F291" s="35">
        <v>24199.9709</v>
      </c>
      <c r="G291" t="s">
        <v>913</v>
      </c>
      <c r="H291" s="42" t="s">
        <v>914</v>
      </c>
    </row>
    <row r="292" spans="1:8" ht="15" customHeight="1">
      <c r="A292" s="71">
        <v>46154.345345023103</v>
      </c>
      <c r="B292" t="s">
        <v>1211</v>
      </c>
      <c r="C292" t="str">
        <f>_xlfn.TEXTAFTER(TRIM(tblComprasPM[[#This Row],[Descripcion]]), " ", -1)</f>
        <v>CD-113</v>
      </c>
      <c r="D292" t="s">
        <v>1212</v>
      </c>
      <c r="E292" t="s">
        <v>763</v>
      </c>
      <c r="F292" s="35">
        <v>90099.981299999999</v>
      </c>
      <c r="G292" t="s">
        <v>913</v>
      </c>
      <c r="H292" s="42" t="s">
        <v>914</v>
      </c>
    </row>
    <row r="293" spans="1:8" ht="15" customHeight="1">
      <c r="A293" s="71">
        <v>46154.380285185202</v>
      </c>
      <c r="B293" t="s">
        <v>1213</v>
      </c>
      <c r="C293" t="str">
        <f>_xlfn.TEXTAFTER(TRIM(tblComprasPM[[#This Row],[Descripcion]]), " ", -1)</f>
        <v>MD-45</v>
      </c>
      <c r="D293" t="s">
        <v>1214</v>
      </c>
      <c r="E293" t="s">
        <v>923</v>
      </c>
      <c r="F293" s="35">
        <v>120362.55</v>
      </c>
      <c r="G293" t="s">
        <v>913</v>
      </c>
      <c r="H293" t="s">
        <v>914</v>
      </c>
    </row>
    <row r="294" spans="1:8" ht="15" customHeight="1">
      <c r="A294" s="71">
        <v>46154.391135497703</v>
      </c>
      <c r="B294" t="s">
        <v>1215</v>
      </c>
      <c r="C294" t="str">
        <f>_xlfn.TEXTAFTER(TRIM(tblComprasPM[[#This Row],[Descripcion]]), " ", -1)</f>
        <v>MD-38</v>
      </c>
      <c r="D294" t="s">
        <v>1216</v>
      </c>
      <c r="E294" t="s">
        <v>767</v>
      </c>
      <c r="F294" s="35">
        <v>234660.86</v>
      </c>
      <c r="G294" t="s">
        <v>913</v>
      </c>
      <c r="H294" t="s">
        <v>914</v>
      </c>
    </row>
    <row r="295" spans="1:8" ht="15" customHeight="1">
      <c r="A295" s="71">
        <v>46154.4859005787</v>
      </c>
      <c r="B295" t="s">
        <v>1217</v>
      </c>
      <c r="C295" t="str">
        <f>_xlfn.TEXTAFTER(TRIM(tblComprasPM[[#This Row],[Descripcion]]), " ", -1)</f>
        <v>ED-63</v>
      </c>
      <c r="D295" t="s">
        <v>1106</v>
      </c>
      <c r="E295" t="s">
        <v>762</v>
      </c>
      <c r="F295" s="35">
        <v>153438.6</v>
      </c>
      <c r="G295" t="s">
        <v>913</v>
      </c>
      <c r="H295" s="42" t="s">
        <v>914</v>
      </c>
    </row>
    <row r="296" spans="1:8" ht="15" customHeight="1">
      <c r="A296" s="71">
        <v>46154.502627812501</v>
      </c>
      <c r="B296" t="s">
        <v>1218</v>
      </c>
      <c r="C296" t="str">
        <f>_xlfn.TEXTAFTER(TRIM(tblComprasPM[[#This Row],[Descripcion]]), " ", -1)</f>
        <v>CD-69</v>
      </c>
      <c r="D296" t="s">
        <v>1184</v>
      </c>
      <c r="E296" t="s">
        <v>1219</v>
      </c>
      <c r="F296" s="35">
        <v>74279.8</v>
      </c>
      <c r="G296" t="s">
        <v>913</v>
      </c>
      <c r="H296" s="42" t="s">
        <v>914</v>
      </c>
    </row>
    <row r="297" spans="1:8" ht="15" customHeight="1">
      <c r="A297" s="71">
        <v>46156.414239004604</v>
      </c>
      <c r="B297" t="s">
        <v>1220</v>
      </c>
      <c r="C297" t="str">
        <f>_xlfn.TEXTAFTER(TRIM(tblComprasPM[[#This Row],[Descripcion]]), " ", -1)</f>
        <v>MD-98</v>
      </c>
      <c r="D297" t="s">
        <v>1221</v>
      </c>
      <c r="E297" t="s">
        <v>923</v>
      </c>
      <c r="F297" s="35">
        <v>100231.32</v>
      </c>
      <c r="G297" t="s">
        <v>913</v>
      </c>
      <c r="H297" t="s">
        <v>914</v>
      </c>
    </row>
    <row r="298" spans="1:8" ht="15" customHeight="1">
      <c r="A298" s="71">
        <v>46161.3715812847</v>
      </c>
      <c r="B298" t="s">
        <v>1222</v>
      </c>
      <c r="C298" t="s">
        <v>494</v>
      </c>
      <c r="D298" t="s">
        <v>1223</v>
      </c>
      <c r="E298" t="s">
        <v>763</v>
      </c>
      <c r="F298" s="35">
        <v>23899.98</v>
      </c>
      <c r="G298" t="s">
        <v>913</v>
      </c>
      <c r="H298" t="s">
        <v>914</v>
      </c>
    </row>
    <row r="299" spans="1:8" ht="15" customHeight="1">
      <c r="A299" s="71">
        <v>46161.3715812847</v>
      </c>
      <c r="B299" t="s">
        <v>1222</v>
      </c>
      <c r="C299" t="s">
        <v>496</v>
      </c>
      <c r="D299" t="s">
        <v>1223</v>
      </c>
      <c r="E299" t="s">
        <v>763</v>
      </c>
      <c r="F299" s="35">
        <v>23899.98</v>
      </c>
      <c r="G299" t="s">
        <v>913</v>
      </c>
      <c r="H299" s="42" t="s">
        <v>914</v>
      </c>
    </row>
    <row r="300" spans="1:8" ht="15" customHeight="1">
      <c r="A300" s="71">
        <v>46161.3715812847</v>
      </c>
      <c r="B300" t="s">
        <v>1222</v>
      </c>
      <c r="C300" t="s">
        <v>498</v>
      </c>
      <c r="D300" t="s">
        <v>1223</v>
      </c>
      <c r="E300" t="s">
        <v>763</v>
      </c>
      <c r="F300" s="35">
        <v>23899.98</v>
      </c>
      <c r="G300" t="s">
        <v>913</v>
      </c>
      <c r="H300" s="42" t="s">
        <v>914</v>
      </c>
    </row>
    <row r="301" spans="1:8" ht="15" customHeight="1">
      <c r="A301" s="71">
        <v>46161.3715812847</v>
      </c>
      <c r="B301" t="s">
        <v>1222</v>
      </c>
      <c r="C301" t="s">
        <v>500</v>
      </c>
      <c r="D301" t="s">
        <v>1223</v>
      </c>
      <c r="E301" t="s">
        <v>763</v>
      </c>
      <c r="F301" s="35">
        <v>23899.98</v>
      </c>
      <c r="G301" t="s">
        <v>913</v>
      </c>
      <c r="H301" t="s">
        <v>914</v>
      </c>
    </row>
    <row r="302" spans="1:8" ht="15" customHeight="1">
      <c r="A302" s="71">
        <v>46161.3715812847</v>
      </c>
      <c r="B302" t="s">
        <v>1222</v>
      </c>
      <c r="C302" t="s">
        <v>502</v>
      </c>
      <c r="D302" t="s">
        <v>1223</v>
      </c>
      <c r="E302" t="s">
        <v>763</v>
      </c>
      <c r="F302" s="35">
        <v>23899.98</v>
      </c>
      <c r="G302" t="s">
        <v>913</v>
      </c>
      <c r="H302" s="42" t="s">
        <v>914</v>
      </c>
    </row>
    <row r="303" spans="1:8" ht="15" customHeight="1">
      <c r="A303" s="71">
        <v>46162</v>
      </c>
      <c r="B303" t="s">
        <v>1224</v>
      </c>
      <c r="C303" t="s">
        <v>606</v>
      </c>
      <c r="D303" t="s">
        <v>1141</v>
      </c>
      <c r="E303" t="s">
        <v>763</v>
      </c>
      <c r="F303" s="35">
        <v>20799.97</v>
      </c>
      <c r="G303" t="s">
        <v>913</v>
      </c>
      <c r="H303" s="42" t="s">
        <v>914</v>
      </c>
    </row>
    <row r="304" spans="1:8" ht="15" customHeight="1">
      <c r="A304" s="71">
        <v>46162</v>
      </c>
      <c r="B304" t="s">
        <v>1224</v>
      </c>
      <c r="C304" t="s">
        <v>608</v>
      </c>
      <c r="D304" t="s">
        <v>1141</v>
      </c>
      <c r="E304" t="s">
        <v>763</v>
      </c>
      <c r="F304" s="35">
        <v>20799.97</v>
      </c>
      <c r="G304" t="s">
        <v>913</v>
      </c>
      <c r="H304" t="s">
        <v>914</v>
      </c>
    </row>
    <row r="305" spans="1:8" ht="15" customHeight="1">
      <c r="A305" s="71">
        <v>46162</v>
      </c>
      <c r="B305" t="s">
        <v>1224</v>
      </c>
      <c r="C305" t="s">
        <v>610</v>
      </c>
      <c r="D305" t="s">
        <v>1141</v>
      </c>
      <c r="E305" t="s">
        <v>763</v>
      </c>
      <c r="F305" s="35">
        <v>20799.97</v>
      </c>
      <c r="G305" t="s">
        <v>913</v>
      </c>
      <c r="H305" s="42" t="s">
        <v>914</v>
      </c>
    </row>
    <row r="306" spans="1:8" ht="15" customHeight="1">
      <c r="A306" s="71">
        <v>46162.422470868099</v>
      </c>
      <c r="B306" t="s">
        <v>1225</v>
      </c>
      <c r="C306" t="str">
        <f>_xlfn.TEXTAFTER(TRIM(tblComprasPM[[#This Row],[Descripcion]]), " ", -1)</f>
        <v>ED-63</v>
      </c>
      <c r="D306" t="s">
        <v>1106</v>
      </c>
      <c r="E306" t="s">
        <v>763</v>
      </c>
      <c r="F306" s="35">
        <v>19700.45</v>
      </c>
      <c r="G306" t="s">
        <v>913</v>
      </c>
      <c r="H306" s="42" t="s">
        <v>914</v>
      </c>
    </row>
    <row r="307" spans="1:8" ht="15" customHeight="1">
      <c r="A307" s="71">
        <v>46162.424154247703</v>
      </c>
      <c r="B307" t="s">
        <v>1226</v>
      </c>
      <c r="C307" t="s">
        <v>518</v>
      </c>
      <c r="D307" t="s">
        <v>1227</v>
      </c>
      <c r="E307" t="s">
        <v>763</v>
      </c>
      <c r="F307" s="35">
        <v>17800.02</v>
      </c>
      <c r="G307" t="s">
        <v>913</v>
      </c>
      <c r="H307" s="42" t="s">
        <v>914</v>
      </c>
    </row>
    <row r="308" spans="1:8" ht="15" customHeight="1">
      <c r="A308" s="71">
        <v>46162.424154247703</v>
      </c>
      <c r="B308" t="s">
        <v>1226</v>
      </c>
      <c r="C308" t="s">
        <v>520</v>
      </c>
      <c r="D308" t="s">
        <v>1227</v>
      </c>
      <c r="E308" t="s">
        <v>763</v>
      </c>
      <c r="F308" s="35">
        <v>17800.02</v>
      </c>
      <c r="G308" t="s">
        <v>913</v>
      </c>
      <c r="H308" t="s">
        <v>914</v>
      </c>
    </row>
    <row r="309" spans="1:8" ht="15" customHeight="1">
      <c r="A309" s="71">
        <v>46162.424154247703</v>
      </c>
      <c r="B309" t="s">
        <v>1226</v>
      </c>
      <c r="C309" t="s">
        <v>522</v>
      </c>
      <c r="D309" t="s">
        <v>1227</v>
      </c>
      <c r="E309" t="s">
        <v>763</v>
      </c>
      <c r="F309" s="35">
        <v>17800.02</v>
      </c>
      <c r="G309" t="s">
        <v>913</v>
      </c>
      <c r="H309" s="42" t="s">
        <v>914</v>
      </c>
    </row>
    <row r="310" spans="1:8" ht="15" customHeight="1">
      <c r="A310" s="71">
        <v>46162.424154247703</v>
      </c>
      <c r="B310" t="s">
        <v>1226</v>
      </c>
      <c r="C310" t="s">
        <v>524</v>
      </c>
      <c r="D310" t="s">
        <v>1227</v>
      </c>
      <c r="E310" t="s">
        <v>763</v>
      </c>
      <c r="F310" s="35">
        <v>17800.02</v>
      </c>
      <c r="G310" t="s">
        <v>913</v>
      </c>
      <c r="H310" t="s">
        <v>914</v>
      </c>
    </row>
    <row r="311" spans="1:8" ht="15" customHeight="1">
      <c r="A311" s="71">
        <v>46162.426806828698</v>
      </c>
      <c r="B311" t="s">
        <v>1228</v>
      </c>
      <c r="C311" t="str">
        <f>_xlfn.TEXTAFTER(TRIM(tblComprasPM[[#This Row],[Descripcion]]), " ", -1)</f>
        <v>VD-132</v>
      </c>
      <c r="D311" t="s">
        <v>1229</v>
      </c>
      <c r="E311" t="s">
        <v>1230</v>
      </c>
      <c r="F311" s="35">
        <v>148001.98980000001</v>
      </c>
      <c r="G311" t="s">
        <v>913</v>
      </c>
      <c r="H311" t="s">
        <v>914</v>
      </c>
    </row>
    <row r="312" spans="1:8" ht="15" customHeight="1">
      <c r="A312" s="71">
        <v>46162.427425000002</v>
      </c>
      <c r="B312" t="s">
        <v>1231</v>
      </c>
      <c r="C312" t="str">
        <f>_xlfn.TEXTAFTER(TRIM(tblComprasPM[[#This Row],[Descripcion]]), " ", -1)</f>
        <v>VD-84</v>
      </c>
      <c r="D312" t="s">
        <v>1090</v>
      </c>
      <c r="E312" t="s">
        <v>763</v>
      </c>
      <c r="F312" s="35">
        <v>26299.9758</v>
      </c>
      <c r="G312" t="s">
        <v>913</v>
      </c>
      <c r="H312" t="s">
        <v>914</v>
      </c>
    </row>
    <row r="313" spans="1:8" ht="15" customHeight="1">
      <c r="A313" s="71">
        <v>46162.5197619213</v>
      </c>
      <c r="B313" t="s">
        <v>1232</v>
      </c>
      <c r="C313" t="str">
        <f>_xlfn.TEXTAFTER(TRIM(tblComprasPM[[#This Row],[Descripcion]]), " ", -1)</f>
        <v>CD-118</v>
      </c>
      <c r="D313" t="s">
        <v>1175</v>
      </c>
      <c r="E313" t="s">
        <v>763</v>
      </c>
      <c r="F313" s="35">
        <v>70199.992100000003</v>
      </c>
      <c r="G313" t="s">
        <v>913</v>
      </c>
      <c r="H313" s="42" t="s">
        <v>914</v>
      </c>
    </row>
    <row r="314" spans="1:8" ht="15" customHeight="1">
      <c r="A314" s="71">
        <v>46162.522222997701</v>
      </c>
      <c r="B314" t="s">
        <v>1224</v>
      </c>
      <c r="C314" t="s">
        <v>604</v>
      </c>
      <c r="D314" t="s">
        <v>1141</v>
      </c>
      <c r="E314" t="s">
        <v>763</v>
      </c>
      <c r="F314" s="35">
        <v>20799.97</v>
      </c>
      <c r="G314" t="s">
        <v>913</v>
      </c>
      <c r="H314" s="42" t="s">
        <v>914</v>
      </c>
    </row>
    <row r="315" spans="1:8" ht="15" customHeight="1">
      <c r="A315" s="71">
        <v>46162.522222997701</v>
      </c>
      <c r="B315" t="s">
        <v>1224</v>
      </c>
      <c r="C315" t="s">
        <v>606</v>
      </c>
      <c r="D315" t="s">
        <v>1141</v>
      </c>
      <c r="E315" t="s">
        <v>763</v>
      </c>
      <c r="F315" s="35">
        <v>20799.97</v>
      </c>
      <c r="G315" t="s">
        <v>913</v>
      </c>
      <c r="H315" s="42" t="s">
        <v>914</v>
      </c>
    </row>
    <row r="316" spans="1:8" ht="15" customHeight="1">
      <c r="A316" s="71">
        <v>46162.522222997701</v>
      </c>
      <c r="B316" t="s">
        <v>1224</v>
      </c>
      <c r="C316" t="s">
        <v>608</v>
      </c>
      <c r="D316" t="s">
        <v>1141</v>
      </c>
      <c r="E316" t="s">
        <v>763</v>
      </c>
      <c r="F316" s="35">
        <v>20799.97</v>
      </c>
      <c r="G316" t="s">
        <v>913</v>
      </c>
      <c r="H316" s="42" t="s">
        <v>914</v>
      </c>
    </row>
    <row r="317" spans="1:8" ht="15" customHeight="1">
      <c r="A317" s="71">
        <v>46162.551531979203</v>
      </c>
      <c r="B317" t="s">
        <v>1233</v>
      </c>
      <c r="C317" t="s">
        <v>604</v>
      </c>
      <c r="D317" t="s">
        <v>1234</v>
      </c>
      <c r="E317" t="s">
        <v>1230</v>
      </c>
      <c r="F317" s="35">
        <v>14501.32</v>
      </c>
      <c r="G317" t="s">
        <v>913</v>
      </c>
      <c r="H317" t="s">
        <v>914</v>
      </c>
    </row>
    <row r="318" spans="1:8" ht="15" customHeight="1">
      <c r="A318" s="71">
        <v>46162.551531979203</v>
      </c>
      <c r="B318" t="s">
        <v>1233</v>
      </c>
      <c r="C318" t="s">
        <v>606</v>
      </c>
      <c r="D318" t="s">
        <v>1234</v>
      </c>
      <c r="E318" t="s">
        <v>1230</v>
      </c>
      <c r="F318" s="35">
        <v>14501.32</v>
      </c>
      <c r="G318" t="s">
        <v>913</v>
      </c>
      <c r="H318" t="s">
        <v>914</v>
      </c>
    </row>
    <row r="319" spans="1:8" ht="15" customHeight="1">
      <c r="A319" s="71">
        <v>46162.551531979203</v>
      </c>
      <c r="B319" t="s">
        <v>1233</v>
      </c>
      <c r="C319" t="s">
        <v>608</v>
      </c>
      <c r="D319" t="s">
        <v>1234</v>
      </c>
      <c r="E319" t="s">
        <v>1230</v>
      </c>
      <c r="F319" s="35">
        <v>14501.32</v>
      </c>
      <c r="G319" t="s">
        <v>913</v>
      </c>
      <c r="H319" t="s">
        <v>914</v>
      </c>
    </row>
    <row r="320" spans="1:8" ht="15" customHeight="1">
      <c r="A320" s="71">
        <v>46167</v>
      </c>
      <c r="B320" t="s">
        <v>1235</v>
      </c>
      <c r="C320" t="str">
        <f>_xlfn.TEXTAFTER(TRIM(tblComprasPM[[#This Row],[Descripcion]]), " ", -1)</f>
        <v>CD-126</v>
      </c>
      <c r="D320" t="s">
        <v>1236</v>
      </c>
      <c r="E320" t="s">
        <v>767</v>
      </c>
      <c r="F320" s="35">
        <v>134066.59</v>
      </c>
      <c r="G320" t="s">
        <v>913</v>
      </c>
      <c r="H320" t="s">
        <v>914</v>
      </c>
    </row>
    <row r="321" spans="1:8" ht="15" customHeight="1">
      <c r="A321" s="71">
        <v>46167</v>
      </c>
      <c r="B321" t="s">
        <v>1237</v>
      </c>
      <c r="C321" t="str">
        <f>_xlfn.TEXTAFTER(TRIM(tblComprasPM[[#This Row],[Descripcion]]), " ", -1)</f>
        <v>ED-23</v>
      </c>
      <c r="D321" t="s">
        <v>1238</v>
      </c>
      <c r="E321" t="s">
        <v>762</v>
      </c>
      <c r="F321" s="35">
        <v>71533.279999999999</v>
      </c>
      <c r="G321" t="s">
        <v>913</v>
      </c>
      <c r="H321" t="s">
        <v>914</v>
      </c>
    </row>
    <row r="322" spans="1:8" ht="15" customHeight="1">
      <c r="A322" s="71">
        <v>46167</v>
      </c>
      <c r="B322" t="s">
        <v>1239</v>
      </c>
      <c r="C322" t="str">
        <f>_xlfn.TEXTAFTER(TRIM(tblComprasPM[[#This Row],[Descripcion]]), " ", -1)</f>
        <v>CD-141</v>
      </c>
      <c r="D322" t="s">
        <v>1240</v>
      </c>
      <c r="E322" t="s">
        <v>923</v>
      </c>
      <c r="F322" s="35">
        <v>62053.74</v>
      </c>
      <c r="G322" t="s">
        <v>913</v>
      </c>
      <c r="H322" s="42" t="s">
        <v>914</v>
      </c>
    </row>
    <row r="323" spans="1:8" ht="15" customHeight="1">
      <c r="A323" s="71">
        <v>46167.384773495403</v>
      </c>
      <c r="B323" t="s">
        <v>1237</v>
      </c>
      <c r="C323" t="str">
        <f>_xlfn.TEXTAFTER(TRIM(tblComprasPM[[#This Row],[Descripcion]]), " ", -1)</f>
        <v>ED-23</v>
      </c>
      <c r="D323" t="s">
        <v>1238</v>
      </c>
      <c r="E323" t="s">
        <v>762</v>
      </c>
      <c r="F323" s="35">
        <v>71533.279999999999</v>
      </c>
      <c r="G323" t="s">
        <v>913</v>
      </c>
      <c r="H323" t="s">
        <v>914</v>
      </c>
    </row>
    <row r="324" spans="1:8" ht="15" customHeight="1">
      <c r="A324" s="71">
        <v>46167.388873611097</v>
      </c>
      <c r="B324" t="s">
        <v>1241</v>
      </c>
      <c r="C324" t="str">
        <f>_xlfn.TEXTAFTER(TRIM(tblComprasPM[[#This Row],[Descripcion]]), " ", -1)</f>
        <v>CD-141</v>
      </c>
      <c r="D324" t="s">
        <v>1242</v>
      </c>
      <c r="E324" t="s">
        <v>762</v>
      </c>
      <c r="F324" s="35">
        <v>42543.69</v>
      </c>
      <c r="G324" t="s">
        <v>913</v>
      </c>
      <c r="H324" s="42" t="s">
        <v>914</v>
      </c>
    </row>
    <row r="325" spans="1:8" ht="15" customHeight="1">
      <c r="A325" s="71">
        <v>46167.397245798602</v>
      </c>
      <c r="B325" t="s">
        <v>1235</v>
      </c>
      <c r="C325" t="str">
        <f>_xlfn.TEXTAFTER(TRIM(tblComprasPM[[#This Row],[Descripcion]]), " ", -1)</f>
        <v>CD-126</v>
      </c>
      <c r="D325" t="s">
        <v>1236</v>
      </c>
      <c r="E325" t="s">
        <v>767</v>
      </c>
      <c r="F325" s="35">
        <v>134066.59</v>
      </c>
      <c r="G325" t="s">
        <v>913</v>
      </c>
      <c r="H325" s="42" t="s">
        <v>914</v>
      </c>
    </row>
    <row r="326" spans="1:8" ht="15" customHeight="1">
      <c r="A326" s="71">
        <v>46167.635276736102</v>
      </c>
      <c r="B326" t="s">
        <v>1239</v>
      </c>
      <c r="C326" t="str">
        <f>_xlfn.TEXTAFTER(TRIM(tblComprasPM[[#This Row],[Descripcion]]), " ", -1)</f>
        <v>CD-141</v>
      </c>
      <c r="D326" t="s">
        <v>1240</v>
      </c>
      <c r="E326" t="s">
        <v>923</v>
      </c>
      <c r="F326" s="35">
        <v>62053.74</v>
      </c>
      <c r="G326" t="s">
        <v>913</v>
      </c>
      <c r="H326" t="s">
        <v>914</v>
      </c>
    </row>
    <row r="327" spans="1:8" ht="15" customHeight="1">
      <c r="A327" s="71">
        <v>46167.748160995397</v>
      </c>
      <c r="B327" t="s">
        <v>1243</v>
      </c>
      <c r="C327" t="str">
        <f>_xlfn.TEXTAFTER(TRIM(tblComprasPM[[#This Row],[Descripcion]]), " ", -1)</f>
        <v>MD-100</v>
      </c>
      <c r="D327" t="s">
        <v>1244</v>
      </c>
      <c r="E327" t="s">
        <v>767</v>
      </c>
      <c r="F327" s="35">
        <v>53240.6</v>
      </c>
      <c r="G327" t="s">
        <v>913</v>
      </c>
      <c r="H327" t="s">
        <v>914</v>
      </c>
    </row>
    <row r="328" spans="1:8" ht="15" customHeight="1">
      <c r="A328" s="71">
        <v>46169</v>
      </c>
      <c r="B328" t="s">
        <v>1245</v>
      </c>
      <c r="C328" t="str">
        <f>_xlfn.TEXTAFTER(TRIM(tblComprasPM[[#This Row],[Descripcion]]), " ", -1)</f>
        <v>CD-138</v>
      </c>
      <c r="D328" t="s">
        <v>1246</v>
      </c>
      <c r="E328" t="s">
        <v>767</v>
      </c>
      <c r="F328" s="35">
        <v>31639.72</v>
      </c>
      <c r="G328" t="s">
        <v>913</v>
      </c>
      <c r="H328" t="s">
        <v>914</v>
      </c>
    </row>
    <row r="329" spans="1:8" ht="15" customHeight="1">
      <c r="A329" s="71">
        <v>46174</v>
      </c>
      <c r="B329" t="s">
        <v>1247</v>
      </c>
      <c r="C329" t="str">
        <f>_xlfn.TEXTAFTER(TRIM(tblComprasPM[[#This Row],[Descripcion]]), " ", -1)</f>
        <v>CD-138</v>
      </c>
      <c r="D329" t="s">
        <v>1102</v>
      </c>
      <c r="E329" t="s">
        <v>763</v>
      </c>
      <c r="F329" s="35">
        <v>229300.56</v>
      </c>
      <c r="G329" t="s">
        <v>913</v>
      </c>
      <c r="H329" t="s">
        <v>914</v>
      </c>
    </row>
    <row r="330" spans="1:8" ht="15" customHeight="1">
      <c r="A330" s="71">
        <v>46174</v>
      </c>
      <c r="B330" t="s">
        <v>1248</v>
      </c>
      <c r="C330" t="str">
        <f>_xlfn.TEXTAFTER(TRIM(tblComprasPM[[#This Row],[Descripcion]]), " ", -1)</f>
        <v>MD-61</v>
      </c>
      <c r="D330" t="s">
        <v>1249</v>
      </c>
      <c r="E330" t="s">
        <v>1112</v>
      </c>
      <c r="F330" s="35">
        <v>200572.12</v>
      </c>
      <c r="G330" t="s">
        <v>913</v>
      </c>
      <c r="H330" s="42" t="s">
        <v>914</v>
      </c>
    </row>
    <row r="331" spans="1:8" ht="15" customHeight="1">
      <c r="A331" s="71">
        <v>46174</v>
      </c>
      <c r="B331" t="s">
        <v>1250</v>
      </c>
      <c r="C331" t="str">
        <f>_xlfn.TEXTAFTER(TRIM(tblComprasPM[[#This Row],[Descripcion]]), " ", -1)</f>
        <v>CD-138</v>
      </c>
      <c r="D331" t="s">
        <v>1102</v>
      </c>
      <c r="E331" t="s">
        <v>762</v>
      </c>
      <c r="F331" s="35">
        <v>108669.61</v>
      </c>
      <c r="G331" t="s">
        <v>913</v>
      </c>
      <c r="H331" s="42" t="s">
        <v>914</v>
      </c>
    </row>
    <row r="332" spans="1:8" ht="15" customHeight="1">
      <c r="A332" s="71">
        <v>46174</v>
      </c>
      <c r="B332" t="s">
        <v>1251</v>
      </c>
      <c r="C332" t="s">
        <v>485</v>
      </c>
      <c r="D332" t="s">
        <v>1252</v>
      </c>
      <c r="E332" t="s">
        <v>763</v>
      </c>
      <c r="F332" s="35">
        <v>30899.66</v>
      </c>
      <c r="G332" t="s">
        <v>913</v>
      </c>
      <c r="H332" t="s">
        <v>914</v>
      </c>
    </row>
    <row r="333" spans="1:8" ht="15" customHeight="1">
      <c r="A333" s="71">
        <v>46174</v>
      </c>
      <c r="B333" t="s">
        <v>1251</v>
      </c>
      <c r="C333" t="s">
        <v>489</v>
      </c>
      <c r="D333" t="s">
        <v>1252</v>
      </c>
      <c r="E333" t="s">
        <v>763</v>
      </c>
      <c r="F333" s="35">
        <v>30899.66</v>
      </c>
      <c r="G333" t="s">
        <v>913</v>
      </c>
      <c r="H333" t="s">
        <v>914</v>
      </c>
    </row>
    <row r="334" spans="1:8" ht="15" customHeight="1">
      <c r="A334" s="71">
        <v>46174</v>
      </c>
      <c r="B334" t="s">
        <v>1251</v>
      </c>
      <c r="C334" t="s">
        <v>492</v>
      </c>
      <c r="D334" t="s">
        <v>1252</v>
      </c>
      <c r="E334" t="s">
        <v>763</v>
      </c>
      <c r="F334" s="35">
        <v>30899.66</v>
      </c>
      <c r="G334" t="s">
        <v>913</v>
      </c>
      <c r="H334" t="s">
        <v>914</v>
      </c>
    </row>
    <row r="335" spans="1:8" ht="15" customHeight="1">
      <c r="A335" s="71">
        <v>46177</v>
      </c>
      <c r="B335" t="s">
        <v>1253</v>
      </c>
      <c r="C335" t="s">
        <v>138</v>
      </c>
      <c r="D335" t="s">
        <v>1254</v>
      </c>
      <c r="E335" t="s">
        <v>762</v>
      </c>
      <c r="F335" s="35">
        <v>42543.69</v>
      </c>
      <c r="G335" t="s">
        <v>913</v>
      </c>
      <c r="H335" t="s">
        <v>914</v>
      </c>
    </row>
    <row r="336" spans="1:8" ht="15" customHeight="1">
      <c r="A336" s="71">
        <v>46178</v>
      </c>
      <c r="B336" t="s">
        <v>1255</v>
      </c>
      <c r="C336" t="s">
        <v>36</v>
      </c>
      <c r="D336" t="s">
        <v>1256</v>
      </c>
      <c r="E336" t="s">
        <v>977</v>
      </c>
      <c r="F336" s="35">
        <v>226743.79</v>
      </c>
      <c r="G336" t="s">
        <v>913</v>
      </c>
      <c r="H336" t="s">
        <v>914</v>
      </c>
    </row>
    <row r="337" spans="1:8" ht="15" customHeight="1">
      <c r="A337" s="71">
        <v>46178</v>
      </c>
      <c r="B337" t="s">
        <v>1255</v>
      </c>
      <c r="C337" t="s">
        <v>86</v>
      </c>
      <c r="D337" t="s">
        <v>1256</v>
      </c>
      <c r="E337" t="s">
        <v>977</v>
      </c>
      <c r="F337" s="35">
        <v>226743.79</v>
      </c>
      <c r="G337" t="s">
        <v>913</v>
      </c>
      <c r="H337" t="s">
        <v>914</v>
      </c>
    </row>
    <row r="338" spans="1:8" ht="15" customHeight="1">
      <c r="A338" s="71">
        <v>46178</v>
      </c>
      <c r="B338" t="s">
        <v>1255</v>
      </c>
      <c r="C338" t="s">
        <v>89</v>
      </c>
      <c r="D338" t="s">
        <v>1256</v>
      </c>
      <c r="E338" t="s">
        <v>977</v>
      </c>
      <c r="F338" s="35">
        <v>226743.79</v>
      </c>
      <c r="G338" t="s">
        <v>913</v>
      </c>
      <c r="H338" t="s">
        <v>914</v>
      </c>
    </row>
    <row r="339" spans="1:8" ht="15" customHeight="1">
      <c r="A339" s="71">
        <v>46178</v>
      </c>
      <c r="B339" t="s">
        <v>1255</v>
      </c>
      <c r="C339" t="s">
        <v>91</v>
      </c>
      <c r="D339" t="s">
        <v>1256</v>
      </c>
      <c r="E339" t="s">
        <v>977</v>
      </c>
      <c r="F339" s="35">
        <v>226743.79</v>
      </c>
      <c r="G339" t="s">
        <v>913</v>
      </c>
      <c r="H339" t="s">
        <v>914</v>
      </c>
    </row>
    <row r="340" spans="1:8" ht="15" customHeight="1">
      <c r="A340" s="71">
        <v>46178</v>
      </c>
      <c r="B340" t="s">
        <v>1255</v>
      </c>
      <c r="C340" t="s">
        <v>93</v>
      </c>
      <c r="D340" t="s">
        <v>1256</v>
      </c>
      <c r="E340" t="s">
        <v>977</v>
      </c>
      <c r="F340" s="35">
        <v>226743.79</v>
      </c>
      <c r="G340" t="s">
        <v>913</v>
      </c>
      <c r="H340" t="s">
        <v>914</v>
      </c>
    </row>
    <row r="341" spans="1:8" ht="15" customHeight="1">
      <c r="A341" s="71">
        <v>46178</v>
      </c>
      <c r="B341" t="s">
        <v>1257</v>
      </c>
      <c r="C341" t="str">
        <f>_xlfn.TEXTAFTER(TRIM(tblComprasPM[[#This Row],[Descripcion]]), " ", -1)</f>
        <v>CD-125</v>
      </c>
      <c r="D341" t="s">
        <v>1258</v>
      </c>
      <c r="E341" t="s">
        <v>767</v>
      </c>
      <c r="F341" s="35">
        <v>134066.59</v>
      </c>
      <c r="G341" t="s">
        <v>913</v>
      </c>
      <c r="H341" s="42" t="s">
        <v>914</v>
      </c>
    </row>
    <row r="342" spans="1:8" ht="15" customHeight="1">
      <c r="A342" s="71">
        <v>46178</v>
      </c>
      <c r="B342" t="s">
        <v>1259</v>
      </c>
      <c r="C342" t="str">
        <f>_xlfn.TEXTAFTER(TRIM(tblComprasPM[[#This Row],[Descripcion]]), " ", -1)</f>
        <v>ED-30</v>
      </c>
      <c r="D342" t="s">
        <v>1260</v>
      </c>
      <c r="E342" t="s">
        <v>762</v>
      </c>
      <c r="F342" s="35">
        <v>84311.5</v>
      </c>
      <c r="G342" t="s">
        <v>913</v>
      </c>
      <c r="H342" s="42" t="s">
        <v>914</v>
      </c>
    </row>
    <row r="343" spans="1:8" ht="15" customHeight="1">
      <c r="A343" s="71">
        <v>46181</v>
      </c>
      <c r="B343" t="s">
        <v>1261</v>
      </c>
      <c r="C343" t="str">
        <f>_xlfn.TEXTAFTER(TRIM(tblComprasPM[[#This Row],[Descripcion]]), " ", -1)</f>
        <v>MD-79</v>
      </c>
      <c r="D343" t="s">
        <v>1262</v>
      </c>
      <c r="E343" t="s">
        <v>923</v>
      </c>
      <c r="F343" s="35">
        <v>274807.89</v>
      </c>
      <c r="G343" t="s">
        <v>913</v>
      </c>
      <c r="H343" t="s">
        <v>914</v>
      </c>
    </row>
    <row r="344" spans="1:8" ht="15" customHeight="1">
      <c r="A344" s="71">
        <v>46183</v>
      </c>
      <c r="B344" t="s">
        <v>1263</v>
      </c>
      <c r="C344" t="str">
        <f>_xlfn.TEXTAFTER(TRIM(tblComprasPM[[#This Row],[Descripcion]]), " ", -1)</f>
        <v>MD-83</v>
      </c>
      <c r="D344" t="s">
        <v>1264</v>
      </c>
      <c r="E344" t="s">
        <v>1112</v>
      </c>
      <c r="F344" s="35">
        <v>312122.71999999997</v>
      </c>
      <c r="G344" t="s">
        <v>913</v>
      </c>
      <c r="H344" s="42" t="s">
        <v>914</v>
      </c>
    </row>
    <row r="345" spans="1:8" ht="15" customHeight="1">
      <c r="A345" s="71">
        <v>46183</v>
      </c>
      <c r="B345" t="s">
        <v>1265</v>
      </c>
      <c r="C345" t="str">
        <f>_xlfn.TEXTAFTER(TRIM(tblComprasPM[[#This Row],[Descripcion]]), " ", -1)</f>
        <v>MD-72</v>
      </c>
      <c r="D345" t="s">
        <v>1266</v>
      </c>
      <c r="E345" t="s">
        <v>762</v>
      </c>
      <c r="F345" s="35">
        <v>93278.744999999995</v>
      </c>
      <c r="G345" t="s">
        <v>913</v>
      </c>
      <c r="H345" t="s">
        <v>914</v>
      </c>
    </row>
    <row r="346" spans="1:8" ht="15" customHeight="1">
      <c r="A346" s="71">
        <v>46183</v>
      </c>
      <c r="B346" t="s">
        <v>1265</v>
      </c>
      <c r="C346" t="s">
        <v>389</v>
      </c>
      <c r="D346" t="s">
        <v>1266</v>
      </c>
      <c r="E346" t="s">
        <v>762</v>
      </c>
      <c r="F346" s="35">
        <v>93278.744999999995</v>
      </c>
      <c r="G346" t="s">
        <v>913</v>
      </c>
      <c r="H346" t="s">
        <v>914</v>
      </c>
    </row>
    <row r="347" spans="1:8" ht="15" customHeight="1">
      <c r="A347" s="71">
        <v>46183</v>
      </c>
      <c r="B347" t="s">
        <v>1267</v>
      </c>
      <c r="C347" t="str">
        <f>_xlfn.TEXTAFTER(TRIM(tblComprasPM[[#This Row],[Descripcion]]), " ", -1)</f>
        <v>CD-120</v>
      </c>
      <c r="D347" t="s">
        <v>1268</v>
      </c>
      <c r="E347" t="s">
        <v>763</v>
      </c>
      <c r="F347" s="35">
        <v>51499.99</v>
      </c>
      <c r="G347" t="s">
        <v>913</v>
      </c>
      <c r="H347" s="42" t="s">
        <v>914</v>
      </c>
    </row>
    <row r="348" spans="1:8" ht="15" customHeight="1">
      <c r="A348" s="71">
        <v>46184</v>
      </c>
      <c r="B348" t="s">
        <v>1269</v>
      </c>
      <c r="C348" t="str">
        <f>_xlfn.TEXTAFTER(TRIM(tblComprasPM[[#This Row],[Descripcion]]), " ", -1)</f>
        <v>MD-95</v>
      </c>
      <c r="D348" t="s">
        <v>1162</v>
      </c>
      <c r="E348" t="s">
        <v>1270</v>
      </c>
      <c r="F348" s="35">
        <v>473969.86</v>
      </c>
      <c r="G348" t="s">
        <v>913</v>
      </c>
      <c r="H348" s="42" t="s">
        <v>914</v>
      </c>
    </row>
    <row r="349" spans="1:8" ht="15" customHeight="1">
      <c r="A349" s="71">
        <v>46184</v>
      </c>
      <c r="B349" t="s">
        <v>1271</v>
      </c>
      <c r="C349" t="str">
        <f>_xlfn.TEXTAFTER(TRIM(tblComprasPM[[#This Row],[Descripcion]]), " ", -1)</f>
        <v>MD-99</v>
      </c>
      <c r="D349" t="s">
        <v>1050</v>
      </c>
      <c r="E349" t="s">
        <v>767</v>
      </c>
      <c r="F349" s="35">
        <v>271738.88</v>
      </c>
      <c r="G349" t="s">
        <v>913</v>
      </c>
      <c r="H349" t="s">
        <v>914</v>
      </c>
    </row>
    <row r="350" spans="1:8" ht="15" customHeight="1">
      <c r="A350" s="71">
        <v>46184</v>
      </c>
      <c r="B350" t="s">
        <v>1272</v>
      </c>
      <c r="C350" t="str">
        <f>_xlfn.TEXTAFTER(TRIM(tblComprasPM[[#This Row],[Descripcion]]), " ", -1)</f>
        <v>MD-57</v>
      </c>
      <c r="D350" t="s">
        <v>1111</v>
      </c>
      <c r="E350" t="s">
        <v>1112</v>
      </c>
      <c r="F350" s="35">
        <v>200572.12</v>
      </c>
      <c r="G350" t="s">
        <v>913</v>
      </c>
      <c r="H350" s="42" t="s">
        <v>914</v>
      </c>
    </row>
    <row r="351" spans="1:8" ht="15" customHeight="1">
      <c r="A351" s="71">
        <v>46184</v>
      </c>
      <c r="B351" t="s">
        <v>1273</v>
      </c>
      <c r="C351" t="str">
        <f>_xlfn.TEXTAFTER(TRIM(tblComprasPM[[#This Row],[Descripcion]]), " ", -1)</f>
        <v>MD-49</v>
      </c>
      <c r="D351" t="s">
        <v>1086</v>
      </c>
      <c r="E351" t="s">
        <v>762</v>
      </c>
      <c r="F351" s="35">
        <v>194750.64</v>
      </c>
      <c r="G351" t="s">
        <v>913</v>
      </c>
      <c r="H351" t="s">
        <v>914</v>
      </c>
    </row>
    <row r="352" spans="1:8" ht="15" customHeight="1">
      <c r="A352" s="71">
        <v>46184</v>
      </c>
      <c r="B352" t="s">
        <v>1274</v>
      </c>
      <c r="C352" t="str">
        <f>_xlfn.TEXTAFTER(TRIM(tblComprasPM[[#This Row],[Descripcion]]), " ", -1)</f>
        <v>CD-114</v>
      </c>
      <c r="D352" t="s">
        <v>1139</v>
      </c>
      <c r="E352" t="s">
        <v>767</v>
      </c>
      <c r="F352" s="35">
        <v>193730.81</v>
      </c>
      <c r="G352" t="s">
        <v>913</v>
      </c>
      <c r="H352" s="42" t="s">
        <v>914</v>
      </c>
    </row>
    <row r="353" spans="1:8" ht="15" customHeight="1">
      <c r="A353" s="71">
        <v>46184</v>
      </c>
      <c r="B353" t="s">
        <v>1275</v>
      </c>
      <c r="C353" t="str">
        <f>_xlfn.TEXTAFTER(TRIM(tblComprasPM[[#This Row],[Descripcion]]), " ", -1)</f>
        <v>MD-68</v>
      </c>
      <c r="D353" t="s">
        <v>1276</v>
      </c>
      <c r="E353" t="s">
        <v>762</v>
      </c>
      <c r="F353" s="35">
        <v>181150.13</v>
      </c>
      <c r="G353" t="s">
        <v>913</v>
      </c>
      <c r="H353" s="42" t="s">
        <v>914</v>
      </c>
    </row>
    <row r="354" spans="1:8" ht="15" customHeight="1">
      <c r="A354" s="71">
        <v>46184</v>
      </c>
      <c r="B354" t="s">
        <v>1277</v>
      </c>
      <c r="C354" t="str">
        <f>_xlfn.TEXTAFTER(TRIM(tblComprasPM[[#This Row],[Descripcion]]), " ", -1)</f>
        <v>CD-118</v>
      </c>
      <c r="D354" t="s">
        <v>1175</v>
      </c>
      <c r="E354" t="s">
        <v>767</v>
      </c>
      <c r="F354" s="35">
        <v>156558.78</v>
      </c>
      <c r="G354" t="s">
        <v>913</v>
      </c>
      <c r="H354" t="s">
        <v>914</v>
      </c>
    </row>
    <row r="355" spans="1:8" ht="15" customHeight="1">
      <c r="A355" s="71">
        <v>46184</v>
      </c>
      <c r="B355" t="s">
        <v>1278</v>
      </c>
      <c r="C355" t="str">
        <f>_xlfn.TEXTAFTER(TRIM(tblComprasPM[[#This Row],[Descripcion]]), " ", -1)</f>
        <v>MD-51</v>
      </c>
      <c r="D355" t="s">
        <v>1279</v>
      </c>
      <c r="E355" t="s">
        <v>762</v>
      </c>
      <c r="F355" s="35">
        <v>27001.200000000001</v>
      </c>
      <c r="G355" t="s">
        <v>913</v>
      </c>
      <c r="H355" t="s">
        <v>914</v>
      </c>
    </row>
    <row r="356" spans="1:8" ht="15" customHeight="1">
      <c r="A356" s="71">
        <v>46184</v>
      </c>
      <c r="B356" t="s">
        <v>1278</v>
      </c>
      <c r="C356" t="s">
        <v>390</v>
      </c>
      <c r="D356" t="s">
        <v>1279</v>
      </c>
      <c r="E356" t="s">
        <v>762</v>
      </c>
      <c r="F356" s="35">
        <v>27001.200000000001</v>
      </c>
      <c r="G356" t="s">
        <v>913</v>
      </c>
      <c r="H356" t="s">
        <v>914</v>
      </c>
    </row>
    <row r="357" spans="1:8" ht="15" customHeight="1">
      <c r="A357" s="71">
        <v>46188</v>
      </c>
      <c r="B357" t="s">
        <v>1280</v>
      </c>
      <c r="C357" t="str">
        <f>_xlfn.TEXTAFTER(TRIM(tblComprasPM[[#This Row],[Descripcion]]), " ", -1)</f>
        <v>MD-95</v>
      </c>
      <c r="D357" t="s">
        <v>1281</v>
      </c>
      <c r="E357" t="s">
        <v>1270</v>
      </c>
      <c r="F357" s="35">
        <v>394312.45</v>
      </c>
      <c r="G357" t="s">
        <v>913</v>
      </c>
      <c r="H357" s="42" t="s">
        <v>914</v>
      </c>
    </row>
    <row r="358" spans="1:8" ht="15" customHeight="1">
      <c r="A358" s="71">
        <v>46188</v>
      </c>
      <c r="B358" t="s">
        <v>1282</v>
      </c>
      <c r="C358" t="str">
        <f>_xlfn.TEXTAFTER(TRIM(tblComprasPM[[#This Row],[Descripcion]]), " ", -1)</f>
        <v>MD-56</v>
      </c>
      <c r="D358" t="s">
        <v>1283</v>
      </c>
      <c r="E358" t="s">
        <v>923</v>
      </c>
      <c r="F358" s="35">
        <v>336768.81</v>
      </c>
      <c r="G358" t="s">
        <v>913</v>
      </c>
      <c r="H358" t="s">
        <v>914</v>
      </c>
    </row>
    <row r="359" spans="1:8" ht="15" customHeight="1">
      <c r="A359" s="71">
        <v>46188</v>
      </c>
      <c r="B359" t="s">
        <v>1284</v>
      </c>
      <c r="C359" t="str">
        <f>_xlfn.TEXTAFTER(TRIM(tblComprasPM[[#This Row],[Descripcion]]), " ", -1)</f>
        <v>VD-82</v>
      </c>
      <c r="D359" t="s">
        <v>1285</v>
      </c>
      <c r="E359" t="s">
        <v>763</v>
      </c>
      <c r="F359" s="35">
        <v>21999.98</v>
      </c>
      <c r="G359" t="s">
        <v>913</v>
      </c>
      <c r="H359" s="42" t="s">
        <v>914</v>
      </c>
    </row>
    <row r="360" spans="1:8" ht="15" customHeight="1">
      <c r="A360" s="71">
        <v>46189</v>
      </c>
      <c r="B360" t="s">
        <v>1286</v>
      </c>
      <c r="C360" t="str">
        <f>_xlfn.TEXTAFTER(TRIM(tblComprasPM[[#This Row],[Descripcion]]), " ", -1)</f>
        <v>MD-26</v>
      </c>
      <c r="D360" t="s">
        <v>1287</v>
      </c>
      <c r="E360" t="s">
        <v>762</v>
      </c>
      <c r="F360" s="35">
        <v>77044.17</v>
      </c>
      <c r="G360" t="s">
        <v>913</v>
      </c>
      <c r="H360" s="42" t="s">
        <v>914</v>
      </c>
    </row>
    <row r="361" spans="1:8" ht="15" customHeight="1">
      <c r="A361" s="71">
        <v>46204</v>
      </c>
      <c r="B361" t="s">
        <v>1288</v>
      </c>
      <c r="C361" t="str">
        <f>_xlfn.TEXTAFTER(TRIM(tblComprasPM[[#This Row],[Descripcion]]), " ", -1)</f>
        <v>CD-109</v>
      </c>
      <c r="D361" t="s">
        <v>1289</v>
      </c>
      <c r="E361" t="s">
        <v>763</v>
      </c>
      <c r="F361" s="35">
        <v>15800</v>
      </c>
      <c r="G361" t="s">
        <v>913</v>
      </c>
      <c r="H361" s="42" t="s">
        <v>914</v>
      </c>
    </row>
    <row r="362" spans="1:8" ht="15" customHeight="1">
      <c r="A362" s="71">
        <v>46204</v>
      </c>
      <c r="B362" t="s">
        <v>1288</v>
      </c>
      <c r="C362" t="s">
        <v>133</v>
      </c>
      <c r="D362" t="s">
        <v>1289</v>
      </c>
      <c r="E362" t="s">
        <v>763</v>
      </c>
      <c r="F362" s="35">
        <v>15800</v>
      </c>
      <c r="G362" t="s">
        <v>913</v>
      </c>
      <c r="H362" s="42" t="s">
        <v>914</v>
      </c>
    </row>
    <row r="363" spans="1:8" ht="15" customHeight="1">
      <c r="A363" s="71">
        <v>46199</v>
      </c>
      <c r="B363" t="s">
        <v>1290</v>
      </c>
      <c r="C363" t="str">
        <f>_xlfn.TEXTAFTER(TRIM(tblComprasPM[[#This Row],[Descripcion]]), " ", -1)</f>
        <v>VD-140</v>
      </c>
      <c r="D363" t="s">
        <v>1291</v>
      </c>
      <c r="E363" t="s">
        <v>767</v>
      </c>
      <c r="F363" s="35">
        <v>418820.5</v>
      </c>
      <c r="G363" t="s">
        <v>913</v>
      </c>
      <c r="H363" s="42" t="s">
        <v>914</v>
      </c>
    </row>
    <row r="364" spans="1:8" ht="15" customHeight="1">
      <c r="A364" s="71">
        <v>46199</v>
      </c>
      <c r="B364" t="s">
        <v>1292</v>
      </c>
      <c r="C364" t="str">
        <f>_xlfn.TEXTAFTER(TRIM(tblComprasPM[[#This Row],[Descripcion]]), " ", -1)</f>
        <v>MD-55</v>
      </c>
      <c r="D364" t="s">
        <v>1293</v>
      </c>
      <c r="E364" t="s">
        <v>762</v>
      </c>
      <c r="F364" s="35">
        <v>181150.13</v>
      </c>
      <c r="G364" t="s">
        <v>913</v>
      </c>
      <c r="H364" s="42" t="s">
        <v>914</v>
      </c>
    </row>
    <row r="365" spans="1:8" ht="15" customHeight="1">
      <c r="A365" s="71">
        <v>46199</v>
      </c>
      <c r="B365" t="s">
        <v>1294</v>
      </c>
      <c r="C365" t="str">
        <f>_xlfn.TEXTAFTER(TRIM(tblComprasPM[[#This Row],[Descripcion]]), " ", -1)</f>
        <v>CD-137</v>
      </c>
      <c r="D365" t="s">
        <v>1295</v>
      </c>
      <c r="E365" t="s">
        <v>762</v>
      </c>
      <c r="F365" s="35">
        <v>182446.04</v>
      </c>
      <c r="G365" t="s">
        <v>913</v>
      </c>
      <c r="H365" s="42" t="s">
        <v>914</v>
      </c>
    </row>
    <row r="366" spans="1:8" ht="15" customHeight="1">
      <c r="A366" s="71">
        <v>46197</v>
      </c>
      <c r="B366" t="s">
        <v>1296</v>
      </c>
      <c r="C366" t="str">
        <f>_xlfn.TEXTAFTER(TRIM(tblComprasPM[[#This Row],[Descripcion]]), " ", -1)</f>
        <v>MD-62</v>
      </c>
      <c r="D366" t="s">
        <v>1297</v>
      </c>
      <c r="E366" t="s">
        <v>762</v>
      </c>
      <c r="F366" s="35">
        <v>60567.43</v>
      </c>
      <c r="G366" t="s">
        <v>913</v>
      </c>
      <c r="H366" s="42" t="s">
        <v>914</v>
      </c>
    </row>
    <row r="367" spans="1:8" ht="15" customHeight="1">
      <c r="A367" s="71">
        <v>46196</v>
      </c>
      <c r="B367" t="s">
        <v>1298</v>
      </c>
      <c r="C367" t="str">
        <f>_xlfn.TEXTAFTER(TRIM(tblComprasPM[[#This Row],[Descripcion]]), " ", -1)</f>
        <v>MD-39</v>
      </c>
      <c r="D367" t="s">
        <v>1299</v>
      </c>
      <c r="E367" t="s">
        <v>1208</v>
      </c>
      <c r="F367" s="35">
        <v>49894.32</v>
      </c>
      <c r="G367" t="s">
        <v>913</v>
      </c>
      <c r="H367" s="42" t="s">
        <v>914</v>
      </c>
    </row>
    <row r="368" spans="1:8" ht="15" customHeight="1">
      <c r="A368" s="71">
        <v>46196</v>
      </c>
      <c r="B368" t="s">
        <v>1300</v>
      </c>
      <c r="C368" t="str">
        <f>_xlfn.TEXTAFTER(TRIM(tblComprasPM[[#This Row],[Descripcion]]), " ", -1)</f>
        <v>MD-39</v>
      </c>
      <c r="D368" t="s">
        <v>1301</v>
      </c>
      <c r="E368" t="s">
        <v>762</v>
      </c>
      <c r="F368" s="35">
        <v>316217.51</v>
      </c>
      <c r="G368" t="s">
        <v>913</v>
      </c>
      <c r="H368" s="42" t="s">
        <v>914</v>
      </c>
    </row>
    <row r="369" spans="1:8" ht="15" customHeight="1">
      <c r="A369" s="71">
        <v>46191</v>
      </c>
      <c r="B369" t="s">
        <v>1302</v>
      </c>
      <c r="C369" t="str">
        <f>_xlfn.TEXTAFTER(TRIM(tblComprasPM[[#This Row],[Descripcion]]), " ", -1)</f>
        <v>CD-122</v>
      </c>
      <c r="D369" t="s">
        <v>1303</v>
      </c>
      <c r="E369" t="s">
        <v>763</v>
      </c>
      <c r="F369" s="35">
        <v>45799.53</v>
      </c>
      <c r="G369" t="s">
        <v>913</v>
      </c>
      <c r="H369" s="42" t="s">
        <v>914</v>
      </c>
    </row>
    <row r="370" spans="1:8" ht="15" customHeight="1">
      <c r="A370" s="71">
        <v>46191</v>
      </c>
      <c r="B370" t="s">
        <v>1304</v>
      </c>
      <c r="C370" t="s">
        <v>169</v>
      </c>
      <c r="D370" t="s">
        <v>1305</v>
      </c>
      <c r="E370" t="s">
        <v>977</v>
      </c>
      <c r="F370" s="35">
        <v>41786.85</v>
      </c>
      <c r="G370" t="s">
        <v>913</v>
      </c>
      <c r="H370" s="42" t="s">
        <v>914</v>
      </c>
    </row>
    <row r="371" spans="1:8" ht="15" customHeight="1">
      <c r="A371" s="71">
        <v>46191</v>
      </c>
      <c r="B371" t="s">
        <v>1304</v>
      </c>
      <c r="C371" t="s">
        <v>171</v>
      </c>
      <c r="D371" t="s">
        <v>1305</v>
      </c>
      <c r="E371" t="s">
        <v>977</v>
      </c>
      <c r="F371" s="35">
        <v>41786.85</v>
      </c>
      <c r="G371" t="s">
        <v>913</v>
      </c>
      <c r="H371" s="42" t="s">
        <v>914</v>
      </c>
    </row>
    <row r="372" spans="1:8" ht="15" customHeight="1">
      <c r="A372" s="71">
        <v>46191</v>
      </c>
      <c r="B372" t="s">
        <v>1304</v>
      </c>
      <c r="C372" t="s">
        <v>173</v>
      </c>
      <c r="D372" t="s">
        <v>1305</v>
      </c>
      <c r="E372" t="s">
        <v>977</v>
      </c>
      <c r="F372" s="35">
        <v>41786.85</v>
      </c>
      <c r="G372" t="s">
        <v>913</v>
      </c>
      <c r="H372" s="42" t="s">
        <v>914</v>
      </c>
    </row>
    <row r="373" spans="1:8" ht="15" customHeight="1">
      <c r="A373" s="71">
        <v>46191</v>
      </c>
      <c r="B373" t="s">
        <v>1306</v>
      </c>
      <c r="C373" t="str">
        <f>_xlfn.TEXTAFTER(TRIM(tblComprasPM[[#This Row],[Descripcion]]), " ", -1)</f>
        <v>MD-95</v>
      </c>
      <c r="D373" t="s">
        <v>1281</v>
      </c>
      <c r="E373" t="s">
        <v>763</v>
      </c>
      <c r="F373" s="35">
        <v>56799.89</v>
      </c>
      <c r="G373" t="s">
        <v>913</v>
      </c>
      <c r="H373" s="42" t="s">
        <v>914</v>
      </c>
    </row>
    <row r="374" spans="1:8" ht="15" customHeight="1">
      <c r="A374" s="71">
        <v>46191</v>
      </c>
      <c r="B374" t="s">
        <v>1307</v>
      </c>
      <c r="C374" t="str">
        <f>_xlfn.TEXTAFTER(TRIM(tblComprasPM[[#This Row],[Descripcion]]), " ", -1)</f>
        <v>MD-72</v>
      </c>
      <c r="D374" t="s">
        <v>1308</v>
      </c>
      <c r="E374" t="s">
        <v>762</v>
      </c>
      <c r="F374" s="35">
        <v>10800.44</v>
      </c>
      <c r="G374" t="s">
        <v>913</v>
      </c>
      <c r="H374" s="42" t="s">
        <v>914</v>
      </c>
    </row>
    <row r="375" spans="1:8" ht="15" customHeight="1">
      <c r="A375" s="71">
        <v>46191</v>
      </c>
      <c r="B375" t="s">
        <v>1309</v>
      </c>
      <c r="C375" t="str">
        <f>_xlfn.TEXTAFTER(TRIM(tblComprasPM[[#This Row],[Descripcion]]), " ", -1)</f>
        <v>CD-137</v>
      </c>
      <c r="D375" t="s">
        <v>1155</v>
      </c>
      <c r="E375" t="s">
        <v>763</v>
      </c>
      <c r="F375" s="35">
        <v>34700</v>
      </c>
      <c r="G375" t="s">
        <v>913</v>
      </c>
      <c r="H375" s="42" t="s">
        <v>914</v>
      </c>
    </row>
    <row r="376" spans="1:8" ht="15" customHeight="1">
      <c r="A376" s="71">
        <v>46191</v>
      </c>
      <c r="B376" t="s">
        <v>1310</v>
      </c>
      <c r="C376" t="str">
        <f>_xlfn.TEXTAFTER(TRIM(tblComprasPM[[#This Row],[Descripcion]]), " ", -1)</f>
        <v>VD-82</v>
      </c>
      <c r="D376" t="s">
        <v>1285</v>
      </c>
      <c r="E376" t="s">
        <v>763</v>
      </c>
      <c r="F376" s="35">
        <v>6400</v>
      </c>
      <c r="G376" t="s">
        <v>913</v>
      </c>
      <c r="H376" s="42" t="s">
        <v>914</v>
      </c>
    </row>
    <row r="377" spans="1:8" ht="15" customHeight="1">
      <c r="A377" s="71">
        <v>46189</v>
      </c>
      <c r="B377" t="s">
        <v>1311</v>
      </c>
      <c r="C377" t="str">
        <f>_xlfn.TEXTAFTER(TRIM(tblComprasPM[[#This Row],[Descripcion]]), " ", -1)</f>
        <v>MD-26</v>
      </c>
      <c r="D377" t="s">
        <v>1312</v>
      </c>
      <c r="E377" t="s">
        <v>923</v>
      </c>
      <c r="F377" s="35">
        <v>339770.54</v>
      </c>
      <c r="G377" t="s">
        <v>913</v>
      </c>
      <c r="H377" s="42" t="s">
        <v>914</v>
      </c>
    </row>
    <row r="378" spans="1:8" ht="15" customHeight="1">
      <c r="A378" s="71"/>
    </row>
    <row r="379" spans="1:8" ht="15" customHeight="1">
      <c r="A379" s="71"/>
    </row>
    <row r="380" spans="1:8" ht="15" customHeight="1">
      <c r="A380" s="71"/>
    </row>
    <row r="381" spans="1:8" ht="15" customHeight="1">
      <c r="A381" s="71"/>
    </row>
    <row r="382" spans="1:8" ht="15" customHeight="1">
      <c r="A382" s="71"/>
    </row>
    <row r="383" spans="1:8" ht="15" customHeight="1">
      <c r="A383" s="71"/>
    </row>
    <row r="384" spans="1:8" ht="15" customHeight="1">
      <c r="A384" s="71"/>
    </row>
    <row r="385" spans="1:1" ht="15" customHeight="1">
      <c r="A385" s="71"/>
    </row>
    <row r="386" spans="1:1" ht="15" customHeight="1">
      <c r="A386" s="71"/>
    </row>
    <row r="387" spans="1:1" ht="15" customHeight="1">
      <c r="A387" s="71"/>
    </row>
    <row r="388" spans="1:1" ht="15" customHeight="1">
      <c r="A388" s="71"/>
    </row>
    <row r="389" spans="1:1" ht="15" customHeight="1">
      <c r="A389" s="71"/>
    </row>
    <row r="390" spans="1:1" ht="15" customHeight="1">
      <c r="A390" s="71"/>
    </row>
    <row r="391" spans="1:1" ht="15" customHeight="1">
      <c r="A391" s="71"/>
    </row>
    <row r="392" spans="1:1" ht="15" customHeight="1">
      <c r="A392" s="71"/>
    </row>
    <row r="393" spans="1:1" ht="15" customHeight="1">
      <c r="A393" s="71"/>
    </row>
    <row r="394" spans="1:1" ht="15" customHeight="1">
      <c r="A394" s="71"/>
    </row>
    <row r="395" spans="1:1" ht="15" customHeight="1">
      <c r="A395" s="71"/>
    </row>
    <row r="396" spans="1:1" ht="15" customHeight="1">
      <c r="A396" s="71"/>
    </row>
    <row r="397" spans="1:1" ht="15" customHeight="1">
      <c r="A397" s="71"/>
    </row>
    <row r="398" spans="1:1" ht="15" customHeight="1">
      <c r="A398" s="71"/>
    </row>
    <row r="399" spans="1:1" ht="15" customHeight="1">
      <c r="A399" s="71"/>
    </row>
    <row r="400" spans="1:1" ht="15" customHeight="1">
      <c r="A400" s="71"/>
    </row>
    <row r="401" spans="1:1" ht="15" customHeight="1">
      <c r="A401" s="71"/>
    </row>
    <row r="402" spans="1:1" ht="15" customHeight="1">
      <c r="A402" s="71"/>
    </row>
    <row r="403" spans="1:1" ht="15" customHeight="1">
      <c r="A403" s="71"/>
    </row>
    <row r="404" spans="1:1" ht="15" customHeight="1">
      <c r="A404" s="71"/>
    </row>
    <row r="405" spans="1:1" ht="15" customHeight="1">
      <c r="A405" s="71"/>
    </row>
    <row r="406" spans="1:1" ht="15" customHeight="1">
      <c r="A406" s="71"/>
    </row>
    <row r="407" spans="1:1" ht="15" customHeight="1">
      <c r="A407" s="71"/>
    </row>
    <row r="408" spans="1:1" ht="15" customHeight="1">
      <c r="A408" s="71"/>
    </row>
    <row r="409" spans="1:1" ht="15" customHeight="1">
      <c r="A409" s="71"/>
    </row>
    <row r="410" spans="1:1" ht="15" customHeight="1">
      <c r="A410" s="71"/>
    </row>
    <row r="411" spans="1:1" ht="15" customHeight="1">
      <c r="A411" s="71"/>
    </row>
    <row r="412" spans="1:1" ht="15" customHeight="1">
      <c r="A412" s="71"/>
    </row>
    <row r="413" spans="1:1" ht="15" customHeight="1">
      <c r="A413" s="71"/>
    </row>
    <row r="414" spans="1:1" ht="15" customHeight="1">
      <c r="A414" s="71"/>
    </row>
    <row r="415" spans="1:1" ht="15" customHeight="1">
      <c r="A415" s="71"/>
    </row>
    <row r="416" spans="1:1" ht="15" customHeight="1">
      <c r="A416" s="71"/>
    </row>
    <row r="417" spans="1:1" ht="15" customHeight="1">
      <c r="A417" s="71"/>
    </row>
  </sheetData>
  <mergeCells count="1">
    <mergeCell ref="A1:H1"/>
  </mergeCells>
  <phoneticPr fontId="16" type="noConversion"/>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2"/>
  <sheetViews>
    <sheetView zoomScaleNormal="100" workbookViewId="0">
      <pane ySplit="3" topLeftCell="A71" activePane="bottomLeft" state="frozen"/>
      <selection pane="bottomLeft" activeCell="A287" sqref="A287"/>
      <selection activeCell="A287" sqref="A287:XFD287"/>
    </sheetView>
  </sheetViews>
  <sheetFormatPr defaultColWidth="9.140625" defaultRowHeight="15" customHeight="1"/>
  <cols>
    <col min="1" max="1" width="10" customWidth="1"/>
    <col min="2" max="2" width="10.7109375" customWidth="1"/>
    <col min="3" max="3" width="11.7109375" customWidth="1"/>
    <col min="4" max="4" width="18.140625" customWidth="1"/>
    <col min="5" max="5" width="22.140625" customWidth="1"/>
    <col min="6" max="6" width="12.42578125" customWidth="1"/>
    <col min="7" max="7" width="47.140625" customWidth="1"/>
    <col min="8" max="8" width="11.7109375" customWidth="1"/>
  </cols>
  <sheetData>
    <row r="1" spans="1:8" ht="18.75" customHeight="1">
      <c r="A1" s="96" t="s">
        <v>1313</v>
      </c>
      <c r="B1" s="96"/>
      <c r="C1" s="96"/>
      <c r="D1" s="96"/>
      <c r="E1" s="96"/>
      <c r="F1" s="96"/>
      <c r="G1" s="96"/>
      <c r="H1" s="96"/>
    </row>
    <row r="3" spans="1:8">
      <c r="A3" s="1" t="s">
        <v>749</v>
      </c>
      <c r="B3" s="1" t="s">
        <v>669</v>
      </c>
      <c r="C3" s="1" t="s">
        <v>1314</v>
      </c>
      <c r="D3" s="1" t="s">
        <v>1315</v>
      </c>
      <c r="E3" s="1" t="s">
        <v>1316</v>
      </c>
      <c r="F3" s="1" t="s">
        <v>1317</v>
      </c>
      <c r="G3" s="1" t="s">
        <v>1318</v>
      </c>
      <c r="H3" s="1" t="s">
        <v>1</v>
      </c>
    </row>
    <row r="4" spans="1:8">
      <c r="B4" s="71">
        <v>46057</v>
      </c>
      <c r="C4" t="s">
        <v>362</v>
      </c>
      <c r="D4" t="s">
        <v>1319</v>
      </c>
      <c r="F4" t="s">
        <v>37</v>
      </c>
      <c r="H4" t="s">
        <v>362</v>
      </c>
    </row>
    <row r="5" spans="1:8">
      <c r="B5" s="71">
        <v>46058</v>
      </c>
      <c r="C5" t="s">
        <v>305</v>
      </c>
      <c r="D5" t="s">
        <v>1319</v>
      </c>
      <c r="F5" t="s">
        <v>37</v>
      </c>
      <c r="H5" t="s">
        <v>305</v>
      </c>
    </row>
    <row r="6" spans="1:8">
      <c r="B6" s="71">
        <v>46060</v>
      </c>
      <c r="C6" t="s">
        <v>29</v>
      </c>
      <c r="D6" t="s">
        <v>1319</v>
      </c>
      <c r="F6" t="s">
        <v>37</v>
      </c>
      <c r="H6" t="s">
        <v>29</v>
      </c>
    </row>
    <row r="7" spans="1:8">
      <c r="A7">
        <v>18005</v>
      </c>
      <c r="B7" s="11">
        <v>46062</v>
      </c>
      <c r="C7" t="s">
        <v>69</v>
      </c>
      <c r="D7" t="s">
        <v>1320</v>
      </c>
      <c r="E7" t="s">
        <v>1321</v>
      </c>
      <c r="F7" t="s">
        <v>37</v>
      </c>
      <c r="G7" t="s">
        <v>1322</v>
      </c>
      <c r="H7" t="s">
        <v>69</v>
      </c>
    </row>
    <row r="8" spans="1:8">
      <c r="A8">
        <v>18053</v>
      </c>
      <c r="B8" s="11">
        <v>46065</v>
      </c>
      <c r="C8" t="s">
        <v>385</v>
      </c>
      <c r="D8" t="s">
        <v>1319</v>
      </c>
      <c r="E8" t="s">
        <v>106</v>
      </c>
      <c r="F8" t="s">
        <v>23</v>
      </c>
      <c r="H8" t="s">
        <v>385</v>
      </c>
    </row>
    <row r="9" spans="1:8">
      <c r="A9">
        <v>18039</v>
      </c>
      <c r="B9" s="11">
        <v>46071</v>
      </c>
      <c r="C9" t="s">
        <v>498</v>
      </c>
      <c r="D9" t="s">
        <v>1323</v>
      </c>
      <c r="E9" t="s">
        <v>1324</v>
      </c>
      <c r="F9" t="s">
        <v>37</v>
      </c>
      <c r="H9" t="s">
        <v>498</v>
      </c>
    </row>
    <row r="10" spans="1:8">
      <c r="A10">
        <v>18043</v>
      </c>
      <c r="B10" s="11">
        <v>46072</v>
      </c>
      <c r="C10" t="s">
        <v>518</v>
      </c>
      <c r="D10" t="s">
        <v>1323</v>
      </c>
      <c r="E10" t="s">
        <v>321</v>
      </c>
      <c r="F10" t="s">
        <v>37</v>
      </c>
      <c r="H10" t="s">
        <v>518</v>
      </c>
    </row>
    <row r="11" spans="1:8">
      <c r="A11">
        <v>18093</v>
      </c>
      <c r="B11" s="11">
        <v>46072</v>
      </c>
      <c r="C11" t="s">
        <v>518</v>
      </c>
      <c r="D11" t="s">
        <v>1319</v>
      </c>
      <c r="E11" t="s">
        <v>1325</v>
      </c>
      <c r="F11" t="s">
        <v>37</v>
      </c>
      <c r="H11" t="s">
        <v>518</v>
      </c>
    </row>
    <row r="12" spans="1:8">
      <c r="A12">
        <v>18093</v>
      </c>
      <c r="B12" s="11">
        <v>46072</v>
      </c>
      <c r="C12" t="s">
        <v>522</v>
      </c>
      <c r="D12" t="s">
        <v>1319</v>
      </c>
      <c r="E12" t="s">
        <v>1325</v>
      </c>
      <c r="F12" t="s">
        <v>37</v>
      </c>
      <c r="H12" t="s">
        <v>522</v>
      </c>
    </row>
    <row r="13" spans="1:8">
      <c r="A13">
        <v>18206</v>
      </c>
      <c r="B13" s="11">
        <v>46073</v>
      </c>
      <c r="C13" t="s">
        <v>581</v>
      </c>
      <c r="D13" t="s">
        <v>1323</v>
      </c>
      <c r="E13" t="s">
        <v>738</v>
      </c>
      <c r="F13" t="s">
        <v>729</v>
      </c>
      <c r="H13" t="s">
        <v>581</v>
      </c>
    </row>
    <row r="14" spans="1:8">
      <c r="A14">
        <v>18207</v>
      </c>
      <c r="B14" s="11">
        <v>46073</v>
      </c>
      <c r="C14" t="s">
        <v>333</v>
      </c>
      <c r="D14" t="s">
        <v>1323</v>
      </c>
      <c r="E14" t="s">
        <v>738</v>
      </c>
      <c r="F14" t="s">
        <v>729</v>
      </c>
      <c r="H14" t="s">
        <v>333</v>
      </c>
    </row>
    <row r="15" spans="1:8">
      <c r="A15">
        <v>18208</v>
      </c>
      <c r="B15" s="11">
        <v>46073</v>
      </c>
      <c r="C15" t="s">
        <v>338</v>
      </c>
      <c r="D15" t="s">
        <v>1320</v>
      </c>
      <c r="E15" t="s">
        <v>738</v>
      </c>
      <c r="F15" t="s">
        <v>729</v>
      </c>
      <c r="H15" t="s">
        <v>338</v>
      </c>
    </row>
    <row r="16" spans="1:8">
      <c r="A16">
        <v>18049</v>
      </c>
      <c r="B16" s="11">
        <v>46073</v>
      </c>
      <c r="C16" t="s">
        <v>504</v>
      </c>
      <c r="D16" t="s">
        <v>1323</v>
      </c>
      <c r="E16" t="s">
        <v>321</v>
      </c>
      <c r="F16" t="s">
        <v>37</v>
      </c>
      <c r="H16" t="s">
        <v>504</v>
      </c>
    </row>
    <row r="17" spans="1:8">
      <c r="A17">
        <v>18253</v>
      </c>
      <c r="B17" s="11">
        <v>46073</v>
      </c>
      <c r="C17" t="s">
        <v>152</v>
      </c>
      <c r="D17" t="s">
        <v>1326</v>
      </c>
      <c r="E17" t="s">
        <v>321</v>
      </c>
      <c r="F17" t="s">
        <v>37</v>
      </c>
      <c r="G17" t="s">
        <v>1327</v>
      </c>
      <c r="H17" t="s">
        <v>152</v>
      </c>
    </row>
    <row r="18" spans="1:8">
      <c r="A18">
        <v>18225</v>
      </c>
      <c r="B18" s="11">
        <v>46077</v>
      </c>
      <c r="C18" t="s">
        <v>167</v>
      </c>
      <c r="D18" t="s">
        <v>1328</v>
      </c>
      <c r="E18" t="s">
        <v>738</v>
      </c>
      <c r="F18" t="s">
        <v>33</v>
      </c>
      <c r="H18" t="s">
        <v>167</v>
      </c>
    </row>
    <row r="19" spans="1:8">
      <c r="A19">
        <v>18226</v>
      </c>
      <c r="B19" s="11">
        <v>46077</v>
      </c>
      <c r="C19" t="s">
        <v>563</v>
      </c>
      <c r="D19" t="s">
        <v>1319</v>
      </c>
      <c r="E19" t="s">
        <v>1329</v>
      </c>
      <c r="F19" t="s">
        <v>51</v>
      </c>
      <c r="H19" t="s">
        <v>563</v>
      </c>
    </row>
    <row r="20" spans="1:8">
      <c r="A20">
        <v>18230</v>
      </c>
      <c r="B20" s="11">
        <v>46077</v>
      </c>
      <c r="C20" t="s">
        <v>423</v>
      </c>
      <c r="D20" t="s">
        <v>1319</v>
      </c>
      <c r="F20" t="s">
        <v>63</v>
      </c>
      <c r="H20" t="s">
        <v>423</v>
      </c>
    </row>
    <row r="21" spans="1:8">
      <c r="A21">
        <v>18236</v>
      </c>
      <c r="B21" s="11">
        <v>46078</v>
      </c>
      <c r="C21" t="s">
        <v>360</v>
      </c>
      <c r="D21" t="s">
        <v>1323</v>
      </c>
      <c r="E21" t="s">
        <v>1330</v>
      </c>
      <c r="F21" t="s">
        <v>33</v>
      </c>
      <c r="H21" t="s">
        <v>360</v>
      </c>
    </row>
    <row r="22" spans="1:8">
      <c r="A22">
        <v>18236</v>
      </c>
      <c r="B22" s="11">
        <v>46078</v>
      </c>
      <c r="C22" t="s">
        <v>383</v>
      </c>
      <c r="D22" t="s">
        <v>1323</v>
      </c>
      <c r="E22" t="s">
        <v>1330</v>
      </c>
      <c r="F22" t="s">
        <v>33</v>
      </c>
      <c r="H22" t="s">
        <v>383</v>
      </c>
    </row>
    <row r="23" spans="1:8">
      <c r="A23">
        <v>18264</v>
      </c>
      <c r="B23" s="11">
        <v>46078</v>
      </c>
      <c r="C23" t="s">
        <v>513</v>
      </c>
      <c r="D23" t="s">
        <v>1323</v>
      </c>
      <c r="E23" t="s">
        <v>321</v>
      </c>
      <c r="F23" t="s">
        <v>37</v>
      </c>
      <c r="H23" t="s">
        <v>513</v>
      </c>
    </row>
    <row r="24" spans="1:8">
      <c r="A24">
        <v>18246</v>
      </c>
      <c r="B24" s="11">
        <v>46079</v>
      </c>
      <c r="C24" t="s">
        <v>373</v>
      </c>
      <c r="D24" t="s">
        <v>1323</v>
      </c>
      <c r="E24" t="s">
        <v>1325</v>
      </c>
      <c r="F24" t="s">
        <v>714</v>
      </c>
      <c r="H24" t="s">
        <v>373</v>
      </c>
    </row>
    <row r="25" spans="1:8">
      <c r="A25">
        <v>18302</v>
      </c>
      <c r="B25" s="11">
        <v>46080</v>
      </c>
      <c r="C25" t="s">
        <v>93</v>
      </c>
      <c r="D25" t="s">
        <v>1319</v>
      </c>
      <c r="E25" t="s">
        <v>1325</v>
      </c>
      <c r="F25" t="s">
        <v>63</v>
      </c>
      <c r="H25" t="s">
        <v>93</v>
      </c>
    </row>
    <row r="26" spans="1:8">
      <c r="A26">
        <v>18304</v>
      </c>
      <c r="B26" s="11">
        <v>46080</v>
      </c>
      <c r="C26" t="s">
        <v>89</v>
      </c>
      <c r="D26" t="s">
        <v>1319</v>
      </c>
      <c r="F26" t="s">
        <v>51</v>
      </c>
      <c r="H26" t="s">
        <v>89</v>
      </c>
    </row>
    <row r="27" spans="1:8">
      <c r="A27">
        <v>18304</v>
      </c>
      <c r="B27" s="11">
        <v>46080</v>
      </c>
      <c r="C27" t="s">
        <v>86</v>
      </c>
      <c r="D27" t="s">
        <v>1319</v>
      </c>
      <c r="F27" t="s">
        <v>51</v>
      </c>
      <c r="H27" t="s">
        <v>86</v>
      </c>
    </row>
    <row r="28" spans="1:8">
      <c r="A28">
        <v>18305</v>
      </c>
      <c r="B28" s="11">
        <v>46080</v>
      </c>
      <c r="C28" t="s">
        <v>446</v>
      </c>
      <c r="D28" t="s">
        <v>1319</v>
      </c>
      <c r="F28" t="s">
        <v>51</v>
      </c>
      <c r="H28" t="s">
        <v>446</v>
      </c>
    </row>
    <row r="29" spans="1:8">
      <c r="A29">
        <v>18306</v>
      </c>
      <c r="B29" s="11">
        <v>46080</v>
      </c>
      <c r="C29" t="s">
        <v>136</v>
      </c>
      <c r="D29" t="s">
        <v>1319</v>
      </c>
      <c r="F29" t="s">
        <v>51</v>
      </c>
      <c r="H29" t="s">
        <v>136</v>
      </c>
    </row>
    <row r="30" spans="1:8">
      <c r="A30">
        <v>18307</v>
      </c>
      <c r="B30" s="11">
        <v>46080</v>
      </c>
      <c r="C30" t="s">
        <v>311</v>
      </c>
      <c r="D30" t="s">
        <v>1319</v>
      </c>
      <c r="F30" t="s">
        <v>51</v>
      </c>
      <c r="H30" t="s">
        <v>311</v>
      </c>
    </row>
    <row r="31" spans="1:8">
      <c r="A31">
        <v>18308</v>
      </c>
      <c r="B31" s="11">
        <v>46080</v>
      </c>
      <c r="C31" t="s">
        <v>449</v>
      </c>
      <c r="D31" t="s">
        <v>1320</v>
      </c>
      <c r="F31" t="s">
        <v>63</v>
      </c>
      <c r="G31" t="s">
        <v>1331</v>
      </c>
      <c r="H31" t="s">
        <v>449</v>
      </c>
    </row>
    <row r="32" spans="1:8">
      <c r="A32">
        <v>18310</v>
      </c>
      <c r="B32" s="11">
        <v>46080</v>
      </c>
      <c r="C32" t="s">
        <v>526</v>
      </c>
      <c r="D32" t="s">
        <v>1319</v>
      </c>
      <c r="F32" t="s">
        <v>51</v>
      </c>
      <c r="H32" t="s">
        <v>526</v>
      </c>
    </row>
    <row r="33" spans="1:8">
      <c r="A33">
        <v>18276</v>
      </c>
      <c r="B33" s="11">
        <v>46080</v>
      </c>
      <c r="C33" t="s">
        <v>96</v>
      </c>
      <c r="D33" t="s">
        <v>1320</v>
      </c>
      <c r="E33" t="s">
        <v>1332</v>
      </c>
      <c r="G33" t="s">
        <v>1333</v>
      </c>
      <c r="H33" t="s">
        <v>96</v>
      </c>
    </row>
    <row r="34" spans="1:8">
      <c r="A34">
        <v>18280</v>
      </c>
      <c r="B34" s="11">
        <v>46083</v>
      </c>
      <c r="C34" t="s">
        <v>352</v>
      </c>
      <c r="D34" t="s">
        <v>1323</v>
      </c>
      <c r="F34" t="s">
        <v>33</v>
      </c>
      <c r="H34" t="s">
        <v>352</v>
      </c>
    </row>
    <row r="35" spans="1:8">
      <c r="A35">
        <v>18284</v>
      </c>
      <c r="B35" s="11">
        <v>46083</v>
      </c>
      <c r="C35" t="s">
        <v>451</v>
      </c>
      <c r="D35" t="s">
        <v>1319</v>
      </c>
      <c r="E35" t="s">
        <v>533</v>
      </c>
      <c r="F35" t="s">
        <v>15</v>
      </c>
      <c r="H35" t="s">
        <v>451</v>
      </c>
    </row>
    <row r="36" spans="1:8">
      <c r="A36">
        <v>18288</v>
      </c>
      <c r="B36" s="11">
        <v>46083</v>
      </c>
      <c r="C36" t="s">
        <v>446</v>
      </c>
      <c r="D36" t="s">
        <v>1323</v>
      </c>
      <c r="F36" t="s">
        <v>33</v>
      </c>
      <c r="H36" t="s">
        <v>446</v>
      </c>
    </row>
    <row r="37" spans="1:8">
      <c r="A37">
        <v>18289</v>
      </c>
      <c r="B37" s="11">
        <v>46083</v>
      </c>
      <c r="C37" t="s">
        <v>456</v>
      </c>
      <c r="D37" t="s">
        <v>1326</v>
      </c>
      <c r="E37" t="s">
        <v>491</v>
      </c>
      <c r="F37" t="s">
        <v>729</v>
      </c>
      <c r="H37" t="s">
        <v>456</v>
      </c>
    </row>
    <row r="38" spans="1:8">
      <c r="B38" s="71">
        <v>46083</v>
      </c>
      <c r="C38" t="s">
        <v>628</v>
      </c>
      <c r="D38" t="s">
        <v>1319</v>
      </c>
      <c r="F38" t="s">
        <v>33</v>
      </c>
      <c r="H38" t="s">
        <v>628</v>
      </c>
    </row>
    <row r="39" spans="1:8">
      <c r="A39">
        <v>18322</v>
      </c>
      <c r="B39" s="11">
        <v>46084</v>
      </c>
      <c r="C39" t="s">
        <v>36</v>
      </c>
      <c r="D39" t="s">
        <v>1320</v>
      </c>
      <c r="E39" t="s">
        <v>321</v>
      </c>
      <c r="F39" t="s">
        <v>37</v>
      </c>
      <c r="G39" t="s">
        <v>1334</v>
      </c>
      <c r="H39" t="s">
        <v>36</v>
      </c>
    </row>
    <row r="40" spans="1:8">
      <c r="A40">
        <v>18332</v>
      </c>
      <c r="B40" s="11">
        <v>46085</v>
      </c>
      <c r="C40" t="s">
        <v>163</v>
      </c>
      <c r="D40" t="s">
        <v>1319</v>
      </c>
      <c r="E40" t="s">
        <v>1325</v>
      </c>
      <c r="F40" t="s">
        <v>63</v>
      </c>
      <c r="H40" t="s">
        <v>163</v>
      </c>
    </row>
    <row r="41" spans="1:8">
      <c r="A41">
        <v>18332</v>
      </c>
      <c r="B41" s="11">
        <v>46085</v>
      </c>
      <c r="C41" t="s">
        <v>500</v>
      </c>
      <c r="D41" t="s">
        <v>1319</v>
      </c>
      <c r="E41" t="s">
        <v>1325</v>
      </c>
      <c r="F41" t="s">
        <v>63</v>
      </c>
      <c r="H41" t="s">
        <v>500</v>
      </c>
    </row>
    <row r="42" spans="1:8">
      <c r="A42">
        <v>18337</v>
      </c>
      <c r="B42" s="11">
        <v>46085</v>
      </c>
      <c r="C42" t="s">
        <v>330</v>
      </c>
      <c r="D42" t="s">
        <v>1323</v>
      </c>
      <c r="E42" t="s">
        <v>1335</v>
      </c>
      <c r="F42" t="s">
        <v>327</v>
      </c>
      <c r="H42" t="s">
        <v>330</v>
      </c>
    </row>
    <row r="43" spans="1:8">
      <c r="A43">
        <v>18341</v>
      </c>
      <c r="B43" s="11">
        <v>46085</v>
      </c>
      <c r="C43" t="s">
        <v>307</v>
      </c>
      <c r="D43" t="s">
        <v>1319</v>
      </c>
      <c r="F43" t="s">
        <v>15</v>
      </c>
      <c r="H43" t="s">
        <v>307</v>
      </c>
    </row>
    <row r="44" spans="1:8">
      <c r="A44">
        <v>18265</v>
      </c>
      <c r="B44" s="12">
        <v>46086</v>
      </c>
      <c r="C44" t="s">
        <v>169</v>
      </c>
      <c r="D44" t="s">
        <v>1319</v>
      </c>
      <c r="E44" t="s">
        <v>81</v>
      </c>
      <c r="F44" t="s">
        <v>63</v>
      </c>
      <c r="H44" t="s">
        <v>169</v>
      </c>
    </row>
    <row r="45" spans="1:8">
      <c r="B45" s="71">
        <v>46086</v>
      </c>
      <c r="C45" t="s">
        <v>567</v>
      </c>
      <c r="D45" t="s">
        <v>1319</v>
      </c>
      <c r="F45" t="s">
        <v>37</v>
      </c>
      <c r="H45" t="s">
        <v>567</v>
      </c>
    </row>
    <row r="46" spans="1:8">
      <c r="B46" s="71">
        <v>46086</v>
      </c>
      <c r="C46" t="s">
        <v>293</v>
      </c>
      <c r="D46" t="s">
        <v>1319</v>
      </c>
      <c r="F46" t="s">
        <v>37</v>
      </c>
      <c r="H46" t="s">
        <v>293</v>
      </c>
    </row>
    <row r="47" spans="1:8">
      <c r="A47">
        <v>18360</v>
      </c>
      <c r="B47" s="11">
        <v>46087</v>
      </c>
      <c r="C47" t="s">
        <v>307</v>
      </c>
      <c r="D47" t="s">
        <v>1336</v>
      </c>
      <c r="E47" t="s">
        <v>1335</v>
      </c>
      <c r="F47" t="s">
        <v>15</v>
      </c>
      <c r="H47" t="s">
        <v>307</v>
      </c>
    </row>
    <row r="48" spans="1:8">
      <c r="A48">
        <v>18360</v>
      </c>
      <c r="B48" s="11">
        <v>46087</v>
      </c>
      <c r="C48" t="s">
        <v>520</v>
      </c>
      <c r="D48" t="s">
        <v>1319</v>
      </c>
      <c r="E48" t="s">
        <v>1335</v>
      </c>
      <c r="F48" t="s">
        <v>15</v>
      </c>
      <c r="H48" t="s">
        <v>520</v>
      </c>
    </row>
    <row r="49" spans="1:8">
      <c r="A49">
        <v>18361</v>
      </c>
      <c r="B49" s="11">
        <v>46087</v>
      </c>
      <c r="C49" t="s">
        <v>467</v>
      </c>
      <c r="D49" t="s">
        <v>1319</v>
      </c>
      <c r="E49" t="s">
        <v>1324</v>
      </c>
      <c r="H49" t="s">
        <v>467</v>
      </c>
    </row>
    <row r="50" spans="1:8">
      <c r="A50">
        <v>18408</v>
      </c>
      <c r="B50" s="11">
        <v>46087</v>
      </c>
      <c r="C50" t="s">
        <v>157</v>
      </c>
      <c r="D50" t="s">
        <v>1319</v>
      </c>
      <c r="E50" t="s">
        <v>738</v>
      </c>
      <c r="F50" t="s">
        <v>33</v>
      </c>
      <c r="H50" t="s">
        <v>157</v>
      </c>
    </row>
    <row r="51" spans="1:8">
      <c r="A51">
        <v>18409</v>
      </c>
      <c r="B51" s="11">
        <v>46087</v>
      </c>
      <c r="C51" t="s">
        <v>371</v>
      </c>
      <c r="D51" t="s">
        <v>1319</v>
      </c>
      <c r="E51" t="s">
        <v>738</v>
      </c>
      <c r="F51" t="s">
        <v>33</v>
      </c>
      <c r="H51" t="s">
        <v>371</v>
      </c>
    </row>
    <row r="52" spans="1:8">
      <c r="A52">
        <v>18409</v>
      </c>
      <c r="B52" s="11">
        <v>46087</v>
      </c>
      <c r="C52" t="s">
        <v>502</v>
      </c>
      <c r="D52" t="s">
        <v>1319</v>
      </c>
      <c r="E52" t="s">
        <v>738</v>
      </c>
      <c r="F52" t="s">
        <v>33</v>
      </c>
      <c r="H52" t="s">
        <v>502</v>
      </c>
    </row>
    <row r="53" spans="1:8">
      <c r="A53">
        <v>18410</v>
      </c>
      <c r="B53" s="11">
        <v>46087</v>
      </c>
      <c r="C53" t="s">
        <v>301</v>
      </c>
      <c r="D53" t="s">
        <v>1319</v>
      </c>
      <c r="E53" t="s">
        <v>738</v>
      </c>
      <c r="F53" t="s">
        <v>33</v>
      </c>
      <c r="H53" t="s">
        <v>301</v>
      </c>
    </row>
    <row r="54" spans="1:8">
      <c r="A54">
        <v>18411</v>
      </c>
      <c r="B54" s="11">
        <v>46087</v>
      </c>
      <c r="C54" t="s">
        <v>118</v>
      </c>
      <c r="D54" t="s">
        <v>1319</v>
      </c>
      <c r="E54" t="s">
        <v>738</v>
      </c>
      <c r="F54" t="s">
        <v>33</v>
      </c>
      <c r="H54" t="s">
        <v>118</v>
      </c>
    </row>
    <row r="55" spans="1:8">
      <c r="A55">
        <v>18418</v>
      </c>
      <c r="B55" s="11">
        <v>46090</v>
      </c>
      <c r="C55" t="s">
        <v>136</v>
      </c>
      <c r="D55" t="s">
        <v>1320</v>
      </c>
      <c r="E55" t="s">
        <v>1337</v>
      </c>
      <c r="F55" t="s">
        <v>51</v>
      </c>
      <c r="G55" t="s">
        <v>1338</v>
      </c>
      <c r="H55" t="s">
        <v>136</v>
      </c>
    </row>
    <row r="56" spans="1:8">
      <c r="A56">
        <v>18430</v>
      </c>
      <c r="B56" s="11">
        <v>46090</v>
      </c>
      <c r="C56" t="s">
        <v>396</v>
      </c>
      <c r="D56" t="s">
        <v>1320</v>
      </c>
      <c r="E56" t="s">
        <v>1339</v>
      </c>
      <c r="F56" t="s">
        <v>589</v>
      </c>
      <c r="G56" t="s">
        <v>1340</v>
      </c>
      <c r="H56" t="s">
        <v>396</v>
      </c>
    </row>
    <row r="57" spans="1:8">
      <c r="A57">
        <v>18438</v>
      </c>
      <c r="B57" s="11">
        <v>46090</v>
      </c>
      <c r="C57" t="s">
        <v>399</v>
      </c>
      <c r="D57" t="s">
        <v>1319</v>
      </c>
      <c r="E57" t="s">
        <v>321</v>
      </c>
      <c r="F57" t="s">
        <v>729</v>
      </c>
      <c r="H57" t="s">
        <v>399</v>
      </c>
    </row>
    <row r="58" spans="1:8">
      <c r="B58" s="71">
        <v>46091</v>
      </c>
      <c r="C58" t="s">
        <v>42</v>
      </c>
      <c r="D58" t="s">
        <v>1319</v>
      </c>
      <c r="H58" t="s">
        <v>42</v>
      </c>
    </row>
    <row r="59" spans="1:8">
      <c r="A59">
        <v>18457</v>
      </c>
      <c r="B59" s="71">
        <v>46093</v>
      </c>
      <c r="C59" t="s">
        <v>434</v>
      </c>
      <c r="D59" t="s">
        <v>1319</v>
      </c>
      <c r="E59" t="s">
        <v>1325</v>
      </c>
      <c r="F59" t="s">
        <v>63</v>
      </c>
      <c r="H59" t="s">
        <v>434</v>
      </c>
    </row>
    <row r="60" spans="1:8">
      <c r="A60">
        <v>18458</v>
      </c>
      <c r="B60" s="71">
        <v>46093</v>
      </c>
      <c r="C60" t="s">
        <v>278</v>
      </c>
      <c r="D60" t="s">
        <v>1319</v>
      </c>
      <c r="E60" t="s">
        <v>1325</v>
      </c>
      <c r="F60" t="s">
        <v>63</v>
      </c>
      <c r="H60" t="s">
        <v>278</v>
      </c>
    </row>
    <row r="61" spans="1:8">
      <c r="A61">
        <v>18466</v>
      </c>
      <c r="B61" s="71">
        <v>46093</v>
      </c>
      <c r="C61" t="s">
        <v>259</v>
      </c>
      <c r="D61" t="s">
        <v>1319</v>
      </c>
      <c r="E61" t="s">
        <v>234</v>
      </c>
      <c r="F61" t="s">
        <v>23</v>
      </c>
      <c r="H61" t="s">
        <v>697</v>
      </c>
    </row>
    <row r="62" spans="1:8">
      <c r="B62" s="71">
        <v>46093</v>
      </c>
      <c r="C62" t="s">
        <v>662</v>
      </c>
      <c r="D62" t="s">
        <v>1319</v>
      </c>
      <c r="F62" t="s">
        <v>15</v>
      </c>
      <c r="H62" t="s">
        <v>662</v>
      </c>
    </row>
    <row r="63" spans="1:8">
      <c r="B63" s="71">
        <v>46093</v>
      </c>
      <c r="C63" t="s">
        <v>644</v>
      </c>
      <c r="D63" t="s">
        <v>1319</v>
      </c>
      <c r="F63" t="s">
        <v>37</v>
      </c>
      <c r="H63" t="s">
        <v>644</v>
      </c>
    </row>
    <row r="64" spans="1:8">
      <c r="B64" s="71">
        <v>46084</v>
      </c>
      <c r="C64" t="s">
        <v>91</v>
      </c>
      <c r="D64" t="s">
        <v>1319</v>
      </c>
      <c r="F64" t="s">
        <v>37</v>
      </c>
      <c r="H64" t="s">
        <v>91</v>
      </c>
    </row>
    <row r="65" spans="1:8" ht="15" customHeight="1">
      <c r="A65">
        <v>18384</v>
      </c>
      <c r="B65" s="71">
        <v>46094</v>
      </c>
      <c r="C65" t="s">
        <v>365</v>
      </c>
      <c r="D65" t="s">
        <v>1319</v>
      </c>
      <c r="E65" t="s">
        <v>1341</v>
      </c>
      <c r="F65" t="s">
        <v>15</v>
      </c>
      <c r="H65" t="s">
        <v>365</v>
      </c>
    </row>
    <row r="66" spans="1:8" ht="15" customHeight="1">
      <c r="B66" s="71">
        <v>46094</v>
      </c>
      <c r="C66" t="s">
        <v>388</v>
      </c>
      <c r="D66" t="s">
        <v>1319</v>
      </c>
      <c r="F66" t="s">
        <v>37</v>
      </c>
      <c r="H66" t="s">
        <v>388</v>
      </c>
    </row>
    <row r="67" spans="1:8" ht="15" customHeight="1">
      <c r="A67">
        <v>18390</v>
      </c>
      <c r="B67" s="71">
        <v>46097</v>
      </c>
      <c r="C67" t="s">
        <v>173</v>
      </c>
      <c r="D67" t="s">
        <v>1319</v>
      </c>
      <c r="E67" t="s">
        <v>1342</v>
      </c>
      <c r="F67" t="s">
        <v>33</v>
      </c>
      <c r="H67" t="s">
        <v>173</v>
      </c>
    </row>
    <row r="68" spans="1:8" ht="15" customHeight="1">
      <c r="A68">
        <v>18390</v>
      </c>
      <c r="B68" s="71">
        <v>46097</v>
      </c>
      <c r="C68" t="s">
        <v>180</v>
      </c>
      <c r="D68" t="s">
        <v>1319</v>
      </c>
      <c r="E68" t="s">
        <v>1342</v>
      </c>
      <c r="F68" t="s">
        <v>33</v>
      </c>
      <c r="H68" t="s">
        <v>180</v>
      </c>
    </row>
    <row r="69" spans="1:8" ht="15" customHeight="1">
      <c r="A69">
        <v>18389</v>
      </c>
      <c r="B69" s="71">
        <v>46097</v>
      </c>
      <c r="C69" t="s">
        <v>188</v>
      </c>
      <c r="D69" t="s">
        <v>1319</v>
      </c>
      <c r="E69" t="s">
        <v>1342</v>
      </c>
      <c r="F69" t="s">
        <v>33</v>
      </c>
      <c r="H69" t="s">
        <v>188</v>
      </c>
    </row>
    <row r="70" spans="1:8" ht="15" customHeight="1">
      <c r="A70">
        <v>18389</v>
      </c>
      <c r="B70" s="71">
        <v>46097</v>
      </c>
      <c r="C70" t="s">
        <v>183</v>
      </c>
      <c r="D70" t="s">
        <v>1319</v>
      </c>
      <c r="E70" t="s">
        <v>1342</v>
      </c>
      <c r="F70" t="s">
        <v>33</v>
      </c>
      <c r="H70" t="s">
        <v>183</v>
      </c>
    </row>
    <row r="71" spans="1:8" ht="15" customHeight="1">
      <c r="A71">
        <v>18387</v>
      </c>
      <c r="B71" s="71">
        <v>46097</v>
      </c>
      <c r="C71" t="s">
        <v>417</v>
      </c>
      <c r="D71" t="s">
        <v>1319</v>
      </c>
      <c r="E71" t="s">
        <v>1342</v>
      </c>
      <c r="F71" t="s">
        <v>33</v>
      </c>
      <c r="H71" t="s">
        <v>417</v>
      </c>
    </row>
    <row r="72" spans="1:8" ht="15" customHeight="1">
      <c r="A72">
        <v>18386</v>
      </c>
      <c r="B72" s="71">
        <v>46097</v>
      </c>
      <c r="C72" t="s">
        <v>383</v>
      </c>
      <c r="D72" t="s">
        <v>1319</v>
      </c>
      <c r="E72" t="s">
        <v>1342</v>
      </c>
      <c r="F72" t="s">
        <v>33</v>
      </c>
      <c r="H72" t="s">
        <v>383</v>
      </c>
    </row>
    <row r="73" spans="1:8" ht="15" customHeight="1">
      <c r="B73" s="71">
        <v>46098</v>
      </c>
      <c r="C73" t="s">
        <v>391</v>
      </c>
      <c r="D73" t="s">
        <v>1319</v>
      </c>
      <c r="F73" t="s">
        <v>37</v>
      </c>
      <c r="H73" t="s">
        <v>391</v>
      </c>
    </row>
    <row r="74" spans="1:8" ht="15" customHeight="1">
      <c r="A74">
        <v>18398</v>
      </c>
      <c r="B74" s="71">
        <v>46099</v>
      </c>
      <c r="C74" t="s">
        <v>516</v>
      </c>
      <c r="D74" t="s">
        <v>1319</v>
      </c>
      <c r="E74" t="s">
        <v>1335</v>
      </c>
      <c r="F74" t="s">
        <v>37</v>
      </c>
      <c r="H74" t="s">
        <v>516</v>
      </c>
    </row>
    <row r="75" spans="1:8" ht="15" customHeight="1">
      <c r="A75">
        <v>18397</v>
      </c>
      <c r="B75" s="71">
        <v>46099</v>
      </c>
      <c r="C75" t="s">
        <v>524</v>
      </c>
      <c r="D75" t="s">
        <v>1319</v>
      </c>
      <c r="E75" t="s">
        <v>1343</v>
      </c>
      <c r="F75" t="s">
        <v>37</v>
      </c>
      <c r="H75" t="s">
        <v>524</v>
      </c>
    </row>
    <row r="76" spans="1:8" ht="15" customHeight="1">
      <c r="B76" s="71">
        <v>46099</v>
      </c>
      <c r="C76" t="s">
        <v>82</v>
      </c>
      <c r="D76" t="s">
        <v>1319</v>
      </c>
      <c r="F76" t="s">
        <v>37</v>
      </c>
      <c r="H76" t="s">
        <v>82</v>
      </c>
    </row>
    <row r="77" spans="1:8" ht="15" customHeight="1">
      <c r="B77" s="71">
        <v>46100</v>
      </c>
      <c r="C77" t="s">
        <v>408</v>
      </c>
      <c r="D77" t="s">
        <v>1319</v>
      </c>
      <c r="F77" t="s">
        <v>37</v>
      </c>
      <c r="H77" t="s">
        <v>408</v>
      </c>
    </row>
    <row r="78" spans="1:8" ht="15" customHeight="1">
      <c r="B78" s="71">
        <v>46101</v>
      </c>
      <c r="C78" t="s">
        <v>48</v>
      </c>
      <c r="D78" t="s">
        <v>1319</v>
      </c>
      <c r="F78" t="s">
        <v>37</v>
      </c>
      <c r="H78" t="s">
        <v>48</v>
      </c>
    </row>
    <row r="79" spans="1:8" ht="15" customHeight="1">
      <c r="B79" s="71">
        <v>46101</v>
      </c>
      <c r="C79" t="s">
        <v>430</v>
      </c>
      <c r="D79" t="s">
        <v>1319</v>
      </c>
      <c r="F79" t="s">
        <v>37</v>
      </c>
      <c r="H79" t="s">
        <v>430</v>
      </c>
    </row>
    <row r="80" spans="1:8" ht="15" customHeight="1">
      <c r="B80" s="71">
        <v>46101</v>
      </c>
      <c r="C80" t="s">
        <v>411</v>
      </c>
      <c r="D80" t="s">
        <v>1319</v>
      </c>
      <c r="F80" t="s">
        <v>33</v>
      </c>
      <c r="H80" t="s">
        <v>411</v>
      </c>
    </row>
    <row r="81" spans="1:8" ht="15" customHeight="1">
      <c r="B81" s="71">
        <v>46101</v>
      </c>
      <c r="C81" t="s">
        <v>639</v>
      </c>
      <c r="D81" t="s">
        <v>1319</v>
      </c>
      <c r="H81" t="s">
        <v>639</v>
      </c>
    </row>
    <row r="82" spans="1:8" ht="15" customHeight="1">
      <c r="A82">
        <v>18400</v>
      </c>
      <c r="B82" s="71">
        <v>46104</v>
      </c>
      <c r="C82" t="s">
        <v>1344</v>
      </c>
      <c r="D82" t="s">
        <v>1319</v>
      </c>
      <c r="E82" t="s">
        <v>1335</v>
      </c>
      <c r="F82" t="s">
        <v>37</v>
      </c>
      <c r="H82" t="s">
        <v>1344</v>
      </c>
    </row>
    <row r="83" spans="1:8" ht="15" customHeight="1">
      <c r="B83" s="71">
        <v>46104</v>
      </c>
      <c r="C83" t="s">
        <v>208</v>
      </c>
      <c r="D83" t="s">
        <v>1319</v>
      </c>
      <c r="E83" t="s">
        <v>491</v>
      </c>
      <c r="F83" t="s">
        <v>33</v>
      </c>
      <c r="H83" t="s">
        <v>208</v>
      </c>
    </row>
    <row r="84" spans="1:8" ht="15" customHeight="1">
      <c r="B84" s="71">
        <v>46104</v>
      </c>
      <c r="C84" t="s">
        <v>420</v>
      </c>
      <c r="D84" t="s">
        <v>1319</v>
      </c>
      <c r="F84" t="s">
        <v>37</v>
      </c>
      <c r="H84" t="s">
        <v>420</v>
      </c>
    </row>
    <row r="85" spans="1:8" ht="15" customHeight="1">
      <c r="B85" s="71">
        <v>46105</v>
      </c>
      <c r="C85" t="s">
        <v>313</v>
      </c>
      <c r="D85" t="s">
        <v>1319</v>
      </c>
      <c r="E85" t="s">
        <v>473</v>
      </c>
      <c r="F85" t="s">
        <v>702</v>
      </c>
      <c r="H85" t="s">
        <v>313</v>
      </c>
    </row>
    <row r="86" spans="1:8" ht="15" customHeight="1">
      <c r="B86" s="71">
        <v>46105</v>
      </c>
      <c r="C86" t="s">
        <v>346</v>
      </c>
      <c r="D86" t="s">
        <v>1319</v>
      </c>
      <c r="E86" t="s">
        <v>473</v>
      </c>
      <c r="F86" t="s">
        <v>15</v>
      </c>
      <c r="H86" t="s">
        <v>346</v>
      </c>
    </row>
    <row r="87" spans="1:8" ht="15" customHeight="1">
      <c r="B87" s="71">
        <v>46105</v>
      </c>
      <c r="C87" t="s">
        <v>324</v>
      </c>
      <c r="D87" t="s">
        <v>1319</v>
      </c>
      <c r="E87" t="s">
        <v>473</v>
      </c>
      <c r="F87" t="s">
        <v>327</v>
      </c>
      <c r="H87" t="s">
        <v>324</v>
      </c>
    </row>
    <row r="88" spans="1:8" ht="15" customHeight="1">
      <c r="B88" s="71">
        <v>46105</v>
      </c>
      <c r="C88" t="s">
        <v>235</v>
      </c>
      <c r="D88" t="s">
        <v>1319</v>
      </c>
      <c r="E88" t="s">
        <v>106</v>
      </c>
      <c r="F88" t="s">
        <v>33</v>
      </c>
      <c r="H88" t="s">
        <v>235</v>
      </c>
    </row>
    <row r="89" spans="1:8" ht="15" customHeight="1">
      <c r="B89" s="71">
        <v>46105</v>
      </c>
      <c r="C89" t="s">
        <v>253</v>
      </c>
      <c r="D89" t="s">
        <v>1319</v>
      </c>
      <c r="E89" t="s">
        <v>106</v>
      </c>
      <c r="F89" t="s">
        <v>33</v>
      </c>
      <c r="H89" t="s">
        <v>253</v>
      </c>
    </row>
    <row r="90" spans="1:8" ht="15" customHeight="1">
      <c r="B90" s="71">
        <v>46105</v>
      </c>
      <c r="C90" t="s">
        <v>32</v>
      </c>
      <c r="D90" t="s">
        <v>1319</v>
      </c>
      <c r="E90" t="s">
        <v>106</v>
      </c>
      <c r="F90" t="s">
        <v>33</v>
      </c>
      <c r="H90" t="s">
        <v>32</v>
      </c>
    </row>
    <row r="91" spans="1:8" ht="15" customHeight="1">
      <c r="B91" s="71">
        <v>46105</v>
      </c>
      <c r="C91" t="s">
        <v>171</v>
      </c>
      <c r="D91" t="s">
        <v>1319</v>
      </c>
      <c r="E91" t="s">
        <v>106</v>
      </c>
      <c r="F91" t="s">
        <v>33</v>
      </c>
      <c r="H91" t="s">
        <v>171</v>
      </c>
    </row>
    <row r="92" spans="1:8" ht="15" customHeight="1">
      <c r="A92">
        <v>18560</v>
      </c>
      <c r="B92" s="71">
        <v>46106</v>
      </c>
      <c r="C92" t="s">
        <v>1345</v>
      </c>
      <c r="D92" t="s">
        <v>1319</v>
      </c>
      <c r="F92" t="s">
        <v>37</v>
      </c>
      <c r="H92" t="s">
        <v>1345</v>
      </c>
    </row>
    <row r="93" spans="1:8" ht="15" customHeight="1">
      <c r="A93">
        <v>18561</v>
      </c>
      <c r="B93" s="71">
        <v>46106</v>
      </c>
      <c r="C93" t="s">
        <v>389</v>
      </c>
      <c r="D93" t="s">
        <v>1319</v>
      </c>
      <c r="F93" t="s">
        <v>1346</v>
      </c>
      <c r="H93" t="s">
        <v>389</v>
      </c>
    </row>
    <row r="94" spans="1:8" ht="15" customHeight="1">
      <c r="A94">
        <v>18570</v>
      </c>
      <c r="B94" s="71">
        <v>46111</v>
      </c>
      <c r="C94" t="s">
        <v>390</v>
      </c>
      <c r="D94" t="s">
        <v>1319</v>
      </c>
      <c r="E94" t="s">
        <v>1341</v>
      </c>
      <c r="F94" t="s">
        <v>1346</v>
      </c>
      <c r="H94" t="s">
        <v>390</v>
      </c>
    </row>
    <row r="95" spans="1:8" ht="15" customHeight="1">
      <c r="B95" s="71">
        <v>46111</v>
      </c>
      <c r="C95" t="s">
        <v>263</v>
      </c>
      <c r="D95" t="s">
        <v>1319</v>
      </c>
      <c r="F95" t="s">
        <v>37</v>
      </c>
      <c r="H95" t="s">
        <v>263</v>
      </c>
    </row>
    <row r="96" spans="1:8" ht="15" customHeight="1">
      <c r="B96" s="71">
        <v>46113</v>
      </c>
      <c r="C96" t="s">
        <v>12</v>
      </c>
      <c r="D96" t="s">
        <v>1319</v>
      </c>
      <c r="F96" t="s">
        <v>37</v>
      </c>
      <c r="H96" t="s">
        <v>12</v>
      </c>
    </row>
    <row r="97" spans="1:8" ht="15" customHeight="1">
      <c r="B97" s="71">
        <v>46118</v>
      </c>
      <c r="C97" t="s">
        <v>472</v>
      </c>
      <c r="D97" t="s">
        <v>1319</v>
      </c>
      <c r="F97" t="s">
        <v>37</v>
      </c>
      <c r="H97" t="s">
        <v>472</v>
      </c>
    </row>
    <row r="98" spans="1:8" ht="15" customHeight="1">
      <c r="B98" s="71">
        <v>46118</v>
      </c>
      <c r="C98" t="s">
        <v>584</v>
      </c>
      <c r="D98" t="s">
        <v>1319</v>
      </c>
      <c r="F98" t="s">
        <v>37</v>
      </c>
      <c r="H98" t="s">
        <v>584</v>
      </c>
    </row>
    <row r="99" spans="1:8" ht="15" customHeight="1">
      <c r="B99" s="71">
        <v>46118</v>
      </c>
      <c r="C99" t="s">
        <v>610</v>
      </c>
      <c r="D99" t="s">
        <v>1319</v>
      </c>
      <c r="F99" t="s">
        <v>37</v>
      </c>
      <c r="H99" t="s">
        <v>610</v>
      </c>
    </row>
    <row r="100" spans="1:8" ht="15" customHeight="1">
      <c r="B100" s="71">
        <v>46118</v>
      </c>
      <c r="C100" t="s">
        <v>511</v>
      </c>
      <c r="D100" t="s">
        <v>1319</v>
      </c>
      <c r="F100" t="s">
        <v>37</v>
      </c>
      <c r="H100" t="s">
        <v>511</v>
      </c>
    </row>
    <row r="101" spans="1:8" ht="15" customHeight="1">
      <c r="B101" s="71">
        <v>46118</v>
      </c>
      <c r="C101" t="s">
        <v>636</v>
      </c>
      <c r="D101" t="s">
        <v>1319</v>
      </c>
      <c r="F101" t="s">
        <v>37</v>
      </c>
      <c r="H101" t="s">
        <v>636</v>
      </c>
    </row>
    <row r="102" spans="1:8" ht="15" customHeight="1">
      <c r="A102">
        <v>18585</v>
      </c>
      <c r="B102" s="71">
        <v>46118</v>
      </c>
      <c r="C102" t="s">
        <v>606</v>
      </c>
      <c r="D102" t="s">
        <v>1319</v>
      </c>
      <c r="E102" t="s">
        <v>1335</v>
      </c>
      <c r="F102" t="s">
        <v>1346</v>
      </c>
      <c r="H102" t="s">
        <v>606</v>
      </c>
    </row>
    <row r="103" spans="1:8" ht="15" customHeight="1">
      <c r="B103" s="71">
        <v>46118</v>
      </c>
      <c r="C103" t="s">
        <v>620</v>
      </c>
      <c r="D103" t="s">
        <v>1319</v>
      </c>
      <c r="F103" t="s">
        <v>37</v>
      </c>
      <c r="H103" t="s">
        <v>620</v>
      </c>
    </row>
    <row r="104" spans="1:8" ht="15" customHeight="1">
      <c r="B104" s="71">
        <v>46118</v>
      </c>
      <c r="C104" t="s">
        <v>641</v>
      </c>
      <c r="D104" t="s">
        <v>1319</v>
      </c>
      <c r="H104" t="s">
        <v>641</v>
      </c>
    </row>
    <row r="105" spans="1:8" ht="15" customHeight="1">
      <c r="B105" s="71">
        <v>46119</v>
      </c>
      <c r="C105" t="s">
        <v>626</v>
      </c>
      <c r="D105" t="s">
        <v>1319</v>
      </c>
      <c r="F105" t="s">
        <v>702</v>
      </c>
      <c r="H105" t="s">
        <v>626</v>
      </c>
    </row>
    <row r="106" spans="1:8" ht="15" customHeight="1">
      <c r="A106">
        <v>18589</v>
      </c>
      <c r="B106" s="71">
        <v>46119</v>
      </c>
      <c r="C106" t="s">
        <v>504</v>
      </c>
      <c r="D106" t="s">
        <v>1319</v>
      </c>
      <c r="E106" t="s">
        <v>1347</v>
      </c>
      <c r="F106" t="s">
        <v>1346</v>
      </c>
      <c r="H106" t="s">
        <v>504</v>
      </c>
    </row>
    <row r="107" spans="1:8" ht="15" customHeight="1">
      <c r="B107" s="71">
        <v>46119</v>
      </c>
      <c r="C107" t="s">
        <v>623</v>
      </c>
      <c r="D107" t="s">
        <v>1319</v>
      </c>
      <c r="F107" t="s">
        <v>37</v>
      </c>
      <c r="H107" t="s">
        <v>623</v>
      </c>
    </row>
    <row r="108" spans="1:8" ht="15" customHeight="1">
      <c r="B108" s="71">
        <v>46120</v>
      </c>
      <c r="C108" t="s">
        <v>281</v>
      </c>
      <c r="D108" t="s">
        <v>1319</v>
      </c>
      <c r="F108" t="s">
        <v>37</v>
      </c>
      <c r="H108" t="s">
        <v>281</v>
      </c>
    </row>
    <row r="109" spans="1:8" ht="15" customHeight="1">
      <c r="B109" s="71">
        <v>46121</v>
      </c>
      <c r="C109" t="s">
        <v>122</v>
      </c>
      <c r="D109" t="s">
        <v>1319</v>
      </c>
      <c r="F109" t="s">
        <v>37</v>
      </c>
      <c r="H109" t="s">
        <v>122</v>
      </c>
    </row>
    <row r="110" spans="1:8" ht="15" customHeight="1">
      <c r="B110" s="71">
        <v>46121</v>
      </c>
      <c r="C110" t="s">
        <v>202</v>
      </c>
      <c r="D110" t="s">
        <v>1319</v>
      </c>
      <c r="F110" t="s">
        <v>37</v>
      </c>
      <c r="H110" t="s">
        <v>202</v>
      </c>
    </row>
    <row r="111" spans="1:8" ht="15" customHeight="1">
      <c r="A111">
        <v>18592</v>
      </c>
      <c r="B111" s="71">
        <v>46125</v>
      </c>
      <c r="C111" t="s">
        <v>632</v>
      </c>
      <c r="D111" t="s">
        <v>1319</v>
      </c>
      <c r="F111" t="s">
        <v>37</v>
      </c>
      <c r="H111" t="s">
        <v>632</v>
      </c>
    </row>
    <row r="112" spans="1:8" ht="15" customHeight="1">
      <c r="A112">
        <v>18908</v>
      </c>
      <c r="B112" s="71">
        <v>46126</v>
      </c>
      <c r="C112" t="s">
        <v>636</v>
      </c>
      <c r="D112" t="s">
        <v>1319</v>
      </c>
      <c r="E112" t="s">
        <v>495</v>
      </c>
      <c r="F112" t="s">
        <v>37</v>
      </c>
      <c r="H112" t="s">
        <v>636</v>
      </c>
    </row>
    <row r="113" spans="1:8" ht="15" customHeight="1">
      <c r="A113">
        <v>18912</v>
      </c>
      <c r="B113" s="71">
        <v>46126</v>
      </c>
      <c r="C113" t="s">
        <v>498</v>
      </c>
      <c r="D113" t="s">
        <v>1319</v>
      </c>
      <c r="E113" t="s">
        <v>1324</v>
      </c>
      <c r="F113" t="s">
        <v>37</v>
      </c>
      <c r="H113" t="s">
        <v>498</v>
      </c>
    </row>
    <row r="114" spans="1:8" ht="15" customHeight="1">
      <c r="A114">
        <v>18943</v>
      </c>
      <c r="B114" s="71">
        <v>46129</v>
      </c>
      <c r="C114" t="s">
        <v>604</v>
      </c>
      <c r="D114" t="s">
        <v>1319</v>
      </c>
      <c r="E114" t="s">
        <v>1335</v>
      </c>
      <c r="F114" t="s">
        <v>37</v>
      </c>
      <c r="H114" t="s">
        <v>604</v>
      </c>
    </row>
    <row r="115" spans="1:8" ht="15" customHeight="1">
      <c r="A115">
        <v>18945</v>
      </c>
      <c r="B115" s="71">
        <v>46129</v>
      </c>
      <c r="C115" t="s">
        <v>104</v>
      </c>
      <c r="D115" t="s">
        <v>1319</v>
      </c>
      <c r="E115" t="s">
        <v>1341</v>
      </c>
      <c r="F115" t="s">
        <v>37</v>
      </c>
      <c r="H115" t="s">
        <v>104</v>
      </c>
    </row>
    <row r="116" spans="1:8" ht="15" customHeight="1">
      <c r="B116" s="71">
        <v>46133</v>
      </c>
      <c r="C116" t="s">
        <v>360</v>
      </c>
      <c r="D116" t="s">
        <v>1323</v>
      </c>
      <c r="F116" t="s">
        <v>63</v>
      </c>
      <c r="H116" t="s">
        <v>360</v>
      </c>
    </row>
    <row r="117" spans="1:8" ht="15" customHeight="1">
      <c r="B117" s="71">
        <v>46135</v>
      </c>
      <c r="C117" t="s">
        <v>540</v>
      </c>
      <c r="D117" t="s">
        <v>1319</v>
      </c>
      <c r="F117" t="s">
        <v>37</v>
      </c>
      <c r="H117" t="s">
        <v>540</v>
      </c>
    </row>
    <row r="118" spans="1:8" ht="15" customHeight="1">
      <c r="A118">
        <v>19007</v>
      </c>
      <c r="B118" s="71">
        <v>46132</v>
      </c>
      <c r="C118" t="s">
        <v>518</v>
      </c>
      <c r="D118" t="s">
        <v>1319</v>
      </c>
      <c r="E118" t="s">
        <v>1347</v>
      </c>
      <c r="F118" t="s">
        <v>37</v>
      </c>
      <c r="H118" t="s">
        <v>518</v>
      </c>
    </row>
    <row r="119" spans="1:8" ht="15" customHeight="1">
      <c r="A119">
        <v>19009</v>
      </c>
      <c r="B119" s="71">
        <v>46132</v>
      </c>
      <c r="C119" t="s">
        <v>610</v>
      </c>
      <c r="D119" t="s">
        <v>1319</v>
      </c>
      <c r="E119" t="s">
        <v>1342</v>
      </c>
      <c r="F119" t="s">
        <v>33</v>
      </c>
      <c r="H119" t="s">
        <v>610</v>
      </c>
    </row>
    <row r="120" spans="1:8" ht="15" customHeight="1">
      <c r="A120">
        <v>19009</v>
      </c>
      <c r="B120" s="71">
        <v>46132</v>
      </c>
      <c r="C120" t="s">
        <v>509</v>
      </c>
      <c r="D120" t="s">
        <v>1319</v>
      </c>
      <c r="E120" t="s">
        <v>1342</v>
      </c>
      <c r="F120" t="s">
        <v>33</v>
      </c>
      <c r="H120" t="s">
        <v>509</v>
      </c>
    </row>
    <row r="121" spans="1:8" ht="15" customHeight="1">
      <c r="A121">
        <v>19020</v>
      </c>
      <c r="B121" s="71">
        <v>46132</v>
      </c>
      <c r="C121" t="s">
        <v>411</v>
      </c>
      <c r="D121" t="s">
        <v>1319</v>
      </c>
      <c r="E121" t="s">
        <v>491</v>
      </c>
      <c r="F121" t="s">
        <v>33</v>
      </c>
      <c r="H121" t="s">
        <v>411</v>
      </c>
    </row>
    <row r="122" spans="1:8" ht="15" customHeight="1">
      <c r="A122">
        <v>19024</v>
      </c>
      <c r="B122" s="71">
        <v>46133</v>
      </c>
      <c r="C122" t="s">
        <v>626</v>
      </c>
      <c r="D122" t="s">
        <v>1319</v>
      </c>
      <c r="E122" t="s">
        <v>1335</v>
      </c>
      <c r="F122" t="s">
        <v>37</v>
      </c>
      <c r="H122" t="s">
        <v>626</v>
      </c>
    </row>
    <row r="123" spans="1:8" ht="15" customHeight="1">
      <c r="A123">
        <v>19032</v>
      </c>
      <c r="B123" s="71">
        <v>46134</v>
      </c>
      <c r="C123" t="s">
        <v>456</v>
      </c>
      <c r="D123" t="s">
        <v>1319</v>
      </c>
      <c r="E123" t="s">
        <v>473</v>
      </c>
      <c r="F123" t="s">
        <v>63</v>
      </c>
      <c r="H123" t="s">
        <v>456</v>
      </c>
    </row>
    <row r="124" spans="1:8" ht="15" customHeight="1">
      <c r="A124">
        <v>19045</v>
      </c>
      <c r="B124" s="71">
        <v>46134</v>
      </c>
      <c r="C124" t="s">
        <v>65</v>
      </c>
      <c r="D124" t="s">
        <v>1319</v>
      </c>
      <c r="E124" t="s">
        <v>1348</v>
      </c>
      <c r="F124" t="s">
        <v>33</v>
      </c>
      <c r="H124" t="s">
        <v>65</v>
      </c>
    </row>
    <row r="125" spans="1:8" ht="15" customHeight="1">
      <c r="A125">
        <v>19045</v>
      </c>
      <c r="B125" s="71">
        <v>46134</v>
      </c>
      <c r="C125" t="s">
        <v>383</v>
      </c>
      <c r="D125" t="s">
        <v>1319</v>
      </c>
      <c r="E125" t="s">
        <v>1348</v>
      </c>
      <c r="F125" t="s">
        <v>33</v>
      </c>
      <c r="H125" t="s">
        <v>383</v>
      </c>
    </row>
    <row r="126" spans="1:8" ht="15" customHeight="1">
      <c r="A126">
        <v>19558</v>
      </c>
      <c r="B126" s="71">
        <v>46146</v>
      </c>
      <c r="C126" t="s">
        <v>443</v>
      </c>
      <c r="D126" t="s">
        <v>1319</v>
      </c>
      <c r="E126" t="s">
        <v>1342</v>
      </c>
      <c r="F126" t="s">
        <v>33</v>
      </c>
      <c r="H126" t="s">
        <v>443</v>
      </c>
    </row>
    <row r="127" spans="1:8" ht="15" customHeight="1">
      <c r="A127">
        <v>19565</v>
      </c>
      <c r="B127" s="71">
        <v>46146</v>
      </c>
      <c r="C127" t="s">
        <v>122</v>
      </c>
      <c r="D127" t="s">
        <v>1319</v>
      </c>
      <c r="E127" t="s">
        <v>1347</v>
      </c>
      <c r="F127" t="s">
        <v>37</v>
      </c>
      <c r="H127" t="s">
        <v>122</v>
      </c>
    </row>
    <row r="128" spans="1:8" ht="15" customHeight="1">
      <c r="A128">
        <v>19568</v>
      </c>
      <c r="B128" s="71">
        <v>46146</v>
      </c>
      <c r="C128" t="s">
        <v>532</v>
      </c>
      <c r="D128" t="s">
        <v>1319</v>
      </c>
      <c r="E128" t="s">
        <v>1347</v>
      </c>
      <c r="F128" t="s">
        <v>37</v>
      </c>
      <c r="H128" t="s">
        <v>532</v>
      </c>
    </row>
    <row r="129" spans="1:8" ht="15" customHeight="1">
      <c r="A129">
        <v>19569</v>
      </c>
      <c r="B129" s="71">
        <v>46147</v>
      </c>
      <c r="C129" t="s">
        <v>368</v>
      </c>
      <c r="D129" t="s">
        <v>1319</v>
      </c>
      <c r="E129" t="s">
        <v>473</v>
      </c>
      <c r="F129" t="s">
        <v>37</v>
      </c>
      <c r="H129" t="s">
        <v>368</v>
      </c>
    </row>
    <row r="130" spans="1:8" ht="15" customHeight="1">
      <c r="A130">
        <v>19584</v>
      </c>
      <c r="B130" s="71">
        <v>46147</v>
      </c>
      <c r="C130" t="s">
        <v>460</v>
      </c>
      <c r="D130" t="s">
        <v>1319</v>
      </c>
      <c r="E130" t="s">
        <v>1347</v>
      </c>
      <c r="F130" t="s">
        <v>37</v>
      </c>
      <c r="H130" t="s">
        <v>460</v>
      </c>
    </row>
    <row r="131" spans="1:8" ht="15" customHeight="1">
      <c r="A131">
        <v>19586</v>
      </c>
      <c r="B131" s="71">
        <v>46148</v>
      </c>
      <c r="C131" t="s">
        <v>453</v>
      </c>
      <c r="D131" t="s">
        <v>1319</v>
      </c>
      <c r="E131" t="s">
        <v>473</v>
      </c>
      <c r="F131" t="s">
        <v>15</v>
      </c>
      <c r="H131" t="s">
        <v>453</v>
      </c>
    </row>
    <row r="132" spans="1:8" ht="15" customHeight="1">
      <c r="A132">
        <v>19586</v>
      </c>
      <c r="B132" s="71">
        <v>46148</v>
      </c>
      <c r="C132" t="s">
        <v>359</v>
      </c>
      <c r="D132" t="s">
        <v>1319</v>
      </c>
      <c r="E132" t="s">
        <v>473</v>
      </c>
      <c r="F132" t="s">
        <v>15</v>
      </c>
      <c r="H132" t="s">
        <v>359</v>
      </c>
    </row>
    <row r="133" spans="1:8" ht="15" customHeight="1">
      <c r="A133">
        <v>19587</v>
      </c>
      <c r="B133" s="71">
        <v>46148</v>
      </c>
      <c r="C133" t="s">
        <v>301</v>
      </c>
      <c r="D133" t="s">
        <v>1319</v>
      </c>
      <c r="E133" t="s">
        <v>81</v>
      </c>
      <c r="F133" t="s">
        <v>33</v>
      </c>
      <c r="H133" t="s">
        <v>301</v>
      </c>
    </row>
    <row r="134" spans="1:8" ht="15" customHeight="1">
      <c r="A134">
        <v>19588</v>
      </c>
      <c r="B134" s="71">
        <v>46148</v>
      </c>
      <c r="C134" t="s">
        <v>107</v>
      </c>
      <c r="D134" t="s">
        <v>1319</v>
      </c>
      <c r="E134" t="s">
        <v>81</v>
      </c>
      <c r="F134" t="s">
        <v>33</v>
      </c>
      <c r="H134" t="s">
        <v>107</v>
      </c>
    </row>
    <row r="135" spans="1:8" ht="15" customHeight="1">
      <c r="A135">
        <v>19589</v>
      </c>
      <c r="B135" s="71">
        <v>46148</v>
      </c>
      <c r="C135" t="s">
        <v>338</v>
      </c>
      <c r="D135" t="s">
        <v>1319</v>
      </c>
      <c r="E135" t="s">
        <v>81</v>
      </c>
      <c r="F135" t="s">
        <v>33</v>
      </c>
      <c r="H135" t="s">
        <v>338</v>
      </c>
    </row>
    <row r="136" spans="1:8" ht="15" customHeight="1">
      <c r="A136">
        <v>19590</v>
      </c>
      <c r="B136" s="71">
        <v>46148</v>
      </c>
      <c r="C136" t="s">
        <v>352</v>
      </c>
      <c r="D136" t="s">
        <v>1319</v>
      </c>
      <c r="E136" t="s">
        <v>495</v>
      </c>
      <c r="H136" t="s">
        <v>352</v>
      </c>
    </row>
    <row r="137" spans="1:8" ht="15" customHeight="1">
      <c r="A137">
        <v>19600</v>
      </c>
      <c r="B137" s="71">
        <v>46149</v>
      </c>
      <c r="C137" t="s">
        <v>293</v>
      </c>
      <c r="D137" t="s">
        <v>1319</v>
      </c>
      <c r="E137" t="s">
        <v>473</v>
      </c>
      <c r="F137" t="s">
        <v>23</v>
      </c>
      <c r="H137" t="s">
        <v>293</v>
      </c>
    </row>
    <row r="138" spans="1:8" ht="15" customHeight="1">
      <c r="A138">
        <v>19133</v>
      </c>
      <c r="B138" s="71">
        <v>46153</v>
      </c>
      <c r="C138" t="s">
        <v>136</v>
      </c>
      <c r="D138" t="s">
        <v>1319</v>
      </c>
      <c r="E138" t="s">
        <v>1342</v>
      </c>
      <c r="F138" t="s">
        <v>33</v>
      </c>
      <c r="H138" t="s">
        <v>136</v>
      </c>
    </row>
    <row r="139" spans="1:8" ht="15" customHeight="1">
      <c r="A139">
        <v>19138</v>
      </c>
      <c r="B139" s="71">
        <v>46153</v>
      </c>
      <c r="C139" t="s">
        <v>152</v>
      </c>
      <c r="D139" t="s">
        <v>1319</v>
      </c>
      <c r="E139" t="s">
        <v>1347</v>
      </c>
      <c r="F139" t="s">
        <v>37</v>
      </c>
      <c r="H139" t="s">
        <v>152</v>
      </c>
    </row>
    <row r="140" spans="1:8" ht="15" customHeight="1">
      <c r="A140">
        <v>19144</v>
      </c>
      <c r="B140" s="71">
        <v>46153</v>
      </c>
      <c r="C140" t="s">
        <v>456</v>
      </c>
      <c r="D140" t="s">
        <v>1319</v>
      </c>
      <c r="E140" t="s">
        <v>321</v>
      </c>
      <c r="F140" t="s">
        <v>33</v>
      </c>
      <c r="H140" t="s">
        <v>456</v>
      </c>
    </row>
    <row r="141" spans="1:8" ht="15" customHeight="1">
      <c r="B141" s="71">
        <v>46125</v>
      </c>
      <c r="C141" t="s">
        <v>19</v>
      </c>
      <c r="D141" t="s">
        <v>1319</v>
      </c>
      <c r="H141" t="s">
        <v>19</v>
      </c>
    </row>
    <row r="142" spans="1:8" ht="15" customHeight="1">
      <c r="B142" s="71">
        <v>46044</v>
      </c>
      <c r="C142" t="s">
        <v>35</v>
      </c>
      <c r="D142" t="s">
        <v>1319</v>
      </c>
      <c r="H142" t="s">
        <v>35</v>
      </c>
    </row>
    <row r="143" spans="1:8" ht="15" customHeight="1">
      <c r="B143" s="71">
        <v>46169</v>
      </c>
      <c r="C143" t="s">
        <v>128</v>
      </c>
      <c r="D143" t="s">
        <v>1319</v>
      </c>
      <c r="F143" t="s">
        <v>15</v>
      </c>
      <c r="H143" t="s">
        <v>128</v>
      </c>
    </row>
    <row r="144" spans="1:8" ht="15" customHeight="1">
      <c r="B144" s="71">
        <v>46169</v>
      </c>
      <c r="C144" t="s">
        <v>263</v>
      </c>
      <c r="D144" t="s">
        <v>1319</v>
      </c>
      <c r="F144" t="s">
        <v>327</v>
      </c>
      <c r="H144" t="s">
        <v>263</v>
      </c>
    </row>
    <row r="145" spans="1:8" ht="15" customHeight="1">
      <c r="B145" s="71">
        <v>46162</v>
      </c>
      <c r="C145" t="s">
        <v>60</v>
      </c>
      <c r="D145" t="s">
        <v>1319</v>
      </c>
      <c r="F145" t="s">
        <v>15</v>
      </c>
      <c r="H145" t="s">
        <v>60</v>
      </c>
    </row>
    <row r="146" spans="1:8" ht="15" customHeight="1">
      <c r="A146">
        <v>19215</v>
      </c>
      <c r="B146" s="71">
        <v>46155</v>
      </c>
      <c r="C146" t="s">
        <v>138</v>
      </c>
      <c r="D146" t="s">
        <v>1319</v>
      </c>
      <c r="F146" t="s">
        <v>33</v>
      </c>
      <c r="H146" t="s">
        <v>138</v>
      </c>
    </row>
    <row r="147" spans="1:8" ht="15" customHeight="1">
      <c r="A147">
        <v>19215</v>
      </c>
      <c r="B147" s="71">
        <v>46155</v>
      </c>
      <c r="C147" t="s">
        <v>141</v>
      </c>
      <c r="D147" t="s">
        <v>1319</v>
      </c>
      <c r="F147" t="s">
        <v>33</v>
      </c>
      <c r="H147" t="s">
        <v>141</v>
      </c>
    </row>
    <row r="148" spans="1:8" ht="15" customHeight="1">
      <c r="A148">
        <v>19232</v>
      </c>
      <c r="B148" s="71">
        <v>46157</v>
      </c>
      <c r="C148" t="s">
        <v>91</v>
      </c>
      <c r="D148" t="s">
        <v>1319</v>
      </c>
      <c r="F148" t="s">
        <v>63</v>
      </c>
      <c r="H148" t="s">
        <v>91</v>
      </c>
    </row>
    <row r="149" spans="1:8" ht="15" customHeight="1">
      <c r="A149">
        <v>19302</v>
      </c>
      <c r="B149" s="71">
        <v>46167</v>
      </c>
      <c r="C149" t="s">
        <v>542</v>
      </c>
      <c r="D149" t="s">
        <v>1319</v>
      </c>
      <c r="F149" t="s">
        <v>37</v>
      </c>
      <c r="H149" t="s">
        <v>542</v>
      </c>
    </row>
    <row r="150" spans="1:8" ht="15" customHeight="1">
      <c r="A150">
        <v>19307</v>
      </c>
      <c r="B150" s="71">
        <v>46167</v>
      </c>
      <c r="C150" t="s">
        <v>60</v>
      </c>
      <c r="D150" t="s">
        <v>1319</v>
      </c>
      <c r="H150" t="s">
        <v>60</v>
      </c>
    </row>
    <row r="151" spans="1:8" ht="15" customHeight="1">
      <c r="A151">
        <v>19312</v>
      </c>
      <c r="B151" s="71">
        <v>46168</v>
      </c>
      <c r="C151" t="s">
        <v>29</v>
      </c>
      <c r="D151" t="s">
        <v>1319</v>
      </c>
      <c r="F151" t="s">
        <v>702</v>
      </c>
      <c r="H151" t="s">
        <v>29</v>
      </c>
    </row>
    <row r="152" spans="1:8" ht="15" customHeight="1">
      <c r="A152">
        <v>19332</v>
      </c>
      <c r="B152" s="71">
        <v>46169</v>
      </c>
      <c r="C152" t="s">
        <v>263</v>
      </c>
      <c r="D152" t="s">
        <v>1319</v>
      </c>
      <c r="F152" t="s">
        <v>327</v>
      </c>
      <c r="H152" t="s">
        <v>263</v>
      </c>
    </row>
    <row r="153" spans="1:8" ht="15" customHeight="1">
      <c r="A153">
        <v>19322</v>
      </c>
      <c r="B153" s="71">
        <v>46168</v>
      </c>
      <c r="C153" t="s">
        <v>547</v>
      </c>
      <c r="D153" t="s">
        <v>1319</v>
      </c>
      <c r="F153" t="s">
        <v>37</v>
      </c>
      <c r="H153" t="s">
        <v>547</v>
      </c>
    </row>
    <row r="154" spans="1:8" ht="15" customHeight="1">
      <c r="A154">
        <v>19252</v>
      </c>
      <c r="B154" s="71">
        <v>46160</v>
      </c>
      <c r="C154" t="s">
        <v>211</v>
      </c>
      <c r="D154" t="s">
        <v>1319</v>
      </c>
      <c r="F154" t="s">
        <v>37</v>
      </c>
      <c r="H154" t="s">
        <v>211</v>
      </c>
    </row>
    <row r="155" spans="1:8" ht="15" customHeight="1">
      <c r="A155" s="86">
        <v>19255</v>
      </c>
      <c r="B155" s="71">
        <v>46160</v>
      </c>
      <c r="C155" t="s">
        <v>647</v>
      </c>
      <c r="D155" t="s">
        <v>1319</v>
      </c>
      <c r="F155" t="s">
        <v>37</v>
      </c>
      <c r="H155" t="s">
        <v>647</v>
      </c>
    </row>
    <row r="156" spans="1:8" ht="15" customHeight="1">
      <c r="A156">
        <v>19258</v>
      </c>
      <c r="B156" s="71">
        <v>46161</v>
      </c>
      <c r="C156" t="s">
        <v>169</v>
      </c>
      <c r="D156" t="s">
        <v>1319</v>
      </c>
      <c r="F156" t="s">
        <v>1349</v>
      </c>
      <c r="H156" t="s">
        <v>169</v>
      </c>
    </row>
    <row r="157" spans="1:8" ht="15" customHeight="1">
      <c r="A157">
        <v>19259</v>
      </c>
      <c r="B157" s="71">
        <v>46161</v>
      </c>
      <c r="C157" t="s">
        <v>464</v>
      </c>
      <c r="D157" t="s">
        <v>1319</v>
      </c>
      <c r="F157" t="s">
        <v>37</v>
      </c>
      <c r="H157" t="s">
        <v>464</v>
      </c>
    </row>
    <row r="158" spans="1:8" ht="15" customHeight="1">
      <c r="A158">
        <v>19265</v>
      </c>
      <c r="B158" s="71">
        <v>46161</v>
      </c>
      <c r="C158" t="s">
        <v>79</v>
      </c>
      <c r="D158" t="s">
        <v>1319</v>
      </c>
      <c r="F158" t="s">
        <v>37</v>
      </c>
      <c r="H158" t="s">
        <v>79</v>
      </c>
    </row>
    <row r="159" spans="1:8" ht="15" customHeight="1">
      <c r="A159">
        <v>19268</v>
      </c>
      <c r="B159" s="71">
        <v>46161</v>
      </c>
      <c r="C159" t="s">
        <v>307</v>
      </c>
      <c r="D159" t="s">
        <v>1319</v>
      </c>
      <c r="F159" t="s">
        <v>37</v>
      </c>
      <c r="H159" t="s">
        <v>307</v>
      </c>
    </row>
    <row r="160" spans="1:8" ht="15" customHeight="1">
      <c r="A160">
        <v>19274</v>
      </c>
      <c r="B160" s="71">
        <v>46162</v>
      </c>
      <c r="C160" t="s">
        <v>644</v>
      </c>
      <c r="D160" t="s">
        <v>1319</v>
      </c>
      <c r="F160" t="s">
        <v>37</v>
      </c>
      <c r="H160" t="s">
        <v>644</v>
      </c>
    </row>
    <row r="161" spans="1:8" ht="15" customHeight="1">
      <c r="A161">
        <v>19276</v>
      </c>
      <c r="B161" s="71">
        <v>46162</v>
      </c>
      <c r="C161" t="s">
        <v>511</v>
      </c>
      <c r="D161" t="s">
        <v>1319</v>
      </c>
      <c r="F161" t="s">
        <v>37</v>
      </c>
      <c r="H161" t="s">
        <v>511</v>
      </c>
    </row>
    <row r="162" spans="1:8" ht="15" customHeight="1">
      <c r="A162">
        <v>19289</v>
      </c>
      <c r="B162" s="71">
        <v>46167</v>
      </c>
      <c r="C162" t="s">
        <v>60</v>
      </c>
      <c r="D162" t="s">
        <v>1350</v>
      </c>
      <c r="F162" t="s">
        <v>15</v>
      </c>
      <c r="H162" t="s">
        <v>60</v>
      </c>
    </row>
    <row r="163" spans="1:8" ht="15" customHeight="1">
      <c r="A163">
        <v>19290</v>
      </c>
      <c r="B163" s="71">
        <v>46167</v>
      </c>
      <c r="C163" t="s">
        <v>516</v>
      </c>
      <c r="D163" t="s">
        <v>1319</v>
      </c>
      <c r="F163" t="s">
        <v>37</v>
      </c>
      <c r="H163" t="s">
        <v>516</v>
      </c>
    </row>
    <row r="164" spans="1:8" ht="15" customHeight="1">
      <c r="A164">
        <v>19427</v>
      </c>
      <c r="B164" s="71">
        <v>46178</v>
      </c>
      <c r="C164" t="s">
        <v>538</v>
      </c>
      <c r="D164" t="s">
        <v>1319</v>
      </c>
      <c r="F164" t="s">
        <v>37</v>
      </c>
      <c r="H164" t="s">
        <v>538</v>
      </c>
    </row>
    <row r="165" spans="1:8" ht="15" customHeight="1">
      <c r="A165">
        <v>19431</v>
      </c>
      <c r="B165" s="71">
        <v>46181</v>
      </c>
      <c r="C165" t="s">
        <v>641</v>
      </c>
      <c r="D165" t="s">
        <v>1319</v>
      </c>
      <c r="F165" t="s">
        <v>37</v>
      </c>
      <c r="H165" t="s">
        <v>641</v>
      </c>
    </row>
    <row r="166" spans="1:8" ht="15" customHeight="1">
      <c r="A166">
        <v>19436</v>
      </c>
      <c r="B166" s="71">
        <v>46181</v>
      </c>
      <c r="C166" t="s">
        <v>169</v>
      </c>
      <c r="D166" t="s">
        <v>1319</v>
      </c>
      <c r="F166" t="s">
        <v>702</v>
      </c>
      <c r="H166" t="s">
        <v>169</v>
      </c>
    </row>
    <row r="167" spans="1:8" ht="15" customHeight="1">
      <c r="A167">
        <v>19438</v>
      </c>
      <c r="B167" s="71">
        <v>46179</v>
      </c>
      <c r="C167" t="s">
        <v>36</v>
      </c>
      <c r="D167" t="s">
        <v>1319</v>
      </c>
      <c r="H167" t="s">
        <v>36</v>
      </c>
    </row>
    <row r="168" spans="1:8" ht="15" customHeight="1">
      <c r="A168" s="86">
        <v>19442</v>
      </c>
      <c r="B168" s="71">
        <v>46182</v>
      </c>
      <c r="C168" t="s">
        <v>498</v>
      </c>
      <c r="D168" t="s">
        <v>1319</v>
      </c>
      <c r="F168" t="s">
        <v>37</v>
      </c>
      <c r="H168" t="s">
        <v>498</v>
      </c>
    </row>
    <row r="169" spans="1:8" ht="15" customHeight="1">
      <c r="A169">
        <v>19369</v>
      </c>
      <c r="B169" s="71">
        <v>46174</v>
      </c>
      <c r="C169" t="s">
        <v>19</v>
      </c>
      <c r="D169" t="s">
        <v>1319</v>
      </c>
      <c r="F169" t="s">
        <v>37</v>
      </c>
      <c r="H169" t="s">
        <v>19</v>
      </c>
    </row>
    <row r="170" spans="1:8" ht="15" customHeight="1">
      <c r="A170">
        <v>19371</v>
      </c>
      <c r="B170" s="71">
        <v>46174</v>
      </c>
      <c r="C170" t="s">
        <v>122</v>
      </c>
      <c r="D170" t="s">
        <v>1319</v>
      </c>
      <c r="F170" t="s">
        <v>37</v>
      </c>
      <c r="H170" t="s">
        <v>122</v>
      </c>
    </row>
    <row r="171" spans="1:8" ht="15" customHeight="1">
      <c r="A171">
        <v>19372</v>
      </c>
      <c r="B171" s="71">
        <v>46174</v>
      </c>
      <c r="C171" t="s">
        <v>643</v>
      </c>
      <c r="D171" t="s">
        <v>1319</v>
      </c>
      <c r="F171" t="s">
        <v>37</v>
      </c>
      <c r="H171" t="s">
        <v>643</v>
      </c>
    </row>
    <row r="172" spans="1:8" ht="15" customHeight="1">
      <c r="A172">
        <v>19387</v>
      </c>
      <c r="B172" s="71">
        <v>46175</v>
      </c>
      <c r="C172" t="s">
        <v>249</v>
      </c>
      <c r="D172" t="s">
        <v>1319</v>
      </c>
      <c r="F172" t="s">
        <v>37</v>
      </c>
      <c r="H172" t="s">
        <v>249</v>
      </c>
    </row>
  </sheetData>
  <mergeCells count="1">
    <mergeCell ref="A1:H1"/>
  </mergeCells>
  <phoneticPr fontId="16" type="noConversion"/>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249977111117893"/>
  </sheetPr>
  <dimension ref="A1:AJ242"/>
  <sheetViews>
    <sheetView zoomScaleNormal="100" workbookViewId="0">
      <pane ySplit="3" topLeftCell="A41" activePane="bottomLeft" state="frozen"/>
      <selection pane="bottomLeft" activeCell="A287" sqref="A287:XFD287"/>
      <selection activeCell="A287" sqref="A287:XFD287"/>
    </sheetView>
  </sheetViews>
  <sheetFormatPr defaultColWidth="9.140625" defaultRowHeight="15" customHeight="1"/>
  <cols>
    <col min="1" max="1" width="12" customWidth="1"/>
    <col min="2" max="2" width="24.85546875" customWidth="1"/>
    <col min="3" max="3" width="17.85546875" customWidth="1"/>
    <col min="4" max="4" width="12" customWidth="1"/>
    <col min="5" max="5" width="19.42578125" customWidth="1"/>
    <col min="6" max="6" width="8.42578125" customWidth="1"/>
    <col min="7" max="7" width="14.28515625" style="46" bestFit="1" customWidth="1"/>
    <col min="8" max="8" width="15" hidden="1" customWidth="1"/>
    <col min="9" max="9" width="14.42578125" customWidth="1"/>
    <col min="10" max="10" width="15.42578125" customWidth="1"/>
    <col min="11" max="11" width="17.7109375" customWidth="1"/>
    <col min="12" max="12" width="21.85546875" customWidth="1"/>
    <col min="13" max="13" width="19.7109375" style="73" bestFit="1" customWidth="1"/>
    <col min="14" max="14" width="20.42578125" style="73" bestFit="1" customWidth="1"/>
    <col min="15" max="15" width="15.7109375" style="73" bestFit="1" customWidth="1"/>
    <col min="16" max="16" width="19" customWidth="1"/>
    <col min="17" max="18" width="32.7109375" bestFit="1" customWidth="1"/>
    <col min="19" max="19" width="24" customWidth="1"/>
    <col min="20" max="20" width="23.7109375" bestFit="1" customWidth="1"/>
    <col min="21" max="21" width="20.28515625" bestFit="1" customWidth="1"/>
    <col min="22" max="22" width="20.42578125" bestFit="1" customWidth="1"/>
    <col min="23" max="23" width="18.140625" customWidth="1"/>
    <col min="24" max="24" width="27.5703125" bestFit="1" customWidth="1"/>
    <col min="25" max="25" width="31.28515625" style="39" bestFit="1" customWidth="1"/>
    <col min="26" max="26" width="19.140625" bestFit="1" customWidth="1"/>
    <col min="27" max="27" width="21.28515625" customWidth="1"/>
    <col min="28" max="28" width="31.140625" bestFit="1" customWidth="1"/>
    <col min="29" max="29" width="30.5703125" customWidth="1"/>
    <col min="30" max="30" width="29.85546875" customWidth="1"/>
    <col min="31" max="31" width="22.85546875" bestFit="1" customWidth="1"/>
    <col min="32" max="32" width="16" customWidth="1"/>
    <col min="33" max="33" width="38.42578125" customWidth="1"/>
    <col min="34" max="35" width="13" hidden="1" customWidth="1"/>
  </cols>
  <sheetData>
    <row r="1" spans="1:36" ht="30.75" customHeight="1">
      <c r="A1" s="98" t="s">
        <v>1351</v>
      </c>
      <c r="B1" s="98"/>
      <c r="C1" s="98"/>
      <c r="D1" s="98"/>
      <c r="E1" s="98"/>
      <c r="F1" s="98"/>
      <c r="G1" s="76"/>
      <c r="H1" s="13"/>
      <c r="I1" s="13"/>
      <c r="J1" s="13"/>
      <c r="K1" s="13"/>
      <c r="L1" s="13"/>
      <c r="Y1" s="71"/>
    </row>
    <row r="2" spans="1:36">
      <c r="A2" s="98"/>
      <c r="B2" s="98"/>
      <c r="C2" s="98"/>
      <c r="D2" s="98"/>
      <c r="E2" s="98"/>
      <c r="F2" s="98"/>
      <c r="G2" s="76"/>
      <c r="H2" s="13"/>
      <c r="I2" s="13"/>
      <c r="J2" s="13"/>
      <c r="K2" s="13"/>
      <c r="L2" s="13"/>
      <c r="Y2" s="71"/>
    </row>
    <row r="3" spans="1:36">
      <c r="A3" s="14" t="s">
        <v>1</v>
      </c>
      <c r="B3" s="14" t="s">
        <v>2</v>
      </c>
      <c r="C3" s="14" t="s">
        <v>1352</v>
      </c>
      <c r="D3" s="14" t="s">
        <v>3</v>
      </c>
      <c r="E3" s="14" t="s">
        <v>4</v>
      </c>
      <c r="F3" s="15" t="s">
        <v>5</v>
      </c>
      <c r="G3" s="77" t="s">
        <v>6</v>
      </c>
      <c r="H3" s="14" t="s">
        <v>7</v>
      </c>
      <c r="I3" s="14" t="s">
        <v>9</v>
      </c>
      <c r="J3" s="14" t="s">
        <v>10</v>
      </c>
      <c r="K3" s="14" t="s">
        <v>11</v>
      </c>
      <c r="L3" s="14" t="s">
        <v>1353</v>
      </c>
      <c r="M3" s="74" t="s">
        <v>1354</v>
      </c>
      <c r="N3" s="74" t="s">
        <v>1355</v>
      </c>
      <c r="O3" s="74" t="s">
        <v>1356</v>
      </c>
      <c r="P3" s="15" t="s">
        <v>1357</v>
      </c>
      <c r="Q3" s="14" t="s">
        <v>1358</v>
      </c>
      <c r="R3" s="14" t="s">
        <v>1359</v>
      </c>
      <c r="S3" s="14" t="s">
        <v>1360</v>
      </c>
      <c r="T3" s="15" t="s">
        <v>1361</v>
      </c>
      <c r="U3" s="14" t="s">
        <v>1362</v>
      </c>
      <c r="V3" s="15" t="s">
        <v>1363</v>
      </c>
      <c r="W3" s="15" t="s">
        <v>1364</v>
      </c>
      <c r="X3" s="15" t="s">
        <v>1365</v>
      </c>
      <c r="Y3" s="52" t="s">
        <v>1366</v>
      </c>
      <c r="Z3" s="36" t="s">
        <v>1367</v>
      </c>
      <c r="AA3" s="37" t="s">
        <v>1368</v>
      </c>
      <c r="AB3" s="36" t="s">
        <v>1369</v>
      </c>
      <c r="AC3" s="38" t="s">
        <v>1370</v>
      </c>
      <c r="AD3" s="38" t="s">
        <v>1371</v>
      </c>
      <c r="AE3" s="38" t="s">
        <v>1372</v>
      </c>
      <c r="AF3" s="38" t="s">
        <v>1373</v>
      </c>
      <c r="AG3" s="38" t="s">
        <v>1374</v>
      </c>
      <c r="AH3" t="s">
        <v>1375</v>
      </c>
      <c r="AI3" t="s">
        <v>1376</v>
      </c>
      <c r="AJ3" t="s">
        <v>1377</v>
      </c>
    </row>
    <row r="4" spans="1:36" s="22" customFormat="1">
      <c r="A4" s="16" t="s">
        <v>12</v>
      </c>
      <c r="B4" s="16" t="s">
        <v>13</v>
      </c>
      <c r="C4" s="16" t="s">
        <v>1378</v>
      </c>
      <c r="D4" s="16" t="s">
        <v>14</v>
      </c>
      <c r="E4" s="17">
        <v>26220</v>
      </c>
      <c r="F4" s="16">
        <v>2008</v>
      </c>
      <c r="G4" s="17" t="str">
        <f>IFERROR(_xlfn.XLOOKUP($A4,tblEquipos[Codigo],tblEquipos[Ubicacion],""),"")</f>
        <v>San Carlos</v>
      </c>
      <c r="H4" s="16" t="s">
        <v>68</v>
      </c>
      <c r="I4" s="16" t="str">
        <f>IFERROR(VLOOKUP(A4, Equipos!A:J, 9, FALSE), "")</f>
        <v>HORAS</v>
      </c>
      <c r="J4" s="16">
        <f>IFERROR(VLOOKUP(A4, Equipos!A:J, 10, FALSE), "")</f>
        <v>250</v>
      </c>
      <c r="K4" s="16">
        <f>IFERROR(IF($I4="KM",ROUND((_xlfn.MAXIFS(tblLecturas[Kilometraje],tblLecturas[Codigo],$A4)-_xlfn.MINIFS(tblLecturas[Kilometraje],tblLecturas[Codigo],$A4))/(MAX(1,_xlfn.MAXIFS(tblLecturas[Fecha],tblLecturas[Codigo],$A4)-_xlfn.MINIFS(tblLecturas[Fecha],tblLecturas[Codigo],$A4))),1),ROUND((_xlfn.MAXIFS(tblLecturas[Horometro],tblLecturas[Codigo],$A4)-_xlfn.MINIFS(tblLecturas[Horometro],tblLecturas[Codigo],$A4))/(MAX(1,_xlfn.MAXIFS(tblLecturas[Fecha],tblLecturas[Codigo],$A4)-_xlfn.MINIFS(tblLecturas[Fecha],tblLecturas[Codigo],$A4))),1)),"")</f>
        <v>1</v>
      </c>
      <c r="L4" s="18">
        <f>IFERROR(_xlfn.MAXIFS(tblLecturas[Fecha],tblLecturas[Codigo],$A4),"")</f>
        <v>46155</v>
      </c>
      <c r="M4" s="24">
        <f>IFERROR(_xlfn.MAXIFS(Lecturas!$C:$C,Lecturas!$B:$B,$A4,Lecturas!$C:$C,"&gt;0"),"")</f>
        <v>2852</v>
      </c>
      <c r="N4" s="24">
        <f>IFERROR(_xlfn.MAXIFS(tblLecturas[Kilometraje],tblLecturas[Codigo],$A4,tblLecturas[Kilometraje],"&gt;0"),"")</f>
        <v>158684</v>
      </c>
      <c r="O4" s="24" cm="1">
        <f t="array" ref="O4">IFERROR(IF($I4="KM",LOOKUP(2,1/(Lecturas!$B:$B=$A4)/(Lecturas!$D:$D&gt;0),Lecturas!$D:$D),LOOKUP(2,1/(Lecturas!$B:$B=$A4)/(Lecturas!$C:$C&gt;0),Lecturas!$C:$C)),"")</f>
        <v>985</v>
      </c>
      <c r="P4" s="18">
        <f>IFERROR(_xlfn.MAXIFS(tblMantenciones[Fecha],tblMantenciones[Codigo],tblMaestroEquipos[[#This Row],[Codigo]],tblMantenciones[EsPM],"Sí"),"")</f>
        <v>46113</v>
      </c>
      <c r="Q4" s="70">
        <f>IF(_xlfn.MAXIFS(Mantenciones!$D:$D,Mantenciones!$B:$B,A4)=0,"Sin datos de mantención registrado",_xlfn.MAXIFS(Mantenciones!$D:$D,Mantenciones!$B:$B,A4))</f>
        <v>2882</v>
      </c>
      <c r="R4" s="16">
        <f>IFERROR(IF(_xlfn.MAXIFS(Mantenciones!$D:$D,Mantenciones!$B:$B,$A4,Mantenciones!$E:$E,"Sí",Mantenciones!$D:$D,"&gt;0")=0,"Sin datos de mantención registrado",_xlfn.MAXIFS(Mantenciones!$D:$D,Mantenciones!$B:$B,$A4,Mantenciones!$E:$E,"Sí",Mantenciones!$D:$D,"&gt;0")),"Sin datos de mantención registrado")</f>
        <v>2882</v>
      </c>
      <c r="S4" s="19">
        <f>IFERROR(SUMIFS(tblMantenciones[Costo Mantencion CLP],tblMantenciones[Codigo],A4),0)</f>
        <v>0</v>
      </c>
      <c r="T4" s="19">
        <f>IFERROR(SUMIFS(tblComprasPM[Costo PM CLP],tblComprasPM[Codigo],tblMaestroEquipos[[#This Row],[Codigo]]),0)</f>
        <v>199255.98</v>
      </c>
      <c r="U4" s="19">
        <f>IFERROR(tblMaestroEquipos[[#This Row],[Costo Mantenciones CLP]]+tblMaestroEquipos[[#This Row],[Costo Compras PM CLP]],0)</f>
        <v>199255.98</v>
      </c>
      <c r="V4" s="16" t="str">
        <f>IFERROR(_xlfn.XLOOKUP(tblMaestroEquipos[[#This Row],[Codigo]],tblEquipos[Codigo],tblEquipos[Estado Base]),"")</f>
        <v>Operativo</v>
      </c>
      <c r="W4" s="16" t="str">
        <f t="shared" ref="W4:W67" si="0">IF(OR(TRIM($V4)="Fuera de Servicio",TRIM($V4)="Fuera de servicio"),"FUERA DE SERVICIO",IF(OR(TRIM($V4)="Taller",TRIM($V4)="En taller",TRIM($V4)="EN TALLER"),"EN TALLER",IF($AD4="PENDIENTE","POR RECIBIR",IF(AND($Z4&lt;&gt;"",$AA4=""),"EN PROCESO",IF(AND(ISNUMBER($X4),$X4&lt;0),"ATRASADA",IF(AND(ISNUMBER($X4),$X4&lt;=30),"PRÓXIMA","AL DÍA"))))))</f>
        <v>AL DÍA</v>
      </c>
      <c r="X4" s="16">
        <f t="shared" ref="X4:X67" si="1">IF(OR(NOT(ISNUMBER(R4)),NOT(ISNUMBER(J4)),NOT(ISNUMBER(O4))),"",
(R4+J4)-O4)</f>
        <v>2147</v>
      </c>
      <c r="Y4" s="23">
        <f>IFERROR(IF(OR(tblMaestroEquipos[[#This Row],[Estado Operacional]]="FUERA DE SERVICIO",tblMaestroEquipos[[#This Row],[Ultima Fecha Lectura]]="",tblMaestroEquipos[[#This Row],[Dias a Proxima Mantencion]]=""),"",tblMaestroEquipos[[#This Row],[Ultima Fecha Lectura]]+tblMaestroEquipos[[#This Row],[Dias a Proxima Mantencion]]),"")</f>
        <v>48302</v>
      </c>
      <c r="Z4" s="20">
        <f>IFERROR(IF(_xlfn.MINIFS(tblComprasPM[Fecha],tblComprasPM[Codigo],tblMaestroEquipos[[#This Row],[Codigo]])=0,"",_xlfn.MINIFS(tblComprasPM[Fecha],tblComprasPM[Codigo],tblMaestroEquipos[[#This Row],[Codigo]])),"")</f>
        <v>46085.626711226898</v>
      </c>
      <c r="AA4" s="20">
        <f>IFERROR(IF(_xlfn.MAXIFS(tblBodega[Fecha],tblBodega[Codigo],tblMaestroEquipos[[#This Row],[Codigo]])=0,"",_xlfn.MAXIFS(tblBodega[Fecha],tblBodega[Codigo],tblMaestroEquipos[[#This Row],[Codigo]])),"")</f>
        <v>46113</v>
      </c>
      <c r="AB4" s="21">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28</v>
      </c>
      <c r="AC4"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4" s="16" t="str">
        <f>IF(tblMaestroEquipos[[#This Row],[Fecha Salida Bodega]]="","SIN SALIDA BODEGA",IF(OR(tblMaestroEquipos[[#This Row],[Ultima Fecha PM]]="",tblMaestroEquipos[[#This Row],[Ultima Fecha PM]]&lt;tblMaestroEquipos[[#This Row],[Fecha Salida Bodega]]),"PENDIENTE","CERRADO"))</f>
        <v>CERRADO</v>
      </c>
      <c r="AE4" s="48" t="str">
        <f t="shared" ref="AE4:AE67" si="2">IF(TRIM(V4)="Fuera de servicio","FUERA DE SERVICIO",
IF(OR(TRIM(V4)="Taller",TRIM(V4)="En taller"),"EN TALLER",
IF(W4="ATRASADO","ATRASADO",
IF(W4="EN PROCESO","EN PROCESO",
IF(W4="PRÓXIMO","PRÓXIMO",
"OPERATIVO")))))</f>
        <v>OPERATIVO</v>
      </c>
      <c r="AF4" s="16" t="str">
        <f t="shared" ref="AF4:AF67" si="3">IF($AE4="ATRASADA",IF($X4&lt;=-15,"CRÍTICA","ALTA"),IF($AE4="PRÓXIMA","MEDIA",IF(OR($AE4="EN PROCESO",$AE4="POR RECIBIR"),"SEGUIMIENTO",IF($AE4="FUERA DE SERVICIO","NO APLICA","BAJA"))))</f>
        <v>BAJA</v>
      </c>
      <c r="AG4" s="16" t="str">
        <f t="shared" ref="AG4:AG67" si="4">IF($AE4="FUERA DE SERVICIO","No programar compra",IF($AE4="CERRADO","Cerrar ciclo y preparar siguiente PM",IF($AE4="EN PROCESO","Hacer seguimiento al taller y cerrar report",IF($AE4="POR RECIBIR","Acelerar recepción de repuestos",IF($AE4="ATRASADA","Comprar kit PM y coordinar ejecución",IF($AE4="PRÓXIMA","Planificar compra preventiva","Monitorear próximo vencimiento"))))))</f>
        <v>Monitorear próximo vencimiento</v>
      </c>
      <c r="AH4">
        <f t="shared" ref="AH4:AH67" si="5">IF(AND(OR($AE4="ATRASADA",$AE4="PRÓXIMA"),$Z4="",$AA4=""),1,0)</f>
        <v>0</v>
      </c>
      <c r="AI4" t="str">
        <f t="shared" ref="AI4:AI67" si="6">IF(OR($AH4=0,$Y4=""),"",SUMPRODUCT(($AH$4:$AH$242=1)*(($Y$4:$Y$242&lt;$Y4)+(($Y$4:$Y$242=$Y4)*(ROW($Y$4:$Y$242)&lt;=ROW())))))</f>
        <v/>
      </c>
      <c r="AJ4" s="22">
        <f t="shared" ref="AJ4:AJ67" si="7">IF(W4="ATRASADA",1,IF(W4="EN PROCESO",2,IF(W4="POR RECIBIR",3,99)))</f>
        <v>99</v>
      </c>
    </row>
    <row r="5" spans="1:36">
      <c r="A5" s="16" t="s">
        <v>19</v>
      </c>
      <c r="B5" s="16" t="s">
        <v>20</v>
      </c>
      <c r="C5" s="16" t="s">
        <v>1378</v>
      </c>
      <c r="D5" s="16" t="s">
        <v>21</v>
      </c>
      <c r="E5" s="17" t="s">
        <v>22</v>
      </c>
      <c r="F5" s="16">
        <v>2018</v>
      </c>
      <c r="G5" s="17" t="str">
        <f>IFERROR(_xlfn.XLOOKUP($A5,tblEquipos[Codigo],tblEquipos[Ubicacion],""),"")</f>
        <v>San Nicolas</v>
      </c>
      <c r="H5" s="16" t="s">
        <v>182</v>
      </c>
      <c r="I5" s="16" t="str">
        <f>IFERROR(VLOOKUP(A5, Equipos!A:J, 9, FALSE), "")</f>
        <v>HORAS</v>
      </c>
      <c r="J5" s="16">
        <f>IFERROR(VLOOKUP(A5, Equipos!A:J, 10, FALSE), "")</f>
        <v>500</v>
      </c>
      <c r="K5" s="16">
        <f>IFERROR(IF($I5="KM",ROUND((_xlfn.MAXIFS(tblLecturas[Kilometraje],tblLecturas[Codigo],$A5)-_xlfn.MINIFS(tblLecturas[Kilometraje],tblLecturas[Codigo],$A5))/(MAX(1,_xlfn.MAXIFS(tblLecturas[Fecha],tblLecturas[Codigo],$A5)-_xlfn.MINIFS(tblLecturas[Fecha],tblLecturas[Codigo],$A5))),1),ROUND((_xlfn.MAXIFS(tblLecturas[Horometro],tblLecturas[Codigo],$A5)-_xlfn.MINIFS(tblLecturas[Horometro],tblLecturas[Codigo],$A5))/(MAX(1,_xlfn.MAXIFS(tblLecturas[Fecha],tblLecturas[Codigo],$A5)-_xlfn.MINIFS(tblLecturas[Fecha],tblLecturas[Codigo],$A5))),1)),"")</f>
        <v>4.5</v>
      </c>
      <c r="L5" s="18">
        <f>IFERROR(_xlfn.MAXIFS(tblLecturas[Fecha],tblLecturas[Codigo],$A5),"")</f>
        <v>46160</v>
      </c>
      <c r="M5" s="24">
        <f>IFERROR(_xlfn.MAXIFS(Lecturas!$C:$C,Lecturas!$B:$B,$A5,Lecturas!$C:$C,"&gt;0"),"")</f>
        <v>10633</v>
      </c>
      <c r="N5" s="24">
        <f>IFERROR(_xlfn.MAXIFS(tblLecturas[Kilometraje],tblLecturas[Codigo],$A5,tblLecturas[Kilometraje],"&gt;0"),"")</f>
        <v>262575</v>
      </c>
      <c r="O5" s="24" cm="1">
        <f t="array" ref="O5">IFERROR(IF($I5="KM",LOOKUP(2,1/(Lecturas!$B:$B=$A5)/(Lecturas!$D:$D&gt;0),Lecturas!$D:$D),LOOKUP(2,1/(Lecturas!$B:$B=$A5)/(Lecturas!$C:$C&gt;0),Lecturas!$C:$C)),"")</f>
        <v>10633</v>
      </c>
      <c r="P5" s="18">
        <f>IFERROR(_xlfn.MAXIFS(tblMantenciones[Fecha],tblMantenciones[Codigo],tblMaestroEquipos[[#This Row],[Codigo]],tblMantenciones[EsPM],"Sí"),"")</f>
        <v>46197</v>
      </c>
      <c r="Q5" s="70">
        <f>IF(_xlfn.MAXIFS(Mantenciones!$D:$D,Mantenciones!$B:$B,A5)=0,"Sin datos de mantención registrado",_xlfn.MAXIFS(Mantenciones!$D:$D,Mantenciones!$B:$B,A5))</f>
        <v>11042</v>
      </c>
      <c r="R5" s="16">
        <f>IFERROR(IF(_xlfn.MAXIFS(Mantenciones!$D:$D,Mantenciones!$B:$B,$A5,Mantenciones!$E:$E,"Sí",Mantenciones!$D:$D,"&gt;0")=0,"Sin datos de mantención registrado",_xlfn.MAXIFS(Mantenciones!$D:$D,Mantenciones!$B:$B,$A5,Mantenciones!$E:$E,"Sí",Mantenciones!$D:$D,"&gt;0")),"Sin datos de mantención registrado")</f>
        <v>11042</v>
      </c>
      <c r="S5" s="19">
        <f>IFERROR(SUMIFS(tblMantenciones[Costo Mantencion CLP],tblMantenciones[Codigo],A5),0)</f>
        <v>0</v>
      </c>
      <c r="T5" s="19">
        <f>IFERROR(SUMIFS(tblComprasPM[Costo PM CLP],tblComprasPM[Codigo],tblMaestroEquipos[[#This Row],[Codigo]]),0)</f>
        <v>314826.61529999995</v>
      </c>
      <c r="U5" s="19">
        <f>IFERROR(tblMaestroEquipos[[#This Row],[Costo Mantenciones CLP]]+tblMaestroEquipos[[#This Row],[Costo Compras PM CLP]],0)</f>
        <v>314826.61529999995</v>
      </c>
      <c r="V5" s="16" t="str">
        <f>IFERROR(_xlfn.XLOOKUP(tblMaestroEquipos[[#This Row],[Codigo]],tblEquipos[Codigo],tblEquipos[Estado Base]),"")</f>
        <v>Operativo</v>
      </c>
      <c r="W5" s="16" t="str">
        <f t="shared" si="0"/>
        <v>AL DÍA</v>
      </c>
      <c r="X5" s="16">
        <f t="shared" si="1"/>
        <v>909</v>
      </c>
      <c r="Y5" s="23">
        <f>IFERROR(IF(OR(tblMaestroEquipos[[#This Row],[Estado Operacional]]="FUERA DE SERVICIO",tblMaestroEquipos[[#This Row],[Ultima Fecha Lectura]]="",tblMaestroEquipos[[#This Row],[Dias a Proxima Mantencion]]=""),"",tblMaestroEquipos[[#This Row],[Ultima Fecha Lectura]]+tblMaestroEquipos[[#This Row],[Dias a Proxima Mantencion]]),"")</f>
        <v>47069</v>
      </c>
      <c r="Z5" s="23">
        <f>IFERROR(IF(_xlfn.MINIFS(tblComprasPM[Fecha],tblComprasPM[Codigo],tblMaestroEquipos[[#This Row],[Codigo]])=0,"",_xlfn.MINIFS(tblComprasPM[Fecha],tblComprasPM[Codigo],tblMaestroEquipos[[#This Row],[Codigo]])),"")</f>
        <v>46069.447153738402</v>
      </c>
      <c r="AA5" s="23">
        <f>IFERROR(IF(_xlfn.MAXIFS(tblBodega[Fecha],tblBodega[Codigo],tblMaestroEquipos[[#This Row],[Codigo]])=0,"",_xlfn.MAXIFS(tblBodega[Fecha],tblBodega[Codigo],tblMaestroEquipos[[#This Row],[Codigo]])),"")</f>
        <v>46174</v>
      </c>
      <c r="AB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128</v>
      </c>
      <c r="AC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23</v>
      </c>
      <c r="AD5" s="16" t="str">
        <f>IF(tblMaestroEquipos[[#This Row],[Fecha Salida Bodega]]="","SIN SALIDA BODEGA",IF(OR(tblMaestroEquipos[[#This Row],[Ultima Fecha PM]]="",tblMaestroEquipos[[#This Row],[Ultima Fecha PM]]&lt;tblMaestroEquipos[[#This Row],[Fecha Salida Bodega]]),"PENDIENTE","CERRADO"))</f>
        <v>CERRADO</v>
      </c>
      <c r="AE5" s="48" t="str">
        <f t="shared" si="2"/>
        <v>OPERATIVO</v>
      </c>
      <c r="AF5" s="16" t="str">
        <f t="shared" si="3"/>
        <v>BAJA</v>
      </c>
      <c r="AG5" s="16" t="str">
        <f t="shared" si="4"/>
        <v>Monitorear próximo vencimiento</v>
      </c>
      <c r="AH5">
        <f t="shared" si="5"/>
        <v>0</v>
      </c>
      <c r="AI5" t="str">
        <f t="shared" si="6"/>
        <v/>
      </c>
      <c r="AJ5" s="22">
        <f t="shared" si="7"/>
        <v>99</v>
      </c>
    </row>
    <row r="6" spans="1:36">
      <c r="A6" s="16" t="s">
        <v>25</v>
      </c>
      <c r="B6" s="16" t="s">
        <v>20</v>
      </c>
      <c r="C6" s="16" t="s">
        <v>1378</v>
      </c>
      <c r="D6" s="16" t="s">
        <v>21</v>
      </c>
      <c r="E6" s="17" t="s">
        <v>22</v>
      </c>
      <c r="F6" s="16">
        <v>2018</v>
      </c>
      <c r="G6" s="17" t="str">
        <f>IFERROR(_xlfn.XLOOKUP($A6,tblEquipos[Codigo],tblEquipos[Ubicacion],""),"")</f>
        <v>TALLER</v>
      </c>
      <c r="H6" s="16" t="s">
        <v>27</v>
      </c>
      <c r="I6" s="16" t="str">
        <f>IFERROR(VLOOKUP(A6, Equipos!A:J, 9, FALSE), "")</f>
        <v>HORAS</v>
      </c>
      <c r="J6" s="16">
        <f>IFERROR(VLOOKUP(A6, Equipos!A:J, 10, FALSE), "")</f>
        <v>500</v>
      </c>
      <c r="K6" s="16">
        <f>IFERROR(IF($I6="KM",ROUND((_xlfn.MAXIFS(tblLecturas[Kilometraje],tblLecturas[Codigo],$A6)-_xlfn.MINIFS(tblLecturas[Kilometraje],tblLecturas[Codigo],$A6))/(MAX(1,_xlfn.MAXIFS(tblLecturas[Fecha],tblLecturas[Codigo],$A6)-_xlfn.MINIFS(tblLecturas[Fecha],tblLecturas[Codigo],$A6))),1),ROUND((_xlfn.MAXIFS(tblLecturas[Horometro],tblLecturas[Codigo],$A6)-_xlfn.MINIFS(tblLecturas[Horometro],tblLecturas[Codigo],$A6))/(MAX(1,_xlfn.MAXIFS(tblLecturas[Fecha],tblLecturas[Codigo],$A6)-_xlfn.MINIFS(tblLecturas[Fecha],tblLecturas[Codigo],$A6))),1)),"")</f>
        <v>0</v>
      </c>
      <c r="L6" s="18">
        <f>IFERROR(_xlfn.MAXIFS(tblLecturas[Fecha],tblLecturas[Codigo],$A6),"")</f>
        <v>45056</v>
      </c>
      <c r="M6" s="24">
        <f>IFERROR(_xlfn.MAXIFS(Lecturas!$C:$C,Lecturas!$B:$B,$A6,Lecturas!$C:$C,"&gt;0"),"")</f>
        <v>5327</v>
      </c>
      <c r="N6" s="24">
        <f>IFERROR(_xlfn.MAXIFS(tblLecturas[Kilometraje],tblLecturas[Codigo],$A6,tblLecturas[Kilometraje],"&gt;0"),"")</f>
        <v>126893</v>
      </c>
      <c r="O6" s="24" cm="1">
        <f t="array" ref="O6">IFERROR(IF($I6="KM",LOOKUP(2,1/(Lecturas!$B:$B=$A6)/(Lecturas!$D:$D&gt;0),Lecturas!$D:$D),LOOKUP(2,1/(Lecturas!$B:$B=$A6)/(Lecturas!$C:$C&gt;0),Lecturas!$C:$C)),"")</f>
        <v>5327</v>
      </c>
      <c r="P6" s="18">
        <f>IFERROR(_xlfn.MAXIFS(tblMantenciones[Fecha],tblMantenciones[Codigo],tblMaestroEquipos[[#This Row],[Codigo]],tblMantenciones[EsPM],"Sí"),"")</f>
        <v>45234</v>
      </c>
      <c r="Q6" s="70">
        <f>IF(_xlfn.MAXIFS(Mantenciones!$D:$D,Mantenciones!$B:$B,A6)=0,"Sin datos de mantención registrado",_xlfn.MAXIFS(Mantenciones!$D:$D,Mantenciones!$B:$B,A6))</f>
        <v>5942</v>
      </c>
      <c r="R6" s="16">
        <f>IFERROR(IF(_xlfn.MAXIFS(Mantenciones!$D:$D,Mantenciones!$B:$B,$A6,Mantenciones!$E:$E,"Sí",Mantenciones!$D:$D,"&gt;0")=0,"Sin datos de mantención registrado",_xlfn.MAXIFS(Mantenciones!$D:$D,Mantenciones!$B:$B,$A6,Mantenciones!$E:$E,"Sí",Mantenciones!$D:$D,"&gt;0")),"Sin datos de mantención registrado")</f>
        <v>5942</v>
      </c>
      <c r="S6" s="19">
        <f>IFERROR(SUMIFS(tblMantenciones[Costo Mantencion CLP],tblMantenciones[Codigo],A6),0)</f>
        <v>0</v>
      </c>
      <c r="T6" s="19">
        <f>IFERROR(SUMIFS(tblComprasPM[Costo PM CLP],tblComprasPM[Codigo],tblMaestroEquipos[[#This Row],[Codigo]]),0)</f>
        <v>0</v>
      </c>
      <c r="U6" s="19">
        <f>IFERROR(tblMaestroEquipos[[#This Row],[Costo Mantenciones CLP]]+tblMaestroEquipos[[#This Row],[Costo Compras PM CLP]],0)</f>
        <v>0</v>
      </c>
      <c r="V6" s="16" t="str">
        <f>IFERROR(_xlfn.XLOOKUP(tblMaestroEquipos[[#This Row],[Codigo]],tblEquipos[Codigo],tblEquipos[Estado Base]),"")</f>
        <v>Fuera de Servicio</v>
      </c>
      <c r="W6" s="16" t="str">
        <f t="shared" si="0"/>
        <v>FUERA DE SERVICIO</v>
      </c>
      <c r="X6" s="16">
        <f t="shared" si="1"/>
        <v>1115</v>
      </c>
      <c r="Y6"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6" s="23" t="str">
        <f>IFERROR(IF(_xlfn.MINIFS(tblComprasPM[Fecha],tblComprasPM[Codigo],tblMaestroEquipos[[#This Row],[Codigo]])=0,"",_xlfn.MINIFS(tblComprasPM[Fecha],tblComprasPM[Codigo],tblMaestroEquipos[[#This Row],[Codigo]])),"")</f>
        <v/>
      </c>
      <c r="AA6" s="23" t="str">
        <f>IFERROR(IF(_xlfn.MAXIFS(tblBodega[Fecha],tblBodega[Codigo],tblMaestroEquipos[[#This Row],[Codigo]])=0,"",_xlfn.MAXIFS(tblBodega[Fecha],tblBodega[Codigo],tblMaestroEquipos[[#This Row],[Codigo]])),"")</f>
        <v/>
      </c>
      <c r="AB6"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6"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6" s="16" t="str">
        <f>IF(tblMaestroEquipos[[#This Row],[Fecha Salida Bodega]]="","SIN SALIDA BODEGA",IF(OR(tblMaestroEquipos[[#This Row],[Ultima Fecha PM]]="",tblMaestroEquipos[[#This Row],[Ultima Fecha PM]]&lt;tblMaestroEquipos[[#This Row],[Fecha Salida Bodega]]),"PENDIENTE","CERRADO"))</f>
        <v>SIN SALIDA BODEGA</v>
      </c>
      <c r="AE6" s="48" t="str">
        <f t="shared" si="2"/>
        <v>FUERA DE SERVICIO</v>
      </c>
      <c r="AF6" s="16" t="str">
        <f t="shared" si="3"/>
        <v>NO APLICA</v>
      </c>
      <c r="AG6" s="16" t="str">
        <f t="shared" si="4"/>
        <v>No programar compra</v>
      </c>
      <c r="AH6" s="25">
        <f t="shared" si="5"/>
        <v>0</v>
      </c>
      <c r="AI6" s="25" t="str">
        <f t="shared" si="6"/>
        <v/>
      </c>
      <c r="AJ6" s="22">
        <f t="shared" si="7"/>
        <v>99</v>
      </c>
    </row>
    <row r="7" spans="1:36">
      <c r="A7" s="16" t="s">
        <v>29</v>
      </c>
      <c r="B7" s="16" t="s">
        <v>20</v>
      </c>
      <c r="C7" s="16" t="s">
        <v>1378</v>
      </c>
      <c r="D7" s="16" t="s">
        <v>21</v>
      </c>
      <c r="E7" s="17" t="s">
        <v>22</v>
      </c>
      <c r="F7" s="16">
        <v>2019</v>
      </c>
      <c r="G7" s="17" t="str">
        <f>IFERROR(_xlfn.XLOOKUP($A7,tblEquipos[Codigo],tblEquipos[Ubicacion],""),"")</f>
        <v>Emergencias Curico</v>
      </c>
      <c r="H7" s="16" t="s">
        <v>1379</v>
      </c>
      <c r="I7" s="16" t="str">
        <f>IFERROR(VLOOKUP(A7, Equipos!A:J, 9, FALSE), "")</f>
        <v>HORAS</v>
      </c>
      <c r="J7" s="16">
        <f>IFERROR(VLOOKUP(A7, Equipos!A:J, 10, FALSE), "")</f>
        <v>250</v>
      </c>
      <c r="K7" s="16">
        <f>IFERROR(IF($I7="KM",ROUND((_xlfn.MAXIFS(tblLecturas[Kilometraje],tblLecturas[Codigo],$A7)-_xlfn.MINIFS(tblLecturas[Kilometraje],tblLecturas[Codigo],$A7))/(MAX(1,_xlfn.MAXIFS(tblLecturas[Fecha],tblLecturas[Codigo],$A7)-_xlfn.MINIFS(tblLecturas[Fecha],tblLecturas[Codigo],$A7))),1),ROUND((_xlfn.MAXIFS(tblLecturas[Horometro],tblLecturas[Codigo],$A7)-_xlfn.MINIFS(tblLecturas[Horometro],tblLecturas[Codigo],$A7))/(MAX(1,_xlfn.MAXIFS(tblLecturas[Fecha],tblLecturas[Codigo],$A7)-_xlfn.MINIFS(tblLecturas[Fecha],tblLecturas[Codigo],$A7))),1)),"")</f>
        <v>0</v>
      </c>
      <c r="L7" s="18">
        <f>IFERROR(_xlfn.MAXIFS(tblLecturas[Fecha],tblLecturas[Codigo],$A7),"")</f>
        <v>46114</v>
      </c>
      <c r="M7" s="24">
        <f>IFERROR(_xlfn.MAXIFS(Lecturas!$C:$C,Lecturas!$B:$B,$A7,Lecturas!$C:$C,"&gt;0"),"")</f>
        <v>8820</v>
      </c>
      <c r="N7" s="24">
        <f>IFERROR(_xlfn.MAXIFS(tblLecturas[Kilometraje],tblLecturas[Codigo],$A7,tblLecturas[Kilometraje],"&gt;0"),"")</f>
        <v>261250</v>
      </c>
      <c r="O7" s="24" cm="1">
        <f t="array" ref="O7">IFERROR(IF($I7="KM",LOOKUP(2,1/(Lecturas!$B:$B=$A7)/(Lecturas!$D:$D&gt;0),Lecturas!$D:$D),LOOKUP(2,1/(Lecturas!$B:$B=$A7)/(Lecturas!$C:$C&gt;0),Lecturas!$C:$C)),"")</f>
        <v>8820</v>
      </c>
      <c r="P7" s="18">
        <f>IFERROR(_xlfn.MAXIFS(tblMantenciones[Fecha],tblMantenciones[Codigo],tblMaestroEquipos[[#This Row],[Codigo]],tblMantenciones[EsPM],"Sí"),"")</f>
        <v>46175</v>
      </c>
      <c r="Q7" s="70">
        <f>IF(_xlfn.MAXIFS(Mantenciones!$D:$D,Mantenciones!$B:$B,A7)=0,"Sin datos de mantención registrado",_xlfn.MAXIFS(Mantenciones!$D:$D,Mantenciones!$B:$B,A7))</f>
        <v>9025</v>
      </c>
      <c r="R7" s="16">
        <f>IFERROR(IF(_xlfn.MAXIFS(Mantenciones!$D:$D,Mantenciones!$B:$B,$A7,Mantenciones!$E:$E,"Sí",Mantenciones!$D:$D,"&gt;0")=0,"Sin datos de mantención registrado",_xlfn.MAXIFS(Mantenciones!$D:$D,Mantenciones!$B:$B,$A7,Mantenciones!$E:$E,"Sí",Mantenciones!$D:$D,"&gt;0")),"Sin datos de mantención registrado")</f>
        <v>9025</v>
      </c>
      <c r="S7" s="19">
        <f>IFERROR(SUMIFS(tblMantenciones[Costo Mantencion CLP],tblMantenciones[Codigo],A7),0)</f>
        <v>0</v>
      </c>
      <c r="T7" s="19">
        <f>IFERROR(SUMIFS(tblComprasPM[Costo PM CLP],tblComprasPM[Codigo],tblMaestroEquipos[[#This Row],[Codigo]]),0)</f>
        <v>314826.61529999995</v>
      </c>
      <c r="U7" s="19">
        <f>IFERROR(tblMaestroEquipos[[#This Row],[Costo Mantenciones CLP]]+tblMaestroEquipos[[#This Row],[Costo Compras PM CLP]],0)</f>
        <v>314826.61529999995</v>
      </c>
      <c r="V7" s="16" t="str">
        <f>IFERROR(_xlfn.XLOOKUP(tblMaestroEquipos[[#This Row],[Codigo]],tblEquipos[Codigo],tblEquipos[Estado Base]),"")</f>
        <v>Operativo</v>
      </c>
      <c r="W7" s="16" t="str">
        <f t="shared" si="0"/>
        <v>AL DÍA</v>
      </c>
      <c r="X7" s="16">
        <f t="shared" si="1"/>
        <v>455</v>
      </c>
      <c r="Y7" s="23">
        <f>IFERROR(IF(OR(tblMaestroEquipos[[#This Row],[Estado Operacional]]="FUERA DE SERVICIO",tblMaestroEquipos[[#This Row],[Ultima Fecha Lectura]]="",tblMaestroEquipos[[#This Row],[Dias a Proxima Mantencion]]=""),"",tblMaestroEquipos[[#This Row],[Ultima Fecha Lectura]]+tblMaestroEquipos[[#This Row],[Dias a Proxima Mantencion]]),"")</f>
        <v>46569</v>
      </c>
      <c r="Z7" s="23">
        <f>IFERROR(IF(_xlfn.MINIFS(tblComprasPM[Fecha],tblComprasPM[Codigo],tblMaestroEquipos[[#This Row],[Codigo]])=0,"",_xlfn.MINIFS(tblComprasPM[Fecha],tblComprasPM[Codigo],tblMaestroEquipos[[#This Row],[Codigo]])),"")</f>
        <v>46069.447153738402</v>
      </c>
      <c r="AA7" s="23">
        <f>IFERROR(IF(_xlfn.MAXIFS(tblBodega[Fecha],tblBodega[Codigo],tblMaestroEquipos[[#This Row],[Codigo]])=0,"",_xlfn.MAXIFS(tblBodega[Fecha],tblBodega[Codigo],tblMaestroEquipos[[#This Row],[Codigo]])),"")</f>
        <v>46168</v>
      </c>
      <c r="AB7" s="24">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106</v>
      </c>
      <c r="AC7"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7</v>
      </c>
      <c r="AD7" s="16" t="str">
        <f>IF(tblMaestroEquipos[[#This Row],[Fecha Salida Bodega]]="","SIN SALIDA BODEGA",IF(OR(tblMaestroEquipos[[#This Row],[Ultima Fecha PM]]="",tblMaestroEquipos[[#This Row],[Ultima Fecha PM]]&lt;tblMaestroEquipos[[#This Row],[Fecha Salida Bodega]]),"PENDIENTE","CERRADO"))</f>
        <v>CERRADO</v>
      </c>
      <c r="AE7" s="48" t="str">
        <f t="shared" si="2"/>
        <v>OPERATIVO</v>
      </c>
      <c r="AF7" s="16" t="str">
        <f t="shared" si="3"/>
        <v>BAJA</v>
      </c>
      <c r="AG7" s="16" t="str">
        <f t="shared" si="4"/>
        <v>Monitorear próximo vencimiento</v>
      </c>
      <c r="AH7">
        <f t="shared" si="5"/>
        <v>0</v>
      </c>
      <c r="AI7" t="str">
        <f t="shared" si="6"/>
        <v/>
      </c>
      <c r="AJ7" s="22">
        <f t="shared" si="7"/>
        <v>99</v>
      </c>
    </row>
    <row r="8" spans="1:36">
      <c r="A8" s="16" t="s">
        <v>32</v>
      </c>
      <c r="B8" s="16" t="s">
        <v>20</v>
      </c>
      <c r="C8" s="16" t="s">
        <v>1378</v>
      </c>
      <c r="D8" s="16" t="s">
        <v>21</v>
      </c>
      <c r="E8" s="17" t="s">
        <v>22</v>
      </c>
      <c r="F8" s="16">
        <v>2018</v>
      </c>
      <c r="G8" s="17" t="str">
        <f>IFERROR(_xlfn.XLOOKUP($A8,tblEquipos[Codigo],tblEquipos[Ubicacion],""),"")</f>
        <v>Palmucho</v>
      </c>
      <c r="H8" s="16" t="s">
        <v>170</v>
      </c>
      <c r="I8" s="16" t="str">
        <f>IFERROR(VLOOKUP(A8, Equipos!A:J, 9, FALSE), "")</f>
        <v>HORAS</v>
      </c>
      <c r="J8" s="16">
        <f>IFERROR(VLOOKUP(A8, Equipos!A:J, 10, FALSE), "")</f>
        <v>500</v>
      </c>
      <c r="K8" s="16">
        <f>IFERROR(IF($I8="KM",ROUND((_xlfn.MAXIFS(tblLecturas[Kilometraje],tblLecturas[Codigo],$A8)-_xlfn.MINIFS(tblLecturas[Kilometraje],tblLecturas[Codigo],$A8))/(MAX(1,_xlfn.MAXIFS(tblLecturas[Fecha],tblLecturas[Codigo],$A8)-_xlfn.MINIFS(tblLecturas[Fecha],tblLecturas[Codigo],$A8))),1),ROUND((_xlfn.MAXIFS(tblLecturas[Horometro],tblLecturas[Codigo],$A8)-_xlfn.MINIFS(tblLecturas[Horometro],tblLecturas[Codigo],$A8))/(MAX(1,_xlfn.MAXIFS(tblLecturas[Fecha],tblLecturas[Codigo],$A8)-_xlfn.MINIFS(tblLecturas[Fecha],tblLecturas[Codigo],$A8))),1)),"")</f>
        <v>6.2</v>
      </c>
      <c r="L8" s="18">
        <f>IFERROR(_xlfn.MAXIFS(tblLecturas[Fecha],tblLecturas[Codigo],$A8),"")</f>
        <v>46142</v>
      </c>
      <c r="M8" s="24">
        <f>IFERROR(_xlfn.MAXIFS(Lecturas!$C:$C,Lecturas!$B:$B,$A8,Lecturas!$C:$C,"&gt;0"),"")</f>
        <v>10821</v>
      </c>
      <c r="N8" s="24">
        <f>IFERROR(_xlfn.MAXIFS(tblLecturas[Kilometraje],tblLecturas[Codigo],$A8,tblLecturas[Kilometraje],"&gt;0"),"")</f>
        <v>262956</v>
      </c>
      <c r="O8" s="24" cm="1">
        <f t="array" ref="O8">IFERROR(IF($I8="KM",LOOKUP(2,1/(Lecturas!$B:$B=$A8)/(Lecturas!$D:$D&gt;0),Lecturas!$D:$D),LOOKUP(2,1/(Lecturas!$B:$B=$A8)/(Lecturas!$C:$C&gt;0),Lecturas!$C:$C)),"")</f>
        <v>10821</v>
      </c>
      <c r="P8" s="18">
        <f>IFERROR(_xlfn.MAXIFS(tblMantenciones[Fecha],tblMantenciones[Codigo],tblMaestroEquipos[[#This Row],[Codigo]],tblMantenciones[EsPM],"Sí"),"")</f>
        <v>46127</v>
      </c>
      <c r="Q8" s="70">
        <f>IF(_xlfn.MAXIFS(Mantenciones!$D:$D,Mantenciones!$B:$B,A8)=0,"Sin datos de mantención registrado",_xlfn.MAXIFS(Mantenciones!$D:$D,Mantenciones!$B:$B,A8))</f>
        <v>10738</v>
      </c>
      <c r="R8" s="16">
        <f>IFERROR(IF(_xlfn.MAXIFS(Mantenciones!$D:$D,Mantenciones!$B:$B,$A8,Mantenciones!$E:$E,"Sí",Mantenciones!$D:$D,"&gt;0")=0,"Sin datos de mantención registrado",_xlfn.MAXIFS(Mantenciones!$D:$D,Mantenciones!$B:$B,$A8,Mantenciones!$E:$E,"Sí",Mantenciones!$D:$D,"&gt;0")),"Sin datos de mantención registrado")</f>
        <v>10738</v>
      </c>
      <c r="S8" s="19">
        <f>IFERROR(SUMIFS(tblMantenciones[Costo Mantencion CLP],tblMantenciones[Codigo],A8),0)</f>
        <v>0</v>
      </c>
      <c r="T8" s="19">
        <f>IFERROR(SUMIFS(tblComprasPM[Costo PM CLP],tblComprasPM[Codigo],tblMaestroEquipos[[#This Row],[Codigo]]),0)</f>
        <v>50277.864000000001</v>
      </c>
      <c r="U8" s="19">
        <f>IFERROR(tblMaestroEquipos[[#This Row],[Costo Mantenciones CLP]]+tblMaestroEquipos[[#This Row],[Costo Compras PM CLP]],0)</f>
        <v>50277.864000000001</v>
      </c>
      <c r="V8" s="16" t="str">
        <f>IFERROR(_xlfn.XLOOKUP(tblMaestroEquipos[[#This Row],[Codigo]],tblEquipos[Codigo],tblEquipos[Estado Base]),"")</f>
        <v>Operativo</v>
      </c>
      <c r="W8" s="16" t="str">
        <f t="shared" si="0"/>
        <v>AL DÍA</v>
      </c>
      <c r="X8" s="16">
        <f t="shared" si="1"/>
        <v>417</v>
      </c>
      <c r="Y8" s="23">
        <f>IFERROR(IF(OR(tblMaestroEquipos[[#This Row],[Estado Operacional]]="FUERA DE SERVICIO",tblMaestroEquipos[[#This Row],[Ultima Fecha Lectura]]="",tblMaestroEquipos[[#This Row],[Dias a Proxima Mantencion]]=""),"",tblMaestroEquipos[[#This Row],[Ultima Fecha Lectura]]+tblMaestroEquipos[[#This Row],[Dias a Proxima Mantencion]]),"")</f>
        <v>46559</v>
      </c>
      <c r="Z8" s="23">
        <f>IFERROR(IF(_xlfn.MINIFS(tblComprasPM[Fecha],tblComprasPM[Codigo],tblMaestroEquipos[[#This Row],[Codigo]])=0,"",_xlfn.MINIFS(tblComprasPM[Fecha],tblComprasPM[Codigo],tblMaestroEquipos[[#This Row],[Codigo]])),"")</f>
        <v>46069.447153738402</v>
      </c>
      <c r="AA8" s="23">
        <f>IFERROR(IF(_xlfn.MAXIFS(tblBodega[Fecha],tblBodega[Codigo],tblMaestroEquipos[[#This Row],[Codigo]])=0,"",_xlfn.MAXIFS(tblBodega[Fecha],tblBodega[Codigo],tblMaestroEquipos[[#This Row],[Codigo]])),"")</f>
        <v>46105</v>
      </c>
      <c r="AB8"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58</v>
      </c>
      <c r="AC8"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22</v>
      </c>
      <c r="AD8" s="16" t="str">
        <f>IF(tblMaestroEquipos[[#This Row],[Fecha Salida Bodega]]="","SIN SALIDA BODEGA",IF(OR(tblMaestroEquipos[[#This Row],[Ultima Fecha PM]]="",tblMaestroEquipos[[#This Row],[Ultima Fecha PM]]&lt;tblMaestroEquipos[[#This Row],[Fecha Salida Bodega]]),"PENDIENTE","CERRADO"))</f>
        <v>CERRADO</v>
      </c>
      <c r="AE8" s="48" t="str">
        <f t="shared" si="2"/>
        <v>OPERATIVO</v>
      </c>
      <c r="AF8" s="16" t="str">
        <f t="shared" si="3"/>
        <v>BAJA</v>
      </c>
      <c r="AG8" s="16" t="str">
        <f t="shared" si="4"/>
        <v>Monitorear próximo vencimiento</v>
      </c>
      <c r="AH8">
        <f t="shared" si="5"/>
        <v>0</v>
      </c>
      <c r="AI8" t="str">
        <f t="shared" si="6"/>
        <v/>
      </c>
      <c r="AJ8" s="22">
        <f t="shared" si="7"/>
        <v>99</v>
      </c>
    </row>
    <row r="9" spans="1:36">
      <c r="A9" s="16" t="s">
        <v>35</v>
      </c>
      <c r="B9" s="16" t="s">
        <v>20</v>
      </c>
      <c r="C9" s="16" t="s">
        <v>1378</v>
      </c>
      <c r="D9" s="16" t="s">
        <v>21</v>
      </c>
      <c r="E9" s="17" t="s">
        <v>22</v>
      </c>
      <c r="F9" s="16">
        <v>2019</v>
      </c>
      <c r="G9" s="17" t="str">
        <f>IFERROR(_xlfn.XLOOKUP($A9,tblEquipos[Codigo],tblEquipos[Ubicacion],""),"")</f>
        <v>Emergencias Curico</v>
      </c>
      <c r="H9" s="16" t="s">
        <v>34</v>
      </c>
      <c r="I9" s="16" t="str">
        <f>IFERROR(VLOOKUP(A9, Equipos!A:J, 9, FALSE), "")</f>
        <v>HORAS</v>
      </c>
      <c r="J9" s="16">
        <f>IFERROR(VLOOKUP(A9, Equipos!A:J, 10, FALSE), "")</f>
        <v>500</v>
      </c>
      <c r="K9" s="16">
        <f>IFERROR(IF($I9="KM",ROUND((_xlfn.MAXIFS(tblLecturas[Kilometraje],tblLecturas[Codigo],$A9)-_xlfn.MINIFS(tblLecturas[Kilometraje],tblLecturas[Codigo],$A9))/(MAX(1,_xlfn.MAXIFS(tblLecturas[Fecha],tblLecturas[Codigo],$A9)-_xlfn.MINIFS(tblLecturas[Fecha],tblLecturas[Codigo],$A9))),1),ROUND((_xlfn.MAXIFS(tblLecturas[Horometro],tblLecturas[Codigo],$A9)-_xlfn.MINIFS(tblLecturas[Horometro],tblLecturas[Codigo],$A9))/(MAX(1,_xlfn.MAXIFS(tblLecturas[Fecha],tblLecturas[Codigo],$A9)-_xlfn.MINIFS(tblLecturas[Fecha],tblLecturas[Codigo],$A9))),1)),"")</f>
        <v>2.2000000000000002</v>
      </c>
      <c r="L9" s="18">
        <f>IFERROR(_xlfn.MAXIFS(tblLecturas[Fecha],tblLecturas[Codigo],$A9),"")</f>
        <v>46105</v>
      </c>
      <c r="M9" s="24">
        <f>IFERROR(_xlfn.MAXIFS(Lecturas!$C:$C,Lecturas!$B:$B,$A9,Lecturas!$C:$C,"&gt;0"),"")</f>
        <v>8345</v>
      </c>
      <c r="N9" s="24">
        <f>IFERROR(_xlfn.MAXIFS(tblLecturas[Kilometraje],tblLecturas[Codigo],$A9,tblLecturas[Kilometraje],"&gt;0"),"")</f>
        <v>250115</v>
      </c>
      <c r="O9" s="24" cm="1">
        <f t="array" ref="O9">IFERROR(IF($I9="KM",LOOKUP(2,1/(Lecturas!$B:$B=$A9)/(Lecturas!$D:$D&gt;0),Lecturas!$D:$D),LOOKUP(2,1/(Lecturas!$B:$B=$A9)/(Lecturas!$C:$C&gt;0),Lecturas!$C:$C)),"")</f>
        <v>8221</v>
      </c>
      <c r="P9" s="18">
        <f>IFERROR(_xlfn.MAXIFS(tblMantenciones[Fecha],tblMantenciones[Codigo],tblMaestroEquipos[[#This Row],[Codigo]],tblMantenciones[EsPM],"Sí"),"")</f>
        <v>46044</v>
      </c>
      <c r="Q9" s="70">
        <f>IF(_xlfn.MAXIFS(Mantenciones!$D:$D,Mantenciones!$B:$B,A9)=0,"Sin datos de mantención registrado",_xlfn.MAXIFS(Mantenciones!$D:$D,Mantenciones!$B:$B,A9))</f>
        <v>8319</v>
      </c>
      <c r="R9" s="16">
        <f>IFERROR(IF(_xlfn.MAXIFS(Mantenciones!$D:$D,Mantenciones!$B:$B,$A9,Mantenciones!$E:$E,"Sí",Mantenciones!$D:$D,"&gt;0")=0,"Sin datos de mantención registrado",_xlfn.MAXIFS(Mantenciones!$D:$D,Mantenciones!$B:$B,$A9,Mantenciones!$E:$E,"Sí",Mantenciones!$D:$D,"&gt;0")),"Sin datos de mantención registrado")</f>
        <v>8319</v>
      </c>
      <c r="S9" s="19">
        <f>IFERROR(SUMIFS(tblMantenciones[Costo Mantencion CLP],tblMantenciones[Codigo],A9),0)</f>
        <v>0</v>
      </c>
      <c r="T9" s="19">
        <f>IFERROR(SUMIFS(tblComprasPM[Costo PM CLP],tblComprasPM[Codigo],tblMaestroEquipos[[#This Row],[Codigo]]),0)</f>
        <v>49130.810399999995</v>
      </c>
      <c r="U9" s="19">
        <f>IFERROR(tblMaestroEquipos[[#This Row],[Costo Mantenciones CLP]]+tblMaestroEquipos[[#This Row],[Costo Compras PM CLP]],0)</f>
        <v>49130.810399999995</v>
      </c>
      <c r="V9" s="16" t="str">
        <f>IFERROR(_xlfn.XLOOKUP(tblMaestroEquipos[[#This Row],[Codigo]],tblEquipos[Codigo],tblEquipos[Estado Base]),"")</f>
        <v>Operativo</v>
      </c>
      <c r="W9" s="16" t="str">
        <f t="shared" si="0"/>
        <v>AL DÍA</v>
      </c>
      <c r="X9" s="16">
        <f t="shared" si="1"/>
        <v>598</v>
      </c>
      <c r="Y9" s="23">
        <f>IFERROR(IF(OR(tblMaestroEquipos[[#This Row],[Estado Operacional]]="FUERA DE SERVICIO",tblMaestroEquipos[[#This Row],[Ultima Fecha Lectura]]="",tblMaestroEquipos[[#This Row],[Dias a Proxima Mantencion]]=""),"",tblMaestroEquipos[[#This Row],[Ultima Fecha Lectura]]+tblMaestroEquipos[[#This Row],[Dias a Proxima Mantencion]]),"")</f>
        <v>46703</v>
      </c>
      <c r="Z9" s="23">
        <f>IFERROR(IF(_xlfn.MINIFS(tblComprasPM[Fecha],tblComprasPM[Codigo],tblMaestroEquipos[[#This Row],[Codigo]])=0,"",_xlfn.MINIFS(tblComprasPM[Fecha],tblComprasPM[Codigo],tblMaestroEquipos[[#This Row],[Codigo]])),"")</f>
        <v>46069.447153738402</v>
      </c>
      <c r="AA9" s="23">
        <f>IFERROR(IF(_xlfn.MAXIFS(tblBodega[Fecha],tblBodega[Codigo],tblMaestroEquipos[[#This Row],[Codigo]])=0,"",_xlfn.MAXIFS(tblBodega[Fecha],tblBodega[Codigo],tblMaestroEquipos[[#This Row],[Codigo]])),"")</f>
        <v>46044</v>
      </c>
      <c r="AB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9"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9" s="16" t="str">
        <f>IF(tblMaestroEquipos[[#This Row],[Fecha Salida Bodega]]="","SIN SALIDA BODEGA",IF(OR(tblMaestroEquipos[[#This Row],[Ultima Fecha PM]]="",tblMaestroEquipos[[#This Row],[Ultima Fecha PM]]&lt;tblMaestroEquipos[[#This Row],[Fecha Salida Bodega]]),"PENDIENTE","CERRADO"))</f>
        <v>CERRADO</v>
      </c>
      <c r="AE9" s="48" t="str">
        <f t="shared" si="2"/>
        <v>OPERATIVO</v>
      </c>
      <c r="AF9" s="16" t="str">
        <f t="shared" si="3"/>
        <v>BAJA</v>
      </c>
      <c r="AG9" s="16" t="str">
        <f t="shared" si="4"/>
        <v>Monitorear próximo vencimiento</v>
      </c>
      <c r="AH9">
        <f t="shared" si="5"/>
        <v>0</v>
      </c>
      <c r="AI9" t="str">
        <f t="shared" si="6"/>
        <v/>
      </c>
      <c r="AJ9" s="22">
        <f t="shared" si="7"/>
        <v>99</v>
      </c>
    </row>
    <row r="10" spans="1:36">
      <c r="A10" s="16" t="s">
        <v>36</v>
      </c>
      <c r="B10" s="16" t="s">
        <v>20</v>
      </c>
      <c r="C10" s="16" t="s">
        <v>1378</v>
      </c>
      <c r="D10" s="16" t="s">
        <v>21</v>
      </c>
      <c r="E10" s="17" t="s">
        <v>22</v>
      </c>
      <c r="F10" s="16">
        <v>2019</v>
      </c>
      <c r="G10" s="17" t="str">
        <f>IFERROR(_xlfn.XLOOKUP($A10,tblEquipos[Codigo],tblEquipos[Ubicacion],""),"")</f>
        <v>Taller</v>
      </c>
      <c r="H10" s="16" t="s">
        <v>38</v>
      </c>
      <c r="I10" s="16" t="str">
        <f>IFERROR(VLOOKUP(A10, Equipos!A:J, 9, FALSE), "")</f>
        <v>HORAS</v>
      </c>
      <c r="J10" s="16">
        <f>IFERROR(VLOOKUP(A10, Equipos!A:J, 10, FALSE), "")</f>
        <v>500</v>
      </c>
      <c r="K10" s="16">
        <f>IFERROR(IF($I10="KM",ROUND((_xlfn.MAXIFS(tblLecturas[Kilometraje],tblLecturas[Codigo],$A10)-_xlfn.MINIFS(tblLecturas[Kilometraje],tblLecturas[Codigo],$A10))/(MAX(1,_xlfn.MAXIFS(tblLecturas[Fecha],tblLecturas[Codigo],$A10)-_xlfn.MINIFS(tblLecturas[Fecha],tblLecturas[Codigo],$A10))),1),ROUND((_xlfn.MAXIFS(tblLecturas[Horometro],tblLecturas[Codigo],$A10)-_xlfn.MINIFS(tblLecturas[Horometro],tblLecturas[Codigo],$A10))/(MAX(1,_xlfn.MAXIFS(tblLecturas[Fecha],tblLecturas[Codigo],$A10)-_xlfn.MINIFS(tblLecturas[Fecha],tblLecturas[Codigo],$A10))),1)),"")</f>
        <v>3.8</v>
      </c>
      <c r="L10" s="18">
        <f>IFERROR(_xlfn.MAXIFS(tblLecturas[Fecha],tblLecturas[Codigo],$A10),"")</f>
        <v>46092</v>
      </c>
      <c r="M10" s="24">
        <f>IFERROR(_xlfn.MAXIFS(Lecturas!$C:$C,Lecturas!$B:$B,$A10,Lecturas!$C:$C,"&gt;0"),"")</f>
        <v>10923</v>
      </c>
      <c r="N10" s="24">
        <f>IFERROR(_xlfn.MAXIFS(tblLecturas[Kilometraje],tblLecturas[Codigo],$A10,tblLecturas[Kilometraje],"&gt;0"),"")</f>
        <v>0</v>
      </c>
      <c r="O10" s="24" cm="1">
        <f t="array" ref="O10">IFERROR(IF($I10="KM",LOOKUP(2,1/(Lecturas!$B:$B=$A10)/(Lecturas!$D:$D&gt;0),Lecturas!$D:$D),LOOKUP(2,1/(Lecturas!$B:$B=$A10)/(Lecturas!$C:$C&gt;0),Lecturas!$C:$C)),"")</f>
        <v>10863</v>
      </c>
      <c r="P10" s="18">
        <f>IFERROR(_xlfn.MAXIFS(tblMantenciones[Fecha],tblMantenciones[Codigo],tblMaestroEquipos[[#This Row],[Codigo]],tblMantenciones[EsPM],"Sí"),"")</f>
        <v>46181</v>
      </c>
      <c r="Q10" s="70">
        <f>IF(_xlfn.MAXIFS(Mantenciones!$D:$D,Mantenciones!$B:$B,A10)=0,"Sin datos de mantención registrado",_xlfn.MAXIFS(Mantenciones!$D:$D,Mantenciones!$B:$B,A10))</f>
        <v>10974</v>
      </c>
      <c r="R10" s="16">
        <f>IFERROR(IF(_xlfn.MAXIFS(Mantenciones!$D:$D,Mantenciones!$B:$B,$A10,Mantenciones!$E:$E,"Sí",Mantenciones!$D:$D,"&gt;0")=0,"Sin datos de mantención registrado",_xlfn.MAXIFS(Mantenciones!$D:$D,Mantenciones!$B:$B,$A10,Mantenciones!$E:$E,"Sí",Mantenciones!$D:$D,"&gt;0")),"Sin datos de mantención registrado")</f>
        <v>10974</v>
      </c>
      <c r="S10" s="19">
        <f>IFERROR(SUMIFS(tblMantenciones[Costo Mantencion CLP],tblMantenciones[Codigo],A10),0)</f>
        <v>0</v>
      </c>
      <c r="T10" s="19">
        <f>IFERROR(SUMIFS(tblComprasPM[Costo PM CLP],tblComprasPM[Codigo],tblMaestroEquipos[[#This Row],[Codigo]]),0)</f>
        <v>275874.6004</v>
      </c>
      <c r="U10" s="19">
        <f>IFERROR(tblMaestroEquipos[[#This Row],[Costo Mantenciones CLP]]+tblMaestroEquipos[[#This Row],[Costo Compras PM CLP]],0)</f>
        <v>275874.6004</v>
      </c>
      <c r="V10" s="16" t="str">
        <f>IFERROR(_xlfn.XLOOKUP(tblMaestroEquipos[[#This Row],[Codigo]],tblEquipos[Codigo],tblEquipos[Estado Base]),"")</f>
        <v>Operativo</v>
      </c>
      <c r="W10" s="16" t="str">
        <f t="shared" si="0"/>
        <v>AL DÍA</v>
      </c>
      <c r="X10" s="16">
        <f t="shared" si="1"/>
        <v>611</v>
      </c>
      <c r="Y10" s="23">
        <f>IFERROR(IF(OR(tblMaestroEquipos[[#This Row],[Estado Operacional]]="FUERA DE SERVICIO",tblMaestroEquipos[[#This Row],[Ultima Fecha Lectura]]="",tblMaestroEquipos[[#This Row],[Dias a Proxima Mantencion]]=""),"",tblMaestroEquipos[[#This Row],[Ultima Fecha Lectura]]+tblMaestroEquipos[[#This Row],[Dias a Proxima Mantencion]]),"")</f>
        <v>46703</v>
      </c>
      <c r="Z10" s="23">
        <f>IFERROR(IF(_xlfn.MINIFS(tblComprasPM[Fecha],tblComprasPM[Codigo],tblMaestroEquipos[[#This Row],[Codigo]])=0,"",_xlfn.MINIFS(tblComprasPM[Fecha],tblComprasPM[Codigo],tblMaestroEquipos[[#This Row],[Codigo]])),"")</f>
        <v>46069.447153738402</v>
      </c>
      <c r="AA10" s="23">
        <f>IFERROR(IF(_xlfn.MAXIFS(tblBodega[Fecha],tblBodega[Codigo],tblMaestroEquipos[[#This Row],[Codigo]])=0,"",_xlfn.MAXIFS(tblBodega[Fecha],tblBodega[Codigo],tblMaestroEquipos[[#This Row],[Codigo]])),"")</f>
        <v>46179</v>
      </c>
      <c r="AB1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112</v>
      </c>
      <c r="AC10"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2</v>
      </c>
      <c r="AD10" s="16" t="str">
        <f>IF(tblMaestroEquipos[[#This Row],[Fecha Salida Bodega]]="","SIN SALIDA BODEGA",IF(OR(tblMaestroEquipos[[#This Row],[Ultima Fecha PM]]="",tblMaestroEquipos[[#This Row],[Ultima Fecha PM]]&lt;tblMaestroEquipos[[#This Row],[Fecha Salida Bodega]]),"PENDIENTE","CERRADO"))</f>
        <v>CERRADO</v>
      </c>
      <c r="AE10" s="48" t="str">
        <f t="shared" si="2"/>
        <v>OPERATIVO</v>
      </c>
      <c r="AF10" s="16" t="str">
        <f t="shared" si="3"/>
        <v>BAJA</v>
      </c>
      <c r="AG10" s="16" t="str">
        <f t="shared" si="4"/>
        <v>Monitorear próximo vencimiento</v>
      </c>
      <c r="AH10">
        <f t="shared" si="5"/>
        <v>0</v>
      </c>
      <c r="AI10" t="str">
        <f t="shared" si="6"/>
        <v/>
      </c>
      <c r="AJ10" s="22">
        <f t="shared" si="7"/>
        <v>99</v>
      </c>
    </row>
    <row r="11" spans="1:36">
      <c r="A11" s="16" t="s">
        <v>39</v>
      </c>
      <c r="B11" s="16" t="s">
        <v>13</v>
      </c>
      <c r="C11" s="16" t="s">
        <v>1378</v>
      </c>
      <c r="D11" s="16" t="s">
        <v>40</v>
      </c>
      <c r="E11" s="17">
        <v>7600</v>
      </c>
      <c r="F11" s="16">
        <v>2008</v>
      </c>
      <c r="G11" s="17" t="str">
        <f>IFERROR(_xlfn.XLOOKUP($A11,tblEquipos[Codigo],tblEquipos[Ubicacion],""),"")</f>
        <v>Palmucho</v>
      </c>
      <c r="H11" s="16" t="s">
        <v>1380</v>
      </c>
      <c r="I11" s="16" t="str">
        <f>IFERROR(VLOOKUP(A11, Equipos!A:J, 9, FALSE), "")</f>
        <v>HORAS</v>
      </c>
      <c r="J11" s="16">
        <f>IFERROR(VLOOKUP(A11, Equipos!A:J, 10, FALSE), "")</f>
        <v>250</v>
      </c>
      <c r="K11" s="16">
        <f>IFERROR(IF($I11="KM",ROUND((_xlfn.MAXIFS(tblLecturas[Kilometraje],tblLecturas[Codigo],$A11)-_xlfn.MINIFS(tblLecturas[Kilometraje],tblLecturas[Codigo],$A11))/(MAX(1,_xlfn.MAXIFS(tblLecturas[Fecha],tblLecturas[Codigo],$A11)-_xlfn.MINIFS(tblLecturas[Fecha],tblLecturas[Codigo],$A11))),1),ROUND((_xlfn.MAXIFS(tblLecturas[Horometro],tblLecturas[Codigo],$A11)-_xlfn.MINIFS(tblLecturas[Horometro],tblLecturas[Codigo],$A11))/(MAX(1,_xlfn.MAXIFS(tblLecturas[Fecha],tblLecturas[Codigo],$A11)-_xlfn.MINIFS(tblLecturas[Fecha],tblLecturas[Codigo],$A11))),1)),"")</f>
        <v>137.19999999999999</v>
      </c>
      <c r="L11" s="18">
        <f>IFERROR(_xlfn.MAXIFS(tblLecturas[Fecha],tblLecturas[Codigo],$A11),"")</f>
        <v>46133</v>
      </c>
      <c r="M11" s="24">
        <f>IFERROR(_xlfn.MAXIFS(Lecturas!$C:$C,Lecturas!$B:$B,$A11,Lecturas!$C:$C,"&gt;0"),"")</f>
        <v>9884</v>
      </c>
      <c r="N11" s="24">
        <f>IFERROR(_xlfn.MAXIFS(tblLecturas[Kilometraje],tblLecturas[Codigo],$A11,tblLecturas[Kilometraje],"&gt;0"),"")</f>
        <v>98639</v>
      </c>
      <c r="O11" s="24" cm="1">
        <f t="array" ref="O11">IFERROR(IF($I11="KM",LOOKUP(2,1/(Lecturas!$B:$B=$A11)/(Lecturas!$D:$D&gt;0),Lecturas!$D:$D),LOOKUP(2,1/(Lecturas!$B:$B=$A11)/(Lecturas!$C:$C&gt;0),Lecturas!$C:$C)),"")</f>
        <v>145</v>
      </c>
      <c r="P11" s="18">
        <f>IFERROR(_xlfn.MAXIFS(tblMantenciones[Fecha],tblMantenciones[Codigo],tblMaestroEquipos[[#This Row],[Codigo]],tblMantenciones[EsPM],"Sí"),"")</f>
        <v>45015</v>
      </c>
      <c r="Q11" s="70" t="str">
        <f>IF(_xlfn.MAXIFS(Mantenciones!$D:$D,Mantenciones!$B:$B,A11)=0,"Sin datos de mantención registrado",_xlfn.MAXIFS(Mantenciones!$D:$D,Mantenciones!$B:$B,A11))</f>
        <v>Sin datos de mantención registrado</v>
      </c>
      <c r="R11" s="16" t="str">
        <f>IFERROR(IF(_xlfn.MAXIFS(Mantenciones!$D:$D,Mantenciones!$B:$B,$A11,Mantenciones!$E:$E,"Sí",Mantenciones!$D:$D,"&gt;0")=0,"Sin datos de mantención registrado",_xlfn.MAXIFS(Mantenciones!$D:$D,Mantenciones!$B:$B,$A11,Mantenciones!$E:$E,"Sí",Mantenciones!$D:$D,"&gt;0")),"Sin datos de mantención registrado")</f>
        <v>Sin datos de mantención registrado</v>
      </c>
      <c r="S11" s="19">
        <f>IFERROR(SUMIFS(tblMantenciones[Costo Mantencion CLP],tblMantenciones[Codigo],A11),0)</f>
        <v>0</v>
      </c>
      <c r="T11" s="19">
        <f>IFERROR(SUMIFS(tblComprasPM[Costo PM CLP],tblComprasPM[Codigo],tblMaestroEquipos[[#This Row],[Codigo]]),0)</f>
        <v>251368.46356999999</v>
      </c>
      <c r="U11" s="19">
        <f>IFERROR(tblMaestroEquipos[[#This Row],[Costo Mantenciones CLP]]+tblMaestroEquipos[[#This Row],[Costo Compras PM CLP]],0)</f>
        <v>251368.46356999999</v>
      </c>
      <c r="V11" s="16" t="str">
        <f>IFERROR(_xlfn.XLOOKUP(tblMaestroEquipos[[#This Row],[Codigo]],tblEquipos[Codigo],tblEquipos[Estado Base]),"")</f>
        <v>Operativo</v>
      </c>
      <c r="W11" s="16" t="str">
        <f t="shared" si="0"/>
        <v>EN PROCESO</v>
      </c>
      <c r="X11" s="16" t="str">
        <f t="shared" si="1"/>
        <v/>
      </c>
      <c r="Y11"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1" s="23">
        <f>IFERROR(IF(_xlfn.MINIFS(tblComprasPM[Fecha],tblComprasPM[Codigo],tblMaestroEquipos[[#This Row],[Codigo]])=0,"",_xlfn.MINIFS(tblComprasPM[Fecha],tblComprasPM[Codigo],tblMaestroEquipos[[#This Row],[Codigo]])),"")</f>
        <v>46128.371488044002</v>
      </c>
      <c r="AA11" s="23" t="str">
        <f>IFERROR(IF(_xlfn.MAXIFS(tblBodega[Fecha],tblBodega[Codigo],tblMaestroEquipos[[#This Row],[Codigo]])=0,"",_xlfn.MAXIFS(tblBodega[Fecha],tblBodega[Codigo],tblMaestroEquipos[[#This Row],[Codigo]])),"")</f>
        <v/>
      </c>
      <c r="AB1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1"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1" s="16" t="str">
        <f>IF(tblMaestroEquipos[[#This Row],[Fecha Salida Bodega]]="","SIN SALIDA BODEGA",IF(OR(tblMaestroEquipos[[#This Row],[Ultima Fecha PM]]="",tblMaestroEquipos[[#This Row],[Ultima Fecha PM]]&lt;tblMaestroEquipos[[#This Row],[Fecha Salida Bodega]]),"PENDIENTE","CERRADO"))</f>
        <v>SIN SALIDA BODEGA</v>
      </c>
      <c r="AE11" s="48" t="str">
        <f t="shared" si="2"/>
        <v>EN PROCESO</v>
      </c>
      <c r="AF11" s="16" t="str">
        <f t="shared" si="3"/>
        <v>SEGUIMIENTO</v>
      </c>
      <c r="AG11" s="16" t="str">
        <f t="shared" si="4"/>
        <v>Hacer seguimiento al taller y cerrar report</v>
      </c>
      <c r="AH11">
        <f t="shared" si="5"/>
        <v>0</v>
      </c>
      <c r="AI11" t="str">
        <f t="shared" si="6"/>
        <v/>
      </c>
      <c r="AJ11" s="22">
        <f t="shared" si="7"/>
        <v>2</v>
      </c>
    </row>
    <row r="12" spans="1:36">
      <c r="A12" s="16" t="s">
        <v>42</v>
      </c>
      <c r="B12" s="16" t="s">
        <v>43</v>
      </c>
      <c r="C12" s="16" t="s">
        <v>1378</v>
      </c>
      <c r="D12" s="16" t="s">
        <v>44</v>
      </c>
      <c r="E12" s="17" t="s">
        <v>45</v>
      </c>
      <c r="F12" s="16">
        <v>2012</v>
      </c>
      <c r="G12" s="17" t="str">
        <f>IFERROR(_xlfn.XLOOKUP($A12,tblEquipos[Codigo],tblEquipos[Ubicacion],""),"")</f>
        <v>Palmucho</v>
      </c>
      <c r="H12" s="16" t="s">
        <v>1381</v>
      </c>
      <c r="I12" s="16" t="str">
        <f>IFERROR(VLOOKUP(A12, Equipos!A:J, 9, FALSE), "")</f>
        <v>KM</v>
      </c>
      <c r="J12" s="16">
        <f>IFERROR(VLOOKUP(A12, Equipos!A:J, 10, FALSE), "")</f>
        <v>10000</v>
      </c>
      <c r="K12" s="16">
        <f>IFERROR(IF($I12="KM",ROUND((_xlfn.MAXIFS(tblLecturas[Kilometraje],tblLecturas[Codigo],$A12)-_xlfn.MINIFS(tblLecturas[Kilometraje],tblLecturas[Codigo],$A12))/(MAX(1,_xlfn.MAXIFS(tblLecturas[Fecha],tblLecturas[Codigo],$A12)-_xlfn.MINIFS(tblLecturas[Fecha],tblLecturas[Codigo],$A12))),1),ROUND((_xlfn.MAXIFS(tblLecturas[Horometro],tblLecturas[Codigo],$A12)-_xlfn.MINIFS(tblLecturas[Horometro],tblLecturas[Codigo],$A12))/(MAX(1,_xlfn.MAXIFS(tblLecturas[Fecha],tblLecturas[Codigo],$A12)-_xlfn.MINIFS(tblLecturas[Fecha],tblLecturas[Codigo],$A12))),1)),"")</f>
        <v>40.4</v>
      </c>
      <c r="L12" s="18">
        <f>IFERROR(_xlfn.MAXIFS(tblLecturas[Fecha],tblLecturas[Codigo],$A12),"")</f>
        <v>46189</v>
      </c>
      <c r="M12" s="24">
        <f>IFERROR(_xlfn.MAXIFS(Lecturas!$C:$C,Lecturas!$B:$B,$A12,Lecturas!$C:$C,"&gt;0"),"")</f>
        <v>0</v>
      </c>
      <c r="N12" s="24">
        <f>IFERROR(_xlfn.MAXIFS(tblLecturas[Kilometraje],tblLecturas[Codigo],$A12,tblLecturas[Kilometraje],"&gt;0"),"")</f>
        <v>193745</v>
      </c>
      <c r="O12" s="24" cm="1">
        <f t="array" ref="O12">IFERROR(IF($I12="KM",LOOKUP(2,1/(Lecturas!$B:$B=$A12)/(Lecturas!$D:$D&gt;0),Lecturas!$D:$D),LOOKUP(2,1/(Lecturas!$B:$B=$A12)/(Lecturas!$C:$C&gt;0),Lecturas!$C:$C)),"")</f>
        <v>193745</v>
      </c>
      <c r="P12" s="18">
        <f>IFERROR(_xlfn.MAXIFS(tblMantenciones[Fecha],tblMantenciones[Codigo],tblMaestroEquipos[[#This Row],[Codigo]],tblMantenciones[EsPM],"Sí"),"")</f>
        <v>46093</v>
      </c>
      <c r="Q12" s="70">
        <f>IF(_xlfn.MAXIFS(Mantenciones!$D:$D,Mantenciones!$B:$B,A12)=0,"Sin datos de mantención registrado",_xlfn.MAXIFS(Mantenciones!$D:$D,Mantenciones!$B:$B,A12))</f>
        <v>189849</v>
      </c>
      <c r="R12" s="16">
        <f>IFERROR(IF(_xlfn.MAXIFS(Mantenciones!$D:$D,Mantenciones!$B:$B,$A12,Mantenciones!$E:$E,"Sí",Mantenciones!$D:$D,"&gt;0")=0,"Sin datos de mantención registrado",_xlfn.MAXIFS(Mantenciones!$D:$D,Mantenciones!$B:$B,$A12,Mantenciones!$E:$E,"Sí",Mantenciones!$D:$D,"&gt;0")),"Sin datos de mantención registrado")</f>
        <v>189849</v>
      </c>
      <c r="S12" s="19">
        <f>IFERROR(SUMIFS(tblMantenciones[Costo Mantencion CLP],tblMantenciones[Codigo],A12),0)</f>
        <v>0</v>
      </c>
      <c r="T12" s="19">
        <f>IFERROR(SUMIFS(tblComprasPM[Costo PM CLP],tblComprasPM[Codigo],tblMaestroEquipos[[#This Row],[Codigo]]),0)</f>
        <v>186232.99</v>
      </c>
      <c r="U12" s="19">
        <f>IFERROR(tblMaestroEquipos[[#This Row],[Costo Mantenciones CLP]]+tblMaestroEquipos[[#This Row],[Costo Compras PM CLP]],0)</f>
        <v>186232.99</v>
      </c>
      <c r="V12" s="16" t="str">
        <f>IFERROR(_xlfn.XLOOKUP(tblMaestroEquipos[[#This Row],[Codigo]],tblEquipos[Codigo],tblEquipos[Estado Base]),"")</f>
        <v>Operativo</v>
      </c>
      <c r="W12" s="16" t="str">
        <f t="shared" si="0"/>
        <v>AL DÍA</v>
      </c>
      <c r="X12" s="16">
        <f t="shared" si="1"/>
        <v>6104</v>
      </c>
      <c r="Y12" s="23">
        <f>IFERROR(IF(OR(tblMaestroEquipos[[#This Row],[Estado Operacional]]="FUERA DE SERVICIO",tblMaestroEquipos[[#This Row],[Ultima Fecha Lectura]]="",tblMaestroEquipos[[#This Row],[Dias a Proxima Mantencion]]=""),"",tblMaestroEquipos[[#This Row],[Ultima Fecha Lectura]]+tblMaestroEquipos[[#This Row],[Dias a Proxima Mantencion]]),"")</f>
        <v>52293</v>
      </c>
      <c r="Z12" s="23">
        <f>IFERROR(IF(_xlfn.MINIFS(tblComprasPM[Fecha],tblComprasPM[Codigo],tblMaestroEquipos[[#This Row],[Codigo]])=0,"",_xlfn.MINIFS(tblComprasPM[Fecha],tblComprasPM[Codigo],tblMaestroEquipos[[#This Row],[Codigo]])),"")</f>
        <v>46093.485688888897</v>
      </c>
      <c r="AA12" s="23">
        <f>IFERROR(IF(_xlfn.MAXIFS(tblBodega[Fecha],tblBodega[Codigo],tblMaestroEquipos[[#This Row],[Codigo]])=0,"",_xlfn.MAXIFS(tblBodega[Fecha],tblBodega[Codigo],tblMaestroEquipos[[#This Row],[Codigo]])),"")</f>
        <v>46091</v>
      </c>
      <c r="AB12"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2"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2</v>
      </c>
      <c r="AD12" s="16" t="str">
        <f>IF(tblMaestroEquipos[[#This Row],[Fecha Salida Bodega]]="","SIN SALIDA BODEGA",IF(OR(tblMaestroEquipos[[#This Row],[Ultima Fecha PM]]="",tblMaestroEquipos[[#This Row],[Ultima Fecha PM]]&lt;tblMaestroEquipos[[#This Row],[Fecha Salida Bodega]]),"PENDIENTE","CERRADO"))</f>
        <v>CERRADO</v>
      </c>
      <c r="AE12" s="48" t="str">
        <f t="shared" si="2"/>
        <v>OPERATIVO</v>
      </c>
      <c r="AF12" s="16" t="str">
        <f t="shared" si="3"/>
        <v>BAJA</v>
      </c>
      <c r="AG12" s="16" t="str">
        <f t="shared" si="4"/>
        <v>Monitorear próximo vencimiento</v>
      </c>
      <c r="AH12">
        <f t="shared" si="5"/>
        <v>0</v>
      </c>
      <c r="AI12" t="str">
        <f t="shared" si="6"/>
        <v/>
      </c>
      <c r="AJ12" s="22">
        <f t="shared" si="7"/>
        <v>99</v>
      </c>
    </row>
    <row r="13" spans="1:36">
      <c r="A13" s="16" t="s">
        <v>48</v>
      </c>
      <c r="B13" s="16" t="s">
        <v>43</v>
      </c>
      <c r="C13" s="16" t="s">
        <v>1378</v>
      </c>
      <c r="D13" s="16" t="s">
        <v>49</v>
      </c>
      <c r="E13" s="17" t="s">
        <v>50</v>
      </c>
      <c r="F13" s="16">
        <v>2015</v>
      </c>
      <c r="G13" s="17" t="str">
        <f>IFERROR(_xlfn.XLOOKUP($A13,tblEquipos[Codigo],tblEquipos[Ubicacion],""),"")</f>
        <v>Cobquecura</v>
      </c>
      <c r="H13" s="16" t="s">
        <v>201</v>
      </c>
      <c r="I13" s="16" t="str">
        <f>IFERROR(VLOOKUP(A13, Equipos!A:J, 9, FALSE), "")</f>
        <v>HORAS</v>
      </c>
      <c r="J13" s="16">
        <f>IFERROR(VLOOKUP(A13, Equipos!A:J, 10, FALSE), "")</f>
        <v>250</v>
      </c>
      <c r="K13" s="16">
        <f>IFERROR(IF($I13="KM",ROUND((_xlfn.MAXIFS(tblLecturas[Kilometraje],tblLecturas[Codigo],$A13)-_xlfn.MINIFS(tblLecturas[Kilometraje],tblLecturas[Codigo],$A13))/(MAX(1,_xlfn.MAXIFS(tblLecturas[Fecha],tblLecturas[Codigo],$A13)-_xlfn.MINIFS(tblLecturas[Fecha],tblLecturas[Codigo],$A13))),1),ROUND((_xlfn.MAXIFS(tblLecturas[Horometro],tblLecturas[Codigo],$A13)-_xlfn.MINIFS(tblLecturas[Horometro],tblLecturas[Codigo],$A13))/(MAX(1,_xlfn.MAXIFS(tblLecturas[Fecha],tblLecturas[Codigo],$A13)-_xlfn.MINIFS(tblLecturas[Fecha],tblLecturas[Codigo],$A13))),1)),"")</f>
        <v>0</v>
      </c>
      <c r="L13" s="18">
        <f>IFERROR(_xlfn.MAXIFS(tblLecturas[Fecha],tblLecturas[Codigo],$A13),"")</f>
        <v>46111</v>
      </c>
      <c r="M13" s="24">
        <f>IFERROR(_xlfn.MAXIFS(Lecturas!$C:$C,Lecturas!$B:$B,$A13,Lecturas!$C:$C,"&gt;0"),"")</f>
        <v>0</v>
      </c>
      <c r="N13" s="24">
        <f>IFERROR(_xlfn.MAXIFS(tblLecturas[Kilometraje],tblLecturas[Codigo],$A13,tblLecturas[Kilometraje],"&gt;0"),"")</f>
        <v>275886</v>
      </c>
      <c r="O13" s="24" t="str" cm="1">
        <f t="array" ref="O13">IFERROR(IF($I13="KM",LOOKUP(2,1/(Lecturas!$B:$B=$A13)/(Lecturas!$D:$D&gt;0),Lecturas!$D:$D),LOOKUP(2,1/(Lecturas!$B:$B=$A13)/(Lecturas!$C:$C&gt;0),Lecturas!$C:$C)),"")</f>
        <v/>
      </c>
      <c r="P13" s="18">
        <f>IFERROR(_xlfn.MAXIFS(tblMantenciones[Fecha],tblMantenciones[Codigo],tblMaestroEquipos[[#This Row],[Codigo]],tblMantenciones[EsPM],"Sí"),"")</f>
        <v>46105</v>
      </c>
      <c r="Q13" s="70">
        <f>IF(_xlfn.MAXIFS(Mantenciones!$D:$D,Mantenciones!$B:$B,A13)=0,"Sin datos de mantención registrado",_xlfn.MAXIFS(Mantenciones!$D:$D,Mantenciones!$B:$B,A13))</f>
        <v>275548</v>
      </c>
      <c r="R13" s="16">
        <f>IFERROR(IF(_xlfn.MAXIFS(Mantenciones!$D:$D,Mantenciones!$B:$B,$A13,Mantenciones!$E:$E,"Sí",Mantenciones!$D:$D,"&gt;0")=0,"Sin datos de mantención registrado",_xlfn.MAXIFS(Mantenciones!$D:$D,Mantenciones!$B:$B,$A13,Mantenciones!$E:$E,"Sí",Mantenciones!$D:$D,"&gt;0")),"Sin datos de mantención registrado")</f>
        <v>275548</v>
      </c>
      <c r="S13" s="19">
        <f>IFERROR(SUMIFS(tblMantenciones[Costo Mantencion CLP],tblMantenciones[Codigo],A13),0)</f>
        <v>0</v>
      </c>
      <c r="T13" s="19">
        <f>IFERROR(SUMIFS(tblComprasPM[Costo PM CLP],tblComprasPM[Codigo],tblMaestroEquipos[[#This Row],[Codigo]]),0)</f>
        <v>21301</v>
      </c>
      <c r="U13" s="19">
        <f>IFERROR(tblMaestroEquipos[[#This Row],[Costo Mantenciones CLP]]+tblMaestroEquipos[[#This Row],[Costo Compras PM CLP]],0)</f>
        <v>21301</v>
      </c>
      <c r="V13" s="16" t="str">
        <f>IFERROR(_xlfn.XLOOKUP(tblMaestroEquipos[[#This Row],[Codigo]],tblEquipos[Codigo],tblEquipos[Estado Base]),"")</f>
        <v>Operativo</v>
      </c>
      <c r="W13" s="16" t="str">
        <f t="shared" si="0"/>
        <v>AL DÍA</v>
      </c>
      <c r="X13" s="16" t="str">
        <f t="shared" si="1"/>
        <v/>
      </c>
      <c r="Y13"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3" s="23">
        <f>IFERROR(IF(_xlfn.MINIFS(tblComprasPM[Fecha],tblComprasPM[Codigo],tblMaestroEquipos[[#This Row],[Codigo]])=0,"",_xlfn.MINIFS(tblComprasPM[Fecha],tblComprasPM[Codigo],tblMaestroEquipos[[#This Row],[Codigo]])),"")</f>
        <v>46076.363726701398</v>
      </c>
      <c r="AA13" s="23">
        <f>IFERROR(IF(_xlfn.MAXIFS(tblBodega[Fecha],tblBodega[Codigo],tblMaestroEquipos[[#This Row],[Codigo]])=0,"",_xlfn.MAXIFS(tblBodega[Fecha],tblBodega[Codigo],tblMaestroEquipos[[#This Row],[Codigo]])),"")</f>
        <v>46101</v>
      </c>
      <c r="AB13"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29</v>
      </c>
      <c r="AC13"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4</v>
      </c>
      <c r="AD13" s="16" t="str">
        <f>IF(tblMaestroEquipos[[#This Row],[Fecha Salida Bodega]]="","SIN SALIDA BODEGA",IF(OR(tblMaestroEquipos[[#This Row],[Ultima Fecha PM]]="",tblMaestroEquipos[[#This Row],[Ultima Fecha PM]]&lt;tblMaestroEquipos[[#This Row],[Fecha Salida Bodega]]),"PENDIENTE","CERRADO"))</f>
        <v>CERRADO</v>
      </c>
      <c r="AE13" s="48" t="str">
        <f t="shared" si="2"/>
        <v>OPERATIVO</v>
      </c>
      <c r="AF13" s="16" t="str">
        <f t="shared" si="3"/>
        <v>BAJA</v>
      </c>
      <c r="AG13" s="16" t="str">
        <f t="shared" si="4"/>
        <v>Monitorear próximo vencimiento</v>
      </c>
      <c r="AH13">
        <f t="shared" si="5"/>
        <v>0</v>
      </c>
      <c r="AI13" t="str">
        <f t="shared" si="6"/>
        <v/>
      </c>
      <c r="AJ13" s="22">
        <f t="shared" si="7"/>
        <v>99</v>
      </c>
    </row>
    <row r="14" spans="1:36">
      <c r="A14" s="16" t="s">
        <v>53</v>
      </c>
      <c r="B14" s="16" t="s">
        <v>43</v>
      </c>
      <c r="C14" s="16" t="s">
        <v>1378</v>
      </c>
      <c r="D14" s="16" t="s">
        <v>54</v>
      </c>
      <c r="E14" s="17" t="s">
        <v>55</v>
      </c>
      <c r="F14" s="16">
        <v>2007</v>
      </c>
      <c r="G14" s="17" t="str">
        <f>IFERROR(_xlfn.XLOOKUP($A14,tblEquipos[Codigo],tblEquipos[Ubicacion],""),"")</f>
        <v>TALLER</v>
      </c>
      <c r="H14" s="16" t="s">
        <v>56</v>
      </c>
      <c r="I14" s="16" t="str">
        <f>IFERROR(VLOOKUP(A14, Equipos!A:J, 9, FALSE), "")</f>
        <v>HORAS</v>
      </c>
      <c r="J14" s="16">
        <f>IFERROR(VLOOKUP(A14, Equipos!A:J, 10, FALSE), "")</f>
        <v>250</v>
      </c>
      <c r="K14" s="16">
        <f>IFERROR(IF($I14="KM",ROUND((_xlfn.MAXIFS(tblLecturas[Kilometraje],tblLecturas[Codigo],$A14)-_xlfn.MINIFS(tblLecturas[Kilometraje],tblLecturas[Codigo],$A14))/(MAX(1,_xlfn.MAXIFS(tblLecturas[Fecha],tblLecturas[Codigo],$A14)-_xlfn.MINIFS(tblLecturas[Fecha],tblLecturas[Codigo],$A14))),1),ROUND((_xlfn.MAXIFS(tblLecturas[Horometro],tblLecturas[Codigo],$A14)-_xlfn.MINIFS(tblLecturas[Horometro],tblLecturas[Codigo],$A14))/(MAX(1,_xlfn.MAXIFS(tblLecturas[Fecha],tblLecturas[Codigo],$A14)-_xlfn.MINIFS(tblLecturas[Fecha],tblLecturas[Codigo],$A14))),1)),"")</f>
        <v>0</v>
      </c>
      <c r="L14" s="18">
        <f>IFERROR(_xlfn.MAXIFS(tblLecturas[Fecha],tblLecturas[Codigo],$A14),"")</f>
        <v>0</v>
      </c>
      <c r="M14" s="24">
        <f>IFERROR(_xlfn.MAXIFS(Lecturas!$C:$C,Lecturas!$B:$B,$A14,Lecturas!$C:$C,"&gt;0"),"")</f>
        <v>0</v>
      </c>
      <c r="N14" s="24">
        <f>IFERROR(_xlfn.MAXIFS(tblLecturas[Kilometraje],tblLecturas[Codigo],$A14,tblLecturas[Kilometraje],"&gt;0"),"")</f>
        <v>0</v>
      </c>
      <c r="O14" s="24" t="str" cm="1">
        <f t="array" ref="O14">IFERROR(IF($I14="KM",LOOKUP(2,1/(Lecturas!$B:$B=$A14)/(Lecturas!$D:$D&gt;0),Lecturas!$D:$D),LOOKUP(2,1/(Lecturas!$B:$B=$A14)/(Lecturas!$C:$C&gt;0),Lecturas!$C:$C)),"")</f>
        <v/>
      </c>
      <c r="P14" s="18">
        <f>IFERROR(_xlfn.MAXIFS(tblMantenciones[Fecha],tblMantenciones[Codigo],tblMaestroEquipos[[#This Row],[Codigo]],tblMantenciones[EsPM],"Sí"),"")</f>
        <v>0</v>
      </c>
      <c r="Q14" s="70" t="str">
        <f>IF(_xlfn.MAXIFS(Mantenciones!$D:$D,Mantenciones!$B:$B,A14)=0,"Sin datos de mantención registrado",_xlfn.MAXIFS(Mantenciones!$D:$D,Mantenciones!$B:$B,A14))</f>
        <v>Sin datos de mantención registrado</v>
      </c>
      <c r="R14" s="16" t="str">
        <f>IFERROR(IF(_xlfn.MAXIFS(Mantenciones!$D:$D,Mantenciones!$B:$B,$A14,Mantenciones!$E:$E,"Sí",Mantenciones!$D:$D,"&gt;0")=0,"Sin datos de mantención registrado",_xlfn.MAXIFS(Mantenciones!$D:$D,Mantenciones!$B:$B,$A14,Mantenciones!$E:$E,"Sí",Mantenciones!$D:$D,"&gt;0")),"Sin datos de mantención registrado")</f>
        <v>Sin datos de mantención registrado</v>
      </c>
      <c r="S14" s="19">
        <f>IFERROR(SUMIFS(tblMantenciones[Costo Mantencion CLP],tblMantenciones[Codigo],A14),0)</f>
        <v>0</v>
      </c>
      <c r="T14" s="19">
        <f>IFERROR(SUMIFS(tblComprasPM[Costo PM CLP],tblComprasPM[Codigo],tblMaestroEquipos[[#This Row],[Codigo]]),0)</f>
        <v>0</v>
      </c>
      <c r="U14" s="19">
        <f>IFERROR(tblMaestroEquipos[[#This Row],[Costo Mantenciones CLP]]+tblMaestroEquipos[[#This Row],[Costo Compras PM CLP]],0)</f>
        <v>0</v>
      </c>
      <c r="V14" s="16" t="str">
        <f>IFERROR(_xlfn.XLOOKUP(tblMaestroEquipos[[#This Row],[Codigo]],tblEquipos[Codigo],tblEquipos[Estado Base]),"")</f>
        <v>Fuera de Servicio</v>
      </c>
      <c r="W14" s="16" t="str">
        <f t="shared" si="0"/>
        <v>FUERA DE SERVICIO</v>
      </c>
      <c r="X14" s="16" t="str">
        <f t="shared" si="1"/>
        <v/>
      </c>
      <c r="Y14"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4" s="23" t="str">
        <f>IFERROR(IF(_xlfn.MINIFS(tblComprasPM[Fecha],tblComprasPM[Codigo],tblMaestroEquipos[[#This Row],[Codigo]])=0,"",_xlfn.MINIFS(tblComprasPM[Fecha],tblComprasPM[Codigo],tblMaestroEquipos[[#This Row],[Codigo]])),"")</f>
        <v/>
      </c>
      <c r="AA14" s="23" t="str">
        <f>IFERROR(IF(_xlfn.MAXIFS(tblBodega[Fecha],tblBodega[Codigo],tblMaestroEquipos[[#This Row],[Codigo]])=0,"",_xlfn.MAXIFS(tblBodega[Fecha],tblBodega[Codigo],tblMaestroEquipos[[#This Row],[Codigo]])),"")</f>
        <v/>
      </c>
      <c r="AB14"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4"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4" s="16" t="str">
        <f>IF(tblMaestroEquipos[[#This Row],[Fecha Salida Bodega]]="","SIN SALIDA BODEGA",IF(OR(tblMaestroEquipos[[#This Row],[Ultima Fecha PM]]="",tblMaestroEquipos[[#This Row],[Ultima Fecha PM]]&lt;tblMaestroEquipos[[#This Row],[Fecha Salida Bodega]]),"PENDIENTE","CERRADO"))</f>
        <v>SIN SALIDA BODEGA</v>
      </c>
      <c r="AE14" s="48" t="str">
        <f t="shared" si="2"/>
        <v>FUERA DE SERVICIO</v>
      </c>
      <c r="AF14" s="16" t="str">
        <f t="shared" si="3"/>
        <v>NO APLICA</v>
      </c>
      <c r="AG14" s="16" t="str">
        <f t="shared" si="4"/>
        <v>No programar compra</v>
      </c>
      <c r="AH14" s="25">
        <f t="shared" si="5"/>
        <v>0</v>
      </c>
      <c r="AI14" s="25" t="str">
        <f t="shared" si="6"/>
        <v/>
      </c>
      <c r="AJ14" s="22">
        <f t="shared" si="7"/>
        <v>99</v>
      </c>
    </row>
    <row r="15" spans="1:36">
      <c r="A15" s="16" t="s">
        <v>57</v>
      </c>
      <c r="B15" s="16" t="s">
        <v>58</v>
      </c>
      <c r="C15" s="16" t="s">
        <v>1378</v>
      </c>
      <c r="D15" s="16" t="s">
        <v>59</v>
      </c>
      <c r="E15" s="17" t="s">
        <v>59</v>
      </c>
      <c r="F15" s="16" t="s">
        <v>59</v>
      </c>
      <c r="G15" s="17" t="str">
        <f>IFERROR(_xlfn.XLOOKUP($A15,tblEquipos[Codigo],tblEquipos[Ubicacion],""),"")</f>
        <v>TALLER</v>
      </c>
      <c r="H15" s="16" t="s">
        <v>56</v>
      </c>
      <c r="I15" s="16" t="str">
        <f>IFERROR(VLOOKUP(A15, Equipos!A:J, 9, FALSE), "")</f>
        <v>HORAS</v>
      </c>
      <c r="J15" s="16">
        <f>IFERROR(VLOOKUP(A15, Equipos!A:J, 10, FALSE), "")</f>
        <v>250</v>
      </c>
      <c r="K15" s="16">
        <f>IFERROR(IF($I15="KM",ROUND((_xlfn.MAXIFS(tblLecturas[Kilometraje],tblLecturas[Codigo],$A15)-_xlfn.MINIFS(tblLecturas[Kilometraje],tblLecturas[Codigo],$A15))/(MAX(1,_xlfn.MAXIFS(tblLecturas[Fecha],tblLecturas[Codigo],$A15)-_xlfn.MINIFS(tblLecturas[Fecha],tblLecturas[Codigo],$A15))),1),ROUND((_xlfn.MAXIFS(tblLecturas[Horometro],tblLecturas[Codigo],$A15)-_xlfn.MINIFS(tblLecturas[Horometro],tblLecturas[Codigo],$A15))/(MAX(1,_xlfn.MAXIFS(tblLecturas[Fecha],tblLecturas[Codigo],$A15)-_xlfn.MINIFS(tblLecturas[Fecha],tblLecturas[Codigo],$A15))),1)),"")</f>
        <v>0</v>
      </c>
      <c r="L15" s="18">
        <f>IFERROR(_xlfn.MAXIFS(tblLecturas[Fecha],tblLecturas[Codigo],$A15),"")</f>
        <v>0</v>
      </c>
      <c r="M15" s="24">
        <f>IFERROR(_xlfn.MAXIFS(Lecturas!$C:$C,Lecturas!$B:$B,$A15,Lecturas!$C:$C,"&gt;0"),"")</f>
        <v>0</v>
      </c>
      <c r="N15" s="24">
        <f>IFERROR(_xlfn.MAXIFS(tblLecturas[Kilometraje],tblLecturas[Codigo],$A15,tblLecturas[Kilometraje],"&gt;0"),"")</f>
        <v>0</v>
      </c>
      <c r="O15" s="24" t="str" cm="1">
        <f t="array" ref="O15">IFERROR(IF($I15="KM",LOOKUP(2,1/(Lecturas!$B:$B=$A15)/(Lecturas!$D:$D&gt;0),Lecturas!$D:$D),LOOKUP(2,1/(Lecturas!$B:$B=$A15)/(Lecturas!$C:$C&gt;0),Lecturas!$C:$C)),"")</f>
        <v/>
      </c>
      <c r="P15" s="18">
        <f>IFERROR(_xlfn.MAXIFS(tblMantenciones[Fecha],tblMantenciones[Codigo],tblMaestroEquipos[[#This Row],[Codigo]],tblMantenciones[EsPM],"Sí"),"")</f>
        <v>44455</v>
      </c>
      <c r="Q15" s="70" t="str">
        <f>IF(_xlfn.MAXIFS(Mantenciones!$D:$D,Mantenciones!$B:$B,A15)=0,"Sin datos de mantención registrado",_xlfn.MAXIFS(Mantenciones!$D:$D,Mantenciones!$B:$B,A15))</f>
        <v>Sin datos de mantención registrado</v>
      </c>
      <c r="R15" s="16" t="str">
        <f>IFERROR(IF(_xlfn.MAXIFS(Mantenciones!$D:$D,Mantenciones!$B:$B,$A15,Mantenciones!$E:$E,"Sí",Mantenciones!$D:$D,"&gt;0")=0,"Sin datos de mantención registrado",_xlfn.MAXIFS(Mantenciones!$D:$D,Mantenciones!$B:$B,$A15,Mantenciones!$E:$E,"Sí",Mantenciones!$D:$D,"&gt;0")),"Sin datos de mantención registrado")</f>
        <v>Sin datos de mantención registrado</v>
      </c>
      <c r="S15" s="19">
        <f>IFERROR(SUMIFS(tblMantenciones[Costo Mantencion CLP],tblMantenciones[Codigo],A15),0)</f>
        <v>0</v>
      </c>
      <c r="T15" s="19">
        <f>IFERROR(SUMIFS(tblComprasPM[Costo PM CLP],tblComprasPM[Codigo],tblMaestroEquipos[[#This Row],[Codigo]]),0)</f>
        <v>0</v>
      </c>
      <c r="U15" s="19">
        <f>IFERROR(tblMaestroEquipos[[#This Row],[Costo Mantenciones CLP]]+tblMaestroEquipos[[#This Row],[Costo Compras PM CLP]],0)</f>
        <v>0</v>
      </c>
      <c r="V15" s="16" t="str">
        <f>IFERROR(_xlfn.XLOOKUP(tblMaestroEquipos[[#This Row],[Codigo]],tblEquipos[Codigo],tblEquipos[Estado Base]),"")</f>
        <v>Fuera de Servicio</v>
      </c>
      <c r="W15" s="16" t="str">
        <f t="shared" si="0"/>
        <v>FUERA DE SERVICIO</v>
      </c>
      <c r="X15" s="16" t="str">
        <f t="shared" si="1"/>
        <v/>
      </c>
      <c r="Y15"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5" s="23" t="str">
        <f>IFERROR(IF(_xlfn.MINIFS(tblComprasPM[Fecha],tblComprasPM[Codigo],tblMaestroEquipos[[#This Row],[Codigo]])=0,"",_xlfn.MINIFS(tblComprasPM[Fecha],tblComprasPM[Codigo],tblMaestroEquipos[[#This Row],[Codigo]])),"")</f>
        <v/>
      </c>
      <c r="AA15" s="23" t="str">
        <f>IFERROR(IF(_xlfn.MAXIFS(tblBodega[Fecha],tblBodega[Codigo],tblMaestroEquipos[[#This Row],[Codigo]])=0,"",_xlfn.MAXIFS(tblBodega[Fecha],tblBodega[Codigo],tblMaestroEquipos[[#This Row],[Codigo]])),"")</f>
        <v/>
      </c>
      <c r="AB15"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5"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5" s="16" t="str">
        <f>IF(tblMaestroEquipos[[#This Row],[Fecha Salida Bodega]]="","SIN SALIDA BODEGA",IF(OR(tblMaestroEquipos[[#This Row],[Ultima Fecha PM]]="",tblMaestroEquipos[[#This Row],[Ultima Fecha PM]]&lt;tblMaestroEquipos[[#This Row],[Fecha Salida Bodega]]),"PENDIENTE","CERRADO"))</f>
        <v>SIN SALIDA BODEGA</v>
      </c>
      <c r="AE15" s="48" t="str">
        <f t="shared" si="2"/>
        <v>FUERA DE SERVICIO</v>
      </c>
      <c r="AF15" s="16" t="str">
        <f t="shared" si="3"/>
        <v>NO APLICA</v>
      </c>
      <c r="AG15" s="16" t="str">
        <f t="shared" si="4"/>
        <v>No programar compra</v>
      </c>
      <c r="AH15" s="25">
        <f t="shared" si="5"/>
        <v>0</v>
      </c>
      <c r="AI15" s="25" t="str">
        <f t="shared" si="6"/>
        <v/>
      </c>
      <c r="AJ15" s="22">
        <f t="shared" si="7"/>
        <v>99</v>
      </c>
    </row>
    <row r="16" spans="1:36">
      <c r="A16" s="16" t="s">
        <v>60</v>
      </c>
      <c r="B16" s="16" t="s">
        <v>61</v>
      </c>
      <c r="C16" s="16" t="s">
        <v>1378</v>
      </c>
      <c r="D16" s="16" t="s">
        <v>14</v>
      </c>
      <c r="E16" s="17" t="s">
        <v>62</v>
      </c>
      <c r="F16" s="16">
        <v>2011</v>
      </c>
      <c r="G16" s="17" t="str">
        <f>IFERROR(_xlfn.XLOOKUP($A16,tblEquipos[Codigo],tblEquipos[Ubicacion],""),"")</f>
        <v>Quirihue</v>
      </c>
      <c r="H16" s="16" t="s">
        <v>85</v>
      </c>
      <c r="I16" s="16" t="str">
        <f>IFERROR(VLOOKUP(A16, Equipos!A:J, 9, FALSE), "")</f>
        <v>HORAS</v>
      </c>
      <c r="J16" s="16">
        <f>IFERROR(VLOOKUP(A16, Equipos!A:J, 10, FALSE), "")</f>
        <v>250</v>
      </c>
      <c r="K16" s="16">
        <f>IFERROR(IF($I16="KM",ROUND((_xlfn.MAXIFS(tblLecturas[Kilometraje],tblLecturas[Codigo],$A16)-_xlfn.MINIFS(tblLecturas[Kilometraje],tblLecturas[Codigo],$A16))/(MAX(1,_xlfn.MAXIFS(tblLecturas[Fecha],tblLecturas[Codigo],$A16)-_xlfn.MINIFS(tblLecturas[Fecha],tblLecturas[Codigo],$A16))),1),ROUND((_xlfn.MAXIFS(tblLecturas[Horometro],tblLecturas[Codigo],$A16)-_xlfn.MINIFS(tblLecturas[Horometro],tblLecturas[Codigo],$A16))/(MAX(1,_xlfn.MAXIFS(tblLecturas[Fecha],tblLecturas[Codigo],$A16)-_xlfn.MINIFS(tblLecturas[Fecha],tblLecturas[Codigo],$A16))),1)),"")</f>
        <v>0</v>
      </c>
      <c r="L16" s="18">
        <f>IFERROR(_xlfn.MAXIFS(tblLecturas[Fecha],tblLecturas[Codigo],$A16),"")</f>
        <v>46050</v>
      </c>
      <c r="M16" s="24">
        <f>IFERROR(_xlfn.MAXIFS(Lecturas!$C:$C,Lecturas!$B:$B,$A16,Lecturas!$C:$C,"&gt;0"),"")</f>
        <v>0</v>
      </c>
      <c r="N16" s="24">
        <f>IFERROR(_xlfn.MAXIFS(tblLecturas[Kilometraje],tblLecturas[Codigo],$A16,tblLecturas[Kilometraje],"&gt;0"),"")</f>
        <v>802920</v>
      </c>
      <c r="O16" s="24" t="str" cm="1">
        <f t="array" ref="O16">IFERROR(IF($I16="KM",LOOKUP(2,1/(Lecturas!$B:$B=$A16)/(Lecturas!$D:$D&gt;0),Lecturas!$D:$D),LOOKUP(2,1/(Lecturas!$B:$B=$A16)/(Lecturas!$C:$C&gt;0),Lecturas!$C:$C)),"")</f>
        <v/>
      </c>
      <c r="P16" s="18">
        <f>IFERROR(_xlfn.MAXIFS(tblMantenciones[Fecha],tblMantenciones[Codigo],tblMaestroEquipos[[#This Row],[Codigo]],tblMantenciones[EsPM],"Sí"),"")</f>
        <v>46167</v>
      </c>
      <c r="Q16" s="70">
        <f>IF(_xlfn.MAXIFS(Mantenciones!$D:$D,Mantenciones!$B:$B,A16)=0,"Sin datos de mantención registrado",_xlfn.MAXIFS(Mantenciones!$D:$D,Mantenciones!$B:$B,A16))</f>
        <v>802920</v>
      </c>
      <c r="R16" s="16">
        <f>IFERROR(IF(_xlfn.MAXIFS(Mantenciones!$D:$D,Mantenciones!$B:$B,$A16,Mantenciones!$E:$E,"Sí",Mantenciones!$D:$D,"&gt;0")=0,"Sin datos de mantención registrado",_xlfn.MAXIFS(Mantenciones!$D:$D,Mantenciones!$B:$B,$A16,Mantenciones!$E:$E,"Sí",Mantenciones!$D:$D,"&gt;0")),"Sin datos de mantención registrado")</f>
        <v>802920</v>
      </c>
      <c r="S16" s="19">
        <f>IFERROR(SUMIFS(tblMantenciones[Costo Mantencion CLP],tblMantenciones[Codigo],A16),0)</f>
        <v>0</v>
      </c>
      <c r="T16" s="19">
        <f>IFERROR(SUMIFS(tblComprasPM[Costo PM CLP],tblComprasPM[Codigo],tblMaestroEquipos[[#This Row],[Codigo]]),0)</f>
        <v>209900.81559999997</v>
      </c>
      <c r="U16" s="19">
        <f>IFERROR(tblMaestroEquipos[[#This Row],[Costo Mantenciones CLP]]+tblMaestroEquipos[[#This Row],[Costo Compras PM CLP]],0)</f>
        <v>209900.81559999997</v>
      </c>
      <c r="V16" s="16" t="str">
        <f>IFERROR(_xlfn.XLOOKUP(tblMaestroEquipos[[#This Row],[Codigo]],tblEquipos[Codigo],tblEquipos[Estado Base]),"")</f>
        <v>Operativo</v>
      </c>
      <c r="W16" s="16" t="str">
        <f t="shared" si="0"/>
        <v>AL DÍA</v>
      </c>
      <c r="X16" s="16" t="str">
        <f t="shared" si="1"/>
        <v/>
      </c>
      <c r="Y16"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6" s="23">
        <f>IFERROR(IF(_xlfn.MINIFS(tblComprasPM[Fecha],tblComprasPM[Codigo],tblMaestroEquipos[[#This Row],[Codigo]])=0,"",_xlfn.MINIFS(tblComprasPM[Fecha],tblComprasPM[Codigo],tblMaestroEquipos[[#This Row],[Codigo]])),"")</f>
        <v>46079.691275543999</v>
      </c>
      <c r="AA16" s="23">
        <f>IFERROR(IF(_xlfn.MAXIFS(tblBodega[Fecha],tblBodega[Codigo],tblMaestroEquipos[[#This Row],[Codigo]])=0,"",_xlfn.MAXIFS(tblBodega[Fecha],tblBodega[Codigo],tblMaestroEquipos[[#This Row],[Codigo]])),"")</f>
        <v>46167</v>
      </c>
      <c r="AB1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88</v>
      </c>
      <c r="AC16"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6" s="16" t="str">
        <f>IF(tblMaestroEquipos[[#This Row],[Fecha Salida Bodega]]="","SIN SALIDA BODEGA",IF(OR(tblMaestroEquipos[[#This Row],[Ultima Fecha PM]]="",tblMaestroEquipos[[#This Row],[Ultima Fecha PM]]&lt;tblMaestroEquipos[[#This Row],[Fecha Salida Bodega]]),"PENDIENTE","CERRADO"))</f>
        <v>CERRADO</v>
      </c>
      <c r="AE16" s="48" t="str">
        <f t="shared" si="2"/>
        <v>OPERATIVO</v>
      </c>
      <c r="AF16" s="16" t="str">
        <f t="shared" si="3"/>
        <v>BAJA</v>
      </c>
      <c r="AG16" s="16" t="str">
        <f t="shared" si="4"/>
        <v>Monitorear próximo vencimiento</v>
      </c>
      <c r="AH16" s="25">
        <f t="shared" si="5"/>
        <v>0</v>
      </c>
      <c r="AI16" s="25" t="str">
        <f t="shared" si="6"/>
        <v/>
      </c>
      <c r="AJ16" s="22">
        <f t="shared" si="7"/>
        <v>99</v>
      </c>
    </row>
    <row r="17" spans="1:36">
      <c r="A17" s="16" t="s">
        <v>65</v>
      </c>
      <c r="B17" s="16" t="s">
        <v>61</v>
      </c>
      <c r="C17" s="16" t="s">
        <v>1378</v>
      </c>
      <c r="D17" s="16" t="s">
        <v>66</v>
      </c>
      <c r="E17" s="17" t="s">
        <v>67</v>
      </c>
      <c r="F17" s="16">
        <v>1998</v>
      </c>
      <c r="G17" s="17" t="str">
        <f>IFERROR(_xlfn.XLOOKUP($A17,tblEquipos[Codigo],tblEquipos[Ubicacion],""),"")</f>
        <v>Palmucho</v>
      </c>
      <c r="H17" s="16" t="s">
        <v>56</v>
      </c>
      <c r="I17" s="16" t="str">
        <f>IFERROR(VLOOKUP(A17, Equipos!A:J, 9, FALSE), "")</f>
        <v>HORAS</v>
      </c>
      <c r="J17" s="16">
        <f>IFERROR(VLOOKUP(A17, Equipos!A:J, 10, FALSE), "")</f>
        <v>250</v>
      </c>
      <c r="K17" s="16">
        <f>IFERROR(IF($I17="KM",ROUND((_xlfn.MAXIFS(tblLecturas[Kilometraje],tblLecturas[Codigo],$A17)-_xlfn.MINIFS(tblLecturas[Kilometraje],tblLecturas[Codigo],$A17))/(MAX(1,_xlfn.MAXIFS(tblLecturas[Fecha],tblLecturas[Codigo],$A17)-_xlfn.MINIFS(tblLecturas[Fecha],tblLecturas[Codigo],$A17))),1),ROUND((_xlfn.MAXIFS(tblLecturas[Horometro],tblLecturas[Codigo],$A17)-_xlfn.MINIFS(tblLecturas[Horometro],tblLecturas[Codigo],$A17))/(MAX(1,_xlfn.MAXIFS(tblLecturas[Fecha],tblLecturas[Codigo],$A17)-_xlfn.MINIFS(tblLecturas[Fecha],tblLecturas[Codigo],$A17))),1)),"")</f>
        <v>6.3</v>
      </c>
      <c r="L17" s="18">
        <f>IFERROR(_xlfn.MAXIFS(tblLecturas[Fecha],tblLecturas[Codigo],$A17),"")</f>
        <v>46150</v>
      </c>
      <c r="M17" s="24">
        <f>IFERROR(_xlfn.MAXIFS(Lecturas!$C:$C,Lecturas!$B:$B,$A17,Lecturas!$C:$C,"&gt;0"),"")</f>
        <v>4017</v>
      </c>
      <c r="N17" s="24">
        <f>IFERROR(_xlfn.MAXIFS(tblLecturas[Kilometraje],tblLecturas[Codigo],$A17,tblLecturas[Kilometraje],"&gt;0"),"")</f>
        <v>0</v>
      </c>
      <c r="O17" s="24" cm="1">
        <f t="array" ref="O17">IFERROR(IF($I17="KM",LOOKUP(2,1/(Lecturas!$B:$B=$A17)/(Lecturas!$D:$D&gt;0),Lecturas!$D:$D),LOOKUP(2,1/(Lecturas!$B:$B=$A17)/(Lecturas!$C:$C&gt;0),Lecturas!$C:$C)),"")</f>
        <v>4017</v>
      </c>
      <c r="P17" s="18">
        <f>IFERROR(_xlfn.MAXIFS(tblMantenciones[Fecha],tblMantenciones[Codigo],tblMaestroEquipos[[#This Row],[Codigo]],tblMantenciones[EsPM],"Sí"),"")</f>
        <v>46147</v>
      </c>
      <c r="Q17" s="70">
        <f>IF(_xlfn.MAXIFS(Mantenciones!$D:$D,Mantenciones!$B:$B,A17)=0,"Sin datos de mantención registrado",_xlfn.MAXIFS(Mantenciones!$D:$D,Mantenciones!$B:$B,A17))</f>
        <v>4010</v>
      </c>
      <c r="R17" s="16">
        <f>IFERROR(IF(_xlfn.MAXIFS(Mantenciones!$D:$D,Mantenciones!$B:$B,$A17,Mantenciones!$E:$E,"Sí",Mantenciones!$D:$D,"&gt;0")=0,"Sin datos de mantención registrado",_xlfn.MAXIFS(Mantenciones!$D:$D,Mantenciones!$B:$B,$A17,Mantenciones!$E:$E,"Sí",Mantenciones!$D:$D,"&gt;0")),"Sin datos de mantención registrado")</f>
        <v>4010</v>
      </c>
      <c r="S17" s="19">
        <f>IFERROR(SUMIFS(tblMantenciones[Costo Mantencion CLP],tblMantenciones[Codigo],A17),0)</f>
        <v>0</v>
      </c>
      <c r="T17" s="19">
        <f>IFERROR(SUMIFS(tblComprasPM[Costo PM CLP],tblComprasPM[Codigo],tblMaestroEquipos[[#This Row],[Codigo]]),0)</f>
        <v>341629.95999999996</v>
      </c>
      <c r="U17" s="19">
        <f>IFERROR(tblMaestroEquipos[[#This Row],[Costo Mantenciones CLP]]+tblMaestroEquipos[[#This Row],[Costo Compras PM CLP]],0)</f>
        <v>341629.95999999996</v>
      </c>
      <c r="V17" s="16" t="str">
        <f>IFERROR(_xlfn.XLOOKUP(tblMaestroEquipos[[#This Row],[Codigo]],tblEquipos[Codigo],tblEquipos[Estado Base]),"")</f>
        <v>Operativo</v>
      </c>
      <c r="W17" s="16" t="str">
        <f t="shared" si="0"/>
        <v>AL DÍA</v>
      </c>
      <c r="X17" s="16">
        <f t="shared" si="1"/>
        <v>243</v>
      </c>
      <c r="Y17" s="23">
        <f>IFERROR(IF(OR(tblMaestroEquipos[[#This Row],[Estado Operacional]]="FUERA DE SERVICIO",tblMaestroEquipos[[#This Row],[Ultima Fecha Lectura]]="",tblMaestroEquipos[[#This Row],[Dias a Proxima Mantencion]]=""),"",tblMaestroEquipos[[#This Row],[Ultima Fecha Lectura]]+tblMaestroEquipos[[#This Row],[Dias a Proxima Mantencion]]),"")</f>
        <v>46393</v>
      </c>
      <c r="Z17" s="23">
        <f>IFERROR(IF(_xlfn.MINIFS(tblComprasPM[Fecha],tblComprasPM[Codigo],tblMaestroEquipos[[#This Row],[Codigo]])=0,"",_xlfn.MINIFS(tblComprasPM[Fecha],tblComprasPM[Codigo],tblMaestroEquipos[[#This Row],[Codigo]])),"")</f>
        <v>46119.349964039298</v>
      </c>
      <c r="AA17" s="23">
        <f>IFERROR(IF(_xlfn.MAXIFS(tblBodega[Fecha],tblBodega[Codigo],tblMaestroEquipos[[#This Row],[Codigo]])=0,"",_xlfn.MAXIFS(tblBodega[Fecha],tblBodega[Codigo],tblMaestroEquipos[[#This Row],[Codigo]])),"")</f>
        <v>46134</v>
      </c>
      <c r="AB1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28</v>
      </c>
      <c r="AC17"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13</v>
      </c>
      <c r="AD17" s="16" t="str">
        <f>IF(tblMaestroEquipos[[#This Row],[Fecha Salida Bodega]]="","SIN SALIDA BODEGA",IF(OR(tblMaestroEquipos[[#This Row],[Ultima Fecha PM]]="",tblMaestroEquipos[[#This Row],[Ultima Fecha PM]]&lt;tblMaestroEquipos[[#This Row],[Fecha Salida Bodega]]),"PENDIENTE","CERRADO"))</f>
        <v>CERRADO</v>
      </c>
      <c r="AE17" s="48" t="str">
        <f t="shared" si="2"/>
        <v>OPERATIVO</v>
      </c>
      <c r="AF17" s="16" t="str">
        <f t="shared" si="3"/>
        <v>BAJA</v>
      </c>
      <c r="AG17" s="16" t="str">
        <f t="shared" si="4"/>
        <v>Monitorear próximo vencimiento</v>
      </c>
      <c r="AH17">
        <f t="shared" si="5"/>
        <v>0</v>
      </c>
      <c r="AI17" t="str">
        <f t="shared" si="6"/>
        <v/>
      </c>
      <c r="AJ17" s="22">
        <f t="shared" si="7"/>
        <v>99</v>
      </c>
    </row>
    <row r="18" spans="1:36">
      <c r="A18" s="16" t="s">
        <v>69</v>
      </c>
      <c r="B18" s="16" t="s">
        <v>70</v>
      </c>
      <c r="C18" s="16" t="s">
        <v>1378</v>
      </c>
      <c r="D18" s="16" t="s">
        <v>54</v>
      </c>
      <c r="E18" s="17" t="s">
        <v>71</v>
      </c>
      <c r="F18" s="16">
        <v>2011</v>
      </c>
      <c r="G18" s="17" t="str">
        <f>IFERROR(_xlfn.XLOOKUP($A18,tblEquipos[Codigo],tblEquipos[Ubicacion],""),"")</f>
        <v>Taller ext</v>
      </c>
      <c r="H18" s="16" t="s">
        <v>73</v>
      </c>
      <c r="I18" s="16" t="str">
        <f>IFERROR(VLOOKUP(A18, Equipos!A:J, 9, FALSE), "")</f>
        <v>KM</v>
      </c>
      <c r="J18" s="16">
        <f>IFERROR(VLOOKUP(A18, Equipos!A:J, 10, FALSE), "")</f>
        <v>10000</v>
      </c>
      <c r="K18" s="16">
        <f>IFERROR(IF($I18="KM",ROUND((_xlfn.MAXIFS(tblLecturas[Kilometraje],tblLecturas[Codigo],$A18)-_xlfn.MINIFS(tblLecturas[Kilometraje],tblLecturas[Codigo],$A18))/(MAX(1,_xlfn.MAXIFS(tblLecturas[Fecha],tblLecturas[Codigo],$A18)-_xlfn.MINIFS(tblLecturas[Fecha],tblLecturas[Codigo],$A18))),1),ROUND((_xlfn.MAXIFS(tblLecturas[Horometro],tblLecturas[Codigo],$A18)-_xlfn.MINIFS(tblLecturas[Horometro],tblLecturas[Codigo],$A18))/(MAX(1,_xlfn.MAXIFS(tblLecturas[Fecha],tblLecturas[Codigo],$A18)-_xlfn.MINIFS(tblLecturas[Fecha],tblLecturas[Codigo],$A18))),1)),"")</f>
        <v>225.3</v>
      </c>
      <c r="L18" s="18">
        <f>IFERROR(_xlfn.MAXIFS(tblLecturas[Fecha],tblLecturas[Codigo],$A18),"")</f>
        <v>46064</v>
      </c>
      <c r="M18" s="24">
        <f>IFERROR(_xlfn.MAXIFS(Lecturas!$C:$C,Lecturas!$B:$B,$A18,Lecturas!$C:$C,"&gt;0"),"")</f>
        <v>0</v>
      </c>
      <c r="N18" s="24">
        <f>IFERROR(_xlfn.MAXIFS(tblLecturas[Kilometraje],tblLecturas[Codigo],$A18,tblLecturas[Kilometraje],"&gt;0"),"")</f>
        <v>333912</v>
      </c>
      <c r="O18" s="24" cm="1">
        <f t="array" ref="O18">IFERROR(IF($I18="KM",LOOKUP(2,1/(Lecturas!$B:$B=$A18)/(Lecturas!$D:$D&gt;0),Lecturas!$D:$D),LOOKUP(2,1/(Lecturas!$B:$B=$A18)/(Lecturas!$C:$C&gt;0),Lecturas!$C:$C)),"")</f>
        <v>329180</v>
      </c>
      <c r="P18" s="18">
        <f>IFERROR(_xlfn.MAXIFS(tblMantenciones[Fecha],tblMantenciones[Codigo],tblMaestroEquipos[[#This Row],[Codigo]],tblMantenciones[EsPM],"Sí"),"")</f>
        <v>44937</v>
      </c>
      <c r="Q18" s="70">
        <f>IF(_xlfn.MAXIFS(Mantenciones!$D:$D,Mantenciones!$B:$B,A18)=0,"Sin datos de mantención registrado",_xlfn.MAXIFS(Mantenciones!$D:$D,Mantenciones!$B:$B,A18))</f>
        <v>328000</v>
      </c>
      <c r="R18" s="16">
        <f>IFERROR(IF(_xlfn.MAXIFS(Mantenciones!$D:$D,Mantenciones!$B:$B,$A18,Mantenciones!$E:$E,"Sí",Mantenciones!$D:$D,"&gt;0")=0,"Sin datos de mantención registrado",_xlfn.MAXIFS(Mantenciones!$D:$D,Mantenciones!$B:$B,$A18,Mantenciones!$E:$E,"Sí",Mantenciones!$D:$D,"&gt;0")),"Sin datos de mantención registrado")</f>
        <v>328000</v>
      </c>
      <c r="S18" s="19">
        <f>IFERROR(SUMIFS(tblMantenciones[Costo Mantencion CLP],tblMantenciones[Codigo],A18),0)</f>
        <v>0</v>
      </c>
      <c r="T18" s="19">
        <f>IFERROR(SUMIFS(tblComprasPM[Costo PM CLP],tblComprasPM[Codigo],tblMaestroEquipos[[#This Row],[Codigo]]),0)</f>
        <v>121145.57</v>
      </c>
      <c r="U18" s="19">
        <f>IFERROR(tblMaestroEquipos[[#This Row],[Costo Mantenciones CLP]]+tblMaestroEquipos[[#This Row],[Costo Compras PM CLP]],0)</f>
        <v>121145.57</v>
      </c>
      <c r="V18" s="16" t="str">
        <f>IFERROR(_xlfn.XLOOKUP(tblMaestroEquipos[[#This Row],[Codigo]],tblEquipos[Codigo],tblEquipos[Estado Base]),"")</f>
        <v>Taller</v>
      </c>
      <c r="W18" s="16" t="str">
        <f t="shared" si="0"/>
        <v>EN TALLER</v>
      </c>
      <c r="X18" s="16">
        <f t="shared" si="1"/>
        <v>8820</v>
      </c>
      <c r="Y18" s="23">
        <f>IFERROR(IF(OR(tblMaestroEquipos[[#This Row],[Estado Operacional]]="FUERA DE SERVICIO",tblMaestroEquipos[[#This Row],[Ultima Fecha Lectura]]="",tblMaestroEquipos[[#This Row],[Dias a Proxima Mantencion]]=""),"",tblMaestroEquipos[[#This Row],[Ultima Fecha Lectura]]+tblMaestroEquipos[[#This Row],[Dias a Proxima Mantencion]]),"")</f>
        <v>54884</v>
      </c>
      <c r="Z18" s="23">
        <f>IFERROR(IF(_xlfn.MINIFS(tblComprasPM[Fecha],tblComprasPM[Codigo],tblMaestroEquipos[[#This Row],[Codigo]])=0,"",_xlfn.MINIFS(tblComprasPM[Fecha],tblComprasPM[Codigo],tblMaestroEquipos[[#This Row],[Codigo]])),"")</f>
        <v>46100</v>
      </c>
      <c r="AA18" s="23">
        <f>IFERROR(IF(_xlfn.MAXIFS(tblBodega[Fecha],tblBodega[Codigo],tblMaestroEquipos[[#This Row],[Codigo]])=0,"",_xlfn.MAXIFS(tblBodega[Fecha],tblBodega[Codigo],tblMaestroEquipos[[#This Row],[Codigo]])),"")</f>
        <v>46062</v>
      </c>
      <c r="AB18"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8"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8" s="16" t="str">
        <f>IF(tblMaestroEquipos[[#This Row],[Fecha Salida Bodega]]="","SIN SALIDA BODEGA",IF(OR(tblMaestroEquipos[[#This Row],[Ultima Fecha PM]]="",tblMaestroEquipos[[#This Row],[Ultima Fecha PM]]&lt;tblMaestroEquipos[[#This Row],[Fecha Salida Bodega]]),"PENDIENTE","CERRADO"))</f>
        <v>PENDIENTE</v>
      </c>
      <c r="AE18" s="48" t="str">
        <f t="shared" si="2"/>
        <v>EN TALLER</v>
      </c>
      <c r="AF18" s="16" t="str">
        <f t="shared" si="3"/>
        <v>BAJA</v>
      </c>
      <c r="AG18" s="16" t="str">
        <f t="shared" si="4"/>
        <v>Monitorear próximo vencimiento</v>
      </c>
      <c r="AH18" s="25">
        <f t="shared" si="5"/>
        <v>0</v>
      </c>
      <c r="AI18" s="25" t="str">
        <f t="shared" si="6"/>
        <v/>
      </c>
      <c r="AJ18" s="22">
        <f t="shared" si="7"/>
        <v>99</v>
      </c>
    </row>
    <row r="19" spans="1:36">
      <c r="A19" s="16" t="s">
        <v>74</v>
      </c>
      <c r="B19" s="16" t="s">
        <v>43</v>
      </c>
      <c r="C19" s="16" t="s">
        <v>1378</v>
      </c>
      <c r="D19" s="16" t="s">
        <v>75</v>
      </c>
      <c r="E19" s="17" t="s">
        <v>76</v>
      </c>
      <c r="F19" s="16">
        <v>2012</v>
      </c>
      <c r="G19" s="17" t="str">
        <f>IFERROR(_xlfn.XLOOKUP($A19,tblEquipos[Codigo],tblEquipos[Ubicacion],""),"")</f>
        <v>Taller</v>
      </c>
      <c r="H19" s="16" t="s">
        <v>201</v>
      </c>
      <c r="I19" s="16" t="str">
        <f>IFERROR(VLOOKUP(A19, Equipos!A:J, 9, FALSE), "")</f>
        <v>HORAS</v>
      </c>
      <c r="J19" s="16">
        <f>IFERROR(VLOOKUP(A19, Equipos!A:J, 10, FALSE), "")</f>
        <v>250</v>
      </c>
      <c r="K19" s="16">
        <f>IFERROR(IF($I19="KM",ROUND((_xlfn.MAXIFS(tblLecturas[Kilometraje],tblLecturas[Codigo],$A19)-_xlfn.MINIFS(tblLecturas[Kilometraje],tblLecturas[Codigo],$A19))/(MAX(1,_xlfn.MAXIFS(tblLecturas[Fecha],tblLecturas[Codigo],$A19)-_xlfn.MINIFS(tblLecturas[Fecha],tblLecturas[Codigo],$A19))),1),ROUND((_xlfn.MAXIFS(tblLecturas[Horometro],tblLecturas[Codigo],$A19)-_xlfn.MINIFS(tblLecturas[Horometro],tblLecturas[Codigo],$A19))/(MAX(1,_xlfn.MAXIFS(tblLecturas[Fecha],tblLecturas[Codigo],$A19)-_xlfn.MINIFS(tblLecturas[Fecha],tblLecturas[Codigo],$A19))),1)),"")</f>
        <v>0</v>
      </c>
      <c r="L19" s="18">
        <f>IFERROR(_xlfn.MAXIFS(tblLecturas[Fecha],tblLecturas[Codigo],$A19),"")</f>
        <v>46100</v>
      </c>
      <c r="M19" s="24">
        <f>IFERROR(_xlfn.MAXIFS(Lecturas!$C:$C,Lecturas!$B:$B,$A19,Lecturas!$C:$C,"&gt;0"),"")</f>
        <v>0</v>
      </c>
      <c r="N19" s="24">
        <f>IFERROR(_xlfn.MAXIFS(tblLecturas[Kilometraje],tblLecturas[Codigo],$A19,tblLecturas[Kilometraje],"&gt;0"),"")</f>
        <v>329583</v>
      </c>
      <c r="O19" s="24" t="str" cm="1">
        <f t="array" ref="O19">IFERROR(IF($I19="KM",LOOKUP(2,1/(Lecturas!$B:$B=$A19)/(Lecturas!$D:$D&gt;0),Lecturas!$D:$D),LOOKUP(2,1/(Lecturas!$B:$B=$A19)/(Lecturas!$C:$C&gt;0),Lecturas!$C:$C)),"")</f>
        <v/>
      </c>
      <c r="P19" s="18">
        <f>IFERROR(_xlfn.MAXIFS(tblMantenciones[Fecha],tblMantenciones[Codigo],tblMaestroEquipos[[#This Row],[Codigo]],tblMantenciones[EsPM],"Sí"),"")</f>
        <v>46133</v>
      </c>
      <c r="Q19" s="70">
        <f>IF(_xlfn.MAXIFS(Mantenciones!$D:$D,Mantenciones!$B:$B,A19)=0,"Sin datos de mantención registrado",_xlfn.MAXIFS(Mantenciones!$D:$D,Mantenciones!$B:$B,A19))</f>
        <v>395318</v>
      </c>
      <c r="R19" s="16">
        <f>IFERROR(IF(_xlfn.MAXIFS(Mantenciones!$D:$D,Mantenciones!$B:$B,$A19,Mantenciones!$E:$E,"Sí",Mantenciones!$D:$D,"&gt;0")=0,"Sin datos de mantención registrado",_xlfn.MAXIFS(Mantenciones!$D:$D,Mantenciones!$B:$B,$A19,Mantenciones!$E:$E,"Sí",Mantenciones!$D:$D,"&gt;0")),"Sin datos de mantención registrado")</f>
        <v>395318</v>
      </c>
      <c r="S19" s="19">
        <f>IFERROR(SUMIFS(tblMantenciones[Costo Mantencion CLP],tblMantenciones[Codigo],A19),0)</f>
        <v>0</v>
      </c>
      <c r="T19" s="19">
        <f>IFERROR(SUMIFS(tblComprasPM[Costo PM CLP],tblComprasPM[Codigo],tblMaestroEquipos[[#This Row],[Codigo]]),0)</f>
        <v>94000.004000000001</v>
      </c>
      <c r="U19" s="19">
        <f>IFERROR(tblMaestroEquipos[[#This Row],[Costo Mantenciones CLP]]+tblMaestroEquipos[[#This Row],[Costo Compras PM CLP]],0)</f>
        <v>94000.004000000001</v>
      </c>
      <c r="V19" s="16" t="str">
        <f>IFERROR(_xlfn.XLOOKUP(tblMaestroEquipos[[#This Row],[Codigo]],tblEquipos[Codigo],tblEquipos[Estado Base]),"")</f>
        <v>Operativo</v>
      </c>
      <c r="W19" s="16" t="str">
        <f t="shared" si="0"/>
        <v>EN PROCESO</v>
      </c>
      <c r="X19" s="16" t="str">
        <f t="shared" si="1"/>
        <v/>
      </c>
      <c r="Y19"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9" s="23">
        <f>IFERROR(IF(_xlfn.MINIFS(tblComprasPM[Fecha],tblComprasPM[Codigo],tblMaestroEquipos[[#This Row],[Codigo]])=0,"",_xlfn.MINIFS(tblComprasPM[Fecha],tblComprasPM[Codigo],tblMaestroEquipos[[#This Row],[Codigo]])),"")</f>
        <v>46078.357904513898</v>
      </c>
      <c r="AA19" s="23" t="str">
        <f>IFERROR(IF(_xlfn.MAXIFS(tblBodega[Fecha],tblBodega[Codigo],tblMaestroEquipos[[#This Row],[Codigo]])=0,"",_xlfn.MAXIFS(tblBodega[Fecha],tblBodega[Codigo],tblMaestroEquipos[[#This Row],[Codigo]])),"")</f>
        <v/>
      </c>
      <c r="AB1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55</v>
      </c>
      <c r="AC19"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9" s="16" t="str">
        <f>IF(tblMaestroEquipos[[#This Row],[Fecha Salida Bodega]]="","SIN SALIDA BODEGA",IF(OR(tblMaestroEquipos[[#This Row],[Ultima Fecha PM]]="",tblMaestroEquipos[[#This Row],[Ultima Fecha PM]]&lt;tblMaestroEquipos[[#This Row],[Fecha Salida Bodega]]),"PENDIENTE","CERRADO"))</f>
        <v>SIN SALIDA BODEGA</v>
      </c>
      <c r="AE19" s="48" t="str">
        <f t="shared" si="2"/>
        <v>EN PROCESO</v>
      </c>
      <c r="AF19" s="16" t="str">
        <f t="shared" si="3"/>
        <v>SEGUIMIENTO</v>
      </c>
      <c r="AG19" s="16" t="str">
        <f t="shared" si="4"/>
        <v>Hacer seguimiento al taller y cerrar report</v>
      </c>
      <c r="AH19">
        <f t="shared" si="5"/>
        <v>0</v>
      </c>
      <c r="AI19" t="str">
        <f t="shared" si="6"/>
        <v/>
      </c>
      <c r="AJ19" s="22">
        <f t="shared" si="7"/>
        <v>2</v>
      </c>
    </row>
    <row r="20" spans="1:36">
      <c r="A20" s="16" t="s">
        <v>78</v>
      </c>
      <c r="B20" s="16" t="s">
        <v>13</v>
      </c>
      <c r="C20" s="16" t="s">
        <v>1378</v>
      </c>
      <c r="D20" s="16" t="s">
        <v>59</v>
      </c>
      <c r="E20" s="17" t="s">
        <v>59</v>
      </c>
      <c r="F20" s="16" t="s">
        <v>59</v>
      </c>
      <c r="G20" s="17" t="str">
        <f>IFERROR(_xlfn.XLOOKUP($A20,tblEquipos[Codigo],tblEquipos[Ubicacion],""),"")</f>
        <v>Taller</v>
      </c>
      <c r="H20" s="16" t="s">
        <v>56</v>
      </c>
      <c r="I20" s="16" t="str">
        <f>IFERROR(VLOOKUP(A20, Equipos!A:J, 9, FALSE), "")</f>
        <v>HORAS</v>
      </c>
      <c r="J20" s="16">
        <f>IFERROR(VLOOKUP(A20, Equipos!A:J, 10, FALSE), "")</f>
        <v>250</v>
      </c>
      <c r="K20" s="16">
        <f>IFERROR(IF($I20="KM",ROUND((_xlfn.MAXIFS(tblLecturas[Kilometraje],tblLecturas[Codigo],$A20)-_xlfn.MINIFS(tblLecturas[Kilometraje],tblLecturas[Codigo],$A20))/(MAX(1,_xlfn.MAXIFS(tblLecturas[Fecha],tblLecturas[Codigo],$A20)-_xlfn.MINIFS(tblLecturas[Fecha],tblLecturas[Codigo],$A20))),1),ROUND((_xlfn.MAXIFS(tblLecturas[Horometro],tblLecturas[Codigo],$A20)-_xlfn.MINIFS(tblLecturas[Horometro],tblLecturas[Codigo],$A20))/(MAX(1,_xlfn.MAXIFS(tblLecturas[Fecha],tblLecturas[Codigo],$A20)-_xlfn.MINIFS(tblLecturas[Fecha],tblLecturas[Codigo],$A20))),1)),"")</f>
        <v>0</v>
      </c>
      <c r="L20" s="18">
        <f>IFERROR(_xlfn.MAXIFS(tblLecturas[Fecha],tblLecturas[Codigo],$A20),"")</f>
        <v>46034</v>
      </c>
      <c r="M20" s="24">
        <f>IFERROR(_xlfn.MAXIFS(Lecturas!$C:$C,Lecturas!$B:$B,$A20,Lecturas!$C:$C,"&gt;0"),"")</f>
        <v>0</v>
      </c>
      <c r="N20" s="24">
        <f>IFERROR(_xlfn.MAXIFS(tblLecturas[Kilometraje],tblLecturas[Codigo],$A20,tblLecturas[Kilometraje],"&gt;0"),"")</f>
        <v>114148</v>
      </c>
      <c r="O20" s="24" t="str" cm="1">
        <f t="array" ref="O20">IFERROR(IF($I20="KM",LOOKUP(2,1/(Lecturas!$B:$B=$A20)/(Lecturas!$D:$D&gt;0),Lecturas!$D:$D),LOOKUP(2,1/(Lecturas!$B:$B=$A20)/(Lecturas!$C:$C&gt;0),Lecturas!$C:$C)),"")</f>
        <v/>
      </c>
      <c r="P20" s="18">
        <f>IFERROR(_xlfn.MAXIFS(tblMantenciones[Fecha],tblMantenciones[Codigo],tblMaestroEquipos[[#This Row],[Codigo]],tblMantenciones[EsPM],"Sí"),"")</f>
        <v>0</v>
      </c>
      <c r="Q20" s="70" t="str">
        <f>IF(_xlfn.MAXIFS(Mantenciones!$D:$D,Mantenciones!$B:$B,A20)=0,"Sin datos de mantención registrado",_xlfn.MAXIFS(Mantenciones!$D:$D,Mantenciones!$B:$B,A20))</f>
        <v>Sin datos de mantención registrado</v>
      </c>
      <c r="R20" s="16" t="str">
        <f>IFERROR(IF(_xlfn.MAXIFS(Mantenciones!$D:$D,Mantenciones!$B:$B,$A20,Mantenciones!$E:$E,"Sí",Mantenciones!$D:$D,"&gt;0")=0,"Sin datos de mantención registrado",_xlfn.MAXIFS(Mantenciones!$D:$D,Mantenciones!$B:$B,$A20,Mantenciones!$E:$E,"Sí",Mantenciones!$D:$D,"&gt;0")),"Sin datos de mantención registrado")</f>
        <v>Sin datos de mantención registrado</v>
      </c>
      <c r="S20" s="19">
        <f>IFERROR(SUMIFS(tblMantenciones[Costo Mantencion CLP],tblMantenciones[Codigo],A20),0)</f>
        <v>0</v>
      </c>
      <c r="T20" s="19">
        <f>IFERROR(SUMIFS(tblComprasPM[Costo PM CLP],tblComprasPM[Codigo],tblMaestroEquipos[[#This Row],[Codigo]]),0)</f>
        <v>0</v>
      </c>
      <c r="U20" s="19">
        <f>IFERROR(tblMaestroEquipos[[#This Row],[Costo Mantenciones CLP]]+tblMaestroEquipos[[#This Row],[Costo Compras PM CLP]],0)</f>
        <v>0</v>
      </c>
      <c r="V20" s="16" t="str">
        <f>IFERROR(_xlfn.XLOOKUP(tblMaestroEquipos[[#This Row],[Codigo]],tblEquipos[Codigo],tblEquipos[Estado Base]),"")</f>
        <v>Fuera de Servicio</v>
      </c>
      <c r="W20" s="16" t="str">
        <f t="shared" si="0"/>
        <v>FUERA DE SERVICIO</v>
      </c>
      <c r="X20" s="16" t="str">
        <f t="shared" si="1"/>
        <v/>
      </c>
      <c r="Y20"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0" s="23" t="str">
        <f>IFERROR(IF(_xlfn.MINIFS(tblComprasPM[Fecha],tblComprasPM[Codigo],tblMaestroEquipos[[#This Row],[Codigo]])=0,"",_xlfn.MINIFS(tblComprasPM[Fecha],tblComprasPM[Codigo],tblMaestroEquipos[[#This Row],[Codigo]])),"")</f>
        <v/>
      </c>
      <c r="AA20" s="23" t="str">
        <f>IFERROR(IF(_xlfn.MAXIFS(tblBodega[Fecha],tblBodega[Codigo],tblMaestroEquipos[[#This Row],[Codigo]])=0,"",_xlfn.MAXIFS(tblBodega[Fecha],tblBodega[Codigo],tblMaestroEquipos[[#This Row],[Codigo]])),"")</f>
        <v/>
      </c>
      <c r="AB20"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0"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0" s="16" t="str">
        <f>IF(tblMaestroEquipos[[#This Row],[Fecha Salida Bodega]]="","SIN SALIDA BODEGA",IF(OR(tblMaestroEquipos[[#This Row],[Ultima Fecha PM]]="",tblMaestroEquipos[[#This Row],[Ultima Fecha PM]]&lt;tblMaestroEquipos[[#This Row],[Fecha Salida Bodega]]),"PENDIENTE","CERRADO"))</f>
        <v>SIN SALIDA BODEGA</v>
      </c>
      <c r="AE20" s="48" t="str">
        <f t="shared" si="2"/>
        <v>FUERA DE SERVICIO</v>
      </c>
      <c r="AF20" s="16" t="str">
        <f t="shared" si="3"/>
        <v>NO APLICA</v>
      </c>
      <c r="AG20" s="16" t="str">
        <f t="shared" si="4"/>
        <v>No programar compra</v>
      </c>
      <c r="AH20">
        <f t="shared" si="5"/>
        <v>0</v>
      </c>
      <c r="AI20" t="str">
        <f t="shared" si="6"/>
        <v/>
      </c>
      <c r="AJ20" s="22">
        <f t="shared" si="7"/>
        <v>99</v>
      </c>
    </row>
    <row r="21" spans="1:36">
      <c r="A21" s="16" t="s">
        <v>79</v>
      </c>
      <c r="B21" s="16" t="s">
        <v>43</v>
      </c>
      <c r="C21" s="16" t="s">
        <v>1378</v>
      </c>
      <c r="D21" s="16" t="s">
        <v>66</v>
      </c>
      <c r="E21" s="17" t="s">
        <v>80</v>
      </c>
      <c r="F21" s="16">
        <v>2010</v>
      </c>
      <c r="G21" s="17" t="str">
        <f>IFERROR(_xlfn.XLOOKUP($A21,tblEquipos[Codigo],tblEquipos[Ubicacion],""),"")</f>
        <v>Taller</v>
      </c>
      <c r="H21" s="16" t="s">
        <v>81</v>
      </c>
      <c r="I21" s="16" t="str">
        <f>IFERROR(VLOOKUP(A21, Equipos!A:J, 9, FALSE), "")</f>
        <v>HORAS</v>
      </c>
      <c r="J21" s="16">
        <f>IFERROR(VLOOKUP(A21, Equipos!A:J, 10, FALSE), "")</f>
        <v>250</v>
      </c>
      <c r="K21" s="16">
        <f>IFERROR(IF($I21="KM",ROUND((_xlfn.MAXIFS(tblLecturas[Kilometraje],tblLecturas[Codigo],$A21)-_xlfn.MINIFS(tblLecturas[Kilometraje],tblLecturas[Codigo],$A21))/(MAX(1,_xlfn.MAXIFS(tblLecturas[Fecha],tblLecturas[Codigo],$A21)-_xlfn.MINIFS(tblLecturas[Fecha],tblLecturas[Codigo],$A21))),1),ROUND((_xlfn.MAXIFS(tblLecturas[Horometro],tblLecturas[Codigo],$A21)-_xlfn.MINIFS(tblLecturas[Horometro],tblLecturas[Codigo],$A21))/(MAX(1,_xlfn.MAXIFS(tblLecturas[Fecha],tblLecturas[Codigo],$A21)-_xlfn.MINIFS(tblLecturas[Fecha],tblLecturas[Codigo],$A21))),1)),"")</f>
        <v>0</v>
      </c>
      <c r="L21" s="18">
        <f>IFERROR(_xlfn.MAXIFS(tblLecturas[Fecha],tblLecturas[Codigo],$A21),"")</f>
        <v>46150</v>
      </c>
      <c r="M21" s="24">
        <f>IFERROR(_xlfn.MAXIFS(Lecturas!$C:$C,Lecturas!$B:$B,$A21,Lecturas!$C:$C,"&gt;0"),"")</f>
        <v>0</v>
      </c>
      <c r="N21" s="24">
        <f>IFERROR(_xlfn.MAXIFS(tblLecturas[Kilometraje],tblLecturas[Codigo],$A21,tblLecturas[Kilometraje],"&gt;0"),"")</f>
        <v>917261</v>
      </c>
      <c r="O21" s="24" t="str" cm="1">
        <f t="array" ref="O21">IFERROR(IF($I21="KM",LOOKUP(2,1/(Lecturas!$B:$B=$A21)/(Lecturas!$D:$D&gt;0),Lecturas!$D:$D),LOOKUP(2,1/(Lecturas!$B:$B=$A21)/(Lecturas!$C:$C&gt;0),Lecturas!$C:$C)),"")</f>
        <v/>
      </c>
      <c r="P21" s="18">
        <f>IFERROR(_xlfn.MAXIFS(tblMantenciones[Fecha],tblMantenciones[Codigo],tblMaestroEquipos[[#This Row],[Codigo]],tblMantenciones[EsPM],"Sí"),"")</f>
        <v>0</v>
      </c>
      <c r="Q21" s="70" t="str">
        <f>IF(_xlfn.MAXIFS(Mantenciones!$D:$D,Mantenciones!$B:$B,A21)=0,"Sin datos de mantención registrado",_xlfn.MAXIFS(Mantenciones!$D:$D,Mantenciones!$B:$B,A21))</f>
        <v>Sin datos de mantención registrado</v>
      </c>
      <c r="R21" s="16" t="str">
        <f>IFERROR(IF(_xlfn.MAXIFS(Mantenciones!$D:$D,Mantenciones!$B:$B,$A21,Mantenciones!$E:$E,"Sí",Mantenciones!$D:$D,"&gt;0")=0,"Sin datos de mantención registrado",_xlfn.MAXIFS(Mantenciones!$D:$D,Mantenciones!$B:$B,$A21,Mantenciones!$E:$E,"Sí",Mantenciones!$D:$D,"&gt;0")),"Sin datos de mantención registrado")</f>
        <v>Sin datos de mantención registrado</v>
      </c>
      <c r="S21" s="19">
        <f>IFERROR(SUMIFS(tblMantenciones[Costo Mantencion CLP],tblMantenciones[Codigo],A21),0)</f>
        <v>0</v>
      </c>
      <c r="T21" s="19">
        <f>IFERROR(SUMIFS(tblComprasPM[Costo PM CLP],tblComprasPM[Codigo],tblMaestroEquipos[[#This Row],[Codigo]]),0)</f>
        <v>382151.35210000002</v>
      </c>
      <c r="U21" s="19">
        <f>IFERROR(tblMaestroEquipos[[#This Row],[Costo Mantenciones CLP]]+tblMaestroEquipos[[#This Row],[Costo Compras PM CLP]],0)</f>
        <v>382151.35210000002</v>
      </c>
      <c r="V21" s="16" t="str">
        <f>IFERROR(_xlfn.XLOOKUP(tblMaestroEquipos[[#This Row],[Codigo]],tblEquipos[Codigo],tblEquipos[Estado Base]),"")</f>
        <v>Operativo</v>
      </c>
      <c r="W21" s="16" t="str">
        <f t="shared" si="0"/>
        <v>POR RECIBIR</v>
      </c>
      <c r="X21" s="16" t="str">
        <f t="shared" si="1"/>
        <v/>
      </c>
      <c r="Y21" s="23" t="str">
        <f ca="1">IFERROR(IF($X21="","",TODAY()+$X21),"")</f>
        <v/>
      </c>
      <c r="Z21" s="23">
        <f>IFERROR(IF(_xlfn.MINIFS(tblComprasPM[Fecha],tblComprasPM[Codigo],tblMaestroEquipos[[#This Row],[Codigo]])=0,"",_xlfn.MINIFS(tblComprasPM[Fecha],tblComprasPM[Codigo],tblMaestroEquipos[[#This Row],[Codigo]])),"")</f>
        <v>46139.565101770801</v>
      </c>
      <c r="AA21" s="23">
        <f>IFERROR(IF(_xlfn.MAXIFS(tblBodega[Fecha],tblBodega[Codigo],tblMaestroEquipos[[#This Row],[Codigo]])=0,"",_xlfn.MAXIFS(tblBodega[Fecha],tblBodega[Codigo],tblMaestroEquipos[[#This Row],[Codigo]])),"")</f>
        <v>46161</v>
      </c>
      <c r="AB2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101</v>
      </c>
      <c r="AC21"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79</v>
      </c>
      <c r="AD21" s="16" t="str">
        <f>IF(tblMaestroEquipos[[#This Row],[Fecha Salida Bodega]]="","SIN SALIDA BODEGA",IF(OR(tblMaestroEquipos[[#This Row],[Ultima Fecha PM]]="",tblMaestroEquipos[[#This Row],[Ultima Fecha PM]]&lt;tblMaestroEquipos[[#This Row],[Fecha Salida Bodega]]),"PENDIENTE","CERRADO"))</f>
        <v>PENDIENTE</v>
      </c>
      <c r="AE21" s="48" t="str">
        <f t="shared" si="2"/>
        <v>OPERATIVO</v>
      </c>
      <c r="AF21" s="16" t="str">
        <f t="shared" si="3"/>
        <v>BAJA</v>
      </c>
      <c r="AG21" s="16" t="str">
        <f t="shared" si="4"/>
        <v>Monitorear próximo vencimiento</v>
      </c>
      <c r="AH21">
        <f t="shared" si="5"/>
        <v>0</v>
      </c>
      <c r="AI21" t="str">
        <f t="shared" ca="1" si="6"/>
        <v/>
      </c>
      <c r="AJ21" s="22">
        <f t="shared" si="7"/>
        <v>3</v>
      </c>
    </row>
    <row r="22" spans="1:36">
      <c r="A22" s="16" t="s">
        <v>82</v>
      </c>
      <c r="B22" s="16" t="s">
        <v>83</v>
      </c>
      <c r="C22" s="16" t="s">
        <v>1378</v>
      </c>
      <c r="D22" s="16" t="s">
        <v>44</v>
      </c>
      <c r="E22" s="17" t="s">
        <v>84</v>
      </c>
      <c r="F22" s="16">
        <v>2013</v>
      </c>
      <c r="G22" s="17" t="str">
        <f>IFERROR(_xlfn.XLOOKUP($A22,tblEquipos[Codigo],tblEquipos[Ubicacion],""),"")</f>
        <v>San Nicolas</v>
      </c>
      <c r="H22" s="16" t="s">
        <v>1382</v>
      </c>
      <c r="I22" s="16" t="str">
        <f>IFERROR(VLOOKUP(A22, Equipos!A:J, 9, FALSE), "")</f>
        <v>HORAS</v>
      </c>
      <c r="J22" s="16">
        <f>IFERROR(VLOOKUP(A22, Equipos!A:J, 10, FALSE), "")</f>
        <v>250</v>
      </c>
      <c r="K22" s="16">
        <f>IFERROR(IF($I22="KM",ROUND((_xlfn.MAXIFS(tblLecturas[Kilometraje],tblLecturas[Codigo],$A22)-_xlfn.MINIFS(tblLecturas[Kilometraje],tblLecturas[Codigo],$A22))/(MAX(1,_xlfn.MAXIFS(tblLecturas[Fecha],tblLecturas[Codigo],$A22)-_xlfn.MINIFS(tblLecturas[Fecha],tblLecturas[Codigo],$A22))),1),ROUND((_xlfn.MAXIFS(tblLecturas[Horometro],tblLecturas[Codigo],$A22)-_xlfn.MINIFS(tblLecturas[Horometro],tblLecturas[Codigo],$A22))/(MAX(1,_xlfn.MAXIFS(tblLecturas[Fecha],tblLecturas[Codigo],$A22)-_xlfn.MINIFS(tblLecturas[Fecha],tblLecturas[Codigo],$A22))),1)),"")</f>
        <v>0.6</v>
      </c>
      <c r="L22" s="18">
        <f>IFERROR(_xlfn.MAXIFS(tblLecturas[Fecha],tblLecturas[Codigo],$A22),"")</f>
        <v>46115</v>
      </c>
      <c r="M22" s="24">
        <f>IFERROR(_xlfn.MAXIFS(Lecturas!$C:$C,Lecturas!$B:$B,$A22,Lecturas!$C:$C,"&gt;0"),"")</f>
        <v>2841</v>
      </c>
      <c r="N22" s="24">
        <f>IFERROR(_xlfn.MAXIFS(tblLecturas[Kilometraje],tblLecturas[Codigo],$A22,tblLecturas[Kilometraje],"&gt;0"),"")</f>
        <v>195800</v>
      </c>
      <c r="O22" s="24" cm="1">
        <f t="array" ref="O22">IFERROR(IF($I22="KM",LOOKUP(2,1/(Lecturas!$B:$B=$A22)/(Lecturas!$D:$D&gt;0),Lecturas!$D:$D),LOOKUP(2,1/(Lecturas!$B:$B=$A22)/(Lecturas!$C:$C&gt;0),Lecturas!$C:$C)),"")</f>
        <v>2832</v>
      </c>
      <c r="P22" s="18">
        <f>IFERROR(_xlfn.MAXIFS(tblMantenciones[Fecha],tblMantenciones[Codigo],tblMaestroEquipos[[#This Row],[Codigo]],tblMantenciones[EsPM],"Sí"),"")</f>
        <v>46099</v>
      </c>
      <c r="Q22" s="70">
        <f>IF(_xlfn.MAXIFS(Mantenciones!$D:$D,Mantenciones!$B:$B,A22)=0,"Sin datos de mantención registrado",_xlfn.MAXIFS(Mantenciones!$D:$D,Mantenciones!$B:$B,A22))</f>
        <v>195600</v>
      </c>
      <c r="R22" s="16">
        <f>IFERROR(IF(_xlfn.MAXIFS(Mantenciones!$D:$D,Mantenciones!$B:$B,$A22,Mantenciones!$E:$E,"Sí",Mantenciones!$D:$D,"&gt;0")=0,"Sin datos de mantención registrado",_xlfn.MAXIFS(Mantenciones!$D:$D,Mantenciones!$B:$B,$A22,Mantenciones!$E:$E,"Sí",Mantenciones!$D:$D,"&gt;0")),"Sin datos de mantención registrado")</f>
        <v>195600</v>
      </c>
      <c r="S22" s="19">
        <f>IFERROR(SUMIFS(tblMantenciones[Costo Mantencion CLP],tblMantenciones[Codigo],A22),0)</f>
        <v>313653.99</v>
      </c>
      <c r="T22" s="19">
        <f>IFERROR(SUMIFS(tblComprasPM[Costo PM CLP],tblComprasPM[Codigo],tblMaestroEquipos[[#This Row],[Codigo]]),0)</f>
        <v>372096.33999999997</v>
      </c>
      <c r="U22" s="19">
        <f>IFERROR(tblMaestroEquipos[[#This Row],[Costo Mantenciones CLP]]+tblMaestroEquipos[[#This Row],[Costo Compras PM CLP]],0)</f>
        <v>685750.33</v>
      </c>
      <c r="V22" s="16" t="str">
        <f>IFERROR(_xlfn.XLOOKUP(tblMaestroEquipos[[#This Row],[Codigo]],tblEquipos[Codigo],tblEquipos[Estado Base]),"")</f>
        <v>Operativo</v>
      </c>
      <c r="W22" s="16" t="str">
        <f t="shared" si="0"/>
        <v>AL DÍA</v>
      </c>
      <c r="X22" s="16">
        <f t="shared" si="1"/>
        <v>193018</v>
      </c>
      <c r="Y22" s="23">
        <f>IFERROR(IF(OR(tblMaestroEquipos[[#This Row],[Estado Operacional]]="FUERA DE SERVICIO",tblMaestroEquipos[[#This Row],[Ultima Fecha Lectura]]="",tblMaestroEquipos[[#This Row],[Dias a Proxima Mantencion]]=""),"",tblMaestroEquipos[[#This Row],[Ultima Fecha Lectura]]+tblMaestroEquipos[[#This Row],[Dias a Proxima Mantencion]]),"")</f>
        <v>239133</v>
      </c>
      <c r="Z22" s="23">
        <f>IFERROR(IF(_xlfn.MINIFS(tblComprasPM[Fecha],tblComprasPM[Codigo],tblMaestroEquipos[[#This Row],[Codigo]])=0,"",_xlfn.MINIFS(tblComprasPM[Fecha],tblComprasPM[Codigo],tblMaestroEquipos[[#This Row],[Codigo]])),"")</f>
        <v>46071.627082372703</v>
      </c>
      <c r="AA22" s="23">
        <f>IFERROR(IF(_xlfn.MAXIFS(tblBodega[Fecha],tblBodega[Codigo],tblMaestroEquipos[[#This Row],[Codigo]])=0,"",_xlfn.MAXIFS(tblBodega[Fecha],tblBodega[Codigo],tblMaestroEquipos[[#This Row],[Codigo]])),"")</f>
        <v>46099</v>
      </c>
      <c r="AB22"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28</v>
      </c>
      <c r="AC22"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22" s="16" t="str">
        <f>IF(tblMaestroEquipos[[#This Row],[Fecha Salida Bodega]]="","SIN SALIDA BODEGA",IF(OR(tblMaestroEquipos[[#This Row],[Ultima Fecha PM]]="",tblMaestroEquipos[[#This Row],[Ultima Fecha PM]]&lt;tblMaestroEquipos[[#This Row],[Fecha Salida Bodega]]),"PENDIENTE","CERRADO"))</f>
        <v>CERRADO</v>
      </c>
      <c r="AE22" s="48" t="str">
        <f t="shared" si="2"/>
        <v>OPERATIVO</v>
      </c>
      <c r="AF22" s="16" t="str">
        <f t="shared" si="3"/>
        <v>BAJA</v>
      </c>
      <c r="AG22" s="16" t="str">
        <f t="shared" si="4"/>
        <v>Monitorear próximo vencimiento</v>
      </c>
      <c r="AH22">
        <f t="shared" si="5"/>
        <v>0</v>
      </c>
      <c r="AI22" t="str">
        <f t="shared" si="6"/>
        <v/>
      </c>
      <c r="AJ22" s="22">
        <f t="shared" si="7"/>
        <v>99</v>
      </c>
    </row>
    <row r="23" spans="1:36">
      <c r="A23" s="16" t="s">
        <v>86</v>
      </c>
      <c r="B23" s="16" t="s">
        <v>20</v>
      </c>
      <c r="C23" s="16" t="s">
        <v>1378</v>
      </c>
      <c r="D23" s="16" t="s">
        <v>21</v>
      </c>
      <c r="E23" s="17" t="s">
        <v>87</v>
      </c>
      <c r="F23" s="16">
        <v>2024</v>
      </c>
      <c r="G23" s="17" t="str">
        <f>IFERROR(_xlfn.XLOOKUP($A23,tblEquipos[Codigo],tblEquipos[Ubicacion],""),"")</f>
        <v>Cobquecura</v>
      </c>
      <c r="H23" s="16" t="s">
        <v>88</v>
      </c>
      <c r="I23" s="16" t="str">
        <f>IFERROR(VLOOKUP(A23, Equipos!A:J, 9, FALSE), "")</f>
        <v>HORAS</v>
      </c>
      <c r="J23" s="16">
        <f>IFERROR(VLOOKUP(A23, Equipos!A:J, 10, FALSE), "")</f>
        <v>500</v>
      </c>
      <c r="K23" s="16">
        <f>IFERROR(IF($I23="KM",ROUND((_xlfn.MAXIFS(tblLecturas[Kilometraje],tblLecturas[Codigo],$A23)-_xlfn.MINIFS(tblLecturas[Kilometraje],tblLecturas[Codigo],$A23))/(MAX(1,_xlfn.MAXIFS(tblLecturas[Fecha],tblLecturas[Codigo],$A23)-_xlfn.MINIFS(tblLecturas[Fecha],tblLecturas[Codigo],$A23))),1),ROUND((_xlfn.MAXIFS(tblLecturas[Horometro],tblLecturas[Codigo],$A23)-_xlfn.MINIFS(tblLecturas[Horometro],tblLecturas[Codigo],$A23))/(MAX(1,_xlfn.MAXIFS(tblLecturas[Fecha],tblLecturas[Codigo],$A23)-_xlfn.MINIFS(tblLecturas[Fecha],tblLecturas[Codigo],$A23))),1)),"")</f>
        <v>2.7</v>
      </c>
      <c r="L23" s="18">
        <f>IFERROR(_xlfn.MAXIFS(tblLecturas[Fecha],tblLecturas[Codigo],$A23),"")</f>
        <v>46086</v>
      </c>
      <c r="M23" s="24">
        <f>IFERROR(_xlfn.MAXIFS(Lecturas!$C:$C,Lecturas!$B:$B,$A23,Lecturas!$C:$C,"&gt;0"),"")</f>
        <v>3406</v>
      </c>
      <c r="N23" s="24">
        <f>IFERROR(_xlfn.MAXIFS(tblLecturas[Kilometraje],tblLecturas[Codigo],$A23,tblLecturas[Kilometraje],"&gt;0"),"")</f>
        <v>0</v>
      </c>
      <c r="O23" s="24" cm="1">
        <f t="array" ref="O23">IFERROR(IF($I23="KM",LOOKUP(2,1/(Lecturas!$B:$B=$A23)/(Lecturas!$D:$D&gt;0),Lecturas!$D:$D),LOOKUP(2,1/(Lecturas!$B:$B=$A23)/(Lecturas!$C:$C&gt;0),Lecturas!$C:$C)),"")</f>
        <v>3406</v>
      </c>
      <c r="P23" s="18">
        <f>IFERROR(_xlfn.MAXIFS(tblMantenciones[Fecha],tblMantenciones[Codigo],tblMaestroEquipos[[#This Row],[Codigo]],tblMantenciones[EsPM],"Sí"),"")</f>
        <v>46188</v>
      </c>
      <c r="Q23" s="70">
        <f>IF(_xlfn.MAXIFS(Mantenciones!$D:$D,Mantenciones!$B:$B,A23)=0,"Sin datos de mantención registrado",_xlfn.MAXIFS(Mantenciones!$D:$D,Mantenciones!$B:$B,A23))</f>
        <v>3699</v>
      </c>
      <c r="R23" s="16">
        <f>IFERROR(IF(_xlfn.MAXIFS(Mantenciones!$D:$D,Mantenciones!$B:$B,$A23,Mantenciones!$E:$E,"Sí",Mantenciones!$D:$D,"&gt;0")=0,"Sin datos de mantención registrado",_xlfn.MAXIFS(Mantenciones!$D:$D,Mantenciones!$B:$B,$A23,Mantenciones!$E:$E,"Sí",Mantenciones!$D:$D,"&gt;0")),"Sin datos de mantención registrado")</f>
        <v>3699</v>
      </c>
      <c r="S23" s="19">
        <f>IFERROR(SUMIFS(tblMantenciones[Costo Mantencion CLP],tblMantenciones[Codigo],A23),0)</f>
        <v>0</v>
      </c>
      <c r="T23" s="19">
        <f>IFERROR(SUMIFS(tblComprasPM[Costo PM CLP],tblComprasPM[Codigo],tblMaestroEquipos[[#This Row],[Codigo]]),0)</f>
        <v>327374.59039999999</v>
      </c>
      <c r="U23" s="19">
        <f>IFERROR(tblMaestroEquipos[[#This Row],[Costo Mantenciones CLP]]+tblMaestroEquipos[[#This Row],[Costo Compras PM CLP]],0)</f>
        <v>327374.59039999999</v>
      </c>
      <c r="V23" s="16" t="str">
        <f>IFERROR(_xlfn.XLOOKUP(tblMaestroEquipos[[#This Row],[Codigo]],tblEquipos[Codigo],tblEquipos[Estado Base]),"")</f>
        <v>Operativo</v>
      </c>
      <c r="W23" s="16" t="str">
        <f t="shared" si="0"/>
        <v>AL DÍA</v>
      </c>
      <c r="X23" s="16">
        <f t="shared" si="1"/>
        <v>793</v>
      </c>
      <c r="Y23" s="23">
        <f>IFERROR(IF(OR(tblMaestroEquipos[[#This Row],[Estado Operacional]]="FUERA DE SERVICIO",tblMaestroEquipos[[#This Row],[Ultima Fecha Lectura]]="",tblMaestroEquipos[[#This Row],[Dias a Proxima Mantencion]]=""),"",tblMaestroEquipos[[#This Row],[Ultima Fecha Lectura]]+tblMaestroEquipos[[#This Row],[Dias a Proxima Mantencion]]),"")</f>
        <v>46879</v>
      </c>
      <c r="Z23" s="23">
        <f>IFERROR(IF(_xlfn.MINIFS(tblComprasPM[Fecha],tblComprasPM[Codigo],tblMaestroEquipos[[#This Row],[Codigo]])=0,"",_xlfn.MINIFS(tblComprasPM[Fecha],tblComprasPM[Codigo],tblMaestroEquipos[[#This Row],[Codigo]])),"")</f>
        <v>46069.447153738402</v>
      </c>
      <c r="AA23" s="23">
        <f>IFERROR(IF(_xlfn.MAXIFS(tblBodega[Fecha],tblBodega[Codigo],tblMaestroEquipos[[#This Row],[Codigo]])=0,"",_xlfn.MAXIFS(tblBodega[Fecha],tblBodega[Codigo],tblMaestroEquipos[[#This Row],[Codigo]])),"")</f>
        <v>46080</v>
      </c>
      <c r="AB23"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119</v>
      </c>
      <c r="AC23"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108</v>
      </c>
      <c r="AD23" s="16" t="str">
        <f>IF(tblMaestroEquipos[[#This Row],[Fecha Salida Bodega]]="","SIN SALIDA BODEGA",IF(OR(tblMaestroEquipos[[#This Row],[Ultima Fecha PM]]="",tblMaestroEquipos[[#This Row],[Ultima Fecha PM]]&lt;tblMaestroEquipos[[#This Row],[Fecha Salida Bodega]]),"PENDIENTE","CERRADO"))</f>
        <v>CERRADO</v>
      </c>
      <c r="AE23" s="48" t="str">
        <f t="shared" si="2"/>
        <v>OPERATIVO</v>
      </c>
      <c r="AF23" s="16" t="str">
        <f t="shared" si="3"/>
        <v>BAJA</v>
      </c>
      <c r="AG23" s="16" t="str">
        <f t="shared" si="4"/>
        <v>Monitorear próximo vencimiento</v>
      </c>
      <c r="AH23">
        <f t="shared" si="5"/>
        <v>0</v>
      </c>
      <c r="AI23" t="str">
        <f t="shared" si="6"/>
        <v/>
      </c>
      <c r="AJ23" s="22">
        <f t="shared" si="7"/>
        <v>99</v>
      </c>
    </row>
    <row r="24" spans="1:36">
      <c r="A24" s="16" t="s">
        <v>89</v>
      </c>
      <c r="B24" s="16" t="s">
        <v>20</v>
      </c>
      <c r="C24" s="16" t="s">
        <v>1378</v>
      </c>
      <c r="D24" s="16" t="s">
        <v>21</v>
      </c>
      <c r="E24" s="17" t="s">
        <v>87</v>
      </c>
      <c r="F24" s="16">
        <v>2024</v>
      </c>
      <c r="G24" s="17" t="str">
        <f>IFERROR(_xlfn.XLOOKUP($A24,tblEquipos[Codigo],tblEquipos[Ubicacion],""),"")</f>
        <v>Cobquecura</v>
      </c>
      <c r="H24" s="16" t="s">
        <v>90</v>
      </c>
      <c r="I24" s="16" t="str">
        <f>IFERROR(VLOOKUP(A24, Equipos!A:J, 9, FALSE), "")</f>
        <v>HORAS</v>
      </c>
      <c r="J24" s="16">
        <f>IFERROR(VLOOKUP(A24, Equipos!A:J, 10, FALSE), "")</f>
        <v>500</v>
      </c>
      <c r="K24" s="16">
        <f>IFERROR(IF($I24="KM",ROUND((_xlfn.MAXIFS(tblLecturas[Kilometraje],tblLecturas[Codigo],$A24)-_xlfn.MINIFS(tblLecturas[Kilometraje],tblLecturas[Codigo],$A24))/(MAX(1,_xlfn.MAXIFS(tblLecturas[Fecha],tblLecturas[Codigo],$A24)-_xlfn.MINIFS(tblLecturas[Fecha],tblLecturas[Codigo],$A24))),1),ROUND((_xlfn.MAXIFS(tblLecturas[Horometro],tblLecturas[Codigo],$A24)-_xlfn.MINIFS(tblLecturas[Horometro],tblLecturas[Codigo],$A24))/(MAX(1,_xlfn.MAXIFS(tblLecturas[Fecha],tblLecturas[Codigo],$A24)-_xlfn.MINIFS(tblLecturas[Fecha],tblLecturas[Codigo],$A24))),1)),"")</f>
        <v>3.1</v>
      </c>
      <c r="L24" s="18">
        <f>IFERROR(_xlfn.MAXIFS(tblLecturas[Fecha],tblLecturas[Codigo],$A24),"")</f>
        <v>46111</v>
      </c>
      <c r="M24" s="24">
        <f>IFERROR(_xlfn.MAXIFS(Lecturas!$C:$C,Lecturas!$B:$B,$A24,Lecturas!$C:$C,"&gt;0"),"")</f>
        <v>3552</v>
      </c>
      <c r="N24" s="24">
        <f>IFERROR(_xlfn.MAXIFS(tblLecturas[Kilometraje],tblLecturas[Codigo],$A24,tblLecturas[Kilometraje],"&gt;0"),"")</f>
        <v>89291</v>
      </c>
      <c r="O24" s="24" cm="1">
        <f t="array" ref="O24">IFERROR(IF($I24="KM",LOOKUP(2,1/(Lecturas!$B:$B=$A24)/(Lecturas!$D:$D&gt;0),Lecturas!$D:$D),LOOKUP(2,1/(Lecturas!$B:$B=$A24)/(Lecturas!$C:$C&gt;0),Lecturas!$C:$C)),"")</f>
        <v>3431</v>
      </c>
      <c r="P24" s="18">
        <f>IFERROR(_xlfn.MAXIFS(tblMantenciones[Fecha],tblMantenciones[Codigo],tblMaestroEquipos[[#This Row],[Codigo]],tblMantenciones[EsPM],"Sí"),"")</f>
        <v>46085</v>
      </c>
      <c r="Q24" s="70">
        <f>IF(_xlfn.MAXIFS(Mantenciones!$D:$D,Mantenciones!$B:$B,A24)=0,"Sin datos de mantención registrado",_xlfn.MAXIFS(Mantenciones!$D:$D,Mantenciones!$B:$B,A24))</f>
        <v>3468</v>
      </c>
      <c r="R24" s="16">
        <f>IFERROR(IF(_xlfn.MAXIFS(Mantenciones!$D:$D,Mantenciones!$B:$B,$A24,Mantenciones!$E:$E,"Sí",Mantenciones!$D:$D,"&gt;0")=0,"Sin datos de mantención registrado",_xlfn.MAXIFS(Mantenciones!$D:$D,Mantenciones!$B:$B,$A24,Mantenciones!$E:$E,"Sí",Mantenciones!$D:$D,"&gt;0")),"Sin datos de mantención registrado")</f>
        <v>3468</v>
      </c>
      <c r="S24" s="19">
        <f>IFERROR(SUMIFS(tblMantenciones[Costo Mantencion CLP],tblMantenciones[Codigo],A24),0)</f>
        <v>0</v>
      </c>
      <c r="T24" s="19">
        <f>IFERROR(SUMIFS(tblComprasPM[Costo PM CLP],tblComprasPM[Codigo],tblMaestroEquipos[[#This Row],[Codigo]]),0)</f>
        <v>274198.12839999999</v>
      </c>
      <c r="U24" s="19">
        <f>IFERROR(tblMaestroEquipos[[#This Row],[Costo Mantenciones CLP]]+tblMaestroEquipos[[#This Row],[Costo Compras PM CLP]],0)</f>
        <v>274198.12839999999</v>
      </c>
      <c r="V24" s="16" t="str">
        <f>IFERROR(_xlfn.XLOOKUP(tblMaestroEquipos[[#This Row],[Codigo]],tblEquipos[Codigo],tblEquipos[Estado Base]),"")</f>
        <v>Operativo</v>
      </c>
      <c r="W24" s="16" t="str">
        <f t="shared" si="0"/>
        <v>AL DÍA</v>
      </c>
      <c r="X24" s="16">
        <f t="shared" si="1"/>
        <v>537</v>
      </c>
      <c r="Y24" s="23">
        <f>IFERROR(IF(OR(tblMaestroEquipos[[#This Row],[Estado Operacional]]="FUERA DE SERVICIO",tblMaestroEquipos[[#This Row],[Ultima Fecha Lectura]]="",tblMaestroEquipos[[#This Row],[Dias a Proxima Mantencion]]=""),"",tblMaestroEquipos[[#This Row],[Ultima Fecha Lectura]]+tblMaestroEquipos[[#This Row],[Dias a Proxima Mantencion]]),"")</f>
        <v>46648</v>
      </c>
      <c r="Z24" s="23">
        <f>IFERROR(IF(_xlfn.MINIFS(tblComprasPM[Fecha],tblComprasPM[Codigo],tblMaestroEquipos[[#This Row],[Codigo]])=0,"",_xlfn.MINIFS(tblComprasPM[Fecha],tblComprasPM[Codigo],tblMaestroEquipos[[#This Row],[Codigo]])),"")</f>
        <v>46069.447153738402</v>
      </c>
      <c r="AA24" s="23">
        <f>IFERROR(IF(_xlfn.MAXIFS(tblBodega[Fecha],tblBodega[Codigo],tblMaestroEquipos[[#This Row],[Codigo]])=0,"",_xlfn.MAXIFS(tblBodega[Fecha],tblBodega[Codigo],tblMaestroEquipos[[#This Row],[Codigo]])),"")</f>
        <v>46080</v>
      </c>
      <c r="AB24"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16</v>
      </c>
      <c r="AC24"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5</v>
      </c>
      <c r="AD24" s="16" t="str">
        <f>IF(tblMaestroEquipos[[#This Row],[Fecha Salida Bodega]]="","SIN SALIDA BODEGA",IF(OR(tblMaestroEquipos[[#This Row],[Ultima Fecha PM]]="",tblMaestroEquipos[[#This Row],[Ultima Fecha PM]]&lt;tblMaestroEquipos[[#This Row],[Fecha Salida Bodega]]),"PENDIENTE","CERRADO"))</f>
        <v>CERRADO</v>
      </c>
      <c r="AE24" s="48" t="str">
        <f t="shared" si="2"/>
        <v>OPERATIVO</v>
      </c>
      <c r="AF24" s="16" t="str">
        <f t="shared" si="3"/>
        <v>BAJA</v>
      </c>
      <c r="AG24" s="16" t="str">
        <f t="shared" si="4"/>
        <v>Monitorear próximo vencimiento</v>
      </c>
      <c r="AH24">
        <f t="shared" si="5"/>
        <v>0</v>
      </c>
      <c r="AI24" t="str">
        <f t="shared" si="6"/>
        <v/>
      </c>
      <c r="AJ24" s="22">
        <f t="shared" si="7"/>
        <v>99</v>
      </c>
    </row>
    <row r="25" spans="1:36">
      <c r="A25" s="16" t="s">
        <v>91</v>
      </c>
      <c r="B25" s="16" t="s">
        <v>20</v>
      </c>
      <c r="C25" s="16" t="s">
        <v>1378</v>
      </c>
      <c r="D25" s="16" t="s">
        <v>21</v>
      </c>
      <c r="E25" s="17" t="s">
        <v>87</v>
      </c>
      <c r="F25" s="16">
        <v>2024</v>
      </c>
      <c r="G25" s="17" t="str">
        <f>IFERROR(_xlfn.XLOOKUP($A25,tblEquipos[Codigo],tblEquipos[Ubicacion],""),"")</f>
        <v>San Nicolas</v>
      </c>
      <c r="H25" s="16" t="s">
        <v>92</v>
      </c>
      <c r="I25" s="16" t="str">
        <f>IFERROR(VLOOKUP(A25, Equipos!A:J, 9, FALSE), "")</f>
        <v>HORAS</v>
      </c>
      <c r="J25" s="16">
        <f>IFERROR(VLOOKUP(A25, Equipos!A:J, 10, FALSE), "")</f>
        <v>500</v>
      </c>
      <c r="K25" s="16">
        <f>IFERROR(IF($I25="KM",ROUND((_xlfn.MAXIFS(tblLecturas[Kilometraje],tblLecturas[Codigo],$A25)-_xlfn.MINIFS(tblLecturas[Kilometraje],tblLecturas[Codigo],$A25))/(MAX(1,_xlfn.MAXIFS(tblLecturas[Fecha],tblLecturas[Codigo],$A25)-_xlfn.MINIFS(tblLecturas[Fecha],tblLecturas[Codigo],$A25))),1),ROUND((_xlfn.MAXIFS(tblLecturas[Horometro],tblLecturas[Codigo],$A25)-_xlfn.MINIFS(tblLecturas[Horometro],tblLecturas[Codigo],$A25))/(MAX(1,_xlfn.MAXIFS(tblLecturas[Fecha],tblLecturas[Codigo],$A25)-_xlfn.MINIFS(tblLecturas[Fecha],tblLecturas[Codigo],$A25))),1)),"")</f>
        <v>6.2</v>
      </c>
      <c r="L25" s="18">
        <f>IFERROR(_xlfn.MAXIFS(tblLecturas[Fecha],tblLecturas[Codigo],$A25),"")</f>
        <v>46106</v>
      </c>
      <c r="M25" s="24">
        <f>IFERROR(_xlfn.MAXIFS(Lecturas!$C:$C,Lecturas!$B:$B,$A25,Lecturas!$C:$C,"&gt;0"),"")</f>
        <v>3774</v>
      </c>
      <c r="N25" s="24">
        <f>IFERROR(_xlfn.MAXIFS(tblLecturas[Kilometraje],tblLecturas[Codigo],$A25,tblLecturas[Kilometraje],"&gt;0"),"")</f>
        <v>97492</v>
      </c>
      <c r="O25" s="24" cm="1">
        <f t="array" ref="O25">IFERROR(IF($I25="KM",LOOKUP(2,1/(Lecturas!$B:$B=$A25)/(Lecturas!$D:$D&gt;0),Lecturas!$D:$D),LOOKUP(2,1/(Lecturas!$B:$B=$A25)/(Lecturas!$C:$C&gt;0),Lecturas!$C:$C)),"")</f>
        <v>3694</v>
      </c>
      <c r="P25" s="18">
        <f>IFERROR(_xlfn.MAXIFS(tblMantenciones[Fecha],tblMantenciones[Codigo],tblMaestroEquipos[[#This Row],[Codigo]],tblMantenciones[EsPM],"Sí"),"")</f>
        <v>46157</v>
      </c>
      <c r="Q25" s="70">
        <f>IF(_xlfn.MAXIFS(Mantenciones!$D:$D,Mantenciones!$B:$B,A25)=0,"Sin datos de mantención registrado",_xlfn.MAXIFS(Mantenciones!$D:$D,Mantenciones!$B:$B,A25))</f>
        <v>3941</v>
      </c>
      <c r="R25" s="16">
        <f>IFERROR(IF(_xlfn.MAXIFS(Mantenciones!$D:$D,Mantenciones!$B:$B,$A25,Mantenciones!$E:$E,"Sí",Mantenciones!$D:$D,"&gt;0")=0,"Sin datos de mantención registrado",_xlfn.MAXIFS(Mantenciones!$D:$D,Mantenciones!$B:$B,$A25,Mantenciones!$E:$E,"Sí",Mantenciones!$D:$D,"&gt;0")),"Sin datos de mantención registrado")</f>
        <v>3941</v>
      </c>
      <c r="S25" s="19">
        <f>IFERROR(SUMIFS(tblMantenciones[Costo Mantencion CLP],tblMantenciones[Codigo],A25),0)</f>
        <v>0</v>
      </c>
      <c r="T25" s="19">
        <f>IFERROR(SUMIFS(tblComprasPM[Costo PM CLP],tblComprasPM[Codigo],tblMaestroEquipos[[#This Row],[Codigo]]),0)</f>
        <v>319997.65839999996</v>
      </c>
      <c r="U25" s="19">
        <f>IFERROR(tblMaestroEquipos[[#This Row],[Costo Mantenciones CLP]]+tblMaestroEquipos[[#This Row],[Costo Compras PM CLP]],0)</f>
        <v>319997.65839999996</v>
      </c>
      <c r="V25" s="16" t="str">
        <f>IFERROR(_xlfn.XLOOKUP(tblMaestroEquipos[[#This Row],[Codigo]],tblEquipos[Codigo],tblEquipos[Estado Base]),"")</f>
        <v>Operativo</v>
      </c>
      <c r="W25" s="16" t="str">
        <f t="shared" si="0"/>
        <v>AL DÍA</v>
      </c>
      <c r="X25" s="16">
        <f t="shared" si="1"/>
        <v>747</v>
      </c>
      <c r="Y25" s="23">
        <f>IFERROR(IF(OR(tblMaestroEquipos[[#This Row],[Estado Operacional]]="FUERA DE SERVICIO",tblMaestroEquipos[[#This Row],[Ultima Fecha Lectura]]="",tblMaestroEquipos[[#This Row],[Dias a Proxima Mantencion]]=""),"",tblMaestroEquipos[[#This Row],[Ultima Fecha Lectura]]+tblMaestroEquipos[[#This Row],[Dias a Proxima Mantencion]]),"")</f>
        <v>46853</v>
      </c>
      <c r="Z25" s="23">
        <f>IFERROR(IF(_xlfn.MINIFS(tblComprasPM[Fecha],tblComprasPM[Codigo],tblMaestroEquipos[[#This Row],[Codigo]])=0,"",_xlfn.MINIFS(tblComprasPM[Fecha],tblComprasPM[Codigo],tblMaestroEquipos[[#This Row],[Codigo]])),"")</f>
        <v>46069.447153738402</v>
      </c>
      <c r="AA25" s="23">
        <f>IFERROR(IF(_xlfn.MAXIFS(tblBodega[Fecha],tblBodega[Codigo],tblMaestroEquipos[[#This Row],[Codigo]])=0,"",_xlfn.MAXIFS(tblBodega[Fecha],tblBodega[Codigo],tblMaestroEquipos[[#This Row],[Codigo]])),"")</f>
        <v>46157</v>
      </c>
      <c r="AB2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88</v>
      </c>
      <c r="AC2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25" s="16" t="str">
        <f>IF(tblMaestroEquipos[[#This Row],[Fecha Salida Bodega]]="","SIN SALIDA BODEGA",IF(OR(tblMaestroEquipos[[#This Row],[Ultima Fecha PM]]="",tblMaestroEquipos[[#This Row],[Ultima Fecha PM]]&lt;tblMaestroEquipos[[#This Row],[Fecha Salida Bodega]]),"PENDIENTE","CERRADO"))</f>
        <v>CERRADO</v>
      </c>
      <c r="AE25" s="48" t="str">
        <f t="shared" si="2"/>
        <v>OPERATIVO</v>
      </c>
      <c r="AF25" s="16" t="str">
        <f t="shared" si="3"/>
        <v>BAJA</v>
      </c>
      <c r="AG25" s="16" t="str">
        <f t="shared" si="4"/>
        <v>Monitorear próximo vencimiento</v>
      </c>
      <c r="AH25">
        <f t="shared" si="5"/>
        <v>0</v>
      </c>
      <c r="AI25" t="str">
        <f t="shared" si="6"/>
        <v/>
      </c>
      <c r="AJ25" s="22">
        <f t="shared" si="7"/>
        <v>99</v>
      </c>
    </row>
    <row r="26" spans="1:36">
      <c r="A26" s="16" t="s">
        <v>93</v>
      </c>
      <c r="B26" s="16" t="s">
        <v>20</v>
      </c>
      <c r="C26" s="16" t="s">
        <v>1378</v>
      </c>
      <c r="D26" s="16" t="s">
        <v>21</v>
      </c>
      <c r="E26" s="17" t="s">
        <v>87</v>
      </c>
      <c r="F26" s="16">
        <v>2024</v>
      </c>
      <c r="G26" s="17" t="str">
        <f>IFERROR(_xlfn.XLOOKUP($A26,tblEquipos[Codigo],tblEquipos[Ubicacion],""),"")</f>
        <v>San Nicolas</v>
      </c>
      <c r="H26" s="16" t="s">
        <v>94</v>
      </c>
      <c r="I26" s="16" t="str">
        <f>IFERROR(VLOOKUP(A26, Equipos!A:J, 9, FALSE), "")</f>
        <v>HORAS</v>
      </c>
      <c r="J26" s="16">
        <f>IFERROR(VLOOKUP(A26, Equipos!A:J, 10, FALSE), "")</f>
        <v>500</v>
      </c>
      <c r="K26" s="16">
        <f>IFERROR(IF($I26="KM",ROUND((_xlfn.MAXIFS(tblLecturas[Kilometraje],tblLecturas[Codigo],$A26)-_xlfn.MINIFS(tblLecturas[Kilometraje],tblLecturas[Codigo],$A26))/(MAX(1,_xlfn.MAXIFS(tblLecturas[Fecha],tblLecturas[Codigo],$A26)-_xlfn.MINIFS(tblLecturas[Fecha],tblLecturas[Codigo],$A26))),1),ROUND((_xlfn.MAXIFS(tblLecturas[Horometro],tblLecturas[Codigo],$A26)-_xlfn.MINIFS(tblLecturas[Horometro],tblLecturas[Codigo],$A26))/(MAX(1,_xlfn.MAXIFS(tblLecturas[Fecha],tblLecturas[Codigo],$A26)-_xlfn.MINIFS(tblLecturas[Fecha],tblLecturas[Codigo],$A26))),1)),"")</f>
        <v>0</v>
      </c>
      <c r="L26" s="18">
        <f>IFERROR(_xlfn.MAXIFS(tblLecturas[Fecha],tblLecturas[Codigo],$A26),"")</f>
        <v>46101</v>
      </c>
      <c r="M26" s="24">
        <f>IFERROR(_xlfn.MAXIFS(Lecturas!$C:$C,Lecturas!$B:$B,$A26,Lecturas!$C:$C,"&gt;0"),"")</f>
        <v>3720</v>
      </c>
      <c r="N26" s="24">
        <f>IFERROR(_xlfn.MAXIFS(tblLecturas[Kilometraje],tblLecturas[Codigo],$A26,tblLecturas[Kilometraje],"&gt;0"),"")</f>
        <v>99818</v>
      </c>
      <c r="O26" s="24" cm="1">
        <f t="array" ref="O26">IFERROR(IF($I26="KM",LOOKUP(2,1/(Lecturas!$B:$B=$A26)/(Lecturas!$D:$D&gt;0),Lecturas!$D:$D),LOOKUP(2,1/(Lecturas!$B:$B=$A26)/(Lecturas!$C:$C&gt;0),Lecturas!$C:$C)),"")</f>
        <v>3720</v>
      </c>
      <c r="P26" s="18">
        <f>IFERROR(_xlfn.MAXIFS(tblMantenciones[Fecha],tblMantenciones[Codigo],tblMaestroEquipos[[#This Row],[Codigo]],tblMantenciones[EsPM],"Sí"),"")</f>
        <v>46093</v>
      </c>
      <c r="Q26" s="70">
        <f>IF(_xlfn.MAXIFS(Mantenciones!$D:$D,Mantenciones!$B:$B,A26)=0,"Sin datos de mantención registrado",_xlfn.MAXIFS(Mantenciones!$D:$D,Mantenciones!$B:$B,A26))</f>
        <v>3693</v>
      </c>
      <c r="R26" s="16">
        <f>IFERROR(IF(_xlfn.MAXIFS(Mantenciones!$D:$D,Mantenciones!$B:$B,$A26,Mantenciones!$E:$E,"Sí",Mantenciones!$D:$D,"&gt;0")=0,"Sin datos de mantención registrado",_xlfn.MAXIFS(Mantenciones!$D:$D,Mantenciones!$B:$B,$A26,Mantenciones!$E:$E,"Sí",Mantenciones!$D:$D,"&gt;0")),"Sin datos de mantención registrado")</f>
        <v>3693</v>
      </c>
      <c r="S26" s="19">
        <f>IFERROR(SUMIFS(tblMantenciones[Costo Mantencion CLP],tblMantenciones[Codigo],A26),0)</f>
        <v>0</v>
      </c>
      <c r="T26" s="19">
        <f>IFERROR(SUMIFS(tblComprasPM[Costo PM CLP],tblComprasPM[Codigo],tblMaestroEquipos[[#This Row],[Codigo]]),0)</f>
        <v>274198.12839999999</v>
      </c>
      <c r="U26" s="19">
        <f>IFERROR(tblMaestroEquipos[[#This Row],[Costo Mantenciones CLP]]+tblMaestroEquipos[[#This Row],[Costo Compras PM CLP]],0)</f>
        <v>274198.12839999999</v>
      </c>
      <c r="V26" s="16" t="str">
        <f>IFERROR(_xlfn.XLOOKUP(tblMaestroEquipos[[#This Row],[Codigo]],tblEquipos[Codigo],tblEquipos[Estado Base]),"")</f>
        <v>Operativo</v>
      </c>
      <c r="W26" s="16" t="str">
        <f t="shared" si="0"/>
        <v>AL DÍA</v>
      </c>
      <c r="X26" s="16">
        <f t="shared" si="1"/>
        <v>473</v>
      </c>
      <c r="Y26" s="23">
        <f>IFERROR(IF(OR(tblMaestroEquipos[[#This Row],[Estado Operacional]]="FUERA DE SERVICIO",tblMaestroEquipos[[#This Row],[Ultima Fecha Lectura]]="",tblMaestroEquipos[[#This Row],[Dias a Proxima Mantencion]]=""),"",tblMaestroEquipos[[#This Row],[Ultima Fecha Lectura]]+tblMaestroEquipos[[#This Row],[Dias a Proxima Mantencion]]),"")</f>
        <v>46574</v>
      </c>
      <c r="Z26" s="23">
        <f>IFERROR(IF(_xlfn.MINIFS(tblComprasPM[Fecha],tblComprasPM[Codigo],tblMaestroEquipos[[#This Row],[Codigo]])=0,"",_xlfn.MINIFS(tblComprasPM[Fecha],tblComprasPM[Codigo],tblMaestroEquipos[[#This Row],[Codigo]])),"")</f>
        <v>46069.447153738402</v>
      </c>
      <c r="AA26" s="23">
        <f>IFERROR(IF(_xlfn.MAXIFS(tblBodega[Fecha],tblBodega[Codigo],tblMaestroEquipos[[#This Row],[Codigo]])=0,"",_xlfn.MAXIFS(tblBodega[Fecha],tblBodega[Codigo],tblMaestroEquipos[[#This Row],[Codigo]])),"")</f>
        <v>46080</v>
      </c>
      <c r="AB2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24</v>
      </c>
      <c r="AC26"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13</v>
      </c>
      <c r="AD26" s="16" t="str">
        <f>IF(tblMaestroEquipos[[#This Row],[Fecha Salida Bodega]]="","SIN SALIDA BODEGA",IF(OR(tblMaestroEquipos[[#This Row],[Ultima Fecha PM]]="",tblMaestroEquipos[[#This Row],[Ultima Fecha PM]]&lt;tblMaestroEquipos[[#This Row],[Fecha Salida Bodega]]),"PENDIENTE","CERRADO"))</f>
        <v>CERRADO</v>
      </c>
      <c r="AE26" s="48" t="str">
        <f t="shared" si="2"/>
        <v>OPERATIVO</v>
      </c>
      <c r="AF26" s="16" t="str">
        <f t="shared" si="3"/>
        <v>BAJA</v>
      </c>
      <c r="AG26" s="16" t="str">
        <f t="shared" si="4"/>
        <v>Monitorear próximo vencimiento</v>
      </c>
      <c r="AH26">
        <f t="shared" si="5"/>
        <v>0</v>
      </c>
      <c r="AI26" t="str">
        <f t="shared" si="6"/>
        <v/>
      </c>
      <c r="AJ26" s="22">
        <f t="shared" si="7"/>
        <v>99</v>
      </c>
    </row>
    <row r="27" spans="1:36">
      <c r="A27" s="16" t="s">
        <v>95</v>
      </c>
      <c r="B27" s="16" t="s">
        <v>20</v>
      </c>
      <c r="C27" s="16" t="s">
        <v>1378</v>
      </c>
      <c r="D27" s="16" t="s">
        <v>21</v>
      </c>
      <c r="E27" s="17" t="s">
        <v>87</v>
      </c>
      <c r="F27" s="16">
        <v>2024</v>
      </c>
      <c r="G27" s="17">
        <f>IFERROR(_xlfn.XLOOKUP($A27,tblEquipos[Codigo],tblEquipos[Ubicacion],""),"")</f>
        <v>0</v>
      </c>
      <c r="H27" s="16" t="s">
        <v>1383</v>
      </c>
      <c r="I27" s="16" t="str">
        <f>IFERROR(VLOOKUP(A27, Equipos!A:J, 9, FALSE), "")</f>
        <v>HORAS</v>
      </c>
      <c r="J27" s="16">
        <f>IFERROR(VLOOKUP(A27, Equipos!A:J, 10, FALSE), "")</f>
        <v>500</v>
      </c>
      <c r="K27" s="16">
        <f>IFERROR(IF($I27="KM",ROUND((_xlfn.MAXIFS(tblLecturas[Kilometraje],tblLecturas[Codigo],$A27)-_xlfn.MINIFS(tblLecturas[Kilometraje],tblLecturas[Codigo],$A27))/(MAX(1,_xlfn.MAXIFS(tblLecturas[Fecha],tblLecturas[Codigo],$A27)-_xlfn.MINIFS(tblLecturas[Fecha],tblLecturas[Codigo],$A27))),1),ROUND((_xlfn.MAXIFS(tblLecturas[Horometro],tblLecturas[Codigo],$A27)-_xlfn.MINIFS(tblLecturas[Horometro],tblLecturas[Codigo],$A27))/(MAX(1,_xlfn.MAXIFS(tblLecturas[Fecha],tblLecturas[Codigo],$A27)-_xlfn.MINIFS(tblLecturas[Fecha],tblLecturas[Codigo],$A27))),1)),"")</f>
        <v>0</v>
      </c>
      <c r="L27" s="18">
        <f>IFERROR(_xlfn.MAXIFS(tblLecturas[Fecha],tblLecturas[Codigo],$A27),"")</f>
        <v>46048</v>
      </c>
      <c r="M27" s="24">
        <f>IFERROR(_xlfn.MAXIFS(Lecturas!$C:$C,Lecturas!$B:$B,$A27,Lecturas!$C:$C,"&gt;0"),"")</f>
        <v>0</v>
      </c>
      <c r="N27" s="24">
        <f>IFERROR(_xlfn.MAXIFS(tblLecturas[Kilometraje],tblLecturas[Codigo],$A27,tblLecturas[Kilometraje],"&gt;0"),"")</f>
        <v>48160</v>
      </c>
      <c r="O27" s="24" t="str" cm="1">
        <f t="array" ref="O27">IFERROR(IF($I27="KM",LOOKUP(2,1/(Lecturas!$B:$B=$A27)/(Lecturas!$D:$D&gt;0),Lecturas!$D:$D),LOOKUP(2,1/(Lecturas!$B:$B=$A27)/(Lecturas!$C:$C&gt;0),Lecturas!$C:$C)),"")</f>
        <v/>
      </c>
      <c r="P27" s="18">
        <f>IFERROR(_xlfn.MAXIFS(tblMantenciones[Fecha],tblMantenciones[Codigo],tblMaestroEquipos[[#This Row],[Codigo]],tblMantenciones[EsPM],"Sí"),"")</f>
        <v>0</v>
      </c>
      <c r="Q27" s="70" t="str">
        <f>IF(_xlfn.MAXIFS(Mantenciones!$D:$D,Mantenciones!$B:$B,A27)=0,"Sin datos de mantención registrado",_xlfn.MAXIFS(Mantenciones!$D:$D,Mantenciones!$B:$B,A27))</f>
        <v>Sin datos de mantención registrado</v>
      </c>
      <c r="R27" s="16" t="str">
        <f>IFERROR(IF(_xlfn.MAXIFS(Mantenciones!$D:$D,Mantenciones!$B:$B,$A27,Mantenciones!$E:$E,"Sí",Mantenciones!$D:$D,"&gt;0")=0,"Sin datos de mantención registrado",_xlfn.MAXIFS(Mantenciones!$D:$D,Mantenciones!$B:$B,$A27,Mantenciones!$E:$E,"Sí",Mantenciones!$D:$D,"&gt;0")),"Sin datos de mantención registrado")</f>
        <v>Sin datos de mantención registrado</v>
      </c>
      <c r="S27" s="19">
        <f>IFERROR(SUMIFS(tblMantenciones[Costo Mantencion CLP],tblMantenciones[Codigo],A27),0)</f>
        <v>0</v>
      </c>
      <c r="T27" s="19">
        <f>IFERROR(SUMIFS(tblComprasPM[Costo PM CLP],tblComprasPM[Codigo],tblMaestroEquipos[[#This Row],[Codigo]]),0)</f>
        <v>0</v>
      </c>
      <c r="U27" s="19">
        <f>IFERROR(tblMaestroEquipos[[#This Row],[Costo Mantenciones CLP]]+tblMaestroEquipos[[#This Row],[Costo Compras PM CLP]],0)</f>
        <v>0</v>
      </c>
      <c r="V27" s="16" t="str">
        <f>IFERROR(_xlfn.XLOOKUP(tblMaestroEquipos[[#This Row],[Codigo]],tblEquipos[Codigo],tblEquipos[Estado Base]),"")</f>
        <v>Fuera de Servicio</v>
      </c>
      <c r="W27" s="16" t="str">
        <f t="shared" si="0"/>
        <v>FUERA DE SERVICIO</v>
      </c>
      <c r="X27" s="16" t="str">
        <f t="shared" si="1"/>
        <v/>
      </c>
      <c r="Y27"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7" s="23" t="str">
        <f>IFERROR(IF(_xlfn.MINIFS(tblComprasPM[Fecha],tblComprasPM[Codigo],tblMaestroEquipos[[#This Row],[Codigo]])=0,"",_xlfn.MINIFS(tblComprasPM[Fecha],tblComprasPM[Codigo],tblMaestroEquipos[[#This Row],[Codigo]])),"")</f>
        <v/>
      </c>
      <c r="AA27" s="23" t="str">
        <f>IFERROR(IF(_xlfn.MAXIFS(tblBodega[Fecha],tblBodega[Codigo],tblMaestroEquipos[[#This Row],[Codigo]])=0,"",_xlfn.MAXIFS(tblBodega[Fecha],tblBodega[Codigo],tblMaestroEquipos[[#This Row],[Codigo]])),"")</f>
        <v/>
      </c>
      <c r="AB27"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7"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7" s="16" t="str">
        <f>IF(tblMaestroEquipos[[#This Row],[Fecha Salida Bodega]]="","SIN SALIDA BODEGA",IF(OR(tblMaestroEquipos[[#This Row],[Ultima Fecha PM]]="",tblMaestroEquipos[[#This Row],[Ultima Fecha PM]]&lt;tblMaestroEquipos[[#This Row],[Fecha Salida Bodega]]),"PENDIENTE","CERRADO"))</f>
        <v>SIN SALIDA BODEGA</v>
      </c>
      <c r="AE27" s="48" t="str">
        <f t="shared" si="2"/>
        <v>FUERA DE SERVICIO</v>
      </c>
      <c r="AF27" s="16" t="str">
        <f t="shared" si="3"/>
        <v>NO APLICA</v>
      </c>
      <c r="AG27" s="16" t="str">
        <f t="shared" si="4"/>
        <v>No programar compra</v>
      </c>
      <c r="AH27">
        <f t="shared" si="5"/>
        <v>0</v>
      </c>
      <c r="AI27" t="str">
        <f t="shared" si="6"/>
        <v/>
      </c>
      <c r="AJ27" s="22">
        <f t="shared" si="7"/>
        <v>99</v>
      </c>
    </row>
    <row r="28" spans="1:36">
      <c r="A28" s="16" t="s">
        <v>96</v>
      </c>
      <c r="B28" s="16" t="s">
        <v>97</v>
      </c>
      <c r="C28" s="16" t="s">
        <v>1378</v>
      </c>
      <c r="D28" s="16" t="s">
        <v>98</v>
      </c>
      <c r="E28" s="17" t="s">
        <v>99</v>
      </c>
      <c r="F28" s="16">
        <v>2023</v>
      </c>
      <c r="G28" s="17" t="str">
        <f>IFERROR(_xlfn.XLOOKUP($A28,tblEquipos[Codigo],tblEquipos[Ubicacion],""),"")</f>
        <v>Taller</v>
      </c>
      <c r="H28" s="16" t="s">
        <v>100</v>
      </c>
      <c r="I28" s="16" t="str">
        <f>IFERROR(VLOOKUP(A28, Equipos!A:J, 9, FALSE), "")</f>
        <v>HORAS</v>
      </c>
      <c r="J28" s="16">
        <f>IFERROR(VLOOKUP(A28, Equipos!A:J, 10, FALSE), "")</f>
        <v>250</v>
      </c>
      <c r="K28" s="16">
        <f>IFERROR(IF($I28="KM",ROUND((_xlfn.MAXIFS(tblLecturas[Kilometraje],tblLecturas[Codigo],$A28)-_xlfn.MINIFS(tblLecturas[Kilometraje],tblLecturas[Codigo],$A28))/(MAX(1,_xlfn.MAXIFS(tblLecturas[Fecha],tblLecturas[Codigo],$A28)-_xlfn.MINIFS(tblLecturas[Fecha],tblLecturas[Codigo],$A28))),1),ROUND((_xlfn.MAXIFS(tblLecturas[Horometro],tblLecturas[Codigo],$A28)-_xlfn.MINIFS(tblLecturas[Horometro],tblLecturas[Codigo],$A28))/(MAX(1,_xlfn.MAXIFS(tblLecturas[Fecha],tblLecturas[Codigo],$A28)-_xlfn.MINIFS(tblLecturas[Fecha],tblLecturas[Codigo],$A28))),1)),"")</f>
        <v>0</v>
      </c>
      <c r="L28" s="18">
        <f>IFERROR(_xlfn.MAXIFS(tblLecturas[Fecha],tblLecturas[Codigo],$A28),"")</f>
        <v>46100</v>
      </c>
      <c r="M28" s="24">
        <f>IFERROR(_xlfn.MAXIFS(Lecturas!$C:$C,Lecturas!$B:$B,$A28,Lecturas!$C:$C,"&gt;0"),"")</f>
        <v>1471</v>
      </c>
      <c r="N28" s="24">
        <f>IFERROR(_xlfn.MAXIFS(tblLecturas[Kilometraje],tblLecturas[Codigo],$A28,tblLecturas[Kilometraje],"&gt;0"),"")</f>
        <v>79301</v>
      </c>
      <c r="O28" s="24" cm="1">
        <f t="array" ref="O28">IFERROR(IF($I28="KM",LOOKUP(2,1/(Lecturas!$B:$B=$A28)/(Lecturas!$D:$D&gt;0),Lecturas!$D:$D),LOOKUP(2,1/(Lecturas!$B:$B=$A28)/(Lecturas!$C:$C&gt;0),Lecturas!$C:$C)),"")</f>
        <v>1471</v>
      </c>
      <c r="P28" s="18">
        <f>IFERROR(_xlfn.MAXIFS(tblMantenciones[Fecha],tblMantenciones[Codigo],tblMaestroEquipos[[#This Row],[Codigo]],tblMantenciones[EsPM],"Sí"),"")</f>
        <v>0</v>
      </c>
      <c r="Q28" s="70" t="str">
        <f>IF(_xlfn.MAXIFS(Mantenciones!$D:$D,Mantenciones!$B:$B,A28)=0,"Sin datos de mantención registrado",_xlfn.MAXIFS(Mantenciones!$D:$D,Mantenciones!$B:$B,A28))</f>
        <v>Sin datos de mantención registrado</v>
      </c>
      <c r="R28" s="16" t="str">
        <f>IFERROR(IF(_xlfn.MAXIFS(Mantenciones!$D:$D,Mantenciones!$B:$B,$A28,Mantenciones!$E:$E,"Sí",Mantenciones!$D:$D,"&gt;0")=0,"Sin datos de mantención registrado",_xlfn.MAXIFS(Mantenciones!$D:$D,Mantenciones!$B:$B,$A28,Mantenciones!$E:$E,"Sí",Mantenciones!$D:$D,"&gt;0")),"Sin datos de mantención registrado")</f>
        <v>Sin datos de mantención registrado</v>
      </c>
      <c r="S28" s="19">
        <f>IFERROR(SUMIFS(tblMantenciones[Costo Mantencion CLP],tblMantenciones[Codigo],A28),0)</f>
        <v>0</v>
      </c>
      <c r="T28" s="19">
        <f>IFERROR(SUMIFS(tblComprasPM[Costo PM CLP],tblComprasPM[Codigo],tblMaestroEquipos[[#This Row],[Codigo]]),0)</f>
        <v>134066.59</v>
      </c>
      <c r="U28" s="19">
        <f>IFERROR(tblMaestroEquipos[[#This Row],[Costo Mantenciones CLP]]+tblMaestroEquipos[[#This Row],[Costo Compras PM CLP]],0)</f>
        <v>134066.59</v>
      </c>
      <c r="V28" s="16" t="str">
        <f>IFERROR(_xlfn.XLOOKUP(tblMaestroEquipos[[#This Row],[Codigo]],tblEquipos[Codigo],tblEquipos[Estado Base]),"")</f>
        <v>Operativo</v>
      </c>
      <c r="W28" s="16" t="str">
        <f t="shared" si="0"/>
        <v>POR RECIBIR</v>
      </c>
      <c r="X28" s="16" t="str">
        <f t="shared" si="1"/>
        <v/>
      </c>
      <c r="Y28"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8" s="23">
        <f>IFERROR(IF(_xlfn.MINIFS(tblComprasPM[Fecha],tblComprasPM[Codigo],tblMaestroEquipos[[#This Row],[Codigo]])=0,"",_xlfn.MINIFS(tblComprasPM[Fecha],tblComprasPM[Codigo],tblMaestroEquipos[[#This Row],[Codigo]])),"")</f>
        <v>46178</v>
      </c>
      <c r="AA28" s="23">
        <f>IFERROR(IF(_xlfn.MAXIFS(tblBodega[Fecha],tblBodega[Codigo],tblMaestroEquipos[[#This Row],[Codigo]])=0,"",_xlfn.MAXIFS(tblBodega[Fecha],tblBodega[Codigo],tblMaestroEquipos[[#This Row],[Codigo]])),"")</f>
        <v>46080</v>
      </c>
      <c r="AB28"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62</v>
      </c>
      <c r="AC28"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160</v>
      </c>
      <c r="AD28" s="16" t="str">
        <f>IF(tblMaestroEquipos[[#This Row],[Fecha Salida Bodega]]="","SIN SALIDA BODEGA",IF(OR(tblMaestroEquipos[[#This Row],[Ultima Fecha PM]]="",tblMaestroEquipos[[#This Row],[Ultima Fecha PM]]&lt;tblMaestroEquipos[[#This Row],[Fecha Salida Bodega]]),"PENDIENTE","CERRADO"))</f>
        <v>PENDIENTE</v>
      </c>
      <c r="AE28" s="48" t="str">
        <f t="shared" si="2"/>
        <v>OPERATIVO</v>
      </c>
      <c r="AF28" s="16" t="str">
        <f t="shared" si="3"/>
        <v>BAJA</v>
      </c>
      <c r="AG28" s="16" t="str">
        <f t="shared" si="4"/>
        <v>Monitorear próximo vencimiento</v>
      </c>
      <c r="AH28">
        <f t="shared" si="5"/>
        <v>0</v>
      </c>
      <c r="AI28" t="str">
        <f t="shared" si="6"/>
        <v/>
      </c>
      <c r="AJ28" s="22">
        <f t="shared" si="7"/>
        <v>3</v>
      </c>
    </row>
    <row r="29" spans="1:36">
      <c r="A29" s="16" t="s">
        <v>101</v>
      </c>
      <c r="B29" s="16" t="s">
        <v>97</v>
      </c>
      <c r="C29" s="16" t="s">
        <v>1378</v>
      </c>
      <c r="D29" s="16" t="s">
        <v>98</v>
      </c>
      <c r="E29" s="17" t="s">
        <v>99</v>
      </c>
      <c r="F29" s="16">
        <v>2023</v>
      </c>
      <c r="G29" s="17" t="str">
        <f>IFERROR(_xlfn.XLOOKUP($A29,tblEquipos[Codigo],tblEquipos[Ubicacion],""),"")</f>
        <v>Taller (Kauffman)</v>
      </c>
      <c r="H29" s="16" t="s">
        <v>103</v>
      </c>
      <c r="I29" s="16" t="str">
        <f>IFERROR(VLOOKUP(A29, Equipos!A:J, 9, FALSE), "")</f>
        <v>HORAS</v>
      </c>
      <c r="J29" s="16">
        <f>IFERROR(VLOOKUP(A29, Equipos!A:J, 10, FALSE), "")</f>
        <v>250</v>
      </c>
      <c r="K29" s="16">
        <f>IFERROR(IF($I29="KM",ROUND((_xlfn.MAXIFS(tblLecturas[Kilometraje],tblLecturas[Codigo],$A29)-_xlfn.MINIFS(tblLecturas[Kilometraje],tblLecturas[Codigo],$A29))/(MAX(1,_xlfn.MAXIFS(tblLecturas[Fecha],tblLecturas[Codigo],$A29)-_xlfn.MINIFS(tblLecturas[Fecha],tblLecturas[Codigo],$A29))),1),ROUND((_xlfn.MAXIFS(tblLecturas[Horometro],tblLecturas[Codigo],$A29)-_xlfn.MINIFS(tblLecturas[Horometro],tblLecturas[Codigo],$A29))/(MAX(1,_xlfn.MAXIFS(tblLecturas[Fecha],tblLecturas[Codigo],$A29)-_xlfn.MINIFS(tblLecturas[Fecha],tblLecturas[Codigo],$A29))),1)),"")</f>
        <v>0</v>
      </c>
      <c r="L29" s="18">
        <f>IFERROR(_xlfn.MAXIFS(tblLecturas[Fecha],tblLecturas[Codigo],$A29),"")</f>
        <v>46199</v>
      </c>
      <c r="M29" s="24">
        <f>IFERROR(_xlfn.MAXIFS(Lecturas!$C:$C,Lecturas!$B:$B,$A29,Lecturas!$C:$C,"&gt;0"),"")</f>
        <v>0</v>
      </c>
      <c r="N29" s="24">
        <f>IFERROR(_xlfn.MAXIFS(tblLecturas[Kilometraje],tblLecturas[Codigo],$A29,tblLecturas[Kilometraje],"&gt;0"),"")</f>
        <v>52959</v>
      </c>
      <c r="O29" s="24" t="str" cm="1">
        <f t="array" ref="O29">IFERROR(IF($I29="KM",LOOKUP(2,1/(Lecturas!$B:$B=$A29)/(Lecturas!$D:$D&gt;0),Lecturas!$D:$D),LOOKUP(2,1/(Lecturas!$B:$B=$A29)/(Lecturas!$C:$C&gt;0),Lecturas!$C:$C)),"")</f>
        <v/>
      </c>
      <c r="P29" s="18">
        <f>IFERROR(_xlfn.MAXIFS(tblMantenciones[Fecha],tblMantenciones[Codigo],tblMaestroEquipos[[#This Row],[Codigo]],tblMantenciones[EsPM],"Sí"),"")</f>
        <v>46183</v>
      </c>
      <c r="Q29" s="70">
        <f>IF(_xlfn.MAXIFS(Mantenciones!$D:$D,Mantenciones!$B:$B,A29)=0,"Sin datos de mantención registrado",_xlfn.MAXIFS(Mantenciones!$D:$D,Mantenciones!$B:$B,A29))</f>
        <v>57380</v>
      </c>
      <c r="R29" s="16">
        <f>IFERROR(IF(_xlfn.MAXIFS(Mantenciones!$D:$D,Mantenciones!$B:$B,$A29,Mantenciones!$E:$E,"Sí",Mantenciones!$D:$D,"&gt;0")=0,"Sin datos de mantención registrado",_xlfn.MAXIFS(Mantenciones!$D:$D,Mantenciones!$B:$B,$A29,Mantenciones!$E:$E,"Sí",Mantenciones!$D:$D,"&gt;0")),"Sin datos de mantención registrado")</f>
        <v>57380</v>
      </c>
      <c r="S29" s="19">
        <f>IFERROR(SUMIFS(tblMantenciones[Costo Mantencion CLP],tblMantenciones[Codigo],A29),0)</f>
        <v>0</v>
      </c>
      <c r="T29" s="19">
        <f>IFERROR(SUMIFS(tblComprasPM[Costo PM CLP],tblComprasPM[Codigo],tblMaestroEquipos[[#This Row],[Codigo]]),0)</f>
        <v>268133.18</v>
      </c>
      <c r="U29" s="19">
        <f>IFERROR(tblMaestroEquipos[[#This Row],[Costo Mantenciones CLP]]+tblMaestroEquipos[[#This Row],[Costo Compras PM CLP]],0)</f>
        <v>268133.18</v>
      </c>
      <c r="V29" s="16" t="str">
        <f>IFERROR(_xlfn.XLOOKUP(tblMaestroEquipos[[#This Row],[Codigo]],tblEquipos[Codigo],tblEquipos[Estado Base]),"")</f>
        <v>Operativo</v>
      </c>
      <c r="W29" s="16" t="str">
        <f t="shared" si="0"/>
        <v>EN PROCESO</v>
      </c>
      <c r="X29" s="16" t="str">
        <f t="shared" si="1"/>
        <v/>
      </c>
      <c r="Y29"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9" s="23">
        <f>IFERROR(IF(_xlfn.MINIFS(tblComprasPM[Fecha],tblComprasPM[Codigo],tblMaestroEquipos[[#This Row],[Codigo]])=0,"",_xlfn.MINIFS(tblComprasPM[Fecha],tblComprasPM[Codigo],tblMaestroEquipos[[#This Row],[Codigo]])),"")</f>
        <v>46167</v>
      </c>
      <c r="AA29" s="23" t="str">
        <f>IFERROR(IF(_xlfn.MAXIFS(tblBodega[Fecha],tblBodega[Codigo],tblMaestroEquipos[[#This Row],[Codigo]])=0,"",_xlfn.MAXIFS(tblBodega[Fecha],tblBodega[Codigo],tblMaestroEquipos[[#This Row],[Codigo]])),"")</f>
        <v/>
      </c>
      <c r="AB2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16</v>
      </c>
      <c r="AC29"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9" s="16" t="str">
        <f>IF(tblMaestroEquipos[[#This Row],[Fecha Salida Bodega]]="","SIN SALIDA BODEGA",IF(OR(tblMaestroEquipos[[#This Row],[Ultima Fecha PM]]="",tblMaestroEquipos[[#This Row],[Ultima Fecha PM]]&lt;tblMaestroEquipos[[#This Row],[Fecha Salida Bodega]]),"PENDIENTE","CERRADO"))</f>
        <v>SIN SALIDA BODEGA</v>
      </c>
      <c r="AE29" s="48" t="str">
        <f t="shared" si="2"/>
        <v>EN PROCESO</v>
      </c>
      <c r="AF29" s="16" t="str">
        <f t="shared" si="3"/>
        <v>SEGUIMIENTO</v>
      </c>
      <c r="AG29" s="16" t="str">
        <f t="shared" si="4"/>
        <v>Hacer seguimiento al taller y cerrar report</v>
      </c>
      <c r="AH29">
        <f t="shared" si="5"/>
        <v>0</v>
      </c>
      <c r="AI29" t="str">
        <f t="shared" si="6"/>
        <v/>
      </c>
      <c r="AJ29" s="22">
        <f t="shared" si="7"/>
        <v>2</v>
      </c>
    </row>
    <row r="30" spans="1:36">
      <c r="A30" s="16" t="s">
        <v>104</v>
      </c>
      <c r="B30" s="16" t="s">
        <v>105</v>
      </c>
      <c r="C30" s="16" t="s">
        <v>1378</v>
      </c>
      <c r="D30" s="16" t="s">
        <v>40</v>
      </c>
      <c r="E30" s="17">
        <v>4300</v>
      </c>
      <c r="F30" s="16">
        <v>2012</v>
      </c>
      <c r="G30" s="17" t="str">
        <f>IFERROR(_xlfn.XLOOKUP($A30,tblEquipos[Codigo],tblEquipos[Ubicacion],""),"")</f>
        <v>Taller</v>
      </c>
      <c r="H30" s="16" t="s">
        <v>56</v>
      </c>
      <c r="I30" s="16" t="str">
        <f>IFERROR(VLOOKUP(A30, Equipos!A:J, 9, FALSE), "")</f>
        <v>HORAS</v>
      </c>
      <c r="J30" s="16">
        <f>IFERROR(VLOOKUP(A30, Equipos!A:J, 10, FALSE), "")</f>
        <v>250</v>
      </c>
      <c r="K30" s="16">
        <f>IFERROR(IF($I30="KM",ROUND((_xlfn.MAXIFS(tblLecturas[Kilometraje],tblLecturas[Codigo],$A30)-_xlfn.MINIFS(tblLecturas[Kilometraje],tblLecturas[Codigo],$A30))/(MAX(1,_xlfn.MAXIFS(tblLecturas[Fecha],tblLecturas[Codigo],$A30)-_xlfn.MINIFS(tblLecturas[Fecha],tblLecturas[Codigo],$A30))),1),ROUND((_xlfn.MAXIFS(tblLecturas[Horometro],tblLecturas[Codigo],$A30)-_xlfn.MINIFS(tblLecturas[Horometro],tblLecturas[Codigo],$A30))/(MAX(1,_xlfn.MAXIFS(tblLecturas[Fecha],tblLecturas[Codigo],$A30)-_xlfn.MINIFS(tblLecturas[Fecha],tblLecturas[Codigo],$A30))),1)),"")</f>
        <v>0</v>
      </c>
      <c r="L30" s="18">
        <f>IFERROR(_xlfn.MAXIFS(tblLecturas[Fecha],tblLecturas[Codigo],$A30),"")</f>
        <v>46155</v>
      </c>
      <c r="M30" s="24">
        <f>IFERROR(_xlfn.MAXIFS(Lecturas!$C:$C,Lecturas!$B:$B,$A30,Lecturas!$C:$C,"&gt;0"),"")</f>
        <v>0</v>
      </c>
      <c r="N30" s="24">
        <f>IFERROR(_xlfn.MAXIFS(tblLecturas[Kilometraje],tblLecturas[Codigo],$A30,tblLecturas[Kilometraje],"&gt;0"),"")</f>
        <v>131718</v>
      </c>
      <c r="O30" s="24" t="str" cm="1">
        <f t="array" ref="O30">IFERROR(IF($I30="KM",LOOKUP(2,1/(Lecturas!$B:$B=$A30)/(Lecturas!$D:$D&gt;0),Lecturas!$D:$D),LOOKUP(2,1/(Lecturas!$B:$B=$A30)/(Lecturas!$C:$C&gt;0),Lecturas!$C:$C)),"")</f>
        <v/>
      </c>
      <c r="P30" s="18">
        <f>IFERROR(_xlfn.MAXIFS(tblMantenciones[Fecha],tblMantenciones[Codigo],tblMaestroEquipos[[#This Row],[Codigo]],tblMantenciones[EsPM],"Sí"),"")</f>
        <v>46218</v>
      </c>
      <c r="Q30" s="70">
        <f>IF(_xlfn.MAXIFS(Mantenciones!$D:$D,Mantenciones!$B:$B,A30)=0,"Sin datos de mantención registrado",_xlfn.MAXIFS(Mantenciones!$D:$D,Mantenciones!$B:$B,A30))</f>
        <v>141910</v>
      </c>
      <c r="R30" s="16">
        <f>IFERROR(IF(_xlfn.MAXIFS(Mantenciones!$D:$D,Mantenciones!$B:$B,$A30,Mantenciones!$E:$E,"Sí",Mantenciones!$D:$D,"&gt;0")=0,"Sin datos de mantención registrado",_xlfn.MAXIFS(Mantenciones!$D:$D,Mantenciones!$B:$B,$A30,Mantenciones!$E:$E,"Sí",Mantenciones!$D:$D,"&gt;0")),"Sin datos de mantención registrado")</f>
        <v>141910</v>
      </c>
      <c r="S30" s="19">
        <f>IFERROR(SUMIFS(tblMantenciones[Costo Mantencion CLP],tblMantenciones[Codigo],A30),0)</f>
        <v>0</v>
      </c>
      <c r="T30" s="19">
        <f>IFERROR(SUMIFS(tblComprasPM[Costo PM CLP],tblComprasPM[Codigo],tblMaestroEquipos[[#This Row],[Codigo]]),0)</f>
        <v>222792.99</v>
      </c>
      <c r="U30" s="19">
        <f>IFERROR(tblMaestroEquipos[[#This Row],[Costo Mantenciones CLP]]+tblMaestroEquipos[[#This Row],[Costo Compras PM CLP]],0)</f>
        <v>222792.99</v>
      </c>
      <c r="V30" s="16" t="str">
        <f>IFERROR(_xlfn.XLOOKUP(tblMaestroEquipos[[#This Row],[Codigo]],tblEquipos[Codigo],tblEquipos[Estado Base]),"")</f>
        <v>Operativo</v>
      </c>
      <c r="W30" s="16" t="str">
        <f t="shared" si="0"/>
        <v>AL DÍA</v>
      </c>
      <c r="X30" s="16" t="str">
        <f t="shared" si="1"/>
        <v/>
      </c>
      <c r="Y30" s="23" t="str">
        <f ca="1">IFERROR(IF($X30="","",TODAY()+$X30),"")</f>
        <v/>
      </c>
      <c r="Z30" s="23">
        <f>IFERROR(IF(_xlfn.MINIFS(tblComprasPM[Fecha],tblComprasPM[Codigo],tblMaestroEquipos[[#This Row],[Codigo]])=0,"",_xlfn.MINIFS(tblComprasPM[Fecha],tblComprasPM[Codigo],tblMaestroEquipos[[#This Row],[Codigo]])),"")</f>
        <v>46086.705769826403</v>
      </c>
      <c r="AA30" s="23">
        <f>IFERROR(IF(_xlfn.MAXIFS(tblBodega[Fecha],tblBodega[Codigo],tblMaestroEquipos[[#This Row],[Codigo]])=0,"",_xlfn.MAXIFS(tblBodega[Fecha],tblBodega[Codigo],tblMaestroEquipos[[#This Row],[Codigo]])),"")</f>
        <v>46129</v>
      </c>
      <c r="AB3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132</v>
      </c>
      <c r="AC30"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89</v>
      </c>
      <c r="AD30" s="16" t="str">
        <f>IF(tblMaestroEquipos[[#This Row],[Fecha Salida Bodega]]="","SIN SALIDA BODEGA",IF(OR(tblMaestroEquipos[[#This Row],[Ultima Fecha PM]]="",tblMaestroEquipos[[#This Row],[Ultima Fecha PM]]&lt;tblMaestroEquipos[[#This Row],[Fecha Salida Bodega]]),"PENDIENTE","CERRADO"))</f>
        <v>CERRADO</v>
      </c>
      <c r="AE30" s="48" t="str">
        <f t="shared" si="2"/>
        <v>OPERATIVO</v>
      </c>
      <c r="AF30" s="16" t="str">
        <f t="shared" si="3"/>
        <v>BAJA</v>
      </c>
      <c r="AG30" s="16" t="str">
        <f t="shared" si="4"/>
        <v>Monitorear próximo vencimiento</v>
      </c>
      <c r="AH30">
        <f t="shared" si="5"/>
        <v>0</v>
      </c>
      <c r="AI30" t="str">
        <f t="shared" ca="1" si="6"/>
        <v/>
      </c>
      <c r="AJ30" s="22">
        <f t="shared" si="7"/>
        <v>99</v>
      </c>
    </row>
    <row r="31" spans="1:36">
      <c r="A31" s="16" t="s">
        <v>107</v>
      </c>
      <c r="B31" s="16" t="s">
        <v>108</v>
      </c>
      <c r="C31" s="16" t="s">
        <v>1378</v>
      </c>
      <c r="D31" s="16" t="s">
        <v>109</v>
      </c>
      <c r="E31" s="17" t="s">
        <v>110</v>
      </c>
      <c r="F31" s="16">
        <v>2012</v>
      </c>
      <c r="G31" s="17" t="str">
        <f>IFERROR(_xlfn.XLOOKUP($A31,tblEquipos[Codigo],tblEquipos[Ubicacion],""),"")</f>
        <v>Palmucho</v>
      </c>
      <c r="H31" s="16" t="s">
        <v>56</v>
      </c>
      <c r="I31" s="16" t="str">
        <f>IFERROR(VLOOKUP(A31, Equipos!A:J, 9, FALSE), "")</f>
        <v>HORAS</v>
      </c>
      <c r="J31" s="16">
        <f>IFERROR(VLOOKUP(A31, Equipos!A:J, 10, FALSE), "")</f>
        <v>250</v>
      </c>
      <c r="K31" s="16">
        <f>IFERROR(IF($I31="KM",ROUND((_xlfn.MAXIFS(tblLecturas[Kilometraje],tblLecturas[Codigo],$A31)-_xlfn.MINIFS(tblLecturas[Kilometraje],tblLecturas[Codigo],$A31))/(MAX(1,_xlfn.MAXIFS(tblLecturas[Fecha],tblLecturas[Codigo],$A31)-_xlfn.MINIFS(tblLecturas[Fecha],tblLecturas[Codigo],$A31))),1),ROUND((_xlfn.MAXIFS(tblLecturas[Horometro],tblLecturas[Codigo],$A31)-_xlfn.MINIFS(tblLecturas[Horometro],tblLecturas[Codigo],$A31))/(MAX(1,_xlfn.MAXIFS(tblLecturas[Fecha],tblLecturas[Codigo],$A31)-_xlfn.MINIFS(tblLecturas[Fecha],tblLecturas[Codigo],$A31))),1)),"")</f>
        <v>0</v>
      </c>
      <c r="L31" s="18">
        <f>IFERROR(_xlfn.MAXIFS(tblLecturas[Fecha],tblLecturas[Codigo],$A31),"")</f>
        <v>46148</v>
      </c>
      <c r="M31" s="24">
        <f>IFERROR(_xlfn.MAXIFS(Lecturas!$C:$C,Lecturas!$B:$B,$A31,Lecturas!$C:$C,"&gt;0"),"")</f>
        <v>0</v>
      </c>
      <c r="N31" s="24">
        <f>IFERROR(_xlfn.MAXIFS(tblLecturas[Kilometraje],tblLecturas[Codigo],$A31,tblLecturas[Kilometraje],"&gt;0"),"")</f>
        <v>141889</v>
      </c>
      <c r="O31" s="24" t="str" cm="1">
        <f t="array" ref="O31">IFERROR(IF($I31="KM",LOOKUP(2,1/(Lecturas!$B:$B=$A31)/(Lecturas!$D:$D&gt;0),Lecturas!$D:$D),LOOKUP(2,1/(Lecturas!$B:$B=$A31)/(Lecturas!$C:$C&gt;0),Lecturas!$C:$C)),"")</f>
        <v/>
      </c>
      <c r="P31" s="18">
        <f>IFERROR(_xlfn.MAXIFS(tblMantenciones[Fecha],tblMantenciones[Codigo],tblMaestroEquipos[[#This Row],[Codigo]],tblMantenciones[EsPM],"Sí"),"")</f>
        <v>0</v>
      </c>
      <c r="Q31" s="70" t="str">
        <f>IF(_xlfn.MAXIFS(Mantenciones!$D:$D,Mantenciones!$B:$B,A31)=0,"Sin datos de mantención registrado",_xlfn.MAXIFS(Mantenciones!$D:$D,Mantenciones!$B:$B,A31))</f>
        <v>Sin datos de mantención registrado</v>
      </c>
      <c r="R31" s="16" t="str">
        <f>IFERROR(IF(_xlfn.MAXIFS(Mantenciones!$D:$D,Mantenciones!$B:$B,$A31,Mantenciones!$E:$E,"Sí",Mantenciones!$D:$D,"&gt;0")=0,"Sin datos de mantención registrado",_xlfn.MAXIFS(Mantenciones!$D:$D,Mantenciones!$B:$B,$A31,Mantenciones!$E:$E,"Sí",Mantenciones!$D:$D,"&gt;0")),"Sin datos de mantención registrado")</f>
        <v>Sin datos de mantención registrado</v>
      </c>
      <c r="S31" s="19">
        <f>IFERROR(SUMIFS(tblMantenciones[Costo Mantencion CLP],tblMantenciones[Codigo],A31),0)</f>
        <v>0</v>
      </c>
      <c r="T31" s="19">
        <f>IFERROR(SUMIFS(tblComprasPM[Costo PM CLP],tblComprasPM[Codigo],tblMaestroEquipos[[#This Row],[Codigo]]),0)</f>
        <v>183418.27</v>
      </c>
      <c r="U31" s="19">
        <f>IFERROR(tblMaestroEquipos[[#This Row],[Costo Mantenciones CLP]]+tblMaestroEquipos[[#This Row],[Costo Compras PM CLP]],0)</f>
        <v>183418.27</v>
      </c>
      <c r="V31" s="16" t="str">
        <f>IFERROR(_xlfn.XLOOKUP(tblMaestroEquipos[[#This Row],[Codigo]],tblEquipos[Codigo],tblEquipos[Estado Base]),"")</f>
        <v>Operativo</v>
      </c>
      <c r="W31" s="16" t="str">
        <f t="shared" si="0"/>
        <v>POR RECIBIR</v>
      </c>
      <c r="X31" s="16" t="str">
        <f t="shared" si="1"/>
        <v/>
      </c>
      <c r="Y31"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31" s="23">
        <f>IFERROR(IF(_xlfn.MINIFS(tblComprasPM[Fecha],tblComprasPM[Codigo],tblMaestroEquipos[[#This Row],[Codigo]])=0,"",_xlfn.MINIFS(tblComprasPM[Fecha],tblComprasPM[Codigo],tblMaestroEquipos[[#This Row],[Codigo]])),"")</f>
        <v>46146.415785219899</v>
      </c>
      <c r="AA31" s="23">
        <f>IFERROR(IF(_xlfn.MAXIFS(tblBodega[Fecha],tblBodega[Codigo],tblMaestroEquipos[[#This Row],[Codigo]])=0,"",_xlfn.MAXIFS(tblBodega[Fecha],tblBodega[Codigo],tblMaestroEquipos[[#This Row],[Codigo]])),"")</f>
        <v>46148</v>
      </c>
      <c r="AB3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94</v>
      </c>
      <c r="AC31"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92</v>
      </c>
      <c r="AD31" s="16" t="str">
        <f>IF(tblMaestroEquipos[[#This Row],[Fecha Salida Bodega]]="","SIN SALIDA BODEGA",IF(OR(tblMaestroEquipos[[#This Row],[Ultima Fecha PM]]="",tblMaestroEquipos[[#This Row],[Ultima Fecha PM]]&lt;tblMaestroEquipos[[#This Row],[Fecha Salida Bodega]]),"PENDIENTE","CERRADO"))</f>
        <v>PENDIENTE</v>
      </c>
      <c r="AE31" s="48" t="str">
        <f t="shared" si="2"/>
        <v>OPERATIVO</v>
      </c>
      <c r="AF31" s="16" t="str">
        <f t="shared" si="3"/>
        <v>BAJA</v>
      </c>
      <c r="AG31" s="16" t="str">
        <f t="shared" si="4"/>
        <v>Monitorear próximo vencimiento</v>
      </c>
      <c r="AH31">
        <f t="shared" si="5"/>
        <v>0</v>
      </c>
      <c r="AI31" t="str">
        <f t="shared" si="6"/>
        <v/>
      </c>
      <c r="AJ31" s="22">
        <f t="shared" si="7"/>
        <v>3</v>
      </c>
    </row>
    <row r="32" spans="1:36">
      <c r="A32" s="16" t="s">
        <v>112</v>
      </c>
      <c r="B32" s="16" t="s">
        <v>113</v>
      </c>
      <c r="C32" s="16" t="s">
        <v>1378</v>
      </c>
      <c r="D32" s="16" t="s">
        <v>109</v>
      </c>
      <c r="E32" s="17" t="s">
        <v>110</v>
      </c>
      <c r="F32" s="16">
        <v>2012</v>
      </c>
      <c r="G32" s="17" t="str">
        <f>IFERROR(_xlfn.XLOOKUP($A32,tblEquipos[Codigo],tblEquipos[Ubicacion],""),"")</f>
        <v>TALLER</v>
      </c>
      <c r="H32" s="16" t="s">
        <v>56</v>
      </c>
      <c r="I32" s="16" t="str">
        <f>IFERROR(VLOOKUP(A32, Equipos!A:J, 9, FALSE), "")</f>
        <v>HORAS</v>
      </c>
      <c r="J32" s="16">
        <f>IFERROR(VLOOKUP(A32, Equipos!A:J, 10, FALSE), "")</f>
        <v>250</v>
      </c>
      <c r="K32" s="16">
        <f>IFERROR(IF($I32="KM",ROUND((_xlfn.MAXIFS(tblLecturas[Kilometraje],tblLecturas[Codigo],$A32)-_xlfn.MINIFS(tblLecturas[Kilometraje],tblLecturas[Codigo],$A32))/(MAX(1,_xlfn.MAXIFS(tblLecturas[Fecha],tblLecturas[Codigo],$A32)-_xlfn.MINIFS(tblLecturas[Fecha],tblLecturas[Codigo],$A32))),1),ROUND((_xlfn.MAXIFS(tblLecturas[Horometro],tblLecturas[Codigo],$A32)-_xlfn.MINIFS(tblLecturas[Horometro],tblLecturas[Codigo],$A32))/(MAX(1,_xlfn.MAXIFS(tblLecturas[Fecha],tblLecturas[Codigo],$A32)-_xlfn.MINIFS(tblLecturas[Fecha],tblLecturas[Codigo],$A32))),1)),"")</f>
        <v>0</v>
      </c>
      <c r="L32" s="18">
        <f>IFERROR(_xlfn.MAXIFS(tblLecturas[Fecha],tblLecturas[Codigo],$A32),"")</f>
        <v>0</v>
      </c>
      <c r="M32" s="24">
        <f>IFERROR(_xlfn.MAXIFS(Lecturas!$C:$C,Lecturas!$B:$B,$A32,Lecturas!$C:$C,"&gt;0"),"")</f>
        <v>0</v>
      </c>
      <c r="N32" s="24">
        <f>IFERROR(_xlfn.MAXIFS(tblLecturas[Kilometraje],tblLecturas[Codigo],$A32,tblLecturas[Kilometraje],"&gt;0"),"")</f>
        <v>0</v>
      </c>
      <c r="O32" s="24" t="str" cm="1">
        <f t="array" ref="O32">IFERROR(IF($I32="KM",LOOKUP(2,1/(Lecturas!$B:$B=$A32)/(Lecturas!$D:$D&gt;0),Lecturas!$D:$D),LOOKUP(2,1/(Lecturas!$B:$B=$A32)/(Lecturas!$C:$C&gt;0),Lecturas!$C:$C)),"")</f>
        <v/>
      </c>
      <c r="P32" s="18">
        <f>IFERROR(_xlfn.MAXIFS(tblMantenciones[Fecha],tblMantenciones[Codigo],tblMaestroEquipos[[#This Row],[Codigo]],tblMantenciones[EsPM],"Sí"),"")</f>
        <v>0</v>
      </c>
      <c r="Q32" s="70" t="str">
        <f>IF(_xlfn.MAXIFS(Mantenciones!$D:$D,Mantenciones!$B:$B,A32)=0,"Sin datos de mantención registrado",_xlfn.MAXIFS(Mantenciones!$D:$D,Mantenciones!$B:$B,A32))</f>
        <v>Sin datos de mantención registrado</v>
      </c>
      <c r="R32" s="16" t="str">
        <f>IFERROR(IF(_xlfn.MAXIFS(Mantenciones!$D:$D,Mantenciones!$B:$B,$A32,Mantenciones!$E:$E,"Sí",Mantenciones!$D:$D,"&gt;0")=0,"Sin datos de mantención registrado",_xlfn.MAXIFS(Mantenciones!$D:$D,Mantenciones!$B:$B,$A32,Mantenciones!$E:$E,"Sí",Mantenciones!$D:$D,"&gt;0")),"Sin datos de mantención registrado")</f>
        <v>Sin datos de mantención registrado</v>
      </c>
      <c r="S32" s="19">
        <f>IFERROR(SUMIFS(tblMantenciones[Costo Mantencion CLP],tblMantenciones[Codigo],A32),0)</f>
        <v>0</v>
      </c>
      <c r="T32" s="19">
        <f>IFERROR(SUMIFS(tblComprasPM[Costo PM CLP],tblComprasPM[Codigo],tblMaestroEquipos[[#This Row],[Codigo]]),0)</f>
        <v>0</v>
      </c>
      <c r="U32" s="19">
        <f>IFERROR(tblMaestroEquipos[[#This Row],[Costo Mantenciones CLP]]+tblMaestroEquipos[[#This Row],[Costo Compras PM CLP]],0)</f>
        <v>0</v>
      </c>
      <c r="V32" s="16" t="str">
        <f>IFERROR(_xlfn.XLOOKUP(tblMaestroEquipos[[#This Row],[Codigo]],tblEquipos[Codigo],tblEquipos[Estado Base]),"")</f>
        <v>Fuera de Servicio</v>
      </c>
      <c r="W32" s="16" t="str">
        <f t="shared" si="0"/>
        <v>FUERA DE SERVICIO</v>
      </c>
      <c r="X32" s="16" t="str">
        <f t="shared" si="1"/>
        <v/>
      </c>
      <c r="Y32"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32" s="23" t="str">
        <f>IFERROR(IF(_xlfn.MINIFS(tblComprasPM[Fecha],tblComprasPM[Codigo],tblMaestroEquipos[[#This Row],[Codigo]])=0,"",_xlfn.MINIFS(tblComprasPM[Fecha],tblComprasPM[Codigo],tblMaestroEquipos[[#This Row],[Codigo]])),"")</f>
        <v/>
      </c>
      <c r="AA32" s="23" t="str">
        <f>IFERROR(IF(_xlfn.MAXIFS(tblBodega[Fecha],tblBodega[Codigo],tblMaestroEquipos[[#This Row],[Codigo]])=0,"",_xlfn.MAXIFS(tblBodega[Fecha],tblBodega[Codigo],tblMaestroEquipos[[#This Row],[Codigo]])),"")</f>
        <v/>
      </c>
      <c r="AB32"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3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32" s="16" t="str">
        <f>IF(tblMaestroEquipos[[#This Row],[Fecha Salida Bodega]]="","SIN SALIDA BODEGA",IF(OR(tblMaestroEquipos[[#This Row],[Ultima Fecha PM]]="",tblMaestroEquipos[[#This Row],[Ultima Fecha PM]]&lt;tblMaestroEquipos[[#This Row],[Fecha Salida Bodega]]),"PENDIENTE","CERRADO"))</f>
        <v>SIN SALIDA BODEGA</v>
      </c>
      <c r="AE32" s="48" t="str">
        <f t="shared" si="2"/>
        <v>FUERA DE SERVICIO</v>
      </c>
      <c r="AF32" s="16" t="str">
        <f t="shared" si="3"/>
        <v>NO APLICA</v>
      </c>
      <c r="AG32" s="16" t="str">
        <f t="shared" si="4"/>
        <v>No programar compra</v>
      </c>
      <c r="AH32" s="25">
        <f t="shared" si="5"/>
        <v>0</v>
      </c>
      <c r="AI32" s="25" t="str">
        <f t="shared" si="6"/>
        <v/>
      </c>
      <c r="AJ32" s="22">
        <f t="shared" si="7"/>
        <v>99</v>
      </c>
    </row>
    <row r="33" spans="1:36">
      <c r="A33" s="16" t="s">
        <v>114</v>
      </c>
      <c r="B33" s="16" t="s">
        <v>20</v>
      </c>
      <c r="C33" s="16" t="s">
        <v>1378</v>
      </c>
      <c r="D33" s="16" t="s">
        <v>115</v>
      </c>
      <c r="E33" s="17" t="s">
        <v>116</v>
      </c>
      <c r="F33" s="16">
        <v>2021</v>
      </c>
      <c r="G33" s="17" t="str">
        <f>IFERROR(_xlfn.XLOOKUP($A33,tblEquipos[Codigo],tblEquipos[Ubicacion],""),"")</f>
        <v>Taller</v>
      </c>
      <c r="H33" s="16" t="s">
        <v>56</v>
      </c>
      <c r="I33" s="16" t="str">
        <f>IFERROR(VLOOKUP(A33, Equipos!A:J, 9, FALSE), "")</f>
        <v>HORAS</v>
      </c>
      <c r="J33" s="16">
        <f>IFERROR(VLOOKUP(A33, Equipos!A:J, 10, FALSE), "")</f>
        <v>500</v>
      </c>
      <c r="K33" s="16">
        <f>IFERROR(IF($I33="KM",ROUND((_xlfn.MAXIFS(tblLecturas[Kilometraje],tblLecturas[Codigo],$A33)-_xlfn.MINIFS(tblLecturas[Kilometraje],tblLecturas[Codigo],$A33))/(MAX(1,_xlfn.MAXIFS(tblLecturas[Fecha],tblLecturas[Codigo],$A33)-_xlfn.MINIFS(tblLecturas[Fecha],tblLecturas[Codigo],$A33))),1),ROUND((_xlfn.MAXIFS(tblLecturas[Horometro],tblLecturas[Codigo],$A33)-_xlfn.MINIFS(tblLecturas[Horometro],tblLecturas[Codigo],$A33))/(MAX(1,_xlfn.MAXIFS(tblLecturas[Fecha],tblLecturas[Codigo],$A33)-_xlfn.MINIFS(tblLecturas[Fecha],tblLecturas[Codigo],$A33))),1)),"")</f>
        <v>0</v>
      </c>
      <c r="L33" s="18">
        <f>IFERROR(_xlfn.MAXIFS(tblLecturas[Fecha],tblLecturas[Codigo],$A33),"")</f>
        <v>46020</v>
      </c>
      <c r="M33" s="24">
        <f>IFERROR(_xlfn.MAXIFS(Lecturas!$C:$C,Lecturas!$B:$B,$A33,Lecturas!$C:$C,"&gt;0"),"")</f>
        <v>0</v>
      </c>
      <c r="N33" s="24">
        <f>IFERROR(_xlfn.MAXIFS(tblLecturas[Kilometraje],tblLecturas[Codigo],$A33,tblLecturas[Kilometraje],"&gt;0"),"")</f>
        <v>80732</v>
      </c>
      <c r="O33" s="24" t="str" cm="1">
        <f t="array" ref="O33">IFERROR(IF($I33="KM",LOOKUP(2,1/(Lecturas!$B:$B=$A33)/(Lecturas!$D:$D&gt;0),Lecturas!$D:$D),LOOKUP(2,1/(Lecturas!$B:$B=$A33)/(Lecturas!$C:$C&gt;0),Lecturas!$C:$C)),"")</f>
        <v/>
      </c>
      <c r="P33" s="18">
        <f>IFERROR(_xlfn.MAXIFS(tblMantenciones[Fecha],tblMantenciones[Codigo],tblMaestroEquipos[[#This Row],[Codigo]],tblMantenciones[EsPM],"Sí"),"")</f>
        <v>0</v>
      </c>
      <c r="Q33" s="70" t="str">
        <f>IF(_xlfn.MAXIFS(Mantenciones!$D:$D,Mantenciones!$B:$B,A33)=0,"Sin datos de mantención registrado",_xlfn.MAXIFS(Mantenciones!$D:$D,Mantenciones!$B:$B,A33))</f>
        <v>Sin datos de mantención registrado</v>
      </c>
      <c r="R33" s="16" t="str">
        <f>IFERROR(IF(_xlfn.MAXIFS(Mantenciones!$D:$D,Mantenciones!$B:$B,$A33,Mantenciones!$E:$E,"Sí",Mantenciones!$D:$D,"&gt;0")=0,"Sin datos de mantención registrado",_xlfn.MAXIFS(Mantenciones!$D:$D,Mantenciones!$B:$B,$A33,Mantenciones!$E:$E,"Sí",Mantenciones!$D:$D,"&gt;0")),"Sin datos de mantención registrado")</f>
        <v>Sin datos de mantención registrado</v>
      </c>
      <c r="S33" s="19">
        <f>IFERROR(SUMIFS(tblMantenciones[Costo Mantencion CLP],tblMantenciones[Codigo],A33),0)</f>
        <v>0</v>
      </c>
      <c r="T33" s="19">
        <f>IFERROR(SUMIFS(tblComprasPM[Costo PM CLP],tblComprasPM[Codigo],tblMaestroEquipos[[#This Row],[Codigo]]),0)</f>
        <v>0</v>
      </c>
      <c r="U33" s="19">
        <f>IFERROR(tblMaestroEquipos[[#This Row],[Costo Mantenciones CLP]]+tblMaestroEquipos[[#This Row],[Costo Compras PM CLP]],0)</f>
        <v>0</v>
      </c>
      <c r="V33" s="16" t="str">
        <f>IFERROR(_xlfn.XLOOKUP(tblMaestroEquipos[[#This Row],[Codigo]],tblEquipos[Codigo],tblEquipos[Estado Base]),"")</f>
        <v>Fuera de Servicio</v>
      </c>
      <c r="W33" s="16" t="str">
        <f t="shared" si="0"/>
        <v>FUERA DE SERVICIO</v>
      </c>
      <c r="X33" s="16" t="str">
        <f t="shared" si="1"/>
        <v/>
      </c>
      <c r="Y33"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33" s="23" t="str">
        <f>IFERROR(IF(_xlfn.MINIFS(tblComprasPM[Fecha],tblComprasPM[Codigo],tblMaestroEquipos[[#This Row],[Codigo]])=0,"",_xlfn.MINIFS(tblComprasPM[Fecha],tblComprasPM[Codigo],tblMaestroEquipos[[#This Row],[Codigo]])),"")</f>
        <v/>
      </c>
      <c r="AA33" s="23" t="str">
        <f>IFERROR(IF(_xlfn.MAXIFS(tblBodega[Fecha],tblBodega[Codigo],tblMaestroEquipos[[#This Row],[Codigo]])=0,"",_xlfn.MAXIFS(tblBodega[Fecha],tblBodega[Codigo],tblMaestroEquipos[[#This Row],[Codigo]])),"")</f>
        <v/>
      </c>
      <c r="AB33"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33"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33" s="16" t="str">
        <f>IF(tblMaestroEquipos[[#This Row],[Fecha Salida Bodega]]="","SIN SALIDA BODEGA",IF(OR(tblMaestroEquipos[[#This Row],[Ultima Fecha PM]]="",tblMaestroEquipos[[#This Row],[Ultima Fecha PM]]&lt;tblMaestroEquipos[[#This Row],[Fecha Salida Bodega]]),"PENDIENTE","CERRADO"))</f>
        <v>SIN SALIDA BODEGA</v>
      </c>
      <c r="AE33" s="48" t="str">
        <f t="shared" si="2"/>
        <v>FUERA DE SERVICIO</v>
      </c>
      <c r="AF33" s="16" t="str">
        <f t="shared" si="3"/>
        <v>NO APLICA</v>
      </c>
      <c r="AG33" s="16" t="str">
        <f t="shared" si="4"/>
        <v>No programar compra</v>
      </c>
      <c r="AH33">
        <f t="shared" si="5"/>
        <v>0</v>
      </c>
      <c r="AI33" t="str">
        <f t="shared" si="6"/>
        <v/>
      </c>
      <c r="AJ33" s="22">
        <f t="shared" si="7"/>
        <v>99</v>
      </c>
    </row>
    <row r="34" spans="1:36">
      <c r="A34" s="16" t="s">
        <v>117</v>
      </c>
      <c r="B34" s="16" t="s">
        <v>20</v>
      </c>
      <c r="C34" s="16" t="s">
        <v>1378</v>
      </c>
      <c r="D34" s="16" t="s">
        <v>115</v>
      </c>
      <c r="E34" s="17" t="s">
        <v>116</v>
      </c>
      <c r="F34" s="16">
        <v>2021</v>
      </c>
      <c r="G34" s="17" t="str">
        <f>IFERROR(_xlfn.XLOOKUP($A34,tblEquipos[Codigo],tblEquipos[Ubicacion],""),"")</f>
        <v>Taller</v>
      </c>
      <c r="H34" s="16" t="s">
        <v>56</v>
      </c>
      <c r="I34" s="16" t="str">
        <f>IFERROR(VLOOKUP(A34, Equipos!A:J, 9, FALSE), "")</f>
        <v>HORAS</v>
      </c>
      <c r="J34" s="16">
        <f>IFERROR(VLOOKUP(A34, Equipos!A:J, 10, FALSE), "")</f>
        <v>250</v>
      </c>
      <c r="K34" s="16">
        <f>IFERROR(IF($I34="KM",ROUND((_xlfn.MAXIFS(tblLecturas[Kilometraje],tblLecturas[Codigo],$A34)-_xlfn.MINIFS(tblLecturas[Kilometraje],tblLecturas[Codigo],$A34))/(MAX(1,_xlfn.MAXIFS(tblLecturas[Fecha],tblLecturas[Codigo],$A34)-_xlfn.MINIFS(tblLecturas[Fecha],tblLecturas[Codigo],$A34))),1),ROUND((_xlfn.MAXIFS(tblLecturas[Horometro],tblLecturas[Codigo],$A34)-_xlfn.MINIFS(tblLecturas[Horometro],tblLecturas[Codigo],$A34))/(MAX(1,_xlfn.MAXIFS(tblLecturas[Fecha],tblLecturas[Codigo],$A34)-_xlfn.MINIFS(tblLecturas[Fecha],tblLecturas[Codigo],$A34))),1)),"")</f>
        <v>0</v>
      </c>
      <c r="L34" s="18">
        <f>IFERROR(_xlfn.MAXIFS(tblLecturas[Fecha],tblLecturas[Codigo],$A34),"")</f>
        <v>46003</v>
      </c>
      <c r="M34" s="24">
        <f>IFERROR(_xlfn.MAXIFS(Lecturas!$C:$C,Lecturas!$B:$B,$A34,Lecturas!$C:$C,"&gt;0"),"")</f>
        <v>0</v>
      </c>
      <c r="N34" s="24">
        <f>IFERROR(_xlfn.MAXIFS(tblLecturas[Kilometraje],tblLecturas[Codigo],$A34,tblLecturas[Kilometraje],"&gt;0"),"")</f>
        <v>80500</v>
      </c>
      <c r="O34" s="24" t="str" cm="1">
        <f t="array" ref="O34">IFERROR(IF($I34="KM",LOOKUP(2,1/(Lecturas!$B:$B=$A34)/(Lecturas!$D:$D&gt;0),Lecturas!$D:$D),LOOKUP(2,1/(Lecturas!$B:$B=$A34)/(Lecturas!$C:$C&gt;0),Lecturas!$C:$C)),"")</f>
        <v/>
      </c>
      <c r="P34" s="18">
        <f>IFERROR(_xlfn.MAXIFS(tblMantenciones[Fecha],tblMantenciones[Codigo],tblMaestroEquipos[[#This Row],[Codigo]],tblMantenciones[EsPM],"Sí"),"")</f>
        <v>0</v>
      </c>
      <c r="Q34" s="70" t="str">
        <f>IF(_xlfn.MAXIFS(Mantenciones!$D:$D,Mantenciones!$B:$B,A34)=0,"Sin datos de mantención registrado",_xlfn.MAXIFS(Mantenciones!$D:$D,Mantenciones!$B:$B,A34))</f>
        <v>Sin datos de mantención registrado</v>
      </c>
      <c r="R34" s="16" t="str">
        <f>IFERROR(IF(_xlfn.MAXIFS(Mantenciones!$D:$D,Mantenciones!$B:$B,$A34,Mantenciones!$E:$E,"Sí",Mantenciones!$D:$D,"&gt;0")=0,"Sin datos de mantención registrado",_xlfn.MAXIFS(Mantenciones!$D:$D,Mantenciones!$B:$B,$A34,Mantenciones!$E:$E,"Sí",Mantenciones!$D:$D,"&gt;0")),"Sin datos de mantención registrado")</f>
        <v>Sin datos de mantención registrado</v>
      </c>
      <c r="S34" s="19">
        <f>IFERROR(SUMIFS(tblMantenciones[Costo Mantencion CLP],tblMantenciones[Codigo],A34),0)</f>
        <v>0</v>
      </c>
      <c r="T34" s="19">
        <f>IFERROR(SUMIFS(tblComprasPM[Costo PM CLP],tblComprasPM[Codigo],tblMaestroEquipos[[#This Row],[Codigo]]),0)</f>
        <v>0</v>
      </c>
      <c r="U34" s="19">
        <f>IFERROR(tblMaestroEquipos[[#This Row],[Costo Mantenciones CLP]]+tblMaestroEquipos[[#This Row],[Costo Compras PM CLP]],0)</f>
        <v>0</v>
      </c>
      <c r="V34" s="16" t="str">
        <f>IFERROR(_xlfn.XLOOKUP(tblMaestroEquipos[[#This Row],[Codigo]],tblEquipos[Codigo],tblEquipos[Estado Base]),"")</f>
        <v>Fuera de Servicio</v>
      </c>
      <c r="W34" s="16" t="str">
        <f t="shared" si="0"/>
        <v>FUERA DE SERVICIO</v>
      </c>
      <c r="X34" s="16" t="str">
        <f t="shared" si="1"/>
        <v/>
      </c>
      <c r="Y34"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34" s="23" t="str">
        <f>IFERROR(IF(_xlfn.MINIFS(tblComprasPM[Fecha],tblComprasPM[Codigo],tblMaestroEquipos[[#This Row],[Codigo]])=0,"",_xlfn.MINIFS(tblComprasPM[Fecha],tblComprasPM[Codigo],tblMaestroEquipos[[#This Row],[Codigo]])),"")</f>
        <v/>
      </c>
      <c r="AA34" s="23" t="str">
        <f>IFERROR(IF(_xlfn.MAXIFS(tblBodega[Fecha],tblBodega[Codigo],tblMaestroEquipos[[#This Row],[Codigo]])=0,"",_xlfn.MAXIFS(tblBodega[Fecha],tblBodega[Codigo],tblMaestroEquipos[[#This Row],[Codigo]])),"")</f>
        <v/>
      </c>
      <c r="AB34"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34"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34" s="16" t="str">
        <f>IF(tblMaestroEquipos[[#This Row],[Fecha Salida Bodega]]="","SIN SALIDA BODEGA",IF(OR(tblMaestroEquipos[[#This Row],[Ultima Fecha PM]]="",tblMaestroEquipos[[#This Row],[Ultima Fecha PM]]&lt;tblMaestroEquipos[[#This Row],[Fecha Salida Bodega]]),"PENDIENTE","CERRADO"))</f>
        <v>SIN SALIDA BODEGA</v>
      </c>
      <c r="AE34" s="48" t="str">
        <f t="shared" si="2"/>
        <v>FUERA DE SERVICIO</v>
      </c>
      <c r="AF34" s="16" t="str">
        <f t="shared" si="3"/>
        <v>NO APLICA</v>
      </c>
      <c r="AG34" s="16" t="str">
        <f t="shared" si="4"/>
        <v>No programar compra</v>
      </c>
      <c r="AH34" s="25">
        <f t="shared" si="5"/>
        <v>0</v>
      </c>
      <c r="AI34" s="25" t="str">
        <f t="shared" si="6"/>
        <v/>
      </c>
      <c r="AJ34" s="22">
        <f t="shared" si="7"/>
        <v>99</v>
      </c>
    </row>
    <row r="35" spans="1:36">
      <c r="A35" s="16" t="s">
        <v>118</v>
      </c>
      <c r="B35" s="16" t="s">
        <v>20</v>
      </c>
      <c r="C35" s="16" t="s">
        <v>1378</v>
      </c>
      <c r="D35" s="16" t="s">
        <v>115</v>
      </c>
      <c r="E35" s="17" t="s">
        <v>116</v>
      </c>
      <c r="F35" s="16">
        <v>2021</v>
      </c>
      <c r="G35" s="17" t="str">
        <f>IFERROR(_xlfn.XLOOKUP($A35,tblEquipos[Codigo],tblEquipos[Ubicacion],""),"")</f>
        <v>Palmucho</v>
      </c>
      <c r="H35" s="16" t="s">
        <v>1384</v>
      </c>
      <c r="I35" s="16" t="str">
        <f>IFERROR(VLOOKUP(A35, Equipos!A:J, 9, FALSE), "")</f>
        <v>HORAS</v>
      </c>
      <c r="J35" s="16">
        <f>IFERROR(VLOOKUP(A35, Equipos!A:J, 10, FALSE), "")</f>
        <v>500</v>
      </c>
      <c r="K35" s="16">
        <f>IFERROR(IF($I35="KM",ROUND((_xlfn.MAXIFS(tblLecturas[Kilometraje],tblLecturas[Codigo],$A35)-_xlfn.MINIFS(tblLecturas[Kilometraje],tblLecturas[Codigo],$A35))/(MAX(1,_xlfn.MAXIFS(tblLecturas[Fecha],tblLecturas[Codigo],$A35)-_xlfn.MINIFS(tblLecturas[Fecha],tblLecturas[Codigo],$A35))),1),ROUND((_xlfn.MAXIFS(tblLecturas[Horometro],tblLecturas[Codigo],$A35)-_xlfn.MINIFS(tblLecturas[Horometro],tblLecturas[Codigo],$A35))/(MAX(1,_xlfn.MAXIFS(tblLecturas[Fecha],tblLecturas[Codigo],$A35)-_xlfn.MINIFS(tblLecturas[Fecha],tblLecturas[Codigo],$A35))),1)),"")</f>
        <v>7.1</v>
      </c>
      <c r="L35" s="18">
        <f>IFERROR(_xlfn.MAXIFS(tblLecturas[Fecha],tblLecturas[Codigo],$A35),"")</f>
        <v>46150</v>
      </c>
      <c r="M35" s="24">
        <f>IFERROR(_xlfn.MAXIFS(Lecturas!$C:$C,Lecturas!$B:$B,$A35,Lecturas!$C:$C,"&gt;0"),"")</f>
        <v>7962</v>
      </c>
      <c r="N35" s="24">
        <f>IFERROR(_xlfn.MAXIFS(tblLecturas[Kilometraje],tblLecturas[Codigo],$A35,tblLecturas[Kilometraje],"&gt;0"),"")</f>
        <v>808294</v>
      </c>
      <c r="O35" s="24" cm="1">
        <f t="array" ref="O35">IFERROR(IF($I35="KM",LOOKUP(2,1/(Lecturas!$B:$B=$A35)/(Lecturas!$D:$D&gt;0),Lecturas!$D:$D),LOOKUP(2,1/(Lecturas!$B:$B=$A35)/(Lecturas!$C:$C&gt;0),Lecturas!$C:$C)),"")</f>
        <v>7900</v>
      </c>
      <c r="P35" s="18">
        <f>IFERROR(_xlfn.MAXIFS(tblMantenciones[Fecha],tblMantenciones[Codigo],tblMaestroEquipos[[#This Row],[Codigo]],tblMantenciones[EsPM],"Sí"),"")</f>
        <v>46105</v>
      </c>
      <c r="Q35" s="70">
        <f>IF(_xlfn.MAXIFS(Mantenciones!$D:$D,Mantenciones!$B:$B,A35)=0,"Sin datos de mantención registrado",_xlfn.MAXIFS(Mantenciones!$D:$D,Mantenciones!$B:$B,A35))</f>
        <v>189042</v>
      </c>
      <c r="R35" s="16">
        <f>IFERROR(IF(_xlfn.MAXIFS(Mantenciones!$D:$D,Mantenciones!$B:$B,$A35,Mantenciones!$E:$E,"Sí",Mantenciones!$D:$D,"&gt;0")=0,"Sin datos de mantención registrado",_xlfn.MAXIFS(Mantenciones!$D:$D,Mantenciones!$B:$B,$A35,Mantenciones!$E:$E,"Sí",Mantenciones!$D:$D,"&gt;0")),"Sin datos de mantención registrado")</f>
        <v>189042</v>
      </c>
      <c r="S35" s="19">
        <f>IFERROR(SUMIFS(tblMantenciones[Costo Mantencion CLP],tblMantenciones[Codigo],A35),0)</f>
        <v>0</v>
      </c>
      <c r="T35" s="19">
        <f>IFERROR(SUMIFS(tblComprasPM[Costo PM CLP],tblComprasPM[Codigo],tblMaestroEquipos[[#This Row],[Codigo]]),0)</f>
        <v>0</v>
      </c>
      <c r="U35" s="19">
        <f>IFERROR(tblMaestroEquipos[[#This Row],[Costo Mantenciones CLP]]+tblMaestroEquipos[[#This Row],[Costo Compras PM CLP]],0)</f>
        <v>0</v>
      </c>
      <c r="V35" s="16" t="str">
        <f>IFERROR(_xlfn.XLOOKUP(tblMaestroEquipos[[#This Row],[Codigo]],tblEquipos[Codigo],tblEquipos[Estado Base]),"")</f>
        <v>Operativo</v>
      </c>
      <c r="W35" s="16" t="str">
        <f t="shared" si="0"/>
        <v>AL DÍA</v>
      </c>
      <c r="X35" s="16">
        <f t="shared" si="1"/>
        <v>181642</v>
      </c>
      <c r="Y35" s="23">
        <f>IFERROR(IF(OR(tblMaestroEquipos[[#This Row],[Estado Operacional]]="FUERA DE SERVICIO",tblMaestroEquipos[[#This Row],[Ultima Fecha Lectura]]="",tblMaestroEquipos[[#This Row],[Dias a Proxima Mantencion]]=""),"",tblMaestroEquipos[[#This Row],[Ultima Fecha Lectura]]+tblMaestroEquipos[[#This Row],[Dias a Proxima Mantencion]]),"")</f>
        <v>227792</v>
      </c>
      <c r="Z35" s="23" t="str">
        <f>IFERROR(IF(_xlfn.MINIFS(tblComprasPM[Fecha],tblComprasPM[Codigo],tblMaestroEquipos[[#This Row],[Codigo]])=0,"",_xlfn.MINIFS(tblComprasPM[Fecha],tblComprasPM[Codigo],tblMaestroEquipos[[#This Row],[Codigo]])),"")</f>
        <v/>
      </c>
      <c r="AA35" s="23">
        <f>IFERROR(IF(_xlfn.MAXIFS(tblBodega[Fecha],tblBodega[Codigo],tblMaestroEquipos[[#This Row],[Codigo]])=0,"",_xlfn.MAXIFS(tblBodega[Fecha],tblBodega[Codigo],tblMaestroEquipos[[#This Row],[Codigo]])),"")</f>
        <v>46087</v>
      </c>
      <c r="AB35"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3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18</v>
      </c>
      <c r="AD35" s="16" t="str">
        <f>IF(tblMaestroEquipos[[#This Row],[Fecha Salida Bodega]]="","SIN SALIDA BODEGA",IF(OR(tblMaestroEquipos[[#This Row],[Ultima Fecha PM]]="",tblMaestroEquipos[[#This Row],[Ultima Fecha PM]]&lt;tblMaestroEquipos[[#This Row],[Fecha Salida Bodega]]),"PENDIENTE","CERRADO"))</f>
        <v>CERRADO</v>
      </c>
      <c r="AE35" s="48" t="str">
        <f t="shared" si="2"/>
        <v>OPERATIVO</v>
      </c>
      <c r="AF35" s="16" t="str">
        <f t="shared" si="3"/>
        <v>BAJA</v>
      </c>
      <c r="AG35" s="16" t="str">
        <f t="shared" si="4"/>
        <v>Monitorear próximo vencimiento</v>
      </c>
      <c r="AH35">
        <f t="shared" si="5"/>
        <v>0</v>
      </c>
      <c r="AI35" t="str">
        <f t="shared" si="6"/>
        <v/>
      </c>
      <c r="AJ35" s="22">
        <f t="shared" si="7"/>
        <v>99</v>
      </c>
    </row>
    <row r="36" spans="1:36">
      <c r="A36" s="16" t="s">
        <v>119</v>
      </c>
      <c r="B36" s="16" t="s">
        <v>43</v>
      </c>
      <c r="C36" s="16" t="s">
        <v>1378</v>
      </c>
      <c r="D36" s="16" t="s">
        <v>40</v>
      </c>
      <c r="E36" s="17">
        <v>7400</v>
      </c>
      <c r="F36" s="16">
        <v>2010</v>
      </c>
      <c r="G36" s="17" t="str">
        <f>IFERROR(_xlfn.XLOOKUP($A36,tblEquipos[Codigo],tblEquipos[Ubicacion],""),"")</f>
        <v>TALLER</v>
      </c>
      <c r="H36" s="16" t="s">
        <v>56</v>
      </c>
      <c r="I36" s="16" t="str">
        <f>IFERROR(VLOOKUP(A36, Equipos!A:J, 9, FALSE), "")</f>
        <v>HORAS</v>
      </c>
      <c r="J36" s="16">
        <f>IFERROR(VLOOKUP(A36, Equipos!A:J, 10, FALSE), "")</f>
        <v>250</v>
      </c>
      <c r="K36" s="16">
        <f>IFERROR(IF($I36="KM",ROUND((_xlfn.MAXIFS(tblLecturas[Kilometraje],tblLecturas[Codigo],$A36)-_xlfn.MINIFS(tblLecturas[Kilometraje],tblLecturas[Codigo],$A36))/(MAX(1,_xlfn.MAXIFS(tblLecturas[Fecha],tblLecturas[Codigo],$A36)-_xlfn.MINIFS(tblLecturas[Fecha],tblLecturas[Codigo],$A36))),1),ROUND((_xlfn.MAXIFS(tblLecturas[Horometro],tblLecturas[Codigo],$A36)-_xlfn.MINIFS(tblLecturas[Horometro],tblLecturas[Codigo],$A36))/(MAX(1,_xlfn.MAXIFS(tblLecturas[Fecha],tblLecturas[Codigo],$A36)-_xlfn.MINIFS(tblLecturas[Fecha],tblLecturas[Codigo],$A36))),1)),"")</f>
        <v>0</v>
      </c>
      <c r="L36" s="18">
        <f>IFERROR(_xlfn.MAXIFS(tblLecturas[Fecha],tblLecturas[Codigo],$A36),"")</f>
        <v>0</v>
      </c>
      <c r="M36" s="24">
        <f>IFERROR(_xlfn.MAXIFS(Lecturas!$C:$C,Lecturas!$B:$B,$A36,Lecturas!$C:$C,"&gt;0"),"")</f>
        <v>0</v>
      </c>
      <c r="N36" s="24">
        <f>IFERROR(_xlfn.MAXIFS(tblLecturas[Kilometraje],tblLecturas[Codigo],$A36,tblLecturas[Kilometraje],"&gt;0"),"")</f>
        <v>0</v>
      </c>
      <c r="O36" s="24" t="str" cm="1">
        <f t="array" ref="O36">IFERROR(IF($I36="KM",LOOKUP(2,1/(Lecturas!$B:$B=$A36)/(Lecturas!$D:$D&gt;0),Lecturas!$D:$D),LOOKUP(2,1/(Lecturas!$B:$B=$A36)/(Lecturas!$C:$C&gt;0),Lecturas!$C:$C)),"")</f>
        <v/>
      </c>
      <c r="P36" s="18">
        <f>IFERROR(_xlfn.MAXIFS(tblMantenciones[Fecha],tblMantenciones[Codigo],tblMaestroEquipos[[#This Row],[Codigo]],tblMantenciones[EsPM],"Sí"),"")</f>
        <v>0</v>
      </c>
      <c r="Q36" s="70" t="str">
        <f>IF(_xlfn.MAXIFS(Mantenciones!$D:$D,Mantenciones!$B:$B,A36)=0,"Sin datos de mantención registrado",_xlfn.MAXIFS(Mantenciones!$D:$D,Mantenciones!$B:$B,A36))</f>
        <v>Sin datos de mantención registrado</v>
      </c>
      <c r="R36" s="16" t="str">
        <f>IFERROR(IF(_xlfn.MAXIFS(Mantenciones!$D:$D,Mantenciones!$B:$B,$A36,Mantenciones!$E:$E,"Sí",Mantenciones!$D:$D,"&gt;0")=0,"Sin datos de mantención registrado",_xlfn.MAXIFS(Mantenciones!$D:$D,Mantenciones!$B:$B,$A36,Mantenciones!$E:$E,"Sí",Mantenciones!$D:$D,"&gt;0")),"Sin datos de mantención registrado")</f>
        <v>Sin datos de mantención registrado</v>
      </c>
      <c r="S36" s="19">
        <f>IFERROR(SUMIFS(tblMantenciones[Costo Mantencion CLP],tblMantenciones[Codigo],A36),0)</f>
        <v>0</v>
      </c>
      <c r="T36" s="19">
        <f>IFERROR(SUMIFS(tblComprasPM[Costo PM CLP],tblComprasPM[Codigo],tblMaestroEquipos[[#This Row],[Codigo]]),0)</f>
        <v>0</v>
      </c>
      <c r="U36" s="19">
        <f>IFERROR(tblMaestroEquipos[[#This Row],[Costo Mantenciones CLP]]+tblMaestroEquipos[[#This Row],[Costo Compras PM CLP]],0)</f>
        <v>0</v>
      </c>
      <c r="V36" s="16" t="str">
        <f>IFERROR(_xlfn.XLOOKUP(tblMaestroEquipos[[#This Row],[Codigo]],tblEquipos[Codigo],tblEquipos[Estado Base]),"")</f>
        <v>Fuera de Servicio</v>
      </c>
      <c r="W36" s="16" t="str">
        <f t="shared" si="0"/>
        <v>FUERA DE SERVICIO</v>
      </c>
      <c r="X36" s="16" t="str">
        <f t="shared" si="1"/>
        <v/>
      </c>
      <c r="Y36"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36" s="23" t="str">
        <f>IFERROR(IF(_xlfn.MINIFS(tblComprasPM[Fecha],tblComprasPM[Codigo],tblMaestroEquipos[[#This Row],[Codigo]])=0,"",_xlfn.MINIFS(tblComprasPM[Fecha],tblComprasPM[Codigo],tblMaestroEquipos[[#This Row],[Codigo]])),"")</f>
        <v/>
      </c>
      <c r="AA36" s="23" t="str">
        <f>IFERROR(IF(_xlfn.MAXIFS(tblBodega[Fecha],tblBodega[Codigo],tblMaestroEquipos[[#This Row],[Codigo]])=0,"",_xlfn.MAXIFS(tblBodega[Fecha],tblBodega[Codigo],tblMaestroEquipos[[#This Row],[Codigo]])),"")</f>
        <v/>
      </c>
      <c r="AB36"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36"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36" s="16" t="str">
        <f>IF(tblMaestroEquipos[[#This Row],[Fecha Salida Bodega]]="","SIN SALIDA BODEGA",IF(OR(tblMaestroEquipos[[#This Row],[Ultima Fecha PM]]="",tblMaestroEquipos[[#This Row],[Ultima Fecha PM]]&lt;tblMaestroEquipos[[#This Row],[Fecha Salida Bodega]]),"PENDIENTE","CERRADO"))</f>
        <v>SIN SALIDA BODEGA</v>
      </c>
      <c r="AE36" s="48" t="str">
        <f t="shared" si="2"/>
        <v>FUERA DE SERVICIO</v>
      </c>
      <c r="AF36" s="16" t="str">
        <f t="shared" si="3"/>
        <v>NO APLICA</v>
      </c>
      <c r="AG36" s="16" t="str">
        <f t="shared" si="4"/>
        <v>No programar compra</v>
      </c>
      <c r="AH36" s="25">
        <f t="shared" si="5"/>
        <v>0</v>
      </c>
      <c r="AI36" s="25" t="str">
        <f t="shared" si="6"/>
        <v/>
      </c>
      <c r="AJ36" s="22">
        <f t="shared" si="7"/>
        <v>99</v>
      </c>
    </row>
    <row r="37" spans="1:36">
      <c r="A37" s="16" t="s">
        <v>120</v>
      </c>
      <c r="B37" s="16" t="s">
        <v>43</v>
      </c>
      <c r="C37" s="16" t="s">
        <v>1378</v>
      </c>
      <c r="D37" s="16" t="s">
        <v>40</v>
      </c>
      <c r="E37" s="17">
        <v>4300</v>
      </c>
      <c r="F37" s="16">
        <v>2012</v>
      </c>
      <c r="G37" s="17" t="str">
        <f>IFERROR(_xlfn.XLOOKUP($A37,tblEquipos[Codigo],tblEquipos[Ubicacion],""),"")</f>
        <v>TALLER</v>
      </c>
      <c r="H37" s="16" t="s">
        <v>56</v>
      </c>
      <c r="I37" s="16" t="str">
        <f>IFERROR(VLOOKUP(A37, Equipos!A:J, 9, FALSE), "")</f>
        <v>HORAS</v>
      </c>
      <c r="J37" s="16">
        <f>IFERROR(VLOOKUP(A37, Equipos!A:J, 10, FALSE), "")</f>
        <v>250</v>
      </c>
      <c r="K37" s="16">
        <f>IFERROR(IF($I37="KM",ROUND((_xlfn.MAXIFS(tblLecturas[Kilometraje],tblLecturas[Codigo],$A37)-_xlfn.MINIFS(tblLecturas[Kilometraje],tblLecturas[Codigo],$A37))/(MAX(1,_xlfn.MAXIFS(tblLecturas[Fecha],tblLecturas[Codigo],$A37)-_xlfn.MINIFS(tblLecturas[Fecha],tblLecturas[Codigo],$A37))),1),ROUND((_xlfn.MAXIFS(tblLecturas[Horometro],tblLecturas[Codigo],$A37)-_xlfn.MINIFS(tblLecturas[Horometro],tblLecturas[Codigo],$A37))/(MAX(1,_xlfn.MAXIFS(tblLecturas[Fecha],tblLecturas[Codigo],$A37)-_xlfn.MINIFS(tblLecturas[Fecha],tblLecturas[Codigo],$A37))),1)),"")</f>
        <v>0</v>
      </c>
      <c r="L37" s="18">
        <f>IFERROR(_xlfn.MAXIFS(tblLecturas[Fecha],tblLecturas[Codigo],$A37),"")</f>
        <v>46050</v>
      </c>
      <c r="M37" s="24">
        <f>IFERROR(_xlfn.MAXIFS(Lecturas!$C:$C,Lecturas!$B:$B,$A37,Lecturas!$C:$C,"&gt;0"),"")</f>
        <v>0</v>
      </c>
      <c r="N37" s="24">
        <f>IFERROR(_xlfn.MAXIFS(tblLecturas[Kilometraje],tblLecturas[Codigo],$A37,tblLecturas[Kilometraje],"&gt;0"),"")</f>
        <v>121065</v>
      </c>
      <c r="O37" s="24" t="str" cm="1">
        <f t="array" ref="O37">IFERROR(IF($I37="KM",LOOKUP(2,1/(Lecturas!$B:$B=$A37)/(Lecturas!$D:$D&gt;0),Lecturas!$D:$D),LOOKUP(2,1/(Lecturas!$B:$B=$A37)/(Lecturas!$C:$C&gt;0),Lecturas!$C:$C)),"")</f>
        <v/>
      </c>
      <c r="P37" s="18">
        <f>IFERROR(_xlfn.MAXIFS(tblMantenciones[Fecha],tblMantenciones[Codigo],tblMaestroEquipos[[#This Row],[Codigo]],tblMantenciones[EsPM],"Sí"),"")</f>
        <v>0</v>
      </c>
      <c r="Q37" s="70" t="str">
        <f>IF(_xlfn.MAXIFS(Mantenciones!$D:$D,Mantenciones!$B:$B,A37)=0,"Sin datos de mantención registrado",_xlfn.MAXIFS(Mantenciones!$D:$D,Mantenciones!$B:$B,A37))</f>
        <v>Sin datos de mantención registrado</v>
      </c>
      <c r="R37" s="16" t="str">
        <f>IFERROR(IF(_xlfn.MAXIFS(Mantenciones!$D:$D,Mantenciones!$B:$B,$A37,Mantenciones!$E:$E,"Sí",Mantenciones!$D:$D,"&gt;0")=0,"Sin datos de mantención registrado",_xlfn.MAXIFS(Mantenciones!$D:$D,Mantenciones!$B:$B,$A37,Mantenciones!$E:$E,"Sí",Mantenciones!$D:$D,"&gt;0")),"Sin datos de mantención registrado")</f>
        <v>Sin datos de mantención registrado</v>
      </c>
      <c r="S37" s="19">
        <f>IFERROR(SUMIFS(tblMantenciones[Costo Mantencion CLP],tblMantenciones[Codigo],A37),0)</f>
        <v>0</v>
      </c>
      <c r="T37" s="19">
        <f>IFERROR(SUMIFS(tblComprasPM[Costo PM CLP],tblComprasPM[Codigo],tblMaestroEquipos[[#This Row],[Codigo]]),0)</f>
        <v>162080.38</v>
      </c>
      <c r="U37" s="19">
        <f>IFERROR(tblMaestroEquipos[[#This Row],[Costo Mantenciones CLP]]+tblMaestroEquipos[[#This Row],[Costo Compras PM CLP]],0)</f>
        <v>162080.38</v>
      </c>
      <c r="V37" s="16" t="str">
        <f>IFERROR(_xlfn.XLOOKUP(tblMaestroEquipos[[#This Row],[Codigo]],tblEquipos[Codigo],tblEquipos[Estado Base]),"")</f>
        <v>Taller</v>
      </c>
      <c r="W37" s="16" t="str">
        <f t="shared" si="0"/>
        <v>EN TALLER</v>
      </c>
      <c r="X37" s="16" t="str">
        <f t="shared" si="1"/>
        <v/>
      </c>
      <c r="Y37"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37" s="23">
        <f>IFERROR(IF(_xlfn.MINIFS(tblComprasPM[Fecha],tblComprasPM[Codigo],tblMaestroEquipos[[#This Row],[Codigo]])=0,"",_xlfn.MINIFS(tblComprasPM[Fecha],tblComprasPM[Codigo],tblMaestroEquipos[[#This Row],[Codigo]])),"")</f>
        <v>46146.415869710603</v>
      </c>
      <c r="AA37" s="23" t="str">
        <f>IFERROR(IF(_xlfn.MAXIFS(tblBodega[Fecha],tblBodega[Codigo],tblMaestroEquipos[[#This Row],[Codigo]])=0,"",_xlfn.MAXIFS(tblBodega[Fecha],tblBodega[Codigo],tblMaestroEquipos[[#This Row],[Codigo]])),"")</f>
        <v/>
      </c>
      <c r="AB3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94</v>
      </c>
      <c r="AC37"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37" s="16" t="str">
        <f>IF(tblMaestroEquipos[[#This Row],[Fecha Salida Bodega]]="","SIN SALIDA BODEGA",IF(OR(tblMaestroEquipos[[#This Row],[Ultima Fecha PM]]="",tblMaestroEquipos[[#This Row],[Ultima Fecha PM]]&lt;tblMaestroEquipos[[#This Row],[Fecha Salida Bodega]]),"PENDIENTE","CERRADO"))</f>
        <v>SIN SALIDA BODEGA</v>
      </c>
      <c r="AE37" s="48" t="str">
        <f t="shared" si="2"/>
        <v>EN TALLER</v>
      </c>
      <c r="AF37" s="16" t="str">
        <f t="shared" si="3"/>
        <v>BAJA</v>
      </c>
      <c r="AG37" s="16" t="str">
        <f t="shared" si="4"/>
        <v>Monitorear próximo vencimiento</v>
      </c>
      <c r="AH37" s="25">
        <f t="shared" si="5"/>
        <v>0</v>
      </c>
      <c r="AI37" s="25" t="str">
        <f t="shared" si="6"/>
        <v/>
      </c>
      <c r="AJ37" s="22">
        <f t="shared" si="7"/>
        <v>99</v>
      </c>
    </row>
    <row r="38" spans="1:36">
      <c r="A38" s="16" t="s">
        <v>121</v>
      </c>
      <c r="B38" s="16" t="s">
        <v>43</v>
      </c>
      <c r="C38" s="16" t="s">
        <v>1378</v>
      </c>
      <c r="D38" s="16" t="s">
        <v>109</v>
      </c>
      <c r="E38" s="17" t="s">
        <v>110</v>
      </c>
      <c r="F38" s="16">
        <v>2014</v>
      </c>
      <c r="G38" s="17" t="str">
        <f>IFERROR(_xlfn.XLOOKUP($A38,tblEquipos[Codigo],tblEquipos[Ubicacion],""),"")</f>
        <v>TALLER</v>
      </c>
      <c r="H38" s="16" t="s">
        <v>56</v>
      </c>
      <c r="I38" s="16" t="str">
        <f>IFERROR(VLOOKUP(A38, Equipos!A:J, 9, FALSE), "")</f>
        <v>HORAS</v>
      </c>
      <c r="J38" s="16">
        <f>IFERROR(VLOOKUP(A38, Equipos!A:J, 10, FALSE), "")</f>
        <v>250</v>
      </c>
      <c r="K38" s="16">
        <f>IFERROR(IF($I38="KM",ROUND((_xlfn.MAXIFS(tblLecturas[Kilometraje],tblLecturas[Codigo],$A38)-_xlfn.MINIFS(tblLecturas[Kilometraje],tblLecturas[Codigo],$A38))/(MAX(1,_xlfn.MAXIFS(tblLecturas[Fecha],tblLecturas[Codigo],$A38)-_xlfn.MINIFS(tblLecturas[Fecha],tblLecturas[Codigo],$A38))),1),ROUND((_xlfn.MAXIFS(tblLecturas[Horometro],tblLecturas[Codigo],$A38)-_xlfn.MINIFS(tblLecturas[Horometro],tblLecturas[Codigo],$A38))/(MAX(1,_xlfn.MAXIFS(tblLecturas[Fecha],tblLecturas[Codigo],$A38)-_xlfn.MINIFS(tblLecturas[Fecha],tblLecturas[Codigo],$A38))),1)),"")</f>
        <v>0</v>
      </c>
      <c r="L38" s="18">
        <f>IFERROR(_xlfn.MAXIFS(tblLecturas[Fecha],tblLecturas[Codigo],$A38),"")</f>
        <v>0</v>
      </c>
      <c r="M38" s="24">
        <f>IFERROR(_xlfn.MAXIFS(Lecturas!$C:$C,Lecturas!$B:$B,$A38,Lecturas!$C:$C,"&gt;0"),"")</f>
        <v>0</v>
      </c>
      <c r="N38" s="24">
        <f>IFERROR(_xlfn.MAXIFS(tblLecturas[Kilometraje],tblLecturas[Codigo],$A38,tblLecturas[Kilometraje],"&gt;0"),"")</f>
        <v>0</v>
      </c>
      <c r="O38" s="24" t="str" cm="1">
        <f t="array" ref="O38">IFERROR(IF($I38="KM",LOOKUP(2,1/(Lecturas!$B:$B=$A38)/(Lecturas!$D:$D&gt;0),Lecturas!$D:$D),LOOKUP(2,1/(Lecturas!$B:$B=$A38)/(Lecturas!$C:$C&gt;0),Lecturas!$C:$C)),"")</f>
        <v/>
      </c>
      <c r="P38" s="18">
        <f>IFERROR(_xlfn.MAXIFS(tblMantenciones[Fecha],tblMantenciones[Codigo],tblMaestroEquipos[[#This Row],[Codigo]],tblMantenciones[EsPM],"Sí"),"")</f>
        <v>0</v>
      </c>
      <c r="Q38" s="70" t="str">
        <f>IF(_xlfn.MAXIFS(Mantenciones!$D:$D,Mantenciones!$B:$B,A38)=0,"Sin datos de mantención registrado",_xlfn.MAXIFS(Mantenciones!$D:$D,Mantenciones!$B:$B,A38))</f>
        <v>Sin datos de mantención registrado</v>
      </c>
      <c r="R38" s="16" t="str">
        <f>IFERROR(IF(_xlfn.MAXIFS(Mantenciones!$D:$D,Mantenciones!$B:$B,$A38,Mantenciones!$E:$E,"Sí",Mantenciones!$D:$D,"&gt;0")=0,"Sin datos de mantención registrado",_xlfn.MAXIFS(Mantenciones!$D:$D,Mantenciones!$B:$B,$A38,Mantenciones!$E:$E,"Sí",Mantenciones!$D:$D,"&gt;0")),"Sin datos de mantención registrado")</f>
        <v>Sin datos de mantención registrado</v>
      </c>
      <c r="S38" s="19">
        <f>IFERROR(SUMIFS(tblMantenciones[Costo Mantencion CLP],tblMantenciones[Codigo],A38),0)</f>
        <v>0</v>
      </c>
      <c r="T38" s="19">
        <f>IFERROR(SUMIFS(tblComprasPM[Costo PM CLP],tblComprasPM[Codigo],tblMaestroEquipos[[#This Row],[Codigo]]),0)</f>
        <v>0</v>
      </c>
      <c r="U38" s="19">
        <f>IFERROR(tblMaestroEquipos[[#This Row],[Costo Mantenciones CLP]]+tblMaestroEquipos[[#This Row],[Costo Compras PM CLP]],0)</f>
        <v>0</v>
      </c>
      <c r="V38" s="16" t="str">
        <f>IFERROR(_xlfn.XLOOKUP(tblMaestroEquipos[[#This Row],[Codigo]],tblEquipos[Codigo],tblEquipos[Estado Base]),"")</f>
        <v>Fuera de Servicio</v>
      </c>
      <c r="W38" s="16" t="str">
        <f t="shared" si="0"/>
        <v>FUERA DE SERVICIO</v>
      </c>
      <c r="X38" s="16" t="str">
        <f t="shared" si="1"/>
        <v/>
      </c>
      <c r="Y38"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38" s="23" t="str">
        <f>IFERROR(IF(_xlfn.MINIFS(tblComprasPM[Fecha],tblComprasPM[Codigo],tblMaestroEquipos[[#This Row],[Codigo]])=0,"",_xlfn.MINIFS(tblComprasPM[Fecha],tblComprasPM[Codigo],tblMaestroEquipos[[#This Row],[Codigo]])),"")</f>
        <v/>
      </c>
      <c r="AA38" s="23" t="str">
        <f>IFERROR(IF(_xlfn.MAXIFS(tblBodega[Fecha],tblBodega[Codigo],tblMaestroEquipos[[#This Row],[Codigo]])=0,"",_xlfn.MAXIFS(tblBodega[Fecha],tblBodega[Codigo],tblMaestroEquipos[[#This Row],[Codigo]])),"")</f>
        <v/>
      </c>
      <c r="AB38"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38"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38" s="16" t="str">
        <f>IF(tblMaestroEquipos[[#This Row],[Fecha Salida Bodega]]="","SIN SALIDA BODEGA",IF(OR(tblMaestroEquipos[[#This Row],[Ultima Fecha PM]]="",tblMaestroEquipos[[#This Row],[Ultima Fecha PM]]&lt;tblMaestroEquipos[[#This Row],[Fecha Salida Bodega]]),"PENDIENTE","CERRADO"))</f>
        <v>SIN SALIDA BODEGA</v>
      </c>
      <c r="AE38" s="48" t="str">
        <f t="shared" si="2"/>
        <v>FUERA DE SERVICIO</v>
      </c>
      <c r="AF38" s="16" t="str">
        <f t="shared" si="3"/>
        <v>NO APLICA</v>
      </c>
      <c r="AG38" s="16" t="str">
        <f t="shared" si="4"/>
        <v>No programar compra</v>
      </c>
      <c r="AH38" s="25">
        <f t="shared" si="5"/>
        <v>0</v>
      </c>
      <c r="AI38" s="25" t="str">
        <f t="shared" si="6"/>
        <v/>
      </c>
      <c r="AJ38" s="22">
        <f t="shared" si="7"/>
        <v>99</v>
      </c>
    </row>
    <row r="39" spans="1:36">
      <c r="A39" s="16" t="s">
        <v>122</v>
      </c>
      <c r="B39" s="16" t="s">
        <v>83</v>
      </c>
      <c r="C39" s="16" t="s">
        <v>1378</v>
      </c>
      <c r="D39" s="16" t="s">
        <v>44</v>
      </c>
      <c r="E39" s="17" t="s">
        <v>123</v>
      </c>
      <c r="F39" s="16">
        <v>2015</v>
      </c>
      <c r="G39" s="17" t="str">
        <f>IFERROR(_xlfn.XLOOKUP($A39,tblEquipos[Codigo],tblEquipos[Ubicacion],""),"")</f>
        <v>Obras Varias</v>
      </c>
      <c r="H39" s="16" t="s">
        <v>56</v>
      </c>
      <c r="I39" s="16" t="str">
        <f>IFERROR(VLOOKUP(A39, Equipos!A:J, 9, FALSE), "")</f>
        <v>KM</v>
      </c>
      <c r="J39" s="16">
        <f>IFERROR(VLOOKUP(A39, Equipos!A:J, 10, FALSE), "")</f>
        <v>10000</v>
      </c>
      <c r="K39" s="16">
        <f>IFERROR(IF($I39="KM",ROUND((_xlfn.MAXIFS(tblLecturas[Kilometraje],tblLecturas[Codigo],$A39)-_xlfn.MINIFS(tblLecturas[Kilometraje],tblLecturas[Codigo],$A39))/(MAX(1,_xlfn.MAXIFS(tblLecturas[Fecha],tblLecturas[Codigo],$A39)-_xlfn.MINIFS(tblLecturas[Fecha],tblLecturas[Codigo],$A39))),1),ROUND((_xlfn.MAXIFS(tblLecturas[Horometro],tblLecturas[Codigo],$A39)-_xlfn.MINIFS(tblLecturas[Horometro],tblLecturas[Codigo],$A39))/(MAX(1,_xlfn.MAXIFS(tblLecturas[Fecha],tblLecturas[Codigo],$A39)-_xlfn.MINIFS(tblLecturas[Fecha],tblLecturas[Codigo],$A39))),1)),"")</f>
        <v>95.7</v>
      </c>
      <c r="L39" s="18">
        <f>IFERROR(_xlfn.MAXIFS(tblLecturas[Fecha],tblLecturas[Codigo],$A39),"")</f>
        <v>46077</v>
      </c>
      <c r="M39" s="24">
        <f>IFERROR(_xlfn.MAXIFS(Lecturas!$C:$C,Lecturas!$B:$B,$A39,Lecturas!$C:$C,"&gt;0"),"")</f>
        <v>0</v>
      </c>
      <c r="N39" s="24">
        <f>IFERROR(_xlfn.MAXIFS(tblLecturas[Kilometraje],tblLecturas[Codigo],$A39,tblLecturas[Kilometraje],"&gt;0"),"")</f>
        <v>62298</v>
      </c>
      <c r="O39" s="24" cm="1">
        <f t="array" ref="O39">IFERROR(IF($I39="KM",LOOKUP(2,1/(Lecturas!$B:$B=$A39)/(Lecturas!$D:$D&gt;0),Lecturas!$D:$D),LOOKUP(2,1/(Lecturas!$B:$B=$A39)/(Lecturas!$C:$C&gt;0),Lecturas!$C:$C)),"")</f>
        <v>60862</v>
      </c>
      <c r="P39" s="18">
        <f>IFERROR(_xlfn.MAXIFS(tblMantenciones[Fecha],tblMantenciones[Codigo],tblMaestroEquipos[[#This Row],[Codigo]],tblMantenciones[EsPM],"Sí"),"")</f>
        <v>46174</v>
      </c>
      <c r="Q39" s="70">
        <f>IF(_xlfn.MAXIFS(Mantenciones!$D:$D,Mantenciones!$B:$B,A39)=0,"Sin datos de mantención registrado",_xlfn.MAXIFS(Mantenciones!$D:$D,Mantenciones!$B:$B,A39))</f>
        <v>78050</v>
      </c>
      <c r="R39" s="16">
        <f>IFERROR(IF(_xlfn.MAXIFS(Mantenciones!$D:$D,Mantenciones!$B:$B,$A39,Mantenciones!$E:$E,"Sí",Mantenciones!$D:$D,"&gt;0")=0,"Sin datos de mantención registrado",_xlfn.MAXIFS(Mantenciones!$D:$D,Mantenciones!$B:$B,$A39,Mantenciones!$E:$E,"Sí",Mantenciones!$D:$D,"&gt;0")),"Sin datos de mantención registrado")</f>
        <v>78050</v>
      </c>
      <c r="S39" s="19">
        <f>IFERROR(SUMIFS(tblMantenciones[Costo Mantencion CLP],tblMantenciones[Codigo],A39),0)</f>
        <v>0</v>
      </c>
      <c r="T39" s="19">
        <f>IFERROR(SUMIFS(tblComprasPM[Costo PM CLP],tblComprasPM[Codigo],tblMaestroEquipos[[#This Row],[Codigo]]),0)</f>
        <v>54299.973700000002</v>
      </c>
      <c r="U39" s="19">
        <f>IFERROR(tblMaestroEquipos[[#This Row],[Costo Mantenciones CLP]]+tblMaestroEquipos[[#This Row],[Costo Compras PM CLP]],0)</f>
        <v>54299.973700000002</v>
      </c>
      <c r="V39" s="16" t="str">
        <f>IFERROR(_xlfn.XLOOKUP(tblMaestroEquipos[[#This Row],[Codigo]],tblEquipos[Codigo],tblEquipos[Estado Base]),"")</f>
        <v>Operativo</v>
      </c>
      <c r="W39" s="16" t="str">
        <f t="shared" si="0"/>
        <v>AL DÍA</v>
      </c>
      <c r="X39" s="16">
        <f t="shared" si="1"/>
        <v>27188</v>
      </c>
      <c r="Y39" s="23">
        <f>IFERROR(IF(OR(tblMaestroEquipos[[#This Row],[Estado Operacional]]="FUERA DE SERVICIO",tblMaestroEquipos[[#This Row],[Ultima Fecha Lectura]]="",tblMaestroEquipos[[#This Row],[Dias a Proxima Mantencion]]=""),"",tblMaestroEquipos[[#This Row],[Ultima Fecha Lectura]]+tblMaestroEquipos[[#This Row],[Dias a Proxima Mantencion]]),"")</f>
        <v>73265</v>
      </c>
      <c r="Z39" s="23">
        <f>IFERROR(IF(_xlfn.MINIFS(tblComprasPM[Fecha],tblComprasPM[Codigo],tblMaestroEquipos[[#This Row],[Codigo]])=0,"",_xlfn.MINIFS(tblComprasPM[Fecha],tblComprasPM[Codigo],tblMaestroEquipos[[#This Row],[Codigo]])),"")</f>
        <v>46119.461431099502</v>
      </c>
      <c r="AA39" s="23">
        <f>IFERROR(IF(_xlfn.MAXIFS(tblBodega[Fecha],tblBodega[Codigo],tblMaestroEquipos[[#This Row],[Codigo]])=0,"",_xlfn.MAXIFS(tblBodega[Fecha],tblBodega[Codigo],tblMaestroEquipos[[#This Row],[Codigo]])),"")</f>
        <v>46174</v>
      </c>
      <c r="AB3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55</v>
      </c>
      <c r="AC39"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39" s="16" t="str">
        <f>IF(tblMaestroEquipos[[#This Row],[Fecha Salida Bodega]]="","SIN SALIDA BODEGA",IF(OR(tblMaestroEquipos[[#This Row],[Ultima Fecha PM]]="",tblMaestroEquipos[[#This Row],[Ultima Fecha PM]]&lt;tblMaestroEquipos[[#This Row],[Fecha Salida Bodega]]),"PENDIENTE","CERRADO"))</f>
        <v>CERRADO</v>
      </c>
      <c r="AE39" s="48" t="str">
        <f t="shared" si="2"/>
        <v>OPERATIVO</v>
      </c>
      <c r="AF39" s="16" t="str">
        <f t="shared" si="3"/>
        <v>BAJA</v>
      </c>
      <c r="AG39" s="16" t="str">
        <f t="shared" si="4"/>
        <v>Monitorear próximo vencimiento</v>
      </c>
      <c r="AH39">
        <f t="shared" si="5"/>
        <v>0</v>
      </c>
      <c r="AI39" t="str">
        <f t="shared" si="6"/>
        <v/>
      </c>
      <c r="AJ39" s="22">
        <f t="shared" si="7"/>
        <v>99</v>
      </c>
    </row>
    <row r="40" spans="1:36">
      <c r="A40" s="16" t="s">
        <v>126</v>
      </c>
      <c r="B40" s="16" t="s">
        <v>70</v>
      </c>
      <c r="C40" s="16" t="s">
        <v>1378</v>
      </c>
      <c r="D40" s="16" t="s">
        <v>54</v>
      </c>
      <c r="E40" s="17" t="s">
        <v>127</v>
      </c>
      <c r="F40" s="16">
        <v>2014</v>
      </c>
      <c r="G40" s="17" t="str">
        <f>IFERROR(_xlfn.XLOOKUP($A40,tblEquipos[Codigo],tblEquipos[Ubicacion],""),"")</f>
        <v>Taller</v>
      </c>
      <c r="H40" s="16" t="s">
        <v>56</v>
      </c>
      <c r="I40" s="16" t="str">
        <f>IFERROR(VLOOKUP(A40, Equipos!A:J, 9, FALSE), "")</f>
        <v>HORAS</v>
      </c>
      <c r="J40" s="16">
        <f>IFERROR(VLOOKUP(A40, Equipos!A:J, 10, FALSE), "")</f>
        <v>250</v>
      </c>
      <c r="K40" s="16">
        <f>IFERROR(IF($I40="KM",ROUND((_xlfn.MAXIFS(tblLecturas[Kilometraje],tblLecturas[Codigo],$A40)-_xlfn.MINIFS(tblLecturas[Kilometraje],tblLecturas[Codigo],$A40))/(MAX(1,_xlfn.MAXIFS(tblLecturas[Fecha],tblLecturas[Codigo],$A40)-_xlfn.MINIFS(tblLecturas[Fecha],tblLecturas[Codigo],$A40))),1),ROUND((_xlfn.MAXIFS(tblLecturas[Horometro],tblLecturas[Codigo],$A40)-_xlfn.MINIFS(tblLecturas[Horometro],tblLecturas[Codigo],$A40))/(MAX(1,_xlfn.MAXIFS(tblLecturas[Fecha],tblLecturas[Codigo],$A40)-_xlfn.MINIFS(tblLecturas[Fecha],tblLecturas[Codigo],$A40))),1)),"")</f>
        <v>0</v>
      </c>
      <c r="L40" s="18">
        <f>IFERROR(_xlfn.MAXIFS(tblLecturas[Fecha],tblLecturas[Codigo],$A40),"")</f>
        <v>46100</v>
      </c>
      <c r="M40" s="24">
        <f>IFERROR(_xlfn.MAXIFS(Lecturas!$C:$C,Lecturas!$B:$B,$A40,Lecturas!$C:$C,"&gt;0"),"")</f>
        <v>0</v>
      </c>
      <c r="N40" s="24">
        <f>IFERROR(_xlfn.MAXIFS(tblLecturas[Kilometraje],tblLecturas[Codigo],$A40,tblLecturas[Kilometraje],"&gt;0"),"")</f>
        <v>649418</v>
      </c>
      <c r="O40" s="24" t="str" cm="1">
        <f t="array" ref="O40">IFERROR(IF($I40="KM",LOOKUP(2,1/(Lecturas!$B:$B=$A40)/(Lecturas!$D:$D&gt;0),Lecturas!$D:$D),LOOKUP(2,1/(Lecturas!$B:$B=$A40)/(Lecturas!$C:$C&gt;0),Lecturas!$C:$C)),"")</f>
        <v/>
      </c>
      <c r="P40" s="18">
        <f>IFERROR(_xlfn.MAXIFS(tblMantenciones[Fecha],tblMantenciones[Codigo],tblMaestroEquipos[[#This Row],[Codigo]],tblMantenciones[EsPM],"Sí"),"")</f>
        <v>0</v>
      </c>
      <c r="Q40" s="70" t="str">
        <f>IF(_xlfn.MAXIFS(Mantenciones!$D:$D,Mantenciones!$B:$B,A40)=0,"Sin datos de mantención registrado",_xlfn.MAXIFS(Mantenciones!$D:$D,Mantenciones!$B:$B,A40))</f>
        <v>Sin datos de mantención registrado</v>
      </c>
      <c r="R40" s="16" t="str">
        <f>IFERROR(IF(_xlfn.MAXIFS(Mantenciones!$D:$D,Mantenciones!$B:$B,$A40,Mantenciones!$E:$E,"Sí",Mantenciones!$D:$D,"&gt;0")=0,"Sin datos de mantención registrado",_xlfn.MAXIFS(Mantenciones!$D:$D,Mantenciones!$B:$B,$A40,Mantenciones!$E:$E,"Sí",Mantenciones!$D:$D,"&gt;0")),"Sin datos de mantención registrado")</f>
        <v>Sin datos de mantención registrado</v>
      </c>
      <c r="S40" s="19">
        <f>IFERROR(SUMIFS(tblMantenciones[Costo Mantencion CLP],tblMantenciones[Codigo],A40),0)</f>
        <v>0</v>
      </c>
      <c r="T40" s="19">
        <f>IFERROR(SUMIFS(tblComprasPM[Costo PM CLP],tblComprasPM[Codigo],tblMaestroEquipos[[#This Row],[Codigo]]),0)</f>
        <v>664862.12</v>
      </c>
      <c r="U40" s="19">
        <f>IFERROR(tblMaestroEquipos[[#This Row],[Costo Mantenciones CLP]]+tblMaestroEquipos[[#This Row],[Costo Compras PM CLP]],0)</f>
        <v>664862.12</v>
      </c>
      <c r="V40" s="16" t="str">
        <f>IFERROR(_xlfn.XLOOKUP(tblMaestroEquipos[[#This Row],[Codigo]],tblEquipos[Codigo],tblEquipos[Estado Base]),"")</f>
        <v>Operativo</v>
      </c>
      <c r="W40" s="16" t="str">
        <f t="shared" si="0"/>
        <v>EN PROCESO</v>
      </c>
      <c r="X40" s="16" t="str">
        <f t="shared" si="1"/>
        <v/>
      </c>
      <c r="Y40"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40" s="23">
        <f>IFERROR(IF(_xlfn.MINIFS(tblComprasPM[Fecha],tblComprasPM[Codigo],tblMaestroEquipos[[#This Row],[Codigo]])=0,"",_xlfn.MINIFS(tblComprasPM[Fecha],tblComprasPM[Codigo],tblMaestroEquipos[[#This Row],[Codigo]])),"")</f>
        <v>46128.535379282403</v>
      </c>
      <c r="AA40" s="23" t="str">
        <f>IFERROR(IF(_xlfn.MAXIFS(tblBodega[Fecha],tblBodega[Codigo],tblMaestroEquipos[[#This Row],[Codigo]])=0,"",_xlfn.MAXIFS(tblBodega[Fecha],tblBodega[Codigo],tblMaestroEquipos[[#This Row],[Codigo]])),"")</f>
        <v/>
      </c>
      <c r="AB4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112</v>
      </c>
      <c r="AC40"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40" s="16" t="str">
        <f>IF(tblMaestroEquipos[[#This Row],[Fecha Salida Bodega]]="","SIN SALIDA BODEGA",IF(OR(tblMaestroEquipos[[#This Row],[Ultima Fecha PM]]="",tblMaestroEquipos[[#This Row],[Ultima Fecha PM]]&lt;tblMaestroEquipos[[#This Row],[Fecha Salida Bodega]]),"PENDIENTE","CERRADO"))</f>
        <v>SIN SALIDA BODEGA</v>
      </c>
      <c r="AE40" s="48" t="str">
        <f t="shared" si="2"/>
        <v>EN PROCESO</v>
      </c>
      <c r="AF40" s="16" t="str">
        <f t="shared" si="3"/>
        <v>SEGUIMIENTO</v>
      </c>
      <c r="AG40" s="16" t="str">
        <f t="shared" si="4"/>
        <v>Hacer seguimiento al taller y cerrar report</v>
      </c>
      <c r="AH40">
        <f t="shared" si="5"/>
        <v>0</v>
      </c>
      <c r="AI40" t="str">
        <f t="shared" si="6"/>
        <v/>
      </c>
      <c r="AJ40" s="22">
        <f t="shared" si="7"/>
        <v>2</v>
      </c>
    </row>
    <row r="41" spans="1:36">
      <c r="A41" s="16" t="s">
        <v>128</v>
      </c>
      <c r="B41" s="16" t="s">
        <v>129</v>
      </c>
      <c r="C41" s="16" t="s">
        <v>1385</v>
      </c>
      <c r="D41" s="16" t="s">
        <v>130</v>
      </c>
      <c r="E41" s="17" t="s">
        <v>131</v>
      </c>
      <c r="F41" s="16"/>
      <c r="G41" s="17" t="str">
        <f>IFERROR(_xlfn.XLOOKUP($A41,tblEquipos[Codigo],tblEquipos[Ubicacion],""),"")</f>
        <v>San Carlos</v>
      </c>
      <c r="H41" s="16"/>
      <c r="I41" s="16" t="str">
        <f>IFERROR(VLOOKUP(A41, Equipos!A:J, 9, FALSE), "")</f>
        <v>HORAS</v>
      </c>
      <c r="J41" s="16">
        <f>IFERROR(VLOOKUP(A41, Equipos!A:J, 10, FALSE), "")</f>
        <v>250</v>
      </c>
      <c r="K41" s="16">
        <f>IFERROR(IF($I41="KM",ROUND((_xlfn.MAXIFS(tblLecturas[Kilometraje],tblLecturas[Codigo],$A41)-_xlfn.MINIFS(tblLecturas[Kilometraje],tblLecturas[Codigo],$A41))/(MAX(1,_xlfn.MAXIFS(tblLecturas[Fecha],tblLecturas[Codigo],$A41)-_xlfn.MINIFS(tblLecturas[Fecha],tblLecturas[Codigo],$A41))),1),ROUND((_xlfn.MAXIFS(tblLecturas[Horometro],tblLecturas[Codigo],$A41)-_xlfn.MINIFS(tblLecturas[Horometro],tblLecturas[Codigo],$A41))/(MAX(1,_xlfn.MAXIFS(tblLecturas[Fecha],tblLecturas[Codigo],$A41)-_xlfn.MINIFS(tblLecturas[Fecha],tblLecturas[Codigo],$A41))),1)),"")</f>
        <v>0</v>
      </c>
      <c r="L41" s="18">
        <f>IFERROR(_xlfn.MAXIFS(tblLecturas[Fecha],tblLecturas[Codigo],$A41),"")</f>
        <v>46098</v>
      </c>
      <c r="M41" s="24">
        <f>IFERROR(_xlfn.MAXIFS(Lecturas!$C:$C,Lecturas!$B:$B,$A41,Lecturas!$C:$C,"&gt;0"),"")</f>
        <v>0</v>
      </c>
      <c r="N41" s="24">
        <f>IFERROR(_xlfn.MAXIFS(tblLecturas[Kilometraje],tblLecturas[Codigo],$A41,tblLecturas[Kilometraje],"&gt;0"),"")</f>
        <v>121996</v>
      </c>
      <c r="O41" s="24" t="str" cm="1">
        <f t="array" ref="O41">IFERROR(IF($I41="KM",LOOKUP(2,1/(Lecturas!$B:$B=$A41)/(Lecturas!$D:$D&gt;0),Lecturas!$D:$D),LOOKUP(2,1/(Lecturas!$B:$B=$A41)/(Lecturas!$C:$C&gt;0),Lecturas!$C:$C)),"")</f>
        <v/>
      </c>
      <c r="P41" s="18">
        <f>IFERROR(_xlfn.MAXIFS(tblMantenciones[Fecha],tblMantenciones[Codigo],tblMaestroEquipos[[#This Row],[Codigo]],tblMantenciones[EsPM],"Sí"),"")</f>
        <v>46168</v>
      </c>
      <c r="Q41" s="70">
        <f>IF(_xlfn.MAXIFS(Mantenciones!$D:$D,Mantenciones!$B:$B,A41)=0,"Sin datos de mantención registrado",_xlfn.MAXIFS(Mantenciones!$D:$D,Mantenciones!$B:$B,A41))</f>
        <v>5845</v>
      </c>
      <c r="R41" s="16">
        <f>IFERROR(IF(_xlfn.MAXIFS(Mantenciones!$D:$D,Mantenciones!$B:$B,$A41,Mantenciones!$E:$E,"Sí",Mantenciones!$D:$D,"&gt;0")=0,"Sin datos de mantención registrado",_xlfn.MAXIFS(Mantenciones!$D:$D,Mantenciones!$B:$B,$A41,Mantenciones!$E:$E,"Sí",Mantenciones!$D:$D,"&gt;0")),"Sin datos de mantención registrado")</f>
        <v>5845</v>
      </c>
      <c r="S41" s="19">
        <f>IFERROR(SUMIFS(tblMantenciones[Costo Mantencion CLP],tblMantenciones[Codigo],A41),0)</f>
        <v>0</v>
      </c>
      <c r="T41" s="19">
        <f>IFERROR(SUMIFS(tblComprasPM[Costo PM CLP],tblComprasPM[Codigo],tblMaestroEquipos[[#This Row],[Codigo]]),0)</f>
        <v>675093.6</v>
      </c>
      <c r="U41" s="19">
        <f>IFERROR(tblMaestroEquipos[[#This Row],[Costo Mantenciones CLP]]+tblMaestroEquipos[[#This Row],[Costo Compras PM CLP]],0)</f>
        <v>675093.6</v>
      </c>
      <c r="V41" s="16" t="str">
        <f>IFERROR(_xlfn.XLOOKUP(tblMaestroEquipos[[#This Row],[Codigo]],tblEquipos[Codigo],tblEquipos[Estado Base]),"")</f>
        <v>Operativo</v>
      </c>
      <c r="W41" s="16" t="str">
        <f t="shared" si="0"/>
        <v>POR RECIBIR</v>
      </c>
      <c r="X41" s="16" t="str">
        <f t="shared" si="1"/>
        <v/>
      </c>
      <c r="Y41"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41" s="23">
        <f>IFERROR(IF(_xlfn.MINIFS(tblComprasPM[Fecha],tblComprasPM[Codigo],tblMaestroEquipos[[#This Row],[Codigo]])=0,"",_xlfn.MINIFS(tblComprasPM[Fecha],tblComprasPM[Codigo],tblMaestroEquipos[[#This Row],[Codigo]])),"")</f>
        <v>46104.734478391198</v>
      </c>
      <c r="AA41" s="23">
        <f>IFERROR(IF(_xlfn.MAXIFS(tblBodega[Fecha],tblBodega[Codigo],tblMaestroEquipos[[#This Row],[Codigo]])=0,"",_xlfn.MAXIFS(tblBodega[Fecha],tblBodega[Codigo],tblMaestroEquipos[[#This Row],[Codigo]])),"")</f>
        <v>46169</v>
      </c>
      <c r="AB4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64</v>
      </c>
      <c r="AC41"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41" s="16" t="str">
        <f>IF(tblMaestroEquipos[[#This Row],[Fecha Salida Bodega]]="","SIN SALIDA BODEGA",IF(OR(tblMaestroEquipos[[#This Row],[Ultima Fecha PM]]="",tblMaestroEquipos[[#This Row],[Ultima Fecha PM]]&lt;tblMaestroEquipos[[#This Row],[Fecha Salida Bodega]]),"PENDIENTE","CERRADO"))</f>
        <v>PENDIENTE</v>
      </c>
      <c r="AE41" s="48" t="str">
        <f t="shared" si="2"/>
        <v>OPERATIVO</v>
      </c>
      <c r="AF41" s="16" t="str">
        <f t="shared" si="3"/>
        <v>BAJA</v>
      </c>
      <c r="AG41" s="16" t="str">
        <f t="shared" si="4"/>
        <v>Monitorear próximo vencimiento</v>
      </c>
      <c r="AH41">
        <f t="shared" si="5"/>
        <v>0</v>
      </c>
      <c r="AI41" t="str">
        <f t="shared" si="6"/>
        <v/>
      </c>
      <c r="AJ41" s="22">
        <f t="shared" si="7"/>
        <v>3</v>
      </c>
    </row>
    <row r="42" spans="1:36">
      <c r="A42" s="16" t="s">
        <v>133</v>
      </c>
      <c r="B42" s="16" t="s">
        <v>134</v>
      </c>
      <c r="C42" s="16" t="s">
        <v>1385</v>
      </c>
      <c r="D42" s="16" t="s">
        <v>54</v>
      </c>
      <c r="E42" s="17" t="s">
        <v>135</v>
      </c>
      <c r="F42" s="16">
        <v>2011</v>
      </c>
      <c r="G42" s="17">
        <f>IFERROR(_xlfn.XLOOKUP($A42,tblEquipos[Codigo],tblEquipos[Ubicacion],""),"")</f>
        <v>0</v>
      </c>
      <c r="H42" s="16"/>
      <c r="I42" s="16" t="str">
        <f>IFERROR(VLOOKUP(A42, Equipos!A:J, 9, FALSE), "")</f>
        <v>HORAS</v>
      </c>
      <c r="J42" s="16">
        <f>IFERROR(VLOOKUP(A42, Equipos!A:J, 10, FALSE), "")</f>
        <v>250</v>
      </c>
      <c r="K42" s="16">
        <f>IFERROR(IF($I42="KM",ROUND((_xlfn.MAXIFS(tblLecturas[Kilometraje],tblLecturas[Codigo],$A42)-_xlfn.MINIFS(tblLecturas[Kilometraje],tblLecturas[Codigo],$A42))/(MAX(1,_xlfn.MAXIFS(tblLecturas[Fecha],tblLecturas[Codigo],$A42)-_xlfn.MINIFS(tblLecturas[Fecha],tblLecturas[Codigo],$A42))),1),ROUND((_xlfn.MAXIFS(tblLecturas[Horometro],tblLecturas[Codigo],$A42)-_xlfn.MINIFS(tblLecturas[Horometro],tblLecturas[Codigo],$A42))/(MAX(1,_xlfn.MAXIFS(tblLecturas[Fecha],tblLecturas[Codigo],$A42)-_xlfn.MINIFS(tblLecturas[Fecha],tblLecturas[Codigo],$A42))),1)),"")</f>
        <v>0</v>
      </c>
      <c r="L42" s="18">
        <f>IFERROR(_xlfn.MAXIFS(tblLecturas[Fecha],tblLecturas[Codigo],$A42),"")</f>
        <v>0</v>
      </c>
      <c r="M42" s="24">
        <f>IFERROR(_xlfn.MAXIFS(Lecturas!$C:$C,Lecturas!$B:$B,$A42,Lecturas!$C:$C,"&gt;0"),"")</f>
        <v>0</v>
      </c>
      <c r="N42" s="24">
        <f>IFERROR(_xlfn.MAXIFS(tblLecturas[Kilometraje],tblLecturas[Codigo],$A42,tblLecturas[Kilometraje],"&gt;0"),"")</f>
        <v>0</v>
      </c>
      <c r="O42" s="24" t="str" cm="1">
        <f t="array" ref="O42">IFERROR(IF($I42="KM",LOOKUP(2,1/(Lecturas!$B:$B=$A42)/(Lecturas!$D:$D&gt;0),Lecturas!$D:$D),LOOKUP(2,1/(Lecturas!$B:$B=$A42)/(Lecturas!$C:$C&gt;0),Lecturas!$C:$C)),"")</f>
        <v/>
      </c>
      <c r="P42" s="18">
        <f>IFERROR(_xlfn.MAXIFS(tblMantenciones[Fecha],tblMantenciones[Codigo],tblMaestroEquipos[[#This Row],[Codigo]],tblMantenciones[EsPM],"Sí"),"")</f>
        <v>0</v>
      </c>
      <c r="Q42" s="70" t="str">
        <f>IF(_xlfn.MAXIFS(Mantenciones!$D:$D,Mantenciones!$B:$B,A42)=0,"Sin datos de mantención registrado",_xlfn.MAXIFS(Mantenciones!$D:$D,Mantenciones!$B:$B,A42))</f>
        <v>Sin datos de mantención registrado</v>
      </c>
      <c r="R42" s="16" t="str">
        <f>IFERROR(IF(_xlfn.MAXIFS(Mantenciones!$D:$D,Mantenciones!$B:$B,$A42,Mantenciones!$E:$E,"Sí",Mantenciones!$D:$D,"&gt;0")=0,"Sin datos de mantención registrado",_xlfn.MAXIFS(Mantenciones!$D:$D,Mantenciones!$B:$B,$A42,Mantenciones!$E:$E,"Sí",Mantenciones!$D:$D,"&gt;0")),"Sin datos de mantención registrado")</f>
        <v>Sin datos de mantención registrado</v>
      </c>
      <c r="S42" s="19">
        <f>IFERROR(SUMIFS(tblMantenciones[Costo Mantencion CLP],tblMantenciones[Codigo],A42),0)</f>
        <v>0</v>
      </c>
      <c r="T42" s="19">
        <f>IFERROR(SUMIFS(tblComprasPM[Costo PM CLP],tblComprasPM[Codigo],tblMaestroEquipos[[#This Row],[Codigo]]),0)</f>
        <v>15800</v>
      </c>
      <c r="U42" s="19">
        <f>IFERROR(tblMaestroEquipos[[#This Row],[Costo Mantenciones CLP]]+tblMaestroEquipos[[#This Row],[Costo Compras PM CLP]],0)</f>
        <v>15800</v>
      </c>
      <c r="V42" s="16" t="str">
        <f>IFERROR(_xlfn.XLOOKUP(tblMaestroEquipos[[#This Row],[Codigo]],tblEquipos[Codigo],tblEquipos[Estado Base]),"")</f>
        <v>Fuera de Servicio</v>
      </c>
      <c r="W42" s="16" t="str">
        <f t="shared" si="0"/>
        <v>FUERA DE SERVICIO</v>
      </c>
      <c r="X42" s="16" t="str">
        <f t="shared" si="1"/>
        <v/>
      </c>
      <c r="Y42"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42" s="23">
        <f>IFERROR(IF(_xlfn.MINIFS(tblComprasPM[Fecha],tblComprasPM[Codigo],tblMaestroEquipos[[#This Row],[Codigo]])=0,"",_xlfn.MINIFS(tblComprasPM[Fecha],tblComprasPM[Codigo],tblMaestroEquipos[[#This Row],[Codigo]])),"")</f>
        <v>46204</v>
      </c>
      <c r="AA42" s="23" t="str">
        <f>IFERROR(IF(_xlfn.MAXIFS(tblBodega[Fecha],tblBodega[Codigo],tblMaestroEquipos[[#This Row],[Codigo]])=0,"",_xlfn.MAXIFS(tblBodega[Fecha],tblBodega[Codigo],tblMaestroEquipos[[#This Row],[Codigo]])),"")</f>
        <v/>
      </c>
      <c r="AB42"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36</v>
      </c>
      <c r="AC4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42" s="16" t="str">
        <f>IF(tblMaestroEquipos[[#This Row],[Fecha Salida Bodega]]="","SIN SALIDA BODEGA",IF(OR(tblMaestroEquipos[[#This Row],[Ultima Fecha PM]]="",tblMaestroEquipos[[#This Row],[Ultima Fecha PM]]&lt;tblMaestroEquipos[[#This Row],[Fecha Salida Bodega]]),"PENDIENTE","CERRADO"))</f>
        <v>SIN SALIDA BODEGA</v>
      </c>
      <c r="AE42" s="48" t="str">
        <f t="shared" si="2"/>
        <v>FUERA DE SERVICIO</v>
      </c>
      <c r="AF42" s="16" t="str">
        <f t="shared" si="3"/>
        <v>NO APLICA</v>
      </c>
      <c r="AG42" s="16" t="str">
        <f t="shared" si="4"/>
        <v>No programar compra</v>
      </c>
      <c r="AH42" s="25">
        <f t="shared" si="5"/>
        <v>0</v>
      </c>
      <c r="AI42" s="25" t="str">
        <f t="shared" si="6"/>
        <v/>
      </c>
      <c r="AJ42" s="22">
        <f t="shared" si="7"/>
        <v>99</v>
      </c>
    </row>
    <row r="43" spans="1:36">
      <c r="A43" s="16" t="s">
        <v>136</v>
      </c>
      <c r="B43" s="16" t="s">
        <v>134</v>
      </c>
      <c r="C43" s="16" t="s">
        <v>1385</v>
      </c>
      <c r="D43" s="16" t="s">
        <v>54</v>
      </c>
      <c r="E43" s="17" t="s">
        <v>137</v>
      </c>
      <c r="F43" s="16">
        <v>2011</v>
      </c>
      <c r="G43" s="17" t="str">
        <f>IFERROR(_xlfn.XLOOKUP($A43,tblEquipos[Codigo],tblEquipos[Ubicacion],""),"")</f>
        <v>Palmucho</v>
      </c>
      <c r="H43" s="16"/>
      <c r="I43" s="16" t="str">
        <f>IFERROR(VLOOKUP(A43, Equipos!A:J, 9, FALSE), "")</f>
        <v>KM</v>
      </c>
      <c r="J43" s="16">
        <f>IFERROR(VLOOKUP(A43, Equipos!A:J, 10, FALSE), "")</f>
        <v>10000</v>
      </c>
      <c r="K43" s="16">
        <f>IFERROR(IF($I43="KM",ROUND((_xlfn.MAXIFS(tblLecturas[Kilometraje],tblLecturas[Codigo],$A43)-_xlfn.MINIFS(tblLecturas[Kilometraje],tblLecturas[Codigo],$A43))/(MAX(1,_xlfn.MAXIFS(tblLecturas[Fecha],tblLecturas[Codigo],$A43)-_xlfn.MINIFS(tblLecturas[Fecha],tblLecturas[Codigo],$A43))),1),ROUND((_xlfn.MAXIFS(tblLecturas[Horometro],tblLecturas[Codigo],$A43)-_xlfn.MINIFS(tblLecturas[Horometro],tblLecturas[Codigo],$A43))/(MAX(1,_xlfn.MAXIFS(tblLecturas[Fecha],tblLecturas[Codigo],$A43)-_xlfn.MINIFS(tblLecturas[Fecha],tblLecturas[Codigo],$A43))),1)),"")</f>
        <v>112.5</v>
      </c>
      <c r="L43" s="18">
        <f>IFERROR(_xlfn.MAXIFS(tblLecturas[Fecha],tblLecturas[Codigo],$A43),"")</f>
        <v>46196</v>
      </c>
      <c r="M43" s="24">
        <f>IFERROR(_xlfn.MAXIFS(Lecturas!$C:$C,Lecturas!$B:$B,$A43,Lecturas!$C:$C,"&gt;0"),"")</f>
        <v>0</v>
      </c>
      <c r="N43" s="24">
        <f>IFERROR(_xlfn.MAXIFS(tblLecturas[Kilometraje],tblLecturas[Codigo],$A43,tblLecturas[Kilometraje],"&gt;0"),"")</f>
        <v>307050</v>
      </c>
      <c r="O43" s="24" cm="1">
        <f t="array" ref="O43">IFERROR(IF($I43="KM",LOOKUP(2,1/(Lecturas!$B:$B=$A43)/(Lecturas!$D:$D&gt;0),Lecturas!$D:$D),LOOKUP(2,1/(Lecturas!$B:$B=$A43)/(Lecturas!$C:$C&gt;0),Lecturas!$C:$C)),"")</f>
        <v>307050</v>
      </c>
      <c r="P43" s="18">
        <f>IFERROR(_xlfn.MAXIFS(tblMantenciones[Fecha],tblMantenciones[Codigo],tblMaestroEquipos[[#This Row],[Codigo]],tblMantenciones[EsPM],"Sí"),"")</f>
        <v>46192</v>
      </c>
      <c r="Q43" s="70">
        <f>IF(_xlfn.MAXIFS(Mantenciones!$D:$D,Mantenciones!$B:$B,A43)=0,"Sin datos de mantención registrado",_xlfn.MAXIFS(Mantenciones!$D:$D,Mantenciones!$B:$B,A43))</f>
        <v>306826</v>
      </c>
      <c r="R43" s="16">
        <f>IFERROR(IF(_xlfn.MAXIFS(Mantenciones!$D:$D,Mantenciones!$B:$B,$A43,Mantenciones!$E:$E,"Sí",Mantenciones!$D:$D,"&gt;0")=0,"Sin datos de mantención registrado",_xlfn.MAXIFS(Mantenciones!$D:$D,Mantenciones!$B:$B,$A43,Mantenciones!$E:$E,"Sí",Mantenciones!$D:$D,"&gt;0")),"Sin datos de mantención registrado")</f>
        <v>306826</v>
      </c>
      <c r="S43" s="19">
        <f>IFERROR(SUMIFS(tblMantenciones[Costo Mantencion CLP],tblMantenciones[Codigo],A43),0)</f>
        <v>0</v>
      </c>
      <c r="T43" s="19">
        <f>IFERROR(SUMIFS(tblComprasPM[Costo PM CLP],tblComprasPM[Codigo],tblMaestroEquipos[[#This Row],[Codigo]]),0)</f>
        <v>0</v>
      </c>
      <c r="U43" s="19">
        <f>IFERROR(tblMaestroEquipos[[#This Row],[Costo Mantenciones CLP]]+tblMaestroEquipos[[#This Row],[Costo Compras PM CLP]],0)</f>
        <v>0</v>
      </c>
      <c r="V43" s="16" t="str">
        <f>IFERROR(_xlfn.XLOOKUP(tblMaestroEquipos[[#This Row],[Codigo]],tblEquipos[Codigo],tblEquipos[Estado Base]),"")</f>
        <v>Operativo</v>
      </c>
      <c r="W43" s="16" t="str">
        <f t="shared" si="0"/>
        <v>AL DÍA</v>
      </c>
      <c r="X43" s="16">
        <f t="shared" si="1"/>
        <v>9776</v>
      </c>
      <c r="Y43" s="23">
        <f>IFERROR(IF(OR(tblMaestroEquipos[[#This Row],[Estado Operacional]]="FUERA DE SERVICIO",tblMaestroEquipos[[#This Row],[Ultima Fecha Lectura]]="",tblMaestroEquipos[[#This Row],[Dias a Proxima Mantencion]]=""),"",tblMaestroEquipos[[#This Row],[Ultima Fecha Lectura]]+tblMaestroEquipos[[#This Row],[Dias a Proxima Mantencion]]),"")</f>
        <v>55972</v>
      </c>
      <c r="Z43" s="23" t="str">
        <f>IFERROR(IF(_xlfn.MINIFS(tblComprasPM[Fecha],tblComprasPM[Codigo],tblMaestroEquipos[[#This Row],[Codigo]])=0,"",_xlfn.MINIFS(tblComprasPM[Fecha],tblComprasPM[Codigo],tblMaestroEquipos[[#This Row],[Codigo]])),"")</f>
        <v/>
      </c>
      <c r="AA43" s="23">
        <f>IFERROR(IF(_xlfn.MAXIFS(tblBodega[Fecha],tblBodega[Codigo],tblMaestroEquipos[[#This Row],[Codigo]])=0,"",_xlfn.MAXIFS(tblBodega[Fecha],tblBodega[Codigo],tblMaestroEquipos[[#This Row],[Codigo]])),"")</f>
        <v>46153</v>
      </c>
      <c r="AB43"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43"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39</v>
      </c>
      <c r="AD43" s="16" t="str">
        <f>IF(tblMaestroEquipos[[#This Row],[Fecha Salida Bodega]]="","SIN SALIDA BODEGA",IF(OR(tblMaestroEquipos[[#This Row],[Ultima Fecha PM]]="",tblMaestroEquipos[[#This Row],[Ultima Fecha PM]]&lt;tblMaestroEquipos[[#This Row],[Fecha Salida Bodega]]),"PENDIENTE","CERRADO"))</f>
        <v>CERRADO</v>
      </c>
      <c r="AE43" s="48" t="str">
        <f t="shared" si="2"/>
        <v>OPERATIVO</v>
      </c>
      <c r="AF43" s="16" t="str">
        <f t="shared" si="3"/>
        <v>BAJA</v>
      </c>
      <c r="AG43" s="16" t="str">
        <f t="shared" si="4"/>
        <v>Monitorear próximo vencimiento</v>
      </c>
      <c r="AH43" s="25">
        <f t="shared" si="5"/>
        <v>0</v>
      </c>
      <c r="AI43" s="25" t="str">
        <f t="shared" si="6"/>
        <v/>
      </c>
      <c r="AJ43" s="22">
        <f t="shared" si="7"/>
        <v>99</v>
      </c>
    </row>
    <row r="44" spans="1:36">
      <c r="A44" s="16" t="s">
        <v>138</v>
      </c>
      <c r="B44" s="16" t="s">
        <v>139</v>
      </c>
      <c r="C44" s="16" t="s">
        <v>1385</v>
      </c>
      <c r="D44" s="16" t="s">
        <v>109</v>
      </c>
      <c r="E44" s="17" t="s">
        <v>140</v>
      </c>
      <c r="F44" s="16">
        <v>1997</v>
      </c>
      <c r="G44" s="17" t="str">
        <f>IFERROR(_xlfn.XLOOKUP($A44,tblEquipos[Codigo],tblEquipos[Ubicacion],""),"")</f>
        <v>Palmucho</v>
      </c>
      <c r="H44" s="16"/>
      <c r="I44" s="16" t="str">
        <f>IFERROR(VLOOKUP(A44, Equipos!A:J, 9, FALSE), "")</f>
        <v>HORAS</v>
      </c>
      <c r="J44" s="16">
        <f>IFERROR(VLOOKUP(A44, Equipos!A:J, 10, FALSE), "")</f>
        <v>250</v>
      </c>
      <c r="K44" s="16">
        <f>IFERROR(IF($I44="KM",ROUND((_xlfn.MAXIFS(tblLecturas[Kilometraje],tblLecturas[Codigo],$A44)-_xlfn.MINIFS(tblLecturas[Kilometraje],tblLecturas[Codigo],$A44))/(MAX(1,_xlfn.MAXIFS(tblLecturas[Fecha],tblLecturas[Codigo],$A44)-_xlfn.MINIFS(tblLecturas[Fecha],tblLecturas[Codigo],$A44))),1),ROUND((_xlfn.MAXIFS(tblLecturas[Horometro],tblLecturas[Codigo],$A44)-_xlfn.MINIFS(tblLecturas[Horometro],tblLecturas[Codigo],$A44))/(MAX(1,_xlfn.MAXIFS(tblLecturas[Fecha],tblLecturas[Codigo],$A44)-_xlfn.MINIFS(tblLecturas[Fecha],tblLecturas[Codigo],$A44))),1)),"")</f>
        <v>1.5</v>
      </c>
      <c r="L44" s="18">
        <f>IFERROR(_xlfn.MAXIFS(tblLecturas[Fecha],tblLecturas[Codigo],$A44),"")</f>
        <v>46192</v>
      </c>
      <c r="M44" s="24">
        <f>IFERROR(_xlfn.MAXIFS(Lecturas!$C:$C,Lecturas!$B:$B,$A44,Lecturas!$C:$C,"&gt;0"),"")</f>
        <v>1963</v>
      </c>
      <c r="N44" s="24">
        <f>IFERROR(_xlfn.MAXIFS(tblLecturas[Kilometraje],tblLecturas[Codigo],$A44,tblLecturas[Kilometraje],"&gt;0"),"")</f>
        <v>78355</v>
      </c>
      <c r="O44" s="24" cm="1">
        <f t="array" ref="O44">IFERROR(IF($I44="KM",LOOKUP(2,1/(Lecturas!$B:$B=$A44)/(Lecturas!$D:$D&gt;0),Lecturas!$D:$D),LOOKUP(2,1/(Lecturas!$B:$B=$A44)/(Lecturas!$C:$C&gt;0),Lecturas!$C:$C)),"")</f>
        <v>1963</v>
      </c>
      <c r="P44" s="18">
        <f>IFERROR(_xlfn.MAXIFS(tblMantenciones[Fecha],tblMantenciones[Codigo],tblMaestroEquipos[[#This Row],[Codigo]],tblMantenciones[EsPM],"Sí"),"")</f>
        <v>46162</v>
      </c>
      <c r="Q44" s="70">
        <f>IF(_xlfn.MAXIFS(Mantenciones!$D:$D,Mantenciones!$B:$B,A44)=0,"Sin datos de mantención registrado",_xlfn.MAXIFS(Mantenciones!$D:$D,Mantenciones!$B:$B,A44))</f>
        <v>34909</v>
      </c>
      <c r="R44" s="16">
        <f>IFERROR(IF(_xlfn.MAXIFS(Mantenciones!$D:$D,Mantenciones!$B:$B,$A44,Mantenciones!$E:$E,"Sí",Mantenciones!$D:$D,"&gt;0")=0,"Sin datos de mantención registrado",_xlfn.MAXIFS(Mantenciones!$D:$D,Mantenciones!$B:$B,$A44,Mantenciones!$E:$E,"Sí",Mantenciones!$D:$D,"&gt;0")),"Sin datos de mantención registrado")</f>
        <v>34909</v>
      </c>
      <c r="S44" s="19">
        <f>IFERROR(SUMIFS(tblMantenciones[Costo Mantencion CLP],tblMantenciones[Codigo],A44),0)</f>
        <v>0</v>
      </c>
      <c r="T44" s="19">
        <f>IFERROR(SUMIFS(tblComprasPM[Costo PM CLP],tblComprasPM[Codigo],tblMaestroEquipos[[#This Row],[Codigo]]),0)</f>
        <v>209194.86</v>
      </c>
      <c r="U44" s="19">
        <f>IFERROR(tblMaestroEquipos[[#This Row],[Costo Mantenciones CLP]]+tblMaestroEquipos[[#This Row],[Costo Compras PM CLP]],0)</f>
        <v>209194.86</v>
      </c>
      <c r="V44" s="16" t="str">
        <f>IFERROR(_xlfn.XLOOKUP(tblMaestroEquipos[[#This Row],[Codigo]],tblEquipos[Codigo],tblEquipos[Estado Base]),"")</f>
        <v>Operativo</v>
      </c>
      <c r="W44" s="16" t="str">
        <f t="shared" si="0"/>
        <v>AL DÍA</v>
      </c>
      <c r="X44" s="16">
        <f t="shared" si="1"/>
        <v>33196</v>
      </c>
      <c r="Y44" s="23">
        <f>IFERROR(IF(OR(tblMaestroEquipos[[#This Row],[Estado Operacional]]="FUERA DE SERVICIO",tblMaestroEquipos[[#This Row],[Ultima Fecha Lectura]]="",tblMaestroEquipos[[#This Row],[Dias a Proxima Mantencion]]=""),"",tblMaestroEquipos[[#This Row],[Ultima Fecha Lectura]]+tblMaestroEquipos[[#This Row],[Dias a Proxima Mantencion]]),"")</f>
        <v>79388</v>
      </c>
      <c r="Z44" s="23">
        <f>IFERROR(IF(_xlfn.MINIFS(tblComprasPM[Fecha],tblComprasPM[Codigo],tblMaestroEquipos[[#This Row],[Codigo]])=0,"",_xlfn.MINIFS(tblComprasPM[Fecha],tblComprasPM[Codigo],tblMaestroEquipos[[#This Row],[Codigo]])),"")</f>
        <v>46167</v>
      </c>
      <c r="AA44" s="23">
        <f>IFERROR(IF(_xlfn.MAXIFS(tblBodega[Fecha],tblBodega[Codigo],tblMaestroEquipos[[#This Row],[Codigo]])=0,"",_xlfn.MAXIFS(tblBodega[Fecha],tblBodega[Codigo],tblMaestroEquipos[[#This Row],[Codigo]])),"")</f>
        <v>46155</v>
      </c>
      <c r="AB44"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44"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7</v>
      </c>
      <c r="AD44" s="16" t="str">
        <f>IF(tblMaestroEquipos[[#This Row],[Fecha Salida Bodega]]="","SIN SALIDA BODEGA",IF(OR(tblMaestroEquipos[[#This Row],[Ultima Fecha PM]]="",tblMaestroEquipos[[#This Row],[Ultima Fecha PM]]&lt;tblMaestroEquipos[[#This Row],[Fecha Salida Bodega]]),"PENDIENTE","CERRADO"))</f>
        <v>CERRADO</v>
      </c>
      <c r="AE44" s="48" t="str">
        <f t="shared" si="2"/>
        <v>OPERATIVO</v>
      </c>
      <c r="AF44" s="16" t="str">
        <f t="shared" si="3"/>
        <v>BAJA</v>
      </c>
      <c r="AG44" s="16" t="str">
        <f t="shared" si="4"/>
        <v>Monitorear próximo vencimiento</v>
      </c>
      <c r="AH44">
        <f t="shared" si="5"/>
        <v>0</v>
      </c>
      <c r="AI44" t="str">
        <f t="shared" si="6"/>
        <v/>
      </c>
      <c r="AJ44" s="22">
        <f t="shared" si="7"/>
        <v>99</v>
      </c>
    </row>
    <row r="45" spans="1:36">
      <c r="A45" s="16" t="s">
        <v>141</v>
      </c>
      <c r="B45" s="16" t="s">
        <v>139</v>
      </c>
      <c r="C45" s="16" t="s">
        <v>1385</v>
      </c>
      <c r="D45" s="16" t="s">
        <v>66</v>
      </c>
      <c r="E45" s="17" t="s">
        <v>142</v>
      </c>
      <c r="F45" s="16">
        <v>2006</v>
      </c>
      <c r="G45" s="17" t="str">
        <f>IFERROR(_xlfn.XLOOKUP($A45,tblEquipos[Codigo],tblEquipos[Ubicacion],""),"")</f>
        <v>Palmucho</v>
      </c>
      <c r="H45" s="16"/>
      <c r="I45" s="16" t="str">
        <f>IFERROR(VLOOKUP(A45, Equipos!A:J, 9, FALSE), "")</f>
        <v>HORAS</v>
      </c>
      <c r="J45" s="16">
        <f>IFERROR(VLOOKUP(A45, Equipos!A:J, 10, FALSE), "")</f>
        <v>250</v>
      </c>
      <c r="K45" s="16">
        <f>IFERROR(IF($I45="KM",ROUND((_xlfn.MAXIFS(tblLecturas[Kilometraje],tblLecturas[Codigo],$A45)-_xlfn.MINIFS(tblLecturas[Kilometraje],tblLecturas[Codigo],$A45))/(MAX(1,_xlfn.MAXIFS(tblLecturas[Fecha],tblLecturas[Codigo],$A45)-_xlfn.MINIFS(tblLecturas[Fecha],tblLecturas[Codigo],$A45))),1),ROUND((_xlfn.MAXIFS(tblLecturas[Horometro],tblLecturas[Codigo],$A45)-_xlfn.MINIFS(tblLecturas[Horometro],tblLecturas[Codigo],$A45))/(MAX(1,_xlfn.MAXIFS(tblLecturas[Fecha],tblLecturas[Codigo],$A45)-_xlfn.MINIFS(tblLecturas[Fecha],tblLecturas[Codigo],$A45))),1)),"")</f>
        <v>3.2</v>
      </c>
      <c r="L45" s="18">
        <f>IFERROR(_xlfn.MAXIFS(tblLecturas[Fecha],tblLecturas[Codigo],$A45),"")</f>
        <v>46192</v>
      </c>
      <c r="M45" s="24">
        <f>IFERROR(_xlfn.MAXIFS(Lecturas!$C:$C,Lecturas!$B:$B,$A45,Lecturas!$C:$C,"&gt;0"),"")</f>
        <v>2033</v>
      </c>
      <c r="N45" s="24">
        <f>IFERROR(_xlfn.MAXIFS(tblLecturas[Kilometraje],tblLecturas[Codigo],$A45,tblLecturas[Kilometraje],"&gt;0"),"")</f>
        <v>83967</v>
      </c>
      <c r="O45" s="24" cm="1">
        <f t="array" ref="O45">IFERROR(IF($I45="KM",LOOKUP(2,1/(Lecturas!$B:$B=$A45)/(Lecturas!$D:$D&gt;0),Lecturas!$D:$D),LOOKUP(2,1/(Lecturas!$B:$B=$A45)/(Lecturas!$C:$C&gt;0),Lecturas!$C:$C)),"")</f>
        <v>2033</v>
      </c>
      <c r="P45" s="18">
        <f>IFERROR(_xlfn.MAXIFS(tblMantenciones[Fecha],tblMantenciones[Codigo],tblMaestroEquipos[[#This Row],[Codigo]],tblMantenciones[EsPM],"Sí"),"")</f>
        <v>46160</v>
      </c>
      <c r="Q45" s="70">
        <f>IF(_xlfn.MAXIFS(Mantenciones!$D:$D,Mantenciones!$B:$B,A45)=0,"Sin datos de mantención registrado",_xlfn.MAXIFS(Mantenciones!$D:$D,Mantenciones!$B:$B,A45))</f>
        <v>331891</v>
      </c>
      <c r="R45" s="16">
        <f>IFERROR(IF(_xlfn.MAXIFS(Mantenciones!$D:$D,Mantenciones!$B:$B,$A45,Mantenciones!$E:$E,"Sí",Mantenciones!$D:$D,"&gt;0")=0,"Sin datos de mantención registrado",_xlfn.MAXIFS(Mantenciones!$D:$D,Mantenciones!$B:$B,$A45,Mantenciones!$E:$E,"Sí",Mantenciones!$D:$D,"&gt;0")),"Sin datos de mantención registrado")</f>
        <v>331891</v>
      </c>
      <c r="S45" s="19">
        <f>IFERROR(SUMIFS(tblMantenciones[Costo Mantencion CLP],tblMantenciones[Codigo],A45),0)</f>
        <v>0</v>
      </c>
      <c r="T45" s="19">
        <f>IFERROR(SUMIFS(tblComprasPM[Costo PM CLP],tblComprasPM[Codigo],tblMaestroEquipos[[#This Row],[Codigo]]),0)</f>
        <v>206297.21</v>
      </c>
      <c r="U45" s="19">
        <f>IFERROR(tblMaestroEquipos[[#This Row],[Costo Mantenciones CLP]]+tblMaestroEquipos[[#This Row],[Costo Compras PM CLP]],0)</f>
        <v>206297.21</v>
      </c>
      <c r="V45" s="16" t="str">
        <f>IFERROR(_xlfn.XLOOKUP(tblMaestroEquipos[[#This Row],[Codigo]],tblEquipos[Codigo],tblEquipos[Estado Base]),"")</f>
        <v>Operativo</v>
      </c>
      <c r="W45" s="16" t="str">
        <f t="shared" si="0"/>
        <v>AL DÍA</v>
      </c>
      <c r="X45" s="16">
        <f t="shared" si="1"/>
        <v>330108</v>
      </c>
      <c r="Y45" s="23">
        <f>IFERROR(IF(OR(tblMaestroEquipos[[#This Row],[Estado Operacional]]="FUERA DE SERVICIO",tblMaestroEquipos[[#This Row],[Ultima Fecha Lectura]]="",tblMaestroEquipos[[#This Row],[Dias a Proxima Mantencion]]=""),"",tblMaestroEquipos[[#This Row],[Ultima Fecha Lectura]]+tblMaestroEquipos[[#This Row],[Dias a Proxima Mantencion]]),"")</f>
        <v>376300</v>
      </c>
      <c r="Z45" s="23">
        <f>IFERROR(IF(_xlfn.MINIFS(tblComprasPM[Fecha],tblComprasPM[Codigo],tblMaestroEquipos[[#This Row],[Codigo]])=0,"",_xlfn.MINIFS(tblComprasPM[Fecha],tblComprasPM[Codigo],tblMaestroEquipos[[#This Row],[Codigo]])),"")</f>
        <v>46146.415923958302</v>
      </c>
      <c r="AA45" s="23">
        <f>IFERROR(IF(_xlfn.MAXIFS(tblBodega[Fecha],tblBodega[Codigo],tblMaestroEquipos[[#This Row],[Codigo]])=0,"",_xlfn.MAXIFS(tblBodega[Fecha],tblBodega[Codigo],tblMaestroEquipos[[#This Row],[Codigo]])),"")</f>
        <v>46155</v>
      </c>
      <c r="AB4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14</v>
      </c>
      <c r="AC4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5</v>
      </c>
      <c r="AD45" s="16" t="str">
        <f>IF(tblMaestroEquipos[[#This Row],[Fecha Salida Bodega]]="","SIN SALIDA BODEGA",IF(OR(tblMaestroEquipos[[#This Row],[Ultima Fecha PM]]="",tblMaestroEquipos[[#This Row],[Ultima Fecha PM]]&lt;tblMaestroEquipos[[#This Row],[Fecha Salida Bodega]]),"PENDIENTE","CERRADO"))</f>
        <v>CERRADO</v>
      </c>
      <c r="AE45" s="48" t="str">
        <f t="shared" si="2"/>
        <v>OPERATIVO</v>
      </c>
      <c r="AF45" s="16" t="str">
        <f t="shared" si="3"/>
        <v>BAJA</v>
      </c>
      <c r="AG45" s="16" t="str">
        <f t="shared" si="4"/>
        <v>Monitorear próximo vencimiento</v>
      </c>
      <c r="AH45">
        <f t="shared" si="5"/>
        <v>0</v>
      </c>
      <c r="AI45" t="str">
        <f t="shared" si="6"/>
        <v/>
      </c>
      <c r="AJ45" s="22">
        <f t="shared" si="7"/>
        <v>99</v>
      </c>
    </row>
    <row r="46" spans="1:36">
      <c r="A46" s="16" t="s">
        <v>143</v>
      </c>
      <c r="B46" s="16" t="s">
        <v>83</v>
      </c>
      <c r="C46" s="16" t="s">
        <v>1378</v>
      </c>
      <c r="D46" s="16" t="s">
        <v>44</v>
      </c>
      <c r="E46" s="17" t="s">
        <v>144</v>
      </c>
      <c r="F46" s="16">
        <v>2011</v>
      </c>
      <c r="G46" s="17" t="str">
        <f>IFERROR(_xlfn.XLOOKUP($A46,tblEquipos[Codigo],tblEquipos[Ubicacion],""),"")</f>
        <v>Palmucho</v>
      </c>
      <c r="H46" s="16" t="s">
        <v>145</v>
      </c>
      <c r="I46" s="16" t="str">
        <f>IFERROR(VLOOKUP(A46, Equipos!A:J, 9, FALSE), "")</f>
        <v>KM</v>
      </c>
      <c r="J46" s="16">
        <f>IFERROR(VLOOKUP(A46, Equipos!A:J, 10, FALSE), "")</f>
        <v>10000</v>
      </c>
      <c r="K46" s="16">
        <f>IFERROR(IF($I46="KM",ROUND((_xlfn.MAXIFS(tblLecturas[Kilometraje],tblLecturas[Codigo],$A46)-_xlfn.MINIFS(tblLecturas[Kilometraje],tblLecturas[Codigo],$A46))/(MAX(1,_xlfn.MAXIFS(tblLecturas[Fecha],tblLecturas[Codigo],$A46)-_xlfn.MINIFS(tblLecturas[Fecha],tblLecturas[Codigo],$A46))),1),ROUND((_xlfn.MAXIFS(tblLecturas[Horometro],tblLecturas[Codigo],$A46)-_xlfn.MINIFS(tblLecturas[Horometro],tblLecturas[Codigo],$A46))/(MAX(1,_xlfn.MAXIFS(tblLecturas[Fecha],tblLecturas[Codigo],$A46)-_xlfn.MINIFS(tblLecturas[Fecha],tblLecturas[Codigo],$A46))),1)),"")</f>
        <v>66</v>
      </c>
      <c r="L46" s="18">
        <f>IFERROR(_xlfn.MAXIFS(tblLecturas[Fecha],tblLecturas[Codigo],$A46),"")</f>
        <v>46195</v>
      </c>
      <c r="M46" s="24">
        <f>IFERROR(_xlfn.MAXIFS(Lecturas!$C:$C,Lecturas!$B:$B,$A46,Lecturas!$C:$C,"&gt;0"),"")</f>
        <v>0</v>
      </c>
      <c r="N46" s="24">
        <f>IFERROR(_xlfn.MAXIFS(tblLecturas[Kilometraje],tblLecturas[Codigo],$A46,tblLecturas[Kilometraje],"&gt;0"),"")</f>
        <v>810571</v>
      </c>
      <c r="O46" s="24" cm="1">
        <f t="array" ref="O46">IFERROR(IF($I46="KM",LOOKUP(2,1/(Lecturas!$B:$B=$A46)/(Lecturas!$D:$D&gt;0),Lecturas!$D:$D),LOOKUP(2,1/(Lecturas!$B:$B=$A46)/(Lecturas!$C:$C&gt;0),Lecturas!$C:$C)),"")</f>
        <v>810571</v>
      </c>
      <c r="P46" s="18">
        <f>IFERROR(_xlfn.MAXIFS(tblMantenciones[Fecha],tblMantenciones[Codigo],tblMaestroEquipos[[#This Row],[Codigo]],tblMantenciones[EsPM],"Sí"),"")</f>
        <v>46196</v>
      </c>
      <c r="Q46" s="70">
        <f>IF(_xlfn.MAXIFS(Mantenciones!$D:$D,Mantenciones!$B:$B,A46)=0,"Sin datos de mantención registrado",_xlfn.MAXIFS(Mantenciones!$D:$D,Mantenciones!$B:$B,A46))</f>
        <v>811356</v>
      </c>
      <c r="R46" s="16">
        <f>IFERROR(IF(_xlfn.MAXIFS(Mantenciones!$D:$D,Mantenciones!$B:$B,$A46,Mantenciones!$E:$E,"Sí",Mantenciones!$D:$D,"&gt;0")=0,"Sin datos de mantención registrado",_xlfn.MAXIFS(Mantenciones!$D:$D,Mantenciones!$B:$B,$A46,Mantenciones!$E:$E,"Sí",Mantenciones!$D:$D,"&gt;0")),"Sin datos de mantención registrado")</f>
        <v>811356</v>
      </c>
      <c r="S46" s="19">
        <f>IFERROR(SUMIFS(tblMantenciones[Costo Mantencion CLP],tblMantenciones[Codigo],A46),0)</f>
        <v>0</v>
      </c>
      <c r="T46" s="19">
        <f>IFERROR(SUMIFS(tblComprasPM[Costo PM CLP],tblComprasPM[Codigo],tblMaestroEquipos[[#This Row],[Codigo]]),0)</f>
        <v>131994.79999999999</v>
      </c>
      <c r="U46" s="19">
        <f>IFERROR(tblMaestroEquipos[[#This Row],[Costo Mantenciones CLP]]+tblMaestroEquipos[[#This Row],[Costo Compras PM CLP]],0)</f>
        <v>131994.79999999999</v>
      </c>
      <c r="V46" s="16" t="str">
        <f>IFERROR(_xlfn.XLOOKUP(tblMaestroEquipos[[#This Row],[Codigo]],tblEquipos[Codigo],tblEquipos[Estado Base]),"")</f>
        <v>Operativo</v>
      </c>
      <c r="W46" s="16" t="str">
        <f t="shared" si="0"/>
        <v>EN PROCESO</v>
      </c>
      <c r="X46" s="16">
        <f t="shared" si="1"/>
        <v>10785</v>
      </c>
      <c r="Y46" s="23">
        <f>IFERROR(IF(OR(tblMaestroEquipos[[#This Row],[Estado Operacional]]="FUERA DE SERVICIO",tblMaestroEquipos[[#This Row],[Ultima Fecha Lectura]]="",tblMaestroEquipos[[#This Row],[Dias a Proxima Mantencion]]=""),"",tblMaestroEquipos[[#This Row],[Ultima Fecha Lectura]]+tblMaestroEquipos[[#This Row],[Dias a Proxima Mantencion]]),"")</f>
        <v>56980</v>
      </c>
      <c r="Z46" s="23">
        <f>IFERROR(IF(_xlfn.MINIFS(tblComprasPM[Fecha],tblComprasPM[Codigo],tblMaestroEquipos[[#This Row],[Codigo]])=0,"",_xlfn.MINIFS(tblComprasPM[Fecha],tblComprasPM[Codigo],tblMaestroEquipos[[#This Row],[Codigo]])),"")</f>
        <v>46079.4319211806</v>
      </c>
      <c r="AA46" s="23" t="str">
        <f>IFERROR(IF(_xlfn.MAXIFS(tblBodega[Fecha],tblBodega[Codigo],tblMaestroEquipos[[#This Row],[Codigo]])=0,"",_xlfn.MAXIFS(tblBodega[Fecha],tblBodega[Codigo],tblMaestroEquipos[[#This Row],[Codigo]])),"")</f>
        <v/>
      </c>
      <c r="AB4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117</v>
      </c>
      <c r="AC46"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46" s="16" t="str">
        <f>IF(tblMaestroEquipos[[#This Row],[Fecha Salida Bodega]]="","SIN SALIDA BODEGA",IF(OR(tblMaestroEquipos[[#This Row],[Ultima Fecha PM]]="",tblMaestroEquipos[[#This Row],[Ultima Fecha PM]]&lt;tblMaestroEquipos[[#This Row],[Fecha Salida Bodega]]),"PENDIENTE","CERRADO"))</f>
        <v>SIN SALIDA BODEGA</v>
      </c>
      <c r="AE46" s="48" t="str">
        <f t="shared" si="2"/>
        <v>EN PROCESO</v>
      </c>
      <c r="AF46" s="16" t="str">
        <f t="shared" si="3"/>
        <v>SEGUIMIENTO</v>
      </c>
      <c r="AG46" s="16" t="str">
        <f t="shared" si="4"/>
        <v>Hacer seguimiento al taller y cerrar report</v>
      </c>
      <c r="AH46" s="25">
        <f t="shared" si="5"/>
        <v>0</v>
      </c>
      <c r="AI46" s="25" t="str">
        <f t="shared" si="6"/>
        <v/>
      </c>
      <c r="AJ46" s="22">
        <f t="shared" si="7"/>
        <v>2</v>
      </c>
    </row>
    <row r="47" spans="1:36">
      <c r="A47" s="16" t="s">
        <v>146</v>
      </c>
      <c r="B47" s="16" t="s">
        <v>43</v>
      </c>
      <c r="C47" s="16" t="s">
        <v>1378</v>
      </c>
      <c r="D47" s="16" t="s">
        <v>44</v>
      </c>
      <c r="E47" s="17" t="s">
        <v>147</v>
      </c>
      <c r="F47" s="16">
        <v>2012</v>
      </c>
      <c r="G47" s="17" t="str">
        <f>IFERROR(_xlfn.XLOOKUP($A47,tblEquipos[Codigo],tblEquipos[Ubicacion],""),"")</f>
        <v>SANTIAGO</v>
      </c>
      <c r="H47" s="16" t="s">
        <v>149</v>
      </c>
      <c r="I47" s="16" t="str">
        <f>IFERROR(VLOOKUP(A47, Equipos!A:J, 9, FALSE), "")</f>
        <v>HORAS</v>
      </c>
      <c r="J47" s="16">
        <f>IFERROR(VLOOKUP(A47, Equipos!A:J, 10, FALSE), "")</f>
        <v>250</v>
      </c>
      <c r="K47" s="16">
        <f>IFERROR(IF($I47="KM",ROUND((_xlfn.MAXIFS(tblLecturas[Kilometraje],tblLecturas[Codigo],$A47)-_xlfn.MINIFS(tblLecturas[Kilometraje],tblLecturas[Codigo],$A47))/(MAX(1,_xlfn.MAXIFS(tblLecturas[Fecha],tblLecturas[Codigo],$A47)-_xlfn.MINIFS(tblLecturas[Fecha],tblLecturas[Codigo],$A47))),1),ROUND((_xlfn.MAXIFS(tblLecturas[Horometro],tblLecturas[Codigo],$A47)-_xlfn.MINIFS(tblLecturas[Horometro],tblLecturas[Codigo],$A47))/(MAX(1,_xlfn.MAXIFS(tblLecturas[Fecha],tblLecturas[Codigo],$A47)-_xlfn.MINIFS(tblLecturas[Fecha],tblLecturas[Codigo],$A47))),1)),"")</f>
        <v>0</v>
      </c>
      <c r="L47" s="18">
        <f>IFERROR(_xlfn.MAXIFS(tblLecturas[Fecha],tblLecturas[Codigo],$A47),"")</f>
        <v>44218</v>
      </c>
      <c r="M47" s="24">
        <f>IFERROR(_xlfn.MAXIFS(Lecturas!$C:$C,Lecturas!$B:$B,$A47,Lecturas!$C:$C,"&gt;0"),"")</f>
        <v>0</v>
      </c>
      <c r="N47" s="24">
        <f>IFERROR(_xlfn.MAXIFS(tblLecturas[Kilometraje],tblLecturas[Codigo],$A47,tblLecturas[Kilometraje],"&gt;0"),"")</f>
        <v>169355</v>
      </c>
      <c r="O47" s="24" t="str" cm="1">
        <f t="array" ref="O47">IFERROR(IF($I47="KM",LOOKUP(2,1/(Lecturas!$B:$B=$A47)/(Lecturas!$D:$D&gt;0),Lecturas!$D:$D),LOOKUP(2,1/(Lecturas!$B:$B=$A47)/(Lecturas!$C:$C&gt;0),Lecturas!$C:$C)),"")</f>
        <v/>
      </c>
      <c r="P47" s="18">
        <f>IFERROR(_xlfn.MAXIFS(tblMantenciones[Fecha],tblMantenciones[Codigo],tblMaestroEquipos[[#This Row],[Codigo]],tblMantenciones[EsPM],"Sí"),"")</f>
        <v>45230</v>
      </c>
      <c r="Q47" s="70">
        <f>IF(_xlfn.MAXIFS(Mantenciones!$D:$D,Mantenciones!$B:$B,A47)=0,"Sin datos de mantención registrado",_xlfn.MAXIFS(Mantenciones!$D:$D,Mantenciones!$B:$B,A47))</f>
        <v>238100</v>
      </c>
      <c r="R47" s="16">
        <f>IFERROR(IF(_xlfn.MAXIFS(Mantenciones!$D:$D,Mantenciones!$B:$B,$A47,Mantenciones!$E:$E,"Sí",Mantenciones!$D:$D,"&gt;0")=0,"Sin datos de mantención registrado",_xlfn.MAXIFS(Mantenciones!$D:$D,Mantenciones!$B:$B,$A47,Mantenciones!$E:$E,"Sí",Mantenciones!$D:$D,"&gt;0")),"Sin datos de mantención registrado")</f>
        <v>238100</v>
      </c>
      <c r="S47" s="19">
        <f>IFERROR(SUMIFS(tblMantenciones[Costo Mantencion CLP],tblMantenciones[Codigo],A47),0)</f>
        <v>0</v>
      </c>
      <c r="T47" s="19">
        <f>IFERROR(SUMIFS(tblComprasPM[Costo PM CLP],tblComprasPM[Codigo],tblMaestroEquipos[[#This Row],[Codigo]]),0)</f>
        <v>0</v>
      </c>
      <c r="U47" s="19">
        <f>IFERROR(tblMaestroEquipos[[#This Row],[Costo Mantenciones CLP]]+tblMaestroEquipos[[#This Row],[Costo Compras PM CLP]],0)</f>
        <v>0</v>
      </c>
      <c r="V47" s="16" t="str">
        <f>IFERROR(_xlfn.XLOOKUP(tblMaestroEquipos[[#This Row],[Codigo]],tblEquipos[Codigo],tblEquipos[Estado Base]),"")</f>
        <v>Fuera de Servicio</v>
      </c>
      <c r="W47" s="16" t="str">
        <f t="shared" si="0"/>
        <v>FUERA DE SERVICIO</v>
      </c>
      <c r="X47" s="16" t="str">
        <f t="shared" si="1"/>
        <v/>
      </c>
      <c r="Y47"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47" s="23" t="str">
        <f>IFERROR(IF(_xlfn.MINIFS(tblComprasPM[Fecha],tblComprasPM[Codigo],tblMaestroEquipos[[#This Row],[Codigo]])=0,"",_xlfn.MINIFS(tblComprasPM[Fecha],tblComprasPM[Codigo],tblMaestroEquipos[[#This Row],[Codigo]])),"")</f>
        <v/>
      </c>
      <c r="AA47" s="23" t="str">
        <f>IFERROR(IF(_xlfn.MAXIFS(tblBodega[Fecha],tblBodega[Codigo],tblMaestroEquipos[[#This Row],[Codigo]])=0,"",_xlfn.MAXIFS(tblBodega[Fecha],tblBodega[Codigo],tblMaestroEquipos[[#This Row],[Codigo]])),"")</f>
        <v/>
      </c>
      <c r="AB47"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47"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47" s="16" t="str">
        <f>IF(tblMaestroEquipos[[#This Row],[Fecha Salida Bodega]]="","SIN SALIDA BODEGA",IF(OR(tblMaestroEquipos[[#This Row],[Ultima Fecha PM]]="",tblMaestroEquipos[[#This Row],[Ultima Fecha PM]]&lt;tblMaestroEquipos[[#This Row],[Fecha Salida Bodega]]),"PENDIENTE","CERRADO"))</f>
        <v>SIN SALIDA BODEGA</v>
      </c>
      <c r="AE47" s="48" t="str">
        <f t="shared" si="2"/>
        <v>FUERA DE SERVICIO</v>
      </c>
      <c r="AF47" s="16" t="str">
        <f t="shared" si="3"/>
        <v>NO APLICA</v>
      </c>
      <c r="AG47" s="16" t="str">
        <f t="shared" si="4"/>
        <v>No programar compra</v>
      </c>
      <c r="AH47" s="25">
        <f t="shared" si="5"/>
        <v>0</v>
      </c>
      <c r="AI47" s="25" t="str">
        <f t="shared" si="6"/>
        <v/>
      </c>
      <c r="AJ47" s="22">
        <f t="shared" si="7"/>
        <v>99</v>
      </c>
    </row>
    <row r="48" spans="1:36">
      <c r="A48" s="16" t="s">
        <v>150</v>
      </c>
      <c r="B48" s="16" t="s">
        <v>113</v>
      </c>
      <c r="C48" s="16" t="s">
        <v>1378</v>
      </c>
      <c r="D48" s="16" t="s">
        <v>109</v>
      </c>
      <c r="E48" s="17" t="s">
        <v>110</v>
      </c>
      <c r="F48" s="16">
        <v>2008</v>
      </c>
      <c r="G48" s="17" t="str">
        <f>IFERROR(_xlfn.XLOOKUP($A48,tblEquipos[Codigo],tblEquipos[Ubicacion],""),"")</f>
        <v>Cobquecura</v>
      </c>
      <c r="H48" s="16" t="s">
        <v>1386</v>
      </c>
      <c r="I48" s="16" t="str">
        <f>IFERROR(VLOOKUP(A48, Equipos!A:J, 9, FALSE), "")</f>
        <v>HORAS</v>
      </c>
      <c r="J48" s="16">
        <f>IFERROR(VLOOKUP(A48, Equipos!A:J, 10, FALSE), "")</f>
        <v>250</v>
      </c>
      <c r="K48" s="16">
        <f>IFERROR(IF($I48="KM",ROUND((_xlfn.MAXIFS(tblLecturas[Kilometraje],tblLecturas[Codigo],$A48)-_xlfn.MINIFS(tblLecturas[Kilometraje],tblLecturas[Codigo],$A48))/(MAX(1,_xlfn.MAXIFS(tblLecturas[Fecha],tblLecturas[Codigo],$A48)-_xlfn.MINIFS(tblLecturas[Fecha],tblLecturas[Codigo],$A48))),1),ROUND((_xlfn.MAXIFS(tblLecturas[Horometro],tblLecturas[Codigo],$A48)-_xlfn.MINIFS(tblLecturas[Horometro],tblLecturas[Codigo],$A48))/(MAX(1,_xlfn.MAXIFS(tblLecturas[Fecha],tblLecturas[Codigo],$A48)-_xlfn.MINIFS(tblLecturas[Fecha],tblLecturas[Codigo],$A48))),1)),"")</f>
        <v>0</v>
      </c>
      <c r="L48" s="18">
        <f>IFERROR(_xlfn.MAXIFS(tblLecturas[Fecha],tblLecturas[Codigo],$A48),"")</f>
        <v>46108</v>
      </c>
      <c r="M48" s="24">
        <f>IFERROR(_xlfn.MAXIFS(Lecturas!$C:$C,Lecturas!$B:$B,$A48,Lecturas!$C:$C,"&gt;0"),"")</f>
        <v>481560</v>
      </c>
      <c r="N48" s="24">
        <f>IFERROR(_xlfn.MAXIFS(tblLecturas[Kilometraje],tblLecturas[Codigo],$A48,tblLecturas[Kilometraje],"&gt;0"),"")</f>
        <v>261307</v>
      </c>
      <c r="O48" s="24" cm="1">
        <f t="array" ref="O48">IFERROR(IF($I48="KM",LOOKUP(2,1/(Lecturas!$B:$B=$A48)/(Lecturas!$D:$D&gt;0),Lecturas!$D:$D),LOOKUP(2,1/(Lecturas!$B:$B=$A48)/(Lecturas!$C:$C&gt;0),Lecturas!$C:$C)),"")</f>
        <v>481560</v>
      </c>
      <c r="P48" s="18">
        <f>IFERROR(_xlfn.MAXIFS(tblMantenciones[Fecha],tblMantenciones[Codigo],tblMaestroEquipos[[#This Row],[Codigo]],tblMantenciones[EsPM],"Sí"),"")</f>
        <v>44609</v>
      </c>
      <c r="Q48" s="70">
        <f>IF(_xlfn.MAXIFS(Mantenciones!$D:$D,Mantenciones!$B:$B,A48)=0,"Sin datos de mantención registrado",_xlfn.MAXIFS(Mantenciones!$D:$D,Mantenciones!$B:$B,A48))</f>
        <v>7815</v>
      </c>
      <c r="R48" s="16">
        <f>IFERROR(IF(_xlfn.MAXIFS(Mantenciones!$D:$D,Mantenciones!$B:$B,$A48,Mantenciones!$E:$E,"Sí",Mantenciones!$D:$D,"&gt;0")=0,"Sin datos de mantención registrado",_xlfn.MAXIFS(Mantenciones!$D:$D,Mantenciones!$B:$B,$A48,Mantenciones!$E:$E,"Sí",Mantenciones!$D:$D,"&gt;0")),"Sin datos de mantención registrado")</f>
        <v>7815</v>
      </c>
      <c r="S48" s="19">
        <f>IFERROR(SUMIFS(tblMantenciones[Costo Mantencion CLP],tblMantenciones[Codigo],A48),0)</f>
        <v>0</v>
      </c>
      <c r="T48" s="19">
        <f>IFERROR(SUMIFS(tblComprasPM[Costo PM CLP],tblComprasPM[Codigo],tblMaestroEquipos[[#This Row],[Codigo]]),0)</f>
        <v>381399.96230000001</v>
      </c>
      <c r="U48" s="19">
        <f>IFERROR(tblMaestroEquipos[[#This Row],[Costo Mantenciones CLP]]+tblMaestroEquipos[[#This Row],[Costo Compras PM CLP]],0)</f>
        <v>381399.96230000001</v>
      </c>
      <c r="V48" s="16" t="str">
        <f>IFERROR(_xlfn.XLOOKUP(tblMaestroEquipos[[#This Row],[Codigo]],tblEquipos[Codigo],tblEquipos[Estado Base]),"")</f>
        <v>Operativo</v>
      </c>
      <c r="W48" s="16" t="str">
        <f t="shared" si="0"/>
        <v>EN PROCESO</v>
      </c>
      <c r="X48" s="16">
        <f t="shared" si="1"/>
        <v>-473495</v>
      </c>
      <c r="Y48" s="23">
        <f>IFERROR(IF(OR(tblMaestroEquipos[[#This Row],[Estado Operacional]]="FUERA DE SERVICIO",tblMaestroEquipos[[#This Row],[Ultima Fecha Lectura]]="",tblMaestroEquipos[[#This Row],[Dias a Proxima Mantencion]]=""),"",tblMaestroEquipos[[#This Row],[Ultima Fecha Lectura]]+tblMaestroEquipos[[#This Row],[Dias a Proxima Mantencion]]),"")</f>
        <v>-427387</v>
      </c>
      <c r="Z48" s="23">
        <f>IFERROR(IF(_xlfn.MINIFS(tblComprasPM[Fecha],tblComprasPM[Codigo],tblMaestroEquipos[[#This Row],[Codigo]])=0,"",_xlfn.MINIFS(tblComprasPM[Fecha],tblComprasPM[Codigo],tblMaestroEquipos[[#This Row],[Codigo]])),"")</f>
        <v>46104.621280289401</v>
      </c>
      <c r="AA48" s="23" t="str">
        <f>IFERROR(IF(_xlfn.MAXIFS(tblBodega[Fecha],tblBodega[Codigo],tblMaestroEquipos[[#This Row],[Codigo]])=0,"",_xlfn.MAXIFS(tblBodega[Fecha],tblBodega[Codigo],tblMaestroEquipos[[#This Row],[Codigo]])),"")</f>
        <v/>
      </c>
      <c r="AB48"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48"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48" s="16" t="str">
        <f>IF(tblMaestroEquipos[[#This Row],[Fecha Salida Bodega]]="","SIN SALIDA BODEGA",IF(OR(tblMaestroEquipos[[#This Row],[Ultima Fecha PM]]="",tblMaestroEquipos[[#This Row],[Ultima Fecha PM]]&lt;tblMaestroEquipos[[#This Row],[Fecha Salida Bodega]]),"PENDIENTE","CERRADO"))</f>
        <v>SIN SALIDA BODEGA</v>
      </c>
      <c r="AE48" s="48" t="str">
        <f t="shared" si="2"/>
        <v>EN PROCESO</v>
      </c>
      <c r="AF48" s="16" t="str">
        <f t="shared" si="3"/>
        <v>SEGUIMIENTO</v>
      </c>
      <c r="AG48" s="16" t="str">
        <f t="shared" si="4"/>
        <v>Hacer seguimiento al taller y cerrar report</v>
      </c>
      <c r="AH48" s="25">
        <f t="shared" si="5"/>
        <v>0</v>
      </c>
      <c r="AI48" s="25" t="str">
        <f t="shared" si="6"/>
        <v/>
      </c>
      <c r="AJ48" s="22">
        <f t="shared" si="7"/>
        <v>2</v>
      </c>
    </row>
    <row r="49" spans="1:36">
      <c r="A49" s="16" t="s">
        <v>152</v>
      </c>
      <c r="B49" s="16" t="s">
        <v>70</v>
      </c>
      <c r="C49" s="16" t="s">
        <v>1378</v>
      </c>
      <c r="D49" s="16" t="s">
        <v>153</v>
      </c>
      <c r="E49" s="17" t="s">
        <v>154</v>
      </c>
      <c r="F49" s="16">
        <v>2018</v>
      </c>
      <c r="G49" s="17" t="str">
        <f>IFERROR(_xlfn.XLOOKUP($A49,tblEquipos[Codigo],tblEquipos[Ubicacion],""),"")</f>
        <v>Taller</v>
      </c>
      <c r="H49" s="16" t="s">
        <v>155</v>
      </c>
      <c r="I49" s="16" t="str">
        <f>IFERROR(VLOOKUP(A49, Equipos!A:J, 9, FALSE), "")</f>
        <v>Km</v>
      </c>
      <c r="J49" s="16">
        <f>IFERROR(VLOOKUP(A49, Equipos!A:J, 10, FALSE), "")</f>
        <v>10000</v>
      </c>
      <c r="K49" s="16">
        <f>IFERROR(IF($I49="KM",ROUND((_xlfn.MAXIFS(tblLecturas[Kilometraje],tblLecturas[Codigo],$A49)-_xlfn.MINIFS(tblLecturas[Kilometraje],tblLecturas[Codigo],$A49))/(MAX(1,_xlfn.MAXIFS(tblLecturas[Fecha],tblLecturas[Codigo],$A49)-_xlfn.MINIFS(tblLecturas[Fecha],tblLecturas[Codigo],$A49))),1),ROUND((_xlfn.MAXIFS(tblLecturas[Horometro],tblLecturas[Codigo],$A49)-_xlfn.MINIFS(tblLecturas[Horometro],tblLecturas[Codigo],$A49))/(MAX(1,_xlfn.MAXIFS(tblLecturas[Fecha],tblLecturas[Codigo],$A49)-_xlfn.MINIFS(tblLecturas[Fecha],tblLecturas[Codigo],$A49))),1)),"")</f>
        <v>244.2</v>
      </c>
      <c r="L49" s="18">
        <f>IFERROR(_xlfn.MAXIFS(tblLecturas[Fecha],tblLecturas[Codigo],$A49),"")</f>
        <v>46178</v>
      </c>
      <c r="M49" s="24">
        <f>IFERROR(_xlfn.MAXIFS(Lecturas!$C:$C,Lecturas!$B:$B,$A49,Lecturas!$C:$C,"&gt;0"),"")</f>
        <v>0</v>
      </c>
      <c r="N49" s="24">
        <f>IFERROR(_xlfn.MAXIFS(tblLecturas[Kilometraje],tblLecturas[Codigo],$A49,tblLecturas[Kilometraje],"&gt;0"),"")</f>
        <v>500330</v>
      </c>
      <c r="O49" s="24" cm="1">
        <f t="array" ref="O49">IFERROR(IF($I49="KM",LOOKUP(2,1/(Lecturas!$B:$B=$A49)/(Lecturas!$D:$D&gt;0),Lecturas!$D:$D),LOOKUP(2,1/(Lecturas!$B:$B=$A49)/(Lecturas!$C:$C&gt;0),Lecturas!$C:$C)),"")</f>
        <v>500330</v>
      </c>
      <c r="P49" s="18">
        <f>IFERROR(_xlfn.MAXIFS(tblMantenciones[Fecha],tblMantenciones[Codigo],tblMaestroEquipos[[#This Row],[Codigo]],tblMantenciones[EsPM],"Sí"),"")</f>
        <v>46154</v>
      </c>
      <c r="Q49" s="70">
        <f>IF(_xlfn.MAXIFS(Mantenciones!$D:$D,Mantenciones!$B:$B,A49)=0,"Sin datos de mantención registrado",_xlfn.MAXIFS(Mantenciones!$D:$D,Mantenciones!$B:$B,A49))</f>
        <v>491662</v>
      </c>
      <c r="R49" s="16">
        <f>IFERROR(IF(_xlfn.MAXIFS(Mantenciones!$D:$D,Mantenciones!$B:$B,$A49,Mantenciones!$E:$E,"Sí",Mantenciones!$D:$D,"&gt;0")=0,"Sin datos de mantención registrado",_xlfn.MAXIFS(Mantenciones!$D:$D,Mantenciones!$B:$B,$A49,Mantenciones!$E:$E,"Sí",Mantenciones!$D:$D,"&gt;0")),"Sin datos de mantención registrado")</f>
        <v>491662</v>
      </c>
      <c r="S49" s="19">
        <f>IFERROR(SUMIFS(tblMantenciones[Costo Mantencion CLP],tblMantenciones[Codigo],A49),0)</f>
        <v>0</v>
      </c>
      <c r="T49" s="19">
        <f>IFERROR(SUMIFS(tblComprasPM[Costo PM CLP],tblComprasPM[Codigo],tblMaestroEquipos[[#This Row],[Codigo]]),0)</f>
        <v>764993.28500000003</v>
      </c>
      <c r="U49" s="19">
        <f>IFERROR(tblMaestroEquipos[[#This Row],[Costo Mantenciones CLP]]+tblMaestroEquipos[[#This Row],[Costo Compras PM CLP]],0)</f>
        <v>764993.28500000003</v>
      </c>
      <c r="V49" s="16" t="str">
        <f>IFERROR(_xlfn.XLOOKUP(tblMaestroEquipos[[#This Row],[Codigo]],tblEquipos[Codigo],tblEquipos[Estado Base]),"")</f>
        <v>Operativo</v>
      </c>
      <c r="W49" s="16" t="str">
        <f t="shared" si="0"/>
        <v>AL DÍA</v>
      </c>
      <c r="X49" s="16">
        <f t="shared" si="1"/>
        <v>1332</v>
      </c>
      <c r="Y49" s="23">
        <f ca="1">IFERROR(IF($X49="","",TODAY()+$X49),"")</f>
        <v>47572</v>
      </c>
      <c r="Z49" s="23">
        <f>IFERROR(IF(_xlfn.MINIFS(tblComprasPM[Fecha],tblComprasPM[Codigo],tblMaestroEquipos[[#This Row],[Codigo]])=0,"",_xlfn.MINIFS(tblComprasPM[Fecha],tblComprasPM[Codigo],tblMaestroEquipos[[#This Row],[Codigo]])),"")</f>
        <v>46069.640180520801</v>
      </c>
      <c r="AA49" s="23">
        <f>IFERROR(IF(_xlfn.MAXIFS(tblBodega[Fecha],tblBodega[Codigo],tblMaestroEquipos[[#This Row],[Codigo]])=0,"",_xlfn.MAXIFS(tblBodega[Fecha],tblBodega[Codigo],tblMaestroEquipos[[#This Row],[Codigo]])),"")</f>
        <v>46153</v>
      </c>
      <c r="AB4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85</v>
      </c>
      <c r="AC49"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v>
      </c>
      <c r="AD49" s="16" t="str">
        <f>IF(tblMaestroEquipos[[#This Row],[Fecha Salida Bodega]]="","SIN SALIDA BODEGA",IF(OR(tblMaestroEquipos[[#This Row],[Ultima Fecha PM]]="",tblMaestroEquipos[[#This Row],[Ultima Fecha PM]]&lt;tblMaestroEquipos[[#This Row],[Fecha Salida Bodega]]),"PENDIENTE","CERRADO"))</f>
        <v>CERRADO</v>
      </c>
      <c r="AE49" s="48" t="str">
        <f t="shared" si="2"/>
        <v>OPERATIVO</v>
      </c>
      <c r="AF49" s="16" t="str">
        <f t="shared" si="3"/>
        <v>BAJA</v>
      </c>
      <c r="AG49" s="16" t="str">
        <f t="shared" si="4"/>
        <v>Monitorear próximo vencimiento</v>
      </c>
      <c r="AH49">
        <f t="shared" si="5"/>
        <v>0</v>
      </c>
      <c r="AI49" t="str">
        <f t="shared" ca="1" si="6"/>
        <v/>
      </c>
      <c r="AJ49" s="22">
        <f t="shared" si="7"/>
        <v>99</v>
      </c>
    </row>
    <row r="50" spans="1:36">
      <c r="A50" s="16" t="s">
        <v>157</v>
      </c>
      <c r="B50" s="16" t="s">
        <v>113</v>
      </c>
      <c r="C50" s="16" t="s">
        <v>1378</v>
      </c>
      <c r="D50" s="16" t="s">
        <v>109</v>
      </c>
      <c r="E50" s="17" t="s">
        <v>110</v>
      </c>
      <c r="F50" s="16">
        <v>2008</v>
      </c>
      <c r="G50" s="17" t="str">
        <f>IFERROR(_xlfn.XLOOKUP($A50,tblEquipos[Codigo],tblEquipos[Ubicacion],""),"")</f>
        <v>Palmucho</v>
      </c>
      <c r="H50" s="16" t="s">
        <v>1387</v>
      </c>
      <c r="I50" s="16" t="str">
        <f>IFERROR(VLOOKUP(A50, Equipos!A:J, 9, FALSE), "")</f>
        <v>HORAS</v>
      </c>
      <c r="J50" s="16">
        <f>IFERROR(VLOOKUP(A50, Equipos!A:J, 10, FALSE), "")</f>
        <v>250</v>
      </c>
      <c r="K50" s="16">
        <f>IFERROR(IF($I50="KM",ROUND((_xlfn.MAXIFS(tblLecturas[Kilometraje],tblLecturas[Codigo],$A50)-_xlfn.MINIFS(tblLecturas[Kilometraje],tblLecturas[Codigo],$A50))/(MAX(1,_xlfn.MAXIFS(tblLecturas[Fecha],tblLecturas[Codigo],$A50)-_xlfn.MINIFS(tblLecturas[Fecha],tblLecturas[Codigo],$A50))),1),ROUND((_xlfn.MAXIFS(tblLecturas[Horometro],tblLecturas[Codigo],$A50)-_xlfn.MINIFS(tblLecturas[Horometro],tblLecturas[Codigo],$A50))/(MAX(1,_xlfn.MAXIFS(tblLecturas[Fecha],tblLecturas[Codigo],$A50)-_xlfn.MINIFS(tblLecturas[Fecha],tblLecturas[Codigo],$A50))),1)),"")</f>
        <v>0</v>
      </c>
      <c r="L50" s="18">
        <f>IFERROR(_xlfn.MAXIFS(tblLecturas[Fecha],tblLecturas[Codigo],$A50),"")</f>
        <v>46141</v>
      </c>
      <c r="M50" s="24">
        <f>IFERROR(_xlfn.MAXIFS(Lecturas!$C:$C,Lecturas!$B:$B,$A50,Lecturas!$C:$C,"&gt;0"),"")</f>
        <v>0</v>
      </c>
      <c r="N50" s="24">
        <f>IFERROR(_xlfn.MAXIFS(tblLecturas[Kilometraje],tblLecturas[Codigo],$A50,tblLecturas[Kilometraje],"&gt;0"),"")</f>
        <v>142391</v>
      </c>
      <c r="O50" s="24" t="str" cm="1">
        <f t="array" ref="O50">IFERROR(IF($I50="KM",LOOKUP(2,1/(Lecturas!$B:$B=$A50)/(Lecturas!$D:$D&gt;0),Lecturas!$D:$D),LOOKUP(2,1/(Lecturas!$B:$B=$A50)/(Lecturas!$C:$C&gt;0),Lecturas!$C:$C)),"")</f>
        <v/>
      </c>
      <c r="P50" s="18">
        <f>IFERROR(_xlfn.MAXIFS(tblMantenciones[Fecha],tblMantenciones[Codigo],tblMaestroEquipos[[#This Row],[Codigo]],tblMantenciones[EsPM],"Sí"),"")</f>
        <v>45026</v>
      </c>
      <c r="Q50" s="70">
        <f>IF(_xlfn.MAXIFS(Mantenciones!$D:$D,Mantenciones!$B:$B,A50)=0,"Sin datos de mantención registrado",_xlfn.MAXIFS(Mantenciones!$D:$D,Mantenciones!$B:$B,A50))</f>
        <v>12927</v>
      </c>
      <c r="R50" s="16">
        <f>IFERROR(IF(_xlfn.MAXIFS(Mantenciones!$D:$D,Mantenciones!$B:$B,$A50,Mantenciones!$E:$E,"Sí",Mantenciones!$D:$D,"&gt;0")=0,"Sin datos de mantención registrado",_xlfn.MAXIFS(Mantenciones!$D:$D,Mantenciones!$B:$B,$A50,Mantenciones!$E:$E,"Sí",Mantenciones!$D:$D,"&gt;0")),"Sin datos de mantención registrado")</f>
        <v>12927</v>
      </c>
      <c r="S50" s="19">
        <f>IFERROR(SUMIFS(tblMantenciones[Costo Mantencion CLP],tblMantenciones[Codigo],A50),0)</f>
        <v>0</v>
      </c>
      <c r="T50" s="19">
        <f>IFERROR(SUMIFS(tblComprasPM[Costo PM CLP],tblComprasPM[Codigo],tblMaestroEquipos[[#This Row],[Codigo]]),0)</f>
        <v>393830.5</v>
      </c>
      <c r="U50" s="19">
        <f>IFERROR(tblMaestroEquipos[[#This Row],[Costo Mantenciones CLP]]+tblMaestroEquipos[[#This Row],[Costo Compras PM CLP]],0)</f>
        <v>393830.5</v>
      </c>
      <c r="V50" s="16" t="str">
        <f>IFERROR(_xlfn.XLOOKUP(tblMaestroEquipos[[#This Row],[Codigo]],tblEquipos[Codigo],tblEquipos[Estado Base]),"")</f>
        <v>Operativo</v>
      </c>
      <c r="W50" s="16" t="str">
        <f t="shared" si="0"/>
        <v>POR RECIBIR</v>
      </c>
      <c r="X50" s="16" t="str">
        <f t="shared" si="1"/>
        <v/>
      </c>
      <c r="Y50"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50" s="23">
        <f>IFERROR(IF(_xlfn.MINIFS(tblComprasPM[Fecha],tblComprasPM[Codigo],tblMaestroEquipos[[#This Row],[Codigo]])=0,"",_xlfn.MINIFS(tblComprasPM[Fecha],tblComprasPM[Codigo],tblMaestroEquipos[[#This Row],[Codigo]])),"")</f>
        <v>46078.661368634297</v>
      </c>
      <c r="AA50" s="23">
        <f>IFERROR(IF(_xlfn.MAXIFS(tblBodega[Fecha],tblBodega[Codigo],tblMaestroEquipos[[#This Row],[Codigo]])=0,"",_xlfn.MAXIFS(tblBodega[Fecha],tblBodega[Codigo],tblMaestroEquipos[[#This Row],[Codigo]])),"")</f>
        <v>46087</v>
      </c>
      <c r="AB5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50"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50" s="16" t="str">
        <f>IF(tblMaestroEquipos[[#This Row],[Fecha Salida Bodega]]="","SIN SALIDA BODEGA",IF(OR(tblMaestroEquipos[[#This Row],[Ultima Fecha PM]]="",tblMaestroEquipos[[#This Row],[Ultima Fecha PM]]&lt;tblMaestroEquipos[[#This Row],[Fecha Salida Bodega]]),"PENDIENTE","CERRADO"))</f>
        <v>PENDIENTE</v>
      </c>
      <c r="AE50" s="48" t="str">
        <f t="shared" si="2"/>
        <v>OPERATIVO</v>
      </c>
      <c r="AF50" s="16" t="str">
        <f t="shared" si="3"/>
        <v>BAJA</v>
      </c>
      <c r="AG50" s="16" t="str">
        <f t="shared" si="4"/>
        <v>Monitorear próximo vencimiento</v>
      </c>
      <c r="AH50">
        <f t="shared" si="5"/>
        <v>0</v>
      </c>
      <c r="AI50" t="str">
        <f t="shared" si="6"/>
        <v/>
      </c>
      <c r="AJ50" s="22">
        <f t="shared" si="7"/>
        <v>3</v>
      </c>
    </row>
    <row r="51" spans="1:36">
      <c r="A51" s="16" t="s">
        <v>159</v>
      </c>
      <c r="B51" s="16" t="s">
        <v>113</v>
      </c>
      <c r="C51" s="16" t="s">
        <v>1378</v>
      </c>
      <c r="D51" s="16" t="s">
        <v>109</v>
      </c>
      <c r="E51" s="17" t="s">
        <v>110</v>
      </c>
      <c r="F51" s="16">
        <v>2014</v>
      </c>
      <c r="G51" s="17" t="str">
        <f>IFERROR(_xlfn.XLOOKUP($A51,tblEquipos[Codigo],tblEquipos[Ubicacion],""),"")</f>
        <v>TALLER</v>
      </c>
      <c r="H51" s="16" t="s">
        <v>56</v>
      </c>
      <c r="I51" s="16" t="str">
        <f>IFERROR(VLOOKUP(A51, Equipos!A:J, 9, FALSE), "")</f>
        <v>HORAS</v>
      </c>
      <c r="J51" s="16">
        <f>IFERROR(VLOOKUP(A51, Equipos!A:J, 10, FALSE), "")</f>
        <v>250</v>
      </c>
      <c r="K51" s="16">
        <f>IFERROR(IF($I51="KM",ROUND((_xlfn.MAXIFS(tblLecturas[Kilometraje],tblLecturas[Codigo],$A51)-_xlfn.MINIFS(tblLecturas[Kilometraje],tblLecturas[Codigo],$A51))/(MAX(1,_xlfn.MAXIFS(tblLecturas[Fecha],tblLecturas[Codigo],$A51)-_xlfn.MINIFS(tblLecturas[Fecha],tblLecturas[Codigo],$A51))),1),ROUND((_xlfn.MAXIFS(tblLecturas[Horometro],tblLecturas[Codigo],$A51)-_xlfn.MINIFS(tblLecturas[Horometro],tblLecturas[Codigo],$A51))/(MAX(1,_xlfn.MAXIFS(tblLecturas[Fecha],tblLecturas[Codigo],$A51)-_xlfn.MINIFS(tblLecturas[Fecha],tblLecturas[Codigo],$A51))),1)),"")</f>
        <v>0</v>
      </c>
      <c r="L51" s="18">
        <f>IFERROR(_xlfn.MAXIFS(tblLecturas[Fecha],tblLecturas[Codigo],$A51),"")</f>
        <v>44308</v>
      </c>
      <c r="M51" s="24">
        <f>IFERROR(_xlfn.MAXIFS(Lecturas!$C:$C,Lecturas!$B:$B,$A51,Lecturas!$C:$C,"&gt;0"),"")</f>
        <v>7867</v>
      </c>
      <c r="N51" s="24">
        <f>IFERROR(_xlfn.MAXIFS(tblLecturas[Kilometraje],tblLecturas[Codigo],$A51,tblLecturas[Kilometraje],"&gt;0"),"")</f>
        <v>112495</v>
      </c>
      <c r="O51" s="24" cm="1">
        <f t="array" ref="O51">IFERROR(IF($I51="KM",LOOKUP(2,1/(Lecturas!$B:$B=$A51)/(Lecturas!$D:$D&gt;0),Lecturas!$D:$D),LOOKUP(2,1/(Lecturas!$B:$B=$A51)/(Lecturas!$C:$C&gt;0),Lecturas!$C:$C)),"")</f>
        <v>7867</v>
      </c>
      <c r="P51" s="18">
        <f>IFERROR(_xlfn.MAXIFS(tblMantenciones[Fecha],tblMantenciones[Codigo],tblMaestroEquipos[[#This Row],[Codigo]],tblMantenciones[EsPM],"Sí"),"")</f>
        <v>45217</v>
      </c>
      <c r="Q51" s="70">
        <f>IF(_xlfn.MAXIFS(Mantenciones!$D:$D,Mantenciones!$B:$B,A51)=0,"Sin datos de mantención registrado",_xlfn.MAXIFS(Mantenciones!$D:$D,Mantenciones!$B:$B,A51))</f>
        <v>9206</v>
      </c>
      <c r="R51" s="16">
        <f>IFERROR(IF(_xlfn.MAXIFS(Mantenciones!$D:$D,Mantenciones!$B:$B,$A51,Mantenciones!$E:$E,"Sí",Mantenciones!$D:$D,"&gt;0")=0,"Sin datos de mantención registrado",_xlfn.MAXIFS(Mantenciones!$D:$D,Mantenciones!$B:$B,$A51,Mantenciones!$E:$E,"Sí",Mantenciones!$D:$D,"&gt;0")),"Sin datos de mantención registrado")</f>
        <v>9206</v>
      </c>
      <c r="S51" s="19">
        <f>IFERROR(SUMIFS(tblMantenciones[Costo Mantencion CLP],tblMantenciones[Codigo],A51),0)</f>
        <v>0</v>
      </c>
      <c r="T51" s="19">
        <f>IFERROR(SUMIFS(tblComprasPM[Costo PM CLP],tblComprasPM[Codigo],tblMaestroEquipos[[#This Row],[Codigo]]),0)</f>
        <v>0</v>
      </c>
      <c r="U51" s="19">
        <f>IFERROR(tblMaestroEquipos[[#This Row],[Costo Mantenciones CLP]]+tblMaestroEquipos[[#This Row],[Costo Compras PM CLP]],0)</f>
        <v>0</v>
      </c>
      <c r="V51" s="16" t="str">
        <f>IFERROR(_xlfn.XLOOKUP(tblMaestroEquipos[[#This Row],[Codigo]],tblEquipos[Codigo],tblEquipos[Estado Base]),"")</f>
        <v>Operativo</v>
      </c>
      <c r="W51" s="16" t="str">
        <f t="shared" si="0"/>
        <v>AL DÍA</v>
      </c>
      <c r="X51" s="16">
        <f t="shared" si="1"/>
        <v>1589</v>
      </c>
      <c r="Y51" s="23">
        <f>IFERROR(IF(OR(tblMaestroEquipos[[#This Row],[Estado Operacional]]="FUERA DE SERVICIO",tblMaestroEquipos[[#This Row],[Ultima Fecha Lectura]]="",tblMaestroEquipos[[#This Row],[Dias a Proxima Mantencion]]=""),"",tblMaestroEquipos[[#This Row],[Ultima Fecha Lectura]]+tblMaestroEquipos[[#This Row],[Dias a Proxima Mantencion]]),"")</f>
        <v>45897</v>
      </c>
      <c r="Z51" s="23" t="str">
        <f>IFERROR(IF(_xlfn.MINIFS(tblComprasPM[Fecha],tblComprasPM[Codigo],tblMaestroEquipos[[#This Row],[Codigo]])=0,"",_xlfn.MINIFS(tblComprasPM[Fecha],tblComprasPM[Codigo],tblMaestroEquipos[[#This Row],[Codigo]])),"")</f>
        <v/>
      </c>
      <c r="AA51" s="23" t="str">
        <f>IFERROR(IF(_xlfn.MAXIFS(tblBodega[Fecha],tblBodega[Codigo],tblMaestroEquipos[[#This Row],[Codigo]])=0,"",_xlfn.MAXIFS(tblBodega[Fecha],tblBodega[Codigo],tblMaestroEquipos[[#This Row],[Codigo]])),"")</f>
        <v/>
      </c>
      <c r="AB51"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51"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51" s="16" t="str">
        <f>IF(tblMaestroEquipos[[#This Row],[Fecha Salida Bodega]]="","SIN SALIDA BODEGA",IF(OR(tblMaestroEquipos[[#This Row],[Ultima Fecha PM]]="",tblMaestroEquipos[[#This Row],[Ultima Fecha PM]]&lt;tblMaestroEquipos[[#This Row],[Fecha Salida Bodega]]),"PENDIENTE","CERRADO"))</f>
        <v>SIN SALIDA BODEGA</v>
      </c>
      <c r="AE51" s="48" t="str">
        <f t="shared" si="2"/>
        <v>OPERATIVO</v>
      </c>
      <c r="AF51" s="16" t="str">
        <f t="shared" si="3"/>
        <v>BAJA</v>
      </c>
      <c r="AG51" s="16" t="str">
        <f t="shared" si="4"/>
        <v>Monitorear próximo vencimiento</v>
      </c>
      <c r="AH51">
        <f t="shared" si="5"/>
        <v>0</v>
      </c>
      <c r="AI51" t="str">
        <f t="shared" si="6"/>
        <v/>
      </c>
      <c r="AJ51" s="22">
        <f t="shared" si="7"/>
        <v>99</v>
      </c>
    </row>
    <row r="52" spans="1:36">
      <c r="A52" s="16" t="s">
        <v>160</v>
      </c>
      <c r="B52" s="16" t="s">
        <v>70</v>
      </c>
      <c r="C52" s="16" t="s">
        <v>1378</v>
      </c>
      <c r="D52" s="16" t="s">
        <v>115</v>
      </c>
      <c r="E52" s="17" t="s">
        <v>161</v>
      </c>
      <c r="F52" s="16">
        <v>2011</v>
      </c>
      <c r="G52" s="17" t="str">
        <f>IFERROR(_xlfn.XLOOKUP($A52,tblEquipos[Codigo],tblEquipos[Ubicacion],""),"")</f>
        <v>TALLER</v>
      </c>
      <c r="H52" s="16" t="s">
        <v>56</v>
      </c>
      <c r="I52" s="16" t="str">
        <f>IFERROR(VLOOKUP(A52, Equipos!A:J, 9, FALSE), "")</f>
        <v>HORAS</v>
      </c>
      <c r="J52" s="16">
        <f>IFERROR(VLOOKUP(A52, Equipos!A:J, 10, FALSE), "")</f>
        <v>250</v>
      </c>
      <c r="K52" s="16">
        <f>IFERROR(IF($I52="KM",ROUND((_xlfn.MAXIFS(tblLecturas[Kilometraje],tblLecturas[Codigo],$A52)-_xlfn.MINIFS(tblLecturas[Kilometraje],tblLecturas[Codigo],$A52))/(MAX(1,_xlfn.MAXIFS(tblLecturas[Fecha],tblLecturas[Codigo],$A52)-_xlfn.MINIFS(tblLecturas[Fecha],tblLecturas[Codigo],$A52))),1),ROUND((_xlfn.MAXIFS(tblLecturas[Horometro],tblLecturas[Codigo],$A52)-_xlfn.MINIFS(tblLecturas[Horometro],tblLecturas[Codigo],$A52))/(MAX(1,_xlfn.MAXIFS(tblLecturas[Fecha],tblLecturas[Codigo],$A52)-_xlfn.MINIFS(tblLecturas[Fecha],tblLecturas[Codigo],$A52))),1)),"")</f>
        <v>0</v>
      </c>
      <c r="L52" s="18">
        <f>IFERROR(_xlfn.MAXIFS(tblLecturas[Fecha],tblLecturas[Codigo],$A52),"")</f>
        <v>0</v>
      </c>
      <c r="M52" s="24">
        <f>IFERROR(_xlfn.MAXIFS(Lecturas!$C:$C,Lecturas!$B:$B,$A52,Lecturas!$C:$C,"&gt;0"),"")</f>
        <v>0</v>
      </c>
      <c r="N52" s="24">
        <f>IFERROR(_xlfn.MAXIFS(tblLecturas[Kilometraje],tblLecturas[Codigo],$A52,tblLecturas[Kilometraje],"&gt;0"),"")</f>
        <v>0</v>
      </c>
      <c r="O52" s="24" t="str" cm="1">
        <f t="array" ref="O52">IFERROR(IF($I52="KM",LOOKUP(2,1/(Lecturas!$B:$B=$A52)/(Lecturas!$D:$D&gt;0),Lecturas!$D:$D),LOOKUP(2,1/(Lecturas!$B:$B=$A52)/(Lecturas!$C:$C&gt;0),Lecturas!$C:$C)),"")</f>
        <v/>
      </c>
      <c r="P52" s="18">
        <f>IFERROR(_xlfn.MAXIFS(tblMantenciones[Fecha],tblMantenciones[Codigo],tblMaestroEquipos[[#This Row],[Codigo]],tblMantenciones[EsPM],"Sí"),"")</f>
        <v>44209</v>
      </c>
      <c r="Q52" s="70" t="str">
        <f>IF(_xlfn.MAXIFS(Mantenciones!$D:$D,Mantenciones!$B:$B,A52)=0,"Sin datos de mantención registrado",_xlfn.MAXIFS(Mantenciones!$D:$D,Mantenciones!$B:$B,A52))</f>
        <v>Sin datos de mantención registrado</v>
      </c>
      <c r="R52" s="16" t="str">
        <f>IFERROR(IF(_xlfn.MAXIFS(Mantenciones!$D:$D,Mantenciones!$B:$B,$A52,Mantenciones!$E:$E,"Sí",Mantenciones!$D:$D,"&gt;0")=0,"Sin datos de mantención registrado",_xlfn.MAXIFS(Mantenciones!$D:$D,Mantenciones!$B:$B,$A52,Mantenciones!$E:$E,"Sí",Mantenciones!$D:$D,"&gt;0")),"Sin datos de mantención registrado")</f>
        <v>Sin datos de mantención registrado</v>
      </c>
      <c r="S52" s="19">
        <f>IFERROR(SUMIFS(tblMantenciones[Costo Mantencion CLP],tblMantenciones[Codigo],A52),0)</f>
        <v>0</v>
      </c>
      <c r="T52" s="19">
        <f>IFERROR(SUMIFS(tblComprasPM[Costo PM CLP],tblComprasPM[Codigo],tblMaestroEquipos[[#This Row],[Codigo]]),0)</f>
        <v>0</v>
      </c>
      <c r="U52" s="19">
        <f>IFERROR(tblMaestroEquipos[[#This Row],[Costo Mantenciones CLP]]+tblMaestroEquipos[[#This Row],[Costo Compras PM CLP]],0)</f>
        <v>0</v>
      </c>
      <c r="V52" s="16" t="str">
        <f>IFERROR(_xlfn.XLOOKUP(tblMaestroEquipos[[#This Row],[Codigo]],tblEquipos[Codigo],tblEquipos[Estado Base]),"")</f>
        <v>Fuera de Servicio</v>
      </c>
      <c r="W52" s="16" t="str">
        <f t="shared" si="0"/>
        <v>FUERA DE SERVICIO</v>
      </c>
      <c r="X52" s="16" t="str">
        <f t="shared" si="1"/>
        <v/>
      </c>
      <c r="Y52"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52" s="23" t="str">
        <f>IFERROR(IF(_xlfn.MINIFS(tblComprasPM[Fecha],tblComprasPM[Codigo],tblMaestroEquipos[[#This Row],[Codigo]])=0,"",_xlfn.MINIFS(tblComprasPM[Fecha],tblComprasPM[Codigo],tblMaestroEquipos[[#This Row],[Codigo]])),"")</f>
        <v/>
      </c>
      <c r="AA52" s="23" t="str">
        <f>IFERROR(IF(_xlfn.MAXIFS(tblBodega[Fecha],tblBodega[Codigo],tblMaestroEquipos[[#This Row],[Codigo]])=0,"",_xlfn.MAXIFS(tblBodega[Fecha],tblBodega[Codigo],tblMaestroEquipos[[#This Row],[Codigo]])),"")</f>
        <v/>
      </c>
      <c r="AB52"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5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52" s="16" t="str">
        <f>IF(tblMaestroEquipos[[#This Row],[Fecha Salida Bodega]]="","SIN SALIDA BODEGA",IF(OR(tblMaestroEquipos[[#This Row],[Ultima Fecha PM]]="",tblMaestroEquipos[[#This Row],[Ultima Fecha PM]]&lt;tblMaestroEquipos[[#This Row],[Fecha Salida Bodega]]),"PENDIENTE","CERRADO"))</f>
        <v>SIN SALIDA BODEGA</v>
      </c>
      <c r="AE52" s="48" t="str">
        <f t="shared" si="2"/>
        <v>FUERA DE SERVICIO</v>
      </c>
      <c r="AF52" s="16" t="str">
        <f t="shared" si="3"/>
        <v>NO APLICA</v>
      </c>
      <c r="AG52" s="16" t="str">
        <f t="shared" si="4"/>
        <v>No programar compra</v>
      </c>
      <c r="AH52" s="25">
        <f t="shared" si="5"/>
        <v>0</v>
      </c>
      <c r="AI52" s="25" t="str">
        <f t="shared" si="6"/>
        <v/>
      </c>
      <c r="AJ52" s="22">
        <f t="shared" si="7"/>
        <v>99</v>
      </c>
    </row>
    <row r="53" spans="1:36">
      <c r="A53" s="16" t="s">
        <v>162</v>
      </c>
      <c r="B53" s="16" t="s">
        <v>105</v>
      </c>
      <c r="C53" s="16" t="s">
        <v>1378</v>
      </c>
      <c r="D53" s="16" t="s">
        <v>40</v>
      </c>
      <c r="E53" s="17">
        <v>7600</v>
      </c>
      <c r="F53" s="16">
        <v>2012</v>
      </c>
      <c r="G53" s="17">
        <f>IFERROR(_xlfn.XLOOKUP($A53,tblEquipos[Codigo],tblEquipos[Ubicacion],""),"")</f>
        <v>0</v>
      </c>
      <c r="H53" s="16" t="s">
        <v>106</v>
      </c>
      <c r="I53" s="16" t="str">
        <f>IFERROR(VLOOKUP(A53, Equipos!A:J, 9, FALSE), "")</f>
        <v>HORAS</v>
      </c>
      <c r="J53" s="16">
        <f>IFERROR(VLOOKUP(A53, Equipos!A:J, 10, FALSE), "")</f>
        <v>250</v>
      </c>
      <c r="K53" s="16">
        <f>IFERROR(IF($I53="KM",ROUND((_xlfn.MAXIFS(tblLecturas[Kilometraje],tblLecturas[Codigo],$A53)-_xlfn.MINIFS(tblLecturas[Kilometraje],tblLecturas[Codigo],$A53))/(MAX(1,_xlfn.MAXIFS(tblLecturas[Fecha],tblLecturas[Codigo],$A53)-_xlfn.MINIFS(tblLecturas[Fecha],tblLecturas[Codigo],$A53))),1),ROUND((_xlfn.MAXIFS(tblLecturas[Horometro],tblLecturas[Codigo],$A53)-_xlfn.MINIFS(tblLecturas[Horometro],tblLecturas[Codigo],$A53))/(MAX(1,_xlfn.MAXIFS(tblLecturas[Fecha],tblLecturas[Codigo],$A53)-_xlfn.MINIFS(tblLecturas[Fecha],tblLecturas[Codigo],$A53))),1)),"")</f>
        <v>3.1</v>
      </c>
      <c r="L53" s="18">
        <f>IFERROR(_xlfn.MAXIFS(tblLecturas[Fecha],tblLecturas[Codigo],$A53),"")</f>
        <v>46157</v>
      </c>
      <c r="M53" s="24">
        <f>IFERROR(_xlfn.MAXIFS(Lecturas!$C:$C,Lecturas!$B:$B,$A53,Lecturas!$C:$C,"&gt;0"),"")</f>
        <v>10625</v>
      </c>
      <c r="N53" s="24">
        <f>IFERROR(_xlfn.MAXIFS(tblLecturas[Kilometraje],tblLecturas[Codigo],$A53,tblLecturas[Kilometraje],"&gt;0"),"")</f>
        <v>237000</v>
      </c>
      <c r="O53" s="24" cm="1">
        <f t="array" ref="O53">IFERROR(IF($I53="KM",LOOKUP(2,1/(Lecturas!$B:$B=$A53)/(Lecturas!$D:$D&gt;0),Lecturas!$D:$D),LOOKUP(2,1/(Lecturas!$B:$B=$A53)/(Lecturas!$C:$C&gt;0),Lecturas!$C:$C)),"")</f>
        <v>4661</v>
      </c>
      <c r="P53" s="18">
        <f>IFERROR(_xlfn.MAXIFS(tblMantenciones[Fecha],tblMantenciones[Codigo],tblMaestroEquipos[[#This Row],[Codigo]],tblMantenciones[EsPM],"Sí"),"")</f>
        <v>45232</v>
      </c>
      <c r="Q53" s="70">
        <f>IF(_xlfn.MAXIFS(Mantenciones!$D:$D,Mantenciones!$B:$B,A53)=0,"Sin datos de mantención registrado",_xlfn.MAXIFS(Mantenciones!$D:$D,Mantenciones!$B:$B,A53))</f>
        <v>18529</v>
      </c>
      <c r="R53" s="16">
        <f>IFERROR(IF(_xlfn.MAXIFS(Mantenciones!$D:$D,Mantenciones!$B:$B,$A53,Mantenciones!$E:$E,"Sí",Mantenciones!$D:$D,"&gt;0")=0,"Sin datos de mantención registrado",_xlfn.MAXIFS(Mantenciones!$D:$D,Mantenciones!$B:$B,$A53,Mantenciones!$E:$E,"Sí",Mantenciones!$D:$D,"&gt;0")),"Sin datos de mantención registrado")</f>
        <v>18529</v>
      </c>
      <c r="S53" s="19">
        <f>IFERROR(SUMIFS(tblMantenciones[Costo Mantencion CLP],tblMantenciones[Codigo],A53),0)</f>
        <v>0</v>
      </c>
      <c r="T53" s="19">
        <f>IFERROR(SUMIFS(tblComprasPM[Costo PM CLP],tblComprasPM[Codigo],tblMaestroEquipos[[#This Row],[Codigo]]),0)</f>
        <v>0</v>
      </c>
      <c r="U53" s="19">
        <f>IFERROR(tblMaestroEquipos[[#This Row],[Costo Mantenciones CLP]]+tblMaestroEquipos[[#This Row],[Costo Compras PM CLP]],0)</f>
        <v>0</v>
      </c>
      <c r="V53" s="16" t="str">
        <f>IFERROR(_xlfn.XLOOKUP(tblMaestroEquipos[[#This Row],[Codigo]],tblEquipos[Codigo],tblEquipos[Estado Base]),"")</f>
        <v>Fuera de Servicio</v>
      </c>
      <c r="W53" s="16" t="str">
        <f t="shared" si="0"/>
        <v>FUERA DE SERVICIO</v>
      </c>
      <c r="X53" s="16">
        <f t="shared" si="1"/>
        <v>14118</v>
      </c>
      <c r="Y53"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53" s="23" t="str">
        <f>IFERROR(IF(_xlfn.MINIFS(tblComprasPM[Fecha],tblComprasPM[Codigo],tblMaestroEquipos[[#This Row],[Codigo]])=0,"",_xlfn.MINIFS(tblComprasPM[Fecha],tblComprasPM[Codigo],tblMaestroEquipos[[#This Row],[Codigo]])),"")</f>
        <v/>
      </c>
      <c r="AA53" s="23" t="str">
        <f>IFERROR(IF(_xlfn.MAXIFS(tblBodega[Fecha],tblBodega[Codigo],tblMaestroEquipos[[#This Row],[Codigo]])=0,"",_xlfn.MAXIFS(tblBodega[Fecha],tblBodega[Codigo],tblMaestroEquipos[[#This Row],[Codigo]])),"")</f>
        <v/>
      </c>
      <c r="AB53"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53"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53" s="16" t="str">
        <f>IF(tblMaestroEquipos[[#This Row],[Fecha Salida Bodega]]="","SIN SALIDA BODEGA",IF(OR(tblMaestroEquipos[[#This Row],[Ultima Fecha PM]]="",tblMaestroEquipos[[#This Row],[Ultima Fecha PM]]&lt;tblMaestroEquipos[[#This Row],[Fecha Salida Bodega]]),"PENDIENTE","CERRADO"))</f>
        <v>SIN SALIDA BODEGA</v>
      </c>
      <c r="AE53" s="48" t="str">
        <f t="shared" si="2"/>
        <v>FUERA DE SERVICIO</v>
      </c>
      <c r="AF53" s="16" t="str">
        <f t="shared" si="3"/>
        <v>NO APLICA</v>
      </c>
      <c r="AG53" s="16" t="str">
        <f t="shared" si="4"/>
        <v>No programar compra</v>
      </c>
      <c r="AH53" s="25">
        <f t="shared" si="5"/>
        <v>0</v>
      </c>
      <c r="AI53" s="25" t="str">
        <f t="shared" si="6"/>
        <v/>
      </c>
      <c r="AJ53" s="22">
        <f t="shared" si="7"/>
        <v>99</v>
      </c>
    </row>
    <row r="54" spans="1:36">
      <c r="A54" s="16" t="s">
        <v>163</v>
      </c>
      <c r="B54" s="16" t="s">
        <v>113</v>
      </c>
      <c r="C54" s="16" t="s">
        <v>1378</v>
      </c>
      <c r="D54" s="16" t="s">
        <v>164</v>
      </c>
      <c r="E54" s="17" t="s">
        <v>165</v>
      </c>
      <c r="F54" s="16">
        <v>2010</v>
      </c>
      <c r="G54" s="17" t="str">
        <f>IFERROR(_xlfn.XLOOKUP($A54,tblEquipos[Codigo],tblEquipos[Ubicacion],""),"")</f>
        <v>Quirihue</v>
      </c>
      <c r="H54" s="16" t="s">
        <v>1388</v>
      </c>
      <c r="I54" s="16" t="str">
        <f>IFERROR(VLOOKUP(A54, Equipos!A:J, 9, FALSE), "")</f>
        <v>HORAS</v>
      </c>
      <c r="J54" s="16">
        <f>IFERROR(VLOOKUP(A54, Equipos!A:J, 10, FALSE), "")</f>
        <v>250</v>
      </c>
      <c r="K54" s="16">
        <f>IFERROR(IF($I54="KM",ROUND((_xlfn.MAXIFS(tblLecturas[Kilometraje],tblLecturas[Codigo],$A54)-_xlfn.MINIFS(tblLecturas[Kilometraje],tblLecturas[Codigo],$A54))/(MAX(1,_xlfn.MAXIFS(tblLecturas[Fecha],tblLecturas[Codigo],$A54)-_xlfn.MINIFS(tblLecturas[Fecha],tblLecturas[Codigo],$A54))),1),ROUND((_xlfn.MAXIFS(tblLecturas[Horometro],tblLecturas[Codigo],$A54)-_xlfn.MINIFS(tblLecturas[Horometro],tblLecturas[Codigo],$A54))/(MAX(1,_xlfn.MAXIFS(tblLecturas[Fecha],tblLecturas[Codigo],$A54)-_xlfn.MINIFS(tblLecturas[Fecha],tblLecturas[Codigo],$A54))),1)),"")</f>
        <v>4.0999999999999996</v>
      </c>
      <c r="L54" s="18">
        <f>IFERROR(_xlfn.MAXIFS(tblLecturas[Fecha],tblLecturas[Codigo],$A54),"")</f>
        <v>46185</v>
      </c>
      <c r="M54" s="24">
        <f>IFERROR(_xlfn.MAXIFS(Lecturas!$C:$C,Lecturas!$B:$B,$A54,Lecturas!$C:$C,"&gt;0"),"")</f>
        <v>6418</v>
      </c>
      <c r="N54" s="24">
        <f>IFERROR(_xlfn.MAXIFS(tblLecturas[Kilometraje],tblLecturas[Codigo],$A54,tblLecturas[Kilometraje],"&gt;0"),"")</f>
        <v>106761</v>
      </c>
      <c r="O54" s="24" cm="1">
        <f t="array" ref="O54">IFERROR(IF($I54="KM",LOOKUP(2,1/(Lecturas!$B:$B=$A54)/(Lecturas!$D:$D&gt;0),Lecturas!$D:$D),LOOKUP(2,1/(Lecturas!$B:$B=$A54)/(Lecturas!$C:$C&gt;0),Lecturas!$C:$C)),"")</f>
        <v>6418</v>
      </c>
      <c r="P54" s="18">
        <f>IFERROR(_xlfn.MAXIFS(tblMantenciones[Fecha],tblMantenciones[Codigo],tblMaestroEquipos[[#This Row],[Codigo]],tblMantenciones[EsPM],"Sí"),"")</f>
        <v>45019</v>
      </c>
      <c r="Q54" s="70">
        <f>IF(_xlfn.MAXIFS(Mantenciones!$D:$D,Mantenciones!$B:$B,A54)=0,"Sin datos de mantención registrado",_xlfn.MAXIFS(Mantenciones!$D:$D,Mantenciones!$B:$B,A54))</f>
        <v>6418</v>
      </c>
      <c r="R54" s="16">
        <f>IFERROR(IF(_xlfn.MAXIFS(Mantenciones!$D:$D,Mantenciones!$B:$B,$A54,Mantenciones!$E:$E,"Sí",Mantenciones!$D:$D,"&gt;0")=0,"Sin datos de mantención registrado",_xlfn.MAXIFS(Mantenciones!$D:$D,Mantenciones!$B:$B,$A54,Mantenciones!$E:$E,"Sí",Mantenciones!$D:$D,"&gt;0")),"Sin datos de mantención registrado")</f>
        <v>6418</v>
      </c>
      <c r="S54" s="19">
        <f>IFERROR(SUMIFS(tblMantenciones[Costo Mantencion CLP],tblMantenciones[Codigo],A54),0)</f>
        <v>0</v>
      </c>
      <c r="T54" s="19">
        <f>IFERROR(SUMIFS(tblComprasPM[Costo PM CLP],tblComprasPM[Codigo],tblMaestroEquipos[[#This Row],[Codigo]]),0)</f>
        <v>288199.9596</v>
      </c>
      <c r="U54" s="19">
        <f>IFERROR(tblMaestroEquipos[[#This Row],[Costo Mantenciones CLP]]+tblMaestroEquipos[[#This Row],[Costo Compras PM CLP]],0)</f>
        <v>288199.9596</v>
      </c>
      <c r="V54" s="16" t="str">
        <f>IFERROR(_xlfn.XLOOKUP(tblMaestroEquipos[[#This Row],[Codigo]],tblEquipos[Codigo],tblEquipos[Estado Base]),"")</f>
        <v>Operativo</v>
      </c>
      <c r="W54" s="16" t="str">
        <f t="shared" si="0"/>
        <v>POR RECIBIR</v>
      </c>
      <c r="X54" s="16">
        <f t="shared" si="1"/>
        <v>250</v>
      </c>
      <c r="Y54" s="23">
        <f>IFERROR(IF(OR(tblMaestroEquipos[[#This Row],[Estado Operacional]]="FUERA DE SERVICIO",tblMaestroEquipos[[#This Row],[Ultima Fecha Lectura]]="",tblMaestroEquipos[[#This Row],[Dias a Proxima Mantencion]]=""),"",tblMaestroEquipos[[#This Row],[Ultima Fecha Lectura]]+tblMaestroEquipos[[#This Row],[Dias a Proxima Mantencion]]),"")</f>
        <v>46435</v>
      </c>
      <c r="Z54" s="23">
        <f>IFERROR(IF(_xlfn.MINIFS(tblComprasPM[Fecha],tblComprasPM[Codigo],tblMaestroEquipos[[#This Row],[Codigo]])=0,"",_xlfn.MINIFS(tblComprasPM[Fecha],tblComprasPM[Codigo],tblMaestroEquipos[[#This Row],[Codigo]])),"")</f>
        <v>46076.483925694498</v>
      </c>
      <c r="AA54" s="23">
        <f>IFERROR(IF(_xlfn.MAXIFS(tblBodega[Fecha],tblBodega[Codigo],tblMaestroEquipos[[#This Row],[Codigo]])=0,"",_xlfn.MAXIFS(tblBodega[Fecha],tblBodega[Codigo],tblMaestroEquipos[[#This Row],[Codigo]])),"")</f>
        <v>46085</v>
      </c>
      <c r="AB54"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54"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54" s="16" t="str">
        <f>IF(tblMaestroEquipos[[#This Row],[Fecha Salida Bodega]]="","SIN SALIDA BODEGA",IF(OR(tblMaestroEquipos[[#This Row],[Ultima Fecha PM]]="",tblMaestroEquipos[[#This Row],[Ultima Fecha PM]]&lt;tblMaestroEquipos[[#This Row],[Fecha Salida Bodega]]),"PENDIENTE","CERRADO"))</f>
        <v>PENDIENTE</v>
      </c>
      <c r="AE54" s="48" t="str">
        <f t="shared" si="2"/>
        <v>OPERATIVO</v>
      </c>
      <c r="AF54" s="16" t="str">
        <f t="shared" si="3"/>
        <v>BAJA</v>
      </c>
      <c r="AG54" s="16" t="str">
        <f t="shared" si="4"/>
        <v>Monitorear próximo vencimiento</v>
      </c>
      <c r="AH54" s="25">
        <f t="shared" si="5"/>
        <v>0</v>
      </c>
      <c r="AI54" s="25" t="str">
        <f t="shared" si="6"/>
        <v/>
      </c>
      <c r="AJ54" s="22">
        <f t="shared" si="7"/>
        <v>3</v>
      </c>
    </row>
    <row r="55" spans="1:36">
      <c r="A55" s="16" t="s">
        <v>167</v>
      </c>
      <c r="B55" s="16" t="s">
        <v>20</v>
      </c>
      <c r="C55" s="16" t="s">
        <v>1378</v>
      </c>
      <c r="D55" s="16" t="s">
        <v>21</v>
      </c>
      <c r="E55" s="17" t="s">
        <v>87</v>
      </c>
      <c r="F55" s="16">
        <v>2020</v>
      </c>
      <c r="G55" s="17" t="str">
        <f>IFERROR(_xlfn.XLOOKUP($A55,tblEquipos[Codigo],tblEquipos[Ubicacion],""),"")</f>
        <v>Emergencias Curico</v>
      </c>
      <c r="H55" s="16" t="s">
        <v>1389</v>
      </c>
      <c r="I55" s="16" t="str">
        <f>IFERROR(VLOOKUP(A55, Equipos!A:J, 9, FALSE), "")</f>
        <v>HORAS</v>
      </c>
      <c r="J55" s="16">
        <f>IFERROR(VLOOKUP(A55, Equipos!A:J, 10, FALSE), "")</f>
        <v>500</v>
      </c>
      <c r="K55" s="16">
        <f>IFERROR(IF($I55="KM",ROUND((_xlfn.MAXIFS(tblLecturas[Kilometraje],tblLecturas[Codigo],$A55)-_xlfn.MINIFS(tblLecturas[Kilometraje],tblLecturas[Codigo],$A55))/(MAX(1,_xlfn.MAXIFS(tblLecturas[Fecha],tblLecturas[Codigo],$A55)-_xlfn.MINIFS(tblLecturas[Fecha],tblLecturas[Codigo],$A55))),1),ROUND((_xlfn.MAXIFS(tblLecturas[Horometro],tblLecturas[Codigo],$A55)-_xlfn.MINIFS(tblLecturas[Horometro],tblLecturas[Codigo],$A55))/(MAX(1,_xlfn.MAXIFS(tblLecturas[Fecha],tblLecturas[Codigo],$A55)-_xlfn.MINIFS(tblLecturas[Fecha],tblLecturas[Codigo],$A55))),1)),"")</f>
        <v>0</v>
      </c>
      <c r="L55" s="18">
        <f>IFERROR(_xlfn.MAXIFS(tblLecturas[Fecha],tblLecturas[Codigo],$A55),"")</f>
        <v>46108</v>
      </c>
      <c r="M55" s="24">
        <f>IFERROR(_xlfn.MAXIFS(Lecturas!$C:$C,Lecturas!$B:$B,$A55,Lecturas!$C:$C,"&gt;0"),"")</f>
        <v>0</v>
      </c>
      <c r="N55" s="24">
        <f>IFERROR(_xlfn.MAXIFS(tblLecturas[Kilometraje],tblLecturas[Codigo],$A55,tblLecturas[Kilometraje],"&gt;0"),"")</f>
        <v>199190</v>
      </c>
      <c r="O55" s="24" t="str" cm="1">
        <f t="array" ref="O55">IFERROR(IF($I55="KM",LOOKUP(2,1/(Lecturas!$B:$B=$A55)/(Lecturas!$D:$D&gt;0),Lecturas!$D:$D),LOOKUP(2,1/(Lecturas!$B:$B=$A55)/(Lecturas!$C:$C&gt;0),Lecturas!$C:$C)),"")</f>
        <v/>
      </c>
      <c r="P55" s="18">
        <f>IFERROR(_xlfn.MAXIFS(tblMantenciones[Fecha],tblMantenciones[Codigo],tblMaestroEquipos[[#This Row],[Codigo]],tblMantenciones[EsPM],"Sí"),"")</f>
        <v>46066</v>
      </c>
      <c r="Q55" s="70">
        <f>IF(_xlfn.MAXIFS(Mantenciones!$D:$D,Mantenciones!$B:$B,A55)=0,"Sin datos de mantención registrado",_xlfn.MAXIFS(Mantenciones!$D:$D,Mantenciones!$B:$B,A55))</f>
        <v>9302</v>
      </c>
      <c r="R55" s="16">
        <f>IFERROR(IF(_xlfn.MAXIFS(Mantenciones!$D:$D,Mantenciones!$B:$B,$A55,Mantenciones!$E:$E,"Sí",Mantenciones!$D:$D,"&gt;0")=0,"Sin datos de mantención registrado",_xlfn.MAXIFS(Mantenciones!$D:$D,Mantenciones!$B:$B,$A55,Mantenciones!$E:$E,"Sí",Mantenciones!$D:$D,"&gt;0")),"Sin datos de mantención registrado")</f>
        <v>9302</v>
      </c>
      <c r="S55" s="19">
        <f>IFERROR(SUMIFS(tblMantenciones[Costo Mantencion CLP],tblMantenciones[Codigo],A55),0)</f>
        <v>0</v>
      </c>
      <c r="T55" s="19">
        <f>IFERROR(SUMIFS(tblComprasPM[Costo PM CLP],tblComprasPM[Codigo],tblMaestroEquipos[[#This Row],[Codigo]]),0)</f>
        <v>311744.26049999997</v>
      </c>
      <c r="U55" s="19">
        <f>IFERROR(tblMaestroEquipos[[#This Row],[Costo Mantenciones CLP]]+tblMaestroEquipos[[#This Row],[Costo Compras PM CLP]],0)</f>
        <v>311744.26049999997</v>
      </c>
      <c r="V55" s="16" t="str">
        <f>IFERROR(_xlfn.XLOOKUP(tblMaestroEquipos[[#This Row],[Codigo]],tblEquipos[Codigo],tblEquipos[Estado Base]),"")</f>
        <v>Operativo</v>
      </c>
      <c r="W55" s="16" t="str">
        <f t="shared" si="0"/>
        <v>POR RECIBIR</v>
      </c>
      <c r="X55" s="16" t="str">
        <f t="shared" si="1"/>
        <v/>
      </c>
      <c r="Y55"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55" s="23">
        <f>IFERROR(IF(_xlfn.MINIFS(tblComprasPM[Fecha],tblComprasPM[Codigo],tblMaestroEquipos[[#This Row],[Codigo]])=0,"",_xlfn.MINIFS(tblComprasPM[Fecha],tblComprasPM[Codigo],tblMaestroEquipos[[#This Row],[Codigo]])),"")</f>
        <v>46069.447153738402</v>
      </c>
      <c r="AA55" s="23">
        <f>IFERROR(IF(_xlfn.MAXIFS(tblBodega[Fecha],tblBodega[Codigo],tblMaestroEquipos[[#This Row],[Codigo]])=0,"",_xlfn.MAXIFS(tblBodega[Fecha],tblBodega[Codigo],tblMaestroEquipos[[#This Row],[Codigo]])),"")</f>
        <v>46077</v>
      </c>
      <c r="AB5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5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55" s="16" t="str">
        <f>IF(tblMaestroEquipos[[#This Row],[Fecha Salida Bodega]]="","SIN SALIDA BODEGA",IF(OR(tblMaestroEquipos[[#This Row],[Ultima Fecha PM]]="",tblMaestroEquipos[[#This Row],[Ultima Fecha PM]]&lt;tblMaestroEquipos[[#This Row],[Fecha Salida Bodega]]),"PENDIENTE","CERRADO"))</f>
        <v>PENDIENTE</v>
      </c>
      <c r="AE55" s="48" t="str">
        <f t="shared" si="2"/>
        <v>OPERATIVO</v>
      </c>
      <c r="AF55" s="16" t="str">
        <f t="shared" si="3"/>
        <v>BAJA</v>
      </c>
      <c r="AG55" s="16" t="str">
        <f t="shared" si="4"/>
        <v>Monitorear próximo vencimiento</v>
      </c>
      <c r="AH55">
        <f t="shared" si="5"/>
        <v>0</v>
      </c>
      <c r="AI55" t="str">
        <f t="shared" si="6"/>
        <v/>
      </c>
      <c r="AJ55" s="22">
        <f t="shared" si="7"/>
        <v>3</v>
      </c>
    </row>
    <row r="56" spans="1:36">
      <c r="A56" s="16" t="s">
        <v>169</v>
      </c>
      <c r="B56" s="16" t="s">
        <v>20</v>
      </c>
      <c r="C56" s="16" t="s">
        <v>1378</v>
      </c>
      <c r="D56" s="16" t="s">
        <v>21</v>
      </c>
      <c r="E56" s="17" t="s">
        <v>87</v>
      </c>
      <c r="F56" s="16">
        <v>2020</v>
      </c>
      <c r="G56" s="17" t="str">
        <f>IFERROR(_xlfn.XLOOKUP($A56,tblEquipos[Codigo],tblEquipos[Ubicacion],""),"")</f>
        <v>Taller</v>
      </c>
      <c r="H56" s="16" t="s">
        <v>1390</v>
      </c>
      <c r="I56" s="16" t="str">
        <f>IFERROR(VLOOKUP(A56, Equipos!A:J, 9, FALSE), "")</f>
        <v>HORAS</v>
      </c>
      <c r="J56" s="16">
        <f>IFERROR(VLOOKUP(A56, Equipos!A:J, 10, FALSE), "")</f>
        <v>500</v>
      </c>
      <c r="K56" s="16">
        <f>IFERROR(IF($I56="KM",ROUND((_xlfn.MAXIFS(tblLecturas[Kilometraje],tblLecturas[Codigo],$A56)-_xlfn.MINIFS(tblLecturas[Kilometraje],tblLecturas[Codigo],$A56))/(MAX(1,_xlfn.MAXIFS(tblLecturas[Fecha],tblLecturas[Codigo],$A56)-_xlfn.MINIFS(tblLecturas[Fecha],tblLecturas[Codigo],$A56))),1),ROUND((_xlfn.MAXIFS(tblLecturas[Horometro],tblLecturas[Codigo],$A56)-_xlfn.MINIFS(tblLecturas[Horometro],tblLecturas[Codigo],$A56))/(MAX(1,_xlfn.MAXIFS(tblLecturas[Fecha],tblLecturas[Codigo],$A56)-_xlfn.MINIFS(tblLecturas[Fecha],tblLecturas[Codigo],$A56))),1)),"")</f>
        <v>4.2</v>
      </c>
      <c r="L56" s="18">
        <f>IFERROR(_xlfn.MAXIFS(tblLecturas[Fecha],tblLecturas[Codigo],$A56),"")</f>
        <v>46183</v>
      </c>
      <c r="M56" s="24">
        <f>IFERROR(_xlfn.MAXIFS(Lecturas!$C:$C,Lecturas!$B:$B,$A56,Lecturas!$C:$C,"&gt;0"),"")</f>
        <v>2336</v>
      </c>
      <c r="N56" s="24">
        <f>IFERROR(_xlfn.MAXIFS(tblLecturas[Kilometraje],tblLecturas[Codigo],$A56,tblLecturas[Kilometraje],"&gt;0"),"")</f>
        <v>219496</v>
      </c>
      <c r="O56" s="24" cm="1">
        <f t="array" ref="O56">IFERROR(IF($I56="KM",LOOKUP(2,1/(Lecturas!$B:$B=$A56)/(Lecturas!$D:$D&gt;0),Lecturas!$D:$D),LOOKUP(2,1/(Lecturas!$B:$B=$A56)/(Lecturas!$C:$C&gt;0),Lecturas!$C:$C)),"")</f>
        <v>2336</v>
      </c>
      <c r="P56" s="18">
        <f>IFERROR(_xlfn.MAXIFS(tblMantenciones[Fecha],tblMantenciones[Codigo],tblMaestroEquipos[[#This Row],[Codigo]],tblMantenciones[EsPM],"Sí"),"")</f>
        <v>46178</v>
      </c>
      <c r="Q56" s="70">
        <f>IF(_xlfn.MAXIFS(Mantenciones!$D:$D,Mantenciones!$B:$B,A56)=0,"Sin datos de mantención registrado",_xlfn.MAXIFS(Mantenciones!$D:$D,Mantenciones!$B:$B,A56))</f>
        <v>4146</v>
      </c>
      <c r="R56" s="16">
        <f>IFERROR(IF(_xlfn.MAXIFS(Mantenciones!$D:$D,Mantenciones!$B:$B,$A56,Mantenciones!$E:$E,"Sí",Mantenciones!$D:$D,"&gt;0")=0,"Sin datos de mantención registrado",_xlfn.MAXIFS(Mantenciones!$D:$D,Mantenciones!$B:$B,$A56,Mantenciones!$E:$E,"Sí",Mantenciones!$D:$D,"&gt;0")),"Sin datos de mantención registrado")</f>
        <v>4146</v>
      </c>
      <c r="S56" s="19">
        <f>IFERROR(SUMIFS(tblMantenciones[Costo Mantencion CLP],tblMantenciones[Codigo],A56),0)</f>
        <v>0</v>
      </c>
      <c r="T56" s="19">
        <f>IFERROR(SUMIFS(tblComprasPM[Costo PM CLP],tblComprasPM[Codigo],tblMaestroEquipos[[#This Row],[Codigo]]),0)</f>
        <v>768943.03050000011</v>
      </c>
      <c r="U56" s="19">
        <f>IFERROR(tblMaestroEquipos[[#This Row],[Costo Mantenciones CLP]]+tblMaestroEquipos[[#This Row],[Costo Compras PM CLP]],0)</f>
        <v>768943.03050000011</v>
      </c>
      <c r="V56" s="16" t="str">
        <f>IFERROR(_xlfn.XLOOKUP(tblMaestroEquipos[[#This Row],[Codigo]],tblEquipos[Codigo],tblEquipos[Estado Base]),"")</f>
        <v>Operativo</v>
      </c>
      <c r="W56" s="16" t="str">
        <f t="shared" si="0"/>
        <v>POR RECIBIR</v>
      </c>
      <c r="X56" s="16">
        <f t="shared" si="1"/>
        <v>2310</v>
      </c>
      <c r="Y56" s="23">
        <f>IFERROR(IF(OR(tblMaestroEquipos[[#This Row],[Estado Operacional]]="FUERA DE SERVICIO",tblMaestroEquipos[[#This Row],[Ultima Fecha Lectura]]="",tblMaestroEquipos[[#This Row],[Dias a Proxima Mantencion]]=""),"",tblMaestroEquipos[[#This Row],[Ultima Fecha Lectura]]+tblMaestroEquipos[[#This Row],[Dias a Proxima Mantencion]]),"")</f>
        <v>48493</v>
      </c>
      <c r="Z56" s="23">
        <f>IFERROR(IF(_xlfn.MINIFS(tblComprasPM[Fecha],tblComprasPM[Codigo],tblMaestroEquipos[[#This Row],[Codigo]])=0,"",_xlfn.MINIFS(tblComprasPM[Fecha],tblComprasPM[Codigo],tblMaestroEquipos[[#This Row],[Codigo]])),"")</f>
        <v>46069.447153738402</v>
      </c>
      <c r="AA56" s="23">
        <f>IFERROR(IF(_xlfn.MAXIFS(tblBodega[Fecha],tblBodega[Codigo],tblMaestroEquipos[[#This Row],[Codigo]])=0,"",_xlfn.MAXIFS(tblBodega[Fecha],tblBodega[Codigo],tblMaestroEquipos[[#This Row],[Codigo]])),"")</f>
        <v>46181</v>
      </c>
      <c r="AB5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109</v>
      </c>
      <c r="AC56"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56" s="16" t="str">
        <f>IF(tblMaestroEquipos[[#This Row],[Fecha Salida Bodega]]="","SIN SALIDA BODEGA",IF(OR(tblMaestroEquipos[[#This Row],[Ultima Fecha PM]]="",tblMaestroEquipos[[#This Row],[Ultima Fecha PM]]&lt;tblMaestroEquipos[[#This Row],[Fecha Salida Bodega]]),"PENDIENTE","CERRADO"))</f>
        <v>PENDIENTE</v>
      </c>
      <c r="AE56" s="48" t="str">
        <f t="shared" si="2"/>
        <v>OPERATIVO</v>
      </c>
      <c r="AF56" s="16" t="str">
        <f t="shared" si="3"/>
        <v>BAJA</v>
      </c>
      <c r="AG56" s="16" t="str">
        <f t="shared" si="4"/>
        <v>Monitorear próximo vencimiento</v>
      </c>
      <c r="AH56">
        <f t="shared" si="5"/>
        <v>0</v>
      </c>
      <c r="AI56" t="str">
        <f t="shared" si="6"/>
        <v/>
      </c>
      <c r="AJ56" s="22">
        <f t="shared" si="7"/>
        <v>3</v>
      </c>
    </row>
    <row r="57" spans="1:36">
      <c r="A57" s="16" t="s">
        <v>171</v>
      </c>
      <c r="B57" s="16" t="s">
        <v>20</v>
      </c>
      <c r="C57" s="16" t="s">
        <v>1378</v>
      </c>
      <c r="D57" s="16" t="s">
        <v>21</v>
      </c>
      <c r="E57" s="17" t="s">
        <v>87</v>
      </c>
      <c r="F57" s="16">
        <v>2020</v>
      </c>
      <c r="G57" s="17" t="str">
        <f>IFERROR(_xlfn.XLOOKUP($A57,tblEquipos[Codigo],tblEquipos[Ubicacion],""),"")</f>
        <v>Palmucho</v>
      </c>
      <c r="H57" s="16" t="s">
        <v>172</v>
      </c>
      <c r="I57" s="16" t="str">
        <f>IFERROR(VLOOKUP(A57, Equipos!A:J, 9, FALSE), "")</f>
        <v>HORAS</v>
      </c>
      <c r="J57" s="16">
        <f>IFERROR(VLOOKUP(A57, Equipos!A:J, 10, FALSE), "")</f>
        <v>500</v>
      </c>
      <c r="K57" s="16">
        <f>IFERROR(IF($I57="KM",ROUND((_xlfn.MAXIFS(tblLecturas[Kilometraje],tblLecturas[Codigo],$A57)-_xlfn.MINIFS(tblLecturas[Kilometraje],tblLecturas[Codigo],$A57))/(MAX(1,_xlfn.MAXIFS(tblLecturas[Fecha],tblLecturas[Codigo],$A57)-_xlfn.MINIFS(tblLecturas[Fecha],tblLecturas[Codigo],$A57))),1),ROUND((_xlfn.MAXIFS(tblLecturas[Horometro],tblLecturas[Codigo],$A57)-_xlfn.MINIFS(tblLecturas[Horometro],tblLecturas[Codigo],$A57))/(MAX(1,_xlfn.MAXIFS(tblLecturas[Fecha],tblLecturas[Codigo],$A57)-_xlfn.MINIFS(tblLecturas[Fecha],tblLecturas[Codigo],$A57))),1)),"")</f>
        <v>3.5</v>
      </c>
      <c r="L57" s="18">
        <f>IFERROR(_xlfn.MAXIFS(tblLecturas[Fecha],tblLecturas[Codigo],$A57),"")</f>
        <v>46198</v>
      </c>
      <c r="M57" s="24">
        <f>IFERROR(_xlfn.MAXIFS(Lecturas!$C:$C,Lecturas!$B:$B,$A57,Lecturas!$C:$C,"&gt;0"),"")</f>
        <v>8957</v>
      </c>
      <c r="N57" s="24">
        <f>IFERROR(_xlfn.MAXIFS(tblLecturas[Kilometraje],tblLecturas[Codigo],$A57,tblLecturas[Kilometraje],"&gt;0"),"")</f>
        <v>413972</v>
      </c>
      <c r="O57" s="24" cm="1">
        <f t="array" ref="O57">IFERROR(IF($I57="KM",LOOKUP(2,1/(Lecturas!$B:$B=$A57)/(Lecturas!$D:$D&gt;0),Lecturas!$D:$D),LOOKUP(2,1/(Lecturas!$B:$B=$A57)/(Lecturas!$C:$C&gt;0),Lecturas!$C:$C)),"")</f>
        <v>8957</v>
      </c>
      <c r="P57" s="18">
        <f>IFERROR(_xlfn.MAXIFS(tblMantenciones[Fecha],tblMantenciones[Codigo],tblMaestroEquipos[[#This Row],[Codigo]],tblMantenciones[EsPM],"Sí"),"")</f>
        <v>46149</v>
      </c>
      <c r="Q57" s="70">
        <f>IF(_xlfn.MAXIFS(Mantenciones!$D:$D,Mantenciones!$B:$B,A57)=0,"Sin datos de mantención registrado",_xlfn.MAXIFS(Mantenciones!$D:$D,Mantenciones!$B:$B,A57))</f>
        <v>8875</v>
      </c>
      <c r="R57" s="16">
        <f>IFERROR(IF(_xlfn.MAXIFS(Mantenciones!$D:$D,Mantenciones!$B:$B,$A57,Mantenciones!$E:$E,"Sí",Mantenciones!$D:$D,"&gt;0")=0,"Sin datos de mantención registrado",_xlfn.MAXIFS(Mantenciones!$D:$D,Mantenciones!$B:$B,$A57,Mantenciones!$E:$E,"Sí",Mantenciones!$D:$D,"&gt;0")),"Sin datos de mantención registrado")</f>
        <v>8875</v>
      </c>
      <c r="S57" s="19">
        <f>IFERROR(SUMIFS(tblMantenciones[Costo Mantencion CLP],tblMantenciones[Codigo],A57),0)</f>
        <v>0</v>
      </c>
      <c r="T57" s="19">
        <f>IFERROR(SUMIFS(tblComprasPM[Costo PM CLP],tblComprasPM[Codigo],tblMaestroEquipos[[#This Row],[Codigo]]),0)</f>
        <v>406826.62049999996</v>
      </c>
      <c r="U57" s="19">
        <f>IFERROR(tblMaestroEquipos[[#This Row],[Costo Mantenciones CLP]]+tblMaestroEquipos[[#This Row],[Costo Compras PM CLP]],0)</f>
        <v>406826.62049999996</v>
      </c>
      <c r="V57" s="16" t="str">
        <f>IFERROR(_xlfn.XLOOKUP(tblMaestroEquipos[[#This Row],[Codigo]],tblEquipos[Codigo],tblEquipos[Estado Base]),"")</f>
        <v>Operativo</v>
      </c>
      <c r="W57" s="16" t="str">
        <f t="shared" si="0"/>
        <v>AL DÍA</v>
      </c>
      <c r="X57" s="16">
        <f t="shared" si="1"/>
        <v>418</v>
      </c>
      <c r="Y57" s="23">
        <f>IFERROR(IF(OR(tblMaestroEquipos[[#This Row],[Estado Operacional]]="FUERA DE SERVICIO",tblMaestroEquipos[[#This Row],[Ultima Fecha Lectura]]="",tblMaestroEquipos[[#This Row],[Dias a Proxima Mantencion]]=""),"",tblMaestroEquipos[[#This Row],[Ultima Fecha Lectura]]+tblMaestroEquipos[[#This Row],[Dias a Proxima Mantencion]]),"")</f>
        <v>46616</v>
      </c>
      <c r="Z57" s="23">
        <f>IFERROR(IF(_xlfn.MINIFS(tblComprasPM[Fecha],tblComprasPM[Codigo],tblMaestroEquipos[[#This Row],[Codigo]])=0,"",_xlfn.MINIFS(tblComprasPM[Fecha],tblComprasPM[Codigo],tblMaestroEquipos[[#This Row],[Codigo]])),"")</f>
        <v>46069.447153738402</v>
      </c>
      <c r="AA57" s="23">
        <f>IFERROR(IF(_xlfn.MAXIFS(tblBodega[Fecha],tblBodega[Codigo],tblMaestroEquipos[[#This Row],[Codigo]])=0,"",_xlfn.MAXIFS(tblBodega[Fecha],tblBodega[Codigo],tblMaestroEquipos[[#This Row],[Codigo]])),"")</f>
        <v>46105</v>
      </c>
      <c r="AB5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80</v>
      </c>
      <c r="AC57"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44</v>
      </c>
      <c r="AD57" s="16" t="str">
        <f>IF(tblMaestroEquipos[[#This Row],[Fecha Salida Bodega]]="","SIN SALIDA BODEGA",IF(OR(tblMaestroEquipos[[#This Row],[Ultima Fecha PM]]="",tblMaestroEquipos[[#This Row],[Ultima Fecha PM]]&lt;tblMaestroEquipos[[#This Row],[Fecha Salida Bodega]]),"PENDIENTE","CERRADO"))</f>
        <v>CERRADO</v>
      </c>
      <c r="AE57" s="48" t="str">
        <f t="shared" si="2"/>
        <v>OPERATIVO</v>
      </c>
      <c r="AF57" s="16" t="str">
        <f t="shared" si="3"/>
        <v>BAJA</v>
      </c>
      <c r="AG57" s="16" t="str">
        <f t="shared" si="4"/>
        <v>Monitorear próximo vencimiento</v>
      </c>
      <c r="AH57">
        <f t="shared" si="5"/>
        <v>0</v>
      </c>
      <c r="AI57" t="str">
        <f t="shared" si="6"/>
        <v/>
      </c>
      <c r="AJ57" s="22">
        <f t="shared" si="7"/>
        <v>99</v>
      </c>
    </row>
    <row r="58" spans="1:36">
      <c r="A58" s="16" t="s">
        <v>173</v>
      </c>
      <c r="B58" s="16" t="s">
        <v>20</v>
      </c>
      <c r="C58" s="16" t="s">
        <v>1378</v>
      </c>
      <c r="D58" s="16" t="s">
        <v>21</v>
      </c>
      <c r="E58" s="17" t="s">
        <v>87</v>
      </c>
      <c r="F58" s="16">
        <v>2020</v>
      </c>
      <c r="G58" s="17" t="str">
        <f>IFERROR(_xlfn.XLOOKUP($A58,tblEquipos[Codigo],tblEquipos[Ubicacion],""),"")</f>
        <v>Emergencias Curico</v>
      </c>
      <c r="H58" s="16" t="s">
        <v>174</v>
      </c>
      <c r="I58" s="16" t="str">
        <f>IFERROR(VLOOKUP(A58, Equipos!A:J, 9, FALSE), "")</f>
        <v>HORAS</v>
      </c>
      <c r="J58" s="16">
        <f>IFERROR(VLOOKUP(A58, Equipos!A:J, 10, FALSE), "")</f>
        <v>500</v>
      </c>
      <c r="K58" s="16">
        <f>IFERROR(IF($I58="KM",ROUND((_xlfn.MAXIFS(tblLecturas[Kilometraje],tblLecturas[Codigo],$A58)-_xlfn.MINIFS(tblLecturas[Kilometraje],tblLecturas[Codigo],$A58))/(MAX(1,_xlfn.MAXIFS(tblLecturas[Fecha],tblLecturas[Codigo],$A58)-_xlfn.MINIFS(tblLecturas[Fecha],tblLecturas[Codigo],$A58))),1),ROUND((_xlfn.MAXIFS(tblLecturas[Horometro],tblLecturas[Codigo],$A58)-_xlfn.MINIFS(tblLecturas[Horometro],tblLecturas[Codigo],$A58))/(MAX(1,_xlfn.MAXIFS(tblLecturas[Fecha],tblLecturas[Codigo],$A58)-_xlfn.MINIFS(tblLecturas[Fecha],tblLecturas[Codigo],$A58))),1)),"")</f>
        <v>0</v>
      </c>
      <c r="L58" s="18">
        <f>IFERROR(_xlfn.MAXIFS(tblLecturas[Fecha],tblLecturas[Codigo],$A58),"")</f>
        <v>46114</v>
      </c>
      <c r="M58" s="24">
        <f>IFERROR(_xlfn.MAXIFS(Lecturas!$C:$C,Lecturas!$B:$B,$A58,Lecturas!$C:$C,"&gt;0"),"")</f>
        <v>0</v>
      </c>
      <c r="N58" s="24">
        <f>IFERROR(_xlfn.MAXIFS(tblLecturas[Kilometraje],tblLecturas[Codigo],$A58,tblLecturas[Kilometraje],"&gt;0"),"")</f>
        <v>212344</v>
      </c>
      <c r="O58" s="24" t="str" cm="1">
        <f t="array" ref="O58">IFERROR(IF($I58="KM",LOOKUP(2,1/(Lecturas!$B:$B=$A58)/(Lecturas!$D:$D&gt;0),Lecturas!$D:$D),LOOKUP(2,1/(Lecturas!$B:$B=$A58)/(Lecturas!$C:$C&gt;0),Lecturas!$C:$C)),"")</f>
        <v/>
      </c>
      <c r="P58" s="18">
        <f>IFERROR(_xlfn.MAXIFS(tblMantenciones[Fecha],tblMantenciones[Codigo],tblMaestroEquipos[[#This Row],[Codigo]],tblMantenciones[EsPM],"Sí"),"")</f>
        <v>46100</v>
      </c>
      <c r="Q58" s="70">
        <f>IF(_xlfn.MAXIFS(Mantenciones!$D:$D,Mantenciones!$B:$B,A58)=0,"Sin datos de mantención registrado",_xlfn.MAXIFS(Mantenciones!$D:$D,Mantenciones!$B:$B,A58))</f>
        <v>9317</v>
      </c>
      <c r="R58" s="16">
        <f>IFERROR(IF(_xlfn.MAXIFS(Mantenciones!$D:$D,Mantenciones!$B:$B,$A58,Mantenciones!$E:$E,"Sí",Mantenciones!$D:$D,"&gt;0")=0,"Sin datos de mantención registrado",_xlfn.MAXIFS(Mantenciones!$D:$D,Mantenciones!$B:$B,$A58,Mantenciones!$E:$E,"Sí",Mantenciones!$D:$D,"&gt;0")),"Sin datos de mantención registrado")</f>
        <v>9317</v>
      </c>
      <c r="S58" s="19">
        <f>IFERROR(SUMIFS(tblMantenciones[Costo Mantencion CLP],tblMantenciones[Codigo],A58),0)</f>
        <v>0</v>
      </c>
      <c r="T58" s="19">
        <f>IFERROR(SUMIFS(tblComprasPM[Costo PM CLP],tblComprasPM[Codigo],tblMaestroEquipos[[#This Row],[Codigo]]),0)</f>
        <v>486933.51169999992</v>
      </c>
      <c r="U58" s="19">
        <f>IFERROR(tblMaestroEquipos[[#This Row],[Costo Mantenciones CLP]]+tblMaestroEquipos[[#This Row],[Costo Compras PM CLP]],0)</f>
        <v>486933.51169999992</v>
      </c>
      <c r="V58" s="16" t="str">
        <f>IFERROR(_xlfn.XLOOKUP(tblMaestroEquipos[[#This Row],[Codigo]],tblEquipos[Codigo],tblEquipos[Estado Base]),"")</f>
        <v>Operativo</v>
      </c>
      <c r="W58" s="16" t="str">
        <f t="shared" si="0"/>
        <v>AL DÍA</v>
      </c>
      <c r="X58" s="16" t="str">
        <f t="shared" si="1"/>
        <v/>
      </c>
      <c r="Y58"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58" s="23">
        <f>IFERROR(IF(_xlfn.MINIFS(tblComprasPM[Fecha],tblComprasPM[Codigo],tblMaestroEquipos[[#This Row],[Codigo]])=0,"",_xlfn.MINIFS(tblComprasPM[Fecha],tblComprasPM[Codigo],tblMaestroEquipos[[#This Row],[Codigo]])),"")</f>
        <v>46069.447153738402</v>
      </c>
      <c r="AA58" s="23">
        <f>IFERROR(IF(_xlfn.MAXIFS(tblBodega[Fecha],tblBodega[Codigo],tblMaestroEquipos[[#This Row],[Codigo]])=0,"",_xlfn.MAXIFS(tblBodega[Fecha],tblBodega[Codigo],tblMaestroEquipos[[#This Row],[Codigo]])),"")</f>
        <v>46097</v>
      </c>
      <c r="AB58"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31</v>
      </c>
      <c r="AC58"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3</v>
      </c>
      <c r="AD58" s="16" t="str">
        <f>IF(tblMaestroEquipos[[#This Row],[Fecha Salida Bodega]]="","SIN SALIDA BODEGA",IF(OR(tblMaestroEquipos[[#This Row],[Ultima Fecha PM]]="",tblMaestroEquipos[[#This Row],[Ultima Fecha PM]]&lt;tblMaestroEquipos[[#This Row],[Fecha Salida Bodega]]),"PENDIENTE","CERRADO"))</f>
        <v>CERRADO</v>
      </c>
      <c r="AE58" s="48" t="str">
        <f t="shared" si="2"/>
        <v>OPERATIVO</v>
      </c>
      <c r="AF58" s="16" t="str">
        <f t="shared" si="3"/>
        <v>BAJA</v>
      </c>
      <c r="AG58" s="16" t="str">
        <f t="shared" si="4"/>
        <v>Monitorear próximo vencimiento</v>
      </c>
      <c r="AH58">
        <f t="shared" si="5"/>
        <v>0</v>
      </c>
      <c r="AI58" t="str">
        <f t="shared" si="6"/>
        <v/>
      </c>
      <c r="AJ58" s="22">
        <f t="shared" si="7"/>
        <v>99</v>
      </c>
    </row>
    <row r="59" spans="1:36">
      <c r="A59" s="16" t="s">
        <v>175</v>
      </c>
      <c r="B59" s="16" t="s">
        <v>20</v>
      </c>
      <c r="C59" s="16" t="s">
        <v>1378</v>
      </c>
      <c r="D59" s="16" t="s">
        <v>21</v>
      </c>
      <c r="E59" s="17" t="s">
        <v>87</v>
      </c>
      <c r="F59" s="16">
        <v>2020</v>
      </c>
      <c r="G59" s="17" t="str">
        <f>IFERROR(_xlfn.XLOOKUP($A59,tblEquipos[Codigo],tblEquipos[Ubicacion],""),"")</f>
        <v>TALLER</v>
      </c>
      <c r="H59" s="16" t="s">
        <v>56</v>
      </c>
      <c r="I59" s="16" t="str">
        <f>IFERROR(VLOOKUP(A59, Equipos!A:J, 9, FALSE), "")</f>
        <v>HORAS</v>
      </c>
      <c r="J59" s="16">
        <f>IFERROR(VLOOKUP(A59, Equipos!A:J, 10, FALSE), "")</f>
        <v>500</v>
      </c>
      <c r="K59" s="16">
        <f>IFERROR(IF($I59="KM",ROUND((_xlfn.MAXIFS(tblLecturas[Kilometraje],tblLecturas[Codigo],$A59)-_xlfn.MINIFS(tblLecturas[Kilometraje],tblLecturas[Codigo],$A59))/(MAX(1,_xlfn.MAXIFS(tblLecturas[Fecha],tblLecturas[Codigo],$A59)-_xlfn.MINIFS(tblLecturas[Fecha],tblLecturas[Codigo],$A59))),1),ROUND((_xlfn.MAXIFS(tblLecturas[Horometro],tblLecturas[Codigo],$A59)-_xlfn.MINIFS(tblLecturas[Horometro],tblLecturas[Codigo],$A59))/(MAX(1,_xlfn.MAXIFS(tblLecturas[Fecha],tblLecturas[Codigo],$A59)-_xlfn.MINIFS(tblLecturas[Fecha],tblLecturas[Codigo],$A59))),1)),"")</f>
        <v>0</v>
      </c>
      <c r="L59" s="18">
        <f>IFERROR(_xlfn.MAXIFS(tblLecturas[Fecha],tblLecturas[Codigo],$A59),"")</f>
        <v>46085</v>
      </c>
      <c r="M59" s="24">
        <f>IFERROR(_xlfn.MAXIFS(Lecturas!$C:$C,Lecturas!$B:$B,$A59,Lecturas!$C:$C,"&gt;0"),"")</f>
        <v>8719</v>
      </c>
      <c r="N59" s="24">
        <f>IFERROR(_xlfn.MAXIFS(tblLecturas[Kilometraje],tblLecturas[Codigo],$A59,tblLecturas[Kilometraje],"&gt;0"),"")</f>
        <v>193551</v>
      </c>
      <c r="O59" s="24" cm="1">
        <f t="array" ref="O59">IFERROR(IF($I59="KM",LOOKUP(2,1/(Lecturas!$B:$B=$A59)/(Lecturas!$D:$D&gt;0),Lecturas!$D:$D),LOOKUP(2,1/(Lecturas!$B:$B=$A59)/(Lecturas!$C:$C&gt;0),Lecturas!$C:$C)),"")</f>
        <v>8719</v>
      </c>
      <c r="P59" s="18">
        <f>IFERROR(_xlfn.MAXIFS(tblMantenciones[Fecha],tblMantenciones[Codigo],tblMaestroEquipos[[#This Row],[Codigo]],tblMantenciones[EsPM],"Sí"),"")</f>
        <v>45216</v>
      </c>
      <c r="Q59" s="70">
        <f>IF(_xlfn.MAXIFS(Mantenciones!$D:$D,Mantenciones!$B:$B,A59)=0,"Sin datos de mantención registrado",_xlfn.MAXIFS(Mantenciones!$D:$D,Mantenciones!$B:$B,A59))</f>
        <v>6202</v>
      </c>
      <c r="R59" s="16">
        <f>IFERROR(IF(_xlfn.MAXIFS(Mantenciones!$D:$D,Mantenciones!$B:$B,$A59,Mantenciones!$E:$E,"Sí",Mantenciones!$D:$D,"&gt;0")=0,"Sin datos de mantención registrado",_xlfn.MAXIFS(Mantenciones!$D:$D,Mantenciones!$B:$B,$A59,Mantenciones!$E:$E,"Sí",Mantenciones!$D:$D,"&gt;0")),"Sin datos de mantención registrado")</f>
        <v>6202</v>
      </c>
      <c r="S59" s="19">
        <f>IFERROR(SUMIFS(tblMantenciones[Costo Mantencion CLP],tblMantenciones[Codigo],A59),0)</f>
        <v>0</v>
      </c>
      <c r="T59" s="19">
        <f>IFERROR(SUMIFS(tblComprasPM[Costo PM CLP],tblComprasPM[Codigo],tblMaestroEquipos[[#This Row],[Codigo]]),0)</f>
        <v>0</v>
      </c>
      <c r="U59" s="19">
        <f>IFERROR(tblMaestroEquipos[[#This Row],[Costo Mantenciones CLP]]+tblMaestroEquipos[[#This Row],[Costo Compras PM CLP]],0)</f>
        <v>0</v>
      </c>
      <c r="V59" s="16" t="str">
        <f>IFERROR(_xlfn.XLOOKUP(tblMaestroEquipos[[#This Row],[Codigo]],tblEquipos[Codigo],tblEquipos[Estado Base]),"")</f>
        <v>Fuera de Servicio</v>
      </c>
      <c r="W59" s="16" t="str">
        <f t="shared" si="0"/>
        <v>FUERA DE SERVICIO</v>
      </c>
      <c r="X59" s="16">
        <f t="shared" si="1"/>
        <v>-2017</v>
      </c>
      <c r="Y59"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59" s="23" t="str">
        <f>IFERROR(IF(_xlfn.MINIFS(tblComprasPM[Fecha],tblComprasPM[Codigo],tblMaestroEquipos[[#This Row],[Codigo]])=0,"",_xlfn.MINIFS(tblComprasPM[Fecha],tblComprasPM[Codigo],tblMaestroEquipos[[#This Row],[Codigo]])),"")</f>
        <v/>
      </c>
      <c r="AA59" s="23" t="str">
        <f>IFERROR(IF(_xlfn.MAXIFS(tblBodega[Fecha],tblBodega[Codigo],tblMaestroEquipos[[#This Row],[Codigo]])=0,"",_xlfn.MAXIFS(tblBodega[Fecha],tblBodega[Codigo],tblMaestroEquipos[[#This Row],[Codigo]])),"")</f>
        <v/>
      </c>
      <c r="AB59"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59"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59" s="16" t="str">
        <f>IF(tblMaestroEquipos[[#This Row],[Fecha Salida Bodega]]="","SIN SALIDA BODEGA",IF(OR(tblMaestroEquipos[[#This Row],[Ultima Fecha PM]]="",tblMaestroEquipos[[#This Row],[Ultima Fecha PM]]&lt;tblMaestroEquipos[[#This Row],[Fecha Salida Bodega]]),"PENDIENTE","CERRADO"))</f>
        <v>SIN SALIDA BODEGA</v>
      </c>
      <c r="AE59" s="48" t="str">
        <f t="shared" si="2"/>
        <v>FUERA DE SERVICIO</v>
      </c>
      <c r="AF59" s="16" t="str">
        <f t="shared" si="3"/>
        <v>NO APLICA</v>
      </c>
      <c r="AG59" s="16" t="str">
        <f t="shared" si="4"/>
        <v>No programar compra</v>
      </c>
      <c r="AH59">
        <f t="shared" si="5"/>
        <v>0</v>
      </c>
      <c r="AI59" t="str">
        <f t="shared" si="6"/>
        <v/>
      </c>
      <c r="AJ59" s="22">
        <f t="shared" si="7"/>
        <v>99</v>
      </c>
    </row>
    <row r="60" spans="1:36">
      <c r="A60" s="16" t="s">
        <v>176</v>
      </c>
      <c r="B60" s="16" t="s">
        <v>83</v>
      </c>
      <c r="C60" s="16" t="s">
        <v>1378</v>
      </c>
      <c r="D60" s="16" t="s">
        <v>44</v>
      </c>
      <c r="E60" s="17" t="s">
        <v>177</v>
      </c>
      <c r="F60" s="16">
        <v>2011</v>
      </c>
      <c r="G60" s="17">
        <f>IFERROR(_xlfn.XLOOKUP($A60,tblEquipos[Codigo],tblEquipos[Ubicacion],""),"")</f>
        <v>0</v>
      </c>
      <c r="H60" s="16" t="s">
        <v>125</v>
      </c>
      <c r="I60" s="16" t="str">
        <f>IFERROR(VLOOKUP(A60, Equipos!A:J, 9, FALSE), "")</f>
        <v>HORAS</v>
      </c>
      <c r="J60" s="16">
        <f>IFERROR(VLOOKUP(A60, Equipos!A:J, 10, FALSE), "")</f>
        <v>250</v>
      </c>
      <c r="K60" s="16">
        <f>IFERROR(IF($I60="KM",ROUND((_xlfn.MAXIFS(tblLecturas[Kilometraje],tblLecturas[Codigo],$A60)-_xlfn.MINIFS(tblLecturas[Kilometraje],tblLecturas[Codigo],$A60))/(MAX(1,_xlfn.MAXIFS(tblLecturas[Fecha],tblLecturas[Codigo],$A60)-_xlfn.MINIFS(tblLecturas[Fecha],tblLecturas[Codigo],$A60))),1),ROUND((_xlfn.MAXIFS(tblLecturas[Horometro],tblLecturas[Codigo],$A60)-_xlfn.MINIFS(tblLecturas[Horometro],tblLecturas[Codigo],$A60))/(MAX(1,_xlfn.MAXIFS(tblLecturas[Fecha],tblLecturas[Codigo],$A60)-_xlfn.MINIFS(tblLecturas[Fecha],tblLecturas[Codigo],$A60))),1)),"")</f>
        <v>0</v>
      </c>
      <c r="L60" s="18">
        <f>IFERROR(_xlfn.MAXIFS(tblLecturas[Fecha],tblLecturas[Codigo],$A60),"")</f>
        <v>46056</v>
      </c>
      <c r="M60" s="24">
        <f>IFERROR(_xlfn.MAXIFS(Lecturas!$C:$C,Lecturas!$B:$B,$A60,Lecturas!$C:$C,"&gt;0"),"")</f>
        <v>0</v>
      </c>
      <c r="N60" s="24">
        <f>IFERROR(_xlfn.MAXIFS(tblLecturas[Kilometraje],tblLecturas[Codigo],$A60,tblLecturas[Kilometraje],"&gt;0"),"")</f>
        <v>87289</v>
      </c>
      <c r="O60" s="24" t="str" cm="1">
        <f t="array" ref="O60">IFERROR(IF($I60="KM",LOOKUP(2,1/(Lecturas!$B:$B=$A60)/(Lecturas!$D:$D&gt;0),Lecturas!$D:$D),LOOKUP(2,1/(Lecturas!$B:$B=$A60)/(Lecturas!$C:$C&gt;0),Lecturas!$C:$C)),"")</f>
        <v/>
      </c>
      <c r="P60" s="18">
        <f>IFERROR(_xlfn.MAXIFS(tblMantenciones[Fecha],tblMantenciones[Codigo],tblMaestroEquipos[[#This Row],[Codigo]],tblMantenciones[EsPM],"Sí"),"")</f>
        <v>45042</v>
      </c>
      <c r="Q60" s="70">
        <f>IF(_xlfn.MAXIFS(Mantenciones!$D:$D,Mantenciones!$B:$B,A60)=0,"Sin datos de mantención registrado",_xlfn.MAXIFS(Mantenciones!$D:$D,Mantenciones!$B:$B,A60))</f>
        <v>3327</v>
      </c>
      <c r="R60" s="16">
        <f>IFERROR(IF(_xlfn.MAXIFS(Mantenciones!$D:$D,Mantenciones!$B:$B,$A60,Mantenciones!$E:$E,"Sí",Mantenciones!$D:$D,"&gt;0")=0,"Sin datos de mantención registrado",_xlfn.MAXIFS(Mantenciones!$D:$D,Mantenciones!$B:$B,$A60,Mantenciones!$E:$E,"Sí",Mantenciones!$D:$D,"&gt;0")),"Sin datos de mantención registrado")</f>
        <v>3327</v>
      </c>
      <c r="S60" s="19">
        <f>IFERROR(SUMIFS(tblMantenciones[Costo Mantencion CLP],tblMantenciones[Codigo],A60),0)</f>
        <v>0</v>
      </c>
      <c r="T60" s="19">
        <f>IFERROR(SUMIFS(tblComprasPM[Costo PM CLP],tblComprasPM[Codigo],tblMaestroEquipos[[#This Row],[Codigo]]),0)</f>
        <v>170432.99</v>
      </c>
      <c r="U60" s="19">
        <f>IFERROR(tblMaestroEquipos[[#This Row],[Costo Mantenciones CLP]]+tblMaestroEquipos[[#This Row],[Costo Compras PM CLP]],0)</f>
        <v>170432.99</v>
      </c>
      <c r="V60" s="16" t="str">
        <f>IFERROR(_xlfn.XLOOKUP(tblMaestroEquipos[[#This Row],[Codigo]],tblEquipos[Codigo],tblEquipos[Estado Base]),"")</f>
        <v>Fuera de Servicio</v>
      </c>
      <c r="W60" s="16" t="str">
        <f t="shared" si="0"/>
        <v>FUERA DE SERVICIO</v>
      </c>
      <c r="X60" s="16" t="str">
        <f t="shared" si="1"/>
        <v/>
      </c>
      <c r="Y60"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60" s="23">
        <f>IFERROR(IF(_xlfn.MINIFS(tblComprasPM[Fecha],tblComprasPM[Codigo],tblMaestroEquipos[[#This Row],[Codigo]])=0,"",_xlfn.MINIFS(tblComprasPM[Fecha],tblComprasPM[Codigo],tblMaestroEquipos[[#This Row],[Codigo]])),"")</f>
        <v>46093.649381215298</v>
      </c>
      <c r="AA60" s="23" t="str">
        <f>IFERROR(IF(_xlfn.MAXIFS(tblBodega[Fecha],tblBodega[Codigo],tblMaestroEquipos[[#This Row],[Codigo]])=0,"",_xlfn.MAXIFS(tblBodega[Fecha],tblBodega[Codigo],tblMaestroEquipos[[#This Row],[Codigo]])),"")</f>
        <v/>
      </c>
      <c r="AB6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60"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60" s="16" t="str">
        <f>IF(tblMaestroEquipos[[#This Row],[Fecha Salida Bodega]]="","SIN SALIDA BODEGA",IF(OR(tblMaestroEquipos[[#This Row],[Ultima Fecha PM]]="",tblMaestroEquipos[[#This Row],[Ultima Fecha PM]]&lt;tblMaestroEquipos[[#This Row],[Fecha Salida Bodega]]),"PENDIENTE","CERRADO"))</f>
        <v>SIN SALIDA BODEGA</v>
      </c>
      <c r="AE60" s="48" t="str">
        <f t="shared" si="2"/>
        <v>FUERA DE SERVICIO</v>
      </c>
      <c r="AF60" s="16" t="str">
        <f t="shared" si="3"/>
        <v>NO APLICA</v>
      </c>
      <c r="AG60" s="16" t="str">
        <f t="shared" si="4"/>
        <v>No programar compra</v>
      </c>
      <c r="AH60">
        <f t="shared" si="5"/>
        <v>0</v>
      </c>
      <c r="AI60" t="str">
        <f t="shared" si="6"/>
        <v/>
      </c>
      <c r="AJ60" s="22">
        <f t="shared" si="7"/>
        <v>99</v>
      </c>
    </row>
    <row r="61" spans="1:36">
      <c r="A61" s="16" t="s">
        <v>178</v>
      </c>
      <c r="B61" s="16" t="s">
        <v>43</v>
      </c>
      <c r="C61" s="16" t="s">
        <v>1378</v>
      </c>
      <c r="D61" s="16" t="s">
        <v>44</v>
      </c>
      <c r="E61" s="17" t="s">
        <v>147</v>
      </c>
      <c r="F61" s="16">
        <v>2013</v>
      </c>
      <c r="G61" s="17" t="str">
        <f>IFERROR(_xlfn.XLOOKUP($A61,tblEquipos[Codigo],tblEquipos[Ubicacion],""),"")</f>
        <v>Taller</v>
      </c>
      <c r="H61" s="16" t="s">
        <v>179</v>
      </c>
      <c r="I61" s="16" t="str">
        <f>IFERROR(VLOOKUP(A61, Equipos!A:J, 9, FALSE), "")</f>
        <v>HORAS</v>
      </c>
      <c r="J61" s="16">
        <f>IFERROR(VLOOKUP(A61, Equipos!A:J, 10, FALSE), "")</f>
        <v>250</v>
      </c>
      <c r="K61" s="16">
        <f>IFERROR(IF($I61="KM",ROUND((_xlfn.MAXIFS(tblLecturas[Kilometraje],tblLecturas[Codigo],$A61)-_xlfn.MINIFS(tblLecturas[Kilometraje],tblLecturas[Codigo],$A61))/(MAX(1,_xlfn.MAXIFS(tblLecturas[Fecha],tblLecturas[Codigo],$A61)-_xlfn.MINIFS(tblLecturas[Fecha],tblLecturas[Codigo],$A61))),1),ROUND((_xlfn.MAXIFS(tblLecturas[Horometro],tblLecturas[Codigo],$A61)-_xlfn.MINIFS(tblLecturas[Horometro],tblLecturas[Codigo],$A61))/(MAX(1,_xlfn.MAXIFS(tblLecturas[Fecha],tblLecturas[Codigo],$A61)-_xlfn.MINIFS(tblLecturas[Fecha],tblLecturas[Codigo],$A61))),1)),"")</f>
        <v>0</v>
      </c>
      <c r="L61" s="18">
        <f>IFERROR(_xlfn.MAXIFS(tblLecturas[Fecha],tblLecturas[Codigo],$A61),"")</f>
        <v>0</v>
      </c>
      <c r="M61" s="24">
        <f>IFERROR(_xlfn.MAXIFS(Lecturas!$C:$C,Lecturas!$B:$B,$A61,Lecturas!$C:$C,"&gt;0"),"")</f>
        <v>0</v>
      </c>
      <c r="N61" s="24">
        <f>IFERROR(_xlfn.MAXIFS(tblLecturas[Kilometraje],tblLecturas[Codigo],$A61,tblLecturas[Kilometraje],"&gt;0"),"")</f>
        <v>0</v>
      </c>
      <c r="O61" s="24" t="str" cm="1">
        <f t="array" ref="O61">IFERROR(IF($I61="KM",LOOKUP(2,1/(Lecturas!$B:$B=$A61)/(Lecturas!$D:$D&gt;0),Lecturas!$D:$D),LOOKUP(2,1/(Lecturas!$B:$B=$A61)/(Lecturas!$C:$C&gt;0),Lecturas!$C:$C)),"")</f>
        <v/>
      </c>
      <c r="P61" s="18">
        <f>IFERROR(_xlfn.MAXIFS(tblMantenciones[Fecha],tblMantenciones[Codigo],tblMaestroEquipos[[#This Row],[Codigo]],tblMantenciones[EsPM],"Sí"),"")</f>
        <v>45216</v>
      </c>
      <c r="Q61" s="70">
        <f>IF(_xlfn.MAXIFS(Mantenciones!$D:$D,Mantenciones!$B:$B,A61)=0,"Sin datos de mantención registrado",_xlfn.MAXIFS(Mantenciones!$D:$D,Mantenciones!$B:$B,A61))</f>
        <v>267182</v>
      </c>
      <c r="R61" s="16">
        <f>IFERROR(IF(_xlfn.MAXIFS(Mantenciones!$D:$D,Mantenciones!$B:$B,$A61,Mantenciones!$E:$E,"Sí",Mantenciones!$D:$D,"&gt;0")=0,"Sin datos de mantención registrado",_xlfn.MAXIFS(Mantenciones!$D:$D,Mantenciones!$B:$B,$A61,Mantenciones!$E:$E,"Sí",Mantenciones!$D:$D,"&gt;0")),"Sin datos de mantención registrado")</f>
        <v>267182</v>
      </c>
      <c r="S61" s="19">
        <f>IFERROR(SUMIFS(tblMantenciones[Costo Mantencion CLP],tblMantenciones[Codigo],A61),0)</f>
        <v>0</v>
      </c>
      <c r="T61" s="19">
        <f>IFERROR(SUMIFS(tblComprasPM[Costo PM CLP],tblComprasPM[Codigo],tblMaestroEquipos[[#This Row],[Codigo]]),0)</f>
        <v>170432.99</v>
      </c>
      <c r="U61" s="19">
        <f>IFERROR(tblMaestroEquipos[[#This Row],[Costo Mantenciones CLP]]+tblMaestroEquipos[[#This Row],[Costo Compras PM CLP]],0)</f>
        <v>170432.99</v>
      </c>
      <c r="V61" s="16" t="str">
        <f>IFERROR(_xlfn.XLOOKUP(tblMaestroEquipos[[#This Row],[Codigo]],tblEquipos[Codigo],tblEquipos[Estado Base]),"")</f>
        <v>Fuera de Servicio</v>
      </c>
      <c r="W61" s="16" t="str">
        <f t="shared" si="0"/>
        <v>FUERA DE SERVICIO</v>
      </c>
      <c r="X61" s="16" t="str">
        <f t="shared" si="1"/>
        <v/>
      </c>
      <c r="Y61"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61" s="23">
        <f>IFERROR(IF(_xlfn.MINIFS(tblComprasPM[Fecha],tblComprasPM[Codigo],tblMaestroEquipos[[#This Row],[Codigo]])=0,"",_xlfn.MINIFS(tblComprasPM[Fecha],tblComprasPM[Codigo],tblMaestroEquipos[[#This Row],[Codigo]])),"")</f>
        <v>46079.431099421301</v>
      </c>
      <c r="AA61" s="23" t="str">
        <f>IFERROR(IF(_xlfn.MAXIFS(tblBodega[Fecha],tblBodega[Codigo],tblMaestroEquipos[[#This Row],[Codigo]])=0,"",_xlfn.MAXIFS(tblBodega[Fecha],tblBodega[Codigo],tblMaestroEquipos[[#This Row],[Codigo]])),"")</f>
        <v/>
      </c>
      <c r="AB6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61"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61" s="16" t="str">
        <f>IF(tblMaestroEquipos[[#This Row],[Fecha Salida Bodega]]="","SIN SALIDA BODEGA",IF(OR(tblMaestroEquipos[[#This Row],[Ultima Fecha PM]]="",tblMaestroEquipos[[#This Row],[Ultima Fecha PM]]&lt;tblMaestroEquipos[[#This Row],[Fecha Salida Bodega]]),"PENDIENTE","CERRADO"))</f>
        <v>SIN SALIDA BODEGA</v>
      </c>
      <c r="AE61" s="48" t="str">
        <f t="shared" si="2"/>
        <v>FUERA DE SERVICIO</v>
      </c>
      <c r="AF61" s="16" t="str">
        <f t="shared" si="3"/>
        <v>NO APLICA</v>
      </c>
      <c r="AG61" s="16" t="str">
        <f t="shared" si="4"/>
        <v>No programar compra</v>
      </c>
      <c r="AH61" s="25">
        <f t="shared" si="5"/>
        <v>0</v>
      </c>
      <c r="AI61" s="25" t="str">
        <f t="shared" si="6"/>
        <v/>
      </c>
      <c r="AJ61" s="22">
        <f t="shared" si="7"/>
        <v>99</v>
      </c>
    </row>
    <row r="62" spans="1:36">
      <c r="A62" s="16" t="s">
        <v>180</v>
      </c>
      <c r="B62" s="16" t="s">
        <v>20</v>
      </c>
      <c r="C62" s="16" t="s">
        <v>1378</v>
      </c>
      <c r="D62" s="16" t="s">
        <v>21</v>
      </c>
      <c r="E62" s="17" t="s">
        <v>181</v>
      </c>
      <c r="F62" s="16">
        <v>2018</v>
      </c>
      <c r="G62" s="17" t="str">
        <f>IFERROR(_xlfn.XLOOKUP($A62,tblEquipos[Codigo],tblEquipos[Ubicacion],""),"")</f>
        <v>Palmucho</v>
      </c>
      <c r="H62" s="16" t="s">
        <v>182</v>
      </c>
      <c r="I62" s="16" t="str">
        <f>IFERROR(VLOOKUP(A62, Equipos!A:J, 9, FALSE), "")</f>
        <v>HORAS</v>
      </c>
      <c r="J62" s="16">
        <f>IFERROR(VLOOKUP(A62, Equipos!A:J, 10, FALSE), "")</f>
        <v>500</v>
      </c>
      <c r="K62" s="16">
        <f>IFERROR(IF($I62="KM",ROUND((_xlfn.MAXIFS(tblLecturas[Kilometraje],tblLecturas[Codigo],$A62)-_xlfn.MINIFS(tblLecturas[Kilometraje],tblLecturas[Codigo],$A62))/(MAX(1,_xlfn.MAXIFS(tblLecturas[Fecha],tblLecturas[Codigo],$A62)-_xlfn.MINIFS(tblLecturas[Fecha],tblLecturas[Codigo],$A62))),1),ROUND((_xlfn.MAXIFS(tblLecturas[Horometro],tblLecturas[Codigo],$A62)-_xlfn.MINIFS(tblLecturas[Horometro],tblLecturas[Codigo],$A62))/(MAX(1,_xlfn.MAXIFS(tblLecturas[Fecha],tblLecturas[Codigo],$A62)-_xlfn.MINIFS(tblLecturas[Fecha],tblLecturas[Codigo],$A62))),1)),"")</f>
        <v>4.5999999999999996</v>
      </c>
      <c r="L62" s="18">
        <f>IFERROR(_xlfn.MAXIFS(tblLecturas[Fecha],tblLecturas[Codigo],$A62),"")</f>
        <v>46190</v>
      </c>
      <c r="M62" s="24">
        <f>IFERROR(_xlfn.MAXIFS(Lecturas!$C:$C,Lecturas!$B:$B,$A62,Lecturas!$C:$C,"&gt;0"),"")</f>
        <v>9268</v>
      </c>
      <c r="N62" s="24">
        <f>IFERROR(_xlfn.MAXIFS(tblLecturas[Kilometraje],tblLecturas[Codigo],$A62,tblLecturas[Kilometraje],"&gt;0"),"")</f>
        <v>174307</v>
      </c>
      <c r="O62" s="24" cm="1">
        <f t="array" ref="O62">IFERROR(IF($I62="KM",LOOKUP(2,1/(Lecturas!$B:$B=$A62)/(Lecturas!$D:$D&gt;0),Lecturas!$D:$D),LOOKUP(2,1/(Lecturas!$B:$B=$A62)/(Lecturas!$C:$C&gt;0),Lecturas!$C:$C)),"")</f>
        <v>9263</v>
      </c>
      <c r="P62" s="18">
        <f>IFERROR(_xlfn.MAXIFS(tblMantenciones[Fecha],tblMantenciones[Codigo],tblMaestroEquipos[[#This Row],[Codigo]],tblMantenciones[EsPM],"Sí"),"")</f>
        <v>46181</v>
      </c>
      <c r="Q62" s="70">
        <f>IF(_xlfn.MAXIFS(Mantenciones!$D:$D,Mantenciones!$B:$B,A62)=0,"Sin datos de mantención registrado",_xlfn.MAXIFS(Mantenciones!$D:$D,Mantenciones!$B:$B,A62))</f>
        <v>9251</v>
      </c>
      <c r="R62" s="16">
        <f>IFERROR(IF(_xlfn.MAXIFS(Mantenciones!$D:$D,Mantenciones!$B:$B,$A62,Mantenciones!$E:$E,"Sí",Mantenciones!$D:$D,"&gt;0")=0,"Sin datos de mantención registrado",_xlfn.MAXIFS(Mantenciones!$D:$D,Mantenciones!$B:$B,$A62,Mantenciones!$E:$E,"Sí",Mantenciones!$D:$D,"&gt;0")),"Sin datos de mantención registrado")</f>
        <v>9251</v>
      </c>
      <c r="S62" s="19">
        <f>IFERROR(SUMIFS(tblMantenciones[Costo Mantencion CLP],tblMantenciones[Codigo],A62),0)</f>
        <v>0</v>
      </c>
      <c r="T62" s="19">
        <f>IFERROR(SUMIFS(tblComprasPM[Costo PM CLP],tblComprasPM[Codigo],tblMaestroEquipos[[#This Row],[Codigo]]),0)</f>
        <v>764810.24170000001</v>
      </c>
      <c r="U62" s="19">
        <f>IFERROR(tblMaestroEquipos[[#This Row],[Costo Mantenciones CLP]]+tblMaestroEquipos[[#This Row],[Costo Compras PM CLP]],0)</f>
        <v>764810.24170000001</v>
      </c>
      <c r="V62" s="16" t="str">
        <f>IFERROR(_xlfn.XLOOKUP(tblMaestroEquipos[[#This Row],[Codigo]],tblEquipos[Codigo],tblEquipos[Estado Base]),"")</f>
        <v>Operativo</v>
      </c>
      <c r="W62" s="16" t="str">
        <f t="shared" si="0"/>
        <v>AL DÍA</v>
      </c>
      <c r="X62" s="16">
        <f t="shared" si="1"/>
        <v>488</v>
      </c>
      <c r="Y62" s="23">
        <f>IFERROR(IF(OR(tblMaestroEquipos[[#This Row],[Estado Operacional]]="FUERA DE SERVICIO",tblMaestroEquipos[[#This Row],[Ultima Fecha Lectura]]="",tblMaestroEquipos[[#This Row],[Dias a Proxima Mantencion]]=""),"",tblMaestroEquipos[[#This Row],[Ultima Fecha Lectura]]+tblMaestroEquipos[[#This Row],[Dias a Proxima Mantencion]]),"")</f>
        <v>46678</v>
      </c>
      <c r="Z62" s="23">
        <f>IFERROR(IF(_xlfn.MINIFS(tblComprasPM[Fecha],tblComprasPM[Codigo],tblMaestroEquipos[[#This Row],[Codigo]])=0,"",_xlfn.MINIFS(tblComprasPM[Fecha],tblComprasPM[Codigo],tblMaestroEquipos[[#This Row],[Codigo]])),"")</f>
        <v>46069.447153738402</v>
      </c>
      <c r="AA62" s="23">
        <f>IFERROR(IF(_xlfn.MAXIFS(tblBodega[Fecha],tblBodega[Codigo],tblMaestroEquipos[[#This Row],[Codigo]])=0,"",_xlfn.MAXIFS(tblBodega[Fecha],tblBodega[Codigo],tblMaestroEquipos[[#This Row],[Codigo]])),"")</f>
        <v>46097</v>
      </c>
      <c r="AB62"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112</v>
      </c>
      <c r="AC62"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84</v>
      </c>
      <c r="AD62" s="16" t="str">
        <f>IF(tblMaestroEquipos[[#This Row],[Fecha Salida Bodega]]="","SIN SALIDA BODEGA",IF(OR(tblMaestroEquipos[[#This Row],[Ultima Fecha PM]]="",tblMaestroEquipos[[#This Row],[Ultima Fecha PM]]&lt;tblMaestroEquipos[[#This Row],[Fecha Salida Bodega]]),"PENDIENTE","CERRADO"))</f>
        <v>CERRADO</v>
      </c>
      <c r="AE62" s="48" t="str">
        <f t="shared" si="2"/>
        <v>OPERATIVO</v>
      </c>
      <c r="AF62" s="16" t="str">
        <f t="shared" si="3"/>
        <v>BAJA</v>
      </c>
      <c r="AG62" s="16" t="str">
        <f t="shared" si="4"/>
        <v>Monitorear próximo vencimiento</v>
      </c>
      <c r="AH62">
        <f t="shared" si="5"/>
        <v>0</v>
      </c>
      <c r="AI62" t="str">
        <f t="shared" si="6"/>
        <v/>
      </c>
      <c r="AJ62" s="22">
        <f t="shared" si="7"/>
        <v>99</v>
      </c>
    </row>
    <row r="63" spans="1:36">
      <c r="A63" s="16" t="s">
        <v>183</v>
      </c>
      <c r="B63" s="16" t="s">
        <v>113</v>
      </c>
      <c r="C63" s="16" t="s">
        <v>1378</v>
      </c>
      <c r="D63" s="16" t="s">
        <v>54</v>
      </c>
      <c r="E63" s="17" t="s">
        <v>55</v>
      </c>
      <c r="F63" s="16">
        <v>2007</v>
      </c>
      <c r="G63" s="17" t="str">
        <f>IFERROR(_xlfn.XLOOKUP($A63,tblEquipos[Codigo],tblEquipos[Ubicacion],""),"")</f>
        <v>Palmucho</v>
      </c>
      <c r="H63" s="16" t="s">
        <v>1391</v>
      </c>
      <c r="I63" s="16" t="str">
        <f>IFERROR(VLOOKUP(A63, Equipos!A:J, 9, FALSE), "")</f>
        <v>HORAS</v>
      </c>
      <c r="J63" s="16">
        <f>IFERROR(VLOOKUP(A63, Equipos!A:J, 10, FALSE), "")</f>
        <v>250</v>
      </c>
      <c r="K63" s="16">
        <f>IFERROR(IF($I63="KM",ROUND((_xlfn.MAXIFS(tblLecturas[Kilometraje],tblLecturas[Codigo],$A63)-_xlfn.MINIFS(tblLecturas[Kilometraje],tblLecturas[Codigo],$A63))/(MAX(1,_xlfn.MAXIFS(tblLecturas[Fecha],tblLecturas[Codigo],$A63)-_xlfn.MINIFS(tblLecturas[Fecha],tblLecturas[Codigo],$A63))),1),ROUND((_xlfn.MAXIFS(tblLecturas[Horometro],tblLecturas[Codigo],$A63)-_xlfn.MINIFS(tblLecturas[Horometro],tblLecturas[Codigo],$A63))/(MAX(1,_xlfn.MAXIFS(tblLecturas[Fecha],tblLecturas[Codigo],$A63)-_xlfn.MINIFS(tblLecturas[Fecha],tblLecturas[Codigo],$A63))),1)),"")</f>
        <v>1.5</v>
      </c>
      <c r="L63" s="18">
        <f>IFERROR(_xlfn.MAXIFS(tblLecturas[Fecha],tblLecturas[Codigo],$A63),"")</f>
        <v>46189</v>
      </c>
      <c r="M63" s="24">
        <f>IFERROR(_xlfn.MAXIFS(Lecturas!$C:$C,Lecturas!$B:$B,$A63,Lecturas!$C:$C,"&gt;0"),"")</f>
        <v>3332</v>
      </c>
      <c r="N63" s="24">
        <f>IFERROR(_xlfn.MAXIFS(tblLecturas[Kilometraje],tblLecturas[Codigo],$A63,tblLecturas[Kilometraje],"&gt;0"),"")</f>
        <v>571151</v>
      </c>
      <c r="O63" s="24" cm="1">
        <f t="array" ref="O63">IFERROR(IF($I63="KM",LOOKUP(2,1/(Lecturas!$B:$B=$A63)/(Lecturas!$D:$D&gt;0),Lecturas!$D:$D),LOOKUP(2,1/(Lecturas!$B:$B=$A63)/(Lecturas!$C:$C&gt;0),Lecturas!$C:$C)),"")</f>
        <v>3332</v>
      </c>
      <c r="P63" s="18">
        <f>IFERROR(_xlfn.MAXIFS(tblMantenciones[Fecha],tblMantenciones[Codigo],tblMaestroEquipos[[#This Row],[Codigo]],tblMantenciones[EsPM],"Sí"),"")</f>
        <v>45218</v>
      </c>
      <c r="Q63" s="70">
        <f>IF(_xlfn.MAXIFS(Mantenciones!$D:$D,Mantenciones!$B:$B,A63)=0,"Sin datos de mantención registrado",_xlfn.MAXIFS(Mantenciones!$D:$D,Mantenciones!$B:$B,A63))</f>
        <v>40349</v>
      </c>
      <c r="R63" s="16">
        <f>IFERROR(IF(_xlfn.MAXIFS(Mantenciones!$D:$D,Mantenciones!$B:$B,$A63,Mantenciones!$E:$E,"Sí",Mantenciones!$D:$D,"&gt;0")=0,"Sin datos de mantención registrado",_xlfn.MAXIFS(Mantenciones!$D:$D,Mantenciones!$B:$B,$A63,Mantenciones!$E:$E,"Sí",Mantenciones!$D:$D,"&gt;0")),"Sin datos de mantención registrado")</f>
        <v>40349</v>
      </c>
      <c r="S63" s="19">
        <f>IFERROR(SUMIFS(tblMantenciones[Costo Mantencion CLP],tblMantenciones[Codigo],A63),0)</f>
        <v>0</v>
      </c>
      <c r="T63" s="19">
        <f>IFERROR(SUMIFS(tblComprasPM[Costo PM CLP],tblComprasPM[Codigo],tblMaestroEquipos[[#This Row],[Codigo]]),0)</f>
        <v>215797.5631</v>
      </c>
      <c r="U63" s="19">
        <f>IFERROR(tblMaestroEquipos[[#This Row],[Costo Mantenciones CLP]]+tblMaestroEquipos[[#This Row],[Costo Compras PM CLP]],0)</f>
        <v>215797.5631</v>
      </c>
      <c r="V63" s="16" t="str">
        <f>IFERROR(_xlfn.XLOOKUP(tblMaestroEquipos[[#This Row],[Codigo]],tblEquipos[Codigo],tblEquipos[Estado Base]),"")</f>
        <v>Operativo</v>
      </c>
      <c r="W63" s="16" t="str">
        <f t="shared" si="0"/>
        <v>POR RECIBIR</v>
      </c>
      <c r="X63" s="16">
        <f t="shared" si="1"/>
        <v>37267</v>
      </c>
      <c r="Y63" s="23">
        <f>IFERROR(IF(OR(tblMaestroEquipos[[#This Row],[Estado Operacional]]="FUERA DE SERVICIO",tblMaestroEquipos[[#This Row],[Ultima Fecha Lectura]]="",tblMaestroEquipos[[#This Row],[Dias a Proxima Mantencion]]=""),"",tblMaestroEquipos[[#This Row],[Ultima Fecha Lectura]]+tblMaestroEquipos[[#This Row],[Dias a Proxima Mantencion]]),"")</f>
        <v>83456</v>
      </c>
      <c r="Z63" s="23">
        <f>IFERROR(IF(_xlfn.MINIFS(tblComprasPM[Fecha],tblComprasPM[Codigo],tblMaestroEquipos[[#This Row],[Codigo]])=0,"",_xlfn.MINIFS(tblComprasPM[Fecha],tblComprasPM[Codigo],tblMaestroEquipos[[#This Row],[Codigo]])),"")</f>
        <v>46079.451422071797</v>
      </c>
      <c r="AA63" s="23">
        <f>IFERROR(IF(_xlfn.MAXIFS(tblBodega[Fecha],tblBodega[Codigo],tblMaestroEquipos[[#This Row],[Codigo]])=0,"",_xlfn.MAXIFS(tblBodega[Fecha],tblBodega[Codigo],tblMaestroEquipos[[#This Row],[Codigo]])),"")</f>
        <v>46097</v>
      </c>
      <c r="AB63"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63"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63" s="16" t="str">
        <f>IF(tblMaestroEquipos[[#This Row],[Fecha Salida Bodega]]="","SIN SALIDA BODEGA",IF(OR(tblMaestroEquipos[[#This Row],[Ultima Fecha PM]]="",tblMaestroEquipos[[#This Row],[Ultima Fecha PM]]&lt;tblMaestroEquipos[[#This Row],[Fecha Salida Bodega]]),"PENDIENTE","CERRADO"))</f>
        <v>PENDIENTE</v>
      </c>
      <c r="AE63" s="48" t="str">
        <f t="shared" si="2"/>
        <v>OPERATIVO</v>
      </c>
      <c r="AF63" s="16" t="str">
        <f t="shared" si="3"/>
        <v>BAJA</v>
      </c>
      <c r="AG63" s="16" t="str">
        <f t="shared" si="4"/>
        <v>Monitorear próximo vencimiento</v>
      </c>
      <c r="AH63">
        <f t="shared" si="5"/>
        <v>0</v>
      </c>
      <c r="AI63" t="str">
        <f t="shared" si="6"/>
        <v/>
      </c>
      <c r="AJ63" s="22">
        <f t="shared" si="7"/>
        <v>3</v>
      </c>
    </row>
    <row r="64" spans="1:36">
      <c r="A64" s="16" t="s">
        <v>185</v>
      </c>
      <c r="B64" s="16" t="s">
        <v>70</v>
      </c>
      <c r="C64" s="16" t="s">
        <v>1378</v>
      </c>
      <c r="D64" s="16" t="s">
        <v>21</v>
      </c>
      <c r="E64" s="17" t="s">
        <v>186</v>
      </c>
      <c r="F64" s="16">
        <v>2013</v>
      </c>
      <c r="G64" s="17" t="str">
        <f>IFERROR(_xlfn.XLOOKUP($A64,tblEquipos[Codigo],tblEquipos[Ubicacion],""),"")</f>
        <v>Taller</v>
      </c>
      <c r="H64" s="16" t="s">
        <v>187</v>
      </c>
      <c r="I64" s="16" t="str">
        <f>IFERROR(VLOOKUP(A64, Equipos!A:J, 9, FALSE), "")</f>
        <v>HORAS</v>
      </c>
      <c r="J64" s="16">
        <f>IFERROR(VLOOKUP(A64, Equipos!A:J, 10, FALSE), "")</f>
        <v>250</v>
      </c>
      <c r="K64" s="16">
        <f>IFERROR(IF($I64="KM",ROUND((_xlfn.MAXIFS(tblLecturas[Kilometraje],tblLecturas[Codigo],$A64)-_xlfn.MINIFS(tblLecturas[Kilometraje],tblLecturas[Codigo],$A64))/(MAX(1,_xlfn.MAXIFS(tblLecturas[Fecha],tblLecturas[Codigo],$A64)-_xlfn.MINIFS(tblLecturas[Fecha],tblLecturas[Codigo],$A64))),1),ROUND((_xlfn.MAXIFS(tblLecturas[Horometro],tblLecturas[Codigo],$A64)-_xlfn.MINIFS(tblLecturas[Horometro],tblLecturas[Codigo],$A64))/(MAX(1,_xlfn.MAXIFS(tblLecturas[Fecha],tblLecturas[Codigo],$A64)-_xlfn.MINIFS(tblLecturas[Fecha],tblLecturas[Codigo],$A64))),1)),"")</f>
        <v>0</v>
      </c>
      <c r="L64" s="18">
        <f>IFERROR(_xlfn.MAXIFS(tblLecturas[Fecha],tblLecturas[Codigo],$A64),"")</f>
        <v>46080</v>
      </c>
      <c r="M64" s="24">
        <f>IFERROR(_xlfn.MAXIFS(Lecturas!$C:$C,Lecturas!$B:$B,$A64,Lecturas!$C:$C,"&gt;0"),"")</f>
        <v>0</v>
      </c>
      <c r="N64" s="24">
        <f>IFERROR(_xlfn.MAXIFS(tblLecturas[Kilometraje],tblLecturas[Codigo],$A64,tblLecturas[Kilometraje],"&gt;0"),"")</f>
        <v>534934</v>
      </c>
      <c r="O64" s="24" t="str" cm="1">
        <f t="array" ref="O64">IFERROR(IF($I64="KM",LOOKUP(2,1/(Lecturas!$B:$B=$A64)/(Lecturas!$D:$D&gt;0),Lecturas!$D:$D),LOOKUP(2,1/(Lecturas!$B:$B=$A64)/(Lecturas!$C:$C&gt;0),Lecturas!$C:$C)),"")</f>
        <v/>
      </c>
      <c r="P64" s="18">
        <f>IFERROR(_xlfn.MAXIFS(tblMantenciones[Fecha],tblMantenciones[Codigo],tblMaestroEquipos[[#This Row],[Codigo]],tblMantenciones[EsPM],"Sí"),"")</f>
        <v>46162</v>
      </c>
      <c r="Q64" s="70">
        <f>IF(_xlfn.MAXIFS(Mantenciones!$D:$D,Mantenciones!$B:$B,A64)=0,"Sin datos de mantención registrado",_xlfn.MAXIFS(Mantenciones!$D:$D,Mantenciones!$B:$B,A64))</f>
        <v>530211</v>
      </c>
      <c r="R64" s="16">
        <f>IFERROR(IF(_xlfn.MAXIFS(Mantenciones!$D:$D,Mantenciones!$B:$B,$A64,Mantenciones!$E:$E,"Sí",Mantenciones!$D:$D,"&gt;0")=0,"Sin datos de mantención registrado",_xlfn.MAXIFS(Mantenciones!$D:$D,Mantenciones!$B:$B,$A64,Mantenciones!$E:$E,"Sí",Mantenciones!$D:$D,"&gt;0")),"Sin datos de mantención registrado")</f>
        <v>530211</v>
      </c>
      <c r="S64" s="19">
        <f>IFERROR(SUMIFS(tblMantenciones[Costo Mantencion CLP],tblMantenciones[Codigo],A64),0)</f>
        <v>0</v>
      </c>
      <c r="T64" s="19">
        <f>IFERROR(SUMIFS(tblComprasPM[Costo PM CLP],tblComprasPM[Codigo],tblMaestroEquipos[[#This Row],[Codigo]]),0)</f>
        <v>264548.7513</v>
      </c>
      <c r="U64" s="19">
        <f>IFERROR(tblMaestroEquipos[[#This Row],[Costo Mantenciones CLP]]+tblMaestroEquipos[[#This Row],[Costo Compras PM CLP]],0)</f>
        <v>264548.7513</v>
      </c>
      <c r="V64" s="16" t="str">
        <f>IFERROR(_xlfn.XLOOKUP(tblMaestroEquipos[[#This Row],[Codigo]],tblEquipos[Codigo],tblEquipos[Estado Base]),"")</f>
        <v>Operativo</v>
      </c>
      <c r="W64" s="16" t="str">
        <f t="shared" si="0"/>
        <v>EN PROCESO</v>
      </c>
      <c r="X64" s="16" t="str">
        <f t="shared" si="1"/>
        <v/>
      </c>
      <c r="Y64"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64" s="23">
        <f>IFERROR(IF(_xlfn.MINIFS(tblComprasPM[Fecha],tblComprasPM[Codigo],tblMaestroEquipos[[#This Row],[Codigo]])=0,"",_xlfn.MINIFS(tblComprasPM[Fecha],tblComprasPM[Codigo],tblMaestroEquipos[[#This Row],[Codigo]])),"")</f>
        <v>46083.514697685197</v>
      </c>
      <c r="AA64" s="23" t="str">
        <f>IFERROR(IF(_xlfn.MAXIFS(tblBodega[Fecha],tblBodega[Codigo],tblMaestroEquipos[[#This Row],[Codigo]])=0,"",_xlfn.MAXIFS(tblBodega[Fecha],tblBodega[Codigo],tblMaestroEquipos[[#This Row],[Codigo]])),"")</f>
        <v/>
      </c>
      <c r="AB64"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79</v>
      </c>
      <c r="AC64"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64" s="16" t="str">
        <f>IF(tblMaestroEquipos[[#This Row],[Fecha Salida Bodega]]="","SIN SALIDA BODEGA",IF(OR(tblMaestroEquipos[[#This Row],[Ultima Fecha PM]]="",tblMaestroEquipos[[#This Row],[Ultima Fecha PM]]&lt;tblMaestroEquipos[[#This Row],[Fecha Salida Bodega]]),"PENDIENTE","CERRADO"))</f>
        <v>SIN SALIDA BODEGA</v>
      </c>
      <c r="AE64" s="48" t="str">
        <f t="shared" si="2"/>
        <v>EN PROCESO</v>
      </c>
      <c r="AF64" s="16" t="str">
        <f t="shared" si="3"/>
        <v>SEGUIMIENTO</v>
      </c>
      <c r="AG64" s="16" t="str">
        <f t="shared" si="4"/>
        <v>Hacer seguimiento al taller y cerrar report</v>
      </c>
      <c r="AH64">
        <f t="shared" si="5"/>
        <v>0</v>
      </c>
      <c r="AI64" t="str">
        <f t="shared" si="6"/>
        <v/>
      </c>
      <c r="AJ64" s="22">
        <f t="shared" si="7"/>
        <v>2</v>
      </c>
    </row>
    <row r="65" spans="1:36">
      <c r="A65" s="16" t="s">
        <v>188</v>
      </c>
      <c r="B65" s="16" t="s">
        <v>43</v>
      </c>
      <c r="C65" s="16" t="s">
        <v>1378</v>
      </c>
      <c r="D65" s="16" t="s">
        <v>44</v>
      </c>
      <c r="E65" s="17" t="s">
        <v>189</v>
      </c>
      <c r="F65" s="16">
        <v>2014</v>
      </c>
      <c r="G65" s="17" t="str">
        <f>IFERROR(_xlfn.XLOOKUP($A65,tblEquipos[Codigo],tblEquipos[Ubicacion],""),"")</f>
        <v>Emergencias Curico</v>
      </c>
      <c r="H65" s="16" t="s">
        <v>1392</v>
      </c>
      <c r="I65" s="16" t="str">
        <f>IFERROR(VLOOKUP(A65, Equipos!A:J, 9, FALSE), "")</f>
        <v>KM</v>
      </c>
      <c r="J65" s="16">
        <f>IFERROR(VLOOKUP(A65, Equipos!A:J, 10, FALSE), "")</f>
        <v>10000</v>
      </c>
      <c r="K65" s="16">
        <f>IFERROR(IF($I65="KM",ROUND((_xlfn.MAXIFS(tblLecturas[Kilometraje],tblLecturas[Codigo],$A65)-_xlfn.MINIFS(tblLecturas[Kilometraje],tblLecturas[Codigo],$A65))/(MAX(1,_xlfn.MAXIFS(tblLecturas[Fecha],tblLecturas[Codigo],$A65)-_xlfn.MINIFS(tblLecturas[Fecha],tblLecturas[Codigo],$A65))),1),ROUND((_xlfn.MAXIFS(tblLecturas[Horometro],tblLecturas[Codigo],$A65)-_xlfn.MINIFS(tblLecturas[Horometro],tblLecturas[Codigo],$A65))/(MAX(1,_xlfn.MAXIFS(tblLecturas[Fecha],tblLecturas[Codigo],$A65)-_xlfn.MINIFS(tblLecturas[Fecha],tblLecturas[Codigo],$A65))),1)),"")</f>
        <v>79.7</v>
      </c>
      <c r="L65" s="18">
        <f>IFERROR(_xlfn.MAXIFS(tblLecturas[Fecha],tblLecturas[Codigo],$A65),"")</f>
        <v>46114</v>
      </c>
      <c r="M65" s="24">
        <f>IFERROR(_xlfn.MAXIFS(Lecturas!$C:$C,Lecturas!$B:$B,$A65,Lecturas!$C:$C,"&gt;0"),"")</f>
        <v>0</v>
      </c>
      <c r="N65" s="24">
        <f>IFERROR(_xlfn.MAXIFS(tblLecturas[Kilometraje],tblLecturas[Codigo],$A65,tblLecturas[Kilometraje],"&gt;0"),"")</f>
        <v>342905</v>
      </c>
      <c r="O65" s="24" cm="1">
        <f t="array" ref="O65">IFERROR(IF($I65="KM",LOOKUP(2,1/(Lecturas!$B:$B=$A65)/(Lecturas!$D:$D&gt;0),Lecturas!$D:$D),LOOKUP(2,1/(Lecturas!$B:$B=$A65)/(Lecturas!$C:$C&gt;0),Lecturas!$C:$C)),"")</f>
        <v>342347</v>
      </c>
      <c r="P65" s="18">
        <f>IFERROR(_xlfn.MAXIFS(tblMantenciones[Fecha],tblMantenciones[Codigo],tblMaestroEquipos[[#This Row],[Codigo]],tblMantenciones[EsPM],"Sí"),"")</f>
        <v>46112</v>
      </c>
      <c r="Q65" s="70">
        <f>IF(_xlfn.MAXIFS(Mantenciones!$D:$D,Mantenciones!$B:$B,A65)=0,"Sin datos de mantención registrado",_xlfn.MAXIFS(Mantenciones!$D:$D,Mantenciones!$B:$B,A65))</f>
        <v>342684</v>
      </c>
      <c r="R65" s="16">
        <f>IFERROR(IF(_xlfn.MAXIFS(Mantenciones!$D:$D,Mantenciones!$B:$B,$A65,Mantenciones!$E:$E,"Sí",Mantenciones!$D:$D,"&gt;0")=0,"Sin datos de mantención registrado",_xlfn.MAXIFS(Mantenciones!$D:$D,Mantenciones!$B:$B,$A65,Mantenciones!$E:$E,"Sí",Mantenciones!$D:$D,"&gt;0")),"Sin datos de mantención registrado")</f>
        <v>342684</v>
      </c>
      <c r="S65" s="19">
        <f>IFERROR(SUMIFS(tblMantenciones[Costo Mantencion CLP],tblMantenciones[Codigo],A65),0)</f>
        <v>0</v>
      </c>
      <c r="T65" s="19">
        <f>IFERROR(SUMIFS(tblComprasPM[Costo PM CLP],tblComprasPM[Codigo],tblMaestroEquipos[[#This Row],[Codigo]]),0)</f>
        <v>271270.02</v>
      </c>
      <c r="U65" s="19">
        <f>IFERROR(tblMaestroEquipos[[#This Row],[Costo Mantenciones CLP]]+tblMaestroEquipos[[#This Row],[Costo Compras PM CLP]],0)</f>
        <v>271270.02</v>
      </c>
      <c r="V65" s="16" t="str">
        <f>IFERROR(_xlfn.XLOOKUP(tblMaestroEquipos[[#This Row],[Codigo]],tblEquipos[Codigo],tblEquipos[Estado Base]),"")</f>
        <v>Operativo</v>
      </c>
      <c r="W65" s="16" t="str">
        <f t="shared" si="0"/>
        <v>AL DÍA</v>
      </c>
      <c r="X65" s="16">
        <f t="shared" si="1"/>
        <v>10337</v>
      </c>
      <c r="Y65" s="23">
        <f>IFERROR(IF(OR(tblMaestroEquipos[[#This Row],[Estado Operacional]]="FUERA DE SERVICIO",tblMaestroEquipos[[#This Row],[Ultima Fecha Lectura]]="",tblMaestroEquipos[[#This Row],[Dias a Proxima Mantencion]]=""),"",tblMaestroEquipos[[#This Row],[Ultima Fecha Lectura]]+tblMaestroEquipos[[#This Row],[Dias a Proxima Mantencion]]),"")</f>
        <v>56451</v>
      </c>
      <c r="Z65" s="23">
        <f>IFERROR(IF(_xlfn.MINIFS(tblComprasPM[Fecha],tblComprasPM[Codigo],tblMaestroEquipos[[#This Row],[Codigo]])=0,"",_xlfn.MINIFS(tblComprasPM[Fecha],tblComprasPM[Codigo],tblMaestroEquipos[[#This Row],[Codigo]])),"")</f>
        <v>46076.407432673601</v>
      </c>
      <c r="AA65" s="23">
        <f>IFERROR(IF(_xlfn.MAXIFS(tblBodega[Fecha],tblBodega[Codigo],tblMaestroEquipos[[#This Row],[Codigo]])=0,"",_xlfn.MAXIFS(tblBodega[Fecha],tblBodega[Codigo],tblMaestroEquipos[[#This Row],[Codigo]])),"")</f>
        <v>46097</v>
      </c>
      <c r="AB6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36</v>
      </c>
      <c r="AC6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15</v>
      </c>
      <c r="AD65" s="16" t="str">
        <f>IF(tblMaestroEquipos[[#This Row],[Fecha Salida Bodega]]="","SIN SALIDA BODEGA",IF(OR(tblMaestroEquipos[[#This Row],[Ultima Fecha PM]]="",tblMaestroEquipos[[#This Row],[Ultima Fecha PM]]&lt;tblMaestroEquipos[[#This Row],[Fecha Salida Bodega]]),"PENDIENTE","CERRADO"))</f>
        <v>CERRADO</v>
      </c>
      <c r="AE65" s="48" t="str">
        <f t="shared" si="2"/>
        <v>OPERATIVO</v>
      </c>
      <c r="AF65" s="16" t="str">
        <f t="shared" si="3"/>
        <v>BAJA</v>
      </c>
      <c r="AG65" s="16" t="str">
        <f t="shared" si="4"/>
        <v>Monitorear próximo vencimiento</v>
      </c>
      <c r="AH65">
        <f t="shared" si="5"/>
        <v>0</v>
      </c>
      <c r="AI65" t="str">
        <f t="shared" si="6"/>
        <v/>
      </c>
      <c r="AJ65" s="22">
        <f t="shared" si="7"/>
        <v>99</v>
      </c>
    </row>
    <row r="66" spans="1:36">
      <c r="A66" s="16" t="s">
        <v>191</v>
      </c>
      <c r="B66" s="16" t="s">
        <v>113</v>
      </c>
      <c r="C66" s="16" t="s">
        <v>1378</v>
      </c>
      <c r="D66" s="16" t="s">
        <v>66</v>
      </c>
      <c r="E66" s="17" t="s">
        <v>67</v>
      </c>
      <c r="F66" s="16">
        <v>2013</v>
      </c>
      <c r="G66" s="17" t="str">
        <f>IFERROR(_xlfn.XLOOKUP($A66,tblEquipos[Codigo],tblEquipos[Ubicacion],""),"")</f>
        <v>Taller ext</v>
      </c>
      <c r="H66" s="16" t="s">
        <v>56</v>
      </c>
      <c r="I66" s="16" t="str">
        <f>IFERROR(VLOOKUP(A66, Equipos!A:J, 9, FALSE), "")</f>
        <v>HORAS</v>
      </c>
      <c r="J66" s="16">
        <f>IFERROR(VLOOKUP(A66, Equipos!A:J, 10, FALSE), "")</f>
        <v>250</v>
      </c>
      <c r="K66" s="16">
        <f>IFERROR(IF($I66="KM",ROUND((_xlfn.MAXIFS(tblLecturas[Kilometraje],tblLecturas[Codigo],$A66)-_xlfn.MINIFS(tblLecturas[Kilometraje],tblLecturas[Codigo],$A66))/(MAX(1,_xlfn.MAXIFS(tblLecturas[Fecha],tblLecturas[Codigo],$A66)-_xlfn.MINIFS(tblLecturas[Fecha],tblLecturas[Codigo],$A66))),1),ROUND((_xlfn.MAXIFS(tblLecturas[Horometro],tblLecturas[Codigo],$A66)-_xlfn.MINIFS(tblLecturas[Horometro],tblLecturas[Codigo],$A66))/(MAX(1,_xlfn.MAXIFS(tblLecturas[Fecha],tblLecturas[Codigo],$A66)-_xlfn.MINIFS(tblLecturas[Fecha],tblLecturas[Codigo],$A66))),1)),"")</f>
        <v>0</v>
      </c>
      <c r="L66" s="18">
        <f>IFERROR(_xlfn.MAXIFS(tblLecturas[Fecha],tblLecturas[Codigo],$A66),"")</f>
        <v>46133</v>
      </c>
      <c r="M66" s="24">
        <f>IFERROR(_xlfn.MAXIFS(Lecturas!$C:$C,Lecturas!$B:$B,$A66,Lecturas!$C:$C,"&gt;0"),"")</f>
        <v>0</v>
      </c>
      <c r="N66" s="24">
        <f>IFERROR(_xlfn.MAXIFS(tblLecturas[Kilometraje],tblLecturas[Codigo],$A66,tblLecturas[Kilometraje],"&gt;0"),"")</f>
        <v>133047</v>
      </c>
      <c r="O66" s="24" t="str" cm="1">
        <f t="array" ref="O66">IFERROR(IF($I66="KM",LOOKUP(2,1/(Lecturas!$B:$B=$A66)/(Lecturas!$D:$D&gt;0),Lecturas!$D:$D),LOOKUP(2,1/(Lecturas!$B:$B=$A66)/(Lecturas!$C:$C&gt;0),Lecturas!$C:$C)),"")</f>
        <v/>
      </c>
      <c r="P66" s="18">
        <f>IFERROR(_xlfn.MAXIFS(tblMantenciones[Fecha],tblMantenciones[Codigo],tblMaestroEquipos[[#This Row],[Codigo]],tblMantenciones[EsPM],"Sí"),"")</f>
        <v>44958</v>
      </c>
      <c r="Q66" s="70" t="str">
        <f>IF(_xlfn.MAXIFS(Mantenciones!$D:$D,Mantenciones!$B:$B,A66)=0,"Sin datos de mantención registrado",_xlfn.MAXIFS(Mantenciones!$D:$D,Mantenciones!$B:$B,A66))</f>
        <v>Sin datos de mantención registrado</v>
      </c>
      <c r="R66" s="16" t="str">
        <f>IFERROR(IF(_xlfn.MAXIFS(Mantenciones!$D:$D,Mantenciones!$B:$B,$A66,Mantenciones!$E:$E,"Sí",Mantenciones!$D:$D,"&gt;0")=0,"Sin datos de mantención registrado",_xlfn.MAXIFS(Mantenciones!$D:$D,Mantenciones!$B:$B,$A66,Mantenciones!$E:$E,"Sí",Mantenciones!$D:$D,"&gt;0")),"Sin datos de mantención registrado")</f>
        <v>Sin datos de mantención registrado</v>
      </c>
      <c r="S66" s="19">
        <f>IFERROR(SUMIFS(tblMantenciones[Costo Mantencion CLP],tblMantenciones[Codigo],A66),0)</f>
        <v>0</v>
      </c>
      <c r="T66" s="19">
        <f>IFERROR(SUMIFS(tblComprasPM[Costo PM CLP],tblComprasPM[Codigo],tblMaestroEquipos[[#This Row],[Codigo]]),0)</f>
        <v>0</v>
      </c>
      <c r="U66" s="19">
        <f>IFERROR(tblMaestroEquipos[[#This Row],[Costo Mantenciones CLP]]+tblMaestroEquipos[[#This Row],[Costo Compras PM CLP]],0)</f>
        <v>0</v>
      </c>
      <c r="V66" s="16" t="str">
        <f>IFERROR(_xlfn.XLOOKUP(tblMaestroEquipos[[#This Row],[Codigo]],tblEquipos[Codigo],tblEquipos[Estado Base]),"")</f>
        <v>Fuera de Servicio</v>
      </c>
      <c r="W66" s="16" t="str">
        <f t="shared" si="0"/>
        <v>FUERA DE SERVICIO</v>
      </c>
      <c r="X66" s="16" t="str">
        <f t="shared" si="1"/>
        <v/>
      </c>
      <c r="Y66"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66" s="23" t="str">
        <f>IFERROR(IF(_xlfn.MINIFS(tblComprasPM[Fecha],tblComprasPM[Codigo],tblMaestroEquipos[[#This Row],[Codigo]])=0,"",_xlfn.MINIFS(tblComprasPM[Fecha],tblComprasPM[Codigo],tblMaestroEquipos[[#This Row],[Codigo]])),"")</f>
        <v/>
      </c>
      <c r="AA66" s="75" t="str">
        <f>IFERROR(IF(_xlfn.MAXIFS(tblBodega[Fecha],tblBodega[Codigo],tblMaestroEquipos[[#This Row],[Codigo]])=0,"",_xlfn.MAXIFS(tblBodega[Fecha],tblBodega[Codigo],tblMaestroEquipos[[#This Row],[Codigo]])),"")</f>
        <v/>
      </c>
      <c r="AB66"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66"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66" s="16" t="str">
        <f>IF(tblMaestroEquipos[[#This Row],[Fecha Salida Bodega]]="","SIN SALIDA BODEGA",IF(OR(tblMaestroEquipos[[#This Row],[Ultima Fecha PM]]="",tblMaestroEquipos[[#This Row],[Ultima Fecha PM]]&lt;tblMaestroEquipos[[#This Row],[Fecha Salida Bodega]]),"PENDIENTE","CERRADO"))</f>
        <v>SIN SALIDA BODEGA</v>
      </c>
      <c r="AE66" s="48" t="str">
        <f t="shared" si="2"/>
        <v>FUERA DE SERVICIO</v>
      </c>
      <c r="AF66" s="16" t="str">
        <f t="shared" si="3"/>
        <v>NO APLICA</v>
      </c>
      <c r="AG66" s="16" t="str">
        <f t="shared" si="4"/>
        <v>No programar compra</v>
      </c>
      <c r="AH66" s="22">
        <f t="shared" si="5"/>
        <v>0</v>
      </c>
      <c r="AI66" s="22" t="str">
        <f t="shared" si="6"/>
        <v/>
      </c>
      <c r="AJ66" s="22">
        <f t="shared" si="7"/>
        <v>99</v>
      </c>
    </row>
    <row r="67" spans="1:36">
      <c r="A67" s="16" t="s">
        <v>196</v>
      </c>
      <c r="B67" s="16" t="s">
        <v>197</v>
      </c>
      <c r="C67" s="16" t="s">
        <v>1385</v>
      </c>
      <c r="D67" s="16" t="s">
        <v>198</v>
      </c>
      <c r="E67" s="17" t="s">
        <v>199</v>
      </c>
      <c r="F67" s="16">
        <v>2010</v>
      </c>
      <c r="G67" s="17" t="str">
        <f>IFERROR(_xlfn.XLOOKUP($A67,tblEquipos[Codigo],tblEquipos[Ubicacion],""),"")</f>
        <v>RETIRO</v>
      </c>
      <c r="H67" s="16" t="s">
        <v>201</v>
      </c>
      <c r="I67" s="16" t="str">
        <f>IFERROR(VLOOKUP(A67, Equipos!A:J, 9, FALSE), "")</f>
        <v>HORAS</v>
      </c>
      <c r="J67" s="16">
        <f>IFERROR(VLOOKUP(A67, Equipos!A:J, 10, FALSE), "")</f>
        <v>250</v>
      </c>
      <c r="K67" s="16">
        <f>IFERROR(IF($I67="KM",ROUND((_xlfn.MAXIFS(tblLecturas[Kilometraje],tblLecturas[Codigo],$A67)-_xlfn.MINIFS(tblLecturas[Kilometraje],tblLecturas[Codigo],$A67))/(MAX(1,_xlfn.MAXIFS(tblLecturas[Fecha],tblLecturas[Codigo],$A67)-_xlfn.MINIFS(tblLecturas[Fecha],tblLecturas[Codigo],$A67))),1),ROUND((_xlfn.MAXIFS(tblLecturas[Horometro],tblLecturas[Codigo],$A67)-_xlfn.MINIFS(tblLecturas[Horometro],tblLecturas[Codigo],$A67))/(MAX(1,_xlfn.MAXIFS(tblLecturas[Fecha],tblLecturas[Codigo],$A67)-_xlfn.MINIFS(tblLecturas[Fecha],tblLecturas[Codigo],$A67))),1)),"")</f>
        <v>0</v>
      </c>
      <c r="L67" s="18">
        <f>IFERROR(_xlfn.MAXIFS(tblLecturas[Fecha],tblLecturas[Codigo],$A67),"")</f>
        <v>46104</v>
      </c>
      <c r="M67" s="24">
        <f>IFERROR(_xlfn.MAXIFS(Lecturas!$C:$C,Lecturas!$B:$B,$A67,Lecturas!$C:$C,"&gt;0"),"")</f>
        <v>609</v>
      </c>
      <c r="N67" s="24">
        <f>IFERROR(_xlfn.MAXIFS(tblLecturas[Kilometraje],tblLecturas[Codigo],$A67,tblLecturas[Kilometraje],"&gt;0"),"")</f>
        <v>352</v>
      </c>
      <c r="O67" s="24" cm="1">
        <f t="array" ref="O67">IFERROR(IF($I67="KM",LOOKUP(2,1/(Lecturas!$B:$B=$A67)/(Lecturas!$D:$D&gt;0),Lecturas!$D:$D),LOOKUP(2,1/(Lecturas!$B:$B=$A67)/(Lecturas!$C:$C&gt;0),Lecturas!$C:$C)),"")</f>
        <v>609</v>
      </c>
      <c r="P67" s="18">
        <f>IFERROR(_xlfn.MAXIFS(tblMantenciones[Fecha],tblMantenciones[Codigo],tblMaestroEquipos[[#This Row],[Codigo]],tblMantenciones[EsPM],"Sí"),"")</f>
        <v>44977</v>
      </c>
      <c r="Q67" s="70">
        <f>IF(_xlfn.MAXIFS(Mantenciones!$D:$D,Mantenciones!$B:$B,A67)=0,"Sin datos de mantención registrado",_xlfn.MAXIFS(Mantenciones!$D:$D,Mantenciones!$B:$B,A67))</f>
        <v>218</v>
      </c>
      <c r="R67" s="16">
        <f>IFERROR(IF(_xlfn.MAXIFS(Mantenciones!$D:$D,Mantenciones!$B:$B,$A67,Mantenciones!$E:$E,"Sí",Mantenciones!$D:$D,"&gt;0")=0,"Sin datos de mantención registrado",_xlfn.MAXIFS(Mantenciones!$D:$D,Mantenciones!$B:$B,$A67,Mantenciones!$E:$E,"Sí",Mantenciones!$D:$D,"&gt;0")),"Sin datos de mantención registrado")</f>
        <v>218</v>
      </c>
      <c r="S67" s="19">
        <f>IFERROR(SUMIFS(tblMantenciones[Costo Mantencion CLP],tblMantenciones[Codigo],A67),0)</f>
        <v>0</v>
      </c>
      <c r="T67" s="19">
        <f>IFERROR(SUMIFS(tblComprasPM[Costo PM CLP],tblComprasPM[Codigo],tblMaestroEquipos[[#This Row],[Codigo]]),0)</f>
        <v>0</v>
      </c>
      <c r="U67" s="19">
        <f>IFERROR(tblMaestroEquipos[[#This Row],[Costo Mantenciones CLP]]+tblMaestroEquipos[[#This Row],[Costo Compras PM CLP]],0)</f>
        <v>0</v>
      </c>
      <c r="V67" s="16" t="str">
        <f>IFERROR(_xlfn.XLOOKUP(tblMaestroEquipos[[#This Row],[Codigo]],tblEquipos[Codigo],tblEquipos[Estado Base]),"")</f>
        <v>Operativo</v>
      </c>
      <c r="W67" s="16" t="str">
        <f t="shared" si="0"/>
        <v>ATRASADA</v>
      </c>
      <c r="X67" s="16">
        <f t="shared" si="1"/>
        <v>-141</v>
      </c>
      <c r="Y67" s="23">
        <f>IFERROR(IF(OR(tblMaestroEquipos[[#This Row],[Estado Operacional]]="FUERA DE SERVICIO",tblMaestroEquipos[[#This Row],[Ultima Fecha Lectura]]="",tblMaestroEquipos[[#This Row],[Dias a Proxima Mantencion]]=""),"",tblMaestroEquipos[[#This Row],[Ultima Fecha Lectura]]+tblMaestroEquipos[[#This Row],[Dias a Proxima Mantencion]]),"")</f>
        <v>45963</v>
      </c>
      <c r="Z67" s="23" t="str">
        <f>IFERROR(IF(_xlfn.MINIFS(tblComprasPM[Fecha],tblComprasPM[Codigo],tblMaestroEquipos[[#This Row],[Codigo]])=0,"",_xlfn.MINIFS(tblComprasPM[Fecha],tblComprasPM[Codigo],tblMaestroEquipos[[#This Row],[Codigo]])),"")</f>
        <v/>
      </c>
      <c r="AA67" s="23" t="str">
        <f>IFERROR(IF(_xlfn.MAXIFS(tblBodega[Fecha],tblBodega[Codigo],tblMaestroEquipos[[#This Row],[Codigo]])=0,"",_xlfn.MAXIFS(tblBodega[Fecha],tblBodega[Codigo],tblMaestroEquipos[[#This Row],[Codigo]])),"")</f>
        <v/>
      </c>
      <c r="AB67"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67"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67" s="16" t="str">
        <f>IF(tblMaestroEquipos[[#This Row],[Fecha Salida Bodega]]="","SIN SALIDA BODEGA",IF(OR(tblMaestroEquipos[[#This Row],[Ultima Fecha PM]]="",tblMaestroEquipos[[#This Row],[Ultima Fecha PM]]&lt;tblMaestroEquipos[[#This Row],[Fecha Salida Bodega]]),"PENDIENTE","CERRADO"))</f>
        <v>SIN SALIDA BODEGA</v>
      </c>
      <c r="AE67" s="48" t="str">
        <f t="shared" si="2"/>
        <v>OPERATIVO</v>
      </c>
      <c r="AF67" s="16" t="str">
        <f t="shared" si="3"/>
        <v>BAJA</v>
      </c>
      <c r="AG67" s="16" t="str">
        <f t="shared" si="4"/>
        <v>Monitorear próximo vencimiento</v>
      </c>
      <c r="AH67">
        <f t="shared" si="5"/>
        <v>0</v>
      </c>
      <c r="AI67" t="str">
        <f t="shared" si="6"/>
        <v/>
      </c>
      <c r="AJ67" s="22">
        <f t="shared" si="7"/>
        <v>1</v>
      </c>
    </row>
    <row r="68" spans="1:36">
      <c r="A68" s="16" t="s">
        <v>202</v>
      </c>
      <c r="B68" s="16" t="s">
        <v>203</v>
      </c>
      <c r="C68" s="16" t="s">
        <v>1385</v>
      </c>
      <c r="D68" s="16" t="s">
        <v>204</v>
      </c>
      <c r="E68" s="17" t="s">
        <v>205</v>
      </c>
      <c r="F68" s="16">
        <v>2000</v>
      </c>
      <c r="G68" s="17" t="str">
        <f>IFERROR(_xlfn.XLOOKUP($A68,tblEquipos[Codigo],tblEquipos[Ubicacion],""),"")</f>
        <v>Ninhue</v>
      </c>
      <c r="H68" s="16" t="s">
        <v>207</v>
      </c>
      <c r="I68" s="16" t="str">
        <f>IFERROR(VLOOKUP(A68, Equipos!A:J, 9, FALSE), "")</f>
        <v>HORAS</v>
      </c>
      <c r="J68" s="16">
        <f>IFERROR(VLOOKUP(A68, Equipos!A:J, 10, FALSE), "")</f>
        <v>250</v>
      </c>
      <c r="K68" s="16">
        <f>IFERROR(IF($I68="KM",ROUND((_xlfn.MAXIFS(tblLecturas[Kilometraje],tblLecturas[Codigo],$A68)-_xlfn.MINIFS(tblLecturas[Kilometraje],tblLecturas[Codigo],$A68))/(MAX(1,_xlfn.MAXIFS(tblLecturas[Fecha],tblLecturas[Codigo],$A68)-_xlfn.MINIFS(tblLecturas[Fecha],tblLecturas[Codigo],$A68))),1),ROUND((_xlfn.MAXIFS(tblLecturas[Horometro],tblLecturas[Codigo],$A68)-_xlfn.MINIFS(tblLecturas[Horometro],tblLecturas[Codigo],$A68))/(MAX(1,_xlfn.MAXIFS(tblLecturas[Fecha],tblLecturas[Codigo],$A68)-_xlfn.MINIFS(tblLecturas[Fecha],tblLecturas[Codigo],$A68))),1)),"")</f>
        <v>4.2</v>
      </c>
      <c r="L68" s="18">
        <f>IFERROR(_xlfn.MAXIFS(tblLecturas[Fecha],tblLecturas[Codigo],$A68),"")</f>
        <v>46101</v>
      </c>
      <c r="M68" s="24">
        <f>IFERROR(_xlfn.MAXIFS(Lecturas!$C:$C,Lecturas!$B:$B,$A68,Lecturas!$C:$C,"&gt;0"),"")</f>
        <v>691</v>
      </c>
      <c r="N68" s="24">
        <f>IFERROR(_xlfn.MAXIFS(tblLecturas[Kilometraje],tblLecturas[Codigo],$A68,tblLecturas[Kilometraje],"&gt;0"),"")</f>
        <v>0</v>
      </c>
      <c r="O68" s="24" cm="1">
        <f t="array" ref="O68">IFERROR(IF($I68="KM",LOOKUP(2,1/(Lecturas!$B:$B=$A68)/(Lecturas!$D:$D&gt;0),Lecturas!$D:$D),LOOKUP(2,1/(Lecturas!$B:$B=$A68)/(Lecturas!$C:$C&gt;0),Lecturas!$C:$C)),"")</f>
        <v>381</v>
      </c>
      <c r="P68" s="18">
        <f>IFERROR(_xlfn.MAXIFS(tblMantenciones[Fecha],tblMantenciones[Codigo],tblMaestroEquipos[[#This Row],[Codigo]],tblMantenciones[EsPM],"Sí"),"")</f>
        <v>46121</v>
      </c>
      <c r="Q68" s="70">
        <f>IF(_xlfn.MAXIFS(Mantenciones!$D:$D,Mantenciones!$B:$B,A68)=0,"Sin datos de mantención registrado",_xlfn.MAXIFS(Mantenciones!$D:$D,Mantenciones!$B:$B,A68))</f>
        <v>1262</v>
      </c>
      <c r="R68" s="16">
        <f>IFERROR(IF(_xlfn.MAXIFS(Mantenciones!$D:$D,Mantenciones!$B:$B,$A68,Mantenciones!$E:$E,"Sí",Mantenciones!$D:$D,"&gt;0")=0,"Sin datos de mantención registrado",_xlfn.MAXIFS(Mantenciones!$D:$D,Mantenciones!$B:$B,$A68,Mantenciones!$E:$E,"Sí",Mantenciones!$D:$D,"&gt;0")),"Sin datos de mantención registrado")</f>
        <v>1262</v>
      </c>
      <c r="S68" s="19">
        <f>IFERROR(SUMIFS(tblMantenciones[Costo Mantencion CLP],tblMantenciones[Codigo],A68),0)</f>
        <v>0</v>
      </c>
      <c r="T68" s="19">
        <f>IFERROR(SUMIFS(tblComprasPM[Costo PM CLP],tblComprasPM[Codigo],tblMaestroEquipos[[#This Row],[Codigo]]),0)</f>
        <v>149298.59</v>
      </c>
      <c r="U68" s="19">
        <f>IFERROR(tblMaestroEquipos[[#This Row],[Costo Mantenciones CLP]]+tblMaestroEquipos[[#This Row],[Costo Compras PM CLP]],0)</f>
        <v>149298.59</v>
      </c>
      <c r="V68" s="16" t="str">
        <f>IFERROR(_xlfn.XLOOKUP(tblMaestroEquipos[[#This Row],[Codigo]],tblEquipos[Codigo],tblEquipos[Estado Base]),"")</f>
        <v>Operativo</v>
      </c>
      <c r="W68" s="16" t="str">
        <f t="shared" ref="W68:W131" si="8">IF(OR(TRIM($V68)="Fuera de Servicio",TRIM($V68)="Fuera de servicio"),"FUERA DE SERVICIO",IF(OR(TRIM($V68)="Taller",TRIM($V68)="En taller",TRIM($V68)="EN TALLER"),"EN TALLER",IF($AD68="PENDIENTE","POR RECIBIR",IF(AND($Z68&lt;&gt;"",$AA68=""),"EN PROCESO",IF(AND(ISNUMBER($X68),$X68&lt;0),"ATRASADA",IF(AND(ISNUMBER($X68),$X68&lt;=30),"PRÓXIMA","AL DÍA"))))))</f>
        <v>AL DÍA</v>
      </c>
      <c r="X68" s="16">
        <f t="shared" ref="X68:X131" si="9">IF(OR(NOT(ISNUMBER(R68)),NOT(ISNUMBER(J68)),NOT(ISNUMBER(O68))),"",
(R68+J68)-O68)</f>
        <v>1131</v>
      </c>
      <c r="Y68" s="23">
        <f>IFERROR(IF(OR(tblMaestroEquipos[[#This Row],[Estado Operacional]]="FUERA DE SERVICIO",tblMaestroEquipos[[#This Row],[Ultima Fecha Lectura]]="",tblMaestroEquipos[[#This Row],[Dias a Proxima Mantencion]]=""),"",tblMaestroEquipos[[#This Row],[Ultima Fecha Lectura]]+tblMaestroEquipos[[#This Row],[Dias a Proxima Mantencion]]),"")</f>
        <v>47232</v>
      </c>
      <c r="Z68" s="23">
        <f>IFERROR(IF(_xlfn.MINIFS(tblComprasPM[Fecha],tblComprasPM[Codigo],tblMaestroEquipos[[#This Row],[Codigo]])=0,"",_xlfn.MINIFS(tblComprasPM[Fecha],tblComprasPM[Codigo],tblMaestroEquipos[[#This Row],[Codigo]])),"")</f>
        <v>46100</v>
      </c>
      <c r="AA68" s="23">
        <f>IFERROR(IF(_xlfn.MAXIFS(tblBodega[Fecha],tblBodega[Codigo],tblMaestroEquipos[[#This Row],[Codigo]])=0,"",_xlfn.MAXIFS(tblBodega[Fecha],tblBodega[Codigo],tblMaestroEquipos[[#This Row],[Codigo]])),"")</f>
        <v>46121</v>
      </c>
      <c r="AB68"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21</v>
      </c>
      <c r="AC68"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68" s="16" t="str">
        <f>IF(tblMaestroEquipos[[#This Row],[Fecha Salida Bodega]]="","SIN SALIDA BODEGA",IF(OR(tblMaestroEquipos[[#This Row],[Ultima Fecha PM]]="",tblMaestroEquipos[[#This Row],[Ultima Fecha PM]]&lt;tblMaestroEquipos[[#This Row],[Fecha Salida Bodega]]),"PENDIENTE","CERRADO"))</f>
        <v>CERRADO</v>
      </c>
      <c r="AE68" s="48" t="str">
        <f t="shared" ref="AE68:AE131" si="10">IF(TRIM(V68)="Fuera de servicio","FUERA DE SERVICIO",
IF(OR(TRIM(V68)="Taller",TRIM(V68)="En taller"),"EN TALLER",
IF(W68="ATRASADO","ATRASADO",
IF(W68="EN PROCESO","EN PROCESO",
IF(W68="PRÓXIMO","PRÓXIMO",
"OPERATIVO")))))</f>
        <v>OPERATIVO</v>
      </c>
      <c r="AF68" s="16" t="str">
        <f t="shared" ref="AF68:AF131" si="11">IF($AE68="ATRASADA",IF($X68&lt;=-15,"CRÍTICA","ALTA"),IF($AE68="PRÓXIMA","MEDIA",IF(OR($AE68="EN PROCESO",$AE68="POR RECIBIR"),"SEGUIMIENTO",IF($AE68="FUERA DE SERVICIO","NO APLICA","BAJA"))))</f>
        <v>BAJA</v>
      </c>
      <c r="AG68" s="16" t="str">
        <f t="shared" ref="AG68:AG131" si="12">IF($AE68="FUERA DE SERVICIO","No programar compra",IF($AE68="CERRADO","Cerrar ciclo y preparar siguiente PM",IF($AE68="EN PROCESO","Hacer seguimiento al taller y cerrar report",IF($AE68="POR RECIBIR","Acelerar recepción de repuestos",IF($AE68="ATRASADA","Comprar kit PM y coordinar ejecución",IF($AE68="PRÓXIMA","Planificar compra preventiva","Monitorear próximo vencimiento"))))))</f>
        <v>Monitorear próximo vencimiento</v>
      </c>
      <c r="AH68">
        <f t="shared" ref="AH68:AH131" si="13">IF(AND(OR($AE68="ATRASADA",$AE68="PRÓXIMA"),$Z68="",$AA68=""),1,0)</f>
        <v>0</v>
      </c>
      <c r="AI68" t="str">
        <f t="shared" ref="AI68:AI131" si="14">IF(OR($AH68=0,$Y68=""),"",SUMPRODUCT(($AH$4:$AH$242=1)*(($Y$4:$Y$242&lt;$Y68)+(($Y$4:$Y$242=$Y68)*(ROW($Y$4:$Y$242)&lt;=ROW())))))</f>
        <v/>
      </c>
      <c r="AJ68" s="22">
        <f t="shared" ref="AJ68:AJ131" si="15">IF(W68="ATRASADA",1,IF(W68="EN PROCESO",2,IF(W68="POR RECIBIR",3,99)))</f>
        <v>99</v>
      </c>
    </row>
    <row r="69" spans="1:36">
      <c r="A69" s="16" t="s">
        <v>208</v>
      </c>
      <c r="B69" s="16" t="s">
        <v>197</v>
      </c>
      <c r="C69" s="16" t="s">
        <v>1385</v>
      </c>
      <c r="D69" s="16" t="s">
        <v>204</v>
      </c>
      <c r="E69" s="17" t="s">
        <v>209</v>
      </c>
      <c r="F69" s="16">
        <v>2001</v>
      </c>
      <c r="G69" s="17" t="str">
        <f>IFERROR(_xlfn.XLOOKUP($A69,tblEquipos[Codigo],tblEquipos[Ubicacion],""),"")</f>
        <v>TALLER</v>
      </c>
      <c r="H69" s="16" t="s">
        <v>210</v>
      </c>
      <c r="I69" s="16" t="str">
        <f>IFERROR(VLOOKUP(A69, Equipos!A:J, 9, FALSE), "")</f>
        <v>HORAS</v>
      </c>
      <c r="J69" s="16">
        <f>IFERROR(VLOOKUP(A69, Equipos!A:J, 10, FALSE), "")</f>
        <v>250</v>
      </c>
      <c r="K69" s="16">
        <f>IFERROR(IF($I69="KM",ROUND((_xlfn.MAXIFS(tblLecturas[Kilometraje],tblLecturas[Codigo],$A69)-_xlfn.MINIFS(tblLecturas[Kilometraje],tblLecturas[Codigo],$A69))/(MAX(1,_xlfn.MAXIFS(tblLecturas[Fecha],tblLecturas[Codigo],$A69)-_xlfn.MINIFS(tblLecturas[Fecha],tblLecturas[Codigo],$A69))),1),ROUND((_xlfn.MAXIFS(tblLecturas[Horometro],tblLecturas[Codigo],$A69)-_xlfn.MINIFS(tblLecturas[Horometro],tblLecturas[Codigo],$A69))/(MAX(1,_xlfn.MAXIFS(tblLecturas[Fecha],tblLecturas[Codigo],$A69)-_xlfn.MINIFS(tblLecturas[Fecha],tblLecturas[Codigo],$A69))),1)),"")</f>
        <v>2.8</v>
      </c>
      <c r="L69" s="18">
        <f>IFERROR(_xlfn.MAXIFS(tblLecturas[Fecha],tblLecturas[Codigo],$A69),"")</f>
        <v>46134</v>
      </c>
      <c r="M69" s="24">
        <f>IFERROR(_xlfn.MAXIFS(Lecturas!$C:$C,Lecturas!$B:$B,$A69,Lecturas!$C:$C,"&gt;0"),"")</f>
        <v>1564</v>
      </c>
      <c r="N69" s="24">
        <f>IFERROR(_xlfn.MAXIFS(tblLecturas[Kilometraje],tblLecturas[Codigo],$A69,tblLecturas[Kilometraje],"&gt;0"),"")</f>
        <v>58585</v>
      </c>
      <c r="O69" s="24" cm="1">
        <f t="array" ref="O69">IFERROR(IF($I69="KM",LOOKUP(2,1/(Lecturas!$B:$B=$A69)/(Lecturas!$D:$D&gt;0),Lecturas!$D:$D),LOOKUP(2,1/(Lecturas!$B:$B=$A69)/(Lecturas!$C:$C&gt;0),Lecturas!$C:$C)),"")</f>
        <v>1557</v>
      </c>
      <c r="P69" s="18">
        <f>IFERROR(_xlfn.MAXIFS(tblMantenciones[Fecha],tblMantenciones[Codigo],tblMaestroEquipos[[#This Row],[Codigo]],tblMantenciones[EsPM],"Sí"),"")</f>
        <v>46108</v>
      </c>
      <c r="Q69" s="70">
        <f>IF(_xlfn.MAXIFS(Mantenciones!$D:$D,Mantenciones!$B:$B,A69)=0,"Sin datos de mantención registrado",_xlfn.MAXIFS(Mantenciones!$D:$D,Mantenciones!$B:$B,A69))</f>
        <v>1541</v>
      </c>
      <c r="R69" s="16">
        <f>IFERROR(IF(_xlfn.MAXIFS(Mantenciones!$D:$D,Mantenciones!$B:$B,$A69,Mantenciones!$E:$E,"Sí",Mantenciones!$D:$D,"&gt;0")=0,"Sin datos de mantención registrado",_xlfn.MAXIFS(Mantenciones!$D:$D,Mantenciones!$B:$B,$A69,Mantenciones!$E:$E,"Sí",Mantenciones!$D:$D,"&gt;0")),"Sin datos de mantención registrado")</f>
        <v>1541</v>
      </c>
      <c r="S69" s="19">
        <f>IFERROR(SUMIFS(tblMantenciones[Costo Mantencion CLP],tblMantenciones[Codigo],A69),0)</f>
        <v>0</v>
      </c>
      <c r="T69" s="19">
        <f>IFERROR(SUMIFS(tblComprasPM[Costo PM CLP],tblComprasPM[Codigo],tblMaestroEquipos[[#This Row],[Codigo]]),0)</f>
        <v>62300.415099999998</v>
      </c>
      <c r="U69" s="19">
        <f>IFERROR(tblMaestroEquipos[[#This Row],[Costo Mantenciones CLP]]+tblMaestroEquipos[[#This Row],[Costo Compras PM CLP]],0)</f>
        <v>62300.415099999998</v>
      </c>
      <c r="V69" s="16" t="str">
        <f>IFERROR(_xlfn.XLOOKUP(tblMaestroEquipos[[#This Row],[Codigo]],tblEquipos[Codigo],tblEquipos[Estado Base]),"")</f>
        <v>Operativo</v>
      </c>
      <c r="W69" s="16" t="str">
        <f t="shared" si="8"/>
        <v>AL DÍA</v>
      </c>
      <c r="X69" s="16">
        <f t="shared" si="9"/>
        <v>234</v>
      </c>
      <c r="Y69" s="23">
        <f>IFERROR(IF(OR(tblMaestroEquipos[[#This Row],[Estado Operacional]]="FUERA DE SERVICIO",tblMaestroEquipos[[#This Row],[Ultima Fecha Lectura]]="",tblMaestroEquipos[[#This Row],[Dias a Proxima Mantencion]]=""),"",tblMaestroEquipos[[#This Row],[Ultima Fecha Lectura]]+tblMaestroEquipos[[#This Row],[Dias a Proxima Mantencion]]),"")</f>
        <v>46368</v>
      </c>
      <c r="Z69" s="23">
        <f>IFERROR(IF(_xlfn.MINIFS(tblComprasPM[Fecha],tblComprasPM[Codigo],tblMaestroEquipos[[#This Row],[Codigo]])=0,"",_xlfn.MINIFS(tblComprasPM[Fecha],tblComprasPM[Codigo],tblMaestroEquipos[[#This Row],[Codigo]])),"")</f>
        <v>46091.475044826402</v>
      </c>
      <c r="AA69" s="23">
        <f>IFERROR(IF(_xlfn.MAXIFS(tblBodega[Fecha],tblBodega[Codigo],tblMaestroEquipos[[#This Row],[Codigo]])=0,"",_xlfn.MAXIFS(tblBodega[Fecha],tblBodega[Codigo],tblMaestroEquipos[[#This Row],[Codigo]])),"")</f>
        <v>46104</v>
      </c>
      <c r="AB6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17</v>
      </c>
      <c r="AC69"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4</v>
      </c>
      <c r="AD69" s="16" t="str">
        <f>IF(tblMaestroEquipos[[#This Row],[Fecha Salida Bodega]]="","SIN SALIDA BODEGA",IF(OR(tblMaestroEquipos[[#This Row],[Ultima Fecha PM]]="",tblMaestroEquipos[[#This Row],[Ultima Fecha PM]]&lt;tblMaestroEquipos[[#This Row],[Fecha Salida Bodega]]),"PENDIENTE","CERRADO"))</f>
        <v>CERRADO</v>
      </c>
      <c r="AE69" s="48" t="str">
        <f t="shared" si="10"/>
        <v>OPERATIVO</v>
      </c>
      <c r="AF69" s="16" t="str">
        <f t="shared" si="11"/>
        <v>BAJA</v>
      </c>
      <c r="AG69" s="16" t="str">
        <f t="shared" si="12"/>
        <v>Monitorear próximo vencimiento</v>
      </c>
      <c r="AH69">
        <f t="shared" si="13"/>
        <v>0</v>
      </c>
      <c r="AI69" t="str">
        <f t="shared" si="14"/>
        <v/>
      </c>
      <c r="AJ69" s="22">
        <f t="shared" si="15"/>
        <v>99</v>
      </c>
    </row>
    <row r="70" spans="1:36">
      <c r="A70" s="16" t="s">
        <v>211</v>
      </c>
      <c r="B70" s="16" t="s">
        <v>203</v>
      </c>
      <c r="C70" s="16" t="s">
        <v>1385</v>
      </c>
      <c r="D70" s="16" t="s">
        <v>204</v>
      </c>
      <c r="E70" s="17" t="s">
        <v>199</v>
      </c>
      <c r="F70" s="16">
        <v>2000</v>
      </c>
      <c r="G70" s="17" t="str">
        <f>IFERROR(_xlfn.XLOOKUP($A70,tblEquipos[Codigo],tblEquipos[Ubicacion],""),"")</f>
        <v>RETIRO</v>
      </c>
      <c r="H70" s="16" t="s">
        <v>212</v>
      </c>
      <c r="I70" s="16" t="str">
        <f>IFERROR(VLOOKUP(A70, Equipos!A:J, 9, FALSE), "")</f>
        <v>HORAS</v>
      </c>
      <c r="J70" s="16">
        <f>IFERROR(VLOOKUP(A70, Equipos!A:J, 10, FALSE), "")</f>
        <v>250</v>
      </c>
      <c r="K70" s="16">
        <f>IFERROR(IF($I70="KM",ROUND((_xlfn.MAXIFS(tblLecturas[Kilometraje],tblLecturas[Codigo],$A70)-_xlfn.MINIFS(tblLecturas[Kilometraje],tblLecturas[Codigo],$A70))/(MAX(1,_xlfn.MAXIFS(tblLecturas[Fecha],tblLecturas[Codigo],$A70)-_xlfn.MINIFS(tblLecturas[Fecha],tblLecturas[Codigo],$A70))),1),ROUND((_xlfn.MAXIFS(tblLecturas[Horometro],tblLecturas[Codigo],$A70)-_xlfn.MINIFS(tblLecturas[Horometro],tblLecturas[Codigo],$A70))/(MAX(1,_xlfn.MAXIFS(tblLecturas[Fecha],tblLecturas[Codigo],$A70)-_xlfn.MINIFS(tblLecturas[Fecha],tblLecturas[Codigo],$A70))),1)),"")</f>
        <v>5.3</v>
      </c>
      <c r="L70" s="18">
        <f>IFERROR(_xlfn.MAXIFS(tblLecturas[Fecha],tblLecturas[Codigo],$A70),"")</f>
        <v>46119</v>
      </c>
      <c r="M70" s="24">
        <f>IFERROR(_xlfn.MAXIFS(Lecturas!$C:$C,Lecturas!$B:$B,$A70,Lecturas!$C:$C,"&gt;0"),"")</f>
        <v>241</v>
      </c>
      <c r="N70" s="24">
        <f>IFERROR(_xlfn.MAXIFS(tblLecturas[Kilometraje],tblLecturas[Codigo],$A70,tblLecturas[Kilometraje],"&gt;0"),"")</f>
        <v>2555</v>
      </c>
      <c r="O70" s="24" cm="1">
        <f t="array" ref="O70">IFERROR(IF($I70="KM",LOOKUP(2,1/(Lecturas!$B:$B=$A70)/(Lecturas!$D:$D&gt;0),Lecturas!$D:$D),LOOKUP(2,1/(Lecturas!$B:$B=$A70)/(Lecturas!$C:$C&gt;0),Lecturas!$C:$C)),"")</f>
        <v>241</v>
      </c>
      <c r="P70" s="18">
        <f>IFERROR(_xlfn.MAXIFS(tblMantenciones[Fecha],tblMantenciones[Codigo],tblMaestroEquipos[[#This Row],[Codigo]],tblMantenciones[EsPM],"Sí"),"")</f>
        <v>44882</v>
      </c>
      <c r="Q70" s="70" t="str">
        <f>IF(_xlfn.MAXIFS(Mantenciones!$D:$D,Mantenciones!$B:$B,A70)=0,"Sin datos de mantención registrado",_xlfn.MAXIFS(Mantenciones!$D:$D,Mantenciones!$B:$B,A70))</f>
        <v>Sin datos de mantención registrado</v>
      </c>
      <c r="R70" s="16" t="str">
        <f>IFERROR(IF(_xlfn.MAXIFS(Mantenciones!$D:$D,Mantenciones!$B:$B,$A70,Mantenciones!$E:$E,"Sí",Mantenciones!$D:$D,"&gt;0")=0,"Sin datos de mantención registrado",_xlfn.MAXIFS(Mantenciones!$D:$D,Mantenciones!$B:$B,$A70,Mantenciones!$E:$E,"Sí",Mantenciones!$D:$D,"&gt;0")),"Sin datos de mantención registrado")</f>
        <v>Sin datos de mantención registrado</v>
      </c>
      <c r="S70" s="19">
        <f>IFERROR(SUMIFS(tblMantenciones[Costo Mantencion CLP],tblMantenciones[Codigo],A70),0)</f>
        <v>0</v>
      </c>
      <c r="T70" s="19">
        <f>IFERROR(SUMIFS(tblComprasPM[Costo PM CLP],tblComprasPM[Codigo],tblMaestroEquipos[[#This Row],[Codigo]]),0)</f>
        <v>426894.65</v>
      </c>
      <c r="U70" s="19">
        <f>IFERROR(tblMaestroEquipos[[#This Row],[Costo Mantenciones CLP]]+tblMaestroEquipos[[#This Row],[Costo Compras PM CLP]],0)</f>
        <v>426894.65</v>
      </c>
      <c r="V70" s="16" t="str">
        <f>IFERROR(_xlfn.XLOOKUP(tblMaestroEquipos[[#This Row],[Codigo]],tblEquipos[Codigo],tblEquipos[Estado Base]),"")</f>
        <v>Operativo</v>
      </c>
      <c r="W70" s="16" t="str">
        <f t="shared" si="8"/>
        <v>POR RECIBIR</v>
      </c>
      <c r="X70" s="16" t="str">
        <f t="shared" si="9"/>
        <v/>
      </c>
      <c r="Y70"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70" s="23">
        <f>IFERROR(IF(_xlfn.MINIFS(tblComprasPM[Fecha],tblComprasPM[Codigo],tblMaestroEquipos[[#This Row],[Codigo]])=0,"",_xlfn.MINIFS(tblComprasPM[Fecha],tblComprasPM[Codigo],tblMaestroEquipos[[#This Row],[Codigo]])),"")</f>
        <v>46105</v>
      </c>
      <c r="AA70" s="23">
        <f>IFERROR(IF(_xlfn.MAXIFS(tblBodega[Fecha],tblBodega[Codigo],tblMaestroEquipos[[#This Row],[Codigo]])=0,"",_xlfn.MAXIFS(tblBodega[Fecha],tblBodega[Codigo],tblMaestroEquipos[[#This Row],[Codigo]])),"")</f>
        <v>46160</v>
      </c>
      <c r="AB7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70"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70" s="16" t="str">
        <f>IF(tblMaestroEquipos[[#This Row],[Fecha Salida Bodega]]="","SIN SALIDA BODEGA",IF(OR(tblMaestroEquipos[[#This Row],[Ultima Fecha PM]]="",tblMaestroEquipos[[#This Row],[Ultima Fecha PM]]&lt;tblMaestroEquipos[[#This Row],[Fecha Salida Bodega]]),"PENDIENTE","CERRADO"))</f>
        <v>PENDIENTE</v>
      </c>
      <c r="AE70" s="48" t="str">
        <f t="shared" si="10"/>
        <v>OPERATIVO</v>
      </c>
      <c r="AF70" s="16" t="str">
        <f t="shared" si="11"/>
        <v>BAJA</v>
      </c>
      <c r="AG70" s="16" t="str">
        <f t="shared" si="12"/>
        <v>Monitorear próximo vencimiento</v>
      </c>
      <c r="AH70">
        <f t="shared" si="13"/>
        <v>0</v>
      </c>
      <c r="AI70" t="str">
        <f t="shared" si="14"/>
        <v/>
      </c>
      <c r="AJ70" s="22">
        <f t="shared" si="15"/>
        <v>3</v>
      </c>
    </row>
    <row r="71" spans="1:36">
      <c r="A71" s="16" t="s">
        <v>221</v>
      </c>
      <c r="B71" s="16" t="s">
        <v>222</v>
      </c>
      <c r="C71" s="16" t="s">
        <v>1385</v>
      </c>
      <c r="D71" s="16" t="s">
        <v>223</v>
      </c>
      <c r="E71" s="17" t="s">
        <v>224</v>
      </c>
      <c r="F71" s="16">
        <v>2021</v>
      </c>
      <c r="G71" s="17" t="str">
        <f>IFERROR(_xlfn.XLOOKUP($A71,tblEquipos[Codigo],tblEquipos[Ubicacion],""),"")</f>
        <v>TALLER</v>
      </c>
      <c r="H71" s="16" t="s">
        <v>149</v>
      </c>
      <c r="I71" s="16" t="str">
        <f>IFERROR(VLOOKUP(A71, Equipos!A:J, 9, FALSE), "")</f>
        <v>HORAS</v>
      </c>
      <c r="J71" s="16">
        <f>IFERROR(VLOOKUP(A71, Equipos!A:J, 10, FALSE), "")</f>
        <v>250</v>
      </c>
      <c r="K71" s="16">
        <f>IFERROR(IF($I71="KM",ROUND((_xlfn.MAXIFS(tblLecturas[Kilometraje],tblLecturas[Codigo],$A71)-_xlfn.MINIFS(tblLecturas[Kilometraje],tblLecturas[Codigo],$A71))/(MAX(1,_xlfn.MAXIFS(tblLecturas[Fecha],tblLecturas[Codigo],$A71)-_xlfn.MINIFS(tblLecturas[Fecha],tblLecturas[Codigo],$A71))),1),ROUND((_xlfn.MAXIFS(tblLecturas[Horometro],tblLecturas[Codigo],$A71)-_xlfn.MINIFS(tblLecturas[Horometro],tblLecturas[Codigo],$A71))/(MAX(1,_xlfn.MAXIFS(tblLecturas[Fecha],tblLecturas[Codigo],$A71)-_xlfn.MINIFS(tblLecturas[Fecha],tblLecturas[Codigo],$A71))),1)),"")</f>
        <v>0</v>
      </c>
      <c r="L71" s="18">
        <f>IFERROR(_xlfn.MAXIFS(tblLecturas[Fecha],tblLecturas[Codigo],$A71),"")</f>
        <v>0</v>
      </c>
      <c r="M71" s="24">
        <f>IFERROR(_xlfn.MAXIFS(Lecturas!$C:$C,Lecturas!$B:$B,$A71,Lecturas!$C:$C,"&gt;0"),"")</f>
        <v>0</v>
      </c>
      <c r="N71" s="24">
        <f>IFERROR(_xlfn.MAXIFS(tblLecturas[Kilometraje],tblLecturas[Codigo],$A71,tblLecturas[Kilometraje],"&gt;0"),"")</f>
        <v>0</v>
      </c>
      <c r="O71" s="24" t="str" cm="1">
        <f t="array" ref="O71">IFERROR(IF($I71="KM",LOOKUP(2,1/(Lecturas!$B:$B=$A71)/(Lecturas!$D:$D&gt;0),Lecturas!$D:$D),LOOKUP(2,1/(Lecturas!$B:$B=$A71)/(Lecturas!$C:$C&gt;0),Lecturas!$C:$C)),"")</f>
        <v/>
      </c>
      <c r="P71" s="18">
        <f>IFERROR(_xlfn.MAXIFS(tblMantenciones[Fecha],tblMantenciones[Codigo],tblMaestroEquipos[[#This Row],[Codigo]],tblMantenciones[EsPM],"Sí"),"")</f>
        <v>0</v>
      </c>
      <c r="Q71" s="70" t="str">
        <f>IF(_xlfn.MAXIFS(Mantenciones!$D:$D,Mantenciones!$B:$B,A71)=0,"Sin datos de mantención registrado",_xlfn.MAXIFS(Mantenciones!$D:$D,Mantenciones!$B:$B,A71))</f>
        <v>Sin datos de mantención registrado</v>
      </c>
      <c r="R71" s="16" t="str">
        <f>IFERROR(IF(_xlfn.MAXIFS(Mantenciones!$D:$D,Mantenciones!$B:$B,$A71,Mantenciones!$E:$E,"Sí",Mantenciones!$D:$D,"&gt;0")=0,"Sin datos de mantención registrado",_xlfn.MAXIFS(Mantenciones!$D:$D,Mantenciones!$B:$B,$A71,Mantenciones!$E:$E,"Sí",Mantenciones!$D:$D,"&gt;0")),"Sin datos de mantención registrado")</f>
        <v>Sin datos de mantención registrado</v>
      </c>
      <c r="S71" s="19">
        <f>IFERROR(SUMIFS(tblMantenciones[Costo Mantencion CLP],tblMantenciones[Codigo],A71),0)</f>
        <v>0</v>
      </c>
      <c r="T71" s="19">
        <f>IFERROR(SUMIFS(tblComprasPM[Costo PM CLP],tblComprasPM[Codigo],tblMaestroEquipos[[#This Row],[Codigo]]),0)</f>
        <v>0</v>
      </c>
      <c r="U71" s="19">
        <f>IFERROR(tblMaestroEquipos[[#This Row],[Costo Mantenciones CLP]]+tblMaestroEquipos[[#This Row],[Costo Compras PM CLP]],0)</f>
        <v>0</v>
      </c>
      <c r="V71" s="16" t="str">
        <f>IFERROR(_xlfn.XLOOKUP(tblMaestroEquipos[[#This Row],[Codigo]],tblEquipos[Codigo],tblEquipos[Estado Base]),"")</f>
        <v>Operativo</v>
      </c>
      <c r="W71" s="16" t="str">
        <f t="shared" si="8"/>
        <v>AL DÍA</v>
      </c>
      <c r="X71" s="16" t="str">
        <f t="shared" si="9"/>
        <v/>
      </c>
      <c r="Y71"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71" s="23" t="str">
        <f>IFERROR(IF(_xlfn.MINIFS(tblComprasPM[Fecha],tblComprasPM[Codigo],tblMaestroEquipos[[#This Row],[Codigo]])=0,"",_xlfn.MINIFS(tblComprasPM[Fecha],tblComprasPM[Codigo],tblMaestroEquipos[[#This Row],[Codigo]])),"")</f>
        <v/>
      </c>
      <c r="AA71" s="23" t="str">
        <f>IFERROR(IF(_xlfn.MAXIFS(tblBodega[Fecha],tblBodega[Codigo],tblMaestroEquipos[[#This Row],[Codigo]])=0,"",_xlfn.MAXIFS(tblBodega[Fecha],tblBodega[Codigo],tblMaestroEquipos[[#This Row],[Codigo]])),"")</f>
        <v/>
      </c>
      <c r="AB71"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71"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71" s="16" t="str">
        <f>IF(tblMaestroEquipos[[#This Row],[Fecha Salida Bodega]]="","SIN SALIDA BODEGA",IF(OR(tblMaestroEquipos[[#This Row],[Ultima Fecha PM]]="",tblMaestroEquipos[[#This Row],[Ultima Fecha PM]]&lt;tblMaestroEquipos[[#This Row],[Fecha Salida Bodega]]),"PENDIENTE","CERRADO"))</f>
        <v>SIN SALIDA BODEGA</v>
      </c>
      <c r="AE71" s="48" t="str">
        <f t="shared" si="10"/>
        <v>OPERATIVO</v>
      </c>
      <c r="AF71" s="16" t="str">
        <f t="shared" si="11"/>
        <v>BAJA</v>
      </c>
      <c r="AG71" s="16" t="str">
        <f t="shared" si="12"/>
        <v>Monitorear próximo vencimiento</v>
      </c>
      <c r="AH71">
        <f t="shared" si="13"/>
        <v>0</v>
      </c>
      <c r="AI71" t="str">
        <f t="shared" si="14"/>
        <v/>
      </c>
      <c r="AJ71" s="22">
        <f t="shared" si="15"/>
        <v>99</v>
      </c>
    </row>
    <row r="72" spans="1:36">
      <c r="A72" s="16" t="s">
        <v>225</v>
      </c>
      <c r="B72" s="16" t="s">
        <v>226</v>
      </c>
      <c r="C72" s="16" t="s">
        <v>1385</v>
      </c>
      <c r="D72" s="16" t="s">
        <v>227</v>
      </c>
      <c r="E72" s="17" t="s">
        <v>227</v>
      </c>
      <c r="F72" s="16">
        <v>2020</v>
      </c>
      <c r="G72" s="17" t="str">
        <f>IFERROR(_xlfn.XLOOKUP($A72,tblEquipos[Codigo],tblEquipos[Ubicacion],""),"")</f>
        <v>TALLER</v>
      </c>
      <c r="H72" s="16" t="s">
        <v>149</v>
      </c>
      <c r="I72" s="16" t="str">
        <f>IFERROR(VLOOKUP(A72, Equipos!A:J, 9, FALSE), "")</f>
        <v>HORAS</v>
      </c>
      <c r="J72" s="16">
        <f>IFERROR(VLOOKUP(A72, Equipos!A:J, 10, FALSE), "")</f>
        <v>250</v>
      </c>
      <c r="K72" s="16">
        <f>IFERROR(IF($I72="KM",ROUND((_xlfn.MAXIFS(tblLecturas[Kilometraje],tblLecturas[Codigo],$A72)-_xlfn.MINIFS(tblLecturas[Kilometraje],tblLecturas[Codigo],$A72))/(MAX(1,_xlfn.MAXIFS(tblLecturas[Fecha],tblLecturas[Codigo],$A72)-_xlfn.MINIFS(tblLecturas[Fecha],tblLecturas[Codigo],$A72))),1),ROUND((_xlfn.MAXIFS(tblLecturas[Horometro],tblLecturas[Codigo],$A72)-_xlfn.MINIFS(tblLecturas[Horometro],tblLecturas[Codigo],$A72))/(MAX(1,_xlfn.MAXIFS(tblLecturas[Fecha],tblLecturas[Codigo],$A72)-_xlfn.MINIFS(tblLecturas[Fecha],tblLecturas[Codigo],$A72))),1)),"")</f>
        <v>0</v>
      </c>
      <c r="L72" s="18">
        <f>IFERROR(_xlfn.MAXIFS(tblLecturas[Fecha],tblLecturas[Codigo],$A72),"")</f>
        <v>0</v>
      </c>
      <c r="M72" s="24">
        <f>IFERROR(_xlfn.MAXIFS(Lecturas!$C:$C,Lecturas!$B:$B,$A72,Lecturas!$C:$C,"&gt;0"),"")</f>
        <v>0</v>
      </c>
      <c r="N72" s="24">
        <f>IFERROR(_xlfn.MAXIFS(tblLecturas[Kilometraje],tblLecturas[Codigo],$A72,tblLecturas[Kilometraje],"&gt;0"),"")</f>
        <v>0</v>
      </c>
      <c r="O72" s="24" t="str" cm="1">
        <f t="array" ref="O72">IFERROR(IF($I72="KM",LOOKUP(2,1/(Lecturas!$B:$B=$A72)/(Lecturas!$D:$D&gt;0),Lecturas!$D:$D),LOOKUP(2,1/(Lecturas!$B:$B=$A72)/(Lecturas!$C:$C&gt;0),Lecturas!$C:$C)),"")</f>
        <v/>
      </c>
      <c r="P72" s="18">
        <f>IFERROR(_xlfn.MAXIFS(tblMantenciones[Fecha],tblMantenciones[Codigo],tblMaestroEquipos[[#This Row],[Codigo]],tblMantenciones[EsPM],"Sí"),"")</f>
        <v>0</v>
      </c>
      <c r="Q72" s="70" t="str">
        <f>IF(_xlfn.MAXIFS(Mantenciones!$D:$D,Mantenciones!$B:$B,A72)=0,"Sin datos de mantención registrado",_xlfn.MAXIFS(Mantenciones!$D:$D,Mantenciones!$B:$B,A72))</f>
        <v>Sin datos de mantención registrado</v>
      </c>
      <c r="R72" s="16" t="str">
        <f>IFERROR(IF(_xlfn.MAXIFS(Mantenciones!$D:$D,Mantenciones!$B:$B,$A72,Mantenciones!$E:$E,"Sí",Mantenciones!$D:$D,"&gt;0")=0,"Sin datos de mantención registrado",_xlfn.MAXIFS(Mantenciones!$D:$D,Mantenciones!$B:$B,$A72,Mantenciones!$E:$E,"Sí",Mantenciones!$D:$D,"&gt;0")),"Sin datos de mantención registrado")</f>
        <v>Sin datos de mantención registrado</v>
      </c>
      <c r="S72" s="19">
        <f>IFERROR(SUMIFS(tblMantenciones[Costo Mantencion CLP],tblMantenciones[Codigo],A72),0)</f>
        <v>0</v>
      </c>
      <c r="T72" s="19">
        <f>IFERROR(SUMIFS(tblComprasPM[Costo PM CLP],tblComprasPM[Codigo],tblMaestroEquipos[[#This Row],[Codigo]]),0)</f>
        <v>0</v>
      </c>
      <c r="U72" s="19">
        <f>IFERROR(tblMaestroEquipos[[#This Row],[Costo Mantenciones CLP]]+tblMaestroEquipos[[#This Row],[Costo Compras PM CLP]],0)</f>
        <v>0</v>
      </c>
      <c r="V72" s="16" t="str">
        <f>IFERROR(_xlfn.XLOOKUP(tblMaestroEquipos[[#This Row],[Codigo]],tblEquipos[Codigo],tblEquipos[Estado Base]),"")</f>
        <v>Operativo</v>
      </c>
      <c r="W72" s="16" t="str">
        <f t="shared" si="8"/>
        <v>AL DÍA</v>
      </c>
      <c r="X72" s="16" t="str">
        <f t="shared" si="9"/>
        <v/>
      </c>
      <c r="Y72"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72" s="23" t="str">
        <f>IFERROR(IF(_xlfn.MINIFS(tblComprasPM[Fecha],tblComprasPM[Codigo],tblMaestroEquipos[[#This Row],[Codigo]])=0,"",_xlfn.MINIFS(tblComprasPM[Fecha],tblComprasPM[Codigo],tblMaestroEquipos[[#This Row],[Codigo]])),"")</f>
        <v/>
      </c>
      <c r="AA72" s="23" t="str">
        <f>IFERROR(IF(_xlfn.MAXIFS(tblBodega[Fecha],tblBodega[Codigo],tblMaestroEquipos[[#This Row],[Codigo]])=0,"",_xlfn.MAXIFS(tblBodega[Fecha],tblBodega[Codigo],tblMaestroEquipos[[#This Row],[Codigo]])),"")</f>
        <v/>
      </c>
      <c r="AB72"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7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72" s="16" t="str">
        <f>IF(tblMaestroEquipos[[#This Row],[Fecha Salida Bodega]]="","SIN SALIDA BODEGA",IF(OR(tblMaestroEquipos[[#This Row],[Ultima Fecha PM]]="",tblMaestroEquipos[[#This Row],[Ultima Fecha PM]]&lt;tblMaestroEquipos[[#This Row],[Fecha Salida Bodega]]),"PENDIENTE","CERRADO"))</f>
        <v>SIN SALIDA BODEGA</v>
      </c>
      <c r="AE72" s="48" t="str">
        <f t="shared" si="10"/>
        <v>OPERATIVO</v>
      </c>
      <c r="AF72" s="16" t="str">
        <f t="shared" si="11"/>
        <v>BAJA</v>
      </c>
      <c r="AG72" s="16" t="str">
        <f t="shared" si="12"/>
        <v>Monitorear próximo vencimiento</v>
      </c>
      <c r="AH72">
        <f t="shared" si="13"/>
        <v>0</v>
      </c>
      <c r="AI72" t="str">
        <f t="shared" si="14"/>
        <v/>
      </c>
      <c r="AJ72" s="22">
        <f t="shared" si="15"/>
        <v>99</v>
      </c>
    </row>
    <row r="73" spans="1:36">
      <c r="A73" s="16" t="s">
        <v>662</v>
      </c>
      <c r="B73" s="16" t="s">
        <v>197</v>
      </c>
      <c r="C73" s="16" t="s">
        <v>1385</v>
      </c>
      <c r="D73" s="16" t="s">
        <v>204</v>
      </c>
      <c r="E73" s="17" t="s">
        <v>229</v>
      </c>
      <c r="F73" s="16">
        <v>2007</v>
      </c>
      <c r="G73" s="17" t="str">
        <f>IFERROR(_xlfn.XLOOKUP($A73,tblEquipos[Codigo],tblEquipos[Ubicacion],""),"")</f>
        <v>San Carlos</v>
      </c>
      <c r="H73" s="16"/>
      <c r="I73" s="16" t="str">
        <f>IFERROR(VLOOKUP(A73, Equipos!A:J, 9, FALSE), "")</f>
        <v>Horas</v>
      </c>
      <c r="J73" s="16">
        <f>IFERROR(VLOOKUP(A73, Equipos!A:J, 10, FALSE), "")</f>
        <v>250</v>
      </c>
      <c r="K73" s="16">
        <f>IFERROR(IF($I73="KM",ROUND((_xlfn.MAXIFS(tblLecturas[Kilometraje],tblLecturas[Codigo],$A73)-_xlfn.MINIFS(tblLecturas[Kilometraje],tblLecturas[Codigo],$A73))/(MAX(1,_xlfn.MAXIFS(tblLecturas[Fecha],tblLecturas[Codigo],$A73)-_xlfn.MINIFS(tblLecturas[Fecha],tblLecturas[Codigo],$A73))),1),ROUND((_xlfn.MAXIFS(tblLecturas[Horometro],tblLecturas[Codigo],$A73)-_xlfn.MINIFS(tblLecturas[Horometro],tblLecturas[Codigo],$A73))/(MAX(1,_xlfn.MAXIFS(tblLecturas[Fecha],tblLecturas[Codigo],$A73)-_xlfn.MINIFS(tblLecturas[Fecha],tblLecturas[Codigo],$A73))),1)),"")</f>
        <v>3.1</v>
      </c>
      <c r="L73" s="18">
        <f>IFERROR(_xlfn.MAXIFS(tblLecturas[Fecha],tblLecturas[Codigo],$A73),"")</f>
        <v>46079</v>
      </c>
      <c r="M73" s="24">
        <f>IFERROR(_xlfn.MAXIFS(Lecturas!$C:$C,Lecturas!$B:$B,$A73,Lecturas!$C:$C,"&gt;0"),"")</f>
        <v>785</v>
      </c>
      <c r="N73" s="24">
        <f>IFERROR(_xlfn.MAXIFS(tblLecturas[Kilometraje],tblLecturas[Codigo],$A73,tblLecturas[Kilometraje],"&gt;0"),"")</f>
        <v>0</v>
      </c>
      <c r="O73" s="24" cm="1">
        <f t="array" ref="O73">IFERROR(IF($I73="KM",LOOKUP(2,1/(Lecturas!$B:$B=$A73)/(Lecturas!$D:$D&gt;0),Lecturas!$D:$D),LOOKUP(2,1/(Lecturas!$B:$B=$A73)/(Lecturas!$C:$C&gt;0),Lecturas!$C:$C)),"")</f>
        <v>716</v>
      </c>
      <c r="P73" s="18">
        <f>IFERROR(_xlfn.MAXIFS(tblMantenciones[Fecha],tblMantenciones[Codigo],tblMaestroEquipos[[#This Row],[Codigo]],tblMantenciones[EsPM],"Sí"),"")</f>
        <v>46155</v>
      </c>
      <c r="Q73" s="70">
        <f>IF(_xlfn.MAXIFS(Mantenciones!$D:$D,Mantenciones!$B:$B,A73)=0,"Sin datos de mantención registrado",_xlfn.MAXIFS(Mantenciones!$D:$D,Mantenciones!$B:$B,A73))</f>
        <v>867</v>
      </c>
      <c r="R73" s="16">
        <f>IFERROR(IF(_xlfn.MAXIFS(Mantenciones!$D:$D,Mantenciones!$B:$B,$A73,Mantenciones!$E:$E,"Sí",Mantenciones!$D:$D,"&gt;0")=0,"Sin datos de mantención registrado",_xlfn.MAXIFS(Mantenciones!$D:$D,Mantenciones!$B:$B,$A73,Mantenciones!$E:$E,"Sí",Mantenciones!$D:$D,"&gt;0")),"Sin datos de mantención registrado")</f>
        <v>867</v>
      </c>
      <c r="S73" s="19">
        <f>IFERROR(SUMIFS(tblMantenciones[Costo Mantencion CLP],tblMantenciones[Codigo],A73),0)</f>
        <v>0</v>
      </c>
      <c r="T73" s="19">
        <f>IFERROR(SUMIFS(tblComprasPM[Costo PM CLP],tblComprasPM[Codigo],tblMaestroEquipos[[#This Row],[Codigo]]),0)</f>
        <v>70384.929999999993</v>
      </c>
      <c r="U73" s="19">
        <f>IFERROR(tblMaestroEquipos[[#This Row],[Costo Mantenciones CLP]]+tblMaestroEquipos[[#This Row],[Costo Compras PM CLP]],0)</f>
        <v>70384.929999999993</v>
      </c>
      <c r="V73" s="16" t="str">
        <f>IFERROR(_xlfn.XLOOKUP(tblMaestroEquipos[[#This Row],[Codigo]],tblEquipos[Codigo],tblEquipos[Estado Base]),"")</f>
        <v>Taller</v>
      </c>
      <c r="W73" s="16" t="str">
        <f t="shared" si="8"/>
        <v>EN TALLER</v>
      </c>
      <c r="X73" s="16">
        <f t="shared" si="9"/>
        <v>401</v>
      </c>
      <c r="Y73" s="23">
        <f>IFERROR(IF(OR(tblMaestroEquipos[[#This Row],[Estado Operacional]]="FUERA DE SERVICIO",tblMaestroEquipos[[#This Row],[Ultima Fecha Lectura]]="",tblMaestroEquipos[[#This Row],[Dias a Proxima Mantencion]]=""),"",tblMaestroEquipos[[#This Row],[Ultima Fecha Lectura]]+tblMaestroEquipos[[#This Row],[Dias a Proxima Mantencion]]),"")</f>
        <v>46480</v>
      </c>
      <c r="Z73" s="23">
        <f>IFERROR(IF(_xlfn.MINIFS(tblComprasPM[Fecha],tblComprasPM[Codigo],tblMaestroEquipos[[#This Row],[Codigo]])=0,"",_xlfn.MINIFS(tblComprasPM[Fecha],tblComprasPM[Codigo],tblMaestroEquipos[[#This Row],[Codigo]])),"")</f>
        <v>46121.485532835701</v>
      </c>
      <c r="AA73" s="23">
        <f>IFERROR(IF(_xlfn.MAXIFS(tblBodega[Fecha],tblBodega[Codigo],tblMaestroEquipos[[#This Row],[Codigo]])=0,"",_xlfn.MAXIFS(tblBodega[Fecha],tblBodega[Codigo],tblMaestroEquipos[[#This Row],[Codigo]])),"")</f>
        <v>46093</v>
      </c>
      <c r="AB73"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34</v>
      </c>
      <c r="AC73"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62</v>
      </c>
      <c r="AD73" s="16" t="str">
        <f>IF(tblMaestroEquipos[[#This Row],[Fecha Salida Bodega]]="","SIN SALIDA BODEGA",IF(OR(tblMaestroEquipos[[#This Row],[Ultima Fecha PM]]="",tblMaestroEquipos[[#This Row],[Ultima Fecha PM]]&lt;tblMaestroEquipos[[#This Row],[Fecha Salida Bodega]]),"PENDIENTE","CERRADO"))</f>
        <v>CERRADO</v>
      </c>
      <c r="AE73" s="48" t="str">
        <f t="shared" si="10"/>
        <v>EN TALLER</v>
      </c>
      <c r="AF73" s="16" t="str">
        <f t="shared" si="11"/>
        <v>BAJA</v>
      </c>
      <c r="AG73" s="16" t="str">
        <f t="shared" si="12"/>
        <v>Monitorear próximo vencimiento</v>
      </c>
      <c r="AH73">
        <f t="shared" si="13"/>
        <v>0</v>
      </c>
      <c r="AI73" t="str">
        <f t="shared" si="14"/>
        <v/>
      </c>
      <c r="AJ73" s="22">
        <f t="shared" si="15"/>
        <v>99</v>
      </c>
    </row>
    <row r="74" spans="1:36">
      <c r="A74" s="16" t="s">
        <v>230</v>
      </c>
      <c r="B74" s="16" t="s">
        <v>231</v>
      </c>
      <c r="C74" s="16" t="s">
        <v>1385</v>
      </c>
      <c r="D74" s="16" t="s">
        <v>232</v>
      </c>
      <c r="E74" s="17" t="s">
        <v>233</v>
      </c>
      <c r="F74" s="16">
        <v>2016</v>
      </c>
      <c r="G74" s="17" t="str">
        <f>IFERROR(_xlfn.XLOOKUP($A74,tblEquipos[Codigo],tblEquipos[Ubicacion],""),"")</f>
        <v>Taller</v>
      </c>
      <c r="H74" s="16" t="s">
        <v>1393</v>
      </c>
      <c r="I74" s="16" t="str">
        <f>IFERROR(VLOOKUP(A74, Equipos!A:J, 9, FALSE), "")</f>
        <v>HORAS</v>
      </c>
      <c r="J74" s="16">
        <f>IFERROR(VLOOKUP(A74, Equipos!A:J, 10, FALSE), "")</f>
        <v>250</v>
      </c>
      <c r="K74" s="16">
        <f>IFERROR(IF($I74="KM",ROUND((_xlfn.MAXIFS(tblLecturas[Kilometraje],tblLecturas[Codigo],$A74)-_xlfn.MINIFS(tblLecturas[Kilometraje],tblLecturas[Codigo],$A74))/(MAX(1,_xlfn.MAXIFS(tblLecturas[Fecha],tblLecturas[Codigo],$A74)-_xlfn.MINIFS(tblLecturas[Fecha],tblLecturas[Codigo],$A74))),1),ROUND((_xlfn.MAXIFS(tblLecturas[Horometro],tblLecturas[Codigo],$A74)-_xlfn.MINIFS(tblLecturas[Horometro],tblLecturas[Codigo],$A74))/(MAX(1,_xlfn.MAXIFS(tblLecturas[Fecha],tblLecturas[Codigo],$A74)-_xlfn.MINIFS(tblLecturas[Fecha],tblLecturas[Codigo],$A74))),1)),"")</f>
        <v>0</v>
      </c>
      <c r="L74" s="18">
        <f>IFERROR(_xlfn.MAXIFS(tblLecturas[Fecha],tblLecturas[Codigo],$A74),"")</f>
        <v>0</v>
      </c>
      <c r="M74" s="24">
        <f>IFERROR(_xlfn.MAXIFS(Lecturas!$C:$C,Lecturas!$B:$B,$A74,Lecturas!$C:$C,"&gt;0"),"")</f>
        <v>0</v>
      </c>
      <c r="N74" s="24">
        <f>IFERROR(_xlfn.MAXIFS(tblLecturas[Kilometraje],tblLecturas[Codigo],$A74,tblLecturas[Kilometraje],"&gt;0"),"")</f>
        <v>0</v>
      </c>
      <c r="O74" s="24" t="str" cm="1">
        <f t="array" ref="O74">IFERROR(IF($I74="KM",LOOKUP(2,1/(Lecturas!$B:$B=$A74)/(Lecturas!$D:$D&gt;0),Lecturas!$D:$D),LOOKUP(2,1/(Lecturas!$B:$B=$A74)/(Lecturas!$C:$C&gt;0),Lecturas!$C:$C)),"")</f>
        <v/>
      </c>
      <c r="P74" s="18">
        <f>IFERROR(_xlfn.MAXIFS(tblMantenciones[Fecha],tblMantenciones[Codigo],tblMaestroEquipos[[#This Row],[Codigo]],tblMantenciones[EsPM],"Sí"),"")</f>
        <v>45156</v>
      </c>
      <c r="Q74" s="70">
        <f>IF(_xlfn.MAXIFS(Mantenciones!$D:$D,Mantenciones!$B:$B,A74)=0,"Sin datos de mantención registrado",_xlfn.MAXIFS(Mantenciones!$D:$D,Mantenciones!$B:$B,A74))</f>
        <v>8754</v>
      </c>
      <c r="R74" s="16">
        <f>IFERROR(IF(_xlfn.MAXIFS(Mantenciones!$D:$D,Mantenciones!$B:$B,$A74,Mantenciones!$E:$E,"Sí",Mantenciones!$D:$D,"&gt;0")=0,"Sin datos de mantención registrado",_xlfn.MAXIFS(Mantenciones!$D:$D,Mantenciones!$B:$B,$A74,Mantenciones!$E:$E,"Sí",Mantenciones!$D:$D,"&gt;0")),"Sin datos de mantención registrado")</f>
        <v>8754</v>
      </c>
      <c r="S74" s="19">
        <f>IFERROR(SUMIFS(tblMantenciones[Costo Mantencion CLP],tblMantenciones[Codigo],A74),0)</f>
        <v>0</v>
      </c>
      <c r="T74" s="19">
        <f>IFERROR(SUMIFS(tblComprasPM[Costo PM CLP],tblComprasPM[Codigo],tblMaestroEquipos[[#This Row],[Codigo]]),0)</f>
        <v>0</v>
      </c>
      <c r="U74" s="19">
        <f>IFERROR(tblMaestroEquipos[[#This Row],[Costo Mantenciones CLP]]+tblMaestroEquipos[[#This Row],[Costo Compras PM CLP]],0)</f>
        <v>0</v>
      </c>
      <c r="V74" s="16" t="str">
        <f>IFERROR(_xlfn.XLOOKUP(tblMaestroEquipos[[#This Row],[Codigo]],tblEquipos[Codigo],tblEquipos[Estado Base]),"")</f>
        <v>Operativo</v>
      </c>
      <c r="W74" s="16" t="str">
        <f t="shared" si="8"/>
        <v>AL DÍA</v>
      </c>
      <c r="X74" s="16" t="str">
        <f t="shared" si="9"/>
        <v/>
      </c>
      <c r="Y74"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74" s="23" t="str">
        <f>IFERROR(IF(_xlfn.MINIFS(tblComprasPM[Fecha],tblComprasPM[Codigo],tblMaestroEquipos[[#This Row],[Codigo]])=0,"",_xlfn.MINIFS(tblComprasPM[Fecha],tblComprasPM[Codigo],tblMaestroEquipos[[#This Row],[Codigo]])),"")</f>
        <v/>
      </c>
      <c r="AA74" s="23" t="str">
        <f>IFERROR(IF(_xlfn.MAXIFS(tblBodega[Fecha],tblBodega[Codigo],tblMaestroEquipos[[#This Row],[Codigo]])=0,"",_xlfn.MAXIFS(tblBodega[Fecha],tblBodega[Codigo],tblMaestroEquipos[[#This Row],[Codigo]])),"")</f>
        <v/>
      </c>
      <c r="AB74"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74"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74" s="16" t="str">
        <f>IF(tblMaestroEquipos[[#This Row],[Fecha Salida Bodega]]="","SIN SALIDA BODEGA",IF(OR(tblMaestroEquipos[[#This Row],[Ultima Fecha PM]]="",tblMaestroEquipos[[#This Row],[Ultima Fecha PM]]&lt;tblMaestroEquipos[[#This Row],[Fecha Salida Bodega]]),"PENDIENTE","CERRADO"))</f>
        <v>SIN SALIDA BODEGA</v>
      </c>
      <c r="AE74" s="48" t="str">
        <f t="shared" si="10"/>
        <v>OPERATIVO</v>
      </c>
      <c r="AF74" s="16" t="str">
        <f t="shared" si="11"/>
        <v>BAJA</v>
      </c>
      <c r="AG74" s="16" t="str">
        <f t="shared" si="12"/>
        <v>Monitorear próximo vencimiento</v>
      </c>
      <c r="AH74">
        <f t="shared" si="13"/>
        <v>0</v>
      </c>
      <c r="AI74" t="str">
        <f t="shared" si="14"/>
        <v/>
      </c>
      <c r="AJ74" s="22">
        <f t="shared" si="15"/>
        <v>99</v>
      </c>
    </row>
    <row r="75" spans="1:36">
      <c r="A75" s="16" t="s">
        <v>235</v>
      </c>
      <c r="B75" s="16" t="s">
        <v>236</v>
      </c>
      <c r="C75" s="16" t="s">
        <v>1385</v>
      </c>
      <c r="D75" s="16" t="s">
        <v>237</v>
      </c>
      <c r="E75" s="17">
        <v>674</v>
      </c>
      <c r="F75" s="16">
        <v>2017</v>
      </c>
      <c r="G75" s="17" t="str">
        <f>IFERROR(_xlfn.XLOOKUP($A75,tblEquipos[Codigo],tblEquipos[Ubicacion],""),"")</f>
        <v>Palmucho</v>
      </c>
      <c r="H75" s="16" t="s">
        <v>244</v>
      </c>
      <c r="I75" s="16" t="str">
        <f>IFERROR(VLOOKUP(A75, Equipos!A:J, 9, FALSE), "")</f>
        <v>HORAS</v>
      </c>
      <c r="J75" s="16">
        <f>IFERROR(VLOOKUP(A75, Equipos!A:J, 10, FALSE), "")</f>
        <v>250</v>
      </c>
      <c r="K75" s="16">
        <f>IFERROR(IF($I75="KM",ROUND((_xlfn.MAXIFS(tblLecturas[Kilometraje],tblLecturas[Codigo],$A75)-_xlfn.MINIFS(tblLecturas[Kilometraje],tblLecturas[Codigo],$A75))/(MAX(1,_xlfn.MAXIFS(tblLecturas[Fecha],tblLecturas[Codigo],$A75)-_xlfn.MINIFS(tblLecturas[Fecha],tblLecturas[Codigo],$A75))),1),ROUND((_xlfn.MAXIFS(tblLecturas[Horometro],tblLecturas[Codigo],$A75)-_xlfn.MINIFS(tblLecturas[Horometro],tblLecturas[Codigo],$A75))/(MAX(1,_xlfn.MAXIFS(tblLecturas[Fecha],tblLecturas[Codigo],$A75)-_xlfn.MINIFS(tblLecturas[Fecha],tblLecturas[Codigo],$A75))),1)),"")</f>
        <v>2.4</v>
      </c>
      <c r="L75" s="18">
        <f>IFERROR(_xlfn.MAXIFS(tblLecturas[Fecha],tblLecturas[Codigo],$A75),"")</f>
        <v>46160</v>
      </c>
      <c r="M75" s="24">
        <f>IFERROR(_xlfn.MAXIFS(Lecturas!$C:$C,Lecturas!$B:$B,$A75,Lecturas!$C:$C,"&gt;0"),"")</f>
        <v>2165</v>
      </c>
      <c r="N75" s="24">
        <f>IFERROR(_xlfn.MAXIFS(tblLecturas[Kilometraje],tblLecturas[Codigo],$A75,tblLecturas[Kilometraje],"&gt;0"),"")</f>
        <v>0</v>
      </c>
      <c r="O75" s="24" cm="1">
        <f t="array" ref="O75">IFERROR(IF($I75="KM",LOOKUP(2,1/(Lecturas!$B:$B=$A75)/(Lecturas!$D:$D&gt;0),Lecturas!$D:$D),LOOKUP(2,1/(Lecturas!$B:$B=$A75)/(Lecturas!$C:$C&gt;0),Lecturas!$C:$C)),"")</f>
        <v>2165</v>
      </c>
      <c r="P75" s="18">
        <f>IFERROR(_xlfn.MAXIFS(tblMantenciones[Fecha],tblMantenciones[Codigo],tblMaestroEquipos[[#This Row],[Codigo]],tblMantenciones[EsPM],"Sí"),"")</f>
        <v>46107</v>
      </c>
      <c r="Q75" s="70">
        <f>IF(_xlfn.MAXIFS(Mantenciones!$D:$D,Mantenciones!$B:$B,A75)=0,"Sin datos de mantención registrado",_xlfn.MAXIFS(Mantenciones!$D:$D,Mantenciones!$B:$B,A75))</f>
        <v>2050</v>
      </c>
      <c r="R75" s="16">
        <f>IFERROR(IF(_xlfn.MAXIFS(Mantenciones!$D:$D,Mantenciones!$B:$B,$A75,Mantenciones!$E:$E,"Sí",Mantenciones!$D:$D,"&gt;0")=0,"Sin datos de mantención registrado",_xlfn.MAXIFS(Mantenciones!$D:$D,Mantenciones!$B:$B,$A75,Mantenciones!$E:$E,"Sí",Mantenciones!$D:$D,"&gt;0")),"Sin datos de mantención registrado")</f>
        <v>2050</v>
      </c>
      <c r="S75" s="19">
        <f>IFERROR(SUMIFS(tblMantenciones[Costo Mantencion CLP],tblMantenciones[Codigo],A75),0)</f>
        <v>0</v>
      </c>
      <c r="T75" s="19">
        <f>IFERROR(SUMIFS(tblComprasPM[Costo PM CLP],tblComprasPM[Codigo],tblMaestroEquipos[[#This Row],[Codigo]]),0)</f>
        <v>176399.98</v>
      </c>
      <c r="U75" s="19">
        <f>IFERROR(tblMaestroEquipos[[#This Row],[Costo Mantenciones CLP]]+tblMaestroEquipos[[#This Row],[Costo Compras PM CLP]],0)</f>
        <v>176399.98</v>
      </c>
      <c r="V75" s="16" t="str">
        <f>IFERROR(_xlfn.XLOOKUP(tblMaestroEquipos[[#This Row],[Codigo]],tblEquipos[Codigo],tblEquipos[Estado Base]),"")</f>
        <v>Operativo</v>
      </c>
      <c r="W75" s="16" t="str">
        <f t="shared" si="8"/>
        <v>AL DÍA</v>
      </c>
      <c r="X75" s="16">
        <f t="shared" si="9"/>
        <v>135</v>
      </c>
      <c r="Y75" s="23">
        <f>IFERROR(IF(OR(tblMaestroEquipos[[#This Row],[Estado Operacional]]="FUERA DE SERVICIO",tblMaestroEquipos[[#This Row],[Ultima Fecha Lectura]]="",tblMaestroEquipos[[#This Row],[Dias a Proxima Mantencion]]=""),"",tblMaestroEquipos[[#This Row],[Ultima Fecha Lectura]]+tblMaestroEquipos[[#This Row],[Dias a Proxima Mantencion]]),"")</f>
        <v>46295</v>
      </c>
      <c r="Z75" s="23">
        <f>IFERROR(IF(_xlfn.MINIFS(tblComprasPM[Fecha],tblComprasPM[Codigo],tblMaestroEquipos[[#This Row],[Codigo]])=0,"",_xlfn.MINIFS(tblComprasPM[Fecha],tblComprasPM[Codigo],tblMaestroEquipos[[#This Row],[Codigo]])),"")</f>
        <v>46113</v>
      </c>
      <c r="AA75" s="23">
        <f>IFERROR(IF(_xlfn.MAXIFS(tblBodega[Fecha],tblBodega[Codigo],tblMaestroEquipos[[#This Row],[Codigo]])=0,"",_xlfn.MAXIFS(tblBodega[Fecha],tblBodega[Codigo],tblMaestroEquipos[[#This Row],[Codigo]])),"")</f>
        <v>46105</v>
      </c>
      <c r="AB7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7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2</v>
      </c>
      <c r="AD75" s="16" t="str">
        <f>IF(tblMaestroEquipos[[#This Row],[Fecha Salida Bodega]]="","SIN SALIDA BODEGA",IF(OR(tblMaestroEquipos[[#This Row],[Ultima Fecha PM]]="",tblMaestroEquipos[[#This Row],[Ultima Fecha PM]]&lt;tblMaestroEquipos[[#This Row],[Fecha Salida Bodega]]),"PENDIENTE","CERRADO"))</f>
        <v>CERRADO</v>
      </c>
      <c r="AE75" s="48" t="str">
        <f t="shared" si="10"/>
        <v>OPERATIVO</v>
      </c>
      <c r="AF75" s="16" t="str">
        <f t="shared" si="11"/>
        <v>BAJA</v>
      </c>
      <c r="AG75" s="16" t="str">
        <f t="shared" si="12"/>
        <v>Monitorear próximo vencimiento</v>
      </c>
      <c r="AH75">
        <f t="shared" si="13"/>
        <v>0</v>
      </c>
      <c r="AI75" t="str">
        <f t="shared" si="14"/>
        <v/>
      </c>
      <c r="AJ75" s="22">
        <f t="shared" si="15"/>
        <v>99</v>
      </c>
    </row>
    <row r="76" spans="1:36">
      <c r="A76" s="16" t="s">
        <v>239</v>
      </c>
      <c r="B76" s="16" t="s">
        <v>231</v>
      </c>
      <c r="C76" s="16" t="s">
        <v>1385</v>
      </c>
      <c r="D76" s="16" t="s">
        <v>232</v>
      </c>
      <c r="E76" s="17" t="s">
        <v>240</v>
      </c>
      <c r="F76" s="16">
        <v>2010</v>
      </c>
      <c r="G76" s="17" t="str">
        <f>IFERROR(_xlfn.XLOOKUP($A76,tblEquipos[Codigo],tblEquipos[Ubicacion],""),"")</f>
        <v>Taller</v>
      </c>
      <c r="H76" s="16" t="s">
        <v>149</v>
      </c>
      <c r="I76" s="16" t="str">
        <f>IFERROR(VLOOKUP(A76, Equipos!A:J, 9, FALSE), "")</f>
        <v>HORAS</v>
      </c>
      <c r="J76" s="16">
        <f>IFERROR(VLOOKUP(A76, Equipos!A:J, 10, FALSE), "")</f>
        <v>250</v>
      </c>
      <c r="K76" s="16">
        <f>IFERROR(IF($I76="KM",ROUND((_xlfn.MAXIFS(tblLecturas[Kilometraje],tblLecturas[Codigo],$A76)-_xlfn.MINIFS(tblLecturas[Kilometraje],tblLecturas[Codigo],$A76))/(MAX(1,_xlfn.MAXIFS(tblLecturas[Fecha],tblLecturas[Codigo],$A76)-_xlfn.MINIFS(tblLecturas[Fecha],tblLecturas[Codigo],$A76))),1),ROUND((_xlfn.MAXIFS(tblLecturas[Horometro],tblLecturas[Codigo],$A76)-_xlfn.MINIFS(tblLecturas[Horometro],tblLecturas[Codigo],$A76))/(MAX(1,_xlfn.MAXIFS(tblLecturas[Fecha],tblLecturas[Codigo],$A76)-_xlfn.MINIFS(tblLecturas[Fecha],tblLecturas[Codigo],$A76))),1)),"")</f>
        <v>0</v>
      </c>
      <c r="L76" s="18">
        <f>IFERROR(_xlfn.MAXIFS(tblLecturas[Fecha],tblLecturas[Codigo],$A76),"")</f>
        <v>0</v>
      </c>
      <c r="M76" s="24">
        <f>IFERROR(_xlfn.MAXIFS(Lecturas!$C:$C,Lecturas!$B:$B,$A76,Lecturas!$C:$C,"&gt;0"),"")</f>
        <v>0</v>
      </c>
      <c r="N76" s="24">
        <f>IFERROR(_xlfn.MAXIFS(tblLecturas[Kilometraje],tblLecturas[Codigo],$A76,tblLecturas[Kilometraje],"&gt;0"),"")</f>
        <v>0</v>
      </c>
      <c r="O76" s="24" t="str" cm="1">
        <f t="array" ref="O76">IFERROR(IF($I76="KM",LOOKUP(2,1/(Lecturas!$B:$B=$A76)/(Lecturas!$D:$D&gt;0),Lecturas!$D:$D),LOOKUP(2,1/(Lecturas!$B:$B=$A76)/(Lecturas!$C:$C&gt;0),Lecturas!$C:$C)),"")</f>
        <v/>
      </c>
      <c r="P76" s="18">
        <f>IFERROR(_xlfn.MAXIFS(tblMantenciones[Fecha],tblMantenciones[Codigo],tblMaestroEquipos[[#This Row],[Codigo]],tblMantenciones[EsPM],"Sí"),"")</f>
        <v>45029</v>
      </c>
      <c r="Q76" s="70">
        <f>IF(_xlfn.MAXIFS(Mantenciones!$D:$D,Mantenciones!$B:$B,A76)=0,"Sin datos de mantención registrado",_xlfn.MAXIFS(Mantenciones!$D:$D,Mantenciones!$B:$B,A76))</f>
        <v>12416</v>
      </c>
      <c r="R76" s="16">
        <f>IFERROR(IF(_xlfn.MAXIFS(Mantenciones!$D:$D,Mantenciones!$B:$B,$A76,Mantenciones!$E:$E,"Sí",Mantenciones!$D:$D,"&gt;0")=0,"Sin datos de mantención registrado",_xlfn.MAXIFS(Mantenciones!$D:$D,Mantenciones!$B:$B,$A76,Mantenciones!$E:$E,"Sí",Mantenciones!$D:$D,"&gt;0")),"Sin datos de mantención registrado")</f>
        <v>12416</v>
      </c>
      <c r="S76" s="19">
        <f>IFERROR(SUMIFS(tblMantenciones[Costo Mantencion CLP],tblMantenciones[Codigo],A76),0)</f>
        <v>0</v>
      </c>
      <c r="T76" s="19">
        <f>IFERROR(SUMIFS(tblComprasPM[Costo PM CLP],tblComprasPM[Codigo],tblMaestroEquipos[[#This Row],[Codigo]]),0)</f>
        <v>0</v>
      </c>
      <c r="U76" s="19">
        <f>IFERROR(tblMaestroEquipos[[#This Row],[Costo Mantenciones CLP]]+tblMaestroEquipos[[#This Row],[Costo Compras PM CLP]],0)</f>
        <v>0</v>
      </c>
      <c r="V76" s="16" t="str">
        <f>IFERROR(_xlfn.XLOOKUP(tblMaestroEquipos[[#This Row],[Codigo]],tblEquipos[Codigo],tblEquipos[Estado Base]),"")</f>
        <v>Fuera de Servicio</v>
      </c>
      <c r="W76" s="16" t="str">
        <f t="shared" si="8"/>
        <v>FUERA DE SERVICIO</v>
      </c>
      <c r="X76" s="16" t="str">
        <f t="shared" si="9"/>
        <v/>
      </c>
      <c r="Y76"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76" s="23" t="str">
        <f>IFERROR(IF(_xlfn.MINIFS(tblComprasPM[Fecha],tblComprasPM[Codigo],tblMaestroEquipos[[#This Row],[Codigo]])=0,"",_xlfn.MINIFS(tblComprasPM[Fecha],tblComprasPM[Codigo],tblMaestroEquipos[[#This Row],[Codigo]])),"")</f>
        <v/>
      </c>
      <c r="AA76" s="23" t="str">
        <f>IFERROR(IF(_xlfn.MAXIFS(tblBodega[Fecha],tblBodega[Codigo],tblMaestroEquipos[[#This Row],[Codigo]])=0,"",_xlfn.MAXIFS(tblBodega[Fecha],tblBodega[Codigo],tblMaestroEquipos[[#This Row],[Codigo]])),"")</f>
        <v/>
      </c>
      <c r="AB76"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76"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76" s="16" t="str">
        <f>IF(tblMaestroEquipos[[#This Row],[Fecha Salida Bodega]]="","SIN SALIDA BODEGA",IF(OR(tblMaestroEquipos[[#This Row],[Ultima Fecha PM]]="",tblMaestroEquipos[[#This Row],[Ultima Fecha PM]]&lt;tblMaestroEquipos[[#This Row],[Fecha Salida Bodega]]),"PENDIENTE","CERRADO"))</f>
        <v>SIN SALIDA BODEGA</v>
      </c>
      <c r="AE76" s="48" t="str">
        <f t="shared" si="10"/>
        <v>FUERA DE SERVICIO</v>
      </c>
      <c r="AF76" s="16" t="str">
        <f t="shared" si="11"/>
        <v>NO APLICA</v>
      </c>
      <c r="AG76" s="16" t="str">
        <f t="shared" si="12"/>
        <v>No programar compra</v>
      </c>
      <c r="AH76" s="25">
        <f t="shared" si="13"/>
        <v>0</v>
      </c>
      <c r="AI76" s="25" t="str">
        <f t="shared" si="14"/>
        <v/>
      </c>
      <c r="AJ76" s="22">
        <f t="shared" si="15"/>
        <v>99</v>
      </c>
    </row>
    <row r="77" spans="1:36">
      <c r="A77" s="16" t="s">
        <v>241</v>
      </c>
      <c r="B77" s="16" t="s">
        <v>231</v>
      </c>
      <c r="C77" s="16" t="s">
        <v>1385</v>
      </c>
      <c r="D77" s="16" t="s">
        <v>242</v>
      </c>
      <c r="E77" s="17" t="s">
        <v>243</v>
      </c>
      <c r="F77" s="16">
        <v>2014</v>
      </c>
      <c r="G77" s="17" t="str">
        <f>IFERROR(_xlfn.XLOOKUP($A77,tblEquipos[Codigo],tblEquipos[Ubicacion],""),"")</f>
        <v>Taller</v>
      </c>
      <c r="H77" s="16" t="s">
        <v>244</v>
      </c>
      <c r="I77" s="16" t="str">
        <f>IFERROR(VLOOKUP(A77, Equipos!A:J, 9, FALSE), "")</f>
        <v>HORAS</v>
      </c>
      <c r="J77" s="16">
        <f>IFERROR(VLOOKUP(A77, Equipos!A:J, 10, FALSE), "")</f>
        <v>250</v>
      </c>
      <c r="K77" s="16">
        <f>IFERROR(IF($I77="KM",ROUND((_xlfn.MAXIFS(tblLecturas[Kilometraje],tblLecturas[Codigo],$A77)-_xlfn.MINIFS(tblLecturas[Kilometraje],tblLecturas[Codigo],$A77))/(MAX(1,_xlfn.MAXIFS(tblLecturas[Fecha],tblLecturas[Codigo],$A77)-_xlfn.MINIFS(tblLecturas[Fecha],tblLecturas[Codigo],$A77))),1),ROUND((_xlfn.MAXIFS(tblLecturas[Horometro],tblLecturas[Codigo],$A77)-_xlfn.MINIFS(tblLecturas[Horometro],tblLecturas[Codigo],$A77))/(MAX(1,_xlfn.MAXIFS(tblLecturas[Fecha],tblLecturas[Codigo],$A77)-_xlfn.MINIFS(tblLecturas[Fecha],tblLecturas[Codigo],$A77))),1)),"")</f>
        <v>0</v>
      </c>
      <c r="L77" s="18">
        <f>IFERROR(_xlfn.MAXIFS(tblLecturas[Fecha],tblLecturas[Codigo],$A77),"")</f>
        <v>0</v>
      </c>
      <c r="M77" s="24">
        <f>IFERROR(_xlfn.MAXIFS(Lecturas!$C:$C,Lecturas!$B:$B,$A77,Lecturas!$C:$C,"&gt;0"),"")</f>
        <v>0</v>
      </c>
      <c r="N77" s="24">
        <f>IFERROR(_xlfn.MAXIFS(tblLecturas[Kilometraje],tblLecturas[Codigo],$A77,tblLecturas[Kilometraje],"&gt;0"),"")</f>
        <v>0</v>
      </c>
      <c r="O77" s="24" t="str" cm="1">
        <f t="array" ref="O77">IFERROR(IF($I77="KM",LOOKUP(2,1/(Lecturas!$B:$B=$A77)/(Lecturas!$D:$D&gt;0),Lecturas!$D:$D),LOOKUP(2,1/(Lecturas!$B:$B=$A77)/(Lecturas!$C:$C&gt;0),Lecturas!$C:$C)),"")</f>
        <v/>
      </c>
      <c r="P77" s="18">
        <f>IFERROR(_xlfn.MAXIFS(tblMantenciones[Fecha],tblMantenciones[Codigo],tblMaestroEquipos[[#This Row],[Codigo]],tblMantenciones[EsPM],"Sí"),"")</f>
        <v>0</v>
      </c>
      <c r="Q77" s="70" t="str">
        <f>IF(_xlfn.MAXIFS(Mantenciones!$D:$D,Mantenciones!$B:$B,A77)=0,"Sin datos de mantención registrado",_xlfn.MAXIFS(Mantenciones!$D:$D,Mantenciones!$B:$B,A77))</f>
        <v>Sin datos de mantención registrado</v>
      </c>
      <c r="R77" s="16" t="str">
        <f>IFERROR(IF(_xlfn.MAXIFS(Mantenciones!$D:$D,Mantenciones!$B:$B,$A77,Mantenciones!$E:$E,"Sí",Mantenciones!$D:$D,"&gt;0")=0,"Sin datos de mantención registrado",_xlfn.MAXIFS(Mantenciones!$D:$D,Mantenciones!$B:$B,$A77,Mantenciones!$E:$E,"Sí",Mantenciones!$D:$D,"&gt;0")),"Sin datos de mantención registrado")</f>
        <v>Sin datos de mantención registrado</v>
      </c>
      <c r="S77" s="19">
        <f>IFERROR(SUMIFS(tblMantenciones[Costo Mantencion CLP],tblMantenciones[Codigo],A77),0)</f>
        <v>0</v>
      </c>
      <c r="T77" s="19">
        <f>IFERROR(SUMIFS(tblComprasPM[Costo PM CLP],tblComprasPM[Codigo],tblMaestroEquipos[[#This Row],[Codigo]]),0)</f>
        <v>0</v>
      </c>
      <c r="U77" s="19">
        <f>IFERROR(tblMaestroEquipos[[#This Row],[Costo Mantenciones CLP]]+tblMaestroEquipos[[#This Row],[Costo Compras PM CLP]],0)</f>
        <v>0</v>
      </c>
      <c r="V77" s="16" t="str">
        <f>IFERROR(_xlfn.XLOOKUP(tblMaestroEquipos[[#This Row],[Codigo]],tblEquipos[Codigo],tblEquipos[Estado Base]),"")</f>
        <v>Fuera de Servicio</v>
      </c>
      <c r="W77" s="16" t="str">
        <f t="shared" si="8"/>
        <v>FUERA DE SERVICIO</v>
      </c>
      <c r="X77" s="16" t="str">
        <f t="shared" si="9"/>
        <v/>
      </c>
      <c r="Y77"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77" s="23" t="str">
        <f>IFERROR(IF(_xlfn.MINIFS(tblComprasPM[Fecha],tblComprasPM[Codigo],tblMaestroEquipos[[#This Row],[Codigo]])=0,"",_xlfn.MINIFS(tblComprasPM[Fecha],tblComprasPM[Codigo],tblMaestroEquipos[[#This Row],[Codigo]])),"")</f>
        <v/>
      </c>
      <c r="AA77" s="23" t="str">
        <f>IFERROR(IF(_xlfn.MAXIFS(tblBodega[Fecha],tblBodega[Codigo],tblMaestroEquipos[[#This Row],[Codigo]])=0,"",_xlfn.MAXIFS(tblBodega[Fecha],tblBodega[Codigo],tblMaestroEquipos[[#This Row],[Codigo]])),"")</f>
        <v/>
      </c>
      <c r="AB77"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77"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77" s="16" t="str">
        <f>IF(tblMaestroEquipos[[#This Row],[Fecha Salida Bodega]]="","SIN SALIDA BODEGA",IF(OR(tblMaestroEquipos[[#This Row],[Ultima Fecha PM]]="",tblMaestroEquipos[[#This Row],[Ultima Fecha PM]]&lt;tblMaestroEquipos[[#This Row],[Fecha Salida Bodega]]),"PENDIENTE","CERRADO"))</f>
        <v>SIN SALIDA BODEGA</v>
      </c>
      <c r="AE77" s="48" t="str">
        <f t="shared" si="10"/>
        <v>FUERA DE SERVICIO</v>
      </c>
      <c r="AF77" s="16" t="str">
        <f t="shared" si="11"/>
        <v>NO APLICA</v>
      </c>
      <c r="AG77" s="16" t="str">
        <f t="shared" si="12"/>
        <v>No programar compra</v>
      </c>
      <c r="AH77" s="25">
        <f t="shared" si="13"/>
        <v>0</v>
      </c>
      <c r="AI77" s="25" t="str">
        <f t="shared" si="14"/>
        <v/>
      </c>
      <c r="AJ77" s="22">
        <f t="shared" si="15"/>
        <v>99</v>
      </c>
    </row>
    <row r="78" spans="1:36">
      <c r="A78" s="16" t="s">
        <v>245</v>
      </c>
      <c r="B78" s="16" t="s">
        <v>236</v>
      </c>
      <c r="C78" s="16" t="s">
        <v>1385</v>
      </c>
      <c r="D78" s="16" t="s">
        <v>246</v>
      </c>
      <c r="E78" s="17" t="s">
        <v>247</v>
      </c>
      <c r="F78" s="16">
        <v>2020</v>
      </c>
      <c r="G78" s="17" t="str">
        <f>IFERROR(_xlfn.XLOOKUP($A78,tblEquipos[Codigo],tblEquipos[Ubicacion],""),"")</f>
        <v>San Nicolas</v>
      </c>
      <c r="H78" s="16" t="s">
        <v>56</v>
      </c>
      <c r="I78" s="16" t="str">
        <f>IFERROR(VLOOKUP(A78, Equipos!A:J, 9, FALSE), "")</f>
        <v>HORAS</v>
      </c>
      <c r="J78" s="16">
        <f>IFERROR(VLOOKUP(A78, Equipos!A:J, 10, FALSE), "")</f>
        <v>250</v>
      </c>
      <c r="K78" s="16">
        <f>IFERROR(IF($I78="KM",ROUND((_xlfn.MAXIFS(tblLecturas[Kilometraje],tblLecturas[Codigo],$A78)-_xlfn.MINIFS(tblLecturas[Kilometraje],tblLecturas[Codigo],$A78))/(MAX(1,_xlfn.MAXIFS(tblLecturas[Fecha],tblLecturas[Codigo],$A78)-_xlfn.MINIFS(tblLecturas[Fecha],tblLecturas[Codigo],$A78))),1),ROUND((_xlfn.MAXIFS(tblLecturas[Horometro],tblLecturas[Codigo],$A78)-_xlfn.MINIFS(tblLecturas[Horometro],tblLecturas[Codigo],$A78))/(MAX(1,_xlfn.MAXIFS(tblLecturas[Fecha],tblLecturas[Codigo],$A78)-_xlfn.MINIFS(tblLecturas[Fecha],tblLecturas[Codigo],$A78))),1)),"")</f>
        <v>17484.599999999999</v>
      </c>
      <c r="L78" s="18">
        <f>IFERROR(_xlfn.MAXIFS(tblLecturas[Fecha],tblLecturas[Codigo],$A78),"")</f>
        <v>46100</v>
      </c>
      <c r="M78" s="24">
        <f>IFERROR(_xlfn.MAXIFS(Lecturas!$C:$C,Lecturas!$B:$B,$A78,Lecturas!$C:$C,"&gt;0"),"")</f>
        <v>512195</v>
      </c>
      <c r="N78" s="24">
        <f>IFERROR(_xlfn.MAXIFS(tblLecturas[Kilometraje],tblLecturas[Codigo],$A78,tblLecturas[Kilometraje],"&gt;0"),"")</f>
        <v>0</v>
      </c>
      <c r="O78" s="24" cm="1">
        <f t="array" ref="O78">IFERROR(IF($I78="KM",LOOKUP(2,1/(Lecturas!$B:$B=$A78)/(Lecturas!$D:$D&gt;0),Lecturas!$D:$D),LOOKUP(2,1/(Lecturas!$B:$B=$A78)/(Lecturas!$C:$C&gt;0),Lecturas!$C:$C)),"")</f>
        <v>512195</v>
      </c>
      <c r="P78" s="18">
        <f>IFERROR(_xlfn.MAXIFS(tblMantenciones[Fecha],tblMantenciones[Codigo],tblMaestroEquipos[[#This Row],[Codigo]],tblMantenciones[EsPM],"Sí"),"")</f>
        <v>0</v>
      </c>
      <c r="Q78" s="70" t="str">
        <f>IF(_xlfn.MAXIFS(Mantenciones!$D:$D,Mantenciones!$B:$B,A78)=0,"Sin datos de mantención registrado",_xlfn.MAXIFS(Mantenciones!$D:$D,Mantenciones!$B:$B,A78))</f>
        <v>Sin datos de mantención registrado</v>
      </c>
      <c r="R78" s="16" t="str">
        <f>IFERROR(IF(_xlfn.MAXIFS(Mantenciones!$D:$D,Mantenciones!$B:$B,$A78,Mantenciones!$E:$E,"Sí",Mantenciones!$D:$D,"&gt;0")=0,"Sin datos de mantención registrado",_xlfn.MAXIFS(Mantenciones!$D:$D,Mantenciones!$B:$B,$A78,Mantenciones!$E:$E,"Sí",Mantenciones!$D:$D,"&gt;0")),"Sin datos de mantención registrado")</f>
        <v>Sin datos de mantención registrado</v>
      </c>
      <c r="S78" s="19">
        <f>IFERROR(SUMIFS(tblMantenciones[Costo Mantencion CLP],tblMantenciones[Codigo],A78),0)</f>
        <v>0</v>
      </c>
      <c r="T78" s="19">
        <f>IFERROR(SUMIFS(tblComprasPM[Costo PM CLP],tblComprasPM[Codigo],tblMaestroEquipos[[#This Row],[Codigo]]),0)</f>
        <v>0</v>
      </c>
      <c r="U78" s="19">
        <f>IFERROR(tblMaestroEquipos[[#This Row],[Costo Mantenciones CLP]]+tblMaestroEquipos[[#This Row],[Costo Compras PM CLP]],0)</f>
        <v>0</v>
      </c>
      <c r="V78" s="16" t="str">
        <f>IFERROR(_xlfn.XLOOKUP(tblMaestroEquipos[[#This Row],[Codigo]],tblEquipos[Codigo],tblEquipos[Estado Base]),"")</f>
        <v>Fuera de Servicio</v>
      </c>
      <c r="W78" s="16" t="str">
        <f t="shared" si="8"/>
        <v>FUERA DE SERVICIO</v>
      </c>
      <c r="X78" s="16" t="str">
        <f t="shared" si="9"/>
        <v/>
      </c>
      <c r="Y78"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78" s="23" t="str">
        <f>IFERROR(IF(_xlfn.MINIFS(tblComprasPM[Fecha],tblComprasPM[Codigo],tblMaestroEquipos[[#This Row],[Codigo]])=0,"",_xlfn.MINIFS(tblComprasPM[Fecha],tblComprasPM[Codigo],tblMaestroEquipos[[#This Row],[Codigo]])),"")</f>
        <v/>
      </c>
      <c r="AA78" s="23" t="str">
        <f>IFERROR(IF(_xlfn.MAXIFS(tblBodega[Fecha],tblBodega[Codigo],tblMaestroEquipos[[#This Row],[Codigo]])=0,"",_xlfn.MAXIFS(tblBodega[Fecha],tblBodega[Codigo],tblMaestroEquipos[[#This Row],[Codigo]])),"")</f>
        <v/>
      </c>
      <c r="AB78"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78"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78" s="16" t="str">
        <f>IF(tblMaestroEquipos[[#This Row],[Fecha Salida Bodega]]="","SIN SALIDA BODEGA",IF(OR(tblMaestroEquipos[[#This Row],[Ultima Fecha PM]]="",tblMaestroEquipos[[#This Row],[Ultima Fecha PM]]&lt;tblMaestroEquipos[[#This Row],[Fecha Salida Bodega]]),"PENDIENTE","CERRADO"))</f>
        <v>SIN SALIDA BODEGA</v>
      </c>
      <c r="AE78" s="48" t="str">
        <f t="shared" si="10"/>
        <v>FUERA DE SERVICIO</v>
      </c>
      <c r="AF78" s="16" t="str">
        <f t="shared" si="11"/>
        <v>NO APLICA</v>
      </c>
      <c r="AG78" s="16" t="str">
        <f t="shared" si="12"/>
        <v>No programar compra</v>
      </c>
      <c r="AH78">
        <f t="shared" si="13"/>
        <v>0</v>
      </c>
      <c r="AI78" t="str">
        <f t="shared" si="14"/>
        <v/>
      </c>
      <c r="AJ78" s="22">
        <f t="shared" si="15"/>
        <v>99</v>
      </c>
    </row>
    <row r="79" spans="1:36">
      <c r="A79" s="16" t="s">
        <v>249</v>
      </c>
      <c r="B79" s="16" t="s">
        <v>231</v>
      </c>
      <c r="C79" s="16" t="s">
        <v>1385</v>
      </c>
      <c r="D79" s="16" t="s">
        <v>232</v>
      </c>
      <c r="E79" s="17" t="s">
        <v>240</v>
      </c>
      <c r="F79" s="16">
        <v>2010</v>
      </c>
      <c r="G79" s="17" t="str">
        <f>IFERROR(_xlfn.XLOOKUP($A79,tblEquipos[Codigo],tblEquipos[Ubicacion],""),"")</f>
        <v>Palmucho</v>
      </c>
      <c r="H79" s="16"/>
      <c r="I79" s="16" t="str">
        <f>IFERROR(VLOOKUP(A79, Equipos!A:J, 9, FALSE), "")</f>
        <v>HORAS</v>
      </c>
      <c r="J79" s="16">
        <f>IFERROR(VLOOKUP(A79, Equipos!A:J, 10, FALSE), "")</f>
        <v>250</v>
      </c>
      <c r="K79" s="16">
        <f>IFERROR(IF($I79="KM",ROUND((_xlfn.MAXIFS(tblLecturas[Kilometraje],tblLecturas[Codigo],$A79)-_xlfn.MINIFS(tblLecturas[Kilometraje],tblLecturas[Codigo],$A79))/(MAX(1,_xlfn.MAXIFS(tblLecturas[Fecha],tblLecturas[Codigo],$A79)-_xlfn.MINIFS(tblLecturas[Fecha],tblLecturas[Codigo],$A79))),1),ROUND((_xlfn.MAXIFS(tblLecturas[Horometro],tblLecturas[Codigo],$A79)-_xlfn.MINIFS(tblLecturas[Horometro],tblLecturas[Codigo],$A79))/(MAX(1,_xlfn.MAXIFS(tblLecturas[Fecha],tblLecturas[Codigo],$A79)-_xlfn.MINIFS(tblLecturas[Fecha],tblLecturas[Codigo],$A79))),1)),"")</f>
        <v>2.5</v>
      </c>
      <c r="L79" s="18">
        <f>IFERROR(_xlfn.MAXIFS(tblLecturas[Fecha],tblLecturas[Codigo],$A79),"")</f>
        <v>46160</v>
      </c>
      <c r="M79" s="24">
        <f>IFERROR(_xlfn.MAXIFS(Lecturas!$C:$C,Lecturas!$B:$B,$A79,Lecturas!$C:$C,"&gt;0"),"")</f>
        <v>6682</v>
      </c>
      <c r="N79" s="24">
        <f>IFERROR(_xlfn.MAXIFS(tblLecturas[Kilometraje],tblLecturas[Codigo],$A79,tblLecturas[Kilometraje],"&gt;0"),"")</f>
        <v>0</v>
      </c>
      <c r="O79" s="24" cm="1">
        <f t="array" ref="O79">IFERROR(IF($I79="KM",LOOKUP(2,1/(Lecturas!$B:$B=$A79)/(Lecturas!$D:$D&gt;0),Lecturas!$D:$D),LOOKUP(2,1/(Lecturas!$B:$B=$A79)/(Lecturas!$C:$C&gt;0),Lecturas!$C:$C)),"")</f>
        <v>6682</v>
      </c>
      <c r="P79" s="18">
        <f>IFERROR(_xlfn.MAXIFS(tblMantenciones[Fecha],tblMantenciones[Codigo],tblMaestroEquipos[[#This Row],[Codigo]],tblMantenciones[EsPM],"Sí"),"")</f>
        <v>46175</v>
      </c>
      <c r="Q79" s="70">
        <f>IF(_xlfn.MAXIFS(Mantenciones!$D:$D,Mantenciones!$B:$B,A79)=0,"Sin datos de mantención registrado",_xlfn.MAXIFS(Mantenciones!$D:$D,Mantenciones!$B:$B,A79))</f>
        <v>6700</v>
      </c>
      <c r="R79" s="16">
        <f>IFERROR(IF(_xlfn.MAXIFS(Mantenciones!$D:$D,Mantenciones!$B:$B,$A79,Mantenciones!$E:$E,"Sí",Mantenciones!$D:$D,"&gt;0")=0,"Sin datos de mantención registrado",_xlfn.MAXIFS(Mantenciones!$D:$D,Mantenciones!$B:$B,$A79,Mantenciones!$E:$E,"Sí",Mantenciones!$D:$D,"&gt;0")),"Sin datos de mantención registrado")</f>
        <v>6700</v>
      </c>
      <c r="S79" s="19">
        <f>IFERROR(SUMIFS(tblMantenciones[Costo Mantencion CLP],tblMantenciones[Codigo],A79),0)</f>
        <v>0</v>
      </c>
      <c r="T79" s="19">
        <f>IFERROR(SUMIFS(tblComprasPM[Costo PM CLP],tblComprasPM[Codigo],tblMaestroEquipos[[#This Row],[Codigo]]),0)</f>
        <v>597975</v>
      </c>
      <c r="U79" s="19">
        <f>IFERROR(tblMaestroEquipos[[#This Row],[Costo Mantenciones CLP]]+tblMaestroEquipos[[#This Row],[Costo Compras PM CLP]],0)</f>
        <v>597975</v>
      </c>
      <c r="V79" s="16" t="str">
        <f>IFERROR(_xlfn.XLOOKUP(tblMaestroEquipos[[#This Row],[Codigo]],tblEquipos[Codigo],tblEquipos[Estado Base]),"")</f>
        <v>Operativo</v>
      </c>
      <c r="W79" s="16" t="str">
        <f t="shared" si="8"/>
        <v>AL DÍA</v>
      </c>
      <c r="X79" s="16">
        <f t="shared" si="9"/>
        <v>268</v>
      </c>
      <c r="Y79" s="23">
        <f>IFERROR(IF(OR(tblMaestroEquipos[[#This Row],[Estado Operacional]]="FUERA DE SERVICIO",tblMaestroEquipos[[#This Row],[Ultima Fecha Lectura]]="",tblMaestroEquipos[[#This Row],[Dias a Proxima Mantencion]]=""),"",tblMaestroEquipos[[#This Row],[Ultima Fecha Lectura]]+tblMaestroEquipos[[#This Row],[Dias a Proxima Mantencion]]),"")</f>
        <v>46428</v>
      </c>
      <c r="Z79" s="23">
        <f>IFERROR(IF(_xlfn.MINIFS(tblComprasPM[Fecha],tblComprasPM[Codigo],tblMaestroEquipos[[#This Row],[Codigo]])=0,"",_xlfn.MINIFS(tblComprasPM[Fecha],tblComprasPM[Codigo],tblMaestroEquipos[[#This Row],[Codigo]])),"")</f>
        <v>46093.724767326399</v>
      </c>
      <c r="AA79" s="23">
        <f>IFERROR(IF(_xlfn.MAXIFS(tblBodega[Fecha],tblBodega[Codigo],tblMaestroEquipos[[#This Row],[Codigo]])=0,"",_xlfn.MAXIFS(tblBodega[Fecha],tblBodega[Codigo],tblMaestroEquipos[[#This Row],[Codigo]])),"")</f>
        <v>46175</v>
      </c>
      <c r="AB7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82</v>
      </c>
      <c r="AC79"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79" s="16" t="str">
        <f>IF(tblMaestroEquipos[[#This Row],[Fecha Salida Bodega]]="","SIN SALIDA BODEGA",IF(OR(tblMaestroEquipos[[#This Row],[Ultima Fecha PM]]="",tblMaestroEquipos[[#This Row],[Ultima Fecha PM]]&lt;tblMaestroEquipos[[#This Row],[Fecha Salida Bodega]]),"PENDIENTE","CERRADO"))</f>
        <v>CERRADO</v>
      </c>
      <c r="AE79" s="48" t="str">
        <f t="shared" si="10"/>
        <v>OPERATIVO</v>
      </c>
      <c r="AF79" s="16" t="str">
        <f t="shared" si="11"/>
        <v>BAJA</v>
      </c>
      <c r="AG79" s="16" t="str">
        <f t="shared" si="12"/>
        <v>Monitorear próximo vencimiento</v>
      </c>
      <c r="AH79">
        <f t="shared" si="13"/>
        <v>0</v>
      </c>
      <c r="AI79" t="str">
        <f t="shared" si="14"/>
        <v/>
      </c>
      <c r="AJ79" s="22">
        <f t="shared" si="15"/>
        <v>99</v>
      </c>
    </row>
    <row r="80" spans="1:36">
      <c r="A80" s="16" t="s">
        <v>251</v>
      </c>
      <c r="B80" s="16" t="s">
        <v>236</v>
      </c>
      <c r="C80" s="16" t="s">
        <v>1385</v>
      </c>
      <c r="D80" s="16" t="s">
        <v>252</v>
      </c>
      <c r="E80" s="17">
        <v>512</v>
      </c>
      <c r="F80" s="16"/>
      <c r="G80" s="17" t="str">
        <f>IFERROR(_xlfn.XLOOKUP($A80,tblEquipos[Codigo],tblEquipos[Ubicacion],""),"")</f>
        <v>San Nicolas</v>
      </c>
      <c r="H80" s="16"/>
      <c r="I80" s="16" t="str">
        <f>IFERROR(VLOOKUP(A80, Equipos!A:J, 9, FALSE), "")</f>
        <v>HORAS</v>
      </c>
      <c r="J80" s="16">
        <f>IFERROR(VLOOKUP(A80, Equipos!A:J, 10, FALSE), "")</f>
        <v>250</v>
      </c>
      <c r="K80" s="16">
        <f>IFERROR(IF($I80="KM",ROUND((_xlfn.MAXIFS(tblLecturas[Kilometraje],tblLecturas[Codigo],$A80)-_xlfn.MINIFS(tblLecturas[Kilometraje],tblLecturas[Codigo],$A80))/(MAX(1,_xlfn.MAXIFS(tblLecturas[Fecha],tblLecturas[Codigo],$A80)-_xlfn.MINIFS(tblLecturas[Fecha],tblLecturas[Codigo],$A80))),1),ROUND((_xlfn.MAXIFS(tblLecturas[Horometro],tblLecturas[Codigo],$A80)-_xlfn.MINIFS(tblLecturas[Horometro],tblLecturas[Codigo],$A80))/(MAX(1,_xlfn.MAXIFS(tblLecturas[Fecha],tblLecturas[Codigo],$A80)-_xlfn.MINIFS(tblLecturas[Fecha],tblLecturas[Codigo],$A80))),1)),"")</f>
        <v>8.6</v>
      </c>
      <c r="L80" s="18">
        <f>IFERROR(_xlfn.MAXIFS(tblLecturas[Fecha],tblLecturas[Codigo],$A80),"")</f>
        <v>46029</v>
      </c>
      <c r="M80" s="24">
        <f>IFERROR(_xlfn.MAXIFS(Lecturas!$C:$C,Lecturas!$B:$B,$A80,Lecturas!$C:$C,"&gt;0"),"")</f>
        <v>3964</v>
      </c>
      <c r="N80" s="24">
        <f>IFERROR(_xlfn.MAXIFS(tblLecturas[Kilometraje],tblLecturas[Codigo],$A80,tblLecturas[Kilometraje],"&gt;0"),"")</f>
        <v>0</v>
      </c>
      <c r="O80" s="24" cm="1">
        <f t="array" ref="O80">IFERROR(IF($I80="KM",LOOKUP(2,1/(Lecturas!$B:$B=$A80)/(Lecturas!$D:$D&gt;0),Lecturas!$D:$D),LOOKUP(2,1/(Lecturas!$B:$B=$A80)/(Lecturas!$C:$C&gt;0),Lecturas!$C:$C)),"")</f>
        <v>3723</v>
      </c>
      <c r="P80" s="18">
        <f>IFERROR(_xlfn.MAXIFS(tblMantenciones[Fecha],tblMantenciones[Codigo],tblMaestroEquipos[[#This Row],[Codigo]],tblMantenciones[EsPM],"Sí"),"")</f>
        <v>0</v>
      </c>
      <c r="Q80" s="70" t="str">
        <f>IF(_xlfn.MAXIFS(Mantenciones!$D:$D,Mantenciones!$B:$B,A80)=0,"Sin datos de mantención registrado",_xlfn.MAXIFS(Mantenciones!$D:$D,Mantenciones!$B:$B,A80))</f>
        <v>Sin datos de mantención registrado</v>
      </c>
      <c r="R80" s="16" t="str">
        <f>IFERROR(IF(_xlfn.MAXIFS(Mantenciones!$D:$D,Mantenciones!$B:$B,$A80,Mantenciones!$E:$E,"Sí",Mantenciones!$D:$D,"&gt;0")=0,"Sin datos de mantención registrado",_xlfn.MAXIFS(Mantenciones!$D:$D,Mantenciones!$B:$B,$A80,Mantenciones!$E:$E,"Sí",Mantenciones!$D:$D,"&gt;0")),"Sin datos de mantención registrado")</f>
        <v>Sin datos de mantención registrado</v>
      </c>
      <c r="S80" s="19">
        <f>IFERROR(SUMIFS(tblMantenciones[Costo Mantencion CLP],tblMantenciones[Codigo],A80),0)</f>
        <v>0</v>
      </c>
      <c r="T80" s="19">
        <f>IFERROR(SUMIFS(tblComprasPM[Costo PM CLP],tblComprasPM[Codigo],tblMaestroEquipos[[#This Row],[Codigo]]),0)</f>
        <v>718029.34</v>
      </c>
      <c r="U80" s="19">
        <f>IFERROR(tblMaestroEquipos[[#This Row],[Costo Mantenciones CLP]]+tblMaestroEquipos[[#This Row],[Costo Compras PM CLP]],0)</f>
        <v>718029.34</v>
      </c>
      <c r="V80" s="16" t="str">
        <f>IFERROR(_xlfn.XLOOKUP(tblMaestroEquipos[[#This Row],[Codigo]],tblEquipos[Codigo],tblEquipos[Estado Base]),"")</f>
        <v>Fuera de Servicio</v>
      </c>
      <c r="W80" s="16" t="str">
        <f t="shared" si="8"/>
        <v>FUERA DE SERVICIO</v>
      </c>
      <c r="X80" s="16" t="str">
        <f t="shared" si="9"/>
        <v/>
      </c>
      <c r="Y80"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80" s="23">
        <f>IFERROR(IF(_xlfn.MINIFS(tblComprasPM[Fecha],tblComprasPM[Codigo],tblMaestroEquipos[[#This Row],[Codigo]])=0,"",_xlfn.MINIFS(tblComprasPM[Fecha],tblComprasPM[Codigo],tblMaestroEquipos[[#This Row],[Codigo]])),"")</f>
        <v>46147.386011724499</v>
      </c>
      <c r="AA80" s="23" t="str">
        <f>IFERROR(IF(_xlfn.MAXIFS(tblBodega[Fecha],tblBodega[Codigo],tblMaestroEquipos[[#This Row],[Codigo]])=0,"",_xlfn.MAXIFS(tblBodega[Fecha],tblBodega[Codigo],tblMaestroEquipos[[#This Row],[Codigo]])),"")</f>
        <v/>
      </c>
      <c r="AB8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93</v>
      </c>
      <c r="AC80"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80" s="16" t="str">
        <f>IF(tblMaestroEquipos[[#This Row],[Fecha Salida Bodega]]="","SIN SALIDA BODEGA",IF(OR(tblMaestroEquipos[[#This Row],[Ultima Fecha PM]]="",tblMaestroEquipos[[#This Row],[Ultima Fecha PM]]&lt;tblMaestroEquipos[[#This Row],[Fecha Salida Bodega]]),"PENDIENTE","CERRADO"))</f>
        <v>SIN SALIDA BODEGA</v>
      </c>
      <c r="AE80" s="48" t="str">
        <f t="shared" si="10"/>
        <v>FUERA DE SERVICIO</v>
      </c>
      <c r="AF80" s="16" t="str">
        <f t="shared" si="11"/>
        <v>NO APLICA</v>
      </c>
      <c r="AG80" s="16" t="str">
        <f t="shared" si="12"/>
        <v>No programar compra</v>
      </c>
      <c r="AH80">
        <f t="shared" si="13"/>
        <v>0</v>
      </c>
      <c r="AI80" t="str">
        <f t="shared" si="14"/>
        <v/>
      </c>
      <c r="AJ80" s="22">
        <f t="shared" si="15"/>
        <v>99</v>
      </c>
    </row>
    <row r="81" spans="1:36">
      <c r="A81" s="16" t="s">
        <v>253</v>
      </c>
      <c r="B81" s="16" t="s">
        <v>231</v>
      </c>
      <c r="C81" s="16" t="s">
        <v>1385</v>
      </c>
      <c r="D81" s="16" t="s">
        <v>242</v>
      </c>
      <c r="E81" s="17" t="s">
        <v>254</v>
      </c>
      <c r="F81" s="16">
        <v>2019</v>
      </c>
      <c r="G81" s="17" t="str">
        <f>IFERROR(_xlfn.XLOOKUP($A81,tblEquipos[Codigo],tblEquipos[Ubicacion],""),"")</f>
        <v>Palmucho</v>
      </c>
      <c r="H81" s="16"/>
      <c r="I81" s="16" t="str">
        <f>IFERROR(VLOOKUP(A81, Equipos!A:J, 9, FALSE), "")</f>
        <v>HORAS</v>
      </c>
      <c r="J81" s="16">
        <f>IFERROR(VLOOKUP(A81, Equipos!A:J, 10, FALSE), "")</f>
        <v>250</v>
      </c>
      <c r="K81" s="16">
        <f>IFERROR(IF($I81="KM",ROUND((_xlfn.MAXIFS(tblLecturas[Kilometraje],tblLecturas[Codigo],$A81)-_xlfn.MINIFS(tblLecturas[Kilometraje],tblLecturas[Codigo],$A81))/(MAX(1,_xlfn.MAXIFS(tblLecturas[Fecha],tblLecturas[Codigo],$A81)-_xlfn.MINIFS(tblLecturas[Fecha],tblLecturas[Codigo],$A81))),1),ROUND((_xlfn.MAXIFS(tblLecturas[Horometro],tblLecturas[Codigo],$A81)-_xlfn.MINIFS(tblLecturas[Horometro],tblLecturas[Codigo],$A81))/(MAX(1,_xlfn.MAXIFS(tblLecturas[Fecha],tblLecturas[Codigo],$A81)-_xlfn.MINIFS(tblLecturas[Fecha],tblLecturas[Codigo],$A81))),1)),"")</f>
        <v>2.4</v>
      </c>
      <c r="L81" s="18">
        <f>IFERROR(_xlfn.MAXIFS(tblLecturas[Fecha],tblLecturas[Codigo],$A81),"")</f>
        <v>46160</v>
      </c>
      <c r="M81" s="24">
        <f>IFERROR(_xlfn.MAXIFS(Lecturas!$C:$C,Lecturas!$B:$B,$A81,Lecturas!$C:$C,"&gt;0"),"")</f>
        <v>5033</v>
      </c>
      <c r="N81" s="24">
        <f>IFERROR(_xlfn.MAXIFS(tblLecturas[Kilometraje],tblLecturas[Codigo],$A81,tblLecturas[Kilometraje],"&gt;0"),"")</f>
        <v>0</v>
      </c>
      <c r="O81" s="24" cm="1">
        <f t="array" ref="O81">IFERROR(IF($I81="KM",LOOKUP(2,1/(Lecturas!$B:$B=$A81)/(Lecturas!$D:$D&gt;0),Lecturas!$D:$D),LOOKUP(2,1/(Lecturas!$B:$B=$A81)/(Lecturas!$C:$C&gt;0),Lecturas!$C:$C)),"")</f>
        <v>5033</v>
      </c>
      <c r="P81" s="18">
        <f>IFERROR(_xlfn.MAXIFS(tblMantenciones[Fecha],tblMantenciones[Codigo],tblMaestroEquipos[[#This Row],[Codigo]],tblMantenciones[EsPM],"Sí"),"")</f>
        <v>46111</v>
      </c>
      <c r="Q81" s="70">
        <f>IF(_xlfn.MAXIFS(Mantenciones!$D:$D,Mantenciones!$B:$B,A81)=0,"Sin datos de mantención registrado",_xlfn.MAXIFS(Mantenciones!$D:$D,Mantenciones!$B:$B,A81))</f>
        <v>4924</v>
      </c>
      <c r="R81" s="16">
        <f>IFERROR(IF(_xlfn.MAXIFS(Mantenciones!$D:$D,Mantenciones!$B:$B,$A81,Mantenciones!$E:$E,"Sí",Mantenciones!$D:$D,"&gt;0")=0,"Sin datos de mantención registrado",_xlfn.MAXIFS(Mantenciones!$D:$D,Mantenciones!$B:$B,$A81,Mantenciones!$E:$E,"Sí",Mantenciones!$D:$D,"&gt;0")),"Sin datos de mantención registrado")</f>
        <v>4924</v>
      </c>
      <c r="S81" s="19">
        <f>IFERROR(SUMIFS(tblMantenciones[Costo Mantencion CLP],tblMantenciones[Codigo],A81),0)</f>
        <v>0</v>
      </c>
      <c r="T81" s="19">
        <f>IFERROR(SUMIFS(tblComprasPM[Costo PM CLP],tblComprasPM[Codigo],tblMaestroEquipos[[#This Row],[Codigo]]),0)</f>
        <v>451399.71310000005</v>
      </c>
      <c r="U81" s="19">
        <f>IFERROR(tblMaestroEquipos[[#This Row],[Costo Mantenciones CLP]]+tblMaestroEquipos[[#This Row],[Costo Compras PM CLP]],0)</f>
        <v>451399.71310000005</v>
      </c>
      <c r="V81" s="16" t="str">
        <f>IFERROR(_xlfn.XLOOKUP(tblMaestroEquipos[[#This Row],[Codigo]],tblEquipos[Codigo],tblEquipos[Estado Base]),"")</f>
        <v>Operativo</v>
      </c>
      <c r="W81" s="16" t="str">
        <f t="shared" si="8"/>
        <v>AL DÍA</v>
      </c>
      <c r="X81" s="16">
        <f t="shared" si="9"/>
        <v>141</v>
      </c>
      <c r="Y81" s="23">
        <f>IFERROR(IF(OR(tblMaestroEquipos[[#This Row],[Estado Operacional]]="FUERA DE SERVICIO",tblMaestroEquipos[[#This Row],[Ultima Fecha Lectura]]="",tblMaestroEquipos[[#This Row],[Dias a Proxima Mantencion]]=""),"",tblMaestroEquipos[[#This Row],[Ultima Fecha Lectura]]+tblMaestroEquipos[[#This Row],[Dias a Proxima Mantencion]]),"")</f>
        <v>46301</v>
      </c>
      <c r="Z81" s="23">
        <f>IFERROR(IF(_xlfn.MINIFS(tblComprasPM[Fecha],tblComprasPM[Codigo],tblMaestroEquipos[[#This Row],[Codigo]])=0,"",_xlfn.MINIFS(tblComprasPM[Fecha],tblComprasPM[Codigo],tblMaestroEquipos[[#This Row],[Codigo]])),"")</f>
        <v>46093.717566053201</v>
      </c>
      <c r="AA81" s="23">
        <f>IFERROR(IF(_xlfn.MAXIFS(tblBodega[Fecha],tblBodega[Codigo],tblMaestroEquipos[[#This Row],[Codigo]])=0,"",_xlfn.MAXIFS(tblBodega[Fecha],tblBodega[Codigo],tblMaestroEquipos[[#This Row],[Codigo]])),"")</f>
        <v>46105</v>
      </c>
      <c r="AB8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18</v>
      </c>
      <c r="AC81"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6</v>
      </c>
      <c r="AD81" s="16" t="str">
        <f>IF(tblMaestroEquipos[[#This Row],[Fecha Salida Bodega]]="","SIN SALIDA BODEGA",IF(OR(tblMaestroEquipos[[#This Row],[Ultima Fecha PM]]="",tblMaestroEquipos[[#This Row],[Ultima Fecha PM]]&lt;tblMaestroEquipos[[#This Row],[Fecha Salida Bodega]]),"PENDIENTE","CERRADO"))</f>
        <v>CERRADO</v>
      </c>
      <c r="AE81" s="48" t="str">
        <f t="shared" si="10"/>
        <v>OPERATIVO</v>
      </c>
      <c r="AF81" s="16" t="str">
        <f t="shared" si="11"/>
        <v>BAJA</v>
      </c>
      <c r="AG81" s="16" t="str">
        <f t="shared" si="12"/>
        <v>Monitorear próximo vencimiento</v>
      </c>
      <c r="AH81">
        <f t="shared" si="13"/>
        <v>0</v>
      </c>
      <c r="AI81" t="str">
        <f t="shared" si="14"/>
        <v/>
      </c>
      <c r="AJ81" s="22">
        <f t="shared" si="15"/>
        <v>99</v>
      </c>
    </row>
    <row r="82" spans="1:36">
      <c r="A82" s="16" t="s">
        <v>256</v>
      </c>
      <c r="B82" s="16" t="s">
        <v>231</v>
      </c>
      <c r="C82" s="16" t="s">
        <v>1385</v>
      </c>
      <c r="D82" s="16" t="s">
        <v>257</v>
      </c>
      <c r="E82" s="17" t="s">
        <v>258</v>
      </c>
      <c r="F82" s="16">
        <v>2008</v>
      </c>
      <c r="G82" s="17" t="str">
        <f>IFERROR(_xlfn.XLOOKUP($A82,tblEquipos[Codigo],tblEquipos[Ubicacion],""),"")</f>
        <v>Taller</v>
      </c>
      <c r="H82" s="16"/>
      <c r="I82" s="16" t="str">
        <f>IFERROR(VLOOKUP(A82, Equipos!A:J, 9, FALSE), "")</f>
        <v>HORAS</v>
      </c>
      <c r="J82" s="16">
        <f>IFERROR(VLOOKUP(A82, Equipos!A:J, 10, FALSE), "")</f>
        <v>250</v>
      </c>
      <c r="K82" s="16">
        <f>IFERROR(IF($I82="KM",ROUND((_xlfn.MAXIFS(tblLecturas[Kilometraje],tblLecturas[Codigo],$A82)-_xlfn.MINIFS(tblLecturas[Kilometraje],tblLecturas[Codigo],$A82))/(MAX(1,_xlfn.MAXIFS(tblLecturas[Fecha],tblLecturas[Codigo],$A82)-_xlfn.MINIFS(tblLecturas[Fecha],tblLecturas[Codigo],$A82))),1),ROUND((_xlfn.MAXIFS(tblLecturas[Horometro],tblLecturas[Codigo],$A82)-_xlfn.MINIFS(tblLecturas[Horometro],tblLecturas[Codigo],$A82))/(MAX(1,_xlfn.MAXIFS(tblLecturas[Fecha],tblLecturas[Codigo],$A82)-_xlfn.MINIFS(tblLecturas[Fecha],tblLecturas[Codigo],$A82))),1)),"")</f>
        <v>0</v>
      </c>
      <c r="L82" s="18">
        <f>IFERROR(_xlfn.MAXIFS(tblLecturas[Fecha],tblLecturas[Codigo],$A82),"")</f>
        <v>0</v>
      </c>
      <c r="M82" s="24">
        <f>IFERROR(_xlfn.MAXIFS(Lecturas!$C:$C,Lecturas!$B:$B,$A82,Lecturas!$C:$C,"&gt;0"),"")</f>
        <v>0</v>
      </c>
      <c r="N82" s="24">
        <f>IFERROR(_xlfn.MAXIFS(tblLecturas[Kilometraje],tblLecturas[Codigo],$A82,tblLecturas[Kilometraje],"&gt;0"),"")</f>
        <v>0</v>
      </c>
      <c r="O82" s="24" t="str" cm="1">
        <f t="array" ref="O82">IFERROR(IF($I82="KM",LOOKUP(2,1/(Lecturas!$B:$B=$A82)/(Lecturas!$D:$D&gt;0),Lecturas!$D:$D),LOOKUP(2,1/(Lecturas!$B:$B=$A82)/(Lecturas!$C:$C&gt;0),Lecturas!$C:$C)),"")</f>
        <v/>
      </c>
      <c r="P82" s="18">
        <f>IFERROR(_xlfn.MAXIFS(tblMantenciones[Fecha],tblMantenciones[Codigo],tblMaestroEquipos[[#This Row],[Codigo]],tblMantenciones[EsPM],"Sí"),"")</f>
        <v>0</v>
      </c>
      <c r="Q82" s="70" t="str">
        <f>IF(_xlfn.MAXIFS(Mantenciones!$D:$D,Mantenciones!$B:$B,A82)=0,"Sin datos de mantención registrado",_xlfn.MAXIFS(Mantenciones!$D:$D,Mantenciones!$B:$B,A82))</f>
        <v>Sin datos de mantención registrado</v>
      </c>
      <c r="R82" s="16" t="str">
        <f>IFERROR(IF(_xlfn.MAXIFS(Mantenciones!$D:$D,Mantenciones!$B:$B,$A82,Mantenciones!$E:$E,"Sí",Mantenciones!$D:$D,"&gt;0")=0,"Sin datos de mantención registrado",_xlfn.MAXIFS(Mantenciones!$D:$D,Mantenciones!$B:$B,$A82,Mantenciones!$E:$E,"Sí",Mantenciones!$D:$D,"&gt;0")),"Sin datos de mantención registrado")</f>
        <v>Sin datos de mantención registrado</v>
      </c>
      <c r="S82" s="19">
        <f>IFERROR(SUMIFS(tblMantenciones[Costo Mantencion CLP],tblMantenciones[Codigo],A82),0)</f>
        <v>0</v>
      </c>
      <c r="T82" s="19">
        <f>IFERROR(SUMIFS(tblComprasPM[Costo PM CLP],tblComprasPM[Codigo],tblMaestroEquipos[[#This Row],[Codigo]]),0)</f>
        <v>0</v>
      </c>
      <c r="U82" s="19">
        <f>IFERROR(tblMaestroEquipos[[#This Row],[Costo Mantenciones CLP]]+tblMaestroEquipos[[#This Row],[Costo Compras PM CLP]],0)</f>
        <v>0</v>
      </c>
      <c r="V82" s="16" t="str">
        <f>IFERROR(_xlfn.XLOOKUP(tblMaestroEquipos[[#This Row],[Codigo]],tblEquipos[Codigo],tblEquipos[Estado Base]),"")</f>
        <v>Operativo</v>
      </c>
      <c r="W82" s="16" t="str">
        <f t="shared" si="8"/>
        <v>AL DÍA</v>
      </c>
      <c r="X82" s="16" t="str">
        <f t="shared" si="9"/>
        <v/>
      </c>
      <c r="Y82"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82" s="23" t="str">
        <f>IFERROR(IF(_xlfn.MINIFS(tblComprasPM[Fecha],tblComprasPM[Codigo],tblMaestroEquipos[[#This Row],[Codigo]])=0,"",_xlfn.MINIFS(tblComprasPM[Fecha],tblComprasPM[Codigo],tblMaestroEquipos[[#This Row],[Codigo]])),"")</f>
        <v/>
      </c>
      <c r="AA82" s="23" t="str">
        <f>IFERROR(IF(_xlfn.MAXIFS(tblBodega[Fecha],tblBodega[Codigo],tblMaestroEquipos[[#This Row],[Codigo]])=0,"",_xlfn.MAXIFS(tblBodega[Fecha],tblBodega[Codigo],tblMaestroEquipos[[#This Row],[Codigo]])),"")</f>
        <v/>
      </c>
      <c r="AB82"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8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82" s="16" t="str">
        <f>IF(tblMaestroEquipos[[#This Row],[Fecha Salida Bodega]]="","SIN SALIDA BODEGA",IF(OR(tblMaestroEquipos[[#This Row],[Ultima Fecha PM]]="",tblMaestroEquipos[[#This Row],[Ultima Fecha PM]]&lt;tblMaestroEquipos[[#This Row],[Fecha Salida Bodega]]),"PENDIENTE","CERRADO"))</f>
        <v>SIN SALIDA BODEGA</v>
      </c>
      <c r="AE82" s="48" t="str">
        <f t="shared" si="10"/>
        <v>OPERATIVO</v>
      </c>
      <c r="AF82" s="16" t="str">
        <f t="shared" si="11"/>
        <v>BAJA</v>
      </c>
      <c r="AG82" s="16" t="str">
        <f t="shared" si="12"/>
        <v>Monitorear próximo vencimiento</v>
      </c>
      <c r="AH82">
        <f t="shared" si="13"/>
        <v>0</v>
      </c>
      <c r="AI82" t="str">
        <f t="shared" si="14"/>
        <v/>
      </c>
      <c r="AJ82" s="22">
        <f t="shared" si="15"/>
        <v>99</v>
      </c>
    </row>
    <row r="83" spans="1:36">
      <c r="A83" s="16" t="s">
        <v>259</v>
      </c>
      <c r="B83" s="16" t="s">
        <v>231</v>
      </c>
      <c r="C83" s="16" t="s">
        <v>1385</v>
      </c>
      <c r="D83" s="16" t="s">
        <v>232</v>
      </c>
      <c r="E83" s="17" t="s">
        <v>240</v>
      </c>
      <c r="F83" s="16">
        <v>2010</v>
      </c>
      <c r="G83" s="17" t="str">
        <f>IFERROR(_xlfn.XLOOKUP($A83,tblEquipos[Codigo],tblEquipos[Ubicacion],""),"")</f>
        <v>San Nicolas</v>
      </c>
      <c r="H83" s="16" t="s">
        <v>1394</v>
      </c>
      <c r="I83" s="16" t="str">
        <f>IFERROR(VLOOKUP(A83, Equipos!A:J, 9, FALSE), "")</f>
        <v>HORAS</v>
      </c>
      <c r="J83" s="16">
        <f>IFERROR(VLOOKUP(A83, Equipos!A:J, 10, FALSE), "")</f>
        <v>250</v>
      </c>
      <c r="K83" s="16">
        <f>IFERROR(IF($I83="KM",ROUND((_xlfn.MAXIFS(tblLecturas[Kilometraje],tblLecturas[Codigo],$A83)-_xlfn.MINIFS(tblLecturas[Kilometraje],tblLecturas[Codigo],$A83))/(MAX(1,_xlfn.MAXIFS(tblLecturas[Fecha],tblLecturas[Codigo],$A83)-_xlfn.MINIFS(tblLecturas[Fecha],tblLecturas[Codigo],$A83))),1),ROUND((_xlfn.MAXIFS(tblLecturas[Horometro],tblLecturas[Codigo],$A83)-_xlfn.MINIFS(tblLecturas[Horometro],tblLecturas[Codigo],$A83))/(MAX(1,_xlfn.MAXIFS(tblLecturas[Fecha],tblLecturas[Codigo],$A83)-_xlfn.MINIFS(tblLecturas[Fecha],tblLecturas[Codigo],$A83))),1)),"")</f>
        <v>4.4000000000000004</v>
      </c>
      <c r="L83" s="18">
        <f>IFERROR(_xlfn.MAXIFS(tblLecturas[Fecha],tblLecturas[Codigo],$A83),"")</f>
        <v>46135</v>
      </c>
      <c r="M83" s="24">
        <f>IFERROR(_xlfn.MAXIFS(Lecturas!$C:$C,Lecturas!$B:$B,$A83,Lecturas!$C:$C,"&gt;0"),"")</f>
        <v>15846</v>
      </c>
      <c r="N83" s="24">
        <f>IFERROR(_xlfn.MAXIFS(tblLecturas[Kilometraje],tblLecturas[Codigo],$A83,tblLecturas[Kilometraje],"&gt;0"),"")</f>
        <v>0</v>
      </c>
      <c r="O83" s="24" cm="1">
        <f t="array" ref="O83">IFERROR(IF($I83="KM",LOOKUP(2,1/(Lecturas!$B:$B=$A83)/(Lecturas!$D:$D&gt;0),Lecturas!$D:$D),LOOKUP(2,1/(Lecturas!$B:$B=$A83)/(Lecturas!$C:$C&gt;0),Lecturas!$C:$C)),"")</f>
        <v>15747</v>
      </c>
      <c r="P83" s="18">
        <f>IFERROR(_xlfn.MAXIFS(tblMantenciones[Fecha],tblMantenciones[Codigo],tblMaestroEquipos[[#This Row],[Codigo]],tblMantenciones[EsPM],"Sí"),"")</f>
        <v>46097</v>
      </c>
      <c r="Q83" s="70">
        <f>IF(_xlfn.MAXIFS(Mantenciones!$D:$D,Mantenciones!$B:$B,A83)=0,"Sin datos de mantención registrado",_xlfn.MAXIFS(Mantenciones!$D:$D,Mantenciones!$B:$B,A83))</f>
        <v>16454</v>
      </c>
      <c r="R83" s="16">
        <f>IFERROR(IF(_xlfn.MAXIFS(Mantenciones!$D:$D,Mantenciones!$B:$B,$A83,Mantenciones!$E:$E,"Sí",Mantenciones!$D:$D,"&gt;0")=0,"Sin datos de mantención registrado",_xlfn.MAXIFS(Mantenciones!$D:$D,Mantenciones!$B:$B,$A83,Mantenciones!$E:$E,"Sí",Mantenciones!$D:$D,"&gt;0")),"Sin datos de mantención registrado")</f>
        <v>16454</v>
      </c>
      <c r="S83" s="19">
        <f>IFERROR(SUMIFS(tblMantenciones[Costo Mantencion CLP],tblMantenciones[Codigo],A83),0)</f>
        <v>866929</v>
      </c>
      <c r="T83" s="19">
        <f>IFERROR(SUMIFS(tblComprasPM[Costo PM CLP],tblComprasPM[Codigo],tblMaestroEquipos[[#This Row],[Codigo]]),0)</f>
        <v>905668.01639999996</v>
      </c>
      <c r="U83" s="19">
        <f>IFERROR(tblMaestroEquipos[[#This Row],[Costo Mantenciones CLP]]+tblMaestroEquipos[[#This Row],[Costo Compras PM CLP]],0)</f>
        <v>1772597.0164000001</v>
      </c>
      <c r="V83" s="16" t="str">
        <f>IFERROR(_xlfn.XLOOKUP(tblMaestroEquipos[[#This Row],[Codigo]],tblEquipos[Codigo],tblEquipos[Estado Base]),"")</f>
        <v>Operativo</v>
      </c>
      <c r="W83" s="16" t="str">
        <f t="shared" si="8"/>
        <v>EN PROCESO</v>
      </c>
      <c r="X83" s="16">
        <f t="shared" si="9"/>
        <v>957</v>
      </c>
      <c r="Y83" s="23">
        <f>IFERROR(IF(OR(tblMaestroEquipos[[#This Row],[Estado Operacional]]="FUERA DE SERVICIO",tblMaestroEquipos[[#This Row],[Ultima Fecha Lectura]]="",tblMaestroEquipos[[#This Row],[Dias a Proxima Mantencion]]=""),"",tblMaestroEquipos[[#This Row],[Ultima Fecha Lectura]]+tblMaestroEquipos[[#This Row],[Dias a Proxima Mantencion]]),"")</f>
        <v>47092</v>
      </c>
      <c r="Z83" s="23">
        <f>IFERROR(IF(_xlfn.MINIFS(tblComprasPM[Fecha],tblComprasPM[Codigo],tblMaestroEquipos[[#This Row],[Codigo]])=0,"",_xlfn.MINIFS(tblComprasPM[Fecha],tblComprasPM[Codigo],tblMaestroEquipos[[#This Row],[Codigo]])),"")</f>
        <v>46091.371380127297</v>
      </c>
      <c r="AA83" s="23" t="str">
        <f>IFERROR(IF(_xlfn.MAXIFS(tblBodega[Fecha],tblBodega[Codigo],tblMaestroEquipos[[#This Row],[Codigo]])=0,"",_xlfn.MAXIFS(tblBodega[Fecha],tblBodega[Codigo],tblMaestroEquipos[[#This Row],[Codigo]])),"")</f>
        <v/>
      </c>
      <c r="AB83"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6</v>
      </c>
      <c r="AC83"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83" s="16" t="str">
        <f>IF(tblMaestroEquipos[[#This Row],[Fecha Salida Bodega]]="","SIN SALIDA BODEGA",IF(OR(tblMaestroEquipos[[#This Row],[Ultima Fecha PM]]="",tblMaestroEquipos[[#This Row],[Ultima Fecha PM]]&lt;tblMaestroEquipos[[#This Row],[Fecha Salida Bodega]]),"PENDIENTE","CERRADO"))</f>
        <v>SIN SALIDA BODEGA</v>
      </c>
      <c r="AE83" s="48" t="str">
        <f t="shared" si="10"/>
        <v>EN PROCESO</v>
      </c>
      <c r="AF83" s="16" t="str">
        <f t="shared" si="11"/>
        <v>SEGUIMIENTO</v>
      </c>
      <c r="AG83" s="16" t="str">
        <f t="shared" si="12"/>
        <v>Hacer seguimiento al taller y cerrar report</v>
      </c>
      <c r="AH83">
        <f t="shared" si="13"/>
        <v>0</v>
      </c>
      <c r="AI83" t="str">
        <f t="shared" si="14"/>
        <v/>
      </c>
      <c r="AJ83" s="22">
        <f t="shared" si="15"/>
        <v>2</v>
      </c>
    </row>
    <row r="84" spans="1:36">
      <c r="A84" s="16" t="s">
        <v>260</v>
      </c>
      <c r="B84" s="16" t="s">
        <v>231</v>
      </c>
      <c r="C84" s="16" t="s">
        <v>1385</v>
      </c>
      <c r="D84" s="16" t="s">
        <v>232</v>
      </c>
      <c r="E84" s="17" t="s">
        <v>261</v>
      </c>
      <c r="F84" s="16">
        <v>2014</v>
      </c>
      <c r="G84" s="17" t="str">
        <f>IFERROR(_xlfn.XLOOKUP($A84,tblEquipos[Codigo],tblEquipos[Ubicacion],""),"")</f>
        <v>PALMUCHO</v>
      </c>
      <c r="H84" s="16" t="s">
        <v>1393</v>
      </c>
      <c r="I84" s="16" t="str">
        <f>IFERROR(VLOOKUP(A84, Equipos!A:J, 9, FALSE), "")</f>
        <v>HORAS</v>
      </c>
      <c r="J84" s="16">
        <f>IFERROR(VLOOKUP(A84, Equipos!A:J, 10, FALSE), "")</f>
        <v>250</v>
      </c>
      <c r="K84" s="16">
        <f>IFERROR(IF($I84="KM",ROUND((_xlfn.MAXIFS(tblLecturas[Kilometraje],tblLecturas[Codigo],$A84)-_xlfn.MINIFS(tblLecturas[Kilometraje],tblLecturas[Codigo],$A84))/(MAX(1,_xlfn.MAXIFS(tblLecturas[Fecha],tblLecturas[Codigo],$A84)-_xlfn.MINIFS(tblLecturas[Fecha],tblLecturas[Codigo],$A84))),1),ROUND((_xlfn.MAXIFS(tblLecturas[Horometro],tblLecturas[Codigo],$A84)-_xlfn.MINIFS(tblLecturas[Horometro],tblLecturas[Codigo],$A84))/(MAX(1,_xlfn.MAXIFS(tblLecturas[Fecha],tblLecturas[Codigo],$A84)-_xlfn.MINIFS(tblLecturas[Fecha],tblLecturas[Codigo],$A84))),1)),"")</f>
        <v>0</v>
      </c>
      <c r="L84" s="18">
        <f>IFERROR(_xlfn.MAXIFS(tblLecturas[Fecha],tblLecturas[Codigo],$A84),"")</f>
        <v>0</v>
      </c>
      <c r="M84" s="24">
        <f>IFERROR(_xlfn.MAXIFS(Lecturas!$C:$C,Lecturas!$B:$B,$A84,Lecturas!$C:$C,"&gt;0"),"")</f>
        <v>0</v>
      </c>
      <c r="N84" s="24">
        <f>IFERROR(_xlfn.MAXIFS(tblLecturas[Kilometraje],tblLecturas[Codigo],$A84,tblLecturas[Kilometraje],"&gt;0"),"")</f>
        <v>0</v>
      </c>
      <c r="O84" s="24" t="str" cm="1">
        <f t="array" ref="O84">IFERROR(IF($I84="KM",LOOKUP(2,1/(Lecturas!$B:$B=$A84)/(Lecturas!$D:$D&gt;0),Lecturas!$D:$D),LOOKUP(2,1/(Lecturas!$B:$B=$A84)/(Lecturas!$C:$C&gt;0),Lecturas!$C:$C)),"")</f>
        <v/>
      </c>
      <c r="P84" s="18">
        <f>IFERROR(_xlfn.MAXIFS(tblMantenciones[Fecha],tblMantenciones[Codigo],tblMaestroEquipos[[#This Row],[Codigo]],tblMantenciones[EsPM],"Sí"),"")</f>
        <v>44719</v>
      </c>
      <c r="Q84" s="70">
        <f>IF(_xlfn.MAXIFS(Mantenciones!$D:$D,Mantenciones!$B:$B,A84)=0,"Sin datos de mantención registrado",_xlfn.MAXIFS(Mantenciones!$D:$D,Mantenciones!$B:$B,A84))</f>
        <v>7598</v>
      </c>
      <c r="R84" s="16">
        <f>IFERROR(IF(_xlfn.MAXIFS(Mantenciones!$D:$D,Mantenciones!$B:$B,$A84,Mantenciones!$E:$E,"Sí",Mantenciones!$D:$D,"&gt;0")=0,"Sin datos de mantención registrado",_xlfn.MAXIFS(Mantenciones!$D:$D,Mantenciones!$B:$B,$A84,Mantenciones!$E:$E,"Sí",Mantenciones!$D:$D,"&gt;0")),"Sin datos de mantención registrado")</f>
        <v>7598</v>
      </c>
      <c r="S84" s="19">
        <f>IFERROR(SUMIFS(tblMantenciones[Costo Mantencion CLP],tblMantenciones[Codigo],A84),0)</f>
        <v>0</v>
      </c>
      <c r="T84" s="19">
        <f>IFERROR(SUMIFS(tblComprasPM[Costo PM CLP],tblComprasPM[Codigo],tblMaestroEquipos[[#This Row],[Codigo]]),0)</f>
        <v>0</v>
      </c>
      <c r="U84" s="19">
        <f>IFERROR(tblMaestroEquipos[[#This Row],[Costo Mantenciones CLP]]+tblMaestroEquipos[[#This Row],[Costo Compras PM CLP]],0)</f>
        <v>0</v>
      </c>
      <c r="V84" s="16" t="str">
        <f>IFERROR(_xlfn.XLOOKUP(tblMaestroEquipos[[#This Row],[Codigo]],tblEquipos[Codigo],tblEquipos[Estado Base]),"")</f>
        <v>Fuera de Servicio</v>
      </c>
      <c r="W84" s="16" t="str">
        <f t="shared" si="8"/>
        <v>FUERA DE SERVICIO</v>
      </c>
      <c r="X84" s="16" t="str">
        <f t="shared" si="9"/>
        <v/>
      </c>
      <c r="Y84"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84" s="23" t="str">
        <f>IFERROR(IF(_xlfn.MINIFS(tblComprasPM[Fecha],tblComprasPM[Codigo],tblMaestroEquipos[[#This Row],[Codigo]])=0,"",_xlfn.MINIFS(tblComprasPM[Fecha],tblComprasPM[Codigo],tblMaestroEquipos[[#This Row],[Codigo]])),"")</f>
        <v/>
      </c>
      <c r="AA84" s="23" t="str">
        <f>IFERROR(IF(_xlfn.MAXIFS(tblBodega[Fecha],tblBodega[Codigo],tblMaestroEquipos[[#This Row],[Codigo]])=0,"",_xlfn.MAXIFS(tblBodega[Fecha],tblBodega[Codigo],tblMaestroEquipos[[#This Row],[Codigo]])),"")</f>
        <v/>
      </c>
      <c r="AB84"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84"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84" s="16" t="str">
        <f>IF(tblMaestroEquipos[[#This Row],[Fecha Salida Bodega]]="","SIN SALIDA BODEGA",IF(OR(tblMaestroEquipos[[#This Row],[Ultima Fecha PM]]="",tblMaestroEquipos[[#This Row],[Ultima Fecha PM]]&lt;tblMaestroEquipos[[#This Row],[Fecha Salida Bodega]]),"PENDIENTE","CERRADO"))</f>
        <v>SIN SALIDA BODEGA</v>
      </c>
      <c r="AE84" s="48" t="str">
        <f t="shared" si="10"/>
        <v>FUERA DE SERVICIO</v>
      </c>
      <c r="AF84" s="16" t="str">
        <f t="shared" si="11"/>
        <v>NO APLICA</v>
      </c>
      <c r="AG84" s="16" t="str">
        <f t="shared" si="12"/>
        <v>No programar compra</v>
      </c>
      <c r="AH84">
        <f t="shared" si="13"/>
        <v>0</v>
      </c>
      <c r="AI84" t="str">
        <f t="shared" si="14"/>
        <v/>
      </c>
      <c r="AJ84" s="22">
        <f t="shared" si="15"/>
        <v>99</v>
      </c>
    </row>
    <row r="85" spans="1:36">
      <c r="A85" s="16" t="s">
        <v>263</v>
      </c>
      <c r="B85" s="16" t="s">
        <v>264</v>
      </c>
      <c r="C85" s="16" t="s">
        <v>1385</v>
      </c>
      <c r="D85" s="16" t="s">
        <v>265</v>
      </c>
      <c r="E85" s="17" t="s">
        <v>266</v>
      </c>
      <c r="F85" s="16">
        <v>2024</v>
      </c>
      <c r="G85" s="17" t="str">
        <f>IFERROR(_xlfn.XLOOKUP($A85,tblEquipos[Codigo],tblEquipos[Ubicacion],""),"")</f>
        <v>San Nicolas</v>
      </c>
      <c r="H85" s="16" t="s">
        <v>267</v>
      </c>
      <c r="I85" s="16" t="str">
        <f>IFERROR(VLOOKUP(A85, Equipos!A:J, 9, FALSE), "")</f>
        <v>HORAS</v>
      </c>
      <c r="J85" s="16">
        <f>IFERROR(VLOOKUP(A85, Equipos!A:J, 10, FALSE), "")</f>
        <v>250</v>
      </c>
      <c r="K85" s="16">
        <f>IFERROR(IF($I85="KM",ROUND((_xlfn.MAXIFS(tblLecturas[Kilometraje],tblLecturas[Codigo],$A85)-_xlfn.MINIFS(tblLecturas[Kilometraje],tblLecturas[Codigo],$A85))/(MAX(1,_xlfn.MAXIFS(tblLecturas[Fecha],tblLecturas[Codigo],$A85)-_xlfn.MINIFS(tblLecturas[Fecha],tblLecturas[Codigo],$A85))),1),ROUND((_xlfn.MAXIFS(tblLecturas[Horometro],tblLecturas[Codigo],$A85)-_xlfn.MINIFS(tblLecturas[Horometro],tblLecturas[Codigo],$A85))/(MAX(1,_xlfn.MAXIFS(tblLecturas[Fecha],tblLecturas[Codigo],$A85)-_xlfn.MINIFS(tblLecturas[Fecha],tblLecturas[Codigo],$A85))),1)),"")</f>
        <v>8</v>
      </c>
      <c r="L85" s="18">
        <f>IFERROR(_xlfn.MAXIFS(tblLecturas[Fecha],tblLecturas[Codigo],$A85),"")</f>
        <v>46135</v>
      </c>
      <c r="M85" s="24">
        <f>IFERROR(_xlfn.MAXIFS(Lecturas!$C:$C,Lecturas!$B:$B,$A85,Lecturas!$C:$C,"&gt;0"),"")</f>
        <v>3006</v>
      </c>
      <c r="N85" s="24">
        <f>IFERROR(_xlfn.MAXIFS(tblLecturas[Kilometraje],tblLecturas[Codigo],$A85,tblLecturas[Kilometraje],"&gt;0"),"")</f>
        <v>0</v>
      </c>
      <c r="O85" s="24" cm="1">
        <f t="array" ref="O85">IFERROR(IF($I85="KM",LOOKUP(2,1/(Lecturas!$B:$B=$A85)/(Lecturas!$D:$D&gt;0),Lecturas!$D:$D),LOOKUP(2,1/(Lecturas!$B:$B=$A85)/(Lecturas!$C:$C&gt;0),Lecturas!$C:$C)),"")</f>
        <v>2838</v>
      </c>
      <c r="P85" s="18">
        <f>IFERROR(_xlfn.MAXIFS(tblMantenciones[Fecha],tblMantenciones[Codigo],tblMaestroEquipos[[#This Row],[Codigo]],tblMantenciones[EsPM],"Sí"),"")</f>
        <v>46169</v>
      </c>
      <c r="Q85" s="70">
        <f>IF(_xlfn.MAXIFS(Mantenciones!$D:$D,Mantenciones!$B:$B,A85)=0,"Sin datos de mantención registrado",_xlfn.MAXIFS(Mantenciones!$D:$D,Mantenciones!$B:$B,A85))</f>
        <v>3193</v>
      </c>
      <c r="R85" s="16">
        <f>IFERROR(IF(_xlfn.MAXIFS(Mantenciones!$D:$D,Mantenciones!$B:$B,$A85,Mantenciones!$E:$E,"Sí",Mantenciones!$D:$D,"&gt;0")=0,"Sin datos de mantención registrado",_xlfn.MAXIFS(Mantenciones!$D:$D,Mantenciones!$B:$B,$A85,Mantenciones!$E:$E,"Sí",Mantenciones!$D:$D,"&gt;0")),"Sin datos de mantención registrado")</f>
        <v>3193</v>
      </c>
      <c r="S85" s="19">
        <f>IFERROR(SUMIFS(tblMantenciones[Costo Mantencion CLP],tblMantenciones[Codigo],A85),0)</f>
        <v>0</v>
      </c>
      <c r="T85" s="19">
        <f>IFERROR(SUMIFS(tblComprasPM[Costo PM CLP],tblComprasPM[Codigo],tblMaestroEquipos[[#This Row],[Codigo]]),0)</f>
        <v>414197.35</v>
      </c>
      <c r="U85" s="19">
        <f>IFERROR(tblMaestroEquipos[[#This Row],[Costo Mantenciones CLP]]+tblMaestroEquipos[[#This Row],[Costo Compras PM CLP]],0)</f>
        <v>414197.35</v>
      </c>
      <c r="V85" s="16" t="str">
        <f>IFERROR(_xlfn.XLOOKUP(tblMaestroEquipos[[#This Row],[Codigo]],tblEquipos[Codigo],tblEquipos[Estado Base]),"")</f>
        <v>Operativo</v>
      </c>
      <c r="W85" s="16" t="str">
        <f t="shared" si="8"/>
        <v>AL DÍA</v>
      </c>
      <c r="X85" s="16">
        <f t="shared" si="9"/>
        <v>605</v>
      </c>
      <c r="Y85" s="23">
        <f>IFERROR(IF(OR(tblMaestroEquipos[[#This Row],[Estado Operacional]]="FUERA DE SERVICIO",tblMaestroEquipos[[#This Row],[Ultima Fecha Lectura]]="",tblMaestroEquipos[[#This Row],[Dias a Proxima Mantencion]]=""),"",tblMaestroEquipos[[#This Row],[Ultima Fecha Lectura]]+tblMaestroEquipos[[#This Row],[Dias a Proxima Mantencion]]),"")</f>
        <v>46740</v>
      </c>
      <c r="Z85" s="23">
        <f>IFERROR(IF(_xlfn.MINIFS(tblComprasPM[Fecha],tblComprasPM[Codigo],tblMaestroEquipos[[#This Row],[Codigo]])=0,"",_xlfn.MINIFS(tblComprasPM[Fecha],tblComprasPM[Codigo],tblMaestroEquipos[[#This Row],[Codigo]])),"")</f>
        <v>46085.664697835702</v>
      </c>
      <c r="AA85" s="23">
        <f>IFERROR(IF(_xlfn.MAXIFS(tblBodega[Fecha],tblBodega[Codigo],tblMaestroEquipos[[#This Row],[Codigo]])=0,"",_xlfn.MAXIFS(tblBodega[Fecha],tblBodega[Codigo],tblMaestroEquipos[[#This Row],[Codigo]])),"")</f>
        <v>46169</v>
      </c>
      <c r="AB8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84</v>
      </c>
      <c r="AC8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85" s="16" t="str">
        <f>IF(tblMaestroEquipos[[#This Row],[Fecha Salida Bodega]]="","SIN SALIDA BODEGA",IF(OR(tblMaestroEquipos[[#This Row],[Ultima Fecha PM]]="",tblMaestroEquipos[[#This Row],[Ultima Fecha PM]]&lt;tblMaestroEquipos[[#This Row],[Fecha Salida Bodega]]),"PENDIENTE","CERRADO"))</f>
        <v>CERRADO</v>
      </c>
      <c r="AE85" s="48" t="str">
        <f t="shared" si="10"/>
        <v>OPERATIVO</v>
      </c>
      <c r="AF85" s="16" t="str">
        <f t="shared" si="11"/>
        <v>BAJA</v>
      </c>
      <c r="AG85" s="16" t="str">
        <f t="shared" si="12"/>
        <v>Monitorear próximo vencimiento</v>
      </c>
      <c r="AH85">
        <f t="shared" si="13"/>
        <v>0</v>
      </c>
      <c r="AI85" t="str">
        <f t="shared" si="14"/>
        <v/>
      </c>
      <c r="AJ85" s="22">
        <f t="shared" si="15"/>
        <v>99</v>
      </c>
    </row>
    <row r="86" spans="1:36">
      <c r="A86" s="16" t="s">
        <v>268</v>
      </c>
      <c r="B86" s="16" t="s">
        <v>269</v>
      </c>
      <c r="C86" s="16" t="s">
        <v>1385</v>
      </c>
      <c r="D86" s="16" t="s">
        <v>270</v>
      </c>
      <c r="E86" s="17" t="s">
        <v>271</v>
      </c>
      <c r="F86" s="16">
        <v>2018</v>
      </c>
      <c r="G86" s="17" t="str">
        <f>IFERROR(_xlfn.XLOOKUP($A86,tblEquipos[Codigo],tblEquipos[Ubicacion],""),"")</f>
        <v>Palmucho</v>
      </c>
      <c r="H86" s="16" t="s">
        <v>272</v>
      </c>
      <c r="I86" s="16" t="str">
        <f>IFERROR(VLOOKUP(A86, Equipos!A:J, 9, FALSE), "")</f>
        <v>HORAS</v>
      </c>
      <c r="J86" s="16">
        <f>IFERROR(VLOOKUP(A86, Equipos!A:J, 10, FALSE), "")</f>
        <v>250</v>
      </c>
      <c r="K86" s="16">
        <f>IFERROR(IF($I86="KM",ROUND((_xlfn.MAXIFS(tblLecturas[Kilometraje],tblLecturas[Codigo],$A86)-_xlfn.MINIFS(tblLecturas[Kilometraje],tblLecturas[Codigo],$A86))/(MAX(1,_xlfn.MAXIFS(tblLecturas[Fecha],tblLecturas[Codigo],$A86)-_xlfn.MINIFS(tblLecturas[Fecha],tblLecturas[Codigo],$A86))),1),ROUND((_xlfn.MAXIFS(tblLecturas[Horometro],tblLecturas[Codigo],$A86)-_xlfn.MINIFS(tblLecturas[Horometro],tblLecturas[Codigo],$A86))/(MAX(1,_xlfn.MAXIFS(tblLecturas[Fecha],tblLecturas[Codigo],$A86)-_xlfn.MINIFS(tblLecturas[Fecha],tblLecturas[Codigo],$A86))),1)),"")</f>
        <v>2.6</v>
      </c>
      <c r="L86" s="18">
        <f>IFERROR(_xlfn.MAXIFS(tblLecturas[Fecha],tblLecturas[Codigo],$A86),"")</f>
        <v>46197</v>
      </c>
      <c r="M86" s="24">
        <f>IFERROR(_xlfn.MAXIFS(Lecturas!$C:$C,Lecturas!$B:$B,$A86,Lecturas!$C:$C,"&gt;0"),"")</f>
        <v>10278</v>
      </c>
      <c r="N86" s="24">
        <f>IFERROR(_xlfn.MAXIFS(tblLecturas[Kilometraje],tblLecturas[Codigo],$A86,tblLecturas[Kilometraje],"&gt;0"),"")</f>
        <v>811297</v>
      </c>
      <c r="O86" s="24" cm="1">
        <f t="array" ref="O86">IFERROR(IF($I86="KM",LOOKUP(2,1/(Lecturas!$B:$B=$A86)/(Lecturas!$D:$D&gt;0),Lecturas!$D:$D),LOOKUP(2,1/(Lecturas!$B:$B=$A86)/(Lecturas!$C:$C&gt;0),Lecturas!$C:$C)),"")</f>
        <v>10274</v>
      </c>
      <c r="P86" s="18">
        <f>IFERROR(_xlfn.MAXIFS(tblMantenciones[Fecha],tblMantenciones[Codigo],tblMaestroEquipos[[#This Row],[Codigo]],tblMantenciones[EsPM],"Sí"),"")</f>
        <v>46134</v>
      </c>
      <c r="Q86" s="70">
        <f>IF(_xlfn.MAXIFS(Mantenciones!$D:$D,Mantenciones!$B:$B,A86)=0,"Sin datos de mantención registrado",_xlfn.MAXIFS(Mantenciones!$D:$D,Mantenciones!$B:$B,A86))</f>
        <v>10154</v>
      </c>
      <c r="R86" s="16">
        <f>IFERROR(IF(_xlfn.MAXIFS(Mantenciones!$D:$D,Mantenciones!$B:$B,$A86,Mantenciones!$E:$E,"Sí",Mantenciones!$D:$D,"&gt;0")=0,"Sin datos de mantención registrado",_xlfn.MAXIFS(Mantenciones!$D:$D,Mantenciones!$B:$B,$A86,Mantenciones!$E:$E,"Sí",Mantenciones!$D:$D,"&gt;0")),"Sin datos de mantención registrado")</f>
        <v>10154</v>
      </c>
      <c r="S86" s="19">
        <f>IFERROR(SUMIFS(tblMantenciones[Costo Mantencion CLP],tblMantenciones[Codigo],A86),0)</f>
        <v>0</v>
      </c>
      <c r="T86" s="19">
        <f>IFERROR(SUMIFS(tblComprasPM[Costo PM CLP],tblComprasPM[Codigo],tblMaestroEquipos[[#This Row],[Codigo]]),0)</f>
        <v>0</v>
      </c>
      <c r="U86" s="19">
        <f>IFERROR(tblMaestroEquipos[[#This Row],[Costo Mantenciones CLP]]+tblMaestroEquipos[[#This Row],[Costo Compras PM CLP]],0)</f>
        <v>0</v>
      </c>
      <c r="V86" s="16" t="str">
        <f>IFERROR(_xlfn.XLOOKUP(tblMaestroEquipos[[#This Row],[Codigo]],tblEquipos[Codigo],tblEquipos[Estado Base]),"")</f>
        <v>Operativo</v>
      </c>
      <c r="W86" s="16" t="str">
        <f t="shared" si="8"/>
        <v>AL DÍA</v>
      </c>
      <c r="X86" s="16">
        <f t="shared" si="9"/>
        <v>130</v>
      </c>
      <c r="Y86" s="23">
        <f>IFERROR(IF(OR(tblMaestroEquipos[[#This Row],[Estado Operacional]]="FUERA DE SERVICIO",tblMaestroEquipos[[#This Row],[Ultima Fecha Lectura]]="",tblMaestroEquipos[[#This Row],[Dias a Proxima Mantencion]]=""),"",tblMaestroEquipos[[#This Row],[Ultima Fecha Lectura]]+tblMaestroEquipos[[#This Row],[Dias a Proxima Mantencion]]),"")</f>
        <v>46327</v>
      </c>
      <c r="Z86" s="23" t="str">
        <f>IFERROR(IF(_xlfn.MINIFS(tblComprasPM[Fecha],tblComprasPM[Codigo],tblMaestroEquipos[[#This Row],[Codigo]])=0,"",_xlfn.MINIFS(tblComprasPM[Fecha],tblComprasPM[Codigo],tblMaestroEquipos[[#This Row],[Codigo]])),"")</f>
        <v/>
      </c>
      <c r="AA86" s="23" t="str">
        <f>IFERROR(IF(_xlfn.MAXIFS(tblBodega[Fecha],tblBodega[Codigo],tblMaestroEquipos[[#This Row],[Codigo]])=0,"",_xlfn.MAXIFS(tblBodega[Fecha],tblBodega[Codigo],tblMaestroEquipos[[#This Row],[Codigo]])),"")</f>
        <v/>
      </c>
      <c r="AB86"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86"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86" s="16" t="str">
        <f>IF(tblMaestroEquipos[[#This Row],[Fecha Salida Bodega]]="","SIN SALIDA BODEGA",IF(OR(tblMaestroEquipos[[#This Row],[Ultima Fecha PM]]="",tblMaestroEquipos[[#This Row],[Ultima Fecha PM]]&lt;tblMaestroEquipos[[#This Row],[Fecha Salida Bodega]]),"PENDIENTE","CERRADO"))</f>
        <v>SIN SALIDA BODEGA</v>
      </c>
      <c r="AE86" s="48" t="str">
        <f t="shared" si="10"/>
        <v>OPERATIVO</v>
      </c>
      <c r="AF86" s="16" t="str">
        <f t="shared" si="11"/>
        <v>BAJA</v>
      </c>
      <c r="AG86" s="16" t="str">
        <f t="shared" si="12"/>
        <v>Monitorear próximo vencimiento</v>
      </c>
      <c r="AH86">
        <f t="shared" si="13"/>
        <v>0</v>
      </c>
      <c r="AI86" t="str">
        <f t="shared" si="14"/>
        <v/>
      </c>
      <c r="AJ86" s="22">
        <f t="shared" si="15"/>
        <v>99</v>
      </c>
    </row>
    <row r="87" spans="1:36">
      <c r="A87" s="16" t="s">
        <v>273</v>
      </c>
      <c r="B87" s="16" t="s">
        <v>274</v>
      </c>
      <c r="C87" s="16" t="s">
        <v>1385</v>
      </c>
      <c r="D87" s="16" t="s">
        <v>275</v>
      </c>
      <c r="E87" s="17" t="s">
        <v>276</v>
      </c>
      <c r="F87" s="16">
        <v>2014</v>
      </c>
      <c r="G87" s="17" t="str">
        <f>IFERROR(_xlfn.XLOOKUP($A87,tblEquipos[Codigo],tblEquipos[Ubicacion],""),"")</f>
        <v>Cobquecura</v>
      </c>
      <c r="H87" s="16" t="s">
        <v>201</v>
      </c>
      <c r="I87" s="16" t="str">
        <f>IFERROR(VLOOKUP(A87, Equipos!A:J, 9, FALSE), "")</f>
        <v>HORAS</v>
      </c>
      <c r="J87" s="16">
        <f>IFERROR(VLOOKUP(A87, Equipos!A:J, 10, FALSE), "")</f>
        <v>300</v>
      </c>
      <c r="K87" s="16">
        <f>IFERROR(IF($I87="KM",ROUND((_xlfn.MAXIFS(tblLecturas[Kilometraje],tblLecturas[Codigo],$A87)-_xlfn.MINIFS(tblLecturas[Kilometraje],tblLecturas[Codigo],$A87))/(MAX(1,_xlfn.MAXIFS(tblLecturas[Fecha],tblLecturas[Codigo],$A87)-_xlfn.MINIFS(tblLecturas[Fecha],tblLecturas[Codigo],$A87))),1),ROUND((_xlfn.MAXIFS(tblLecturas[Horometro],tblLecturas[Codigo],$A87)-_xlfn.MINIFS(tblLecturas[Horometro],tblLecturas[Codigo],$A87))/(MAX(1,_xlfn.MAXIFS(tblLecturas[Fecha],tblLecturas[Codigo],$A87)-_xlfn.MINIFS(tblLecturas[Fecha],tblLecturas[Codigo],$A87))),1)),"")</f>
        <v>3.3</v>
      </c>
      <c r="L87" s="18">
        <f>IFERROR(_xlfn.MAXIFS(tblLecturas[Fecha],tblLecturas[Codigo],$A87),"")</f>
        <v>46111</v>
      </c>
      <c r="M87" s="24">
        <f>IFERROR(_xlfn.MAXIFS(Lecturas!$C:$C,Lecturas!$B:$B,$A87,Lecturas!$C:$C,"&gt;0"),"")</f>
        <v>5690</v>
      </c>
      <c r="N87" s="24">
        <f>IFERROR(_xlfn.MAXIFS(tblLecturas[Kilometraje],tblLecturas[Codigo],$A87,tblLecturas[Kilometraje],"&gt;0"),"")</f>
        <v>0</v>
      </c>
      <c r="O87" s="24" cm="1">
        <f t="array" ref="O87">IFERROR(IF($I87="KM",LOOKUP(2,1/(Lecturas!$B:$B=$A87)/(Lecturas!$D:$D&gt;0),Lecturas!$D:$D),LOOKUP(2,1/(Lecturas!$B:$B=$A87)/(Lecturas!$C:$C&gt;0),Lecturas!$C:$C)),"")</f>
        <v>5651</v>
      </c>
      <c r="P87" s="18">
        <f>IFERROR(_xlfn.MAXIFS(tblMantenciones[Fecha],tblMantenciones[Codigo],tblMaestroEquipos[[#This Row],[Codigo]],tblMantenciones[EsPM],"Sí"),"")</f>
        <v>46098</v>
      </c>
      <c r="Q87" s="70">
        <f>IF(_xlfn.MAXIFS(Mantenciones!$D:$D,Mantenciones!$B:$B,A87)=0,"Sin datos de mantención registrado",_xlfn.MAXIFS(Mantenciones!$D:$D,Mantenciones!$B:$B,A87))</f>
        <v>5648</v>
      </c>
      <c r="R87" s="16">
        <f>IFERROR(IF(_xlfn.MAXIFS(Mantenciones!$D:$D,Mantenciones!$B:$B,$A87,Mantenciones!$E:$E,"Sí",Mantenciones!$D:$D,"&gt;0")=0,"Sin datos de mantención registrado",_xlfn.MAXIFS(Mantenciones!$D:$D,Mantenciones!$B:$B,$A87,Mantenciones!$E:$E,"Sí",Mantenciones!$D:$D,"&gt;0")),"Sin datos de mantención registrado")</f>
        <v>5648</v>
      </c>
      <c r="S87" s="19">
        <f>IFERROR(SUMIFS(tblMantenciones[Costo Mantencion CLP],tblMantenciones[Codigo],A87),0)</f>
        <v>177476</v>
      </c>
      <c r="T87" s="19">
        <f>IFERROR(SUMIFS(tblComprasPM[Costo PM CLP],tblComprasPM[Codigo],tblMaestroEquipos[[#This Row],[Codigo]]),0)</f>
        <v>546049</v>
      </c>
      <c r="U87" s="19">
        <f>IFERROR(tblMaestroEquipos[[#This Row],[Costo Mantenciones CLP]]+tblMaestroEquipos[[#This Row],[Costo Compras PM CLP]],0)</f>
        <v>723525</v>
      </c>
      <c r="V87" s="16" t="str">
        <f>IFERROR(_xlfn.XLOOKUP(tblMaestroEquipos[[#This Row],[Codigo]],tblEquipos[Codigo],tblEquipos[Estado Base]),"")</f>
        <v>Operativo</v>
      </c>
      <c r="W87" s="16" t="str">
        <f t="shared" si="8"/>
        <v>EN PROCESO</v>
      </c>
      <c r="X87" s="16">
        <f t="shared" si="9"/>
        <v>297</v>
      </c>
      <c r="Y87" s="23">
        <f>IFERROR(IF(OR(tblMaestroEquipos[[#This Row],[Estado Operacional]]="FUERA DE SERVICIO",tblMaestroEquipos[[#This Row],[Ultima Fecha Lectura]]="",tblMaestroEquipos[[#This Row],[Dias a Proxima Mantencion]]=""),"",tblMaestroEquipos[[#This Row],[Ultima Fecha Lectura]]+tblMaestroEquipos[[#This Row],[Dias a Proxima Mantencion]]),"")</f>
        <v>46408</v>
      </c>
      <c r="Z87" s="23">
        <f>IFERROR(IF(_xlfn.MINIFS(tblComprasPM[Fecha],tblComprasPM[Codigo],tblMaestroEquipos[[#This Row],[Codigo]])=0,"",_xlfn.MINIFS(tblComprasPM[Fecha],tblComprasPM[Codigo],tblMaestroEquipos[[#This Row],[Codigo]])),"")</f>
        <v>46132.714388622699</v>
      </c>
      <c r="AA87" s="23" t="str">
        <f>IFERROR(IF(_xlfn.MAXIFS(tblBodega[Fecha],tblBodega[Codigo],tblMaestroEquipos[[#This Row],[Codigo]])=0,"",_xlfn.MAXIFS(tblBodega[Fecha],tblBodega[Codigo],tblMaestroEquipos[[#This Row],[Codigo]])),"")</f>
        <v/>
      </c>
      <c r="AB8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87"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87" s="16" t="str">
        <f>IF(tblMaestroEquipos[[#This Row],[Fecha Salida Bodega]]="","SIN SALIDA BODEGA",IF(OR(tblMaestroEquipos[[#This Row],[Ultima Fecha PM]]="",tblMaestroEquipos[[#This Row],[Ultima Fecha PM]]&lt;tblMaestroEquipos[[#This Row],[Fecha Salida Bodega]]),"PENDIENTE","CERRADO"))</f>
        <v>SIN SALIDA BODEGA</v>
      </c>
      <c r="AE87" s="48" t="str">
        <f t="shared" si="10"/>
        <v>EN PROCESO</v>
      </c>
      <c r="AF87" s="16" t="str">
        <f t="shared" si="11"/>
        <v>SEGUIMIENTO</v>
      </c>
      <c r="AG87" s="16" t="str">
        <f t="shared" si="12"/>
        <v>Hacer seguimiento al taller y cerrar report</v>
      </c>
      <c r="AH87">
        <f t="shared" si="13"/>
        <v>0</v>
      </c>
      <c r="AI87" t="str">
        <f t="shared" si="14"/>
        <v/>
      </c>
      <c r="AJ87" s="22">
        <f t="shared" si="15"/>
        <v>2</v>
      </c>
    </row>
    <row r="88" spans="1:36">
      <c r="A88" s="16" t="s">
        <v>278</v>
      </c>
      <c r="B88" s="16" t="s">
        <v>274</v>
      </c>
      <c r="C88" s="16" t="s">
        <v>1385</v>
      </c>
      <c r="D88" s="16" t="s">
        <v>275</v>
      </c>
      <c r="E88" s="17" t="s">
        <v>279</v>
      </c>
      <c r="F88" s="16">
        <v>2019</v>
      </c>
      <c r="G88" s="17" t="str">
        <f>IFERROR(_xlfn.XLOOKUP($A88,tblEquipos[Codigo],tblEquipos[Ubicacion],""),"")</f>
        <v>Quirihue</v>
      </c>
      <c r="H88" s="16" t="s">
        <v>201</v>
      </c>
      <c r="I88" s="16" t="str">
        <f>IFERROR(VLOOKUP(A88, Equipos!A:J, 9, FALSE), "")</f>
        <v>HORAS</v>
      </c>
      <c r="J88" s="16">
        <f>IFERROR(VLOOKUP(A88, Equipos!A:J, 10, FALSE), "")</f>
        <v>300</v>
      </c>
      <c r="K88" s="16">
        <f>IFERROR(IF($I88="KM",ROUND((_xlfn.MAXIFS(tblLecturas[Kilometraje],tblLecturas[Codigo],$A88)-_xlfn.MINIFS(tblLecturas[Kilometraje],tblLecturas[Codigo],$A88))/(MAX(1,_xlfn.MAXIFS(tblLecturas[Fecha],tblLecturas[Codigo],$A88)-_xlfn.MINIFS(tblLecturas[Fecha],tblLecturas[Codigo],$A88))),1),ROUND((_xlfn.MAXIFS(tblLecturas[Horometro],tblLecturas[Codigo],$A88)-_xlfn.MINIFS(tblLecturas[Horometro],tblLecturas[Codigo],$A88))/(MAX(1,_xlfn.MAXIFS(tblLecturas[Fecha],tblLecturas[Codigo],$A88)-_xlfn.MINIFS(tblLecturas[Fecha],tblLecturas[Codigo],$A88))),1)),"")</f>
        <v>2.8</v>
      </c>
      <c r="L88" s="18">
        <f>IFERROR(_xlfn.MAXIFS(tblLecturas[Fecha],tblLecturas[Codigo],$A88),"")</f>
        <v>46185</v>
      </c>
      <c r="M88" s="24">
        <f>IFERROR(_xlfn.MAXIFS(Lecturas!$C:$C,Lecturas!$B:$B,$A88,Lecturas!$C:$C,"&gt;0"),"")</f>
        <v>4457</v>
      </c>
      <c r="N88" s="24">
        <f>IFERROR(_xlfn.MAXIFS(tblLecturas[Kilometraje],tblLecturas[Codigo],$A88,tblLecturas[Kilometraje],"&gt;0"),"")</f>
        <v>4226</v>
      </c>
      <c r="O88" s="24" cm="1">
        <f t="array" ref="O88">IFERROR(IF($I88="KM",LOOKUP(2,1/(Lecturas!$B:$B=$A88)/(Lecturas!$D:$D&gt;0),Lecturas!$D:$D),LOOKUP(2,1/(Lecturas!$B:$B=$A88)/(Lecturas!$C:$C&gt;0),Lecturas!$C:$C)),"")</f>
        <v>4457</v>
      </c>
      <c r="P88" s="18">
        <f>IFERROR(_xlfn.MAXIFS(tblMantenciones[Fecha],tblMantenciones[Codigo],tblMaestroEquipos[[#This Row],[Codigo]],tblMantenciones[EsPM],"Sí"),"")</f>
        <v>46132</v>
      </c>
      <c r="Q88" s="70">
        <f>IF(_xlfn.MAXIFS(Mantenciones!$D:$D,Mantenciones!$B:$B,A88)=0,"Sin datos de mantención registrado",_xlfn.MAXIFS(Mantenciones!$D:$D,Mantenciones!$B:$B,A88))</f>
        <v>4308</v>
      </c>
      <c r="R88" s="16">
        <f>IFERROR(IF(_xlfn.MAXIFS(Mantenciones!$D:$D,Mantenciones!$B:$B,$A88,Mantenciones!$E:$E,"Sí",Mantenciones!$D:$D,"&gt;0")=0,"Sin datos de mantención registrado",_xlfn.MAXIFS(Mantenciones!$D:$D,Mantenciones!$B:$B,$A88,Mantenciones!$E:$E,"Sí",Mantenciones!$D:$D,"&gt;0")),"Sin datos de mantención registrado")</f>
        <v>4308</v>
      </c>
      <c r="S88" s="19">
        <f>IFERROR(SUMIFS(tblMantenciones[Costo Mantencion CLP],tblMantenciones[Codigo],A88),0)</f>
        <v>0</v>
      </c>
      <c r="T88" s="19">
        <f>IFERROR(SUMIFS(tblComprasPM[Costo PM CLP],tblComprasPM[Codigo],tblMaestroEquipos[[#This Row],[Codigo]]),0)</f>
        <v>263781.34999999998</v>
      </c>
      <c r="U88" s="19">
        <f>IFERROR(tblMaestroEquipos[[#This Row],[Costo Mantenciones CLP]]+tblMaestroEquipos[[#This Row],[Costo Compras PM CLP]],0)</f>
        <v>263781.34999999998</v>
      </c>
      <c r="V88" s="16" t="str">
        <f>IFERROR(_xlfn.XLOOKUP(tblMaestroEquipos[[#This Row],[Codigo]],tblEquipos[Codigo],tblEquipos[Estado Base]),"")</f>
        <v>Operativo</v>
      </c>
      <c r="W88" s="16" t="str">
        <f t="shared" si="8"/>
        <v>AL DÍA</v>
      </c>
      <c r="X88" s="16">
        <f t="shared" si="9"/>
        <v>151</v>
      </c>
      <c r="Y88" s="23">
        <f>IFERROR(IF(OR(tblMaestroEquipos[[#This Row],[Estado Operacional]]="FUERA DE SERVICIO",tblMaestroEquipos[[#This Row],[Ultima Fecha Lectura]]="",tblMaestroEquipos[[#This Row],[Dias a Proxima Mantencion]]=""),"",tblMaestroEquipos[[#This Row],[Ultima Fecha Lectura]]+tblMaestroEquipos[[#This Row],[Dias a Proxima Mantencion]]),"")</f>
        <v>46336</v>
      </c>
      <c r="Z88" s="23">
        <f>IFERROR(IF(_xlfn.MINIFS(tblComprasPM[Fecha],tblComprasPM[Codigo],tblMaestroEquipos[[#This Row],[Codigo]])=0,"",_xlfn.MINIFS(tblComprasPM[Fecha],tblComprasPM[Codigo],tblMaestroEquipos[[#This Row],[Codigo]])),"")</f>
        <v>46083.444348263904</v>
      </c>
      <c r="AA88" s="23">
        <f>IFERROR(IF(_xlfn.MAXIFS(tblBodega[Fecha],tblBodega[Codigo],tblMaestroEquipos[[#This Row],[Codigo]])=0,"",_xlfn.MAXIFS(tblBodega[Fecha],tblBodega[Codigo],tblMaestroEquipos[[#This Row],[Codigo]])),"")</f>
        <v>46093</v>
      </c>
      <c r="AB88"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49</v>
      </c>
      <c r="AC88"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39</v>
      </c>
      <c r="AD88" s="16" t="str">
        <f>IF(tblMaestroEquipos[[#This Row],[Fecha Salida Bodega]]="","SIN SALIDA BODEGA",IF(OR(tblMaestroEquipos[[#This Row],[Ultima Fecha PM]]="",tblMaestroEquipos[[#This Row],[Ultima Fecha PM]]&lt;tblMaestroEquipos[[#This Row],[Fecha Salida Bodega]]),"PENDIENTE","CERRADO"))</f>
        <v>CERRADO</v>
      </c>
      <c r="AE88" s="48" t="str">
        <f t="shared" si="10"/>
        <v>OPERATIVO</v>
      </c>
      <c r="AF88" s="16" t="str">
        <f t="shared" si="11"/>
        <v>BAJA</v>
      </c>
      <c r="AG88" s="16" t="str">
        <f t="shared" si="12"/>
        <v>Monitorear próximo vencimiento</v>
      </c>
      <c r="AH88">
        <f t="shared" si="13"/>
        <v>0</v>
      </c>
      <c r="AI88" t="str">
        <f t="shared" si="14"/>
        <v/>
      </c>
      <c r="AJ88" s="22">
        <f t="shared" si="15"/>
        <v>99</v>
      </c>
    </row>
    <row r="89" spans="1:36">
      <c r="A89" s="16" t="s">
        <v>281</v>
      </c>
      <c r="B89" s="16" t="s">
        <v>264</v>
      </c>
      <c r="C89" s="16" t="s">
        <v>1385</v>
      </c>
      <c r="D89" s="16" t="s">
        <v>265</v>
      </c>
      <c r="E89" s="17" t="s">
        <v>266</v>
      </c>
      <c r="F89" s="16">
        <v>2024</v>
      </c>
      <c r="G89" s="17" t="str">
        <f>IFERROR(_xlfn.XLOOKUP($A89,tblEquipos[Codigo],tblEquipos[Ubicacion],""),"")</f>
        <v>Emergencias Curico</v>
      </c>
      <c r="H89" s="16" t="s">
        <v>1395</v>
      </c>
      <c r="I89" s="16" t="str">
        <f>IFERROR(VLOOKUP(A89, Equipos!A:J, 9, FALSE), "")</f>
        <v>HORAS</v>
      </c>
      <c r="J89" s="16">
        <f>IFERROR(VLOOKUP(A89, Equipos!A:J, 10, FALSE), "")</f>
        <v>250</v>
      </c>
      <c r="K89" s="16">
        <f>IFERROR(IF($I89="KM",ROUND((_xlfn.MAXIFS(tblLecturas[Kilometraje],tblLecturas[Codigo],$A89)-_xlfn.MINIFS(tblLecturas[Kilometraje],tblLecturas[Codigo],$A89))/(MAX(1,_xlfn.MAXIFS(tblLecturas[Fecha],tblLecturas[Codigo],$A89)-_xlfn.MINIFS(tblLecturas[Fecha],tblLecturas[Codigo],$A89))),1),ROUND((_xlfn.MAXIFS(tblLecturas[Horometro],tblLecturas[Codigo],$A89)-_xlfn.MINIFS(tblLecturas[Horometro],tblLecturas[Codigo],$A89))/(MAX(1,_xlfn.MAXIFS(tblLecturas[Fecha],tblLecturas[Codigo],$A89)-_xlfn.MINIFS(tblLecturas[Fecha],tblLecturas[Codigo],$A89))),1)),"")</f>
        <v>0.4</v>
      </c>
      <c r="L89" s="18">
        <f>IFERROR(_xlfn.MAXIFS(tblLecturas[Fecha],tblLecturas[Codigo],$A89),"")</f>
        <v>46099</v>
      </c>
      <c r="M89" s="24">
        <f>IFERROR(_xlfn.MAXIFS(Lecturas!$C:$C,Lecturas!$B:$B,$A89,Lecturas!$C:$C,"&gt;0"),"")</f>
        <v>1474</v>
      </c>
      <c r="N89" s="24">
        <f>IFERROR(_xlfn.MAXIFS(tblLecturas[Kilometraje],tblLecturas[Codigo],$A89,tblLecturas[Kilometraje],"&gt;0"),"")</f>
        <v>0</v>
      </c>
      <c r="O89" s="24" cm="1">
        <f t="array" ref="O89">IFERROR(IF($I89="KM",LOOKUP(2,1/(Lecturas!$B:$B=$A89)/(Lecturas!$D:$D&gt;0),Lecturas!$D:$D),LOOKUP(2,1/(Lecturas!$B:$B=$A89)/(Lecturas!$C:$C&gt;0),Lecturas!$C:$C)),"")</f>
        <v>1472</v>
      </c>
      <c r="P89" s="18">
        <f>IFERROR(_xlfn.MAXIFS(tblMantenciones[Fecha],tblMantenciones[Codigo],tblMaestroEquipos[[#This Row],[Codigo]],tblMantenciones[EsPM],"Sí"),"")</f>
        <v>46120</v>
      </c>
      <c r="Q89" s="70">
        <f>IF(_xlfn.MAXIFS(Mantenciones!$D:$D,Mantenciones!$B:$B,A89)=0,"Sin datos de mantención registrado",_xlfn.MAXIFS(Mantenciones!$D:$D,Mantenciones!$B:$B,A89))</f>
        <v>1540</v>
      </c>
      <c r="R89" s="16">
        <f>IFERROR(IF(_xlfn.MAXIFS(Mantenciones!$D:$D,Mantenciones!$B:$B,$A89,Mantenciones!$E:$E,"Sí",Mantenciones!$D:$D,"&gt;0")=0,"Sin datos de mantención registrado",_xlfn.MAXIFS(Mantenciones!$D:$D,Mantenciones!$B:$B,$A89,Mantenciones!$E:$E,"Sí",Mantenciones!$D:$D,"&gt;0")),"Sin datos de mantención registrado")</f>
        <v>1540</v>
      </c>
      <c r="S89" s="19">
        <f>IFERROR(SUMIFS(tblMantenciones[Costo Mantencion CLP],tblMantenciones[Codigo],A89),0)</f>
        <v>0</v>
      </c>
      <c r="T89" s="19">
        <f>IFERROR(SUMIFS(tblComprasPM[Costo PM CLP],tblComprasPM[Codigo],tblMaestroEquipos[[#This Row],[Codigo]]),0)</f>
        <v>397094.67</v>
      </c>
      <c r="U89" s="19">
        <f>IFERROR(tblMaestroEquipos[[#This Row],[Costo Mantenciones CLP]]+tblMaestroEquipos[[#This Row],[Costo Compras PM CLP]],0)</f>
        <v>397094.67</v>
      </c>
      <c r="V89" s="16" t="str">
        <f>IFERROR(_xlfn.XLOOKUP(tblMaestroEquipos[[#This Row],[Codigo]],tblEquipos[Codigo],tblEquipos[Estado Base]),"")</f>
        <v>Operativo</v>
      </c>
      <c r="W89" s="16" t="str">
        <f t="shared" si="8"/>
        <v>AL DÍA</v>
      </c>
      <c r="X89" s="16">
        <f t="shared" si="9"/>
        <v>318</v>
      </c>
      <c r="Y89" s="23">
        <f>IFERROR(IF(OR(tblMaestroEquipos[[#This Row],[Estado Operacional]]="FUERA DE SERVICIO",tblMaestroEquipos[[#This Row],[Ultima Fecha Lectura]]="",tblMaestroEquipos[[#This Row],[Dias a Proxima Mantencion]]=""),"",tblMaestroEquipos[[#This Row],[Ultima Fecha Lectura]]+tblMaestroEquipos[[#This Row],[Dias a Proxima Mantencion]]),"")</f>
        <v>46417</v>
      </c>
      <c r="Z89" s="23">
        <f>IFERROR(IF(_xlfn.MINIFS(tblComprasPM[Fecha],tblComprasPM[Codigo],tblMaestroEquipos[[#This Row],[Codigo]])=0,"",_xlfn.MINIFS(tblComprasPM[Fecha],tblComprasPM[Codigo],tblMaestroEquipos[[#This Row],[Codigo]])),"")</f>
        <v>46093.632126932898</v>
      </c>
      <c r="AA89" s="23">
        <f>IFERROR(IF(_xlfn.MAXIFS(tblBodega[Fecha],tblBodega[Codigo],tblMaestroEquipos[[#This Row],[Codigo]])=0,"",_xlfn.MAXIFS(tblBodega[Fecha],tblBodega[Codigo],tblMaestroEquipos[[#This Row],[Codigo]])),"")</f>
        <v>46120</v>
      </c>
      <c r="AB8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27</v>
      </c>
      <c r="AC89"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89" s="16" t="str">
        <f>IF(tblMaestroEquipos[[#This Row],[Fecha Salida Bodega]]="","SIN SALIDA BODEGA",IF(OR(tblMaestroEquipos[[#This Row],[Ultima Fecha PM]]="",tblMaestroEquipos[[#This Row],[Ultima Fecha PM]]&lt;tblMaestroEquipos[[#This Row],[Fecha Salida Bodega]]),"PENDIENTE","CERRADO"))</f>
        <v>CERRADO</v>
      </c>
      <c r="AE89" s="48" t="str">
        <f t="shared" si="10"/>
        <v>OPERATIVO</v>
      </c>
      <c r="AF89" s="16" t="str">
        <f t="shared" si="11"/>
        <v>BAJA</v>
      </c>
      <c r="AG89" s="16" t="str">
        <f t="shared" si="12"/>
        <v>Monitorear próximo vencimiento</v>
      </c>
      <c r="AH89">
        <f t="shared" si="13"/>
        <v>0</v>
      </c>
      <c r="AI89" t="str">
        <f t="shared" si="14"/>
        <v/>
      </c>
      <c r="AJ89" s="22">
        <f t="shared" si="15"/>
        <v>99</v>
      </c>
    </row>
    <row r="90" spans="1:36">
      <c r="A90" s="16" t="s">
        <v>283</v>
      </c>
      <c r="B90" s="16" t="s">
        <v>284</v>
      </c>
      <c r="C90" s="16" t="s">
        <v>1385</v>
      </c>
      <c r="D90" s="16" t="s">
        <v>285</v>
      </c>
      <c r="E90" s="17" t="s">
        <v>286</v>
      </c>
      <c r="F90" s="16">
        <v>2019</v>
      </c>
      <c r="G90" s="17" t="str">
        <f>IFERROR(_xlfn.XLOOKUP($A90,tblEquipos[Codigo],tblEquipos[Ubicacion],""),"")</f>
        <v>Mantul</v>
      </c>
      <c r="H90" s="16" t="s">
        <v>201</v>
      </c>
      <c r="I90" s="16" t="str">
        <f>IFERROR(VLOOKUP(A90, Equipos!A:J, 9, FALSE), "")</f>
        <v>HORAS</v>
      </c>
      <c r="J90" s="16">
        <f>IFERROR(VLOOKUP(A90, Equipos!A:J, 10, FALSE), "")</f>
        <v>250</v>
      </c>
      <c r="K90" s="16">
        <f>IFERROR(IF($I90="KM",ROUND((_xlfn.MAXIFS(tblLecturas[Kilometraje],tblLecturas[Codigo],$A90)-_xlfn.MINIFS(tblLecturas[Kilometraje],tblLecturas[Codigo],$A90))/(MAX(1,_xlfn.MAXIFS(tblLecturas[Fecha],tblLecturas[Codigo],$A90)-_xlfn.MINIFS(tblLecturas[Fecha],tblLecturas[Codigo],$A90))),1),ROUND((_xlfn.MAXIFS(tblLecturas[Horometro],tblLecturas[Codigo],$A90)-_xlfn.MINIFS(tblLecturas[Horometro],tblLecturas[Codigo],$A90))/(MAX(1,_xlfn.MAXIFS(tblLecturas[Fecha],tblLecturas[Codigo],$A90)-_xlfn.MINIFS(tblLecturas[Fecha],tblLecturas[Codigo],$A90))),1)),"")</f>
        <v>0.8</v>
      </c>
      <c r="L90" s="18">
        <f>IFERROR(_xlfn.MAXIFS(tblLecturas[Fecha],tblLecturas[Codigo],$A90),"")</f>
        <v>46029</v>
      </c>
      <c r="M90" s="24">
        <f>IFERROR(_xlfn.MAXIFS(Lecturas!$C:$C,Lecturas!$B:$B,$A90,Lecturas!$C:$C,"&gt;0"),"")</f>
        <v>771</v>
      </c>
      <c r="N90" s="24">
        <f>IFERROR(_xlfn.MAXIFS(tblLecturas[Kilometraje],tblLecturas[Codigo],$A90,tblLecturas[Kilometraje],"&gt;0"),"")</f>
        <v>0</v>
      </c>
      <c r="O90" s="24" cm="1">
        <f t="array" ref="O90">IFERROR(IF($I90="KM",LOOKUP(2,1/(Lecturas!$B:$B=$A90)/(Lecturas!$D:$D&gt;0),Lecturas!$D:$D),LOOKUP(2,1/(Lecturas!$B:$B=$A90)/(Lecturas!$C:$C&gt;0),Lecturas!$C:$C)),"")</f>
        <v>760</v>
      </c>
      <c r="P90" s="18">
        <f>IFERROR(_xlfn.MAXIFS(tblMantenciones[Fecha],tblMantenciones[Codigo],tblMaestroEquipos[[#This Row],[Codigo]],tblMantenciones[EsPM],"Sí"),"")</f>
        <v>0</v>
      </c>
      <c r="Q90" s="70" t="str">
        <f>IF(_xlfn.MAXIFS(Mantenciones!$D:$D,Mantenciones!$B:$B,A90)=0,"Sin datos de mantención registrado",_xlfn.MAXIFS(Mantenciones!$D:$D,Mantenciones!$B:$B,A90))</f>
        <v>Sin datos de mantención registrado</v>
      </c>
      <c r="R90" s="16" t="str">
        <f>IFERROR(IF(_xlfn.MAXIFS(Mantenciones!$D:$D,Mantenciones!$B:$B,$A90,Mantenciones!$E:$E,"Sí",Mantenciones!$D:$D,"&gt;0")=0,"Sin datos de mantención registrado",_xlfn.MAXIFS(Mantenciones!$D:$D,Mantenciones!$B:$B,$A90,Mantenciones!$E:$E,"Sí",Mantenciones!$D:$D,"&gt;0")),"Sin datos de mantención registrado")</f>
        <v>Sin datos de mantención registrado</v>
      </c>
      <c r="S90" s="19">
        <f>IFERROR(SUMIFS(tblMantenciones[Costo Mantencion CLP],tblMantenciones[Codigo],A90),0)</f>
        <v>0</v>
      </c>
      <c r="T90" s="19">
        <f>IFERROR(SUMIFS(tblComprasPM[Costo PM CLP],tblComprasPM[Codigo],tblMaestroEquipos[[#This Row],[Codigo]]),0)</f>
        <v>365383.6214</v>
      </c>
      <c r="U90" s="19">
        <f>IFERROR(tblMaestroEquipos[[#This Row],[Costo Mantenciones CLP]]+tblMaestroEquipos[[#This Row],[Costo Compras PM CLP]],0)</f>
        <v>365383.6214</v>
      </c>
      <c r="V90" s="16" t="str">
        <f>IFERROR(_xlfn.XLOOKUP(tblMaestroEquipos[[#This Row],[Codigo]],tblEquipos[Codigo],tblEquipos[Estado Base]),"")</f>
        <v>Operativo</v>
      </c>
      <c r="W90" s="16" t="str">
        <f t="shared" si="8"/>
        <v>EN PROCESO</v>
      </c>
      <c r="X90" s="16" t="str">
        <f t="shared" si="9"/>
        <v/>
      </c>
      <c r="Y90"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90" s="23">
        <f>IFERROR(IF(_xlfn.MINIFS(tblComprasPM[Fecha],tblComprasPM[Codigo],tblMaestroEquipos[[#This Row],[Codigo]])=0,"",_xlfn.MINIFS(tblComprasPM[Fecha],tblComprasPM[Codigo],tblMaestroEquipos[[#This Row],[Codigo]])),"")</f>
        <v>46086.696630439801</v>
      </c>
      <c r="AA90" s="23" t="str">
        <f>IFERROR(IF(_xlfn.MAXIFS(tblBodega[Fecha],tblBodega[Codigo],tblMaestroEquipos[[#This Row],[Codigo]])=0,"",_xlfn.MAXIFS(tblBodega[Fecha],tblBodega[Codigo],tblMaestroEquipos[[#This Row],[Codigo]])),"")</f>
        <v/>
      </c>
      <c r="AB9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154</v>
      </c>
      <c r="AC90"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90" s="16" t="str">
        <f>IF(tblMaestroEquipos[[#This Row],[Fecha Salida Bodega]]="","SIN SALIDA BODEGA",IF(OR(tblMaestroEquipos[[#This Row],[Ultima Fecha PM]]="",tblMaestroEquipos[[#This Row],[Ultima Fecha PM]]&lt;tblMaestroEquipos[[#This Row],[Fecha Salida Bodega]]),"PENDIENTE","CERRADO"))</f>
        <v>SIN SALIDA BODEGA</v>
      </c>
      <c r="AE90" s="48" t="str">
        <f t="shared" si="10"/>
        <v>EN PROCESO</v>
      </c>
      <c r="AF90" s="16" t="str">
        <f t="shared" si="11"/>
        <v>SEGUIMIENTO</v>
      </c>
      <c r="AG90" s="16" t="str">
        <f t="shared" si="12"/>
        <v>Hacer seguimiento al taller y cerrar report</v>
      </c>
      <c r="AH90">
        <f t="shared" si="13"/>
        <v>0</v>
      </c>
      <c r="AI90" t="str">
        <f t="shared" si="14"/>
        <v/>
      </c>
      <c r="AJ90" s="22">
        <f t="shared" si="15"/>
        <v>2</v>
      </c>
    </row>
    <row r="91" spans="1:36">
      <c r="A91" s="16" t="s">
        <v>293</v>
      </c>
      <c r="B91" s="16" t="s">
        <v>284</v>
      </c>
      <c r="C91" s="16" t="s">
        <v>1385</v>
      </c>
      <c r="D91" s="16" t="s">
        <v>265</v>
      </c>
      <c r="E91" s="17" t="s">
        <v>294</v>
      </c>
      <c r="F91" s="16">
        <v>2024</v>
      </c>
      <c r="G91" s="17" t="str">
        <f>IFERROR(_xlfn.XLOOKUP($A91,tblEquipos[Codigo],tblEquipos[Ubicacion],""),"")</f>
        <v>San Nicolas</v>
      </c>
      <c r="H91" s="16"/>
      <c r="I91" s="16" t="str">
        <f>IFERROR(VLOOKUP(A91, Equipos!A:J, 9, FALSE), "")</f>
        <v>HORAS</v>
      </c>
      <c r="J91" s="16">
        <f>IFERROR(VLOOKUP(A91, Equipos!A:J, 10, FALSE), "")</f>
        <v>250</v>
      </c>
      <c r="K91" s="16">
        <f>IFERROR(IF($I91="KM",ROUND((_xlfn.MAXIFS(tblLecturas[Kilometraje],tblLecturas[Codigo],$A91)-_xlfn.MINIFS(tblLecturas[Kilometraje],tblLecturas[Codigo],$A91))/(MAX(1,_xlfn.MAXIFS(tblLecturas[Fecha],tblLecturas[Codigo],$A91)-_xlfn.MINIFS(tblLecturas[Fecha],tblLecturas[Codigo],$A91))),1),ROUND((_xlfn.MAXIFS(tblLecturas[Horometro],tblLecturas[Codigo],$A91)-_xlfn.MINIFS(tblLecturas[Horometro],tblLecturas[Codigo],$A91))/(MAX(1,_xlfn.MAXIFS(tblLecturas[Fecha],tblLecturas[Codigo],$A91)-_xlfn.MINIFS(tblLecturas[Fecha],tblLecturas[Codigo],$A91))),1)),"")</f>
        <v>9.9</v>
      </c>
      <c r="L91" s="18">
        <f>IFERROR(_xlfn.MAXIFS(tblLecturas[Fecha],tblLecturas[Codigo],$A91),"")</f>
        <v>46135</v>
      </c>
      <c r="M91" s="24">
        <f>IFERROR(_xlfn.MAXIFS(Lecturas!$C:$C,Lecturas!$B:$B,$A91,Lecturas!$C:$C,"&gt;0"),"")</f>
        <v>1743</v>
      </c>
      <c r="N91" s="24">
        <f>IFERROR(_xlfn.MAXIFS(tblLecturas[Kilometraje],tblLecturas[Codigo],$A91,tblLecturas[Kilometraje],"&gt;0"),"")</f>
        <v>0</v>
      </c>
      <c r="O91" s="24" cm="1">
        <f t="array" ref="O91">IFERROR(IF($I91="KM",LOOKUP(2,1/(Lecturas!$B:$B=$A91)/(Lecturas!$D:$D&gt;0),Lecturas!$D:$D),LOOKUP(2,1/(Lecturas!$B:$B=$A91)/(Lecturas!$C:$C&gt;0),Lecturas!$C:$C)),"")</f>
        <v>1592</v>
      </c>
      <c r="P91" s="18">
        <f>IFERROR(_xlfn.MAXIFS(tblMantenciones[Fecha],tblMantenciones[Codigo],tblMaestroEquipos[[#This Row],[Codigo]],tblMantenciones[EsPM],"Sí"),"")</f>
        <v>46153</v>
      </c>
      <c r="Q91" s="70">
        <f>IF(_xlfn.MAXIFS(Mantenciones!$D:$D,Mantenciones!$B:$B,A91)=0,"Sin datos de mantención registrado",_xlfn.MAXIFS(Mantenciones!$D:$D,Mantenciones!$B:$B,A91))</f>
        <v>1794</v>
      </c>
      <c r="R91" s="16">
        <f>IFERROR(IF(_xlfn.MAXIFS(Mantenciones!$D:$D,Mantenciones!$B:$B,$A91,Mantenciones!$E:$E,"Sí",Mantenciones!$D:$D,"&gt;0")=0,"Sin datos de mantención registrado",_xlfn.MAXIFS(Mantenciones!$D:$D,Mantenciones!$B:$B,$A91,Mantenciones!$E:$E,"Sí",Mantenciones!$D:$D,"&gt;0")),"Sin datos de mantención registrado")</f>
        <v>1794</v>
      </c>
      <c r="S91" s="19">
        <f>IFERROR(SUMIFS(tblMantenciones[Costo Mantencion CLP],tblMantenciones[Codigo],A91),0)</f>
        <v>249078</v>
      </c>
      <c r="T91" s="19">
        <f>IFERROR(SUMIFS(tblComprasPM[Costo PM CLP],tblComprasPM[Codigo],tblMaestroEquipos[[#This Row],[Codigo]]),0)</f>
        <v>529774.91</v>
      </c>
      <c r="U91" s="19">
        <f>IFERROR(tblMaestroEquipos[[#This Row],[Costo Mantenciones CLP]]+tblMaestroEquipos[[#This Row],[Costo Compras PM CLP]],0)</f>
        <v>778852.91</v>
      </c>
      <c r="V91" s="16" t="str">
        <f>IFERROR(_xlfn.XLOOKUP(tblMaestroEquipos[[#This Row],[Codigo]],tblEquipos[Codigo],tblEquipos[Estado Base]),"")</f>
        <v>Operativo</v>
      </c>
      <c r="W91" s="16" t="str">
        <f t="shared" si="8"/>
        <v>AL DÍA</v>
      </c>
      <c r="X91" s="16">
        <f t="shared" si="9"/>
        <v>452</v>
      </c>
      <c r="Y91" s="23">
        <f>IFERROR(IF(OR(tblMaestroEquipos[[#This Row],[Estado Operacional]]="FUERA DE SERVICIO",tblMaestroEquipos[[#This Row],[Ultima Fecha Lectura]]="",tblMaestroEquipos[[#This Row],[Dias a Proxima Mantencion]]=""),"",tblMaestroEquipos[[#This Row],[Ultima Fecha Lectura]]+tblMaestroEquipos[[#This Row],[Dias a Proxima Mantencion]]),"")</f>
        <v>46587</v>
      </c>
      <c r="Z91" s="23">
        <f>IFERROR(IF(_xlfn.MINIFS(tblComprasPM[Fecha],tblComprasPM[Codigo],tblMaestroEquipos[[#This Row],[Codigo]])=0,"",_xlfn.MINIFS(tblComprasPM[Fecha],tblComprasPM[Codigo],tblMaestroEquipos[[#This Row],[Codigo]])),"")</f>
        <v>46085.464667673601</v>
      </c>
      <c r="AA91" s="23">
        <f>IFERROR(IF(_xlfn.MAXIFS(tblBodega[Fecha],tblBodega[Codigo],tblMaestroEquipos[[#This Row],[Codigo]])=0,"",_xlfn.MAXIFS(tblBodega[Fecha],tblBodega[Codigo],tblMaestroEquipos[[#This Row],[Codigo]])),"")</f>
        <v>46149</v>
      </c>
      <c r="AB9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68</v>
      </c>
      <c r="AC91"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4</v>
      </c>
      <c r="AD91" s="16" t="str">
        <f>IF(tblMaestroEquipos[[#This Row],[Fecha Salida Bodega]]="","SIN SALIDA BODEGA",IF(OR(tblMaestroEquipos[[#This Row],[Ultima Fecha PM]]="",tblMaestroEquipos[[#This Row],[Ultima Fecha PM]]&lt;tblMaestroEquipos[[#This Row],[Fecha Salida Bodega]]),"PENDIENTE","CERRADO"))</f>
        <v>CERRADO</v>
      </c>
      <c r="AE91" s="48" t="str">
        <f t="shared" si="10"/>
        <v>OPERATIVO</v>
      </c>
      <c r="AF91" s="16" t="str">
        <f t="shared" si="11"/>
        <v>BAJA</v>
      </c>
      <c r="AG91" s="16" t="str">
        <f t="shared" si="12"/>
        <v>Monitorear próximo vencimiento</v>
      </c>
      <c r="AH91">
        <f t="shared" si="13"/>
        <v>0</v>
      </c>
      <c r="AI91" t="str">
        <f t="shared" si="14"/>
        <v/>
      </c>
      <c r="AJ91" s="22">
        <f t="shared" si="15"/>
        <v>99</v>
      </c>
    </row>
    <row r="92" spans="1:36">
      <c r="A92" s="16" t="s">
        <v>296</v>
      </c>
      <c r="B92" s="16" t="s">
        <v>297</v>
      </c>
      <c r="C92" s="16" t="s">
        <v>1385</v>
      </c>
      <c r="D92" s="16" t="s">
        <v>298</v>
      </c>
      <c r="E92" s="17" t="s">
        <v>1396</v>
      </c>
      <c r="F92" s="16">
        <v>2008</v>
      </c>
      <c r="G92" s="17" t="str">
        <f>IFERROR(_xlfn.XLOOKUP($A92,tblEquipos[Codigo],tblEquipos[Ubicacion],""),"")</f>
        <v>San Carlos</v>
      </c>
      <c r="H92" s="16"/>
      <c r="I92" s="16" t="str">
        <f>IFERROR(VLOOKUP(A92, Equipos!A:J, 9, FALSE), "")</f>
        <v>HORAS</v>
      </c>
      <c r="J92" s="16">
        <f>IFERROR(VLOOKUP(A92, Equipos!A:J, 10, FALSE), "")</f>
        <v>250</v>
      </c>
      <c r="K92" s="16">
        <f>IFERROR(IF($I92="KM",ROUND((_xlfn.MAXIFS(tblLecturas[Kilometraje],tblLecturas[Codigo],$A92)-_xlfn.MINIFS(tblLecturas[Kilometraje],tblLecturas[Codigo],$A92))/(MAX(1,_xlfn.MAXIFS(tblLecturas[Fecha],tblLecturas[Codigo],$A92)-_xlfn.MINIFS(tblLecturas[Fecha],tblLecturas[Codigo],$A92))),1),ROUND((_xlfn.MAXIFS(tblLecturas[Horometro],tblLecturas[Codigo],$A92)-_xlfn.MINIFS(tblLecturas[Horometro],tblLecturas[Codigo],$A92))/(MAX(1,_xlfn.MAXIFS(tblLecturas[Fecha],tblLecturas[Codigo],$A92)-_xlfn.MINIFS(tblLecturas[Fecha],tblLecturas[Codigo],$A92))),1)),"")</f>
        <v>164</v>
      </c>
      <c r="L92" s="18">
        <f>IFERROR(_xlfn.MAXIFS(tblLecturas[Fecha],tblLecturas[Codigo],$A92),"")</f>
        <v>46099</v>
      </c>
      <c r="M92" s="24">
        <f>IFERROR(_xlfn.MAXIFS(Lecturas!$C:$C,Lecturas!$B:$B,$A92,Lecturas!$C:$C,"&gt;0"),"")</f>
        <v>5326</v>
      </c>
      <c r="N92" s="24">
        <f>IFERROR(_xlfn.MAXIFS(tblLecturas[Kilometraje],tblLecturas[Codigo],$A92,tblLecturas[Kilometraje],"&gt;0"),"")</f>
        <v>0</v>
      </c>
      <c r="O92" s="24" cm="1">
        <f t="array" ref="O92">IFERROR(IF($I92="KM",LOOKUP(2,1/(Lecturas!$B:$B=$A92)/(Lecturas!$D:$D&gt;0),Lecturas!$D:$D),LOOKUP(2,1/(Lecturas!$B:$B=$A92)/(Lecturas!$C:$C&gt;0),Lecturas!$C:$C)),"")</f>
        <v>1882</v>
      </c>
      <c r="P92" s="18">
        <f>IFERROR(_xlfn.MAXIFS(tblMantenciones[Fecha],tblMantenciones[Codigo],tblMaestroEquipos[[#This Row],[Codigo]],tblMantenciones[EsPM],"Sí"),"")</f>
        <v>0</v>
      </c>
      <c r="Q92" s="70" t="str">
        <f>IF(_xlfn.MAXIFS(Mantenciones!$D:$D,Mantenciones!$B:$B,A92)=0,"Sin datos de mantención registrado",_xlfn.MAXIFS(Mantenciones!$D:$D,Mantenciones!$B:$B,A92))</f>
        <v>Sin datos de mantención registrado</v>
      </c>
      <c r="R92" s="16" t="str">
        <f>IFERROR(IF(_xlfn.MAXIFS(Mantenciones!$D:$D,Mantenciones!$B:$B,$A92,Mantenciones!$E:$E,"Sí",Mantenciones!$D:$D,"&gt;0")=0,"Sin datos de mantención registrado",_xlfn.MAXIFS(Mantenciones!$D:$D,Mantenciones!$B:$B,$A92,Mantenciones!$E:$E,"Sí",Mantenciones!$D:$D,"&gt;0")),"Sin datos de mantención registrado")</f>
        <v>Sin datos de mantención registrado</v>
      </c>
      <c r="S92" s="19">
        <f>IFERROR(SUMIFS(tblMantenciones[Costo Mantencion CLP],tblMantenciones[Codigo],A92),0)</f>
        <v>0</v>
      </c>
      <c r="T92" s="19">
        <f>IFERROR(SUMIFS(tblComprasPM[Costo PM CLP],tblComprasPM[Codigo],tblMaestroEquipos[[#This Row],[Codigo]]),0)</f>
        <v>320165.93</v>
      </c>
      <c r="U92" s="19">
        <f>IFERROR(tblMaestroEquipos[[#This Row],[Costo Mantenciones CLP]]+tblMaestroEquipos[[#This Row],[Costo Compras PM CLP]],0)</f>
        <v>320165.93</v>
      </c>
      <c r="V92" s="16" t="str">
        <f>IFERROR(_xlfn.XLOOKUP(tblMaestroEquipos[[#This Row],[Codigo]],tblEquipos[Codigo],tblEquipos[Estado Base]),"")</f>
        <v>Operativo</v>
      </c>
      <c r="W92" s="16" t="str">
        <f t="shared" si="8"/>
        <v>EN PROCESO</v>
      </c>
      <c r="X92" s="16" t="str">
        <f t="shared" si="9"/>
        <v/>
      </c>
      <c r="Y92"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92" s="23">
        <f>IFERROR(IF(_xlfn.MINIFS(tblComprasPM[Fecha],tblComprasPM[Codigo],tblMaestroEquipos[[#This Row],[Codigo]])=0,"",_xlfn.MINIFS(tblComprasPM[Fecha],tblComprasPM[Codigo],tblMaestroEquipos[[#This Row],[Codigo]])),"")</f>
        <v>46106</v>
      </c>
      <c r="AA92" s="23" t="str">
        <f>IFERROR(IF(_xlfn.MAXIFS(tblBodega[Fecha],tblBodega[Codigo],tblMaestroEquipos[[#This Row],[Codigo]])=0,"",_xlfn.MAXIFS(tblBodega[Fecha],tblBodega[Codigo],tblMaestroEquipos[[#This Row],[Codigo]])),"")</f>
        <v/>
      </c>
      <c r="AB92"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134</v>
      </c>
      <c r="AC9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92" s="16" t="str">
        <f>IF(tblMaestroEquipos[[#This Row],[Fecha Salida Bodega]]="","SIN SALIDA BODEGA",IF(OR(tblMaestroEquipos[[#This Row],[Ultima Fecha PM]]="",tblMaestroEquipos[[#This Row],[Ultima Fecha PM]]&lt;tblMaestroEquipos[[#This Row],[Fecha Salida Bodega]]),"PENDIENTE","CERRADO"))</f>
        <v>SIN SALIDA BODEGA</v>
      </c>
      <c r="AE92" s="48" t="str">
        <f t="shared" si="10"/>
        <v>EN PROCESO</v>
      </c>
      <c r="AF92" s="16" t="str">
        <f t="shared" si="11"/>
        <v>SEGUIMIENTO</v>
      </c>
      <c r="AG92" s="16" t="str">
        <f t="shared" si="12"/>
        <v>Hacer seguimiento al taller y cerrar report</v>
      </c>
      <c r="AH92">
        <f t="shared" si="13"/>
        <v>0</v>
      </c>
      <c r="AI92" t="str">
        <f t="shared" si="14"/>
        <v/>
      </c>
      <c r="AJ92" s="22">
        <f t="shared" si="15"/>
        <v>2</v>
      </c>
    </row>
    <row r="93" spans="1:36">
      <c r="A93" s="16" t="s">
        <v>301</v>
      </c>
      <c r="B93" s="16" t="s">
        <v>269</v>
      </c>
      <c r="C93" s="16" t="s">
        <v>1385</v>
      </c>
      <c r="D93" s="16" t="s">
        <v>302</v>
      </c>
      <c r="E93" s="17" t="s">
        <v>303</v>
      </c>
      <c r="F93" s="16">
        <v>2019</v>
      </c>
      <c r="G93" s="17" t="str">
        <f>IFERROR(_xlfn.XLOOKUP($A93,tblEquipos[Codigo],tblEquipos[Ubicacion],""),"")</f>
        <v>Palmucho</v>
      </c>
      <c r="H93" s="16"/>
      <c r="I93" s="16" t="str">
        <f>IFERROR(VLOOKUP(A93, Equipos!A:J, 9, FALSE), "")</f>
        <v>HORAS</v>
      </c>
      <c r="J93" s="16">
        <f>IFERROR(VLOOKUP(A93, Equipos!A:J, 10, FALSE), "")</f>
        <v>250</v>
      </c>
      <c r="K93" s="16">
        <f>IFERROR(IF($I93="KM",ROUND((_xlfn.MAXIFS(tblLecturas[Kilometraje],tblLecturas[Codigo],$A93)-_xlfn.MINIFS(tblLecturas[Kilometraje],tblLecturas[Codigo],$A93))/(MAX(1,_xlfn.MAXIFS(tblLecturas[Fecha],tblLecturas[Codigo],$A93)-_xlfn.MINIFS(tblLecturas[Fecha],tblLecturas[Codigo],$A93))),1),ROUND((_xlfn.MAXIFS(tblLecturas[Horometro],tblLecturas[Codigo],$A93)-_xlfn.MINIFS(tblLecturas[Horometro],tblLecturas[Codigo],$A93))/(MAX(1,_xlfn.MAXIFS(tblLecturas[Fecha],tblLecturas[Codigo],$A93)-_xlfn.MINIFS(tblLecturas[Fecha],tblLecturas[Codigo],$A93))),1)),"")</f>
        <v>0.7</v>
      </c>
      <c r="L93" s="18">
        <f>IFERROR(_xlfn.MAXIFS(tblLecturas[Fecha],tblLecturas[Codigo],$A93),"")</f>
        <v>46154</v>
      </c>
      <c r="M93" s="24">
        <f>IFERROR(_xlfn.MAXIFS(Lecturas!$C:$C,Lecturas!$B:$B,$A93,Lecturas!$C:$C,"&gt;0"),"")</f>
        <v>8971</v>
      </c>
      <c r="N93" s="24">
        <f>IFERROR(_xlfn.MAXIFS(tblLecturas[Kilometraje],tblLecturas[Codigo],$A93,tblLecturas[Kilometraje],"&gt;0"),"")</f>
        <v>0</v>
      </c>
      <c r="O93" s="24" cm="1">
        <f t="array" ref="O93">IFERROR(IF($I93="KM",LOOKUP(2,1/(Lecturas!$B:$B=$A93)/(Lecturas!$D:$D&gt;0),Lecturas!$D:$D),LOOKUP(2,1/(Lecturas!$B:$B=$A93)/(Lecturas!$C:$C&gt;0),Lecturas!$C:$C)),"")</f>
        <v>8971</v>
      </c>
      <c r="P93" s="18">
        <f>IFERROR(_xlfn.MAXIFS(tblMantenciones[Fecha],tblMantenciones[Codigo],tblMaestroEquipos[[#This Row],[Codigo]],tblMantenciones[EsPM],"Sí"),"")</f>
        <v>46154</v>
      </c>
      <c r="Q93" s="70">
        <f>IF(_xlfn.MAXIFS(Mantenciones!$D:$D,Mantenciones!$B:$B,A93)=0,"Sin datos de mantención registrado",_xlfn.MAXIFS(Mantenciones!$D:$D,Mantenciones!$B:$B,A93))</f>
        <v>87661</v>
      </c>
      <c r="R93" s="16">
        <f>IFERROR(IF(_xlfn.MAXIFS(Mantenciones!$D:$D,Mantenciones!$B:$B,$A93,Mantenciones!$E:$E,"Sí",Mantenciones!$D:$D,"&gt;0")=0,"Sin datos de mantención registrado",_xlfn.MAXIFS(Mantenciones!$D:$D,Mantenciones!$B:$B,$A93,Mantenciones!$E:$E,"Sí",Mantenciones!$D:$D,"&gt;0")),"Sin datos de mantención registrado")</f>
        <v>87661</v>
      </c>
      <c r="S93" s="19">
        <f>IFERROR(SUMIFS(tblMantenciones[Costo Mantencion CLP],tblMantenciones[Codigo],A93),0)</f>
        <v>0</v>
      </c>
      <c r="T93" s="19">
        <f>IFERROR(SUMIFS(tblComprasPM[Costo PM CLP],tblComprasPM[Codigo],tblMaestroEquipos[[#This Row],[Codigo]]),0)</f>
        <v>0</v>
      </c>
      <c r="U93" s="19">
        <f>IFERROR(tblMaestroEquipos[[#This Row],[Costo Mantenciones CLP]]+tblMaestroEquipos[[#This Row],[Costo Compras PM CLP]],0)</f>
        <v>0</v>
      </c>
      <c r="V93" s="16" t="str">
        <f>IFERROR(_xlfn.XLOOKUP(tblMaestroEquipos[[#This Row],[Codigo]],tblEquipos[Codigo],tblEquipos[Estado Base]),"")</f>
        <v>Operativo</v>
      </c>
      <c r="W93" s="16" t="str">
        <f t="shared" si="8"/>
        <v>AL DÍA</v>
      </c>
      <c r="X93" s="16">
        <f t="shared" si="9"/>
        <v>78940</v>
      </c>
      <c r="Y93" s="23">
        <f>IFERROR(IF(OR(tblMaestroEquipos[[#This Row],[Estado Operacional]]="FUERA DE SERVICIO",tblMaestroEquipos[[#This Row],[Ultima Fecha Lectura]]="",tblMaestroEquipos[[#This Row],[Dias a Proxima Mantencion]]=""),"",tblMaestroEquipos[[#This Row],[Ultima Fecha Lectura]]+tblMaestroEquipos[[#This Row],[Dias a Proxima Mantencion]]),"")</f>
        <v>125094</v>
      </c>
      <c r="Z93" s="23" t="str">
        <f>IFERROR(IF(_xlfn.MINIFS(tblComprasPM[Fecha],tblComprasPM[Codigo],tblMaestroEquipos[[#This Row],[Codigo]])=0,"",_xlfn.MINIFS(tblComprasPM[Fecha],tblComprasPM[Codigo],tblMaestroEquipos[[#This Row],[Codigo]])),"")</f>
        <v/>
      </c>
      <c r="AA93" s="23">
        <f>IFERROR(IF(_xlfn.MAXIFS(tblBodega[Fecha],tblBodega[Codigo],tblMaestroEquipos[[#This Row],[Codigo]])=0,"",_xlfn.MAXIFS(tblBodega[Fecha],tblBodega[Codigo],tblMaestroEquipos[[#This Row],[Codigo]])),"")</f>
        <v>46148</v>
      </c>
      <c r="AB93"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93"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6</v>
      </c>
      <c r="AD93" s="16" t="str">
        <f>IF(tblMaestroEquipos[[#This Row],[Fecha Salida Bodega]]="","SIN SALIDA BODEGA",IF(OR(tblMaestroEquipos[[#This Row],[Ultima Fecha PM]]="",tblMaestroEquipos[[#This Row],[Ultima Fecha PM]]&lt;tblMaestroEquipos[[#This Row],[Fecha Salida Bodega]]),"PENDIENTE","CERRADO"))</f>
        <v>CERRADO</v>
      </c>
      <c r="AE93" s="48" t="str">
        <f t="shared" si="10"/>
        <v>OPERATIVO</v>
      </c>
      <c r="AF93" s="16" t="str">
        <f t="shared" si="11"/>
        <v>BAJA</v>
      </c>
      <c r="AG93" s="16" t="str">
        <f t="shared" si="12"/>
        <v>Monitorear próximo vencimiento</v>
      </c>
      <c r="AH93">
        <f t="shared" si="13"/>
        <v>0</v>
      </c>
      <c r="AI93" t="str">
        <f t="shared" si="14"/>
        <v/>
      </c>
      <c r="AJ93" s="22">
        <f t="shared" si="15"/>
        <v>99</v>
      </c>
    </row>
    <row r="94" spans="1:36">
      <c r="A94" s="16" t="s">
        <v>305</v>
      </c>
      <c r="B94" s="16" t="s">
        <v>269</v>
      </c>
      <c r="C94" s="16" t="s">
        <v>1385</v>
      </c>
      <c r="D94" s="16" t="s">
        <v>302</v>
      </c>
      <c r="E94" s="17" t="s">
        <v>303</v>
      </c>
      <c r="F94" s="16">
        <v>2019</v>
      </c>
      <c r="G94" s="17" t="str">
        <f>IFERROR(_xlfn.XLOOKUP($A94,tblEquipos[Codigo],tblEquipos[Ubicacion],""),"")</f>
        <v>Cobquecura</v>
      </c>
      <c r="H94" s="16"/>
      <c r="I94" s="16" t="str">
        <f>IFERROR(VLOOKUP(A94, Equipos!A:J, 9, FALSE), "")</f>
        <v>HORAS</v>
      </c>
      <c r="J94" s="16">
        <f>IFERROR(VLOOKUP(A94, Equipos!A:J, 10, FALSE), "")</f>
        <v>250</v>
      </c>
      <c r="K94" s="16">
        <f>IFERROR(IF($I94="KM",ROUND((_xlfn.MAXIFS(tblLecturas[Kilometraje],tblLecturas[Codigo],$A94)-_xlfn.MINIFS(tblLecturas[Kilometraje],tblLecturas[Codigo],$A94))/(MAX(1,_xlfn.MAXIFS(tblLecturas[Fecha],tblLecturas[Codigo],$A94)-_xlfn.MINIFS(tblLecturas[Fecha],tblLecturas[Codigo],$A94))),1),ROUND((_xlfn.MAXIFS(tblLecturas[Horometro],tblLecturas[Codigo],$A94)-_xlfn.MINIFS(tblLecturas[Horometro],tblLecturas[Codigo],$A94))/(MAX(1,_xlfn.MAXIFS(tblLecturas[Fecha],tblLecturas[Codigo],$A94)-_xlfn.MINIFS(tblLecturas[Fecha],tblLecturas[Codigo],$A94))),1)),"")</f>
        <v>2.9</v>
      </c>
      <c r="L94" s="18">
        <f>IFERROR(_xlfn.MAXIFS(tblLecturas[Fecha],tblLecturas[Codigo],$A94),"")</f>
        <v>46178</v>
      </c>
      <c r="M94" s="24">
        <f>IFERROR(_xlfn.MAXIFS(Lecturas!$C:$C,Lecturas!$B:$B,$A94,Lecturas!$C:$C,"&gt;0"),"")</f>
        <v>8894</v>
      </c>
      <c r="N94" s="24">
        <f>IFERROR(_xlfn.MAXIFS(tblLecturas[Kilometraje],tblLecturas[Codigo],$A94,tblLecturas[Kilometraje],"&gt;0"),"")</f>
        <v>0</v>
      </c>
      <c r="O94" s="24" cm="1">
        <f t="array" ref="O94">IFERROR(IF($I94="KM",LOOKUP(2,1/(Lecturas!$B:$B=$A94)/(Lecturas!$D:$D&gt;0),Lecturas!$D:$D),LOOKUP(2,1/(Lecturas!$B:$B=$A94)/(Lecturas!$C:$C&gt;0),Lecturas!$C:$C)),"")</f>
        <v>8832</v>
      </c>
      <c r="P94" s="18">
        <f>IFERROR(_xlfn.MAXIFS(tblMantenciones[Fecha],tblMantenciones[Codigo],tblMaestroEquipos[[#This Row],[Codigo]],tblMantenciones[EsPM],"Sí"),"")</f>
        <v>46141</v>
      </c>
      <c r="Q94" s="70">
        <f>IF(_xlfn.MAXIFS(Mantenciones!$D:$D,Mantenciones!$B:$B,A94)=0,"Sin datos de mantención registrado",_xlfn.MAXIFS(Mantenciones!$D:$D,Mantenciones!$B:$B,A94))</f>
        <v>8832</v>
      </c>
      <c r="R94" s="16">
        <f>IFERROR(IF(_xlfn.MAXIFS(Mantenciones!$D:$D,Mantenciones!$B:$B,$A94,Mantenciones!$E:$E,"Sí",Mantenciones!$D:$D,"&gt;0")=0,"Sin datos de mantención registrado",_xlfn.MAXIFS(Mantenciones!$D:$D,Mantenciones!$B:$B,$A94,Mantenciones!$E:$E,"Sí",Mantenciones!$D:$D,"&gt;0")),"Sin datos de mantención registrado")</f>
        <v>8832</v>
      </c>
      <c r="S94" s="19">
        <f>IFERROR(SUMIFS(tblMantenciones[Costo Mantencion CLP],tblMantenciones[Codigo],A94),0)</f>
        <v>0</v>
      </c>
      <c r="T94" s="19">
        <f>IFERROR(SUMIFS(tblComprasPM[Costo PM CLP],tblComprasPM[Codigo],tblMaestroEquipos[[#This Row],[Codigo]]),0)</f>
        <v>775405.19</v>
      </c>
      <c r="U94" s="19">
        <f>IFERROR(tblMaestroEquipos[[#This Row],[Costo Mantenciones CLP]]+tblMaestroEquipos[[#This Row],[Costo Compras PM CLP]],0)</f>
        <v>775405.19</v>
      </c>
      <c r="V94" s="16" t="str">
        <f>IFERROR(_xlfn.XLOOKUP(tblMaestroEquipos[[#This Row],[Codigo]],tblEquipos[Codigo],tblEquipos[Estado Base]),"")</f>
        <v>Operativo</v>
      </c>
      <c r="W94" s="16" t="str">
        <f t="shared" si="8"/>
        <v>AL DÍA</v>
      </c>
      <c r="X94" s="16">
        <f t="shared" si="9"/>
        <v>250</v>
      </c>
      <c r="Y94" s="23">
        <f>IFERROR(IF(OR(tblMaestroEquipos[[#This Row],[Estado Operacional]]="FUERA DE SERVICIO",tblMaestroEquipos[[#This Row],[Ultima Fecha Lectura]]="",tblMaestroEquipos[[#This Row],[Dias a Proxima Mantencion]]=""),"",tblMaestroEquipos[[#This Row],[Ultima Fecha Lectura]]+tblMaestroEquipos[[#This Row],[Dias a Proxima Mantencion]]),"")</f>
        <v>46428</v>
      </c>
      <c r="Z94" s="23">
        <f>IFERROR(IF(_xlfn.MINIFS(tblComprasPM[Fecha],tblComprasPM[Codigo],tblMaestroEquipos[[#This Row],[Codigo]])=0,"",_xlfn.MINIFS(tblComprasPM[Fecha],tblComprasPM[Codigo],tblMaestroEquipos[[#This Row],[Codigo]])),"")</f>
        <v>46111</v>
      </c>
      <c r="AA94" s="23">
        <f>IFERROR(IF(_xlfn.MAXIFS(tblBodega[Fecha],tblBodega[Codigo],tblMaestroEquipos[[#This Row],[Codigo]])=0,"",_xlfn.MAXIFS(tblBodega[Fecha],tblBodega[Codigo],tblMaestroEquipos[[#This Row],[Codigo]])),"")</f>
        <v>46058</v>
      </c>
      <c r="AB94"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30</v>
      </c>
      <c r="AC94"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83</v>
      </c>
      <c r="AD94" s="16" t="str">
        <f>IF(tblMaestroEquipos[[#This Row],[Fecha Salida Bodega]]="","SIN SALIDA BODEGA",IF(OR(tblMaestroEquipos[[#This Row],[Ultima Fecha PM]]="",tblMaestroEquipos[[#This Row],[Ultima Fecha PM]]&lt;tblMaestroEquipos[[#This Row],[Fecha Salida Bodega]]),"PENDIENTE","CERRADO"))</f>
        <v>CERRADO</v>
      </c>
      <c r="AE94" s="48" t="str">
        <f t="shared" si="10"/>
        <v>OPERATIVO</v>
      </c>
      <c r="AF94" s="16" t="str">
        <f t="shared" si="11"/>
        <v>BAJA</v>
      </c>
      <c r="AG94" s="16" t="str">
        <f t="shared" si="12"/>
        <v>Monitorear próximo vencimiento</v>
      </c>
      <c r="AH94">
        <f t="shared" si="13"/>
        <v>0</v>
      </c>
      <c r="AI94" t="str">
        <f t="shared" si="14"/>
        <v/>
      </c>
      <c r="AJ94" s="22">
        <f t="shared" si="15"/>
        <v>99</v>
      </c>
    </row>
    <row r="95" spans="1:36">
      <c r="A95" s="16" t="s">
        <v>307</v>
      </c>
      <c r="B95" s="16" t="s">
        <v>269</v>
      </c>
      <c r="C95" s="16" t="s">
        <v>1385</v>
      </c>
      <c r="D95" s="16" t="s">
        <v>308</v>
      </c>
      <c r="E95" s="17" t="s">
        <v>309</v>
      </c>
      <c r="F95" s="16">
        <v>2010</v>
      </c>
      <c r="G95" s="17" t="str">
        <f>IFERROR(_xlfn.XLOOKUP($A95,tblEquipos[Codigo],tblEquipos[Ubicacion],""),"")</f>
        <v>San Carlos</v>
      </c>
      <c r="H95" s="16" t="s">
        <v>201</v>
      </c>
      <c r="I95" s="16" t="str">
        <f>IFERROR(VLOOKUP(A95, Equipos!A:J, 9, FALSE), "")</f>
        <v>HORAS</v>
      </c>
      <c r="J95" s="16">
        <f>IFERROR(VLOOKUP(A95, Equipos!A:J, 10, FALSE), "")</f>
        <v>250</v>
      </c>
      <c r="K95" s="16">
        <f>IFERROR(IF($I95="KM",ROUND((_xlfn.MAXIFS(tblLecturas[Kilometraje],tblLecturas[Codigo],$A95)-_xlfn.MINIFS(tblLecturas[Kilometraje],tblLecturas[Codigo],$A95))/(MAX(1,_xlfn.MAXIFS(tblLecturas[Fecha],tblLecturas[Codigo],$A95)-_xlfn.MINIFS(tblLecturas[Fecha],tblLecturas[Codigo],$A95))),1),ROUND((_xlfn.MAXIFS(tblLecturas[Horometro],tblLecturas[Codigo],$A95)-_xlfn.MINIFS(tblLecturas[Horometro],tblLecturas[Codigo],$A95))/(MAX(1,_xlfn.MAXIFS(tblLecturas[Fecha],tblLecturas[Codigo],$A95)-_xlfn.MINIFS(tblLecturas[Fecha],tblLecturas[Codigo],$A95))),1)),"")</f>
        <v>3.8</v>
      </c>
      <c r="L95" s="18">
        <f>IFERROR(_xlfn.MAXIFS(tblLecturas[Fecha],tblLecturas[Codigo],$A95),"")</f>
        <v>46162</v>
      </c>
      <c r="M95" s="24">
        <f>IFERROR(_xlfn.MAXIFS(Lecturas!$C:$C,Lecturas!$B:$B,$A95,Lecturas!$C:$C,"&gt;0"),"")</f>
        <v>14740</v>
      </c>
      <c r="N95" s="24">
        <f>IFERROR(_xlfn.MAXIFS(tblLecturas[Kilometraje],tblLecturas[Codigo],$A95,tblLecturas[Kilometraje],"&gt;0"),"")</f>
        <v>0</v>
      </c>
      <c r="O95" s="24" cm="1">
        <f t="array" ref="O95">IFERROR(IF($I95="KM",LOOKUP(2,1/(Lecturas!$B:$B=$A95)/(Lecturas!$D:$D&gt;0),Lecturas!$D:$D),LOOKUP(2,1/(Lecturas!$B:$B=$A95)/(Lecturas!$C:$C&gt;0),Lecturas!$C:$C)),"")</f>
        <v>14740</v>
      </c>
      <c r="P95" s="18">
        <f>IFERROR(_xlfn.MAXIFS(tblMantenciones[Fecha],tblMantenciones[Codigo],tblMaestroEquipos[[#This Row],[Codigo]],tblMantenciones[EsPM],"Sí"),"")</f>
        <v>46162</v>
      </c>
      <c r="Q95" s="70">
        <f>IF(_xlfn.MAXIFS(Mantenciones!$D:$D,Mantenciones!$B:$B,A95)=0,"Sin datos de mantención registrado",_xlfn.MAXIFS(Mantenciones!$D:$D,Mantenciones!$B:$B,A95))</f>
        <v>14740</v>
      </c>
      <c r="R95" s="16">
        <f>IFERROR(IF(_xlfn.MAXIFS(Mantenciones!$D:$D,Mantenciones!$B:$B,$A95,Mantenciones!$E:$E,"Sí",Mantenciones!$D:$D,"&gt;0")=0,"Sin datos de mantención registrado",_xlfn.MAXIFS(Mantenciones!$D:$D,Mantenciones!$B:$B,$A95,Mantenciones!$E:$E,"Sí",Mantenciones!$D:$D,"&gt;0")),"Sin datos de mantención registrado")</f>
        <v>14740</v>
      </c>
      <c r="S95" s="19">
        <f>IFERROR(SUMIFS(tblMantenciones[Costo Mantencion CLP],tblMantenciones[Codigo],A95),0)</f>
        <v>0</v>
      </c>
      <c r="T95" s="19">
        <f>IFERROR(SUMIFS(tblComprasPM[Costo PM CLP],tblComprasPM[Codigo],tblMaestroEquipos[[#This Row],[Codigo]]),0)</f>
        <v>763402.85</v>
      </c>
      <c r="U95" s="19">
        <f>IFERROR(tblMaestroEquipos[[#This Row],[Costo Mantenciones CLP]]+tblMaestroEquipos[[#This Row],[Costo Compras PM CLP]],0)</f>
        <v>763402.85</v>
      </c>
      <c r="V95" s="16" t="str">
        <f>IFERROR(_xlfn.XLOOKUP(tblMaestroEquipos[[#This Row],[Codigo]],tblEquipos[Codigo],tblEquipos[Estado Base]),"")</f>
        <v>Operativo</v>
      </c>
      <c r="W95" s="16" t="str">
        <f t="shared" si="8"/>
        <v>AL DÍA</v>
      </c>
      <c r="X95" s="16">
        <f t="shared" si="9"/>
        <v>250</v>
      </c>
      <c r="Y95" s="23">
        <f>IFERROR(IF(OR(tblMaestroEquipos[[#This Row],[Estado Operacional]]="FUERA DE SERVICIO",tblMaestroEquipos[[#This Row],[Ultima Fecha Lectura]]="",tblMaestroEquipos[[#This Row],[Dias a Proxima Mantencion]]=""),"",tblMaestroEquipos[[#This Row],[Ultima Fecha Lectura]]+tblMaestroEquipos[[#This Row],[Dias a Proxima Mantencion]]),"")</f>
        <v>46412</v>
      </c>
      <c r="Z95" s="23">
        <f>IFERROR(IF(_xlfn.MINIFS(tblComprasPM[Fecha],tblComprasPM[Codigo],tblMaestroEquipos[[#This Row],[Codigo]])=0,"",_xlfn.MINIFS(tblComprasPM[Fecha],tblComprasPM[Codigo],tblMaestroEquipos[[#This Row],[Codigo]])),"")</f>
        <v>46080.468502974501</v>
      </c>
      <c r="AA95" s="23">
        <f>IFERROR(IF(_xlfn.MAXIFS(tblBodega[Fecha],tblBodega[Codigo],tblMaestroEquipos[[#This Row],[Codigo]])=0,"",_xlfn.MAXIFS(tblBodega[Fecha],tblBodega[Codigo],tblMaestroEquipos[[#This Row],[Codigo]])),"")</f>
        <v>46161</v>
      </c>
      <c r="AB9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82</v>
      </c>
      <c r="AC9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v>
      </c>
      <c r="AD95" s="16" t="str">
        <f>IF(tblMaestroEquipos[[#This Row],[Fecha Salida Bodega]]="","SIN SALIDA BODEGA",IF(OR(tblMaestroEquipos[[#This Row],[Ultima Fecha PM]]="",tblMaestroEquipos[[#This Row],[Ultima Fecha PM]]&lt;tblMaestroEquipos[[#This Row],[Fecha Salida Bodega]]),"PENDIENTE","CERRADO"))</f>
        <v>CERRADO</v>
      </c>
      <c r="AE95" s="48" t="str">
        <f t="shared" si="10"/>
        <v>OPERATIVO</v>
      </c>
      <c r="AF95" s="16" t="str">
        <f t="shared" si="11"/>
        <v>BAJA</v>
      </c>
      <c r="AG95" s="16" t="str">
        <f t="shared" si="12"/>
        <v>Monitorear próximo vencimiento</v>
      </c>
      <c r="AH95">
        <f t="shared" si="13"/>
        <v>0</v>
      </c>
      <c r="AI95" t="str">
        <f t="shared" si="14"/>
        <v/>
      </c>
      <c r="AJ95" s="22">
        <f t="shared" si="15"/>
        <v>99</v>
      </c>
    </row>
    <row r="96" spans="1:36">
      <c r="A96" s="16" t="s">
        <v>311</v>
      </c>
      <c r="B96" s="16" t="s">
        <v>269</v>
      </c>
      <c r="C96" s="16" t="s">
        <v>1385</v>
      </c>
      <c r="D96" s="16" t="s">
        <v>308</v>
      </c>
      <c r="E96" s="17" t="s">
        <v>309</v>
      </c>
      <c r="F96" s="16">
        <v>2010</v>
      </c>
      <c r="G96" s="17" t="str">
        <f>IFERROR(_xlfn.XLOOKUP($A96,tblEquipos[Codigo],tblEquipos[Ubicacion],""),"")</f>
        <v>Cobquecura</v>
      </c>
      <c r="H96" s="16" t="s">
        <v>201</v>
      </c>
      <c r="I96" s="16" t="str">
        <f>IFERROR(VLOOKUP(A96, Equipos!A:J, 9, FALSE), "")</f>
        <v>HORAS</v>
      </c>
      <c r="J96" s="16">
        <f>IFERROR(VLOOKUP(A96, Equipos!A:J, 10, FALSE), "")</f>
        <v>250</v>
      </c>
      <c r="K96" s="16">
        <f>IFERROR(IF($I96="KM",ROUND((_xlfn.MAXIFS(tblLecturas[Kilometraje],tblLecturas[Codigo],$A96)-_xlfn.MINIFS(tblLecturas[Kilometraje],tblLecturas[Codigo],$A96))/(MAX(1,_xlfn.MAXIFS(tblLecturas[Fecha],tblLecturas[Codigo],$A96)-_xlfn.MINIFS(tblLecturas[Fecha],tblLecturas[Codigo],$A96))),1),ROUND((_xlfn.MAXIFS(tblLecturas[Horometro],tblLecturas[Codigo],$A96)-_xlfn.MINIFS(tblLecturas[Horometro],tblLecturas[Codigo],$A96))/(MAX(1,_xlfn.MAXIFS(tblLecturas[Fecha],tblLecturas[Codigo],$A96)-_xlfn.MINIFS(tblLecturas[Fecha],tblLecturas[Codigo],$A96))),1)),"")</f>
        <v>2.6</v>
      </c>
      <c r="L96" s="18">
        <f>IFERROR(_xlfn.MAXIFS(tblLecturas[Fecha],tblLecturas[Codigo],$A96),"")</f>
        <v>46176</v>
      </c>
      <c r="M96" s="24">
        <f>IFERROR(_xlfn.MAXIFS(Lecturas!$C:$C,Lecturas!$B:$B,$A96,Lecturas!$C:$C,"&gt;0"),"")</f>
        <v>17175</v>
      </c>
      <c r="N96" s="24">
        <f>IFERROR(_xlfn.MAXIFS(tblLecturas[Kilometraje],tblLecturas[Codigo],$A96,tblLecturas[Kilometraje],"&gt;0"),"")</f>
        <v>0</v>
      </c>
      <c r="O96" s="24" cm="1">
        <f t="array" ref="O96">IFERROR(IF($I96="KM",LOOKUP(2,1/(Lecturas!$B:$B=$A96)/(Lecturas!$D:$D&gt;0),Lecturas!$D:$D),LOOKUP(2,1/(Lecturas!$B:$B=$A96)/(Lecturas!$C:$C&gt;0),Lecturas!$C:$C)),"")</f>
        <v>17175</v>
      </c>
      <c r="P96" s="18">
        <f>IFERROR(_xlfn.MAXIFS(tblMantenciones[Fecha],tblMantenciones[Codigo],tblMaestroEquipos[[#This Row],[Codigo]],tblMantenciones[EsPM],"Sí"),"")</f>
        <v>46086</v>
      </c>
      <c r="Q96" s="70">
        <f>IF(_xlfn.MAXIFS(Mantenciones!$D:$D,Mantenciones!$B:$B,A96)=0,"Sin datos de mantención registrado",_xlfn.MAXIFS(Mantenciones!$D:$D,Mantenciones!$B:$B,A96))</f>
        <v>16953</v>
      </c>
      <c r="R96" s="16">
        <f>IFERROR(IF(_xlfn.MAXIFS(Mantenciones!$D:$D,Mantenciones!$B:$B,$A96,Mantenciones!$E:$E,"Sí",Mantenciones!$D:$D,"&gt;0")=0,"Sin datos de mantención registrado",_xlfn.MAXIFS(Mantenciones!$D:$D,Mantenciones!$B:$B,$A96,Mantenciones!$E:$E,"Sí",Mantenciones!$D:$D,"&gt;0")),"Sin datos de mantención registrado")</f>
        <v>16953</v>
      </c>
      <c r="S96" s="19">
        <f>IFERROR(SUMIFS(tblMantenciones[Costo Mantencion CLP],tblMantenciones[Codigo],A96),0)</f>
        <v>0</v>
      </c>
      <c r="T96" s="19">
        <f>IFERROR(SUMIFS(tblComprasPM[Costo PM CLP],tblComprasPM[Codigo],tblMaestroEquipos[[#This Row],[Codigo]]),0)</f>
        <v>952236.02</v>
      </c>
      <c r="U96" s="19">
        <f>IFERROR(tblMaestroEquipos[[#This Row],[Costo Mantenciones CLP]]+tblMaestroEquipos[[#This Row],[Costo Compras PM CLP]],0)</f>
        <v>952236.02</v>
      </c>
      <c r="V96" s="16" t="str">
        <f>IFERROR(_xlfn.XLOOKUP(tblMaestroEquipos[[#This Row],[Codigo]],tblEquipos[Codigo],tblEquipos[Estado Base]),"")</f>
        <v>Operativo</v>
      </c>
      <c r="W96" s="16" t="str">
        <f t="shared" si="8"/>
        <v>PRÓXIMA</v>
      </c>
      <c r="X96" s="16">
        <f t="shared" si="9"/>
        <v>28</v>
      </c>
      <c r="Y96" s="23">
        <f>IFERROR(IF(OR(tblMaestroEquipos[[#This Row],[Estado Operacional]]="FUERA DE SERVICIO",tblMaestroEquipos[[#This Row],[Ultima Fecha Lectura]]="",tblMaestroEquipos[[#This Row],[Dias a Proxima Mantencion]]=""),"",tblMaestroEquipos[[#This Row],[Ultima Fecha Lectura]]+tblMaestroEquipos[[#This Row],[Dias a Proxima Mantencion]]),"")</f>
        <v>46204</v>
      </c>
      <c r="Z96" s="23">
        <f>IFERROR(IF(_xlfn.MINIFS(tblComprasPM[Fecha],tblComprasPM[Codigo],tblMaestroEquipos[[#This Row],[Codigo]])=0,"",_xlfn.MINIFS(tblComprasPM[Fecha],tblComprasPM[Codigo],tblMaestroEquipos[[#This Row],[Codigo]])),"")</f>
        <v>46085.547314004602</v>
      </c>
      <c r="AA96" s="23">
        <f>IFERROR(IF(_xlfn.MAXIFS(tblBodega[Fecha],tblBodega[Codigo],tblMaestroEquipos[[#This Row],[Codigo]])=0,"",_xlfn.MAXIFS(tblBodega[Fecha],tblBodega[Codigo],tblMaestroEquipos[[#This Row],[Codigo]])),"")</f>
        <v>46080</v>
      </c>
      <c r="AB9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v>
      </c>
      <c r="AC96"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6</v>
      </c>
      <c r="AD96" s="16" t="str">
        <f>IF(tblMaestroEquipos[[#This Row],[Fecha Salida Bodega]]="","SIN SALIDA BODEGA",IF(OR(tblMaestroEquipos[[#This Row],[Ultima Fecha PM]]="",tblMaestroEquipos[[#This Row],[Ultima Fecha PM]]&lt;tblMaestroEquipos[[#This Row],[Fecha Salida Bodega]]),"PENDIENTE","CERRADO"))</f>
        <v>CERRADO</v>
      </c>
      <c r="AE96" s="48" t="str">
        <f t="shared" si="10"/>
        <v>OPERATIVO</v>
      </c>
      <c r="AF96" s="16" t="str">
        <f t="shared" si="11"/>
        <v>BAJA</v>
      </c>
      <c r="AG96" s="16" t="str">
        <f t="shared" si="12"/>
        <v>Monitorear próximo vencimiento</v>
      </c>
      <c r="AH96">
        <f t="shared" si="13"/>
        <v>0</v>
      </c>
      <c r="AI96" t="str">
        <f t="shared" si="14"/>
        <v/>
      </c>
      <c r="AJ96" s="22">
        <f t="shared" si="15"/>
        <v>99</v>
      </c>
    </row>
    <row r="97" spans="1:36">
      <c r="A97" s="16" t="s">
        <v>313</v>
      </c>
      <c r="B97" s="16" t="s">
        <v>264</v>
      </c>
      <c r="C97" s="16" t="s">
        <v>1385</v>
      </c>
      <c r="D97" s="16" t="s">
        <v>314</v>
      </c>
      <c r="E97" s="17" t="s">
        <v>315</v>
      </c>
      <c r="F97" s="16">
        <v>2011</v>
      </c>
      <c r="G97" s="17" t="str">
        <f>IFERROR(_xlfn.XLOOKUP($A97,tblEquipos[Codigo],tblEquipos[Ubicacion],""),"")</f>
        <v>Villaseca</v>
      </c>
      <c r="H97" s="16" t="s">
        <v>56</v>
      </c>
      <c r="I97" s="16" t="str">
        <f>IFERROR(VLOOKUP(A97, Equipos!A:J, 9, FALSE), "")</f>
        <v>HORAS</v>
      </c>
      <c r="J97" s="16">
        <f>IFERROR(VLOOKUP(A97, Equipos!A:J, 10, FALSE), "")</f>
        <v>250</v>
      </c>
      <c r="K97" s="16">
        <f>IFERROR(IF($I97="KM",ROUND((_xlfn.MAXIFS(tblLecturas[Kilometraje],tblLecturas[Codigo],$A97)-_xlfn.MINIFS(tblLecturas[Kilometraje],tblLecturas[Codigo],$A97))/(MAX(1,_xlfn.MAXIFS(tblLecturas[Fecha],tblLecturas[Codigo],$A97)-_xlfn.MINIFS(tblLecturas[Fecha],tblLecturas[Codigo],$A97))),1),ROUND((_xlfn.MAXIFS(tblLecturas[Horometro],tblLecturas[Codigo],$A97)-_xlfn.MINIFS(tblLecturas[Horometro],tblLecturas[Codigo],$A97))/(MAX(1,_xlfn.MAXIFS(tblLecturas[Fecha],tblLecturas[Codigo],$A97)-_xlfn.MINIFS(tblLecturas[Fecha],tblLecturas[Codigo],$A97))),1)),"")</f>
        <v>2.2999999999999998</v>
      </c>
      <c r="L97" s="18">
        <f>IFERROR(_xlfn.MAXIFS(tblLecturas[Fecha],tblLecturas[Codigo],$A97),"")</f>
        <v>46183</v>
      </c>
      <c r="M97" s="24">
        <f>IFERROR(_xlfn.MAXIFS(Lecturas!$C:$C,Lecturas!$B:$B,$A97,Lecturas!$C:$C,"&gt;0"),"")</f>
        <v>21615</v>
      </c>
      <c r="N97" s="24">
        <f>IFERROR(_xlfn.MAXIFS(tblLecturas[Kilometraje],tblLecturas[Codigo],$A97,tblLecturas[Kilometraje],"&gt;0"),"")</f>
        <v>0</v>
      </c>
      <c r="O97" s="24" cm="1">
        <f t="array" ref="O97">IFERROR(IF($I97="KM",LOOKUP(2,1/(Lecturas!$B:$B=$A97)/(Lecturas!$D:$D&gt;0),Lecturas!$D:$D),LOOKUP(2,1/(Lecturas!$B:$B=$A97)/(Lecturas!$C:$C&gt;0),Lecturas!$C:$C)),"")</f>
        <v>21615</v>
      </c>
      <c r="P97" s="18">
        <f>IFERROR(_xlfn.MAXIFS(tblMantenciones[Fecha],tblMantenciones[Codigo],tblMaestroEquipos[[#This Row],[Codigo]],tblMantenciones[EsPM],"Sí"),"")</f>
        <v>46121</v>
      </c>
      <c r="Q97" s="70">
        <f>IF(_xlfn.MAXIFS(Mantenciones!$D:$D,Mantenciones!$B:$B,A97)=0,"Sin datos de mantención registrado",_xlfn.MAXIFS(Mantenciones!$D:$D,Mantenciones!$B:$B,A97))</f>
        <v>21445</v>
      </c>
      <c r="R97" s="16">
        <f>IFERROR(IF(_xlfn.MAXIFS(Mantenciones!$D:$D,Mantenciones!$B:$B,$A97,Mantenciones!$E:$E,"Sí",Mantenciones!$D:$D,"&gt;0")=0,"Sin datos de mantención registrado",_xlfn.MAXIFS(Mantenciones!$D:$D,Mantenciones!$B:$B,$A97,Mantenciones!$E:$E,"Sí",Mantenciones!$D:$D,"&gt;0")),"Sin datos de mantención registrado")</f>
        <v>21445</v>
      </c>
      <c r="S97" s="19">
        <f>IFERROR(SUMIFS(tblMantenciones[Costo Mantencion CLP],tblMantenciones[Codigo],A97),0)</f>
        <v>0</v>
      </c>
      <c r="T97" s="19">
        <f>IFERROR(SUMIFS(tblComprasPM[Costo PM CLP],tblComprasPM[Codigo],tblMaestroEquipos[[#This Row],[Codigo]]),0)</f>
        <v>231847.7</v>
      </c>
      <c r="U97" s="19">
        <f>IFERROR(tblMaestroEquipos[[#This Row],[Costo Mantenciones CLP]]+tblMaestroEquipos[[#This Row],[Costo Compras PM CLP]],0)</f>
        <v>231847.7</v>
      </c>
      <c r="V97" s="16" t="str">
        <f>IFERROR(_xlfn.XLOOKUP(tblMaestroEquipos[[#This Row],[Codigo]],tblEquipos[Codigo],tblEquipos[Estado Base]),"")</f>
        <v>Operativo</v>
      </c>
      <c r="W97" s="16" t="str">
        <f t="shared" si="8"/>
        <v>AL DÍA</v>
      </c>
      <c r="X97" s="16">
        <f t="shared" si="9"/>
        <v>80</v>
      </c>
      <c r="Y97" s="23">
        <f>IFERROR(IF(OR(tblMaestroEquipos[[#This Row],[Estado Operacional]]="FUERA DE SERVICIO",tblMaestroEquipos[[#This Row],[Ultima Fecha Lectura]]="",tblMaestroEquipos[[#This Row],[Dias a Proxima Mantencion]]=""),"",tblMaestroEquipos[[#This Row],[Ultima Fecha Lectura]]+tblMaestroEquipos[[#This Row],[Dias a Proxima Mantencion]]),"")</f>
        <v>46263</v>
      </c>
      <c r="Z97" s="23">
        <f>IFERROR(IF(_xlfn.MINIFS(tblComprasPM[Fecha],tblComprasPM[Codigo],tblMaestroEquipos[[#This Row],[Codigo]])=0,"",_xlfn.MINIFS(tblComprasPM[Fecha],tblComprasPM[Codigo],tblMaestroEquipos[[#This Row],[Codigo]])),"")</f>
        <v>46084.6612838773</v>
      </c>
      <c r="AA97" s="23">
        <f>IFERROR(IF(_xlfn.MAXIFS(tblBodega[Fecha],tblBodega[Codigo],tblMaestroEquipos[[#This Row],[Codigo]])=0,"",_xlfn.MAXIFS(tblBodega[Fecha],tblBodega[Codigo],tblMaestroEquipos[[#This Row],[Codigo]])),"")</f>
        <v>46105</v>
      </c>
      <c r="AB9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37</v>
      </c>
      <c r="AC97"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16</v>
      </c>
      <c r="AD97" s="16" t="str">
        <f>IF(tblMaestroEquipos[[#This Row],[Fecha Salida Bodega]]="","SIN SALIDA BODEGA",IF(OR(tblMaestroEquipos[[#This Row],[Ultima Fecha PM]]="",tblMaestroEquipos[[#This Row],[Ultima Fecha PM]]&lt;tblMaestroEquipos[[#This Row],[Fecha Salida Bodega]]),"PENDIENTE","CERRADO"))</f>
        <v>CERRADO</v>
      </c>
      <c r="AE97" s="48" t="str">
        <f t="shared" si="10"/>
        <v>OPERATIVO</v>
      </c>
      <c r="AF97" s="16" t="str">
        <f t="shared" si="11"/>
        <v>BAJA</v>
      </c>
      <c r="AG97" s="16" t="str">
        <f t="shared" si="12"/>
        <v>Monitorear próximo vencimiento</v>
      </c>
      <c r="AH97">
        <f t="shared" si="13"/>
        <v>0</v>
      </c>
      <c r="AI97" t="str">
        <f t="shared" si="14"/>
        <v/>
      </c>
      <c r="AJ97" s="22">
        <f t="shared" si="15"/>
        <v>99</v>
      </c>
    </row>
    <row r="98" spans="1:36">
      <c r="A98" s="16" t="s">
        <v>318</v>
      </c>
      <c r="B98" s="16" t="s">
        <v>264</v>
      </c>
      <c r="C98" s="16" t="s">
        <v>1385</v>
      </c>
      <c r="D98" s="16" t="s">
        <v>270</v>
      </c>
      <c r="E98" s="17" t="s">
        <v>319</v>
      </c>
      <c r="F98" s="16">
        <v>2008</v>
      </c>
      <c r="G98" s="17" t="str">
        <f>IFERROR(_xlfn.XLOOKUP($A98,tblEquipos[Codigo],tblEquipos[Ubicacion],""),"")</f>
        <v>TALLER CENTRAL</v>
      </c>
      <c r="H98" s="16" t="s">
        <v>201</v>
      </c>
      <c r="I98" s="16" t="str">
        <f>IFERROR(VLOOKUP(A98, Equipos!A:J, 9, FALSE), "")</f>
        <v>HORAS</v>
      </c>
      <c r="J98" s="16">
        <f>IFERROR(VLOOKUP(A98, Equipos!A:J, 10, FALSE), "")</f>
        <v>250</v>
      </c>
      <c r="K98" s="16">
        <f>IFERROR(IF($I98="KM",ROUND((_xlfn.MAXIFS(tblLecturas[Kilometraje],tblLecturas[Codigo],$A98)-_xlfn.MINIFS(tblLecturas[Kilometraje],tblLecturas[Codigo],$A98))/(MAX(1,_xlfn.MAXIFS(tblLecturas[Fecha],tblLecturas[Codigo],$A98)-_xlfn.MINIFS(tblLecturas[Fecha],tblLecturas[Codigo],$A98))),1),ROUND((_xlfn.MAXIFS(tblLecturas[Horometro],tblLecturas[Codigo],$A98)-_xlfn.MINIFS(tblLecturas[Horometro],tblLecturas[Codigo],$A98))/(MAX(1,_xlfn.MAXIFS(tblLecturas[Fecha],tblLecturas[Codigo],$A98)-_xlfn.MINIFS(tblLecturas[Fecha],tblLecturas[Codigo],$A98))),1)),"")</f>
        <v>0</v>
      </c>
      <c r="L98" s="18">
        <f>IFERROR(_xlfn.MAXIFS(tblLecturas[Fecha],tblLecturas[Codigo],$A98),"")</f>
        <v>45061</v>
      </c>
      <c r="M98" s="24">
        <f>IFERROR(_xlfn.MAXIFS(Lecturas!$C:$C,Lecturas!$B:$B,$A98,Lecturas!$C:$C,"&gt;0"),"")</f>
        <v>10128</v>
      </c>
      <c r="N98" s="24">
        <f>IFERROR(_xlfn.MAXIFS(tblLecturas[Kilometraje],tblLecturas[Codigo],$A98,tblLecturas[Kilometraje],"&gt;0"),"")</f>
        <v>0</v>
      </c>
      <c r="O98" s="24" cm="1">
        <f t="array" ref="O98">IFERROR(IF($I98="KM",LOOKUP(2,1/(Lecturas!$B:$B=$A98)/(Lecturas!$D:$D&gt;0),Lecturas!$D:$D),LOOKUP(2,1/(Lecturas!$B:$B=$A98)/(Lecturas!$C:$C&gt;0),Lecturas!$C:$C)),"")</f>
        <v>10128</v>
      </c>
      <c r="P98" s="18">
        <f>IFERROR(_xlfn.MAXIFS(tblMantenciones[Fecha],tblMantenciones[Codigo],tblMaestroEquipos[[#This Row],[Codigo]],tblMantenciones[EsPM],"Sí"),"")</f>
        <v>45215</v>
      </c>
      <c r="Q98" s="70">
        <f>IF(_xlfn.MAXIFS(Mantenciones!$D:$D,Mantenciones!$B:$B,A98)=0,"Sin datos de mantención registrado",_xlfn.MAXIFS(Mantenciones!$D:$D,Mantenciones!$B:$B,A98))</f>
        <v>10365</v>
      </c>
      <c r="R98" s="16">
        <f>IFERROR(IF(_xlfn.MAXIFS(Mantenciones!$D:$D,Mantenciones!$B:$B,$A98,Mantenciones!$E:$E,"Sí",Mantenciones!$D:$D,"&gt;0")=0,"Sin datos de mantención registrado",_xlfn.MAXIFS(Mantenciones!$D:$D,Mantenciones!$B:$B,$A98,Mantenciones!$E:$E,"Sí",Mantenciones!$D:$D,"&gt;0")),"Sin datos de mantención registrado")</f>
        <v>10365</v>
      </c>
      <c r="S98" s="19">
        <f>IFERROR(SUMIFS(tblMantenciones[Costo Mantencion CLP],tblMantenciones[Codigo],A98),0)</f>
        <v>0</v>
      </c>
      <c r="T98" s="19">
        <f>IFERROR(SUMIFS(tblComprasPM[Costo PM CLP],tblComprasPM[Codigo],tblMaestroEquipos[[#This Row],[Codigo]]),0)</f>
        <v>0</v>
      </c>
      <c r="U98" s="19">
        <f>IFERROR(tblMaestroEquipos[[#This Row],[Costo Mantenciones CLP]]+tblMaestroEquipos[[#This Row],[Costo Compras PM CLP]],0)</f>
        <v>0</v>
      </c>
      <c r="V98" s="16" t="str">
        <f>IFERROR(_xlfn.XLOOKUP(tblMaestroEquipos[[#This Row],[Codigo]],tblEquipos[Codigo],tblEquipos[Estado Base]),"")</f>
        <v>Taller</v>
      </c>
      <c r="W98" s="16" t="str">
        <f t="shared" si="8"/>
        <v>EN TALLER</v>
      </c>
      <c r="X98" s="16">
        <f t="shared" si="9"/>
        <v>487</v>
      </c>
      <c r="Y98" s="23">
        <f>IFERROR(IF(OR(tblMaestroEquipos[[#This Row],[Estado Operacional]]="FUERA DE SERVICIO",tblMaestroEquipos[[#This Row],[Ultima Fecha Lectura]]="",tblMaestroEquipos[[#This Row],[Dias a Proxima Mantencion]]=""),"",tblMaestroEquipos[[#This Row],[Ultima Fecha Lectura]]+tblMaestroEquipos[[#This Row],[Dias a Proxima Mantencion]]),"")</f>
        <v>45548</v>
      </c>
      <c r="Z98" s="23" t="str">
        <f>IFERROR(IF(_xlfn.MINIFS(tblComprasPM[Fecha],tblComprasPM[Codigo],tblMaestroEquipos[[#This Row],[Codigo]])=0,"",_xlfn.MINIFS(tblComprasPM[Fecha],tblComprasPM[Codigo],tblMaestroEquipos[[#This Row],[Codigo]])),"")</f>
        <v/>
      </c>
      <c r="AA98" s="23" t="str">
        <f>IFERROR(IF(_xlfn.MAXIFS(tblBodega[Fecha],tblBodega[Codigo],tblMaestroEquipos[[#This Row],[Codigo]])=0,"",_xlfn.MAXIFS(tblBodega[Fecha],tblBodega[Codigo],tblMaestroEquipos[[#This Row],[Codigo]])),"")</f>
        <v/>
      </c>
      <c r="AB98"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98"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98" s="16" t="str">
        <f>IF(tblMaestroEquipos[[#This Row],[Fecha Salida Bodega]]="","SIN SALIDA BODEGA",IF(OR(tblMaestroEquipos[[#This Row],[Ultima Fecha PM]]="",tblMaestroEquipos[[#This Row],[Ultima Fecha PM]]&lt;tblMaestroEquipos[[#This Row],[Fecha Salida Bodega]]),"PENDIENTE","CERRADO"))</f>
        <v>SIN SALIDA BODEGA</v>
      </c>
      <c r="AE98" s="48" t="str">
        <f t="shared" si="10"/>
        <v>EN TALLER</v>
      </c>
      <c r="AF98" s="16" t="str">
        <f t="shared" si="11"/>
        <v>BAJA</v>
      </c>
      <c r="AG98" s="16" t="str">
        <f t="shared" si="12"/>
        <v>Monitorear próximo vencimiento</v>
      </c>
      <c r="AH98" s="25">
        <f t="shared" si="13"/>
        <v>0</v>
      </c>
      <c r="AI98" s="25" t="str">
        <f t="shared" si="14"/>
        <v/>
      </c>
      <c r="AJ98" s="22">
        <f t="shared" si="15"/>
        <v>99</v>
      </c>
    </row>
    <row r="99" spans="1:36">
      <c r="A99" s="16" t="s">
        <v>322</v>
      </c>
      <c r="B99" s="16" t="s">
        <v>284</v>
      </c>
      <c r="C99" s="16" t="s">
        <v>1385</v>
      </c>
      <c r="D99" s="16" t="s">
        <v>302</v>
      </c>
      <c r="E99" s="17" t="s">
        <v>323</v>
      </c>
      <c r="F99" s="16">
        <v>2012</v>
      </c>
      <c r="G99" s="17" t="str">
        <f>IFERROR(_xlfn.XLOOKUP($A99,tblEquipos[Codigo],tblEquipos[Ubicacion],""),"")</f>
        <v>Taller</v>
      </c>
      <c r="H99" s="16" t="s">
        <v>295</v>
      </c>
      <c r="I99" s="16" t="str">
        <f>IFERROR(VLOOKUP(A99, Equipos!A:J, 9, FALSE), "")</f>
        <v>HORAS</v>
      </c>
      <c r="J99" s="16">
        <f>IFERROR(VLOOKUP(A99, Equipos!A:J, 10, FALSE), "")</f>
        <v>250</v>
      </c>
      <c r="K99" s="16">
        <f>IFERROR(IF($I99="KM",ROUND((_xlfn.MAXIFS(tblLecturas[Kilometraje],tblLecturas[Codigo],$A99)-_xlfn.MINIFS(tblLecturas[Kilometraje],tblLecturas[Codigo],$A99))/(MAX(1,_xlfn.MAXIFS(tblLecturas[Fecha],tblLecturas[Codigo],$A99)-_xlfn.MINIFS(tblLecturas[Fecha],tblLecturas[Codigo],$A99))),1),ROUND((_xlfn.MAXIFS(tblLecturas[Horometro],tblLecturas[Codigo],$A99)-_xlfn.MINIFS(tblLecturas[Horometro],tblLecturas[Codigo],$A99))/(MAX(1,_xlfn.MAXIFS(tblLecturas[Fecha],tblLecturas[Codigo],$A99)-_xlfn.MINIFS(tblLecturas[Fecha],tblLecturas[Codigo],$A99))),1)),"")</f>
        <v>0.8</v>
      </c>
      <c r="L99" s="18">
        <f>IFERROR(_xlfn.MAXIFS(tblLecturas[Fecha],tblLecturas[Codigo],$A99),"")</f>
        <v>46177</v>
      </c>
      <c r="M99" s="24">
        <f>IFERROR(_xlfn.MAXIFS(Lecturas!$C:$C,Lecturas!$B:$B,$A99,Lecturas!$C:$C,"&gt;0"),"")</f>
        <v>27836</v>
      </c>
      <c r="N99" s="24">
        <f>IFERROR(_xlfn.MAXIFS(tblLecturas[Kilometraje],tblLecturas[Codigo],$A99,tblLecturas[Kilometraje],"&gt;0"),"")</f>
        <v>0</v>
      </c>
      <c r="O99" s="24" cm="1">
        <f t="array" ref="O99">IFERROR(IF($I99="KM",LOOKUP(2,1/(Lecturas!$B:$B=$A99)/(Lecturas!$D:$D&gt;0),Lecturas!$D:$D),LOOKUP(2,1/(Lecturas!$B:$B=$A99)/(Lecturas!$C:$C&gt;0),Lecturas!$C:$C)),"")</f>
        <v>27836</v>
      </c>
      <c r="P99" s="18">
        <f>IFERROR(_xlfn.MAXIFS(tblMantenciones[Fecha],tblMantenciones[Codigo],tblMaestroEquipos[[#This Row],[Codigo]],tblMantenciones[EsPM],"Sí"),"")</f>
        <v>45204</v>
      </c>
      <c r="Q99" s="70">
        <f>IF(_xlfn.MAXIFS(Mantenciones!$D:$D,Mantenciones!$B:$B,A99)=0,"Sin datos de mantención registrado",_xlfn.MAXIFS(Mantenciones!$D:$D,Mantenciones!$B:$B,A99))</f>
        <v>24432</v>
      </c>
      <c r="R99" s="16">
        <f>IFERROR(IF(_xlfn.MAXIFS(Mantenciones!$D:$D,Mantenciones!$B:$B,$A99,Mantenciones!$E:$E,"Sí",Mantenciones!$D:$D,"&gt;0")=0,"Sin datos de mantención registrado",_xlfn.MAXIFS(Mantenciones!$D:$D,Mantenciones!$B:$B,$A99,Mantenciones!$E:$E,"Sí",Mantenciones!$D:$D,"&gt;0")),"Sin datos de mantención registrado")</f>
        <v>24432</v>
      </c>
      <c r="S99" s="19">
        <f>IFERROR(SUMIFS(tblMantenciones[Costo Mantencion CLP],tblMantenciones[Codigo],A99),0)</f>
        <v>0</v>
      </c>
      <c r="T99" s="19">
        <f>IFERROR(SUMIFS(tblComprasPM[Costo PM CLP],tblComprasPM[Codigo],tblMaestroEquipos[[#This Row],[Codigo]]),0)</f>
        <v>634845.96</v>
      </c>
      <c r="U99" s="19">
        <f>IFERROR(tblMaestroEquipos[[#This Row],[Costo Mantenciones CLP]]+tblMaestroEquipos[[#This Row],[Costo Compras PM CLP]],0)</f>
        <v>634845.96</v>
      </c>
      <c r="V99" s="16" t="str">
        <f>IFERROR(_xlfn.XLOOKUP(tblMaestroEquipos[[#This Row],[Codigo]],tblEquipos[Codigo],tblEquipos[Estado Base]),"")</f>
        <v>Taller</v>
      </c>
      <c r="W99" s="16" t="str">
        <f t="shared" si="8"/>
        <v>EN TALLER</v>
      </c>
      <c r="X99" s="16">
        <f t="shared" si="9"/>
        <v>-3154</v>
      </c>
      <c r="Y99" s="23">
        <f>IFERROR(IF(OR(tblMaestroEquipos[[#This Row],[Estado Operacional]]="FUERA DE SERVICIO",tblMaestroEquipos[[#This Row],[Ultima Fecha Lectura]]="",tblMaestroEquipos[[#This Row],[Dias a Proxima Mantencion]]=""),"",tblMaestroEquipos[[#This Row],[Ultima Fecha Lectura]]+tblMaestroEquipos[[#This Row],[Dias a Proxima Mantencion]]),"")</f>
        <v>43023</v>
      </c>
      <c r="Z99" s="23">
        <f>IFERROR(IF(_xlfn.MINIFS(tblComprasPM[Fecha],tblComprasPM[Codigo],tblMaestroEquipos[[#This Row],[Codigo]])=0,"",_xlfn.MINIFS(tblComprasPM[Fecha],tblComprasPM[Codigo],tblMaestroEquipos[[#This Row],[Codigo]])),"")</f>
        <v>46118.4804357986</v>
      </c>
      <c r="AA99" s="23" t="str">
        <f>IFERROR(IF(_xlfn.MAXIFS(tblBodega[Fecha],tblBodega[Codigo],tblMaestroEquipos[[#This Row],[Codigo]])=0,"",_xlfn.MAXIFS(tblBodega[Fecha],tblBodega[Codigo],tblMaestroEquipos[[#This Row],[Codigo]])),"")</f>
        <v/>
      </c>
      <c r="AB9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99"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99" s="16" t="str">
        <f>IF(tblMaestroEquipos[[#This Row],[Fecha Salida Bodega]]="","SIN SALIDA BODEGA",IF(OR(tblMaestroEquipos[[#This Row],[Ultima Fecha PM]]="",tblMaestroEquipos[[#This Row],[Ultima Fecha PM]]&lt;tblMaestroEquipos[[#This Row],[Fecha Salida Bodega]]),"PENDIENTE","CERRADO"))</f>
        <v>SIN SALIDA BODEGA</v>
      </c>
      <c r="AE99" s="48" t="str">
        <f t="shared" si="10"/>
        <v>EN TALLER</v>
      </c>
      <c r="AF99" s="16" t="str">
        <f t="shared" si="11"/>
        <v>BAJA</v>
      </c>
      <c r="AG99" s="16" t="str">
        <f t="shared" si="12"/>
        <v>Monitorear próximo vencimiento</v>
      </c>
      <c r="AH99">
        <f t="shared" si="13"/>
        <v>0</v>
      </c>
      <c r="AI99" t="str">
        <f t="shared" si="14"/>
        <v/>
      </c>
      <c r="AJ99" s="22">
        <f t="shared" si="15"/>
        <v>99</v>
      </c>
    </row>
    <row r="100" spans="1:36">
      <c r="A100" s="16" t="s">
        <v>324</v>
      </c>
      <c r="B100" s="16" t="s">
        <v>284</v>
      </c>
      <c r="C100" s="16" t="s">
        <v>1385</v>
      </c>
      <c r="D100" s="16" t="s">
        <v>325</v>
      </c>
      <c r="E100" s="17" t="s">
        <v>326</v>
      </c>
      <c r="F100" s="16">
        <v>2012</v>
      </c>
      <c r="G100" s="17" t="str">
        <f>IFERROR(_xlfn.XLOOKUP($A100,tblEquipos[Codigo],tblEquipos[Ubicacion],""),"")</f>
        <v>Colbun</v>
      </c>
      <c r="H100" s="16" t="s">
        <v>201</v>
      </c>
      <c r="I100" s="16" t="str">
        <f>IFERROR(VLOOKUP(A100, Equipos!A:J, 9, FALSE), "")</f>
        <v>HORAS</v>
      </c>
      <c r="J100" s="16">
        <f>IFERROR(VLOOKUP(A100, Equipos!A:J, 10, FALSE), "")</f>
        <v>250</v>
      </c>
      <c r="K100" s="16">
        <f>IFERROR(IF($I100="KM",ROUND((_xlfn.MAXIFS(tblLecturas[Kilometraje],tblLecturas[Codigo],$A100)-_xlfn.MINIFS(tblLecturas[Kilometraje],tblLecturas[Codigo],$A100))/(MAX(1,_xlfn.MAXIFS(tblLecturas[Fecha],tblLecturas[Codigo],$A100)-_xlfn.MINIFS(tblLecturas[Fecha],tblLecturas[Codigo],$A100))),1),ROUND((_xlfn.MAXIFS(tblLecturas[Horometro],tblLecturas[Codigo],$A100)-_xlfn.MINIFS(tblLecturas[Horometro],tblLecturas[Codigo],$A100))/(MAX(1,_xlfn.MAXIFS(tblLecturas[Fecha],tblLecturas[Codigo],$A100)-_xlfn.MINIFS(tblLecturas[Fecha],tblLecturas[Codigo],$A100))),1)),"")</f>
        <v>0</v>
      </c>
      <c r="L100" s="18">
        <f>IFERROR(_xlfn.MAXIFS(tblLecturas[Fecha],tblLecturas[Codigo],$A100),"")</f>
        <v>46108</v>
      </c>
      <c r="M100" s="24">
        <f>IFERROR(_xlfn.MAXIFS(Lecturas!$C:$C,Lecturas!$B:$B,$A100,Lecturas!$C:$C,"&gt;0"),"")</f>
        <v>14098</v>
      </c>
      <c r="N100" s="24">
        <f>IFERROR(_xlfn.MAXIFS(tblLecturas[Kilometraje],tblLecturas[Codigo],$A100,tblLecturas[Kilometraje],"&gt;0"),"")</f>
        <v>0</v>
      </c>
      <c r="O100" s="24" cm="1">
        <f t="array" ref="O100">IFERROR(IF($I100="KM",LOOKUP(2,1/(Lecturas!$B:$B=$A100)/(Lecturas!$D:$D&gt;0),Lecturas!$D:$D),LOOKUP(2,1/(Lecturas!$B:$B=$A100)/(Lecturas!$C:$C&gt;0),Lecturas!$C:$C)),"")</f>
        <v>14098</v>
      </c>
      <c r="P100" s="18">
        <f>IFERROR(_xlfn.MAXIFS(tblMantenciones[Fecha],tblMantenciones[Codigo],tblMaestroEquipos[[#This Row],[Codigo]],tblMantenciones[EsPM],"Sí"),"")</f>
        <v>46105</v>
      </c>
      <c r="Q100" s="70">
        <f>IF(_xlfn.MAXIFS(Mantenciones!$D:$D,Mantenciones!$B:$B,A100)=0,"Sin datos de mantención registrado",_xlfn.MAXIFS(Mantenciones!$D:$D,Mantenciones!$B:$B,A100))</f>
        <v>14082</v>
      </c>
      <c r="R100" s="16">
        <f>IFERROR(IF(_xlfn.MAXIFS(Mantenciones!$D:$D,Mantenciones!$B:$B,$A100,Mantenciones!$E:$E,"Sí",Mantenciones!$D:$D,"&gt;0")=0,"Sin datos de mantención registrado",_xlfn.MAXIFS(Mantenciones!$D:$D,Mantenciones!$B:$B,$A100,Mantenciones!$E:$E,"Sí",Mantenciones!$D:$D,"&gt;0")),"Sin datos de mantención registrado")</f>
        <v>14082</v>
      </c>
      <c r="S100" s="19">
        <f>IFERROR(SUMIFS(tblMantenciones[Costo Mantencion CLP],tblMantenciones[Codigo],A100),0)</f>
        <v>0</v>
      </c>
      <c r="T100" s="19">
        <f>IFERROR(SUMIFS(tblComprasPM[Costo PM CLP],tblComprasPM[Codigo],tblMaestroEquipos[[#This Row],[Codigo]]),0)</f>
        <v>0</v>
      </c>
      <c r="U100" s="19">
        <f>IFERROR(tblMaestroEquipos[[#This Row],[Costo Mantenciones CLP]]+tblMaestroEquipos[[#This Row],[Costo Compras PM CLP]],0)</f>
        <v>0</v>
      </c>
      <c r="V100" s="16" t="str">
        <f>IFERROR(_xlfn.XLOOKUP(tblMaestroEquipos[[#This Row],[Codigo]],tblEquipos[Codigo],tblEquipos[Estado Base]),"")</f>
        <v>Operativo</v>
      </c>
      <c r="W100" s="16" t="str">
        <f t="shared" si="8"/>
        <v>AL DÍA</v>
      </c>
      <c r="X100" s="16">
        <f t="shared" si="9"/>
        <v>234</v>
      </c>
      <c r="Y100" s="23">
        <f>IFERROR(IF(OR(tblMaestroEquipos[[#This Row],[Estado Operacional]]="FUERA DE SERVICIO",tblMaestroEquipos[[#This Row],[Ultima Fecha Lectura]]="",tblMaestroEquipos[[#This Row],[Dias a Proxima Mantencion]]=""),"",tblMaestroEquipos[[#This Row],[Ultima Fecha Lectura]]+tblMaestroEquipos[[#This Row],[Dias a Proxima Mantencion]]),"")</f>
        <v>46342</v>
      </c>
      <c r="Z100" s="23" t="str">
        <f>IFERROR(IF(_xlfn.MINIFS(tblComprasPM[Fecha],tblComprasPM[Codigo],tblMaestroEquipos[[#This Row],[Codigo]])=0,"",_xlfn.MINIFS(tblComprasPM[Fecha],tblComprasPM[Codigo],tblMaestroEquipos[[#This Row],[Codigo]])),"")</f>
        <v/>
      </c>
      <c r="AA100" s="23">
        <f>IFERROR(IF(_xlfn.MAXIFS(tblBodega[Fecha],tblBodega[Codigo],tblMaestroEquipos[[#This Row],[Codigo]])=0,"",_xlfn.MAXIFS(tblBodega[Fecha],tblBodega[Codigo],tblMaestroEquipos[[#This Row],[Codigo]])),"")</f>
        <v>46105</v>
      </c>
      <c r="AB100"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00"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00" s="16" t="str">
        <f>IF(tblMaestroEquipos[[#This Row],[Fecha Salida Bodega]]="","SIN SALIDA BODEGA",IF(OR(tblMaestroEquipos[[#This Row],[Ultima Fecha PM]]="",tblMaestroEquipos[[#This Row],[Ultima Fecha PM]]&lt;tblMaestroEquipos[[#This Row],[Fecha Salida Bodega]]),"PENDIENTE","CERRADO"))</f>
        <v>CERRADO</v>
      </c>
      <c r="AE100" s="48" t="str">
        <f t="shared" si="10"/>
        <v>OPERATIVO</v>
      </c>
      <c r="AF100" s="16" t="str">
        <f t="shared" si="11"/>
        <v>BAJA</v>
      </c>
      <c r="AG100" s="16" t="str">
        <f t="shared" si="12"/>
        <v>Monitorear próximo vencimiento</v>
      </c>
      <c r="AH100" s="25">
        <f t="shared" si="13"/>
        <v>0</v>
      </c>
      <c r="AI100" s="25" t="str">
        <f t="shared" si="14"/>
        <v/>
      </c>
      <c r="AJ100" s="22">
        <f t="shared" si="15"/>
        <v>99</v>
      </c>
    </row>
    <row r="101" spans="1:36">
      <c r="A101" s="16" t="s">
        <v>328</v>
      </c>
      <c r="B101" s="16" t="s">
        <v>274</v>
      </c>
      <c r="C101" s="16" t="s">
        <v>1385</v>
      </c>
      <c r="D101" s="16" t="s">
        <v>275</v>
      </c>
      <c r="E101" s="17" t="s">
        <v>276</v>
      </c>
      <c r="F101" s="16">
        <v>2012</v>
      </c>
      <c r="G101" s="17" t="str">
        <f>IFERROR(_xlfn.XLOOKUP($A101,tblEquipos[Codigo],tblEquipos[Ubicacion],""),"")</f>
        <v>TALLER</v>
      </c>
      <c r="H101" s="16" t="s">
        <v>329</v>
      </c>
      <c r="I101" s="16" t="str">
        <f>IFERROR(VLOOKUP(A101, Equipos!A:J, 9, FALSE), "")</f>
        <v>HORAS</v>
      </c>
      <c r="J101" s="16">
        <f>IFERROR(VLOOKUP(A101, Equipos!A:J, 10, FALSE), "")</f>
        <v>300</v>
      </c>
      <c r="K101" s="16">
        <f>IFERROR(IF($I101="KM",ROUND((_xlfn.MAXIFS(tblLecturas[Kilometraje],tblLecturas[Codigo],$A101)-_xlfn.MINIFS(tblLecturas[Kilometraje],tblLecturas[Codigo],$A101))/(MAX(1,_xlfn.MAXIFS(tblLecturas[Fecha],tblLecturas[Codigo],$A101)-_xlfn.MINIFS(tblLecturas[Fecha],tblLecturas[Codigo],$A101))),1),ROUND((_xlfn.MAXIFS(tblLecturas[Horometro],tblLecturas[Codigo],$A101)-_xlfn.MINIFS(tblLecturas[Horometro],tblLecturas[Codigo],$A101))/(MAX(1,_xlfn.MAXIFS(tblLecturas[Fecha],tblLecturas[Codigo],$A101)-_xlfn.MINIFS(tblLecturas[Fecha],tblLecturas[Codigo],$A101))),1)),"")</f>
        <v>0</v>
      </c>
      <c r="L101" s="18">
        <f>IFERROR(_xlfn.MAXIFS(tblLecturas[Fecha],tblLecturas[Codigo],$A101),"")</f>
        <v>45189</v>
      </c>
      <c r="M101" s="24">
        <f>IFERROR(_xlfn.MAXIFS(Lecturas!$C:$C,Lecturas!$B:$B,$A101,Lecturas!$C:$C,"&gt;0"),"")</f>
        <v>7947</v>
      </c>
      <c r="N101" s="24">
        <f>IFERROR(_xlfn.MAXIFS(tblLecturas[Kilometraje],tblLecturas[Codigo],$A101,tblLecturas[Kilometraje],"&gt;0"),"")</f>
        <v>0</v>
      </c>
      <c r="O101" s="24" cm="1">
        <f t="array" ref="O101">IFERROR(IF($I101="KM",LOOKUP(2,1/(Lecturas!$B:$B=$A101)/(Lecturas!$D:$D&gt;0),Lecturas!$D:$D),LOOKUP(2,1/(Lecturas!$B:$B=$A101)/(Lecturas!$C:$C&gt;0),Lecturas!$C:$C)),"")</f>
        <v>7947</v>
      </c>
      <c r="P101" s="18">
        <f>IFERROR(_xlfn.MAXIFS(tblMantenciones[Fecha],tblMantenciones[Codigo],tblMaestroEquipos[[#This Row],[Codigo]],tblMantenciones[EsPM],"Sí"),"")</f>
        <v>45273</v>
      </c>
      <c r="Q101" s="70">
        <f>IF(_xlfn.MAXIFS(Mantenciones!$D:$D,Mantenciones!$B:$B,A101)=0,"Sin datos de mantención registrado",_xlfn.MAXIFS(Mantenciones!$D:$D,Mantenciones!$B:$B,A101))</f>
        <v>8117</v>
      </c>
      <c r="R101" s="16">
        <f>IFERROR(IF(_xlfn.MAXIFS(Mantenciones!$D:$D,Mantenciones!$B:$B,$A101,Mantenciones!$E:$E,"Sí",Mantenciones!$D:$D,"&gt;0")=0,"Sin datos de mantención registrado",_xlfn.MAXIFS(Mantenciones!$D:$D,Mantenciones!$B:$B,$A101,Mantenciones!$E:$E,"Sí",Mantenciones!$D:$D,"&gt;0")),"Sin datos de mantención registrado")</f>
        <v>8117</v>
      </c>
      <c r="S101" s="19">
        <f>IFERROR(SUMIFS(tblMantenciones[Costo Mantencion CLP],tblMantenciones[Codigo],A101),0)</f>
        <v>0</v>
      </c>
      <c r="T101" s="19">
        <f>IFERROR(SUMIFS(tblComprasPM[Costo PM CLP],tblComprasPM[Codigo],tblMaestroEquipos[[#This Row],[Codigo]]),0)</f>
        <v>234660.86</v>
      </c>
      <c r="U101" s="19">
        <f>IFERROR(tblMaestroEquipos[[#This Row],[Costo Mantenciones CLP]]+tblMaestroEquipos[[#This Row],[Costo Compras PM CLP]],0)</f>
        <v>234660.86</v>
      </c>
      <c r="V101" s="16" t="str">
        <f>IFERROR(_xlfn.XLOOKUP(tblMaestroEquipos[[#This Row],[Codigo]],tblEquipos[Codigo],tblEquipos[Estado Base]),"")</f>
        <v>Operativo</v>
      </c>
      <c r="W101" s="16" t="str">
        <f t="shared" si="8"/>
        <v>EN PROCESO</v>
      </c>
      <c r="X101" s="16">
        <f t="shared" si="9"/>
        <v>470</v>
      </c>
      <c r="Y101" s="23">
        <f>IFERROR(IF(OR(tblMaestroEquipos[[#This Row],[Estado Operacional]]="FUERA DE SERVICIO",tblMaestroEquipos[[#This Row],[Ultima Fecha Lectura]]="",tblMaestroEquipos[[#This Row],[Dias a Proxima Mantencion]]=""),"",tblMaestroEquipos[[#This Row],[Ultima Fecha Lectura]]+tblMaestroEquipos[[#This Row],[Dias a Proxima Mantencion]]),"")</f>
        <v>45659</v>
      </c>
      <c r="Z101" s="23">
        <f>IFERROR(IF(_xlfn.MINIFS(tblComprasPM[Fecha],tblComprasPM[Codigo],tblMaestroEquipos[[#This Row],[Codigo]])=0,"",_xlfn.MINIFS(tblComprasPM[Fecha],tblComprasPM[Codigo],tblMaestroEquipos[[#This Row],[Codigo]])),"")</f>
        <v>46154.391135497703</v>
      </c>
      <c r="AA101" s="23" t="str">
        <f>IFERROR(IF(_xlfn.MAXIFS(tblBodega[Fecha],tblBodega[Codigo],tblMaestroEquipos[[#This Row],[Codigo]])=0,"",_xlfn.MAXIFS(tblBodega[Fecha],tblBodega[Codigo],tblMaestroEquipos[[#This Row],[Codigo]])),"")</f>
        <v/>
      </c>
      <c r="AB10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01"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01" s="16" t="str">
        <f>IF(tblMaestroEquipos[[#This Row],[Fecha Salida Bodega]]="","SIN SALIDA BODEGA",IF(OR(tblMaestroEquipos[[#This Row],[Ultima Fecha PM]]="",tblMaestroEquipos[[#This Row],[Ultima Fecha PM]]&lt;tblMaestroEquipos[[#This Row],[Fecha Salida Bodega]]),"PENDIENTE","CERRADO"))</f>
        <v>SIN SALIDA BODEGA</v>
      </c>
      <c r="AE101" s="48" t="str">
        <f t="shared" si="10"/>
        <v>EN PROCESO</v>
      </c>
      <c r="AF101" s="16" t="str">
        <f t="shared" si="11"/>
        <v>SEGUIMIENTO</v>
      </c>
      <c r="AG101" s="16" t="str">
        <f t="shared" si="12"/>
        <v>Hacer seguimiento al taller y cerrar report</v>
      </c>
      <c r="AH101">
        <f t="shared" si="13"/>
        <v>0</v>
      </c>
      <c r="AI101" t="str">
        <f t="shared" si="14"/>
        <v/>
      </c>
      <c r="AJ101" s="22">
        <f t="shared" si="15"/>
        <v>2</v>
      </c>
    </row>
    <row r="102" spans="1:36">
      <c r="A102" s="16" t="s">
        <v>330</v>
      </c>
      <c r="B102" s="16" t="s">
        <v>269</v>
      </c>
      <c r="C102" s="16" t="s">
        <v>1385</v>
      </c>
      <c r="D102" s="16" t="s">
        <v>325</v>
      </c>
      <c r="E102" s="17" t="s">
        <v>331</v>
      </c>
      <c r="F102" s="16">
        <v>2013</v>
      </c>
      <c r="G102" s="17" t="str">
        <f>IFERROR(_xlfn.XLOOKUP($A102,tblEquipos[Codigo],tblEquipos[Ubicacion],""),"")</f>
        <v>Colbun</v>
      </c>
      <c r="H102" s="16" t="s">
        <v>1397</v>
      </c>
      <c r="I102" s="16" t="str">
        <f>IFERROR(VLOOKUP(A102, Equipos!A:J, 9, FALSE), "")</f>
        <v>HORAS</v>
      </c>
      <c r="J102" s="16">
        <f>IFERROR(VLOOKUP(A102, Equipos!A:J, 10, FALSE), "")</f>
        <v>250</v>
      </c>
      <c r="K102" s="16">
        <f>IFERROR(IF($I102="KM",ROUND((_xlfn.MAXIFS(tblLecturas[Kilometraje],tblLecturas[Codigo],$A102)-_xlfn.MINIFS(tblLecturas[Kilometraje],tblLecturas[Codigo],$A102))/(MAX(1,_xlfn.MAXIFS(tblLecturas[Fecha],tblLecturas[Codigo],$A102)-_xlfn.MINIFS(tblLecturas[Fecha],tblLecturas[Codigo],$A102))),1),ROUND((_xlfn.MAXIFS(tblLecturas[Horometro],tblLecturas[Codigo],$A102)-_xlfn.MINIFS(tblLecturas[Horometro],tblLecturas[Codigo],$A102))/(MAX(1,_xlfn.MAXIFS(tblLecturas[Fecha],tblLecturas[Codigo],$A102)-_xlfn.MINIFS(tblLecturas[Fecha],tblLecturas[Codigo],$A102))),1)),"")</f>
        <v>28.1</v>
      </c>
      <c r="L102" s="18">
        <f>IFERROR(_xlfn.MAXIFS(tblLecturas[Fecha],tblLecturas[Codigo],$A102),"")</f>
        <v>46108</v>
      </c>
      <c r="M102" s="24">
        <f>IFERROR(_xlfn.MAXIFS(Lecturas!$C:$C,Lecturas!$B:$B,$A102,Lecturas!$C:$C,"&gt;0"),"")</f>
        <v>9000.5</v>
      </c>
      <c r="N102" s="24">
        <f>IFERROR(_xlfn.MAXIFS(tblLecturas[Kilometraje],tblLecturas[Codigo],$A102,tblLecturas[Kilometraje],"&gt;0"),"")</f>
        <v>0</v>
      </c>
      <c r="O102" s="24" cm="1">
        <f t="array" ref="O102">IFERROR(IF($I102="KM",LOOKUP(2,1/(Lecturas!$B:$B=$A102)/(Lecturas!$D:$D&gt;0),Lecturas!$D:$D),LOOKUP(2,1/(Lecturas!$B:$B=$A102)/(Lecturas!$C:$C&gt;0),Lecturas!$C:$C)),"")</f>
        <v>8923</v>
      </c>
      <c r="P102" s="18">
        <f>IFERROR(_xlfn.MAXIFS(tblMantenciones[Fecha],tblMantenciones[Codigo],tblMaestroEquipos[[#This Row],[Codigo]],tblMantenciones[EsPM],"Sí"),"")</f>
        <v>46085</v>
      </c>
      <c r="Q102" s="70">
        <f>IF(_xlfn.MAXIFS(Mantenciones!$D:$D,Mantenciones!$B:$B,A102)=0,"Sin datos de mantención registrado",_xlfn.MAXIFS(Mantenciones!$D:$D,Mantenciones!$B:$B,A102))</f>
        <v>14751</v>
      </c>
      <c r="R102" s="16">
        <f>IFERROR(IF(_xlfn.MAXIFS(Mantenciones!$D:$D,Mantenciones!$B:$B,$A102,Mantenciones!$E:$E,"Sí",Mantenciones!$D:$D,"&gt;0")=0,"Sin datos de mantención registrado",_xlfn.MAXIFS(Mantenciones!$D:$D,Mantenciones!$B:$B,$A102,Mantenciones!$E:$E,"Sí",Mantenciones!$D:$D,"&gt;0")),"Sin datos de mantención registrado")</f>
        <v>14751</v>
      </c>
      <c r="S102" s="19">
        <f>IFERROR(SUMIFS(tblMantenciones[Costo Mantencion CLP],tblMantenciones[Codigo],A102),0)</f>
        <v>0</v>
      </c>
      <c r="T102" s="19">
        <f>IFERROR(SUMIFS(tblComprasPM[Costo PM CLP],tblComprasPM[Codigo],tblMaestroEquipos[[#This Row],[Codigo]]),0)</f>
        <v>603437.1</v>
      </c>
      <c r="U102" s="19">
        <f>IFERROR(tblMaestroEquipos[[#This Row],[Costo Mantenciones CLP]]+tblMaestroEquipos[[#This Row],[Costo Compras PM CLP]],0)</f>
        <v>603437.1</v>
      </c>
      <c r="V102" s="16" t="str">
        <f>IFERROR(_xlfn.XLOOKUP(tblMaestroEquipos[[#This Row],[Codigo]],tblEquipos[Codigo],tblEquipos[Estado Base]),"")</f>
        <v>Operativo</v>
      </c>
      <c r="W102" s="16" t="str">
        <f t="shared" si="8"/>
        <v>AL DÍA</v>
      </c>
      <c r="X102" s="16">
        <f t="shared" si="9"/>
        <v>6078</v>
      </c>
      <c r="Y102" s="23">
        <f>IFERROR(IF(OR(tblMaestroEquipos[[#This Row],[Estado Operacional]]="FUERA DE SERVICIO",tblMaestroEquipos[[#This Row],[Ultima Fecha Lectura]]="",tblMaestroEquipos[[#This Row],[Dias a Proxima Mantencion]]=""),"",tblMaestroEquipos[[#This Row],[Ultima Fecha Lectura]]+tblMaestroEquipos[[#This Row],[Dias a Proxima Mantencion]]),"")</f>
        <v>52186</v>
      </c>
      <c r="Z102" s="23">
        <f>IFERROR(IF(_xlfn.MINIFS(tblComprasPM[Fecha],tblComprasPM[Codigo],tblMaestroEquipos[[#This Row],[Codigo]])=0,"",_xlfn.MINIFS(tblComprasPM[Fecha],tblComprasPM[Codigo],tblMaestroEquipos[[#This Row],[Codigo]])),"")</f>
        <v>46083.500426041697</v>
      </c>
      <c r="AA102" s="23">
        <f>IFERROR(IF(_xlfn.MAXIFS(tblBodega[Fecha],tblBodega[Codigo],tblMaestroEquipos[[#This Row],[Codigo]])=0,"",_xlfn.MAXIFS(tblBodega[Fecha],tblBodega[Codigo],tblMaestroEquipos[[#This Row],[Codigo]])),"")</f>
        <v>46085</v>
      </c>
      <c r="AB102"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2</v>
      </c>
      <c r="AC102"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02" s="16" t="str">
        <f>IF(tblMaestroEquipos[[#This Row],[Fecha Salida Bodega]]="","SIN SALIDA BODEGA",IF(OR(tblMaestroEquipos[[#This Row],[Ultima Fecha PM]]="",tblMaestroEquipos[[#This Row],[Ultima Fecha PM]]&lt;tblMaestroEquipos[[#This Row],[Fecha Salida Bodega]]),"PENDIENTE","CERRADO"))</f>
        <v>CERRADO</v>
      </c>
      <c r="AE102" s="48" t="str">
        <f t="shared" si="10"/>
        <v>OPERATIVO</v>
      </c>
      <c r="AF102" s="16" t="str">
        <f t="shared" si="11"/>
        <v>BAJA</v>
      </c>
      <c r="AG102" s="16" t="str">
        <f t="shared" si="12"/>
        <v>Monitorear próximo vencimiento</v>
      </c>
      <c r="AH102">
        <f t="shared" si="13"/>
        <v>0</v>
      </c>
      <c r="AI102" t="str">
        <f t="shared" si="14"/>
        <v/>
      </c>
      <c r="AJ102" s="22">
        <f t="shared" si="15"/>
        <v>99</v>
      </c>
    </row>
    <row r="103" spans="1:36" s="25" customFormat="1">
      <c r="A103" s="16" t="s">
        <v>333</v>
      </c>
      <c r="B103" s="16" t="s">
        <v>274</v>
      </c>
      <c r="C103" s="16" t="s">
        <v>1385</v>
      </c>
      <c r="D103" s="16" t="s">
        <v>275</v>
      </c>
      <c r="E103" s="17" t="s">
        <v>276</v>
      </c>
      <c r="F103" s="16">
        <v>2011</v>
      </c>
      <c r="G103" s="17" t="str">
        <f>IFERROR(_xlfn.XLOOKUP($A103,tblEquipos[Codigo],tblEquipos[Ubicacion],""),"")</f>
        <v>Palmucho</v>
      </c>
      <c r="H103" s="16" t="s">
        <v>1398</v>
      </c>
      <c r="I103" s="16" t="str">
        <f>IFERROR(VLOOKUP(A103, Equipos!A:J, 9, FALSE), "")</f>
        <v>HORAS</v>
      </c>
      <c r="J103" s="16">
        <f>IFERROR(VLOOKUP(A103, Equipos!A:J, 10, FALSE), "")</f>
        <v>300</v>
      </c>
      <c r="K103" s="16">
        <f>IFERROR(IF($I103="KM",ROUND((_xlfn.MAXIFS(tblLecturas[Kilometraje],tblLecturas[Codigo],$A103)-_xlfn.MINIFS(tblLecturas[Kilometraje],tblLecturas[Codigo],$A103))/(MAX(1,_xlfn.MAXIFS(tblLecturas[Fecha],tblLecturas[Codigo],$A103)-_xlfn.MINIFS(tblLecturas[Fecha],tblLecturas[Codigo],$A103))),1),ROUND((_xlfn.MAXIFS(tblLecturas[Horometro],tblLecturas[Codigo],$A103)-_xlfn.MINIFS(tblLecturas[Horometro],tblLecturas[Codigo],$A103))/(MAX(1,_xlfn.MAXIFS(tblLecturas[Fecha],tblLecturas[Codigo],$A103)-_xlfn.MINIFS(tblLecturas[Fecha],tblLecturas[Codigo],$A103))),1)),"")</f>
        <v>1.6</v>
      </c>
      <c r="L103" s="18">
        <f>IFERROR(_xlfn.MAXIFS(tblLecturas[Fecha],tblLecturas[Codigo],$A103),"")</f>
        <v>46196</v>
      </c>
      <c r="M103" s="24">
        <f>IFERROR(_xlfn.MAXIFS(Lecturas!$C:$C,Lecturas!$B:$B,$A103,Lecturas!$C:$C,"&gt;0"),"")</f>
        <v>7219</v>
      </c>
      <c r="N103" s="24">
        <f>IFERROR(_xlfn.MAXIFS(tblLecturas[Kilometraje],tblLecturas[Codigo],$A103,tblLecturas[Kilometraje],"&gt;0"),"")</f>
        <v>307050</v>
      </c>
      <c r="O103" s="24" cm="1">
        <f t="array" ref="O103">IFERROR(IF($I103="KM",LOOKUP(2,1/(Lecturas!$B:$B=$A103)/(Lecturas!$D:$D&gt;0),Lecturas!$D:$D),LOOKUP(2,1/(Lecturas!$B:$B=$A103)/(Lecturas!$C:$C&gt;0),Lecturas!$C:$C)),"")</f>
        <v>7219</v>
      </c>
      <c r="P103" s="18">
        <f>IFERROR(_xlfn.MAXIFS(tblMantenciones[Fecha],tblMantenciones[Codigo],tblMaestroEquipos[[#This Row],[Codigo]],tblMantenciones[EsPM],"Sí"),"")</f>
        <v>44757</v>
      </c>
      <c r="Q103" s="70">
        <f>IF(_xlfn.MAXIFS(Mantenciones!$D:$D,Mantenciones!$B:$B,A103)=0,"Sin datos de mantención registrado",_xlfn.MAXIFS(Mantenciones!$D:$D,Mantenciones!$B:$B,A103))</f>
        <v>5589</v>
      </c>
      <c r="R103" s="16">
        <f>IFERROR(IF(_xlfn.MAXIFS(Mantenciones!$D:$D,Mantenciones!$B:$B,$A103,Mantenciones!$E:$E,"Sí",Mantenciones!$D:$D,"&gt;0")=0,"Sin datos de mantención registrado",_xlfn.MAXIFS(Mantenciones!$D:$D,Mantenciones!$B:$B,$A103,Mantenciones!$E:$E,"Sí",Mantenciones!$D:$D,"&gt;0")),"Sin datos de mantención registrado")</f>
        <v>5589</v>
      </c>
      <c r="S103" s="19">
        <f>IFERROR(SUMIFS(tblMantenciones[Costo Mantencion CLP],tblMantenciones[Codigo],A103),0)</f>
        <v>0</v>
      </c>
      <c r="T103" s="19">
        <f>IFERROR(SUMIFS(tblComprasPM[Costo PM CLP],tblComprasPM[Codigo],tblMaestroEquipos[[#This Row],[Codigo]]),0)</f>
        <v>0</v>
      </c>
      <c r="U103" s="19">
        <f>IFERROR(tblMaestroEquipos[[#This Row],[Costo Mantenciones CLP]]+tblMaestroEquipos[[#This Row],[Costo Compras PM CLP]],0)</f>
        <v>0</v>
      </c>
      <c r="V103" s="16" t="str">
        <f>IFERROR(_xlfn.XLOOKUP(tblMaestroEquipos[[#This Row],[Codigo]],tblEquipos[Codigo],tblEquipos[Estado Base]),"")</f>
        <v>Operativo</v>
      </c>
      <c r="W103" s="16" t="str">
        <f t="shared" si="8"/>
        <v>POR RECIBIR</v>
      </c>
      <c r="X103" s="16">
        <f t="shared" si="9"/>
        <v>-1330</v>
      </c>
      <c r="Y103" s="23">
        <f>IFERROR(IF(OR(tblMaestroEquipos[[#This Row],[Estado Operacional]]="FUERA DE SERVICIO",tblMaestroEquipos[[#This Row],[Ultima Fecha Lectura]]="",tblMaestroEquipos[[#This Row],[Dias a Proxima Mantencion]]=""),"",tblMaestroEquipos[[#This Row],[Ultima Fecha Lectura]]+tblMaestroEquipos[[#This Row],[Dias a Proxima Mantencion]]),"")</f>
        <v>44866</v>
      </c>
      <c r="Z103" s="23" t="str">
        <f>IFERROR(IF(_xlfn.MINIFS(tblComprasPM[Fecha],tblComprasPM[Codigo],tblMaestroEquipos[[#This Row],[Codigo]])=0,"",_xlfn.MINIFS(tblComprasPM[Fecha],tblComprasPM[Codigo],tblMaestroEquipos[[#This Row],[Codigo]])),"")</f>
        <v/>
      </c>
      <c r="AA103" s="23">
        <f>IFERROR(IF(_xlfn.MAXIFS(tblBodega[Fecha],tblBodega[Codigo],tblMaestroEquipos[[#This Row],[Codigo]])=0,"",_xlfn.MAXIFS(tblBodega[Fecha],tblBodega[Codigo],tblMaestroEquipos[[#This Row],[Codigo]])),"")</f>
        <v>46073</v>
      </c>
      <c r="AB103"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03"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03" s="16" t="str">
        <f>IF(tblMaestroEquipos[[#This Row],[Fecha Salida Bodega]]="","SIN SALIDA BODEGA",IF(OR(tblMaestroEquipos[[#This Row],[Ultima Fecha PM]]="",tblMaestroEquipos[[#This Row],[Ultima Fecha PM]]&lt;tblMaestroEquipos[[#This Row],[Fecha Salida Bodega]]),"PENDIENTE","CERRADO"))</f>
        <v>PENDIENTE</v>
      </c>
      <c r="AE103" s="48" t="str">
        <f t="shared" si="10"/>
        <v>OPERATIVO</v>
      </c>
      <c r="AF103" s="16" t="str">
        <f t="shared" si="11"/>
        <v>BAJA</v>
      </c>
      <c r="AG103" s="16" t="str">
        <f t="shared" si="12"/>
        <v>Monitorear próximo vencimiento</v>
      </c>
      <c r="AH103">
        <f t="shared" si="13"/>
        <v>0</v>
      </c>
      <c r="AI103" t="str">
        <f t="shared" si="14"/>
        <v/>
      </c>
      <c r="AJ103" s="22">
        <f t="shared" si="15"/>
        <v>3</v>
      </c>
    </row>
    <row r="104" spans="1:36">
      <c r="A104" s="16" t="s">
        <v>334</v>
      </c>
      <c r="B104" s="16" t="s">
        <v>284</v>
      </c>
      <c r="C104" s="16" t="s">
        <v>1385</v>
      </c>
      <c r="D104" s="16" t="s">
        <v>325</v>
      </c>
      <c r="E104" s="17" t="s">
        <v>335</v>
      </c>
      <c r="F104" s="16">
        <v>2013</v>
      </c>
      <c r="G104" s="17" t="str">
        <f>IFERROR(_xlfn.XLOOKUP($A104,tblEquipos[Codigo],tblEquipos[Ubicacion],""),"")</f>
        <v>Taller ext</v>
      </c>
      <c r="H104" s="16" t="s">
        <v>56</v>
      </c>
      <c r="I104" s="16" t="str">
        <f>IFERROR(VLOOKUP(A104, Equipos!A:J, 9, FALSE), "")</f>
        <v>HORAS</v>
      </c>
      <c r="J104" s="16">
        <f>IFERROR(VLOOKUP(A104, Equipos!A:J, 10, FALSE), "")</f>
        <v>250</v>
      </c>
      <c r="K104" s="16">
        <f>IFERROR(IF($I104="KM",ROUND((_xlfn.MAXIFS(tblLecturas[Kilometraje],tblLecturas[Codigo],$A104)-_xlfn.MINIFS(tblLecturas[Kilometraje],tblLecturas[Codigo],$A104))/(MAX(1,_xlfn.MAXIFS(tblLecturas[Fecha],tblLecturas[Codigo],$A104)-_xlfn.MINIFS(tblLecturas[Fecha],tblLecturas[Codigo],$A104))),1),ROUND((_xlfn.MAXIFS(tblLecturas[Horometro],tblLecturas[Codigo],$A104)-_xlfn.MINIFS(tblLecturas[Horometro],tblLecturas[Codigo],$A104))/(MAX(1,_xlfn.MAXIFS(tblLecturas[Fecha],tblLecturas[Codigo],$A104)-_xlfn.MINIFS(tblLecturas[Fecha],tblLecturas[Codigo],$A104))),1)),"")</f>
        <v>0</v>
      </c>
      <c r="L104" s="18">
        <f>IFERROR(_xlfn.MAXIFS(tblLecturas[Fecha],tblLecturas[Codigo],$A104),"")</f>
        <v>0</v>
      </c>
      <c r="M104" s="24">
        <f>IFERROR(_xlfn.MAXIFS(Lecturas!$C:$C,Lecturas!$B:$B,$A104,Lecturas!$C:$C,"&gt;0"),"")</f>
        <v>0</v>
      </c>
      <c r="N104" s="24">
        <f>IFERROR(_xlfn.MAXIFS(tblLecturas[Kilometraje],tblLecturas[Codigo],$A104,tblLecturas[Kilometraje],"&gt;0"),"")</f>
        <v>0</v>
      </c>
      <c r="O104" s="24" t="str" cm="1">
        <f t="array" ref="O104">IFERROR(IF($I104="KM",LOOKUP(2,1/(Lecturas!$B:$B=$A104)/(Lecturas!$D:$D&gt;0),Lecturas!$D:$D),LOOKUP(2,1/(Lecturas!$B:$B=$A104)/(Lecturas!$C:$C&gt;0),Lecturas!$C:$C)),"")</f>
        <v/>
      </c>
      <c r="P104" s="18">
        <f>IFERROR(_xlfn.MAXIFS(tblMantenciones[Fecha],tblMantenciones[Codigo],tblMaestroEquipos[[#This Row],[Codigo]],tblMantenciones[EsPM],"Sí"),"")</f>
        <v>44718</v>
      </c>
      <c r="Q104" s="70">
        <f>IF(_xlfn.MAXIFS(Mantenciones!$D:$D,Mantenciones!$B:$B,A104)=0,"Sin datos de mantención registrado",_xlfn.MAXIFS(Mantenciones!$D:$D,Mantenciones!$B:$B,A104))</f>
        <v>18873</v>
      </c>
      <c r="R104" s="16">
        <f>IFERROR(IF(_xlfn.MAXIFS(Mantenciones!$D:$D,Mantenciones!$B:$B,$A104,Mantenciones!$E:$E,"Sí",Mantenciones!$D:$D,"&gt;0")=0,"Sin datos de mantención registrado",_xlfn.MAXIFS(Mantenciones!$D:$D,Mantenciones!$B:$B,$A104,Mantenciones!$E:$E,"Sí",Mantenciones!$D:$D,"&gt;0")),"Sin datos de mantención registrado")</f>
        <v>18873</v>
      </c>
      <c r="S104" s="19">
        <f>IFERROR(SUMIFS(tblMantenciones[Costo Mantencion CLP],tblMantenciones[Codigo],A104),0)</f>
        <v>0</v>
      </c>
      <c r="T104" s="19">
        <f>IFERROR(SUMIFS(tblComprasPM[Costo PM CLP],tblComprasPM[Codigo],tblMaestroEquipos[[#This Row],[Codigo]]),0)</f>
        <v>0</v>
      </c>
      <c r="U104" s="19">
        <f>IFERROR(tblMaestroEquipos[[#This Row],[Costo Mantenciones CLP]]+tblMaestroEquipos[[#This Row],[Costo Compras PM CLP]],0)</f>
        <v>0</v>
      </c>
      <c r="V104" s="16" t="str">
        <f>IFERROR(_xlfn.XLOOKUP(tblMaestroEquipos[[#This Row],[Codigo]],tblEquipos[Codigo],tblEquipos[Estado Base]),"")</f>
        <v>Taller</v>
      </c>
      <c r="W104" s="16" t="str">
        <f t="shared" si="8"/>
        <v>EN TALLER</v>
      </c>
      <c r="X104" s="16" t="str">
        <f t="shared" si="9"/>
        <v/>
      </c>
      <c r="Y104"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04" s="23" t="str">
        <f>IFERROR(IF(_xlfn.MINIFS(tblComprasPM[Fecha],tblComprasPM[Codigo],tblMaestroEquipos[[#This Row],[Codigo]])=0,"",_xlfn.MINIFS(tblComprasPM[Fecha],tblComprasPM[Codigo],tblMaestroEquipos[[#This Row],[Codigo]])),"")</f>
        <v/>
      </c>
      <c r="AA104" s="23" t="str">
        <f>IFERROR(IF(_xlfn.MAXIFS(tblBodega[Fecha],tblBodega[Codigo],tblMaestroEquipos[[#This Row],[Codigo]])=0,"",_xlfn.MAXIFS(tblBodega[Fecha],tblBodega[Codigo],tblMaestroEquipos[[#This Row],[Codigo]])),"")</f>
        <v/>
      </c>
      <c r="AB104"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04"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04" s="16" t="str">
        <f>IF(tblMaestroEquipos[[#This Row],[Fecha Salida Bodega]]="","SIN SALIDA BODEGA",IF(OR(tblMaestroEquipos[[#This Row],[Ultima Fecha PM]]="",tblMaestroEquipos[[#This Row],[Ultima Fecha PM]]&lt;tblMaestroEquipos[[#This Row],[Fecha Salida Bodega]]),"PENDIENTE","CERRADO"))</f>
        <v>SIN SALIDA BODEGA</v>
      </c>
      <c r="AE104" s="48" t="str">
        <f t="shared" si="10"/>
        <v>EN TALLER</v>
      </c>
      <c r="AF104" s="16" t="str">
        <f t="shared" si="11"/>
        <v>BAJA</v>
      </c>
      <c r="AG104" s="16" t="str">
        <f t="shared" si="12"/>
        <v>Monitorear próximo vencimiento</v>
      </c>
      <c r="AH104" s="25">
        <f t="shared" si="13"/>
        <v>0</v>
      </c>
      <c r="AI104" s="25" t="str">
        <f t="shared" si="14"/>
        <v/>
      </c>
      <c r="AJ104" s="22">
        <f t="shared" si="15"/>
        <v>99</v>
      </c>
    </row>
    <row r="105" spans="1:36">
      <c r="A105" s="16" t="s">
        <v>336</v>
      </c>
      <c r="B105" s="16" t="s">
        <v>264</v>
      </c>
      <c r="C105" s="16" t="s">
        <v>1385</v>
      </c>
      <c r="D105" s="16" t="s">
        <v>325</v>
      </c>
      <c r="E105" s="17" t="s">
        <v>337</v>
      </c>
      <c r="F105" s="16">
        <v>2013</v>
      </c>
      <c r="G105" s="17" t="str">
        <f>IFERROR(_xlfn.XLOOKUP($A105,tblEquipos[Codigo],tblEquipos[Ubicacion],""),"")</f>
        <v>TALLER CENTRAL</v>
      </c>
      <c r="H105" s="16" t="s">
        <v>201</v>
      </c>
      <c r="I105" s="16" t="str">
        <f>IFERROR(VLOOKUP(A105, Equipos!A:J, 9, FALSE), "")</f>
        <v>HORAS</v>
      </c>
      <c r="J105" s="16">
        <f>IFERROR(VLOOKUP(A105, Equipos!A:J, 10, FALSE), "")</f>
        <v>250</v>
      </c>
      <c r="K105" s="16">
        <f>IFERROR(IF($I105="KM",ROUND((_xlfn.MAXIFS(tblLecturas[Kilometraje],tblLecturas[Codigo],$A105)-_xlfn.MINIFS(tblLecturas[Kilometraje],tblLecturas[Codigo],$A105))/(MAX(1,_xlfn.MAXIFS(tblLecturas[Fecha],tblLecturas[Codigo],$A105)-_xlfn.MINIFS(tblLecturas[Fecha],tblLecturas[Codigo],$A105))),1),ROUND((_xlfn.MAXIFS(tblLecturas[Horometro],tblLecturas[Codigo],$A105)-_xlfn.MINIFS(tblLecturas[Horometro],tblLecturas[Codigo],$A105))/(MAX(1,_xlfn.MAXIFS(tblLecturas[Fecha],tblLecturas[Codigo],$A105)-_xlfn.MINIFS(tblLecturas[Fecha],tblLecturas[Codigo],$A105))),1)),"")</f>
        <v>0</v>
      </c>
      <c r="L105" s="18">
        <f>IFERROR(_xlfn.MAXIFS(tblLecturas[Fecha],tblLecturas[Codigo],$A105),"")</f>
        <v>0</v>
      </c>
      <c r="M105" s="24">
        <f>IFERROR(_xlfn.MAXIFS(Lecturas!$C:$C,Lecturas!$B:$B,$A105,Lecturas!$C:$C,"&gt;0"),"")</f>
        <v>0</v>
      </c>
      <c r="N105" s="24">
        <f>IFERROR(_xlfn.MAXIFS(tblLecturas[Kilometraje],tblLecturas[Codigo],$A105,tblLecturas[Kilometraje],"&gt;0"),"")</f>
        <v>0</v>
      </c>
      <c r="O105" s="24" t="str" cm="1">
        <f t="array" ref="O105">IFERROR(IF($I105="KM",LOOKUP(2,1/(Lecturas!$B:$B=$A105)/(Lecturas!$D:$D&gt;0),Lecturas!$D:$D),LOOKUP(2,1/(Lecturas!$B:$B=$A105)/(Lecturas!$C:$C&gt;0),Lecturas!$C:$C)),"")</f>
        <v/>
      </c>
      <c r="P105" s="18">
        <f>IFERROR(_xlfn.MAXIFS(tblMantenciones[Fecha],tblMantenciones[Codigo],tblMaestroEquipos[[#This Row],[Codigo]],tblMantenciones[EsPM],"Sí"),"")</f>
        <v>45244</v>
      </c>
      <c r="Q105" s="70">
        <f>IF(_xlfn.MAXIFS(Mantenciones!$D:$D,Mantenciones!$B:$B,A105)=0,"Sin datos de mantención registrado",_xlfn.MAXIFS(Mantenciones!$D:$D,Mantenciones!$B:$B,A105))</f>
        <v>9740</v>
      </c>
      <c r="R105" s="16">
        <f>IFERROR(IF(_xlfn.MAXIFS(Mantenciones!$D:$D,Mantenciones!$B:$B,$A105,Mantenciones!$E:$E,"Sí",Mantenciones!$D:$D,"&gt;0")=0,"Sin datos de mantención registrado",_xlfn.MAXIFS(Mantenciones!$D:$D,Mantenciones!$B:$B,$A105,Mantenciones!$E:$E,"Sí",Mantenciones!$D:$D,"&gt;0")),"Sin datos de mantención registrado")</f>
        <v>9740</v>
      </c>
      <c r="S105" s="19">
        <f>IFERROR(SUMIFS(tblMantenciones[Costo Mantencion CLP],tblMantenciones[Codigo],A105),0)</f>
        <v>0</v>
      </c>
      <c r="T105" s="19">
        <f>IFERROR(SUMIFS(tblComprasPM[Costo PM CLP],tblComprasPM[Codigo],tblMaestroEquipos[[#This Row],[Codigo]]),0)</f>
        <v>0</v>
      </c>
      <c r="U105" s="19">
        <f>IFERROR(tblMaestroEquipos[[#This Row],[Costo Mantenciones CLP]]+tblMaestroEquipos[[#This Row],[Costo Compras PM CLP]],0)</f>
        <v>0</v>
      </c>
      <c r="V105" s="16" t="str">
        <f>IFERROR(_xlfn.XLOOKUP(tblMaestroEquipos[[#This Row],[Codigo]],tblEquipos[Codigo],tblEquipos[Estado Base]),"")</f>
        <v>Taller</v>
      </c>
      <c r="W105" s="16" t="str">
        <f t="shared" si="8"/>
        <v>EN TALLER</v>
      </c>
      <c r="X105" s="16" t="str">
        <f t="shared" si="9"/>
        <v/>
      </c>
      <c r="Y105"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05" s="23" t="str">
        <f>IFERROR(IF(_xlfn.MINIFS(tblComprasPM[Fecha],tblComprasPM[Codigo],tblMaestroEquipos[[#This Row],[Codigo]])=0,"",_xlfn.MINIFS(tblComprasPM[Fecha],tblComprasPM[Codigo],tblMaestroEquipos[[#This Row],[Codigo]])),"")</f>
        <v/>
      </c>
      <c r="AA105" s="23" t="str">
        <f>IFERROR(IF(_xlfn.MAXIFS(tblBodega[Fecha],tblBodega[Codigo],tblMaestroEquipos[[#This Row],[Codigo]])=0,"",_xlfn.MAXIFS(tblBodega[Fecha],tblBodega[Codigo],tblMaestroEquipos[[#This Row],[Codigo]])),"")</f>
        <v/>
      </c>
      <c r="AB105"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05"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05" s="16" t="str">
        <f>IF(tblMaestroEquipos[[#This Row],[Fecha Salida Bodega]]="","SIN SALIDA BODEGA",IF(OR(tblMaestroEquipos[[#This Row],[Ultima Fecha PM]]="",tblMaestroEquipos[[#This Row],[Ultima Fecha PM]]&lt;tblMaestroEquipos[[#This Row],[Fecha Salida Bodega]]),"PENDIENTE","CERRADO"))</f>
        <v>SIN SALIDA BODEGA</v>
      </c>
      <c r="AE105" s="48" t="str">
        <f t="shared" si="10"/>
        <v>EN TALLER</v>
      </c>
      <c r="AF105" s="16" t="str">
        <f t="shared" si="11"/>
        <v>BAJA</v>
      </c>
      <c r="AG105" s="16" t="str">
        <f t="shared" si="12"/>
        <v>Monitorear próximo vencimiento</v>
      </c>
      <c r="AH105" s="25">
        <f t="shared" si="13"/>
        <v>0</v>
      </c>
      <c r="AI105" s="25" t="str">
        <f t="shared" si="14"/>
        <v/>
      </c>
      <c r="AJ105" s="22">
        <f t="shared" si="15"/>
        <v>99</v>
      </c>
    </row>
    <row r="106" spans="1:36">
      <c r="A106" s="16" t="s">
        <v>338</v>
      </c>
      <c r="B106" s="16" t="s">
        <v>284</v>
      </c>
      <c r="C106" s="16" t="s">
        <v>1385</v>
      </c>
      <c r="D106" s="16" t="s">
        <v>308</v>
      </c>
      <c r="E106" s="17" t="s">
        <v>339</v>
      </c>
      <c r="F106" s="16">
        <v>2014</v>
      </c>
      <c r="G106" s="17" t="str">
        <f>IFERROR(_xlfn.XLOOKUP($A106,tblEquipos[Codigo],tblEquipos[Ubicacion],""),"")</f>
        <v>Palmucho</v>
      </c>
      <c r="H106" s="16" t="s">
        <v>1399</v>
      </c>
      <c r="I106" s="16" t="str">
        <f>IFERROR(VLOOKUP(A106, Equipos!A:J, 9, FALSE), "")</f>
        <v>HORAS</v>
      </c>
      <c r="J106" s="16">
        <f>IFERROR(VLOOKUP(A106, Equipos!A:J, 10, FALSE), "")</f>
        <v>250</v>
      </c>
      <c r="K106" s="16">
        <f>IFERROR(IF($I106="KM",ROUND((_xlfn.MAXIFS(tblLecturas[Kilometraje],tblLecturas[Codigo],$A106)-_xlfn.MINIFS(tblLecturas[Kilometraje],tblLecturas[Codigo],$A106))/(MAX(1,_xlfn.MAXIFS(tblLecturas[Fecha],tblLecturas[Codigo],$A106)-_xlfn.MINIFS(tblLecturas[Fecha],tblLecturas[Codigo],$A106))),1),ROUND((_xlfn.MAXIFS(tblLecturas[Horometro],tblLecturas[Codigo],$A106)-_xlfn.MINIFS(tblLecturas[Horometro],tblLecturas[Codigo],$A106))/(MAX(1,_xlfn.MAXIFS(tblLecturas[Fecha],tblLecturas[Codigo],$A106)-_xlfn.MINIFS(tblLecturas[Fecha],tblLecturas[Codigo],$A106))),1)),"")</f>
        <v>3.7</v>
      </c>
      <c r="L106" s="18">
        <f>IFERROR(_xlfn.MAXIFS(tblLecturas[Fecha],tblLecturas[Codigo],$A106),"")</f>
        <v>46157</v>
      </c>
      <c r="M106" s="24">
        <f>IFERROR(_xlfn.MAXIFS(Lecturas!$C:$C,Lecturas!$B:$B,$A106,Lecturas!$C:$C,"&gt;0"),"")</f>
        <v>26196</v>
      </c>
      <c r="N106" s="24">
        <f>IFERROR(_xlfn.MAXIFS(tblLecturas[Kilometraje],tblLecturas[Codigo],$A106,tblLecturas[Kilometraje],"&gt;0"),"")</f>
        <v>0</v>
      </c>
      <c r="O106" s="24" cm="1">
        <f t="array" ref="O106">IFERROR(IF($I106="KM",LOOKUP(2,1/(Lecturas!$B:$B=$A106)/(Lecturas!$D:$D&gt;0),Lecturas!$D:$D),LOOKUP(2,1/(Lecturas!$B:$B=$A106)/(Lecturas!$C:$C&gt;0),Lecturas!$C:$C)),"")</f>
        <v>26196</v>
      </c>
      <c r="P106" s="18">
        <f>IFERROR(_xlfn.MAXIFS(tblMantenciones[Fecha],tblMantenciones[Codigo],tblMaestroEquipos[[#This Row],[Codigo]],tblMantenciones[EsPM],"Sí"),"")</f>
        <v>46154</v>
      </c>
      <c r="Q106" s="70">
        <f>IF(_xlfn.MAXIFS(Mantenciones!$D:$D,Mantenciones!$B:$B,A106)=0,"Sin datos de mantención registrado",_xlfn.MAXIFS(Mantenciones!$D:$D,Mantenciones!$B:$B,A106))</f>
        <v>26181</v>
      </c>
      <c r="R106" s="16">
        <f>IFERROR(IF(_xlfn.MAXIFS(Mantenciones!$D:$D,Mantenciones!$B:$B,$A106,Mantenciones!$E:$E,"Sí",Mantenciones!$D:$D,"&gt;0")=0,"Sin datos de mantención registrado",_xlfn.MAXIFS(Mantenciones!$D:$D,Mantenciones!$B:$B,$A106,Mantenciones!$E:$E,"Sí",Mantenciones!$D:$D,"&gt;0")),"Sin datos de mantención registrado")</f>
        <v>26181</v>
      </c>
      <c r="S106" s="19">
        <f>IFERROR(SUMIFS(tblMantenciones[Costo Mantencion CLP],tblMantenciones[Codigo],A106),0)</f>
        <v>0</v>
      </c>
      <c r="T106" s="19">
        <f>IFERROR(SUMIFS(tblComprasPM[Costo PM CLP],tblComprasPM[Codigo],tblMaestroEquipos[[#This Row],[Codigo]]),0)</f>
        <v>120362.55</v>
      </c>
      <c r="U106" s="19">
        <f>IFERROR(tblMaestroEquipos[[#This Row],[Costo Mantenciones CLP]]+tblMaestroEquipos[[#This Row],[Costo Compras PM CLP]],0)</f>
        <v>120362.55</v>
      </c>
      <c r="V106" s="16" t="str">
        <f>IFERROR(_xlfn.XLOOKUP(tblMaestroEquipos[[#This Row],[Codigo]],tblEquipos[Codigo],tblEquipos[Estado Base]),"")</f>
        <v>Operativo</v>
      </c>
      <c r="W106" s="16" t="str">
        <f t="shared" si="8"/>
        <v>AL DÍA</v>
      </c>
      <c r="X106" s="16">
        <f t="shared" si="9"/>
        <v>235</v>
      </c>
      <c r="Y106" s="23">
        <f>IFERROR(IF(OR(tblMaestroEquipos[[#This Row],[Estado Operacional]]="FUERA DE SERVICIO",tblMaestroEquipos[[#This Row],[Ultima Fecha Lectura]]="",tblMaestroEquipos[[#This Row],[Dias a Proxima Mantencion]]=""),"",tblMaestroEquipos[[#This Row],[Ultima Fecha Lectura]]+tblMaestroEquipos[[#This Row],[Dias a Proxima Mantencion]]),"")</f>
        <v>46392</v>
      </c>
      <c r="Z106" s="23">
        <f>IFERROR(IF(_xlfn.MINIFS(tblComprasPM[Fecha],tblComprasPM[Codigo],tblMaestroEquipos[[#This Row],[Codigo]])=0,"",_xlfn.MINIFS(tblComprasPM[Fecha],tblComprasPM[Codigo],tblMaestroEquipos[[#This Row],[Codigo]])),"")</f>
        <v>46154.380285185202</v>
      </c>
      <c r="AA106" s="23">
        <f>IFERROR(IF(_xlfn.MAXIFS(tblBodega[Fecha],tblBodega[Codigo],tblMaestroEquipos[[#This Row],[Codigo]])=0,"",_xlfn.MAXIFS(tblBodega[Fecha],tblBodega[Codigo],tblMaestroEquipos[[#This Row],[Codigo]])),"")</f>
        <v>46148</v>
      </c>
      <c r="AB10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06"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6</v>
      </c>
      <c r="AD106" s="16" t="str">
        <f>IF(tblMaestroEquipos[[#This Row],[Fecha Salida Bodega]]="","SIN SALIDA BODEGA",IF(OR(tblMaestroEquipos[[#This Row],[Ultima Fecha PM]]="",tblMaestroEquipos[[#This Row],[Ultima Fecha PM]]&lt;tblMaestroEquipos[[#This Row],[Fecha Salida Bodega]]),"PENDIENTE","CERRADO"))</f>
        <v>CERRADO</v>
      </c>
      <c r="AE106" s="48" t="str">
        <f t="shared" si="10"/>
        <v>OPERATIVO</v>
      </c>
      <c r="AF106" s="16" t="str">
        <f t="shared" si="11"/>
        <v>BAJA</v>
      </c>
      <c r="AG106" s="16" t="str">
        <f t="shared" si="12"/>
        <v>Monitorear próximo vencimiento</v>
      </c>
      <c r="AH106">
        <f t="shared" si="13"/>
        <v>0</v>
      </c>
      <c r="AI106" t="str">
        <f t="shared" si="14"/>
        <v/>
      </c>
      <c r="AJ106" s="22">
        <f t="shared" si="15"/>
        <v>99</v>
      </c>
    </row>
    <row r="107" spans="1:36">
      <c r="A107" s="16" t="s">
        <v>341</v>
      </c>
      <c r="B107" s="16" t="s">
        <v>264</v>
      </c>
      <c r="C107" s="16" t="s">
        <v>1385</v>
      </c>
      <c r="D107" s="16" t="s">
        <v>314</v>
      </c>
      <c r="E107" s="17" t="s">
        <v>315</v>
      </c>
      <c r="F107" s="16">
        <v>2019</v>
      </c>
      <c r="G107" s="17" t="str">
        <f>IFERROR(_xlfn.XLOOKUP($A107,tblEquipos[Codigo],tblEquipos[Ubicacion],""),"")</f>
        <v>Quirihue</v>
      </c>
      <c r="H107" s="16" t="s">
        <v>1400</v>
      </c>
      <c r="I107" s="16" t="str">
        <f>IFERROR(VLOOKUP(A107, Equipos!A:J, 9, FALSE), "")</f>
        <v>HORAS</v>
      </c>
      <c r="J107" s="16">
        <f>IFERROR(VLOOKUP(A107, Equipos!A:J, 10, FALSE), "")</f>
        <v>250</v>
      </c>
      <c r="K107" s="16">
        <f>IFERROR(IF($I107="KM",ROUND((_xlfn.MAXIFS(tblLecturas[Kilometraje],tblLecturas[Codigo],$A107)-_xlfn.MINIFS(tblLecturas[Kilometraje],tblLecturas[Codigo],$A107))/(MAX(1,_xlfn.MAXIFS(tblLecturas[Fecha],tblLecturas[Codigo],$A107)-_xlfn.MINIFS(tblLecturas[Fecha],tblLecturas[Codigo],$A107))),1),ROUND((_xlfn.MAXIFS(tblLecturas[Horometro],tblLecturas[Codigo],$A107)-_xlfn.MINIFS(tblLecturas[Horometro],tblLecturas[Codigo],$A107))/(MAX(1,_xlfn.MAXIFS(tblLecturas[Fecha],tblLecturas[Codigo],$A107)-_xlfn.MINIFS(tblLecturas[Fecha],tblLecturas[Codigo],$A107))),1)),"")</f>
        <v>1.9</v>
      </c>
      <c r="L107" s="18">
        <f>IFERROR(_xlfn.MAXIFS(tblLecturas[Fecha],tblLecturas[Codigo],$A107),"")</f>
        <v>46079</v>
      </c>
      <c r="M107" s="24">
        <f>IFERROR(_xlfn.MAXIFS(Lecturas!$C:$C,Lecturas!$B:$B,$A107,Lecturas!$C:$C,"&gt;0"),"")</f>
        <v>11880</v>
      </c>
      <c r="N107" s="24">
        <f>IFERROR(_xlfn.MAXIFS(tblLecturas[Kilometraje],tblLecturas[Codigo],$A107,tblLecturas[Kilometraje],"&gt;0"),"")</f>
        <v>0</v>
      </c>
      <c r="O107" s="24" cm="1">
        <f t="array" ref="O107">IFERROR(IF($I107="KM",LOOKUP(2,1/(Lecturas!$B:$B=$A107)/(Lecturas!$D:$D&gt;0),Lecturas!$D:$D),LOOKUP(2,1/(Lecturas!$B:$B=$A107)/(Lecturas!$C:$C&gt;0),Lecturas!$C:$C)),"")</f>
        <v>11866</v>
      </c>
      <c r="P107" s="18">
        <f>IFERROR(_xlfn.MAXIFS(tblMantenciones[Fecha],tblMantenciones[Codigo],tblMaestroEquipos[[#This Row],[Codigo]],tblMantenciones[EsPM],"Sí"),"")</f>
        <v>46185</v>
      </c>
      <c r="Q107" s="70">
        <f>IF(_xlfn.MAXIFS(Mantenciones!$D:$D,Mantenciones!$B:$B,A107)=0,"Sin datos de mantención registrado",_xlfn.MAXIFS(Mantenciones!$D:$D,Mantenciones!$B:$B,A107))</f>
        <v>12021</v>
      </c>
      <c r="R107" s="16">
        <f>IFERROR(IF(_xlfn.MAXIFS(Mantenciones!$D:$D,Mantenciones!$B:$B,$A107,Mantenciones!$E:$E,"Sí",Mantenciones!$D:$D,"&gt;0")=0,"Sin datos de mantención registrado",_xlfn.MAXIFS(Mantenciones!$D:$D,Mantenciones!$B:$B,$A107,Mantenciones!$E:$E,"Sí",Mantenciones!$D:$D,"&gt;0")),"Sin datos de mantención registrado")</f>
        <v>12021</v>
      </c>
      <c r="S107" s="19">
        <f>IFERROR(SUMIFS(tblMantenciones[Costo Mantencion CLP],tblMantenciones[Codigo],A107),0)</f>
        <v>0</v>
      </c>
      <c r="T107" s="19">
        <f>IFERROR(SUMIFS(tblComprasPM[Costo PM CLP],tblComprasPM[Codigo],tblMaestroEquipos[[#This Row],[Codigo]]),0)</f>
        <v>228336.01</v>
      </c>
      <c r="U107" s="19">
        <f>IFERROR(tblMaestroEquipos[[#This Row],[Costo Mantenciones CLP]]+tblMaestroEquipos[[#This Row],[Costo Compras PM CLP]],0)</f>
        <v>228336.01</v>
      </c>
      <c r="V107" s="16" t="str">
        <f>IFERROR(_xlfn.XLOOKUP(tblMaestroEquipos[[#This Row],[Codigo]],tblEquipos[Codigo],tblEquipos[Estado Base]),"")</f>
        <v>Operativo</v>
      </c>
      <c r="W107" s="16" t="str">
        <f t="shared" si="8"/>
        <v>EN PROCESO</v>
      </c>
      <c r="X107" s="16">
        <f t="shared" si="9"/>
        <v>405</v>
      </c>
      <c r="Y107" s="23">
        <f>IFERROR(IF(OR(tblMaestroEquipos[[#This Row],[Estado Operacional]]="FUERA DE SERVICIO",tblMaestroEquipos[[#This Row],[Ultima Fecha Lectura]]="",tblMaestroEquipos[[#This Row],[Dias a Proxima Mantencion]]=""),"",tblMaestroEquipos[[#This Row],[Ultima Fecha Lectura]]+tblMaestroEquipos[[#This Row],[Dias a Proxima Mantencion]]),"")</f>
        <v>46484</v>
      </c>
      <c r="Z107" s="23">
        <f>IFERROR(IF(_xlfn.MINIFS(tblComprasPM[Fecha],tblComprasPM[Codigo],tblMaestroEquipos[[#This Row],[Codigo]])=0,"",_xlfn.MINIFS(tblComprasPM[Fecha],tblComprasPM[Codigo],tblMaestroEquipos[[#This Row],[Codigo]])),"")</f>
        <v>46100</v>
      </c>
      <c r="AA107" s="23" t="str">
        <f>IFERROR(IF(_xlfn.MAXIFS(tblBodega[Fecha],tblBodega[Codigo],tblMaestroEquipos[[#This Row],[Codigo]])=0,"",_xlfn.MAXIFS(tblBodega[Fecha],tblBodega[Codigo],tblMaestroEquipos[[#This Row],[Codigo]])),"")</f>
        <v/>
      </c>
      <c r="AB10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85</v>
      </c>
      <c r="AC107"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07" s="16" t="str">
        <f>IF(tblMaestroEquipos[[#This Row],[Fecha Salida Bodega]]="","SIN SALIDA BODEGA",IF(OR(tblMaestroEquipos[[#This Row],[Ultima Fecha PM]]="",tblMaestroEquipos[[#This Row],[Ultima Fecha PM]]&lt;tblMaestroEquipos[[#This Row],[Fecha Salida Bodega]]),"PENDIENTE","CERRADO"))</f>
        <v>SIN SALIDA BODEGA</v>
      </c>
      <c r="AE107" s="48" t="str">
        <f t="shared" si="10"/>
        <v>EN PROCESO</v>
      </c>
      <c r="AF107" s="16" t="str">
        <f t="shared" si="11"/>
        <v>SEGUIMIENTO</v>
      </c>
      <c r="AG107" s="16" t="str">
        <f t="shared" si="12"/>
        <v>Hacer seguimiento al taller y cerrar report</v>
      </c>
      <c r="AH107">
        <f t="shared" si="13"/>
        <v>0</v>
      </c>
      <c r="AI107" t="str">
        <f t="shared" si="14"/>
        <v/>
      </c>
      <c r="AJ107" s="22">
        <f t="shared" si="15"/>
        <v>2</v>
      </c>
    </row>
    <row r="108" spans="1:36">
      <c r="A108" s="16" t="s">
        <v>342</v>
      </c>
      <c r="B108" s="16" t="s">
        <v>264</v>
      </c>
      <c r="C108" s="16" t="s">
        <v>1385</v>
      </c>
      <c r="D108" s="16" t="s">
        <v>308</v>
      </c>
      <c r="E108" s="17" t="s">
        <v>343</v>
      </c>
      <c r="F108" s="16">
        <v>2013</v>
      </c>
      <c r="G108" s="17" t="str">
        <f>IFERROR(_xlfn.XLOOKUP($A108,tblEquipos[Codigo],tblEquipos[Ubicacion],""),"")</f>
        <v>RAUCO</v>
      </c>
      <c r="H108" s="16" t="s">
        <v>345</v>
      </c>
      <c r="I108" s="16" t="str">
        <f>IFERROR(VLOOKUP(A108, Equipos!A:J, 9, FALSE), "")</f>
        <v>HORAS</v>
      </c>
      <c r="J108" s="16">
        <f>IFERROR(VLOOKUP(A108, Equipos!A:J, 10, FALSE), "")</f>
        <v>250</v>
      </c>
      <c r="K108" s="16">
        <f>IFERROR(IF($I108="KM",ROUND((_xlfn.MAXIFS(tblLecturas[Kilometraje],tblLecturas[Codigo],$A108)-_xlfn.MINIFS(tblLecturas[Kilometraje],tblLecturas[Codigo],$A108))/(MAX(1,_xlfn.MAXIFS(tblLecturas[Fecha],tblLecturas[Codigo],$A108)-_xlfn.MINIFS(tblLecturas[Fecha],tblLecturas[Codigo],$A108))),1),ROUND((_xlfn.MAXIFS(tblLecturas[Horometro],tblLecturas[Codigo],$A108)-_xlfn.MINIFS(tblLecturas[Horometro],tblLecturas[Codigo],$A108))/(MAX(1,_xlfn.MAXIFS(tblLecturas[Fecha],tblLecturas[Codigo],$A108)-_xlfn.MINIFS(tblLecturas[Fecha],tblLecturas[Codigo],$A108))),1)),"")</f>
        <v>0</v>
      </c>
      <c r="L108" s="18">
        <f>IFERROR(_xlfn.MAXIFS(tblLecturas[Fecha],tblLecturas[Codigo],$A108),"")</f>
        <v>0</v>
      </c>
      <c r="M108" s="24">
        <f>IFERROR(_xlfn.MAXIFS(Lecturas!$C:$C,Lecturas!$B:$B,$A108,Lecturas!$C:$C,"&gt;0"),"")</f>
        <v>0</v>
      </c>
      <c r="N108" s="24">
        <f>IFERROR(_xlfn.MAXIFS(tblLecturas[Kilometraje],tblLecturas[Codigo],$A108,tblLecturas[Kilometraje],"&gt;0"),"")</f>
        <v>0</v>
      </c>
      <c r="O108" s="24" t="str" cm="1">
        <f t="array" ref="O108">IFERROR(IF($I108="KM",LOOKUP(2,1/(Lecturas!$B:$B=$A108)/(Lecturas!$D:$D&gt;0),Lecturas!$D:$D),LOOKUP(2,1/(Lecturas!$B:$B=$A108)/(Lecturas!$C:$C&gt;0),Lecturas!$C:$C)),"")</f>
        <v/>
      </c>
      <c r="P108" s="18">
        <f>IFERROR(_xlfn.MAXIFS(tblMantenciones[Fecha],tblMantenciones[Codigo],tblMaestroEquipos[[#This Row],[Codigo]],tblMantenciones[EsPM],"Sí"),"")</f>
        <v>44321</v>
      </c>
      <c r="Q108" s="70">
        <f>IF(_xlfn.MAXIFS(Mantenciones!$D:$D,Mantenciones!$B:$B,A108)=0,"Sin datos de mantención registrado",_xlfn.MAXIFS(Mantenciones!$D:$D,Mantenciones!$B:$B,A108))</f>
        <v>11468</v>
      </c>
      <c r="R108" s="16">
        <f>IFERROR(IF(_xlfn.MAXIFS(Mantenciones!$D:$D,Mantenciones!$B:$B,$A108,Mantenciones!$E:$E,"Sí",Mantenciones!$D:$D,"&gt;0")=0,"Sin datos de mantención registrado",_xlfn.MAXIFS(Mantenciones!$D:$D,Mantenciones!$B:$B,$A108,Mantenciones!$E:$E,"Sí",Mantenciones!$D:$D,"&gt;0")),"Sin datos de mantención registrado")</f>
        <v>11468</v>
      </c>
      <c r="S108" s="19">
        <f>IFERROR(SUMIFS(tblMantenciones[Costo Mantencion CLP],tblMantenciones[Codigo],A108),0)</f>
        <v>0</v>
      </c>
      <c r="T108" s="19">
        <f>IFERROR(SUMIFS(tblComprasPM[Costo PM CLP],tblComprasPM[Codigo],tblMaestroEquipos[[#This Row],[Codigo]]),0)</f>
        <v>0</v>
      </c>
      <c r="U108" s="19">
        <f>IFERROR(tblMaestroEquipos[[#This Row],[Costo Mantenciones CLP]]+tblMaestroEquipos[[#This Row],[Costo Compras PM CLP]],0)</f>
        <v>0</v>
      </c>
      <c r="V108" s="16" t="str">
        <f>IFERROR(_xlfn.XLOOKUP(tblMaestroEquipos[[#This Row],[Codigo]],tblEquipos[Codigo],tblEquipos[Estado Base]),"")</f>
        <v>Operativo</v>
      </c>
      <c r="W108" s="16" t="str">
        <f t="shared" si="8"/>
        <v>AL DÍA</v>
      </c>
      <c r="X108" s="16" t="str">
        <f t="shared" si="9"/>
        <v/>
      </c>
      <c r="Y108"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08" s="23" t="str">
        <f>IFERROR(IF(_xlfn.MINIFS(tblComprasPM[Fecha],tblComprasPM[Codigo],tblMaestroEquipos[[#This Row],[Codigo]])=0,"",_xlfn.MINIFS(tblComprasPM[Fecha],tblComprasPM[Codigo],tblMaestroEquipos[[#This Row],[Codigo]])),"")</f>
        <v/>
      </c>
      <c r="AA108" s="23" t="str">
        <f>IFERROR(IF(_xlfn.MAXIFS(tblBodega[Fecha],tblBodega[Codigo],tblMaestroEquipos[[#This Row],[Codigo]])=0,"",_xlfn.MAXIFS(tblBodega[Fecha],tblBodega[Codigo],tblMaestroEquipos[[#This Row],[Codigo]])),"")</f>
        <v/>
      </c>
      <c r="AB108"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08"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08" s="16" t="str">
        <f>IF(tblMaestroEquipos[[#This Row],[Fecha Salida Bodega]]="","SIN SALIDA BODEGA",IF(OR(tblMaestroEquipos[[#This Row],[Ultima Fecha PM]]="",tblMaestroEquipos[[#This Row],[Ultima Fecha PM]]&lt;tblMaestroEquipos[[#This Row],[Fecha Salida Bodega]]),"PENDIENTE","CERRADO"))</f>
        <v>SIN SALIDA BODEGA</v>
      </c>
      <c r="AE108" s="48" t="str">
        <f t="shared" si="10"/>
        <v>OPERATIVO</v>
      </c>
      <c r="AF108" s="16" t="str">
        <f t="shared" si="11"/>
        <v>BAJA</v>
      </c>
      <c r="AG108" s="16" t="str">
        <f t="shared" si="12"/>
        <v>Monitorear próximo vencimiento</v>
      </c>
      <c r="AH108">
        <f t="shared" si="13"/>
        <v>0</v>
      </c>
      <c r="AI108" t="str">
        <f t="shared" si="14"/>
        <v/>
      </c>
      <c r="AJ108" s="22">
        <f t="shared" si="15"/>
        <v>99</v>
      </c>
    </row>
    <row r="109" spans="1:36">
      <c r="A109" s="16" t="s">
        <v>346</v>
      </c>
      <c r="B109" s="16" t="s">
        <v>347</v>
      </c>
      <c r="C109" s="16" t="s">
        <v>1385</v>
      </c>
      <c r="D109" s="16" t="s">
        <v>348</v>
      </c>
      <c r="E109" s="17" t="s">
        <v>349</v>
      </c>
      <c r="F109" s="16">
        <v>2011</v>
      </c>
      <c r="G109" s="17" t="str">
        <f>IFERROR(_xlfn.XLOOKUP($A109,tblEquipos[Codigo],tblEquipos[Ubicacion],""),"")</f>
        <v>San Carlos</v>
      </c>
      <c r="H109" s="16" t="s">
        <v>350</v>
      </c>
      <c r="I109" s="16" t="str">
        <f>IFERROR(VLOOKUP(A109, Equipos!A:J, 9, FALSE), "")</f>
        <v>HORAS</v>
      </c>
      <c r="J109" s="16">
        <f>IFERROR(VLOOKUP(A109, Equipos!A:J, 10, FALSE), "")</f>
        <v>250</v>
      </c>
      <c r="K109" s="16">
        <f>IFERROR(IF($I109="KM",ROUND((_xlfn.MAXIFS(tblLecturas[Kilometraje],tblLecturas[Codigo],$A109)-_xlfn.MINIFS(tblLecturas[Kilometraje],tblLecturas[Codigo],$A109))/(MAX(1,_xlfn.MAXIFS(tblLecturas[Fecha],tblLecturas[Codigo],$A109)-_xlfn.MINIFS(tblLecturas[Fecha],tblLecturas[Codigo],$A109))),1),ROUND((_xlfn.MAXIFS(tblLecturas[Horometro],tblLecturas[Codigo],$A109)-_xlfn.MINIFS(tblLecturas[Horometro],tblLecturas[Codigo],$A109))/(MAX(1,_xlfn.MAXIFS(tblLecturas[Fecha],tblLecturas[Codigo],$A109)-_xlfn.MINIFS(tblLecturas[Fecha],tblLecturas[Codigo],$A109))),1)),"")</f>
        <v>1.9</v>
      </c>
      <c r="L109" s="18">
        <f>IFERROR(_xlfn.MAXIFS(tblLecturas[Fecha],tblLecturas[Codigo],$A109),"")</f>
        <v>46104</v>
      </c>
      <c r="M109" s="24">
        <f>IFERROR(_xlfn.MAXIFS(Lecturas!$C:$C,Lecturas!$B:$B,$A109,Lecturas!$C:$C,"&gt;0"),"")</f>
        <v>1965</v>
      </c>
      <c r="N109" s="24">
        <f>IFERROR(_xlfn.MAXIFS(tblLecturas[Kilometraje],tblLecturas[Codigo],$A109,tblLecturas[Kilometraje],"&gt;0"),"")</f>
        <v>0</v>
      </c>
      <c r="O109" s="24" cm="1">
        <f t="array" ref="O109">IFERROR(IF($I109="KM",LOOKUP(2,1/(Lecturas!$B:$B=$A109)/(Lecturas!$D:$D&gt;0),Lecturas!$D:$D),LOOKUP(2,1/(Lecturas!$B:$B=$A109)/(Lecturas!$C:$C&gt;0),Lecturas!$C:$C)),"")</f>
        <v>1929</v>
      </c>
      <c r="P109" s="18">
        <f>IFERROR(_xlfn.MAXIFS(tblMantenciones[Fecha],tblMantenciones[Codigo],tblMaestroEquipos[[#This Row],[Codigo]],tblMantenciones[EsPM],"Sí"),"")</f>
        <v>46196</v>
      </c>
      <c r="Q109" s="70">
        <f>IF(_xlfn.MAXIFS(Mantenciones!$D:$D,Mantenciones!$B:$B,A109)=0,"Sin datos de mantención registrado",_xlfn.MAXIFS(Mantenciones!$D:$D,Mantenciones!$B:$B,A109))</f>
        <v>14728</v>
      </c>
      <c r="R109" s="16">
        <f>IFERROR(IF(_xlfn.MAXIFS(Mantenciones!$D:$D,Mantenciones!$B:$B,$A109,Mantenciones!$E:$E,"Sí",Mantenciones!$D:$D,"&gt;0")=0,"Sin datos de mantención registrado",_xlfn.MAXIFS(Mantenciones!$D:$D,Mantenciones!$B:$B,$A109,Mantenciones!$E:$E,"Sí",Mantenciones!$D:$D,"&gt;0")),"Sin datos de mantención registrado")</f>
        <v>14728</v>
      </c>
      <c r="S109" s="19">
        <f>IFERROR(SUMIFS(tblMantenciones[Costo Mantencion CLP],tblMantenciones[Codigo],A109),0)</f>
        <v>0</v>
      </c>
      <c r="T109" s="19">
        <f>IFERROR(SUMIFS(tblComprasPM[Costo PM CLP],tblComprasPM[Codigo],tblMaestroEquipos[[#This Row],[Codigo]]),0)</f>
        <v>564536.5</v>
      </c>
      <c r="U109" s="19">
        <f>IFERROR(tblMaestroEquipos[[#This Row],[Costo Mantenciones CLP]]+tblMaestroEquipos[[#This Row],[Costo Compras PM CLP]],0)</f>
        <v>564536.5</v>
      </c>
      <c r="V109" s="16" t="str">
        <f>IFERROR(_xlfn.XLOOKUP(tblMaestroEquipos[[#This Row],[Codigo]],tblEquipos[Codigo],tblEquipos[Estado Base]),"")</f>
        <v>Operativo</v>
      </c>
      <c r="W109" s="16" t="str">
        <f t="shared" si="8"/>
        <v>AL DÍA</v>
      </c>
      <c r="X109" s="16">
        <f t="shared" si="9"/>
        <v>13049</v>
      </c>
      <c r="Y109" s="23">
        <f>IFERROR(IF(OR(tblMaestroEquipos[[#This Row],[Estado Operacional]]="FUERA DE SERVICIO",tblMaestroEquipos[[#This Row],[Ultima Fecha Lectura]]="",tblMaestroEquipos[[#This Row],[Dias a Proxima Mantencion]]=""),"",tblMaestroEquipos[[#This Row],[Ultima Fecha Lectura]]+tblMaestroEquipos[[#This Row],[Dias a Proxima Mantencion]]),"")</f>
        <v>59153</v>
      </c>
      <c r="Z109" s="23">
        <f>IFERROR(IF(_xlfn.MINIFS(tblComprasPM[Fecha],tblComprasPM[Codigo],tblMaestroEquipos[[#This Row],[Codigo]])=0,"",_xlfn.MINIFS(tblComprasPM[Fecha],tblComprasPM[Codigo],tblMaestroEquipos[[#This Row],[Codigo]])),"")</f>
        <v>46084.6933587616</v>
      </c>
      <c r="AA109" s="23">
        <f>IFERROR(IF(_xlfn.MAXIFS(tblBodega[Fecha],tblBodega[Codigo],tblMaestroEquipos[[#This Row],[Codigo]])=0,"",_xlfn.MAXIFS(tblBodega[Fecha],tblBodega[Codigo],tblMaestroEquipos[[#This Row],[Codigo]])),"")</f>
        <v>46105</v>
      </c>
      <c r="AB10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112</v>
      </c>
      <c r="AC109"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91</v>
      </c>
      <c r="AD109" s="16" t="str">
        <f>IF(tblMaestroEquipos[[#This Row],[Fecha Salida Bodega]]="","SIN SALIDA BODEGA",IF(OR(tblMaestroEquipos[[#This Row],[Ultima Fecha PM]]="",tblMaestroEquipos[[#This Row],[Ultima Fecha PM]]&lt;tblMaestroEquipos[[#This Row],[Fecha Salida Bodega]]),"PENDIENTE","CERRADO"))</f>
        <v>CERRADO</v>
      </c>
      <c r="AE109" s="48" t="str">
        <f t="shared" si="10"/>
        <v>OPERATIVO</v>
      </c>
      <c r="AF109" s="16" t="str">
        <f t="shared" si="11"/>
        <v>BAJA</v>
      </c>
      <c r="AG109" s="16" t="str">
        <f t="shared" si="12"/>
        <v>Monitorear próximo vencimiento</v>
      </c>
      <c r="AH109">
        <f t="shared" si="13"/>
        <v>0</v>
      </c>
      <c r="AI109" t="str">
        <f t="shared" si="14"/>
        <v/>
      </c>
      <c r="AJ109" s="22">
        <f t="shared" si="15"/>
        <v>99</v>
      </c>
    </row>
    <row r="110" spans="1:36">
      <c r="A110" s="16" t="s">
        <v>351</v>
      </c>
      <c r="B110" s="16" t="s">
        <v>347</v>
      </c>
      <c r="C110" s="16" t="s">
        <v>1385</v>
      </c>
      <c r="D110" s="16" t="s">
        <v>348</v>
      </c>
      <c r="E110" s="17" t="s">
        <v>349</v>
      </c>
      <c r="F110" s="16">
        <v>2011</v>
      </c>
      <c r="G110" s="17" t="str">
        <f>IFERROR(_xlfn.XLOOKUP($A110,tblEquipos[Codigo],tblEquipos[Ubicacion],""),"")</f>
        <v>Fuera de Servicio</v>
      </c>
      <c r="H110" s="16" t="s">
        <v>56</v>
      </c>
      <c r="I110" s="16" t="str">
        <f>IFERROR(VLOOKUP(A110, Equipos!A:J, 9, FALSE), "")</f>
        <v>HORAS</v>
      </c>
      <c r="J110" s="16">
        <f>IFERROR(VLOOKUP(A110, Equipos!A:J, 10, FALSE), "")</f>
        <v>250</v>
      </c>
      <c r="K110" s="16">
        <f>IFERROR(IF($I110="KM",ROUND((_xlfn.MAXIFS(tblLecturas[Kilometraje],tblLecturas[Codigo],$A110)-_xlfn.MINIFS(tblLecturas[Kilometraje],tblLecturas[Codigo],$A110))/(MAX(1,_xlfn.MAXIFS(tblLecturas[Fecha],tblLecturas[Codigo],$A110)-_xlfn.MINIFS(tblLecturas[Fecha],tblLecturas[Codigo],$A110))),1),ROUND((_xlfn.MAXIFS(tblLecturas[Horometro],tblLecturas[Codigo],$A110)-_xlfn.MINIFS(tblLecturas[Horometro],tblLecturas[Codigo],$A110))/(MAX(1,_xlfn.MAXIFS(tblLecturas[Fecha],tblLecturas[Codigo],$A110)-_xlfn.MINIFS(tblLecturas[Fecha],tblLecturas[Codigo],$A110))),1)),"")</f>
        <v>0</v>
      </c>
      <c r="L110" s="18">
        <f>IFERROR(_xlfn.MAXIFS(tblLecturas[Fecha],tblLecturas[Codigo],$A110),"")</f>
        <v>0</v>
      </c>
      <c r="M110" s="24">
        <f>IFERROR(_xlfn.MAXIFS(Lecturas!$C:$C,Lecturas!$B:$B,$A110,Lecturas!$C:$C,"&gt;0"),"")</f>
        <v>0</v>
      </c>
      <c r="N110" s="24">
        <f>IFERROR(_xlfn.MAXIFS(tblLecturas[Kilometraje],tblLecturas[Codigo],$A110,tblLecturas[Kilometraje],"&gt;0"),"")</f>
        <v>0</v>
      </c>
      <c r="O110" s="24" t="str" cm="1">
        <f t="array" ref="O110">IFERROR(IF($I110="KM",LOOKUP(2,1/(Lecturas!$B:$B=$A110)/(Lecturas!$D:$D&gt;0),Lecturas!$D:$D),LOOKUP(2,1/(Lecturas!$B:$B=$A110)/(Lecturas!$C:$C&gt;0),Lecturas!$C:$C)),"")</f>
        <v/>
      </c>
      <c r="P110" s="18">
        <f>IFERROR(_xlfn.MAXIFS(tblMantenciones[Fecha],tblMantenciones[Codigo],tblMaestroEquipos[[#This Row],[Codigo]],tblMantenciones[EsPM],"Sí"),"")</f>
        <v>44908</v>
      </c>
      <c r="Q110" s="70">
        <f>IF(_xlfn.MAXIFS(Mantenciones!$D:$D,Mantenciones!$B:$B,A110)=0,"Sin datos de mantención registrado",_xlfn.MAXIFS(Mantenciones!$D:$D,Mantenciones!$B:$B,A110))</f>
        <v>6759</v>
      </c>
      <c r="R110" s="16">
        <f>IFERROR(IF(_xlfn.MAXIFS(Mantenciones!$D:$D,Mantenciones!$B:$B,$A110,Mantenciones!$E:$E,"Sí",Mantenciones!$D:$D,"&gt;0")=0,"Sin datos de mantención registrado",_xlfn.MAXIFS(Mantenciones!$D:$D,Mantenciones!$B:$B,$A110,Mantenciones!$E:$E,"Sí",Mantenciones!$D:$D,"&gt;0")),"Sin datos de mantención registrado")</f>
        <v>6759</v>
      </c>
      <c r="S110" s="19">
        <f>IFERROR(SUMIFS(tblMantenciones[Costo Mantencion CLP],tblMantenciones[Codigo],A110),0)</f>
        <v>0</v>
      </c>
      <c r="T110" s="19">
        <f>IFERROR(SUMIFS(tblComprasPM[Costo PM CLP],tblComprasPM[Codigo],tblMaestroEquipos[[#This Row],[Codigo]]),0)</f>
        <v>0</v>
      </c>
      <c r="U110" s="19">
        <f>IFERROR(tblMaestroEquipos[[#This Row],[Costo Mantenciones CLP]]+tblMaestroEquipos[[#This Row],[Costo Compras PM CLP]],0)</f>
        <v>0</v>
      </c>
      <c r="V110" s="16" t="str">
        <f>IFERROR(_xlfn.XLOOKUP(tblMaestroEquipos[[#This Row],[Codigo]],tblEquipos[Codigo],tblEquipos[Estado Base]),"")</f>
        <v>Fuera de Servicio</v>
      </c>
      <c r="W110" s="16" t="str">
        <f t="shared" si="8"/>
        <v>FUERA DE SERVICIO</v>
      </c>
      <c r="X110" s="16" t="str">
        <f t="shared" si="9"/>
        <v/>
      </c>
      <c r="Y110"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10" s="23" t="str">
        <f>IFERROR(IF(_xlfn.MINIFS(tblComprasPM[Fecha],tblComprasPM[Codigo],tblMaestroEquipos[[#This Row],[Codigo]])=0,"",_xlfn.MINIFS(tblComprasPM[Fecha],tblComprasPM[Codigo],tblMaestroEquipos[[#This Row],[Codigo]])),"")</f>
        <v/>
      </c>
      <c r="AA110" s="23" t="str">
        <f>IFERROR(IF(_xlfn.MAXIFS(tblBodega[Fecha],tblBodega[Codigo],tblMaestroEquipos[[#This Row],[Codigo]])=0,"",_xlfn.MAXIFS(tblBodega[Fecha],tblBodega[Codigo],tblMaestroEquipos[[#This Row],[Codigo]])),"")</f>
        <v/>
      </c>
      <c r="AB110"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10"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10" s="16" t="str">
        <f>IF(tblMaestroEquipos[[#This Row],[Fecha Salida Bodega]]="","SIN SALIDA BODEGA",IF(OR(tblMaestroEquipos[[#This Row],[Ultima Fecha PM]]="",tblMaestroEquipos[[#This Row],[Ultima Fecha PM]]&lt;tblMaestroEquipos[[#This Row],[Fecha Salida Bodega]]),"PENDIENTE","CERRADO"))</f>
        <v>SIN SALIDA BODEGA</v>
      </c>
      <c r="AE110" s="48" t="str">
        <f t="shared" si="10"/>
        <v>FUERA DE SERVICIO</v>
      </c>
      <c r="AF110" s="16" t="str">
        <f t="shared" si="11"/>
        <v>NO APLICA</v>
      </c>
      <c r="AG110" s="16" t="str">
        <f t="shared" si="12"/>
        <v>No programar compra</v>
      </c>
      <c r="AH110">
        <f t="shared" si="13"/>
        <v>0</v>
      </c>
      <c r="AI110" t="str">
        <f t="shared" si="14"/>
        <v/>
      </c>
      <c r="AJ110" s="22">
        <f t="shared" si="15"/>
        <v>99</v>
      </c>
    </row>
    <row r="111" spans="1:36">
      <c r="A111" s="16" t="s">
        <v>352</v>
      </c>
      <c r="B111" s="16" t="s">
        <v>297</v>
      </c>
      <c r="C111" s="16" t="s">
        <v>1385</v>
      </c>
      <c r="D111" s="16" t="s">
        <v>353</v>
      </c>
      <c r="E111" s="17" t="s">
        <v>354</v>
      </c>
      <c r="F111" s="16">
        <v>1998</v>
      </c>
      <c r="G111" s="17" t="str">
        <f>IFERROR(_xlfn.XLOOKUP($A111,tblEquipos[Codigo],tblEquipos[Ubicacion],""),"")</f>
        <v>Villaseca</v>
      </c>
      <c r="H111" s="16" t="s">
        <v>1401</v>
      </c>
      <c r="I111" s="16" t="str">
        <f>IFERROR(VLOOKUP(A111, Equipos!A:J, 9, FALSE), "")</f>
        <v>HORAS</v>
      </c>
      <c r="J111" s="16">
        <f>IFERROR(VLOOKUP(A111, Equipos!A:J, 10, FALSE), "")</f>
        <v>250</v>
      </c>
      <c r="K111" s="16">
        <f>IFERROR(IF($I111="KM",ROUND((_xlfn.MAXIFS(tblLecturas[Kilometraje],tblLecturas[Codigo],$A111)-_xlfn.MINIFS(tblLecturas[Kilometraje],tblLecturas[Codigo],$A111))/(MAX(1,_xlfn.MAXIFS(tblLecturas[Fecha],tblLecturas[Codigo],$A111)-_xlfn.MINIFS(tblLecturas[Fecha],tblLecturas[Codigo],$A111))),1),ROUND((_xlfn.MAXIFS(tblLecturas[Horometro],tblLecturas[Codigo],$A111)-_xlfn.MINIFS(tblLecturas[Horometro],tblLecturas[Codigo],$A111))/(MAX(1,_xlfn.MAXIFS(tblLecturas[Fecha],tblLecturas[Codigo],$A111)-_xlfn.MINIFS(tblLecturas[Fecha],tblLecturas[Codigo],$A111))),1)),"")</f>
        <v>0.2</v>
      </c>
      <c r="L111" s="18">
        <f>IFERROR(_xlfn.MAXIFS(tblLecturas[Fecha],tblLecturas[Codigo],$A111),"")</f>
        <v>46094</v>
      </c>
      <c r="M111" s="24">
        <f>IFERROR(_xlfn.MAXIFS(Lecturas!$C:$C,Lecturas!$B:$B,$A111,Lecturas!$C:$C,"&gt;0"),"")</f>
        <v>8627</v>
      </c>
      <c r="N111" s="24">
        <f>IFERROR(_xlfn.MAXIFS(tblLecturas[Kilometraje],tblLecturas[Codigo],$A111,tblLecturas[Kilometraje],"&gt;0"),"")</f>
        <v>0</v>
      </c>
      <c r="O111" s="24" cm="1">
        <f t="array" ref="O111">IFERROR(IF($I111="KM",LOOKUP(2,1/(Lecturas!$B:$B=$A111)/(Lecturas!$D:$D&gt;0),Lecturas!$D:$D),LOOKUP(2,1/(Lecturas!$B:$B=$A111)/(Lecturas!$C:$C&gt;0),Lecturas!$C:$C)),"")</f>
        <v>8368</v>
      </c>
      <c r="P111" s="18">
        <f>IFERROR(_xlfn.MAXIFS(tblMantenciones[Fecha],tblMantenciones[Codigo],tblMaestroEquipos[[#This Row],[Codigo]],tblMantenciones[EsPM],"Sí"),"")</f>
        <v>46155</v>
      </c>
      <c r="Q111" s="70">
        <f>IF(_xlfn.MAXIFS(Mantenciones!$D:$D,Mantenciones!$B:$B,A111)=0,"Sin datos de mantención registrado",_xlfn.MAXIFS(Mantenciones!$D:$D,Mantenciones!$B:$B,A111))</f>
        <v>8627</v>
      </c>
      <c r="R111" s="16">
        <f>IFERROR(IF(_xlfn.MAXIFS(Mantenciones!$D:$D,Mantenciones!$B:$B,$A111,Mantenciones!$E:$E,"Sí",Mantenciones!$D:$D,"&gt;0")=0,"Sin datos de mantención registrado",_xlfn.MAXIFS(Mantenciones!$D:$D,Mantenciones!$B:$B,$A111,Mantenciones!$E:$E,"Sí",Mantenciones!$D:$D,"&gt;0")),"Sin datos de mantención registrado")</f>
        <v>8627</v>
      </c>
      <c r="S111" s="19">
        <f>IFERROR(SUMIFS(tblMantenciones[Costo Mantencion CLP],tblMantenciones[Codigo],A111),0)</f>
        <v>0</v>
      </c>
      <c r="T111" s="19">
        <f>IFERROR(SUMIFS(tblComprasPM[Costo PM CLP],tblComprasPM[Codigo],tblMaestroEquipos[[#This Row],[Codigo]]),0)</f>
        <v>58974.119999999995</v>
      </c>
      <c r="U111" s="19">
        <f>IFERROR(tblMaestroEquipos[[#This Row],[Costo Mantenciones CLP]]+tblMaestroEquipos[[#This Row],[Costo Compras PM CLP]],0)</f>
        <v>58974.119999999995</v>
      </c>
      <c r="V111" s="16" t="str">
        <f>IFERROR(_xlfn.XLOOKUP(tblMaestroEquipos[[#This Row],[Codigo]],tblEquipos[Codigo],tblEquipos[Estado Base]),"")</f>
        <v>Operativo</v>
      </c>
      <c r="W111" s="16" t="str">
        <f t="shared" si="8"/>
        <v>AL DÍA</v>
      </c>
      <c r="X111" s="16">
        <f t="shared" si="9"/>
        <v>509</v>
      </c>
      <c r="Y111" s="23">
        <f>IFERROR(IF(OR(tblMaestroEquipos[[#This Row],[Estado Operacional]]="FUERA DE SERVICIO",tblMaestroEquipos[[#This Row],[Ultima Fecha Lectura]]="",tblMaestroEquipos[[#This Row],[Dias a Proxima Mantencion]]=""),"",tblMaestroEquipos[[#This Row],[Ultima Fecha Lectura]]+tblMaestroEquipos[[#This Row],[Dias a Proxima Mantencion]]),"")</f>
        <v>46603</v>
      </c>
      <c r="Z111" s="23">
        <f>IFERROR(IF(_xlfn.MINIFS(tblComprasPM[Fecha],tblComprasPM[Codigo],tblMaestroEquipos[[#This Row],[Codigo]])=0,"",_xlfn.MINIFS(tblComprasPM[Fecha],tblComprasPM[Codigo],tblMaestroEquipos[[#This Row],[Codigo]])),"")</f>
        <v>46142.533763275504</v>
      </c>
      <c r="AA111" s="23">
        <f>IFERROR(IF(_xlfn.MAXIFS(tblBodega[Fecha],tblBodega[Codigo],tblMaestroEquipos[[#This Row],[Codigo]])=0,"",_xlfn.MAXIFS(tblBodega[Fecha],tblBodega[Codigo],tblMaestroEquipos[[#This Row],[Codigo]])),"")</f>
        <v>46148</v>
      </c>
      <c r="AB11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13</v>
      </c>
      <c r="AC111"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7</v>
      </c>
      <c r="AD111" s="16" t="str">
        <f>IF(tblMaestroEquipos[[#This Row],[Fecha Salida Bodega]]="","SIN SALIDA BODEGA",IF(OR(tblMaestroEquipos[[#This Row],[Ultima Fecha PM]]="",tblMaestroEquipos[[#This Row],[Ultima Fecha PM]]&lt;tblMaestroEquipos[[#This Row],[Fecha Salida Bodega]]),"PENDIENTE","CERRADO"))</f>
        <v>CERRADO</v>
      </c>
      <c r="AE111" s="48" t="str">
        <f t="shared" si="10"/>
        <v>OPERATIVO</v>
      </c>
      <c r="AF111" s="16" t="str">
        <f t="shared" si="11"/>
        <v>BAJA</v>
      </c>
      <c r="AG111" s="16" t="str">
        <f t="shared" si="12"/>
        <v>Monitorear próximo vencimiento</v>
      </c>
      <c r="AH111">
        <f t="shared" si="13"/>
        <v>0</v>
      </c>
      <c r="AI111" t="str">
        <f t="shared" si="14"/>
        <v/>
      </c>
      <c r="AJ111" s="22">
        <f t="shared" si="15"/>
        <v>99</v>
      </c>
    </row>
    <row r="112" spans="1:36">
      <c r="A112" s="16" t="s">
        <v>356</v>
      </c>
      <c r="B112" s="16" t="s">
        <v>357</v>
      </c>
      <c r="C112" s="16" t="s">
        <v>1385</v>
      </c>
      <c r="D112" s="16" t="s">
        <v>353</v>
      </c>
      <c r="E112" s="17" t="s">
        <v>358</v>
      </c>
      <c r="F112" s="16">
        <v>1998</v>
      </c>
      <c r="G112" s="17" t="str">
        <f>IFERROR(_xlfn.XLOOKUP($A112,tblEquipos[Codigo],tblEquipos[Ubicacion],""),"")</f>
        <v>Taller</v>
      </c>
      <c r="H112" s="16" t="s">
        <v>201</v>
      </c>
      <c r="I112" s="16" t="str">
        <f>IFERROR(VLOOKUP(A112, Equipos!A:J, 9, FALSE), "")</f>
        <v>HORAS</v>
      </c>
      <c r="J112" s="16">
        <f>IFERROR(VLOOKUP(A112, Equipos!A:J, 10, FALSE), "")</f>
        <v>250</v>
      </c>
      <c r="K112" s="16">
        <f>IFERROR(IF($I112="KM",ROUND((_xlfn.MAXIFS(tblLecturas[Kilometraje],tblLecturas[Codigo],$A112)-_xlfn.MINIFS(tblLecturas[Kilometraje],tblLecturas[Codigo],$A112))/(MAX(1,_xlfn.MAXIFS(tblLecturas[Fecha],tblLecturas[Codigo],$A112)-_xlfn.MINIFS(tblLecturas[Fecha],tblLecturas[Codigo],$A112))),1),ROUND((_xlfn.MAXIFS(tblLecturas[Horometro],tblLecturas[Codigo],$A112)-_xlfn.MINIFS(tblLecturas[Horometro],tblLecturas[Codigo],$A112))/(MAX(1,_xlfn.MAXIFS(tblLecturas[Fecha],tblLecturas[Codigo],$A112)-_xlfn.MINIFS(tblLecturas[Fecha],tblLecturas[Codigo],$A112))),1)),"")</f>
        <v>0</v>
      </c>
      <c r="L112" s="18">
        <f>IFERROR(_xlfn.MAXIFS(tblLecturas[Fecha],tblLecturas[Codigo],$A112),"")</f>
        <v>0</v>
      </c>
      <c r="M112" s="24">
        <f>IFERROR(_xlfn.MAXIFS(Lecturas!$C:$C,Lecturas!$B:$B,$A112,Lecturas!$C:$C,"&gt;0"),"")</f>
        <v>0</v>
      </c>
      <c r="N112" s="24">
        <f>IFERROR(_xlfn.MAXIFS(tblLecturas[Kilometraje],tblLecturas[Codigo],$A112,tblLecturas[Kilometraje],"&gt;0"),"")</f>
        <v>0</v>
      </c>
      <c r="O112" s="24" t="str" cm="1">
        <f t="array" ref="O112">IFERROR(IF($I112="KM",LOOKUP(2,1/(Lecturas!$B:$B=$A112)/(Lecturas!$D:$D&gt;0),Lecturas!$D:$D),LOOKUP(2,1/(Lecturas!$B:$B=$A112)/(Lecturas!$C:$C&gt;0),Lecturas!$C:$C)),"")</f>
        <v/>
      </c>
      <c r="P112" s="18">
        <f>IFERROR(_xlfn.MAXIFS(tblMantenciones[Fecha],tblMantenciones[Codigo],tblMaestroEquipos[[#This Row],[Codigo]],tblMantenciones[EsPM],"Sí"),"")</f>
        <v>0</v>
      </c>
      <c r="Q112" s="70" t="str">
        <f>IF(_xlfn.MAXIFS(Mantenciones!$D:$D,Mantenciones!$B:$B,A112)=0,"Sin datos de mantención registrado",_xlfn.MAXIFS(Mantenciones!$D:$D,Mantenciones!$B:$B,A112))</f>
        <v>Sin datos de mantención registrado</v>
      </c>
      <c r="R112" s="16" t="str">
        <f>IFERROR(IF(_xlfn.MAXIFS(Mantenciones!$D:$D,Mantenciones!$B:$B,$A112,Mantenciones!$E:$E,"Sí",Mantenciones!$D:$D,"&gt;0")=0,"Sin datos de mantención registrado",_xlfn.MAXIFS(Mantenciones!$D:$D,Mantenciones!$B:$B,$A112,Mantenciones!$E:$E,"Sí",Mantenciones!$D:$D,"&gt;0")),"Sin datos de mantención registrado")</f>
        <v>Sin datos de mantención registrado</v>
      </c>
      <c r="S112" s="19">
        <f>IFERROR(SUMIFS(tblMantenciones[Costo Mantencion CLP],tblMantenciones[Codigo],A112),0)</f>
        <v>0</v>
      </c>
      <c r="T112" s="19">
        <f>IFERROR(SUMIFS(tblComprasPM[Costo PM CLP],tblComprasPM[Codigo],tblMaestroEquipos[[#This Row],[Codigo]]),0)</f>
        <v>0</v>
      </c>
      <c r="U112" s="19">
        <f>IFERROR(tblMaestroEquipos[[#This Row],[Costo Mantenciones CLP]]+tblMaestroEquipos[[#This Row],[Costo Compras PM CLP]],0)</f>
        <v>0</v>
      </c>
      <c r="V112" s="16" t="str">
        <f>IFERROR(_xlfn.XLOOKUP(tblMaestroEquipos[[#This Row],[Codigo]],tblEquipos[Codigo],tblEquipos[Estado Base]),"")</f>
        <v>Operativo</v>
      </c>
      <c r="W112" s="16" t="str">
        <f t="shared" si="8"/>
        <v>AL DÍA</v>
      </c>
      <c r="X112" s="16" t="str">
        <f t="shared" si="9"/>
        <v/>
      </c>
      <c r="Y112"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12" s="23" t="str">
        <f>IFERROR(IF(_xlfn.MINIFS(tblComprasPM[Fecha],tblComprasPM[Codigo],tblMaestroEquipos[[#This Row],[Codigo]])=0,"",_xlfn.MINIFS(tblComprasPM[Fecha],tblComprasPM[Codigo],tblMaestroEquipos[[#This Row],[Codigo]])),"")</f>
        <v/>
      </c>
      <c r="AA112" s="23" t="str">
        <f>IFERROR(IF(_xlfn.MAXIFS(tblBodega[Fecha],tblBodega[Codigo],tblMaestroEquipos[[#This Row],[Codigo]])=0,"",_xlfn.MAXIFS(tblBodega[Fecha],tblBodega[Codigo],tblMaestroEquipos[[#This Row],[Codigo]])),"")</f>
        <v/>
      </c>
      <c r="AB112"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1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12" s="16" t="str">
        <f>IF(tblMaestroEquipos[[#This Row],[Fecha Salida Bodega]]="","SIN SALIDA BODEGA",IF(OR(tblMaestroEquipos[[#This Row],[Ultima Fecha PM]]="",tblMaestroEquipos[[#This Row],[Ultima Fecha PM]]&lt;tblMaestroEquipos[[#This Row],[Fecha Salida Bodega]]),"PENDIENTE","CERRADO"))</f>
        <v>SIN SALIDA BODEGA</v>
      </c>
      <c r="AE112" s="48" t="str">
        <f t="shared" si="10"/>
        <v>OPERATIVO</v>
      </c>
      <c r="AF112" s="16" t="str">
        <f t="shared" si="11"/>
        <v>BAJA</v>
      </c>
      <c r="AG112" s="16" t="str">
        <f t="shared" si="12"/>
        <v>Monitorear próximo vencimiento</v>
      </c>
      <c r="AH112">
        <f t="shared" si="13"/>
        <v>0</v>
      </c>
      <c r="AI112" t="str">
        <f t="shared" si="14"/>
        <v/>
      </c>
      <c r="AJ112" s="22">
        <f t="shared" si="15"/>
        <v>99</v>
      </c>
    </row>
    <row r="113" spans="1:36">
      <c r="A113" s="16" t="s">
        <v>359</v>
      </c>
      <c r="B113" s="16" t="s">
        <v>357</v>
      </c>
      <c r="C113" s="16" t="s">
        <v>1385</v>
      </c>
      <c r="D113" s="16" t="s">
        <v>353</v>
      </c>
      <c r="E113" s="17" t="s">
        <v>358</v>
      </c>
      <c r="F113" s="16">
        <v>2001</v>
      </c>
      <c r="G113" s="17" t="str">
        <f>IFERROR(_xlfn.XLOOKUP($A113,tblEquipos[Codigo],tblEquipos[Ubicacion],""),"")</f>
        <v>Ninhue</v>
      </c>
      <c r="H113" s="16" t="s">
        <v>201</v>
      </c>
      <c r="I113" s="16" t="str">
        <f>IFERROR(VLOOKUP(A113, Equipos!A:J, 9, FALSE), "")</f>
        <v>HORAS</v>
      </c>
      <c r="J113" s="16">
        <f>IFERROR(VLOOKUP(A113, Equipos!A:J, 10, FALSE), "")</f>
        <v>250</v>
      </c>
      <c r="K113" s="16">
        <f>IFERROR(IF($I113="KM",ROUND((_xlfn.MAXIFS(tblLecturas[Kilometraje],tblLecturas[Codigo],$A113)-_xlfn.MINIFS(tblLecturas[Kilometraje],tblLecturas[Codigo],$A113))/(MAX(1,_xlfn.MAXIFS(tblLecturas[Fecha],tblLecturas[Codigo],$A113)-_xlfn.MINIFS(tblLecturas[Fecha],tblLecturas[Codigo],$A113))),1),ROUND((_xlfn.MAXIFS(tblLecturas[Horometro],tblLecturas[Codigo],$A113)-_xlfn.MINIFS(tblLecturas[Horometro],tblLecturas[Codigo],$A113))/(MAX(1,_xlfn.MAXIFS(tblLecturas[Fecha],tblLecturas[Codigo],$A113)-_xlfn.MINIFS(tblLecturas[Fecha],tblLecturas[Codigo],$A113))),1)),"")</f>
        <v>0.5</v>
      </c>
      <c r="L113" s="18">
        <f>IFERROR(_xlfn.MAXIFS(tblLecturas[Fecha],tblLecturas[Codigo],$A113),"")</f>
        <v>46101</v>
      </c>
      <c r="M113" s="24">
        <f>IFERROR(_xlfn.MAXIFS(Lecturas!$C:$C,Lecturas!$B:$B,$A113,Lecturas!$C:$C,"&gt;0"),"")</f>
        <v>8282</v>
      </c>
      <c r="N113" s="24">
        <f>IFERROR(_xlfn.MAXIFS(tblLecturas[Kilometraje],tblLecturas[Codigo],$A113,tblLecturas[Kilometraje],"&gt;0"),"")</f>
        <v>0</v>
      </c>
      <c r="O113" s="24" cm="1">
        <f t="array" ref="O113">IFERROR(IF($I113="KM",LOOKUP(2,1/(Lecturas!$B:$B=$A113)/(Lecturas!$D:$D&gt;0),Lecturas!$D:$D),LOOKUP(2,1/(Lecturas!$B:$B=$A113)/(Lecturas!$C:$C&gt;0),Lecturas!$C:$C)),"")</f>
        <v>8239.6</v>
      </c>
      <c r="P113" s="18">
        <f>IFERROR(_xlfn.MAXIFS(tblMantenciones[Fecha],tblMantenciones[Codigo],tblMaestroEquipos[[#This Row],[Codigo]],tblMantenciones[EsPM],"Sí"),"")</f>
        <v>46153</v>
      </c>
      <c r="Q113" s="70">
        <f>IF(_xlfn.MAXIFS(Mantenciones!$D:$D,Mantenciones!$B:$B,A113)=0,"Sin datos de mantención registrado",_xlfn.MAXIFS(Mantenciones!$D:$D,Mantenciones!$B:$B,A113))</f>
        <v>8324</v>
      </c>
      <c r="R113" s="16">
        <f>IFERROR(IF(_xlfn.MAXIFS(Mantenciones!$D:$D,Mantenciones!$B:$B,$A113,Mantenciones!$E:$E,"Sí",Mantenciones!$D:$D,"&gt;0")=0,"Sin datos de mantención registrado",_xlfn.MAXIFS(Mantenciones!$D:$D,Mantenciones!$B:$B,$A113,Mantenciones!$E:$E,"Sí",Mantenciones!$D:$D,"&gt;0")),"Sin datos de mantención registrado")</f>
        <v>8324</v>
      </c>
      <c r="S113" s="19">
        <f>IFERROR(SUMIFS(tblMantenciones[Costo Mantencion CLP],tblMantenciones[Codigo],A113),0)</f>
        <v>0</v>
      </c>
      <c r="T113" s="19">
        <f>IFERROR(SUMIFS(tblComprasPM[Costo PM CLP],tblComprasPM[Codigo],tblMaestroEquipos[[#This Row],[Codigo]]),0)</f>
        <v>268361.65999999997</v>
      </c>
      <c r="U113" s="19">
        <f>IFERROR(tblMaestroEquipos[[#This Row],[Costo Mantenciones CLP]]+tblMaestroEquipos[[#This Row],[Costo Compras PM CLP]],0)</f>
        <v>268361.65999999997</v>
      </c>
      <c r="V113" s="16" t="str">
        <f>IFERROR(_xlfn.XLOOKUP(tblMaestroEquipos[[#This Row],[Codigo]],tblEquipos[Codigo],tblEquipos[Estado Base]),"")</f>
        <v>Operativo</v>
      </c>
      <c r="W113" s="16" t="str">
        <f t="shared" si="8"/>
        <v>AL DÍA</v>
      </c>
      <c r="X113" s="16">
        <f t="shared" si="9"/>
        <v>334.39999999999964</v>
      </c>
      <c r="Y113" s="23">
        <f>IFERROR(IF(OR(tblMaestroEquipos[[#This Row],[Estado Operacional]]="FUERA DE SERVICIO",tblMaestroEquipos[[#This Row],[Ultima Fecha Lectura]]="",tblMaestroEquipos[[#This Row],[Dias a Proxima Mantencion]]=""),"",tblMaestroEquipos[[#This Row],[Ultima Fecha Lectura]]+tblMaestroEquipos[[#This Row],[Dias a Proxima Mantencion]]),"")</f>
        <v>46435.4</v>
      </c>
      <c r="Z113" s="23">
        <f>IFERROR(IF(_xlfn.MINIFS(tblComprasPM[Fecha],tblComprasPM[Codigo],tblMaestroEquipos[[#This Row],[Codigo]])=0,"",_xlfn.MINIFS(tblComprasPM[Fecha],tblComprasPM[Codigo],tblMaestroEquipos[[#This Row],[Codigo]])),"")</f>
        <v>46118</v>
      </c>
      <c r="AA113" s="23">
        <f>IFERROR(IF(_xlfn.MAXIFS(tblBodega[Fecha],tblBodega[Codigo],tblMaestroEquipos[[#This Row],[Codigo]])=0,"",_xlfn.MAXIFS(tblBodega[Fecha],tblBodega[Codigo],tblMaestroEquipos[[#This Row],[Codigo]])),"")</f>
        <v>46148</v>
      </c>
      <c r="AB113"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35</v>
      </c>
      <c r="AC113"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5</v>
      </c>
      <c r="AD113" s="16" t="str">
        <f>IF(tblMaestroEquipos[[#This Row],[Fecha Salida Bodega]]="","SIN SALIDA BODEGA",IF(OR(tblMaestroEquipos[[#This Row],[Ultima Fecha PM]]="",tblMaestroEquipos[[#This Row],[Ultima Fecha PM]]&lt;tblMaestroEquipos[[#This Row],[Fecha Salida Bodega]]),"PENDIENTE","CERRADO"))</f>
        <v>CERRADO</v>
      </c>
      <c r="AE113" s="48" t="str">
        <f t="shared" si="10"/>
        <v>OPERATIVO</v>
      </c>
      <c r="AF113" s="16" t="str">
        <f t="shared" si="11"/>
        <v>BAJA</v>
      </c>
      <c r="AG113" s="16" t="str">
        <f t="shared" si="12"/>
        <v>Monitorear próximo vencimiento</v>
      </c>
      <c r="AH113">
        <f t="shared" si="13"/>
        <v>0</v>
      </c>
      <c r="AI113" t="str">
        <f t="shared" si="14"/>
        <v/>
      </c>
      <c r="AJ113" s="22">
        <f t="shared" si="15"/>
        <v>99</v>
      </c>
    </row>
    <row r="114" spans="1:36">
      <c r="A114" s="16" t="s">
        <v>360</v>
      </c>
      <c r="B114" s="16" t="s">
        <v>274</v>
      </c>
      <c r="C114" s="16" t="s">
        <v>1385</v>
      </c>
      <c r="D114" s="16" t="s">
        <v>275</v>
      </c>
      <c r="E114" s="17" t="s">
        <v>276</v>
      </c>
      <c r="F114" s="16">
        <v>2015</v>
      </c>
      <c r="G114" s="17" t="str">
        <f>IFERROR(_xlfn.XLOOKUP($A114,tblEquipos[Codigo],tblEquipos[Ubicacion],""),"")</f>
        <v>Cobquecura</v>
      </c>
      <c r="H114" s="16" t="s">
        <v>300</v>
      </c>
      <c r="I114" s="16" t="str">
        <f>IFERROR(VLOOKUP(A114, Equipos!A:J, 9, FALSE), "")</f>
        <v>HORAS</v>
      </c>
      <c r="J114" s="16">
        <f>IFERROR(VLOOKUP(A114, Equipos!A:J, 10, FALSE), "")</f>
        <v>300</v>
      </c>
      <c r="K114" s="16">
        <f>IFERROR(IF($I114="KM",ROUND((_xlfn.MAXIFS(tblLecturas[Kilometraje],tblLecturas[Codigo],$A114)-_xlfn.MINIFS(tblLecturas[Kilometraje],tblLecturas[Codigo],$A114))/(MAX(1,_xlfn.MAXIFS(tblLecturas[Fecha],tblLecturas[Codigo],$A114)-_xlfn.MINIFS(tblLecturas[Fecha],tblLecturas[Codigo],$A114))),1),ROUND((_xlfn.MAXIFS(tblLecturas[Horometro],tblLecturas[Codigo],$A114)-_xlfn.MINIFS(tblLecturas[Horometro],tblLecturas[Codigo],$A114))/(MAX(1,_xlfn.MAXIFS(tblLecturas[Fecha],tblLecturas[Codigo],$A114)-_xlfn.MINIFS(tblLecturas[Fecha],tblLecturas[Codigo],$A114))),1)),"")</f>
        <v>17.8</v>
      </c>
      <c r="L114" s="18">
        <f>IFERROR(_xlfn.MAXIFS(tblLecturas[Fecha],tblLecturas[Codigo],$A114),"")</f>
        <v>46183</v>
      </c>
      <c r="M114" s="24">
        <f>IFERROR(_xlfn.MAXIFS(Lecturas!$C:$C,Lecturas!$B:$B,$A114,Lecturas!$C:$C,"&gt;0"),"")</f>
        <v>7168</v>
      </c>
      <c r="N114" s="24">
        <f>IFERROR(_xlfn.MAXIFS(tblLecturas[Kilometraje],tblLecturas[Codigo],$A114,tblLecturas[Kilometraje],"&gt;0"),"")</f>
        <v>0</v>
      </c>
      <c r="O114" s="24" cm="1">
        <f t="array" ref="O114">IFERROR(IF($I114="KM",LOOKUP(2,1/(Lecturas!$B:$B=$A114)/(Lecturas!$D:$D&gt;0),Lecturas!$D:$D),LOOKUP(2,1/(Lecturas!$B:$B=$A114)/(Lecturas!$C:$C&gt;0),Lecturas!$C:$C)),"")</f>
        <v>7168</v>
      </c>
      <c r="P114" s="18">
        <f>IFERROR(_xlfn.MAXIFS(tblMantenciones[Fecha],tblMantenciones[Codigo],tblMaestroEquipos[[#This Row],[Codigo]],tblMantenciones[EsPM],"Sí"),"")</f>
        <v>46133</v>
      </c>
      <c r="Q114" s="70">
        <f>IF(_xlfn.MAXIFS(Mantenciones!$D:$D,Mantenciones!$B:$B,A114)=0,"Sin datos de mantención registrado",_xlfn.MAXIFS(Mantenciones!$D:$D,Mantenciones!$B:$B,A114))</f>
        <v>7113</v>
      </c>
      <c r="R114" s="16">
        <f>IFERROR(IF(_xlfn.MAXIFS(Mantenciones!$D:$D,Mantenciones!$B:$B,$A114,Mantenciones!$E:$E,"Sí",Mantenciones!$D:$D,"&gt;0")=0,"Sin datos de mantención registrado",_xlfn.MAXIFS(Mantenciones!$D:$D,Mantenciones!$B:$B,$A114,Mantenciones!$E:$E,"Sí",Mantenciones!$D:$D,"&gt;0")),"Sin datos de mantención registrado")</f>
        <v>7113</v>
      </c>
      <c r="S114" s="19">
        <f>IFERROR(SUMIFS(tblMantenciones[Costo Mantencion CLP],tblMantenciones[Codigo],A114),0)</f>
        <v>0</v>
      </c>
      <c r="T114" s="19">
        <f>IFERROR(SUMIFS(tblComprasPM[Costo PM CLP],tblComprasPM[Codigo],tblMaestroEquipos[[#This Row],[Codigo]]),0)</f>
        <v>730199.13</v>
      </c>
      <c r="U114" s="19">
        <f>IFERROR(tblMaestroEquipos[[#This Row],[Costo Mantenciones CLP]]+tblMaestroEquipos[[#This Row],[Costo Compras PM CLP]],0)</f>
        <v>730199.13</v>
      </c>
      <c r="V114" s="16" t="str">
        <f>IFERROR(_xlfn.XLOOKUP(tblMaestroEquipos[[#This Row],[Codigo]],tblEquipos[Codigo],tblEquipos[Estado Base]),"")</f>
        <v>Operativo</v>
      </c>
      <c r="W114" s="16" t="str">
        <f t="shared" si="8"/>
        <v>AL DÍA</v>
      </c>
      <c r="X114" s="16">
        <f t="shared" si="9"/>
        <v>245</v>
      </c>
      <c r="Y114" s="23">
        <f>IFERROR(IF(OR(tblMaestroEquipos[[#This Row],[Estado Operacional]]="FUERA DE SERVICIO",tblMaestroEquipos[[#This Row],[Ultima Fecha Lectura]]="",tblMaestroEquipos[[#This Row],[Dias a Proxima Mantencion]]=""),"",tblMaestroEquipos[[#This Row],[Ultima Fecha Lectura]]+tblMaestroEquipos[[#This Row],[Dias a Proxima Mantencion]]),"")</f>
        <v>46428</v>
      </c>
      <c r="Z114" s="23">
        <f>IFERROR(IF(_xlfn.MINIFS(tblComprasPM[Fecha],tblComprasPM[Codigo],tblMaestroEquipos[[#This Row],[Codigo]])=0,"",_xlfn.MINIFS(tblComprasPM[Fecha],tblComprasPM[Codigo],tblMaestroEquipos[[#This Row],[Codigo]])),"")</f>
        <v>46132.714388622699</v>
      </c>
      <c r="AA114" s="23">
        <f>IFERROR(IF(_xlfn.MAXIFS(tblBodega[Fecha],tblBodega[Codigo],tblMaestroEquipos[[#This Row],[Codigo]])=0,"",_xlfn.MAXIFS(tblBodega[Fecha],tblBodega[Codigo],tblMaestroEquipos[[#This Row],[Codigo]])),"")</f>
        <v>46133</v>
      </c>
      <c r="AB114"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v>
      </c>
      <c r="AC114"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14" s="16" t="str">
        <f>IF(tblMaestroEquipos[[#This Row],[Fecha Salida Bodega]]="","SIN SALIDA BODEGA",IF(OR(tblMaestroEquipos[[#This Row],[Ultima Fecha PM]]="",tblMaestroEquipos[[#This Row],[Ultima Fecha PM]]&lt;tblMaestroEquipos[[#This Row],[Fecha Salida Bodega]]),"PENDIENTE","CERRADO"))</f>
        <v>CERRADO</v>
      </c>
      <c r="AE114" s="48" t="str">
        <f t="shared" si="10"/>
        <v>OPERATIVO</v>
      </c>
      <c r="AF114" s="16" t="str">
        <f t="shared" si="11"/>
        <v>BAJA</v>
      </c>
      <c r="AG114" s="16" t="str">
        <f t="shared" si="12"/>
        <v>Monitorear próximo vencimiento</v>
      </c>
      <c r="AH114">
        <f t="shared" si="13"/>
        <v>0</v>
      </c>
      <c r="AI114" t="str">
        <f t="shared" si="14"/>
        <v/>
      </c>
      <c r="AJ114" s="22">
        <f t="shared" si="15"/>
        <v>99</v>
      </c>
    </row>
    <row r="115" spans="1:36">
      <c r="A115" s="16" t="s">
        <v>362</v>
      </c>
      <c r="B115" s="16" t="s">
        <v>269</v>
      </c>
      <c r="C115" s="16" t="s">
        <v>1385</v>
      </c>
      <c r="D115" s="16" t="s">
        <v>308</v>
      </c>
      <c r="E115" s="17" t="s">
        <v>363</v>
      </c>
      <c r="F115" s="16">
        <v>2011</v>
      </c>
      <c r="G115" s="17" t="str">
        <f>IFERROR(_xlfn.XLOOKUP($A115,tblEquipos[Codigo],tblEquipos[Ubicacion],""),"")</f>
        <v>San Rafael</v>
      </c>
      <c r="H115" s="16" t="s">
        <v>306</v>
      </c>
      <c r="I115" s="16" t="str">
        <f>IFERROR(VLOOKUP(A115, Equipos!A:J, 9, FALSE), "")</f>
        <v>HORAS</v>
      </c>
      <c r="J115" s="16">
        <f>IFERROR(VLOOKUP(A115, Equipos!A:J, 10, FALSE), "")</f>
        <v>250</v>
      </c>
      <c r="K115" s="16">
        <f>IFERROR(IF($I115="KM",ROUND((_xlfn.MAXIFS(tblLecturas[Kilometraje],tblLecturas[Codigo],$A115)-_xlfn.MINIFS(tblLecturas[Kilometraje],tblLecturas[Codigo],$A115))/(MAX(1,_xlfn.MAXIFS(tblLecturas[Fecha],tblLecturas[Codigo],$A115)-_xlfn.MINIFS(tblLecturas[Fecha],tblLecturas[Codigo],$A115))),1),ROUND((_xlfn.MAXIFS(tblLecturas[Horometro],tblLecturas[Codigo],$A115)-_xlfn.MINIFS(tblLecturas[Horometro],tblLecturas[Codigo],$A115))/(MAX(1,_xlfn.MAXIFS(tblLecturas[Fecha],tblLecturas[Codigo],$A115)-_xlfn.MINIFS(tblLecturas[Fecha],tblLecturas[Codigo],$A115))),1)),"")</f>
        <v>4</v>
      </c>
      <c r="L115" s="18">
        <f>IFERROR(_xlfn.MAXIFS(tblLecturas[Fecha],tblLecturas[Codigo],$A115),"")</f>
        <v>46157</v>
      </c>
      <c r="M115" s="24">
        <f>IFERROR(_xlfn.MAXIFS(Lecturas!$C:$C,Lecturas!$B:$B,$A115,Lecturas!$C:$C,"&gt;0"),"")</f>
        <v>15867</v>
      </c>
      <c r="N115" s="24">
        <f>IFERROR(_xlfn.MAXIFS(tblLecturas[Kilometraje],tblLecturas[Codigo],$A115,tblLecturas[Kilometraje],"&gt;0"),"")</f>
        <v>0</v>
      </c>
      <c r="O115" s="24" cm="1">
        <f t="array" ref="O115">IFERROR(IF($I115="KM",LOOKUP(2,1/(Lecturas!$B:$B=$A115)/(Lecturas!$D:$D&gt;0),Lecturas!$D:$D),LOOKUP(2,1/(Lecturas!$B:$B=$A115)/(Lecturas!$C:$C&gt;0),Lecturas!$C:$C)),"")</f>
        <v>15867</v>
      </c>
      <c r="P115" s="18">
        <f>IFERROR(_xlfn.MAXIFS(tblMantenciones[Fecha],tblMantenciones[Codigo],tblMaestroEquipos[[#This Row],[Codigo]],tblMantenciones[EsPM],"Sí"),"")</f>
        <v>46079</v>
      </c>
      <c r="Q115" s="70">
        <f>IF(_xlfn.MAXIFS(Mantenciones!$D:$D,Mantenciones!$B:$B,A115)=0,"Sin datos de mantención registrado",_xlfn.MAXIFS(Mantenciones!$D:$D,Mantenciones!$B:$B,A115))</f>
        <v>15874</v>
      </c>
      <c r="R115" s="16">
        <f>IFERROR(IF(_xlfn.MAXIFS(Mantenciones!$D:$D,Mantenciones!$B:$B,$A115,Mantenciones!$E:$E,"Sí",Mantenciones!$D:$D,"&gt;0")=0,"Sin datos de mantención registrado",_xlfn.MAXIFS(Mantenciones!$D:$D,Mantenciones!$B:$B,$A115,Mantenciones!$E:$E,"Sí",Mantenciones!$D:$D,"&gt;0")),"Sin datos de mantención registrado")</f>
        <v>15874</v>
      </c>
      <c r="S115" s="19">
        <f>IFERROR(SUMIFS(tblMantenciones[Costo Mantencion CLP],tblMantenciones[Codigo],A115),0)</f>
        <v>0</v>
      </c>
      <c r="T115" s="19">
        <f>IFERROR(SUMIFS(tblComprasPM[Costo PM CLP],tblComprasPM[Codigo],tblMaestroEquipos[[#This Row],[Codigo]]),0)</f>
        <v>336768.81</v>
      </c>
      <c r="U115" s="19">
        <f>IFERROR(tblMaestroEquipos[[#This Row],[Costo Mantenciones CLP]]+tblMaestroEquipos[[#This Row],[Costo Compras PM CLP]],0)</f>
        <v>336768.81</v>
      </c>
      <c r="V115" s="16" t="str">
        <f>IFERROR(_xlfn.XLOOKUP(tblMaestroEquipos[[#This Row],[Codigo]],tblEquipos[Codigo],tblEquipos[Estado Base]),"")</f>
        <v>Operativo</v>
      </c>
      <c r="W115" s="16" t="str">
        <f t="shared" si="8"/>
        <v>AL DÍA</v>
      </c>
      <c r="X115" s="16">
        <f t="shared" si="9"/>
        <v>257</v>
      </c>
      <c r="Y115" s="23">
        <f>IFERROR(IF(OR(tblMaestroEquipos[[#This Row],[Estado Operacional]]="FUERA DE SERVICIO",tblMaestroEquipos[[#This Row],[Ultima Fecha Lectura]]="",tblMaestroEquipos[[#This Row],[Dias a Proxima Mantencion]]=""),"",tblMaestroEquipos[[#This Row],[Ultima Fecha Lectura]]+tblMaestroEquipos[[#This Row],[Dias a Proxima Mantencion]]),"")</f>
        <v>46414</v>
      </c>
      <c r="Z115" s="23">
        <f>IFERROR(IF(_xlfn.MINIFS(tblComprasPM[Fecha],tblComprasPM[Codigo],tblMaestroEquipos[[#This Row],[Codigo]])=0,"",_xlfn.MINIFS(tblComprasPM[Fecha],tblComprasPM[Codigo],tblMaestroEquipos[[#This Row],[Codigo]])),"")</f>
        <v>46188</v>
      </c>
      <c r="AA115" s="23">
        <f>IFERROR(IF(_xlfn.MAXIFS(tblBodega[Fecha],tblBodega[Codigo],tblMaestroEquipos[[#This Row],[Codigo]])=0,"",_xlfn.MAXIFS(tblBodega[Fecha],tblBodega[Codigo],tblMaestroEquipos[[#This Row],[Codigo]])),"")</f>
        <v>46057</v>
      </c>
      <c r="AB11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1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22</v>
      </c>
      <c r="AD115" s="16" t="str">
        <f>IF(tblMaestroEquipos[[#This Row],[Fecha Salida Bodega]]="","SIN SALIDA BODEGA",IF(OR(tblMaestroEquipos[[#This Row],[Ultima Fecha PM]]="",tblMaestroEquipos[[#This Row],[Ultima Fecha PM]]&lt;tblMaestroEquipos[[#This Row],[Fecha Salida Bodega]]),"PENDIENTE","CERRADO"))</f>
        <v>CERRADO</v>
      </c>
      <c r="AE115" s="48" t="str">
        <f t="shared" si="10"/>
        <v>OPERATIVO</v>
      </c>
      <c r="AF115" s="16" t="str">
        <f t="shared" si="11"/>
        <v>BAJA</v>
      </c>
      <c r="AG115" s="16" t="str">
        <f t="shared" si="12"/>
        <v>Monitorear próximo vencimiento</v>
      </c>
      <c r="AH115" s="25">
        <f t="shared" si="13"/>
        <v>0</v>
      </c>
      <c r="AI115" s="25" t="str">
        <f t="shared" si="14"/>
        <v/>
      </c>
      <c r="AJ115" s="22">
        <f t="shared" si="15"/>
        <v>99</v>
      </c>
    </row>
    <row r="116" spans="1:36">
      <c r="A116" s="16" t="s">
        <v>365</v>
      </c>
      <c r="B116" s="16" t="s">
        <v>264</v>
      </c>
      <c r="C116" s="16" t="s">
        <v>1385</v>
      </c>
      <c r="D116" s="16" t="s">
        <v>314</v>
      </c>
      <c r="E116" s="17" t="s">
        <v>315</v>
      </c>
      <c r="F116" s="16">
        <v>2013</v>
      </c>
      <c r="G116" s="17" t="str">
        <f>IFERROR(_xlfn.XLOOKUP($A116,tblEquipos[Codigo],tblEquipos[Ubicacion],""),"")</f>
        <v>Taller Demotron</v>
      </c>
      <c r="H116" s="16" t="s">
        <v>56</v>
      </c>
      <c r="I116" s="16" t="str">
        <f>IFERROR(VLOOKUP(A116, Equipos!A:J, 9, FALSE), "")</f>
        <v>HORAS</v>
      </c>
      <c r="J116" s="16">
        <f>IFERROR(VLOOKUP(A116, Equipos!A:J, 10, FALSE), "")</f>
        <v>250</v>
      </c>
      <c r="K116" s="16">
        <f>IFERROR(IF($I116="KM",ROUND((_xlfn.MAXIFS(tblLecturas[Kilometraje],tblLecturas[Codigo],$A116)-_xlfn.MINIFS(tblLecturas[Kilometraje],tblLecturas[Codigo],$A116))/(MAX(1,_xlfn.MAXIFS(tblLecturas[Fecha],tblLecturas[Codigo],$A116)-_xlfn.MINIFS(tblLecturas[Fecha],tblLecturas[Codigo],$A116))),1),ROUND((_xlfn.MAXIFS(tblLecturas[Horometro],tblLecturas[Codigo],$A116)-_xlfn.MINIFS(tblLecturas[Horometro],tblLecturas[Codigo],$A116))/(MAX(1,_xlfn.MAXIFS(tblLecturas[Fecha],tblLecturas[Codigo],$A116)-_xlfn.MINIFS(tblLecturas[Fecha],tblLecturas[Codigo],$A116))),1)),"")</f>
        <v>1</v>
      </c>
      <c r="L116" s="18">
        <f>IFERROR(_xlfn.MAXIFS(tblLecturas[Fecha],tblLecturas[Codigo],$A116),"")</f>
        <v>46107</v>
      </c>
      <c r="M116" s="24">
        <f>IFERROR(_xlfn.MAXIFS(Lecturas!$C:$C,Lecturas!$B:$B,$A116,Lecturas!$C:$C,"&gt;0"),"")</f>
        <v>13667</v>
      </c>
      <c r="N116" s="24">
        <f>IFERROR(_xlfn.MAXIFS(tblLecturas[Kilometraje],tblLecturas[Codigo],$A116,tblLecturas[Kilometraje],"&gt;0"),"")</f>
        <v>0</v>
      </c>
      <c r="O116" s="24" cm="1">
        <f t="array" ref="O116">IFERROR(IF($I116="KM",LOOKUP(2,1/(Lecturas!$B:$B=$A116)/(Lecturas!$D:$D&gt;0),Lecturas!$D:$D),LOOKUP(2,1/(Lecturas!$B:$B=$A116)/(Lecturas!$C:$C&gt;0),Lecturas!$C:$C)),"")</f>
        <v>13660</v>
      </c>
      <c r="P116" s="18">
        <f>IFERROR(_xlfn.MAXIFS(tblMantenciones[Fecha],tblMantenciones[Codigo],tblMaestroEquipos[[#This Row],[Codigo]],tblMantenciones[EsPM],"Sí"),"")</f>
        <v>46094</v>
      </c>
      <c r="Q116" s="70">
        <f>IF(_xlfn.MAXIFS(Mantenciones!$D:$D,Mantenciones!$B:$B,A116)=0,"Sin datos de mantención registrado",_xlfn.MAXIFS(Mantenciones!$D:$D,Mantenciones!$B:$B,A116))</f>
        <v>13650</v>
      </c>
      <c r="R116" s="16">
        <f>IFERROR(IF(_xlfn.MAXIFS(Mantenciones!$D:$D,Mantenciones!$B:$B,$A116,Mantenciones!$E:$E,"Sí",Mantenciones!$D:$D,"&gt;0")=0,"Sin datos de mantención registrado",_xlfn.MAXIFS(Mantenciones!$D:$D,Mantenciones!$B:$B,$A116,Mantenciones!$E:$E,"Sí",Mantenciones!$D:$D,"&gt;0")),"Sin datos de mantención registrado")</f>
        <v>13650</v>
      </c>
      <c r="S116" s="19">
        <f>IFERROR(SUMIFS(tblMantenciones[Costo Mantencion CLP],tblMantenciones[Codigo],A116),0)</f>
        <v>125352</v>
      </c>
      <c r="T116" s="19">
        <f>IFERROR(SUMIFS(tblComprasPM[Costo PM CLP],tblComprasPM[Codigo],tblMaestroEquipos[[#This Row],[Codigo]]),0)</f>
        <v>324645.08999999997</v>
      </c>
      <c r="U116" s="19">
        <f>IFERROR(tblMaestroEquipos[[#This Row],[Costo Mantenciones CLP]]+tblMaestroEquipos[[#This Row],[Costo Compras PM CLP]],0)</f>
        <v>449997.08999999997</v>
      </c>
      <c r="V116" s="16" t="str">
        <f>IFERROR(_xlfn.XLOOKUP(tblMaestroEquipos[[#This Row],[Codigo]],tblEquipos[Codigo],tblEquipos[Estado Base]),"")</f>
        <v>Operativo</v>
      </c>
      <c r="W116" s="16" t="str">
        <f t="shared" si="8"/>
        <v>AL DÍA</v>
      </c>
      <c r="X116" s="16">
        <f t="shared" si="9"/>
        <v>240</v>
      </c>
      <c r="Y116" s="23">
        <f>IFERROR(IF(OR(tblMaestroEquipos[[#This Row],[Estado Operacional]]="FUERA DE SERVICIO",tblMaestroEquipos[[#This Row],[Ultima Fecha Lectura]]="",tblMaestroEquipos[[#This Row],[Dias a Proxima Mantencion]]=""),"",tblMaestroEquipos[[#This Row],[Ultima Fecha Lectura]]+tblMaestroEquipos[[#This Row],[Dias a Proxima Mantencion]]),"")</f>
        <v>46347</v>
      </c>
      <c r="Z116" s="23">
        <f>IFERROR(IF(_xlfn.MINIFS(tblComprasPM[Fecha],tblComprasPM[Codigo],tblMaestroEquipos[[#This Row],[Codigo]])=0,"",_xlfn.MINIFS(tblComprasPM[Fecha],tblComprasPM[Codigo],tblMaestroEquipos[[#This Row],[Codigo]])),"")</f>
        <v>46100</v>
      </c>
      <c r="AA116" s="23">
        <f>IFERROR(IF(_xlfn.MAXIFS(tblBodega[Fecha],tblBodega[Codigo],tblMaestroEquipos[[#This Row],[Codigo]])=0,"",_xlfn.MAXIFS(tblBodega[Fecha],tblBodega[Codigo],tblMaestroEquipos[[#This Row],[Codigo]])),"")</f>
        <v>46094</v>
      </c>
      <c r="AB11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16"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16" s="16" t="str">
        <f>IF(tblMaestroEquipos[[#This Row],[Fecha Salida Bodega]]="","SIN SALIDA BODEGA",IF(OR(tblMaestroEquipos[[#This Row],[Ultima Fecha PM]]="",tblMaestroEquipos[[#This Row],[Ultima Fecha PM]]&lt;tblMaestroEquipos[[#This Row],[Fecha Salida Bodega]]),"PENDIENTE","CERRADO"))</f>
        <v>CERRADO</v>
      </c>
      <c r="AE116" s="48" t="str">
        <f t="shared" si="10"/>
        <v>OPERATIVO</v>
      </c>
      <c r="AF116" s="16" t="str">
        <f t="shared" si="11"/>
        <v>BAJA</v>
      </c>
      <c r="AG116" s="16" t="str">
        <f t="shared" si="12"/>
        <v>Monitorear próximo vencimiento</v>
      </c>
      <c r="AH116">
        <f t="shared" si="13"/>
        <v>0</v>
      </c>
      <c r="AI116" t="str">
        <f t="shared" si="14"/>
        <v/>
      </c>
      <c r="AJ116" s="22">
        <f t="shared" si="15"/>
        <v>99</v>
      </c>
    </row>
    <row r="117" spans="1:36">
      <c r="A117" s="16" t="s">
        <v>368</v>
      </c>
      <c r="B117" s="16" t="s">
        <v>297</v>
      </c>
      <c r="C117" s="16" t="s">
        <v>1385</v>
      </c>
      <c r="D117" s="16" t="s">
        <v>353</v>
      </c>
      <c r="E117" s="17" t="s">
        <v>354</v>
      </c>
      <c r="F117" s="16">
        <v>1998</v>
      </c>
      <c r="G117" s="17" t="str">
        <f>IFERROR(_xlfn.XLOOKUP($A117,tblEquipos[Codigo],tblEquipos[Ubicacion],""),"")</f>
        <v>Taller</v>
      </c>
      <c r="H117" s="16" t="s">
        <v>56</v>
      </c>
      <c r="I117" s="16" t="str">
        <f>IFERROR(VLOOKUP(A117, Equipos!A:J, 9, FALSE), "")</f>
        <v>HORAS</v>
      </c>
      <c r="J117" s="16">
        <f>IFERROR(VLOOKUP(A117, Equipos!A:J, 10, FALSE), "")</f>
        <v>250</v>
      </c>
      <c r="K117" s="16">
        <f>IFERROR(IF($I117="KM",ROUND((_xlfn.MAXIFS(tblLecturas[Kilometraje],tblLecturas[Codigo],$A117)-_xlfn.MINIFS(tblLecturas[Kilometraje],tblLecturas[Codigo],$A117))/(MAX(1,_xlfn.MAXIFS(tblLecturas[Fecha],tblLecturas[Codigo],$A117)-_xlfn.MINIFS(tblLecturas[Fecha],tblLecturas[Codigo],$A117))),1),ROUND((_xlfn.MAXIFS(tblLecturas[Horometro],tblLecturas[Codigo],$A117)-_xlfn.MINIFS(tblLecturas[Horometro],tblLecturas[Codigo],$A117))/(MAX(1,_xlfn.MAXIFS(tblLecturas[Fecha],tblLecturas[Codigo],$A117)-_xlfn.MINIFS(tblLecturas[Fecha],tblLecturas[Codigo],$A117))),1)),"")</f>
        <v>0</v>
      </c>
      <c r="L117" s="18">
        <f>IFERROR(_xlfn.MAXIFS(tblLecturas[Fecha],tblLecturas[Codigo],$A117),"")</f>
        <v>0</v>
      </c>
      <c r="M117" s="24">
        <f>IFERROR(_xlfn.MAXIFS(Lecturas!$C:$C,Lecturas!$B:$B,$A117,Lecturas!$C:$C,"&gt;0"),"")</f>
        <v>0</v>
      </c>
      <c r="N117" s="24">
        <f>IFERROR(_xlfn.MAXIFS(tblLecturas[Kilometraje],tblLecturas[Codigo],$A117,tblLecturas[Kilometraje],"&gt;0"),"")</f>
        <v>0</v>
      </c>
      <c r="O117" s="24" t="str" cm="1">
        <f t="array" ref="O117">IFERROR(IF($I117="KM",LOOKUP(2,1/(Lecturas!$B:$B=$A117)/(Lecturas!$D:$D&gt;0),Lecturas!$D:$D),LOOKUP(2,1/(Lecturas!$B:$B=$A117)/(Lecturas!$C:$C&gt;0),Lecturas!$C:$C)),"")</f>
        <v/>
      </c>
      <c r="P117" s="18">
        <f>IFERROR(_xlfn.MAXIFS(tblMantenciones[Fecha],tblMantenciones[Codigo],tblMaestroEquipos[[#This Row],[Codigo]],tblMantenciones[EsPM],"Sí"),"")</f>
        <v>0</v>
      </c>
      <c r="Q117" s="70" t="str">
        <f>IF(_xlfn.MAXIFS(Mantenciones!$D:$D,Mantenciones!$B:$B,A117)=0,"Sin datos de mantención registrado",_xlfn.MAXIFS(Mantenciones!$D:$D,Mantenciones!$B:$B,A117))</f>
        <v>Sin datos de mantención registrado</v>
      </c>
      <c r="R117" s="16" t="str">
        <f>IFERROR(IF(_xlfn.MAXIFS(Mantenciones!$D:$D,Mantenciones!$B:$B,$A117,Mantenciones!$E:$E,"Sí",Mantenciones!$D:$D,"&gt;0")=0,"Sin datos de mantención registrado",_xlfn.MAXIFS(Mantenciones!$D:$D,Mantenciones!$B:$B,$A117,Mantenciones!$E:$E,"Sí",Mantenciones!$D:$D,"&gt;0")),"Sin datos de mantención registrado")</f>
        <v>Sin datos de mantención registrado</v>
      </c>
      <c r="S117" s="19">
        <f>IFERROR(SUMIFS(tblMantenciones[Costo Mantencion CLP],tblMantenciones[Codigo],A117),0)</f>
        <v>0</v>
      </c>
      <c r="T117" s="19">
        <f>IFERROR(SUMIFS(tblComprasPM[Costo PM CLP],tblComprasPM[Codigo],tblMaestroEquipos[[#This Row],[Codigo]]),0)</f>
        <v>0</v>
      </c>
      <c r="U117" s="19">
        <f>IFERROR(tblMaestroEquipos[[#This Row],[Costo Mantenciones CLP]]+tblMaestroEquipos[[#This Row],[Costo Compras PM CLP]],0)</f>
        <v>0</v>
      </c>
      <c r="V117" s="16" t="str">
        <f>IFERROR(_xlfn.XLOOKUP(tblMaestroEquipos[[#This Row],[Codigo]],tblEquipos[Codigo],tblEquipos[Estado Base]),"")</f>
        <v>Operativo</v>
      </c>
      <c r="W117" s="16" t="str">
        <f t="shared" si="8"/>
        <v>POR RECIBIR</v>
      </c>
      <c r="X117" s="16" t="str">
        <f t="shared" si="9"/>
        <v/>
      </c>
      <c r="Y117"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17" s="23" t="str">
        <f>IFERROR(IF(_xlfn.MINIFS(tblComprasPM[Fecha],tblComprasPM[Codigo],tblMaestroEquipos[[#This Row],[Codigo]])=0,"",_xlfn.MINIFS(tblComprasPM[Fecha],tblComprasPM[Codigo],tblMaestroEquipos[[#This Row],[Codigo]])),"")</f>
        <v/>
      </c>
      <c r="AA117" s="23">
        <f>IFERROR(IF(_xlfn.MAXIFS(tblBodega[Fecha],tblBodega[Codigo],tblMaestroEquipos[[#This Row],[Codigo]])=0,"",_xlfn.MAXIFS(tblBodega[Fecha],tblBodega[Codigo],tblMaestroEquipos[[#This Row],[Codigo]])),"")</f>
        <v>46147</v>
      </c>
      <c r="AB117"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17"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93</v>
      </c>
      <c r="AD117" s="16" t="str">
        <f>IF(tblMaestroEquipos[[#This Row],[Fecha Salida Bodega]]="","SIN SALIDA BODEGA",IF(OR(tblMaestroEquipos[[#This Row],[Ultima Fecha PM]]="",tblMaestroEquipos[[#This Row],[Ultima Fecha PM]]&lt;tblMaestroEquipos[[#This Row],[Fecha Salida Bodega]]),"PENDIENTE","CERRADO"))</f>
        <v>PENDIENTE</v>
      </c>
      <c r="AE117" s="48" t="str">
        <f t="shared" si="10"/>
        <v>OPERATIVO</v>
      </c>
      <c r="AF117" s="16" t="str">
        <f t="shared" si="11"/>
        <v>BAJA</v>
      </c>
      <c r="AG117" s="16" t="str">
        <f t="shared" si="12"/>
        <v>Monitorear próximo vencimiento</v>
      </c>
      <c r="AH117">
        <f t="shared" si="13"/>
        <v>0</v>
      </c>
      <c r="AI117" t="str">
        <f t="shared" si="14"/>
        <v/>
      </c>
      <c r="AJ117" s="22">
        <f t="shared" si="15"/>
        <v>3</v>
      </c>
    </row>
    <row r="118" spans="1:36">
      <c r="A118" s="16" t="s">
        <v>369</v>
      </c>
      <c r="B118" s="16" t="s">
        <v>284</v>
      </c>
      <c r="C118" s="16" t="s">
        <v>1385</v>
      </c>
      <c r="D118" s="16" t="s">
        <v>308</v>
      </c>
      <c r="E118" s="17" t="s">
        <v>370</v>
      </c>
      <c r="F118" s="16">
        <v>2011</v>
      </c>
      <c r="G118" s="17" t="str">
        <f>IFERROR(_xlfn.XLOOKUP($A118,tblEquipos[Codigo],tblEquipos[Ubicacion],""),"")</f>
        <v>Taller</v>
      </c>
      <c r="H118" s="16" t="s">
        <v>56</v>
      </c>
      <c r="I118" s="16" t="str">
        <f>IFERROR(VLOOKUP(A118, Equipos!A:J, 9, FALSE), "")</f>
        <v>HORAS</v>
      </c>
      <c r="J118" s="16">
        <f>IFERROR(VLOOKUP(A118, Equipos!A:J, 10, FALSE), "")</f>
        <v>250</v>
      </c>
      <c r="K118" s="16">
        <f>IFERROR(IF($I118="KM",ROUND((_xlfn.MAXIFS(tblLecturas[Kilometraje],tblLecturas[Codigo],$A118)-_xlfn.MINIFS(tblLecturas[Kilometraje],tblLecturas[Codigo],$A118))/(MAX(1,_xlfn.MAXIFS(tblLecturas[Fecha],tblLecturas[Codigo],$A118)-_xlfn.MINIFS(tblLecturas[Fecha],tblLecturas[Codigo],$A118))),1),ROUND((_xlfn.MAXIFS(tblLecturas[Horometro],tblLecturas[Codigo],$A118)-_xlfn.MINIFS(tblLecturas[Horometro],tblLecturas[Codigo],$A118))/(MAX(1,_xlfn.MAXIFS(tblLecturas[Fecha],tblLecturas[Codigo],$A118)-_xlfn.MINIFS(tblLecturas[Fecha],tblLecturas[Codigo],$A118))),1)),"")</f>
        <v>0</v>
      </c>
      <c r="L118" s="18">
        <f>IFERROR(_xlfn.MAXIFS(tblLecturas[Fecha],tblLecturas[Codigo],$A118),"")</f>
        <v>0</v>
      </c>
      <c r="M118" s="24">
        <f>IFERROR(_xlfn.MAXIFS(Lecturas!$C:$C,Lecturas!$B:$B,$A118,Lecturas!$C:$C,"&gt;0"),"")</f>
        <v>0</v>
      </c>
      <c r="N118" s="24">
        <f>IFERROR(_xlfn.MAXIFS(tblLecturas[Kilometraje],tblLecturas[Codigo],$A118,tblLecturas[Kilometraje],"&gt;0"),"")</f>
        <v>0</v>
      </c>
      <c r="O118" s="24" t="str" cm="1">
        <f t="array" ref="O118">IFERROR(IF($I118="KM",LOOKUP(2,1/(Lecturas!$B:$B=$A118)/(Lecturas!$D:$D&gt;0),Lecturas!$D:$D),LOOKUP(2,1/(Lecturas!$B:$B=$A118)/(Lecturas!$C:$C&gt;0),Lecturas!$C:$C)),"")</f>
        <v/>
      </c>
      <c r="P118" s="18">
        <f>IFERROR(_xlfn.MAXIFS(tblMantenciones[Fecha],tblMantenciones[Codigo],tblMaestroEquipos[[#This Row],[Codigo]],tblMantenciones[EsPM],"Sí"),"")</f>
        <v>45282</v>
      </c>
      <c r="Q118" s="70">
        <f>IF(_xlfn.MAXIFS(Mantenciones!$D:$D,Mantenciones!$B:$B,A118)=0,"Sin datos de mantención registrado",_xlfn.MAXIFS(Mantenciones!$D:$D,Mantenciones!$B:$B,A118))</f>
        <v>11107</v>
      </c>
      <c r="R118" s="16">
        <f>IFERROR(IF(_xlfn.MAXIFS(Mantenciones!$D:$D,Mantenciones!$B:$B,$A118,Mantenciones!$E:$E,"Sí",Mantenciones!$D:$D,"&gt;0")=0,"Sin datos de mantención registrado",_xlfn.MAXIFS(Mantenciones!$D:$D,Mantenciones!$B:$B,$A118,Mantenciones!$E:$E,"Sí",Mantenciones!$D:$D,"&gt;0")),"Sin datos de mantención registrado")</f>
        <v>11107</v>
      </c>
      <c r="S118" s="19">
        <f>IFERROR(SUMIFS(tblMantenciones[Costo Mantencion CLP],tblMantenciones[Codigo],A118),0)</f>
        <v>0</v>
      </c>
      <c r="T118" s="19">
        <f>IFERROR(SUMIFS(tblComprasPM[Costo PM CLP],tblComprasPM[Codigo],tblMaestroEquipos[[#This Row],[Codigo]]),0)</f>
        <v>0</v>
      </c>
      <c r="U118" s="19">
        <f>IFERROR(tblMaestroEquipos[[#This Row],[Costo Mantenciones CLP]]+tblMaestroEquipos[[#This Row],[Costo Compras PM CLP]],0)</f>
        <v>0</v>
      </c>
      <c r="V118" s="16" t="str">
        <f>IFERROR(_xlfn.XLOOKUP(tblMaestroEquipos[[#This Row],[Codigo]],tblEquipos[Codigo],tblEquipos[Estado Base]),"")</f>
        <v>Operativo</v>
      </c>
      <c r="W118" s="16" t="str">
        <f t="shared" si="8"/>
        <v>AL DÍA</v>
      </c>
      <c r="X118" s="16" t="str">
        <f t="shared" si="9"/>
        <v/>
      </c>
      <c r="Y118"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18" s="23" t="str">
        <f>IFERROR(IF(_xlfn.MINIFS(tblComprasPM[Fecha],tblComprasPM[Codigo],tblMaestroEquipos[[#This Row],[Codigo]])=0,"",_xlfn.MINIFS(tblComprasPM[Fecha],tblComprasPM[Codigo],tblMaestroEquipos[[#This Row],[Codigo]])),"")</f>
        <v/>
      </c>
      <c r="AA118" s="23" t="str">
        <f>IFERROR(IF(_xlfn.MAXIFS(tblBodega[Fecha],tblBodega[Codigo],tblMaestroEquipos[[#This Row],[Codigo]])=0,"",_xlfn.MAXIFS(tblBodega[Fecha],tblBodega[Codigo],tblMaestroEquipos[[#This Row],[Codigo]])),"")</f>
        <v/>
      </c>
      <c r="AB118"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18"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18" s="16" t="str">
        <f>IF(tblMaestroEquipos[[#This Row],[Fecha Salida Bodega]]="","SIN SALIDA BODEGA",IF(OR(tblMaestroEquipos[[#This Row],[Ultima Fecha PM]]="",tblMaestroEquipos[[#This Row],[Ultima Fecha PM]]&lt;tblMaestroEquipos[[#This Row],[Fecha Salida Bodega]]),"PENDIENTE","CERRADO"))</f>
        <v>SIN SALIDA BODEGA</v>
      </c>
      <c r="AE118" s="48" t="str">
        <f t="shared" si="10"/>
        <v>OPERATIVO</v>
      </c>
      <c r="AF118" s="16" t="str">
        <f t="shared" si="11"/>
        <v>BAJA</v>
      </c>
      <c r="AG118" s="16" t="str">
        <f t="shared" si="12"/>
        <v>Monitorear próximo vencimiento</v>
      </c>
      <c r="AH118">
        <f t="shared" si="13"/>
        <v>0</v>
      </c>
      <c r="AI118" t="str">
        <f t="shared" si="14"/>
        <v/>
      </c>
      <c r="AJ118" s="22">
        <f t="shared" si="15"/>
        <v>99</v>
      </c>
    </row>
    <row r="119" spans="1:36" s="25" customFormat="1">
      <c r="A119" s="16" t="s">
        <v>371</v>
      </c>
      <c r="B119" s="16" t="s">
        <v>264</v>
      </c>
      <c r="C119" s="16" t="s">
        <v>1385</v>
      </c>
      <c r="D119" s="16" t="s">
        <v>314</v>
      </c>
      <c r="E119" s="17" t="s">
        <v>315</v>
      </c>
      <c r="F119" s="16">
        <v>2015</v>
      </c>
      <c r="G119" s="17" t="str">
        <f>IFERROR(_xlfn.XLOOKUP($A119,tblEquipos[Codigo],tblEquipos[Ubicacion],""),"")</f>
        <v>Palmucho</v>
      </c>
      <c r="H119" s="16" t="s">
        <v>56</v>
      </c>
      <c r="I119" s="16" t="str">
        <f>IFERROR(VLOOKUP(A119, Equipos!A:J, 9, FALSE), "")</f>
        <v>HORAS</v>
      </c>
      <c r="J119" s="16">
        <f>IFERROR(VLOOKUP(A119, Equipos!A:J, 10, FALSE), "")</f>
        <v>250</v>
      </c>
      <c r="K119" s="16">
        <f>IFERROR(IF($I119="KM",ROUND((_xlfn.MAXIFS(tblLecturas[Kilometraje],tblLecturas[Codigo],$A119)-_xlfn.MINIFS(tblLecturas[Kilometraje],tblLecturas[Codigo],$A119))/(MAX(1,_xlfn.MAXIFS(tblLecturas[Fecha],tblLecturas[Codigo],$A119)-_xlfn.MINIFS(tblLecturas[Fecha],tblLecturas[Codigo],$A119))),1),ROUND((_xlfn.MAXIFS(tblLecturas[Horometro],tblLecturas[Codigo],$A119)-_xlfn.MINIFS(tblLecturas[Horometro],tblLecturas[Codigo],$A119))/(MAX(1,_xlfn.MAXIFS(tblLecturas[Fecha],tblLecturas[Codigo],$A119)-_xlfn.MINIFS(tblLecturas[Fecha],tblLecturas[Codigo],$A119))),1)),"")</f>
        <v>1.5</v>
      </c>
      <c r="L119" s="18">
        <f>IFERROR(_xlfn.MAXIFS(tblLecturas[Fecha],tblLecturas[Codigo],$A119),"")</f>
        <v>46177</v>
      </c>
      <c r="M119" s="24">
        <f>IFERROR(_xlfn.MAXIFS(Lecturas!$C:$C,Lecturas!$B:$B,$A119,Lecturas!$C:$C,"&gt;0"),"")</f>
        <v>17005</v>
      </c>
      <c r="N119" s="24">
        <f>IFERROR(_xlfn.MAXIFS(tblLecturas[Kilometraje],tblLecturas[Codigo],$A119,tblLecturas[Kilometraje],"&gt;0"),"")</f>
        <v>16948</v>
      </c>
      <c r="O119" s="24" cm="1">
        <f t="array" ref="O119">IFERROR(IF($I119="KM",LOOKUP(2,1/(Lecturas!$B:$B=$A119)/(Lecturas!$D:$D&gt;0),Lecturas!$D:$D),LOOKUP(2,1/(Lecturas!$B:$B=$A119)/(Lecturas!$C:$C&gt;0),Lecturas!$C:$C)),"")</f>
        <v>17005</v>
      </c>
      <c r="P119" s="18">
        <f>IFERROR(_xlfn.MAXIFS(tblMantenciones[Fecha],tblMantenciones[Codigo],tblMaestroEquipos[[#This Row],[Codigo]],tblMantenciones[EsPM],"Sí"),"")</f>
        <v>46169</v>
      </c>
      <c r="Q119" s="70">
        <f>IF(_xlfn.MAXIFS(Mantenciones!$D:$D,Mantenciones!$B:$B,A119)=0,"Sin datos de mantención registrado",_xlfn.MAXIFS(Mantenciones!$D:$D,Mantenciones!$B:$B,A119))</f>
        <v>17000</v>
      </c>
      <c r="R119" s="16">
        <f>IFERROR(IF(_xlfn.MAXIFS(Mantenciones!$D:$D,Mantenciones!$B:$B,$A119,Mantenciones!$E:$E,"Sí",Mantenciones!$D:$D,"&gt;0")=0,"Sin datos de mantención registrado",_xlfn.MAXIFS(Mantenciones!$D:$D,Mantenciones!$B:$B,$A119,Mantenciones!$E:$E,"Sí",Mantenciones!$D:$D,"&gt;0")),"Sin datos de mantención registrado")</f>
        <v>17000</v>
      </c>
      <c r="S119" s="19">
        <f>IFERROR(SUMIFS(tblMantenciones[Costo Mantencion CLP],tblMantenciones[Codigo],A119),0)</f>
        <v>0</v>
      </c>
      <c r="T119" s="19">
        <f>IFERROR(SUMIFS(tblComprasPM[Costo PM CLP],tblComprasPM[Codigo],tblMaestroEquipos[[#This Row],[Codigo]]),0)</f>
        <v>200572.12</v>
      </c>
      <c r="U119" s="19">
        <f>IFERROR(tblMaestroEquipos[[#This Row],[Costo Mantenciones CLP]]+tblMaestroEquipos[[#This Row],[Costo Compras PM CLP]],0)</f>
        <v>200572.12</v>
      </c>
      <c r="V119" s="16" t="str">
        <f>IFERROR(_xlfn.XLOOKUP(tblMaestroEquipos[[#This Row],[Codigo]],tblEquipos[Codigo],tblEquipos[Estado Base]),"")</f>
        <v>Operativo</v>
      </c>
      <c r="W119" s="16" t="str">
        <f t="shared" si="8"/>
        <v>AL DÍA</v>
      </c>
      <c r="X119" s="16">
        <f t="shared" si="9"/>
        <v>245</v>
      </c>
      <c r="Y119" s="23">
        <f>IFERROR(IF(OR(tblMaestroEquipos[[#This Row],[Estado Operacional]]="FUERA DE SERVICIO",tblMaestroEquipos[[#This Row],[Ultima Fecha Lectura]]="",tblMaestroEquipos[[#This Row],[Dias a Proxima Mantencion]]=""),"",tblMaestroEquipos[[#This Row],[Ultima Fecha Lectura]]+tblMaestroEquipos[[#This Row],[Dias a Proxima Mantencion]]),"")</f>
        <v>46422</v>
      </c>
      <c r="Z119" s="23">
        <f>IFERROR(IF(_xlfn.MINIFS(tblComprasPM[Fecha],tblComprasPM[Codigo],tblMaestroEquipos[[#This Row],[Codigo]])=0,"",_xlfn.MINIFS(tblComprasPM[Fecha],tblComprasPM[Codigo],tblMaestroEquipos[[#This Row],[Codigo]])),"")</f>
        <v>46174</v>
      </c>
      <c r="AA119" s="23">
        <f>IFERROR(IF(_xlfn.MAXIFS(tblBodega[Fecha],tblBodega[Codigo],tblMaestroEquipos[[#This Row],[Codigo]])=0,"",_xlfn.MAXIFS(tblBodega[Fecha],tblBodega[Codigo],tblMaestroEquipos[[#This Row],[Codigo]])),"")</f>
        <v>46087</v>
      </c>
      <c r="AB11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19"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82</v>
      </c>
      <c r="AD119" s="16" t="str">
        <f>IF(tblMaestroEquipos[[#This Row],[Fecha Salida Bodega]]="","SIN SALIDA BODEGA",IF(OR(tblMaestroEquipos[[#This Row],[Ultima Fecha PM]]="",tblMaestroEquipos[[#This Row],[Ultima Fecha PM]]&lt;tblMaestroEquipos[[#This Row],[Fecha Salida Bodega]]),"PENDIENTE","CERRADO"))</f>
        <v>CERRADO</v>
      </c>
      <c r="AE119" s="48" t="str">
        <f t="shared" si="10"/>
        <v>OPERATIVO</v>
      </c>
      <c r="AF119" s="16" t="str">
        <f t="shared" si="11"/>
        <v>BAJA</v>
      </c>
      <c r="AG119" s="16" t="str">
        <f t="shared" si="12"/>
        <v>Monitorear próximo vencimiento</v>
      </c>
      <c r="AH119">
        <f t="shared" si="13"/>
        <v>0</v>
      </c>
      <c r="AI119" t="str">
        <f t="shared" si="14"/>
        <v/>
      </c>
      <c r="AJ119" s="22">
        <f t="shared" si="15"/>
        <v>99</v>
      </c>
    </row>
    <row r="120" spans="1:36">
      <c r="A120" s="16" t="s">
        <v>373</v>
      </c>
      <c r="B120" s="16" t="s">
        <v>374</v>
      </c>
      <c r="C120" s="16" t="s">
        <v>1385</v>
      </c>
      <c r="D120" s="16" t="s">
        <v>375</v>
      </c>
      <c r="E120" s="17" t="s">
        <v>376</v>
      </c>
      <c r="F120" s="16">
        <v>2006</v>
      </c>
      <c r="G120" s="17" t="str">
        <f>IFERROR(_xlfn.XLOOKUP($A120,tblEquipos[Codigo],tblEquipos[Ubicacion],""),"")</f>
        <v>Emergencias Curico</v>
      </c>
      <c r="H120" s="16" t="s">
        <v>56</v>
      </c>
      <c r="I120" s="16" t="str">
        <f>IFERROR(VLOOKUP(A120, Equipos!A:J, 9, FALSE), "")</f>
        <v>HORAS</v>
      </c>
      <c r="J120" s="16">
        <f>IFERROR(VLOOKUP(A120, Equipos!A:J, 10, FALSE), "")</f>
        <v>250</v>
      </c>
      <c r="K120" s="16">
        <f>IFERROR(IF($I120="KM",ROUND((_xlfn.MAXIFS(tblLecturas[Kilometraje],tblLecturas[Codigo],$A120)-_xlfn.MINIFS(tblLecturas[Kilometraje],tblLecturas[Codigo],$A120))/(MAX(1,_xlfn.MAXIFS(tblLecturas[Fecha],tblLecturas[Codigo],$A120)-_xlfn.MINIFS(tblLecturas[Fecha],tblLecturas[Codigo],$A120))),1),ROUND((_xlfn.MAXIFS(tblLecturas[Horometro],tblLecturas[Codigo],$A120)-_xlfn.MINIFS(tblLecturas[Horometro],tblLecturas[Codigo],$A120))/(MAX(1,_xlfn.MAXIFS(tblLecturas[Fecha],tblLecturas[Codigo],$A120)-_xlfn.MINIFS(tblLecturas[Fecha],tblLecturas[Codigo],$A120))),1)),"")</f>
        <v>2.5</v>
      </c>
      <c r="L120" s="18">
        <f>IFERROR(_xlfn.MAXIFS(tblLecturas[Fecha],tblLecturas[Codigo],$A120),"")</f>
        <v>46111</v>
      </c>
      <c r="M120" s="24">
        <f>IFERROR(_xlfn.MAXIFS(Lecturas!$C:$C,Lecturas!$B:$B,$A120,Lecturas!$C:$C,"&gt;0"),"")</f>
        <v>4871</v>
      </c>
      <c r="N120" s="24">
        <f>IFERROR(_xlfn.MAXIFS(tblLecturas[Kilometraje],tblLecturas[Codigo],$A120,tblLecturas[Kilometraje],"&gt;0"),"")</f>
        <v>0</v>
      </c>
      <c r="O120" s="24" cm="1">
        <f t="array" ref="O120">IFERROR(IF($I120="KM",LOOKUP(2,1/(Lecturas!$B:$B=$A120)/(Lecturas!$D:$D&gt;0),Lecturas!$D:$D),LOOKUP(2,1/(Lecturas!$B:$B=$A120)/(Lecturas!$C:$C&gt;0),Lecturas!$C:$C)),"")</f>
        <v>4861</v>
      </c>
      <c r="P120" s="18">
        <f>IFERROR(_xlfn.MAXIFS(tblMantenciones[Fecha],tblMantenciones[Codigo],tblMaestroEquipos[[#This Row],[Codigo]],tblMantenciones[EsPM],"Sí"),"")</f>
        <v>46094</v>
      </c>
      <c r="Q120" s="70">
        <f>IF(_xlfn.MAXIFS(Mantenciones!$D:$D,Mantenciones!$B:$B,A120)=0,"Sin datos de mantención registrado",_xlfn.MAXIFS(Mantenciones!$D:$D,Mantenciones!$B:$B,A120))</f>
        <v>17152</v>
      </c>
      <c r="R120" s="16">
        <f>IFERROR(IF(_xlfn.MAXIFS(Mantenciones!$D:$D,Mantenciones!$B:$B,$A120,Mantenciones!$E:$E,"Sí",Mantenciones!$D:$D,"&gt;0")=0,"Sin datos de mantención registrado",_xlfn.MAXIFS(Mantenciones!$D:$D,Mantenciones!$B:$B,$A120,Mantenciones!$E:$E,"Sí",Mantenciones!$D:$D,"&gt;0")),"Sin datos de mantención registrado")</f>
        <v>17152</v>
      </c>
      <c r="S120" s="19">
        <f>IFERROR(SUMIFS(tblMantenciones[Costo Mantencion CLP],tblMantenciones[Codigo],A120),0)</f>
        <v>277000</v>
      </c>
      <c r="T120" s="19">
        <f>IFERROR(SUMIFS(tblComprasPM[Costo PM CLP],tblComprasPM[Codigo],tblMaestroEquipos[[#This Row],[Codigo]]),0)</f>
        <v>60567.43</v>
      </c>
      <c r="U120" s="19">
        <f>IFERROR(tblMaestroEquipos[[#This Row],[Costo Mantenciones CLP]]+tblMaestroEquipos[[#This Row],[Costo Compras PM CLP]],0)</f>
        <v>337567.43</v>
      </c>
      <c r="V120" s="16" t="str">
        <f>IFERROR(_xlfn.XLOOKUP(tblMaestroEquipos[[#This Row],[Codigo]],tblEquipos[Codigo],tblEquipos[Estado Base]),"")</f>
        <v>Operativo</v>
      </c>
      <c r="W120" s="16" t="str">
        <f t="shared" si="8"/>
        <v>AL DÍA</v>
      </c>
      <c r="X120" s="16">
        <f t="shared" si="9"/>
        <v>12541</v>
      </c>
      <c r="Y120" s="23">
        <f>IFERROR(IF(OR(tblMaestroEquipos[[#This Row],[Estado Operacional]]="FUERA DE SERVICIO",tblMaestroEquipos[[#This Row],[Ultima Fecha Lectura]]="",tblMaestroEquipos[[#This Row],[Dias a Proxima Mantencion]]=""),"",tblMaestroEquipos[[#This Row],[Ultima Fecha Lectura]]+tblMaestroEquipos[[#This Row],[Dias a Proxima Mantencion]]),"")</f>
        <v>58652</v>
      </c>
      <c r="Z120" s="23">
        <f>IFERROR(IF(_xlfn.MINIFS(tblComprasPM[Fecha],tblComprasPM[Codigo],tblMaestroEquipos[[#This Row],[Codigo]])=0,"",_xlfn.MINIFS(tblComprasPM[Fecha],tblComprasPM[Codigo],tblMaestroEquipos[[#This Row],[Codigo]])),"")</f>
        <v>46197</v>
      </c>
      <c r="AA120" s="23">
        <f>IFERROR(IF(_xlfn.MAXIFS(tblBodega[Fecha],tblBodega[Codigo],tblMaestroEquipos[[#This Row],[Codigo]])=0,"",_xlfn.MAXIFS(tblBodega[Fecha],tblBodega[Codigo],tblMaestroEquipos[[#This Row],[Codigo]])),"")</f>
        <v>46079</v>
      </c>
      <c r="AB12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20"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15</v>
      </c>
      <c r="AD120" s="16" t="str">
        <f>IF(tblMaestroEquipos[[#This Row],[Fecha Salida Bodega]]="","SIN SALIDA BODEGA",IF(OR(tblMaestroEquipos[[#This Row],[Ultima Fecha PM]]="",tblMaestroEquipos[[#This Row],[Ultima Fecha PM]]&lt;tblMaestroEquipos[[#This Row],[Fecha Salida Bodega]]),"PENDIENTE","CERRADO"))</f>
        <v>CERRADO</v>
      </c>
      <c r="AE120" s="48" t="str">
        <f t="shared" si="10"/>
        <v>OPERATIVO</v>
      </c>
      <c r="AF120" s="16" t="str">
        <f t="shared" si="11"/>
        <v>BAJA</v>
      </c>
      <c r="AG120" s="16" t="str">
        <f t="shared" si="12"/>
        <v>Monitorear próximo vencimiento</v>
      </c>
      <c r="AH120">
        <f t="shared" si="13"/>
        <v>0</v>
      </c>
      <c r="AI120" t="str">
        <f t="shared" si="14"/>
        <v/>
      </c>
      <c r="AJ120" s="22">
        <f t="shared" si="15"/>
        <v>99</v>
      </c>
    </row>
    <row r="121" spans="1:36">
      <c r="A121" s="16" t="s">
        <v>377</v>
      </c>
      <c r="B121" s="16" t="s">
        <v>347</v>
      </c>
      <c r="C121" s="16" t="s">
        <v>1385</v>
      </c>
      <c r="D121" s="16" t="s">
        <v>378</v>
      </c>
      <c r="E121" s="17" t="s">
        <v>1402</v>
      </c>
      <c r="F121" s="16">
        <v>2009</v>
      </c>
      <c r="G121" s="17" t="str">
        <f>IFERROR(_xlfn.XLOOKUP($A121,tblEquipos[Codigo],tblEquipos[Ubicacion],""),"")</f>
        <v>Taller</v>
      </c>
      <c r="H121" s="16" t="s">
        <v>56</v>
      </c>
      <c r="I121" s="16" t="str">
        <f>IFERROR(VLOOKUP(A121, Equipos!A:J, 9, FALSE), "")</f>
        <v>HORAS</v>
      </c>
      <c r="J121" s="16">
        <f>IFERROR(VLOOKUP(A121, Equipos!A:J, 10, FALSE), "")</f>
        <v>250</v>
      </c>
      <c r="K121" s="16">
        <f>IFERROR(IF($I121="KM",ROUND((_xlfn.MAXIFS(tblLecturas[Kilometraje],tblLecturas[Codigo],$A121)-_xlfn.MINIFS(tblLecturas[Kilometraje],tblLecturas[Codigo],$A121))/(MAX(1,_xlfn.MAXIFS(tblLecturas[Fecha],tblLecturas[Codigo],$A121)-_xlfn.MINIFS(tblLecturas[Fecha],tblLecturas[Codigo],$A121))),1),ROUND((_xlfn.MAXIFS(tblLecturas[Horometro],tblLecturas[Codigo],$A121)-_xlfn.MINIFS(tblLecturas[Horometro],tblLecturas[Codigo],$A121))/(MAX(1,_xlfn.MAXIFS(tblLecturas[Fecha],tblLecturas[Codigo],$A121)-_xlfn.MINIFS(tblLecturas[Fecha],tblLecturas[Codigo],$A121))),1)),"")</f>
        <v>0</v>
      </c>
      <c r="L121" s="18">
        <f>IFERROR(_xlfn.MAXIFS(tblLecturas[Fecha],tblLecturas[Codigo],$A121),"")</f>
        <v>0</v>
      </c>
      <c r="M121" s="24">
        <f>IFERROR(_xlfn.MAXIFS(Lecturas!$C:$C,Lecturas!$B:$B,$A121,Lecturas!$C:$C,"&gt;0"),"")</f>
        <v>0</v>
      </c>
      <c r="N121" s="24">
        <f>IFERROR(_xlfn.MAXIFS(tblLecturas[Kilometraje],tblLecturas[Codigo],$A121,tblLecturas[Kilometraje],"&gt;0"),"")</f>
        <v>0</v>
      </c>
      <c r="O121" s="24" t="str" cm="1">
        <f t="array" ref="O121">IFERROR(IF($I121="KM",LOOKUP(2,1/(Lecturas!$B:$B=$A121)/(Lecturas!$D:$D&gt;0),Lecturas!$D:$D),LOOKUP(2,1/(Lecturas!$B:$B=$A121)/(Lecturas!$C:$C&gt;0),Lecturas!$C:$C)),"")</f>
        <v/>
      </c>
      <c r="P121" s="18">
        <f>IFERROR(_xlfn.MAXIFS(tblMantenciones[Fecha],tblMantenciones[Codigo],tblMaestroEquipos[[#This Row],[Codigo]],tblMantenciones[EsPM],"Sí"),"")</f>
        <v>44489</v>
      </c>
      <c r="Q121" s="70">
        <f>IF(_xlfn.MAXIFS(Mantenciones!$D:$D,Mantenciones!$B:$B,A121)=0,"Sin datos de mantención registrado",_xlfn.MAXIFS(Mantenciones!$D:$D,Mantenciones!$B:$B,A121))</f>
        <v>6353</v>
      </c>
      <c r="R121" s="16">
        <f>IFERROR(IF(_xlfn.MAXIFS(Mantenciones!$D:$D,Mantenciones!$B:$B,$A121,Mantenciones!$E:$E,"Sí",Mantenciones!$D:$D,"&gt;0")=0,"Sin datos de mantención registrado",_xlfn.MAXIFS(Mantenciones!$D:$D,Mantenciones!$B:$B,$A121,Mantenciones!$E:$E,"Sí",Mantenciones!$D:$D,"&gt;0")),"Sin datos de mantención registrado")</f>
        <v>6353</v>
      </c>
      <c r="S121" s="19">
        <f>IFERROR(SUMIFS(tblMantenciones[Costo Mantencion CLP],tblMantenciones[Codigo],A121),0)</f>
        <v>0</v>
      </c>
      <c r="T121" s="19">
        <f>IFERROR(SUMIFS(tblComprasPM[Costo PM CLP],tblComprasPM[Codigo],tblMaestroEquipos[[#This Row],[Codigo]]),0)</f>
        <v>0</v>
      </c>
      <c r="U121" s="19">
        <f>IFERROR(tblMaestroEquipos[[#This Row],[Costo Mantenciones CLP]]+tblMaestroEquipos[[#This Row],[Costo Compras PM CLP]],0)</f>
        <v>0</v>
      </c>
      <c r="V121" s="16" t="str">
        <f>IFERROR(_xlfn.XLOOKUP(tblMaestroEquipos[[#This Row],[Codigo]],tblEquipos[Codigo],tblEquipos[Estado Base]),"")</f>
        <v>Operativo</v>
      </c>
      <c r="W121" s="16" t="str">
        <f t="shared" si="8"/>
        <v>AL DÍA</v>
      </c>
      <c r="X121" s="16" t="str">
        <f t="shared" si="9"/>
        <v/>
      </c>
      <c r="Y121"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21" s="23" t="str">
        <f>IFERROR(IF(_xlfn.MINIFS(tblComprasPM[Fecha],tblComprasPM[Codigo],tblMaestroEquipos[[#This Row],[Codigo]])=0,"",_xlfn.MINIFS(tblComprasPM[Fecha],tblComprasPM[Codigo],tblMaestroEquipos[[#This Row],[Codigo]])),"")</f>
        <v/>
      </c>
      <c r="AA121" s="23" t="str">
        <f>IFERROR(IF(_xlfn.MAXIFS(tblBodega[Fecha],tblBodega[Codigo],tblMaestroEquipos[[#This Row],[Codigo]])=0,"",_xlfn.MAXIFS(tblBodega[Fecha],tblBodega[Codigo],tblMaestroEquipos[[#This Row],[Codigo]])),"")</f>
        <v/>
      </c>
      <c r="AB121"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21"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21" s="16" t="str">
        <f>IF(tblMaestroEquipos[[#This Row],[Fecha Salida Bodega]]="","SIN SALIDA BODEGA",IF(OR(tblMaestroEquipos[[#This Row],[Ultima Fecha PM]]="",tblMaestroEquipos[[#This Row],[Ultima Fecha PM]]&lt;tblMaestroEquipos[[#This Row],[Fecha Salida Bodega]]),"PENDIENTE","CERRADO"))</f>
        <v>SIN SALIDA BODEGA</v>
      </c>
      <c r="AE121" s="48" t="str">
        <f t="shared" si="10"/>
        <v>OPERATIVO</v>
      </c>
      <c r="AF121" s="16" t="str">
        <f t="shared" si="11"/>
        <v>BAJA</v>
      </c>
      <c r="AG121" s="16" t="str">
        <f t="shared" si="12"/>
        <v>Monitorear próximo vencimiento</v>
      </c>
      <c r="AH121" s="25">
        <f t="shared" si="13"/>
        <v>0</v>
      </c>
      <c r="AI121" s="25" t="str">
        <f t="shared" si="14"/>
        <v/>
      </c>
      <c r="AJ121" s="22">
        <f t="shared" si="15"/>
        <v>99</v>
      </c>
    </row>
    <row r="122" spans="1:36">
      <c r="A122" s="16" t="s">
        <v>380</v>
      </c>
      <c r="B122" s="16" t="s">
        <v>284</v>
      </c>
      <c r="C122" s="16" t="s">
        <v>1385</v>
      </c>
      <c r="D122" s="16" t="s">
        <v>381</v>
      </c>
      <c r="E122" s="17" t="s">
        <v>382</v>
      </c>
      <c r="F122" s="16">
        <v>2015</v>
      </c>
      <c r="G122" s="17" t="str">
        <f>IFERROR(_xlfn.XLOOKUP($A122,tblEquipos[Codigo],tblEquipos[Ubicacion],""),"")</f>
        <v>Palmucho</v>
      </c>
      <c r="H122" s="16" t="s">
        <v>1399</v>
      </c>
      <c r="I122" s="16" t="str">
        <f>IFERROR(VLOOKUP(A122, Equipos!A:J, 9, FALSE), "")</f>
        <v>HORAS</v>
      </c>
      <c r="J122" s="16">
        <f>IFERROR(VLOOKUP(A122, Equipos!A:J, 10, FALSE), "")</f>
        <v>250</v>
      </c>
      <c r="K122" s="16">
        <f>IFERROR(IF($I122="KM",ROUND((_xlfn.MAXIFS(tblLecturas[Kilometraje],tblLecturas[Codigo],$A122)-_xlfn.MINIFS(tblLecturas[Kilometraje],tblLecturas[Codigo],$A122))/(MAX(1,_xlfn.MAXIFS(tblLecturas[Fecha],tblLecturas[Codigo],$A122)-_xlfn.MINIFS(tblLecturas[Fecha],tblLecturas[Codigo],$A122))),1),ROUND((_xlfn.MAXIFS(tblLecturas[Horometro],tblLecturas[Codigo],$A122)-_xlfn.MINIFS(tblLecturas[Horometro],tblLecturas[Codigo],$A122))/(MAX(1,_xlfn.MAXIFS(tblLecturas[Fecha],tblLecturas[Codigo],$A122)-_xlfn.MINIFS(tblLecturas[Fecha],tblLecturas[Codigo],$A122))),1)),"")</f>
        <v>1.6</v>
      </c>
      <c r="L122" s="18">
        <f>IFERROR(_xlfn.MAXIFS(tblLecturas[Fecha],tblLecturas[Codigo],$A122),"")</f>
        <v>46133</v>
      </c>
      <c r="M122" s="24">
        <f>IFERROR(_xlfn.MAXIFS(Lecturas!$C:$C,Lecturas!$B:$B,$A122,Lecturas!$C:$C,"&gt;0"),"")</f>
        <v>5714</v>
      </c>
      <c r="N122" s="24">
        <f>IFERROR(_xlfn.MAXIFS(tblLecturas[Kilometraje],tblLecturas[Codigo],$A122,tblLecturas[Kilometraje],"&gt;0"),"")</f>
        <v>5729</v>
      </c>
      <c r="O122" s="24" cm="1">
        <f t="array" ref="O122">IFERROR(IF($I122="KM",LOOKUP(2,1/(Lecturas!$B:$B=$A122)/(Lecturas!$D:$D&gt;0),Lecturas!$D:$D),LOOKUP(2,1/(Lecturas!$B:$B=$A122)/(Lecturas!$C:$C&gt;0),Lecturas!$C:$C)),"")</f>
        <v>5714</v>
      </c>
      <c r="P122" s="18">
        <f>IFERROR(_xlfn.MAXIFS(tblMantenciones[Fecha],tblMantenciones[Codigo],tblMaestroEquipos[[#This Row],[Codigo]],tblMantenciones[EsPM],"Sí"),"")</f>
        <v>45086</v>
      </c>
      <c r="Q122" s="70">
        <f>IF(_xlfn.MAXIFS(Mantenciones!$D:$D,Mantenciones!$B:$B,A122)=0,"Sin datos de mantención registrado",_xlfn.MAXIFS(Mantenciones!$D:$D,Mantenciones!$B:$B,A122))</f>
        <v>4018</v>
      </c>
      <c r="R122" s="16">
        <f>IFERROR(IF(_xlfn.MAXIFS(Mantenciones!$D:$D,Mantenciones!$B:$B,$A122,Mantenciones!$E:$E,"Sí",Mantenciones!$D:$D,"&gt;0")=0,"Sin datos de mantención registrado",_xlfn.MAXIFS(Mantenciones!$D:$D,Mantenciones!$B:$B,$A122,Mantenciones!$E:$E,"Sí",Mantenciones!$D:$D,"&gt;0")),"Sin datos de mantención registrado")</f>
        <v>4018</v>
      </c>
      <c r="S122" s="19">
        <f>IFERROR(SUMIFS(tblMantenciones[Costo Mantencion CLP],tblMantenciones[Codigo],A122),0)</f>
        <v>0</v>
      </c>
      <c r="T122" s="19">
        <f>IFERROR(SUMIFS(tblComprasPM[Costo PM CLP],tblComprasPM[Codigo],tblMaestroEquipos[[#This Row],[Codigo]]),0)</f>
        <v>0</v>
      </c>
      <c r="U122" s="19">
        <f>IFERROR(tblMaestroEquipos[[#This Row],[Costo Mantenciones CLP]]+tblMaestroEquipos[[#This Row],[Costo Compras PM CLP]],0)</f>
        <v>0</v>
      </c>
      <c r="V122" s="16" t="str">
        <f>IFERROR(_xlfn.XLOOKUP(tblMaestroEquipos[[#This Row],[Codigo]],tblEquipos[Codigo],tblEquipos[Estado Base]),"")</f>
        <v>Operativo</v>
      </c>
      <c r="W122" s="16" t="str">
        <f t="shared" si="8"/>
        <v>ATRASADA</v>
      </c>
      <c r="X122" s="16">
        <f t="shared" si="9"/>
        <v>-1446</v>
      </c>
      <c r="Y122" s="23">
        <f>IFERROR(IF(OR(tblMaestroEquipos[[#This Row],[Estado Operacional]]="FUERA DE SERVICIO",tblMaestroEquipos[[#This Row],[Ultima Fecha Lectura]]="",tblMaestroEquipos[[#This Row],[Dias a Proxima Mantencion]]=""),"",tblMaestroEquipos[[#This Row],[Ultima Fecha Lectura]]+tblMaestroEquipos[[#This Row],[Dias a Proxima Mantencion]]),"")</f>
        <v>44687</v>
      </c>
      <c r="Z122" s="23" t="str">
        <f>IFERROR(IF(_xlfn.MINIFS(tblComprasPM[Fecha],tblComprasPM[Codigo],tblMaestroEquipos[[#This Row],[Codigo]])=0,"",_xlfn.MINIFS(tblComprasPM[Fecha],tblComprasPM[Codigo],tblMaestroEquipos[[#This Row],[Codigo]])),"")</f>
        <v/>
      </c>
      <c r="AA122" s="23" t="str">
        <f>IFERROR(IF(_xlfn.MAXIFS(tblBodega[Fecha],tblBodega[Codigo],tblMaestroEquipos[[#This Row],[Codigo]])=0,"",_xlfn.MAXIFS(tblBodega[Fecha],tblBodega[Codigo],tblMaestroEquipos[[#This Row],[Codigo]])),"")</f>
        <v/>
      </c>
      <c r="AB122"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2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22" s="16" t="str">
        <f>IF(tblMaestroEquipos[[#This Row],[Fecha Salida Bodega]]="","SIN SALIDA BODEGA",IF(OR(tblMaestroEquipos[[#This Row],[Ultima Fecha PM]]="",tblMaestroEquipos[[#This Row],[Ultima Fecha PM]]&lt;tblMaestroEquipos[[#This Row],[Fecha Salida Bodega]]),"PENDIENTE","CERRADO"))</f>
        <v>SIN SALIDA BODEGA</v>
      </c>
      <c r="AE122" s="48" t="str">
        <f t="shared" si="10"/>
        <v>OPERATIVO</v>
      </c>
      <c r="AF122" s="16" t="str">
        <f t="shared" si="11"/>
        <v>BAJA</v>
      </c>
      <c r="AG122" s="16" t="str">
        <f t="shared" si="12"/>
        <v>Monitorear próximo vencimiento</v>
      </c>
      <c r="AH122">
        <f t="shared" si="13"/>
        <v>0</v>
      </c>
      <c r="AI122" t="str">
        <f t="shared" si="14"/>
        <v/>
      </c>
      <c r="AJ122" s="22">
        <f t="shared" si="15"/>
        <v>1</v>
      </c>
    </row>
    <row r="123" spans="1:36">
      <c r="A123" s="16" t="s">
        <v>383</v>
      </c>
      <c r="B123" s="16" t="s">
        <v>274</v>
      </c>
      <c r="C123" s="16" t="s">
        <v>1385</v>
      </c>
      <c r="D123" s="16" t="s">
        <v>275</v>
      </c>
      <c r="E123" s="17" t="s">
        <v>276</v>
      </c>
      <c r="F123" s="16">
        <v>2008</v>
      </c>
      <c r="G123" s="17" t="str">
        <f>IFERROR(_xlfn.XLOOKUP($A123,tblEquipos[Codigo],tblEquipos[Ubicacion],""),"")</f>
        <v>Palmucho</v>
      </c>
      <c r="H123" s="16" t="s">
        <v>56</v>
      </c>
      <c r="I123" s="16" t="str">
        <f>IFERROR(VLOOKUP(A123, Equipos!A:J, 9, FALSE), "")</f>
        <v>HORAS</v>
      </c>
      <c r="J123" s="16">
        <f>IFERROR(VLOOKUP(A123, Equipos!A:J, 10, FALSE), "")</f>
        <v>300</v>
      </c>
      <c r="K123" s="16">
        <f>IFERROR(IF($I123="KM",ROUND((_xlfn.MAXIFS(tblLecturas[Kilometraje],tblLecturas[Codigo],$A123)-_xlfn.MINIFS(tblLecturas[Kilometraje],tblLecturas[Codigo],$A123))/(MAX(1,_xlfn.MAXIFS(tblLecturas[Fecha],tblLecturas[Codigo],$A123)-_xlfn.MINIFS(tblLecturas[Fecha],tblLecturas[Codigo],$A123))),1),ROUND((_xlfn.MAXIFS(tblLecturas[Horometro],tblLecturas[Codigo],$A123)-_xlfn.MINIFS(tblLecturas[Horometro],tblLecturas[Codigo],$A123))/(MAX(1,_xlfn.MAXIFS(tblLecturas[Fecha],tblLecturas[Codigo],$A123)-_xlfn.MINIFS(tblLecturas[Fecha],tblLecturas[Codigo],$A123))),1)),"")</f>
        <v>2.4</v>
      </c>
      <c r="L123" s="18">
        <f>IFERROR(_xlfn.MAXIFS(tblLecturas[Fecha],tblLecturas[Codigo],$A123),"")</f>
        <v>46135</v>
      </c>
      <c r="M123" s="24">
        <f>IFERROR(_xlfn.MAXIFS(Lecturas!$C:$C,Lecturas!$B:$B,$A123,Lecturas!$C:$C,"&gt;0"),"")</f>
        <v>3850</v>
      </c>
      <c r="N123" s="24">
        <f>IFERROR(_xlfn.MAXIFS(tblLecturas[Kilometraje],tblLecturas[Codigo],$A123,tblLecturas[Kilometraje],"&gt;0"),"")</f>
        <v>0</v>
      </c>
      <c r="O123" s="24" cm="1">
        <f t="array" ref="O123">IFERROR(IF($I123="KM",LOOKUP(2,1/(Lecturas!$B:$B=$A123)/(Lecturas!$D:$D&gt;0),Lecturas!$D:$D),LOOKUP(2,1/(Lecturas!$B:$B=$A123)/(Lecturas!$C:$C&gt;0),Lecturas!$C:$C)),"")</f>
        <v>3850</v>
      </c>
      <c r="P123" s="18">
        <f>IFERROR(_xlfn.MAXIFS(tblMantenciones[Fecha],tblMantenciones[Codigo],tblMaestroEquipos[[#This Row],[Codigo]],tblMantenciones[EsPM],"Sí"),"")</f>
        <v>46092</v>
      </c>
      <c r="Q123" s="70">
        <f>IF(_xlfn.MAXIFS(Mantenciones!$D:$D,Mantenciones!$B:$B,A123)=0,"Sin datos de mantención registrado",_xlfn.MAXIFS(Mantenciones!$D:$D,Mantenciones!$B:$B,A123))</f>
        <v>3745</v>
      </c>
      <c r="R123" s="16">
        <f>IFERROR(IF(_xlfn.MAXIFS(Mantenciones!$D:$D,Mantenciones!$B:$B,$A123,Mantenciones!$E:$E,"Sí",Mantenciones!$D:$D,"&gt;0")=0,"Sin datos de mantención registrado",_xlfn.MAXIFS(Mantenciones!$D:$D,Mantenciones!$B:$B,$A123,Mantenciones!$E:$E,"Sí",Mantenciones!$D:$D,"&gt;0")),"Sin datos de mantención registrado")</f>
        <v>3745</v>
      </c>
      <c r="S123" s="19">
        <f>IFERROR(SUMIFS(tblMantenciones[Costo Mantencion CLP],tblMantenciones[Codigo],A123),0)</f>
        <v>177476</v>
      </c>
      <c r="T123" s="19">
        <f>IFERROR(SUMIFS(tblComprasPM[Costo PM CLP],tblComprasPM[Codigo],tblMaestroEquipos[[#This Row],[Codigo]]),0)</f>
        <v>0</v>
      </c>
      <c r="U123" s="19">
        <f>IFERROR(tblMaestroEquipos[[#This Row],[Costo Mantenciones CLP]]+tblMaestroEquipos[[#This Row],[Costo Compras PM CLP]],0)</f>
        <v>177476</v>
      </c>
      <c r="V123" s="16" t="str">
        <f>IFERROR(_xlfn.XLOOKUP(tblMaestroEquipos[[#This Row],[Codigo]],tblEquipos[Codigo],tblEquipos[Estado Base]),"")</f>
        <v>Operativo</v>
      </c>
      <c r="W123" s="16" t="str">
        <f t="shared" si="8"/>
        <v>POR RECIBIR</v>
      </c>
      <c r="X123" s="16">
        <f t="shared" si="9"/>
        <v>195</v>
      </c>
      <c r="Y123" s="23">
        <f>IFERROR(IF(OR(tblMaestroEquipos[[#This Row],[Estado Operacional]]="FUERA DE SERVICIO",tblMaestroEquipos[[#This Row],[Ultima Fecha Lectura]]="",tblMaestroEquipos[[#This Row],[Dias a Proxima Mantencion]]=""),"",tblMaestroEquipos[[#This Row],[Ultima Fecha Lectura]]+tblMaestroEquipos[[#This Row],[Dias a Proxima Mantencion]]),"")</f>
        <v>46330</v>
      </c>
      <c r="Z123" s="23" t="str">
        <f>IFERROR(IF(_xlfn.MINIFS(tblComprasPM[Fecha],tblComprasPM[Codigo],tblMaestroEquipos[[#This Row],[Codigo]])=0,"",_xlfn.MINIFS(tblComprasPM[Fecha],tblComprasPM[Codigo],tblMaestroEquipos[[#This Row],[Codigo]])),"")</f>
        <v/>
      </c>
      <c r="AA123" s="23">
        <f>IFERROR(IF(_xlfn.MAXIFS(tblBodega[Fecha],tblBodega[Codigo],tblMaestroEquipos[[#This Row],[Codigo]])=0,"",_xlfn.MAXIFS(tblBodega[Fecha],tblBodega[Codigo],tblMaestroEquipos[[#This Row],[Codigo]])),"")</f>
        <v>46134</v>
      </c>
      <c r="AB123"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23"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23" s="16" t="str">
        <f>IF(tblMaestroEquipos[[#This Row],[Fecha Salida Bodega]]="","SIN SALIDA BODEGA",IF(OR(tblMaestroEquipos[[#This Row],[Ultima Fecha PM]]="",tblMaestroEquipos[[#This Row],[Ultima Fecha PM]]&lt;tblMaestroEquipos[[#This Row],[Fecha Salida Bodega]]),"PENDIENTE","CERRADO"))</f>
        <v>PENDIENTE</v>
      </c>
      <c r="AE123" s="48" t="str">
        <f t="shared" si="10"/>
        <v>OPERATIVO</v>
      </c>
      <c r="AF123" s="16" t="str">
        <f t="shared" si="11"/>
        <v>BAJA</v>
      </c>
      <c r="AG123" s="16" t="str">
        <f t="shared" si="12"/>
        <v>Monitorear próximo vencimiento</v>
      </c>
      <c r="AH123">
        <f t="shared" si="13"/>
        <v>0</v>
      </c>
      <c r="AI123" t="str">
        <f t="shared" si="14"/>
        <v/>
      </c>
      <c r="AJ123" s="22">
        <f t="shared" si="15"/>
        <v>3</v>
      </c>
    </row>
    <row r="124" spans="1:36">
      <c r="A124" s="16" t="s">
        <v>385</v>
      </c>
      <c r="B124" s="16" t="s">
        <v>274</v>
      </c>
      <c r="C124" s="16" t="s">
        <v>1385</v>
      </c>
      <c r="D124" s="16" t="s">
        <v>275</v>
      </c>
      <c r="E124" s="17" t="s">
        <v>386</v>
      </c>
      <c r="F124" s="16">
        <v>2012</v>
      </c>
      <c r="G124" s="17" t="str">
        <f>IFERROR(_xlfn.XLOOKUP($A124,tblEquipos[Codigo],tblEquipos[Ubicacion],""),"")</f>
        <v>San Carlos</v>
      </c>
      <c r="H124" s="16" t="s">
        <v>280</v>
      </c>
      <c r="I124" s="16" t="str">
        <f>IFERROR(VLOOKUP(A124, Equipos!A:J, 9, FALSE), "")</f>
        <v>HORAS</v>
      </c>
      <c r="J124" s="16">
        <f>IFERROR(VLOOKUP(A124, Equipos!A:J, 10, FALSE), "")</f>
        <v>300</v>
      </c>
      <c r="K124" s="16">
        <f>IFERROR(IF($I124="KM",ROUND((_xlfn.MAXIFS(tblLecturas[Kilometraje],tblLecturas[Codigo],$A124)-_xlfn.MINIFS(tblLecturas[Kilometraje],tblLecturas[Codigo],$A124))/(MAX(1,_xlfn.MAXIFS(tblLecturas[Fecha],tblLecturas[Codigo],$A124)-_xlfn.MINIFS(tblLecturas[Fecha],tblLecturas[Codigo],$A124))),1),ROUND((_xlfn.MAXIFS(tblLecturas[Horometro],tblLecturas[Codigo],$A124)-_xlfn.MINIFS(tblLecturas[Horometro],tblLecturas[Codigo],$A124))/(MAX(1,_xlfn.MAXIFS(tblLecturas[Fecha],tblLecturas[Codigo],$A124)-_xlfn.MINIFS(tblLecturas[Fecha],tblLecturas[Codigo],$A124))),1)),"")</f>
        <v>1.1000000000000001</v>
      </c>
      <c r="L124" s="18">
        <f>IFERROR(_xlfn.MAXIFS(tblLecturas[Fecha],tblLecturas[Codigo],$A124),"")</f>
        <v>46129</v>
      </c>
      <c r="M124" s="24">
        <f>IFERROR(_xlfn.MAXIFS(Lecturas!$C:$C,Lecturas!$B:$B,$A124,Lecturas!$C:$C,"&gt;0"),"")</f>
        <v>3578</v>
      </c>
      <c r="N124" s="24">
        <f>IFERROR(_xlfn.MAXIFS(tblLecturas[Kilometraje],tblLecturas[Codigo],$A124,tblLecturas[Kilometraje],"&gt;0"),"")</f>
        <v>0</v>
      </c>
      <c r="O124" s="24" cm="1">
        <f t="array" ref="O124">IFERROR(IF($I124="KM",LOOKUP(2,1/(Lecturas!$B:$B=$A124)/(Lecturas!$D:$D&gt;0),Lecturas!$D:$D),LOOKUP(2,1/(Lecturas!$B:$B=$A124)/(Lecturas!$C:$C&gt;0),Lecturas!$C:$C)),"")</f>
        <v>3544</v>
      </c>
      <c r="P124" s="18">
        <f>IFERROR(_xlfn.MAXIFS(tblMantenciones[Fecha],tblMantenciones[Codigo],tblMaestroEquipos[[#This Row],[Codigo]],tblMantenciones[EsPM],"Sí"),"")</f>
        <v>46057</v>
      </c>
      <c r="Q124" s="70">
        <f>IF(_xlfn.MAXIFS(Mantenciones!$D:$D,Mantenciones!$B:$B,A124)=0,"Sin datos de mantención registrado",_xlfn.MAXIFS(Mantenciones!$D:$D,Mantenciones!$B:$B,A124))</f>
        <v>3472</v>
      </c>
      <c r="R124" s="16">
        <f>IFERROR(IF(_xlfn.MAXIFS(Mantenciones!$D:$D,Mantenciones!$B:$B,$A124,Mantenciones!$E:$E,"Sí",Mantenciones!$D:$D,"&gt;0")=0,"Sin datos de mantención registrado",_xlfn.MAXIFS(Mantenciones!$D:$D,Mantenciones!$B:$B,$A124,Mantenciones!$E:$E,"Sí",Mantenciones!$D:$D,"&gt;0")),"Sin datos de mantención registrado")</f>
        <v>3472</v>
      </c>
      <c r="S124" s="19">
        <f>IFERROR(SUMIFS(tblMantenciones[Costo Mantencion CLP],tblMantenciones[Codigo],A124),0)</f>
        <v>177476</v>
      </c>
      <c r="T124" s="19">
        <f>IFERROR(SUMIFS(tblComprasPM[Costo PM CLP],tblComprasPM[Codigo],tblMaestroEquipos[[#This Row],[Codigo]]),0)</f>
        <v>181150.13</v>
      </c>
      <c r="U124" s="19">
        <f>IFERROR(tblMaestroEquipos[[#This Row],[Costo Mantenciones CLP]]+tblMaestroEquipos[[#This Row],[Costo Compras PM CLP]],0)</f>
        <v>358626.13</v>
      </c>
      <c r="V124" s="16" t="str">
        <f>IFERROR(_xlfn.XLOOKUP(tblMaestroEquipos[[#This Row],[Codigo]],tblEquipos[Codigo],tblEquipos[Estado Base]),"")</f>
        <v>Operativo</v>
      </c>
      <c r="W124" s="16" t="str">
        <f t="shared" si="8"/>
        <v>POR RECIBIR</v>
      </c>
      <c r="X124" s="16">
        <f t="shared" si="9"/>
        <v>228</v>
      </c>
      <c r="Y124" s="23">
        <f>IFERROR(IF(OR(tblMaestroEquipos[[#This Row],[Estado Operacional]]="FUERA DE SERVICIO",tblMaestroEquipos[[#This Row],[Ultima Fecha Lectura]]="",tblMaestroEquipos[[#This Row],[Dias a Proxima Mantencion]]=""),"",tblMaestroEquipos[[#This Row],[Ultima Fecha Lectura]]+tblMaestroEquipos[[#This Row],[Dias a Proxima Mantencion]]),"")</f>
        <v>46357</v>
      </c>
      <c r="Z124" s="23">
        <f>IFERROR(IF(_xlfn.MINIFS(tblComprasPM[Fecha],tblComprasPM[Codigo],tblMaestroEquipos[[#This Row],[Codigo]])=0,"",_xlfn.MINIFS(tblComprasPM[Fecha],tblComprasPM[Codigo],tblMaestroEquipos[[#This Row],[Codigo]])),"")</f>
        <v>46184</v>
      </c>
      <c r="AA124" s="23">
        <f>IFERROR(IF(_xlfn.MAXIFS(tblBodega[Fecha],tblBodega[Codigo],tblMaestroEquipos[[#This Row],[Codigo]])=0,"",_xlfn.MAXIFS(tblBodega[Fecha],tblBodega[Codigo],tblMaestroEquipos[[#This Row],[Codigo]])),"")</f>
        <v>46065</v>
      </c>
      <c r="AB124"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24"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24" s="16" t="str">
        <f>IF(tblMaestroEquipos[[#This Row],[Fecha Salida Bodega]]="","SIN SALIDA BODEGA",IF(OR(tblMaestroEquipos[[#This Row],[Ultima Fecha PM]]="",tblMaestroEquipos[[#This Row],[Ultima Fecha PM]]&lt;tblMaestroEquipos[[#This Row],[Fecha Salida Bodega]]),"PENDIENTE","CERRADO"))</f>
        <v>PENDIENTE</v>
      </c>
      <c r="AE124" s="48" t="str">
        <f t="shared" si="10"/>
        <v>OPERATIVO</v>
      </c>
      <c r="AF124" s="16" t="str">
        <f t="shared" si="11"/>
        <v>BAJA</v>
      </c>
      <c r="AG124" s="16" t="str">
        <f t="shared" si="12"/>
        <v>Monitorear próximo vencimiento</v>
      </c>
      <c r="AH124">
        <f t="shared" si="13"/>
        <v>0</v>
      </c>
      <c r="AI124" t="str">
        <f t="shared" si="14"/>
        <v/>
      </c>
      <c r="AJ124" s="22">
        <f t="shared" si="15"/>
        <v>3</v>
      </c>
    </row>
    <row r="125" spans="1:36">
      <c r="A125" s="16" t="s">
        <v>388</v>
      </c>
      <c r="B125" s="16" t="s">
        <v>374</v>
      </c>
      <c r="C125" s="16" t="s">
        <v>1385</v>
      </c>
      <c r="D125" s="16" t="s">
        <v>314</v>
      </c>
      <c r="E125" s="17" t="s">
        <v>376</v>
      </c>
      <c r="F125" s="16">
        <v>2014</v>
      </c>
      <c r="G125" s="17" t="str">
        <f>IFERROR(_xlfn.XLOOKUP($A125,tblEquipos[Codigo],tblEquipos[Ubicacion],""),"")</f>
        <v>San Carlos</v>
      </c>
      <c r="H125" s="16" t="s">
        <v>201</v>
      </c>
      <c r="I125" s="16" t="str">
        <f>IFERROR(VLOOKUP(A125, Equipos!A:J, 9, FALSE), "")</f>
        <v>HORAS</v>
      </c>
      <c r="J125" s="16">
        <f>IFERROR(VLOOKUP(A125, Equipos!A:J, 10, FALSE), "")</f>
        <v>250</v>
      </c>
      <c r="K125" s="16">
        <f>IFERROR(IF($I125="KM",ROUND((_xlfn.MAXIFS(tblLecturas[Kilometraje],tblLecturas[Codigo],$A125)-_xlfn.MINIFS(tblLecturas[Kilometraje],tblLecturas[Codigo],$A125))/(MAX(1,_xlfn.MAXIFS(tblLecturas[Fecha],tblLecturas[Codigo],$A125)-_xlfn.MINIFS(tblLecturas[Fecha],tblLecturas[Codigo],$A125))),1),ROUND((_xlfn.MAXIFS(tblLecturas[Horometro],tblLecturas[Codigo],$A125)-_xlfn.MINIFS(tblLecturas[Horometro],tblLecturas[Codigo],$A125))/(MAX(1,_xlfn.MAXIFS(tblLecturas[Fecha],tblLecturas[Codigo],$A125)-_xlfn.MINIFS(tblLecturas[Fecha],tblLecturas[Codigo],$A125))),1)),"")</f>
        <v>0.9</v>
      </c>
      <c r="L125" s="18">
        <f>IFERROR(_xlfn.MAXIFS(tblLecturas[Fecha],tblLecturas[Codigo],$A125),"")</f>
        <v>46094</v>
      </c>
      <c r="M125" s="24">
        <f>IFERROR(_xlfn.MAXIFS(Lecturas!$C:$C,Lecturas!$B:$B,$A125,Lecturas!$C:$C,"&gt;0"),"")</f>
        <v>13040</v>
      </c>
      <c r="N125" s="24">
        <f>IFERROR(_xlfn.MAXIFS(tblLecturas[Kilometraje],tblLecturas[Codigo],$A125,tblLecturas[Kilometraje],"&gt;0"),"")</f>
        <v>0</v>
      </c>
      <c r="O125" s="24" cm="1">
        <f t="array" ref="O125">IFERROR(IF($I125="KM",LOOKUP(2,1/(Lecturas!$B:$B=$A125)/(Lecturas!$D:$D&gt;0),Lecturas!$D:$D),LOOKUP(2,1/(Lecturas!$B:$B=$A125)/(Lecturas!$C:$C&gt;0),Lecturas!$C:$C)),"")</f>
        <v>13034</v>
      </c>
      <c r="P125" s="18">
        <f>IFERROR(_xlfn.MAXIFS(tblMantenciones[Fecha],tblMantenciones[Codigo],tblMaestroEquipos[[#This Row],[Codigo]],tblMantenciones[EsPM],"Sí"),"")</f>
        <v>46230</v>
      </c>
      <c r="Q125" s="70">
        <f>IF(_xlfn.MAXIFS(Mantenciones!$D:$D,Mantenciones!$B:$B,A125)=0,"Sin datos de mantención registrado",_xlfn.MAXIFS(Mantenciones!$D:$D,Mantenciones!$B:$B,A125))</f>
        <v>13312</v>
      </c>
      <c r="R125" s="16">
        <f>IFERROR(IF(_xlfn.MAXIFS(Mantenciones!$D:$D,Mantenciones!$B:$B,$A125,Mantenciones!$E:$E,"Sí",Mantenciones!$D:$D,"&gt;0")=0,"Sin datos de mantención registrado",_xlfn.MAXIFS(Mantenciones!$D:$D,Mantenciones!$B:$B,$A125,Mantenciones!$E:$E,"Sí",Mantenciones!$D:$D,"&gt;0")),"Sin datos de mantención registrado")</f>
        <v>13312</v>
      </c>
      <c r="S125" s="19">
        <f>IFERROR(SUMIFS(tblMantenciones[Costo Mantencion CLP],tblMantenciones[Codigo],A125),0)</f>
        <v>89099.98</v>
      </c>
      <c r="T125" s="19">
        <f>IFERROR(SUMIFS(tblComprasPM[Costo PM CLP],tblComprasPM[Codigo],tblMaestroEquipos[[#This Row],[Codigo]]),0)</f>
        <v>89099.976699999999</v>
      </c>
      <c r="U125" s="19">
        <f>IFERROR(tblMaestroEquipos[[#This Row],[Costo Mantenciones CLP]]+tblMaestroEquipos[[#This Row],[Costo Compras PM CLP]],0)</f>
        <v>178199.95669999998</v>
      </c>
      <c r="V125" s="16" t="str">
        <f>IFERROR(_xlfn.XLOOKUP(tblMaestroEquipos[[#This Row],[Codigo]],tblEquipos[Codigo],tblEquipos[Estado Base]),"")</f>
        <v>Operativo</v>
      </c>
      <c r="W125" s="16" t="str">
        <f t="shared" si="8"/>
        <v>AL DÍA</v>
      </c>
      <c r="X125" s="16">
        <f t="shared" si="9"/>
        <v>528</v>
      </c>
      <c r="Y125" s="23">
        <f>IFERROR(IF(OR(tblMaestroEquipos[[#This Row],[Estado Operacional]]="FUERA DE SERVICIO",tblMaestroEquipos[[#This Row],[Ultima Fecha Lectura]]="",tblMaestroEquipos[[#This Row],[Dias a Proxima Mantencion]]=""),"",tblMaestroEquipos[[#This Row],[Ultima Fecha Lectura]]+tblMaestroEquipos[[#This Row],[Dias a Proxima Mantencion]]),"")</f>
        <v>46622</v>
      </c>
      <c r="Z125" s="23">
        <f>IFERROR(IF(_xlfn.MINIFS(tblComprasPM[Fecha],tblComprasPM[Codigo],tblMaestroEquipos[[#This Row],[Codigo]])=0,"",_xlfn.MINIFS(tblComprasPM[Fecha],tblComprasPM[Codigo],tblMaestroEquipos[[#This Row],[Codigo]])),"")</f>
        <v>46094.669263854201</v>
      </c>
      <c r="AA125" s="23">
        <f>IFERROR(IF(_xlfn.MAXIFS(tblBodega[Fecha],tblBodega[Codigo],tblMaestroEquipos[[#This Row],[Codigo]])=0,"",_xlfn.MAXIFS(tblBodega[Fecha],tblBodega[Codigo],tblMaestroEquipos[[#This Row],[Codigo]])),"")</f>
        <v>46094</v>
      </c>
      <c r="AB12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136</v>
      </c>
      <c r="AC12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136</v>
      </c>
      <c r="AD125" s="16" t="str">
        <f>IF(tblMaestroEquipos[[#This Row],[Fecha Salida Bodega]]="","SIN SALIDA BODEGA",IF(OR(tblMaestroEquipos[[#This Row],[Ultima Fecha PM]]="",tblMaestroEquipos[[#This Row],[Ultima Fecha PM]]&lt;tblMaestroEquipos[[#This Row],[Fecha Salida Bodega]]),"PENDIENTE","CERRADO"))</f>
        <v>CERRADO</v>
      </c>
      <c r="AE125" s="48" t="str">
        <f t="shared" si="10"/>
        <v>OPERATIVO</v>
      </c>
      <c r="AF125" s="16" t="str">
        <f t="shared" si="11"/>
        <v>BAJA</v>
      </c>
      <c r="AG125" s="16" t="str">
        <f t="shared" si="12"/>
        <v>Monitorear próximo vencimiento</v>
      </c>
      <c r="AH125">
        <f t="shared" si="13"/>
        <v>0</v>
      </c>
      <c r="AI125" t="str">
        <f t="shared" si="14"/>
        <v/>
      </c>
      <c r="AJ125" s="22">
        <f t="shared" si="15"/>
        <v>99</v>
      </c>
    </row>
    <row r="126" spans="1:36">
      <c r="A126" s="16" t="s">
        <v>389</v>
      </c>
      <c r="B126" s="16" t="s">
        <v>347</v>
      </c>
      <c r="C126" s="16" t="s">
        <v>1385</v>
      </c>
      <c r="D126" s="16" t="s">
        <v>378</v>
      </c>
      <c r="E126" s="17" t="s">
        <v>379</v>
      </c>
      <c r="F126" s="16">
        <v>2002</v>
      </c>
      <c r="G126" s="17" t="str">
        <f>IFERROR(_xlfn.XLOOKUP($A126,tblEquipos[Codigo],tblEquipos[Ubicacion],""),"")</f>
        <v>Taller</v>
      </c>
      <c r="H126" s="16" t="s">
        <v>201</v>
      </c>
      <c r="I126" s="16" t="str">
        <f>IFERROR(VLOOKUP(A126, Equipos!A:J, 9, FALSE), "")</f>
        <v>HORAS</v>
      </c>
      <c r="J126" s="16">
        <f>IFERROR(VLOOKUP(A126, Equipos!A:J, 10, FALSE), "")</f>
        <v>250</v>
      </c>
      <c r="K126" s="16">
        <f>IFERROR(IF($I126="KM",ROUND((_xlfn.MAXIFS(tblLecturas[Kilometraje],tblLecturas[Codigo],$A126)-_xlfn.MINIFS(tblLecturas[Kilometraje],tblLecturas[Codigo],$A126))/(MAX(1,_xlfn.MAXIFS(tblLecturas[Fecha],tblLecturas[Codigo],$A126)-_xlfn.MINIFS(tblLecturas[Fecha],tblLecturas[Codigo],$A126))),1),ROUND((_xlfn.MAXIFS(tblLecturas[Horometro],tblLecturas[Codigo],$A126)-_xlfn.MINIFS(tblLecturas[Horometro],tblLecturas[Codigo],$A126))/(MAX(1,_xlfn.MAXIFS(tblLecturas[Fecha],tblLecturas[Codigo],$A126)-_xlfn.MINIFS(tblLecturas[Fecha],tblLecturas[Codigo],$A126))),1)),"")</f>
        <v>0</v>
      </c>
      <c r="L126" s="18">
        <f>IFERROR(_xlfn.MAXIFS(tblLecturas[Fecha],tblLecturas[Codigo],$A126),"")</f>
        <v>46027</v>
      </c>
      <c r="M126" s="24">
        <f>IFERROR(_xlfn.MAXIFS(Lecturas!$C:$C,Lecturas!$B:$B,$A126,Lecturas!$C:$C,"&gt;0"),"")</f>
        <v>5937</v>
      </c>
      <c r="N126" s="24">
        <f>IFERROR(_xlfn.MAXIFS(tblLecturas[Kilometraje],tblLecturas[Codigo],$A126,tblLecturas[Kilometraje],"&gt;0"),"")</f>
        <v>0</v>
      </c>
      <c r="O126" s="24" cm="1">
        <f t="array" ref="O126">IFERROR(IF($I126="KM",LOOKUP(2,1/(Lecturas!$B:$B=$A126)/(Lecturas!$D:$D&gt;0),Lecturas!$D:$D),LOOKUP(2,1/(Lecturas!$B:$B=$A126)/(Lecturas!$C:$C&gt;0),Lecturas!$C:$C)),"")</f>
        <v>5937</v>
      </c>
      <c r="P126" s="18">
        <f>IFERROR(_xlfn.MAXIFS(tblMantenciones[Fecha],tblMantenciones[Codigo],tblMaestroEquipos[[#This Row],[Codigo]],tblMantenciones[EsPM],"Sí"),"")</f>
        <v>46183</v>
      </c>
      <c r="Q126" s="70">
        <f>IF(_xlfn.MAXIFS(Mantenciones!$D:$D,Mantenciones!$B:$B,A126)=0,"Sin datos de mantención registrado",_xlfn.MAXIFS(Mantenciones!$D:$D,Mantenciones!$B:$B,A126))</f>
        <v>6322</v>
      </c>
      <c r="R126" s="16">
        <f>IFERROR(IF(_xlfn.MAXIFS(Mantenciones!$D:$D,Mantenciones!$B:$B,$A126,Mantenciones!$E:$E,"Sí",Mantenciones!$D:$D,"&gt;0")=0,"Sin datos de mantención registrado",_xlfn.MAXIFS(Mantenciones!$D:$D,Mantenciones!$B:$B,$A126,Mantenciones!$E:$E,"Sí",Mantenciones!$D:$D,"&gt;0")),"Sin datos de mantención registrado")</f>
        <v>6322</v>
      </c>
      <c r="S126" s="19">
        <f>IFERROR(SUMIFS(tblMantenciones[Costo Mantencion CLP],tblMantenciones[Codigo],A126),0)</f>
        <v>0</v>
      </c>
      <c r="T126" s="19">
        <f>IFERROR(SUMIFS(tblComprasPM[Costo PM CLP],tblComprasPM[Codigo],tblMaestroEquipos[[#This Row],[Codigo]]),0)</f>
        <v>93278.744999999995</v>
      </c>
      <c r="U126" s="19">
        <f>IFERROR(tblMaestroEquipos[[#This Row],[Costo Mantenciones CLP]]+tblMaestroEquipos[[#This Row],[Costo Compras PM CLP]],0)</f>
        <v>93278.744999999995</v>
      </c>
      <c r="V126" s="16" t="str">
        <f>IFERROR(_xlfn.XLOOKUP(tblMaestroEquipos[[#This Row],[Codigo]],tblEquipos[Codigo],tblEquipos[Estado Base]),"")</f>
        <v>Taller</v>
      </c>
      <c r="W126" s="16" t="str">
        <f t="shared" si="8"/>
        <v>EN TALLER</v>
      </c>
      <c r="X126" s="16">
        <f t="shared" si="9"/>
        <v>635</v>
      </c>
      <c r="Y126" s="23">
        <f>IFERROR(IF(OR(tblMaestroEquipos[[#This Row],[Estado Operacional]]="FUERA DE SERVICIO",tblMaestroEquipos[[#This Row],[Ultima Fecha Lectura]]="",tblMaestroEquipos[[#This Row],[Dias a Proxima Mantencion]]=""),"",tblMaestroEquipos[[#This Row],[Ultima Fecha Lectura]]+tblMaestroEquipos[[#This Row],[Dias a Proxima Mantencion]]),"")</f>
        <v>46662</v>
      </c>
      <c r="Z126" s="23">
        <f>IFERROR(IF(_xlfn.MINIFS(tblComprasPM[Fecha],tblComprasPM[Codigo],tblMaestroEquipos[[#This Row],[Codigo]])=0,"",_xlfn.MINIFS(tblComprasPM[Fecha],tblComprasPM[Codigo],tblMaestroEquipos[[#This Row],[Codigo]])),"")</f>
        <v>46183</v>
      </c>
      <c r="AA126" s="23">
        <f>IFERROR(IF(_xlfn.MAXIFS(tblBodega[Fecha],tblBodega[Codigo],tblMaestroEquipos[[#This Row],[Codigo]])=0,"",_xlfn.MAXIFS(tblBodega[Fecha],tblBodega[Codigo],tblMaestroEquipos[[#This Row],[Codigo]])),"")</f>
        <v>46106</v>
      </c>
      <c r="AB12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26"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77</v>
      </c>
      <c r="AD126" s="16" t="str">
        <f>IF(tblMaestroEquipos[[#This Row],[Fecha Salida Bodega]]="","SIN SALIDA BODEGA",IF(OR(tblMaestroEquipos[[#This Row],[Ultima Fecha PM]]="",tblMaestroEquipos[[#This Row],[Ultima Fecha PM]]&lt;tblMaestroEquipos[[#This Row],[Fecha Salida Bodega]]),"PENDIENTE","CERRADO"))</f>
        <v>CERRADO</v>
      </c>
      <c r="AE126" s="48" t="str">
        <f t="shared" si="10"/>
        <v>EN TALLER</v>
      </c>
      <c r="AF126" s="16" t="str">
        <f t="shared" si="11"/>
        <v>BAJA</v>
      </c>
      <c r="AG126" s="16" t="str">
        <f t="shared" si="12"/>
        <v>Monitorear próximo vencimiento</v>
      </c>
      <c r="AH126">
        <f t="shared" si="13"/>
        <v>0</v>
      </c>
      <c r="AI126" t="str">
        <f t="shared" si="14"/>
        <v/>
      </c>
      <c r="AJ126" s="22">
        <f t="shared" si="15"/>
        <v>99</v>
      </c>
    </row>
    <row r="127" spans="1:36">
      <c r="A127" s="16" t="s">
        <v>390</v>
      </c>
      <c r="B127" s="16" t="s">
        <v>347</v>
      </c>
      <c r="C127" s="16" t="s">
        <v>1385</v>
      </c>
      <c r="D127" s="16" t="s">
        <v>378</v>
      </c>
      <c r="E127" s="17" t="s">
        <v>379</v>
      </c>
      <c r="F127" s="16">
        <v>2004</v>
      </c>
      <c r="G127" s="17" t="str">
        <f>IFERROR(_xlfn.XLOOKUP($A127,tblEquipos[Codigo],tblEquipos[Ubicacion],""),"")</f>
        <v>Taller</v>
      </c>
      <c r="H127" s="16" t="s">
        <v>345</v>
      </c>
      <c r="I127" s="16" t="str">
        <f>IFERROR(VLOOKUP(A127, Equipos!A:J, 9, FALSE), "")</f>
        <v>HORAS</v>
      </c>
      <c r="J127" s="16">
        <f>IFERROR(VLOOKUP(A127, Equipos!A:J, 10, FALSE), "")</f>
        <v>250</v>
      </c>
      <c r="K127" s="16">
        <f>IFERROR(IF($I127="KM",ROUND((_xlfn.MAXIFS(tblLecturas[Kilometraje],tblLecturas[Codigo],$A127)-_xlfn.MINIFS(tblLecturas[Kilometraje],tblLecturas[Codigo],$A127))/(MAX(1,_xlfn.MAXIFS(tblLecturas[Fecha],tblLecturas[Codigo],$A127)-_xlfn.MINIFS(tblLecturas[Fecha],tblLecturas[Codigo],$A127))),1),ROUND((_xlfn.MAXIFS(tblLecturas[Horometro],tblLecturas[Codigo],$A127)-_xlfn.MINIFS(tblLecturas[Horometro],tblLecturas[Codigo],$A127))/(MAX(1,_xlfn.MAXIFS(tblLecturas[Fecha],tblLecturas[Codigo],$A127)-_xlfn.MINIFS(tblLecturas[Fecha],tblLecturas[Codigo],$A127))),1)),"")</f>
        <v>1.4</v>
      </c>
      <c r="L127" s="18">
        <f>IFERROR(_xlfn.MAXIFS(tblLecturas[Fecha],tblLecturas[Codigo],$A127),"")</f>
        <v>46042</v>
      </c>
      <c r="M127" s="24">
        <f>IFERROR(_xlfn.MAXIFS(Lecturas!$C:$C,Lecturas!$B:$B,$A127,Lecturas!$C:$C,"&gt;0"),"")</f>
        <v>7950</v>
      </c>
      <c r="N127" s="24">
        <f>IFERROR(_xlfn.MAXIFS(tblLecturas[Kilometraje],tblLecturas[Codigo],$A127,tblLecturas[Kilometraje],"&gt;0"),"")</f>
        <v>0</v>
      </c>
      <c r="O127" s="24" cm="1">
        <f t="array" ref="O127">IFERROR(IF($I127="KM",LOOKUP(2,1/(Lecturas!$B:$B=$A127)/(Lecturas!$D:$D&gt;0),Lecturas!$D:$D),LOOKUP(2,1/(Lecturas!$B:$B=$A127)/(Lecturas!$C:$C&gt;0),Lecturas!$C:$C)),"")</f>
        <v>5757</v>
      </c>
      <c r="P127" s="18">
        <f>IFERROR(_xlfn.MAXIFS(tblMantenciones[Fecha],tblMantenciones[Codigo],tblMaestroEquipos[[#This Row],[Codigo]],tblMantenciones[EsPM],"Sí"),"")</f>
        <v>46141</v>
      </c>
      <c r="Q127" s="70">
        <f>IF(_xlfn.MAXIFS(Mantenciones!$D:$D,Mantenciones!$B:$B,A127)=0,"Sin datos de mantención registrado",_xlfn.MAXIFS(Mantenciones!$D:$D,Mantenciones!$B:$B,A127))</f>
        <v>7968</v>
      </c>
      <c r="R127" s="16">
        <f>IFERROR(IF(_xlfn.MAXIFS(Mantenciones!$D:$D,Mantenciones!$B:$B,$A127,Mantenciones!$E:$E,"Sí",Mantenciones!$D:$D,"&gt;0")=0,"Sin datos de mantención registrado",_xlfn.MAXIFS(Mantenciones!$D:$D,Mantenciones!$B:$B,$A127,Mantenciones!$E:$E,"Sí",Mantenciones!$D:$D,"&gt;0")),"Sin datos de mantención registrado")</f>
        <v>7968</v>
      </c>
      <c r="S127" s="19">
        <f>IFERROR(SUMIFS(tblMantenciones[Costo Mantencion CLP],tblMantenciones[Codigo],A127),0)</f>
        <v>0</v>
      </c>
      <c r="T127" s="19">
        <f>IFERROR(SUMIFS(tblComprasPM[Costo PM CLP],tblComprasPM[Codigo],tblMaestroEquipos[[#This Row],[Codigo]]),0)</f>
        <v>131080.38499999998</v>
      </c>
      <c r="U127" s="19">
        <f>IFERROR(tblMaestroEquipos[[#This Row],[Costo Mantenciones CLP]]+tblMaestroEquipos[[#This Row],[Costo Compras PM CLP]],0)</f>
        <v>131080.38499999998</v>
      </c>
      <c r="V127" s="16" t="str">
        <f>IFERROR(_xlfn.XLOOKUP(tblMaestroEquipos[[#This Row],[Codigo]],tblEquipos[Codigo],tblEquipos[Estado Base]),"")</f>
        <v>Taller</v>
      </c>
      <c r="W127" s="16" t="str">
        <f t="shared" si="8"/>
        <v>EN TALLER</v>
      </c>
      <c r="X127" s="16">
        <f t="shared" si="9"/>
        <v>2461</v>
      </c>
      <c r="Y127" s="23">
        <f>IFERROR(IF(OR(tblMaestroEquipos[[#This Row],[Estado Operacional]]="FUERA DE SERVICIO",tblMaestroEquipos[[#This Row],[Ultima Fecha Lectura]]="",tblMaestroEquipos[[#This Row],[Dias a Proxima Mantencion]]=""),"",tblMaestroEquipos[[#This Row],[Ultima Fecha Lectura]]+tblMaestroEquipos[[#This Row],[Dias a Proxima Mantencion]]),"")</f>
        <v>48503</v>
      </c>
      <c r="Z127" s="23">
        <f>IFERROR(IF(_xlfn.MINIFS(tblComprasPM[Fecha],tblComprasPM[Codigo],tblMaestroEquipos[[#This Row],[Codigo]])=0,"",_xlfn.MINIFS(tblComprasPM[Fecha],tblComprasPM[Codigo],tblMaestroEquipos[[#This Row],[Codigo]])),"")</f>
        <v>46183</v>
      </c>
      <c r="AA127" s="23">
        <f>IFERROR(IF(_xlfn.MAXIFS(tblBodega[Fecha],tblBodega[Codigo],tblMaestroEquipos[[#This Row],[Codigo]])=0,"",_xlfn.MAXIFS(tblBodega[Fecha],tblBodega[Codigo],tblMaestroEquipos[[#This Row],[Codigo]])),"")</f>
        <v>46111</v>
      </c>
      <c r="AB12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27"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30</v>
      </c>
      <c r="AD127" s="16" t="str">
        <f>IF(tblMaestroEquipos[[#This Row],[Fecha Salida Bodega]]="","SIN SALIDA BODEGA",IF(OR(tblMaestroEquipos[[#This Row],[Ultima Fecha PM]]="",tblMaestroEquipos[[#This Row],[Ultima Fecha PM]]&lt;tblMaestroEquipos[[#This Row],[Fecha Salida Bodega]]),"PENDIENTE","CERRADO"))</f>
        <v>CERRADO</v>
      </c>
      <c r="AE127" s="48" t="str">
        <f t="shared" si="10"/>
        <v>EN TALLER</v>
      </c>
      <c r="AF127" s="16" t="str">
        <f t="shared" si="11"/>
        <v>BAJA</v>
      </c>
      <c r="AG127" s="16" t="str">
        <f t="shared" si="12"/>
        <v>Monitorear próximo vencimiento</v>
      </c>
      <c r="AH127" s="25">
        <f t="shared" si="13"/>
        <v>0</v>
      </c>
      <c r="AI127" s="25" t="str">
        <f t="shared" si="14"/>
        <v/>
      </c>
      <c r="AJ127" s="22">
        <f t="shared" si="15"/>
        <v>99</v>
      </c>
    </row>
    <row r="128" spans="1:36">
      <c r="A128" s="16" t="s">
        <v>391</v>
      </c>
      <c r="B128" s="16" t="s">
        <v>269</v>
      </c>
      <c r="C128" s="16" t="s">
        <v>1385</v>
      </c>
      <c r="D128" s="16" t="s">
        <v>325</v>
      </c>
      <c r="E128" s="17" t="s">
        <v>392</v>
      </c>
      <c r="F128" s="16">
        <v>2007</v>
      </c>
      <c r="G128" s="17" t="str">
        <f>IFERROR(_xlfn.XLOOKUP($A128,tblEquipos[Codigo],tblEquipos[Ubicacion],""),"")</f>
        <v>Emergencias Curico</v>
      </c>
      <c r="H128" s="16" t="s">
        <v>332</v>
      </c>
      <c r="I128" s="16" t="str">
        <f>IFERROR(VLOOKUP(A128, Equipos!A:J, 9, FALSE), "")</f>
        <v>HORAS</v>
      </c>
      <c r="J128" s="16">
        <f>IFERROR(VLOOKUP(A128, Equipos!A:J, 10, FALSE), "")</f>
        <v>250</v>
      </c>
      <c r="K128" s="16">
        <f>IFERROR(IF($I128="KM",ROUND((_xlfn.MAXIFS(tblLecturas[Kilometraje],tblLecturas[Codigo],$A128)-_xlfn.MINIFS(tblLecturas[Kilometraje],tblLecturas[Codigo],$A128))/(MAX(1,_xlfn.MAXIFS(tblLecturas[Fecha],tblLecturas[Codigo],$A128)-_xlfn.MINIFS(tblLecturas[Fecha],tblLecturas[Codigo],$A128))),1),ROUND((_xlfn.MAXIFS(tblLecturas[Horometro],tblLecturas[Codigo],$A128)-_xlfn.MINIFS(tblLecturas[Horometro],tblLecturas[Codigo],$A128))/(MAX(1,_xlfn.MAXIFS(tblLecturas[Fecha],tblLecturas[Codigo],$A128)-_xlfn.MINIFS(tblLecturas[Fecha],tblLecturas[Codigo],$A128))),1)),"")</f>
        <v>2.5</v>
      </c>
      <c r="L128" s="18">
        <f>IFERROR(_xlfn.MAXIFS(tblLecturas[Fecha],tblLecturas[Codigo],$A128),"")</f>
        <v>46114</v>
      </c>
      <c r="M128" s="24">
        <f>IFERROR(_xlfn.MAXIFS(Lecturas!$C:$C,Lecturas!$B:$B,$A128,Lecturas!$C:$C,"&gt;0"),"")</f>
        <v>17345</v>
      </c>
      <c r="N128" s="24">
        <f>IFERROR(_xlfn.MAXIFS(tblLecturas[Kilometraje],tblLecturas[Codigo],$A128,tblLecturas[Kilometraje],"&gt;0"),"")</f>
        <v>0</v>
      </c>
      <c r="O128" s="24" cm="1">
        <f t="array" ref="O128">IFERROR(IF($I128="KM",LOOKUP(2,1/(Lecturas!$B:$B=$A128)/(Lecturas!$D:$D&gt;0),Lecturas!$D:$D),LOOKUP(2,1/(Lecturas!$B:$B=$A128)/(Lecturas!$C:$C&gt;0),Lecturas!$C:$C)),"")</f>
        <v>17312</v>
      </c>
      <c r="P128" s="18">
        <f>IFERROR(_xlfn.MAXIFS(tblMantenciones[Fecha],tblMantenciones[Codigo],tblMaestroEquipos[[#This Row],[Codigo]],tblMantenciones[EsPM],"Sí"),"")</f>
        <v>46098</v>
      </c>
      <c r="Q128" s="24">
        <f>IF(_xlfn.MAXIFS(Mantenciones!$D:$D,Mantenciones!$B:$B,A128)=0,"Sin datos de mantención registrado",_xlfn.MAXIFS(Mantenciones!$D:$D,Mantenciones!$B:$B,A128))</f>
        <v>17296</v>
      </c>
      <c r="R128" s="16">
        <f>IFERROR(IF(_xlfn.MAXIFS(Mantenciones!$D:$D,Mantenciones!$B:$B,$A128,Mantenciones!$E:$E,"Sí",Mantenciones!$D:$D,"&gt;0")=0,"Sin datos de mantención registrado",_xlfn.MAXIFS(Mantenciones!$D:$D,Mantenciones!$B:$B,$A128,Mantenciones!$E:$E,"Sí",Mantenciones!$D:$D,"&gt;0")),"Sin datos de mantención registrado")</f>
        <v>17296</v>
      </c>
      <c r="S128" s="19">
        <f>IFERROR(SUMIFS(tblMantenciones[Costo Mantencion CLP],tblMantenciones[Codigo],A128),0)</f>
        <v>289773.33</v>
      </c>
      <c r="T128" s="19">
        <f>IFERROR(SUMIFS(tblComprasPM[Costo PM CLP],tblComprasPM[Codigo],tblMaestroEquipos[[#This Row],[Codigo]]),0)</f>
        <v>494741.31000000006</v>
      </c>
      <c r="U128" s="19">
        <f>IFERROR(tblMaestroEquipos[[#This Row],[Costo Mantenciones CLP]]+tblMaestroEquipos[[#This Row],[Costo Compras PM CLP]],0)</f>
        <v>784514.64000000013</v>
      </c>
      <c r="V128" s="16" t="str">
        <f>IFERROR(_xlfn.XLOOKUP(tblMaestroEquipos[[#This Row],[Codigo]],tblEquipos[Codigo],tblEquipos[Estado Base]),"")</f>
        <v>Operativo</v>
      </c>
      <c r="W128" s="16" t="str">
        <f t="shared" si="8"/>
        <v>AL DÍA</v>
      </c>
      <c r="X128" s="16">
        <f t="shared" si="9"/>
        <v>234</v>
      </c>
      <c r="Y128" s="23">
        <f>IFERROR(IF(OR(tblMaestroEquipos[[#This Row],[Estado Operacional]]="FUERA DE SERVICIO",tblMaestroEquipos[[#This Row],[Ultima Fecha Lectura]]="",tblMaestroEquipos[[#This Row],[Dias a Proxima Mantencion]]=""),"",tblMaestroEquipos[[#This Row],[Ultima Fecha Lectura]]+tblMaestroEquipos[[#This Row],[Dias a Proxima Mantencion]]),"")</f>
        <v>46348</v>
      </c>
      <c r="Z128" s="23">
        <f>IFERROR(IF(_xlfn.MINIFS(tblComprasPM[Fecha],tblComprasPM[Codigo],tblMaestroEquipos[[#This Row],[Codigo]])=0,"",_xlfn.MINIFS(tblComprasPM[Fecha],tblComprasPM[Codigo],tblMaestroEquipos[[#This Row],[Codigo]])),"")</f>
        <v>46085.559944872701</v>
      </c>
      <c r="AA128" s="23">
        <f>IFERROR(IF(_xlfn.MAXIFS(tblBodega[Fecha],tblBodega[Codigo],tblMaestroEquipos[[#This Row],[Codigo]])=0,"",_xlfn.MAXIFS(tblBodega[Fecha],tblBodega[Codigo],tblMaestroEquipos[[#This Row],[Codigo]])),"")</f>
        <v>46098</v>
      </c>
      <c r="AB128"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13</v>
      </c>
      <c r="AC128"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28" s="16" t="str">
        <f>IF(tblMaestroEquipos[[#This Row],[Fecha Salida Bodega]]="","SIN SALIDA BODEGA",IF(OR(tblMaestroEquipos[[#This Row],[Ultima Fecha PM]]="",tblMaestroEquipos[[#This Row],[Ultima Fecha PM]]&lt;tblMaestroEquipos[[#This Row],[Fecha Salida Bodega]]),"PENDIENTE","CERRADO"))</f>
        <v>CERRADO</v>
      </c>
      <c r="AE128" s="48" t="str">
        <f t="shared" si="10"/>
        <v>OPERATIVO</v>
      </c>
      <c r="AF128" s="16" t="str">
        <f t="shared" si="11"/>
        <v>BAJA</v>
      </c>
      <c r="AG128" s="16" t="str">
        <f t="shared" si="12"/>
        <v>Monitorear próximo vencimiento</v>
      </c>
      <c r="AH128">
        <f t="shared" si="13"/>
        <v>0</v>
      </c>
      <c r="AI128" t="str">
        <f t="shared" si="14"/>
        <v/>
      </c>
      <c r="AJ128" s="22">
        <f t="shared" si="15"/>
        <v>99</v>
      </c>
    </row>
    <row r="129" spans="1:36">
      <c r="A129" s="16" t="s">
        <v>394</v>
      </c>
      <c r="B129" s="16" t="s">
        <v>264</v>
      </c>
      <c r="C129" s="16" t="s">
        <v>1385</v>
      </c>
      <c r="D129" s="16" t="s">
        <v>270</v>
      </c>
      <c r="E129" s="17" t="s">
        <v>395</v>
      </c>
      <c r="F129" s="16">
        <v>2012</v>
      </c>
      <c r="G129" s="17" t="str">
        <f>IFERROR(_xlfn.XLOOKUP($A129,tblEquipos[Codigo],tblEquipos[Ubicacion],""),"")</f>
        <v>Taller</v>
      </c>
      <c r="H129" s="16" t="s">
        <v>282</v>
      </c>
      <c r="I129" s="16" t="str">
        <f>IFERROR(VLOOKUP(A129, Equipos!A:J, 9, FALSE), "")</f>
        <v>HORAS</v>
      </c>
      <c r="J129" s="16">
        <f>IFERROR(VLOOKUP(A129, Equipos!A:J, 10, FALSE), "")</f>
        <v>250</v>
      </c>
      <c r="K129" s="16">
        <f>IFERROR(IF($I129="KM",ROUND((_xlfn.MAXIFS(tblLecturas[Kilometraje],tblLecturas[Codigo],$A129)-_xlfn.MINIFS(tblLecturas[Kilometraje],tblLecturas[Codigo],$A129))/(MAX(1,_xlfn.MAXIFS(tblLecturas[Fecha],tblLecturas[Codigo],$A129)-_xlfn.MINIFS(tblLecturas[Fecha],tblLecturas[Codigo],$A129))),1),ROUND((_xlfn.MAXIFS(tblLecturas[Horometro],tblLecturas[Codigo],$A129)-_xlfn.MINIFS(tblLecturas[Horometro],tblLecturas[Codigo],$A129))/(MAX(1,_xlfn.MAXIFS(tblLecturas[Fecha],tblLecturas[Codigo],$A129)-_xlfn.MINIFS(tblLecturas[Fecha],tblLecturas[Codigo],$A129))),1)),"")</f>
        <v>0</v>
      </c>
      <c r="L129" s="18">
        <f>IFERROR(_xlfn.MAXIFS(tblLecturas[Fecha],tblLecturas[Codigo],$A129),"")</f>
        <v>45996</v>
      </c>
      <c r="M129" s="24">
        <f>IFERROR(_xlfn.MAXIFS(Lecturas!$C:$C,Lecturas!$B:$B,$A129,Lecturas!$C:$C,"&gt;0"),"")</f>
        <v>9276</v>
      </c>
      <c r="N129" s="24">
        <f>IFERROR(_xlfn.MAXIFS(tblLecturas[Kilometraje],tblLecturas[Codigo],$A129,tblLecturas[Kilometraje],"&gt;0"),"")</f>
        <v>227056</v>
      </c>
      <c r="O129" s="24" cm="1">
        <f t="array" ref="O129">IFERROR(IF($I129="KM",LOOKUP(2,1/(Lecturas!$B:$B=$A129)/(Lecturas!$D:$D&gt;0),Lecturas!$D:$D),LOOKUP(2,1/(Lecturas!$B:$B=$A129)/(Lecturas!$C:$C&gt;0),Lecturas!$C:$C)),"")</f>
        <v>9276</v>
      </c>
      <c r="P129" s="18">
        <f>IFERROR(_xlfn.MAXIFS(tblMantenciones[Fecha],tblMantenciones[Codigo],tblMaestroEquipos[[#This Row],[Codigo]],tblMantenciones[EsPM],"Sí"),"")</f>
        <v>45110</v>
      </c>
      <c r="Q129" s="70">
        <f>IF(_xlfn.MAXIFS(Mantenciones!$D:$D,Mantenciones!$B:$B,A129)=0,"Sin datos de mantención registrado",_xlfn.MAXIFS(Mantenciones!$D:$D,Mantenciones!$B:$B,A129))</f>
        <v>9293</v>
      </c>
      <c r="R129" s="16">
        <f>IFERROR(IF(_xlfn.MAXIFS(Mantenciones!$D:$D,Mantenciones!$B:$B,$A129,Mantenciones!$E:$E,"Sí",Mantenciones!$D:$D,"&gt;0")=0,"Sin datos de mantención registrado",_xlfn.MAXIFS(Mantenciones!$D:$D,Mantenciones!$B:$B,$A129,Mantenciones!$E:$E,"Sí",Mantenciones!$D:$D,"&gt;0")),"Sin datos de mantención registrado")</f>
        <v>9293</v>
      </c>
      <c r="S129" s="19">
        <f>IFERROR(SUMIFS(tblMantenciones[Costo Mantencion CLP],tblMantenciones[Codigo],A129),0)</f>
        <v>0</v>
      </c>
      <c r="T129" s="19">
        <f>IFERROR(SUMIFS(tblComprasPM[Costo PM CLP],tblComprasPM[Codigo],tblMaestroEquipos[[#This Row],[Codigo]]),0)</f>
        <v>0</v>
      </c>
      <c r="U129" s="19">
        <f>IFERROR(tblMaestroEquipos[[#This Row],[Costo Mantenciones CLP]]+tblMaestroEquipos[[#This Row],[Costo Compras PM CLP]],0)</f>
        <v>0</v>
      </c>
      <c r="V129" s="16" t="str">
        <f>IFERROR(_xlfn.XLOOKUP(tblMaestroEquipos[[#This Row],[Codigo]],tblEquipos[Codigo],tblEquipos[Estado Base]),"")</f>
        <v>Operativo</v>
      </c>
      <c r="W129" s="16" t="str">
        <f t="shared" si="8"/>
        <v>AL DÍA</v>
      </c>
      <c r="X129" s="16">
        <f t="shared" si="9"/>
        <v>267</v>
      </c>
      <c r="Y129" s="23">
        <f>IFERROR(IF(OR(tblMaestroEquipos[[#This Row],[Estado Operacional]]="FUERA DE SERVICIO",tblMaestroEquipos[[#This Row],[Ultima Fecha Lectura]]="",tblMaestroEquipos[[#This Row],[Dias a Proxima Mantencion]]=""),"",tblMaestroEquipos[[#This Row],[Ultima Fecha Lectura]]+tblMaestroEquipos[[#This Row],[Dias a Proxima Mantencion]]),"")</f>
        <v>46263</v>
      </c>
      <c r="Z129" s="23" t="str">
        <f>IFERROR(IF(_xlfn.MINIFS(tblComprasPM[Fecha],tblComprasPM[Codigo],tblMaestroEquipos[[#This Row],[Codigo]])=0,"",_xlfn.MINIFS(tblComprasPM[Fecha],tblComprasPM[Codigo],tblMaestroEquipos[[#This Row],[Codigo]])),"")</f>
        <v/>
      </c>
      <c r="AA129" s="23" t="str">
        <f>IFERROR(IF(_xlfn.MAXIFS(tblBodega[Fecha],tblBodega[Codigo],tblMaestroEquipos[[#This Row],[Codigo]])=0,"",_xlfn.MAXIFS(tblBodega[Fecha],tblBodega[Codigo],tblMaestroEquipos[[#This Row],[Codigo]])),"")</f>
        <v/>
      </c>
      <c r="AB129"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29"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29" s="16" t="str">
        <f>IF(tblMaestroEquipos[[#This Row],[Fecha Salida Bodega]]="","SIN SALIDA BODEGA",IF(OR(tblMaestroEquipos[[#This Row],[Ultima Fecha PM]]="",tblMaestroEquipos[[#This Row],[Ultima Fecha PM]]&lt;tblMaestroEquipos[[#This Row],[Fecha Salida Bodega]]),"PENDIENTE","CERRADO"))</f>
        <v>SIN SALIDA BODEGA</v>
      </c>
      <c r="AE129" s="48" t="str">
        <f t="shared" si="10"/>
        <v>OPERATIVO</v>
      </c>
      <c r="AF129" s="16" t="str">
        <f t="shared" si="11"/>
        <v>BAJA</v>
      </c>
      <c r="AG129" s="16" t="str">
        <f t="shared" si="12"/>
        <v>Monitorear próximo vencimiento</v>
      </c>
      <c r="AH129">
        <f t="shared" si="13"/>
        <v>0</v>
      </c>
      <c r="AI129" t="str">
        <f t="shared" si="14"/>
        <v/>
      </c>
      <c r="AJ129" s="22">
        <f t="shared" si="15"/>
        <v>99</v>
      </c>
    </row>
    <row r="130" spans="1:36">
      <c r="A130" s="16" t="s">
        <v>396</v>
      </c>
      <c r="B130" s="16" t="s">
        <v>347</v>
      </c>
      <c r="C130" s="16" t="s">
        <v>1385</v>
      </c>
      <c r="D130" s="16" t="s">
        <v>302</v>
      </c>
      <c r="E130" s="17" t="s">
        <v>397</v>
      </c>
      <c r="F130" s="16">
        <v>2015</v>
      </c>
      <c r="G130" s="17" t="str">
        <f>IFERROR(_xlfn.XLOOKUP($A130,tblEquipos[Codigo],tblEquipos[Ubicacion],""),"")</f>
        <v>Emergencias Curico</v>
      </c>
      <c r="H130" s="16" t="s">
        <v>1403</v>
      </c>
      <c r="I130" s="16" t="str">
        <f>IFERROR(VLOOKUP(A130, Equipos!A:J, 9, FALSE), "")</f>
        <v>HORAS</v>
      </c>
      <c r="J130" s="16">
        <f>IFERROR(VLOOKUP(A130, Equipos!A:J, 10, FALSE), "")</f>
        <v>250</v>
      </c>
      <c r="K130" s="16">
        <f>IFERROR(IF($I130="KM",ROUND((_xlfn.MAXIFS(tblLecturas[Kilometraje],tblLecturas[Codigo],$A130)-_xlfn.MINIFS(tblLecturas[Kilometraje],tblLecturas[Codigo],$A130))/(MAX(1,_xlfn.MAXIFS(tblLecturas[Fecha],tblLecturas[Codigo],$A130)-_xlfn.MINIFS(tblLecturas[Fecha],tblLecturas[Codigo],$A130))),1),ROUND((_xlfn.MAXIFS(tblLecturas[Horometro],tblLecturas[Codigo],$A130)-_xlfn.MINIFS(tblLecturas[Horometro],tblLecturas[Codigo],$A130))/(MAX(1,_xlfn.MAXIFS(tblLecturas[Fecha],tblLecturas[Codigo],$A130)-_xlfn.MINIFS(tblLecturas[Fecha],tblLecturas[Codigo],$A130))),1)),"")</f>
        <v>2.9</v>
      </c>
      <c r="L130" s="18">
        <f>IFERROR(_xlfn.MAXIFS(tblLecturas[Fecha],tblLecturas[Codigo],$A130),"")</f>
        <v>46139</v>
      </c>
      <c r="M130" s="24">
        <f>IFERROR(_xlfn.MAXIFS(Lecturas!$C:$C,Lecturas!$B:$B,$A130,Lecturas!$C:$C,"&gt;0"),"")</f>
        <v>169</v>
      </c>
      <c r="N130" s="24">
        <f>IFERROR(_xlfn.MAXIFS(tblLecturas[Kilometraje],tblLecturas[Codigo],$A130,tblLecturas[Kilometraje],"&gt;0"),"")</f>
        <v>0</v>
      </c>
      <c r="O130" s="24" cm="1">
        <f t="array" ref="O130">IFERROR(IF($I130="KM",LOOKUP(2,1/(Lecturas!$B:$B=$A130)/(Lecturas!$D:$D&gt;0),Lecturas!$D:$D),LOOKUP(2,1/(Lecturas!$B:$B=$A130)/(Lecturas!$C:$C&gt;0),Lecturas!$C:$C)),"")</f>
        <v>75</v>
      </c>
      <c r="P130" s="18">
        <f>IFERROR(_xlfn.MAXIFS(tblMantenciones[Fecha],tblMantenciones[Codigo],tblMaestroEquipos[[#This Row],[Codigo]],tblMantenciones[EsPM],"Sí"),"")</f>
        <v>46093</v>
      </c>
      <c r="Q130" s="70">
        <f>IF(_xlfn.MAXIFS(Mantenciones!$D:$D,Mantenciones!$B:$B,A130)=0,"Sin datos de mantención registrado",_xlfn.MAXIFS(Mantenciones!$D:$D,Mantenciones!$B:$B,A130))</f>
        <v>9006</v>
      </c>
      <c r="R130" s="16">
        <f>IFERROR(IF(_xlfn.MAXIFS(Mantenciones!$D:$D,Mantenciones!$B:$B,$A130,Mantenciones!$E:$E,"Sí",Mantenciones!$D:$D,"&gt;0")=0,"Sin datos de mantención registrado",_xlfn.MAXIFS(Mantenciones!$D:$D,Mantenciones!$B:$B,$A130,Mantenciones!$E:$E,"Sí",Mantenciones!$D:$D,"&gt;0")),"Sin datos de mantención registrado")</f>
        <v>9006</v>
      </c>
      <c r="S130" s="19">
        <f>IFERROR(SUMIFS(tblMantenciones[Costo Mantencion CLP],tblMantenciones[Codigo],A130),0)</f>
        <v>133882.14000000001</v>
      </c>
      <c r="T130" s="19">
        <f>IFERROR(SUMIFS(tblComprasPM[Costo PM CLP],tblComprasPM[Codigo],tblMaestroEquipos[[#This Row],[Codigo]]),0)</f>
        <v>357653.31</v>
      </c>
      <c r="U130" s="19">
        <f>IFERROR(tblMaestroEquipos[[#This Row],[Costo Mantenciones CLP]]+tblMaestroEquipos[[#This Row],[Costo Compras PM CLP]],0)</f>
        <v>491535.45</v>
      </c>
      <c r="V130" s="16" t="str">
        <f>IFERROR(_xlfn.XLOOKUP(tblMaestroEquipos[[#This Row],[Codigo]],tblEquipos[Codigo],tblEquipos[Estado Base]),"")</f>
        <v>Operativo</v>
      </c>
      <c r="W130" s="16" t="str">
        <f t="shared" si="8"/>
        <v>AL DÍA</v>
      </c>
      <c r="X130" s="16">
        <f t="shared" si="9"/>
        <v>9181</v>
      </c>
      <c r="Y130" s="23">
        <f>IFERROR(IF(OR(tblMaestroEquipos[[#This Row],[Estado Operacional]]="FUERA DE SERVICIO",tblMaestroEquipos[[#This Row],[Ultima Fecha Lectura]]="",tblMaestroEquipos[[#This Row],[Dias a Proxima Mantencion]]=""),"",tblMaestroEquipos[[#This Row],[Ultima Fecha Lectura]]+tblMaestroEquipos[[#This Row],[Dias a Proxima Mantencion]]),"")</f>
        <v>55320</v>
      </c>
      <c r="Z130" s="23">
        <f>IFERROR(IF(_xlfn.MINIFS(tblComprasPM[Fecha],tblComprasPM[Codigo],tblMaestroEquipos[[#This Row],[Codigo]])=0,"",_xlfn.MINIFS(tblComprasPM[Fecha],tblComprasPM[Codigo],tblMaestroEquipos[[#This Row],[Codigo]])),"")</f>
        <v>46078.424829247699</v>
      </c>
      <c r="AA130" s="23">
        <f>IFERROR(IF(_xlfn.MAXIFS(tblBodega[Fecha],tblBodega[Codigo],tblMaestroEquipos[[#This Row],[Codigo]])=0,"",_xlfn.MAXIFS(tblBodega[Fecha],tblBodega[Codigo],tblMaestroEquipos[[#This Row],[Codigo]])),"")</f>
        <v>46090</v>
      </c>
      <c r="AB13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15</v>
      </c>
      <c r="AC130"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3</v>
      </c>
      <c r="AD130" s="16" t="str">
        <f>IF(tblMaestroEquipos[[#This Row],[Fecha Salida Bodega]]="","SIN SALIDA BODEGA",IF(OR(tblMaestroEquipos[[#This Row],[Ultima Fecha PM]]="",tblMaestroEquipos[[#This Row],[Ultima Fecha PM]]&lt;tblMaestroEquipos[[#This Row],[Fecha Salida Bodega]]),"PENDIENTE","CERRADO"))</f>
        <v>CERRADO</v>
      </c>
      <c r="AE130" s="48" t="str">
        <f t="shared" si="10"/>
        <v>OPERATIVO</v>
      </c>
      <c r="AF130" s="16" t="str">
        <f t="shared" si="11"/>
        <v>BAJA</v>
      </c>
      <c r="AG130" s="16" t="str">
        <f t="shared" si="12"/>
        <v>Monitorear próximo vencimiento</v>
      </c>
      <c r="AH130">
        <f t="shared" si="13"/>
        <v>0</v>
      </c>
      <c r="AI130" t="str">
        <f t="shared" si="14"/>
        <v/>
      </c>
      <c r="AJ130" s="22">
        <f t="shared" si="15"/>
        <v>99</v>
      </c>
    </row>
    <row r="131" spans="1:36">
      <c r="A131" s="16" t="s">
        <v>399</v>
      </c>
      <c r="B131" s="16" t="s">
        <v>347</v>
      </c>
      <c r="C131" s="16" t="s">
        <v>1385</v>
      </c>
      <c r="D131" s="16" t="s">
        <v>381</v>
      </c>
      <c r="E131" s="17" t="s">
        <v>400</v>
      </c>
      <c r="F131" s="16">
        <v>2015</v>
      </c>
      <c r="G131" s="17" t="str">
        <f>IFERROR(_xlfn.XLOOKUP($A131,tblEquipos[Codigo],tblEquipos[Ubicacion],""),"")</f>
        <v>Palmucho</v>
      </c>
      <c r="H131" s="16" t="s">
        <v>1404</v>
      </c>
      <c r="I131" s="16" t="str">
        <f>IFERROR(VLOOKUP(A131, Equipos!A:J, 9, FALSE), "")</f>
        <v>HORAS</v>
      </c>
      <c r="J131" s="16">
        <f>IFERROR(VLOOKUP(A131, Equipos!A:J, 10, FALSE), "")</f>
        <v>250</v>
      </c>
      <c r="K131" s="16">
        <f>IFERROR(IF($I131="KM",ROUND((_xlfn.MAXIFS(tblLecturas[Kilometraje],tblLecturas[Codigo],$A131)-_xlfn.MINIFS(tblLecturas[Kilometraje],tblLecturas[Codigo],$A131))/(MAX(1,_xlfn.MAXIFS(tblLecturas[Fecha],tblLecturas[Codigo],$A131)-_xlfn.MINIFS(tblLecturas[Fecha],tblLecturas[Codigo],$A131))),1),ROUND((_xlfn.MAXIFS(tblLecturas[Horometro],tblLecturas[Codigo],$A131)-_xlfn.MINIFS(tblLecturas[Horometro],tblLecturas[Codigo],$A131))/(MAX(1,_xlfn.MAXIFS(tblLecturas[Fecha],tblLecturas[Codigo],$A131)-_xlfn.MINIFS(tblLecturas[Fecha],tblLecturas[Codigo],$A131))),1)),"")</f>
        <v>2.1</v>
      </c>
      <c r="L131" s="18">
        <f>IFERROR(_xlfn.MAXIFS(tblLecturas[Fecha],tblLecturas[Codigo],$A131),"")</f>
        <v>46191</v>
      </c>
      <c r="M131" s="24">
        <f>IFERROR(_xlfn.MAXIFS(Lecturas!$C:$C,Lecturas!$B:$B,$A131,Lecturas!$C:$C,"&gt;0"),"")</f>
        <v>8815</v>
      </c>
      <c r="N131" s="24">
        <f>IFERROR(_xlfn.MAXIFS(tblLecturas[Kilometraje],tblLecturas[Codigo],$A131,tblLecturas[Kilometraje],"&gt;0"),"")</f>
        <v>0</v>
      </c>
      <c r="O131" s="24" cm="1">
        <f t="array" ref="O131">IFERROR(IF($I131="KM",LOOKUP(2,1/(Lecturas!$B:$B=$A131)/(Lecturas!$D:$D&gt;0),Lecturas!$D:$D),LOOKUP(2,1/(Lecturas!$B:$B=$A131)/(Lecturas!$C:$C&gt;0),Lecturas!$C:$C)),"")</f>
        <v>8815</v>
      </c>
      <c r="P131" s="18">
        <f>IFERROR(_xlfn.MAXIFS(tblMantenciones[Fecha],tblMantenciones[Codigo],tblMaestroEquipos[[#This Row],[Codigo]],tblMantenciones[EsPM],"Sí"),"")</f>
        <v>46136</v>
      </c>
      <c r="Q131" s="70">
        <f>IF(_xlfn.MAXIFS(Mantenciones!$D:$D,Mantenciones!$B:$B,A131)=0,"Sin datos de mantención registrado",_xlfn.MAXIFS(Mantenciones!$D:$D,Mantenciones!$B:$B,A131))</f>
        <v>8705</v>
      </c>
      <c r="R131" s="16">
        <f>IFERROR(IF(_xlfn.MAXIFS(Mantenciones!$D:$D,Mantenciones!$B:$B,$A131,Mantenciones!$E:$E,"Sí",Mantenciones!$D:$D,"&gt;0")=0,"Sin datos de mantención registrado",_xlfn.MAXIFS(Mantenciones!$D:$D,Mantenciones!$B:$B,$A131,Mantenciones!$E:$E,"Sí",Mantenciones!$D:$D,"&gt;0")),"Sin datos de mantención registrado")</f>
        <v>8705</v>
      </c>
      <c r="S131" s="19">
        <f>IFERROR(SUMIFS(tblMantenciones[Costo Mantencion CLP],tblMantenciones[Codigo],A131),0)</f>
        <v>0</v>
      </c>
      <c r="T131" s="19">
        <f>IFERROR(SUMIFS(tblComprasPM[Costo PM CLP],tblComprasPM[Codigo],tblMaestroEquipos[[#This Row],[Codigo]]),0)</f>
        <v>754678.96</v>
      </c>
      <c r="U131" s="19">
        <f>IFERROR(tblMaestroEquipos[[#This Row],[Costo Mantenciones CLP]]+tblMaestroEquipos[[#This Row],[Costo Compras PM CLP]],0)</f>
        <v>754678.96</v>
      </c>
      <c r="V131" s="16" t="str">
        <f>IFERROR(_xlfn.XLOOKUP(tblMaestroEquipos[[#This Row],[Codigo]],tblEquipos[Codigo],tblEquipos[Estado Base]),"")</f>
        <v>Operativo</v>
      </c>
      <c r="W131" s="16" t="str">
        <f t="shared" si="8"/>
        <v>AL DÍA</v>
      </c>
      <c r="X131" s="16">
        <f t="shared" si="9"/>
        <v>140</v>
      </c>
      <c r="Y131" s="23">
        <f>IFERROR(IF(OR(tblMaestroEquipos[[#This Row],[Estado Operacional]]="FUERA DE SERVICIO",tblMaestroEquipos[[#This Row],[Ultima Fecha Lectura]]="",tblMaestroEquipos[[#This Row],[Dias a Proxima Mantencion]]=""),"",tblMaestroEquipos[[#This Row],[Ultima Fecha Lectura]]+tblMaestroEquipos[[#This Row],[Dias a Proxima Mantencion]]),"")</f>
        <v>46331</v>
      </c>
      <c r="Z131" s="23">
        <f>IFERROR(IF(_xlfn.MINIFS(tblComprasPM[Fecha],tblComprasPM[Codigo],tblMaestroEquipos[[#This Row],[Codigo]])=0,"",_xlfn.MINIFS(tblComprasPM[Fecha],tblComprasPM[Codigo],tblMaestroEquipos[[#This Row],[Codigo]])),"")</f>
        <v>46086.701264432901</v>
      </c>
      <c r="AA131" s="23">
        <f>IFERROR(IF(_xlfn.MAXIFS(tblBodega[Fecha],tblBodega[Codigo],tblMaestroEquipos[[#This Row],[Codigo]])=0,"",_xlfn.MAXIFS(tblBodega[Fecha],tblBodega[Codigo],tblMaestroEquipos[[#This Row],[Codigo]])),"")</f>
        <v>46090</v>
      </c>
      <c r="AB13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50</v>
      </c>
      <c r="AC131"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46</v>
      </c>
      <c r="AD131" s="16" t="str">
        <f>IF(tblMaestroEquipos[[#This Row],[Fecha Salida Bodega]]="","SIN SALIDA BODEGA",IF(OR(tblMaestroEquipos[[#This Row],[Ultima Fecha PM]]="",tblMaestroEquipos[[#This Row],[Ultima Fecha PM]]&lt;tblMaestroEquipos[[#This Row],[Fecha Salida Bodega]]),"PENDIENTE","CERRADO"))</f>
        <v>CERRADO</v>
      </c>
      <c r="AE131" s="48" t="str">
        <f t="shared" si="10"/>
        <v>OPERATIVO</v>
      </c>
      <c r="AF131" s="16" t="str">
        <f t="shared" si="11"/>
        <v>BAJA</v>
      </c>
      <c r="AG131" s="16" t="str">
        <f t="shared" si="12"/>
        <v>Monitorear próximo vencimiento</v>
      </c>
      <c r="AH131">
        <f t="shared" si="13"/>
        <v>0</v>
      </c>
      <c r="AI131" t="str">
        <f t="shared" si="14"/>
        <v/>
      </c>
      <c r="AJ131" s="22">
        <f t="shared" si="15"/>
        <v>99</v>
      </c>
    </row>
    <row r="132" spans="1:36">
      <c r="A132" s="16" t="s">
        <v>402</v>
      </c>
      <c r="B132" s="16" t="s">
        <v>269</v>
      </c>
      <c r="C132" s="16" t="s">
        <v>1385</v>
      </c>
      <c r="D132" s="16" t="s">
        <v>308</v>
      </c>
      <c r="E132" s="17" t="s">
        <v>403</v>
      </c>
      <c r="F132" s="16">
        <v>2012</v>
      </c>
      <c r="G132" s="17" t="str">
        <f>IFERROR(_xlfn.XLOOKUP($A132,tblEquipos[Codigo],tblEquipos[Ubicacion],""),"")</f>
        <v>TALLER</v>
      </c>
      <c r="H132" s="16" t="s">
        <v>56</v>
      </c>
      <c r="I132" s="16" t="str">
        <f>IFERROR(VLOOKUP(A132, Equipos!A:J, 9, FALSE), "")</f>
        <v>HORAS</v>
      </c>
      <c r="J132" s="16">
        <f>IFERROR(VLOOKUP(A132, Equipos!A:J, 10, FALSE), "")</f>
        <v>250</v>
      </c>
      <c r="K132" s="16">
        <f>IFERROR(IF($I132="KM",ROUND((_xlfn.MAXIFS(tblLecturas[Kilometraje],tblLecturas[Codigo],$A132)-_xlfn.MINIFS(tblLecturas[Kilometraje],tblLecturas[Codigo],$A132))/(MAX(1,_xlfn.MAXIFS(tblLecturas[Fecha],tblLecturas[Codigo],$A132)-_xlfn.MINIFS(tblLecturas[Fecha],tblLecturas[Codigo],$A132))),1),ROUND((_xlfn.MAXIFS(tblLecturas[Horometro],tblLecturas[Codigo],$A132)-_xlfn.MINIFS(tblLecturas[Horometro],tblLecturas[Codigo],$A132))/(MAX(1,_xlfn.MAXIFS(tblLecturas[Fecha],tblLecturas[Codigo],$A132)-_xlfn.MINIFS(tblLecturas[Fecha],tblLecturas[Codigo],$A132))),1)),"")</f>
        <v>0</v>
      </c>
      <c r="L132" s="18">
        <f>IFERROR(_xlfn.MAXIFS(tblLecturas[Fecha],tblLecturas[Codigo],$A132),"")</f>
        <v>0</v>
      </c>
      <c r="M132" s="24">
        <f>IFERROR(_xlfn.MAXIFS(Lecturas!$C:$C,Lecturas!$B:$B,$A132,Lecturas!$C:$C,"&gt;0"),"")</f>
        <v>0</v>
      </c>
      <c r="N132" s="24">
        <f>IFERROR(_xlfn.MAXIFS(tblLecturas[Kilometraje],tblLecturas[Codigo],$A132,tblLecturas[Kilometraje],"&gt;0"),"")</f>
        <v>0</v>
      </c>
      <c r="O132" s="24" t="str" cm="1">
        <f t="array" ref="O132">IFERROR(IF($I132="KM",LOOKUP(2,1/(Lecturas!$B:$B=$A132)/(Lecturas!$D:$D&gt;0),Lecturas!$D:$D),LOOKUP(2,1/(Lecturas!$B:$B=$A132)/(Lecturas!$C:$C&gt;0),Lecturas!$C:$C)),"")</f>
        <v/>
      </c>
      <c r="P132" s="18">
        <f>IFERROR(_xlfn.MAXIFS(tblMantenciones[Fecha],tblMantenciones[Codigo],tblMaestroEquipos[[#This Row],[Codigo]],tblMantenciones[EsPM],"Sí"),"")</f>
        <v>0</v>
      </c>
      <c r="Q132" s="70" t="str">
        <f>IF(_xlfn.MAXIFS(Mantenciones!$D:$D,Mantenciones!$B:$B,A132)=0,"Sin datos de mantención registrado",_xlfn.MAXIFS(Mantenciones!$D:$D,Mantenciones!$B:$B,A132))</f>
        <v>Sin datos de mantención registrado</v>
      </c>
      <c r="R132" s="16" t="str">
        <f>IFERROR(IF(_xlfn.MAXIFS(Mantenciones!$D:$D,Mantenciones!$B:$B,$A132,Mantenciones!$E:$E,"Sí",Mantenciones!$D:$D,"&gt;0")=0,"Sin datos de mantención registrado",_xlfn.MAXIFS(Mantenciones!$D:$D,Mantenciones!$B:$B,$A132,Mantenciones!$E:$E,"Sí",Mantenciones!$D:$D,"&gt;0")),"Sin datos de mantención registrado")</f>
        <v>Sin datos de mantención registrado</v>
      </c>
      <c r="S132" s="19">
        <f>IFERROR(SUMIFS(tblMantenciones[Costo Mantencion CLP],tblMantenciones[Codigo],A132),0)</f>
        <v>0</v>
      </c>
      <c r="T132" s="19">
        <f>IFERROR(SUMIFS(tblComprasPM[Costo PM CLP],tblComprasPM[Codigo],tblMaestroEquipos[[#This Row],[Codigo]]),0)</f>
        <v>0</v>
      </c>
      <c r="U132" s="19">
        <f>IFERROR(tblMaestroEquipos[[#This Row],[Costo Mantenciones CLP]]+tblMaestroEquipos[[#This Row],[Costo Compras PM CLP]],0)</f>
        <v>0</v>
      </c>
      <c r="V132" s="16" t="str">
        <f>IFERROR(_xlfn.XLOOKUP(tblMaestroEquipos[[#This Row],[Codigo]],tblEquipos[Codigo],tblEquipos[Estado Base]),"")</f>
        <v>Fuera de Servicio</v>
      </c>
      <c r="W132" s="16" t="str">
        <f t="shared" ref="W132:W195" si="16">IF(OR(TRIM($V132)="Fuera de Servicio",TRIM($V132)="Fuera de servicio"),"FUERA DE SERVICIO",IF(OR(TRIM($V132)="Taller",TRIM($V132)="En taller",TRIM($V132)="EN TALLER"),"EN TALLER",IF($AD132="PENDIENTE","POR RECIBIR",IF(AND($Z132&lt;&gt;"",$AA132=""),"EN PROCESO",IF(AND(ISNUMBER($X132),$X132&lt;0),"ATRASADA",IF(AND(ISNUMBER($X132),$X132&lt;=30),"PRÓXIMA","AL DÍA"))))))</f>
        <v>FUERA DE SERVICIO</v>
      </c>
      <c r="X132" s="16" t="str">
        <f t="shared" ref="X132:X195" si="17">IF(OR(NOT(ISNUMBER(R132)),NOT(ISNUMBER(J132)),NOT(ISNUMBER(O132))),"",
(R132+J132)-O132)</f>
        <v/>
      </c>
      <c r="Y132"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32" s="23" t="str">
        <f>IFERROR(IF(_xlfn.MINIFS(tblComprasPM[Fecha],tblComprasPM[Codigo],tblMaestroEquipos[[#This Row],[Codigo]])=0,"",_xlfn.MINIFS(tblComprasPM[Fecha],tblComprasPM[Codigo],tblMaestroEquipos[[#This Row],[Codigo]])),"")</f>
        <v/>
      </c>
      <c r="AA132" s="23" t="str">
        <f>IFERROR(IF(_xlfn.MAXIFS(tblBodega[Fecha],tblBodega[Codigo],tblMaestroEquipos[[#This Row],[Codigo]])=0,"",_xlfn.MAXIFS(tblBodega[Fecha],tblBodega[Codigo],tblMaestroEquipos[[#This Row],[Codigo]])),"")</f>
        <v/>
      </c>
      <c r="AB132"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3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32" s="16" t="str">
        <f>IF(tblMaestroEquipos[[#This Row],[Fecha Salida Bodega]]="","SIN SALIDA BODEGA",IF(OR(tblMaestroEquipos[[#This Row],[Ultima Fecha PM]]="",tblMaestroEquipos[[#This Row],[Ultima Fecha PM]]&lt;tblMaestroEquipos[[#This Row],[Fecha Salida Bodega]]),"PENDIENTE","CERRADO"))</f>
        <v>SIN SALIDA BODEGA</v>
      </c>
      <c r="AE132" s="48" t="str">
        <f t="shared" ref="AE132:AE195" si="18">IF(TRIM(V132)="Fuera de servicio","FUERA DE SERVICIO",
IF(OR(TRIM(V132)="Taller",TRIM(V132)="En taller"),"EN TALLER",
IF(W132="ATRASADO","ATRASADO",
IF(W132="EN PROCESO","EN PROCESO",
IF(W132="PRÓXIMO","PRÓXIMO",
"OPERATIVO")))))</f>
        <v>FUERA DE SERVICIO</v>
      </c>
      <c r="AF132" s="16" t="str">
        <f t="shared" ref="AF132:AF195" si="19">IF($AE132="ATRASADA",IF($X132&lt;=-15,"CRÍTICA","ALTA"),IF($AE132="PRÓXIMA","MEDIA",IF(OR($AE132="EN PROCESO",$AE132="POR RECIBIR"),"SEGUIMIENTO",IF($AE132="FUERA DE SERVICIO","NO APLICA","BAJA"))))</f>
        <v>NO APLICA</v>
      </c>
      <c r="AG132" s="16" t="str">
        <f t="shared" ref="AG132:AG195" si="20">IF($AE132="FUERA DE SERVICIO","No programar compra",IF($AE132="CERRADO","Cerrar ciclo y preparar siguiente PM",IF($AE132="EN PROCESO","Hacer seguimiento al taller y cerrar report",IF($AE132="POR RECIBIR","Acelerar recepción de repuestos",IF($AE132="ATRASADA","Comprar kit PM y coordinar ejecución",IF($AE132="PRÓXIMA","Planificar compra preventiva","Monitorear próximo vencimiento"))))))</f>
        <v>No programar compra</v>
      </c>
      <c r="AH132" s="25">
        <f t="shared" ref="AH132:AH195" si="21">IF(AND(OR($AE132="ATRASADA",$AE132="PRÓXIMA"),$Z132="",$AA132=""),1,0)</f>
        <v>0</v>
      </c>
      <c r="AI132" s="25" t="str">
        <f t="shared" ref="AI132:AI195" si="22">IF(OR($AH132=0,$Y132=""),"",SUMPRODUCT(($AH$4:$AH$242=1)*(($Y$4:$Y$242&lt;$Y132)+(($Y$4:$Y$242=$Y132)*(ROW($Y$4:$Y$242)&lt;=ROW())))))</f>
        <v/>
      </c>
      <c r="AJ132" s="22">
        <f t="shared" ref="AJ132:AJ195" si="23">IF(W132="ATRASADA",1,IF(W132="EN PROCESO",2,IF(W132="POR RECIBIR",3,99)))</f>
        <v>99</v>
      </c>
    </row>
    <row r="133" spans="1:36">
      <c r="A133" s="16" t="s">
        <v>404</v>
      </c>
      <c r="B133" s="16" t="s">
        <v>405</v>
      </c>
      <c r="C133" s="16" t="s">
        <v>1385</v>
      </c>
      <c r="D133" s="16" t="s">
        <v>406</v>
      </c>
      <c r="E133" s="17" t="s">
        <v>407</v>
      </c>
      <c r="F133" s="16">
        <v>1998</v>
      </c>
      <c r="G133" s="17" t="str">
        <f>IFERROR(_xlfn.XLOOKUP($A133,tblEquipos[Codigo],tblEquipos[Ubicacion],""),"")</f>
        <v>TALLER</v>
      </c>
      <c r="H133" s="16" t="s">
        <v>56</v>
      </c>
      <c r="I133" s="16" t="str">
        <f>IFERROR(VLOOKUP(A133, Equipos!A:J, 9, FALSE), "")</f>
        <v>HORAS</v>
      </c>
      <c r="J133" s="16">
        <f>IFERROR(VLOOKUP(A133, Equipos!A:J, 10, FALSE), "")</f>
        <v>250</v>
      </c>
      <c r="K133" s="16">
        <f>IFERROR(IF($I133="KM",ROUND((_xlfn.MAXIFS(tblLecturas[Kilometraje],tblLecturas[Codigo],$A133)-_xlfn.MINIFS(tblLecturas[Kilometraje],tblLecturas[Codigo],$A133))/(MAX(1,_xlfn.MAXIFS(tblLecturas[Fecha],tblLecturas[Codigo],$A133)-_xlfn.MINIFS(tblLecturas[Fecha],tblLecturas[Codigo],$A133))),1),ROUND((_xlfn.MAXIFS(tblLecturas[Horometro],tblLecturas[Codigo],$A133)-_xlfn.MINIFS(tblLecturas[Horometro],tblLecturas[Codigo],$A133))/(MAX(1,_xlfn.MAXIFS(tblLecturas[Fecha],tblLecturas[Codigo],$A133)-_xlfn.MINIFS(tblLecturas[Fecha],tblLecturas[Codigo],$A133))),1)),"")</f>
        <v>0</v>
      </c>
      <c r="L133" s="18">
        <f>IFERROR(_xlfn.MAXIFS(tblLecturas[Fecha],tblLecturas[Codigo],$A133),"")</f>
        <v>0</v>
      </c>
      <c r="M133" s="24">
        <f>IFERROR(_xlfn.MAXIFS(Lecturas!$C:$C,Lecturas!$B:$B,$A133,Lecturas!$C:$C,"&gt;0"),"")</f>
        <v>0</v>
      </c>
      <c r="N133" s="24">
        <f>IFERROR(_xlfn.MAXIFS(tblLecturas[Kilometraje],tblLecturas[Codigo],$A133,tblLecturas[Kilometraje],"&gt;0"),"")</f>
        <v>0</v>
      </c>
      <c r="O133" s="24" t="str" cm="1">
        <f t="array" ref="O133">IFERROR(IF($I133="KM",LOOKUP(2,1/(Lecturas!$B:$B=$A133)/(Lecturas!$D:$D&gt;0),Lecturas!$D:$D),LOOKUP(2,1/(Lecturas!$B:$B=$A133)/(Lecturas!$C:$C&gt;0),Lecturas!$C:$C)),"")</f>
        <v/>
      </c>
      <c r="P133" s="18">
        <f>IFERROR(_xlfn.MAXIFS(tblMantenciones[Fecha],tblMantenciones[Codigo],tblMaestroEquipos[[#This Row],[Codigo]],tblMantenciones[EsPM],"Sí"),"")</f>
        <v>0</v>
      </c>
      <c r="Q133" s="70" t="str">
        <f>IF(_xlfn.MAXIFS(Mantenciones!$D:$D,Mantenciones!$B:$B,A133)=0,"Sin datos de mantención registrado",_xlfn.MAXIFS(Mantenciones!$D:$D,Mantenciones!$B:$B,A133))</f>
        <v>Sin datos de mantención registrado</v>
      </c>
      <c r="R133" s="16" t="str">
        <f>IFERROR(IF(_xlfn.MAXIFS(Mantenciones!$D:$D,Mantenciones!$B:$B,$A133,Mantenciones!$E:$E,"Sí",Mantenciones!$D:$D,"&gt;0")=0,"Sin datos de mantención registrado",_xlfn.MAXIFS(Mantenciones!$D:$D,Mantenciones!$B:$B,$A133,Mantenciones!$E:$E,"Sí",Mantenciones!$D:$D,"&gt;0")),"Sin datos de mantención registrado")</f>
        <v>Sin datos de mantención registrado</v>
      </c>
      <c r="S133" s="19">
        <f>IFERROR(SUMIFS(tblMantenciones[Costo Mantencion CLP],tblMantenciones[Codigo],A133),0)</f>
        <v>0</v>
      </c>
      <c r="T133" s="19">
        <f>IFERROR(SUMIFS(tblComprasPM[Costo PM CLP],tblComprasPM[Codigo],tblMaestroEquipos[[#This Row],[Codigo]]),0)</f>
        <v>0</v>
      </c>
      <c r="U133" s="19">
        <f>IFERROR(tblMaestroEquipos[[#This Row],[Costo Mantenciones CLP]]+tblMaestroEquipos[[#This Row],[Costo Compras PM CLP]],0)</f>
        <v>0</v>
      </c>
      <c r="V133" s="16" t="str">
        <f>IFERROR(_xlfn.XLOOKUP(tblMaestroEquipos[[#This Row],[Codigo]],tblEquipos[Codigo],tblEquipos[Estado Base]),"")</f>
        <v>Fuera de Servicio</v>
      </c>
      <c r="W133" s="16" t="str">
        <f t="shared" si="16"/>
        <v>FUERA DE SERVICIO</v>
      </c>
      <c r="X133" s="16" t="str">
        <f t="shared" si="17"/>
        <v/>
      </c>
      <c r="Y133"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33" s="23" t="str">
        <f>IFERROR(IF(_xlfn.MINIFS(tblComprasPM[Fecha],tblComprasPM[Codigo],tblMaestroEquipos[[#This Row],[Codigo]])=0,"",_xlfn.MINIFS(tblComprasPM[Fecha],tblComprasPM[Codigo],tblMaestroEquipos[[#This Row],[Codigo]])),"")</f>
        <v/>
      </c>
      <c r="AA133" s="23" t="str">
        <f>IFERROR(IF(_xlfn.MAXIFS(tblBodega[Fecha],tblBodega[Codigo],tblMaestroEquipos[[#This Row],[Codigo]])=0,"",_xlfn.MAXIFS(tblBodega[Fecha],tblBodega[Codigo],tblMaestroEquipos[[#This Row],[Codigo]])),"")</f>
        <v/>
      </c>
      <c r="AB133"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33"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33" s="16" t="str">
        <f>IF(tblMaestroEquipos[[#This Row],[Fecha Salida Bodega]]="","SIN SALIDA BODEGA",IF(OR(tblMaestroEquipos[[#This Row],[Ultima Fecha PM]]="",tblMaestroEquipos[[#This Row],[Ultima Fecha PM]]&lt;tblMaestroEquipos[[#This Row],[Fecha Salida Bodega]]),"PENDIENTE","CERRADO"))</f>
        <v>SIN SALIDA BODEGA</v>
      </c>
      <c r="AE133" s="48" t="str">
        <f t="shared" si="18"/>
        <v>FUERA DE SERVICIO</v>
      </c>
      <c r="AF133" s="16" t="str">
        <f t="shared" si="19"/>
        <v>NO APLICA</v>
      </c>
      <c r="AG133" s="16" t="str">
        <f t="shared" si="20"/>
        <v>No programar compra</v>
      </c>
      <c r="AH133" s="25">
        <f t="shared" si="21"/>
        <v>0</v>
      </c>
      <c r="AI133" s="25" t="str">
        <f t="shared" si="22"/>
        <v/>
      </c>
      <c r="AJ133" s="22">
        <f t="shared" si="23"/>
        <v>99</v>
      </c>
    </row>
    <row r="134" spans="1:36">
      <c r="A134" s="16" t="s">
        <v>408</v>
      </c>
      <c r="B134" s="16" t="s">
        <v>269</v>
      </c>
      <c r="C134" s="16" t="s">
        <v>1385</v>
      </c>
      <c r="D134" s="16" t="s">
        <v>308</v>
      </c>
      <c r="E134" s="17" t="s">
        <v>409</v>
      </c>
      <c r="F134" s="16">
        <v>2011</v>
      </c>
      <c r="G134" s="17" t="str">
        <f>IFERROR(_xlfn.XLOOKUP($A134,tblEquipos[Codigo],tblEquipos[Ubicacion],""),"")</f>
        <v>Cobquecura</v>
      </c>
      <c r="H134" s="16" t="s">
        <v>310</v>
      </c>
      <c r="I134" s="16" t="str">
        <f>IFERROR(VLOOKUP(A134, Equipos!A:J, 9, FALSE), "")</f>
        <v>HORAS</v>
      </c>
      <c r="J134" s="16">
        <f>IFERROR(VLOOKUP(A134, Equipos!A:J, 10, FALSE), "")</f>
        <v>250</v>
      </c>
      <c r="K134" s="16">
        <f>IFERROR(IF($I134="KM",ROUND((_xlfn.MAXIFS(tblLecturas[Kilometraje],tblLecturas[Codigo],$A134)-_xlfn.MINIFS(tblLecturas[Kilometraje],tblLecturas[Codigo],$A134))/(MAX(1,_xlfn.MAXIFS(tblLecturas[Fecha],tblLecturas[Codigo],$A134)-_xlfn.MINIFS(tblLecturas[Fecha],tblLecturas[Codigo],$A134))),1),ROUND((_xlfn.MAXIFS(tblLecturas[Horometro],tblLecturas[Codigo],$A134)-_xlfn.MINIFS(tblLecturas[Horometro],tblLecturas[Codigo],$A134))/(MAX(1,_xlfn.MAXIFS(tblLecturas[Fecha],tblLecturas[Codigo],$A134)-_xlfn.MINIFS(tblLecturas[Fecha],tblLecturas[Codigo],$A134))),1)),"")</f>
        <v>3.5</v>
      </c>
      <c r="L134" s="18">
        <f>IFERROR(_xlfn.MAXIFS(tblLecturas[Fecha],tblLecturas[Codigo],$A134),"")</f>
        <v>46111</v>
      </c>
      <c r="M134" s="24">
        <f>IFERROR(_xlfn.MAXIFS(Lecturas!$C:$C,Lecturas!$B:$B,$A134,Lecturas!$C:$C,"&gt;0"),"")</f>
        <v>12802</v>
      </c>
      <c r="N134" s="24">
        <f>IFERROR(_xlfn.MAXIFS(tblLecturas[Kilometraje],tblLecturas[Codigo],$A134,tblLecturas[Kilometraje],"&gt;0"),"")</f>
        <v>0</v>
      </c>
      <c r="O134" s="24" cm="1">
        <f t="array" ref="O134">IFERROR(IF($I134="KM",LOOKUP(2,1/(Lecturas!$B:$B=$A134)/(Lecturas!$D:$D&gt;0),Lecturas!$D:$D),LOOKUP(2,1/(Lecturas!$B:$B=$A134)/(Lecturas!$C:$C&gt;0),Lecturas!$C:$C)),"")</f>
        <v>12756</v>
      </c>
      <c r="P134" s="18">
        <f>IFERROR(_xlfn.MAXIFS(tblMantenciones[Fecha],tblMantenciones[Codigo],tblMaestroEquipos[[#This Row],[Codigo]],tblMantenciones[EsPM],"Sí"),"")</f>
        <v>46104</v>
      </c>
      <c r="Q134" s="70">
        <f>IF(_xlfn.MAXIFS(Mantenciones!$D:$D,Mantenciones!$B:$B,A134)=0,"Sin datos de mantención registrado",_xlfn.MAXIFS(Mantenciones!$D:$D,Mantenciones!$B:$B,A134))</f>
        <v>12775</v>
      </c>
      <c r="R134" s="16">
        <f>IFERROR(IF(_xlfn.MAXIFS(Mantenciones!$D:$D,Mantenciones!$B:$B,$A134,Mantenciones!$E:$E,"Sí",Mantenciones!$D:$D,"&gt;0")=0,"Sin datos de mantención registrado",_xlfn.MAXIFS(Mantenciones!$D:$D,Mantenciones!$B:$B,$A134,Mantenciones!$E:$E,"Sí",Mantenciones!$D:$D,"&gt;0")),"Sin datos de mantención registrado")</f>
        <v>12775</v>
      </c>
      <c r="S134" s="19">
        <f>IFERROR(SUMIFS(tblMantenciones[Costo Mantencion CLP],tblMantenciones[Codigo],A134),0)</f>
        <v>0</v>
      </c>
      <c r="T134" s="19">
        <f>IFERROR(SUMIFS(tblComprasPM[Costo PM CLP],tblComprasPM[Codigo],tblMaestroEquipos[[#This Row],[Codigo]]),0)</f>
        <v>612207.84030000004</v>
      </c>
      <c r="U134" s="19">
        <f>IFERROR(tblMaestroEquipos[[#This Row],[Costo Mantenciones CLP]]+tblMaestroEquipos[[#This Row],[Costo Compras PM CLP]],0)</f>
        <v>612207.84030000004</v>
      </c>
      <c r="V134" s="16" t="str">
        <f>IFERROR(_xlfn.XLOOKUP(tblMaestroEquipos[[#This Row],[Codigo]],tblEquipos[Codigo],tblEquipos[Estado Base]),"")</f>
        <v>Operativo</v>
      </c>
      <c r="W134" s="16" t="str">
        <f t="shared" si="16"/>
        <v>AL DÍA</v>
      </c>
      <c r="X134" s="16">
        <f t="shared" si="17"/>
        <v>269</v>
      </c>
      <c r="Y134" s="23">
        <f>IFERROR(IF(OR(tblMaestroEquipos[[#This Row],[Estado Operacional]]="FUERA DE SERVICIO",tblMaestroEquipos[[#This Row],[Ultima Fecha Lectura]]="",tblMaestroEquipos[[#This Row],[Dias a Proxima Mantencion]]=""),"",tblMaestroEquipos[[#This Row],[Ultima Fecha Lectura]]+tblMaestroEquipos[[#This Row],[Dias a Proxima Mantencion]]),"")</f>
        <v>46380</v>
      </c>
      <c r="Z134" s="23">
        <f>IFERROR(IF(_xlfn.MINIFS(tblComprasPM[Fecha],tblComprasPM[Codigo],tblMaestroEquipos[[#This Row],[Codigo]])=0,"",_xlfn.MINIFS(tblComprasPM[Fecha],tblComprasPM[Codigo],tblMaestroEquipos[[#This Row],[Codigo]])),"")</f>
        <v>46079.682637534701</v>
      </c>
      <c r="AA134" s="23">
        <f>IFERROR(IF(_xlfn.MAXIFS(tblBodega[Fecha],tblBodega[Codigo],tblMaestroEquipos[[#This Row],[Codigo]])=0,"",_xlfn.MAXIFS(tblBodega[Fecha],tblBodega[Codigo],tblMaestroEquipos[[#This Row],[Codigo]])),"")</f>
        <v>46100</v>
      </c>
      <c r="AB134"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25</v>
      </c>
      <c r="AC134"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4</v>
      </c>
      <c r="AD134" s="16" t="str">
        <f>IF(tblMaestroEquipos[[#This Row],[Fecha Salida Bodega]]="","SIN SALIDA BODEGA",IF(OR(tblMaestroEquipos[[#This Row],[Ultima Fecha PM]]="",tblMaestroEquipos[[#This Row],[Ultima Fecha PM]]&lt;tblMaestroEquipos[[#This Row],[Fecha Salida Bodega]]),"PENDIENTE","CERRADO"))</f>
        <v>CERRADO</v>
      </c>
      <c r="AE134" s="48" t="str">
        <f t="shared" si="18"/>
        <v>OPERATIVO</v>
      </c>
      <c r="AF134" s="16" t="str">
        <f t="shared" si="19"/>
        <v>BAJA</v>
      </c>
      <c r="AG134" s="16" t="str">
        <f t="shared" si="20"/>
        <v>Monitorear próximo vencimiento</v>
      </c>
      <c r="AH134">
        <f t="shared" si="21"/>
        <v>0</v>
      </c>
      <c r="AI134" t="str">
        <f t="shared" si="22"/>
        <v/>
      </c>
      <c r="AJ134" s="22">
        <f t="shared" si="23"/>
        <v>99</v>
      </c>
    </row>
    <row r="135" spans="1:36">
      <c r="A135" s="16" t="s">
        <v>411</v>
      </c>
      <c r="B135" s="16" t="s">
        <v>347</v>
      </c>
      <c r="C135" s="16" t="s">
        <v>1385</v>
      </c>
      <c r="D135" s="16" t="s">
        <v>381</v>
      </c>
      <c r="E135" s="17" t="s">
        <v>400</v>
      </c>
      <c r="F135" s="16">
        <v>2019</v>
      </c>
      <c r="G135" s="17" t="str">
        <f>IFERROR(_xlfn.XLOOKUP($A135,tblEquipos[Codigo],tblEquipos[Ubicacion],""),"")</f>
        <v>Palmucho</v>
      </c>
      <c r="H135" s="16" t="s">
        <v>412</v>
      </c>
      <c r="I135" s="16" t="str">
        <f>IFERROR(VLOOKUP(A135, Equipos!A:J, 9, FALSE), "")</f>
        <v>HORAS</v>
      </c>
      <c r="J135" s="16">
        <f>IFERROR(VLOOKUP(A135, Equipos!A:J, 10, FALSE), "")</f>
        <v>250</v>
      </c>
      <c r="K135" s="16">
        <f>IFERROR(IF($I135="KM",ROUND((_xlfn.MAXIFS(tblLecturas[Kilometraje],tblLecturas[Codigo],$A135)-_xlfn.MINIFS(tblLecturas[Kilometraje],tblLecturas[Codigo],$A135))/(MAX(1,_xlfn.MAXIFS(tblLecturas[Fecha],tblLecturas[Codigo],$A135)-_xlfn.MINIFS(tblLecturas[Fecha],tblLecturas[Codigo],$A135))),1),ROUND((_xlfn.MAXIFS(tblLecturas[Horometro],tblLecturas[Codigo],$A135)-_xlfn.MINIFS(tblLecturas[Horometro],tblLecturas[Codigo],$A135))/(MAX(1,_xlfn.MAXIFS(tblLecturas[Fecha],tblLecturas[Codigo],$A135)-_xlfn.MINIFS(tblLecturas[Fecha],tblLecturas[Codigo],$A135))),1)),"")</f>
        <v>52.7</v>
      </c>
      <c r="L135" s="18">
        <f>IFERROR(_xlfn.MAXIFS(tblLecturas[Fecha],tblLecturas[Codigo],$A135),"")</f>
        <v>46198</v>
      </c>
      <c r="M135" s="24">
        <f>IFERROR(_xlfn.MAXIFS(Lecturas!$C:$C,Lecturas!$B:$B,$A135,Lecturas!$C:$C,"&gt;0"),"")</f>
        <v>9619</v>
      </c>
      <c r="N135" s="24">
        <f>IFERROR(_xlfn.MAXIFS(tblLecturas[Kilometraje],tblLecturas[Codigo],$A135,tblLecturas[Kilometraje],"&gt;0"),"")</f>
        <v>172785</v>
      </c>
      <c r="O135" s="24" cm="1">
        <f t="array" ref="O135">IFERROR(IF($I135="KM",LOOKUP(2,1/(Lecturas!$B:$B=$A135)/(Lecturas!$D:$D&gt;0),Lecturas!$D:$D),LOOKUP(2,1/(Lecturas!$B:$B=$A135)/(Lecturas!$C:$C&gt;0),Lecturas!$C:$C)),"")</f>
        <v>4816</v>
      </c>
      <c r="P135" s="18">
        <f>IFERROR(_xlfn.MAXIFS(tblMantenciones[Fecha],tblMantenciones[Codigo],tblMaestroEquipos[[#This Row],[Codigo]],tblMantenciones[EsPM],"Sí"),"")</f>
        <v>46205</v>
      </c>
      <c r="Q135" s="70">
        <f>IF(_xlfn.MAXIFS(Mantenciones!$D:$D,Mantenciones!$B:$B,A135)=0,"Sin datos de mantención registrado",_xlfn.MAXIFS(Mantenciones!$D:$D,Mantenciones!$B:$B,A135))</f>
        <v>4829</v>
      </c>
      <c r="R135" s="16">
        <f>IFERROR(IF(_xlfn.MAXIFS(Mantenciones!$D:$D,Mantenciones!$B:$B,$A135,Mantenciones!$E:$E,"Sí",Mantenciones!$D:$D,"&gt;0")=0,"Sin datos de mantención registrado",_xlfn.MAXIFS(Mantenciones!$D:$D,Mantenciones!$B:$B,$A135,Mantenciones!$E:$E,"Sí",Mantenciones!$D:$D,"&gt;0")),"Sin datos de mantención registrado")</f>
        <v>4829</v>
      </c>
      <c r="S135" s="19">
        <f>IFERROR(SUMIFS(tblMantenciones[Costo Mantencion CLP],tblMantenciones[Codigo],A135),0)</f>
        <v>0</v>
      </c>
      <c r="T135" s="19">
        <f>IFERROR(SUMIFS(tblComprasPM[Costo PM CLP],tblComprasPM[Codigo],tblMaestroEquipos[[#This Row],[Codigo]]),0)</f>
        <v>332797.78000000003</v>
      </c>
      <c r="U135" s="19">
        <f>IFERROR(tblMaestroEquipos[[#This Row],[Costo Mantenciones CLP]]+tblMaestroEquipos[[#This Row],[Costo Compras PM CLP]],0)</f>
        <v>332797.78000000003</v>
      </c>
      <c r="V135" s="16" t="str">
        <f>IFERROR(_xlfn.XLOOKUP(tblMaestroEquipos[[#This Row],[Codigo]],tblEquipos[Codigo],tblEquipos[Estado Base]),"")</f>
        <v>Operativo</v>
      </c>
      <c r="W135" s="16" t="str">
        <f t="shared" si="16"/>
        <v>AL DÍA</v>
      </c>
      <c r="X135" s="16">
        <f t="shared" si="17"/>
        <v>263</v>
      </c>
      <c r="Y135" s="23">
        <f>IFERROR(IF(OR(tblMaestroEquipos[[#This Row],[Estado Operacional]]="FUERA DE SERVICIO",tblMaestroEquipos[[#This Row],[Ultima Fecha Lectura]]="",tblMaestroEquipos[[#This Row],[Dias a Proxima Mantencion]]=""),"",tblMaestroEquipos[[#This Row],[Ultima Fecha Lectura]]+tblMaestroEquipos[[#This Row],[Dias a Proxima Mantencion]]),"")</f>
        <v>46461</v>
      </c>
      <c r="Z135" s="23">
        <f>IFERROR(IF(_xlfn.MINIFS(tblComprasPM[Fecha],tblComprasPM[Codigo],tblMaestroEquipos[[#This Row],[Codigo]])=0,"",_xlfn.MINIFS(tblComprasPM[Fecha],tblComprasPM[Codigo],tblMaestroEquipos[[#This Row],[Codigo]])),"")</f>
        <v>46113</v>
      </c>
      <c r="AA135" s="23">
        <f>IFERROR(IF(_xlfn.MAXIFS(tblBodega[Fecha],tblBodega[Codigo],tblMaestroEquipos[[#This Row],[Codigo]])=0,"",_xlfn.MAXIFS(tblBodega[Fecha],tblBodega[Codigo],tblMaestroEquipos[[#This Row],[Codigo]])),"")</f>
        <v>46132</v>
      </c>
      <c r="AB13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92</v>
      </c>
      <c r="AC13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73</v>
      </c>
      <c r="AD135" s="16" t="str">
        <f>IF(tblMaestroEquipos[[#This Row],[Fecha Salida Bodega]]="","SIN SALIDA BODEGA",IF(OR(tblMaestroEquipos[[#This Row],[Ultima Fecha PM]]="",tblMaestroEquipos[[#This Row],[Ultima Fecha PM]]&lt;tblMaestroEquipos[[#This Row],[Fecha Salida Bodega]]),"PENDIENTE","CERRADO"))</f>
        <v>CERRADO</v>
      </c>
      <c r="AE135" s="48" t="str">
        <f t="shared" si="18"/>
        <v>OPERATIVO</v>
      </c>
      <c r="AF135" s="16" t="str">
        <f t="shared" si="19"/>
        <v>BAJA</v>
      </c>
      <c r="AG135" s="16" t="str">
        <f t="shared" si="20"/>
        <v>Monitorear próximo vencimiento</v>
      </c>
      <c r="AH135">
        <f t="shared" si="21"/>
        <v>0</v>
      </c>
      <c r="AI135" t="str">
        <f t="shared" si="22"/>
        <v/>
      </c>
      <c r="AJ135" s="22">
        <f t="shared" si="23"/>
        <v>99</v>
      </c>
    </row>
    <row r="136" spans="1:36">
      <c r="A136" s="16" t="s">
        <v>413</v>
      </c>
      <c r="B136" s="16" t="s">
        <v>414</v>
      </c>
      <c r="C136" s="16" t="s">
        <v>1385</v>
      </c>
      <c r="D136" s="16" t="s">
        <v>415</v>
      </c>
      <c r="E136" s="17" t="s">
        <v>416</v>
      </c>
      <c r="F136" s="16">
        <v>2001</v>
      </c>
      <c r="G136" s="17" t="str">
        <f>IFERROR(_xlfn.XLOOKUP($A136,tblEquipos[Codigo],tblEquipos[Ubicacion],""),"")</f>
        <v>TALLER</v>
      </c>
      <c r="H136" s="16" t="s">
        <v>149</v>
      </c>
      <c r="I136" s="16" t="str">
        <f>IFERROR(VLOOKUP(A136, Equipos!A:J, 9, FALSE), "")</f>
        <v>HORAS</v>
      </c>
      <c r="J136" s="16">
        <f>IFERROR(VLOOKUP(A136, Equipos!A:J, 10, FALSE), "")</f>
        <v>250</v>
      </c>
      <c r="K136" s="16">
        <f>IFERROR(IF($I136="KM",ROUND((_xlfn.MAXIFS(tblLecturas[Kilometraje],tblLecturas[Codigo],$A136)-_xlfn.MINIFS(tblLecturas[Kilometraje],tblLecturas[Codigo],$A136))/(MAX(1,_xlfn.MAXIFS(tblLecturas[Fecha],tblLecturas[Codigo],$A136)-_xlfn.MINIFS(tblLecturas[Fecha],tblLecturas[Codigo],$A136))),1),ROUND((_xlfn.MAXIFS(tblLecturas[Horometro],tblLecturas[Codigo],$A136)-_xlfn.MINIFS(tblLecturas[Horometro],tblLecturas[Codigo],$A136))/(MAX(1,_xlfn.MAXIFS(tblLecturas[Fecha],tblLecturas[Codigo],$A136)-_xlfn.MINIFS(tblLecturas[Fecha],tblLecturas[Codigo],$A136))),1)),"")</f>
        <v>0</v>
      </c>
      <c r="L136" s="18">
        <f>IFERROR(_xlfn.MAXIFS(tblLecturas[Fecha],tblLecturas[Codigo],$A136),"")</f>
        <v>0</v>
      </c>
      <c r="M136" s="24">
        <f>IFERROR(_xlfn.MAXIFS(Lecturas!$C:$C,Lecturas!$B:$B,$A136,Lecturas!$C:$C,"&gt;0"),"")</f>
        <v>0</v>
      </c>
      <c r="N136" s="24">
        <f>IFERROR(_xlfn.MAXIFS(tblLecturas[Kilometraje],tblLecturas[Codigo],$A136,tblLecturas[Kilometraje],"&gt;0"),"")</f>
        <v>0</v>
      </c>
      <c r="O136" s="24" t="str" cm="1">
        <f t="array" ref="O136">IFERROR(IF($I136="KM",LOOKUP(2,1/(Lecturas!$B:$B=$A136)/(Lecturas!$D:$D&gt;0),Lecturas!$D:$D),LOOKUP(2,1/(Lecturas!$B:$B=$A136)/(Lecturas!$C:$C&gt;0),Lecturas!$C:$C)),"")</f>
        <v/>
      </c>
      <c r="P136" s="18">
        <f>IFERROR(_xlfn.MAXIFS(tblMantenciones[Fecha],tblMantenciones[Codigo],tblMaestroEquipos[[#This Row],[Codigo]],tblMantenciones[EsPM],"Sí"),"")</f>
        <v>0</v>
      </c>
      <c r="Q136" s="70" t="str">
        <f>IF(_xlfn.MAXIFS(Mantenciones!$D:$D,Mantenciones!$B:$B,A136)=0,"Sin datos de mantención registrado",_xlfn.MAXIFS(Mantenciones!$D:$D,Mantenciones!$B:$B,A136))</f>
        <v>Sin datos de mantención registrado</v>
      </c>
      <c r="R136" s="16" t="str">
        <f>IFERROR(IF(_xlfn.MAXIFS(Mantenciones!$D:$D,Mantenciones!$B:$B,$A136,Mantenciones!$E:$E,"Sí",Mantenciones!$D:$D,"&gt;0")=0,"Sin datos de mantención registrado",_xlfn.MAXIFS(Mantenciones!$D:$D,Mantenciones!$B:$B,$A136,Mantenciones!$E:$E,"Sí",Mantenciones!$D:$D,"&gt;0")),"Sin datos de mantención registrado")</f>
        <v>Sin datos de mantención registrado</v>
      </c>
      <c r="S136" s="19">
        <f>IFERROR(SUMIFS(tblMantenciones[Costo Mantencion CLP],tblMantenciones[Codigo],A136),0)</f>
        <v>0</v>
      </c>
      <c r="T136" s="19">
        <f>IFERROR(SUMIFS(tblComprasPM[Costo PM CLP],tblComprasPM[Codigo],tblMaestroEquipos[[#This Row],[Codigo]]),0)</f>
        <v>0</v>
      </c>
      <c r="U136" s="19">
        <f>IFERROR(tblMaestroEquipos[[#This Row],[Costo Mantenciones CLP]]+tblMaestroEquipos[[#This Row],[Costo Compras PM CLP]],0)</f>
        <v>0</v>
      </c>
      <c r="V136" s="16" t="str">
        <f>IFERROR(_xlfn.XLOOKUP(tblMaestroEquipos[[#This Row],[Codigo]],tblEquipos[Codigo],tblEquipos[Estado Base]),"")</f>
        <v>Fuera de Servicio</v>
      </c>
      <c r="W136" s="16" t="str">
        <f t="shared" si="16"/>
        <v>FUERA DE SERVICIO</v>
      </c>
      <c r="X136" s="16" t="str">
        <f t="shared" si="17"/>
        <v/>
      </c>
      <c r="Y136"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36" s="23" t="str">
        <f>IFERROR(IF(_xlfn.MINIFS(tblComprasPM[Fecha],tblComprasPM[Codigo],tblMaestroEquipos[[#This Row],[Codigo]])=0,"",_xlfn.MINIFS(tblComprasPM[Fecha],tblComprasPM[Codigo],tblMaestroEquipos[[#This Row],[Codigo]])),"")</f>
        <v/>
      </c>
      <c r="AA136" s="23" t="str">
        <f>IFERROR(IF(_xlfn.MAXIFS(tblBodega[Fecha],tblBodega[Codigo],tblMaestroEquipos[[#This Row],[Codigo]])=0,"",_xlfn.MAXIFS(tblBodega[Fecha],tblBodega[Codigo],tblMaestroEquipos[[#This Row],[Codigo]])),"")</f>
        <v/>
      </c>
      <c r="AB136"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36"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36" s="16" t="str">
        <f>IF(tblMaestroEquipos[[#This Row],[Fecha Salida Bodega]]="","SIN SALIDA BODEGA",IF(OR(tblMaestroEquipos[[#This Row],[Ultima Fecha PM]]="",tblMaestroEquipos[[#This Row],[Ultima Fecha PM]]&lt;tblMaestroEquipos[[#This Row],[Fecha Salida Bodega]]),"PENDIENTE","CERRADO"))</f>
        <v>SIN SALIDA BODEGA</v>
      </c>
      <c r="AE136" s="48" t="str">
        <f t="shared" si="18"/>
        <v>FUERA DE SERVICIO</v>
      </c>
      <c r="AF136" s="16" t="str">
        <f t="shared" si="19"/>
        <v>NO APLICA</v>
      </c>
      <c r="AG136" s="16" t="str">
        <f t="shared" si="20"/>
        <v>No programar compra</v>
      </c>
      <c r="AH136" s="25">
        <f t="shared" si="21"/>
        <v>0</v>
      </c>
      <c r="AI136" s="25" t="str">
        <f t="shared" si="22"/>
        <v/>
      </c>
      <c r="AJ136" s="22">
        <f t="shared" si="23"/>
        <v>99</v>
      </c>
    </row>
    <row r="137" spans="1:36">
      <c r="A137" s="16" t="s">
        <v>417</v>
      </c>
      <c r="B137" s="16" t="s">
        <v>264</v>
      </c>
      <c r="C137" s="16" t="s">
        <v>1385</v>
      </c>
      <c r="D137" s="16" t="s">
        <v>314</v>
      </c>
      <c r="E137" s="17" t="s">
        <v>418</v>
      </c>
      <c r="F137" s="16">
        <v>2019</v>
      </c>
      <c r="G137" s="17" t="str">
        <f>IFERROR(_xlfn.XLOOKUP($A137,tblEquipos[Codigo],tblEquipos[Ubicacion],""),"")</f>
        <v>Palmucho</v>
      </c>
      <c r="H137" s="16" t="s">
        <v>1405</v>
      </c>
      <c r="I137" s="16" t="str">
        <f>IFERROR(VLOOKUP(A137, Equipos!A:J, 9, FALSE), "")</f>
        <v>HORAS</v>
      </c>
      <c r="J137" s="16">
        <f>IFERROR(VLOOKUP(A137, Equipos!A:J, 10, FALSE), "")</f>
        <v>250</v>
      </c>
      <c r="K137" s="16">
        <f>IFERROR(IF($I137="KM",ROUND((_xlfn.MAXIFS(tblLecturas[Kilometraje],tblLecturas[Codigo],$A137)-_xlfn.MINIFS(tblLecturas[Kilometraje],tblLecturas[Codigo],$A137))/(MAX(1,_xlfn.MAXIFS(tblLecturas[Fecha],tblLecturas[Codigo],$A137)-_xlfn.MINIFS(tblLecturas[Fecha],tblLecturas[Codigo],$A137))),1),ROUND((_xlfn.MAXIFS(tblLecturas[Horometro],tblLecturas[Codigo],$A137)-_xlfn.MINIFS(tblLecturas[Horometro],tblLecturas[Codigo],$A137))/(MAX(1,_xlfn.MAXIFS(tblLecturas[Fecha],tblLecturas[Codigo],$A137)-_xlfn.MINIFS(tblLecturas[Fecha],tblLecturas[Codigo],$A137))),1)),"")</f>
        <v>3.1</v>
      </c>
      <c r="L137" s="18">
        <f>IFERROR(_xlfn.MAXIFS(tblLecturas[Fecha],tblLecturas[Codigo],$A137),"")</f>
        <v>46197</v>
      </c>
      <c r="M137" s="24">
        <f>IFERROR(_xlfn.MAXIFS(Lecturas!$C:$C,Lecturas!$B:$B,$A137,Lecturas!$C:$C,"&gt;0"),"")</f>
        <v>10640</v>
      </c>
      <c r="N137" s="24">
        <f>IFERROR(_xlfn.MAXIFS(tblLecturas[Kilometraje],tblLecturas[Codigo],$A137,tblLecturas[Kilometraje],"&gt;0"),"")</f>
        <v>54291</v>
      </c>
      <c r="O137" s="24" cm="1">
        <f t="array" ref="O137">IFERROR(IF($I137="KM",LOOKUP(2,1/(Lecturas!$B:$B=$A137)/(Lecturas!$D:$D&gt;0),Lecturas!$D:$D),LOOKUP(2,1/(Lecturas!$B:$B=$A137)/(Lecturas!$C:$C&gt;0),Lecturas!$C:$C)),"")</f>
        <v>10634</v>
      </c>
      <c r="P137" s="18">
        <f>IFERROR(_xlfn.MAXIFS(tblMantenciones[Fecha],tblMantenciones[Codigo],tblMaestroEquipos[[#This Row],[Codigo]],tblMantenciones[EsPM],"Sí"),"")</f>
        <v>46133</v>
      </c>
      <c r="Q137" s="70">
        <f>IF(_xlfn.MAXIFS(Mantenciones!$D:$D,Mantenciones!$B:$B,A137)=0,"Sin datos de mantención registrado",_xlfn.MAXIFS(Mantenciones!$D:$D,Mantenciones!$B:$B,A137))</f>
        <v>10453</v>
      </c>
      <c r="R137" s="16">
        <f>IFERROR(IF(_xlfn.MAXIFS(Mantenciones!$D:$D,Mantenciones!$B:$B,$A137,Mantenciones!$E:$E,"Sí",Mantenciones!$D:$D,"&gt;0")=0,"Sin datos de mantención registrado",_xlfn.MAXIFS(Mantenciones!$D:$D,Mantenciones!$B:$B,$A137,Mantenciones!$E:$E,"Sí",Mantenciones!$D:$D,"&gt;0")),"Sin datos de mantención registrado")</f>
        <v>10453</v>
      </c>
      <c r="S137" s="19">
        <f>IFERROR(SUMIFS(tblMantenciones[Costo Mantencion CLP],tblMantenciones[Codigo],A137),0)</f>
        <v>0</v>
      </c>
      <c r="T137" s="19">
        <f>IFERROR(SUMIFS(tblComprasPM[Costo PM CLP],tblComprasPM[Codigo],tblMaestroEquipos[[#This Row],[Codigo]]),0)</f>
        <v>321247.64</v>
      </c>
      <c r="U137" s="19">
        <f>IFERROR(tblMaestroEquipos[[#This Row],[Costo Mantenciones CLP]]+tblMaestroEquipos[[#This Row],[Costo Compras PM CLP]],0)</f>
        <v>321247.64</v>
      </c>
      <c r="V137" s="16" t="str">
        <f>IFERROR(_xlfn.XLOOKUP(tblMaestroEquipos[[#This Row],[Codigo]],tblEquipos[Codigo],tblEquipos[Estado Base]),"")</f>
        <v>Operativo</v>
      </c>
      <c r="W137" s="16" t="str">
        <f t="shared" si="16"/>
        <v>AL DÍA</v>
      </c>
      <c r="X137" s="16">
        <f t="shared" si="17"/>
        <v>69</v>
      </c>
      <c r="Y137" s="23">
        <f>IFERROR(IF(OR(tblMaestroEquipos[[#This Row],[Estado Operacional]]="FUERA DE SERVICIO",tblMaestroEquipos[[#This Row],[Ultima Fecha Lectura]]="",tblMaestroEquipos[[#This Row],[Dias a Proxima Mantencion]]=""),"",tblMaestroEquipos[[#This Row],[Ultima Fecha Lectura]]+tblMaestroEquipos[[#This Row],[Dias a Proxima Mantencion]]),"")</f>
        <v>46266</v>
      </c>
      <c r="Z137" s="23">
        <f>IFERROR(IF(_xlfn.MINIFS(tblComprasPM[Fecha],tblComprasPM[Codigo],tblMaestroEquipos[[#This Row],[Codigo]])=0,"",_xlfn.MINIFS(tblComprasPM[Fecha],tblComprasPM[Codigo],tblMaestroEquipos[[#This Row],[Codigo]])),"")</f>
        <v>46086.684334803198</v>
      </c>
      <c r="AA137" s="23">
        <f>IFERROR(IF(_xlfn.MAXIFS(tblBodega[Fecha],tblBodega[Codigo],tblMaestroEquipos[[#This Row],[Codigo]])=0,"",_xlfn.MAXIFS(tblBodega[Fecha],tblBodega[Codigo],tblMaestroEquipos[[#This Row],[Codigo]])),"")</f>
        <v>46097</v>
      </c>
      <c r="AB13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47</v>
      </c>
      <c r="AC137"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36</v>
      </c>
      <c r="AD137" s="16" t="str">
        <f>IF(tblMaestroEquipos[[#This Row],[Fecha Salida Bodega]]="","SIN SALIDA BODEGA",IF(OR(tblMaestroEquipos[[#This Row],[Ultima Fecha PM]]="",tblMaestroEquipos[[#This Row],[Ultima Fecha PM]]&lt;tblMaestroEquipos[[#This Row],[Fecha Salida Bodega]]),"PENDIENTE","CERRADO"))</f>
        <v>CERRADO</v>
      </c>
      <c r="AE137" s="48" t="str">
        <f t="shared" si="18"/>
        <v>OPERATIVO</v>
      </c>
      <c r="AF137" s="16" t="str">
        <f t="shared" si="19"/>
        <v>BAJA</v>
      </c>
      <c r="AG137" s="16" t="str">
        <f t="shared" si="20"/>
        <v>Monitorear próximo vencimiento</v>
      </c>
      <c r="AH137">
        <f t="shared" si="21"/>
        <v>0</v>
      </c>
      <c r="AI137" t="str">
        <f t="shared" si="22"/>
        <v/>
      </c>
      <c r="AJ137" s="22">
        <f t="shared" si="23"/>
        <v>99</v>
      </c>
    </row>
    <row r="138" spans="1:36">
      <c r="A138" s="16" t="s">
        <v>420</v>
      </c>
      <c r="B138" s="16" t="s">
        <v>264</v>
      </c>
      <c r="C138" s="16" t="s">
        <v>1385</v>
      </c>
      <c r="D138" s="16" t="s">
        <v>314</v>
      </c>
      <c r="E138" s="17" t="s">
        <v>421</v>
      </c>
      <c r="F138" s="16">
        <v>2020</v>
      </c>
      <c r="G138" s="17" t="str">
        <f>IFERROR(_xlfn.XLOOKUP($A138,tblEquipos[Codigo],tblEquipos[Ubicacion],""),"")</f>
        <v>San Nicolas</v>
      </c>
      <c r="H138" s="16" t="s">
        <v>1406</v>
      </c>
      <c r="I138" s="16" t="str">
        <f>IFERROR(VLOOKUP(A138, Equipos!A:J, 9, FALSE), "")</f>
        <v>HORAS</v>
      </c>
      <c r="J138" s="16">
        <f>IFERROR(VLOOKUP(A138, Equipos!A:J, 10, FALSE), "")</f>
        <v>250</v>
      </c>
      <c r="K138" s="16">
        <f>IFERROR(IF($I138="KM",ROUND((_xlfn.MAXIFS(tblLecturas[Kilometraje],tblLecturas[Codigo],$A138)-_xlfn.MINIFS(tblLecturas[Kilometraje],tblLecturas[Codigo],$A138))/(MAX(1,_xlfn.MAXIFS(tblLecturas[Fecha],tblLecturas[Codigo],$A138)-_xlfn.MINIFS(tblLecturas[Fecha],tblLecturas[Codigo],$A138))),1),ROUND((_xlfn.MAXIFS(tblLecturas[Horometro],tblLecturas[Codigo],$A138)-_xlfn.MINIFS(tblLecturas[Horometro],tblLecturas[Codigo],$A138))/(MAX(1,_xlfn.MAXIFS(tblLecturas[Fecha],tblLecturas[Codigo],$A138)-_xlfn.MINIFS(tblLecturas[Fecha],tblLecturas[Codigo],$A138))),1)),"")</f>
        <v>3</v>
      </c>
      <c r="L138" s="18">
        <f>IFERROR(_xlfn.MAXIFS(tblLecturas[Fecha],tblLecturas[Codigo],$A138),"")</f>
        <v>46178</v>
      </c>
      <c r="M138" s="24">
        <f>IFERROR(_xlfn.MAXIFS(Lecturas!$C:$C,Lecturas!$B:$B,$A138,Lecturas!$C:$C,"&gt;0"),"")</f>
        <v>8497</v>
      </c>
      <c r="N138" s="24">
        <f>IFERROR(_xlfn.MAXIFS(tblLecturas[Kilometraje],tblLecturas[Codigo],$A138,tblLecturas[Kilometraje],"&gt;0"),"")</f>
        <v>0</v>
      </c>
      <c r="O138" s="24" cm="1">
        <f t="array" ref="O138">IFERROR(IF($I138="KM",LOOKUP(2,1/(Lecturas!$B:$B=$A138)/(Lecturas!$D:$D&gt;0),Lecturas!$D:$D),LOOKUP(2,1/(Lecturas!$B:$B=$A138)/(Lecturas!$C:$C&gt;0),Lecturas!$C:$C)),"")</f>
        <v>8497</v>
      </c>
      <c r="P138" s="18">
        <f>IFERROR(_xlfn.MAXIFS(tblMantenciones[Fecha],tblMantenciones[Codigo],tblMaestroEquipos[[#This Row],[Codigo]],tblMantenciones[EsPM],"Sí"),"")</f>
        <v>46107</v>
      </c>
      <c r="Q138" s="70">
        <f>IF(_xlfn.MAXIFS(Mantenciones!$D:$D,Mantenciones!$B:$B,A138)=0,"Sin datos de mantención registrado",_xlfn.MAXIFS(Mantenciones!$D:$D,Mantenciones!$B:$B,A138))</f>
        <v>8346</v>
      </c>
      <c r="R138" s="16">
        <f>IFERROR(IF(_xlfn.MAXIFS(Mantenciones!$D:$D,Mantenciones!$B:$B,$A138,Mantenciones!$E:$E,"Sí",Mantenciones!$D:$D,"&gt;0")=0,"Sin datos de mantención registrado",_xlfn.MAXIFS(Mantenciones!$D:$D,Mantenciones!$B:$B,$A138,Mantenciones!$E:$E,"Sí",Mantenciones!$D:$D,"&gt;0")),"Sin datos de mantención registrado")</f>
        <v>8346</v>
      </c>
      <c r="S138" s="19">
        <f>IFERROR(SUMIFS(tblMantenciones[Costo Mantencion CLP],tblMantenciones[Codigo],A138),0)</f>
        <v>0</v>
      </c>
      <c r="T138" s="19">
        <f>IFERROR(SUMIFS(tblComprasPM[Costo PM CLP],tblComprasPM[Codigo],tblMaestroEquipos[[#This Row],[Codigo]]),0)</f>
        <v>775051.56</v>
      </c>
      <c r="U138" s="19">
        <f>IFERROR(tblMaestroEquipos[[#This Row],[Costo Mantenciones CLP]]+tblMaestroEquipos[[#This Row],[Costo Compras PM CLP]],0)</f>
        <v>775051.56</v>
      </c>
      <c r="V138" s="16" t="str">
        <f>IFERROR(_xlfn.XLOOKUP(tblMaestroEquipos[[#This Row],[Codigo]],tblEquipos[Codigo],tblEquipos[Estado Base]),"")</f>
        <v>Operativo</v>
      </c>
      <c r="W138" s="16" t="str">
        <f t="shared" si="16"/>
        <v>AL DÍA</v>
      </c>
      <c r="X138" s="16">
        <f t="shared" si="17"/>
        <v>99</v>
      </c>
      <c r="Y138" s="23">
        <f>IFERROR(IF(OR(tblMaestroEquipos[[#This Row],[Estado Operacional]]="FUERA DE SERVICIO",tblMaestroEquipos[[#This Row],[Ultima Fecha Lectura]]="",tblMaestroEquipos[[#This Row],[Dias a Proxima Mantencion]]=""),"",tblMaestroEquipos[[#This Row],[Ultima Fecha Lectura]]+tblMaestroEquipos[[#This Row],[Dias a Proxima Mantencion]]),"")</f>
        <v>46277</v>
      </c>
      <c r="Z138" s="23">
        <f>IFERROR(IF(_xlfn.MINIFS(tblComprasPM[Fecha],tblComprasPM[Codigo],tblMaestroEquipos[[#This Row],[Codigo]])=0,"",_xlfn.MINIFS(tblComprasPM[Fecha],tblComprasPM[Codigo],tblMaestroEquipos[[#This Row],[Codigo]])),"")</f>
        <v>46099</v>
      </c>
      <c r="AA138" s="23">
        <f>IFERROR(IF(_xlfn.MAXIFS(tblBodega[Fecha],tblBodega[Codigo],tblMaestroEquipos[[#This Row],[Codigo]])=0,"",_xlfn.MAXIFS(tblBodega[Fecha],tblBodega[Codigo],tblMaestroEquipos[[#This Row],[Codigo]])),"")</f>
        <v>46104</v>
      </c>
      <c r="AB138"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8</v>
      </c>
      <c r="AC138"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3</v>
      </c>
      <c r="AD138" s="16" t="str">
        <f>IF(tblMaestroEquipos[[#This Row],[Fecha Salida Bodega]]="","SIN SALIDA BODEGA",IF(OR(tblMaestroEquipos[[#This Row],[Ultima Fecha PM]]="",tblMaestroEquipos[[#This Row],[Ultima Fecha PM]]&lt;tblMaestroEquipos[[#This Row],[Fecha Salida Bodega]]),"PENDIENTE","CERRADO"))</f>
        <v>CERRADO</v>
      </c>
      <c r="AE138" s="48" t="str">
        <f t="shared" si="18"/>
        <v>OPERATIVO</v>
      </c>
      <c r="AF138" s="16" t="str">
        <f t="shared" si="19"/>
        <v>BAJA</v>
      </c>
      <c r="AG138" s="16" t="str">
        <f t="shared" si="20"/>
        <v>Monitorear próximo vencimiento</v>
      </c>
      <c r="AH138">
        <f t="shared" si="21"/>
        <v>0</v>
      </c>
      <c r="AI138" t="str">
        <f t="shared" si="22"/>
        <v/>
      </c>
      <c r="AJ138" s="22">
        <f t="shared" si="23"/>
        <v>99</v>
      </c>
    </row>
    <row r="139" spans="1:36">
      <c r="A139" s="16" t="s">
        <v>423</v>
      </c>
      <c r="B139" s="16" t="s">
        <v>264</v>
      </c>
      <c r="C139" s="16" t="s">
        <v>1385</v>
      </c>
      <c r="D139" s="16" t="s">
        <v>424</v>
      </c>
      <c r="E139" s="17" t="s">
        <v>425</v>
      </c>
      <c r="F139" s="16">
        <v>2019</v>
      </c>
      <c r="G139" s="17" t="str">
        <f>IFERROR(_xlfn.XLOOKUP($A139,tblEquipos[Codigo],tblEquipos[Ubicacion],""),"")</f>
        <v>Cobquecura</v>
      </c>
      <c r="H139" s="16" t="s">
        <v>1407</v>
      </c>
      <c r="I139" s="16" t="str">
        <f>IFERROR(VLOOKUP(A139, Equipos!A:J, 9, FALSE), "")</f>
        <v>HORAS</v>
      </c>
      <c r="J139" s="16">
        <f>IFERROR(VLOOKUP(A139, Equipos!A:J, 10, FALSE), "")</f>
        <v>250</v>
      </c>
      <c r="K139" s="16">
        <f>IFERROR(IF($I139="KM",ROUND((_xlfn.MAXIFS(tblLecturas[Kilometraje],tblLecturas[Codigo],$A139)-_xlfn.MINIFS(tblLecturas[Kilometraje],tblLecturas[Codigo],$A139))/(MAX(1,_xlfn.MAXIFS(tblLecturas[Fecha],tblLecturas[Codigo],$A139)-_xlfn.MINIFS(tblLecturas[Fecha],tblLecturas[Codigo],$A139))),1),ROUND((_xlfn.MAXIFS(tblLecturas[Horometro],tblLecturas[Codigo],$A139)-_xlfn.MINIFS(tblLecturas[Horometro],tblLecturas[Codigo],$A139))/(MAX(1,_xlfn.MAXIFS(tblLecturas[Fecha],tblLecturas[Codigo],$A139)-_xlfn.MINIFS(tblLecturas[Fecha],tblLecturas[Codigo],$A139))),1)),"")</f>
        <v>2.6</v>
      </c>
      <c r="L139" s="18">
        <f>IFERROR(_xlfn.MAXIFS(tblLecturas[Fecha],tblLecturas[Codigo],$A139),"")</f>
        <v>46183</v>
      </c>
      <c r="M139" s="24">
        <f>IFERROR(_xlfn.MAXIFS(Lecturas!$C:$C,Lecturas!$B:$B,$A139,Lecturas!$C:$C,"&gt;0"),"")</f>
        <v>5905</v>
      </c>
      <c r="N139" s="24">
        <f>IFERROR(_xlfn.MAXIFS(tblLecturas[Kilometraje],tblLecturas[Codigo],$A139,tblLecturas[Kilometraje],"&gt;0"),"")</f>
        <v>0</v>
      </c>
      <c r="O139" s="24" cm="1">
        <f t="array" ref="O139">IFERROR(IF($I139="KM",LOOKUP(2,1/(Lecturas!$B:$B=$A139)/(Lecturas!$D:$D&gt;0),Lecturas!$D:$D),LOOKUP(2,1/(Lecturas!$B:$B=$A139)/(Lecturas!$C:$C&gt;0),Lecturas!$C:$C)),"")</f>
        <v>5905</v>
      </c>
      <c r="P139" s="18">
        <f>IFERROR(_xlfn.MAXIFS(tblMantenciones[Fecha],tblMantenciones[Codigo],tblMaestroEquipos[[#This Row],[Codigo]],tblMantenciones[EsPM],"Sí"),"")</f>
        <v>46125</v>
      </c>
      <c r="Q139" s="70">
        <f>IF(_xlfn.MAXIFS(Mantenciones!$D:$D,Mantenciones!$B:$B,A139)=0,"Sin datos de mantención registrado",_xlfn.MAXIFS(Mantenciones!$D:$D,Mantenciones!$B:$B,A139))</f>
        <v>5770</v>
      </c>
      <c r="R139" s="16">
        <f>IFERROR(IF(_xlfn.MAXIFS(Mantenciones!$D:$D,Mantenciones!$B:$B,$A139,Mantenciones!$E:$E,"Sí",Mantenciones!$D:$D,"&gt;0")=0,"Sin datos de mantención registrado",_xlfn.MAXIFS(Mantenciones!$D:$D,Mantenciones!$B:$B,$A139,Mantenciones!$E:$E,"Sí",Mantenciones!$D:$D,"&gt;0")),"Sin datos de mantención registrado")</f>
        <v>5770</v>
      </c>
      <c r="S139" s="19">
        <f>IFERROR(SUMIFS(tblMantenciones[Costo Mantencion CLP],tblMantenciones[Codigo],A139),0)</f>
        <v>0</v>
      </c>
      <c r="T139" s="19">
        <f>IFERROR(SUMIFS(tblComprasPM[Costo PM CLP],tblComprasPM[Codigo],tblMaestroEquipos[[#This Row],[Codigo]]),0)</f>
        <v>520723.38</v>
      </c>
      <c r="U139" s="19">
        <f>IFERROR(tblMaestroEquipos[[#This Row],[Costo Mantenciones CLP]]+tblMaestroEquipos[[#This Row],[Costo Compras PM CLP]],0)</f>
        <v>520723.38</v>
      </c>
      <c r="V139" s="16" t="str">
        <f>IFERROR(_xlfn.XLOOKUP(tblMaestroEquipos[[#This Row],[Codigo]],tblEquipos[Codigo],tblEquipos[Estado Base]),"")</f>
        <v>Operativo</v>
      </c>
      <c r="W139" s="16" t="str">
        <f t="shared" si="16"/>
        <v>AL DÍA</v>
      </c>
      <c r="X139" s="16">
        <f t="shared" si="17"/>
        <v>115</v>
      </c>
      <c r="Y139" s="23">
        <f>IFERROR(IF(OR(tblMaestroEquipos[[#This Row],[Estado Operacional]]="FUERA DE SERVICIO",tblMaestroEquipos[[#This Row],[Ultima Fecha Lectura]]="",tblMaestroEquipos[[#This Row],[Dias a Proxima Mantencion]]=""),"",tblMaestroEquipos[[#This Row],[Ultima Fecha Lectura]]+tblMaestroEquipos[[#This Row],[Dias a Proxima Mantencion]]),"")</f>
        <v>46298</v>
      </c>
      <c r="Z139" s="23">
        <f>IFERROR(IF(_xlfn.MINIFS(tblComprasPM[Fecha],tblComprasPM[Codigo],tblMaestroEquipos[[#This Row],[Codigo]])=0,"",_xlfn.MINIFS(tblComprasPM[Fecha],tblComprasPM[Codigo],tblMaestroEquipos[[#This Row],[Codigo]])),"")</f>
        <v>46072.696969097196</v>
      </c>
      <c r="AA139" s="23">
        <f>IFERROR(IF(_xlfn.MAXIFS(tblBodega[Fecha],tblBodega[Codigo],tblMaestroEquipos[[#This Row],[Codigo]])=0,"",_xlfn.MAXIFS(tblBodega[Fecha],tblBodega[Codigo],tblMaestroEquipos[[#This Row],[Codigo]])),"")</f>
        <v>46077</v>
      </c>
      <c r="AB13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53</v>
      </c>
      <c r="AC139"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48</v>
      </c>
      <c r="AD139" s="16" t="str">
        <f>IF(tblMaestroEquipos[[#This Row],[Fecha Salida Bodega]]="","SIN SALIDA BODEGA",IF(OR(tblMaestroEquipos[[#This Row],[Ultima Fecha PM]]="",tblMaestroEquipos[[#This Row],[Ultima Fecha PM]]&lt;tblMaestroEquipos[[#This Row],[Fecha Salida Bodega]]),"PENDIENTE","CERRADO"))</f>
        <v>CERRADO</v>
      </c>
      <c r="AE139" s="48" t="str">
        <f t="shared" si="18"/>
        <v>OPERATIVO</v>
      </c>
      <c r="AF139" s="16" t="str">
        <f t="shared" si="19"/>
        <v>BAJA</v>
      </c>
      <c r="AG139" s="16" t="str">
        <f t="shared" si="20"/>
        <v>Monitorear próximo vencimiento</v>
      </c>
      <c r="AH139">
        <f t="shared" si="21"/>
        <v>0</v>
      </c>
      <c r="AI139" t="str">
        <f t="shared" si="22"/>
        <v/>
      </c>
      <c r="AJ139" s="22">
        <f t="shared" si="23"/>
        <v>99</v>
      </c>
    </row>
    <row r="140" spans="1:36" s="25" customFormat="1">
      <c r="A140" s="16" t="s">
        <v>427</v>
      </c>
      <c r="B140" s="16" t="s">
        <v>269</v>
      </c>
      <c r="C140" s="16" t="s">
        <v>1385</v>
      </c>
      <c r="D140" s="16" t="s">
        <v>302</v>
      </c>
      <c r="E140" s="17" t="s">
        <v>428</v>
      </c>
      <c r="F140" s="16">
        <v>2009</v>
      </c>
      <c r="G140" s="17" t="str">
        <f>IFERROR(_xlfn.XLOOKUP($A140,tblEquipos[Codigo],tblEquipos[Ubicacion],""),"")</f>
        <v>San Carlos</v>
      </c>
      <c r="H140" s="16" t="s">
        <v>1408</v>
      </c>
      <c r="I140" s="16" t="str">
        <f>IFERROR(VLOOKUP(A140, Equipos!A:J, 9, FALSE), "")</f>
        <v>HORAS</v>
      </c>
      <c r="J140" s="16">
        <f>IFERROR(VLOOKUP(A140, Equipos!A:J, 10, FALSE), "")</f>
        <v>250</v>
      </c>
      <c r="K140" s="16">
        <f>IFERROR(IF($I140="KM",ROUND((_xlfn.MAXIFS(tblLecturas[Kilometraje],tblLecturas[Codigo],$A140)-_xlfn.MINIFS(tblLecturas[Kilometraje],tblLecturas[Codigo],$A140))/(MAX(1,_xlfn.MAXIFS(tblLecturas[Fecha],tblLecturas[Codigo],$A140)-_xlfn.MINIFS(tblLecturas[Fecha],tblLecturas[Codigo],$A140))),1),ROUND((_xlfn.MAXIFS(tblLecturas[Horometro],tblLecturas[Codigo],$A140)-_xlfn.MINIFS(tblLecturas[Horometro],tblLecturas[Codigo],$A140))/(MAX(1,_xlfn.MAXIFS(tblLecturas[Fecha],tblLecturas[Codigo],$A140)-_xlfn.MINIFS(tblLecturas[Fecha],tblLecturas[Codigo],$A140))),1)),"")</f>
        <v>0.8</v>
      </c>
      <c r="L140" s="18">
        <f>IFERROR(_xlfn.MAXIFS(tblLecturas[Fecha],tblLecturas[Codigo],$A140),"")</f>
        <v>46129</v>
      </c>
      <c r="M140" s="24">
        <f>IFERROR(_xlfn.MAXIFS(Lecturas!$C:$C,Lecturas!$B:$B,$A140,Lecturas!$C:$C,"&gt;0"),"")</f>
        <v>589</v>
      </c>
      <c r="N140" s="24">
        <f>IFERROR(_xlfn.MAXIFS(tblLecturas[Kilometraje],tblLecturas[Codigo],$A140,tblLecturas[Kilometraje],"&gt;0"),"")</f>
        <v>0</v>
      </c>
      <c r="O140" s="24" cm="1">
        <f t="array" ref="O140">IFERROR(IF($I140="KM",LOOKUP(2,1/(Lecturas!$B:$B=$A140)/(Lecturas!$D:$D&gt;0),Lecturas!$D:$D),LOOKUP(2,1/(Lecturas!$B:$B=$A140)/(Lecturas!$C:$C&gt;0),Lecturas!$C:$C)),"")</f>
        <v>567</v>
      </c>
      <c r="P140" s="18">
        <f>IFERROR(_xlfn.MAXIFS(tblMantenciones[Fecha],tblMantenciones[Codigo],tblMaestroEquipos[[#This Row],[Codigo]],tblMantenciones[EsPM],"Sí"),"")</f>
        <v>46140</v>
      </c>
      <c r="Q140" s="70">
        <f>IF(_xlfn.MAXIFS(Mantenciones!$D:$D,Mantenciones!$B:$B,A140)=0,"Sin datos de mantención registrado",_xlfn.MAXIFS(Mantenciones!$D:$D,Mantenciones!$B:$B,A140))</f>
        <v>596</v>
      </c>
      <c r="R140" s="16">
        <f>IFERROR(IF(_xlfn.MAXIFS(Mantenciones!$D:$D,Mantenciones!$B:$B,$A140,Mantenciones!$E:$E,"Sí",Mantenciones!$D:$D,"&gt;0")=0,"Sin datos de mantención registrado",_xlfn.MAXIFS(Mantenciones!$D:$D,Mantenciones!$B:$B,$A140,Mantenciones!$E:$E,"Sí",Mantenciones!$D:$D,"&gt;0")),"Sin datos de mantención registrado")</f>
        <v>596</v>
      </c>
      <c r="S140" s="19">
        <f>IFERROR(SUMIFS(tblMantenciones[Costo Mantencion CLP],tblMantenciones[Codigo],A140),0)</f>
        <v>0</v>
      </c>
      <c r="T140" s="19">
        <f>IFERROR(SUMIFS(tblComprasPM[Costo PM CLP],tblComprasPM[Codigo],tblMaestroEquipos[[#This Row],[Codigo]]),0)</f>
        <v>306326.23</v>
      </c>
      <c r="U140" s="19">
        <f>IFERROR(tblMaestroEquipos[[#This Row],[Costo Mantenciones CLP]]+tblMaestroEquipos[[#This Row],[Costo Compras PM CLP]],0)</f>
        <v>306326.23</v>
      </c>
      <c r="V140" s="16" t="str">
        <f>IFERROR(_xlfn.XLOOKUP(tblMaestroEquipos[[#This Row],[Codigo]],tblEquipos[Codigo],tblEquipos[Estado Base]),"")</f>
        <v>Operativo</v>
      </c>
      <c r="W140" s="16" t="str">
        <f t="shared" si="16"/>
        <v>EN PROCESO</v>
      </c>
      <c r="X140" s="16">
        <f t="shared" si="17"/>
        <v>279</v>
      </c>
      <c r="Y140" s="23">
        <f>IFERROR(IF(OR(tblMaestroEquipos[[#This Row],[Estado Operacional]]="FUERA DE SERVICIO",tblMaestroEquipos[[#This Row],[Ultima Fecha Lectura]]="",tblMaestroEquipos[[#This Row],[Dias a Proxima Mantencion]]=""),"",tblMaestroEquipos[[#This Row],[Ultima Fecha Lectura]]+tblMaestroEquipos[[#This Row],[Dias a Proxima Mantencion]]),"")</f>
        <v>46408</v>
      </c>
      <c r="Z140" s="23">
        <f>IFERROR(IF(_xlfn.MINIFS(tblComprasPM[Fecha],tblComprasPM[Codigo],tblMaestroEquipos[[#This Row],[Codigo]])=0,"",_xlfn.MINIFS(tblComprasPM[Fecha],tblComprasPM[Codigo],tblMaestroEquipos[[#This Row],[Codigo]])),"")</f>
        <v>46086.750033020799</v>
      </c>
      <c r="AA140" s="23" t="str">
        <f>IFERROR(IF(_xlfn.MAXIFS(tblBodega[Fecha],tblBodega[Codigo],tblMaestroEquipos[[#This Row],[Codigo]])=0,"",_xlfn.MAXIFS(tblBodega[Fecha],tblBodega[Codigo],tblMaestroEquipos[[#This Row],[Codigo]])),"")</f>
        <v/>
      </c>
      <c r="AB14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54</v>
      </c>
      <c r="AC140"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40" s="16" t="str">
        <f>IF(tblMaestroEquipos[[#This Row],[Fecha Salida Bodega]]="","SIN SALIDA BODEGA",IF(OR(tblMaestroEquipos[[#This Row],[Ultima Fecha PM]]="",tblMaestroEquipos[[#This Row],[Ultima Fecha PM]]&lt;tblMaestroEquipos[[#This Row],[Fecha Salida Bodega]]),"PENDIENTE","CERRADO"))</f>
        <v>SIN SALIDA BODEGA</v>
      </c>
      <c r="AE140" s="48" t="str">
        <f t="shared" si="18"/>
        <v>EN PROCESO</v>
      </c>
      <c r="AF140" s="16" t="str">
        <f t="shared" si="19"/>
        <v>SEGUIMIENTO</v>
      </c>
      <c r="AG140" s="16" t="str">
        <f t="shared" si="20"/>
        <v>Hacer seguimiento al taller y cerrar report</v>
      </c>
      <c r="AH140">
        <f t="shared" si="21"/>
        <v>0</v>
      </c>
      <c r="AI140" t="str">
        <f t="shared" si="22"/>
        <v/>
      </c>
      <c r="AJ140" s="22">
        <f t="shared" si="23"/>
        <v>2</v>
      </c>
    </row>
    <row r="141" spans="1:36">
      <c r="A141" s="16" t="s">
        <v>430</v>
      </c>
      <c r="B141" s="16" t="s">
        <v>264</v>
      </c>
      <c r="C141" s="16" t="s">
        <v>1385</v>
      </c>
      <c r="D141" s="16" t="s">
        <v>424</v>
      </c>
      <c r="E141" s="17" t="s">
        <v>431</v>
      </c>
      <c r="F141" s="16">
        <v>2019</v>
      </c>
      <c r="G141" s="17" t="str">
        <f>IFERROR(_xlfn.XLOOKUP($A141,tblEquipos[Codigo],tblEquipos[Ubicacion],""),"")</f>
        <v>Colbun</v>
      </c>
      <c r="H141" s="16" t="s">
        <v>432</v>
      </c>
      <c r="I141" s="16" t="str">
        <f>IFERROR(VLOOKUP(A141, Equipos!A:J, 9, FALSE), "")</f>
        <v>HORAS</v>
      </c>
      <c r="J141" s="16">
        <f>IFERROR(VLOOKUP(A141, Equipos!A:J, 10, FALSE), "")</f>
        <v>250</v>
      </c>
      <c r="K141" s="16">
        <f>IFERROR(IF($I141="KM",ROUND((_xlfn.MAXIFS(tblLecturas[Kilometraje],tblLecturas[Codigo],$A141)-_xlfn.MINIFS(tblLecturas[Kilometraje],tblLecturas[Codigo],$A141))/(MAX(1,_xlfn.MAXIFS(tblLecturas[Fecha],tblLecturas[Codigo],$A141)-_xlfn.MINIFS(tblLecturas[Fecha],tblLecturas[Codigo],$A141))),1),ROUND((_xlfn.MAXIFS(tblLecturas[Horometro],tblLecturas[Codigo],$A141)-_xlfn.MINIFS(tblLecturas[Horometro],tblLecturas[Codigo],$A141))/(MAX(1,_xlfn.MAXIFS(tblLecturas[Fecha],tblLecturas[Codigo],$A141)-_xlfn.MINIFS(tblLecturas[Fecha],tblLecturas[Codigo],$A141))),1)),"")</f>
        <v>0</v>
      </c>
      <c r="L141" s="18">
        <f>IFERROR(_xlfn.MAXIFS(tblLecturas[Fecha],tblLecturas[Codigo],$A141),"")</f>
        <v>46108</v>
      </c>
      <c r="M141" s="24">
        <f>IFERROR(_xlfn.MAXIFS(Lecturas!$C:$C,Lecturas!$B:$B,$A141,Lecturas!$C:$C,"&gt;0"),"")</f>
        <v>6777</v>
      </c>
      <c r="N141" s="24">
        <f>IFERROR(_xlfn.MAXIFS(tblLecturas[Kilometraje],tblLecturas[Codigo],$A141,tblLecturas[Kilometraje],"&gt;0"),"")</f>
        <v>0</v>
      </c>
      <c r="O141" s="24" cm="1">
        <f t="array" ref="O141">IFERROR(IF($I141="KM",LOOKUP(2,1/(Lecturas!$B:$B=$A141)/(Lecturas!$D:$D&gt;0),Lecturas!$D:$D),LOOKUP(2,1/(Lecturas!$B:$B=$A141)/(Lecturas!$C:$C&gt;0),Lecturas!$C:$C)),"")</f>
        <v>6777</v>
      </c>
      <c r="P141" s="18">
        <f>IFERROR(_xlfn.MAXIFS(tblMantenciones[Fecha],tblMantenciones[Codigo],tblMaestroEquipos[[#This Row],[Codigo]],tblMantenciones[EsPM],"Sí"),"")</f>
        <v>46100</v>
      </c>
      <c r="Q141" s="70">
        <f>IF(_xlfn.MAXIFS(Mantenciones!$D:$D,Mantenciones!$B:$B,A141)=0,"Sin datos de mantención registrado",_xlfn.MAXIFS(Mantenciones!$D:$D,Mantenciones!$B:$B,A141))</f>
        <v>6683</v>
      </c>
      <c r="R141" s="16">
        <f>IFERROR(IF(_xlfn.MAXIFS(Mantenciones!$D:$D,Mantenciones!$B:$B,$A141,Mantenciones!$E:$E,"Sí",Mantenciones!$D:$D,"&gt;0")=0,"Sin datos de mantención registrado",_xlfn.MAXIFS(Mantenciones!$D:$D,Mantenciones!$B:$B,$A141,Mantenciones!$E:$E,"Sí",Mantenciones!$D:$D,"&gt;0")),"Sin datos de mantención registrado")</f>
        <v>6683</v>
      </c>
      <c r="S141" s="19">
        <f>IFERROR(SUMIFS(tblMantenciones[Costo Mantencion CLP],tblMantenciones[Codigo],A141),0)</f>
        <v>0</v>
      </c>
      <c r="T141" s="19">
        <f>IFERROR(SUMIFS(tblComprasPM[Costo PM CLP],tblComprasPM[Codigo],tblMaestroEquipos[[#This Row],[Codigo]]),0)</f>
        <v>514722.20999999996</v>
      </c>
      <c r="U141" s="19">
        <f>IFERROR(tblMaestroEquipos[[#This Row],[Costo Mantenciones CLP]]+tblMaestroEquipos[[#This Row],[Costo Compras PM CLP]],0)</f>
        <v>514722.20999999996</v>
      </c>
      <c r="V141" s="16" t="str">
        <f>IFERROR(_xlfn.XLOOKUP(tblMaestroEquipos[[#This Row],[Codigo]],tblEquipos[Codigo],tblEquipos[Estado Base]),"")</f>
        <v>Operativo</v>
      </c>
      <c r="W141" s="16" t="str">
        <f t="shared" si="16"/>
        <v>POR RECIBIR</v>
      </c>
      <c r="X141" s="16">
        <f t="shared" si="17"/>
        <v>156</v>
      </c>
      <c r="Y141" s="23">
        <f>IFERROR(IF(OR(tblMaestroEquipos[[#This Row],[Estado Operacional]]="FUERA DE SERVICIO",tblMaestroEquipos[[#This Row],[Ultima Fecha Lectura]]="",tblMaestroEquipos[[#This Row],[Dias a Proxima Mantencion]]=""),"",tblMaestroEquipos[[#This Row],[Ultima Fecha Lectura]]+tblMaestroEquipos[[#This Row],[Dias a Proxima Mantencion]]),"")</f>
        <v>46264</v>
      </c>
      <c r="Z141" s="23">
        <f>IFERROR(IF(_xlfn.MINIFS(tblComprasPM[Fecha],tblComprasPM[Codigo],tblMaestroEquipos[[#This Row],[Codigo]])=0,"",_xlfn.MINIFS(tblComprasPM[Fecha],tblComprasPM[Codigo],tblMaestroEquipos[[#This Row],[Codigo]])),"")</f>
        <v>46085.498313113399</v>
      </c>
      <c r="AA141" s="23">
        <f>IFERROR(IF(_xlfn.MAXIFS(tblBodega[Fecha],tblBodega[Codigo],tblMaestroEquipos[[#This Row],[Codigo]])=0,"",_xlfn.MAXIFS(tblBodega[Fecha],tblBodega[Codigo],tblMaestroEquipos[[#This Row],[Codigo]])),"")</f>
        <v>46101</v>
      </c>
      <c r="AB14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15</v>
      </c>
      <c r="AC141"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41" s="16" t="str">
        <f>IF(tblMaestroEquipos[[#This Row],[Fecha Salida Bodega]]="","SIN SALIDA BODEGA",IF(OR(tblMaestroEquipos[[#This Row],[Ultima Fecha PM]]="",tblMaestroEquipos[[#This Row],[Ultima Fecha PM]]&lt;tblMaestroEquipos[[#This Row],[Fecha Salida Bodega]]),"PENDIENTE","CERRADO"))</f>
        <v>PENDIENTE</v>
      </c>
      <c r="AE141" s="48" t="str">
        <f t="shared" si="18"/>
        <v>OPERATIVO</v>
      </c>
      <c r="AF141" s="16" t="str">
        <f t="shared" si="19"/>
        <v>BAJA</v>
      </c>
      <c r="AG141" s="16" t="str">
        <f t="shared" si="20"/>
        <v>Monitorear próximo vencimiento</v>
      </c>
      <c r="AH141">
        <f t="shared" si="21"/>
        <v>0</v>
      </c>
      <c r="AI141" t="str">
        <f t="shared" si="22"/>
        <v/>
      </c>
      <c r="AJ141" s="22">
        <f t="shared" si="23"/>
        <v>3</v>
      </c>
    </row>
    <row r="142" spans="1:36">
      <c r="A142" s="16" t="s">
        <v>433</v>
      </c>
      <c r="B142" s="16" t="s">
        <v>264</v>
      </c>
      <c r="C142" s="16" t="s">
        <v>1385</v>
      </c>
      <c r="D142" s="16" t="s">
        <v>424</v>
      </c>
      <c r="E142" s="17" t="s">
        <v>900</v>
      </c>
      <c r="F142" s="16">
        <v>2019</v>
      </c>
      <c r="G142" s="17" t="str">
        <f>IFERROR(_xlfn.XLOOKUP($A142,tblEquipos[Codigo],tblEquipos[Ubicacion],""),"")</f>
        <v>Emergencias Curico</v>
      </c>
      <c r="H142" s="16" t="s">
        <v>317</v>
      </c>
      <c r="I142" s="16" t="str">
        <f>IFERROR(VLOOKUP(A142, Equipos!A:J, 9, FALSE), "")</f>
        <v>HORAS</v>
      </c>
      <c r="J142" s="16">
        <f>IFERROR(VLOOKUP(A142, Equipos!A:J, 10, FALSE), "")</f>
        <v>250</v>
      </c>
      <c r="K142" s="16">
        <f>IFERROR(IF($I142="KM",ROUND((_xlfn.MAXIFS(tblLecturas[Kilometraje],tblLecturas[Codigo],$A142)-_xlfn.MINIFS(tblLecturas[Kilometraje],tblLecturas[Codigo],$A142))/(MAX(1,_xlfn.MAXIFS(tblLecturas[Fecha],tblLecturas[Codigo],$A142)-_xlfn.MINIFS(tblLecturas[Fecha],tblLecturas[Codigo],$A142))),1),ROUND((_xlfn.MAXIFS(tblLecturas[Horometro],tblLecturas[Codigo],$A142)-_xlfn.MINIFS(tblLecturas[Horometro],tblLecturas[Codigo],$A142))/(MAX(1,_xlfn.MAXIFS(tblLecturas[Fecha],tblLecturas[Codigo],$A142)-_xlfn.MINIFS(tblLecturas[Fecha],tblLecturas[Codigo],$A142))),1)),"")</f>
        <v>2.7</v>
      </c>
      <c r="L142" s="18">
        <f>IFERROR(_xlfn.MAXIFS(tblLecturas[Fecha],tblLecturas[Codigo],$A142),"")</f>
        <v>46113</v>
      </c>
      <c r="M142" s="24">
        <f>IFERROR(_xlfn.MAXIFS(Lecturas!$C:$C,Lecturas!$B:$B,$A142,Lecturas!$C:$C,"&gt;0"),"")</f>
        <v>6553</v>
      </c>
      <c r="N142" s="24">
        <f>IFERROR(_xlfn.MAXIFS(tblLecturas[Kilometraje],tblLecturas[Codigo],$A142,tblLecturas[Kilometraje],"&gt;0"),"")</f>
        <v>0</v>
      </c>
      <c r="O142" s="24" cm="1">
        <f t="array" ref="O142">IFERROR(IF($I142="KM",LOOKUP(2,1/(Lecturas!$B:$B=$A142)/(Lecturas!$D:$D&gt;0),Lecturas!$D:$D),LOOKUP(2,1/(Lecturas!$B:$B=$A142)/(Lecturas!$C:$C&gt;0),Lecturas!$C:$C)),"")</f>
        <v>6530</v>
      </c>
      <c r="P142" s="18">
        <f>IFERROR(_xlfn.MAXIFS(tblMantenciones[Fecha],tblMantenciones[Codigo],tblMaestroEquipos[[#This Row],[Codigo]],tblMantenciones[EsPM],"Sí"),"")</f>
        <v>46161</v>
      </c>
      <c r="Q142" s="70">
        <f>IF(_xlfn.MAXIFS(Mantenciones!$D:$D,Mantenciones!$B:$B,A142)=0,"Sin datos de mantención registrado",_xlfn.MAXIFS(Mantenciones!$D:$D,Mantenciones!$B:$B,A142))</f>
        <v>6689</v>
      </c>
      <c r="R142" s="16">
        <f>IFERROR(IF(_xlfn.MAXIFS(Mantenciones!$D:$D,Mantenciones!$B:$B,$A142,Mantenciones!$E:$E,"Sí",Mantenciones!$D:$D,"&gt;0")=0,"Sin datos de mantención registrado",_xlfn.MAXIFS(Mantenciones!$D:$D,Mantenciones!$B:$B,$A142,Mantenciones!$E:$E,"Sí",Mantenciones!$D:$D,"&gt;0")),"Sin datos de mantención registrado")</f>
        <v>6689</v>
      </c>
      <c r="S142" s="19">
        <f>IFERROR(SUMIFS(tblMantenciones[Costo Mantencion CLP],tblMantenciones[Codigo],A142),0)</f>
        <v>0</v>
      </c>
      <c r="T142" s="19">
        <f>IFERROR(SUMIFS(tblComprasPM[Costo PM CLP],tblComprasPM[Codigo],tblMaestroEquipos[[#This Row],[Codigo]]),0)</f>
        <v>447697.04</v>
      </c>
      <c r="U142" s="19">
        <f>IFERROR(tblMaestroEquipos[[#This Row],[Costo Mantenciones CLP]]+tblMaestroEquipos[[#This Row],[Costo Compras PM CLP]],0)</f>
        <v>447697.04</v>
      </c>
      <c r="V142" s="16" t="str">
        <f>IFERROR(_xlfn.XLOOKUP(tblMaestroEquipos[[#This Row],[Codigo]],tblEquipos[Codigo],tblEquipos[Estado Base]),"")</f>
        <v>Operativo</v>
      </c>
      <c r="W142" s="16" t="str">
        <f t="shared" si="16"/>
        <v>EN PROCESO</v>
      </c>
      <c r="X142" s="16">
        <f t="shared" si="17"/>
        <v>409</v>
      </c>
      <c r="Y142" s="23">
        <f>IFERROR(IF(OR(tblMaestroEquipos[[#This Row],[Estado Operacional]]="FUERA DE SERVICIO",tblMaestroEquipos[[#This Row],[Ultima Fecha Lectura]]="",tblMaestroEquipos[[#This Row],[Dias a Proxima Mantencion]]=""),"",tblMaestroEquipos[[#This Row],[Ultima Fecha Lectura]]+tblMaestroEquipos[[#This Row],[Dias a Proxima Mantencion]]),"")</f>
        <v>46522</v>
      </c>
      <c r="Z142" s="23">
        <f>IFERROR(IF(_xlfn.MINIFS(tblComprasPM[Fecha],tblComprasPM[Codigo],tblMaestroEquipos[[#This Row],[Codigo]])=0,"",_xlfn.MINIFS(tblComprasPM[Fecha],tblComprasPM[Codigo],tblMaestroEquipos[[#This Row],[Codigo]])),"")</f>
        <v>46147.380388888902</v>
      </c>
      <c r="AA142" s="23" t="str">
        <f>IFERROR(IF(_xlfn.MAXIFS(tblBodega[Fecha],tblBodega[Codigo],tblMaestroEquipos[[#This Row],[Codigo]])=0,"",_xlfn.MAXIFS(tblBodega[Fecha],tblBodega[Codigo],tblMaestroEquipos[[#This Row],[Codigo]])),"")</f>
        <v/>
      </c>
      <c r="AB142"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14</v>
      </c>
      <c r="AC14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42" s="16" t="str">
        <f>IF(tblMaestroEquipos[[#This Row],[Fecha Salida Bodega]]="","SIN SALIDA BODEGA",IF(OR(tblMaestroEquipos[[#This Row],[Ultima Fecha PM]]="",tblMaestroEquipos[[#This Row],[Ultima Fecha PM]]&lt;tblMaestroEquipos[[#This Row],[Fecha Salida Bodega]]),"PENDIENTE","CERRADO"))</f>
        <v>SIN SALIDA BODEGA</v>
      </c>
      <c r="AE142" s="48" t="str">
        <f t="shared" si="18"/>
        <v>EN PROCESO</v>
      </c>
      <c r="AF142" s="16" t="str">
        <f t="shared" si="19"/>
        <v>SEGUIMIENTO</v>
      </c>
      <c r="AG142" s="16" t="str">
        <f t="shared" si="20"/>
        <v>Hacer seguimiento al taller y cerrar report</v>
      </c>
      <c r="AH142">
        <f t="shared" si="21"/>
        <v>0</v>
      </c>
      <c r="AI142" t="str">
        <f t="shared" si="22"/>
        <v/>
      </c>
      <c r="AJ142" s="22">
        <f t="shared" si="23"/>
        <v>2</v>
      </c>
    </row>
    <row r="143" spans="1:36">
      <c r="A143" s="16" t="s">
        <v>434</v>
      </c>
      <c r="B143" s="16" t="s">
        <v>269</v>
      </c>
      <c r="C143" s="16" t="s">
        <v>1385</v>
      </c>
      <c r="D143" s="16" t="s">
        <v>325</v>
      </c>
      <c r="E143" s="17" t="s">
        <v>331</v>
      </c>
      <c r="F143" s="16">
        <v>2012</v>
      </c>
      <c r="G143" s="17" t="str">
        <f>IFERROR(_xlfn.XLOOKUP($A143,tblEquipos[Codigo],tblEquipos[Ubicacion],""),"")</f>
        <v>Cobquecura</v>
      </c>
      <c r="H143" s="16" t="s">
        <v>1409</v>
      </c>
      <c r="I143" s="16" t="str">
        <f>IFERROR(VLOOKUP(A143, Equipos!A:J, 9, FALSE), "")</f>
        <v>HORAS</v>
      </c>
      <c r="J143" s="16">
        <f>IFERROR(VLOOKUP(A143, Equipos!A:J, 10, FALSE), "")</f>
        <v>250</v>
      </c>
      <c r="K143" s="16">
        <f>IFERROR(IF($I143="KM",ROUND((_xlfn.MAXIFS(tblLecturas[Kilometraje],tblLecturas[Codigo],$A143)-_xlfn.MINIFS(tblLecturas[Kilometraje],tblLecturas[Codigo],$A143))/(MAX(1,_xlfn.MAXIFS(tblLecturas[Fecha],tblLecturas[Codigo],$A143)-_xlfn.MINIFS(tblLecturas[Fecha],tblLecturas[Codigo],$A143))),1),ROUND((_xlfn.MAXIFS(tblLecturas[Horometro],tblLecturas[Codigo],$A143)-_xlfn.MINIFS(tblLecturas[Horometro],tblLecturas[Codigo],$A143))/(MAX(1,_xlfn.MAXIFS(tblLecturas[Fecha],tblLecturas[Codigo],$A143)-_xlfn.MINIFS(tblLecturas[Fecha],tblLecturas[Codigo],$A143))),1)),"")</f>
        <v>4</v>
      </c>
      <c r="L143" s="18">
        <f>IFERROR(_xlfn.MAXIFS(tblLecturas[Fecha],tblLecturas[Codigo],$A143),"")</f>
        <v>46098</v>
      </c>
      <c r="M143" s="24">
        <f>IFERROR(_xlfn.MAXIFS(Lecturas!$C:$C,Lecturas!$B:$B,$A143,Lecturas!$C:$C,"&gt;0"),"")</f>
        <v>10101</v>
      </c>
      <c r="N143" s="24">
        <f>IFERROR(_xlfn.MAXIFS(tblLecturas[Kilometraje],tblLecturas[Codigo],$A143,tblLecturas[Kilometraje],"&gt;0"),"")</f>
        <v>0</v>
      </c>
      <c r="O143" s="24" cm="1">
        <f t="array" ref="O143">IFERROR(IF($I143="KM",LOOKUP(2,1/(Lecturas!$B:$B=$A143)/(Lecturas!$D:$D&gt;0),Lecturas!$D:$D),LOOKUP(2,1/(Lecturas!$B:$B=$A143)/(Lecturas!$C:$C&gt;0),Lecturas!$C:$C)),"")</f>
        <v>10014</v>
      </c>
      <c r="P143" s="18">
        <f>IFERROR(_xlfn.MAXIFS(tblMantenciones[Fecha],tblMantenciones[Codigo],tblMaestroEquipos[[#This Row],[Codigo]],tblMantenciones[EsPM],"Sí"),"")</f>
        <v>46133</v>
      </c>
      <c r="Q143" s="70">
        <f>IF(_xlfn.MAXIFS(Mantenciones!$D:$D,Mantenciones!$B:$B,A143)=0,"Sin datos de mantención registrado",_xlfn.MAXIFS(Mantenciones!$D:$D,Mantenciones!$B:$B,A143))</f>
        <v>10222</v>
      </c>
      <c r="R143" s="16">
        <f>IFERROR(IF(_xlfn.MAXIFS(Mantenciones!$D:$D,Mantenciones!$B:$B,$A143,Mantenciones!$E:$E,"Sí",Mantenciones!$D:$D,"&gt;0")=0,"Sin datos de mantención registrado",_xlfn.MAXIFS(Mantenciones!$D:$D,Mantenciones!$B:$B,$A143,Mantenciones!$E:$E,"Sí",Mantenciones!$D:$D,"&gt;0")),"Sin datos de mantención registrado")</f>
        <v>10222</v>
      </c>
      <c r="S143" s="19">
        <f>IFERROR(SUMIFS(tblMantenciones[Costo Mantencion CLP],tblMantenciones[Codigo],A143),0)</f>
        <v>0</v>
      </c>
      <c r="T143" s="19">
        <f>IFERROR(SUMIFS(tblComprasPM[Costo PM CLP],tblComprasPM[Codigo],tblMaestroEquipos[[#This Row],[Codigo]]),0)</f>
        <v>237325.27</v>
      </c>
      <c r="U143" s="19">
        <f>IFERROR(tblMaestroEquipos[[#This Row],[Costo Mantenciones CLP]]+tblMaestroEquipos[[#This Row],[Costo Compras PM CLP]],0)</f>
        <v>237325.27</v>
      </c>
      <c r="V143" s="16" t="str">
        <f>IFERROR(_xlfn.XLOOKUP(tblMaestroEquipos[[#This Row],[Codigo]],tblEquipos[Codigo],tblEquipos[Estado Base]),"")</f>
        <v>Operativo</v>
      </c>
      <c r="W143" s="16" t="str">
        <f t="shared" si="16"/>
        <v>AL DÍA</v>
      </c>
      <c r="X143" s="16">
        <f t="shared" si="17"/>
        <v>458</v>
      </c>
      <c r="Y143" s="23">
        <f>IFERROR(IF(OR(tblMaestroEquipos[[#This Row],[Estado Operacional]]="FUERA DE SERVICIO",tblMaestroEquipos[[#This Row],[Ultima Fecha Lectura]]="",tblMaestroEquipos[[#This Row],[Dias a Proxima Mantencion]]=""),"",tblMaestroEquipos[[#This Row],[Ultima Fecha Lectura]]+tblMaestroEquipos[[#This Row],[Dias a Proxima Mantencion]]),"")</f>
        <v>46556</v>
      </c>
      <c r="Z143" s="23">
        <f>IFERROR(IF(_xlfn.MINIFS(tblComprasPM[Fecha],tblComprasPM[Codigo],tblMaestroEquipos[[#This Row],[Codigo]])=0,"",_xlfn.MINIFS(tblComprasPM[Fecha],tblComprasPM[Codigo],tblMaestroEquipos[[#This Row],[Codigo]])),"")</f>
        <v>46084.554178669001</v>
      </c>
      <c r="AA143" s="23">
        <f>IFERROR(IF(_xlfn.MAXIFS(tblBodega[Fecha],tblBodega[Codigo],tblMaestroEquipos[[#This Row],[Codigo]])=0,"",_xlfn.MAXIFS(tblBodega[Fecha],tblBodega[Codigo],tblMaestroEquipos[[#This Row],[Codigo]])),"")</f>
        <v>46093</v>
      </c>
      <c r="AB143"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49</v>
      </c>
      <c r="AC143"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40</v>
      </c>
      <c r="AD143" s="16" t="str">
        <f>IF(tblMaestroEquipos[[#This Row],[Fecha Salida Bodega]]="","SIN SALIDA BODEGA",IF(OR(tblMaestroEquipos[[#This Row],[Ultima Fecha PM]]="",tblMaestroEquipos[[#This Row],[Ultima Fecha PM]]&lt;tblMaestroEquipos[[#This Row],[Fecha Salida Bodega]]),"PENDIENTE","CERRADO"))</f>
        <v>CERRADO</v>
      </c>
      <c r="AE143" s="48" t="str">
        <f t="shared" si="18"/>
        <v>OPERATIVO</v>
      </c>
      <c r="AF143" s="16" t="str">
        <f t="shared" si="19"/>
        <v>BAJA</v>
      </c>
      <c r="AG143" s="16" t="str">
        <f t="shared" si="20"/>
        <v>Monitorear próximo vencimiento</v>
      </c>
      <c r="AH143">
        <f t="shared" si="21"/>
        <v>0</v>
      </c>
      <c r="AI143" t="str">
        <f t="shared" si="22"/>
        <v/>
      </c>
      <c r="AJ143" s="22">
        <f t="shared" si="23"/>
        <v>99</v>
      </c>
    </row>
    <row r="144" spans="1:36">
      <c r="A144" s="16" t="s">
        <v>436</v>
      </c>
      <c r="B144" s="16" t="s">
        <v>264</v>
      </c>
      <c r="C144" s="16" t="s">
        <v>1385</v>
      </c>
      <c r="D144" s="16" t="s">
        <v>302</v>
      </c>
      <c r="E144" s="17" t="s">
        <v>437</v>
      </c>
      <c r="F144" s="16">
        <v>2007</v>
      </c>
      <c r="G144" s="17" t="str">
        <f>IFERROR(_xlfn.XLOOKUP($A144,tblEquipos[Codigo],tblEquipos[Ubicacion],""),"")</f>
        <v>Taller</v>
      </c>
      <c r="H144" s="16" t="s">
        <v>438</v>
      </c>
      <c r="I144" s="16" t="str">
        <f>IFERROR(VLOOKUP(A144, Equipos!A:J, 9, FALSE), "")</f>
        <v>HORAS</v>
      </c>
      <c r="J144" s="16">
        <f>IFERROR(VLOOKUP(A144, Equipos!A:J, 10, FALSE), "")</f>
        <v>250</v>
      </c>
      <c r="K144" s="16">
        <f>IFERROR(IF($I144="KM",ROUND((_xlfn.MAXIFS(tblLecturas[Kilometraje],tblLecturas[Codigo],$A144)-_xlfn.MINIFS(tblLecturas[Kilometraje],tblLecturas[Codigo],$A144))/(MAX(1,_xlfn.MAXIFS(tblLecturas[Fecha],tblLecturas[Codigo],$A144)-_xlfn.MINIFS(tblLecturas[Fecha],tblLecturas[Codigo],$A144))),1),ROUND((_xlfn.MAXIFS(tblLecturas[Horometro],tblLecturas[Codigo],$A144)-_xlfn.MINIFS(tblLecturas[Horometro],tblLecturas[Codigo],$A144))/(MAX(1,_xlfn.MAXIFS(tblLecturas[Fecha],tblLecturas[Codigo],$A144)-_xlfn.MINIFS(tblLecturas[Fecha],tblLecturas[Codigo],$A144))),1)),"")</f>
        <v>0</v>
      </c>
      <c r="L144" s="18">
        <f>IFERROR(_xlfn.MAXIFS(tblLecturas[Fecha],tblLecturas[Codigo],$A144),"")</f>
        <v>0</v>
      </c>
      <c r="M144" s="24">
        <f>IFERROR(_xlfn.MAXIFS(Lecturas!$C:$C,Lecturas!$B:$B,$A144,Lecturas!$C:$C,"&gt;0"),"")</f>
        <v>0</v>
      </c>
      <c r="N144" s="24">
        <f>IFERROR(_xlfn.MAXIFS(tblLecturas[Kilometraje],tblLecturas[Codigo],$A144,tblLecturas[Kilometraje],"&gt;0"),"")</f>
        <v>0</v>
      </c>
      <c r="O144" s="24" t="str" cm="1">
        <f t="array" ref="O144">IFERROR(IF($I144="KM",LOOKUP(2,1/(Lecturas!$B:$B=$A144)/(Lecturas!$D:$D&gt;0),Lecturas!$D:$D),LOOKUP(2,1/(Lecturas!$B:$B=$A144)/(Lecturas!$C:$C&gt;0),Lecturas!$C:$C)),"")</f>
        <v/>
      </c>
      <c r="P144" s="18">
        <f>IFERROR(_xlfn.MAXIFS(tblMantenciones[Fecha],tblMantenciones[Codigo],tblMaestroEquipos[[#This Row],[Codigo]],tblMantenciones[EsPM],"Sí"),"")</f>
        <v>0</v>
      </c>
      <c r="Q144" s="70" t="str">
        <f>IF(_xlfn.MAXIFS(Mantenciones!$D:$D,Mantenciones!$B:$B,A144)=0,"Sin datos de mantención registrado",_xlfn.MAXIFS(Mantenciones!$D:$D,Mantenciones!$B:$B,A144))</f>
        <v>Sin datos de mantención registrado</v>
      </c>
      <c r="R144" s="16" t="str">
        <f>IFERROR(IF(_xlfn.MAXIFS(Mantenciones!$D:$D,Mantenciones!$B:$B,$A144,Mantenciones!$E:$E,"Sí",Mantenciones!$D:$D,"&gt;0")=0,"Sin datos de mantención registrado",_xlfn.MAXIFS(Mantenciones!$D:$D,Mantenciones!$B:$B,$A144,Mantenciones!$E:$E,"Sí",Mantenciones!$D:$D,"&gt;0")),"Sin datos de mantención registrado")</f>
        <v>Sin datos de mantención registrado</v>
      </c>
      <c r="S144" s="19">
        <f>IFERROR(SUMIFS(tblMantenciones[Costo Mantencion CLP],tblMantenciones[Codigo],A144),0)</f>
        <v>0</v>
      </c>
      <c r="T144" s="19">
        <f>IFERROR(SUMIFS(tblComprasPM[Costo PM CLP],tblComprasPM[Codigo],tblMaestroEquipos[[#This Row],[Codigo]]),0)</f>
        <v>0</v>
      </c>
      <c r="U144" s="19">
        <f>IFERROR(tblMaestroEquipos[[#This Row],[Costo Mantenciones CLP]]+tblMaestroEquipos[[#This Row],[Costo Compras PM CLP]],0)</f>
        <v>0</v>
      </c>
      <c r="V144" s="16" t="str">
        <f>IFERROR(_xlfn.XLOOKUP(tblMaestroEquipos[[#This Row],[Codigo]],tblEquipos[Codigo],tblEquipos[Estado Base]),"")</f>
        <v>Taller</v>
      </c>
      <c r="W144" s="16" t="str">
        <f t="shared" si="16"/>
        <v>EN TALLER</v>
      </c>
      <c r="X144" s="16" t="str">
        <f t="shared" si="17"/>
        <v/>
      </c>
      <c r="Y144"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44" s="23" t="str">
        <f>IFERROR(IF(_xlfn.MINIFS(tblComprasPM[Fecha],tblComprasPM[Codigo],tblMaestroEquipos[[#This Row],[Codigo]])=0,"",_xlfn.MINIFS(tblComprasPM[Fecha],tblComprasPM[Codigo],tblMaestroEquipos[[#This Row],[Codigo]])),"")</f>
        <v/>
      </c>
      <c r="AA144" s="23" t="str">
        <f>IFERROR(IF(_xlfn.MAXIFS(tblBodega[Fecha],tblBodega[Codigo],tblMaestroEquipos[[#This Row],[Codigo]])=0,"",_xlfn.MAXIFS(tblBodega[Fecha],tblBodega[Codigo],tblMaestroEquipos[[#This Row],[Codigo]])),"")</f>
        <v/>
      </c>
      <c r="AB144"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44"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44" s="16" t="str">
        <f>IF(tblMaestroEquipos[[#This Row],[Fecha Salida Bodega]]="","SIN SALIDA BODEGA",IF(OR(tblMaestroEquipos[[#This Row],[Ultima Fecha PM]]="",tblMaestroEquipos[[#This Row],[Ultima Fecha PM]]&lt;tblMaestroEquipos[[#This Row],[Fecha Salida Bodega]]),"PENDIENTE","CERRADO"))</f>
        <v>SIN SALIDA BODEGA</v>
      </c>
      <c r="AE144" s="48" t="str">
        <f t="shared" si="18"/>
        <v>EN TALLER</v>
      </c>
      <c r="AF144" s="16" t="str">
        <f t="shared" si="19"/>
        <v>BAJA</v>
      </c>
      <c r="AG144" s="16" t="str">
        <f t="shared" si="20"/>
        <v>Monitorear próximo vencimiento</v>
      </c>
      <c r="AH144">
        <f t="shared" si="21"/>
        <v>0</v>
      </c>
      <c r="AI144" t="str">
        <f t="shared" si="22"/>
        <v/>
      </c>
      <c r="AJ144" s="22">
        <f t="shared" si="23"/>
        <v>99</v>
      </c>
    </row>
    <row r="145" spans="1:36">
      <c r="A145" s="16" t="s">
        <v>439</v>
      </c>
      <c r="B145" s="16" t="s">
        <v>269</v>
      </c>
      <c r="C145" s="16" t="s">
        <v>1385</v>
      </c>
      <c r="D145" s="16" t="s">
        <v>308</v>
      </c>
      <c r="E145" s="17" t="s">
        <v>363</v>
      </c>
      <c r="F145" s="16">
        <v>2013</v>
      </c>
      <c r="G145" s="17" t="str">
        <f>IFERROR(_xlfn.XLOOKUP($A145,tblEquipos[Codigo],tblEquipos[Ubicacion],""),"")</f>
        <v>TALLER CENTRAL</v>
      </c>
      <c r="H145" s="16" t="s">
        <v>633</v>
      </c>
      <c r="I145" s="16" t="str">
        <f>IFERROR(VLOOKUP(A145, Equipos!A:J, 9, FALSE), "")</f>
        <v>HORAS</v>
      </c>
      <c r="J145" s="16">
        <f>IFERROR(VLOOKUP(A145, Equipos!A:J, 10, FALSE), "")</f>
        <v>250</v>
      </c>
      <c r="K145" s="16">
        <f>IFERROR(IF($I145="KM",ROUND((_xlfn.MAXIFS(tblLecturas[Kilometraje],tblLecturas[Codigo],$A145)-_xlfn.MINIFS(tblLecturas[Kilometraje],tblLecturas[Codigo],$A145))/(MAX(1,_xlfn.MAXIFS(tblLecturas[Fecha],tblLecturas[Codigo],$A145)-_xlfn.MINIFS(tblLecturas[Fecha],tblLecturas[Codigo],$A145))),1),ROUND((_xlfn.MAXIFS(tblLecturas[Horometro],tblLecturas[Codigo],$A145)-_xlfn.MINIFS(tblLecturas[Horometro],tblLecturas[Codigo],$A145))/(MAX(1,_xlfn.MAXIFS(tblLecturas[Fecha],tblLecturas[Codigo],$A145)-_xlfn.MINIFS(tblLecturas[Fecha],tblLecturas[Codigo],$A145))),1)),"")</f>
        <v>0</v>
      </c>
      <c r="L145" s="18">
        <f>IFERROR(_xlfn.MAXIFS(tblLecturas[Fecha],tblLecturas[Codigo],$A145),"")</f>
        <v>0</v>
      </c>
      <c r="M145" s="24">
        <f>IFERROR(_xlfn.MAXIFS(Lecturas!$C:$C,Lecturas!$B:$B,$A145,Lecturas!$C:$C,"&gt;0"),"")</f>
        <v>0</v>
      </c>
      <c r="N145" s="24">
        <f>IFERROR(_xlfn.MAXIFS(tblLecturas[Kilometraje],tblLecturas[Codigo],$A145,tblLecturas[Kilometraje],"&gt;0"),"")</f>
        <v>0</v>
      </c>
      <c r="O145" s="24" t="str" cm="1">
        <f t="array" ref="O145">IFERROR(IF($I145="KM",LOOKUP(2,1/(Lecturas!$B:$B=$A145)/(Lecturas!$D:$D&gt;0),Lecturas!$D:$D),LOOKUP(2,1/(Lecturas!$B:$B=$A145)/(Lecturas!$C:$C&gt;0),Lecturas!$C:$C)),"")</f>
        <v/>
      </c>
      <c r="P145" s="18">
        <f>IFERROR(_xlfn.MAXIFS(tblMantenciones[Fecha],tblMantenciones[Codigo],tblMaestroEquipos[[#This Row],[Codigo]],tblMantenciones[EsPM],"Sí"),"")</f>
        <v>0</v>
      </c>
      <c r="Q145" s="70" t="str">
        <f>IF(_xlfn.MAXIFS(Mantenciones!$D:$D,Mantenciones!$B:$B,A145)=0,"Sin datos de mantención registrado",_xlfn.MAXIFS(Mantenciones!$D:$D,Mantenciones!$B:$B,A145))</f>
        <v>Sin datos de mantención registrado</v>
      </c>
      <c r="R145" s="16" t="str">
        <f>IFERROR(IF(_xlfn.MAXIFS(Mantenciones!$D:$D,Mantenciones!$B:$B,$A145,Mantenciones!$E:$E,"Sí",Mantenciones!$D:$D,"&gt;0")=0,"Sin datos de mantención registrado",_xlfn.MAXIFS(Mantenciones!$D:$D,Mantenciones!$B:$B,$A145,Mantenciones!$E:$E,"Sí",Mantenciones!$D:$D,"&gt;0")),"Sin datos de mantención registrado")</f>
        <v>Sin datos de mantención registrado</v>
      </c>
      <c r="S145" s="19">
        <f>IFERROR(SUMIFS(tblMantenciones[Costo Mantencion CLP],tblMantenciones[Codigo],A145),0)</f>
        <v>0</v>
      </c>
      <c r="T145" s="19">
        <f>IFERROR(SUMIFS(tblComprasPM[Costo PM CLP],tblComprasPM[Codigo],tblMaestroEquipos[[#This Row],[Codigo]]),0)</f>
        <v>0</v>
      </c>
      <c r="U145" s="19">
        <f>IFERROR(tblMaestroEquipos[[#This Row],[Costo Mantenciones CLP]]+tblMaestroEquipos[[#This Row],[Costo Compras PM CLP]],0)</f>
        <v>0</v>
      </c>
      <c r="V145" s="16" t="str">
        <f>IFERROR(_xlfn.XLOOKUP(tblMaestroEquipos[[#This Row],[Codigo]],tblEquipos[Codigo],tblEquipos[Estado Base]),"")</f>
        <v>Taller</v>
      </c>
      <c r="W145" s="16" t="str">
        <f t="shared" si="16"/>
        <v>EN TALLER</v>
      </c>
      <c r="X145" s="16" t="str">
        <f t="shared" si="17"/>
        <v/>
      </c>
      <c r="Y145"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45" s="23" t="str">
        <f>IFERROR(IF(_xlfn.MINIFS(tblComprasPM[Fecha],tblComprasPM[Codigo],tblMaestroEquipos[[#This Row],[Codigo]])=0,"",_xlfn.MINIFS(tblComprasPM[Fecha],tblComprasPM[Codigo],tblMaestroEquipos[[#This Row],[Codigo]])),"")</f>
        <v/>
      </c>
      <c r="AA145" s="23" t="str">
        <f>IFERROR(IF(_xlfn.MAXIFS(tblBodega[Fecha],tblBodega[Codigo],tblMaestroEquipos[[#This Row],[Codigo]])=0,"",_xlfn.MAXIFS(tblBodega[Fecha],tblBodega[Codigo],tblMaestroEquipos[[#This Row],[Codigo]])),"")</f>
        <v/>
      </c>
      <c r="AB145"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45"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45" s="16" t="str">
        <f>IF(tblMaestroEquipos[[#This Row],[Fecha Salida Bodega]]="","SIN SALIDA BODEGA",IF(OR(tblMaestroEquipos[[#This Row],[Ultima Fecha PM]]="",tblMaestroEquipos[[#This Row],[Ultima Fecha PM]]&lt;tblMaestroEquipos[[#This Row],[Fecha Salida Bodega]]),"PENDIENTE","CERRADO"))</f>
        <v>SIN SALIDA BODEGA</v>
      </c>
      <c r="AE145" s="48" t="str">
        <f t="shared" si="18"/>
        <v>EN TALLER</v>
      </c>
      <c r="AF145" s="16" t="str">
        <f t="shared" si="19"/>
        <v>BAJA</v>
      </c>
      <c r="AG145" s="16" t="str">
        <f t="shared" si="20"/>
        <v>Monitorear próximo vencimiento</v>
      </c>
      <c r="AH145">
        <f t="shared" si="21"/>
        <v>0</v>
      </c>
      <c r="AI145" t="str">
        <f t="shared" si="22"/>
        <v/>
      </c>
      <c r="AJ145" s="22">
        <f t="shared" si="23"/>
        <v>99</v>
      </c>
    </row>
    <row r="146" spans="1:36">
      <c r="A146" s="16" t="s">
        <v>440</v>
      </c>
      <c r="B146" s="16" t="s">
        <v>284</v>
      </c>
      <c r="C146" s="16" t="s">
        <v>1385</v>
      </c>
      <c r="D146" s="16" t="s">
        <v>308</v>
      </c>
      <c r="E146" s="17" t="s">
        <v>441</v>
      </c>
      <c r="F146" s="16">
        <v>2013</v>
      </c>
      <c r="G146" s="17" t="str">
        <f>IFERROR(_xlfn.XLOOKUP($A146,tblEquipos[Codigo],tblEquipos[Ubicacion],""),"")</f>
        <v>Taller</v>
      </c>
      <c r="H146" s="16" t="s">
        <v>442</v>
      </c>
      <c r="I146" s="16" t="str">
        <f>IFERROR(VLOOKUP(A146, Equipos!A:J, 9, FALSE), "")</f>
        <v>HORAS</v>
      </c>
      <c r="J146" s="16">
        <f>IFERROR(VLOOKUP(A146, Equipos!A:J, 10, FALSE), "")</f>
        <v>250</v>
      </c>
      <c r="K146" s="16">
        <f>IFERROR(IF($I146="KM",ROUND((_xlfn.MAXIFS(tblLecturas[Kilometraje],tblLecturas[Codigo],$A146)-_xlfn.MINIFS(tblLecturas[Kilometraje],tblLecturas[Codigo],$A146))/(MAX(1,_xlfn.MAXIFS(tblLecturas[Fecha],tblLecturas[Codigo],$A146)-_xlfn.MINIFS(tblLecturas[Fecha],tblLecturas[Codigo],$A146))),1),ROUND((_xlfn.MAXIFS(tblLecturas[Horometro],tblLecturas[Codigo],$A146)-_xlfn.MINIFS(tblLecturas[Horometro],tblLecturas[Codigo],$A146))/(MAX(1,_xlfn.MAXIFS(tblLecturas[Fecha],tblLecturas[Codigo],$A146)-_xlfn.MINIFS(tblLecturas[Fecha],tblLecturas[Codigo],$A146))),1)),"")</f>
        <v>0</v>
      </c>
      <c r="L146" s="18">
        <f>IFERROR(_xlfn.MAXIFS(tblLecturas[Fecha],tblLecturas[Codigo],$A146),"")</f>
        <v>45994</v>
      </c>
      <c r="M146" s="24">
        <f>IFERROR(_xlfn.MAXIFS(Lecturas!$C:$C,Lecturas!$B:$B,$A146,Lecturas!$C:$C,"&gt;0"),"")</f>
        <v>1733</v>
      </c>
      <c r="N146" s="24">
        <f>IFERROR(_xlfn.MAXIFS(tblLecturas[Kilometraje],tblLecturas[Codigo],$A146,tblLecturas[Kilometraje],"&gt;0"),"")</f>
        <v>0</v>
      </c>
      <c r="O146" s="24" cm="1">
        <f t="array" ref="O146">IFERROR(IF($I146="KM",LOOKUP(2,1/(Lecturas!$B:$B=$A146)/(Lecturas!$D:$D&gt;0),Lecturas!$D:$D),LOOKUP(2,1/(Lecturas!$B:$B=$A146)/(Lecturas!$C:$C&gt;0),Lecturas!$C:$C)),"")</f>
        <v>1733</v>
      </c>
      <c r="P146" s="18">
        <f>IFERROR(_xlfn.MAXIFS(tblMantenciones[Fecha],tblMantenciones[Codigo],tblMaestroEquipos[[#This Row],[Codigo]],tblMantenciones[EsPM],"Sí"),"")</f>
        <v>0</v>
      </c>
      <c r="Q146" s="70" t="str">
        <f>IF(_xlfn.MAXIFS(Mantenciones!$D:$D,Mantenciones!$B:$B,A146)=0,"Sin datos de mantención registrado",_xlfn.MAXIFS(Mantenciones!$D:$D,Mantenciones!$B:$B,A146))</f>
        <v>Sin datos de mantención registrado</v>
      </c>
      <c r="R146" s="16" t="str">
        <f>IFERROR(IF(_xlfn.MAXIFS(Mantenciones!$D:$D,Mantenciones!$B:$B,$A146,Mantenciones!$E:$E,"Sí",Mantenciones!$D:$D,"&gt;0")=0,"Sin datos de mantención registrado",_xlfn.MAXIFS(Mantenciones!$D:$D,Mantenciones!$B:$B,$A146,Mantenciones!$E:$E,"Sí",Mantenciones!$D:$D,"&gt;0")),"Sin datos de mantención registrado")</f>
        <v>Sin datos de mantención registrado</v>
      </c>
      <c r="S146" s="19">
        <f>IFERROR(SUMIFS(tblMantenciones[Costo Mantencion CLP],tblMantenciones[Codigo],A146),0)</f>
        <v>0</v>
      </c>
      <c r="T146" s="19">
        <f>IFERROR(SUMIFS(tblComprasPM[Costo PM CLP],tblComprasPM[Codigo],tblMaestroEquipos[[#This Row],[Codigo]]),0)</f>
        <v>0</v>
      </c>
      <c r="U146" s="19">
        <f>IFERROR(tblMaestroEquipos[[#This Row],[Costo Mantenciones CLP]]+tblMaestroEquipos[[#This Row],[Costo Compras PM CLP]],0)</f>
        <v>0</v>
      </c>
      <c r="V146" s="16" t="str">
        <f>IFERROR(_xlfn.XLOOKUP(tblMaestroEquipos[[#This Row],[Codigo]],tblEquipos[Codigo],tblEquipos[Estado Base]),"")</f>
        <v>Fuera de Servicio</v>
      </c>
      <c r="W146" s="16" t="str">
        <f t="shared" si="16"/>
        <v>FUERA DE SERVICIO</v>
      </c>
      <c r="X146" s="16" t="str">
        <f t="shared" si="17"/>
        <v/>
      </c>
      <c r="Y146"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46" s="23" t="str">
        <f>IFERROR(IF(_xlfn.MINIFS(tblComprasPM[Fecha],tblComprasPM[Codigo],tblMaestroEquipos[[#This Row],[Codigo]])=0,"",_xlfn.MINIFS(tblComprasPM[Fecha],tblComprasPM[Codigo],tblMaestroEquipos[[#This Row],[Codigo]])),"")</f>
        <v/>
      </c>
      <c r="AA146" s="23" t="str">
        <f>IFERROR(IF(_xlfn.MAXIFS(tblBodega[Fecha],tblBodega[Codigo],tblMaestroEquipos[[#This Row],[Codigo]])=0,"",_xlfn.MAXIFS(tblBodega[Fecha],tblBodega[Codigo],tblMaestroEquipos[[#This Row],[Codigo]])),"")</f>
        <v/>
      </c>
      <c r="AB146"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46"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46" s="16" t="str">
        <f>IF(tblMaestroEquipos[[#This Row],[Fecha Salida Bodega]]="","SIN SALIDA BODEGA",IF(OR(tblMaestroEquipos[[#This Row],[Ultima Fecha PM]]="",tblMaestroEquipos[[#This Row],[Ultima Fecha PM]]&lt;tblMaestroEquipos[[#This Row],[Fecha Salida Bodega]]),"PENDIENTE","CERRADO"))</f>
        <v>SIN SALIDA BODEGA</v>
      </c>
      <c r="AE146" s="48" t="str">
        <f t="shared" si="18"/>
        <v>FUERA DE SERVICIO</v>
      </c>
      <c r="AF146" s="16" t="str">
        <f t="shared" si="19"/>
        <v>NO APLICA</v>
      </c>
      <c r="AG146" s="16" t="str">
        <f t="shared" si="20"/>
        <v>No programar compra</v>
      </c>
      <c r="AH146" s="25">
        <f t="shared" si="21"/>
        <v>0</v>
      </c>
      <c r="AI146" s="25" t="str">
        <f t="shared" si="22"/>
        <v/>
      </c>
      <c r="AJ146" s="22">
        <f t="shared" si="23"/>
        <v>99</v>
      </c>
    </row>
    <row r="147" spans="1:36">
      <c r="A147" s="16" t="s">
        <v>443</v>
      </c>
      <c r="B147" s="16" t="s">
        <v>347</v>
      </c>
      <c r="C147" s="16" t="s">
        <v>1385</v>
      </c>
      <c r="D147" s="16" t="s">
        <v>265</v>
      </c>
      <c r="E147" s="17" t="s">
        <v>444</v>
      </c>
      <c r="F147" s="16">
        <v>2023</v>
      </c>
      <c r="G147" s="17" t="str">
        <f>IFERROR(_xlfn.XLOOKUP($A147,tblEquipos[Codigo],tblEquipos[Ubicacion],""),"")</f>
        <v>Palmucho</v>
      </c>
      <c r="H147" s="16" t="s">
        <v>1410</v>
      </c>
      <c r="I147" s="16" t="str">
        <f>IFERROR(VLOOKUP(A147, Equipos!A:J, 9, FALSE), "")</f>
        <v>HORAS</v>
      </c>
      <c r="J147" s="16">
        <f>IFERROR(VLOOKUP(A147, Equipos!A:J, 10, FALSE), "")</f>
        <v>250</v>
      </c>
      <c r="K147" s="16">
        <f>IFERROR(IF($I147="KM",ROUND((_xlfn.MAXIFS(tblLecturas[Kilometraje],tblLecturas[Codigo],$A147)-_xlfn.MINIFS(tblLecturas[Kilometraje],tblLecturas[Codigo],$A147))/(MAX(1,_xlfn.MAXIFS(tblLecturas[Fecha],tblLecturas[Codigo],$A147)-_xlfn.MINIFS(tblLecturas[Fecha],tblLecturas[Codigo],$A147))),1),ROUND((_xlfn.MAXIFS(tblLecturas[Horometro],tblLecturas[Codigo],$A147)-_xlfn.MINIFS(tblLecturas[Horometro],tblLecturas[Codigo],$A147))/(MAX(1,_xlfn.MAXIFS(tblLecturas[Fecha],tblLecturas[Codigo],$A147)-_xlfn.MINIFS(tblLecturas[Fecha],tblLecturas[Codigo],$A147))),1)),"")</f>
        <v>3.1</v>
      </c>
      <c r="L147" s="18">
        <f>IFERROR(_xlfn.MAXIFS(tblLecturas[Fecha],tblLecturas[Codigo],$A147),"")</f>
        <v>46197</v>
      </c>
      <c r="M147" s="24">
        <f>IFERROR(_xlfn.MAXIFS(Lecturas!$C:$C,Lecturas!$B:$B,$A147,Lecturas!$C:$C,"&gt;0"),"")</f>
        <v>2333</v>
      </c>
      <c r="N147" s="24">
        <f>IFERROR(_xlfn.MAXIFS(tblLecturas[Kilometraje],tblLecturas[Codigo],$A147,tblLecturas[Kilometraje],"&gt;0"),"")</f>
        <v>39202</v>
      </c>
      <c r="O147" s="24" cm="1">
        <f t="array" ref="O147">IFERROR(IF($I147="KM",LOOKUP(2,1/(Lecturas!$B:$B=$A147)/(Lecturas!$D:$D&gt;0),Lecturas!$D:$D),LOOKUP(2,1/(Lecturas!$B:$B=$A147)/(Lecturas!$C:$C&gt;0),Lecturas!$C:$C)),"")</f>
        <v>2333</v>
      </c>
      <c r="P147" s="18">
        <f>IFERROR(_xlfn.MAXIFS(tblMantenciones[Fecha],tblMantenciones[Codigo],tblMaestroEquipos[[#This Row],[Codigo]],tblMantenciones[EsPM],"Sí"),"")</f>
        <v>46147</v>
      </c>
      <c r="Q147" s="70">
        <f>IF(_xlfn.MAXIFS(Mantenciones!$D:$D,Mantenciones!$B:$B,A147)=0,"Sin datos de mantención registrado",_xlfn.MAXIFS(Mantenciones!$D:$D,Mantenciones!$B:$B,A147))</f>
        <v>2163</v>
      </c>
      <c r="R147" s="16">
        <f>IFERROR(IF(_xlfn.MAXIFS(Mantenciones!$D:$D,Mantenciones!$B:$B,$A147,Mantenciones!$E:$E,"Sí",Mantenciones!$D:$D,"&gt;0")=0,"Sin datos de mantención registrado",_xlfn.MAXIFS(Mantenciones!$D:$D,Mantenciones!$B:$B,$A147,Mantenciones!$E:$E,"Sí",Mantenciones!$D:$D,"&gt;0")),"Sin datos de mantención registrado")</f>
        <v>2163</v>
      </c>
      <c r="S147" s="19">
        <f>IFERROR(SUMIFS(tblMantenciones[Costo Mantencion CLP],tblMantenciones[Codigo],A147),0)</f>
        <v>1478818.38</v>
      </c>
      <c r="T147" s="19">
        <f>IFERROR(SUMIFS(tblComprasPM[Costo PM CLP],tblComprasPM[Codigo],tblMaestroEquipos[[#This Row],[Codigo]]),0)</f>
        <v>261044.95</v>
      </c>
      <c r="U147" s="19">
        <f>IFERROR(tblMaestroEquipos[[#This Row],[Costo Mantenciones CLP]]+tblMaestroEquipos[[#This Row],[Costo Compras PM CLP]],0)</f>
        <v>1739863.3299999998</v>
      </c>
      <c r="V147" s="16" t="str">
        <f>IFERROR(_xlfn.XLOOKUP(tblMaestroEquipos[[#This Row],[Codigo]],tblEquipos[Codigo],tblEquipos[Estado Base]),"")</f>
        <v>Operativo</v>
      </c>
      <c r="W147" s="16" t="str">
        <f t="shared" si="16"/>
        <v>AL DÍA</v>
      </c>
      <c r="X147" s="16">
        <f t="shared" si="17"/>
        <v>80</v>
      </c>
      <c r="Y147" s="23">
        <f>IFERROR(IF(OR(tblMaestroEquipos[[#This Row],[Estado Operacional]]="FUERA DE SERVICIO",tblMaestroEquipos[[#This Row],[Ultima Fecha Lectura]]="",tblMaestroEquipos[[#This Row],[Dias a Proxima Mantencion]]=""),"",tblMaestroEquipos[[#This Row],[Ultima Fecha Lectura]]+tblMaestroEquipos[[#This Row],[Dias a Proxima Mantencion]]),"")</f>
        <v>46277</v>
      </c>
      <c r="Z147" s="23">
        <f>IFERROR(IF(_xlfn.MINIFS(tblComprasPM[Fecha],tblComprasPM[Codigo],tblMaestroEquipos[[#This Row],[Codigo]])=0,"",_xlfn.MINIFS(tblComprasPM[Fecha],tblComprasPM[Codigo],tblMaestroEquipos[[#This Row],[Codigo]])),"")</f>
        <v>46106</v>
      </c>
      <c r="AA147" s="23">
        <f>IFERROR(IF(_xlfn.MAXIFS(tblBodega[Fecha],tblBodega[Codigo],tblMaestroEquipos[[#This Row],[Codigo]])=0,"",_xlfn.MAXIFS(tblBodega[Fecha],tblBodega[Codigo],tblMaestroEquipos[[#This Row],[Codigo]])),"")</f>
        <v>46146</v>
      </c>
      <c r="AB14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41</v>
      </c>
      <c r="AC147"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v>
      </c>
      <c r="AD147" s="16" t="str">
        <f>IF(tblMaestroEquipos[[#This Row],[Fecha Salida Bodega]]="","SIN SALIDA BODEGA",IF(OR(tblMaestroEquipos[[#This Row],[Ultima Fecha PM]]="",tblMaestroEquipos[[#This Row],[Ultima Fecha PM]]&lt;tblMaestroEquipos[[#This Row],[Fecha Salida Bodega]]),"PENDIENTE","CERRADO"))</f>
        <v>CERRADO</v>
      </c>
      <c r="AE147" s="48" t="str">
        <f t="shared" si="18"/>
        <v>OPERATIVO</v>
      </c>
      <c r="AF147" s="16" t="str">
        <f t="shared" si="19"/>
        <v>BAJA</v>
      </c>
      <c r="AG147" s="16" t="str">
        <f t="shared" si="20"/>
        <v>Monitorear próximo vencimiento</v>
      </c>
      <c r="AH147">
        <f t="shared" si="21"/>
        <v>0</v>
      </c>
      <c r="AI147" t="str">
        <f t="shared" si="22"/>
        <v/>
      </c>
      <c r="AJ147" s="22">
        <f t="shared" si="23"/>
        <v>99</v>
      </c>
    </row>
    <row r="148" spans="1:36">
      <c r="A148" s="16" t="s">
        <v>446</v>
      </c>
      <c r="B148" s="16" t="s">
        <v>347</v>
      </c>
      <c r="C148" s="16" t="s">
        <v>1385</v>
      </c>
      <c r="D148" s="16" t="s">
        <v>285</v>
      </c>
      <c r="E148" s="17" t="s">
        <v>447</v>
      </c>
      <c r="F148" s="16">
        <v>2023</v>
      </c>
      <c r="G148" s="17" t="str">
        <f>IFERROR(_xlfn.XLOOKUP($A148,tblEquipos[Codigo],tblEquipos[Ubicacion],""),"")</f>
        <v>Cobquecura</v>
      </c>
      <c r="H148" s="16" t="s">
        <v>1411</v>
      </c>
      <c r="I148" s="16" t="str">
        <f>IFERROR(VLOOKUP(A148, Equipos!A:J, 9, FALSE), "")</f>
        <v>HORAS</v>
      </c>
      <c r="J148" s="16">
        <f>IFERROR(VLOOKUP(A148, Equipos!A:J, 10, FALSE), "")</f>
        <v>250</v>
      </c>
      <c r="K148" s="16">
        <f>IFERROR(IF($I148="KM",ROUND((_xlfn.MAXIFS(tblLecturas[Kilometraje],tblLecturas[Codigo],$A148)-_xlfn.MINIFS(tblLecturas[Kilometraje],tblLecturas[Codigo],$A148))/(MAX(1,_xlfn.MAXIFS(tblLecturas[Fecha],tblLecturas[Codigo],$A148)-_xlfn.MINIFS(tblLecturas[Fecha],tblLecturas[Codigo],$A148))),1),ROUND((_xlfn.MAXIFS(tblLecturas[Horometro],tblLecturas[Codigo],$A148)-_xlfn.MINIFS(tblLecturas[Horometro],tblLecturas[Codigo],$A148))/(MAX(1,_xlfn.MAXIFS(tblLecturas[Fecha],tblLecturas[Codigo],$A148)-_xlfn.MINIFS(tblLecturas[Fecha],tblLecturas[Codigo],$A148))),1)),"")</f>
        <v>2.9</v>
      </c>
      <c r="L148" s="18">
        <f>IFERROR(_xlfn.MAXIFS(tblLecturas[Fecha],tblLecturas[Codigo],$A148),"")</f>
        <v>46111</v>
      </c>
      <c r="M148" s="24">
        <f>IFERROR(_xlfn.MAXIFS(Lecturas!$C:$C,Lecturas!$B:$B,$A148,Lecturas!$C:$C,"&gt;0"),"")</f>
        <v>2396</v>
      </c>
      <c r="N148" s="24">
        <f>IFERROR(_xlfn.MAXIFS(tblLecturas[Kilometraje],tblLecturas[Codigo],$A148,tblLecturas[Kilometraje],"&gt;0"),"")</f>
        <v>0</v>
      </c>
      <c r="O148" s="24" cm="1">
        <f t="array" ref="O148">IFERROR(IF($I148="KM",LOOKUP(2,1/(Lecturas!$B:$B=$A148)/(Lecturas!$D:$D&gt;0),Lecturas!$D:$D),LOOKUP(2,1/(Lecturas!$B:$B=$A148)/(Lecturas!$C:$C&gt;0),Lecturas!$C:$C)),"")</f>
        <v>2293</v>
      </c>
      <c r="P148" s="18">
        <f>IFERROR(_xlfn.MAXIFS(tblMantenciones[Fecha],tblMantenciones[Codigo],tblMaestroEquipos[[#This Row],[Codigo]],tblMantenciones[EsPM],"Sí"),"")</f>
        <v>46100</v>
      </c>
      <c r="Q148" s="70">
        <f>IF(_xlfn.MAXIFS(Mantenciones!$D:$D,Mantenciones!$B:$B,A148)=0,"Sin datos de mantención registrado",_xlfn.MAXIFS(Mantenciones!$D:$D,Mantenciones!$B:$B,A148))</f>
        <v>2360</v>
      </c>
      <c r="R148" s="16">
        <f>IFERROR(IF(_xlfn.MAXIFS(Mantenciones!$D:$D,Mantenciones!$B:$B,$A148,Mantenciones!$E:$E,"Sí",Mantenciones!$D:$D,"&gt;0")=0,"Sin datos de mantención registrado",_xlfn.MAXIFS(Mantenciones!$D:$D,Mantenciones!$B:$B,$A148,Mantenciones!$E:$E,"Sí",Mantenciones!$D:$D,"&gt;0")),"Sin datos de mantención registrado")</f>
        <v>2360</v>
      </c>
      <c r="S148" s="19">
        <f>IFERROR(SUMIFS(tblMantenciones[Costo Mantencion CLP],tblMantenciones[Codigo],A148),0)</f>
        <v>0</v>
      </c>
      <c r="T148" s="19">
        <f>IFERROR(SUMIFS(tblComprasPM[Costo PM CLP],tblComprasPM[Codigo],tblMaestroEquipos[[#This Row],[Codigo]]),0)</f>
        <v>0</v>
      </c>
      <c r="U148" s="19">
        <f>IFERROR(tblMaestroEquipos[[#This Row],[Costo Mantenciones CLP]]+tblMaestroEquipos[[#This Row],[Costo Compras PM CLP]],0)</f>
        <v>0</v>
      </c>
      <c r="V148" s="16" t="str">
        <f>IFERROR(_xlfn.XLOOKUP(tblMaestroEquipos[[#This Row],[Codigo]],tblEquipos[Codigo],tblEquipos[Estado Base]),"")</f>
        <v>Operativo</v>
      </c>
      <c r="W148" s="16" t="str">
        <f t="shared" si="16"/>
        <v>AL DÍA</v>
      </c>
      <c r="X148" s="16">
        <f t="shared" si="17"/>
        <v>317</v>
      </c>
      <c r="Y148" s="23">
        <f>IFERROR(IF(OR(tblMaestroEquipos[[#This Row],[Estado Operacional]]="FUERA DE SERVICIO",tblMaestroEquipos[[#This Row],[Ultima Fecha Lectura]]="",tblMaestroEquipos[[#This Row],[Dias a Proxima Mantencion]]=""),"",tblMaestroEquipos[[#This Row],[Ultima Fecha Lectura]]+tblMaestroEquipos[[#This Row],[Dias a Proxima Mantencion]]),"")</f>
        <v>46428</v>
      </c>
      <c r="Z148" s="23" t="str">
        <f>IFERROR(IF(_xlfn.MINIFS(tblComprasPM[Fecha],tblComprasPM[Codigo],tblMaestroEquipos[[#This Row],[Codigo]])=0,"",_xlfn.MINIFS(tblComprasPM[Fecha],tblComprasPM[Codigo],tblMaestroEquipos[[#This Row],[Codigo]])),"")</f>
        <v/>
      </c>
      <c r="AA148" s="23">
        <f>IFERROR(IF(_xlfn.MAXIFS(tblBodega[Fecha],tblBodega[Codigo],tblMaestroEquipos[[#This Row],[Codigo]])=0,"",_xlfn.MAXIFS(tblBodega[Fecha],tblBodega[Codigo],tblMaestroEquipos[[#This Row],[Codigo]])),"")</f>
        <v>46083</v>
      </c>
      <c r="AB148"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48"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17</v>
      </c>
      <c r="AD148" s="16" t="str">
        <f>IF(tblMaestroEquipos[[#This Row],[Fecha Salida Bodega]]="","SIN SALIDA BODEGA",IF(OR(tblMaestroEquipos[[#This Row],[Ultima Fecha PM]]="",tblMaestroEquipos[[#This Row],[Ultima Fecha PM]]&lt;tblMaestroEquipos[[#This Row],[Fecha Salida Bodega]]),"PENDIENTE","CERRADO"))</f>
        <v>CERRADO</v>
      </c>
      <c r="AE148" s="48" t="str">
        <f t="shared" si="18"/>
        <v>OPERATIVO</v>
      </c>
      <c r="AF148" s="16" t="str">
        <f t="shared" si="19"/>
        <v>BAJA</v>
      </c>
      <c r="AG148" s="16" t="str">
        <f t="shared" si="20"/>
        <v>Monitorear próximo vencimiento</v>
      </c>
      <c r="AH148">
        <f t="shared" si="21"/>
        <v>0</v>
      </c>
      <c r="AI148" t="str">
        <f t="shared" si="22"/>
        <v/>
      </c>
      <c r="AJ148" s="22">
        <f t="shared" si="23"/>
        <v>99</v>
      </c>
    </row>
    <row r="149" spans="1:36">
      <c r="A149" s="16" t="s">
        <v>449</v>
      </c>
      <c r="B149" s="16" t="s">
        <v>347</v>
      </c>
      <c r="C149" s="16" t="s">
        <v>1385</v>
      </c>
      <c r="D149" s="16" t="s">
        <v>285</v>
      </c>
      <c r="E149" s="17" t="s">
        <v>447</v>
      </c>
      <c r="F149" s="16">
        <v>2023</v>
      </c>
      <c r="G149" s="17" t="str">
        <f>IFERROR(_xlfn.XLOOKUP($A149,tblEquipos[Codigo],tblEquipos[Ubicacion],""),"")</f>
        <v>Quirihue</v>
      </c>
      <c r="H149" s="16" t="s">
        <v>1412</v>
      </c>
      <c r="I149" s="16" t="str">
        <f>IFERROR(VLOOKUP(A149, Equipos!A:J, 9, FALSE), "")</f>
        <v>HORAS</v>
      </c>
      <c r="J149" s="16">
        <f>IFERROR(VLOOKUP(A149, Equipos!A:J, 10, FALSE), "")</f>
        <v>250</v>
      </c>
      <c r="K149" s="16">
        <f>IFERROR(IF($I149="KM",ROUND((_xlfn.MAXIFS(tblLecturas[Kilometraje],tblLecturas[Codigo],$A149)-_xlfn.MINIFS(tblLecturas[Kilometraje],tblLecturas[Codigo],$A149))/(MAX(1,_xlfn.MAXIFS(tblLecturas[Fecha],tblLecturas[Codigo],$A149)-_xlfn.MINIFS(tblLecturas[Fecha],tblLecturas[Codigo],$A149))),1),ROUND((_xlfn.MAXIFS(tblLecturas[Horometro],tblLecturas[Codigo],$A149)-_xlfn.MINIFS(tblLecturas[Horometro],tblLecturas[Codigo],$A149))/(MAX(1,_xlfn.MAXIFS(tblLecturas[Fecha],tblLecturas[Codigo],$A149)-_xlfn.MINIFS(tblLecturas[Fecha],tblLecturas[Codigo],$A149))),1)),"")</f>
        <v>3.2</v>
      </c>
      <c r="L149" s="18">
        <f>IFERROR(_xlfn.MAXIFS(tblLecturas[Fecha],tblLecturas[Codigo],$A149),"")</f>
        <v>46185</v>
      </c>
      <c r="M149" s="24">
        <f>IFERROR(_xlfn.MAXIFS(Lecturas!$C:$C,Lecturas!$B:$B,$A149,Lecturas!$C:$C,"&gt;0"),"")</f>
        <v>2026</v>
      </c>
      <c r="N149" s="24">
        <f>IFERROR(_xlfn.MAXIFS(tblLecturas[Kilometraje],tblLecturas[Codigo],$A149,tblLecturas[Kilometraje],"&gt;0"),"")</f>
        <v>0</v>
      </c>
      <c r="O149" s="24" cm="1">
        <f t="array" ref="O149">IFERROR(IF($I149="KM",LOOKUP(2,1/(Lecturas!$B:$B=$A149)/(Lecturas!$D:$D&gt;0),Lecturas!$D:$D),LOOKUP(2,1/(Lecturas!$B:$B=$A149)/(Lecturas!$C:$C&gt;0),Lecturas!$C:$C)),"")</f>
        <v>2026</v>
      </c>
      <c r="P149" s="18">
        <f>IFERROR(_xlfn.MAXIFS(tblMantenciones[Fecha],tblMantenciones[Codigo],tblMaestroEquipos[[#This Row],[Codigo]],tblMantenciones[EsPM],"Sí"),"")</f>
        <v>46199</v>
      </c>
      <c r="Q149" s="70">
        <f>IF(_xlfn.MAXIFS(Mantenciones!$D:$D,Mantenciones!$B:$B,A149)=0,"Sin datos de mantención registrado",_xlfn.MAXIFS(Mantenciones!$D:$D,Mantenciones!$B:$B,A149))</f>
        <v>2078</v>
      </c>
      <c r="R149" s="16">
        <f>IFERROR(IF(_xlfn.MAXIFS(Mantenciones!$D:$D,Mantenciones!$B:$B,$A149,Mantenciones!$E:$E,"Sí",Mantenciones!$D:$D,"&gt;0")=0,"Sin datos de mantención registrado",_xlfn.MAXIFS(Mantenciones!$D:$D,Mantenciones!$B:$B,$A149,Mantenciones!$E:$E,"Sí",Mantenciones!$D:$D,"&gt;0")),"Sin datos de mantención registrado")</f>
        <v>2078</v>
      </c>
      <c r="S149" s="19">
        <f>IFERROR(SUMIFS(tblMantenciones[Costo Mantencion CLP],tblMantenciones[Codigo],A149),0)</f>
        <v>133882.14000000001</v>
      </c>
      <c r="T149" s="19">
        <f>IFERROR(SUMIFS(tblComprasPM[Costo PM CLP],tblComprasPM[Codigo],tblMaestroEquipos[[#This Row],[Codigo]]),0)</f>
        <v>1208825.7999999998</v>
      </c>
      <c r="U149" s="19">
        <f>IFERROR(tblMaestroEquipos[[#This Row],[Costo Mantenciones CLP]]+tblMaestroEquipos[[#This Row],[Costo Compras PM CLP]],0)</f>
        <v>1342707.94</v>
      </c>
      <c r="V149" s="16" t="str">
        <f>IFERROR(_xlfn.XLOOKUP(tblMaestroEquipos[[#This Row],[Codigo]],tblEquipos[Codigo],tblEquipos[Estado Base]),"")</f>
        <v>Operativo</v>
      </c>
      <c r="W149" s="16" t="str">
        <f t="shared" si="16"/>
        <v>AL DÍA</v>
      </c>
      <c r="X149" s="16">
        <f t="shared" si="17"/>
        <v>302</v>
      </c>
      <c r="Y149" s="23">
        <f>IFERROR(IF(OR(tblMaestroEquipos[[#This Row],[Estado Operacional]]="FUERA DE SERVICIO",tblMaestroEquipos[[#This Row],[Ultima Fecha Lectura]]="",tblMaestroEquipos[[#This Row],[Dias a Proxima Mantencion]]=""),"",tblMaestroEquipos[[#This Row],[Ultima Fecha Lectura]]+tblMaestroEquipos[[#This Row],[Dias a Proxima Mantencion]]),"")</f>
        <v>46487</v>
      </c>
      <c r="Z149" s="23">
        <f>IFERROR(IF(_xlfn.MINIFS(tblComprasPM[Fecha],tblComprasPM[Codigo],tblMaestroEquipos[[#This Row],[Codigo]])=0,"",_xlfn.MINIFS(tblComprasPM[Fecha],tblComprasPM[Codigo],tblMaestroEquipos[[#This Row],[Codigo]])),"")</f>
        <v>46086.710126585698</v>
      </c>
      <c r="AA149" s="23">
        <f>IFERROR(IF(_xlfn.MAXIFS(tblBodega[Fecha],tblBodega[Codigo],tblMaestroEquipos[[#This Row],[Codigo]])=0,"",_xlfn.MAXIFS(tblBodega[Fecha],tblBodega[Codigo],tblMaestroEquipos[[#This Row],[Codigo]])),"")</f>
        <v>46080</v>
      </c>
      <c r="AB14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113</v>
      </c>
      <c r="AC149"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119</v>
      </c>
      <c r="AD149" s="16" t="str">
        <f>IF(tblMaestroEquipos[[#This Row],[Fecha Salida Bodega]]="","SIN SALIDA BODEGA",IF(OR(tblMaestroEquipos[[#This Row],[Ultima Fecha PM]]="",tblMaestroEquipos[[#This Row],[Ultima Fecha PM]]&lt;tblMaestroEquipos[[#This Row],[Fecha Salida Bodega]]),"PENDIENTE","CERRADO"))</f>
        <v>CERRADO</v>
      </c>
      <c r="AE149" s="48" t="str">
        <f t="shared" si="18"/>
        <v>OPERATIVO</v>
      </c>
      <c r="AF149" s="16" t="str">
        <f t="shared" si="19"/>
        <v>BAJA</v>
      </c>
      <c r="AG149" s="16" t="str">
        <f t="shared" si="20"/>
        <v>Monitorear próximo vencimiento</v>
      </c>
      <c r="AH149">
        <f t="shared" si="21"/>
        <v>0</v>
      </c>
      <c r="AI149" t="str">
        <f t="shared" si="22"/>
        <v/>
      </c>
      <c r="AJ149" s="22">
        <f t="shared" si="23"/>
        <v>99</v>
      </c>
    </row>
    <row r="150" spans="1:36" s="25" customFormat="1">
      <c r="A150" s="16" t="s">
        <v>451</v>
      </c>
      <c r="B150" s="16" t="s">
        <v>347</v>
      </c>
      <c r="C150" s="16" t="s">
        <v>1385</v>
      </c>
      <c r="D150" s="16" t="s">
        <v>265</v>
      </c>
      <c r="E150" s="17" t="s">
        <v>444</v>
      </c>
      <c r="F150" s="16">
        <v>2023</v>
      </c>
      <c r="G150" s="17" t="str">
        <f>IFERROR(_xlfn.XLOOKUP($A150,tblEquipos[Codigo],tblEquipos[Ubicacion],""),"")</f>
        <v>San Carlos</v>
      </c>
      <c r="H150" s="16" t="s">
        <v>1413</v>
      </c>
      <c r="I150" s="16" t="str">
        <f>IFERROR(VLOOKUP(A150, Equipos!A:J, 9, FALSE), "")</f>
        <v>HORAS</v>
      </c>
      <c r="J150" s="16">
        <f>IFERROR(VLOOKUP(A150, Equipos!A:J, 10, FALSE), "")</f>
        <v>250</v>
      </c>
      <c r="K150" s="16">
        <f>IFERROR(IF($I150="KM",ROUND((_xlfn.MAXIFS(tblLecturas[Kilometraje],tblLecturas[Codigo],$A150)-_xlfn.MINIFS(tblLecturas[Kilometraje],tblLecturas[Codigo],$A150))/(MAX(1,_xlfn.MAXIFS(tblLecturas[Fecha],tblLecturas[Codigo],$A150)-_xlfn.MINIFS(tblLecturas[Fecha],tblLecturas[Codigo],$A150))),1),ROUND((_xlfn.MAXIFS(tblLecturas[Horometro],tblLecturas[Codigo],$A150)-_xlfn.MINIFS(tblLecturas[Horometro],tblLecturas[Codigo],$A150))/(MAX(1,_xlfn.MAXIFS(tblLecturas[Fecha],tblLecturas[Codigo],$A150)-_xlfn.MINIFS(tblLecturas[Fecha],tblLecturas[Codigo],$A150))),1)),"")</f>
        <v>3.5</v>
      </c>
      <c r="L150" s="18">
        <f>IFERROR(_xlfn.MAXIFS(tblLecturas[Fecha],tblLecturas[Codigo],$A150),"")</f>
        <v>46129</v>
      </c>
      <c r="M150" s="24">
        <f>IFERROR(_xlfn.MAXIFS(Lecturas!$C:$C,Lecturas!$B:$B,$A150,Lecturas!$C:$C,"&gt;0"),"")</f>
        <v>1861</v>
      </c>
      <c r="N150" s="24">
        <f>IFERROR(_xlfn.MAXIFS(tblLecturas[Kilometraje],tblLecturas[Codigo],$A150,tblLecturas[Kilometraje],"&gt;0"),"")</f>
        <v>0</v>
      </c>
      <c r="O150" s="24" cm="1">
        <f t="array" ref="O150">IFERROR(IF($I150="KM",LOOKUP(2,1/(Lecturas!$B:$B=$A150)/(Lecturas!$D:$D&gt;0),Lecturas!$D:$D),LOOKUP(2,1/(Lecturas!$B:$B=$A150)/(Lecturas!$C:$C&gt;0),Lecturas!$C:$C)),"")</f>
        <v>1781</v>
      </c>
      <c r="P150" s="18">
        <f>IFERROR(_xlfn.MAXIFS(tblMantenciones[Fecha],tblMantenciones[Codigo],tblMaestroEquipos[[#This Row],[Codigo]],tblMantenciones[EsPM],"Sí"),"")</f>
        <v>46146</v>
      </c>
      <c r="Q150" s="70">
        <f>IF(_xlfn.MAXIFS(Mantenciones!$D:$D,Mantenciones!$B:$B,A150)=0,"Sin datos de mantención registrado",_xlfn.MAXIFS(Mantenciones!$D:$D,Mantenciones!$B:$B,A150))</f>
        <v>1905</v>
      </c>
      <c r="R150" s="16">
        <f>IFERROR(IF(_xlfn.MAXIFS(Mantenciones!$D:$D,Mantenciones!$B:$B,$A150,Mantenciones!$E:$E,"Sí",Mantenciones!$D:$D,"&gt;0")=0,"Sin datos de mantención registrado",_xlfn.MAXIFS(Mantenciones!$D:$D,Mantenciones!$B:$B,$A150,Mantenciones!$E:$E,"Sí",Mantenciones!$D:$D,"&gt;0")),"Sin datos de mantención registrado")</f>
        <v>1905</v>
      </c>
      <c r="S150" s="19">
        <f>IFERROR(SUMIFS(tblMantenciones[Costo Mantencion CLP],tblMantenciones[Codigo],A150),0)</f>
        <v>0</v>
      </c>
      <c r="T150" s="19">
        <f>IFERROR(SUMIFS(tblComprasPM[Costo PM CLP],tblComprasPM[Codigo],tblMaestroEquipos[[#This Row],[Codigo]]),0)</f>
        <v>258526.31</v>
      </c>
      <c r="U150" s="19">
        <f>IFERROR(tblMaestroEquipos[[#This Row],[Costo Mantenciones CLP]]+tblMaestroEquipos[[#This Row],[Costo Compras PM CLP]],0)</f>
        <v>258526.31</v>
      </c>
      <c r="V150" s="16" t="str">
        <f>IFERROR(_xlfn.XLOOKUP(tblMaestroEquipos[[#This Row],[Codigo]],tblEquipos[Codigo],tblEquipos[Estado Base]),"")</f>
        <v>Operativo</v>
      </c>
      <c r="W150" s="16" t="str">
        <f t="shared" si="16"/>
        <v>AL DÍA</v>
      </c>
      <c r="X150" s="16">
        <f t="shared" si="17"/>
        <v>374</v>
      </c>
      <c r="Y150" s="23">
        <f>IFERROR(IF(OR(tblMaestroEquipos[[#This Row],[Estado Operacional]]="FUERA DE SERVICIO",tblMaestroEquipos[[#This Row],[Ultima Fecha Lectura]]="",tblMaestroEquipos[[#This Row],[Dias a Proxima Mantencion]]=""),"",tblMaestroEquipos[[#This Row],[Ultima Fecha Lectura]]+tblMaestroEquipos[[#This Row],[Dias a Proxima Mantencion]]),"")</f>
        <v>46503</v>
      </c>
      <c r="Z150" s="23">
        <f>IFERROR(IF(_xlfn.MINIFS(tblComprasPM[Fecha],tblComprasPM[Codigo],tblMaestroEquipos[[#This Row],[Codigo]])=0,"",_xlfn.MINIFS(tblComprasPM[Fecha],tblComprasPM[Codigo],tblMaestroEquipos[[#This Row],[Codigo]])),"")</f>
        <v>46078.648084178203</v>
      </c>
      <c r="AA150" s="23">
        <f>IFERROR(IF(_xlfn.MAXIFS(tblBodega[Fecha],tblBodega[Codigo],tblMaestroEquipos[[#This Row],[Codigo]])=0,"",_xlfn.MAXIFS(tblBodega[Fecha],tblBodega[Codigo],tblMaestroEquipos[[#This Row],[Codigo]])),"")</f>
        <v>46083</v>
      </c>
      <c r="AB15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68</v>
      </c>
      <c r="AC150"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63</v>
      </c>
      <c r="AD150" s="16" t="str">
        <f>IF(tblMaestroEquipos[[#This Row],[Fecha Salida Bodega]]="","SIN SALIDA BODEGA",IF(OR(tblMaestroEquipos[[#This Row],[Ultima Fecha PM]]="",tblMaestroEquipos[[#This Row],[Ultima Fecha PM]]&lt;tblMaestroEquipos[[#This Row],[Fecha Salida Bodega]]),"PENDIENTE","CERRADO"))</f>
        <v>CERRADO</v>
      </c>
      <c r="AE150" s="48" t="str">
        <f t="shared" si="18"/>
        <v>OPERATIVO</v>
      </c>
      <c r="AF150" s="16" t="str">
        <f t="shared" si="19"/>
        <v>BAJA</v>
      </c>
      <c r="AG150" s="16" t="str">
        <f t="shared" si="20"/>
        <v>Monitorear próximo vencimiento</v>
      </c>
      <c r="AH150">
        <f t="shared" si="21"/>
        <v>0</v>
      </c>
      <c r="AI150" t="str">
        <f t="shared" si="22"/>
        <v/>
      </c>
      <c r="AJ150" s="22">
        <f t="shared" si="23"/>
        <v>99</v>
      </c>
    </row>
    <row r="151" spans="1:36">
      <c r="A151" s="16" t="s">
        <v>453</v>
      </c>
      <c r="B151" s="16" t="s">
        <v>454</v>
      </c>
      <c r="C151" s="16" t="s">
        <v>1385</v>
      </c>
      <c r="D151" s="16" t="s">
        <v>298</v>
      </c>
      <c r="E151" s="17" t="s">
        <v>299</v>
      </c>
      <c r="F151" s="16">
        <v>2011</v>
      </c>
      <c r="G151" s="17" t="str">
        <f>IFERROR(_xlfn.XLOOKUP($A151,tblEquipos[Codigo],tblEquipos[Ubicacion],""),"")</f>
        <v>San Carlos</v>
      </c>
      <c r="H151" s="16" t="s">
        <v>1401</v>
      </c>
      <c r="I151" s="16" t="str">
        <f>IFERROR(VLOOKUP(A151, Equipos!A:J, 9, FALSE), "")</f>
        <v>HORAS</v>
      </c>
      <c r="J151" s="16">
        <f>IFERROR(VLOOKUP(A151, Equipos!A:J, 10, FALSE), "")</f>
        <v>250</v>
      </c>
      <c r="K151" s="16">
        <f>IFERROR(IF($I151="KM",ROUND((_xlfn.MAXIFS(tblLecturas[Kilometraje],tblLecturas[Codigo],$A151)-_xlfn.MINIFS(tblLecturas[Kilometraje],tblLecturas[Codigo],$A151))/(MAX(1,_xlfn.MAXIFS(tblLecturas[Fecha],tblLecturas[Codigo],$A151)-_xlfn.MINIFS(tblLecturas[Fecha],tblLecturas[Codigo],$A151))),1),ROUND((_xlfn.MAXIFS(tblLecturas[Horometro],tblLecturas[Codigo],$A151)-_xlfn.MINIFS(tblLecturas[Horometro],tblLecturas[Codigo],$A151))/(MAX(1,_xlfn.MAXIFS(tblLecturas[Fecha],tblLecturas[Codigo],$A151)-_xlfn.MINIFS(tblLecturas[Fecha],tblLecturas[Codigo],$A151))),1)),"")</f>
        <v>0.5</v>
      </c>
      <c r="L151" s="18">
        <f>IFERROR(_xlfn.MAXIFS(tblLecturas[Fecha],tblLecturas[Codigo],$A151),"")</f>
        <v>46104</v>
      </c>
      <c r="M151" s="24">
        <f>IFERROR(_xlfn.MAXIFS(Lecturas!$C:$C,Lecturas!$B:$B,$A151,Lecturas!$C:$C,"&gt;0"),"")</f>
        <v>1950</v>
      </c>
      <c r="N151" s="24">
        <f>IFERROR(_xlfn.MAXIFS(tblLecturas[Kilometraje],tblLecturas[Codigo],$A151,tblLecturas[Kilometraje],"&gt;0"),"")</f>
        <v>0</v>
      </c>
      <c r="O151" s="24" cm="1">
        <f t="array" ref="O151">IFERROR(IF($I151="KM",LOOKUP(2,1/(Lecturas!$B:$B=$A151)/(Lecturas!$D:$D&gt;0),Lecturas!$D:$D),LOOKUP(2,1/(Lecturas!$B:$B=$A151)/(Lecturas!$C:$C&gt;0),Lecturas!$C:$C)),"")</f>
        <v>1930</v>
      </c>
      <c r="P151" s="18">
        <f>IFERROR(_xlfn.MAXIFS(tblMantenciones[Fecha],tblMantenciones[Codigo],tblMaestroEquipos[[#This Row],[Codigo]],tblMantenciones[EsPM],"Sí"),"")</f>
        <v>46150</v>
      </c>
      <c r="Q151" s="70">
        <f>IF(_xlfn.MAXIFS(Mantenciones!$D:$D,Mantenciones!$B:$B,A151)=0,"Sin datos de mantención registrado",_xlfn.MAXIFS(Mantenciones!$D:$D,Mantenciones!$B:$B,A151))</f>
        <v>2012</v>
      </c>
      <c r="R151" s="16">
        <f>IFERROR(IF(_xlfn.MAXIFS(Mantenciones!$D:$D,Mantenciones!$B:$B,$A151,Mantenciones!$E:$E,"Sí",Mantenciones!$D:$D,"&gt;0")=0,"Sin datos de mantención registrado",_xlfn.MAXIFS(Mantenciones!$D:$D,Mantenciones!$B:$B,$A151,Mantenciones!$E:$E,"Sí",Mantenciones!$D:$D,"&gt;0")),"Sin datos de mantención registrado")</f>
        <v>2012</v>
      </c>
      <c r="S151" s="19">
        <f>IFERROR(SUMIFS(tblMantenciones[Costo Mantencion CLP],tblMantenciones[Codigo],A151),0)</f>
        <v>0</v>
      </c>
      <c r="T151" s="19">
        <f>IFERROR(SUMIFS(tblComprasPM[Costo PM CLP],tblComprasPM[Codigo],tblMaestroEquipos[[#This Row],[Codigo]]),0)</f>
        <v>320165.93</v>
      </c>
      <c r="U151" s="19">
        <f>IFERROR(tblMaestroEquipos[[#This Row],[Costo Mantenciones CLP]]+tblMaestroEquipos[[#This Row],[Costo Compras PM CLP]],0)</f>
        <v>320165.93</v>
      </c>
      <c r="V151" s="16" t="str">
        <f>IFERROR(_xlfn.XLOOKUP(tblMaestroEquipos[[#This Row],[Codigo]],tblEquipos[Codigo],tblEquipos[Estado Base]),"")</f>
        <v>Operativo</v>
      </c>
      <c r="W151" s="16" t="str">
        <f t="shared" si="16"/>
        <v>AL DÍA</v>
      </c>
      <c r="X151" s="16">
        <f t="shared" si="17"/>
        <v>332</v>
      </c>
      <c r="Y151" s="23">
        <f>IFERROR(IF(OR(tblMaestroEquipos[[#This Row],[Estado Operacional]]="FUERA DE SERVICIO",tblMaestroEquipos[[#This Row],[Ultima Fecha Lectura]]="",tblMaestroEquipos[[#This Row],[Dias a Proxima Mantencion]]=""),"",tblMaestroEquipos[[#This Row],[Ultima Fecha Lectura]]+tblMaestroEquipos[[#This Row],[Dias a Proxima Mantencion]]),"")</f>
        <v>46436</v>
      </c>
      <c r="Z151" s="23">
        <f>IFERROR(IF(_xlfn.MINIFS(tblComprasPM[Fecha],tblComprasPM[Codigo],tblMaestroEquipos[[#This Row],[Codigo]])=0,"",_xlfn.MINIFS(tblComprasPM[Fecha],tblComprasPM[Codigo],tblMaestroEquipos[[#This Row],[Codigo]])),"")</f>
        <v>46106</v>
      </c>
      <c r="AA151" s="23">
        <f>IFERROR(IF(_xlfn.MAXIFS(tblBodega[Fecha],tblBodega[Codigo],tblMaestroEquipos[[#This Row],[Codigo]])=0,"",_xlfn.MAXIFS(tblBodega[Fecha],tblBodega[Codigo],tblMaestroEquipos[[#This Row],[Codigo]])),"")</f>
        <v>46148</v>
      </c>
      <c r="AB15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44</v>
      </c>
      <c r="AC151"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2</v>
      </c>
      <c r="AD151" s="16" t="str">
        <f>IF(tblMaestroEquipos[[#This Row],[Fecha Salida Bodega]]="","SIN SALIDA BODEGA",IF(OR(tblMaestroEquipos[[#This Row],[Ultima Fecha PM]]="",tblMaestroEquipos[[#This Row],[Ultima Fecha PM]]&lt;tblMaestroEquipos[[#This Row],[Fecha Salida Bodega]]),"PENDIENTE","CERRADO"))</f>
        <v>CERRADO</v>
      </c>
      <c r="AE151" s="48" t="str">
        <f t="shared" si="18"/>
        <v>OPERATIVO</v>
      </c>
      <c r="AF151" s="16" t="str">
        <f t="shared" si="19"/>
        <v>BAJA</v>
      </c>
      <c r="AG151" s="16" t="str">
        <f t="shared" si="20"/>
        <v>Monitorear próximo vencimiento</v>
      </c>
      <c r="AH151">
        <f t="shared" si="21"/>
        <v>0</v>
      </c>
      <c r="AI151" t="str">
        <f t="shared" si="22"/>
        <v/>
      </c>
      <c r="AJ151" s="22">
        <f t="shared" si="23"/>
        <v>99</v>
      </c>
    </row>
    <row r="152" spans="1:36">
      <c r="A152" s="16" t="s">
        <v>456</v>
      </c>
      <c r="B152" s="16" t="s">
        <v>454</v>
      </c>
      <c r="C152" s="16" t="s">
        <v>1385</v>
      </c>
      <c r="D152" s="16" t="s">
        <v>298</v>
      </c>
      <c r="E152" s="17" t="s">
        <v>299</v>
      </c>
      <c r="F152" s="16">
        <v>2011</v>
      </c>
      <c r="G152" s="17" t="str">
        <f>IFERROR(_xlfn.XLOOKUP($A152,tblEquipos[Codigo],tblEquipos[Ubicacion],""),"")</f>
        <v>Palmucho</v>
      </c>
      <c r="H152" s="16" t="s">
        <v>1401</v>
      </c>
      <c r="I152" s="16" t="str">
        <f>IFERROR(VLOOKUP(A152, Equipos!A:J, 9, FALSE), "")</f>
        <v>HORAS</v>
      </c>
      <c r="J152" s="16">
        <f>IFERROR(VLOOKUP(A152, Equipos!A:J, 10, FALSE), "")</f>
        <v>250</v>
      </c>
      <c r="K152" s="16">
        <f>IFERROR(IF($I152="KM",ROUND((_xlfn.MAXIFS(tblLecturas[Kilometraje],tblLecturas[Codigo],$A152)-_xlfn.MINIFS(tblLecturas[Kilometraje],tblLecturas[Codigo],$A152))/(MAX(1,_xlfn.MAXIFS(tblLecturas[Fecha],tblLecturas[Codigo],$A152)-_xlfn.MINIFS(tblLecturas[Fecha],tblLecturas[Codigo],$A152))),1),ROUND((_xlfn.MAXIFS(tblLecturas[Horometro],tblLecturas[Codigo],$A152)-_xlfn.MINIFS(tblLecturas[Horometro],tblLecturas[Codigo],$A152))/(MAX(1,_xlfn.MAXIFS(tblLecturas[Fecha],tblLecturas[Codigo],$A152)-_xlfn.MINIFS(tblLecturas[Fecha],tblLecturas[Codigo],$A152))),1)),"")</f>
        <v>4.5999999999999996</v>
      </c>
      <c r="L152" s="18">
        <f>IFERROR(_xlfn.MAXIFS(tblLecturas[Fecha],tblLecturas[Codigo],$A152),"")</f>
        <v>46125</v>
      </c>
      <c r="M152" s="24">
        <f>IFERROR(_xlfn.MAXIFS(Lecturas!$C:$C,Lecturas!$B:$B,$A152,Lecturas!$C:$C,"&gt;0"),"")</f>
        <v>2438</v>
      </c>
      <c r="N152" s="24">
        <f>IFERROR(_xlfn.MAXIFS(tblLecturas[Kilometraje],tblLecturas[Codigo],$A152,tblLecturas[Kilometraje],"&gt;0"),"")</f>
        <v>0</v>
      </c>
      <c r="O152" s="24" cm="1">
        <f t="array" ref="O152">IFERROR(IF($I152="KM",LOOKUP(2,1/(Lecturas!$B:$B=$A152)/(Lecturas!$D:$D&gt;0),Lecturas!$D:$D),LOOKUP(2,1/(Lecturas!$B:$B=$A152)/(Lecturas!$C:$C&gt;0),Lecturas!$C:$C)),"")</f>
        <v>2438</v>
      </c>
      <c r="P152" s="18">
        <f>IFERROR(_xlfn.MAXIFS(tblMantenciones[Fecha],tblMantenciones[Codigo],tblMaestroEquipos[[#This Row],[Codigo]],tblMantenciones[EsPM],"Sí"),"")</f>
        <v>0</v>
      </c>
      <c r="Q152" s="70" t="str">
        <f>IF(_xlfn.MAXIFS(Mantenciones!$D:$D,Mantenciones!$B:$B,A152)=0,"Sin datos de mantención registrado",_xlfn.MAXIFS(Mantenciones!$D:$D,Mantenciones!$B:$B,A152))</f>
        <v>Sin datos de mantención registrado</v>
      </c>
      <c r="R152" s="16" t="str">
        <f>IFERROR(IF(_xlfn.MAXIFS(Mantenciones!$D:$D,Mantenciones!$B:$B,$A152,Mantenciones!$E:$E,"Sí",Mantenciones!$D:$D,"&gt;0")=0,"Sin datos de mantención registrado",_xlfn.MAXIFS(Mantenciones!$D:$D,Mantenciones!$B:$B,$A152,Mantenciones!$E:$E,"Sí",Mantenciones!$D:$D,"&gt;0")),"Sin datos de mantención registrado")</f>
        <v>Sin datos de mantención registrado</v>
      </c>
      <c r="S152" s="19">
        <f>IFERROR(SUMIFS(tblMantenciones[Costo Mantencion CLP],tblMantenciones[Codigo],A152),0)</f>
        <v>0</v>
      </c>
      <c r="T152" s="19">
        <f>IFERROR(SUMIFS(tblComprasPM[Costo PM CLP],tblComprasPM[Codigo],tblMaestroEquipos[[#This Row],[Codigo]]),0)</f>
        <v>100231.32</v>
      </c>
      <c r="U152" s="19">
        <f>IFERROR(tblMaestroEquipos[[#This Row],[Costo Mantenciones CLP]]+tblMaestroEquipos[[#This Row],[Costo Compras PM CLP]],0)</f>
        <v>100231.32</v>
      </c>
      <c r="V152" s="16" t="str">
        <f>IFERROR(_xlfn.XLOOKUP(tblMaestroEquipos[[#This Row],[Codigo]],tblEquipos[Codigo],tblEquipos[Estado Base]),"")</f>
        <v>Operativo</v>
      </c>
      <c r="W152" s="16" t="str">
        <f t="shared" si="16"/>
        <v>POR RECIBIR</v>
      </c>
      <c r="X152" s="16" t="str">
        <f t="shared" si="17"/>
        <v/>
      </c>
      <c r="Y152"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52" s="23">
        <f>IFERROR(IF(_xlfn.MINIFS(tblComprasPM[Fecha],tblComprasPM[Codigo],tblMaestroEquipos[[#This Row],[Codigo]])=0,"",_xlfn.MINIFS(tblComprasPM[Fecha],tblComprasPM[Codigo],tblMaestroEquipos[[#This Row],[Codigo]])),"")</f>
        <v>46156.414239004604</v>
      </c>
      <c r="AA152" s="23">
        <f>IFERROR(IF(_xlfn.MAXIFS(tblBodega[Fecha],tblBodega[Codigo],tblMaestroEquipos[[#This Row],[Codigo]])=0,"",_xlfn.MAXIFS(tblBodega[Fecha],tblBodega[Codigo],tblMaestroEquipos[[#This Row],[Codigo]])),"")</f>
        <v>46153</v>
      </c>
      <c r="AB152"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84</v>
      </c>
      <c r="AC152"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87</v>
      </c>
      <c r="AD152" s="16" t="str">
        <f>IF(tblMaestroEquipos[[#This Row],[Fecha Salida Bodega]]="","SIN SALIDA BODEGA",IF(OR(tblMaestroEquipos[[#This Row],[Ultima Fecha PM]]="",tblMaestroEquipos[[#This Row],[Ultima Fecha PM]]&lt;tblMaestroEquipos[[#This Row],[Fecha Salida Bodega]]),"PENDIENTE","CERRADO"))</f>
        <v>PENDIENTE</v>
      </c>
      <c r="AE152" s="48" t="str">
        <f t="shared" si="18"/>
        <v>OPERATIVO</v>
      </c>
      <c r="AF152" s="16" t="str">
        <f t="shared" si="19"/>
        <v>BAJA</v>
      </c>
      <c r="AG152" s="16" t="str">
        <f t="shared" si="20"/>
        <v>Monitorear próximo vencimiento</v>
      </c>
      <c r="AH152">
        <f t="shared" si="21"/>
        <v>0</v>
      </c>
      <c r="AI152" t="str">
        <f t="shared" si="22"/>
        <v/>
      </c>
      <c r="AJ152" s="22">
        <f t="shared" si="23"/>
        <v>3</v>
      </c>
    </row>
    <row r="153" spans="1:36">
      <c r="A153" s="16" t="s">
        <v>458</v>
      </c>
      <c r="B153" s="16" t="s">
        <v>264</v>
      </c>
      <c r="C153" s="16" t="s">
        <v>1385</v>
      </c>
      <c r="D153" s="16" t="s">
        <v>265</v>
      </c>
      <c r="E153" s="17" t="s">
        <v>266</v>
      </c>
      <c r="F153" s="16">
        <v>2024</v>
      </c>
      <c r="G153" s="17" t="str">
        <f>IFERROR(_xlfn.XLOOKUP($A153,tblEquipos[Codigo],tblEquipos[Ubicacion],""),"")</f>
        <v>Palmucho</v>
      </c>
      <c r="H153" s="16" t="s">
        <v>422</v>
      </c>
      <c r="I153" s="16" t="str">
        <f>IFERROR(VLOOKUP(A153, Equipos!A:J, 9, FALSE), "")</f>
        <v>HORAS</v>
      </c>
      <c r="J153" s="16">
        <f>IFERROR(VLOOKUP(A153, Equipos!A:J, 10, FALSE), "")</f>
        <v>250</v>
      </c>
      <c r="K153" s="16">
        <f>IFERROR(IF($I153="KM",ROUND((_xlfn.MAXIFS(tblLecturas[Kilometraje],tblLecturas[Codigo],$A153)-_xlfn.MINIFS(tblLecturas[Kilometraje],tblLecturas[Codigo],$A153))/(MAX(1,_xlfn.MAXIFS(tblLecturas[Fecha],tblLecturas[Codigo],$A153)-_xlfn.MINIFS(tblLecturas[Fecha],tblLecturas[Codigo],$A153))),1),ROUND((_xlfn.MAXIFS(tblLecturas[Horometro],tblLecturas[Codigo],$A153)-_xlfn.MINIFS(tblLecturas[Horometro],tblLecturas[Codigo],$A153))/(MAX(1,_xlfn.MAXIFS(tblLecturas[Fecha],tblLecturas[Codigo],$A153)-_xlfn.MINIFS(tblLecturas[Fecha],tblLecturas[Codigo],$A153))),1)),"")</f>
        <v>3.6</v>
      </c>
      <c r="L153" s="18">
        <f>IFERROR(_xlfn.MAXIFS(tblLecturas[Fecha],tblLecturas[Codigo],$A153),"")</f>
        <v>46195</v>
      </c>
      <c r="M153" s="24">
        <f>IFERROR(_xlfn.MAXIFS(Lecturas!$C:$C,Lecturas!$B:$B,$A153,Lecturas!$C:$C,"&gt;0"),"")</f>
        <v>2587</v>
      </c>
      <c r="N153" s="24">
        <f>IFERROR(_xlfn.MAXIFS(tblLecturas[Kilometraje],tblLecturas[Codigo],$A153,tblLecturas[Kilometraje],"&gt;0"),"")</f>
        <v>53059</v>
      </c>
      <c r="O153" s="24" cm="1">
        <f t="array" ref="O153">IFERROR(IF($I153="KM",LOOKUP(2,1/(Lecturas!$B:$B=$A153)/(Lecturas!$D:$D&gt;0),Lecturas!$D:$D),LOOKUP(2,1/(Lecturas!$B:$B=$A153)/(Lecturas!$C:$C&gt;0),Lecturas!$C:$C)),"")</f>
        <v>2587</v>
      </c>
      <c r="P153" s="18">
        <f>IFERROR(_xlfn.MAXIFS(tblMantenciones[Fecha],tblMantenciones[Codigo],tblMaestroEquipos[[#This Row],[Codigo]],tblMantenciones[EsPM],"Sí"),"")</f>
        <v>46197</v>
      </c>
      <c r="Q153" s="70">
        <f>IF(_xlfn.MAXIFS(Mantenciones!$D:$D,Mantenciones!$B:$B,A153)=0,"Sin datos de mantención registrado",_xlfn.MAXIFS(Mantenciones!$D:$D,Mantenciones!$B:$B,A153))</f>
        <v>2589</v>
      </c>
      <c r="R153" s="16">
        <f>IFERROR(IF(_xlfn.MAXIFS(Mantenciones!$D:$D,Mantenciones!$B:$B,$A153,Mantenciones!$E:$E,"Sí",Mantenciones!$D:$D,"&gt;0")=0,"Sin datos de mantención registrado",_xlfn.MAXIFS(Mantenciones!$D:$D,Mantenciones!$B:$B,$A153,Mantenciones!$E:$E,"Sí",Mantenciones!$D:$D,"&gt;0")),"Sin datos de mantención registrado")</f>
        <v>2589</v>
      </c>
      <c r="S153" s="19">
        <f>IFERROR(SUMIFS(tblMantenciones[Costo Mantencion CLP],tblMantenciones[Codigo],A153),0)</f>
        <v>0</v>
      </c>
      <c r="T153" s="19">
        <f>IFERROR(SUMIFS(tblComprasPM[Costo PM CLP],tblComprasPM[Codigo],tblMaestroEquipos[[#This Row],[Codigo]]),0)</f>
        <v>632698.01</v>
      </c>
      <c r="U153" s="19">
        <f>IFERROR(tblMaestroEquipos[[#This Row],[Costo Mantenciones CLP]]+tblMaestroEquipos[[#This Row],[Costo Compras PM CLP]],0)</f>
        <v>632698.01</v>
      </c>
      <c r="V153" s="16" t="str">
        <f>IFERROR(_xlfn.XLOOKUP(tblMaestroEquipos[[#This Row],[Codigo]],tblEquipos[Codigo],tblEquipos[Estado Base]),"")</f>
        <v>Operativo</v>
      </c>
      <c r="W153" s="16" t="str">
        <f t="shared" si="16"/>
        <v>EN PROCESO</v>
      </c>
      <c r="X153" s="16">
        <f t="shared" si="17"/>
        <v>252</v>
      </c>
      <c r="Y153" s="23">
        <f>IFERROR(IF(OR(tblMaestroEquipos[[#This Row],[Estado Operacional]]="FUERA DE SERVICIO",tblMaestroEquipos[[#This Row],[Ultima Fecha Lectura]]="",tblMaestroEquipos[[#This Row],[Dias a Proxima Mantencion]]=""),"",tblMaestroEquipos[[#This Row],[Ultima Fecha Lectura]]+tblMaestroEquipos[[#This Row],[Dias a Proxima Mantencion]]),"")</f>
        <v>46447</v>
      </c>
      <c r="Z153" s="23">
        <f>IFERROR(IF(_xlfn.MINIFS(tblComprasPM[Fecha],tblComprasPM[Codigo],tblMaestroEquipos[[#This Row],[Codigo]])=0,"",_xlfn.MINIFS(tblComprasPM[Fecha],tblComprasPM[Codigo],tblMaestroEquipos[[#This Row],[Codigo]])),"")</f>
        <v>46093.6329742245</v>
      </c>
      <c r="AA153" s="23" t="str">
        <f>IFERROR(IF(_xlfn.MAXIFS(tblBodega[Fecha],tblBodega[Codigo],tblMaestroEquipos[[#This Row],[Codigo]])=0,"",_xlfn.MAXIFS(tblBodega[Fecha],tblBodega[Codigo],tblMaestroEquipos[[#This Row],[Codigo]])),"")</f>
        <v/>
      </c>
      <c r="AB153"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104</v>
      </c>
      <c r="AC153"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53" s="16" t="str">
        <f>IF(tblMaestroEquipos[[#This Row],[Fecha Salida Bodega]]="","SIN SALIDA BODEGA",IF(OR(tblMaestroEquipos[[#This Row],[Ultima Fecha PM]]="",tblMaestroEquipos[[#This Row],[Ultima Fecha PM]]&lt;tblMaestroEquipos[[#This Row],[Fecha Salida Bodega]]),"PENDIENTE","CERRADO"))</f>
        <v>SIN SALIDA BODEGA</v>
      </c>
      <c r="AE153" s="48" t="str">
        <f t="shared" si="18"/>
        <v>EN PROCESO</v>
      </c>
      <c r="AF153" s="16" t="str">
        <f t="shared" si="19"/>
        <v>SEGUIMIENTO</v>
      </c>
      <c r="AG153" s="16" t="str">
        <f t="shared" si="20"/>
        <v>Hacer seguimiento al taller y cerrar report</v>
      </c>
      <c r="AH153">
        <f t="shared" si="21"/>
        <v>0</v>
      </c>
      <c r="AI153" t="str">
        <f t="shared" si="22"/>
        <v/>
      </c>
      <c r="AJ153" s="22">
        <f t="shared" si="23"/>
        <v>2</v>
      </c>
    </row>
    <row r="154" spans="1:36">
      <c r="A154" s="16" t="s">
        <v>460</v>
      </c>
      <c r="B154" s="16" t="s">
        <v>461</v>
      </c>
      <c r="C154" s="16" t="s">
        <v>1414</v>
      </c>
      <c r="D154" s="16" t="s">
        <v>98</v>
      </c>
      <c r="E154" s="17" t="s">
        <v>462</v>
      </c>
      <c r="F154" s="16">
        <v>2023</v>
      </c>
      <c r="G154" s="17" t="str">
        <f>IFERROR(_xlfn.XLOOKUP($A154,tblEquipos[Codigo],tblEquipos[Ubicacion],""),"")</f>
        <v>Obras Varias</v>
      </c>
      <c r="H154" s="16" t="s">
        <v>267</v>
      </c>
      <c r="I154" s="16" t="str">
        <f>IFERROR(VLOOKUP(A154, Equipos!A:J, 9, FALSE), "")</f>
        <v>KM</v>
      </c>
      <c r="J154" s="16">
        <f>IFERROR(VLOOKUP(A154, Equipos!A:J, 10, FALSE), "")</f>
        <v>15000</v>
      </c>
      <c r="K154" s="16">
        <f>IFERROR(IF($I154="KM",ROUND((_xlfn.MAXIFS(tblLecturas[Kilometraje],tblLecturas[Codigo],$A154)-_xlfn.MINIFS(tblLecturas[Kilometraje],tblLecturas[Codigo],$A154))/(MAX(1,_xlfn.MAXIFS(tblLecturas[Fecha],tblLecturas[Codigo],$A154)-_xlfn.MINIFS(tblLecturas[Fecha],tblLecturas[Codigo],$A154))),1),ROUND((_xlfn.MAXIFS(tblLecturas[Horometro],tblLecturas[Codigo],$A154)-_xlfn.MINIFS(tblLecturas[Horometro],tblLecturas[Codigo],$A154))/(MAX(1,_xlfn.MAXIFS(tblLecturas[Fecha],tblLecturas[Codigo],$A154)-_xlfn.MINIFS(tblLecturas[Fecha],tblLecturas[Codigo],$A154))),1)),"")</f>
        <v>55.5</v>
      </c>
      <c r="L154" s="18">
        <f>IFERROR(_xlfn.MAXIFS(tblLecturas[Fecha],tblLecturas[Codigo],$A154),"")</f>
        <v>46139</v>
      </c>
      <c r="M154" s="24">
        <f>IFERROR(_xlfn.MAXIFS(Lecturas!$C:$C,Lecturas!$B:$B,$A154,Lecturas!$C:$C,"&gt;0"),"")</f>
        <v>0</v>
      </c>
      <c r="N154" s="24">
        <f>IFERROR(_xlfn.MAXIFS(tblLecturas[Kilometraje],tblLecturas[Codigo],$A154,tblLecturas[Kilometraje],"&gt;0"),"")</f>
        <v>99450</v>
      </c>
      <c r="O154" s="24" cm="1">
        <f t="array" ref="O154">IFERROR(IF($I154="KM",LOOKUP(2,1/(Lecturas!$B:$B=$A154)/(Lecturas!$D:$D&gt;0),Lecturas!$D:$D),LOOKUP(2,1/(Lecturas!$B:$B=$A154)/(Lecturas!$C:$C&gt;0),Lecturas!$C:$C)),"")</f>
        <v>97507</v>
      </c>
      <c r="P154" s="18">
        <f>IFERROR(_xlfn.MAXIFS(tblMantenciones[Fecha],tblMantenciones[Codigo],tblMaestroEquipos[[#This Row],[Codigo]],tblMantenciones[EsPM],"Sí"),"")</f>
        <v>46147</v>
      </c>
      <c r="Q154" s="70">
        <f>IF(_xlfn.MAXIFS(Mantenciones!$D:$D,Mantenciones!$B:$B,A154)=0,"Sin datos de mantención registrado",_xlfn.MAXIFS(Mantenciones!$D:$D,Mantenciones!$B:$B,A154))</f>
        <v>99593</v>
      </c>
      <c r="R154" s="16">
        <f>IFERROR(IF(_xlfn.MAXIFS(Mantenciones!$D:$D,Mantenciones!$B:$B,$A154,Mantenciones!$E:$E,"Sí",Mantenciones!$D:$D,"&gt;0")=0,"Sin datos de mantención registrado",_xlfn.MAXIFS(Mantenciones!$D:$D,Mantenciones!$B:$B,$A154,Mantenciones!$E:$E,"Sí",Mantenciones!$D:$D,"&gt;0")),"Sin datos de mantención registrado")</f>
        <v>99593</v>
      </c>
      <c r="S154" s="19">
        <f>IFERROR(SUMIFS(tblMantenciones[Costo Mantencion CLP],tblMantenciones[Codigo],A154),0)</f>
        <v>0</v>
      </c>
      <c r="T154" s="19">
        <f>IFERROR(SUMIFS(tblComprasPM[Costo PM CLP],tblComprasPM[Codigo],tblMaestroEquipos[[#This Row],[Codigo]]),0)</f>
        <v>0</v>
      </c>
      <c r="U154" s="19">
        <f>IFERROR(tblMaestroEquipos[[#This Row],[Costo Mantenciones CLP]]+tblMaestroEquipos[[#This Row],[Costo Compras PM CLP]],0)</f>
        <v>0</v>
      </c>
      <c r="V154" s="16" t="str">
        <f>IFERROR(_xlfn.XLOOKUP(tblMaestroEquipos[[#This Row],[Codigo]],tblEquipos[Codigo],tblEquipos[Estado Base]),"")</f>
        <v>Operativo</v>
      </c>
      <c r="W154" s="16" t="str">
        <f t="shared" si="16"/>
        <v>AL DÍA</v>
      </c>
      <c r="X154" s="16">
        <f t="shared" si="17"/>
        <v>17086</v>
      </c>
      <c r="Y154" s="23">
        <f>IFERROR(IF(OR(tblMaestroEquipos[[#This Row],[Estado Operacional]]="FUERA DE SERVICIO",tblMaestroEquipos[[#This Row],[Ultima Fecha Lectura]]="",tblMaestroEquipos[[#This Row],[Dias a Proxima Mantencion]]=""),"",tblMaestroEquipos[[#This Row],[Ultima Fecha Lectura]]+tblMaestroEquipos[[#This Row],[Dias a Proxima Mantencion]]),"")</f>
        <v>63225</v>
      </c>
      <c r="Z154" s="23" t="str">
        <f>IFERROR(IF(_xlfn.MINIFS(tblComprasPM[Fecha],tblComprasPM[Codigo],tblMaestroEquipos[[#This Row],[Codigo]])=0,"",_xlfn.MINIFS(tblComprasPM[Fecha],tblComprasPM[Codigo],tblMaestroEquipos[[#This Row],[Codigo]])),"")</f>
        <v/>
      </c>
      <c r="AA154" s="23">
        <f>IFERROR(IF(_xlfn.MAXIFS(tblBodega[Fecha],tblBodega[Codigo],tblMaestroEquipos[[#This Row],[Codigo]])=0,"",_xlfn.MAXIFS(tblBodega[Fecha],tblBodega[Codigo],tblMaestroEquipos[[#This Row],[Codigo]])),"")</f>
        <v>46147</v>
      </c>
      <c r="AB154"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54"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54" s="16" t="str">
        <f>IF(tblMaestroEquipos[[#This Row],[Fecha Salida Bodega]]="","SIN SALIDA BODEGA",IF(OR(tblMaestroEquipos[[#This Row],[Ultima Fecha PM]]="",tblMaestroEquipos[[#This Row],[Ultima Fecha PM]]&lt;tblMaestroEquipos[[#This Row],[Fecha Salida Bodega]]),"PENDIENTE","CERRADO"))</f>
        <v>CERRADO</v>
      </c>
      <c r="AE154" s="48" t="str">
        <f t="shared" si="18"/>
        <v>OPERATIVO</v>
      </c>
      <c r="AF154" s="16" t="str">
        <f t="shared" si="19"/>
        <v>BAJA</v>
      </c>
      <c r="AG154" s="16" t="str">
        <f t="shared" si="20"/>
        <v>Monitorear próximo vencimiento</v>
      </c>
      <c r="AH154">
        <f t="shared" si="21"/>
        <v>0</v>
      </c>
      <c r="AI154" t="str">
        <f t="shared" si="22"/>
        <v/>
      </c>
      <c r="AJ154" s="22">
        <f t="shared" si="23"/>
        <v>99</v>
      </c>
    </row>
    <row r="155" spans="1:36" s="25" customFormat="1">
      <c r="A155" s="16" t="s">
        <v>464</v>
      </c>
      <c r="B155" s="16" t="s">
        <v>461</v>
      </c>
      <c r="C155" s="16" t="s">
        <v>1414</v>
      </c>
      <c r="D155" s="16" t="s">
        <v>98</v>
      </c>
      <c r="E155" s="17" t="s">
        <v>462</v>
      </c>
      <c r="F155" s="16">
        <v>2023</v>
      </c>
      <c r="G155" s="17" t="str">
        <f>IFERROR(_xlfn.XLOOKUP($A155,tblEquipos[Codigo],tblEquipos[Ubicacion],""),"")</f>
        <v>Colbun</v>
      </c>
      <c r="H155" s="16" t="s">
        <v>645</v>
      </c>
      <c r="I155" s="16" t="str">
        <f>IFERROR(VLOOKUP(A155, Equipos!A:J, 9, FALSE), "")</f>
        <v>KM</v>
      </c>
      <c r="J155" s="16">
        <f>IFERROR(VLOOKUP(A155, Equipos!A:J, 10, FALSE), "")</f>
        <v>15000</v>
      </c>
      <c r="K155" s="16">
        <f>IFERROR(IF($I155="KM",ROUND((_xlfn.MAXIFS(tblLecturas[Kilometraje],tblLecturas[Codigo],$A155)-_xlfn.MINIFS(tblLecturas[Kilometraje],tblLecturas[Codigo],$A155))/(MAX(1,_xlfn.MAXIFS(tblLecturas[Fecha],tblLecturas[Codigo],$A155)-_xlfn.MINIFS(tblLecturas[Fecha],tblLecturas[Codigo],$A155))),1),ROUND((_xlfn.MAXIFS(tblLecturas[Horometro],tblLecturas[Codigo],$A155)-_xlfn.MINIFS(tblLecturas[Horometro],tblLecturas[Codigo],$A155))/(MAX(1,_xlfn.MAXIFS(tblLecturas[Fecha],tblLecturas[Codigo],$A155)-_xlfn.MINIFS(tblLecturas[Fecha],tblLecturas[Codigo],$A155))),1)),"")</f>
        <v>131.5</v>
      </c>
      <c r="L155" s="18">
        <f>IFERROR(_xlfn.MAXIFS(tblLecturas[Fecha],tblLecturas[Codigo],$A155),"")</f>
        <v>46161</v>
      </c>
      <c r="M155" s="24">
        <f>IFERROR(_xlfn.MAXIFS(Lecturas!$C:$C,Lecturas!$B:$B,$A155,Lecturas!$C:$C,"&gt;0"),"")</f>
        <v>0</v>
      </c>
      <c r="N155" s="24">
        <f>IFERROR(_xlfn.MAXIFS(tblLecturas[Kilometraje],tblLecturas[Codigo],$A155,tblLecturas[Kilometraje],"&gt;0"),"")</f>
        <v>116347</v>
      </c>
      <c r="O155" s="24" cm="1">
        <f t="array" ref="O155">IFERROR(IF($I155="KM",LOOKUP(2,1/(Lecturas!$B:$B=$A155)/(Lecturas!$D:$D&gt;0),Lecturas!$D:$D),LOOKUP(2,1/(Lecturas!$B:$B=$A155)/(Lecturas!$C:$C&gt;0),Lecturas!$C:$C)),"")</f>
        <v>116347</v>
      </c>
      <c r="P155" s="18">
        <f>IFERROR(_xlfn.MAXIFS(tblMantenciones[Fecha],tblMantenciones[Codigo],tblMaestroEquipos[[#This Row],[Codigo]],tblMantenciones[EsPM],"Sí"),"")</f>
        <v>46161</v>
      </c>
      <c r="Q155" s="70">
        <f>IF(_xlfn.MAXIFS(Mantenciones!$D:$D,Mantenciones!$B:$B,A155)=0,"Sin datos de mantención registrado",_xlfn.MAXIFS(Mantenciones!$D:$D,Mantenciones!$B:$B,A155))</f>
        <v>116347</v>
      </c>
      <c r="R155" s="16">
        <f>IFERROR(IF(_xlfn.MAXIFS(Mantenciones!$D:$D,Mantenciones!$B:$B,$A155,Mantenciones!$E:$E,"Sí",Mantenciones!$D:$D,"&gt;0")=0,"Sin datos de mantención registrado",_xlfn.MAXIFS(Mantenciones!$D:$D,Mantenciones!$B:$B,$A155,Mantenciones!$E:$E,"Sí",Mantenciones!$D:$D,"&gt;0")),"Sin datos de mantención registrado")</f>
        <v>116347</v>
      </c>
      <c r="S155" s="19">
        <f>IFERROR(SUMIFS(tblMantenciones[Costo Mantencion CLP],tblMantenciones[Codigo],A155),0)</f>
        <v>0</v>
      </c>
      <c r="T155" s="19">
        <f>IFERROR(SUMIFS(tblComprasPM[Costo PM CLP],tblComprasPM[Codigo],tblMaestroEquipos[[#This Row],[Codigo]]),0)</f>
        <v>0</v>
      </c>
      <c r="U155" s="19">
        <f>IFERROR(tblMaestroEquipos[[#This Row],[Costo Mantenciones CLP]]+tblMaestroEquipos[[#This Row],[Costo Compras PM CLP]],0)</f>
        <v>0</v>
      </c>
      <c r="V155" s="16" t="str">
        <f>IFERROR(_xlfn.XLOOKUP(tblMaestroEquipos[[#This Row],[Codigo]],tblEquipos[Codigo],tblEquipos[Estado Base]),"")</f>
        <v>Operativo</v>
      </c>
      <c r="W155" s="16" t="str">
        <f t="shared" si="16"/>
        <v>AL DÍA</v>
      </c>
      <c r="X155" s="16">
        <f t="shared" si="17"/>
        <v>15000</v>
      </c>
      <c r="Y155" s="23">
        <f>IFERROR(IF(OR(tblMaestroEquipos[[#This Row],[Estado Operacional]]="FUERA DE SERVICIO",tblMaestroEquipos[[#This Row],[Ultima Fecha Lectura]]="",tblMaestroEquipos[[#This Row],[Dias a Proxima Mantencion]]=""),"",tblMaestroEquipos[[#This Row],[Ultima Fecha Lectura]]+tblMaestroEquipos[[#This Row],[Dias a Proxima Mantencion]]),"")</f>
        <v>61161</v>
      </c>
      <c r="Z155" s="23" t="str">
        <f>IFERROR(IF(_xlfn.MINIFS(tblComprasPM[Fecha],tblComprasPM[Codigo],tblMaestroEquipos[[#This Row],[Codigo]])=0,"",_xlfn.MINIFS(tblComprasPM[Fecha],tblComprasPM[Codigo],tblMaestroEquipos[[#This Row],[Codigo]])),"")</f>
        <v/>
      </c>
      <c r="AA155" s="23">
        <f>IFERROR(IF(_xlfn.MAXIFS(tblBodega[Fecha],tblBodega[Codigo],tblMaestroEquipos[[#This Row],[Codigo]])=0,"",_xlfn.MAXIFS(tblBodega[Fecha],tblBodega[Codigo],tblMaestroEquipos[[#This Row],[Codigo]])),"")</f>
        <v>46161</v>
      </c>
      <c r="AB155"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5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55" s="16" t="str">
        <f>IF(tblMaestroEquipos[[#This Row],[Fecha Salida Bodega]]="","SIN SALIDA BODEGA",IF(OR(tblMaestroEquipos[[#This Row],[Ultima Fecha PM]]="",tblMaestroEquipos[[#This Row],[Ultima Fecha PM]]&lt;tblMaestroEquipos[[#This Row],[Fecha Salida Bodega]]),"PENDIENTE","CERRADO"))</f>
        <v>CERRADO</v>
      </c>
      <c r="AE155" s="48" t="str">
        <f t="shared" si="18"/>
        <v>OPERATIVO</v>
      </c>
      <c r="AF155" s="16" t="str">
        <f t="shared" si="19"/>
        <v>BAJA</v>
      </c>
      <c r="AG155" s="16" t="str">
        <f t="shared" si="20"/>
        <v>Monitorear próximo vencimiento</v>
      </c>
      <c r="AH155">
        <f t="shared" si="21"/>
        <v>0</v>
      </c>
      <c r="AI155" t="str">
        <f t="shared" si="22"/>
        <v/>
      </c>
      <c r="AJ155" s="22">
        <f t="shared" si="23"/>
        <v>99</v>
      </c>
    </row>
    <row r="156" spans="1:36" s="25" customFormat="1">
      <c r="A156" s="16" t="s">
        <v>467</v>
      </c>
      <c r="B156" s="16" t="s">
        <v>461</v>
      </c>
      <c r="C156" s="16" t="s">
        <v>1414</v>
      </c>
      <c r="D156" s="16" t="s">
        <v>468</v>
      </c>
      <c r="E156" s="17" t="s">
        <v>902</v>
      </c>
      <c r="F156" s="16">
        <v>2024</v>
      </c>
      <c r="G156" s="17" t="str">
        <f>IFERROR(_xlfn.XLOOKUP($A156,tblEquipos[Codigo],tblEquipos[Ubicacion],""),"")</f>
        <v>Taller ext (del valle)</v>
      </c>
      <c r="H156" s="16" t="s">
        <v>471</v>
      </c>
      <c r="I156" s="16" t="str">
        <f>IFERROR(VLOOKUP(A156, Equipos!A:J, 9, FALSE), "")</f>
        <v>KM</v>
      </c>
      <c r="J156" s="16">
        <f>IFERROR(VLOOKUP(A156, Equipos!A:J, 10, FALSE), "")</f>
        <v>15000</v>
      </c>
      <c r="K156" s="16">
        <f>IFERROR(IF($I156="KM",ROUND((_xlfn.MAXIFS(tblLecturas[Kilometraje],tblLecturas[Codigo],$A156)-_xlfn.MINIFS(tblLecturas[Kilometraje],tblLecturas[Codigo],$A156))/(MAX(1,_xlfn.MAXIFS(tblLecturas[Fecha],tblLecturas[Codigo],$A156)-_xlfn.MINIFS(tblLecturas[Fecha],tblLecturas[Codigo],$A156))),1),ROUND((_xlfn.MAXIFS(tblLecturas[Horometro],tblLecturas[Codigo],$A156)-_xlfn.MINIFS(tblLecturas[Horometro],tblLecturas[Codigo],$A156))/(MAX(1,_xlfn.MAXIFS(tblLecturas[Fecha],tblLecturas[Codigo],$A156)-_xlfn.MINIFS(tblLecturas[Fecha],tblLecturas[Codigo],$A156))),1)),"")</f>
        <v>151.30000000000001</v>
      </c>
      <c r="L156" s="18">
        <f>IFERROR(_xlfn.MAXIFS(tblLecturas[Fecha],tblLecturas[Codigo],$A156),"")</f>
        <v>46105</v>
      </c>
      <c r="M156" s="24">
        <f>IFERROR(_xlfn.MAXIFS(Lecturas!$C:$C,Lecturas!$B:$B,$A156,Lecturas!$C:$C,"&gt;0"),"")</f>
        <v>0</v>
      </c>
      <c r="N156" s="24">
        <f>IFERROR(_xlfn.MAXIFS(tblLecturas[Kilometraje],tblLecturas[Codigo],$A156,tblLecturas[Kilometraje],"&gt;0"),"")</f>
        <v>108622</v>
      </c>
      <c r="O156" s="24" cm="1">
        <f t="array" ref="O156">IFERROR(IF($I156="KM",LOOKUP(2,1/(Lecturas!$B:$B=$A156)/(Lecturas!$D:$D&gt;0),Lecturas!$D:$D),LOOKUP(2,1/(Lecturas!$B:$B=$A156)/(Lecturas!$C:$C&gt;0),Lecturas!$C:$C)),"")</f>
        <v>105293</v>
      </c>
      <c r="P156" s="18">
        <f>IFERROR(_xlfn.MAXIFS(tblMantenciones[Fecha],tblMantenciones[Codigo],tblMaestroEquipos[[#This Row],[Codigo]],tblMantenciones[EsPM],"Sí"),"")</f>
        <v>46087</v>
      </c>
      <c r="Q156" s="70">
        <f>IF(_xlfn.MAXIFS(Mantenciones!$D:$D,Mantenciones!$B:$B,A156)=0,"Sin datos de mantención registrado",_xlfn.MAXIFS(Mantenciones!$D:$D,Mantenciones!$B:$B,A156))</f>
        <v>105962</v>
      </c>
      <c r="R156" s="16">
        <f>IFERROR(IF(_xlfn.MAXIFS(Mantenciones!$D:$D,Mantenciones!$B:$B,$A156,Mantenciones!$E:$E,"Sí",Mantenciones!$D:$D,"&gt;0")=0,"Sin datos de mantención registrado",_xlfn.MAXIFS(Mantenciones!$D:$D,Mantenciones!$B:$B,$A156,Mantenciones!$E:$E,"Sí",Mantenciones!$D:$D,"&gt;0")),"Sin datos de mantención registrado")</f>
        <v>105962</v>
      </c>
      <c r="S156" s="19">
        <f>IFERROR(SUMIFS(tblMantenciones[Costo Mantencion CLP],tblMantenciones[Codigo],A156),0)</f>
        <v>0</v>
      </c>
      <c r="T156" s="19">
        <f>IFERROR(SUMIFS(tblComprasPM[Costo PM CLP],tblComprasPM[Codigo],tblMaestroEquipos[[#This Row],[Codigo]]),0)</f>
        <v>0</v>
      </c>
      <c r="U156" s="19">
        <f>IFERROR(tblMaestroEquipos[[#This Row],[Costo Mantenciones CLP]]+tblMaestroEquipos[[#This Row],[Costo Compras PM CLP]],0)</f>
        <v>0</v>
      </c>
      <c r="V156" s="16" t="str">
        <f>IFERROR(_xlfn.XLOOKUP(tblMaestroEquipos[[#This Row],[Codigo]],tblEquipos[Codigo],tblEquipos[Estado Base]),"")</f>
        <v>Taller</v>
      </c>
      <c r="W156" s="16" t="str">
        <f t="shared" si="16"/>
        <v>EN TALLER</v>
      </c>
      <c r="X156" s="16">
        <f t="shared" si="17"/>
        <v>15669</v>
      </c>
      <c r="Y156" s="23">
        <f>IFERROR(IF(OR(tblMaestroEquipos[[#This Row],[Estado Operacional]]="FUERA DE SERVICIO",tblMaestroEquipos[[#This Row],[Ultima Fecha Lectura]]="",tblMaestroEquipos[[#This Row],[Dias a Proxima Mantencion]]=""),"",tblMaestroEquipos[[#This Row],[Ultima Fecha Lectura]]+tblMaestroEquipos[[#This Row],[Dias a Proxima Mantencion]]),"")</f>
        <v>61774</v>
      </c>
      <c r="Z156" s="23" t="str">
        <f>IFERROR(IF(_xlfn.MINIFS(tblComprasPM[Fecha],tblComprasPM[Codigo],tblMaestroEquipos[[#This Row],[Codigo]])=0,"",_xlfn.MINIFS(tblComprasPM[Fecha],tblComprasPM[Codigo],tblMaestroEquipos[[#This Row],[Codigo]])),"")</f>
        <v/>
      </c>
      <c r="AA156" s="23">
        <f>IFERROR(IF(_xlfn.MAXIFS(tblBodega[Fecha],tblBodega[Codigo],tblMaestroEquipos[[#This Row],[Codigo]])=0,"",_xlfn.MAXIFS(tblBodega[Fecha],tblBodega[Codigo],tblMaestroEquipos[[#This Row],[Codigo]])),"")</f>
        <v>46087</v>
      </c>
      <c r="AB156"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56"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56" s="16" t="str">
        <f>IF(tblMaestroEquipos[[#This Row],[Fecha Salida Bodega]]="","SIN SALIDA BODEGA",IF(OR(tblMaestroEquipos[[#This Row],[Ultima Fecha PM]]="",tblMaestroEquipos[[#This Row],[Ultima Fecha PM]]&lt;tblMaestroEquipos[[#This Row],[Fecha Salida Bodega]]),"PENDIENTE","CERRADO"))</f>
        <v>CERRADO</v>
      </c>
      <c r="AE156" s="48" t="str">
        <f t="shared" si="18"/>
        <v>EN TALLER</v>
      </c>
      <c r="AF156" s="16" t="str">
        <f t="shared" si="19"/>
        <v>BAJA</v>
      </c>
      <c r="AG156" s="16" t="str">
        <f t="shared" si="20"/>
        <v>Monitorear próximo vencimiento</v>
      </c>
      <c r="AH156">
        <f t="shared" si="21"/>
        <v>0</v>
      </c>
      <c r="AI156" t="str">
        <f t="shared" si="22"/>
        <v/>
      </c>
      <c r="AJ156" s="22">
        <f t="shared" si="23"/>
        <v>99</v>
      </c>
    </row>
    <row r="157" spans="1:36" s="25" customFormat="1">
      <c r="A157" s="16" t="s">
        <v>472</v>
      </c>
      <c r="B157" s="16" t="s">
        <v>461</v>
      </c>
      <c r="C157" s="16" t="s">
        <v>1414</v>
      </c>
      <c r="D157" s="16" t="s">
        <v>468</v>
      </c>
      <c r="E157" s="17" t="s">
        <v>902</v>
      </c>
      <c r="F157" s="16">
        <v>2024</v>
      </c>
      <c r="G157" s="17" t="str">
        <f>IFERROR(_xlfn.XLOOKUP($A157,tblEquipos[Codigo],tblEquipos[Ubicacion],""),"")</f>
        <v>Taller</v>
      </c>
      <c r="H157" s="16" t="s">
        <v>471</v>
      </c>
      <c r="I157" s="16" t="str">
        <f>IFERROR(VLOOKUP(A157, Equipos!A:J, 9, FALSE), "")</f>
        <v>KM</v>
      </c>
      <c r="J157" s="16">
        <f>IFERROR(VLOOKUP(A157, Equipos!A:J, 10, FALSE), "")</f>
        <v>15000</v>
      </c>
      <c r="K157" s="16">
        <f>IFERROR(IF($I157="KM",ROUND((_xlfn.MAXIFS(tblLecturas[Kilometraje],tblLecturas[Codigo],$A157)-_xlfn.MINIFS(tblLecturas[Kilometraje],tblLecturas[Codigo],$A157))/(MAX(1,_xlfn.MAXIFS(tblLecturas[Fecha],tblLecturas[Codigo],$A157)-_xlfn.MINIFS(tblLecturas[Fecha],tblLecturas[Codigo],$A157))),1),ROUND((_xlfn.MAXIFS(tblLecturas[Horometro],tblLecturas[Codigo],$A157)-_xlfn.MINIFS(tblLecturas[Horometro],tblLecturas[Codigo],$A157))/(MAX(1,_xlfn.MAXIFS(tblLecturas[Fecha],tblLecturas[Codigo],$A157)-_xlfn.MINIFS(tblLecturas[Fecha],tblLecturas[Codigo],$A157))),1)),"")</f>
        <v>144.69999999999999</v>
      </c>
      <c r="L157" s="18">
        <f>IFERROR(_xlfn.MAXIFS(tblLecturas[Fecha],tblLecturas[Codigo],$A157),"")</f>
        <v>46155</v>
      </c>
      <c r="M157" s="24">
        <f>IFERROR(_xlfn.MAXIFS(Lecturas!$C:$C,Lecturas!$B:$B,$A157,Lecturas!$C:$C,"&gt;0"),"")</f>
        <v>0</v>
      </c>
      <c r="N157" s="24">
        <f>IFERROR(_xlfn.MAXIFS(tblLecturas[Kilometraje],tblLecturas[Codigo],$A157,tblLecturas[Kilometraje],"&gt;0"),"")</f>
        <v>81467</v>
      </c>
      <c r="O157" s="24" cm="1">
        <f t="array" ref="O157">IFERROR(IF($I157="KM",LOOKUP(2,1/(Lecturas!$B:$B=$A157)/(Lecturas!$D:$D&gt;0),Lecturas!$D:$D),LOOKUP(2,1/(Lecturas!$B:$B=$A157)/(Lecturas!$C:$C&gt;0),Lecturas!$C:$C)),"")</f>
        <v>81467</v>
      </c>
      <c r="P157" s="18">
        <f>IFERROR(_xlfn.MAXIFS(tblMantenciones[Fecha],tblMantenciones[Codigo],tblMaestroEquipos[[#This Row],[Codigo]],tblMantenciones[EsPM],"Sí"),"")</f>
        <v>0</v>
      </c>
      <c r="Q157" s="70" t="str">
        <f>IF(_xlfn.MAXIFS(Mantenciones!$D:$D,Mantenciones!$B:$B,A157)=0,"Sin datos de mantención registrado",_xlfn.MAXIFS(Mantenciones!$D:$D,Mantenciones!$B:$B,A157))</f>
        <v>Sin datos de mantención registrado</v>
      </c>
      <c r="R157" s="16" t="str">
        <f>IFERROR(IF(_xlfn.MAXIFS(Mantenciones!$D:$D,Mantenciones!$B:$B,$A157,Mantenciones!$E:$E,"Sí",Mantenciones!$D:$D,"&gt;0")=0,"Sin datos de mantención registrado",_xlfn.MAXIFS(Mantenciones!$D:$D,Mantenciones!$B:$B,$A157,Mantenciones!$E:$E,"Sí",Mantenciones!$D:$D,"&gt;0")),"Sin datos de mantención registrado")</f>
        <v>Sin datos de mantención registrado</v>
      </c>
      <c r="S157" s="19">
        <f>IFERROR(SUMIFS(tblMantenciones[Costo Mantencion CLP],tblMantenciones[Codigo],A157),0)</f>
        <v>0</v>
      </c>
      <c r="T157" s="19">
        <f>IFERROR(SUMIFS(tblComprasPM[Costo PM CLP],tblComprasPM[Codigo],tblMaestroEquipos[[#This Row],[Codigo]]),0)</f>
        <v>0</v>
      </c>
      <c r="U157" s="19">
        <f>IFERROR(tblMaestroEquipos[[#This Row],[Costo Mantenciones CLP]]+tblMaestroEquipos[[#This Row],[Costo Compras PM CLP]],0)</f>
        <v>0</v>
      </c>
      <c r="V157" s="16" t="str">
        <f>IFERROR(_xlfn.XLOOKUP(tblMaestroEquipos[[#This Row],[Codigo]],tblEquipos[Codigo],tblEquipos[Estado Base]),"")</f>
        <v>Operativo</v>
      </c>
      <c r="W157" s="16" t="str">
        <f t="shared" si="16"/>
        <v>POR RECIBIR</v>
      </c>
      <c r="X157" s="16" t="str">
        <f t="shared" si="17"/>
        <v/>
      </c>
      <c r="Y157"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57" s="23" t="str">
        <f>IFERROR(IF(_xlfn.MINIFS(tblComprasPM[Fecha],tblComprasPM[Codigo],tblMaestroEquipos[[#This Row],[Codigo]])=0,"",_xlfn.MINIFS(tblComprasPM[Fecha],tblComprasPM[Codigo],tblMaestroEquipos[[#This Row],[Codigo]])),"")</f>
        <v/>
      </c>
      <c r="AA157" s="23">
        <f>IFERROR(IF(_xlfn.MAXIFS(tblBodega[Fecha],tblBodega[Codigo],tblMaestroEquipos[[#This Row],[Codigo]])=0,"",_xlfn.MAXIFS(tblBodega[Fecha],tblBodega[Codigo],tblMaestroEquipos[[#This Row],[Codigo]])),"")</f>
        <v>46118</v>
      </c>
      <c r="AB157"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57"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122</v>
      </c>
      <c r="AD157" s="16" t="str">
        <f>IF(tblMaestroEquipos[[#This Row],[Fecha Salida Bodega]]="","SIN SALIDA BODEGA",IF(OR(tblMaestroEquipos[[#This Row],[Ultima Fecha PM]]="",tblMaestroEquipos[[#This Row],[Ultima Fecha PM]]&lt;tblMaestroEquipos[[#This Row],[Fecha Salida Bodega]]),"PENDIENTE","CERRADO"))</f>
        <v>PENDIENTE</v>
      </c>
      <c r="AE157" s="48" t="str">
        <f t="shared" si="18"/>
        <v>OPERATIVO</v>
      </c>
      <c r="AF157" s="16" t="str">
        <f t="shared" si="19"/>
        <v>BAJA</v>
      </c>
      <c r="AG157" s="16" t="str">
        <f t="shared" si="20"/>
        <v>Monitorear próximo vencimiento</v>
      </c>
      <c r="AH157">
        <f t="shared" si="21"/>
        <v>0</v>
      </c>
      <c r="AI157" t="str">
        <f t="shared" si="22"/>
        <v/>
      </c>
      <c r="AJ157" s="22">
        <f t="shared" si="23"/>
        <v>3</v>
      </c>
    </row>
    <row r="158" spans="1:36">
      <c r="A158" s="16" t="s">
        <v>478</v>
      </c>
      <c r="B158" s="16" t="s">
        <v>461</v>
      </c>
      <c r="C158" s="16" t="s">
        <v>1414</v>
      </c>
      <c r="D158" s="16" t="s">
        <v>479</v>
      </c>
      <c r="E158" s="17" t="s">
        <v>480</v>
      </c>
      <c r="F158" s="16">
        <v>2019</v>
      </c>
      <c r="G158" s="17" t="str">
        <f>IFERROR(_xlfn.XLOOKUP($A158,tblEquipos[Codigo],tblEquipos[Ubicacion],""),"")</f>
        <v>Oficina</v>
      </c>
      <c r="H158" s="16" t="s">
        <v>482</v>
      </c>
      <c r="I158" s="16" t="str">
        <f>IFERROR(VLOOKUP(A158, Equipos!A:J, 9, FALSE), "")</f>
        <v>KM</v>
      </c>
      <c r="J158" s="16">
        <f>IFERROR(VLOOKUP(A158, Equipos!A:J, 10, FALSE), "")</f>
        <v>15000</v>
      </c>
      <c r="K158" s="16">
        <f>IFERROR(IF($I158="KM",ROUND((_xlfn.MAXIFS(tblLecturas[Kilometraje],tblLecturas[Codigo],$A158)-_xlfn.MINIFS(tblLecturas[Kilometraje],tblLecturas[Codigo],$A158))/(MAX(1,_xlfn.MAXIFS(tblLecturas[Fecha],tblLecturas[Codigo],$A158)-_xlfn.MINIFS(tblLecturas[Fecha],tblLecturas[Codigo],$A158))),1),ROUND((_xlfn.MAXIFS(tblLecturas[Horometro],tblLecturas[Codigo],$A158)-_xlfn.MINIFS(tblLecturas[Horometro],tblLecturas[Codigo],$A158))/(MAX(1,_xlfn.MAXIFS(tblLecturas[Fecha],tblLecturas[Codigo],$A158)-_xlfn.MINIFS(tblLecturas[Fecha],tblLecturas[Codigo],$A158))),1)),"")</f>
        <v>4947.8</v>
      </c>
      <c r="L158" s="18">
        <f>IFERROR(_xlfn.MAXIFS(tblLecturas[Fecha],tblLecturas[Codigo],$A158),"")</f>
        <v>46055</v>
      </c>
      <c r="M158" s="24">
        <f>IFERROR(_xlfn.MAXIFS(Lecturas!$C:$C,Lecturas!$B:$B,$A158,Lecturas!$C:$C,"&gt;0"),"")</f>
        <v>10283</v>
      </c>
      <c r="N158" s="24">
        <f>IFERROR(_xlfn.MAXIFS(tblLecturas[Kilometraje],tblLecturas[Codigo],$A158,tblLecturas[Kilometraje],"&gt;0"),"")</f>
        <v>246005</v>
      </c>
      <c r="O158" s="24" cm="1">
        <f t="array" ref="O158">IFERROR(IF($I158="KM",LOOKUP(2,1/(Lecturas!$B:$B=$A158)/(Lecturas!$D:$D&gt;0),Lecturas!$D:$D),LOOKUP(2,1/(Lecturas!$B:$B=$A158)/(Lecturas!$C:$C&gt;0),Lecturas!$C:$C)),"")</f>
        <v>246005</v>
      </c>
      <c r="P158" s="18">
        <f>IFERROR(_xlfn.MAXIFS(tblMantenciones[Fecha],tblMantenciones[Codigo],tblMaestroEquipos[[#This Row],[Codigo]],tblMantenciones[EsPM],"Sí"),"")</f>
        <v>0</v>
      </c>
      <c r="Q158" s="70" t="str">
        <f>IF(_xlfn.MAXIFS(Mantenciones!$D:$D,Mantenciones!$B:$B,A158)=0,"Sin datos de mantención registrado",_xlfn.MAXIFS(Mantenciones!$D:$D,Mantenciones!$B:$B,A158))</f>
        <v>Sin datos de mantención registrado</v>
      </c>
      <c r="R158" s="16" t="str">
        <f>IFERROR(IF(_xlfn.MAXIFS(Mantenciones!$D:$D,Mantenciones!$B:$B,$A158,Mantenciones!$E:$E,"Sí",Mantenciones!$D:$D,"&gt;0")=0,"Sin datos de mantención registrado",_xlfn.MAXIFS(Mantenciones!$D:$D,Mantenciones!$B:$B,$A158,Mantenciones!$E:$E,"Sí",Mantenciones!$D:$D,"&gt;0")),"Sin datos de mantención registrado")</f>
        <v>Sin datos de mantención registrado</v>
      </c>
      <c r="S158" s="19">
        <f>IFERROR(SUMIFS(tblMantenciones[Costo Mantencion CLP],tblMantenciones[Codigo],A158),0)</f>
        <v>0</v>
      </c>
      <c r="T158" s="19">
        <f>IFERROR(SUMIFS(tblComprasPM[Costo PM CLP],tblComprasPM[Codigo],tblMaestroEquipos[[#This Row],[Codigo]]),0)</f>
        <v>0</v>
      </c>
      <c r="U158" s="19">
        <f>IFERROR(tblMaestroEquipos[[#This Row],[Costo Mantenciones CLP]]+tblMaestroEquipos[[#This Row],[Costo Compras PM CLP]],0)</f>
        <v>0</v>
      </c>
      <c r="V158" s="16" t="str">
        <f>IFERROR(_xlfn.XLOOKUP(tblMaestroEquipos[[#This Row],[Codigo]],tblEquipos[Codigo],tblEquipos[Estado Base]),"")</f>
        <v>Fuera de Servicio</v>
      </c>
      <c r="W158" s="16" t="str">
        <f t="shared" si="16"/>
        <v>FUERA DE SERVICIO</v>
      </c>
      <c r="X158" s="16" t="str">
        <f t="shared" si="17"/>
        <v/>
      </c>
      <c r="Y158"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58" s="23" t="str">
        <f>IFERROR(IF(_xlfn.MINIFS(tblComprasPM[Fecha],tblComprasPM[Codigo],tblMaestroEquipos[[#This Row],[Codigo]])=0,"",_xlfn.MINIFS(tblComprasPM[Fecha],tblComprasPM[Codigo],tblMaestroEquipos[[#This Row],[Codigo]])),"")</f>
        <v/>
      </c>
      <c r="AA158" s="23" t="str">
        <f>IFERROR(IF(_xlfn.MAXIFS(tblBodega[Fecha],tblBodega[Codigo],tblMaestroEquipos[[#This Row],[Codigo]])=0,"",_xlfn.MAXIFS(tblBodega[Fecha],tblBodega[Codigo],tblMaestroEquipos[[#This Row],[Codigo]])),"")</f>
        <v/>
      </c>
      <c r="AB158"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58"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58" s="16" t="str">
        <f>IF(tblMaestroEquipos[[#This Row],[Fecha Salida Bodega]]="","SIN SALIDA BODEGA",IF(OR(tblMaestroEquipos[[#This Row],[Ultima Fecha PM]]="",tblMaestroEquipos[[#This Row],[Ultima Fecha PM]]&lt;tblMaestroEquipos[[#This Row],[Fecha Salida Bodega]]),"PENDIENTE","CERRADO"))</f>
        <v>SIN SALIDA BODEGA</v>
      </c>
      <c r="AE158" s="48" t="str">
        <f t="shared" si="18"/>
        <v>FUERA DE SERVICIO</v>
      </c>
      <c r="AF158" s="16" t="str">
        <f t="shared" si="19"/>
        <v>NO APLICA</v>
      </c>
      <c r="AG158" s="16" t="str">
        <f t="shared" si="20"/>
        <v>No programar compra</v>
      </c>
      <c r="AH158">
        <f t="shared" si="21"/>
        <v>0</v>
      </c>
      <c r="AI158" t="str">
        <f t="shared" si="22"/>
        <v/>
      </c>
      <c r="AJ158" s="22">
        <f t="shared" si="23"/>
        <v>99</v>
      </c>
    </row>
    <row r="159" spans="1:36" s="25" customFormat="1">
      <c r="A159" s="16" t="s">
        <v>483</v>
      </c>
      <c r="B159" s="16" t="s">
        <v>461</v>
      </c>
      <c r="C159" s="16" t="s">
        <v>1414</v>
      </c>
      <c r="D159" s="16" t="s">
        <v>75</v>
      </c>
      <c r="E159" s="17" t="s">
        <v>484</v>
      </c>
      <c r="F159" s="16">
        <v>2011</v>
      </c>
      <c r="G159" s="17" t="str">
        <f>IFERROR(_xlfn.XLOOKUP($A159,tblEquipos[Codigo],tblEquipos[Ubicacion],""),"")</f>
        <v>TALLER</v>
      </c>
      <c r="H159" s="16" t="s">
        <v>149</v>
      </c>
      <c r="I159" s="16" t="str">
        <f>IFERROR(VLOOKUP(A159, Equipos!A:J, 9, FALSE), "")</f>
        <v>KM</v>
      </c>
      <c r="J159" s="16">
        <f>IFERROR(VLOOKUP(A159, Equipos!A:J, 10, FALSE), "")</f>
        <v>15000</v>
      </c>
      <c r="K159" s="16">
        <f>IFERROR(IF($I159="KM",ROUND((_xlfn.MAXIFS(tblLecturas[Kilometraje],tblLecturas[Codigo],$A159)-_xlfn.MINIFS(tblLecturas[Kilometraje],tblLecturas[Codigo],$A159))/(MAX(1,_xlfn.MAXIFS(tblLecturas[Fecha],tblLecturas[Codigo],$A159)-_xlfn.MINIFS(tblLecturas[Fecha],tblLecturas[Codigo],$A159))),1),ROUND((_xlfn.MAXIFS(tblLecturas[Horometro],tblLecturas[Codigo],$A159)-_xlfn.MINIFS(tblLecturas[Horometro],tblLecturas[Codigo],$A159))/(MAX(1,_xlfn.MAXIFS(tblLecturas[Fecha],tblLecturas[Codigo],$A159)-_xlfn.MINIFS(tblLecturas[Fecha],tblLecturas[Codigo],$A159))),1)),"")</f>
        <v>0</v>
      </c>
      <c r="L159" s="18">
        <f>IFERROR(_xlfn.MAXIFS(tblLecturas[Fecha],tblLecturas[Codigo],$A159),"")</f>
        <v>45994</v>
      </c>
      <c r="M159" s="24">
        <f>IFERROR(_xlfn.MAXIFS(Lecturas!$C:$C,Lecturas!$B:$B,$A159,Lecturas!$C:$C,"&gt;0"),"")</f>
        <v>0</v>
      </c>
      <c r="N159" s="24">
        <f>IFERROR(_xlfn.MAXIFS(tblLecturas[Kilometraje],tblLecturas[Codigo],$A159,tblLecturas[Kilometraje],"&gt;0"),"")</f>
        <v>66902</v>
      </c>
      <c r="O159" s="24" cm="1">
        <f t="array" ref="O159">IFERROR(IF($I159="KM",LOOKUP(2,1/(Lecturas!$B:$B=$A159)/(Lecturas!$D:$D&gt;0),Lecturas!$D:$D),LOOKUP(2,1/(Lecturas!$B:$B=$A159)/(Lecturas!$C:$C&gt;0),Lecturas!$C:$C)),"")</f>
        <v>66902</v>
      </c>
      <c r="P159" s="18">
        <f>IFERROR(_xlfn.MAXIFS(tblMantenciones[Fecha],tblMantenciones[Codigo],tblMaestroEquipos[[#This Row],[Codigo]],tblMantenciones[EsPM],"Sí"),"")</f>
        <v>0</v>
      </c>
      <c r="Q159" s="70" t="str">
        <f>IF(_xlfn.MAXIFS(Mantenciones!$D:$D,Mantenciones!$B:$B,A159)=0,"Sin datos de mantención registrado",_xlfn.MAXIFS(Mantenciones!$D:$D,Mantenciones!$B:$B,A159))</f>
        <v>Sin datos de mantención registrado</v>
      </c>
      <c r="R159" s="16" t="str">
        <f>IFERROR(IF(_xlfn.MAXIFS(Mantenciones!$D:$D,Mantenciones!$B:$B,$A159,Mantenciones!$E:$E,"Sí",Mantenciones!$D:$D,"&gt;0")=0,"Sin datos de mantención registrado",_xlfn.MAXIFS(Mantenciones!$D:$D,Mantenciones!$B:$B,$A159,Mantenciones!$E:$E,"Sí",Mantenciones!$D:$D,"&gt;0")),"Sin datos de mantención registrado")</f>
        <v>Sin datos de mantención registrado</v>
      </c>
      <c r="S159" s="19">
        <f>IFERROR(SUMIFS(tblMantenciones[Costo Mantencion CLP],tblMantenciones[Codigo],A159),0)</f>
        <v>0</v>
      </c>
      <c r="T159" s="19">
        <f>IFERROR(SUMIFS(tblComprasPM[Costo PM CLP],tblComprasPM[Codigo],tblMaestroEquipos[[#This Row],[Codigo]]),0)</f>
        <v>0</v>
      </c>
      <c r="U159" s="19">
        <f>IFERROR(tblMaestroEquipos[[#This Row],[Costo Mantenciones CLP]]+tblMaestroEquipos[[#This Row],[Costo Compras PM CLP]],0)</f>
        <v>0</v>
      </c>
      <c r="V159" s="16" t="str">
        <f>IFERROR(_xlfn.XLOOKUP(tblMaestroEquipos[[#This Row],[Codigo]],tblEquipos[Codigo],tblEquipos[Estado Base]),"")</f>
        <v>Fuera de Servicio</v>
      </c>
      <c r="W159" s="16" t="str">
        <f t="shared" si="16"/>
        <v>FUERA DE SERVICIO</v>
      </c>
      <c r="X159" s="16" t="str">
        <f t="shared" si="17"/>
        <v/>
      </c>
      <c r="Y159"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59" s="23" t="str">
        <f>IFERROR(IF(_xlfn.MINIFS(tblComprasPM[Fecha],tblComprasPM[Codigo],tblMaestroEquipos[[#This Row],[Codigo]])=0,"",_xlfn.MINIFS(tblComprasPM[Fecha],tblComprasPM[Codigo],tblMaestroEquipos[[#This Row],[Codigo]])),"")</f>
        <v/>
      </c>
      <c r="AA159" s="23" t="str">
        <f>IFERROR(IF(_xlfn.MAXIFS(tblBodega[Fecha],tblBodega[Codigo],tblMaestroEquipos[[#This Row],[Codigo]])=0,"",_xlfn.MAXIFS(tblBodega[Fecha],tblBodega[Codigo],tblMaestroEquipos[[#This Row],[Codigo]])),"")</f>
        <v/>
      </c>
      <c r="AB159"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59"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59" s="16" t="str">
        <f>IF(tblMaestroEquipos[[#This Row],[Fecha Salida Bodega]]="","SIN SALIDA BODEGA",IF(OR(tblMaestroEquipos[[#This Row],[Ultima Fecha PM]]="",tblMaestroEquipos[[#This Row],[Ultima Fecha PM]]&lt;tblMaestroEquipos[[#This Row],[Fecha Salida Bodega]]),"PENDIENTE","CERRADO"))</f>
        <v>SIN SALIDA BODEGA</v>
      </c>
      <c r="AE159" s="48" t="str">
        <f t="shared" si="18"/>
        <v>FUERA DE SERVICIO</v>
      </c>
      <c r="AF159" s="16" t="str">
        <f t="shared" si="19"/>
        <v>NO APLICA</v>
      </c>
      <c r="AG159" s="16" t="str">
        <f t="shared" si="20"/>
        <v>No programar compra</v>
      </c>
      <c r="AH159" s="25">
        <f t="shared" si="21"/>
        <v>0</v>
      </c>
      <c r="AI159" s="25" t="str">
        <f t="shared" si="22"/>
        <v/>
      </c>
      <c r="AJ159" s="22">
        <f t="shared" si="23"/>
        <v>99</v>
      </c>
    </row>
    <row r="160" spans="1:36" s="25" customFormat="1">
      <c r="A160" s="16" t="s">
        <v>485</v>
      </c>
      <c r="B160" s="16" t="s">
        <v>461</v>
      </c>
      <c r="C160" s="16" t="s">
        <v>1414</v>
      </c>
      <c r="D160" s="16" t="s">
        <v>486</v>
      </c>
      <c r="E160" s="17" t="s">
        <v>487</v>
      </c>
      <c r="F160" s="16">
        <v>2024</v>
      </c>
      <c r="G160" s="17" t="str">
        <f>IFERROR(_xlfn.XLOOKUP($A160,tblEquipos[Codigo],tblEquipos[Ubicacion],""),"")</f>
        <v>Oficina</v>
      </c>
      <c r="H160" s="16" t="s">
        <v>488</v>
      </c>
      <c r="I160" s="16" t="str">
        <f>IFERROR(VLOOKUP(A160, Equipos!A:J, 9, FALSE), "")</f>
        <v>KM</v>
      </c>
      <c r="J160" s="16">
        <f>IFERROR(VLOOKUP(A160, Equipos!A:J, 10, FALSE), "")</f>
        <v>15000</v>
      </c>
      <c r="K160" s="16">
        <f>IFERROR(IF($I160="KM",ROUND((_xlfn.MAXIFS(tblLecturas[Kilometraje],tblLecturas[Codigo],$A160)-_xlfn.MINIFS(tblLecturas[Kilometraje],tblLecturas[Codigo],$A160))/(MAX(1,_xlfn.MAXIFS(tblLecturas[Fecha],tblLecturas[Codigo],$A160)-_xlfn.MINIFS(tblLecturas[Fecha],tblLecturas[Codigo],$A160))),1),ROUND((_xlfn.MAXIFS(tblLecturas[Horometro],tblLecturas[Codigo],$A160)-_xlfn.MINIFS(tblLecturas[Horometro],tblLecturas[Codigo],$A160))/(MAX(1,_xlfn.MAXIFS(tblLecturas[Fecha],tblLecturas[Codigo],$A160)-_xlfn.MINIFS(tblLecturas[Fecha],tblLecturas[Codigo],$A160))),1)),"")</f>
        <v>149.9</v>
      </c>
      <c r="L160" s="18">
        <f>IFERROR(_xlfn.MAXIFS(tblLecturas[Fecha],tblLecturas[Codigo],$A160),"")</f>
        <v>46133</v>
      </c>
      <c r="M160" s="24">
        <f>IFERROR(_xlfn.MAXIFS(Lecturas!$C:$C,Lecturas!$B:$B,$A160,Lecturas!$C:$C,"&gt;0"),"")</f>
        <v>0</v>
      </c>
      <c r="N160" s="24">
        <f>IFERROR(_xlfn.MAXIFS(tblLecturas[Kilometraje],tblLecturas[Codigo],$A160,tblLecturas[Kilometraje],"&gt;0"),"")</f>
        <v>82711</v>
      </c>
      <c r="O160" s="24" cm="1">
        <f t="array" ref="O160">IFERROR(IF($I160="KM",LOOKUP(2,1/(Lecturas!$B:$B=$A160)/(Lecturas!$D:$D&gt;0),Lecturas!$D:$D),LOOKUP(2,1/(Lecturas!$B:$B=$A160)/(Lecturas!$C:$C&gt;0),Lecturas!$C:$C)),"")</f>
        <v>74616</v>
      </c>
      <c r="P160" s="18">
        <f>IFERROR(_xlfn.MAXIFS(tblMantenciones[Fecha],tblMantenciones[Codigo],tblMaestroEquipos[[#This Row],[Codigo]],tblMantenciones[EsPM],"Sí"),"")</f>
        <v>46234</v>
      </c>
      <c r="Q160" s="70">
        <f>IF(_xlfn.MAXIFS(Mantenciones!$D:$D,Mantenciones!$B:$B,A160)=0,"Sin datos de mantención registrado",_xlfn.MAXIFS(Mantenciones!$D:$D,Mantenciones!$B:$B,A160))</f>
        <v>93023</v>
      </c>
      <c r="R160" s="16">
        <f>IFERROR(IF(_xlfn.MAXIFS(Mantenciones!$D:$D,Mantenciones!$B:$B,$A160,Mantenciones!$E:$E,"Sí",Mantenciones!$D:$D,"&gt;0")=0,"Sin datos de mantención registrado",_xlfn.MAXIFS(Mantenciones!$D:$D,Mantenciones!$B:$B,$A160,Mantenciones!$E:$E,"Sí",Mantenciones!$D:$D,"&gt;0")),"Sin datos de mantención registrado")</f>
        <v>93023</v>
      </c>
      <c r="S160" s="19">
        <f>IFERROR(SUMIFS(tblMantenciones[Costo Mantencion CLP],tblMantenciones[Codigo],A160),0)</f>
        <v>425505</v>
      </c>
      <c r="T160" s="19">
        <f>IFERROR(SUMIFS(tblComprasPM[Costo PM CLP],tblComprasPM[Codigo],tblMaestroEquipos[[#This Row],[Codigo]]),0)</f>
        <v>537250.61</v>
      </c>
      <c r="U160" s="19">
        <f>IFERROR(tblMaestroEquipos[[#This Row],[Costo Mantenciones CLP]]+tblMaestroEquipos[[#This Row],[Costo Compras PM CLP]],0)</f>
        <v>962755.61</v>
      </c>
      <c r="V160" s="16" t="str">
        <f>IFERROR(_xlfn.XLOOKUP(tblMaestroEquipos[[#This Row],[Codigo]],tblEquipos[Codigo],tblEquipos[Estado Base]),"")</f>
        <v>Operativo</v>
      </c>
      <c r="W160" s="16" t="str">
        <f t="shared" si="16"/>
        <v>EN PROCESO</v>
      </c>
      <c r="X160" s="16">
        <f t="shared" si="17"/>
        <v>33407</v>
      </c>
      <c r="Y160" s="23">
        <f>IFERROR(IF(OR(tblMaestroEquipos[[#This Row],[Estado Operacional]]="FUERA DE SERVICIO",tblMaestroEquipos[[#This Row],[Ultima Fecha Lectura]]="",tblMaestroEquipos[[#This Row],[Dias a Proxima Mantencion]]=""),"",tblMaestroEquipos[[#This Row],[Ultima Fecha Lectura]]+tblMaestroEquipos[[#This Row],[Dias a Proxima Mantencion]]),"")</f>
        <v>79540</v>
      </c>
      <c r="Z160" s="23">
        <f>IFERROR(IF(_xlfn.MINIFS(tblComprasPM[Fecha],tblComprasPM[Codigo],tblMaestroEquipos[[#This Row],[Codigo]])=0,"",_xlfn.MINIFS(tblComprasPM[Fecha],tblComprasPM[Codigo],tblMaestroEquipos[[#This Row],[Codigo]])),"")</f>
        <v>46087.498166435202</v>
      </c>
      <c r="AA160" s="23" t="str">
        <f>IFERROR(IF(_xlfn.MAXIFS(tblBodega[Fecha],tblBodega[Codigo],tblMaestroEquipos[[#This Row],[Codigo]])=0,"",_xlfn.MAXIFS(tblBodega[Fecha],tblBodega[Codigo],tblMaestroEquipos[[#This Row],[Codigo]])),"")</f>
        <v/>
      </c>
      <c r="AB16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147</v>
      </c>
      <c r="AC160"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60" s="16" t="str">
        <f>IF(tblMaestroEquipos[[#This Row],[Fecha Salida Bodega]]="","SIN SALIDA BODEGA",IF(OR(tblMaestroEquipos[[#This Row],[Ultima Fecha PM]]="",tblMaestroEquipos[[#This Row],[Ultima Fecha PM]]&lt;tblMaestroEquipos[[#This Row],[Fecha Salida Bodega]]),"PENDIENTE","CERRADO"))</f>
        <v>SIN SALIDA BODEGA</v>
      </c>
      <c r="AE160" s="48" t="str">
        <f t="shared" si="18"/>
        <v>EN PROCESO</v>
      </c>
      <c r="AF160" s="16" t="str">
        <f t="shared" si="19"/>
        <v>SEGUIMIENTO</v>
      </c>
      <c r="AG160" s="16" t="str">
        <f t="shared" si="20"/>
        <v>Hacer seguimiento al taller y cerrar report</v>
      </c>
      <c r="AH160">
        <f t="shared" si="21"/>
        <v>0</v>
      </c>
      <c r="AI160" t="str">
        <f t="shared" si="22"/>
        <v/>
      </c>
      <c r="AJ160" s="22">
        <f t="shared" si="23"/>
        <v>2</v>
      </c>
    </row>
    <row r="161" spans="1:36">
      <c r="A161" s="16" t="s">
        <v>489</v>
      </c>
      <c r="B161" s="16" t="s">
        <v>461</v>
      </c>
      <c r="C161" s="16" t="s">
        <v>1414</v>
      </c>
      <c r="D161" s="16" t="s">
        <v>486</v>
      </c>
      <c r="E161" s="17" t="s">
        <v>487</v>
      </c>
      <c r="F161" s="16">
        <v>2024</v>
      </c>
      <c r="G161" s="17" t="str">
        <f>IFERROR(_xlfn.XLOOKUP($A161,tblEquipos[Codigo],tblEquipos[Ubicacion],""),"")</f>
        <v>Taller Rosselot</v>
      </c>
      <c r="H161" s="16" t="s">
        <v>491</v>
      </c>
      <c r="I161" s="16" t="str">
        <f>IFERROR(VLOOKUP(A161, Equipos!A:J, 9, FALSE), "")</f>
        <v>KM</v>
      </c>
      <c r="J161" s="16">
        <f>IFERROR(VLOOKUP(A161, Equipos!A:J, 10, FALSE), "")</f>
        <v>15000</v>
      </c>
      <c r="K161" s="16">
        <f>IFERROR(IF($I161="KM",ROUND((_xlfn.MAXIFS(tblLecturas[Kilometraje],tblLecturas[Codigo],$A161)-_xlfn.MINIFS(tblLecturas[Kilometraje],tblLecturas[Codigo],$A161))/(MAX(1,_xlfn.MAXIFS(tblLecturas[Fecha],tblLecturas[Codigo],$A161)-_xlfn.MINIFS(tblLecturas[Fecha],tblLecturas[Codigo],$A161))),1),ROUND((_xlfn.MAXIFS(tblLecturas[Horometro],tblLecturas[Codigo],$A161)-_xlfn.MINIFS(tblLecturas[Horometro],tblLecturas[Codigo],$A161))/(MAX(1,_xlfn.MAXIFS(tblLecturas[Fecha],tblLecturas[Codigo],$A161)-_xlfn.MINIFS(tblLecturas[Fecha],tblLecturas[Codigo],$A161))),1)),"")</f>
        <v>250</v>
      </c>
      <c r="L161" s="18">
        <f>IFERROR(_xlfn.MAXIFS(tblLecturas[Fecha],tblLecturas[Codigo],$A161),"")</f>
        <v>46118</v>
      </c>
      <c r="M161" s="24">
        <f>IFERROR(_xlfn.MAXIFS(Lecturas!$C:$C,Lecturas!$B:$B,$A161,Lecturas!$C:$C,"&gt;0"),"")</f>
        <v>0</v>
      </c>
      <c r="N161" s="24">
        <f>IFERROR(_xlfn.MAXIFS(tblLecturas[Kilometraje],tblLecturas[Codigo],$A161,tblLecturas[Kilometraje],"&gt;0"),"")</f>
        <v>90200</v>
      </c>
      <c r="O161" s="24" cm="1">
        <f t="array" ref="O161">IFERROR(IF($I161="KM",LOOKUP(2,1/(Lecturas!$B:$B=$A161)/(Lecturas!$D:$D&gt;0),Lecturas!$D:$D),LOOKUP(2,1/(Lecturas!$B:$B=$A161)/(Lecturas!$C:$C&gt;0),Lecturas!$C:$C)),"")</f>
        <v>90200</v>
      </c>
      <c r="P161" s="18">
        <f>IFERROR(_xlfn.MAXIFS(tblMantenciones[Fecha],tblMantenciones[Codigo],tblMaestroEquipos[[#This Row],[Codigo]],tblMantenciones[EsPM],"Sí"),"")</f>
        <v>46118</v>
      </c>
      <c r="Q161" s="70">
        <f>IF(_xlfn.MAXIFS(Mantenciones!$D:$D,Mantenciones!$B:$B,A161)=0,"Sin datos de mantención registrado",_xlfn.MAXIFS(Mantenciones!$D:$D,Mantenciones!$B:$B,A161))</f>
        <v>90200</v>
      </c>
      <c r="R161" s="16">
        <f>IFERROR(IF(_xlfn.MAXIFS(Mantenciones!$D:$D,Mantenciones!$B:$B,$A161,Mantenciones!$E:$E,"Sí",Mantenciones!$D:$D,"&gt;0")=0,"Sin datos de mantención registrado",_xlfn.MAXIFS(Mantenciones!$D:$D,Mantenciones!$B:$B,$A161,Mantenciones!$E:$E,"Sí",Mantenciones!$D:$D,"&gt;0")),"Sin datos de mantención registrado")</f>
        <v>90200</v>
      </c>
      <c r="S161" s="19">
        <f>IFERROR(SUMIFS(tblMantenciones[Costo Mantencion CLP],tblMantenciones[Codigo],A161),0)</f>
        <v>0</v>
      </c>
      <c r="T161" s="19">
        <f>IFERROR(SUMIFS(tblComprasPM[Costo PM CLP],tblComprasPM[Codigo],tblMaestroEquipos[[#This Row],[Codigo]]),0)</f>
        <v>140899.69</v>
      </c>
      <c r="U161" s="19">
        <f>IFERROR(tblMaestroEquipos[[#This Row],[Costo Mantenciones CLP]]+tblMaestroEquipos[[#This Row],[Costo Compras PM CLP]],0)</f>
        <v>140899.69</v>
      </c>
      <c r="V161" s="16" t="str">
        <f>IFERROR(_xlfn.XLOOKUP(tblMaestroEquipos[[#This Row],[Codigo]],tblEquipos[Codigo],tblEquipos[Estado Base]),"")</f>
        <v>Taller</v>
      </c>
      <c r="W161" s="16" t="str">
        <f t="shared" si="16"/>
        <v>EN TALLER</v>
      </c>
      <c r="X161" s="16">
        <f t="shared" si="17"/>
        <v>15000</v>
      </c>
      <c r="Y161" s="23">
        <f>IFERROR(IF(OR(tblMaestroEquipos[[#This Row],[Estado Operacional]]="FUERA DE SERVICIO",tblMaestroEquipos[[#This Row],[Ultima Fecha Lectura]]="",tblMaestroEquipos[[#This Row],[Dias a Proxima Mantencion]]=""),"",tblMaestroEquipos[[#This Row],[Ultima Fecha Lectura]]+tblMaestroEquipos[[#This Row],[Dias a Proxima Mantencion]]),"")</f>
        <v>61118</v>
      </c>
      <c r="Z161" s="23">
        <f>IFERROR(IF(_xlfn.MINIFS(tblComprasPM[Fecha],tblComprasPM[Codigo],tblMaestroEquipos[[#This Row],[Codigo]])=0,"",_xlfn.MINIFS(tblComprasPM[Fecha],tblComprasPM[Codigo],tblMaestroEquipos[[#This Row],[Codigo]])),"")</f>
        <v>46105</v>
      </c>
      <c r="AA161" s="23" t="str">
        <f>IFERROR(IF(_xlfn.MAXIFS(tblBodega[Fecha],tblBodega[Codigo],tblMaestroEquipos[[#This Row],[Codigo]])=0,"",_xlfn.MAXIFS(tblBodega[Fecha],tblBodega[Codigo],tblMaestroEquipos[[#This Row],[Codigo]])),"")</f>
        <v/>
      </c>
      <c r="AB16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13</v>
      </c>
      <c r="AC161"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61" s="16" t="str">
        <f>IF(tblMaestroEquipos[[#This Row],[Fecha Salida Bodega]]="","SIN SALIDA BODEGA",IF(OR(tblMaestroEquipos[[#This Row],[Ultima Fecha PM]]="",tblMaestroEquipos[[#This Row],[Ultima Fecha PM]]&lt;tblMaestroEquipos[[#This Row],[Fecha Salida Bodega]]),"PENDIENTE","CERRADO"))</f>
        <v>SIN SALIDA BODEGA</v>
      </c>
      <c r="AE161" s="48" t="str">
        <f t="shared" si="18"/>
        <v>EN TALLER</v>
      </c>
      <c r="AF161" s="16" t="str">
        <f t="shared" si="19"/>
        <v>BAJA</v>
      </c>
      <c r="AG161" s="16" t="str">
        <f t="shared" si="20"/>
        <v>Monitorear próximo vencimiento</v>
      </c>
      <c r="AH161">
        <f t="shared" si="21"/>
        <v>0</v>
      </c>
      <c r="AI161" t="str">
        <f t="shared" si="22"/>
        <v/>
      </c>
      <c r="AJ161" s="22">
        <f t="shared" si="23"/>
        <v>99</v>
      </c>
    </row>
    <row r="162" spans="1:36">
      <c r="A162" s="16" t="s">
        <v>492</v>
      </c>
      <c r="B162" s="16" t="s">
        <v>461</v>
      </c>
      <c r="C162" s="16" t="s">
        <v>1414</v>
      </c>
      <c r="D162" s="16" t="s">
        <v>486</v>
      </c>
      <c r="E162" s="17" t="s">
        <v>487</v>
      </c>
      <c r="F162" s="16">
        <v>2024</v>
      </c>
      <c r="G162" s="17" t="str">
        <f>IFERROR(_xlfn.XLOOKUP($A162,tblEquipos[Codigo],tblEquipos[Ubicacion],""),"")</f>
        <v>Oficina</v>
      </c>
      <c r="H162" s="16" t="s">
        <v>725</v>
      </c>
      <c r="I162" s="16" t="str">
        <f>IFERROR(VLOOKUP(A162, Equipos!A:J, 9, FALSE), "")</f>
        <v>KM</v>
      </c>
      <c r="J162" s="16">
        <f>IFERROR(VLOOKUP(A162, Equipos!A:J, 10, FALSE), "")</f>
        <v>15000</v>
      </c>
      <c r="K162" s="16">
        <f>IFERROR(IF($I162="KM",ROUND((_xlfn.MAXIFS(tblLecturas[Kilometraje],tblLecturas[Codigo],$A162)-_xlfn.MINIFS(tblLecturas[Kilometraje],tblLecturas[Codigo],$A162))/(MAX(1,_xlfn.MAXIFS(tblLecturas[Fecha],tblLecturas[Codigo],$A162)-_xlfn.MINIFS(tblLecturas[Fecha],tblLecturas[Codigo],$A162))),1),ROUND((_xlfn.MAXIFS(tblLecturas[Horometro],tblLecturas[Codigo],$A162)-_xlfn.MINIFS(tblLecturas[Horometro],tblLecturas[Codigo],$A162))/(MAX(1,_xlfn.MAXIFS(tblLecturas[Fecha],tblLecturas[Codigo],$A162)-_xlfn.MINIFS(tblLecturas[Fecha],tblLecturas[Codigo],$A162))),1)),"")</f>
        <v>152.80000000000001</v>
      </c>
      <c r="L162" s="18">
        <f>IFERROR(_xlfn.MAXIFS(tblLecturas[Fecha],tblLecturas[Codigo],$A162),"")</f>
        <v>46155</v>
      </c>
      <c r="M162" s="24">
        <f>IFERROR(_xlfn.MAXIFS(Lecturas!$C:$C,Lecturas!$B:$B,$A162,Lecturas!$C:$C,"&gt;0"),"")</f>
        <v>0</v>
      </c>
      <c r="N162" s="24">
        <f>IFERROR(_xlfn.MAXIFS(tblLecturas[Kilometraje],tblLecturas[Codigo],$A162,tblLecturas[Kilometraje],"&gt;0"),"")</f>
        <v>115335</v>
      </c>
      <c r="O162" s="24" cm="1">
        <f t="array" ref="O162">IFERROR(IF($I162="KM",LOOKUP(2,1/(Lecturas!$B:$B=$A162)/(Lecturas!$D:$D&gt;0),Lecturas!$D:$D),LOOKUP(2,1/(Lecturas!$B:$B=$A162)/(Lecturas!$C:$C&gt;0),Lecturas!$C:$C)),"")</f>
        <v>115335</v>
      </c>
      <c r="P162" s="18">
        <f>IFERROR(_xlfn.MAXIFS(tblMantenciones[Fecha],tblMantenciones[Codigo],tblMaestroEquipos[[#This Row],[Codigo]],tblMantenciones[EsPM],"Sí"),"")</f>
        <v>46094</v>
      </c>
      <c r="Q162" s="70">
        <f>IF(_xlfn.MAXIFS(Mantenciones!$D:$D,Mantenciones!$B:$B,A162)=0,"Sin datos de mantención registrado",_xlfn.MAXIFS(Mantenciones!$D:$D,Mantenciones!$B:$B,A162))</f>
        <v>107210</v>
      </c>
      <c r="R162" s="16">
        <f>IFERROR(IF(_xlfn.MAXIFS(Mantenciones!$D:$D,Mantenciones!$B:$B,$A162,Mantenciones!$E:$E,"Sí",Mantenciones!$D:$D,"&gt;0")=0,"Sin datos de mantención registrado",_xlfn.MAXIFS(Mantenciones!$D:$D,Mantenciones!$B:$B,$A162,Mantenciones!$E:$E,"Sí",Mantenciones!$D:$D,"&gt;0")),"Sin datos de mantención registrado")</f>
        <v>107210</v>
      </c>
      <c r="S162" s="19">
        <f>IFERROR(SUMIFS(tblMantenciones[Costo Mantencion CLP],tblMantenciones[Codigo],A162),0)</f>
        <v>405817</v>
      </c>
      <c r="T162" s="19">
        <f>IFERROR(SUMIFS(tblComprasPM[Costo PM CLP],tblComprasPM[Codigo],tblMaestroEquipos[[#This Row],[Codigo]]),0)</f>
        <v>30899.66</v>
      </c>
      <c r="U162" s="19">
        <f>IFERROR(tblMaestroEquipos[[#This Row],[Costo Mantenciones CLP]]+tblMaestroEquipos[[#This Row],[Costo Compras PM CLP]],0)</f>
        <v>436716.66</v>
      </c>
      <c r="V162" s="16" t="str">
        <f>IFERROR(_xlfn.XLOOKUP(tblMaestroEquipos[[#This Row],[Codigo]],tblEquipos[Codigo],tblEquipos[Estado Base]),"")</f>
        <v>Operativo</v>
      </c>
      <c r="W162" s="16" t="str">
        <f t="shared" si="16"/>
        <v>EN PROCESO</v>
      </c>
      <c r="X162" s="16">
        <f t="shared" si="17"/>
        <v>6875</v>
      </c>
      <c r="Y162" s="23">
        <f>IFERROR(IF(OR(tblMaestroEquipos[[#This Row],[Estado Operacional]]="FUERA DE SERVICIO",tblMaestroEquipos[[#This Row],[Ultima Fecha Lectura]]="",tblMaestroEquipos[[#This Row],[Dias a Proxima Mantencion]]=""),"",tblMaestroEquipos[[#This Row],[Ultima Fecha Lectura]]+tblMaestroEquipos[[#This Row],[Dias a Proxima Mantencion]]),"")</f>
        <v>53030</v>
      </c>
      <c r="Z162" s="23">
        <f>IFERROR(IF(_xlfn.MINIFS(tblComprasPM[Fecha],tblComprasPM[Codigo],tblMaestroEquipos[[#This Row],[Codigo]])=0,"",_xlfn.MINIFS(tblComprasPM[Fecha],tblComprasPM[Codigo],tblMaestroEquipos[[#This Row],[Codigo]])),"")</f>
        <v>46174</v>
      </c>
      <c r="AA162" s="23" t="str">
        <f>IFERROR(IF(_xlfn.MAXIFS(tblBodega[Fecha],tblBodega[Codigo],tblMaestroEquipos[[#This Row],[Codigo]])=0,"",_xlfn.MAXIFS(tblBodega[Fecha],tblBodega[Codigo],tblMaestroEquipos[[#This Row],[Codigo]])),"")</f>
        <v/>
      </c>
      <c r="AB162"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6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62" s="16" t="str">
        <f>IF(tblMaestroEquipos[[#This Row],[Fecha Salida Bodega]]="","SIN SALIDA BODEGA",IF(OR(tblMaestroEquipos[[#This Row],[Ultima Fecha PM]]="",tblMaestroEquipos[[#This Row],[Ultima Fecha PM]]&lt;tblMaestroEquipos[[#This Row],[Fecha Salida Bodega]]),"PENDIENTE","CERRADO"))</f>
        <v>SIN SALIDA BODEGA</v>
      </c>
      <c r="AE162" s="48" t="str">
        <f t="shared" si="18"/>
        <v>EN PROCESO</v>
      </c>
      <c r="AF162" s="16" t="str">
        <f t="shared" si="19"/>
        <v>SEGUIMIENTO</v>
      </c>
      <c r="AG162" s="16" t="str">
        <f t="shared" si="20"/>
        <v>Hacer seguimiento al taller y cerrar report</v>
      </c>
      <c r="AH162">
        <f t="shared" si="21"/>
        <v>0</v>
      </c>
      <c r="AI162" t="str">
        <f t="shared" si="22"/>
        <v/>
      </c>
      <c r="AJ162" s="22">
        <f t="shared" si="23"/>
        <v>2</v>
      </c>
    </row>
    <row r="163" spans="1:36">
      <c r="A163" s="16" t="s">
        <v>494</v>
      </c>
      <c r="B163" s="16" t="s">
        <v>461</v>
      </c>
      <c r="C163" s="16" t="s">
        <v>1414</v>
      </c>
      <c r="D163" s="16" t="s">
        <v>468</v>
      </c>
      <c r="E163" s="17" t="s">
        <v>469</v>
      </c>
      <c r="F163" s="16">
        <v>2024</v>
      </c>
      <c r="G163" s="17" t="str">
        <f>IFERROR(_xlfn.XLOOKUP($A163,tblEquipos[Codigo],tblEquipos[Ubicacion],""),"")</f>
        <v>Taller</v>
      </c>
      <c r="H163" s="16" t="s">
        <v>517</v>
      </c>
      <c r="I163" s="16" t="str">
        <f>IFERROR(VLOOKUP(A163, Equipos!A:J, 9, FALSE), "")</f>
        <v>KM</v>
      </c>
      <c r="J163" s="16">
        <f>IFERROR(VLOOKUP(A163, Equipos!A:J, 10, FALSE), "")</f>
        <v>10000</v>
      </c>
      <c r="K163" s="16">
        <f>IFERROR(IF($I163="KM",ROUND((_xlfn.MAXIFS(tblLecturas[Kilometraje],tblLecturas[Codigo],$A163)-_xlfn.MINIFS(tblLecturas[Kilometraje],tblLecturas[Codigo],$A163))/(MAX(1,_xlfn.MAXIFS(tblLecturas[Fecha],tblLecturas[Codigo],$A163)-_xlfn.MINIFS(tblLecturas[Fecha],tblLecturas[Codigo],$A163))),1),ROUND((_xlfn.MAXIFS(tblLecturas[Horometro],tblLecturas[Codigo],$A163)-_xlfn.MINIFS(tblLecturas[Horometro],tblLecturas[Codigo],$A163))/(MAX(1,_xlfn.MAXIFS(tblLecturas[Fecha],tblLecturas[Codigo],$A163)-_xlfn.MINIFS(tblLecturas[Fecha],tblLecturas[Codigo],$A163))),1)),"")</f>
        <v>161.80000000000001</v>
      </c>
      <c r="L163" s="18">
        <f>IFERROR(_xlfn.MAXIFS(tblLecturas[Fecha],tblLecturas[Codigo],$A163),"")</f>
        <v>46133</v>
      </c>
      <c r="M163" s="24">
        <f>IFERROR(_xlfn.MAXIFS(Lecturas!$C:$C,Lecturas!$B:$B,$A163,Lecturas!$C:$C,"&gt;0"),"")</f>
        <v>0</v>
      </c>
      <c r="N163" s="24">
        <f>IFERROR(_xlfn.MAXIFS(tblLecturas[Kilometraje],tblLecturas[Codigo],$A163,tblLecturas[Kilometraje],"&gt;0"),"")</f>
        <v>98245</v>
      </c>
      <c r="O163" s="24" cm="1">
        <f t="array" ref="O163">IFERROR(IF($I163="KM",LOOKUP(2,1/(Lecturas!$B:$B=$A163)/(Lecturas!$D:$D&gt;0),Lecturas!$D:$D),LOOKUP(2,1/(Lecturas!$B:$B=$A163)/(Lecturas!$C:$C&gt;0),Lecturas!$C:$C)),"")</f>
        <v>94201</v>
      </c>
      <c r="P163" s="18">
        <f>IFERROR(_xlfn.MAXIFS(tblMantenciones[Fecha],tblMantenciones[Codigo],tblMaestroEquipos[[#This Row],[Codigo]],tblMantenciones[EsPM],"Sí"),"")</f>
        <v>46099</v>
      </c>
      <c r="Q163" s="70">
        <f>IF(_xlfn.MAXIFS(Mantenciones!$D:$D,Mantenciones!$B:$B,A163)=0,"Sin datos de mantención registrado",_xlfn.MAXIFS(Mantenciones!$D:$D,Mantenciones!$B:$B,A163))</f>
        <v>90000</v>
      </c>
      <c r="R163" s="16">
        <f>IFERROR(IF(_xlfn.MAXIFS(Mantenciones!$D:$D,Mantenciones!$B:$B,$A163,Mantenciones!$E:$E,"Sí",Mantenciones!$D:$D,"&gt;0")=0,"Sin datos de mantención registrado",_xlfn.MAXIFS(Mantenciones!$D:$D,Mantenciones!$B:$B,$A163,Mantenciones!$E:$E,"Sí",Mantenciones!$D:$D,"&gt;0")),"Sin datos de mantención registrado")</f>
        <v>90000</v>
      </c>
      <c r="S163" s="19">
        <f>IFERROR(SUMIFS(tblMantenciones[Costo Mantencion CLP],tblMantenciones[Codigo],A163),0)</f>
        <v>0</v>
      </c>
      <c r="T163" s="19">
        <f>IFERROR(SUMIFS(tblComprasPM[Costo PM CLP],tblComprasPM[Codigo],tblMaestroEquipos[[#This Row],[Codigo]]),0)</f>
        <v>23899.98</v>
      </c>
      <c r="U163" s="19">
        <f>IFERROR(tblMaestroEquipos[[#This Row],[Costo Mantenciones CLP]]+tblMaestroEquipos[[#This Row],[Costo Compras PM CLP]],0)</f>
        <v>23899.98</v>
      </c>
      <c r="V163" s="16" t="str">
        <f>IFERROR(_xlfn.XLOOKUP(tblMaestroEquipos[[#This Row],[Codigo]],tblEquipos[Codigo],tblEquipos[Estado Base]),"")</f>
        <v>Operativo</v>
      </c>
      <c r="W163" s="16" t="str">
        <f t="shared" si="16"/>
        <v>EN PROCESO</v>
      </c>
      <c r="X163" s="16">
        <f t="shared" si="17"/>
        <v>5799</v>
      </c>
      <c r="Y163" s="23">
        <f>IFERROR(IF(OR(tblMaestroEquipos[[#This Row],[Estado Operacional]]="FUERA DE SERVICIO",tblMaestroEquipos[[#This Row],[Ultima Fecha Lectura]]="",tblMaestroEquipos[[#This Row],[Dias a Proxima Mantencion]]=""),"",tblMaestroEquipos[[#This Row],[Ultima Fecha Lectura]]+tblMaestroEquipos[[#This Row],[Dias a Proxima Mantencion]]),"")</f>
        <v>51932</v>
      </c>
      <c r="Z163" s="23">
        <f>IFERROR(IF(_xlfn.MINIFS(tblComprasPM[Fecha],tblComprasPM[Codigo],tblMaestroEquipos[[#This Row],[Codigo]])=0,"",_xlfn.MINIFS(tblComprasPM[Fecha],tblComprasPM[Codigo],tblMaestroEquipos[[#This Row],[Codigo]])),"")</f>
        <v>46161.3715812847</v>
      </c>
      <c r="AA163" s="23" t="str">
        <f>IFERROR(IF(_xlfn.MAXIFS(tblBodega[Fecha],tblBodega[Codigo],tblMaestroEquipos[[#This Row],[Codigo]])=0,"",_xlfn.MAXIFS(tblBodega[Fecha],tblBodega[Codigo],tblMaestroEquipos[[#This Row],[Codigo]])),"")</f>
        <v/>
      </c>
      <c r="AB163"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63"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63" s="16" t="str">
        <f>IF(tblMaestroEquipos[[#This Row],[Fecha Salida Bodega]]="","SIN SALIDA BODEGA",IF(OR(tblMaestroEquipos[[#This Row],[Ultima Fecha PM]]="",tblMaestroEquipos[[#This Row],[Ultima Fecha PM]]&lt;tblMaestroEquipos[[#This Row],[Fecha Salida Bodega]]),"PENDIENTE","CERRADO"))</f>
        <v>SIN SALIDA BODEGA</v>
      </c>
      <c r="AE163" s="48" t="str">
        <f t="shared" si="18"/>
        <v>EN PROCESO</v>
      </c>
      <c r="AF163" s="16" t="str">
        <f t="shared" si="19"/>
        <v>SEGUIMIENTO</v>
      </c>
      <c r="AG163" s="16" t="str">
        <f t="shared" si="20"/>
        <v>Hacer seguimiento al taller y cerrar report</v>
      </c>
      <c r="AH163">
        <f t="shared" si="21"/>
        <v>0</v>
      </c>
      <c r="AI163" t="str">
        <f t="shared" si="22"/>
        <v/>
      </c>
      <c r="AJ163" s="22">
        <f t="shared" si="23"/>
        <v>2</v>
      </c>
    </row>
    <row r="164" spans="1:36" s="25" customFormat="1">
      <c r="A164" s="16" t="s">
        <v>496</v>
      </c>
      <c r="B164" s="16" t="s">
        <v>461</v>
      </c>
      <c r="C164" s="16" t="s">
        <v>1414</v>
      </c>
      <c r="D164" s="16" t="s">
        <v>468</v>
      </c>
      <c r="E164" s="17" t="s">
        <v>469</v>
      </c>
      <c r="F164" s="16">
        <v>2024</v>
      </c>
      <c r="G164" s="17" t="str">
        <f>IFERROR(_xlfn.XLOOKUP($A164,tblEquipos[Codigo],tblEquipos[Ubicacion],""),"")</f>
        <v>Taller Demotron</v>
      </c>
      <c r="H164" s="16" t="s">
        <v>497</v>
      </c>
      <c r="I164" s="16" t="str">
        <f>IFERROR(VLOOKUP(A164, Equipos!A:J, 9, FALSE), "")</f>
        <v>KM</v>
      </c>
      <c r="J164" s="16">
        <f>IFERROR(VLOOKUP(A164, Equipos!A:J, 10, FALSE), "")</f>
        <v>15000</v>
      </c>
      <c r="K164" s="16">
        <f>IFERROR(IF($I164="KM",ROUND((_xlfn.MAXIFS(tblLecturas[Kilometraje],tblLecturas[Codigo],$A164)-_xlfn.MINIFS(tblLecturas[Kilometraje],tblLecturas[Codigo],$A164))/(MAX(1,_xlfn.MAXIFS(tblLecturas[Fecha],tblLecturas[Codigo],$A164)-_xlfn.MINIFS(tblLecturas[Fecha],tblLecturas[Codigo],$A164))),1),ROUND((_xlfn.MAXIFS(tblLecturas[Horometro],tblLecturas[Codigo],$A164)-_xlfn.MINIFS(tblLecturas[Horometro],tblLecturas[Codigo],$A164))/(MAX(1,_xlfn.MAXIFS(tblLecturas[Fecha],tblLecturas[Codigo],$A164)-_xlfn.MINIFS(tblLecturas[Fecha],tblLecturas[Codigo],$A164))),1)),"")</f>
        <v>202.7</v>
      </c>
      <c r="L164" s="18">
        <f>IFERROR(_xlfn.MAXIFS(tblLecturas[Fecha],tblLecturas[Codigo],$A164),"")</f>
        <v>46059</v>
      </c>
      <c r="M164" s="24">
        <f>IFERROR(_xlfn.MAXIFS(Lecturas!$C:$C,Lecturas!$B:$B,$A164,Lecturas!$C:$C,"&gt;0"),"")</f>
        <v>0</v>
      </c>
      <c r="N164" s="24">
        <f>IFERROR(_xlfn.MAXIFS(tblLecturas[Kilometraje],tblLecturas[Codigo],$A164,tblLecturas[Kilometraje],"&gt;0"),"")</f>
        <v>56286</v>
      </c>
      <c r="O164" s="24" cm="1">
        <f t="array" ref="O164">IFERROR(IF($I164="KM",LOOKUP(2,1/(Lecturas!$B:$B=$A164)/(Lecturas!$D:$D&gt;0),Lecturas!$D:$D),LOOKUP(2,1/(Lecturas!$B:$B=$A164)/(Lecturas!$C:$C&gt;0),Lecturas!$C:$C)),"")</f>
        <v>55070</v>
      </c>
      <c r="P164" s="18">
        <f>IFERROR(_xlfn.MAXIFS(tblMantenciones[Fecha],tblMantenciones[Codigo],tblMaestroEquipos[[#This Row],[Codigo]],tblMantenciones[EsPM],"Sí"),"")</f>
        <v>46050</v>
      </c>
      <c r="Q164" s="70">
        <f>IF(_xlfn.MAXIFS(Mantenciones!$D:$D,Mantenciones!$B:$B,A164)=0,"Sin datos de mantención registrado",_xlfn.MAXIFS(Mantenciones!$D:$D,Mantenciones!$B:$B,A164))</f>
        <v>54500</v>
      </c>
      <c r="R164" s="16">
        <f>IFERROR(IF(_xlfn.MAXIFS(Mantenciones!$D:$D,Mantenciones!$B:$B,$A164,Mantenciones!$E:$E,"Sí",Mantenciones!$D:$D,"&gt;0")=0,"Sin datos de mantención registrado",_xlfn.MAXIFS(Mantenciones!$D:$D,Mantenciones!$B:$B,$A164,Mantenciones!$E:$E,"Sí",Mantenciones!$D:$D,"&gt;0")),"Sin datos de mantención registrado")</f>
        <v>54500</v>
      </c>
      <c r="S164" s="19">
        <f>IFERROR(SUMIFS(tblMantenciones[Costo Mantencion CLP],tblMantenciones[Codigo],A164),0)</f>
        <v>0</v>
      </c>
      <c r="T164" s="19">
        <f>IFERROR(SUMIFS(tblComprasPM[Costo PM CLP],tblComprasPM[Codigo],tblMaestroEquipos[[#This Row],[Codigo]]),0)</f>
        <v>23899.98</v>
      </c>
      <c r="U164" s="19">
        <f>IFERROR(tblMaestroEquipos[[#This Row],[Costo Mantenciones CLP]]+tblMaestroEquipos[[#This Row],[Costo Compras PM CLP]],0)</f>
        <v>23899.98</v>
      </c>
      <c r="V164" s="16" t="str">
        <f>IFERROR(_xlfn.XLOOKUP(tblMaestroEquipos[[#This Row],[Codigo]],tblEquipos[Codigo],tblEquipos[Estado Base]),"")</f>
        <v>Operativo</v>
      </c>
      <c r="W164" s="16" t="str">
        <f t="shared" si="16"/>
        <v>EN PROCESO</v>
      </c>
      <c r="X164" s="16">
        <f t="shared" si="17"/>
        <v>14430</v>
      </c>
      <c r="Y164" s="23">
        <f>IFERROR(IF(OR(tblMaestroEquipos[[#This Row],[Estado Operacional]]="FUERA DE SERVICIO",tblMaestroEquipos[[#This Row],[Ultima Fecha Lectura]]="",tblMaestroEquipos[[#This Row],[Dias a Proxima Mantencion]]=""),"",tblMaestroEquipos[[#This Row],[Ultima Fecha Lectura]]+tblMaestroEquipos[[#This Row],[Dias a Proxima Mantencion]]),"")</f>
        <v>60489</v>
      </c>
      <c r="Z164" s="23">
        <f>IFERROR(IF(_xlfn.MINIFS(tblComprasPM[Fecha],tblComprasPM[Codigo],tblMaestroEquipos[[#This Row],[Codigo]])=0,"",_xlfn.MINIFS(tblComprasPM[Fecha],tblComprasPM[Codigo],tblMaestroEquipos[[#This Row],[Codigo]])),"")</f>
        <v>46161.3715812847</v>
      </c>
      <c r="AA164" s="23" t="str">
        <f>IFERROR(IF(_xlfn.MAXIFS(tblBodega[Fecha],tblBodega[Codigo],tblMaestroEquipos[[#This Row],[Codigo]])=0,"",_xlfn.MAXIFS(tblBodega[Fecha],tblBodega[Codigo],tblMaestroEquipos[[#This Row],[Codigo]])),"")</f>
        <v/>
      </c>
      <c r="AB164"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64"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64" s="16" t="str">
        <f>IF(tblMaestroEquipos[[#This Row],[Fecha Salida Bodega]]="","SIN SALIDA BODEGA",IF(OR(tblMaestroEquipos[[#This Row],[Ultima Fecha PM]]="",tblMaestroEquipos[[#This Row],[Ultima Fecha PM]]&lt;tblMaestroEquipos[[#This Row],[Fecha Salida Bodega]]),"PENDIENTE","CERRADO"))</f>
        <v>SIN SALIDA BODEGA</v>
      </c>
      <c r="AE164" s="48" t="str">
        <f t="shared" si="18"/>
        <v>EN PROCESO</v>
      </c>
      <c r="AF164" s="16" t="str">
        <f t="shared" si="19"/>
        <v>SEGUIMIENTO</v>
      </c>
      <c r="AG164" s="16" t="str">
        <f t="shared" si="20"/>
        <v>Hacer seguimiento al taller y cerrar report</v>
      </c>
      <c r="AH164">
        <f t="shared" si="21"/>
        <v>0</v>
      </c>
      <c r="AI164" t="str">
        <f t="shared" si="22"/>
        <v/>
      </c>
      <c r="AJ164" s="22">
        <f t="shared" si="23"/>
        <v>2</v>
      </c>
    </row>
    <row r="165" spans="1:36">
      <c r="A165" s="16" t="s">
        <v>498</v>
      </c>
      <c r="B165" s="16" t="s">
        <v>461</v>
      </c>
      <c r="C165" s="16" t="s">
        <v>1414</v>
      </c>
      <c r="D165" s="16" t="s">
        <v>468</v>
      </c>
      <c r="E165" s="17" t="s">
        <v>469</v>
      </c>
      <c r="F165" s="16">
        <v>2024</v>
      </c>
      <c r="G165" s="17" t="str">
        <f>IFERROR(_xlfn.XLOOKUP($A165,tblEquipos[Codigo],tblEquipos[Ubicacion],""),"")</f>
        <v>Obras Varias</v>
      </c>
      <c r="H165" s="16" t="s">
        <v>471</v>
      </c>
      <c r="I165" s="16" t="str">
        <f>IFERROR(VLOOKUP(A165, Equipos!A:J, 9, FALSE), "")</f>
        <v>KM</v>
      </c>
      <c r="J165" s="16">
        <f>IFERROR(VLOOKUP(A165, Equipos!A:J, 10, FALSE), "")</f>
        <v>15000</v>
      </c>
      <c r="K165" s="16">
        <f>IFERROR(IF($I165="KM",ROUND((_xlfn.MAXIFS(tblLecturas[Kilometraje],tblLecturas[Codigo],$A165)-_xlfn.MINIFS(tblLecturas[Kilometraje],tblLecturas[Codigo],$A165))/(MAX(1,_xlfn.MAXIFS(tblLecturas[Fecha],tblLecturas[Codigo],$A165)-_xlfn.MINIFS(tblLecturas[Fecha],tblLecturas[Codigo],$A165))),1),ROUND((_xlfn.MAXIFS(tblLecturas[Horometro],tblLecturas[Codigo],$A165)-_xlfn.MINIFS(tblLecturas[Horometro],tblLecturas[Codigo],$A165))/(MAX(1,_xlfn.MAXIFS(tblLecturas[Fecha],tblLecturas[Codigo],$A165)-_xlfn.MINIFS(tblLecturas[Fecha],tblLecturas[Codigo],$A165))),1)),"")</f>
        <v>190.5</v>
      </c>
      <c r="L165" s="18">
        <f>IFERROR(_xlfn.MAXIFS(tblLecturas[Fecha],tblLecturas[Codigo],$A165),"")</f>
        <v>46182</v>
      </c>
      <c r="M165" s="24">
        <f>IFERROR(_xlfn.MAXIFS(Lecturas!$C:$C,Lecturas!$B:$B,$A165,Lecturas!$C:$C,"&gt;0"),"")</f>
        <v>0</v>
      </c>
      <c r="N165" s="24">
        <f>IFERROR(_xlfn.MAXIFS(tblLecturas[Kilometraje],tblLecturas[Codigo],$A165,tblLecturas[Kilometraje],"&gt;0"),"")</f>
        <v>128642</v>
      </c>
      <c r="O165" s="24" cm="1">
        <f t="array" ref="O165">IFERROR(IF($I165="KM",LOOKUP(2,1/(Lecturas!$B:$B=$A165)/(Lecturas!$D:$D&gt;0),Lecturas!$D:$D),LOOKUP(2,1/(Lecturas!$B:$B=$A165)/(Lecturas!$C:$C&gt;0),Lecturas!$C:$C)),"")</f>
        <v>128642</v>
      </c>
      <c r="P165" s="18">
        <f>IFERROR(_xlfn.MAXIFS(tblMantenciones[Fecha],tblMantenciones[Codigo],tblMaestroEquipos[[#This Row],[Codigo]],tblMantenciones[EsPM],"Sí"),"")</f>
        <v>46182</v>
      </c>
      <c r="Q165" s="70">
        <f>IF(_xlfn.MAXIFS(Mantenciones!$D:$D,Mantenciones!$B:$B,A165)=0,"Sin datos de mantención registrado",_xlfn.MAXIFS(Mantenciones!$D:$D,Mantenciones!$B:$B,A165))</f>
        <v>128642</v>
      </c>
      <c r="R165" s="16">
        <f>IFERROR(IF(_xlfn.MAXIFS(Mantenciones!$D:$D,Mantenciones!$B:$B,$A165,Mantenciones!$E:$E,"Sí",Mantenciones!$D:$D,"&gt;0")=0,"Sin datos de mantención registrado",_xlfn.MAXIFS(Mantenciones!$D:$D,Mantenciones!$B:$B,$A165,Mantenciones!$E:$E,"Sí",Mantenciones!$D:$D,"&gt;0")),"Sin datos de mantención registrado")</f>
        <v>128642</v>
      </c>
      <c r="S165" s="19">
        <f>IFERROR(SUMIFS(tblMantenciones[Costo Mantencion CLP],tblMantenciones[Codigo],A165),0)</f>
        <v>0</v>
      </c>
      <c r="T165" s="19">
        <f>IFERROR(SUMIFS(tblComprasPM[Costo PM CLP],tblComprasPM[Codigo],tblMaestroEquipos[[#This Row],[Codigo]]),0)</f>
        <v>23899.98</v>
      </c>
      <c r="U165" s="19">
        <f>IFERROR(tblMaestroEquipos[[#This Row],[Costo Mantenciones CLP]]+tblMaestroEquipos[[#This Row],[Costo Compras PM CLP]],0)</f>
        <v>23899.98</v>
      </c>
      <c r="V165" s="16" t="str">
        <f>IFERROR(_xlfn.XLOOKUP(tblMaestroEquipos[[#This Row],[Codigo]],tblEquipos[Codigo],tblEquipos[Estado Base]),"")</f>
        <v>Operativo</v>
      </c>
      <c r="W165" s="16" t="str">
        <f t="shared" si="16"/>
        <v>AL DÍA</v>
      </c>
      <c r="X165" s="16">
        <f t="shared" si="17"/>
        <v>15000</v>
      </c>
      <c r="Y165" s="23">
        <f>IFERROR(IF(OR(tblMaestroEquipos[[#This Row],[Estado Operacional]]="FUERA DE SERVICIO",tblMaestroEquipos[[#This Row],[Ultima Fecha Lectura]]="",tblMaestroEquipos[[#This Row],[Dias a Proxima Mantencion]]=""),"",tblMaestroEquipos[[#This Row],[Ultima Fecha Lectura]]+tblMaestroEquipos[[#This Row],[Dias a Proxima Mantencion]]),"")</f>
        <v>61182</v>
      </c>
      <c r="Z165" s="23">
        <f>IFERROR(IF(_xlfn.MINIFS(tblComprasPM[Fecha],tblComprasPM[Codigo],tblMaestroEquipos[[#This Row],[Codigo]])=0,"",_xlfn.MINIFS(tblComprasPM[Fecha],tblComprasPM[Codigo],tblMaestroEquipos[[#This Row],[Codigo]])),"")</f>
        <v>46161.3715812847</v>
      </c>
      <c r="AA165" s="23">
        <f>IFERROR(IF(_xlfn.MAXIFS(tblBodega[Fecha],tblBodega[Codigo],tblMaestroEquipos[[#This Row],[Codigo]])=0,"",_xlfn.MAXIFS(tblBodega[Fecha],tblBodega[Codigo],tblMaestroEquipos[[#This Row],[Codigo]])),"")</f>
        <v>46182</v>
      </c>
      <c r="AB16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21</v>
      </c>
      <c r="AC16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65" s="16" t="str">
        <f>IF(tblMaestroEquipos[[#This Row],[Fecha Salida Bodega]]="","SIN SALIDA BODEGA",IF(OR(tblMaestroEquipos[[#This Row],[Ultima Fecha PM]]="",tblMaestroEquipos[[#This Row],[Ultima Fecha PM]]&lt;tblMaestroEquipos[[#This Row],[Fecha Salida Bodega]]),"PENDIENTE","CERRADO"))</f>
        <v>CERRADO</v>
      </c>
      <c r="AE165" s="48" t="str">
        <f t="shared" si="18"/>
        <v>OPERATIVO</v>
      </c>
      <c r="AF165" s="16" t="str">
        <f t="shared" si="19"/>
        <v>BAJA</v>
      </c>
      <c r="AG165" s="16" t="str">
        <f t="shared" si="20"/>
        <v>Monitorear próximo vencimiento</v>
      </c>
      <c r="AH165">
        <f t="shared" si="21"/>
        <v>0</v>
      </c>
      <c r="AI165" t="str">
        <f t="shared" si="22"/>
        <v/>
      </c>
      <c r="AJ165" s="22">
        <f t="shared" si="23"/>
        <v>99</v>
      </c>
    </row>
    <row r="166" spans="1:36">
      <c r="A166" s="16" t="s">
        <v>500</v>
      </c>
      <c r="B166" s="16" t="s">
        <v>461</v>
      </c>
      <c r="C166" s="16" t="s">
        <v>1414</v>
      </c>
      <c r="D166" s="16" t="s">
        <v>468</v>
      </c>
      <c r="E166" s="17" t="s">
        <v>1415</v>
      </c>
      <c r="F166" s="16">
        <v>2024</v>
      </c>
      <c r="G166" s="17" t="str">
        <f>IFERROR(_xlfn.XLOOKUP($A166,tblEquipos[Codigo],tblEquipos[Ubicacion],""),"")</f>
        <v>Quirihue</v>
      </c>
      <c r="H166" s="16" t="s">
        <v>1416</v>
      </c>
      <c r="I166" s="16" t="str">
        <f>IFERROR(VLOOKUP(A166, Equipos!A:J, 9, FALSE), "")</f>
        <v>KM</v>
      </c>
      <c r="J166" s="16">
        <f>IFERROR(VLOOKUP(A166, Equipos!A:J, 10, FALSE), "")</f>
        <v>15000</v>
      </c>
      <c r="K166" s="16">
        <f>IFERROR(IF($I166="KM",ROUND((_xlfn.MAXIFS(tblLecturas[Kilometraje],tblLecturas[Codigo],$A166)-_xlfn.MINIFS(tblLecturas[Kilometraje],tblLecturas[Codigo],$A166))/(MAX(1,_xlfn.MAXIFS(tblLecturas[Fecha],tblLecturas[Codigo],$A166)-_xlfn.MINIFS(tblLecturas[Fecha],tblLecturas[Codigo],$A166))),1),ROUND((_xlfn.MAXIFS(tblLecturas[Horometro],tblLecturas[Codigo],$A166)-_xlfn.MINIFS(tblLecturas[Horometro],tblLecturas[Codigo],$A166))/(MAX(1,_xlfn.MAXIFS(tblLecturas[Fecha],tblLecturas[Codigo],$A166)-_xlfn.MINIFS(tblLecturas[Fecha],tblLecturas[Codigo],$A166))),1)),"")</f>
        <v>169.7</v>
      </c>
      <c r="L166" s="18">
        <f>IFERROR(_xlfn.MAXIFS(tblLecturas[Fecha],tblLecturas[Codigo],$A166),"")</f>
        <v>46185</v>
      </c>
      <c r="M166" s="24">
        <f>IFERROR(_xlfn.MAXIFS(Lecturas!$C:$C,Lecturas!$B:$B,$A166,Lecturas!$C:$C,"&gt;0"),"")</f>
        <v>0</v>
      </c>
      <c r="N166" s="24">
        <f>IFERROR(_xlfn.MAXIFS(tblLecturas[Kilometraje],tblLecturas[Codigo],$A166,tblLecturas[Kilometraje],"&gt;0"),"")</f>
        <v>130401</v>
      </c>
      <c r="O166" s="24" cm="1">
        <f t="array" ref="O166">IFERROR(IF($I166="KM",LOOKUP(2,1/(Lecturas!$B:$B=$A166)/(Lecturas!$D:$D&gt;0),Lecturas!$D:$D),LOOKUP(2,1/(Lecturas!$B:$B=$A166)/(Lecturas!$C:$C&gt;0),Lecturas!$C:$C)),"")</f>
        <v>130401</v>
      </c>
      <c r="P166" s="18">
        <f>IFERROR(_xlfn.MAXIFS(tblMantenciones[Fecha],tblMantenciones[Codigo],tblMaestroEquipos[[#This Row],[Codigo]],tblMantenciones[EsPM],"Sí"),"")</f>
        <v>0</v>
      </c>
      <c r="Q166" s="70" t="str">
        <f>IF(_xlfn.MAXIFS(Mantenciones!$D:$D,Mantenciones!$B:$B,A166)=0,"Sin datos de mantención registrado",_xlfn.MAXIFS(Mantenciones!$D:$D,Mantenciones!$B:$B,A166))</f>
        <v>Sin datos de mantención registrado</v>
      </c>
      <c r="R166" s="16" t="str">
        <f>IFERROR(IF(_xlfn.MAXIFS(Mantenciones!$D:$D,Mantenciones!$B:$B,$A166,Mantenciones!$E:$E,"Sí",Mantenciones!$D:$D,"&gt;0")=0,"Sin datos de mantención registrado",_xlfn.MAXIFS(Mantenciones!$D:$D,Mantenciones!$B:$B,$A166,Mantenciones!$E:$E,"Sí",Mantenciones!$D:$D,"&gt;0")),"Sin datos de mantención registrado")</f>
        <v>Sin datos de mantención registrado</v>
      </c>
      <c r="S166" s="19">
        <f>IFERROR(SUMIFS(tblMantenciones[Costo Mantencion CLP],tblMantenciones[Codigo],A166),0)</f>
        <v>0</v>
      </c>
      <c r="T166" s="19">
        <f>IFERROR(SUMIFS(tblComprasPM[Costo PM CLP],tblComprasPM[Codigo],tblMaestroEquipos[[#This Row],[Codigo]]),0)</f>
        <v>23899.98</v>
      </c>
      <c r="U166" s="19">
        <f>IFERROR(tblMaestroEquipos[[#This Row],[Costo Mantenciones CLP]]+tblMaestroEquipos[[#This Row],[Costo Compras PM CLP]],0)</f>
        <v>23899.98</v>
      </c>
      <c r="V166" s="16" t="str">
        <f>IFERROR(_xlfn.XLOOKUP(tblMaestroEquipos[[#This Row],[Codigo]],tblEquipos[Codigo],tblEquipos[Estado Base]),"")</f>
        <v>Operativo</v>
      </c>
      <c r="W166" s="16" t="str">
        <f t="shared" si="16"/>
        <v>POR RECIBIR</v>
      </c>
      <c r="X166" s="16" t="str">
        <f t="shared" si="17"/>
        <v/>
      </c>
      <c r="Y166"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66" s="23">
        <f>IFERROR(IF(_xlfn.MINIFS(tblComprasPM[Fecha],tblComprasPM[Codigo],tblMaestroEquipos[[#This Row],[Codigo]])=0,"",_xlfn.MINIFS(tblComprasPM[Fecha],tblComprasPM[Codigo],tblMaestroEquipos[[#This Row],[Codigo]])),"")</f>
        <v>46161.3715812847</v>
      </c>
      <c r="AA166" s="23">
        <f>IFERROR(IF(_xlfn.MAXIFS(tblBodega[Fecha],tblBodega[Codigo],tblMaestroEquipos[[#This Row],[Codigo]])=0,"",_xlfn.MAXIFS(tblBodega[Fecha],tblBodega[Codigo],tblMaestroEquipos[[#This Row],[Codigo]])),"")</f>
        <v>46085</v>
      </c>
      <c r="AB16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79</v>
      </c>
      <c r="AC166"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155</v>
      </c>
      <c r="AD166" s="16" t="str">
        <f>IF(tblMaestroEquipos[[#This Row],[Fecha Salida Bodega]]="","SIN SALIDA BODEGA",IF(OR(tblMaestroEquipos[[#This Row],[Ultima Fecha PM]]="",tblMaestroEquipos[[#This Row],[Ultima Fecha PM]]&lt;tblMaestroEquipos[[#This Row],[Fecha Salida Bodega]]),"PENDIENTE","CERRADO"))</f>
        <v>PENDIENTE</v>
      </c>
      <c r="AE166" s="48" t="str">
        <f t="shared" si="18"/>
        <v>OPERATIVO</v>
      </c>
      <c r="AF166" s="16" t="str">
        <f t="shared" si="19"/>
        <v>BAJA</v>
      </c>
      <c r="AG166" s="16" t="str">
        <f t="shared" si="20"/>
        <v>Monitorear próximo vencimiento</v>
      </c>
      <c r="AH166">
        <f t="shared" si="21"/>
        <v>0</v>
      </c>
      <c r="AI166" t="str">
        <f t="shared" si="22"/>
        <v/>
      </c>
      <c r="AJ166" s="22">
        <f t="shared" si="23"/>
        <v>3</v>
      </c>
    </row>
    <row r="167" spans="1:36" s="25" customFormat="1">
      <c r="A167" s="16" t="s">
        <v>502</v>
      </c>
      <c r="B167" s="16" t="s">
        <v>461</v>
      </c>
      <c r="C167" s="16" t="s">
        <v>1414</v>
      </c>
      <c r="D167" s="16" t="s">
        <v>468</v>
      </c>
      <c r="E167" s="17" t="s">
        <v>1415</v>
      </c>
      <c r="F167" s="16">
        <v>2024</v>
      </c>
      <c r="G167" s="17" t="str">
        <f>IFERROR(_xlfn.XLOOKUP($A167,tblEquipos[Codigo],tblEquipos[Ubicacion],""),"")</f>
        <v>Palmucho</v>
      </c>
      <c r="H167" s="16" t="s">
        <v>1417</v>
      </c>
      <c r="I167" s="16" t="str">
        <f>IFERROR(VLOOKUP(A167, Equipos!A:J, 9, FALSE), "")</f>
        <v>KM</v>
      </c>
      <c r="J167" s="16">
        <f>IFERROR(VLOOKUP(A167, Equipos!A:J, 10, FALSE), "")</f>
        <v>15000</v>
      </c>
      <c r="K167" s="16">
        <f>IFERROR(IF($I167="KM",ROUND((_xlfn.MAXIFS(tblLecturas[Kilometraje],tblLecturas[Codigo],$A167)-_xlfn.MINIFS(tblLecturas[Kilometraje],tblLecturas[Codigo],$A167))/(MAX(1,_xlfn.MAXIFS(tblLecturas[Fecha],tblLecturas[Codigo],$A167)-_xlfn.MINIFS(tblLecturas[Fecha],tblLecturas[Codigo],$A167))),1),ROUND((_xlfn.MAXIFS(tblLecturas[Horometro],tblLecturas[Codigo],$A167)-_xlfn.MINIFS(tblLecturas[Horometro],tblLecturas[Codigo],$A167))/(MAX(1,_xlfn.MAXIFS(tblLecturas[Fecha],tblLecturas[Codigo],$A167)-_xlfn.MINIFS(tblLecturas[Fecha],tblLecturas[Codigo],$A167))),1)),"")</f>
        <v>136</v>
      </c>
      <c r="L167" s="18">
        <f>IFERROR(_xlfn.MAXIFS(tblLecturas[Fecha],tblLecturas[Codigo],$A167),"")</f>
        <v>46178</v>
      </c>
      <c r="M167" s="24">
        <f>IFERROR(_xlfn.MAXIFS(Lecturas!$C:$C,Lecturas!$B:$B,$A167,Lecturas!$C:$C,"&gt;0"),"")</f>
        <v>0</v>
      </c>
      <c r="N167" s="24">
        <f>IFERROR(_xlfn.MAXIFS(tblLecturas[Kilometraje],tblLecturas[Codigo],$A167,tblLecturas[Kilometraje],"&gt;0"),"")</f>
        <v>76726</v>
      </c>
      <c r="O167" s="24" cm="1">
        <f t="array" ref="O167">IFERROR(IF($I167="KM",LOOKUP(2,1/(Lecturas!$B:$B=$A167)/(Lecturas!$D:$D&gt;0),Lecturas!$D:$D),LOOKUP(2,1/(Lecturas!$B:$B=$A167)/(Lecturas!$C:$C&gt;0),Lecturas!$C:$C)),"")</f>
        <v>76726</v>
      </c>
      <c r="P167" s="18">
        <f>IFERROR(_xlfn.MAXIFS(tblMantenciones[Fecha],tblMantenciones[Codigo],tblMaestroEquipos[[#This Row],[Codigo]],tblMantenciones[EsPM],"Sí"),"")</f>
        <v>46198</v>
      </c>
      <c r="Q167" s="70">
        <f>IF(_xlfn.MAXIFS(Mantenciones!$D:$D,Mantenciones!$B:$B,A167)=0,"Sin datos de mantención registrado",_xlfn.MAXIFS(Mantenciones!$D:$D,Mantenciones!$B:$B,A167))</f>
        <v>78356</v>
      </c>
      <c r="R167" s="16">
        <f>IFERROR(IF(_xlfn.MAXIFS(Mantenciones!$D:$D,Mantenciones!$B:$B,$A167,Mantenciones!$E:$E,"Sí",Mantenciones!$D:$D,"&gt;0")=0,"Sin datos de mantención registrado",_xlfn.MAXIFS(Mantenciones!$D:$D,Mantenciones!$B:$B,$A167,Mantenciones!$E:$E,"Sí",Mantenciones!$D:$D,"&gt;0")),"Sin datos de mantención registrado")</f>
        <v>78356</v>
      </c>
      <c r="S167" s="19">
        <f>IFERROR(SUMIFS(tblMantenciones[Costo Mantencion CLP],tblMantenciones[Codigo],A167),0)</f>
        <v>0</v>
      </c>
      <c r="T167" s="19">
        <f>IFERROR(SUMIFS(tblComprasPM[Costo PM CLP],tblComprasPM[Codigo],tblMaestroEquipos[[#This Row],[Codigo]]),0)</f>
        <v>23899.98</v>
      </c>
      <c r="U167" s="19">
        <f>IFERROR(tblMaestroEquipos[[#This Row],[Costo Mantenciones CLP]]+tblMaestroEquipos[[#This Row],[Costo Compras PM CLP]],0)</f>
        <v>23899.98</v>
      </c>
      <c r="V167" s="16" t="str">
        <f>IFERROR(_xlfn.XLOOKUP(tblMaestroEquipos[[#This Row],[Codigo]],tblEquipos[Codigo],tblEquipos[Estado Base]),"")</f>
        <v>Operativo</v>
      </c>
      <c r="W167" s="16" t="str">
        <f t="shared" si="16"/>
        <v>AL DÍA</v>
      </c>
      <c r="X167" s="16">
        <f t="shared" si="17"/>
        <v>16630</v>
      </c>
      <c r="Y167" s="23">
        <f>IFERROR(IF(OR(tblMaestroEquipos[[#This Row],[Estado Operacional]]="FUERA DE SERVICIO",tblMaestroEquipos[[#This Row],[Ultima Fecha Lectura]]="",tblMaestroEquipos[[#This Row],[Dias a Proxima Mantencion]]=""),"",tblMaestroEquipos[[#This Row],[Ultima Fecha Lectura]]+tblMaestroEquipos[[#This Row],[Dias a Proxima Mantencion]]),"")</f>
        <v>62808</v>
      </c>
      <c r="Z167" s="23">
        <f>IFERROR(IF(_xlfn.MINIFS(tblComprasPM[Fecha],tblComprasPM[Codigo],tblMaestroEquipos[[#This Row],[Codigo]])=0,"",_xlfn.MINIFS(tblComprasPM[Fecha],tblComprasPM[Codigo],tblMaestroEquipos[[#This Row],[Codigo]])),"")</f>
        <v>46161.3715812847</v>
      </c>
      <c r="AA167" s="23">
        <f>IFERROR(IF(_xlfn.MAXIFS(tblBodega[Fecha],tblBodega[Codigo],tblMaestroEquipos[[#This Row],[Codigo]])=0,"",_xlfn.MAXIFS(tblBodega[Fecha],tblBodega[Codigo],tblMaestroEquipos[[#This Row],[Codigo]])),"")</f>
        <v>46087</v>
      </c>
      <c r="AB16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37</v>
      </c>
      <c r="AC167"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111</v>
      </c>
      <c r="AD167" s="16" t="str">
        <f>IF(tblMaestroEquipos[[#This Row],[Fecha Salida Bodega]]="","SIN SALIDA BODEGA",IF(OR(tblMaestroEquipos[[#This Row],[Ultima Fecha PM]]="",tblMaestroEquipos[[#This Row],[Ultima Fecha PM]]&lt;tblMaestroEquipos[[#This Row],[Fecha Salida Bodega]]),"PENDIENTE","CERRADO"))</f>
        <v>CERRADO</v>
      </c>
      <c r="AE167" s="48" t="str">
        <f t="shared" si="18"/>
        <v>OPERATIVO</v>
      </c>
      <c r="AF167" s="16" t="str">
        <f t="shared" si="19"/>
        <v>BAJA</v>
      </c>
      <c r="AG167" s="16" t="str">
        <f t="shared" si="20"/>
        <v>Monitorear próximo vencimiento</v>
      </c>
      <c r="AH167">
        <f t="shared" si="21"/>
        <v>0</v>
      </c>
      <c r="AI167" t="str">
        <f t="shared" si="22"/>
        <v/>
      </c>
      <c r="AJ167" s="22">
        <f t="shared" si="23"/>
        <v>99</v>
      </c>
    </row>
    <row r="168" spans="1:36">
      <c r="A168" s="16" t="s">
        <v>504</v>
      </c>
      <c r="B168" s="16" t="s">
        <v>505</v>
      </c>
      <c r="C168" s="16" t="s">
        <v>1414</v>
      </c>
      <c r="D168" s="16" t="s">
        <v>506</v>
      </c>
      <c r="E168" s="17" t="s">
        <v>507</v>
      </c>
      <c r="F168" s="16">
        <v>2025</v>
      </c>
      <c r="G168" s="17" t="str">
        <f>IFERROR(_xlfn.XLOOKUP($A168,tblEquipos[Codigo],tblEquipos[Ubicacion],""),"")</f>
        <v>Oficina</v>
      </c>
      <c r="H168" s="16" t="s">
        <v>37</v>
      </c>
      <c r="I168" s="16" t="str">
        <f>IFERROR(VLOOKUP(A168, Equipos!A:J, 9, FALSE), "")</f>
        <v>KM</v>
      </c>
      <c r="J168" s="16">
        <f>IFERROR(VLOOKUP(A168, Equipos!A:J, 10, FALSE), "")</f>
        <v>10000</v>
      </c>
      <c r="K168" s="16">
        <f>IFERROR(IF($I168="KM",ROUND((_xlfn.MAXIFS(tblLecturas[Kilometraje],tblLecturas[Codigo],$A168)-_xlfn.MINIFS(tblLecturas[Kilometraje],tblLecturas[Codigo],$A168))/(MAX(1,_xlfn.MAXIFS(tblLecturas[Fecha],tblLecturas[Codigo],$A168)-_xlfn.MINIFS(tblLecturas[Fecha],tblLecturas[Codigo],$A168))),1),ROUND((_xlfn.MAXIFS(tblLecturas[Horometro],tblLecturas[Codigo],$A168)-_xlfn.MINIFS(tblLecturas[Horometro],tblLecturas[Codigo],$A168))/(MAX(1,_xlfn.MAXIFS(tblLecturas[Fecha],tblLecturas[Codigo],$A168)-_xlfn.MINIFS(tblLecturas[Fecha],tblLecturas[Codigo],$A168))),1)),"")</f>
        <v>272.3</v>
      </c>
      <c r="L168" s="18">
        <f>IFERROR(_xlfn.MAXIFS(tblLecturas[Fecha],tblLecturas[Codigo],$A168),"")</f>
        <v>46133</v>
      </c>
      <c r="M168" s="24">
        <f>IFERROR(_xlfn.MAXIFS(Lecturas!$C:$C,Lecturas!$B:$B,$A168,Lecturas!$C:$C,"&gt;0"),"")</f>
        <v>0</v>
      </c>
      <c r="N168" s="24">
        <f>IFERROR(_xlfn.MAXIFS(tblLecturas[Kilometraje],tblLecturas[Codigo],$A168,tblLecturas[Kilometraje],"&gt;0"),"")</f>
        <v>105494</v>
      </c>
      <c r="O168" s="24" cm="1">
        <f t="array" ref="O168">IFERROR(IF($I168="KM",LOOKUP(2,1/(Lecturas!$B:$B=$A168)/(Lecturas!$D:$D&gt;0),Lecturas!$D:$D),LOOKUP(2,1/(Lecturas!$B:$B=$A168)/(Lecturas!$C:$C&gt;0),Lecturas!$C:$C)),"")</f>
        <v>104090</v>
      </c>
      <c r="P168" s="18">
        <f>IFERROR(_xlfn.MAXIFS(tblMantenciones[Fecha],tblMantenciones[Codigo],tblMaestroEquipos[[#This Row],[Codigo]],tblMantenciones[EsPM],"Sí"),"")</f>
        <v>46210</v>
      </c>
      <c r="Q168" s="70">
        <f>IF(_xlfn.MAXIFS(Mantenciones!$D:$D,Mantenciones!$B:$B,A168)=0,"Sin datos de mantención registrado",_xlfn.MAXIFS(Mantenciones!$D:$D,Mantenciones!$B:$B,A168))</f>
        <v>119305</v>
      </c>
      <c r="R168" s="16">
        <f>IFERROR(IF(_xlfn.MAXIFS(Mantenciones!$D:$D,Mantenciones!$B:$B,$A168,Mantenciones!$E:$E,"Sí",Mantenciones!$D:$D,"&gt;0")=0,"Sin datos de mantención registrado",_xlfn.MAXIFS(Mantenciones!$D:$D,Mantenciones!$B:$B,$A168,Mantenciones!$E:$E,"Sí",Mantenciones!$D:$D,"&gt;0")),"Sin datos de mantención registrado")</f>
        <v>119305</v>
      </c>
      <c r="S168" s="19">
        <f>IFERROR(SUMIFS(tblMantenciones[Costo Mantencion CLP],tblMantenciones[Codigo],A168),0)</f>
        <v>0</v>
      </c>
      <c r="T168" s="19">
        <f>IFERROR(SUMIFS(tblComprasPM[Costo PM CLP],tblComprasPM[Codigo],tblMaestroEquipos[[#This Row],[Codigo]]),0)</f>
        <v>56601.373999999996</v>
      </c>
      <c r="U168" s="19">
        <f>IFERROR(tblMaestroEquipos[[#This Row],[Costo Mantenciones CLP]]+tblMaestroEquipos[[#This Row],[Costo Compras PM CLP]],0)</f>
        <v>56601.373999999996</v>
      </c>
      <c r="V168" s="16" t="str">
        <f>IFERROR(_xlfn.XLOOKUP(tblMaestroEquipos[[#This Row],[Codigo]],tblEquipos[Codigo],tblEquipos[Estado Base]),"")</f>
        <v>Operativo</v>
      </c>
      <c r="W168" s="16" t="str">
        <f t="shared" si="16"/>
        <v>AL DÍA</v>
      </c>
      <c r="X168" s="16">
        <f t="shared" si="17"/>
        <v>25215</v>
      </c>
      <c r="Y168" s="23">
        <f>IFERROR(IF(OR(tblMaestroEquipos[[#This Row],[Estado Operacional]]="FUERA DE SERVICIO",tblMaestroEquipos[[#This Row],[Ultima Fecha Lectura]]="",tblMaestroEquipos[[#This Row],[Dias a Proxima Mantencion]]=""),"",tblMaestroEquipos[[#This Row],[Ultima Fecha Lectura]]+tblMaestroEquipos[[#This Row],[Dias a Proxima Mantencion]]),"")</f>
        <v>71348</v>
      </c>
      <c r="Z168" s="23">
        <f>IFERROR(IF(_xlfn.MINIFS(tblComprasPM[Fecha],tblComprasPM[Codigo],tblMaestroEquipos[[#This Row],[Codigo]])=0,"",_xlfn.MINIFS(tblComprasPM[Fecha],tblComprasPM[Codigo],tblMaestroEquipos[[#This Row],[Codigo]])),"")</f>
        <v>46065.519203044001</v>
      </c>
      <c r="AA168" s="23">
        <f>IFERROR(IF(_xlfn.MAXIFS(tblBodega[Fecha],tblBodega[Codigo],tblMaestroEquipos[[#This Row],[Codigo]])=0,"",_xlfn.MAXIFS(tblBodega[Fecha],tblBodega[Codigo],tblMaestroEquipos[[#This Row],[Codigo]])),"")</f>
        <v>46119</v>
      </c>
      <c r="AB168"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145</v>
      </c>
      <c r="AC168"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91</v>
      </c>
      <c r="AD168" s="16" t="str">
        <f>IF(tblMaestroEquipos[[#This Row],[Fecha Salida Bodega]]="","SIN SALIDA BODEGA",IF(OR(tblMaestroEquipos[[#This Row],[Ultima Fecha PM]]="",tblMaestroEquipos[[#This Row],[Ultima Fecha PM]]&lt;tblMaestroEquipos[[#This Row],[Fecha Salida Bodega]]),"PENDIENTE","CERRADO"))</f>
        <v>CERRADO</v>
      </c>
      <c r="AE168" s="48" t="str">
        <f t="shared" si="18"/>
        <v>OPERATIVO</v>
      </c>
      <c r="AF168" s="16" t="str">
        <f t="shared" si="19"/>
        <v>BAJA</v>
      </c>
      <c r="AG168" s="16" t="str">
        <f t="shared" si="20"/>
        <v>Monitorear próximo vencimiento</v>
      </c>
      <c r="AH168">
        <f t="shared" si="21"/>
        <v>0</v>
      </c>
      <c r="AI168" t="str">
        <f t="shared" si="22"/>
        <v/>
      </c>
      <c r="AJ168" s="22">
        <f t="shared" si="23"/>
        <v>99</v>
      </c>
    </row>
    <row r="169" spans="1:36">
      <c r="A169" s="16" t="s">
        <v>509</v>
      </c>
      <c r="B169" s="16" t="s">
        <v>505</v>
      </c>
      <c r="C169" s="16" t="s">
        <v>1414</v>
      </c>
      <c r="D169" s="16" t="s">
        <v>506</v>
      </c>
      <c r="E169" s="17" t="s">
        <v>507</v>
      </c>
      <c r="F169" s="16">
        <v>2025</v>
      </c>
      <c r="G169" s="17" t="str">
        <f>IFERROR(_xlfn.XLOOKUP($A169,tblEquipos[Codigo],tblEquipos[Ubicacion],""),"")</f>
        <v>Palmucho</v>
      </c>
      <c r="H169" s="16" t="s">
        <v>1418</v>
      </c>
      <c r="I169" s="16" t="str">
        <f>IFERROR(VLOOKUP(A169, Equipos!A:J, 9, FALSE), "")</f>
        <v>KM</v>
      </c>
      <c r="J169" s="16">
        <f>IFERROR(VLOOKUP(A169, Equipos!A:J, 10, FALSE), "")</f>
        <v>10000</v>
      </c>
      <c r="K169" s="16">
        <f>IFERROR(IF($I169="KM",ROUND((_xlfn.MAXIFS(tblLecturas[Kilometraje],tblLecturas[Codigo],$A169)-_xlfn.MINIFS(tblLecturas[Kilometraje],tblLecturas[Codigo],$A169))/(MAX(1,_xlfn.MAXIFS(tblLecturas[Fecha],tblLecturas[Codigo],$A169)-_xlfn.MINIFS(tblLecturas[Fecha],tblLecturas[Codigo],$A169))),1),ROUND((_xlfn.MAXIFS(tblLecturas[Horometro],tblLecturas[Codigo],$A169)-_xlfn.MINIFS(tblLecturas[Horometro],tblLecturas[Codigo],$A169))/(MAX(1,_xlfn.MAXIFS(tblLecturas[Fecha],tblLecturas[Codigo],$A169)-_xlfn.MINIFS(tblLecturas[Fecha],tblLecturas[Codigo],$A169))),1)),"")</f>
        <v>196.8</v>
      </c>
      <c r="L169" s="18">
        <f>IFERROR(_xlfn.MAXIFS(tblLecturas[Fecha],tblLecturas[Codigo],$A169),"")</f>
        <v>46178</v>
      </c>
      <c r="M169" s="24">
        <f>IFERROR(_xlfn.MAXIFS(Lecturas!$C:$C,Lecturas!$B:$B,$A169,Lecturas!$C:$C,"&gt;0"),"")</f>
        <v>0</v>
      </c>
      <c r="N169" s="24">
        <f>IFERROR(_xlfn.MAXIFS(tblLecturas[Kilometraje],tblLecturas[Codigo],$A169,tblLecturas[Kilometraje],"&gt;0"),"")</f>
        <v>81046</v>
      </c>
      <c r="O169" s="24" cm="1">
        <f t="array" ref="O169">IFERROR(IF($I169="KM",LOOKUP(2,1/(Lecturas!$B:$B=$A169)/(Lecturas!$D:$D&gt;0),Lecturas!$D:$D),LOOKUP(2,1/(Lecturas!$B:$B=$A169)/(Lecturas!$C:$C&gt;0),Lecturas!$C:$C)),"")</f>
        <v>81046</v>
      </c>
      <c r="P169" s="18">
        <f>IFERROR(_xlfn.MAXIFS(tblMantenciones[Fecha],tblMantenciones[Codigo],tblMaestroEquipos[[#This Row],[Codigo]],tblMantenciones[EsPM],"Sí"),"")</f>
        <v>46139</v>
      </c>
      <c r="Q169" s="70">
        <f>IF(_xlfn.MAXIFS(Mantenciones!$D:$D,Mantenciones!$B:$B,A169)=0,"Sin datos de mantención registrado",_xlfn.MAXIFS(Mantenciones!$D:$D,Mantenciones!$B:$B,A169))</f>
        <v>73245</v>
      </c>
      <c r="R169" s="16">
        <f>IFERROR(IF(_xlfn.MAXIFS(Mantenciones!$D:$D,Mantenciones!$B:$B,$A169,Mantenciones!$E:$E,"Sí",Mantenciones!$D:$D,"&gt;0")=0,"Sin datos de mantención registrado",_xlfn.MAXIFS(Mantenciones!$D:$D,Mantenciones!$B:$B,$A169,Mantenciones!$E:$E,"Sí",Mantenciones!$D:$D,"&gt;0")),"Sin datos de mantención registrado")</f>
        <v>73245</v>
      </c>
      <c r="S169" s="19">
        <f>IFERROR(SUMIFS(tblMantenciones[Costo Mantencion CLP],tblMantenciones[Codigo],A169),0)</f>
        <v>0</v>
      </c>
      <c r="T169" s="19">
        <f>IFERROR(SUMIFS(tblComprasPM[Costo PM CLP],tblComprasPM[Codigo],tblMaestroEquipos[[#This Row],[Codigo]]),0)</f>
        <v>56601.373999999996</v>
      </c>
      <c r="U169" s="19">
        <f>IFERROR(tblMaestroEquipos[[#This Row],[Costo Mantenciones CLP]]+tblMaestroEquipos[[#This Row],[Costo Compras PM CLP]],0)</f>
        <v>56601.373999999996</v>
      </c>
      <c r="V169" s="16" t="str">
        <f>IFERROR(_xlfn.XLOOKUP(tblMaestroEquipos[[#This Row],[Codigo]],tblEquipos[Codigo],tblEquipos[Estado Base]),"")</f>
        <v>Operativo</v>
      </c>
      <c r="W169" s="16" t="str">
        <f t="shared" si="16"/>
        <v>AL DÍA</v>
      </c>
      <c r="X169" s="16">
        <f t="shared" si="17"/>
        <v>2199</v>
      </c>
      <c r="Y169" s="23">
        <f>IFERROR(IF(OR(tblMaestroEquipos[[#This Row],[Estado Operacional]]="FUERA DE SERVICIO",tblMaestroEquipos[[#This Row],[Ultima Fecha Lectura]]="",tblMaestroEquipos[[#This Row],[Dias a Proxima Mantencion]]=""),"",tblMaestroEquipos[[#This Row],[Ultima Fecha Lectura]]+tblMaestroEquipos[[#This Row],[Dias a Proxima Mantencion]]),"")</f>
        <v>48377</v>
      </c>
      <c r="Z169" s="23">
        <f>IFERROR(IF(_xlfn.MINIFS(tblComprasPM[Fecha],tblComprasPM[Codigo],tblMaestroEquipos[[#This Row],[Codigo]])=0,"",_xlfn.MINIFS(tblComprasPM[Fecha],tblComprasPM[Codigo],tblMaestroEquipos[[#This Row],[Codigo]])),"")</f>
        <v>46065.519203044001</v>
      </c>
      <c r="AA169" s="23">
        <f>IFERROR(IF(_xlfn.MAXIFS(tblBodega[Fecha],tblBodega[Codigo],tblMaestroEquipos[[#This Row],[Codigo]])=0,"",_xlfn.MAXIFS(tblBodega[Fecha],tblBodega[Codigo],tblMaestroEquipos[[#This Row],[Codigo]])),"")</f>
        <v>46132</v>
      </c>
      <c r="AB16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74</v>
      </c>
      <c r="AC169"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7</v>
      </c>
      <c r="AD169" s="16" t="str">
        <f>IF(tblMaestroEquipos[[#This Row],[Fecha Salida Bodega]]="","SIN SALIDA BODEGA",IF(OR(tblMaestroEquipos[[#This Row],[Ultima Fecha PM]]="",tblMaestroEquipos[[#This Row],[Ultima Fecha PM]]&lt;tblMaestroEquipos[[#This Row],[Fecha Salida Bodega]]),"PENDIENTE","CERRADO"))</f>
        <v>CERRADO</v>
      </c>
      <c r="AE169" s="48" t="str">
        <f t="shared" si="18"/>
        <v>OPERATIVO</v>
      </c>
      <c r="AF169" s="16" t="str">
        <f t="shared" si="19"/>
        <v>BAJA</v>
      </c>
      <c r="AG169" s="16" t="str">
        <f t="shared" si="20"/>
        <v>Monitorear próximo vencimiento</v>
      </c>
      <c r="AH169">
        <f t="shared" si="21"/>
        <v>0</v>
      </c>
      <c r="AI169" t="str">
        <f t="shared" si="22"/>
        <v/>
      </c>
      <c r="AJ169" s="22">
        <f t="shared" si="23"/>
        <v>99</v>
      </c>
    </row>
    <row r="170" spans="1:36">
      <c r="A170" s="16" t="s">
        <v>511</v>
      </c>
      <c r="B170" s="16" t="s">
        <v>505</v>
      </c>
      <c r="C170" s="16" t="s">
        <v>1414</v>
      </c>
      <c r="D170" s="16" t="s">
        <v>506</v>
      </c>
      <c r="E170" s="17" t="s">
        <v>507</v>
      </c>
      <c r="F170" s="16">
        <v>2025</v>
      </c>
      <c r="G170" s="17" t="str">
        <f>IFERROR(_xlfn.XLOOKUP($A170,tblEquipos[Codigo],tblEquipos[Ubicacion],""),"")</f>
        <v>San Carlos</v>
      </c>
      <c r="H170" s="16" t="s">
        <v>37</v>
      </c>
      <c r="I170" s="16" t="str">
        <f>IFERROR(VLOOKUP(A170, Equipos!A:J, 9, FALSE), "")</f>
        <v>KM</v>
      </c>
      <c r="J170" s="16">
        <f>IFERROR(VLOOKUP(A170, Equipos!A:J, 10, FALSE), "")</f>
        <v>10000</v>
      </c>
      <c r="K170" s="16">
        <f>IFERROR(IF($I170="KM",ROUND((_xlfn.MAXIFS(tblLecturas[Kilometraje],tblLecturas[Codigo],$A170)-_xlfn.MINIFS(tblLecturas[Kilometraje],tblLecturas[Codigo],$A170))/(MAX(1,_xlfn.MAXIFS(tblLecturas[Fecha],tblLecturas[Codigo],$A170)-_xlfn.MINIFS(tblLecturas[Fecha],tblLecturas[Codigo],$A170))),1),ROUND((_xlfn.MAXIFS(tblLecturas[Horometro],tblLecturas[Codigo],$A170)-_xlfn.MINIFS(tblLecturas[Horometro],tblLecturas[Codigo],$A170))/(MAX(1,_xlfn.MAXIFS(tblLecturas[Fecha],tblLecturas[Codigo],$A170)-_xlfn.MINIFS(tblLecturas[Fecha],tblLecturas[Codigo],$A170))),1)),"")</f>
        <v>112.3</v>
      </c>
      <c r="L170" s="18">
        <f>IFERROR(_xlfn.MAXIFS(tblLecturas[Fecha],tblLecturas[Codigo],$A170),"")</f>
        <v>46133</v>
      </c>
      <c r="M170" s="24">
        <f>IFERROR(_xlfn.MAXIFS(Lecturas!$C:$C,Lecturas!$B:$B,$A170,Lecturas!$C:$C,"&gt;0"),"")</f>
        <v>0</v>
      </c>
      <c r="N170" s="24">
        <f>IFERROR(_xlfn.MAXIFS(tblLecturas[Kilometraje],tblLecturas[Codigo],$A170,tblLecturas[Kilometraje],"&gt;0"),"")</f>
        <v>54674</v>
      </c>
      <c r="O170" s="24" cm="1">
        <f t="array" ref="O170">IFERROR(IF($I170="KM",LOOKUP(2,1/(Lecturas!$B:$B=$A170)/(Lecturas!$D:$D&gt;0),Lecturas!$D:$D),LOOKUP(2,1/(Lecturas!$B:$B=$A170)/(Lecturas!$C:$C&gt;0),Lecturas!$C:$C)),"")</f>
        <v>51643</v>
      </c>
      <c r="P170" s="18">
        <f>IFERROR(_xlfn.MAXIFS(tblMantenciones[Fecha],tblMantenciones[Codigo],tblMaestroEquipos[[#This Row],[Codigo]],tblMantenciones[EsPM],"Sí"),"")</f>
        <v>46162</v>
      </c>
      <c r="Q170" s="70">
        <f>IF(_xlfn.MAXIFS(Mantenciones!$D:$D,Mantenciones!$B:$B,A170)=0,"Sin datos de mantención registrado",_xlfn.MAXIFS(Mantenciones!$D:$D,Mantenciones!$B:$B,A170))</f>
        <v>57384</v>
      </c>
      <c r="R170" s="16">
        <f>IFERROR(IF(_xlfn.MAXIFS(Mantenciones!$D:$D,Mantenciones!$B:$B,$A170,Mantenciones!$E:$E,"Sí",Mantenciones!$D:$D,"&gt;0")=0,"Sin datos de mantención registrado",_xlfn.MAXIFS(Mantenciones!$D:$D,Mantenciones!$B:$B,$A170,Mantenciones!$E:$E,"Sí",Mantenciones!$D:$D,"&gt;0")),"Sin datos de mantención registrado")</f>
        <v>57384</v>
      </c>
      <c r="S170" s="19">
        <f>IFERROR(SUMIFS(tblMantenciones[Costo Mantencion CLP],tblMantenciones[Codigo],A170),0)</f>
        <v>0</v>
      </c>
      <c r="T170" s="19">
        <f>IFERROR(SUMIFS(tblComprasPM[Costo PM CLP],tblComprasPM[Codigo],tblMaestroEquipos[[#This Row],[Codigo]]),0)</f>
        <v>56601.373999999996</v>
      </c>
      <c r="U170" s="19">
        <f>IFERROR(tblMaestroEquipos[[#This Row],[Costo Mantenciones CLP]]+tblMaestroEquipos[[#This Row],[Costo Compras PM CLP]],0)</f>
        <v>56601.373999999996</v>
      </c>
      <c r="V170" s="16" t="str">
        <f>IFERROR(_xlfn.XLOOKUP(tblMaestroEquipos[[#This Row],[Codigo]],tblEquipos[Codigo],tblEquipos[Estado Base]),"")</f>
        <v>Operativo</v>
      </c>
      <c r="W170" s="16" t="str">
        <f t="shared" si="16"/>
        <v>AL DÍA</v>
      </c>
      <c r="X170" s="16">
        <f t="shared" si="17"/>
        <v>15741</v>
      </c>
      <c r="Y170" s="23">
        <f>IFERROR(IF(OR(tblMaestroEquipos[[#This Row],[Estado Operacional]]="FUERA DE SERVICIO",tblMaestroEquipos[[#This Row],[Ultima Fecha Lectura]]="",tblMaestroEquipos[[#This Row],[Dias a Proxima Mantencion]]=""),"",tblMaestroEquipos[[#This Row],[Ultima Fecha Lectura]]+tblMaestroEquipos[[#This Row],[Dias a Proxima Mantencion]]),"")</f>
        <v>61874</v>
      </c>
      <c r="Z170" s="23">
        <f>IFERROR(IF(_xlfn.MINIFS(tblComprasPM[Fecha],tblComprasPM[Codigo],tblMaestroEquipos[[#This Row],[Codigo]])=0,"",_xlfn.MINIFS(tblComprasPM[Fecha],tblComprasPM[Codigo],tblMaestroEquipos[[#This Row],[Codigo]])),"")</f>
        <v>46065.519203044001</v>
      </c>
      <c r="AA170" s="23">
        <f>IFERROR(IF(_xlfn.MAXIFS(tblBodega[Fecha],tblBodega[Codigo],tblMaestroEquipos[[#This Row],[Codigo]])=0,"",_xlfn.MAXIFS(tblBodega[Fecha],tblBodega[Codigo],tblMaestroEquipos[[#This Row],[Codigo]])),"")</f>
        <v>46162</v>
      </c>
      <c r="AB17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97</v>
      </c>
      <c r="AC170"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70" s="16" t="str">
        <f>IF(tblMaestroEquipos[[#This Row],[Fecha Salida Bodega]]="","SIN SALIDA BODEGA",IF(OR(tblMaestroEquipos[[#This Row],[Ultima Fecha PM]]="",tblMaestroEquipos[[#This Row],[Ultima Fecha PM]]&lt;tblMaestroEquipos[[#This Row],[Fecha Salida Bodega]]),"PENDIENTE","CERRADO"))</f>
        <v>CERRADO</v>
      </c>
      <c r="AE170" s="48" t="str">
        <f t="shared" si="18"/>
        <v>OPERATIVO</v>
      </c>
      <c r="AF170" s="16" t="str">
        <f t="shared" si="19"/>
        <v>BAJA</v>
      </c>
      <c r="AG170" s="16" t="str">
        <f t="shared" si="20"/>
        <v>Monitorear próximo vencimiento</v>
      </c>
      <c r="AH170">
        <f t="shared" si="21"/>
        <v>0</v>
      </c>
      <c r="AI170" t="str">
        <f t="shared" si="22"/>
        <v/>
      </c>
      <c r="AJ170" s="22">
        <f t="shared" si="23"/>
        <v>99</v>
      </c>
    </row>
    <row r="171" spans="1:36">
      <c r="A171" s="16" t="s">
        <v>513</v>
      </c>
      <c r="B171" s="16" t="s">
        <v>505</v>
      </c>
      <c r="C171" s="16" t="s">
        <v>1414</v>
      </c>
      <c r="D171" s="16" t="s">
        <v>506</v>
      </c>
      <c r="E171" s="17" t="s">
        <v>507</v>
      </c>
      <c r="F171" s="16">
        <v>2025</v>
      </c>
      <c r="G171" s="17" t="str">
        <f>IFERROR(_xlfn.XLOOKUP($A171,tblEquipos[Codigo],tblEquipos[Ubicacion],""),"")</f>
        <v>Pelluhue</v>
      </c>
      <c r="H171" s="16" t="s">
        <v>37</v>
      </c>
      <c r="I171" s="16" t="str">
        <f>IFERROR(VLOOKUP(A171, Equipos!A:J, 9, FALSE), "")</f>
        <v>KM</v>
      </c>
      <c r="J171" s="16">
        <f>IFERROR(VLOOKUP(A171, Equipos!A:J, 10, FALSE), "")</f>
        <v>10000</v>
      </c>
      <c r="K171" s="16">
        <f>IFERROR(IF($I171="KM",ROUND((_xlfn.MAXIFS(tblLecturas[Kilometraje],tblLecturas[Codigo],$A171)-_xlfn.MINIFS(tblLecturas[Kilometraje],tblLecturas[Codigo],$A171))/(MAX(1,_xlfn.MAXIFS(tblLecturas[Fecha],tblLecturas[Codigo],$A171)-_xlfn.MINIFS(tblLecturas[Fecha],tblLecturas[Codigo],$A171))),1),ROUND((_xlfn.MAXIFS(tblLecturas[Horometro],tblLecturas[Codigo],$A171)-_xlfn.MINIFS(tblLecturas[Horometro],tblLecturas[Codigo],$A171))/(MAX(1,_xlfn.MAXIFS(tblLecturas[Fecha],tblLecturas[Codigo],$A171)-_xlfn.MINIFS(tblLecturas[Fecha],tblLecturas[Codigo],$A171))),1)),"")</f>
        <v>86.5</v>
      </c>
      <c r="L171" s="18">
        <f>IFERROR(_xlfn.MAXIFS(tblLecturas[Fecha],tblLecturas[Codigo],$A171),"")</f>
        <v>46120</v>
      </c>
      <c r="M171" s="24">
        <f>IFERROR(_xlfn.MAXIFS(Lecturas!$C:$C,Lecturas!$B:$B,$A171,Lecturas!$C:$C,"&gt;0"),"")</f>
        <v>0</v>
      </c>
      <c r="N171" s="24">
        <f>IFERROR(_xlfn.MAXIFS(tblLecturas[Kilometraje],tblLecturas[Codigo],$A171,tblLecturas[Kilometraje],"&gt;0"),"")</f>
        <v>47499</v>
      </c>
      <c r="O171" s="24" cm="1">
        <f t="array" ref="O171">IFERROR(IF($I171="KM",LOOKUP(2,1/(Lecturas!$B:$B=$A171)/(Lecturas!$D:$D&gt;0),Lecturas!$D:$D),LOOKUP(2,1/(Lecturas!$B:$B=$A171)/(Lecturas!$C:$C&gt;0),Lecturas!$C:$C)),"")</f>
        <v>45856</v>
      </c>
      <c r="P171" s="18">
        <f>IFERROR(_xlfn.MAXIFS(tblMantenciones[Fecha],tblMantenciones[Codigo],tblMaestroEquipos[[#This Row],[Codigo]],tblMantenciones[EsPM],"Sí"),"")</f>
        <v>46105</v>
      </c>
      <c r="Q171" s="70">
        <f>IF(_xlfn.MAXIFS(Mantenciones!$D:$D,Mantenciones!$B:$B,A171)=0,"Sin datos de mantención registrado",_xlfn.MAXIFS(Mantenciones!$D:$D,Mantenciones!$B:$B,A171))</f>
        <v>46246</v>
      </c>
      <c r="R171" s="16">
        <f>IFERROR(IF(_xlfn.MAXIFS(Mantenciones!$D:$D,Mantenciones!$B:$B,$A171,Mantenciones!$E:$E,"Sí",Mantenciones!$D:$D,"&gt;0")=0,"Sin datos de mantención registrado",_xlfn.MAXIFS(Mantenciones!$D:$D,Mantenciones!$B:$B,$A171,Mantenciones!$E:$E,"Sí",Mantenciones!$D:$D,"&gt;0")),"Sin datos de mantención registrado")</f>
        <v>46246</v>
      </c>
      <c r="S171" s="19">
        <f>IFERROR(SUMIFS(tblMantenciones[Costo Mantencion CLP],tblMantenciones[Codigo],A171),0)</f>
        <v>0</v>
      </c>
      <c r="T171" s="19">
        <f>IFERROR(SUMIFS(tblComprasPM[Costo PM CLP],tblComprasPM[Codigo],tblMaestroEquipos[[#This Row],[Codigo]]),0)</f>
        <v>56601.373999999996</v>
      </c>
      <c r="U171" s="19">
        <f>IFERROR(tblMaestroEquipos[[#This Row],[Costo Mantenciones CLP]]+tblMaestroEquipos[[#This Row],[Costo Compras PM CLP]],0)</f>
        <v>56601.373999999996</v>
      </c>
      <c r="V171" s="16" t="str">
        <f>IFERROR(_xlfn.XLOOKUP(tblMaestroEquipos[[#This Row],[Codigo]],tblEquipos[Codigo],tblEquipos[Estado Base]),"")</f>
        <v>Operativo</v>
      </c>
      <c r="W171" s="16" t="str">
        <f t="shared" si="16"/>
        <v>AL DÍA</v>
      </c>
      <c r="X171" s="16">
        <f t="shared" si="17"/>
        <v>10390</v>
      </c>
      <c r="Y171" s="23">
        <f>IFERROR(IF(OR(tblMaestroEquipos[[#This Row],[Estado Operacional]]="FUERA DE SERVICIO",tblMaestroEquipos[[#This Row],[Ultima Fecha Lectura]]="",tblMaestroEquipos[[#This Row],[Dias a Proxima Mantencion]]=""),"",tblMaestroEquipos[[#This Row],[Ultima Fecha Lectura]]+tblMaestroEquipos[[#This Row],[Dias a Proxima Mantencion]]),"")</f>
        <v>56510</v>
      </c>
      <c r="Z171" s="23">
        <f>IFERROR(IF(_xlfn.MINIFS(tblComprasPM[Fecha],tblComprasPM[Codigo],tblMaestroEquipos[[#This Row],[Codigo]])=0,"",_xlfn.MINIFS(tblComprasPM[Fecha],tblComprasPM[Codigo],tblMaestroEquipos[[#This Row],[Codigo]])),"")</f>
        <v>46065.519203044001</v>
      </c>
      <c r="AA171" s="23">
        <f>IFERROR(IF(_xlfn.MAXIFS(tblBodega[Fecha],tblBodega[Codigo],tblMaestroEquipos[[#This Row],[Codigo]])=0,"",_xlfn.MAXIFS(tblBodega[Fecha],tblBodega[Codigo],tblMaestroEquipos[[#This Row],[Codigo]])),"")</f>
        <v>46078</v>
      </c>
      <c r="AB17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40</v>
      </c>
      <c r="AC171"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27</v>
      </c>
      <c r="AD171" s="16" t="str">
        <f>IF(tblMaestroEquipos[[#This Row],[Fecha Salida Bodega]]="","SIN SALIDA BODEGA",IF(OR(tblMaestroEquipos[[#This Row],[Ultima Fecha PM]]="",tblMaestroEquipos[[#This Row],[Ultima Fecha PM]]&lt;tblMaestroEquipos[[#This Row],[Fecha Salida Bodega]]),"PENDIENTE","CERRADO"))</f>
        <v>CERRADO</v>
      </c>
      <c r="AE171" s="48" t="str">
        <f t="shared" si="18"/>
        <v>OPERATIVO</v>
      </c>
      <c r="AF171" s="16" t="str">
        <f t="shared" si="19"/>
        <v>BAJA</v>
      </c>
      <c r="AG171" s="16" t="str">
        <f t="shared" si="20"/>
        <v>Monitorear próximo vencimiento</v>
      </c>
      <c r="AH171">
        <f t="shared" si="21"/>
        <v>0</v>
      </c>
      <c r="AI171" t="str">
        <f t="shared" si="22"/>
        <v/>
      </c>
      <c r="AJ171" s="22">
        <f t="shared" si="23"/>
        <v>99</v>
      </c>
    </row>
    <row r="172" spans="1:36" s="25" customFormat="1">
      <c r="A172" s="16" t="s">
        <v>516</v>
      </c>
      <c r="B172" s="16" t="s">
        <v>505</v>
      </c>
      <c r="C172" s="16" t="s">
        <v>1414</v>
      </c>
      <c r="D172" s="16" t="s">
        <v>506</v>
      </c>
      <c r="E172" s="17" t="s">
        <v>507</v>
      </c>
      <c r="F172" s="16">
        <v>2025</v>
      </c>
      <c r="G172" s="17" t="str">
        <f>IFERROR(_xlfn.XLOOKUP($A172,tblEquipos[Codigo],tblEquipos[Ubicacion],""),"")</f>
        <v>Emergencias Curico</v>
      </c>
      <c r="H172" s="16" t="s">
        <v>201</v>
      </c>
      <c r="I172" s="16" t="str">
        <f>IFERROR(VLOOKUP(A172, Equipos!A:J, 9, FALSE), "")</f>
        <v>KM</v>
      </c>
      <c r="J172" s="16">
        <f>IFERROR(VLOOKUP(A172, Equipos!A:J, 10, FALSE), "")</f>
        <v>10000</v>
      </c>
      <c r="K172" s="16">
        <f>IFERROR(IF($I172="KM",ROUND((_xlfn.MAXIFS(tblLecturas[Kilometraje],tblLecturas[Codigo],$A172)-_xlfn.MINIFS(tblLecturas[Kilometraje],tblLecturas[Codigo],$A172))/(MAX(1,_xlfn.MAXIFS(tblLecturas[Fecha],tblLecturas[Codigo],$A172)-_xlfn.MINIFS(tblLecturas[Fecha],tblLecturas[Codigo],$A172))),1),ROUND((_xlfn.MAXIFS(tblLecturas[Horometro],tblLecturas[Codigo],$A172)-_xlfn.MINIFS(tblLecturas[Horometro],tblLecturas[Codigo],$A172))/(MAX(1,_xlfn.MAXIFS(tblLecturas[Fecha],tblLecturas[Codigo],$A172)-_xlfn.MINIFS(tblLecturas[Fecha],tblLecturas[Codigo],$A172))),1)),"")</f>
        <v>169.7</v>
      </c>
      <c r="L172" s="18">
        <f>IFERROR(_xlfn.MAXIFS(tblLecturas[Fecha],tblLecturas[Codigo],$A172),"")</f>
        <v>46139</v>
      </c>
      <c r="M172" s="24">
        <f>IFERROR(_xlfn.MAXIFS(Lecturas!$C:$C,Lecturas!$B:$B,$A172,Lecturas!$C:$C,"&gt;0"),"")</f>
        <v>0</v>
      </c>
      <c r="N172" s="24">
        <f>IFERROR(_xlfn.MAXIFS(tblLecturas[Kilometraje],tblLecturas[Codigo],$A172,tblLecturas[Kilometraje],"&gt;0"),"")</f>
        <v>60235</v>
      </c>
      <c r="O172" s="24" cm="1">
        <f t="array" ref="O172">IFERROR(IF($I172="KM",LOOKUP(2,1/(Lecturas!$B:$B=$A172)/(Lecturas!$D:$D&gt;0),Lecturas!$D:$D),LOOKUP(2,1/(Lecturas!$B:$B=$A172)/(Lecturas!$C:$C&gt;0),Lecturas!$C:$C)),"")</f>
        <v>55483</v>
      </c>
      <c r="P172" s="18">
        <f>IFERROR(_xlfn.MAXIFS(tblMantenciones[Fecha],tblMantenciones[Codigo],tblMaestroEquipos[[#This Row],[Codigo]],tblMantenciones[EsPM],"Sí"),"")</f>
        <v>46167</v>
      </c>
      <c r="Q172" s="70">
        <f>IF(_xlfn.MAXIFS(Mantenciones!$D:$D,Mantenciones!$B:$B,A172)=0,"Sin datos de mantención registrado",_xlfn.MAXIFS(Mantenciones!$D:$D,Mantenciones!$B:$B,A172))</f>
        <v>63698</v>
      </c>
      <c r="R172" s="16">
        <f>IFERROR(IF(_xlfn.MAXIFS(Mantenciones!$D:$D,Mantenciones!$B:$B,$A172,Mantenciones!$E:$E,"Sí",Mantenciones!$D:$D,"&gt;0")=0,"Sin datos de mantención registrado",_xlfn.MAXIFS(Mantenciones!$D:$D,Mantenciones!$B:$B,$A172,Mantenciones!$E:$E,"Sí",Mantenciones!$D:$D,"&gt;0")),"Sin datos de mantención registrado")</f>
        <v>63698</v>
      </c>
      <c r="S172" s="19">
        <f>IFERROR(SUMIFS(tblMantenciones[Costo Mantencion CLP],tblMantenciones[Codigo],A172),0)</f>
        <v>0</v>
      </c>
      <c r="T172" s="19">
        <f>IFERROR(SUMIFS(tblComprasPM[Costo PM CLP],tblComprasPM[Codigo],tblMaestroEquipos[[#This Row],[Codigo]]),0)</f>
        <v>56601.373999999996</v>
      </c>
      <c r="U172" s="19">
        <f>IFERROR(tblMaestroEquipos[[#This Row],[Costo Mantenciones CLP]]+tblMaestroEquipos[[#This Row],[Costo Compras PM CLP]],0)</f>
        <v>56601.373999999996</v>
      </c>
      <c r="V172" s="16" t="str">
        <f>IFERROR(_xlfn.XLOOKUP(tblMaestroEquipos[[#This Row],[Codigo]],tblEquipos[Codigo],tblEquipos[Estado Base]),"")</f>
        <v>Operativo</v>
      </c>
      <c r="W172" s="16" t="str">
        <f t="shared" si="16"/>
        <v>AL DÍA</v>
      </c>
      <c r="X172" s="16">
        <f t="shared" si="17"/>
        <v>18215</v>
      </c>
      <c r="Y172" s="23">
        <f>IFERROR(IF(OR(tblMaestroEquipos[[#This Row],[Estado Operacional]]="FUERA DE SERVICIO",tblMaestroEquipos[[#This Row],[Ultima Fecha Lectura]]="",tblMaestroEquipos[[#This Row],[Dias a Proxima Mantencion]]=""),"",tblMaestroEquipos[[#This Row],[Ultima Fecha Lectura]]+tblMaestroEquipos[[#This Row],[Dias a Proxima Mantencion]]),"")</f>
        <v>64354</v>
      </c>
      <c r="Z172" s="23">
        <f>IFERROR(IF(_xlfn.MINIFS(tblComprasPM[Fecha],tblComprasPM[Codigo],tblMaestroEquipos[[#This Row],[Codigo]])=0,"",_xlfn.MINIFS(tblComprasPM[Fecha],tblComprasPM[Codigo],tblMaestroEquipos[[#This Row],[Codigo]])),"")</f>
        <v>46065.519203044001</v>
      </c>
      <c r="AA172" s="23">
        <f>IFERROR(IF(_xlfn.MAXIFS(tblBodega[Fecha],tblBodega[Codigo],tblMaestroEquipos[[#This Row],[Codigo]])=0,"",_xlfn.MAXIFS(tblBodega[Fecha],tblBodega[Codigo],tblMaestroEquipos[[#This Row],[Codigo]])),"")</f>
        <v>46167</v>
      </c>
      <c r="AB172"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102</v>
      </c>
      <c r="AC172"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72" s="16" t="str">
        <f>IF(tblMaestroEquipos[[#This Row],[Fecha Salida Bodega]]="","SIN SALIDA BODEGA",IF(OR(tblMaestroEquipos[[#This Row],[Ultima Fecha PM]]="",tblMaestroEquipos[[#This Row],[Ultima Fecha PM]]&lt;tblMaestroEquipos[[#This Row],[Fecha Salida Bodega]]),"PENDIENTE","CERRADO"))</f>
        <v>CERRADO</v>
      </c>
      <c r="AE172" s="48" t="str">
        <f t="shared" si="18"/>
        <v>OPERATIVO</v>
      </c>
      <c r="AF172" s="16" t="str">
        <f t="shared" si="19"/>
        <v>BAJA</v>
      </c>
      <c r="AG172" s="16" t="str">
        <f t="shared" si="20"/>
        <v>Monitorear próximo vencimiento</v>
      </c>
      <c r="AH172">
        <f t="shared" si="21"/>
        <v>0</v>
      </c>
      <c r="AI172" t="str">
        <f t="shared" si="22"/>
        <v/>
      </c>
      <c r="AJ172" s="22">
        <f t="shared" si="23"/>
        <v>99</v>
      </c>
    </row>
    <row r="173" spans="1:36">
      <c r="A173" s="16" t="s">
        <v>518</v>
      </c>
      <c r="B173" s="16" t="s">
        <v>505</v>
      </c>
      <c r="C173" s="16" t="s">
        <v>1414</v>
      </c>
      <c r="D173" s="16" t="s">
        <v>506</v>
      </c>
      <c r="E173" s="17" t="s">
        <v>507</v>
      </c>
      <c r="F173" s="16">
        <v>2025</v>
      </c>
      <c r="G173" s="17" t="str">
        <f>IFERROR(_xlfn.XLOOKUP($A173,tblEquipos[Codigo],tblEquipos[Ubicacion],""),"")</f>
        <v>Quirihue</v>
      </c>
      <c r="H173" s="16" t="s">
        <v>37</v>
      </c>
      <c r="I173" s="16" t="str">
        <f>IFERROR(VLOOKUP(A173, Equipos!A:J, 9, FALSE), "")</f>
        <v>KM</v>
      </c>
      <c r="J173" s="16">
        <f>IFERROR(VLOOKUP(A173, Equipos!A:J, 10, FALSE), "")</f>
        <v>10000</v>
      </c>
      <c r="K173" s="16">
        <f>IFERROR(IF($I173="KM",ROUND((_xlfn.MAXIFS(tblLecturas[Kilometraje],tblLecturas[Codigo],$A173)-_xlfn.MINIFS(tblLecturas[Kilometraje],tblLecturas[Codigo],$A173))/(MAX(1,_xlfn.MAXIFS(tblLecturas[Fecha],tblLecturas[Codigo],$A173)-_xlfn.MINIFS(tblLecturas[Fecha],tblLecturas[Codigo],$A173))),1),ROUND((_xlfn.MAXIFS(tblLecturas[Horometro],tblLecturas[Codigo],$A173)-_xlfn.MINIFS(tblLecturas[Horometro],tblLecturas[Codigo],$A173))/(MAX(1,_xlfn.MAXIFS(tblLecturas[Fecha],tblLecturas[Codigo],$A173)-_xlfn.MINIFS(tblLecturas[Fecha],tblLecturas[Codigo],$A173))),1)),"")</f>
        <v>129.30000000000001</v>
      </c>
      <c r="L173" s="18">
        <f>IFERROR(_xlfn.MAXIFS(tblLecturas[Fecha],tblLecturas[Codigo],$A173),"")</f>
        <v>46185</v>
      </c>
      <c r="M173" s="24">
        <f>IFERROR(_xlfn.MAXIFS(Lecturas!$C:$C,Lecturas!$B:$B,$A173,Lecturas!$C:$C,"&gt;0"),"")</f>
        <v>76049</v>
      </c>
      <c r="N173" s="24">
        <f>IFERROR(_xlfn.MAXIFS(tblLecturas[Kilometraje],tblLecturas[Codigo],$A173,tblLecturas[Kilometraje],"&gt;0"),"")</f>
        <v>76049</v>
      </c>
      <c r="O173" s="24" cm="1">
        <f t="array" ref="O173">IFERROR(IF($I173="KM",LOOKUP(2,1/(Lecturas!$B:$B=$A173)/(Lecturas!$D:$D&gt;0),Lecturas!$D:$D),LOOKUP(2,1/(Lecturas!$B:$B=$A173)/(Lecturas!$C:$C&gt;0),Lecturas!$C:$C)),"")</f>
        <v>74488</v>
      </c>
      <c r="P173" s="18">
        <f>IFERROR(_xlfn.MAXIFS(tblMantenciones[Fecha],tblMantenciones[Codigo],tblMaestroEquipos[[#This Row],[Codigo]],tblMantenciones[EsPM],"Sí"),"")</f>
        <v>46132</v>
      </c>
      <c r="Q173" s="70">
        <f>IF(_xlfn.MAXIFS(Mantenciones!$D:$D,Mantenciones!$B:$B,A173)=0,"Sin datos de mantención registrado",_xlfn.MAXIFS(Mantenciones!$D:$D,Mantenciones!$B:$B,A173))</f>
        <v>69677</v>
      </c>
      <c r="R173" s="16">
        <f>IFERROR(IF(_xlfn.MAXIFS(Mantenciones!$D:$D,Mantenciones!$B:$B,$A173,Mantenciones!$E:$E,"Sí",Mantenciones!$D:$D,"&gt;0")=0,"Sin datos de mantención registrado",_xlfn.MAXIFS(Mantenciones!$D:$D,Mantenciones!$B:$B,$A173,Mantenciones!$E:$E,"Sí",Mantenciones!$D:$D,"&gt;0")),"Sin datos de mantención registrado")</f>
        <v>69677</v>
      </c>
      <c r="S173" s="19">
        <f>IFERROR(SUMIFS(tblMantenciones[Costo Mantencion CLP],tblMantenciones[Codigo],A173),0)</f>
        <v>0</v>
      </c>
      <c r="T173" s="19">
        <f>IFERROR(SUMIFS(tblComprasPM[Costo PM CLP],tblComprasPM[Codigo],tblMaestroEquipos[[#This Row],[Codigo]]),0)</f>
        <v>74401.394</v>
      </c>
      <c r="U173" s="19">
        <f>IFERROR(tblMaestroEquipos[[#This Row],[Costo Mantenciones CLP]]+tblMaestroEquipos[[#This Row],[Costo Compras PM CLP]],0)</f>
        <v>74401.394</v>
      </c>
      <c r="V173" s="16" t="str">
        <f>IFERROR(_xlfn.XLOOKUP(tblMaestroEquipos[[#This Row],[Codigo]],tblEquipos[Codigo],tblEquipos[Estado Base]),"")</f>
        <v>Operativo</v>
      </c>
      <c r="W173" s="16" t="str">
        <f t="shared" si="16"/>
        <v>AL DÍA</v>
      </c>
      <c r="X173" s="16">
        <f t="shared" si="17"/>
        <v>5189</v>
      </c>
      <c r="Y173" s="23">
        <f>IFERROR(IF(OR(tblMaestroEquipos[[#This Row],[Estado Operacional]]="FUERA DE SERVICIO",tblMaestroEquipos[[#This Row],[Ultima Fecha Lectura]]="",tblMaestroEquipos[[#This Row],[Dias a Proxima Mantencion]]=""),"",tblMaestroEquipos[[#This Row],[Ultima Fecha Lectura]]+tblMaestroEquipos[[#This Row],[Dias a Proxima Mantencion]]),"")</f>
        <v>51374</v>
      </c>
      <c r="Z173" s="23">
        <f>IFERROR(IF(_xlfn.MINIFS(tblComprasPM[Fecha],tblComprasPM[Codigo],tblMaestroEquipos[[#This Row],[Codigo]])=0,"",_xlfn.MINIFS(tblComprasPM[Fecha],tblComprasPM[Codigo],tblMaestroEquipos[[#This Row],[Codigo]])),"")</f>
        <v>46065.519203044001</v>
      </c>
      <c r="AA173" s="23">
        <f>IFERROR(IF(_xlfn.MAXIFS(tblBodega[Fecha],tblBodega[Codigo],tblMaestroEquipos[[#This Row],[Codigo]])=0,"",_xlfn.MAXIFS(tblBodega[Fecha],tblBodega[Codigo],tblMaestroEquipos[[#This Row],[Codigo]])),"")</f>
        <v>46132</v>
      </c>
      <c r="AB173"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67</v>
      </c>
      <c r="AC173"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73" s="16" t="str">
        <f>IF(tblMaestroEquipos[[#This Row],[Fecha Salida Bodega]]="","SIN SALIDA BODEGA",IF(OR(tblMaestroEquipos[[#This Row],[Ultima Fecha PM]]="",tblMaestroEquipos[[#This Row],[Ultima Fecha PM]]&lt;tblMaestroEquipos[[#This Row],[Fecha Salida Bodega]]),"PENDIENTE","CERRADO"))</f>
        <v>CERRADO</v>
      </c>
      <c r="AE173" s="48" t="str">
        <f t="shared" si="18"/>
        <v>OPERATIVO</v>
      </c>
      <c r="AF173" s="16" t="str">
        <f t="shared" si="19"/>
        <v>BAJA</v>
      </c>
      <c r="AG173" s="16" t="str">
        <f t="shared" si="20"/>
        <v>Monitorear próximo vencimiento</v>
      </c>
      <c r="AH173">
        <f t="shared" si="21"/>
        <v>0</v>
      </c>
      <c r="AI173" t="str">
        <f t="shared" si="22"/>
        <v/>
      </c>
      <c r="AJ173" s="22">
        <f t="shared" si="23"/>
        <v>99</v>
      </c>
    </row>
    <row r="174" spans="1:36">
      <c r="A174" s="16" t="s">
        <v>520</v>
      </c>
      <c r="B174" s="16" t="s">
        <v>505</v>
      </c>
      <c r="C174" s="16" t="s">
        <v>1414</v>
      </c>
      <c r="D174" s="16" t="s">
        <v>506</v>
      </c>
      <c r="E174" s="17" t="s">
        <v>507</v>
      </c>
      <c r="F174" s="16">
        <v>2025</v>
      </c>
      <c r="G174" s="17" t="str">
        <f>IFERROR(_xlfn.XLOOKUP($A174,tblEquipos[Codigo],tblEquipos[Ubicacion],""),"")</f>
        <v>San Carlos</v>
      </c>
      <c r="H174" s="16" t="s">
        <v>37</v>
      </c>
      <c r="I174" s="16" t="str">
        <f>IFERROR(VLOOKUP(A174, Equipos!A:J, 9, FALSE), "")</f>
        <v>KM</v>
      </c>
      <c r="J174" s="16">
        <f>IFERROR(VLOOKUP(A174, Equipos!A:J, 10, FALSE), "")</f>
        <v>10000</v>
      </c>
      <c r="K174" s="16">
        <f>IFERROR(IF($I174="KM",ROUND((_xlfn.MAXIFS(tblLecturas[Kilometraje],tblLecturas[Codigo],$A174)-_xlfn.MINIFS(tblLecturas[Kilometraje],tblLecturas[Codigo],$A174))/(MAX(1,_xlfn.MAXIFS(tblLecturas[Fecha],tblLecturas[Codigo],$A174)-_xlfn.MINIFS(tblLecturas[Fecha],tblLecturas[Codigo],$A174))),1),ROUND((_xlfn.MAXIFS(tblLecturas[Horometro],tblLecturas[Codigo],$A174)-_xlfn.MINIFS(tblLecturas[Horometro],tblLecturas[Codigo],$A174))/(MAX(1,_xlfn.MAXIFS(tblLecturas[Fecha],tblLecturas[Codigo],$A174)-_xlfn.MINIFS(tblLecturas[Fecha],tblLecturas[Codigo],$A174))),1)),"")</f>
        <v>184.9</v>
      </c>
      <c r="L174" s="18">
        <f>IFERROR(_xlfn.MAXIFS(tblLecturas[Fecha],tblLecturas[Codigo],$A174),"")</f>
        <v>46133</v>
      </c>
      <c r="M174" s="24">
        <f>IFERROR(_xlfn.MAXIFS(Lecturas!$C:$C,Lecturas!$B:$B,$A174,Lecturas!$C:$C,"&gt;0"),"")</f>
        <v>0</v>
      </c>
      <c r="N174" s="24">
        <f>IFERROR(_xlfn.MAXIFS(tblLecturas[Kilometraje],tblLecturas[Codigo],$A174,tblLecturas[Kilometraje],"&gt;0"),"")</f>
        <v>80272</v>
      </c>
      <c r="O174" s="24" cm="1">
        <f t="array" ref="O174">IFERROR(IF($I174="KM",LOOKUP(2,1/(Lecturas!$B:$B=$A174)/(Lecturas!$D:$D&gt;0),Lecturas!$D:$D),LOOKUP(2,1/(Lecturas!$B:$B=$A174)/(Lecturas!$C:$C&gt;0),Lecturas!$C:$C)),"")</f>
        <v>75279</v>
      </c>
      <c r="P174" s="18">
        <f>IFERROR(_xlfn.MAXIFS(tblMantenciones[Fecha],tblMantenciones[Codigo],tblMaestroEquipos[[#This Row],[Codigo]],tblMantenciones[EsPM],"Sí"),"")</f>
        <v>46087</v>
      </c>
      <c r="Q174" s="70">
        <f>IF(_xlfn.MAXIFS(Mantenciones!$D:$D,Mantenciones!$B:$B,A174)=0,"Sin datos de mantención registrado",_xlfn.MAXIFS(Mantenciones!$D:$D,Mantenciones!$B:$B,A174))</f>
        <v>71838</v>
      </c>
      <c r="R174" s="16">
        <f>IFERROR(IF(_xlfn.MAXIFS(Mantenciones!$D:$D,Mantenciones!$B:$B,$A174,Mantenciones!$E:$E,"Sí",Mantenciones!$D:$D,"&gt;0")=0,"Sin datos de mantención registrado",_xlfn.MAXIFS(Mantenciones!$D:$D,Mantenciones!$B:$B,$A174,Mantenciones!$E:$E,"Sí",Mantenciones!$D:$D,"&gt;0")),"Sin datos de mantención registrado")</f>
        <v>71838</v>
      </c>
      <c r="S174" s="19">
        <f>IFERROR(SUMIFS(tblMantenciones[Costo Mantencion CLP],tblMantenciones[Codigo],A174),0)</f>
        <v>0</v>
      </c>
      <c r="T174" s="19">
        <f>IFERROR(SUMIFS(tblComprasPM[Costo PM CLP],tblComprasPM[Codigo],tblMaestroEquipos[[#This Row],[Codigo]]),0)</f>
        <v>74401.394</v>
      </c>
      <c r="U174" s="19">
        <f>IFERROR(tblMaestroEquipos[[#This Row],[Costo Mantenciones CLP]]+tblMaestroEquipos[[#This Row],[Costo Compras PM CLP]],0)</f>
        <v>74401.394</v>
      </c>
      <c r="V174" s="16" t="str">
        <f>IFERROR(_xlfn.XLOOKUP(tblMaestroEquipos[[#This Row],[Codigo]],tblEquipos[Codigo],tblEquipos[Estado Base]),"")</f>
        <v>Operativo</v>
      </c>
      <c r="W174" s="16" t="str">
        <f t="shared" si="16"/>
        <v>AL DÍA</v>
      </c>
      <c r="X174" s="16">
        <f t="shared" si="17"/>
        <v>6559</v>
      </c>
      <c r="Y174" s="23">
        <f>IFERROR(IF(OR(tblMaestroEquipos[[#This Row],[Estado Operacional]]="FUERA DE SERVICIO",tblMaestroEquipos[[#This Row],[Ultima Fecha Lectura]]="",tblMaestroEquipos[[#This Row],[Dias a Proxima Mantencion]]=""),"",tblMaestroEquipos[[#This Row],[Ultima Fecha Lectura]]+tblMaestroEquipos[[#This Row],[Dias a Proxima Mantencion]]),"")</f>
        <v>52692</v>
      </c>
      <c r="Z174" s="23">
        <f>IFERROR(IF(_xlfn.MINIFS(tblComprasPM[Fecha],tblComprasPM[Codigo],tblMaestroEquipos[[#This Row],[Codigo]])=0,"",_xlfn.MINIFS(tblComprasPM[Fecha],tblComprasPM[Codigo],tblMaestroEquipos[[#This Row],[Codigo]])),"")</f>
        <v>46065.519203044001</v>
      </c>
      <c r="AA174" s="23">
        <f>IFERROR(IF(_xlfn.MAXIFS(tblBodega[Fecha],tblBodega[Codigo],tblMaestroEquipos[[#This Row],[Codigo]])=0,"",_xlfn.MAXIFS(tblBodega[Fecha],tblBodega[Codigo],tblMaestroEquipos[[#This Row],[Codigo]])),"")</f>
        <v>46087</v>
      </c>
      <c r="AB174"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22</v>
      </c>
      <c r="AC174"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74" s="16" t="str">
        <f>IF(tblMaestroEquipos[[#This Row],[Fecha Salida Bodega]]="","SIN SALIDA BODEGA",IF(OR(tblMaestroEquipos[[#This Row],[Ultima Fecha PM]]="",tblMaestroEquipos[[#This Row],[Ultima Fecha PM]]&lt;tblMaestroEquipos[[#This Row],[Fecha Salida Bodega]]),"PENDIENTE","CERRADO"))</f>
        <v>CERRADO</v>
      </c>
      <c r="AE174" s="48" t="str">
        <f t="shared" si="18"/>
        <v>OPERATIVO</v>
      </c>
      <c r="AF174" s="16" t="str">
        <f t="shared" si="19"/>
        <v>BAJA</v>
      </c>
      <c r="AG174" s="16" t="str">
        <f t="shared" si="20"/>
        <v>Monitorear próximo vencimiento</v>
      </c>
      <c r="AH174">
        <f t="shared" si="21"/>
        <v>0</v>
      </c>
      <c r="AI174" t="str">
        <f t="shared" si="22"/>
        <v/>
      </c>
      <c r="AJ174" s="22">
        <f t="shared" si="23"/>
        <v>99</v>
      </c>
    </row>
    <row r="175" spans="1:36" s="25" customFormat="1">
      <c r="A175" s="16" t="s">
        <v>522</v>
      </c>
      <c r="B175" s="16" t="s">
        <v>505</v>
      </c>
      <c r="C175" s="16" t="s">
        <v>1414</v>
      </c>
      <c r="D175" s="16" t="s">
        <v>506</v>
      </c>
      <c r="E175" s="17" t="s">
        <v>507</v>
      </c>
      <c r="F175" s="16">
        <v>2025</v>
      </c>
      <c r="G175" s="17" t="str">
        <f>IFERROR(_xlfn.XLOOKUP($A175,tblEquipos[Codigo],tblEquipos[Ubicacion],""),"")</f>
        <v>Quirihue</v>
      </c>
      <c r="H175" s="16" t="s">
        <v>37</v>
      </c>
      <c r="I175" s="16" t="str">
        <f>IFERROR(VLOOKUP(A175, Equipos!A:J, 9, FALSE), "")</f>
        <v>KM</v>
      </c>
      <c r="J175" s="16">
        <f>IFERROR(VLOOKUP(A175, Equipos!A:J, 10, FALSE), "")</f>
        <v>10000</v>
      </c>
      <c r="K175" s="16">
        <f>IFERROR(IF($I175="KM",ROUND((_xlfn.MAXIFS(tblLecturas[Kilometraje],tblLecturas[Codigo],$A175)-_xlfn.MINIFS(tblLecturas[Kilometraje],tblLecturas[Codigo],$A175))/(MAX(1,_xlfn.MAXIFS(tblLecturas[Fecha],tblLecturas[Codigo],$A175)-_xlfn.MINIFS(tblLecturas[Fecha],tblLecturas[Codigo],$A175))),1),ROUND((_xlfn.MAXIFS(tblLecturas[Horometro],tblLecturas[Codigo],$A175)-_xlfn.MINIFS(tblLecturas[Horometro],tblLecturas[Codigo],$A175))/(MAX(1,_xlfn.MAXIFS(tblLecturas[Fecha],tblLecturas[Codigo],$A175)-_xlfn.MINIFS(tblLecturas[Fecha],tblLecturas[Codigo],$A175))),1)),"")</f>
        <v>89.9</v>
      </c>
      <c r="L175" s="18">
        <f>IFERROR(_xlfn.MAXIFS(tblLecturas[Fecha],tblLecturas[Codigo],$A175),"")</f>
        <v>46185</v>
      </c>
      <c r="M175" s="24">
        <f>IFERROR(_xlfn.MAXIFS(Lecturas!$C:$C,Lecturas!$B:$B,$A175,Lecturas!$C:$C,"&gt;0"),"")</f>
        <v>50628</v>
      </c>
      <c r="N175" s="24">
        <f>IFERROR(_xlfn.MAXIFS(tblLecturas[Kilometraje],tblLecturas[Codigo],$A175,tblLecturas[Kilometraje],"&gt;0"),"")</f>
        <v>50072</v>
      </c>
      <c r="O175" s="24" cm="1">
        <f t="array" ref="O175">IFERROR(IF($I175="KM",LOOKUP(2,1/(Lecturas!$B:$B=$A175)/(Lecturas!$D:$D&gt;0),Lecturas!$D:$D),LOOKUP(2,1/(Lecturas!$B:$B=$A175)/(Lecturas!$C:$C&gt;0),Lecturas!$C:$C)),"")</f>
        <v>50072</v>
      </c>
      <c r="P175" s="18">
        <f>IFERROR(_xlfn.MAXIFS(tblMantenciones[Fecha],tblMantenciones[Codigo],tblMaestroEquipos[[#This Row],[Codigo]],tblMantenciones[EsPM],"Sí"),"")</f>
        <v>46189</v>
      </c>
      <c r="Q175" s="70">
        <f>IF(_xlfn.MAXIFS(Mantenciones!$D:$D,Mantenciones!$B:$B,A175)=0,"Sin datos de mantención registrado",_xlfn.MAXIFS(Mantenciones!$D:$D,Mantenciones!$B:$B,A175))</f>
        <v>51036</v>
      </c>
      <c r="R175" s="16">
        <f>IFERROR(IF(_xlfn.MAXIFS(Mantenciones!$D:$D,Mantenciones!$B:$B,$A175,Mantenciones!$E:$E,"Sí",Mantenciones!$D:$D,"&gt;0")=0,"Sin datos de mantención registrado",_xlfn.MAXIFS(Mantenciones!$D:$D,Mantenciones!$B:$B,$A175,Mantenciones!$E:$E,"Sí",Mantenciones!$D:$D,"&gt;0")),"Sin datos de mantención registrado")</f>
        <v>51036</v>
      </c>
      <c r="S175" s="19">
        <f>IFERROR(SUMIFS(tblMantenciones[Costo Mantencion CLP],tblMantenciones[Codigo],A175),0)</f>
        <v>0</v>
      </c>
      <c r="T175" s="19">
        <f>IFERROR(SUMIFS(tblComprasPM[Costo PM CLP],tblComprasPM[Codigo],tblMaestroEquipos[[#This Row],[Codigo]]),0)</f>
        <v>74401.394</v>
      </c>
      <c r="U175" s="19">
        <f>IFERROR(tblMaestroEquipos[[#This Row],[Costo Mantenciones CLP]]+tblMaestroEquipos[[#This Row],[Costo Compras PM CLP]],0)</f>
        <v>74401.394</v>
      </c>
      <c r="V175" s="16" t="str">
        <f>IFERROR(_xlfn.XLOOKUP(tblMaestroEquipos[[#This Row],[Codigo]],tblEquipos[Codigo],tblEquipos[Estado Base]),"")</f>
        <v>Operativo</v>
      </c>
      <c r="W175" s="16" t="str">
        <f t="shared" si="16"/>
        <v>AL DÍA</v>
      </c>
      <c r="X175" s="16">
        <f t="shared" si="17"/>
        <v>10964</v>
      </c>
      <c r="Y175" s="23">
        <f>IFERROR(IF(OR(tblMaestroEquipos[[#This Row],[Estado Operacional]]="FUERA DE SERVICIO",tblMaestroEquipos[[#This Row],[Ultima Fecha Lectura]]="",tblMaestroEquipos[[#This Row],[Dias a Proxima Mantencion]]=""),"",tblMaestroEquipos[[#This Row],[Ultima Fecha Lectura]]+tblMaestroEquipos[[#This Row],[Dias a Proxima Mantencion]]),"")</f>
        <v>57149</v>
      </c>
      <c r="Z175" s="23">
        <f>IFERROR(IF(_xlfn.MINIFS(tblComprasPM[Fecha],tblComprasPM[Codigo],tblMaestroEquipos[[#This Row],[Codigo]])=0,"",_xlfn.MINIFS(tblComprasPM[Fecha],tblComprasPM[Codigo],tblMaestroEquipos[[#This Row],[Codigo]])),"")</f>
        <v>46065.519203044001</v>
      </c>
      <c r="AA175" s="23">
        <f>IFERROR(IF(_xlfn.MAXIFS(tblBodega[Fecha],tblBodega[Codigo],tblMaestroEquipos[[#This Row],[Codigo]])=0,"",_xlfn.MAXIFS(tblBodega[Fecha],tblBodega[Codigo],tblMaestroEquipos[[#This Row],[Codigo]])),"")</f>
        <v>46072</v>
      </c>
      <c r="AB17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124</v>
      </c>
      <c r="AC17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117</v>
      </c>
      <c r="AD175" s="16" t="str">
        <f>IF(tblMaestroEquipos[[#This Row],[Fecha Salida Bodega]]="","SIN SALIDA BODEGA",IF(OR(tblMaestroEquipos[[#This Row],[Ultima Fecha PM]]="",tblMaestroEquipos[[#This Row],[Ultima Fecha PM]]&lt;tblMaestroEquipos[[#This Row],[Fecha Salida Bodega]]),"PENDIENTE","CERRADO"))</f>
        <v>CERRADO</v>
      </c>
      <c r="AE175" s="48" t="str">
        <f t="shared" si="18"/>
        <v>OPERATIVO</v>
      </c>
      <c r="AF175" s="16" t="str">
        <f t="shared" si="19"/>
        <v>BAJA</v>
      </c>
      <c r="AG175" s="16" t="str">
        <f t="shared" si="20"/>
        <v>Monitorear próximo vencimiento</v>
      </c>
      <c r="AH175">
        <f t="shared" si="21"/>
        <v>0</v>
      </c>
      <c r="AI175" t="str">
        <f t="shared" si="22"/>
        <v/>
      </c>
      <c r="AJ175" s="22">
        <f t="shared" si="23"/>
        <v>99</v>
      </c>
    </row>
    <row r="176" spans="1:36" s="25" customFormat="1">
      <c r="A176" s="16" t="s">
        <v>524</v>
      </c>
      <c r="B176" s="16" t="s">
        <v>505</v>
      </c>
      <c r="C176" s="16" t="s">
        <v>1414</v>
      </c>
      <c r="D176" s="16" t="s">
        <v>506</v>
      </c>
      <c r="E176" s="17" t="s">
        <v>507</v>
      </c>
      <c r="F176" s="16">
        <v>2025</v>
      </c>
      <c r="G176" s="17" t="str">
        <f>IFERROR(_xlfn.XLOOKUP($A176,tblEquipos[Codigo],tblEquipos[Ubicacion],""),"")</f>
        <v>Emergencias Curico</v>
      </c>
      <c r="H176" s="16" t="s">
        <v>1419</v>
      </c>
      <c r="I176" s="16" t="str">
        <f>IFERROR(VLOOKUP(A176, Equipos!A:J, 9, FALSE), "")</f>
        <v>KM</v>
      </c>
      <c r="J176" s="16">
        <f>IFERROR(VLOOKUP(A176, Equipos!A:J, 10, FALSE), "")</f>
        <v>10000</v>
      </c>
      <c r="K176" s="16">
        <f>IFERROR(IF($I176="KM",ROUND((_xlfn.MAXIFS(tblLecturas[Kilometraje],tblLecturas[Codigo],$A176)-_xlfn.MINIFS(tblLecturas[Kilometraje],tblLecturas[Codigo],$A176))/(MAX(1,_xlfn.MAXIFS(tblLecturas[Fecha],tblLecturas[Codigo],$A176)-_xlfn.MINIFS(tblLecturas[Fecha],tblLecturas[Codigo],$A176))),1),ROUND((_xlfn.MAXIFS(tblLecturas[Horometro],tblLecturas[Codigo],$A176)-_xlfn.MINIFS(tblLecturas[Horometro],tblLecturas[Codigo],$A176))/(MAX(1,_xlfn.MAXIFS(tblLecturas[Fecha],tblLecturas[Codigo],$A176)-_xlfn.MINIFS(tblLecturas[Fecha],tblLecturas[Codigo],$A176))),1)),"")</f>
        <v>116.7</v>
      </c>
      <c r="L176" s="18">
        <f>IFERROR(_xlfn.MAXIFS(tblLecturas[Fecha],tblLecturas[Codigo],$A176),"")</f>
        <v>46133</v>
      </c>
      <c r="M176" s="24">
        <f>IFERROR(_xlfn.MAXIFS(Lecturas!$C:$C,Lecturas!$B:$B,$A176,Lecturas!$C:$C,"&gt;0"),"")</f>
        <v>0</v>
      </c>
      <c r="N176" s="24">
        <f>IFERROR(_xlfn.MAXIFS(tblLecturas[Kilometraje],tblLecturas[Codigo],$A176,tblLecturas[Kilometraje],"&gt;0"),"")</f>
        <v>84545</v>
      </c>
      <c r="O176" s="24" cm="1">
        <f t="array" ref="O176">IFERROR(IF($I176="KM",LOOKUP(2,1/(Lecturas!$B:$B=$A176)/(Lecturas!$D:$D&gt;0),Lecturas!$D:$D),LOOKUP(2,1/(Lecturas!$B:$B=$A176)/(Lecturas!$C:$C&gt;0),Lecturas!$C:$C)),"")</f>
        <v>81278</v>
      </c>
      <c r="P176" s="18">
        <f>IFERROR(_xlfn.MAXIFS(tblMantenciones[Fecha],tblMantenciones[Codigo],tblMaestroEquipos[[#This Row],[Codigo]],tblMantenciones[EsPM],"Sí"),"")</f>
        <v>46188</v>
      </c>
      <c r="Q176" s="70">
        <f>IF(_xlfn.MAXIFS(Mantenciones!$D:$D,Mantenciones!$B:$B,A176)=0,"Sin datos de mantención registrado",_xlfn.MAXIFS(Mantenciones!$D:$D,Mantenciones!$B:$B,A176))</f>
        <v>96425</v>
      </c>
      <c r="R176" s="16">
        <f>IFERROR(IF(_xlfn.MAXIFS(Mantenciones!$D:$D,Mantenciones!$B:$B,$A176,Mantenciones!$E:$E,"Sí",Mantenciones!$D:$D,"&gt;0")=0,"Sin datos de mantención registrado",_xlfn.MAXIFS(Mantenciones!$D:$D,Mantenciones!$B:$B,$A176,Mantenciones!$E:$E,"Sí",Mantenciones!$D:$D,"&gt;0")),"Sin datos de mantención registrado")</f>
        <v>96425</v>
      </c>
      <c r="S176" s="19">
        <f>IFERROR(SUMIFS(tblMantenciones[Costo Mantencion CLP],tblMantenciones[Codigo],A176),0)</f>
        <v>32014</v>
      </c>
      <c r="T176" s="19">
        <f>IFERROR(SUMIFS(tblComprasPM[Costo PM CLP],tblComprasPM[Codigo],tblMaestroEquipos[[#This Row],[Codigo]]),0)</f>
        <v>74401.394</v>
      </c>
      <c r="U176" s="19">
        <f>IFERROR(tblMaestroEquipos[[#This Row],[Costo Mantenciones CLP]]+tblMaestroEquipos[[#This Row],[Costo Compras PM CLP]],0)</f>
        <v>106415.394</v>
      </c>
      <c r="V176" s="16" t="str">
        <f>IFERROR(_xlfn.XLOOKUP(tblMaestroEquipos[[#This Row],[Codigo]],tblEquipos[Codigo],tblEquipos[Estado Base]),"")</f>
        <v>Operativo</v>
      </c>
      <c r="W176" s="16" t="str">
        <f t="shared" si="16"/>
        <v>AL DÍA</v>
      </c>
      <c r="X176" s="16">
        <f t="shared" si="17"/>
        <v>25147</v>
      </c>
      <c r="Y176" s="23">
        <f>IFERROR(IF(OR(tblMaestroEquipos[[#This Row],[Estado Operacional]]="FUERA DE SERVICIO",tblMaestroEquipos[[#This Row],[Ultima Fecha Lectura]]="",tblMaestroEquipos[[#This Row],[Dias a Proxima Mantencion]]=""),"",tblMaestroEquipos[[#This Row],[Ultima Fecha Lectura]]+tblMaestroEquipos[[#This Row],[Dias a Proxima Mantencion]]),"")</f>
        <v>71280</v>
      </c>
      <c r="Z176" s="23">
        <f>IFERROR(IF(_xlfn.MINIFS(tblComprasPM[Fecha],tblComprasPM[Codigo],tblMaestroEquipos[[#This Row],[Codigo]])=0,"",_xlfn.MINIFS(tblComprasPM[Fecha],tblComprasPM[Codigo],tblMaestroEquipos[[#This Row],[Codigo]])),"")</f>
        <v>46065.519203044001</v>
      </c>
      <c r="AA176" s="23">
        <f>IFERROR(IF(_xlfn.MAXIFS(tblBodega[Fecha],tblBodega[Codigo],tblMaestroEquipos[[#This Row],[Codigo]])=0,"",_xlfn.MAXIFS(tblBodega[Fecha],tblBodega[Codigo],tblMaestroEquipos[[#This Row],[Codigo]])),"")</f>
        <v>46099</v>
      </c>
      <c r="AB17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123</v>
      </c>
      <c r="AC176"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89</v>
      </c>
      <c r="AD176" s="16" t="str">
        <f>IF(tblMaestroEquipos[[#This Row],[Fecha Salida Bodega]]="","SIN SALIDA BODEGA",IF(OR(tblMaestroEquipos[[#This Row],[Ultima Fecha PM]]="",tblMaestroEquipos[[#This Row],[Ultima Fecha PM]]&lt;tblMaestroEquipos[[#This Row],[Fecha Salida Bodega]]),"PENDIENTE","CERRADO"))</f>
        <v>CERRADO</v>
      </c>
      <c r="AE176" s="48" t="str">
        <f t="shared" si="18"/>
        <v>OPERATIVO</v>
      </c>
      <c r="AF176" s="16" t="str">
        <f t="shared" si="19"/>
        <v>BAJA</v>
      </c>
      <c r="AG176" s="16" t="str">
        <f t="shared" si="20"/>
        <v>Monitorear próximo vencimiento</v>
      </c>
      <c r="AH176">
        <f t="shared" si="21"/>
        <v>0</v>
      </c>
      <c r="AI176" t="str">
        <f t="shared" si="22"/>
        <v/>
      </c>
      <c r="AJ176" s="22">
        <f t="shared" si="23"/>
        <v>99</v>
      </c>
    </row>
    <row r="177" spans="1:36">
      <c r="A177" s="16" t="s">
        <v>526</v>
      </c>
      <c r="B177" s="16" t="s">
        <v>505</v>
      </c>
      <c r="C177" s="16" t="s">
        <v>1414</v>
      </c>
      <c r="D177" s="16" t="s">
        <v>506</v>
      </c>
      <c r="E177" s="17" t="s">
        <v>507</v>
      </c>
      <c r="F177" s="16">
        <v>2025</v>
      </c>
      <c r="G177" s="17" t="str">
        <f>IFERROR(_xlfn.XLOOKUP($A177,tblEquipos[Codigo],tblEquipos[Ubicacion],""),"")</f>
        <v>Cobquecura</v>
      </c>
      <c r="H177" s="16" t="s">
        <v>1420</v>
      </c>
      <c r="I177" s="16" t="str">
        <f>IFERROR(VLOOKUP(A177, Equipos!A:J, 9, FALSE), "")</f>
        <v>KM</v>
      </c>
      <c r="J177" s="16">
        <f>IFERROR(VLOOKUP(A177, Equipos!A:J, 10, FALSE), "")</f>
        <v>10000</v>
      </c>
      <c r="K177" s="16">
        <f>IFERROR(IF($I177="KM",ROUND((_xlfn.MAXIFS(tblLecturas[Kilometraje],tblLecturas[Codigo],$A177)-_xlfn.MINIFS(tblLecturas[Kilometraje],tblLecturas[Codigo],$A177))/(MAX(1,_xlfn.MAXIFS(tblLecturas[Fecha],tblLecturas[Codigo],$A177)-_xlfn.MINIFS(tblLecturas[Fecha],tblLecturas[Codigo],$A177))),1),ROUND((_xlfn.MAXIFS(tblLecturas[Horometro],tblLecturas[Codigo],$A177)-_xlfn.MINIFS(tblLecturas[Horometro],tblLecturas[Codigo],$A177))/(MAX(1,_xlfn.MAXIFS(tblLecturas[Fecha],tblLecturas[Codigo],$A177)-_xlfn.MINIFS(tblLecturas[Fecha],tblLecturas[Codigo],$A177))),1)),"")</f>
        <v>131.30000000000001</v>
      </c>
      <c r="L177" s="18">
        <f>IFERROR(_xlfn.MAXIFS(tblLecturas[Fecha],tblLecturas[Codigo],$A177),"")</f>
        <v>46108</v>
      </c>
      <c r="M177" s="24">
        <f>IFERROR(_xlfn.MAXIFS(Lecturas!$C:$C,Lecturas!$B:$B,$A177,Lecturas!$C:$C,"&gt;0"),"")</f>
        <v>0</v>
      </c>
      <c r="N177" s="24">
        <f>IFERROR(_xlfn.MAXIFS(tblLecturas[Kilometraje],tblLecturas[Codigo],$A177,tblLecturas[Kilometraje],"&gt;0"),"")</f>
        <v>55477</v>
      </c>
      <c r="O177" s="24" cm="1">
        <f t="array" ref="O177">IFERROR(IF($I177="KM",LOOKUP(2,1/(Lecturas!$B:$B=$A177)/(Lecturas!$D:$D&gt;0),Lecturas!$D:$D),LOOKUP(2,1/(Lecturas!$B:$B=$A177)/(Lecturas!$C:$C&gt;0),Lecturas!$C:$C)),"")</f>
        <v>51537</v>
      </c>
      <c r="P177" s="18">
        <f>IFERROR(_xlfn.MAXIFS(tblMantenciones[Fecha],tblMantenciones[Codigo],tblMaestroEquipos[[#This Row],[Codigo]],tblMantenciones[EsPM],"Sí"),"")</f>
        <v>46134</v>
      </c>
      <c r="Q177" s="70">
        <f>IF(_xlfn.MAXIFS(Mantenciones!$D:$D,Mantenciones!$B:$B,A177)=0,"Sin datos de mantención registrado",_xlfn.MAXIFS(Mantenciones!$D:$D,Mantenciones!$B:$B,A177))</f>
        <v>58786</v>
      </c>
      <c r="R177" s="16">
        <f>IFERROR(IF(_xlfn.MAXIFS(Mantenciones!$D:$D,Mantenciones!$B:$B,$A177,Mantenciones!$E:$E,"Sí",Mantenciones!$D:$D,"&gt;0")=0,"Sin datos de mantención registrado",_xlfn.MAXIFS(Mantenciones!$D:$D,Mantenciones!$B:$B,$A177,Mantenciones!$E:$E,"Sí",Mantenciones!$D:$D,"&gt;0")),"Sin datos de mantención registrado")</f>
        <v>58786</v>
      </c>
      <c r="S177" s="19">
        <f>IFERROR(SUMIFS(tblMantenciones[Costo Mantencion CLP],tblMantenciones[Codigo],A177),0)</f>
        <v>0</v>
      </c>
      <c r="T177" s="19">
        <f>IFERROR(SUMIFS(tblComprasPM[Costo PM CLP],tblComprasPM[Codigo],tblMaestroEquipos[[#This Row],[Codigo]]),0)</f>
        <v>56601.373999999996</v>
      </c>
      <c r="U177" s="19">
        <f>IFERROR(tblMaestroEquipos[[#This Row],[Costo Mantenciones CLP]]+tblMaestroEquipos[[#This Row],[Costo Compras PM CLP]],0)</f>
        <v>56601.373999999996</v>
      </c>
      <c r="V177" s="16" t="str">
        <f>IFERROR(_xlfn.XLOOKUP(tblMaestroEquipos[[#This Row],[Codigo]],tblEquipos[Codigo],tblEquipos[Estado Base]),"")</f>
        <v>Operativo</v>
      </c>
      <c r="W177" s="16" t="str">
        <f t="shared" si="16"/>
        <v>AL DÍA</v>
      </c>
      <c r="X177" s="16">
        <f t="shared" si="17"/>
        <v>17249</v>
      </c>
      <c r="Y177" s="23">
        <f>IFERROR(IF(OR(tblMaestroEquipos[[#This Row],[Estado Operacional]]="FUERA DE SERVICIO",tblMaestroEquipos[[#This Row],[Ultima Fecha Lectura]]="",tblMaestroEquipos[[#This Row],[Dias a Proxima Mantencion]]=""),"",tblMaestroEquipos[[#This Row],[Ultima Fecha Lectura]]+tblMaestroEquipos[[#This Row],[Dias a Proxima Mantencion]]),"")</f>
        <v>63357</v>
      </c>
      <c r="Z177" s="23">
        <f>IFERROR(IF(_xlfn.MINIFS(tblComprasPM[Fecha],tblComprasPM[Codigo],tblMaestroEquipos[[#This Row],[Codigo]])=0,"",_xlfn.MINIFS(tblComprasPM[Fecha],tblComprasPM[Codigo],tblMaestroEquipos[[#This Row],[Codigo]])),"")</f>
        <v>46065.519203044001</v>
      </c>
      <c r="AA177" s="23">
        <f>IFERROR(IF(_xlfn.MAXIFS(tblBodega[Fecha],tblBodega[Codigo],tblMaestroEquipos[[#This Row],[Codigo]])=0,"",_xlfn.MAXIFS(tblBodega[Fecha],tblBodega[Codigo],tblMaestroEquipos[[#This Row],[Codigo]])),"")</f>
        <v>46080</v>
      </c>
      <c r="AB17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69</v>
      </c>
      <c r="AC177"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54</v>
      </c>
      <c r="AD177" s="16" t="str">
        <f>IF(tblMaestroEquipos[[#This Row],[Fecha Salida Bodega]]="","SIN SALIDA BODEGA",IF(OR(tblMaestroEquipos[[#This Row],[Ultima Fecha PM]]="",tblMaestroEquipos[[#This Row],[Ultima Fecha PM]]&lt;tblMaestroEquipos[[#This Row],[Fecha Salida Bodega]]),"PENDIENTE","CERRADO"))</f>
        <v>CERRADO</v>
      </c>
      <c r="AE177" s="48" t="str">
        <f t="shared" si="18"/>
        <v>OPERATIVO</v>
      </c>
      <c r="AF177" s="16" t="str">
        <f t="shared" si="19"/>
        <v>BAJA</v>
      </c>
      <c r="AG177" s="16" t="str">
        <f t="shared" si="20"/>
        <v>Monitorear próximo vencimiento</v>
      </c>
      <c r="AH177">
        <f t="shared" si="21"/>
        <v>0</v>
      </c>
      <c r="AI177" t="str">
        <f t="shared" si="22"/>
        <v/>
      </c>
      <c r="AJ177" s="22">
        <f t="shared" si="23"/>
        <v>99</v>
      </c>
    </row>
    <row r="178" spans="1:36" s="25" customFormat="1">
      <c r="A178" s="16" t="s">
        <v>528</v>
      </c>
      <c r="B178" s="16" t="s">
        <v>461</v>
      </c>
      <c r="C178" s="16" t="s">
        <v>1414</v>
      </c>
      <c r="D178" s="16" t="s">
        <v>98</v>
      </c>
      <c r="E178" s="17" t="s">
        <v>1421</v>
      </c>
      <c r="F178" s="16">
        <v>2025</v>
      </c>
      <c r="G178" s="17" t="str">
        <f>IFERROR(_xlfn.XLOOKUP($A178,tblEquipos[Codigo],tblEquipos[Ubicacion],""),"")</f>
        <v>Pelluhue</v>
      </c>
      <c r="H178" s="16" t="s">
        <v>529</v>
      </c>
      <c r="I178" s="16" t="str">
        <f>IFERROR(VLOOKUP(A178, Equipos!A:J, 9, FALSE), "")</f>
        <v>KM</v>
      </c>
      <c r="J178" s="16">
        <f>IFERROR(VLOOKUP(A178, Equipos!A:J, 10, FALSE), "")</f>
        <v>15000</v>
      </c>
      <c r="K178" s="16">
        <f>IFERROR(IF($I178="KM",ROUND((_xlfn.MAXIFS(tblLecturas[Kilometraje],tblLecturas[Codigo],$A178)-_xlfn.MINIFS(tblLecturas[Kilometraje],tblLecturas[Codigo],$A178))/(MAX(1,_xlfn.MAXIFS(tblLecturas[Fecha],tblLecturas[Codigo],$A178)-_xlfn.MINIFS(tblLecturas[Fecha],tblLecturas[Codigo],$A178))),1),ROUND((_xlfn.MAXIFS(tblLecturas[Horometro],tblLecturas[Codigo],$A178)-_xlfn.MINIFS(tblLecturas[Horometro],tblLecturas[Codigo],$A178))/(MAX(1,_xlfn.MAXIFS(tblLecturas[Fecha],tblLecturas[Codigo],$A178)-_xlfn.MINIFS(tblLecturas[Fecha],tblLecturas[Codigo],$A178))),1)),"")</f>
        <v>160.1</v>
      </c>
      <c r="L178" s="18">
        <f>IFERROR(_xlfn.MAXIFS(tblLecturas[Fecha],tblLecturas[Codigo],$A178),"")</f>
        <v>46120</v>
      </c>
      <c r="M178" s="24">
        <f>IFERROR(_xlfn.MAXIFS(Lecturas!$C:$C,Lecturas!$B:$B,$A178,Lecturas!$C:$C,"&gt;0"),"")</f>
        <v>0</v>
      </c>
      <c r="N178" s="24">
        <f>IFERROR(_xlfn.MAXIFS(tblLecturas[Kilometraje],tblLecturas[Codigo],$A178,tblLecturas[Kilometraje],"&gt;0"),"")</f>
        <v>67281</v>
      </c>
      <c r="O178" s="24" cm="1">
        <f t="array" ref="O178">IFERROR(IF($I178="KM",LOOKUP(2,1/(Lecturas!$B:$B=$A178)/(Lecturas!$D:$D&gt;0),Lecturas!$D:$D),LOOKUP(2,1/(Lecturas!$B:$B=$A178)/(Lecturas!$C:$C&gt;0),Lecturas!$C:$C)),"")</f>
        <v>65840</v>
      </c>
      <c r="P178" s="18">
        <f>IFERROR(_xlfn.MAXIFS(tblMantenciones[Fecha],tblMantenciones[Codigo],tblMaestroEquipos[[#This Row],[Codigo]],tblMantenciones[EsPM],"Sí"),"")</f>
        <v>46073</v>
      </c>
      <c r="Q178" s="24">
        <f>IF(_xlfn.MAXIFS(Mantenciones!$D:$D,Mantenciones!$B:$B,A178)=0,"Sin datos de mantención registrado",_xlfn.MAXIFS(Mantenciones!$D:$D,Mantenciones!$B:$B,A178))</f>
        <v>58306</v>
      </c>
      <c r="R178" s="16">
        <f>IFERROR(IF(_xlfn.MAXIFS(Mantenciones!$D:$D,Mantenciones!$B:$B,$A178,Mantenciones!$E:$E,"Sí",Mantenciones!$D:$D,"&gt;0")=0,"Sin datos de mantención registrado",_xlfn.MAXIFS(Mantenciones!$D:$D,Mantenciones!$B:$B,$A178,Mantenciones!$E:$E,"Sí",Mantenciones!$D:$D,"&gt;0")),"Sin datos de mantención registrado")</f>
        <v>58306</v>
      </c>
      <c r="S178" s="19">
        <f>IFERROR(SUMIFS(tblMantenciones[Costo Mantencion CLP],tblMantenciones[Codigo],A178),0)</f>
        <v>0</v>
      </c>
      <c r="T178" s="19">
        <f>IFERROR(SUMIFS(tblComprasPM[Costo PM CLP],tblComprasPM[Codigo],tblMaestroEquipos[[#This Row],[Codigo]]),0)</f>
        <v>450393.56</v>
      </c>
      <c r="U178" s="19">
        <f>IFERROR(tblMaestroEquipos[[#This Row],[Costo Mantenciones CLP]]+tblMaestroEquipos[[#This Row],[Costo Compras PM CLP]],0)</f>
        <v>450393.56</v>
      </c>
      <c r="V178" s="16" t="str">
        <f>IFERROR(_xlfn.XLOOKUP(tblMaestroEquipos[[#This Row],[Codigo]],tblEquipos[Codigo],tblEquipos[Estado Base]),"")</f>
        <v>Operativo</v>
      </c>
      <c r="W178" s="16" t="str">
        <f t="shared" si="16"/>
        <v>EN PROCESO</v>
      </c>
      <c r="X178" s="16">
        <f t="shared" si="17"/>
        <v>7466</v>
      </c>
      <c r="Y178" s="23">
        <f>IFERROR(IF(OR(tblMaestroEquipos[[#This Row],[Estado Operacional]]="FUERA DE SERVICIO",tblMaestroEquipos[[#This Row],[Ultima Fecha Lectura]]="",tblMaestroEquipos[[#This Row],[Dias a Proxima Mantencion]]=""),"",tblMaestroEquipos[[#This Row],[Ultima Fecha Lectura]]+tblMaestroEquipos[[#This Row],[Dias a Proxima Mantencion]]),"")</f>
        <v>53586</v>
      </c>
      <c r="Z178" s="23">
        <f>IFERROR(IF(_xlfn.MINIFS(tblComprasPM[Fecha],tblComprasPM[Codigo],tblMaestroEquipos[[#This Row],[Codigo]])=0,"",_xlfn.MINIFS(tblComprasPM[Fecha],tblComprasPM[Codigo],tblMaestroEquipos[[#This Row],[Codigo]])),"")</f>
        <v>46073.685945798599</v>
      </c>
      <c r="AA178" s="23" t="str">
        <f>IFERROR(IF(_xlfn.MAXIFS(tblBodega[Fecha],tblBodega[Codigo],tblMaestroEquipos[[#This Row],[Codigo]])=0,"",_xlfn.MAXIFS(tblBodega[Fecha],tblBodega[Codigo],tblMaestroEquipos[[#This Row],[Codigo]])),"")</f>
        <v/>
      </c>
      <c r="AB178"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78"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78" s="16" t="str">
        <f>IF(tblMaestroEquipos[[#This Row],[Fecha Salida Bodega]]="","SIN SALIDA BODEGA",IF(OR(tblMaestroEquipos[[#This Row],[Ultima Fecha PM]]="",tblMaestroEquipos[[#This Row],[Ultima Fecha PM]]&lt;tblMaestroEquipos[[#This Row],[Fecha Salida Bodega]]),"PENDIENTE","CERRADO"))</f>
        <v>SIN SALIDA BODEGA</v>
      </c>
      <c r="AE178" s="48" t="str">
        <f t="shared" si="18"/>
        <v>EN PROCESO</v>
      </c>
      <c r="AF178" s="16" t="str">
        <f t="shared" si="19"/>
        <v>SEGUIMIENTO</v>
      </c>
      <c r="AG178" s="16" t="str">
        <f t="shared" si="20"/>
        <v>Hacer seguimiento al taller y cerrar report</v>
      </c>
      <c r="AH178">
        <f t="shared" si="21"/>
        <v>0</v>
      </c>
      <c r="AI178" t="str">
        <f t="shared" si="22"/>
        <v/>
      </c>
      <c r="AJ178" s="22">
        <f t="shared" si="23"/>
        <v>2</v>
      </c>
    </row>
    <row r="179" spans="1:36" s="25" customFormat="1">
      <c r="A179" s="16" t="s">
        <v>530</v>
      </c>
      <c r="B179" s="16" t="s">
        <v>461</v>
      </c>
      <c r="C179" s="16" t="s">
        <v>1414</v>
      </c>
      <c r="D179" s="16" t="s">
        <v>98</v>
      </c>
      <c r="E179" s="17" t="s">
        <v>1421</v>
      </c>
      <c r="F179" s="16">
        <v>2025</v>
      </c>
      <c r="G179" s="17" t="str">
        <f>IFERROR(_xlfn.XLOOKUP($A179,tblEquipos[Codigo],tblEquipos[Ubicacion],""),"")</f>
        <v>San Carlos</v>
      </c>
      <c r="H179" s="16" t="s">
        <v>533</v>
      </c>
      <c r="I179" s="16" t="str">
        <f>IFERROR(VLOOKUP(A179, Equipos!A:J, 9, FALSE), "")</f>
        <v>KM</v>
      </c>
      <c r="J179" s="16">
        <f>IFERROR(VLOOKUP(A179, Equipos!A:J, 10, FALSE), "")</f>
        <v>15000</v>
      </c>
      <c r="K179" s="16">
        <f>IFERROR(IF($I179="KM",ROUND((_xlfn.MAXIFS(tblLecturas[Kilometraje],tblLecturas[Codigo],$A179)-_xlfn.MINIFS(tblLecturas[Kilometraje],tblLecturas[Codigo],$A179))/(MAX(1,_xlfn.MAXIFS(tblLecturas[Fecha],tblLecturas[Codigo],$A179)-_xlfn.MINIFS(tblLecturas[Fecha],tblLecturas[Codigo],$A179))),1),ROUND((_xlfn.MAXIFS(tblLecturas[Horometro],tblLecturas[Codigo],$A179)-_xlfn.MINIFS(tblLecturas[Horometro],tblLecturas[Codigo],$A179))/(MAX(1,_xlfn.MAXIFS(tblLecturas[Fecha],tblLecturas[Codigo],$A179)-_xlfn.MINIFS(tblLecturas[Fecha],tblLecturas[Codigo],$A179))),1)),"")</f>
        <v>138.30000000000001</v>
      </c>
      <c r="L179" s="18">
        <f>IFERROR(_xlfn.MAXIFS(tblLecturas[Fecha],tblLecturas[Codigo],$A179),"")</f>
        <v>46133</v>
      </c>
      <c r="M179" s="24">
        <f>IFERROR(_xlfn.MAXIFS(Lecturas!$C:$C,Lecturas!$B:$B,$A179,Lecturas!$C:$C,"&gt;0"),"")</f>
        <v>0</v>
      </c>
      <c r="N179" s="24">
        <f>IFERROR(_xlfn.MAXIFS(tblLecturas[Kilometraje],tblLecturas[Codigo],$A179,tblLecturas[Kilometraje],"&gt;0"),"")</f>
        <v>69314</v>
      </c>
      <c r="O179" s="24" cm="1">
        <f t="array" ref="O179">IFERROR(IF($I179="KM",LOOKUP(2,1/(Lecturas!$B:$B=$A179)/(Lecturas!$D:$D&gt;0),Lecturas!$D:$D),LOOKUP(2,1/(Lecturas!$B:$B=$A179)/(Lecturas!$C:$C&gt;0),Lecturas!$C:$C)),"")</f>
        <v>64890</v>
      </c>
      <c r="P179" s="18">
        <f>IFERROR(_xlfn.MAXIFS(tblMantenciones[Fecha],tblMantenciones[Codigo],tblMaestroEquipos[[#This Row],[Codigo]],tblMantenciones[EsPM],"Sí"),"")</f>
        <v>46155</v>
      </c>
      <c r="Q179" s="70">
        <f>IF(_xlfn.MAXIFS(Mantenciones!$D:$D,Mantenciones!$B:$B,A179)=0,"Sin datos de mantención registrado",_xlfn.MAXIFS(Mantenciones!$D:$D,Mantenciones!$B:$B,A179))</f>
        <v>72991</v>
      </c>
      <c r="R179" s="16">
        <f>IFERROR(IF(_xlfn.MAXIFS(Mantenciones!$D:$D,Mantenciones!$B:$B,$A179,Mantenciones!$E:$E,"Sí",Mantenciones!$D:$D,"&gt;0")=0,"Sin datos de mantención registrado",_xlfn.MAXIFS(Mantenciones!$D:$D,Mantenciones!$B:$B,$A179,Mantenciones!$E:$E,"Sí",Mantenciones!$D:$D,"&gt;0")),"Sin datos de mantención registrado")</f>
        <v>72991</v>
      </c>
      <c r="S179" s="19">
        <f>IFERROR(SUMIFS(tblMantenciones[Costo Mantencion CLP],tblMantenciones[Codigo],A179),0)</f>
        <v>1065508</v>
      </c>
      <c r="T179" s="19">
        <f>IFERROR(SUMIFS(tblComprasPM[Costo PM CLP],tblComprasPM[Codigo],tblMaestroEquipos[[#This Row],[Codigo]]),0)</f>
        <v>23799.98</v>
      </c>
      <c r="U179" s="19">
        <f>IFERROR(tblMaestroEquipos[[#This Row],[Costo Mantenciones CLP]]+tblMaestroEquipos[[#This Row],[Costo Compras PM CLP]],0)</f>
        <v>1089307.98</v>
      </c>
      <c r="V179" s="16" t="str">
        <f>IFERROR(_xlfn.XLOOKUP(tblMaestroEquipos[[#This Row],[Codigo]],tblEquipos[Codigo],tblEquipos[Estado Base]),"")</f>
        <v>Operativo</v>
      </c>
      <c r="W179" s="16" t="str">
        <f t="shared" si="16"/>
        <v>EN PROCESO</v>
      </c>
      <c r="X179" s="16">
        <f t="shared" si="17"/>
        <v>23101</v>
      </c>
      <c r="Y179" s="23">
        <f>IFERROR(IF(OR(tblMaestroEquipos[[#This Row],[Estado Operacional]]="FUERA DE SERVICIO",tblMaestroEquipos[[#This Row],[Ultima Fecha Lectura]]="",tblMaestroEquipos[[#This Row],[Dias a Proxima Mantencion]]=""),"",tblMaestroEquipos[[#This Row],[Ultima Fecha Lectura]]+tblMaestroEquipos[[#This Row],[Dias a Proxima Mantencion]]),"")</f>
        <v>69234</v>
      </c>
      <c r="Z179" s="23">
        <f>IFERROR(IF(_xlfn.MINIFS(tblComprasPM[Fecha],tblComprasPM[Codigo],tblMaestroEquipos[[#This Row],[Codigo]])=0,"",_xlfn.MINIFS(tblComprasPM[Fecha],tblComprasPM[Codigo],tblMaestroEquipos[[#This Row],[Codigo]])),"")</f>
        <v>46136.6736726042</v>
      </c>
      <c r="AA179" s="23" t="str">
        <f>IFERROR(IF(_xlfn.MAXIFS(tblBodega[Fecha],tblBodega[Codigo],tblMaestroEquipos[[#This Row],[Codigo]])=0,"",_xlfn.MAXIFS(tblBodega[Fecha],tblBodega[Codigo],tblMaestroEquipos[[#This Row],[Codigo]])),"")</f>
        <v/>
      </c>
      <c r="AB17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19</v>
      </c>
      <c r="AC179"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79" s="16" t="str">
        <f>IF(tblMaestroEquipos[[#This Row],[Fecha Salida Bodega]]="","SIN SALIDA BODEGA",IF(OR(tblMaestroEquipos[[#This Row],[Ultima Fecha PM]]="",tblMaestroEquipos[[#This Row],[Ultima Fecha PM]]&lt;tblMaestroEquipos[[#This Row],[Fecha Salida Bodega]]),"PENDIENTE","CERRADO"))</f>
        <v>SIN SALIDA BODEGA</v>
      </c>
      <c r="AE179" s="48" t="str">
        <f t="shared" si="18"/>
        <v>EN PROCESO</v>
      </c>
      <c r="AF179" s="16" t="str">
        <f t="shared" si="19"/>
        <v>SEGUIMIENTO</v>
      </c>
      <c r="AG179" s="16" t="str">
        <f t="shared" si="20"/>
        <v>Hacer seguimiento al taller y cerrar report</v>
      </c>
      <c r="AH179">
        <f t="shared" si="21"/>
        <v>0</v>
      </c>
      <c r="AI179" t="str">
        <f t="shared" si="22"/>
        <v/>
      </c>
      <c r="AJ179" s="22">
        <f t="shared" si="23"/>
        <v>2</v>
      </c>
    </row>
    <row r="180" spans="1:36" s="25" customFormat="1">
      <c r="A180" s="16" t="s">
        <v>532</v>
      </c>
      <c r="B180" s="16" t="s">
        <v>461</v>
      </c>
      <c r="C180" s="16" t="s">
        <v>1414</v>
      </c>
      <c r="D180" s="16" t="s">
        <v>98</v>
      </c>
      <c r="E180" s="17" t="s">
        <v>1421</v>
      </c>
      <c r="F180" s="16">
        <v>2025</v>
      </c>
      <c r="G180" s="17" t="str">
        <f>IFERROR(_xlfn.XLOOKUP($A180,tblEquipos[Codigo],tblEquipos[Ubicacion],""),"")</f>
        <v>San Carlos</v>
      </c>
      <c r="H180" s="16" t="s">
        <v>535</v>
      </c>
      <c r="I180" s="16" t="str">
        <f>IFERROR(VLOOKUP(A180, Equipos!A:J, 9, FALSE), "")</f>
        <v>KM</v>
      </c>
      <c r="J180" s="16">
        <f>IFERROR(VLOOKUP(A180, Equipos!A:J, 10, FALSE), "")</f>
        <v>15000</v>
      </c>
      <c r="K180" s="16">
        <f>IFERROR(IF($I180="KM",ROUND((_xlfn.MAXIFS(tblLecturas[Kilometraje],tblLecturas[Codigo],$A180)-_xlfn.MINIFS(tblLecturas[Kilometraje],tblLecturas[Codigo],$A180))/(MAX(1,_xlfn.MAXIFS(tblLecturas[Fecha],tblLecturas[Codigo],$A180)-_xlfn.MINIFS(tblLecturas[Fecha],tblLecturas[Codigo],$A180))),1),ROUND((_xlfn.MAXIFS(tblLecturas[Horometro],tblLecturas[Codigo],$A180)-_xlfn.MINIFS(tblLecturas[Horometro],tblLecturas[Codigo],$A180))/(MAX(1,_xlfn.MAXIFS(tblLecturas[Fecha],tblLecturas[Codigo],$A180)-_xlfn.MINIFS(tblLecturas[Fecha],tblLecturas[Codigo],$A180))),1)),"")</f>
        <v>122.4</v>
      </c>
      <c r="L180" s="18">
        <f>IFERROR(_xlfn.MAXIFS(tblLecturas[Fecha],tblLecturas[Codigo],$A180),"")</f>
        <v>46185</v>
      </c>
      <c r="M180" s="24">
        <f>IFERROR(_xlfn.MAXIFS(Lecturas!$C:$C,Lecturas!$B:$B,$A180,Lecturas!$C:$C,"&gt;0"),"")</f>
        <v>81171</v>
      </c>
      <c r="N180" s="24">
        <f>IFERROR(_xlfn.MAXIFS(tblLecturas[Kilometraje],tblLecturas[Codigo],$A180,tblLecturas[Kilometraje],"&gt;0"),"")</f>
        <v>80238</v>
      </c>
      <c r="O180" s="24" cm="1">
        <f t="array" ref="O180">IFERROR(IF($I180="KM",LOOKUP(2,1/(Lecturas!$B:$B=$A180)/(Lecturas!$D:$D&gt;0),Lecturas!$D:$D),LOOKUP(2,1/(Lecturas!$B:$B=$A180)/(Lecturas!$C:$C&gt;0),Lecturas!$C:$C)),"")</f>
        <v>78172</v>
      </c>
      <c r="P180" s="18">
        <f>IFERROR(_xlfn.MAXIFS(tblMantenciones[Fecha],tblMantenciones[Codigo],tblMaestroEquipos[[#This Row],[Codigo]],tblMantenciones[EsPM],"Sí"),"")</f>
        <v>46237</v>
      </c>
      <c r="Q180" s="70">
        <f>IF(_xlfn.MAXIFS(Mantenciones!$D:$D,Mantenciones!$B:$B,A180)=0,"Sin datos de mantención registrado",_xlfn.MAXIFS(Mantenciones!$D:$D,Mantenciones!$B:$B,A180))</f>
        <v>87659</v>
      </c>
      <c r="R180" s="16">
        <f>IFERROR(IF(_xlfn.MAXIFS(Mantenciones!$D:$D,Mantenciones!$B:$B,$A180,Mantenciones!$E:$E,"Sí",Mantenciones!$D:$D,"&gt;0")=0,"Sin datos de mantención registrado",_xlfn.MAXIFS(Mantenciones!$D:$D,Mantenciones!$B:$B,$A180,Mantenciones!$E:$E,"Sí",Mantenciones!$D:$D,"&gt;0")),"Sin datos de mantención registrado")</f>
        <v>87659</v>
      </c>
      <c r="S180" s="19">
        <f>IFERROR(SUMIFS(tblMantenciones[Costo Mantencion CLP],tblMantenciones[Codigo],A180),0)</f>
        <v>607478</v>
      </c>
      <c r="T180" s="19">
        <f>IFERROR(SUMIFS(tblComprasPM[Costo PM CLP],tblComprasPM[Codigo],tblMaestroEquipos[[#This Row],[Codigo]]),0)</f>
        <v>23799.98</v>
      </c>
      <c r="U180" s="19">
        <f>IFERROR(tblMaestroEquipos[[#This Row],[Costo Mantenciones CLP]]+tblMaestroEquipos[[#This Row],[Costo Compras PM CLP]],0)</f>
        <v>631277.98</v>
      </c>
      <c r="V180" s="16" t="str">
        <f>IFERROR(_xlfn.XLOOKUP(tblMaestroEquipos[[#This Row],[Codigo]],tblEquipos[Codigo],tblEquipos[Estado Base]),"")</f>
        <v>Operativo</v>
      </c>
      <c r="W180" s="16" t="str">
        <f t="shared" si="16"/>
        <v>AL DÍA</v>
      </c>
      <c r="X180" s="16">
        <f t="shared" si="17"/>
        <v>24487</v>
      </c>
      <c r="Y180" s="23">
        <f>IFERROR(IF(OR(tblMaestroEquipos[[#This Row],[Estado Operacional]]="FUERA DE SERVICIO",tblMaestroEquipos[[#This Row],[Ultima Fecha Lectura]]="",tblMaestroEquipos[[#This Row],[Dias a Proxima Mantencion]]=""),"",tblMaestroEquipos[[#This Row],[Ultima Fecha Lectura]]+tblMaestroEquipos[[#This Row],[Dias a Proxima Mantencion]]),"")</f>
        <v>70672</v>
      </c>
      <c r="Z180" s="23">
        <f>IFERROR(IF(_xlfn.MINIFS(tblComprasPM[Fecha],tblComprasPM[Codigo],tblMaestroEquipos[[#This Row],[Codigo]])=0,"",_xlfn.MINIFS(tblComprasPM[Fecha],tblComprasPM[Codigo],tblMaestroEquipos[[#This Row],[Codigo]])),"")</f>
        <v>46136.6736726042</v>
      </c>
      <c r="AA180" s="23">
        <f>IFERROR(IF(_xlfn.MAXIFS(tblBodega[Fecha],tblBodega[Codigo],tblMaestroEquipos[[#This Row],[Codigo]])=0,"",_xlfn.MAXIFS(tblBodega[Fecha],tblBodega[Codigo],tblMaestroEquipos[[#This Row],[Codigo]])),"")</f>
        <v>46146</v>
      </c>
      <c r="AB18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101</v>
      </c>
      <c r="AC180"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91</v>
      </c>
      <c r="AD180" s="16" t="str">
        <f>IF(tblMaestroEquipos[[#This Row],[Fecha Salida Bodega]]="","SIN SALIDA BODEGA",IF(OR(tblMaestroEquipos[[#This Row],[Ultima Fecha PM]]="",tblMaestroEquipos[[#This Row],[Ultima Fecha PM]]&lt;tblMaestroEquipos[[#This Row],[Fecha Salida Bodega]]),"PENDIENTE","CERRADO"))</f>
        <v>CERRADO</v>
      </c>
      <c r="AE180" s="48" t="str">
        <f t="shared" si="18"/>
        <v>OPERATIVO</v>
      </c>
      <c r="AF180" s="16" t="str">
        <f t="shared" si="19"/>
        <v>BAJA</v>
      </c>
      <c r="AG180" s="16" t="str">
        <f t="shared" si="20"/>
        <v>Monitorear próximo vencimiento</v>
      </c>
      <c r="AH180">
        <f t="shared" si="21"/>
        <v>0</v>
      </c>
      <c r="AI180" t="str">
        <f t="shared" si="22"/>
        <v/>
      </c>
      <c r="AJ180" s="22">
        <f t="shared" si="23"/>
        <v>99</v>
      </c>
    </row>
    <row r="181" spans="1:36" s="25" customFormat="1">
      <c r="A181" s="16" t="s">
        <v>534</v>
      </c>
      <c r="B181" s="16" t="s">
        <v>461</v>
      </c>
      <c r="C181" s="16" t="s">
        <v>1414</v>
      </c>
      <c r="D181" s="16" t="s">
        <v>98</v>
      </c>
      <c r="E181" s="17" t="s">
        <v>1421</v>
      </c>
      <c r="F181" s="16">
        <v>2025</v>
      </c>
      <c r="G181" s="17" t="str">
        <f>IFERROR(_xlfn.XLOOKUP($A181,tblEquipos[Codigo],tblEquipos[Ubicacion],""),"")</f>
        <v>Colbun</v>
      </c>
      <c r="H181" s="16" t="s">
        <v>552</v>
      </c>
      <c r="I181" s="16" t="str">
        <f>IFERROR(VLOOKUP(A181, Equipos!A:J, 9, FALSE), "")</f>
        <v>KM</v>
      </c>
      <c r="J181" s="16">
        <f>IFERROR(VLOOKUP(A181, Equipos!A:J, 10, FALSE), "")</f>
        <v>15000</v>
      </c>
      <c r="K181" s="16">
        <f>IFERROR(IF($I181="KM",ROUND((_xlfn.MAXIFS(tblLecturas[Kilometraje],tblLecturas[Codigo],$A181)-_xlfn.MINIFS(tblLecturas[Kilometraje],tblLecturas[Codigo],$A181))/(MAX(1,_xlfn.MAXIFS(tblLecturas[Fecha],tblLecturas[Codigo],$A181)-_xlfn.MINIFS(tblLecturas[Fecha],tblLecturas[Codigo],$A181))),1),ROUND((_xlfn.MAXIFS(tblLecturas[Horometro],tblLecturas[Codigo],$A181)-_xlfn.MINIFS(tblLecturas[Horometro],tblLecturas[Codigo],$A181))/(MAX(1,_xlfn.MAXIFS(tblLecturas[Fecha],tblLecturas[Codigo],$A181)-_xlfn.MINIFS(tblLecturas[Fecha],tblLecturas[Codigo],$A181))),1)),"")</f>
        <v>145.80000000000001</v>
      </c>
      <c r="L181" s="18">
        <f>IFERROR(_xlfn.MAXIFS(tblLecturas[Fecha],tblLecturas[Codigo],$A181),"")</f>
        <v>46105</v>
      </c>
      <c r="M181" s="24">
        <f>IFERROR(_xlfn.MAXIFS(Lecturas!$C:$C,Lecturas!$B:$B,$A181,Lecturas!$C:$C,"&gt;0"),"")</f>
        <v>0</v>
      </c>
      <c r="N181" s="24">
        <f>IFERROR(_xlfn.MAXIFS(tblLecturas[Kilometraje],tblLecturas[Codigo],$A181,tblLecturas[Kilometraje],"&gt;0"),"")</f>
        <v>86820</v>
      </c>
      <c r="O181" s="24" cm="1">
        <f t="array" ref="O181">IFERROR(IF($I181="KM",LOOKUP(2,1/(Lecturas!$B:$B=$A181)/(Lecturas!$D:$D&gt;0),Lecturas!$D:$D),LOOKUP(2,1/(Lecturas!$B:$B=$A181)/(Lecturas!$C:$C&gt;0),Lecturas!$C:$C)),"")</f>
        <v>85654</v>
      </c>
      <c r="P181" s="18">
        <f>IFERROR(_xlfn.MAXIFS(tblMantenciones[Fecha],tblMantenciones[Codigo],tblMaestroEquipos[[#This Row],[Codigo]],tblMantenciones[EsPM],"Sí"),"")</f>
        <v>46105</v>
      </c>
      <c r="Q181" s="70">
        <f>IF(_xlfn.MAXIFS(Mantenciones!$D:$D,Mantenciones!$B:$B,A181)=0,"Sin datos de mantención registrado",_xlfn.MAXIFS(Mantenciones!$D:$D,Mantenciones!$B:$B,A181))</f>
        <v>86820</v>
      </c>
      <c r="R181" s="16">
        <f>IFERROR(IF(_xlfn.MAXIFS(Mantenciones!$D:$D,Mantenciones!$B:$B,$A181,Mantenciones!$E:$E,"Sí",Mantenciones!$D:$D,"&gt;0")=0,"Sin datos de mantención registrado",_xlfn.MAXIFS(Mantenciones!$D:$D,Mantenciones!$B:$B,$A181,Mantenciones!$E:$E,"Sí",Mantenciones!$D:$D,"&gt;0")),"Sin datos de mantención registrado")</f>
        <v>86820</v>
      </c>
      <c r="S181" s="19">
        <f>IFERROR(SUMIFS(tblMantenciones[Costo Mantencion CLP],tblMantenciones[Codigo],A181),0)</f>
        <v>698466</v>
      </c>
      <c r="T181" s="19">
        <f>IFERROR(SUMIFS(tblComprasPM[Costo PM CLP],tblComprasPM[Codigo],tblMaestroEquipos[[#This Row],[Codigo]]),0)</f>
        <v>854974.52</v>
      </c>
      <c r="U181" s="19">
        <f>IFERROR(tblMaestroEquipos[[#This Row],[Costo Mantenciones CLP]]+tblMaestroEquipos[[#This Row],[Costo Compras PM CLP]],0)</f>
        <v>1553440.52</v>
      </c>
      <c r="V181" s="16" t="str">
        <f>IFERROR(_xlfn.XLOOKUP(tblMaestroEquipos[[#This Row],[Codigo]],tblEquipos[Codigo],tblEquipos[Estado Base]),"")</f>
        <v>Operativo</v>
      </c>
      <c r="W181" s="16" t="str">
        <f t="shared" si="16"/>
        <v>EN PROCESO</v>
      </c>
      <c r="X181" s="16">
        <f t="shared" si="17"/>
        <v>16166</v>
      </c>
      <c r="Y181" s="23">
        <f>IFERROR(IF(OR(tblMaestroEquipos[[#This Row],[Estado Operacional]]="FUERA DE SERVICIO",tblMaestroEquipos[[#This Row],[Ultima Fecha Lectura]]="",tblMaestroEquipos[[#This Row],[Dias a Proxima Mantencion]]=""),"",tblMaestroEquipos[[#This Row],[Ultima Fecha Lectura]]+tblMaestroEquipos[[#This Row],[Dias a Proxima Mantencion]]),"")</f>
        <v>62271</v>
      </c>
      <c r="Z181" s="23">
        <f>IFERROR(IF(_xlfn.MINIFS(tblComprasPM[Fecha],tblComprasPM[Codigo],tblMaestroEquipos[[#This Row],[Codigo]])=0,"",_xlfn.MINIFS(tblComprasPM[Fecha],tblComprasPM[Codigo],tblMaestroEquipos[[#This Row],[Codigo]])),"")</f>
        <v>46105</v>
      </c>
      <c r="AA181" s="23" t="str">
        <f>IFERROR(IF(_xlfn.MAXIFS(tblBodega[Fecha],tblBodega[Codigo],tblMaestroEquipos[[#This Row],[Codigo]])=0,"",_xlfn.MAXIFS(tblBodega[Fecha],tblBodega[Codigo],tblMaestroEquipos[[#This Row],[Codigo]])),"")</f>
        <v/>
      </c>
      <c r="AB18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81"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81" s="16" t="str">
        <f>IF(tblMaestroEquipos[[#This Row],[Fecha Salida Bodega]]="","SIN SALIDA BODEGA",IF(OR(tblMaestroEquipos[[#This Row],[Ultima Fecha PM]]="",tblMaestroEquipos[[#This Row],[Ultima Fecha PM]]&lt;tblMaestroEquipos[[#This Row],[Fecha Salida Bodega]]),"PENDIENTE","CERRADO"))</f>
        <v>SIN SALIDA BODEGA</v>
      </c>
      <c r="AE181" s="48" t="str">
        <f t="shared" si="18"/>
        <v>EN PROCESO</v>
      </c>
      <c r="AF181" s="16" t="str">
        <f t="shared" si="19"/>
        <v>SEGUIMIENTO</v>
      </c>
      <c r="AG181" s="16" t="str">
        <f t="shared" si="20"/>
        <v>Hacer seguimiento al taller y cerrar report</v>
      </c>
      <c r="AH181" s="25">
        <f t="shared" si="21"/>
        <v>0</v>
      </c>
      <c r="AI181" s="25" t="str">
        <f t="shared" si="22"/>
        <v/>
      </c>
      <c r="AJ181" s="22">
        <f t="shared" si="23"/>
        <v>2</v>
      </c>
    </row>
    <row r="182" spans="1:36">
      <c r="A182" s="16" t="s">
        <v>536</v>
      </c>
      <c r="B182" s="16" t="s">
        <v>461</v>
      </c>
      <c r="C182" s="16" t="s">
        <v>1414</v>
      </c>
      <c r="D182" s="16" t="s">
        <v>98</v>
      </c>
      <c r="E182" s="17" t="s">
        <v>1421</v>
      </c>
      <c r="F182" s="16">
        <v>2025</v>
      </c>
      <c r="G182" s="17" t="str">
        <f>IFERROR(_xlfn.XLOOKUP($A182,tblEquipos[Codigo],tblEquipos[Ubicacion],""),"")</f>
        <v>Villaseca</v>
      </c>
      <c r="H182" s="16" t="s">
        <v>525</v>
      </c>
      <c r="I182" s="16" t="str">
        <f>IFERROR(VLOOKUP(A182, Equipos!A:J, 9, FALSE), "")</f>
        <v>KM</v>
      </c>
      <c r="J182" s="16">
        <f>IFERROR(VLOOKUP(A182, Equipos!A:J, 10, FALSE), "")</f>
        <v>15000</v>
      </c>
      <c r="K182" s="16">
        <f>IFERROR(IF($I182="KM",ROUND((_xlfn.MAXIFS(tblLecturas[Kilometraje],tblLecturas[Codigo],$A182)-_xlfn.MINIFS(tblLecturas[Kilometraje],tblLecturas[Codigo],$A182))/(MAX(1,_xlfn.MAXIFS(tblLecturas[Fecha],tblLecturas[Codigo],$A182)-_xlfn.MINIFS(tblLecturas[Fecha],tblLecturas[Codigo],$A182))),1),ROUND((_xlfn.MAXIFS(tblLecturas[Horometro],tblLecturas[Codigo],$A182)-_xlfn.MINIFS(tblLecturas[Horometro],tblLecturas[Codigo],$A182))/(MAX(1,_xlfn.MAXIFS(tblLecturas[Fecha],tblLecturas[Codigo],$A182)-_xlfn.MINIFS(tblLecturas[Fecha],tblLecturas[Codigo],$A182))),1)),"")</f>
        <v>134.9</v>
      </c>
      <c r="L182" s="18">
        <f>IFERROR(_xlfn.MAXIFS(tblLecturas[Fecha],tblLecturas[Codigo],$A182),"")</f>
        <v>46139</v>
      </c>
      <c r="M182" s="24">
        <f>IFERROR(_xlfn.MAXIFS(Lecturas!$C:$C,Lecturas!$B:$B,$A182,Lecturas!$C:$C,"&gt;0"),"")</f>
        <v>0</v>
      </c>
      <c r="N182" s="24">
        <f>IFERROR(_xlfn.MAXIFS(tblLecturas[Kilometraje],tblLecturas[Codigo],$A182,tblLecturas[Kilometraje],"&gt;0"),"")</f>
        <v>81234</v>
      </c>
      <c r="O182" s="24" cm="1">
        <f t="array" ref="O182">IFERROR(IF($I182="KM",LOOKUP(2,1/(Lecturas!$B:$B=$A182)/(Lecturas!$D:$D&gt;0),Lecturas!$D:$D),LOOKUP(2,1/(Lecturas!$B:$B=$A182)/(Lecturas!$C:$C&gt;0),Lecturas!$C:$C)),"")</f>
        <v>75164</v>
      </c>
      <c r="P182" s="18">
        <f>IFERROR(_xlfn.MAXIFS(tblMantenciones[Fecha],tblMantenciones[Codigo],tblMaestroEquipos[[#This Row],[Codigo]],tblMantenciones[EsPM],"Sí"),"")</f>
        <v>46156</v>
      </c>
      <c r="Q182" s="70">
        <f>IF(_xlfn.MAXIFS(Mantenciones!$D:$D,Mantenciones!$B:$B,A182)=0,"Sin datos de mantención registrado",_xlfn.MAXIFS(Mantenciones!$D:$D,Mantenciones!$B:$B,A182))</f>
        <v>83032</v>
      </c>
      <c r="R182" s="16">
        <f>IFERROR(IF(_xlfn.MAXIFS(Mantenciones!$D:$D,Mantenciones!$B:$B,$A182,Mantenciones!$E:$E,"Sí",Mantenciones!$D:$D,"&gt;0")=0,"Sin datos de mantención registrado",_xlfn.MAXIFS(Mantenciones!$D:$D,Mantenciones!$B:$B,$A182,Mantenciones!$E:$E,"Sí",Mantenciones!$D:$D,"&gt;0")),"Sin datos de mantención registrado")</f>
        <v>83032</v>
      </c>
      <c r="S182" s="19">
        <f>IFERROR(SUMIFS(tblMantenciones[Costo Mantencion CLP],tblMantenciones[Codigo],A182),0)</f>
        <v>1257859</v>
      </c>
      <c r="T182" s="19">
        <f>IFERROR(SUMIFS(tblComprasPM[Costo PM CLP],tblComprasPM[Codigo],tblMaestroEquipos[[#This Row],[Codigo]]),0)</f>
        <v>23799.98</v>
      </c>
      <c r="U182" s="19">
        <f>IFERROR(tblMaestroEquipos[[#This Row],[Costo Mantenciones CLP]]+tblMaestroEquipos[[#This Row],[Costo Compras PM CLP]],0)</f>
        <v>1281658.98</v>
      </c>
      <c r="V182" s="16" t="str">
        <f>IFERROR(_xlfn.XLOOKUP(tblMaestroEquipos[[#This Row],[Codigo]],tblEquipos[Codigo],tblEquipos[Estado Base]),"")</f>
        <v>Operativo</v>
      </c>
      <c r="W182" s="16" t="str">
        <f t="shared" si="16"/>
        <v>EN PROCESO</v>
      </c>
      <c r="X182" s="16">
        <f t="shared" si="17"/>
        <v>22868</v>
      </c>
      <c r="Y182" s="23">
        <f>IFERROR(IF(OR(tblMaestroEquipos[[#This Row],[Estado Operacional]]="FUERA DE SERVICIO",tblMaestroEquipos[[#This Row],[Ultima Fecha Lectura]]="",tblMaestroEquipos[[#This Row],[Dias a Proxima Mantencion]]=""),"",tblMaestroEquipos[[#This Row],[Ultima Fecha Lectura]]+tblMaestroEquipos[[#This Row],[Dias a Proxima Mantencion]]),"")</f>
        <v>69007</v>
      </c>
      <c r="Z182" s="23">
        <f>IFERROR(IF(_xlfn.MINIFS(tblComprasPM[Fecha],tblComprasPM[Codigo],tblMaestroEquipos[[#This Row],[Codigo]])=0,"",_xlfn.MINIFS(tblComprasPM[Fecha],tblComprasPM[Codigo],tblMaestroEquipos[[#This Row],[Codigo]])),"")</f>
        <v>46136.6736726042</v>
      </c>
      <c r="AA182" s="23" t="str">
        <f>IFERROR(IF(_xlfn.MAXIFS(tblBodega[Fecha],tblBodega[Codigo],tblMaestroEquipos[[#This Row],[Codigo]])=0,"",_xlfn.MAXIFS(tblBodega[Fecha],tblBodega[Codigo],tblMaestroEquipos[[#This Row],[Codigo]])),"")</f>
        <v/>
      </c>
      <c r="AB182"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20</v>
      </c>
      <c r="AC18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82" s="16" t="str">
        <f>IF(tblMaestroEquipos[[#This Row],[Fecha Salida Bodega]]="","SIN SALIDA BODEGA",IF(OR(tblMaestroEquipos[[#This Row],[Ultima Fecha PM]]="",tblMaestroEquipos[[#This Row],[Ultima Fecha PM]]&lt;tblMaestroEquipos[[#This Row],[Fecha Salida Bodega]]),"PENDIENTE","CERRADO"))</f>
        <v>SIN SALIDA BODEGA</v>
      </c>
      <c r="AE182" s="48" t="str">
        <f t="shared" si="18"/>
        <v>EN PROCESO</v>
      </c>
      <c r="AF182" s="16" t="str">
        <f t="shared" si="19"/>
        <v>SEGUIMIENTO</v>
      </c>
      <c r="AG182" s="16" t="str">
        <f t="shared" si="20"/>
        <v>Hacer seguimiento al taller y cerrar report</v>
      </c>
      <c r="AH182">
        <f t="shared" si="21"/>
        <v>0</v>
      </c>
      <c r="AI182" t="str">
        <f t="shared" si="22"/>
        <v/>
      </c>
      <c r="AJ182" s="22">
        <f t="shared" si="23"/>
        <v>2</v>
      </c>
    </row>
    <row r="183" spans="1:36" s="25" customFormat="1">
      <c r="A183" s="16" t="s">
        <v>538</v>
      </c>
      <c r="B183" s="16" t="s">
        <v>461</v>
      </c>
      <c r="C183" s="16" t="s">
        <v>1414</v>
      </c>
      <c r="D183" s="16" t="s">
        <v>98</v>
      </c>
      <c r="E183" s="17" t="s">
        <v>1421</v>
      </c>
      <c r="F183" s="16">
        <v>2025</v>
      </c>
      <c r="G183" s="17" t="str">
        <f>IFERROR(_xlfn.XLOOKUP($A183,tblEquipos[Codigo],tblEquipos[Ubicacion],""),"")</f>
        <v>Emergencias Curico</v>
      </c>
      <c r="H183" s="16" t="s">
        <v>37</v>
      </c>
      <c r="I183" s="16" t="str">
        <f>IFERROR(VLOOKUP(A183, Equipos!A:J, 9, FALSE), "")</f>
        <v>KM</v>
      </c>
      <c r="J183" s="16">
        <f>IFERROR(VLOOKUP(A183, Equipos!A:J, 10, FALSE), "")</f>
        <v>15000</v>
      </c>
      <c r="K183" s="16">
        <f>IFERROR(IF($I183="KM",ROUND((_xlfn.MAXIFS(tblLecturas[Kilometraje],tblLecturas[Codigo],$A183)-_xlfn.MINIFS(tblLecturas[Kilometraje],tblLecturas[Codigo],$A183))/(MAX(1,_xlfn.MAXIFS(tblLecturas[Fecha],tblLecturas[Codigo],$A183)-_xlfn.MINIFS(tblLecturas[Fecha],tblLecturas[Codigo],$A183))),1),ROUND((_xlfn.MAXIFS(tblLecturas[Horometro],tblLecturas[Codigo],$A183)-_xlfn.MINIFS(tblLecturas[Horometro],tblLecturas[Codigo],$A183))/(MAX(1,_xlfn.MAXIFS(tblLecturas[Fecha],tblLecturas[Codigo],$A183)-_xlfn.MINIFS(tblLecturas[Fecha],tblLecturas[Codigo],$A183))),1)),"")</f>
        <v>257.2</v>
      </c>
      <c r="L183" s="18">
        <f>IFERROR(_xlfn.MAXIFS(tblLecturas[Fecha],tblLecturas[Codigo],$A183),"")</f>
        <v>46178</v>
      </c>
      <c r="M183" s="24">
        <f>IFERROR(_xlfn.MAXIFS(Lecturas!$C:$C,Lecturas!$B:$B,$A183,Lecturas!$C:$C,"&gt;0"),"")</f>
        <v>0</v>
      </c>
      <c r="N183" s="24">
        <f>IFERROR(_xlfn.MAXIFS(tblLecturas[Kilometraje],tblLecturas[Codigo],$A183,tblLecturas[Kilometraje],"&gt;0"),"")</f>
        <v>98990</v>
      </c>
      <c r="O183" s="24" cm="1">
        <f t="array" ref="O183">IFERROR(IF($I183="KM",LOOKUP(2,1/(Lecturas!$B:$B=$A183)/(Lecturas!$D:$D&gt;0),Lecturas!$D:$D),LOOKUP(2,1/(Lecturas!$B:$B=$A183)/(Lecturas!$C:$C&gt;0),Lecturas!$C:$C)),"")</f>
        <v>98990</v>
      </c>
      <c r="P183" s="18">
        <f>IFERROR(_xlfn.MAXIFS(tblMantenciones[Fecha],tblMantenciones[Codigo],tblMaestroEquipos[[#This Row],[Codigo]],tblMantenciones[EsPM],"Sí"),"")</f>
        <v>46178</v>
      </c>
      <c r="Q183" s="70">
        <f>IF(_xlfn.MAXIFS(Mantenciones!$D:$D,Mantenciones!$B:$B,A183)=0,"Sin datos de mantención registrado",_xlfn.MAXIFS(Mantenciones!$D:$D,Mantenciones!$B:$B,A183))</f>
        <v>98990</v>
      </c>
      <c r="R183" s="16">
        <f>IFERROR(IF(_xlfn.MAXIFS(Mantenciones!$D:$D,Mantenciones!$B:$B,$A183,Mantenciones!$E:$E,"Sí",Mantenciones!$D:$D,"&gt;0")=0,"Sin datos de mantención registrado",_xlfn.MAXIFS(Mantenciones!$D:$D,Mantenciones!$B:$B,$A183,Mantenciones!$E:$E,"Sí",Mantenciones!$D:$D,"&gt;0")),"Sin datos de mantención registrado")</f>
        <v>98990</v>
      </c>
      <c r="S183" s="19">
        <f>IFERROR(SUMIFS(tblMantenciones[Costo Mantencion CLP],tblMantenciones[Codigo],A183),0)</f>
        <v>487719</v>
      </c>
      <c r="T183" s="19">
        <f>IFERROR(SUMIFS(tblComprasPM[Costo PM CLP],tblComprasPM[Codigo],tblMaestroEquipos[[#This Row],[Codigo]]),0)</f>
        <v>604185.59</v>
      </c>
      <c r="U183" s="19">
        <f>IFERROR(tblMaestroEquipos[[#This Row],[Costo Mantenciones CLP]]+tblMaestroEquipos[[#This Row],[Costo Compras PM CLP]],0)</f>
        <v>1091904.5899999999</v>
      </c>
      <c r="V183" s="16" t="str">
        <f>IFERROR(_xlfn.XLOOKUP(tblMaestroEquipos[[#This Row],[Codigo]],tblEquipos[Codigo],tblEquipos[Estado Base]),"")</f>
        <v>Operativo</v>
      </c>
      <c r="W183" s="16" t="str">
        <f t="shared" si="16"/>
        <v>AL DÍA</v>
      </c>
      <c r="X183" s="16">
        <f t="shared" si="17"/>
        <v>15000</v>
      </c>
      <c r="Y183" s="23">
        <f>IFERROR(IF(OR(tblMaestroEquipos[[#This Row],[Estado Operacional]]="FUERA DE SERVICIO",tblMaestroEquipos[[#This Row],[Ultima Fecha Lectura]]="",tblMaestroEquipos[[#This Row],[Dias a Proxima Mantencion]]=""),"",tblMaestroEquipos[[#This Row],[Ultima Fecha Lectura]]+tblMaestroEquipos[[#This Row],[Dias a Proxima Mantencion]]),"")</f>
        <v>61178</v>
      </c>
      <c r="Z183" s="23">
        <f>IFERROR(IF(_xlfn.MINIFS(tblComprasPM[Fecha],tblComprasPM[Codigo],tblMaestroEquipos[[#This Row],[Codigo]])=0,"",_xlfn.MINIFS(tblComprasPM[Fecha],tblComprasPM[Codigo],tblMaestroEquipos[[#This Row],[Codigo]])),"")</f>
        <v>46100</v>
      </c>
      <c r="AA183" s="23">
        <f>IFERROR(IF(_xlfn.MAXIFS(tblBodega[Fecha],tblBodega[Codigo],tblMaestroEquipos[[#This Row],[Codigo]])=0,"",_xlfn.MAXIFS(tblBodega[Fecha],tblBodega[Codigo],tblMaestroEquipos[[#This Row],[Codigo]])),"")</f>
        <v>46178</v>
      </c>
      <c r="AB183"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78</v>
      </c>
      <c r="AC183"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83" s="16" t="str">
        <f>IF(tblMaestroEquipos[[#This Row],[Fecha Salida Bodega]]="","SIN SALIDA BODEGA",IF(OR(tblMaestroEquipos[[#This Row],[Ultima Fecha PM]]="",tblMaestroEquipos[[#This Row],[Ultima Fecha PM]]&lt;tblMaestroEquipos[[#This Row],[Fecha Salida Bodega]]),"PENDIENTE","CERRADO"))</f>
        <v>CERRADO</v>
      </c>
      <c r="AE183" s="48" t="str">
        <f t="shared" si="18"/>
        <v>OPERATIVO</v>
      </c>
      <c r="AF183" s="16" t="str">
        <f t="shared" si="19"/>
        <v>BAJA</v>
      </c>
      <c r="AG183" s="16" t="str">
        <f t="shared" si="20"/>
        <v>Monitorear próximo vencimiento</v>
      </c>
      <c r="AH183">
        <f t="shared" si="21"/>
        <v>0</v>
      </c>
      <c r="AI183" t="str">
        <f t="shared" si="22"/>
        <v/>
      </c>
      <c r="AJ183" s="22">
        <f t="shared" si="23"/>
        <v>99</v>
      </c>
    </row>
    <row r="184" spans="1:36" s="25" customFormat="1">
      <c r="A184" s="16" t="s">
        <v>540</v>
      </c>
      <c r="B184" s="16" t="s">
        <v>461</v>
      </c>
      <c r="C184" s="16" t="s">
        <v>1414</v>
      </c>
      <c r="D184" s="16" t="s">
        <v>98</v>
      </c>
      <c r="E184" s="17" t="s">
        <v>1421</v>
      </c>
      <c r="F184" s="16">
        <v>2025</v>
      </c>
      <c r="G184" s="17" t="str">
        <f>IFERROR(_xlfn.XLOOKUP($A184,tblEquipos[Codigo],tblEquipos[Ubicacion],""),"")</f>
        <v>Oficina</v>
      </c>
      <c r="H184" s="16" t="s">
        <v>541</v>
      </c>
      <c r="I184" s="16" t="str">
        <f>IFERROR(VLOOKUP(A184, Equipos!A:J, 9, FALSE), "")</f>
        <v>KM</v>
      </c>
      <c r="J184" s="16">
        <f>IFERROR(VLOOKUP(A184, Equipos!A:J, 10, FALSE), "")</f>
        <v>15000</v>
      </c>
      <c r="K184" s="16">
        <f>IFERROR(IF($I184="KM",ROUND((_xlfn.MAXIFS(tblLecturas[Kilometraje],tblLecturas[Codigo],$A184)-_xlfn.MINIFS(tblLecturas[Kilometraje],tblLecturas[Codigo],$A184))/(MAX(1,_xlfn.MAXIFS(tblLecturas[Fecha],tblLecturas[Codigo],$A184)-_xlfn.MINIFS(tblLecturas[Fecha],tblLecturas[Codigo],$A184))),1),ROUND((_xlfn.MAXIFS(tblLecturas[Horometro],tblLecturas[Codigo],$A184)-_xlfn.MINIFS(tblLecturas[Horometro],tblLecturas[Codigo],$A184))/(MAX(1,_xlfn.MAXIFS(tblLecturas[Fecha],tblLecturas[Codigo],$A184)-_xlfn.MINIFS(tblLecturas[Fecha],tblLecturas[Codigo],$A184))),1)),"")</f>
        <v>111.9</v>
      </c>
      <c r="L184" s="18">
        <f>IFERROR(_xlfn.MAXIFS(tblLecturas[Fecha],tblLecturas[Codigo],$A184),"")</f>
        <v>46133</v>
      </c>
      <c r="M184" s="24">
        <f>IFERROR(_xlfn.MAXIFS(Lecturas!$C:$C,Lecturas!$B:$B,$A184,Lecturas!$C:$C,"&gt;0"),"")</f>
        <v>0</v>
      </c>
      <c r="N184" s="24">
        <f>IFERROR(_xlfn.MAXIFS(tblLecturas[Kilometraje],tblLecturas[Codigo],$A184,tblLecturas[Kilometraje],"&gt;0"),"")</f>
        <v>99814</v>
      </c>
      <c r="O184" s="24" cm="1">
        <f t="array" ref="O184">IFERROR(IF($I184="KM",LOOKUP(2,1/(Lecturas!$B:$B=$A184)/(Lecturas!$D:$D&gt;0),Lecturas!$D:$D),LOOKUP(2,1/(Lecturas!$B:$B=$A184)/(Lecturas!$C:$C&gt;0),Lecturas!$C:$C)),"")</f>
        <v>92092</v>
      </c>
      <c r="P184" s="18">
        <f>IFERROR(_xlfn.MAXIFS(tblMantenciones[Fecha],tblMantenciones[Codigo],tblMaestroEquipos[[#This Row],[Codigo]],tblMantenciones[EsPM],"Sí"),"")</f>
        <v>46135</v>
      </c>
      <c r="Q184" s="70">
        <f>IF(_xlfn.MAXIFS(Mantenciones!$D:$D,Mantenciones!$B:$B,A184)=0,"Sin datos de mantención registrado",_xlfn.MAXIFS(Mantenciones!$D:$D,Mantenciones!$B:$B,A184))</f>
        <v>100657</v>
      </c>
      <c r="R184" s="16">
        <f>IFERROR(IF(_xlfn.MAXIFS(Mantenciones!$D:$D,Mantenciones!$B:$B,$A184,Mantenciones!$E:$E,"Sí",Mantenciones!$D:$D,"&gt;0")=0,"Sin datos de mantención registrado",_xlfn.MAXIFS(Mantenciones!$D:$D,Mantenciones!$B:$B,$A184,Mantenciones!$E:$E,"Sí",Mantenciones!$D:$D,"&gt;0")),"Sin datos de mantención registrado")</f>
        <v>100657</v>
      </c>
      <c r="S184" s="19">
        <f>IFERROR(SUMIFS(tblMantenciones[Costo Mantencion CLP],tblMantenciones[Codigo],A184),0)</f>
        <v>725040</v>
      </c>
      <c r="T184" s="19">
        <f>IFERROR(SUMIFS(tblComprasPM[Costo PM CLP],tblComprasPM[Codigo],tblMaestroEquipos[[#This Row],[Codigo]]),0)</f>
        <v>23799.98</v>
      </c>
      <c r="U184" s="19">
        <f>IFERROR(tblMaestroEquipos[[#This Row],[Costo Mantenciones CLP]]+tblMaestroEquipos[[#This Row],[Costo Compras PM CLP]],0)</f>
        <v>748839.98</v>
      </c>
      <c r="V184" s="16" t="str">
        <f>IFERROR(_xlfn.XLOOKUP(tblMaestroEquipos[[#This Row],[Codigo]],tblEquipos[Codigo],tblEquipos[Estado Base]),"")</f>
        <v>Operativo</v>
      </c>
      <c r="W184" s="16" t="str">
        <f t="shared" si="16"/>
        <v>AL DÍA</v>
      </c>
      <c r="X184" s="16">
        <f t="shared" si="17"/>
        <v>23565</v>
      </c>
      <c r="Y184" s="23">
        <f>IFERROR(IF(OR(tblMaestroEquipos[[#This Row],[Estado Operacional]]="FUERA DE SERVICIO",tblMaestroEquipos[[#This Row],[Ultima Fecha Lectura]]="",tblMaestroEquipos[[#This Row],[Dias a Proxima Mantencion]]=""),"",tblMaestroEquipos[[#This Row],[Ultima Fecha Lectura]]+tblMaestroEquipos[[#This Row],[Dias a Proxima Mantencion]]),"")</f>
        <v>69698</v>
      </c>
      <c r="Z184" s="23">
        <f>IFERROR(IF(_xlfn.MINIFS(tblComprasPM[Fecha],tblComprasPM[Codigo],tblMaestroEquipos[[#This Row],[Codigo]])=0,"",_xlfn.MINIFS(tblComprasPM[Fecha],tblComprasPM[Codigo],tblMaestroEquipos[[#This Row],[Codigo]])),"")</f>
        <v>46136.6736726042</v>
      </c>
      <c r="AA184" s="23">
        <f>IFERROR(IF(_xlfn.MAXIFS(tblBodega[Fecha],tblBodega[Codigo],tblMaestroEquipos[[#This Row],[Codigo]])=0,"",_xlfn.MAXIFS(tblBodega[Fecha],tblBodega[Codigo],tblMaestroEquipos[[#This Row],[Codigo]])),"")</f>
        <v>46135</v>
      </c>
      <c r="AB184"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184"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84" s="16" t="str">
        <f>IF(tblMaestroEquipos[[#This Row],[Fecha Salida Bodega]]="","SIN SALIDA BODEGA",IF(OR(tblMaestroEquipos[[#This Row],[Ultima Fecha PM]]="",tblMaestroEquipos[[#This Row],[Ultima Fecha PM]]&lt;tblMaestroEquipos[[#This Row],[Fecha Salida Bodega]]),"PENDIENTE","CERRADO"))</f>
        <v>CERRADO</v>
      </c>
      <c r="AE184" s="48" t="str">
        <f t="shared" si="18"/>
        <v>OPERATIVO</v>
      </c>
      <c r="AF184" s="16" t="str">
        <f t="shared" si="19"/>
        <v>BAJA</v>
      </c>
      <c r="AG184" s="16" t="str">
        <f t="shared" si="20"/>
        <v>Monitorear próximo vencimiento</v>
      </c>
      <c r="AH184">
        <f t="shared" si="21"/>
        <v>0</v>
      </c>
      <c r="AI184" t="str">
        <f t="shared" si="22"/>
        <v/>
      </c>
      <c r="AJ184" s="22">
        <f t="shared" si="23"/>
        <v>99</v>
      </c>
    </row>
    <row r="185" spans="1:36" s="25" customFormat="1">
      <c r="A185" s="16" t="s">
        <v>542</v>
      </c>
      <c r="B185" s="16" t="s">
        <v>461</v>
      </c>
      <c r="C185" s="16" t="s">
        <v>1414</v>
      </c>
      <c r="D185" s="16" t="s">
        <v>98</v>
      </c>
      <c r="E185" s="17" t="s">
        <v>1421</v>
      </c>
      <c r="F185" s="16">
        <v>2025</v>
      </c>
      <c r="G185" s="17" t="str">
        <f>IFERROR(_xlfn.XLOOKUP($A185,tblEquipos[Codigo],tblEquipos[Ubicacion],""),"")</f>
        <v>Quirihue</v>
      </c>
      <c r="H185" s="16" t="s">
        <v>1422</v>
      </c>
      <c r="I185" s="16" t="str">
        <f>IFERROR(VLOOKUP(A185, Equipos!A:J, 9, FALSE), "")</f>
        <v>KM</v>
      </c>
      <c r="J185" s="16">
        <f>IFERROR(VLOOKUP(A185, Equipos!A:J, 10, FALSE), "")</f>
        <v>15000</v>
      </c>
      <c r="K185" s="16">
        <f>IFERROR(IF($I185="KM",ROUND((_xlfn.MAXIFS(tblLecturas[Kilometraje],tblLecturas[Codigo],$A185)-_xlfn.MINIFS(tblLecturas[Kilometraje],tblLecturas[Codigo],$A185))/(MAX(1,_xlfn.MAXIFS(tblLecturas[Fecha],tblLecturas[Codigo],$A185)-_xlfn.MINIFS(tblLecturas[Fecha],tblLecturas[Codigo],$A185))),1),ROUND((_xlfn.MAXIFS(tblLecturas[Horometro],tblLecturas[Codigo],$A185)-_xlfn.MINIFS(tblLecturas[Horometro],tblLecturas[Codigo],$A185))/(MAX(1,_xlfn.MAXIFS(tblLecturas[Fecha],tblLecturas[Codigo],$A185)-_xlfn.MINIFS(tblLecturas[Fecha],tblLecturas[Codigo],$A185))),1)),"")</f>
        <v>162.69999999999999</v>
      </c>
      <c r="L185" s="18">
        <f>IFERROR(_xlfn.MAXIFS(tblLecturas[Fecha],tblLecturas[Codigo],$A185),"")</f>
        <v>46189</v>
      </c>
      <c r="M185" s="24">
        <f>IFERROR(_xlfn.MAXIFS(Lecturas!$C:$C,Lecturas!$B:$B,$A185,Lecturas!$C:$C,"&gt;0"),"")</f>
        <v>0</v>
      </c>
      <c r="N185" s="24">
        <f>IFERROR(_xlfn.MAXIFS(tblLecturas[Kilometraje],tblLecturas[Codigo],$A185,tblLecturas[Kilometraje],"&gt;0"),"")</f>
        <v>57547</v>
      </c>
      <c r="O185" s="24" cm="1">
        <f t="array" ref="O185">IFERROR(IF($I185="KM",LOOKUP(2,1/(Lecturas!$B:$B=$A185)/(Lecturas!$D:$D&gt;0),Lecturas!$D:$D),LOOKUP(2,1/(Lecturas!$B:$B=$A185)/(Lecturas!$C:$C&gt;0),Lecturas!$C:$C)),"")</f>
        <v>57547</v>
      </c>
      <c r="P185" s="18">
        <f>IFERROR(_xlfn.MAXIFS(tblMantenciones[Fecha],tblMantenciones[Codigo],tblMaestroEquipos[[#This Row],[Codigo]],tblMantenciones[EsPM],"Sí"),"")</f>
        <v>46167</v>
      </c>
      <c r="Q185" s="70">
        <f>IF(_xlfn.MAXIFS(Mantenciones!$D:$D,Mantenciones!$B:$B,A185)=0,"Sin datos de mantención registrado",_xlfn.MAXIFS(Mantenciones!$D:$D,Mantenciones!$B:$B,A185))</f>
        <v>53548</v>
      </c>
      <c r="R185" s="16">
        <f>IFERROR(IF(_xlfn.MAXIFS(Mantenciones!$D:$D,Mantenciones!$B:$B,$A185,Mantenciones!$E:$E,"Sí",Mantenciones!$D:$D,"&gt;0")=0,"Sin datos de mantención registrado",_xlfn.MAXIFS(Mantenciones!$D:$D,Mantenciones!$B:$B,$A185,Mantenciones!$E:$E,"Sí",Mantenciones!$D:$D,"&gt;0")),"Sin datos de mantención registrado")</f>
        <v>53548</v>
      </c>
      <c r="S185" s="19">
        <f>IFERROR(SUMIFS(tblMantenciones[Costo Mantencion CLP],tblMantenciones[Codigo],A185),0)</f>
        <v>491721</v>
      </c>
      <c r="T185" s="19">
        <f>IFERROR(SUMIFS(tblComprasPM[Costo PM CLP],tblComprasPM[Codigo],tblMaestroEquipos[[#This Row],[Codigo]]),0)</f>
        <v>171801.96980000002</v>
      </c>
      <c r="U185" s="19">
        <f>IFERROR(tblMaestroEquipos[[#This Row],[Costo Mantenciones CLP]]+tblMaestroEquipos[[#This Row],[Costo Compras PM CLP]],0)</f>
        <v>663522.96980000008</v>
      </c>
      <c r="V185" s="16" t="str">
        <f>IFERROR(_xlfn.XLOOKUP(tblMaestroEquipos[[#This Row],[Codigo]],tblEquipos[Codigo],tblEquipos[Estado Base]),"")</f>
        <v>Operativo</v>
      </c>
      <c r="W185" s="16" t="str">
        <f t="shared" si="16"/>
        <v>AL DÍA</v>
      </c>
      <c r="X185" s="16">
        <f t="shared" si="17"/>
        <v>11001</v>
      </c>
      <c r="Y185" s="23">
        <f>IFERROR(IF(OR(tblMaestroEquipos[[#This Row],[Estado Operacional]]="FUERA DE SERVICIO",tblMaestroEquipos[[#This Row],[Ultima Fecha Lectura]]="",tblMaestroEquipos[[#This Row],[Dias a Proxima Mantencion]]=""),"",tblMaestroEquipos[[#This Row],[Ultima Fecha Lectura]]+tblMaestroEquipos[[#This Row],[Dias a Proxima Mantencion]]),"")</f>
        <v>57190</v>
      </c>
      <c r="Z185" s="23">
        <f>IFERROR(IF(_xlfn.MINIFS(tblComprasPM[Fecha],tblComprasPM[Codigo],tblMaestroEquipos[[#This Row],[Codigo]])=0,"",_xlfn.MINIFS(tblComprasPM[Fecha],tblComprasPM[Codigo],tblMaestroEquipos[[#This Row],[Codigo]])),"")</f>
        <v>46136.6736726042</v>
      </c>
      <c r="AA185" s="23">
        <f>IFERROR(IF(_xlfn.MAXIFS(tblBodega[Fecha],tblBodega[Codigo],tblMaestroEquipos[[#This Row],[Codigo]])=0,"",_xlfn.MAXIFS(tblBodega[Fecha],tblBodega[Codigo],tblMaestroEquipos[[#This Row],[Codigo]])),"")</f>
        <v>46167</v>
      </c>
      <c r="AB18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31</v>
      </c>
      <c r="AC18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85" s="16" t="str">
        <f>IF(tblMaestroEquipos[[#This Row],[Fecha Salida Bodega]]="","SIN SALIDA BODEGA",IF(OR(tblMaestroEquipos[[#This Row],[Ultima Fecha PM]]="",tblMaestroEquipos[[#This Row],[Ultima Fecha PM]]&lt;tblMaestroEquipos[[#This Row],[Fecha Salida Bodega]]),"PENDIENTE","CERRADO"))</f>
        <v>CERRADO</v>
      </c>
      <c r="AE185" s="48" t="str">
        <f t="shared" si="18"/>
        <v>OPERATIVO</v>
      </c>
      <c r="AF185" s="16" t="str">
        <f t="shared" si="19"/>
        <v>BAJA</v>
      </c>
      <c r="AG185" s="16" t="str">
        <f t="shared" si="20"/>
        <v>Monitorear próximo vencimiento</v>
      </c>
      <c r="AH185">
        <f t="shared" si="21"/>
        <v>0</v>
      </c>
      <c r="AI185" t="str">
        <f t="shared" si="22"/>
        <v/>
      </c>
      <c r="AJ185" s="22">
        <f t="shared" si="23"/>
        <v>99</v>
      </c>
    </row>
    <row r="186" spans="1:36" s="25" customFormat="1">
      <c r="A186" s="16" t="s">
        <v>544</v>
      </c>
      <c r="B186" s="16" t="s">
        <v>461</v>
      </c>
      <c r="C186" s="16" t="s">
        <v>1414</v>
      </c>
      <c r="D186" s="16" t="s">
        <v>98</v>
      </c>
      <c r="E186" s="17" t="s">
        <v>1421</v>
      </c>
      <c r="F186" s="16">
        <v>2025</v>
      </c>
      <c r="G186" s="17" t="str">
        <f>IFERROR(_xlfn.XLOOKUP($A186,tblEquipos[Codigo],tblEquipos[Ubicacion],""),"")</f>
        <v>Emergencias Curico</v>
      </c>
      <c r="H186" s="16" t="s">
        <v>543</v>
      </c>
      <c r="I186" s="16" t="str">
        <f>IFERROR(VLOOKUP(A186, Equipos!A:J, 9, FALSE), "")</f>
        <v>KM</v>
      </c>
      <c r="J186" s="16">
        <f>IFERROR(VLOOKUP(A186, Equipos!A:J, 10, FALSE), "")</f>
        <v>15000</v>
      </c>
      <c r="K186" s="16">
        <f>IFERROR(IF($I186="KM",ROUND((_xlfn.MAXIFS(tblLecturas[Kilometraje],tblLecturas[Codigo],$A186)-_xlfn.MINIFS(tblLecturas[Kilometraje],tblLecturas[Codigo],$A186))/(MAX(1,_xlfn.MAXIFS(tblLecturas[Fecha],tblLecturas[Codigo],$A186)-_xlfn.MINIFS(tblLecturas[Fecha],tblLecturas[Codigo],$A186))),1),ROUND((_xlfn.MAXIFS(tblLecturas[Horometro],tblLecturas[Codigo],$A186)-_xlfn.MINIFS(tblLecturas[Horometro],tblLecturas[Codigo],$A186))/(MAX(1,_xlfn.MAXIFS(tblLecturas[Fecha],tblLecturas[Codigo],$A186)-_xlfn.MINIFS(tblLecturas[Fecha],tblLecturas[Codigo],$A186))),1)),"")</f>
        <v>25.2</v>
      </c>
      <c r="L186" s="18">
        <f>IFERROR(_xlfn.MAXIFS(tblLecturas[Fecha],tblLecturas[Codigo],$A186),"")</f>
        <v>46063</v>
      </c>
      <c r="M186" s="24">
        <f>IFERROR(_xlfn.MAXIFS(Lecturas!$C:$C,Lecturas!$B:$B,$A186,Lecturas!$C:$C,"&gt;0"),"")</f>
        <v>0</v>
      </c>
      <c r="N186" s="24">
        <f>IFERROR(_xlfn.MAXIFS(tblLecturas[Kilometraje],tblLecturas[Codigo],$A186,tblLecturas[Kilometraje],"&gt;0"),"")</f>
        <v>60050</v>
      </c>
      <c r="O186" s="24" cm="1">
        <f t="array" ref="O186">IFERROR(IF($I186="KM",LOOKUP(2,1/(Lecturas!$B:$B=$A186)/(Lecturas!$D:$D&gt;0),Lecturas!$D:$D),LOOKUP(2,1/(Lecturas!$B:$B=$A186)/(Lecturas!$C:$C&gt;0),Lecturas!$C:$C)),"")</f>
        <v>59243</v>
      </c>
      <c r="P186" s="18">
        <f>IFERROR(_xlfn.MAXIFS(tblMantenciones[Fecha],tblMantenciones[Codigo],tblMaestroEquipos[[#This Row],[Codigo]],tblMantenciones[EsPM],"Sí"),"")</f>
        <v>46184</v>
      </c>
      <c r="Q186" s="70">
        <f>IF(_xlfn.MAXIFS(Mantenciones!$D:$D,Mantenciones!$B:$B,A186)=0,"Sin datos de mantención registrado",_xlfn.MAXIFS(Mantenciones!$D:$D,Mantenciones!$B:$B,A186))</f>
        <v>66289</v>
      </c>
      <c r="R186" s="16">
        <f>IFERROR(IF(_xlfn.MAXIFS(Mantenciones!$D:$D,Mantenciones!$B:$B,$A186,Mantenciones!$E:$E,"Sí",Mantenciones!$D:$D,"&gt;0")=0,"Sin datos de mantención registrado",_xlfn.MAXIFS(Mantenciones!$D:$D,Mantenciones!$B:$B,$A186,Mantenciones!$E:$E,"Sí",Mantenciones!$D:$D,"&gt;0")),"Sin datos de mantención registrado")</f>
        <v>66289</v>
      </c>
      <c r="S186" s="19">
        <f>IFERROR(SUMIFS(tblMantenciones[Costo Mantencion CLP],tblMantenciones[Codigo],A186),0)</f>
        <v>1120537</v>
      </c>
      <c r="T186" s="19">
        <f>IFERROR(SUMIFS(tblComprasPM[Costo PM CLP],tblComprasPM[Codigo],tblMaestroEquipos[[#This Row],[Codigo]]),0)</f>
        <v>23799.98</v>
      </c>
      <c r="U186" s="19">
        <f>IFERROR(tblMaestroEquipos[[#This Row],[Costo Mantenciones CLP]]+tblMaestroEquipos[[#This Row],[Costo Compras PM CLP]],0)</f>
        <v>1144336.98</v>
      </c>
      <c r="V186" s="16" t="str">
        <f>IFERROR(_xlfn.XLOOKUP(tblMaestroEquipos[[#This Row],[Codigo]],tblEquipos[Codigo],tblEquipos[Estado Base]),"")</f>
        <v>Operativo</v>
      </c>
      <c r="W186" s="16" t="str">
        <f t="shared" si="16"/>
        <v>EN PROCESO</v>
      </c>
      <c r="X186" s="16">
        <f t="shared" si="17"/>
        <v>22046</v>
      </c>
      <c r="Y186" s="23">
        <f>IFERROR(IF(OR(tblMaestroEquipos[[#This Row],[Estado Operacional]]="FUERA DE SERVICIO",tblMaestroEquipos[[#This Row],[Ultima Fecha Lectura]]="",tblMaestroEquipos[[#This Row],[Dias a Proxima Mantencion]]=""),"",tblMaestroEquipos[[#This Row],[Ultima Fecha Lectura]]+tblMaestroEquipos[[#This Row],[Dias a Proxima Mantencion]]),"")</f>
        <v>68109</v>
      </c>
      <c r="Z186" s="23">
        <f>IFERROR(IF(_xlfn.MINIFS(tblComprasPM[Fecha],tblComprasPM[Codigo],tblMaestroEquipos[[#This Row],[Codigo]])=0,"",_xlfn.MINIFS(tblComprasPM[Fecha],tblComprasPM[Codigo],tblMaestroEquipos[[#This Row],[Codigo]])),"")</f>
        <v>46136.6736726042</v>
      </c>
      <c r="AA186" s="23" t="str">
        <f>IFERROR(IF(_xlfn.MAXIFS(tblBodega[Fecha],tblBodega[Codigo],tblMaestroEquipos[[#This Row],[Codigo]])=0,"",_xlfn.MAXIFS(tblBodega[Fecha],tblBodega[Codigo],tblMaestroEquipos[[#This Row],[Codigo]])),"")</f>
        <v/>
      </c>
      <c r="AB18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48</v>
      </c>
      <c r="AC186"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86" s="16" t="str">
        <f>IF(tblMaestroEquipos[[#This Row],[Fecha Salida Bodega]]="","SIN SALIDA BODEGA",IF(OR(tblMaestroEquipos[[#This Row],[Ultima Fecha PM]]="",tblMaestroEquipos[[#This Row],[Ultima Fecha PM]]&lt;tblMaestroEquipos[[#This Row],[Fecha Salida Bodega]]),"PENDIENTE","CERRADO"))</f>
        <v>SIN SALIDA BODEGA</v>
      </c>
      <c r="AE186" s="48" t="str">
        <f t="shared" si="18"/>
        <v>EN PROCESO</v>
      </c>
      <c r="AF186" s="16" t="str">
        <f t="shared" si="19"/>
        <v>SEGUIMIENTO</v>
      </c>
      <c r="AG186" s="16" t="str">
        <f t="shared" si="20"/>
        <v>Hacer seguimiento al taller y cerrar report</v>
      </c>
      <c r="AH186">
        <f t="shared" si="21"/>
        <v>0</v>
      </c>
      <c r="AI186" t="str">
        <f t="shared" si="22"/>
        <v/>
      </c>
      <c r="AJ186" s="22">
        <f t="shared" si="23"/>
        <v>2</v>
      </c>
    </row>
    <row r="187" spans="1:36">
      <c r="A187" s="16" t="s">
        <v>546</v>
      </c>
      <c r="B187" s="16" t="s">
        <v>461</v>
      </c>
      <c r="C187" s="16" t="s">
        <v>1414</v>
      </c>
      <c r="D187" s="16" t="s">
        <v>98</v>
      </c>
      <c r="E187" s="17" t="s">
        <v>1421</v>
      </c>
      <c r="F187" s="16">
        <v>2025</v>
      </c>
      <c r="G187" s="17" t="str">
        <f>IFERROR(_xlfn.XLOOKUP($A187,tblEquipos[Codigo],tblEquipos[Ubicacion],""),"")</f>
        <v>Oficina</v>
      </c>
      <c r="H187" s="16" t="s">
        <v>1423</v>
      </c>
      <c r="I187" s="16" t="str">
        <f>IFERROR(VLOOKUP(A187, Equipos!A:J, 9, FALSE), "")</f>
        <v>KM</v>
      </c>
      <c r="J187" s="16">
        <f>IFERROR(VLOOKUP(A187, Equipos!A:J, 10, FALSE), "")</f>
        <v>15000</v>
      </c>
      <c r="K187" s="16">
        <f>IFERROR(IF($I187="KM",ROUND((_xlfn.MAXIFS(tblLecturas[Kilometraje],tblLecturas[Codigo],$A187)-_xlfn.MINIFS(tblLecturas[Kilometraje],tblLecturas[Codigo],$A187))/(MAX(1,_xlfn.MAXIFS(tblLecturas[Fecha],tblLecturas[Codigo],$A187)-_xlfn.MINIFS(tblLecturas[Fecha],tblLecturas[Codigo],$A187))),1),ROUND((_xlfn.MAXIFS(tblLecturas[Horometro],tblLecturas[Codigo],$A187)-_xlfn.MINIFS(tblLecturas[Horometro],tblLecturas[Codigo],$A187))/(MAX(1,_xlfn.MAXIFS(tblLecturas[Fecha],tblLecturas[Codigo],$A187)-_xlfn.MINIFS(tblLecturas[Fecha],tblLecturas[Codigo],$A187))),1)),"")</f>
        <v>141.80000000000001</v>
      </c>
      <c r="L187" s="18">
        <f>IFERROR(_xlfn.MAXIFS(tblLecturas[Fecha],tblLecturas[Codigo],$A187),"")</f>
        <v>46185</v>
      </c>
      <c r="M187" s="24">
        <f>IFERROR(_xlfn.MAXIFS(Lecturas!$C:$C,Lecturas!$B:$B,$A187,Lecturas!$C:$C,"&gt;0"),"")</f>
        <v>105438</v>
      </c>
      <c r="N187" s="24">
        <f>IFERROR(_xlfn.MAXIFS(tblLecturas[Kilometraje],tblLecturas[Codigo],$A187,tblLecturas[Kilometraje],"&gt;0"),"")</f>
        <v>105438</v>
      </c>
      <c r="O187" s="24" cm="1">
        <f t="array" ref="O187">IFERROR(IF($I187="KM",LOOKUP(2,1/(Lecturas!$B:$B=$A187)/(Lecturas!$D:$D&gt;0),Lecturas!$D:$D),LOOKUP(2,1/(Lecturas!$B:$B=$A187)/(Lecturas!$C:$C&gt;0),Lecturas!$C:$C)),"")</f>
        <v>105438</v>
      </c>
      <c r="P187" s="18">
        <f>IFERROR(_xlfn.MAXIFS(tblMantenciones[Fecha],tblMantenciones[Codigo],tblMaestroEquipos[[#This Row],[Codigo]],tblMantenciones[EsPM],"Sí"),"")</f>
        <v>46146</v>
      </c>
      <c r="Q187" s="70">
        <f>IF(_xlfn.MAXIFS(Mantenciones!$D:$D,Mantenciones!$B:$B,A187)=0,"Sin datos de mantención registrado",_xlfn.MAXIFS(Mantenciones!$D:$D,Mantenciones!$B:$B,A187))</f>
        <v>100000</v>
      </c>
      <c r="R187" s="16">
        <f>IFERROR(IF(_xlfn.MAXIFS(Mantenciones!$D:$D,Mantenciones!$B:$B,$A187,Mantenciones!$E:$E,"Sí",Mantenciones!$D:$D,"&gt;0")=0,"Sin datos de mantención registrado",_xlfn.MAXIFS(Mantenciones!$D:$D,Mantenciones!$B:$B,$A187,Mantenciones!$E:$E,"Sí",Mantenciones!$D:$D,"&gt;0")),"Sin datos de mantención registrado")</f>
        <v>100000</v>
      </c>
      <c r="S187" s="19">
        <f>IFERROR(SUMIFS(tblMantenciones[Costo Mantencion CLP],tblMantenciones[Codigo],A187),0)</f>
        <v>0</v>
      </c>
      <c r="T187" s="19">
        <f>IFERROR(SUMIFS(tblComprasPM[Costo PM CLP],tblComprasPM[Codigo],tblMaestroEquipos[[#This Row],[Codigo]]),0)</f>
        <v>23799.98</v>
      </c>
      <c r="U187" s="19">
        <f>IFERROR(tblMaestroEquipos[[#This Row],[Costo Mantenciones CLP]]+tblMaestroEquipos[[#This Row],[Costo Compras PM CLP]],0)</f>
        <v>23799.98</v>
      </c>
      <c r="V187" s="16" t="str">
        <f>IFERROR(_xlfn.XLOOKUP(tblMaestroEquipos[[#This Row],[Codigo]],tblEquipos[Codigo],tblEquipos[Estado Base]),"")</f>
        <v>Operativo</v>
      </c>
      <c r="W187" s="16" t="str">
        <f t="shared" si="16"/>
        <v>EN PROCESO</v>
      </c>
      <c r="X187" s="16">
        <f t="shared" si="17"/>
        <v>9562</v>
      </c>
      <c r="Y187" s="23">
        <f>IFERROR(IF(OR(tblMaestroEquipos[[#This Row],[Estado Operacional]]="FUERA DE SERVICIO",tblMaestroEquipos[[#This Row],[Ultima Fecha Lectura]]="",tblMaestroEquipos[[#This Row],[Dias a Proxima Mantencion]]=""),"",tblMaestroEquipos[[#This Row],[Ultima Fecha Lectura]]+tblMaestroEquipos[[#This Row],[Dias a Proxima Mantencion]]),"")</f>
        <v>55747</v>
      </c>
      <c r="Z187" s="23">
        <f>IFERROR(IF(_xlfn.MINIFS(tblComprasPM[Fecha],tblComprasPM[Codigo],tblMaestroEquipos[[#This Row],[Codigo]])=0,"",_xlfn.MINIFS(tblComprasPM[Fecha],tblComprasPM[Codigo],tblMaestroEquipos[[#This Row],[Codigo]])),"")</f>
        <v>46136.6736726042</v>
      </c>
      <c r="AA187" s="23" t="str">
        <f>IFERROR(IF(_xlfn.MAXIFS(tblBodega[Fecha],tblBodega[Codigo],tblMaestroEquipos[[#This Row],[Codigo]])=0,"",_xlfn.MAXIFS(tblBodega[Fecha],tblBodega[Codigo],tblMaestroEquipos[[#This Row],[Codigo]])),"")</f>
        <v/>
      </c>
      <c r="AB18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10</v>
      </c>
      <c r="AC187"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87" s="16" t="str">
        <f>IF(tblMaestroEquipos[[#This Row],[Fecha Salida Bodega]]="","SIN SALIDA BODEGA",IF(OR(tblMaestroEquipos[[#This Row],[Ultima Fecha PM]]="",tblMaestroEquipos[[#This Row],[Ultima Fecha PM]]&lt;tblMaestroEquipos[[#This Row],[Fecha Salida Bodega]]),"PENDIENTE","CERRADO"))</f>
        <v>SIN SALIDA BODEGA</v>
      </c>
      <c r="AE187" s="48" t="str">
        <f t="shared" si="18"/>
        <v>EN PROCESO</v>
      </c>
      <c r="AF187" s="16" t="str">
        <f t="shared" si="19"/>
        <v>SEGUIMIENTO</v>
      </c>
      <c r="AG187" s="16" t="str">
        <f t="shared" si="20"/>
        <v>Hacer seguimiento al taller y cerrar report</v>
      </c>
      <c r="AH187">
        <f t="shared" si="21"/>
        <v>0</v>
      </c>
      <c r="AI187" t="str">
        <f t="shared" si="22"/>
        <v/>
      </c>
      <c r="AJ187" s="22">
        <f t="shared" si="23"/>
        <v>2</v>
      </c>
    </row>
    <row r="188" spans="1:36">
      <c r="A188" s="16" t="s">
        <v>547</v>
      </c>
      <c r="B188" s="16" t="s">
        <v>461</v>
      </c>
      <c r="C188" s="16" t="s">
        <v>1414</v>
      </c>
      <c r="D188" s="16" t="s">
        <v>548</v>
      </c>
      <c r="E188" s="17" t="s">
        <v>549</v>
      </c>
      <c r="F188" s="16">
        <v>2023</v>
      </c>
      <c r="G188" s="17" t="str">
        <f>IFERROR(_xlfn.XLOOKUP($A188,tblEquipos[Codigo],tblEquipos[Ubicacion],""),"")</f>
        <v>Oficina</v>
      </c>
      <c r="H188" s="16"/>
      <c r="I188" s="16" t="str">
        <f>IFERROR(VLOOKUP(A188, Equipos!A:J, 9, FALSE), "")</f>
        <v>KM</v>
      </c>
      <c r="J188" s="16">
        <f>IFERROR(VLOOKUP(A188, Equipos!A:J, 10, FALSE), "")</f>
        <v>15000</v>
      </c>
      <c r="K188" s="16">
        <f>IFERROR(IF($I188="KM",ROUND((_xlfn.MAXIFS(tblLecturas[Kilometraje],tblLecturas[Codigo],$A188)-_xlfn.MINIFS(tblLecturas[Kilometraje],tblLecturas[Codigo],$A188))/(MAX(1,_xlfn.MAXIFS(tblLecturas[Fecha],tblLecturas[Codigo],$A188)-_xlfn.MINIFS(tblLecturas[Fecha],tblLecturas[Codigo],$A188))),1),ROUND((_xlfn.MAXIFS(tblLecturas[Horometro],tblLecturas[Codigo],$A188)-_xlfn.MINIFS(tblLecturas[Horometro],tblLecturas[Codigo],$A188))/(MAX(1,_xlfn.MAXIFS(tblLecturas[Fecha],tblLecturas[Codigo],$A188)-_xlfn.MINIFS(tblLecturas[Fecha],tblLecturas[Codigo],$A188))),1)),"")</f>
        <v>70.400000000000006</v>
      </c>
      <c r="L188" s="18">
        <f>IFERROR(_xlfn.MAXIFS(tblLecturas[Fecha],tblLecturas[Codigo],$A188),"")</f>
        <v>46085</v>
      </c>
      <c r="M188" s="24">
        <f>IFERROR(_xlfn.MAXIFS(Lecturas!$C:$C,Lecturas!$B:$B,$A188,Lecturas!$C:$C,"&gt;0"),"")</f>
        <v>0</v>
      </c>
      <c r="N188" s="24">
        <f>IFERROR(_xlfn.MAXIFS(tblLecturas[Kilometraje],tblLecturas[Codigo],$A188,tblLecturas[Kilometraje],"&gt;0"),"")</f>
        <v>34811</v>
      </c>
      <c r="O188" s="24" cm="1">
        <f t="array" ref="O188">IFERROR(IF($I188="KM",LOOKUP(2,1/(Lecturas!$B:$B=$A188)/(Lecturas!$D:$D&gt;0),Lecturas!$D:$D),LOOKUP(2,1/(Lecturas!$B:$B=$A188)/(Lecturas!$C:$C&gt;0),Lecturas!$C:$C)),"")</f>
        <v>30303</v>
      </c>
      <c r="P188" s="18">
        <f>IFERROR(_xlfn.MAXIFS(tblMantenciones[Fecha],tblMantenciones[Codigo],tblMaestroEquipos[[#This Row],[Codigo]],tblMantenciones[EsPM],"Sí"),"")</f>
        <v>46168</v>
      </c>
      <c r="Q188" s="70">
        <f>IF(_xlfn.MAXIFS(Mantenciones!$D:$D,Mantenciones!$B:$B,A188)=0,"Sin datos de mantención registrado",_xlfn.MAXIFS(Mantenciones!$D:$D,Mantenciones!$B:$B,A188))</f>
        <v>41871</v>
      </c>
      <c r="R188" s="16">
        <f>IFERROR(IF(_xlfn.MAXIFS(Mantenciones!$D:$D,Mantenciones!$B:$B,$A188,Mantenciones!$E:$E,"Sí",Mantenciones!$D:$D,"&gt;0")=0,"Sin datos de mantención registrado",_xlfn.MAXIFS(Mantenciones!$D:$D,Mantenciones!$B:$B,$A188,Mantenciones!$E:$E,"Sí",Mantenciones!$D:$D,"&gt;0")),"Sin datos de mantención registrado")</f>
        <v>41871</v>
      </c>
      <c r="S188" s="19">
        <f>IFERROR(SUMIFS(tblMantenciones[Costo Mantencion CLP],tblMantenciones[Codigo],A188),0)</f>
        <v>0</v>
      </c>
      <c r="T188" s="19">
        <f>IFERROR(SUMIFS(tblComprasPM[Costo PM CLP],tblComprasPM[Codigo],tblMaestroEquipos[[#This Row],[Codigo]]),0)</f>
        <v>24199.9709</v>
      </c>
      <c r="U188" s="19">
        <f>IFERROR(tblMaestroEquipos[[#This Row],[Costo Mantenciones CLP]]+tblMaestroEquipos[[#This Row],[Costo Compras PM CLP]],0)</f>
        <v>24199.9709</v>
      </c>
      <c r="V188" s="16" t="str">
        <f>IFERROR(_xlfn.XLOOKUP(tblMaestroEquipos[[#This Row],[Codigo]],tblEquipos[Codigo],tblEquipos[Estado Base]),"")</f>
        <v>Operativo</v>
      </c>
      <c r="W188" s="16" t="str">
        <f t="shared" si="16"/>
        <v>AL DÍA</v>
      </c>
      <c r="X188" s="16">
        <f t="shared" si="17"/>
        <v>26568</v>
      </c>
      <c r="Y188" s="23">
        <f>IFERROR(IF(OR(tblMaestroEquipos[[#This Row],[Estado Operacional]]="FUERA DE SERVICIO",tblMaestroEquipos[[#This Row],[Ultima Fecha Lectura]]="",tblMaestroEquipos[[#This Row],[Dias a Proxima Mantencion]]=""),"",tblMaestroEquipos[[#This Row],[Ultima Fecha Lectura]]+tblMaestroEquipos[[#This Row],[Dias a Proxima Mantencion]]),"")</f>
        <v>72653</v>
      </c>
      <c r="Z188" s="23">
        <f>IFERROR(IF(_xlfn.MINIFS(tblComprasPM[Fecha],tblComprasPM[Codigo],tblMaestroEquipos[[#This Row],[Codigo]])=0,"",_xlfn.MINIFS(tblComprasPM[Fecha],tblComprasPM[Codigo],tblMaestroEquipos[[#This Row],[Codigo]])),"")</f>
        <v>46154.344671180603</v>
      </c>
      <c r="AA188" s="23">
        <f>IFERROR(IF(_xlfn.MAXIFS(tblBodega[Fecha],tblBodega[Codigo],tblMaestroEquipos[[#This Row],[Codigo]])=0,"",_xlfn.MAXIFS(tblBodega[Fecha],tblBodega[Codigo],tblMaestroEquipos[[#This Row],[Codigo]])),"")</f>
        <v>46168</v>
      </c>
      <c r="AB188"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14</v>
      </c>
      <c r="AC188"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188" s="16" t="str">
        <f>IF(tblMaestroEquipos[[#This Row],[Fecha Salida Bodega]]="","SIN SALIDA BODEGA",IF(OR(tblMaestroEquipos[[#This Row],[Ultima Fecha PM]]="",tblMaestroEquipos[[#This Row],[Ultima Fecha PM]]&lt;tblMaestroEquipos[[#This Row],[Fecha Salida Bodega]]),"PENDIENTE","CERRADO"))</f>
        <v>CERRADO</v>
      </c>
      <c r="AE188" s="48" t="str">
        <f t="shared" si="18"/>
        <v>OPERATIVO</v>
      </c>
      <c r="AF188" s="16" t="str">
        <f t="shared" si="19"/>
        <v>BAJA</v>
      </c>
      <c r="AG188" s="16" t="str">
        <f t="shared" si="20"/>
        <v>Monitorear próximo vencimiento</v>
      </c>
      <c r="AH188">
        <f t="shared" si="21"/>
        <v>0</v>
      </c>
      <c r="AI188" t="str">
        <f t="shared" si="22"/>
        <v/>
      </c>
      <c r="AJ188" s="22">
        <f t="shared" si="23"/>
        <v>99</v>
      </c>
    </row>
    <row r="189" spans="1:36" s="25" customFormat="1">
      <c r="A189" s="16" t="s">
        <v>551</v>
      </c>
      <c r="B189" s="16" t="s">
        <v>461</v>
      </c>
      <c r="C189" s="16" t="s">
        <v>1414</v>
      </c>
      <c r="D189" s="16" t="s">
        <v>98</v>
      </c>
      <c r="E189" s="17" t="s">
        <v>462</v>
      </c>
      <c r="F189" s="16">
        <v>2026</v>
      </c>
      <c r="G189" s="17" t="str">
        <f>IFERROR(_xlfn.XLOOKUP($A189,tblEquipos[Codigo],tblEquipos[Ubicacion],""),"")</f>
        <v>San Carlos</v>
      </c>
      <c r="H189" s="16"/>
      <c r="I189" s="16" t="str">
        <f>IFERROR(VLOOKUP(A189, Equipos!A:J, 9, FALSE), "")</f>
        <v>KM</v>
      </c>
      <c r="J189" s="16">
        <f>IFERROR(VLOOKUP(A189, Equipos!A:J, 10, FALSE), "")</f>
        <v>15000</v>
      </c>
      <c r="K189" s="16">
        <f>IFERROR(IF($I189="KM",ROUND((_xlfn.MAXIFS(tblLecturas[Kilometraje],tblLecturas[Codigo],$A189)-_xlfn.MINIFS(tblLecturas[Kilometraje],tblLecturas[Codigo],$A189))/(MAX(1,_xlfn.MAXIFS(tblLecturas[Fecha],tblLecturas[Codigo],$A189)-_xlfn.MINIFS(tblLecturas[Fecha],tblLecturas[Codigo],$A189))),1),ROUND((_xlfn.MAXIFS(tblLecturas[Horometro],tblLecturas[Codigo],$A189)-_xlfn.MINIFS(tblLecturas[Horometro],tblLecturas[Codigo],$A189))/(MAX(1,_xlfn.MAXIFS(tblLecturas[Fecha],tblLecturas[Codigo],$A189)-_xlfn.MINIFS(tblLecturas[Fecha],tblLecturas[Codigo],$A189))),1)),"")</f>
        <v>135.80000000000001</v>
      </c>
      <c r="L189" s="18">
        <f>IFERROR(_xlfn.MAXIFS(tblLecturas[Fecha],tblLecturas[Codigo],$A189),"")</f>
        <v>46133</v>
      </c>
      <c r="M189" s="24">
        <f>IFERROR(_xlfn.MAXIFS(Lecturas!$C:$C,Lecturas!$B:$B,$A189,Lecturas!$C:$C,"&gt;0"),"")</f>
        <v>0</v>
      </c>
      <c r="N189" s="24">
        <f>IFERROR(_xlfn.MAXIFS(tblLecturas[Kilometraje],tblLecturas[Codigo],$A189,tblLecturas[Kilometraje],"&gt;0"),"")</f>
        <v>22731</v>
      </c>
      <c r="O189" s="24" cm="1">
        <f t="array" ref="O189">IFERROR(IF($I189="KM",LOOKUP(2,1/(Lecturas!$B:$B=$A189)/(Lecturas!$D:$D&gt;0),Lecturas!$D:$D),LOOKUP(2,1/(Lecturas!$B:$B=$A189)/(Lecturas!$C:$C&gt;0),Lecturas!$C:$C)),"")</f>
        <v>19065</v>
      </c>
      <c r="P189" s="18">
        <f>IFERROR(_xlfn.MAXIFS(tblMantenciones[Fecha],tblMantenciones[Codigo],tblMaestroEquipos[[#This Row],[Codigo]],tblMantenciones[EsPM],"Sí"),"")</f>
        <v>46224</v>
      </c>
      <c r="Q189" s="70">
        <f>IF(_xlfn.MAXIFS(Mantenciones!$D:$D,Mantenciones!$B:$B,A189)=0,"Sin datos de mantención registrado",_xlfn.MAXIFS(Mantenciones!$D:$D,Mantenciones!$B:$B,A189))</f>
        <v>40195</v>
      </c>
      <c r="R189" s="16">
        <f>IFERROR(IF(_xlfn.MAXIFS(Mantenciones!$D:$D,Mantenciones!$B:$B,$A189,Mantenciones!$E:$E,"Sí",Mantenciones!$D:$D,"&gt;0")=0,"Sin datos de mantención registrado",_xlfn.MAXIFS(Mantenciones!$D:$D,Mantenciones!$B:$B,$A189,Mantenciones!$E:$E,"Sí",Mantenciones!$D:$D,"&gt;0")),"Sin datos de mantención registrado")</f>
        <v>40195</v>
      </c>
      <c r="S189" s="19">
        <f>IFERROR(SUMIFS(tblMantenciones[Costo Mantencion CLP],tblMantenciones[Codigo],A189),0)</f>
        <v>882968</v>
      </c>
      <c r="T189" s="19">
        <f>IFERROR(SUMIFS(tblComprasPM[Costo PM CLP],tblComprasPM[Codigo],tblMaestroEquipos[[#This Row],[Codigo]]),0)</f>
        <v>0</v>
      </c>
      <c r="U189" s="19">
        <f>IFERROR(tblMaestroEquipos[[#This Row],[Costo Mantenciones CLP]]+tblMaestroEquipos[[#This Row],[Costo Compras PM CLP]],0)</f>
        <v>882968</v>
      </c>
      <c r="V189" s="16" t="str">
        <f>IFERROR(_xlfn.XLOOKUP(tblMaestroEquipos[[#This Row],[Codigo]],tblEquipos[Codigo],tblEquipos[Estado Base]),"")</f>
        <v>Operativo</v>
      </c>
      <c r="W189" s="16" t="str">
        <f t="shared" si="16"/>
        <v>AL DÍA</v>
      </c>
      <c r="X189" s="16">
        <f t="shared" si="17"/>
        <v>36130</v>
      </c>
      <c r="Y189" s="23">
        <f>IFERROR(IF(OR(tblMaestroEquipos[[#This Row],[Estado Operacional]]="FUERA DE SERVICIO",tblMaestroEquipos[[#This Row],[Ultima Fecha Lectura]]="",tblMaestroEquipos[[#This Row],[Dias a Proxima Mantencion]]=""),"",tblMaestroEquipos[[#This Row],[Ultima Fecha Lectura]]+tblMaestroEquipos[[#This Row],[Dias a Proxima Mantencion]]),"")</f>
        <v>82263</v>
      </c>
      <c r="Z189" s="23" t="str">
        <f>IFERROR(IF(_xlfn.MINIFS(tblComprasPM[Fecha],tblComprasPM[Codigo],tblMaestroEquipos[[#This Row],[Codigo]])=0,"",_xlfn.MINIFS(tblComprasPM[Fecha],tblComprasPM[Codigo],tblMaestroEquipos[[#This Row],[Codigo]])),"")</f>
        <v/>
      </c>
      <c r="AA189" s="23" t="str">
        <f>IFERROR(IF(_xlfn.MAXIFS(tblBodega[Fecha],tblBodega[Codigo],tblMaestroEquipos[[#This Row],[Codigo]])=0,"",_xlfn.MAXIFS(tblBodega[Fecha],tblBodega[Codigo],tblMaestroEquipos[[#This Row],[Codigo]])),"")</f>
        <v/>
      </c>
      <c r="AB189"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89"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89" s="16" t="str">
        <f>IF(tblMaestroEquipos[[#This Row],[Fecha Salida Bodega]]="","SIN SALIDA BODEGA",IF(OR(tblMaestroEquipos[[#This Row],[Ultima Fecha PM]]="",tblMaestroEquipos[[#This Row],[Ultima Fecha PM]]&lt;tblMaestroEquipos[[#This Row],[Fecha Salida Bodega]]),"PENDIENTE","CERRADO"))</f>
        <v>SIN SALIDA BODEGA</v>
      </c>
      <c r="AE189" s="48" t="str">
        <f t="shared" si="18"/>
        <v>OPERATIVO</v>
      </c>
      <c r="AF189" s="16" t="str">
        <f t="shared" si="19"/>
        <v>BAJA</v>
      </c>
      <c r="AG189" s="16" t="str">
        <f t="shared" si="20"/>
        <v>Monitorear próximo vencimiento</v>
      </c>
      <c r="AH189">
        <f t="shared" si="21"/>
        <v>0</v>
      </c>
      <c r="AI189" t="str">
        <f t="shared" si="22"/>
        <v/>
      </c>
      <c r="AJ189" s="22">
        <f t="shared" si="23"/>
        <v>99</v>
      </c>
    </row>
    <row r="190" spans="1:36">
      <c r="A190" s="16" t="s">
        <v>553</v>
      </c>
      <c r="B190" s="16" t="s">
        <v>461</v>
      </c>
      <c r="C190" s="16" t="s">
        <v>1414</v>
      </c>
      <c r="D190" s="16" t="s">
        <v>98</v>
      </c>
      <c r="E190" s="17" t="s">
        <v>462</v>
      </c>
      <c r="F190" s="16">
        <v>2026</v>
      </c>
      <c r="G190" s="17" t="str">
        <f>IFERROR(_xlfn.XLOOKUP($A190,tblEquipos[Codigo],tblEquipos[Ubicacion],""),"")</f>
        <v>Cobquecura</v>
      </c>
      <c r="H190" s="16"/>
      <c r="I190" s="16" t="str">
        <f>IFERROR(VLOOKUP(A190, Equipos!A:J, 9, FALSE), "")</f>
        <v>KM</v>
      </c>
      <c r="J190" s="16">
        <f>IFERROR(VLOOKUP(A190, Equipos!A:J, 10, FALSE), "")</f>
        <v>15000</v>
      </c>
      <c r="K190" s="16">
        <f>IFERROR(IF($I190="KM",ROUND((_xlfn.MAXIFS(tblLecturas[Kilometraje],tblLecturas[Codigo],$A190)-_xlfn.MINIFS(tblLecturas[Kilometraje],tblLecturas[Codigo],$A190))/(MAX(1,_xlfn.MAXIFS(tblLecturas[Fecha],tblLecturas[Codigo],$A190)-_xlfn.MINIFS(tblLecturas[Fecha],tblLecturas[Codigo],$A190))),1),ROUND((_xlfn.MAXIFS(tblLecturas[Horometro],tblLecturas[Codigo],$A190)-_xlfn.MINIFS(tblLecturas[Horometro],tblLecturas[Codigo],$A190))/(MAX(1,_xlfn.MAXIFS(tblLecturas[Fecha],tblLecturas[Codigo],$A190)-_xlfn.MINIFS(tblLecturas[Fecha],tblLecturas[Codigo],$A190))),1)),"")</f>
        <v>2.7</v>
      </c>
      <c r="L190" s="18">
        <f>IFERROR(_xlfn.MAXIFS(tblLecturas[Fecha],tblLecturas[Codigo],$A190),"")</f>
        <v>46101</v>
      </c>
      <c r="M190" s="24">
        <f>IFERROR(_xlfn.MAXIFS(Lecturas!$C:$C,Lecturas!$B:$B,$A190,Lecturas!$C:$C,"&gt;0"),"")</f>
        <v>0</v>
      </c>
      <c r="N190" s="24">
        <f>IFERROR(_xlfn.MAXIFS(tblLecturas[Kilometraje],tblLecturas[Codigo],$A190,tblLecturas[Kilometraje],"&gt;0"),"")</f>
        <v>23789</v>
      </c>
      <c r="O190" s="24" cm="1">
        <f t="array" ref="O190">IFERROR(IF($I190="KM",LOOKUP(2,1/(Lecturas!$B:$B=$A190)/(Lecturas!$D:$D&gt;0),Lecturas!$D:$D),LOOKUP(2,1/(Lecturas!$B:$B=$A190)/(Lecturas!$C:$C&gt;0),Lecturas!$C:$C)),"")</f>
        <v>23669</v>
      </c>
      <c r="P190" s="18">
        <f>IFERROR(_xlfn.MAXIFS(tblMantenciones[Fecha],tblMantenciones[Codigo],tblMaestroEquipos[[#This Row],[Codigo]],tblMantenciones[EsPM],"Sí"),"")</f>
        <v>46050</v>
      </c>
      <c r="Q190" s="70">
        <f>IF(_xlfn.MAXIFS(Mantenciones!$D:$D,Mantenciones!$B:$B,A190)=0,"Sin datos de mantención registrado",_xlfn.MAXIFS(Mantenciones!$D:$D,Mantenciones!$B:$B,A190))</f>
        <v>12362</v>
      </c>
      <c r="R190" s="16">
        <f>IFERROR(IF(_xlfn.MAXIFS(Mantenciones!$D:$D,Mantenciones!$B:$B,$A190,Mantenciones!$E:$E,"Sí",Mantenciones!$D:$D,"&gt;0")=0,"Sin datos de mantención registrado",_xlfn.MAXIFS(Mantenciones!$D:$D,Mantenciones!$B:$B,$A190,Mantenciones!$E:$E,"Sí",Mantenciones!$D:$D,"&gt;0")),"Sin datos de mantención registrado")</f>
        <v>12362</v>
      </c>
      <c r="S190" s="19">
        <f>IFERROR(SUMIFS(tblMantenciones[Costo Mantencion CLP],tblMantenciones[Codigo],A190),0)</f>
        <v>263017</v>
      </c>
      <c r="T190" s="19">
        <f>IFERROR(SUMIFS(tblComprasPM[Costo PM CLP],tblComprasPM[Codigo],tblMaestroEquipos[[#This Row],[Codigo]]),0)</f>
        <v>0</v>
      </c>
      <c r="U190" s="19">
        <f>IFERROR(tblMaestroEquipos[[#This Row],[Costo Mantenciones CLP]]+tblMaestroEquipos[[#This Row],[Costo Compras PM CLP]],0)</f>
        <v>263017</v>
      </c>
      <c r="V190" s="16" t="str">
        <f>IFERROR(_xlfn.XLOOKUP(tblMaestroEquipos[[#This Row],[Codigo]],tblEquipos[Codigo],tblEquipos[Estado Base]),"")</f>
        <v>Operativo</v>
      </c>
      <c r="W190" s="16" t="str">
        <f t="shared" si="16"/>
        <v>AL DÍA</v>
      </c>
      <c r="X190" s="16">
        <f t="shared" si="17"/>
        <v>3693</v>
      </c>
      <c r="Y190" s="23">
        <f>IFERROR(IF(OR(tblMaestroEquipos[[#This Row],[Estado Operacional]]="FUERA DE SERVICIO",tblMaestroEquipos[[#This Row],[Ultima Fecha Lectura]]="",tblMaestroEquipos[[#This Row],[Dias a Proxima Mantencion]]=""),"",tblMaestroEquipos[[#This Row],[Ultima Fecha Lectura]]+tblMaestroEquipos[[#This Row],[Dias a Proxima Mantencion]]),"")</f>
        <v>49794</v>
      </c>
      <c r="Z190" s="23" t="str">
        <f>IFERROR(IF(_xlfn.MINIFS(tblComprasPM[Fecha],tblComprasPM[Codigo],tblMaestroEquipos[[#This Row],[Codigo]])=0,"",_xlfn.MINIFS(tblComprasPM[Fecha],tblComprasPM[Codigo],tblMaestroEquipos[[#This Row],[Codigo]])),"")</f>
        <v/>
      </c>
      <c r="AA190" s="23" t="str">
        <f>IFERROR(IF(_xlfn.MAXIFS(tblBodega[Fecha],tblBodega[Codigo],tblMaestroEquipos[[#This Row],[Codigo]])=0,"",_xlfn.MAXIFS(tblBodega[Fecha],tblBodega[Codigo],tblMaestroEquipos[[#This Row],[Codigo]])),"")</f>
        <v/>
      </c>
      <c r="AB190"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90"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90" s="16" t="str">
        <f>IF(tblMaestroEquipos[[#This Row],[Fecha Salida Bodega]]="","SIN SALIDA BODEGA",IF(OR(tblMaestroEquipos[[#This Row],[Ultima Fecha PM]]="",tblMaestroEquipos[[#This Row],[Ultima Fecha PM]]&lt;tblMaestroEquipos[[#This Row],[Fecha Salida Bodega]]),"PENDIENTE","CERRADO"))</f>
        <v>SIN SALIDA BODEGA</v>
      </c>
      <c r="AE190" s="48" t="str">
        <f t="shared" si="18"/>
        <v>OPERATIVO</v>
      </c>
      <c r="AF190" s="16" t="str">
        <f t="shared" si="19"/>
        <v>BAJA</v>
      </c>
      <c r="AG190" s="16" t="str">
        <f t="shared" si="20"/>
        <v>Monitorear próximo vencimiento</v>
      </c>
      <c r="AH190">
        <f t="shared" si="21"/>
        <v>0</v>
      </c>
      <c r="AI190" t="str">
        <f t="shared" si="22"/>
        <v/>
      </c>
      <c r="AJ190" s="22">
        <f t="shared" si="23"/>
        <v>99</v>
      </c>
    </row>
    <row r="191" spans="1:36" s="25" customFormat="1">
      <c r="A191" s="16" t="s">
        <v>554</v>
      </c>
      <c r="B191" s="16" t="s">
        <v>461</v>
      </c>
      <c r="C191" s="16" t="s">
        <v>1414</v>
      </c>
      <c r="D191" s="16" t="s">
        <v>98</v>
      </c>
      <c r="E191" s="17" t="s">
        <v>462</v>
      </c>
      <c r="F191" s="16">
        <v>2026</v>
      </c>
      <c r="G191" s="17" t="str">
        <f>IFERROR(_xlfn.XLOOKUP($A191,tblEquipos[Codigo],tblEquipos[Ubicacion],""),"")</f>
        <v>Palmucho</v>
      </c>
      <c r="H191" s="16"/>
      <c r="I191" s="16" t="str">
        <f>IFERROR(VLOOKUP(A191, Equipos!A:J, 9, FALSE), "")</f>
        <v>KM</v>
      </c>
      <c r="J191" s="16">
        <f>IFERROR(VLOOKUP(A191, Equipos!A:J, 10, FALSE), "")</f>
        <v>15000</v>
      </c>
      <c r="K191" s="16">
        <f>IFERROR(IF($I191="KM",ROUND((_xlfn.MAXIFS(tblLecturas[Kilometraje],tblLecturas[Codigo],$A191)-_xlfn.MINIFS(tblLecturas[Kilometraje],tblLecturas[Codigo],$A191))/(MAX(1,_xlfn.MAXIFS(tblLecturas[Fecha],tblLecturas[Codigo],$A191)-_xlfn.MINIFS(tblLecturas[Fecha],tblLecturas[Codigo],$A191))),1),ROUND((_xlfn.MAXIFS(tblLecturas[Horometro],tblLecturas[Codigo],$A191)-_xlfn.MINIFS(tblLecturas[Horometro],tblLecturas[Codigo],$A191))/(MAX(1,_xlfn.MAXIFS(tblLecturas[Fecha],tblLecturas[Codigo],$A191)-_xlfn.MINIFS(tblLecturas[Fecha],tblLecturas[Codigo],$A191))),1)),"")</f>
        <v>164.1</v>
      </c>
      <c r="L191" s="18">
        <f>IFERROR(_xlfn.MAXIFS(tblLecturas[Fecha],tblLecturas[Codigo],$A191),"")</f>
        <v>46196</v>
      </c>
      <c r="M191" s="24">
        <f>IFERROR(_xlfn.MAXIFS(Lecturas!$C:$C,Lecturas!$B:$B,$A191,Lecturas!$C:$C,"&gt;0"),"")</f>
        <v>0</v>
      </c>
      <c r="N191" s="24">
        <f>IFERROR(_xlfn.MAXIFS(tblLecturas[Kilometraje],tblLecturas[Codigo],$A191,tblLecturas[Kilometraje],"&gt;0"),"")</f>
        <v>32667</v>
      </c>
      <c r="O191" s="24" cm="1">
        <f t="array" ref="O191">IFERROR(IF($I191="KM",LOOKUP(2,1/(Lecturas!$B:$B=$A191)/(Lecturas!$D:$D&gt;0),Lecturas!$D:$D),LOOKUP(2,1/(Lecturas!$B:$B=$A191)/(Lecturas!$C:$C&gt;0),Lecturas!$C:$C)),"")</f>
        <v>30138</v>
      </c>
      <c r="P191" s="18">
        <f>IFERROR(_xlfn.MAXIFS(tblMantenciones[Fecha],tblMantenciones[Codigo],tblMaestroEquipos[[#This Row],[Codigo]],tblMantenciones[EsPM],"Sí"),"")</f>
        <v>46177</v>
      </c>
      <c r="Q191" s="70">
        <f>IF(_xlfn.MAXIFS(Mantenciones!$D:$D,Mantenciones!$B:$B,A191)=0,"Sin datos de mantención registrado",_xlfn.MAXIFS(Mantenciones!$D:$D,Mantenciones!$B:$B,A191))</f>
        <v>31381</v>
      </c>
      <c r="R191" s="16">
        <f>IFERROR(IF(_xlfn.MAXIFS(Mantenciones!$D:$D,Mantenciones!$B:$B,$A191,Mantenciones!$E:$E,"Sí",Mantenciones!$D:$D,"&gt;0")=0,"Sin datos de mantención registrado",_xlfn.MAXIFS(Mantenciones!$D:$D,Mantenciones!$B:$B,$A191,Mantenciones!$E:$E,"Sí",Mantenciones!$D:$D,"&gt;0")),"Sin datos de mantención registrado")</f>
        <v>31381</v>
      </c>
      <c r="S191" s="19">
        <f>IFERROR(SUMIFS(tblMantenciones[Costo Mantencion CLP],tblMantenciones[Codigo],A191),0)</f>
        <v>850854</v>
      </c>
      <c r="T191" s="19">
        <f>IFERROR(SUMIFS(tblComprasPM[Costo PM CLP],tblComprasPM[Codigo],tblMaestroEquipos[[#This Row],[Codigo]]),0)</f>
        <v>300335.77</v>
      </c>
      <c r="U191" s="19">
        <f>IFERROR(tblMaestroEquipos[[#This Row],[Costo Mantenciones CLP]]+tblMaestroEquipos[[#This Row],[Costo Compras PM CLP]],0)</f>
        <v>1151189.77</v>
      </c>
      <c r="V191" s="16" t="str">
        <f>IFERROR(_xlfn.XLOOKUP(tblMaestroEquipos[[#This Row],[Codigo]],tblEquipos[Codigo],tblEquipos[Estado Base]),"")</f>
        <v>Operativo</v>
      </c>
      <c r="W191" s="16" t="str">
        <f t="shared" si="16"/>
        <v>EN PROCESO</v>
      </c>
      <c r="X191" s="16">
        <f t="shared" si="17"/>
        <v>16243</v>
      </c>
      <c r="Y191" s="23">
        <f>IFERROR(IF(OR(tblMaestroEquipos[[#This Row],[Estado Operacional]]="FUERA DE SERVICIO",tblMaestroEquipos[[#This Row],[Ultima Fecha Lectura]]="",tblMaestroEquipos[[#This Row],[Dias a Proxima Mantencion]]=""),"",tblMaestroEquipos[[#This Row],[Ultima Fecha Lectura]]+tblMaestroEquipos[[#This Row],[Dias a Proxima Mantencion]]),"")</f>
        <v>62439</v>
      </c>
      <c r="Z191" s="23">
        <f>IFERROR(IF(_xlfn.MINIFS(tblComprasPM[Fecha],tblComprasPM[Codigo],tblMaestroEquipos[[#This Row],[Codigo]])=0,"",_xlfn.MINIFS(tblComprasPM[Fecha],tblComprasPM[Codigo],tblMaestroEquipos[[#This Row],[Codigo]])),"")</f>
        <v>46086.516942939801</v>
      </c>
      <c r="AA191" s="23" t="str">
        <f>IFERROR(IF(_xlfn.MAXIFS(tblBodega[Fecha],tblBodega[Codigo],tblMaestroEquipos[[#This Row],[Codigo]])=0,"",_xlfn.MAXIFS(tblBodega[Fecha],tblBodega[Codigo],tblMaestroEquipos[[#This Row],[Codigo]])),"")</f>
        <v/>
      </c>
      <c r="AB19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91</v>
      </c>
      <c r="AC191"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91" s="16" t="str">
        <f>IF(tblMaestroEquipos[[#This Row],[Fecha Salida Bodega]]="","SIN SALIDA BODEGA",IF(OR(tblMaestroEquipos[[#This Row],[Ultima Fecha PM]]="",tblMaestroEquipos[[#This Row],[Ultima Fecha PM]]&lt;tblMaestroEquipos[[#This Row],[Fecha Salida Bodega]]),"PENDIENTE","CERRADO"))</f>
        <v>SIN SALIDA BODEGA</v>
      </c>
      <c r="AE191" s="48" t="str">
        <f t="shared" si="18"/>
        <v>EN PROCESO</v>
      </c>
      <c r="AF191" s="16" t="str">
        <f t="shared" si="19"/>
        <v>SEGUIMIENTO</v>
      </c>
      <c r="AG191" s="16" t="str">
        <f t="shared" si="20"/>
        <v>Hacer seguimiento al taller y cerrar report</v>
      </c>
      <c r="AH191">
        <f t="shared" si="21"/>
        <v>0</v>
      </c>
      <c r="AI191" t="str">
        <f t="shared" si="22"/>
        <v/>
      </c>
      <c r="AJ191" s="22">
        <f t="shared" si="23"/>
        <v>2</v>
      </c>
    </row>
    <row r="192" spans="1:36" s="25" customFormat="1">
      <c r="A192" s="16" t="s">
        <v>556</v>
      </c>
      <c r="B192" s="16" t="s">
        <v>461</v>
      </c>
      <c r="C192" s="16" t="s">
        <v>1414</v>
      </c>
      <c r="D192" s="16" t="s">
        <v>98</v>
      </c>
      <c r="E192" s="17" t="s">
        <v>462</v>
      </c>
      <c r="F192" s="16">
        <v>2026</v>
      </c>
      <c r="G192" s="17" t="str">
        <f>IFERROR(_xlfn.XLOOKUP($A192,tblEquipos[Codigo],tblEquipos[Ubicacion],""),"")</f>
        <v>San Nicolas</v>
      </c>
      <c r="H192" s="16"/>
      <c r="I192" s="16" t="str">
        <f>IFERROR(VLOOKUP(A192, Equipos!A:J, 9, FALSE), "")</f>
        <v>KM</v>
      </c>
      <c r="J192" s="16">
        <f>IFERROR(VLOOKUP(A192, Equipos!A:J, 10, FALSE), "")</f>
        <v>15000</v>
      </c>
      <c r="K192" s="16">
        <f>IFERROR(IF($I192="KM",ROUND((_xlfn.MAXIFS(tblLecturas[Kilometraje],tblLecturas[Codigo],$A192)-_xlfn.MINIFS(tblLecturas[Kilometraje],tblLecturas[Codigo],$A192))/(MAX(1,_xlfn.MAXIFS(tblLecturas[Fecha],tblLecturas[Codigo],$A192)-_xlfn.MINIFS(tblLecturas[Fecha],tblLecturas[Codigo],$A192))),1),ROUND((_xlfn.MAXIFS(tblLecturas[Horometro],tblLecturas[Codigo],$A192)-_xlfn.MINIFS(tblLecturas[Horometro],tblLecturas[Codigo],$A192))/(MAX(1,_xlfn.MAXIFS(tblLecturas[Fecha],tblLecturas[Codigo],$A192)-_xlfn.MINIFS(tblLecturas[Fecha],tblLecturas[Codigo],$A192))),1)),"")</f>
        <v>138.19999999999999</v>
      </c>
      <c r="L192" s="18">
        <f>IFERROR(_xlfn.MAXIFS(tblLecturas[Fecha],tblLecturas[Codigo],$A192),"")</f>
        <v>46178</v>
      </c>
      <c r="M192" s="24">
        <f>IFERROR(_xlfn.MAXIFS(Lecturas!$C:$C,Lecturas!$B:$B,$A192,Lecturas!$C:$C,"&gt;0"),"")</f>
        <v>0</v>
      </c>
      <c r="N192" s="24">
        <f>IFERROR(_xlfn.MAXIFS(tblLecturas[Kilometraje],tblLecturas[Codigo],$A192,tblLecturas[Kilometraje],"&gt;0"),"")</f>
        <v>32437</v>
      </c>
      <c r="O192" s="24" cm="1">
        <f t="array" ref="O192">IFERROR(IF($I192="KM",LOOKUP(2,1/(Lecturas!$B:$B=$A192)/(Lecturas!$D:$D&gt;0),Lecturas!$D:$D),LOOKUP(2,1/(Lecturas!$B:$B=$A192)/(Lecturas!$C:$C&gt;0),Lecturas!$C:$C)),"")</f>
        <v>32437</v>
      </c>
      <c r="P192" s="18">
        <f>IFERROR(_xlfn.MAXIFS(tblMantenciones[Fecha],tblMantenciones[Codigo],tblMaestroEquipos[[#This Row],[Codigo]],tblMantenciones[EsPM],"Sí"),"")</f>
        <v>46181</v>
      </c>
      <c r="Q192" s="70">
        <f>IF(_xlfn.MAXIFS(Mantenciones!$D:$D,Mantenciones!$B:$B,A192)=0,"Sin datos de mantención registrado",_xlfn.MAXIFS(Mantenciones!$D:$D,Mantenciones!$B:$B,A192))</f>
        <v>33065</v>
      </c>
      <c r="R192" s="16">
        <f>IFERROR(IF(_xlfn.MAXIFS(Mantenciones!$D:$D,Mantenciones!$B:$B,$A192,Mantenciones!$E:$E,"Sí",Mantenciones!$D:$D,"&gt;0")=0,"Sin datos de mantención registrado",_xlfn.MAXIFS(Mantenciones!$D:$D,Mantenciones!$B:$B,$A192,Mantenciones!$E:$E,"Sí",Mantenciones!$D:$D,"&gt;0")),"Sin datos de mantención registrado")</f>
        <v>33065</v>
      </c>
      <c r="S192" s="19">
        <f>IFERROR(SUMIFS(tblMantenciones[Costo Mantencion CLP],tblMantenciones[Codigo],A192),0)</f>
        <v>585049</v>
      </c>
      <c r="T192" s="19">
        <f>IFERROR(SUMIFS(tblComprasPM[Costo PM CLP],tblComprasPM[Codigo],tblMaestroEquipos[[#This Row],[Codigo]]),0)</f>
        <v>209386.45</v>
      </c>
      <c r="U192" s="19">
        <f>IFERROR(tblMaestroEquipos[[#This Row],[Costo Mantenciones CLP]]+tblMaestroEquipos[[#This Row],[Costo Compras PM CLP]],0)</f>
        <v>794435.45</v>
      </c>
      <c r="V192" s="16" t="str">
        <f>IFERROR(_xlfn.XLOOKUP(tblMaestroEquipos[[#This Row],[Codigo]],tblEquipos[Codigo],tblEquipos[Estado Base]),"")</f>
        <v>Operativo</v>
      </c>
      <c r="W192" s="16" t="str">
        <f t="shared" si="16"/>
        <v>EN PROCESO</v>
      </c>
      <c r="X192" s="16">
        <f t="shared" si="17"/>
        <v>15628</v>
      </c>
      <c r="Y192" s="23">
        <f>IFERROR(IF(OR(tblMaestroEquipos[[#This Row],[Estado Operacional]]="FUERA DE SERVICIO",tblMaestroEquipos[[#This Row],[Ultima Fecha Lectura]]="",tblMaestroEquipos[[#This Row],[Dias a Proxima Mantencion]]=""),"",tblMaestroEquipos[[#This Row],[Ultima Fecha Lectura]]+tblMaestroEquipos[[#This Row],[Dias a Proxima Mantencion]]),"")</f>
        <v>61806</v>
      </c>
      <c r="Z192" s="23">
        <f>IFERROR(IF(_xlfn.MINIFS(tblComprasPM[Fecha],tblComprasPM[Codigo],tblMaestroEquipos[[#This Row],[Codigo]])=0,"",_xlfn.MINIFS(tblComprasPM[Fecha],tblComprasPM[Codigo],tblMaestroEquipos[[#This Row],[Codigo]])),"")</f>
        <v>46111</v>
      </c>
      <c r="AA192" s="23" t="str">
        <f>IFERROR(IF(_xlfn.MAXIFS(tblBodega[Fecha],tblBodega[Codigo],tblMaestroEquipos[[#This Row],[Codigo]])=0,"",_xlfn.MAXIFS(tblBodega[Fecha],tblBodega[Codigo],tblMaestroEquipos[[#This Row],[Codigo]])),"")</f>
        <v/>
      </c>
      <c r="AB192"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70</v>
      </c>
      <c r="AC19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92" s="16" t="str">
        <f>IF(tblMaestroEquipos[[#This Row],[Fecha Salida Bodega]]="","SIN SALIDA BODEGA",IF(OR(tblMaestroEquipos[[#This Row],[Ultima Fecha PM]]="",tblMaestroEquipos[[#This Row],[Ultima Fecha PM]]&lt;tblMaestroEquipos[[#This Row],[Fecha Salida Bodega]]),"PENDIENTE","CERRADO"))</f>
        <v>SIN SALIDA BODEGA</v>
      </c>
      <c r="AE192" s="48" t="str">
        <f t="shared" si="18"/>
        <v>EN PROCESO</v>
      </c>
      <c r="AF192" s="16" t="str">
        <f t="shared" si="19"/>
        <v>SEGUIMIENTO</v>
      </c>
      <c r="AG192" s="16" t="str">
        <f t="shared" si="20"/>
        <v>Hacer seguimiento al taller y cerrar report</v>
      </c>
      <c r="AH192">
        <f t="shared" si="21"/>
        <v>0</v>
      </c>
      <c r="AI192" t="str">
        <f t="shared" si="22"/>
        <v/>
      </c>
      <c r="AJ192" s="22">
        <f t="shared" si="23"/>
        <v>2</v>
      </c>
    </row>
    <row r="193" spans="1:36" s="25" customFormat="1">
      <c r="A193" s="16" t="s">
        <v>557</v>
      </c>
      <c r="B193" s="16" t="s">
        <v>461</v>
      </c>
      <c r="C193" s="16" t="s">
        <v>1414</v>
      </c>
      <c r="D193" s="16" t="s">
        <v>98</v>
      </c>
      <c r="E193" s="17" t="s">
        <v>462</v>
      </c>
      <c r="F193" s="16">
        <v>2026</v>
      </c>
      <c r="G193" s="17" t="str">
        <f>IFERROR(_xlfn.XLOOKUP($A193,tblEquipos[Codigo],tblEquipos[Ubicacion],""),"")</f>
        <v>Emergencias Curico</v>
      </c>
      <c r="H193" s="16"/>
      <c r="I193" s="16" t="str">
        <f>IFERROR(VLOOKUP(A193, Equipos!A:J, 9, FALSE), "")</f>
        <v>KM</v>
      </c>
      <c r="J193" s="16">
        <f>IFERROR(VLOOKUP(A193, Equipos!A:J, 10, FALSE), "")</f>
        <v>15000</v>
      </c>
      <c r="K193" s="16">
        <f>IFERROR(IF($I193="KM",ROUND((_xlfn.MAXIFS(tblLecturas[Kilometraje],tblLecturas[Codigo],$A193)-_xlfn.MINIFS(tblLecturas[Kilometraje],tblLecturas[Codigo],$A193))/(MAX(1,_xlfn.MAXIFS(tblLecturas[Fecha],tblLecturas[Codigo],$A193)-_xlfn.MINIFS(tblLecturas[Fecha],tblLecturas[Codigo],$A193))),1),ROUND((_xlfn.MAXIFS(tblLecturas[Horometro],tblLecturas[Codigo],$A193)-_xlfn.MINIFS(tblLecturas[Horometro],tblLecturas[Codigo],$A193))/(MAX(1,_xlfn.MAXIFS(tblLecturas[Fecha],tblLecturas[Codigo],$A193)-_xlfn.MINIFS(tblLecturas[Fecha],tblLecturas[Codigo],$A193))),1)),"")</f>
        <v>165.8</v>
      </c>
      <c r="L193" s="18">
        <f>IFERROR(_xlfn.MAXIFS(tblLecturas[Fecha],tblLecturas[Codigo],$A193),"")</f>
        <v>46133</v>
      </c>
      <c r="M193" s="24">
        <f>IFERROR(_xlfn.MAXIFS(Lecturas!$C:$C,Lecturas!$B:$B,$A193,Lecturas!$C:$C,"&gt;0"),"")</f>
        <v>0</v>
      </c>
      <c r="N193" s="24">
        <f>IFERROR(_xlfn.MAXIFS(tblLecturas[Kilometraje],tblLecturas[Codigo],$A193,tblLecturas[Kilometraje],"&gt;0"),"")</f>
        <v>28123</v>
      </c>
      <c r="O193" s="24" cm="1">
        <f t="array" ref="O193">IFERROR(IF($I193="KM",LOOKUP(2,1/(Lecturas!$B:$B=$A193)/(Lecturas!$D:$D&gt;0),Lecturas!$D:$D),LOOKUP(2,1/(Lecturas!$B:$B=$A193)/(Lecturas!$C:$C&gt;0),Lecturas!$C:$C)),"")</f>
        <v>23813</v>
      </c>
      <c r="P193" s="18">
        <f>IFERROR(_xlfn.MAXIFS(tblMantenciones[Fecha],tblMantenciones[Codigo],tblMaestroEquipos[[#This Row],[Codigo]],tblMantenciones[EsPM],"Sí"),"")</f>
        <v>46199</v>
      </c>
      <c r="Q193" s="70">
        <f>IF(_xlfn.MAXIFS(Mantenciones!$D:$D,Mantenciones!$B:$B,A193)=0,"Sin datos de mantención registrado",_xlfn.MAXIFS(Mantenciones!$D:$D,Mantenciones!$B:$B,A193))</f>
        <v>38968</v>
      </c>
      <c r="R193" s="16">
        <f>IFERROR(IF(_xlfn.MAXIFS(Mantenciones!$D:$D,Mantenciones!$B:$B,$A193,Mantenciones!$E:$E,"Sí",Mantenciones!$D:$D,"&gt;0")=0,"Sin datos de mantención registrado",_xlfn.MAXIFS(Mantenciones!$D:$D,Mantenciones!$B:$B,$A193,Mantenciones!$E:$E,"Sí",Mantenciones!$D:$D,"&gt;0")),"Sin datos de mantención registrado")</f>
        <v>38968</v>
      </c>
      <c r="S193" s="19">
        <f>IFERROR(SUMIFS(tblMantenciones[Costo Mantencion CLP],tblMantenciones[Codigo],A193),0)</f>
        <v>662938</v>
      </c>
      <c r="T193" s="19">
        <f>IFERROR(SUMIFS(tblComprasPM[Costo PM CLP],tblComprasPM[Codigo],tblMaestroEquipos[[#This Row],[Codigo]]),0)</f>
        <v>859210.94</v>
      </c>
      <c r="U193" s="19">
        <f>IFERROR(tblMaestroEquipos[[#This Row],[Costo Mantenciones CLP]]+tblMaestroEquipos[[#This Row],[Costo Compras PM CLP]],0)</f>
        <v>1522148.94</v>
      </c>
      <c r="V193" s="16" t="str">
        <f>IFERROR(_xlfn.XLOOKUP(tblMaestroEquipos[[#This Row],[Codigo]],tblEquipos[Codigo],tblEquipos[Estado Base]),"")</f>
        <v>Operativo</v>
      </c>
      <c r="W193" s="16" t="str">
        <f t="shared" si="16"/>
        <v>EN PROCESO</v>
      </c>
      <c r="X193" s="16">
        <f t="shared" si="17"/>
        <v>30155</v>
      </c>
      <c r="Y193" s="23">
        <f>IFERROR(IF(OR(tblMaestroEquipos[[#This Row],[Estado Operacional]]="FUERA DE SERVICIO",tblMaestroEquipos[[#This Row],[Ultima Fecha Lectura]]="",tblMaestroEquipos[[#This Row],[Dias a Proxima Mantencion]]=""),"",tblMaestroEquipos[[#This Row],[Ultima Fecha Lectura]]+tblMaestroEquipos[[#This Row],[Dias a Proxima Mantencion]]),"")</f>
        <v>76288</v>
      </c>
      <c r="Z193" s="23">
        <f>IFERROR(IF(_xlfn.MINIFS(tblComprasPM[Fecha],tblComprasPM[Codigo],tblMaestroEquipos[[#This Row],[Codigo]])=0,"",_xlfn.MINIFS(tblComprasPM[Fecha],tblComprasPM[Codigo],tblMaestroEquipos[[#This Row],[Codigo]])),"")</f>
        <v>46100</v>
      </c>
      <c r="AA193" s="23" t="str">
        <f>IFERROR(IF(_xlfn.MAXIFS(tblBodega[Fecha],tblBodega[Codigo],tblMaestroEquipos[[#This Row],[Codigo]])=0,"",_xlfn.MAXIFS(tblBodega[Fecha],tblBodega[Codigo],tblMaestroEquipos[[#This Row],[Codigo]])),"")</f>
        <v/>
      </c>
      <c r="AB193"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99</v>
      </c>
      <c r="AC193"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93" s="16" t="str">
        <f>IF(tblMaestroEquipos[[#This Row],[Fecha Salida Bodega]]="","SIN SALIDA BODEGA",IF(OR(tblMaestroEquipos[[#This Row],[Ultima Fecha PM]]="",tblMaestroEquipos[[#This Row],[Ultima Fecha PM]]&lt;tblMaestroEquipos[[#This Row],[Fecha Salida Bodega]]),"PENDIENTE","CERRADO"))</f>
        <v>SIN SALIDA BODEGA</v>
      </c>
      <c r="AE193" s="48" t="str">
        <f t="shared" si="18"/>
        <v>EN PROCESO</v>
      </c>
      <c r="AF193" s="16" t="str">
        <f t="shared" si="19"/>
        <v>SEGUIMIENTO</v>
      </c>
      <c r="AG193" s="16" t="str">
        <f t="shared" si="20"/>
        <v>Hacer seguimiento al taller y cerrar report</v>
      </c>
      <c r="AH193">
        <f t="shared" si="21"/>
        <v>0</v>
      </c>
      <c r="AI193" t="str">
        <f t="shared" si="22"/>
        <v/>
      </c>
      <c r="AJ193" s="22">
        <f t="shared" si="23"/>
        <v>2</v>
      </c>
    </row>
    <row r="194" spans="1:36">
      <c r="A194" s="16" t="s">
        <v>559</v>
      </c>
      <c r="B194" s="16" t="s">
        <v>461</v>
      </c>
      <c r="C194" s="16" t="s">
        <v>1414</v>
      </c>
      <c r="D194" s="16" t="s">
        <v>98</v>
      </c>
      <c r="E194" s="17" t="s">
        <v>1424</v>
      </c>
      <c r="F194" s="16">
        <v>2026</v>
      </c>
      <c r="G194" s="17" t="str">
        <f>IFERROR(_xlfn.XLOOKUP($A194,tblEquipos[Codigo],tblEquipos[Ubicacion],""),"")</f>
        <v>Oficina</v>
      </c>
      <c r="H194" s="16"/>
      <c r="I194" s="16" t="str">
        <f>IFERROR(VLOOKUP(A194, Equipos!A:J, 9, FALSE), "")</f>
        <v>KM</v>
      </c>
      <c r="J194" s="16">
        <f>IFERROR(VLOOKUP(A194, Equipos!A:J, 10, FALSE), "")</f>
        <v>15000</v>
      </c>
      <c r="K194" s="16">
        <f>IFERROR(IF($I194="KM",ROUND((_xlfn.MAXIFS(tblLecturas[Kilometraje],tblLecturas[Codigo],$A194)-_xlfn.MINIFS(tblLecturas[Kilometraje],tblLecturas[Codigo],$A194))/(MAX(1,_xlfn.MAXIFS(tblLecturas[Fecha],tblLecturas[Codigo],$A194)-_xlfn.MINIFS(tblLecturas[Fecha],tblLecturas[Codigo],$A194))),1),ROUND((_xlfn.MAXIFS(tblLecturas[Horometro],tblLecturas[Codigo],$A194)-_xlfn.MINIFS(tblLecturas[Horometro],tblLecturas[Codigo],$A194))/(MAX(1,_xlfn.MAXIFS(tblLecturas[Fecha],tblLecturas[Codigo],$A194)-_xlfn.MINIFS(tblLecturas[Fecha],tblLecturas[Codigo],$A194))),1)),"")</f>
        <v>0</v>
      </c>
      <c r="L194" s="18">
        <f>IFERROR(_xlfn.MAXIFS(tblLecturas[Fecha],tblLecturas[Codigo],$A194),"")</f>
        <v>0</v>
      </c>
      <c r="M194" s="24">
        <f>IFERROR(_xlfn.MAXIFS(Lecturas!$C:$C,Lecturas!$B:$B,$A194,Lecturas!$C:$C,"&gt;0"),"")</f>
        <v>0</v>
      </c>
      <c r="N194" s="24">
        <f>IFERROR(_xlfn.MAXIFS(tblLecturas[Kilometraje],tblLecturas[Codigo],$A194,tblLecturas[Kilometraje],"&gt;0"),"")</f>
        <v>0</v>
      </c>
      <c r="O194" s="24" t="str" cm="1">
        <f t="array" ref="O194">IFERROR(IF($I194="KM",LOOKUP(2,1/(Lecturas!$B:$B=$A194)/(Lecturas!$D:$D&gt;0),Lecturas!$D:$D),LOOKUP(2,1/(Lecturas!$B:$B=$A194)/(Lecturas!$C:$C&gt;0),Lecturas!$C:$C)),"")</f>
        <v/>
      </c>
      <c r="P194" s="18">
        <f>IFERROR(_xlfn.MAXIFS(tblMantenciones[Fecha],tblMantenciones[Codigo],tblMaestroEquipos[[#This Row],[Codigo]],tblMantenciones[EsPM],"Sí"),"")</f>
        <v>0</v>
      </c>
      <c r="Q194" s="70" t="str">
        <f>IF(_xlfn.MAXIFS(Mantenciones!$D:$D,Mantenciones!$B:$B,A194)=0,"Sin datos de mantención registrado",_xlfn.MAXIFS(Mantenciones!$D:$D,Mantenciones!$B:$B,A194))</f>
        <v>Sin datos de mantención registrado</v>
      </c>
      <c r="R194" s="16" t="str">
        <f>IFERROR(IF(_xlfn.MAXIFS(Mantenciones!$D:$D,Mantenciones!$B:$B,$A194,Mantenciones!$E:$E,"Sí",Mantenciones!$D:$D,"&gt;0")=0,"Sin datos de mantención registrado",_xlfn.MAXIFS(Mantenciones!$D:$D,Mantenciones!$B:$B,$A194,Mantenciones!$E:$E,"Sí",Mantenciones!$D:$D,"&gt;0")),"Sin datos de mantención registrado")</f>
        <v>Sin datos de mantención registrado</v>
      </c>
      <c r="S194" s="19">
        <f>IFERROR(SUMIFS(tblMantenciones[Costo Mantencion CLP],tblMantenciones[Codigo],A194),0)</f>
        <v>0</v>
      </c>
      <c r="T194" s="19">
        <f>IFERROR(SUMIFS(tblComprasPM[Costo PM CLP],tblComprasPM[Codigo],tblMaestroEquipos[[#This Row],[Codigo]]),0)</f>
        <v>0</v>
      </c>
      <c r="U194" s="19">
        <f>IFERROR(tblMaestroEquipos[[#This Row],[Costo Mantenciones CLP]]+tblMaestroEquipos[[#This Row],[Costo Compras PM CLP]],0)</f>
        <v>0</v>
      </c>
      <c r="V194" s="16" t="str">
        <f>IFERROR(_xlfn.XLOOKUP(tblMaestroEquipos[[#This Row],[Codigo]],tblEquipos[Codigo],tblEquipos[Estado Base]),"")</f>
        <v>Operativo</v>
      </c>
      <c r="W194" s="16" t="str">
        <f t="shared" si="16"/>
        <v>AL DÍA</v>
      </c>
      <c r="X194" s="16" t="str">
        <f t="shared" si="17"/>
        <v/>
      </c>
      <c r="Y194"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94" s="23" t="str">
        <f>IFERROR(IF(_xlfn.MINIFS(tblComprasPM[Fecha],tblComprasPM[Codigo],tblMaestroEquipos[[#This Row],[Codigo]])=0,"",_xlfn.MINIFS(tblComprasPM[Fecha],tblComprasPM[Codigo],tblMaestroEquipos[[#This Row],[Codigo]])),"")</f>
        <v/>
      </c>
      <c r="AA194" s="23" t="str">
        <f>IFERROR(IF(_xlfn.MAXIFS(tblBodega[Fecha],tblBodega[Codigo],tblMaestroEquipos[[#This Row],[Codigo]])=0,"",_xlfn.MAXIFS(tblBodega[Fecha],tblBodega[Codigo],tblMaestroEquipos[[#This Row],[Codigo]])),"")</f>
        <v/>
      </c>
      <c r="AB194"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94"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94" s="16" t="str">
        <f>IF(tblMaestroEquipos[[#This Row],[Fecha Salida Bodega]]="","SIN SALIDA BODEGA",IF(OR(tblMaestroEquipos[[#This Row],[Ultima Fecha PM]]="",tblMaestroEquipos[[#This Row],[Ultima Fecha PM]]&lt;tblMaestroEquipos[[#This Row],[Fecha Salida Bodega]]),"PENDIENTE","CERRADO"))</f>
        <v>SIN SALIDA BODEGA</v>
      </c>
      <c r="AE194" s="48" t="str">
        <f t="shared" si="18"/>
        <v>OPERATIVO</v>
      </c>
      <c r="AF194" s="16" t="str">
        <f t="shared" si="19"/>
        <v>BAJA</v>
      </c>
      <c r="AG194" s="16" t="str">
        <f t="shared" si="20"/>
        <v>Monitorear próximo vencimiento</v>
      </c>
      <c r="AH194">
        <f t="shared" si="21"/>
        <v>0</v>
      </c>
      <c r="AI194" t="str">
        <f t="shared" si="22"/>
        <v/>
      </c>
      <c r="AJ194" s="22">
        <f t="shared" si="23"/>
        <v>99</v>
      </c>
    </row>
    <row r="195" spans="1:36">
      <c r="A195" s="16" t="s">
        <v>561</v>
      </c>
      <c r="B195" s="16" t="s">
        <v>461</v>
      </c>
      <c r="C195" s="16" t="s">
        <v>1414</v>
      </c>
      <c r="D195" s="16" t="s">
        <v>98</v>
      </c>
      <c r="E195" s="17" t="s">
        <v>903</v>
      </c>
      <c r="F195" s="16">
        <v>2022</v>
      </c>
      <c r="G195" s="17" t="str">
        <f>IFERROR(_xlfn.XLOOKUP($A195,tblEquipos[Codigo],tblEquipos[Ubicacion],""),"")</f>
        <v>Taller ext (Moraga)</v>
      </c>
      <c r="H195" s="16"/>
      <c r="I195" s="16" t="str">
        <f>IFERROR(VLOOKUP(A195, Equipos!A:J, 9, FALSE), "")</f>
        <v>KM</v>
      </c>
      <c r="J195" s="16">
        <f>IFERROR(VLOOKUP(A195, Equipos!A:J, 10, FALSE), "")</f>
        <v>15000</v>
      </c>
      <c r="K195" s="16">
        <f>IFERROR(IF($I195="KM",ROUND((_xlfn.MAXIFS(tblLecturas[Kilometraje],tblLecturas[Codigo],$A195)-_xlfn.MINIFS(tblLecturas[Kilometraje],tblLecturas[Codigo],$A195))/(MAX(1,_xlfn.MAXIFS(tblLecturas[Fecha],tblLecturas[Codigo],$A195)-_xlfn.MINIFS(tblLecturas[Fecha],tblLecturas[Codigo],$A195))),1),ROUND((_xlfn.MAXIFS(tblLecturas[Horometro],tblLecturas[Codigo],$A195)-_xlfn.MINIFS(tblLecturas[Horometro],tblLecturas[Codigo],$A195))/(MAX(1,_xlfn.MAXIFS(tblLecturas[Fecha],tblLecturas[Codigo],$A195)-_xlfn.MINIFS(tblLecturas[Fecha],tblLecturas[Codigo],$A195))),1)),"")</f>
        <v>0</v>
      </c>
      <c r="L195" s="18">
        <f>IFERROR(_xlfn.MAXIFS(tblLecturas[Fecha],tblLecturas[Codigo],$A195),"")</f>
        <v>0</v>
      </c>
      <c r="M195" s="24">
        <f>IFERROR(_xlfn.MAXIFS(Lecturas!$C:$C,Lecturas!$B:$B,$A195,Lecturas!$C:$C,"&gt;0"),"")</f>
        <v>0</v>
      </c>
      <c r="N195" s="24">
        <f>IFERROR(_xlfn.MAXIFS(tblLecturas[Kilometraje],tblLecturas[Codigo],$A195,tblLecturas[Kilometraje],"&gt;0"),"")</f>
        <v>0</v>
      </c>
      <c r="O195" s="24" t="str" cm="1">
        <f t="array" ref="O195">IFERROR(IF($I195="KM",LOOKUP(2,1/(Lecturas!$B:$B=$A195)/(Lecturas!$D:$D&gt;0),Lecturas!$D:$D),LOOKUP(2,1/(Lecturas!$B:$B=$A195)/(Lecturas!$C:$C&gt;0),Lecturas!$C:$C)),"")</f>
        <v/>
      </c>
      <c r="P195" s="18">
        <f>IFERROR(_xlfn.MAXIFS(tblMantenciones[Fecha],tblMantenciones[Codigo],tblMaestroEquipos[[#This Row],[Codigo]],tblMantenciones[EsPM],"Sí"),"")</f>
        <v>0</v>
      </c>
      <c r="Q195" s="70" t="str">
        <f>IF(_xlfn.MAXIFS(Mantenciones!$D:$D,Mantenciones!$B:$B,A195)=0,"Sin datos de mantención registrado",_xlfn.MAXIFS(Mantenciones!$D:$D,Mantenciones!$B:$B,A195))</f>
        <v>Sin datos de mantención registrado</v>
      </c>
      <c r="R195" s="16" t="str">
        <f>IFERROR(IF(_xlfn.MAXIFS(Mantenciones!$D:$D,Mantenciones!$B:$B,$A195,Mantenciones!$E:$E,"Sí",Mantenciones!$D:$D,"&gt;0")=0,"Sin datos de mantención registrado",_xlfn.MAXIFS(Mantenciones!$D:$D,Mantenciones!$B:$B,$A195,Mantenciones!$E:$E,"Sí",Mantenciones!$D:$D,"&gt;0")),"Sin datos de mantención registrado")</f>
        <v>Sin datos de mantención registrado</v>
      </c>
      <c r="S195" s="19">
        <f>IFERROR(SUMIFS(tblMantenciones[Costo Mantencion CLP],tblMantenciones[Codigo],tblMaestroEquipos[[#This Row],[Codigo]]),0)</f>
        <v>0</v>
      </c>
      <c r="T195" s="19">
        <f>IFERROR(SUMIFS(tblComprasPM[Costo PM CLP],tblComprasPM[Codigo],tblMaestroEquipos[[#This Row],[Codigo]]),0)</f>
        <v>0</v>
      </c>
      <c r="U195" s="19">
        <f>IFERROR(tblMaestroEquipos[[#This Row],[Costo Mantenciones CLP]]+tblMaestroEquipos[[#This Row],[Costo Compras PM CLP]],0)</f>
        <v>0</v>
      </c>
      <c r="V195" s="16" t="str">
        <f>IFERROR(_xlfn.XLOOKUP(tblMaestroEquipos[[#This Row],[Codigo]],tblEquipos[Codigo],tblEquipos[Estado Base]),"")</f>
        <v>Operativo</v>
      </c>
      <c r="W195" s="16" t="str">
        <f t="shared" si="16"/>
        <v>AL DÍA</v>
      </c>
      <c r="X195" s="16" t="str">
        <f t="shared" si="17"/>
        <v/>
      </c>
      <c r="Y195"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95" s="23" t="str">
        <f>IFERROR(IF(_xlfn.MINIFS(tblComprasPM[Fecha],tblComprasPM[Codigo],tblMaestroEquipos[[#This Row],[Codigo]])=0,"",_xlfn.MINIFS(tblComprasPM[Fecha],tblComprasPM[Codigo],tblMaestroEquipos[[#This Row],[Codigo]])),"")</f>
        <v/>
      </c>
      <c r="AA195" s="23" t="str">
        <f>IFERROR(IF(_xlfn.MAXIFS(tblBodega[Fecha],tblBodega[Codigo],tblMaestroEquipos[[#This Row],[Codigo]])=0,"",_xlfn.MAXIFS(tblBodega[Fecha],tblBodega[Codigo],tblMaestroEquipos[[#This Row],[Codigo]])),"")</f>
        <v/>
      </c>
      <c r="AB195"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95"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95" s="16" t="str">
        <f>IF(tblMaestroEquipos[[#This Row],[Fecha Salida Bodega]]="","SIN SALIDA BODEGA",IF(OR(tblMaestroEquipos[[#This Row],[Ultima Fecha PM]]="",tblMaestroEquipos[[#This Row],[Ultima Fecha PM]]&lt;tblMaestroEquipos[[#This Row],[Fecha Salida Bodega]]),"PENDIENTE","CERRADO"))</f>
        <v>SIN SALIDA BODEGA</v>
      </c>
      <c r="AE195" s="48" t="str">
        <f t="shared" si="18"/>
        <v>OPERATIVO</v>
      </c>
      <c r="AF195" s="16" t="str">
        <f t="shared" si="19"/>
        <v>BAJA</v>
      </c>
      <c r="AG195" s="16" t="str">
        <f t="shared" si="20"/>
        <v>Monitorear próximo vencimiento</v>
      </c>
      <c r="AH195">
        <f t="shared" si="21"/>
        <v>0</v>
      </c>
      <c r="AI195" t="str">
        <f t="shared" si="22"/>
        <v/>
      </c>
      <c r="AJ195" s="22">
        <f t="shared" si="23"/>
        <v>99</v>
      </c>
    </row>
    <row r="196" spans="1:36">
      <c r="A196" s="16" t="s">
        <v>563</v>
      </c>
      <c r="B196" s="16" t="s">
        <v>564</v>
      </c>
      <c r="C196" s="16" t="s">
        <v>1414</v>
      </c>
      <c r="D196" s="16" t="s">
        <v>54</v>
      </c>
      <c r="E196" s="17" t="s">
        <v>565</v>
      </c>
      <c r="F196" s="16">
        <v>2017</v>
      </c>
      <c r="G196" s="17" t="str">
        <f>IFERROR(_xlfn.XLOOKUP($A196,tblEquipos[Codigo],tblEquipos[Ubicacion],""),"")</f>
        <v>Cobquecura</v>
      </c>
      <c r="H196" s="16" t="s">
        <v>37</v>
      </c>
      <c r="I196" s="16" t="str">
        <f>IFERROR(VLOOKUP(A196, Equipos!A:J, 9, FALSE), "")</f>
        <v>KM</v>
      </c>
      <c r="J196" s="16">
        <f>IFERROR(VLOOKUP(A196, Equipos!A:J, 10, FALSE), "")</f>
        <v>15000</v>
      </c>
      <c r="K196" s="16">
        <f>IFERROR(IF($I196="KM",ROUND((_xlfn.MAXIFS(tblLecturas[Kilometraje],tblLecturas[Codigo],$A196)-_xlfn.MINIFS(tblLecturas[Kilometraje],tblLecturas[Codigo],$A196))/(MAX(1,_xlfn.MAXIFS(tblLecturas[Fecha],tblLecturas[Codigo],$A196)-_xlfn.MINIFS(tblLecturas[Fecha],tblLecturas[Codigo],$A196))),1),ROUND((_xlfn.MAXIFS(tblLecturas[Horometro],tblLecturas[Codigo],$A196)-_xlfn.MINIFS(tblLecturas[Horometro],tblLecturas[Codigo],$A196))/(MAX(1,_xlfn.MAXIFS(tblLecturas[Fecha],tblLecturas[Codigo],$A196)-_xlfn.MINIFS(tblLecturas[Fecha],tblLecturas[Codigo],$A196))),1)),"")</f>
        <v>0</v>
      </c>
      <c r="L196" s="18">
        <f>IFERROR(_xlfn.MAXIFS(tblLecturas[Fecha],tblLecturas[Codigo],$A196),"")</f>
        <v>44998</v>
      </c>
      <c r="M196" s="24">
        <f>IFERROR(_xlfn.MAXIFS(Lecturas!$C:$C,Lecturas!$B:$B,$A196,Lecturas!$C:$C,"&gt;0"),"")</f>
        <v>0</v>
      </c>
      <c r="N196" s="24">
        <f>IFERROR(_xlfn.MAXIFS(tblLecturas[Kilometraje],tblLecturas[Codigo],$A196,tblLecturas[Kilometraje],"&gt;0"),"")</f>
        <v>510507</v>
      </c>
      <c r="O196" s="24" cm="1">
        <f t="array" ref="O196">IFERROR(IF($I196="KM",LOOKUP(2,1/(Lecturas!$B:$B=$A196)/(Lecturas!$D:$D&gt;0),Lecturas!$D:$D),LOOKUP(2,1/(Lecturas!$B:$B=$A196)/(Lecturas!$C:$C&gt;0),Lecturas!$C:$C)),"")</f>
        <v>510507</v>
      </c>
      <c r="P196" s="18">
        <f>IFERROR(_xlfn.MAXIFS(tblMantenciones[Fecha],tblMantenciones[Codigo],tblMaestroEquipos[[#This Row],[Codigo]],tblMantenciones[EsPM],"Sí"),"")</f>
        <v>46078</v>
      </c>
      <c r="Q196" s="70" t="str">
        <f>IF(_xlfn.MAXIFS(Mantenciones!$D:$D,Mantenciones!$B:$B,A196)=0,"Sin datos de mantención registrado",_xlfn.MAXIFS(Mantenciones!$D:$D,Mantenciones!$B:$B,A196))</f>
        <v>Sin datos de mantención registrado</v>
      </c>
      <c r="R196" s="16" t="str">
        <f>IFERROR(IF(_xlfn.MAXIFS(Mantenciones!$D:$D,Mantenciones!$B:$B,$A196,Mantenciones!$E:$E,"Sí",Mantenciones!$D:$D,"&gt;0")=0,"Sin datos de mantención registrado",_xlfn.MAXIFS(Mantenciones!$D:$D,Mantenciones!$B:$B,$A196,Mantenciones!$E:$E,"Sí",Mantenciones!$D:$D,"&gt;0")),"Sin datos de mantención registrado")</f>
        <v>Sin datos de mantención registrado</v>
      </c>
      <c r="S196" s="19">
        <f>IFERROR(SUMIFS(tblMantenciones[Costo Mantencion CLP],tblMantenciones[Codigo],A196),0)</f>
        <v>0</v>
      </c>
      <c r="T196" s="19">
        <f>IFERROR(SUMIFS(tblComprasPM[Costo PM CLP],tblComprasPM[Codigo],tblMaestroEquipos[[#This Row],[Codigo]]),0)</f>
        <v>61356.4</v>
      </c>
      <c r="U196" s="19">
        <f>IFERROR(tblMaestroEquipos[[#This Row],[Costo Mantenciones CLP]]+tblMaestroEquipos[[#This Row],[Costo Compras PM CLP]],0)</f>
        <v>61356.4</v>
      </c>
      <c r="V196" s="16" t="str">
        <f>IFERROR(_xlfn.XLOOKUP(tblMaestroEquipos[[#This Row],[Codigo]],tblEquipos[Codigo],tblEquipos[Estado Base]),"")</f>
        <v>Operativo</v>
      </c>
      <c r="W196" s="16" t="str">
        <f t="shared" ref="W196:W242" si="24">IF(OR(TRIM($V196)="Fuera de Servicio",TRIM($V196)="Fuera de servicio"),"FUERA DE SERVICIO",IF(OR(TRIM($V196)="Taller",TRIM($V196)="En taller",TRIM($V196)="EN TALLER"),"EN TALLER",IF($AD196="PENDIENTE","POR RECIBIR",IF(AND($Z196&lt;&gt;"",$AA196=""),"EN PROCESO",IF(AND(ISNUMBER($X196),$X196&lt;0),"ATRASADA",IF(AND(ISNUMBER($X196),$X196&lt;=30),"PRÓXIMA","AL DÍA"))))))</f>
        <v>AL DÍA</v>
      </c>
      <c r="X196" s="16" t="str">
        <f t="shared" ref="X196:X242" si="25">IF(OR(NOT(ISNUMBER(R196)),NOT(ISNUMBER(J196)),NOT(ISNUMBER(O196))),"",
(R196+J196)-O196)</f>
        <v/>
      </c>
      <c r="Y196"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96" s="23">
        <f>IFERROR(IF(_xlfn.MINIFS(tblComprasPM[Fecha],tblComprasPM[Codigo],tblMaestroEquipos[[#This Row],[Codigo]])=0,"",_xlfn.MINIFS(tblComprasPM[Fecha],tblComprasPM[Codigo],tblMaestroEquipos[[#This Row],[Codigo]])),"")</f>
        <v>46073.523869641198</v>
      </c>
      <c r="AA196" s="23">
        <f>IFERROR(IF(_xlfn.MAXIFS(tblBodega[Fecha],tblBodega[Codigo],tblMaestroEquipos[[#This Row],[Codigo]])=0,"",_xlfn.MAXIFS(tblBodega[Fecha],tblBodega[Codigo],tblMaestroEquipos[[#This Row],[Codigo]])),"")</f>
        <v>46077</v>
      </c>
      <c r="AB19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5</v>
      </c>
      <c r="AC196"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v>
      </c>
      <c r="AD196" s="16" t="str">
        <f>IF(tblMaestroEquipos[[#This Row],[Fecha Salida Bodega]]="","SIN SALIDA BODEGA",IF(OR(tblMaestroEquipos[[#This Row],[Ultima Fecha PM]]="",tblMaestroEquipos[[#This Row],[Ultima Fecha PM]]&lt;tblMaestroEquipos[[#This Row],[Fecha Salida Bodega]]),"PENDIENTE","CERRADO"))</f>
        <v>CERRADO</v>
      </c>
      <c r="AE196" s="48" t="str">
        <f t="shared" ref="AE196:AE242" si="26">IF(TRIM(V196)="Fuera de servicio","FUERA DE SERVICIO",
IF(OR(TRIM(V196)="Taller",TRIM(V196)="En taller"),"EN TALLER",
IF(W196="ATRASADO","ATRASADO",
IF(W196="EN PROCESO","EN PROCESO",
IF(W196="PRÓXIMO","PRÓXIMO",
"OPERATIVO")))))</f>
        <v>OPERATIVO</v>
      </c>
      <c r="AF196" s="16" t="str">
        <f t="shared" ref="AF196:AF242" si="27">IF($AE196="ATRASADA",IF($X196&lt;=-15,"CRÍTICA","ALTA"),IF($AE196="PRÓXIMA","MEDIA",IF(OR($AE196="EN PROCESO",$AE196="POR RECIBIR"),"SEGUIMIENTO",IF($AE196="FUERA DE SERVICIO","NO APLICA","BAJA"))))</f>
        <v>BAJA</v>
      </c>
      <c r="AG196" s="16" t="str">
        <f t="shared" ref="AG196:AG242" si="28">IF($AE196="FUERA DE SERVICIO","No programar compra",IF($AE196="CERRADO","Cerrar ciclo y preparar siguiente PM",IF($AE196="EN PROCESO","Hacer seguimiento al taller y cerrar report",IF($AE196="POR RECIBIR","Acelerar recepción de repuestos",IF($AE196="ATRASADA","Comprar kit PM y coordinar ejecución",IF($AE196="PRÓXIMA","Planificar compra preventiva","Monitorear próximo vencimiento"))))))</f>
        <v>Monitorear próximo vencimiento</v>
      </c>
      <c r="AH196">
        <f t="shared" ref="AH196:AH242" si="29">IF(AND(OR($AE196="ATRASADA",$AE196="PRÓXIMA"),$Z196="",$AA196=""),1,0)</f>
        <v>0</v>
      </c>
      <c r="AI196" t="str">
        <f t="shared" ref="AI196:AI242" si="30">IF(OR($AH196=0,$Y196=""),"",SUMPRODUCT(($AH$4:$AH$242=1)*(($Y$4:$Y$242&lt;$Y196)+(($Y$4:$Y$242=$Y196)*(ROW($Y$4:$Y$242)&lt;=ROW())))))</f>
        <v/>
      </c>
      <c r="AJ196" s="22">
        <f t="shared" ref="AJ196:AJ242" si="31">IF(W196="ATRASADA",1,IF(W196="EN PROCESO",2,IF(W196="POR RECIBIR",3,99)))</f>
        <v>99</v>
      </c>
    </row>
    <row r="197" spans="1:36">
      <c r="A197" s="16" t="s">
        <v>567</v>
      </c>
      <c r="B197" s="16" t="s">
        <v>564</v>
      </c>
      <c r="C197" s="16" t="s">
        <v>1414</v>
      </c>
      <c r="D197" s="16" t="s">
        <v>54</v>
      </c>
      <c r="E197" s="17" t="s">
        <v>568</v>
      </c>
      <c r="F197" s="16">
        <v>2017</v>
      </c>
      <c r="G197" s="17" t="str">
        <f>IFERROR(_xlfn.XLOOKUP($A197,tblEquipos[Codigo],tblEquipos[Ubicacion],""),"")</f>
        <v>Quirihue</v>
      </c>
      <c r="H197" s="16" t="s">
        <v>1425</v>
      </c>
      <c r="I197" s="16" t="str">
        <f>IFERROR(VLOOKUP(A197, Equipos!A:J, 9, FALSE), "")</f>
        <v>KM</v>
      </c>
      <c r="J197" s="16">
        <f>IFERROR(VLOOKUP(A197, Equipos!A:J, 10, FALSE), "")</f>
        <v>15000</v>
      </c>
      <c r="K197" s="16">
        <f>IFERROR(IF($I197="KM",ROUND((_xlfn.MAXIFS(tblLecturas[Kilometraje],tblLecturas[Codigo],$A197)-_xlfn.MINIFS(tblLecturas[Kilometraje],tblLecturas[Codigo],$A197))/(MAX(1,_xlfn.MAXIFS(tblLecturas[Fecha],tblLecturas[Codigo],$A197)-_xlfn.MINIFS(tblLecturas[Fecha],tblLecturas[Codigo],$A197))),1),ROUND((_xlfn.MAXIFS(tblLecturas[Horometro],tblLecturas[Codigo],$A197)-_xlfn.MINIFS(tblLecturas[Horometro],tblLecturas[Codigo],$A197))/(MAX(1,_xlfn.MAXIFS(tblLecturas[Fecha],tblLecturas[Codigo],$A197)-_xlfn.MINIFS(tblLecturas[Fecha],tblLecturas[Codigo],$A197))),1)),"")</f>
        <v>4</v>
      </c>
      <c r="L197" s="18">
        <f>IFERROR(_xlfn.MAXIFS(tblLecturas[Fecha],tblLecturas[Codigo],$A197),"")</f>
        <v>46185</v>
      </c>
      <c r="M197" s="24">
        <f>IFERROR(_xlfn.MAXIFS(Lecturas!$C:$C,Lecturas!$B:$B,$A197,Lecturas!$C:$C,"&gt;0"),"")</f>
        <v>0</v>
      </c>
      <c r="N197" s="24">
        <f>IFERROR(_xlfn.MAXIFS(tblLecturas[Kilometraje],tblLecturas[Codigo],$A197,tblLecturas[Kilometraje],"&gt;0"),"")</f>
        <v>559749</v>
      </c>
      <c r="O197" s="24" cm="1">
        <f t="array" ref="O197">IFERROR(IF($I197="KM",LOOKUP(2,1/(Lecturas!$B:$B=$A197)/(Lecturas!$D:$D&gt;0),Lecturas!$D:$D),LOOKUP(2,1/(Lecturas!$B:$B=$A197)/(Lecturas!$C:$C&gt;0),Lecturas!$C:$C)),"")</f>
        <v>559311</v>
      </c>
      <c r="P197" s="18">
        <f>IFERROR(_xlfn.MAXIFS(tblMantenciones[Fecha],tblMantenciones[Codigo],tblMaestroEquipos[[#This Row],[Codigo]],tblMantenciones[EsPM],"Sí"),"")</f>
        <v>46106</v>
      </c>
      <c r="Q197" s="70">
        <f>IF(_xlfn.MAXIFS(Mantenciones!$D:$D,Mantenciones!$B:$B,A197)=0,"Sin datos de mantención registrado",_xlfn.MAXIFS(Mantenciones!$D:$D,Mantenciones!$B:$B,A197))</f>
        <v>561359</v>
      </c>
      <c r="R197" s="16">
        <f>IFERROR(IF(_xlfn.MAXIFS(Mantenciones!$D:$D,Mantenciones!$B:$B,$A197,Mantenciones!$E:$E,"Sí",Mantenciones!$D:$D,"&gt;0")=0,"Sin datos de mantención registrado",_xlfn.MAXIFS(Mantenciones!$D:$D,Mantenciones!$B:$B,$A197,Mantenciones!$E:$E,"Sí",Mantenciones!$D:$D,"&gt;0")),"Sin datos de mantención registrado")</f>
        <v>561359</v>
      </c>
      <c r="S197" s="19">
        <f>IFERROR(SUMIFS(tblMantenciones[Costo Mantencion CLP],tblMantenciones[Codigo],A197),0)</f>
        <v>0</v>
      </c>
      <c r="T197" s="19">
        <f>IFERROR(SUMIFS(tblComprasPM[Costo PM CLP],tblComprasPM[Codigo],tblMaestroEquipos[[#This Row],[Codigo]]),0)</f>
        <v>40499.972099999999</v>
      </c>
      <c r="U197" s="19">
        <f>IFERROR(tblMaestroEquipos[[#This Row],[Costo Mantenciones CLP]]+tblMaestroEquipos[[#This Row],[Costo Compras PM CLP]],0)</f>
        <v>40499.972099999999</v>
      </c>
      <c r="V197" s="16" t="str">
        <f>IFERROR(_xlfn.XLOOKUP(tblMaestroEquipos[[#This Row],[Codigo]],tblEquipos[Codigo],tblEquipos[Estado Base]),"")</f>
        <v>Operativo</v>
      </c>
      <c r="W197" s="16" t="str">
        <f t="shared" si="24"/>
        <v>AL DÍA</v>
      </c>
      <c r="X197" s="16">
        <f t="shared" si="25"/>
        <v>17048</v>
      </c>
      <c r="Y197" s="23">
        <f>IFERROR(IF(OR(tblMaestroEquipos[[#This Row],[Estado Operacional]]="FUERA DE SERVICIO",tblMaestroEquipos[[#This Row],[Ultima Fecha Lectura]]="",tblMaestroEquipos[[#This Row],[Dias a Proxima Mantencion]]=""),"",tblMaestroEquipos[[#This Row],[Ultima Fecha Lectura]]+tblMaestroEquipos[[#This Row],[Dias a Proxima Mantencion]]),"")</f>
        <v>63233</v>
      </c>
      <c r="Z197" s="23">
        <f>IFERROR(IF(_xlfn.MINIFS(tblComprasPM[Fecha],tblComprasPM[Codigo],tblMaestroEquipos[[#This Row],[Codigo]])=0,"",_xlfn.MINIFS(tblComprasPM[Fecha],tblComprasPM[Codigo],tblMaestroEquipos[[#This Row],[Codigo]])),"")</f>
        <v>46086.626455555597</v>
      </c>
      <c r="AA197" s="23">
        <f>IFERROR(IF(_xlfn.MAXIFS(tblBodega[Fecha],tblBodega[Codigo],tblMaestroEquipos[[#This Row],[Codigo]])=0,"",_xlfn.MAXIFS(tblBodega[Fecha],tblBodega[Codigo],tblMaestroEquipos[[#This Row],[Codigo]])),"")</f>
        <v>46086</v>
      </c>
      <c r="AB19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20</v>
      </c>
      <c r="AC197"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20</v>
      </c>
      <c r="AD197" s="16" t="str">
        <f>IF(tblMaestroEquipos[[#This Row],[Fecha Salida Bodega]]="","SIN SALIDA BODEGA",IF(OR(tblMaestroEquipos[[#This Row],[Ultima Fecha PM]]="",tblMaestroEquipos[[#This Row],[Ultima Fecha PM]]&lt;tblMaestroEquipos[[#This Row],[Fecha Salida Bodega]]),"PENDIENTE","CERRADO"))</f>
        <v>CERRADO</v>
      </c>
      <c r="AE197" s="48" t="str">
        <f t="shared" si="26"/>
        <v>OPERATIVO</v>
      </c>
      <c r="AF197" s="16" t="str">
        <f t="shared" si="27"/>
        <v>BAJA</v>
      </c>
      <c r="AG197" s="16" t="str">
        <f t="shared" si="28"/>
        <v>Monitorear próximo vencimiento</v>
      </c>
      <c r="AH197">
        <f t="shared" si="29"/>
        <v>0</v>
      </c>
      <c r="AI197" t="str">
        <f t="shared" si="30"/>
        <v/>
      </c>
      <c r="AJ197" s="22">
        <f t="shared" si="31"/>
        <v>99</v>
      </c>
    </row>
    <row r="198" spans="1:36">
      <c r="A198" s="16" t="s">
        <v>569</v>
      </c>
      <c r="B198" s="16" t="s">
        <v>564</v>
      </c>
      <c r="C198" s="16" t="s">
        <v>1414</v>
      </c>
      <c r="D198" s="16" t="s">
        <v>54</v>
      </c>
      <c r="E198" s="17" t="s">
        <v>570</v>
      </c>
      <c r="F198" s="16">
        <v>2020</v>
      </c>
      <c r="G198" s="17" t="str">
        <f>IFERROR(_xlfn.XLOOKUP($A198,tblEquipos[Codigo],tblEquipos[Ubicacion],""),"")</f>
        <v>Taller ext (Kauffman)</v>
      </c>
      <c r="H198" s="16" t="s">
        <v>572</v>
      </c>
      <c r="I198" s="16" t="str">
        <f>IFERROR(VLOOKUP(A198, Equipos!A:J, 9, FALSE), "")</f>
        <v>KM</v>
      </c>
      <c r="J198" s="16">
        <f>IFERROR(VLOOKUP(A198, Equipos!A:J, 10, FALSE), "")</f>
        <v>15000</v>
      </c>
      <c r="K198" s="16">
        <f>IFERROR(IF($I198="KM",ROUND((_xlfn.MAXIFS(tblLecturas[Kilometraje],tblLecturas[Codigo],$A198)-_xlfn.MINIFS(tblLecturas[Kilometraje],tblLecturas[Codigo],$A198))/(MAX(1,_xlfn.MAXIFS(tblLecturas[Fecha],tblLecturas[Codigo],$A198)-_xlfn.MINIFS(tblLecturas[Fecha],tblLecturas[Codigo],$A198))),1),ROUND((_xlfn.MAXIFS(tblLecturas[Horometro],tblLecturas[Codigo],$A198)-_xlfn.MINIFS(tblLecturas[Horometro],tblLecturas[Codigo],$A198))/(MAX(1,_xlfn.MAXIFS(tblLecturas[Fecha],tblLecturas[Codigo],$A198)-_xlfn.MINIFS(tblLecturas[Fecha],tblLecturas[Codigo],$A198))),1)),"")</f>
        <v>131.80000000000001</v>
      </c>
      <c r="L198" s="18">
        <f>IFERROR(_xlfn.MAXIFS(tblLecturas[Fecha],tblLecturas[Codigo],$A198),"")</f>
        <v>46191</v>
      </c>
      <c r="M198" s="24">
        <f>IFERROR(_xlfn.MAXIFS(Lecturas!$C:$C,Lecturas!$B:$B,$A198,Lecturas!$C:$C,"&gt;0"),"")</f>
        <v>0</v>
      </c>
      <c r="N198" s="24">
        <f>IFERROR(_xlfn.MAXIFS(tblLecturas[Kilometraje],tblLecturas[Codigo],$A198,tblLecturas[Kilometraje],"&gt;0"),"")</f>
        <v>413622</v>
      </c>
      <c r="O198" s="24" cm="1">
        <f t="array" ref="O198">IFERROR(IF($I198="KM",LOOKUP(2,1/(Lecturas!$B:$B=$A198)/(Lecturas!$D:$D&gt;0),Lecturas!$D:$D),LOOKUP(2,1/(Lecturas!$B:$B=$A198)/(Lecturas!$C:$C&gt;0),Lecturas!$C:$C)),"")</f>
        <v>413622</v>
      </c>
      <c r="P198" s="18">
        <f>IFERROR(_xlfn.MAXIFS(tblMantenciones[Fecha],tblMantenciones[Codigo],tblMaestroEquipos[[#This Row],[Codigo]],tblMantenciones[EsPM],"Sí"),"")</f>
        <v>45215</v>
      </c>
      <c r="Q198" s="70">
        <f>IF(_xlfn.MAXIFS(Mantenciones!$D:$D,Mantenciones!$B:$B,A198)=0,"Sin datos de mantención registrado",_xlfn.MAXIFS(Mantenciones!$D:$D,Mantenciones!$B:$B,A198))</f>
        <v>299925</v>
      </c>
      <c r="R198" s="16">
        <f>IFERROR(IF(_xlfn.MAXIFS(Mantenciones!$D:$D,Mantenciones!$B:$B,$A198,Mantenciones!$E:$E,"Sí",Mantenciones!$D:$D,"&gt;0")=0,"Sin datos de mantención registrado",_xlfn.MAXIFS(Mantenciones!$D:$D,Mantenciones!$B:$B,$A198,Mantenciones!$E:$E,"Sí",Mantenciones!$D:$D,"&gt;0")),"Sin datos de mantención registrado")</f>
        <v>299925</v>
      </c>
      <c r="S198" s="19">
        <f>IFERROR(SUMIFS(tblMantenciones[Costo Mantencion CLP],tblMantenciones[Codigo],tblMaestroEquipos[[#This Row],[Codigo]]),0)</f>
        <v>0</v>
      </c>
      <c r="T198" s="19">
        <f>IFERROR(SUMIFS(tblComprasPM[Costo PM CLP],tblComprasPM[Codigo],tblMaestroEquipos[[#This Row],[Codigo]]),0)</f>
        <v>0</v>
      </c>
      <c r="U198" s="19">
        <f>IFERROR(tblMaestroEquipos[[#This Row],[Costo Mantenciones CLP]]+tblMaestroEquipos[[#This Row],[Costo Compras PM CLP]],0)</f>
        <v>0</v>
      </c>
      <c r="V198" s="16" t="str">
        <f>IFERROR(_xlfn.XLOOKUP(tblMaestroEquipos[[#This Row],[Codigo]],tblEquipos[Codigo],tblEquipos[Estado Base]),"")</f>
        <v>Taller</v>
      </c>
      <c r="W198" s="16" t="str">
        <f t="shared" si="24"/>
        <v>EN TALLER</v>
      </c>
      <c r="X198" s="16">
        <f t="shared" si="25"/>
        <v>-98697</v>
      </c>
      <c r="Y198" s="23">
        <f>IFERROR(IF(OR(tblMaestroEquipos[[#This Row],[Estado Operacional]]="FUERA DE SERVICIO",tblMaestroEquipos[[#This Row],[Ultima Fecha Lectura]]="",tblMaestroEquipos[[#This Row],[Dias a Proxima Mantencion]]=""),"",tblMaestroEquipos[[#This Row],[Ultima Fecha Lectura]]+tblMaestroEquipos[[#This Row],[Dias a Proxima Mantencion]]),"")</f>
        <v>-52506</v>
      </c>
      <c r="Z198" s="23" t="str">
        <f>IFERROR(IF(_xlfn.MINIFS(tblComprasPM[Fecha],tblComprasPM[Codigo],tblMaestroEquipos[[#This Row],[Codigo]])=0,"",_xlfn.MINIFS(tblComprasPM[Fecha],tblComprasPM[Codigo],tblMaestroEquipos[[#This Row],[Codigo]])),"")</f>
        <v/>
      </c>
      <c r="AA198" s="23" t="str">
        <f>IFERROR(IF(_xlfn.MAXIFS(tblBodega[Fecha],tblBodega[Codigo],tblMaestroEquipos[[#This Row],[Codigo]])=0,"",_xlfn.MAXIFS(tblBodega[Fecha],tblBodega[Codigo],tblMaestroEquipos[[#This Row],[Codigo]])),"")</f>
        <v/>
      </c>
      <c r="AB198"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98"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98" s="16" t="str">
        <f>IF(tblMaestroEquipos[[#This Row],[Fecha Salida Bodega]]="","SIN SALIDA BODEGA",IF(OR(tblMaestroEquipos[[#This Row],[Ultima Fecha PM]]="",tblMaestroEquipos[[#This Row],[Ultima Fecha PM]]&lt;tblMaestroEquipos[[#This Row],[Fecha Salida Bodega]]),"PENDIENTE","CERRADO"))</f>
        <v>SIN SALIDA BODEGA</v>
      </c>
      <c r="AE198" s="48" t="str">
        <f t="shared" si="26"/>
        <v>EN TALLER</v>
      </c>
      <c r="AF198" s="16" t="str">
        <f t="shared" si="27"/>
        <v>BAJA</v>
      </c>
      <c r="AG198" s="16" t="str">
        <f t="shared" si="28"/>
        <v>Monitorear próximo vencimiento</v>
      </c>
      <c r="AH198">
        <f t="shared" si="29"/>
        <v>0</v>
      </c>
      <c r="AI198" t="str">
        <f t="shared" si="30"/>
        <v/>
      </c>
      <c r="AJ198" s="22">
        <f t="shared" si="31"/>
        <v>99</v>
      </c>
    </row>
    <row r="199" spans="1:36">
      <c r="A199" s="16" t="s">
        <v>573</v>
      </c>
      <c r="B199" s="16" t="s">
        <v>461</v>
      </c>
      <c r="C199" s="16" t="s">
        <v>1414</v>
      </c>
      <c r="D199" s="16" t="s">
        <v>98</v>
      </c>
      <c r="E199" s="17" t="s">
        <v>574</v>
      </c>
      <c r="F199" s="16">
        <v>2021</v>
      </c>
      <c r="G199" s="17" t="str">
        <f>IFERROR(_xlfn.XLOOKUP($A199,tblEquipos[Codigo],tblEquipos[Ubicacion],""),"")</f>
        <v>TALLER</v>
      </c>
      <c r="H199" s="16" t="s">
        <v>575</v>
      </c>
      <c r="I199" s="16" t="str">
        <f>IFERROR(VLOOKUP(A199, Equipos!A:J, 9, FALSE), "")</f>
        <v>KM</v>
      </c>
      <c r="J199" s="16">
        <f>IFERROR(VLOOKUP(A199, Equipos!A:J, 10, FALSE), "")</f>
        <v>15000</v>
      </c>
      <c r="K199" s="16">
        <f>IFERROR(IF($I199="KM",ROUND((_xlfn.MAXIFS(tblLecturas[Kilometraje],tblLecturas[Codigo],$A199)-_xlfn.MINIFS(tblLecturas[Kilometraje],tblLecturas[Codigo],$A199))/(MAX(1,_xlfn.MAXIFS(tblLecturas[Fecha],tblLecturas[Codigo],$A199)-_xlfn.MINIFS(tblLecturas[Fecha],tblLecturas[Codigo],$A199))),1),ROUND((_xlfn.MAXIFS(tblLecturas[Horometro],tblLecturas[Codigo],$A199)-_xlfn.MINIFS(tblLecturas[Horometro],tblLecturas[Codigo],$A199))/(MAX(1,_xlfn.MAXIFS(tblLecturas[Fecha],tblLecturas[Codigo],$A199)-_xlfn.MINIFS(tblLecturas[Fecha],tblLecturas[Codigo],$A199))),1)),"")</f>
        <v>0</v>
      </c>
      <c r="L199" s="18">
        <f>IFERROR(_xlfn.MAXIFS(tblLecturas[Fecha],tblLecturas[Codigo],$A199),"")</f>
        <v>45190</v>
      </c>
      <c r="M199" s="24">
        <f>IFERROR(_xlfn.MAXIFS(Lecturas!$C:$C,Lecturas!$B:$B,$A199,Lecturas!$C:$C,"&gt;0"),"")</f>
        <v>0</v>
      </c>
      <c r="N199" s="24">
        <f>IFERROR(_xlfn.MAXIFS(tblLecturas[Kilometraje],tblLecturas[Codigo],$A199,tblLecturas[Kilometraje],"&gt;0"),"")</f>
        <v>113489</v>
      </c>
      <c r="O199" s="24" cm="1">
        <f t="array" ref="O199">IFERROR(IF($I199="KM",LOOKUP(2,1/(Lecturas!$B:$B=$A199)/(Lecturas!$D:$D&gt;0),Lecturas!$D:$D),LOOKUP(2,1/(Lecturas!$B:$B=$A199)/(Lecturas!$C:$C&gt;0),Lecturas!$C:$C)),"")</f>
        <v>113489</v>
      </c>
      <c r="P199" s="18">
        <f>IFERROR(_xlfn.MAXIFS(tblMantenciones[Fecha],tblMantenciones[Codigo],tblMaestroEquipos[[#This Row],[Codigo]],tblMantenciones[EsPM],"Sí"),"")</f>
        <v>45240</v>
      </c>
      <c r="Q199" s="70" t="str">
        <f>IF(_xlfn.MAXIFS(Mantenciones!$D:$D,Mantenciones!$B:$B,A199)=0,"Sin datos de mantención registrado",_xlfn.MAXIFS(Mantenciones!$D:$D,Mantenciones!$B:$B,A199))</f>
        <v>Sin datos de mantención registrado</v>
      </c>
      <c r="R199" s="16" t="str">
        <f>IFERROR(IF(_xlfn.MAXIFS(Mantenciones!$D:$D,Mantenciones!$B:$B,$A199,Mantenciones!$E:$E,"Sí",Mantenciones!$D:$D,"&gt;0")=0,"Sin datos de mantención registrado",_xlfn.MAXIFS(Mantenciones!$D:$D,Mantenciones!$B:$B,$A199,Mantenciones!$E:$E,"Sí",Mantenciones!$D:$D,"&gt;0")),"Sin datos de mantención registrado")</f>
        <v>Sin datos de mantención registrado</v>
      </c>
      <c r="S199" s="19">
        <f>IFERROR(SUMIFS(tblMantenciones[Costo Mantencion CLP],tblMantenciones[Codigo],tblMaestroEquipos[[#This Row],[Codigo]]),0)</f>
        <v>0</v>
      </c>
      <c r="T199" s="19">
        <f>IFERROR(SUMIFS(tblComprasPM[Costo PM CLP],tblComprasPM[Codigo],tblMaestroEquipos[[#This Row],[Codigo]]),0)</f>
        <v>0</v>
      </c>
      <c r="U199" s="19">
        <f>IFERROR(tblMaestroEquipos[[#This Row],[Costo Mantenciones CLP]]+tblMaestroEquipos[[#This Row],[Costo Compras PM CLP]],0)</f>
        <v>0</v>
      </c>
      <c r="V199" s="16" t="str">
        <f>IFERROR(_xlfn.XLOOKUP(tblMaestroEquipos[[#This Row],[Codigo]],tblEquipos[Codigo],tblEquipos[Estado Base]),"")</f>
        <v>Fuera de Servicio</v>
      </c>
      <c r="W199" s="16" t="str">
        <f t="shared" si="24"/>
        <v>FUERA DE SERVICIO</v>
      </c>
      <c r="X199" s="16" t="str">
        <f t="shared" si="25"/>
        <v/>
      </c>
      <c r="Y199"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199" s="23" t="str">
        <f>IFERROR(IF(_xlfn.MINIFS(tblComprasPM[Fecha],tblComprasPM[Codigo],tblMaestroEquipos[[#This Row],[Codigo]])=0,"",_xlfn.MINIFS(tblComprasPM[Fecha],tblComprasPM[Codigo],tblMaestroEquipos[[#This Row],[Codigo]])),"")</f>
        <v/>
      </c>
      <c r="AA199" s="23" t="str">
        <f>IFERROR(IF(_xlfn.MAXIFS(tblBodega[Fecha],tblBodega[Codigo],tblMaestroEquipos[[#This Row],[Codigo]])=0,"",_xlfn.MAXIFS(tblBodega[Fecha],tblBodega[Codigo],tblMaestroEquipos[[#This Row],[Codigo]])),"")</f>
        <v/>
      </c>
      <c r="AB199"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199"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199" s="16" t="str">
        <f>IF(tblMaestroEquipos[[#This Row],[Fecha Salida Bodega]]="","SIN SALIDA BODEGA",IF(OR(tblMaestroEquipos[[#This Row],[Ultima Fecha PM]]="",tblMaestroEquipos[[#This Row],[Ultima Fecha PM]]&lt;tblMaestroEquipos[[#This Row],[Fecha Salida Bodega]]),"PENDIENTE","CERRADO"))</f>
        <v>SIN SALIDA BODEGA</v>
      </c>
      <c r="AE199" s="48" t="str">
        <f t="shared" si="26"/>
        <v>FUERA DE SERVICIO</v>
      </c>
      <c r="AF199" s="16" t="str">
        <f t="shared" si="27"/>
        <v>NO APLICA</v>
      </c>
      <c r="AG199" s="16" t="str">
        <f t="shared" si="28"/>
        <v>No programar compra</v>
      </c>
      <c r="AH199" s="25">
        <f t="shared" si="29"/>
        <v>0</v>
      </c>
      <c r="AI199" s="25" t="str">
        <f t="shared" si="30"/>
        <v/>
      </c>
      <c r="AJ199" s="22">
        <f t="shared" si="31"/>
        <v>99</v>
      </c>
    </row>
    <row r="200" spans="1:36" s="25" customFormat="1">
      <c r="A200" s="16" t="s">
        <v>576</v>
      </c>
      <c r="B200" s="16" t="s">
        <v>461</v>
      </c>
      <c r="C200" s="16" t="s">
        <v>1414</v>
      </c>
      <c r="D200" s="16" t="s">
        <v>98</v>
      </c>
      <c r="E200" s="17" t="s">
        <v>583</v>
      </c>
      <c r="F200" s="16">
        <v>2021</v>
      </c>
      <c r="G200" s="17" t="str">
        <f>IFERROR(_xlfn.XLOOKUP($A200,tblEquipos[Codigo],tblEquipos[Ubicacion],""),"")</f>
        <v>Asfalto</v>
      </c>
      <c r="H200" s="16" t="s">
        <v>56</v>
      </c>
      <c r="I200" s="16" t="str">
        <f>IFERROR(VLOOKUP(A200, Equipos!A:J, 9, FALSE), "")</f>
        <v>KM</v>
      </c>
      <c r="J200" s="16">
        <f>IFERROR(VLOOKUP(A200, Equipos!A:J, 10, FALSE), "")</f>
        <v>15000</v>
      </c>
      <c r="K200" s="16">
        <f>IFERROR(IF($I200="KM",ROUND((_xlfn.MAXIFS(tblLecturas[Kilometraje],tblLecturas[Codigo],$A200)-_xlfn.MINIFS(tblLecturas[Kilometraje],tblLecturas[Codigo],$A200))/(MAX(1,_xlfn.MAXIFS(tblLecturas[Fecha],tblLecturas[Codigo],$A200)-_xlfn.MINIFS(tblLecturas[Fecha],tblLecturas[Codigo],$A200))),1),ROUND((_xlfn.MAXIFS(tblLecturas[Horometro],tblLecturas[Codigo],$A200)-_xlfn.MINIFS(tblLecturas[Horometro],tblLecturas[Codigo],$A200))/(MAX(1,_xlfn.MAXIFS(tblLecturas[Fecha],tblLecturas[Codigo],$A200)-_xlfn.MINIFS(tblLecturas[Fecha],tblLecturas[Codigo],$A200))),1)),"")</f>
        <v>156.69999999999999</v>
      </c>
      <c r="L200" s="18">
        <f>IFERROR(_xlfn.MAXIFS(tblLecturas[Fecha],tblLecturas[Codigo],$A200),"")</f>
        <v>46147</v>
      </c>
      <c r="M200" s="24">
        <f>IFERROR(_xlfn.MAXIFS(Lecturas!$C:$C,Lecturas!$B:$B,$A200,Lecturas!$C:$C,"&gt;0"),"")</f>
        <v>0</v>
      </c>
      <c r="N200" s="24">
        <f>IFERROR(_xlfn.MAXIFS(tblLecturas[Kilometraje],tblLecturas[Codigo],$A200,tblLecturas[Kilometraje],"&gt;0"),"")</f>
        <v>169260</v>
      </c>
      <c r="O200" s="24" cm="1">
        <f t="array" ref="O200">IFERROR(IF($I200="KM",LOOKUP(2,1/(Lecturas!$B:$B=$A200)/(Lecturas!$D:$D&gt;0),Lecturas!$D:$D),LOOKUP(2,1/(Lecturas!$B:$B=$A200)/(Lecturas!$C:$C&gt;0),Lecturas!$C:$C)),"")</f>
        <v>169260</v>
      </c>
      <c r="P200" s="18">
        <f>IFERROR(_xlfn.MAXIFS(tblMantenciones[Fecha],tblMantenciones[Codigo],tblMaestroEquipos[[#This Row],[Codigo]],tblMantenciones[EsPM],"Sí"),"")</f>
        <v>46147</v>
      </c>
      <c r="Q200" s="70">
        <f>IF(_xlfn.MAXIFS(Mantenciones!$D:$D,Mantenciones!$B:$B,A200)=0,"Sin datos de mantención registrado",_xlfn.MAXIFS(Mantenciones!$D:$D,Mantenciones!$B:$B,A200))</f>
        <v>169260</v>
      </c>
      <c r="R200" s="16">
        <f>IFERROR(IF(_xlfn.MAXIFS(Mantenciones!$D:$D,Mantenciones!$B:$B,$A200,Mantenciones!$E:$E,"Sí",Mantenciones!$D:$D,"&gt;0")=0,"Sin datos de mantención registrado",_xlfn.MAXIFS(Mantenciones!$D:$D,Mantenciones!$B:$B,$A200,Mantenciones!$E:$E,"Sí",Mantenciones!$D:$D,"&gt;0")),"Sin datos de mantención registrado")</f>
        <v>169260</v>
      </c>
      <c r="S200" s="19">
        <f>IFERROR(SUMIFS(tblMantenciones[Costo Mantencion CLP],tblMantenciones[Codigo],tblMaestroEquipos[[#This Row],[Codigo]]),0)</f>
        <v>0</v>
      </c>
      <c r="T200" s="19">
        <f>IFERROR(SUMIFS(tblComprasPM[Costo PM CLP],tblComprasPM[Codigo],tblMaestroEquipos[[#This Row],[Codigo]]),0)</f>
        <v>0</v>
      </c>
      <c r="U200" s="19">
        <f>IFERROR(tblMaestroEquipos[[#This Row],[Costo Mantenciones CLP]]+tblMaestroEquipos[[#This Row],[Costo Compras PM CLP]],0)</f>
        <v>0</v>
      </c>
      <c r="V200" s="16" t="str">
        <f>IFERROR(_xlfn.XLOOKUP(tblMaestroEquipos[[#This Row],[Codigo]],tblEquipos[Codigo],tblEquipos[Estado Base]),"")</f>
        <v>Operativo</v>
      </c>
      <c r="W200" s="16" t="str">
        <f t="shared" si="24"/>
        <v>AL DÍA</v>
      </c>
      <c r="X200" s="16">
        <f t="shared" si="25"/>
        <v>15000</v>
      </c>
      <c r="Y200" s="23">
        <f>IFERROR(IF(OR(tblMaestroEquipos[[#This Row],[Estado Operacional]]="FUERA DE SERVICIO",tblMaestroEquipos[[#This Row],[Ultima Fecha Lectura]]="",tblMaestroEquipos[[#This Row],[Dias a Proxima Mantencion]]=""),"",tblMaestroEquipos[[#This Row],[Ultima Fecha Lectura]]+tblMaestroEquipos[[#This Row],[Dias a Proxima Mantencion]]),"")</f>
        <v>61147</v>
      </c>
      <c r="Z200" s="23" t="str">
        <f>IFERROR(IF(_xlfn.MINIFS(tblComprasPM[Fecha],tblComprasPM[Codigo],tblMaestroEquipos[[#This Row],[Codigo]])=0,"",_xlfn.MINIFS(tblComprasPM[Fecha],tblComprasPM[Codigo],tblMaestroEquipos[[#This Row],[Codigo]])),"")</f>
        <v/>
      </c>
      <c r="AA200" s="23" t="str">
        <f>IFERROR(IF(_xlfn.MAXIFS(tblBodega[Fecha],tblBodega[Codigo],tblMaestroEquipos[[#This Row],[Codigo]])=0,"",_xlfn.MAXIFS(tblBodega[Fecha],tblBodega[Codigo],tblMaestroEquipos[[#This Row],[Codigo]])),"")</f>
        <v/>
      </c>
      <c r="AB200"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00"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00" s="16" t="str">
        <f>IF(tblMaestroEquipos[[#This Row],[Fecha Salida Bodega]]="","SIN SALIDA BODEGA",IF(OR(tblMaestroEquipos[[#This Row],[Ultima Fecha PM]]="",tblMaestroEquipos[[#This Row],[Ultima Fecha PM]]&lt;tblMaestroEquipos[[#This Row],[Fecha Salida Bodega]]),"PENDIENTE","CERRADO"))</f>
        <v>SIN SALIDA BODEGA</v>
      </c>
      <c r="AE200" s="48" t="str">
        <f t="shared" si="26"/>
        <v>OPERATIVO</v>
      </c>
      <c r="AF200" s="16" t="str">
        <f t="shared" si="27"/>
        <v>BAJA</v>
      </c>
      <c r="AG200" s="16" t="str">
        <f t="shared" si="28"/>
        <v>Monitorear próximo vencimiento</v>
      </c>
      <c r="AH200">
        <f t="shared" si="29"/>
        <v>0</v>
      </c>
      <c r="AI200" t="str">
        <f t="shared" si="30"/>
        <v/>
      </c>
      <c r="AJ200" s="22">
        <f t="shared" si="31"/>
        <v>99</v>
      </c>
    </row>
    <row r="201" spans="1:36" s="25" customFormat="1">
      <c r="A201" s="16" t="s">
        <v>580</v>
      </c>
      <c r="B201" s="16" t="s">
        <v>461</v>
      </c>
      <c r="C201" s="16" t="s">
        <v>1414</v>
      </c>
      <c r="D201" s="16" t="s">
        <v>98</v>
      </c>
      <c r="E201" s="17" t="s">
        <v>574</v>
      </c>
      <c r="F201" s="16">
        <v>2021</v>
      </c>
      <c r="G201" s="17">
        <f>IFERROR(_xlfn.XLOOKUP($A201,tblEquipos[Codigo],tblEquipos[Ubicacion],""),"")</f>
        <v>0</v>
      </c>
      <c r="H201" s="16" t="s">
        <v>575</v>
      </c>
      <c r="I201" s="16" t="str">
        <f>IFERROR(VLOOKUP(A201, Equipos!A:J, 9, FALSE), "")</f>
        <v>KM</v>
      </c>
      <c r="J201" s="16">
        <f>IFERROR(VLOOKUP(A201, Equipos!A:J, 10, FALSE), "")</f>
        <v>15000</v>
      </c>
      <c r="K201" s="16">
        <f>IFERROR(IF($I201="KM",ROUND((_xlfn.MAXIFS(tblLecturas[Kilometraje],tblLecturas[Codigo],$A201)-_xlfn.MINIFS(tblLecturas[Kilometraje],tblLecturas[Codigo],$A201))/(MAX(1,_xlfn.MAXIFS(tblLecturas[Fecha],tblLecturas[Codigo],$A201)-_xlfn.MINIFS(tblLecturas[Fecha],tblLecturas[Codigo],$A201))),1),ROUND((_xlfn.MAXIFS(tblLecturas[Horometro],tblLecturas[Codigo],$A201)-_xlfn.MINIFS(tblLecturas[Horometro],tblLecturas[Codigo],$A201))/(MAX(1,_xlfn.MAXIFS(tblLecturas[Fecha],tblLecturas[Codigo],$A201)-_xlfn.MINIFS(tblLecturas[Fecha],tblLecturas[Codigo],$A201))),1)),"")</f>
        <v>0</v>
      </c>
      <c r="L201" s="18">
        <f>IFERROR(_xlfn.MAXIFS(tblLecturas[Fecha],tblLecturas[Codigo],$A201),"")</f>
        <v>0</v>
      </c>
      <c r="M201" s="24">
        <f>IFERROR(_xlfn.MAXIFS(Lecturas!$C:$C,Lecturas!$B:$B,$A201,Lecturas!$C:$C,"&gt;0"),"")</f>
        <v>0</v>
      </c>
      <c r="N201" s="24">
        <f>IFERROR(_xlfn.MAXIFS(tblLecturas[Kilometraje],tblLecturas[Codigo],$A201,tblLecturas[Kilometraje],"&gt;0"),"")</f>
        <v>0</v>
      </c>
      <c r="O201" s="24" t="str" cm="1">
        <f t="array" ref="O201">IFERROR(IF($I201="KM",LOOKUP(2,1/(Lecturas!$B:$B=$A201)/(Lecturas!$D:$D&gt;0),Lecturas!$D:$D),LOOKUP(2,1/(Lecturas!$B:$B=$A201)/(Lecturas!$C:$C&gt;0),Lecturas!$C:$C)),"")</f>
        <v/>
      </c>
      <c r="P201" s="18">
        <f>IFERROR(_xlfn.MAXIFS(tblMantenciones[Fecha],tblMantenciones[Codigo],tblMaestroEquipos[[#This Row],[Codigo]],tblMantenciones[EsPM],"Sí"),"")</f>
        <v>45237</v>
      </c>
      <c r="Q201" s="70">
        <f>IF(_xlfn.MAXIFS(Mantenciones!$D:$D,Mantenciones!$B:$B,A201)=0,"Sin datos de mantención registrado",_xlfn.MAXIFS(Mantenciones!$D:$D,Mantenciones!$B:$B,A201))</f>
        <v>61575</v>
      </c>
      <c r="R201" s="16">
        <f>IFERROR(IF(_xlfn.MAXIFS(Mantenciones!$D:$D,Mantenciones!$B:$B,$A201,Mantenciones!$E:$E,"Sí",Mantenciones!$D:$D,"&gt;0")=0,"Sin datos de mantención registrado",_xlfn.MAXIFS(Mantenciones!$D:$D,Mantenciones!$B:$B,$A201,Mantenciones!$E:$E,"Sí",Mantenciones!$D:$D,"&gt;0")),"Sin datos de mantención registrado")</f>
        <v>61575</v>
      </c>
      <c r="S201" s="19">
        <f>IFERROR(SUMIFS(tblMantenciones[Costo Mantencion CLP],tblMantenciones[Codigo],tblMaestroEquipos[[#This Row],[Codigo]]),0)</f>
        <v>0</v>
      </c>
      <c r="T201" s="19">
        <f>IFERROR(SUMIFS(tblComprasPM[Costo PM CLP],tblComprasPM[Codigo],tblMaestroEquipos[[#This Row],[Codigo]]),0)</f>
        <v>0</v>
      </c>
      <c r="U201" s="19">
        <f>IFERROR(tblMaestroEquipos[[#This Row],[Costo Mantenciones CLP]]+tblMaestroEquipos[[#This Row],[Costo Compras PM CLP]],0)</f>
        <v>0</v>
      </c>
      <c r="V201" s="16" t="str">
        <f>IFERROR(_xlfn.XLOOKUP(tblMaestroEquipos[[#This Row],[Codigo]],tblEquipos[Codigo],tblEquipos[Estado Base]),"")</f>
        <v>Fuera de Servicio</v>
      </c>
      <c r="W201" s="16" t="str">
        <f t="shared" si="24"/>
        <v>FUERA DE SERVICIO</v>
      </c>
      <c r="X201" s="16" t="str">
        <f t="shared" si="25"/>
        <v/>
      </c>
      <c r="Y201"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01" s="23" t="str">
        <f>IFERROR(IF(_xlfn.MINIFS(tblComprasPM[Fecha],tblComprasPM[Codigo],tblMaestroEquipos[[#This Row],[Codigo]])=0,"",_xlfn.MINIFS(tblComprasPM[Fecha],tblComprasPM[Codigo],tblMaestroEquipos[[#This Row],[Codigo]])),"")</f>
        <v/>
      </c>
      <c r="AA201" s="23" t="str">
        <f>IFERROR(IF(_xlfn.MAXIFS(tblBodega[Fecha],tblBodega[Codigo],tblMaestroEquipos[[#This Row],[Codigo]])=0,"",_xlfn.MAXIFS(tblBodega[Fecha],tblBodega[Codigo],tblMaestroEquipos[[#This Row],[Codigo]])),"")</f>
        <v/>
      </c>
      <c r="AB201"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01"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01" s="16" t="str">
        <f>IF(tblMaestroEquipos[[#This Row],[Fecha Salida Bodega]]="","SIN SALIDA BODEGA",IF(OR(tblMaestroEquipos[[#This Row],[Ultima Fecha PM]]="",tblMaestroEquipos[[#This Row],[Ultima Fecha PM]]&lt;tblMaestroEquipos[[#This Row],[Fecha Salida Bodega]]),"PENDIENTE","CERRADO"))</f>
        <v>SIN SALIDA BODEGA</v>
      </c>
      <c r="AE201" s="48" t="str">
        <f t="shared" si="26"/>
        <v>FUERA DE SERVICIO</v>
      </c>
      <c r="AF201" s="16" t="str">
        <f t="shared" si="27"/>
        <v>NO APLICA</v>
      </c>
      <c r="AG201" s="16" t="str">
        <f t="shared" si="28"/>
        <v>No programar compra</v>
      </c>
      <c r="AH201" s="25">
        <f t="shared" si="29"/>
        <v>0</v>
      </c>
      <c r="AI201" s="25" t="str">
        <f t="shared" si="30"/>
        <v/>
      </c>
      <c r="AJ201" s="22">
        <f t="shared" si="31"/>
        <v>99</v>
      </c>
    </row>
    <row r="202" spans="1:36">
      <c r="A202" s="16" t="s">
        <v>581</v>
      </c>
      <c r="B202" s="16" t="s">
        <v>461</v>
      </c>
      <c r="C202" s="16" t="s">
        <v>1414</v>
      </c>
      <c r="D202" s="16" t="s">
        <v>98</v>
      </c>
      <c r="E202" s="17" t="s">
        <v>574</v>
      </c>
      <c r="F202" s="16">
        <v>2021</v>
      </c>
      <c r="G202" s="17" t="str">
        <f>IFERROR(_xlfn.XLOOKUP($A202,tblEquipos[Codigo],tblEquipos[Ubicacion],""),"")</f>
        <v>Taller Demotron</v>
      </c>
      <c r="H202" s="16" t="s">
        <v>56</v>
      </c>
      <c r="I202" s="16" t="str">
        <f>IFERROR(VLOOKUP(A202, Equipos!A:J, 9, FALSE), "")</f>
        <v>KM</v>
      </c>
      <c r="J202" s="16">
        <f>IFERROR(VLOOKUP(A202, Equipos!A:J, 10, FALSE), "")</f>
        <v>15000</v>
      </c>
      <c r="K202" s="16">
        <f>IFERROR(IF($I202="KM",ROUND((_xlfn.MAXIFS(tblLecturas[Kilometraje],tblLecturas[Codigo],$A202)-_xlfn.MINIFS(tblLecturas[Kilometraje],tblLecturas[Codigo],$A202))/(MAX(1,_xlfn.MAXIFS(tblLecturas[Fecha],tblLecturas[Codigo],$A202)-_xlfn.MINIFS(tblLecturas[Fecha],tblLecturas[Codigo],$A202))),1),ROUND((_xlfn.MAXIFS(tblLecturas[Horometro],tblLecturas[Codigo],$A202)-_xlfn.MINIFS(tblLecturas[Horometro],tblLecturas[Codigo],$A202))/(MAX(1,_xlfn.MAXIFS(tblLecturas[Fecha],tblLecturas[Codigo],$A202)-_xlfn.MINIFS(tblLecturas[Fecha],tblLecturas[Codigo],$A202))),1)),"")</f>
        <v>168.2</v>
      </c>
      <c r="L202" s="18">
        <f>IFERROR(_xlfn.MAXIFS(tblLecturas[Fecha],tblLecturas[Codigo],$A202),"")</f>
        <v>46129</v>
      </c>
      <c r="M202" s="24">
        <f>IFERROR(_xlfn.MAXIFS(Lecturas!$C:$C,Lecturas!$B:$B,$A202,Lecturas!$C:$C,"&gt;0"),"")</f>
        <v>0</v>
      </c>
      <c r="N202" s="24">
        <f>IFERROR(_xlfn.MAXIFS(tblLecturas[Kilometraje],tblLecturas[Codigo],$A202,tblLecturas[Kilometraje],"&gt;0"),"")</f>
        <v>158014</v>
      </c>
      <c r="O202" s="24" cm="1">
        <f t="array" ref="O202">IFERROR(IF($I202="KM",LOOKUP(2,1/(Lecturas!$B:$B=$A202)/(Lecturas!$D:$D&gt;0),Lecturas!$D:$D),LOOKUP(2,1/(Lecturas!$B:$B=$A202)/(Lecturas!$C:$C&gt;0),Lecturas!$C:$C)),"")</f>
        <v>158014</v>
      </c>
      <c r="P202" s="18">
        <f>IFERROR(_xlfn.MAXIFS(tblMantenciones[Fecha],tblMantenciones[Codigo],tblMaestroEquipos[[#This Row],[Codigo]],tblMantenciones[EsPM],"Sí"),"")</f>
        <v>46141</v>
      </c>
      <c r="Q202" s="70">
        <f>IF(_xlfn.MAXIFS(Mantenciones!$D:$D,Mantenciones!$B:$B,A202)=0,"Sin datos de mantención registrado",_xlfn.MAXIFS(Mantenciones!$D:$D,Mantenciones!$B:$B,A202))</f>
        <v>158018</v>
      </c>
      <c r="R202" s="16">
        <f>IFERROR(IF(_xlfn.MAXIFS(Mantenciones!$D:$D,Mantenciones!$B:$B,$A202,Mantenciones!$E:$E,"Sí",Mantenciones!$D:$D,"&gt;0")=0,"Sin datos de mantención registrado",_xlfn.MAXIFS(Mantenciones!$D:$D,Mantenciones!$B:$B,$A202,Mantenciones!$E:$E,"Sí",Mantenciones!$D:$D,"&gt;0")),"Sin datos de mantención registrado")</f>
        <v>158018</v>
      </c>
      <c r="S202" s="19">
        <f>IFERROR(SUMIFS(tblMantenciones[Costo Mantencion CLP],tblMantenciones[Codigo],tblMaestroEquipos[[#This Row],[Codigo]]),0)</f>
        <v>0</v>
      </c>
      <c r="T202" s="19">
        <f>IFERROR(SUMIFS(tblComprasPM[Costo PM CLP],tblComprasPM[Codigo],tblMaestroEquipos[[#This Row],[Codigo]]),0)</f>
        <v>0</v>
      </c>
      <c r="U202" s="19">
        <f>IFERROR(tblMaestroEquipos[[#This Row],[Costo Mantenciones CLP]]+tblMaestroEquipos[[#This Row],[Costo Compras PM CLP]],0)</f>
        <v>0</v>
      </c>
      <c r="V202" s="16" t="str">
        <f>IFERROR(_xlfn.XLOOKUP(tblMaestroEquipos[[#This Row],[Codigo]],tblEquipos[Codigo],tblEquipos[Estado Base]),"")</f>
        <v>Operativo</v>
      </c>
      <c r="W202" s="16" t="str">
        <f t="shared" si="24"/>
        <v>AL DÍA</v>
      </c>
      <c r="X202" s="16">
        <f t="shared" si="25"/>
        <v>15004</v>
      </c>
      <c r="Y202" s="23">
        <f>IFERROR(IF(OR(tblMaestroEquipos[[#This Row],[Estado Operacional]]="FUERA DE SERVICIO",tblMaestroEquipos[[#This Row],[Ultima Fecha Lectura]]="",tblMaestroEquipos[[#This Row],[Dias a Proxima Mantencion]]=""),"",tblMaestroEquipos[[#This Row],[Ultima Fecha Lectura]]+tblMaestroEquipos[[#This Row],[Dias a Proxima Mantencion]]),"")</f>
        <v>61133</v>
      </c>
      <c r="Z202" s="23" t="str">
        <f>IFERROR(IF(_xlfn.MINIFS(tblComprasPM[Fecha],tblComprasPM[Codigo],tblMaestroEquipos[[#This Row],[Codigo]])=0,"",_xlfn.MINIFS(tblComprasPM[Fecha],tblComprasPM[Codigo],tblMaestroEquipos[[#This Row],[Codigo]])),"")</f>
        <v/>
      </c>
      <c r="AA202" s="23">
        <f>IFERROR(IF(_xlfn.MAXIFS(tblBodega[Fecha],tblBodega[Codigo],tblMaestroEquipos[[#This Row],[Codigo]])=0,"",_xlfn.MAXIFS(tblBodega[Fecha],tblBodega[Codigo],tblMaestroEquipos[[#This Row],[Codigo]])),"")</f>
        <v>46073</v>
      </c>
      <c r="AB202"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02"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68</v>
      </c>
      <c r="AD202" s="16" t="str">
        <f>IF(tblMaestroEquipos[[#This Row],[Fecha Salida Bodega]]="","SIN SALIDA BODEGA",IF(OR(tblMaestroEquipos[[#This Row],[Ultima Fecha PM]]="",tblMaestroEquipos[[#This Row],[Ultima Fecha PM]]&lt;tblMaestroEquipos[[#This Row],[Fecha Salida Bodega]]),"PENDIENTE","CERRADO"))</f>
        <v>CERRADO</v>
      </c>
      <c r="AE202" s="48" t="str">
        <f t="shared" si="26"/>
        <v>OPERATIVO</v>
      </c>
      <c r="AF202" s="16" t="str">
        <f t="shared" si="27"/>
        <v>BAJA</v>
      </c>
      <c r="AG202" s="16" t="str">
        <f t="shared" si="28"/>
        <v>Monitorear próximo vencimiento</v>
      </c>
      <c r="AH202">
        <f t="shared" si="29"/>
        <v>0</v>
      </c>
      <c r="AI202" t="str">
        <f t="shared" si="30"/>
        <v/>
      </c>
      <c r="AJ202" s="22">
        <f t="shared" si="31"/>
        <v>99</v>
      </c>
    </row>
    <row r="203" spans="1:36">
      <c r="A203" s="16" t="s">
        <v>582</v>
      </c>
      <c r="B203" s="16" t="s">
        <v>461</v>
      </c>
      <c r="C203" s="16" t="s">
        <v>1414</v>
      </c>
      <c r="D203" s="16" t="s">
        <v>98</v>
      </c>
      <c r="E203" s="17" t="s">
        <v>583</v>
      </c>
      <c r="F203" s="16">
        <v>2021</v>
      </c>
      <c r="G203" s="17">
        <f>IFERROR(_xlfn.XLOOKUP($A203,tblEquipos[Codigo],tblEquipos[Ubicacion],""),"")</f>
        <v>0</v>
      </c>
      <c r="H203" s="16" t="s">
        <v>575</v>
      </c>
      <c r="I203" s="16" t="str">
        <f>IFERROR(VLOOKUP(A203, Equipos!A:J, 9, FALSE), "")</f>
        <v>KM</v>
      </c>
      <c r="J203" s="16">
        <f>IFERROR(VLOOKUP(A203, Equipos!A:J, 10, FALSE), "")</f>
        <v>15000</v>
      </c>
      <c r="K203" s="16">
        <f>IFERROR(IF($I203="KM",ROUND((_xlfn.MAXIFS(tblLecturas[Kilometraje],tblLecturas[Codigo],$A203)-_xlfn.MINIFS(tblLecturas[Kilometraje],tblLecturas[Codigo],$A203))/(MAX(1,_xlfn.MAXIFS(tblLecturas[Fecha],tblLecturas[Codigo],$A203)-_xlfn.MINIFS(tblLecturas[Fecha],tblLecturas[Codigo],$A203))),1),ROUND((_xlfn.MAXIFS(tblLecturas[Horometro],tblLecturas[Codigo],$A203)-_xlfn.MINIFS(tblLecturas[Horometro],tblLecturas[Codigo],$A203))/(MAX(1,_xlfn.MAXIFS(tblLecturas[Fecha],tblLecturas[Codigo],$A203)-_xlfn.MINIFS(tblLecturas[Fecha],tblLecturas[Codigo],$A203))),1)),"")</f>
        <v>0</v>
      </c>
      <c r="L203" s="18">
        <f>IFERROR(_xlfn.MAXIFS(tblLecturas[Fecha],tblLecturas[Codigo],$A203),"")</f>
        <v>0</v>
      </c>
      <c r="M203" s="24">
        <f>IFERROR(_xlfn.MAXIFS(Lecturas!$C:$C,Lecturas!$B:$B,$A203,Lecturas!$C:$C,"&gt;0"),"")</f>
        <v>0</v>
      </c>
      <c r="N203" s="24">
        <f>IFERROR(_xlfn.MAXIFS(tblLecturas[Kilometraje],tblLecturas[Codigo],$A203,tblLecturas[Kilometraje],"&gt;0"),"")</f>
        <v>0</v>
      </c>
      <c r="O203" s="24" t="str" cm="1">
        <f t="array" ref="O203">IFERROR(IF($I203="KM",LOOKUP(2,1/(Lecturas!$B:$B=$A203)/(Lecturas!$D:$D&gt;0),Lecturas!$D:$D),LOOKUP(2,1/(Lecturas!$B:$B=$A203)/(Lecturas!$C:$C&gt;0),Lecturas!$C:$C)),"")</f>
        <v/>
      </c>
      <c r="P203" s="18">
        <f>IFERROR(_xlfn.MAXIFS(tblMantenciones[Fecha],tblMantenciones[Codigo],tblMaestroEquipos[[#This Row],[Codigo]],tblMantenciones[EsPM],"Sí"),"")</f>
        <v>44831</v>
      </c>
      <c r="Q203" s="70" t="str">
        <f>IF(_xlfn.MAXIFS(Mantenciones!$D:$D,Mantenciones!$B:$B,A203)=0,"Sin datos de mantención registrado",_xlfn.MAXIFS(Mantenciones!$D:$D,Mantenciones!$B:$B,A203))</f>
        <v>Sin datos de mantención registrado</v>
      </c>
      <c r="R203" s="16" t="str">
        <f>IFERROR(IF(_xlfn.MAXIFS(Mantenciones!$D:$D,Mantenciones!$B:$B,$A203,Mantenciones!$E:$E,"Sí",Mantenciones!$D:$D,"&gt;0")=0,"Sin datos de mantención registrado",_xlfn.MAXIFS(Mantenciones!$D:$D,Mantenciones!$B:$B,$A203,Mantenciones!$E:$E,"Sí",Mantenciones!$D:$D,"&gt;0")),"Sin datos de mantención registrado")</f>
        <v>Sin datos de mantención registrado</v>
      </c>
      <c r="S203" s="19">
        <f>IFERROR(SUMIFS(tblMantenciones[Costo Mantencion CLP],tblMantenciones[Codigo],tblMaestroEquipos[[#This Row],[Codigo]]),0)</f>
        <v>0</v>
      </c>
      <c r="T203" s="19">
        <f>IFERROR(SUMIFS(tblComprasPM[Costo PM CLP],tblComprasPM[Codigo],tblMaestroEquipos[[#This Row],[Codigo]]),0)</f>
        <v>0</v>
      </c>
      <c r="U203" s="19">
        <f>IFERROR(tblMaestroEquipos[[#This Row],[Costo Mantenciones CLP]]+tblMaestroEquipos[[#This Row],[Costo Compras PM CLP]],0)</f>
        <v>0</v>
      </c>
      <c r="V203" s="16" t="str">
        <f>IFERROR(_xlfn.XLOOKUP(tblMaestroEquipos[[#This Row],[Codigo]],tblEquipos[Codigo],tblEquipos[Estado Base]),"")</f>
        <v>Fuera de Servicio</v>
      </c>
      <c r="W203" s="16" t="str">
        <f t="shared" si="24"/>
        <v>FUERA DE SERVICIO</v>
      </c>
      <c r="X203" s="16" t="str">
        <f t="shared" si="25"/>
        <v/>
      </c>
      <c r="Y203"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03" s="23" t="str">
        <f>IFERROR(IF(_xlfn.MINIFS(tblComprasPM[Fecha],tblComprasPM[Codigo],tblMaestroEquipos[[#This Row],[Codigo]])=0,"",_xlfn.MINIFS(tblComprasPM[Fecha],tblComprasPM[Codigo],tblMaestroEquipos[[#This Row],[Codigo]])),"")</f>
        <v/>
      </c>
      <c r="AA203" s="23" t="str">
        <f>IFERROR(IF(_xlfn.MAXIFS(tblBodega[Fecha],tblBodega[Codigo],tblMaestroEquipos[[#This Row],[Codigo]])=0,"",_xlfn.MAXIFS(tblBodega[Fecha],tblBodega[Codigo],tblMaestroEquipos[[#This Row],[Codigo]])),"")</f>
        <v/>
      </c>
      <c r="AB203"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03"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03" s="16" t="str">
        <f>IF(tblMaestroEquipos[[#This Row],[Fecha Salida Bodega]]="","SIN SALIDA BODEGA",IF(OR(tblMaestroEquipos[[#This Row],[Ultima Fecha PM]]="",tblMaestroEquipos[[#This Row],[Ultima Fecha PM]]&lt;tblMaestroEquipos[[#This Row],[Fecha Salida Bodega]]),"PENDIENTE","CERRADO"))</f>
        <v>SIN SALIDA BODEGA</v>
      </c>
      <c r="AE203" s="48" t="str">
        <f t="shared" si="26"/>
        <v>FUERA DE SERVICIO</v>
      </c>
      <c r="AF203" s="16" t="str">
        <f t="shared" si="27"/>
        <v>NO APLICA</v>
      </c>
      <c r="AG203" s="16" t="str">
        <f t="shared" si="28"/>
        <v>No programar compra</v>
      </c>
      <c r="AH203" s="25">
        <f t="shared" si="29"/>
        <v>0</v>
      </c>
      <c r="AI203" s="25" t="str">
        <f t="shared" si="30"/>
        <v/>
      </c>
      <c r="AJ203" s="22">
        <f t="shared" si="31"/>
        <v>99</v>
      </c>
    </row>
    <row r="204" spans="1:36">
      <c r="A204" s="16" t="s">
        <v>584</v>
      </c>
      <c r="B204" s="16" t="s">
        <v>461</v>
      </c>
      <c r="C204" s="16" t="s">
        <v>1414</v>
      </c>
      <c r="D204" s="16" t="s">
        <v>98</v>
      </c>
      <c r="E204" s="17" t="s">
        <v>574</v>
      </c>
      <c r="F204" s="16">
        <v>2021</v>
      </c>
      <c r="G204" s="17" t="str">
        <f>IFERROR(_xlfn.XLOOKUP($A204,tblEquipos[Codigo],tblEquipos[Ubicacion],""),"")</f>
        <v>Asfalto</v>
      </c>
      <c r="H204" s="16" t="s">
        <v>56</v>
      </c>
      <c r="I204" s="16" t="str">
        <f>IFERROR(VLOOKUP(A204, Equipos!A:J, 9, FALSE), "")</f>
        <v>KM</v>
      </c>
      <c r="J204" s="16">
        <f>IFERROR(VLOOKUP(A204, Equipos!A:J, 10, FALSE), "")</f>
        <v>15000</v>
      </c>
      <c r="K204" s="16">
        <f>IFERROR(IF($I204="KM",ROUND((_xlfn.MAXIFS(tblLecturas[Kilometraje],tblLecturas[Codigo],$A204)-_xlfn.MINIFS(tblLecturas[Kilometraje],tblLecturas[Codigo],$A204))/(MAX(1,_xlfn.MAXIFS(tblLecturas[Fecha],tblLecturas[Codigo],$A204)-_xlfn.MINIFS(tblLecturas[Fecha],tblLecturas[Codigo],$A204))),1),ROUND((_xlfn.MAXIFS(tblLecturas[Horometro],tblLecturas[Codigo],$A204)-_xlfn.MINIFS(tblLecturas[Horometro],tblLecturas[Codigo],$A204))/(MAX(1,_xlfn.MAXIFS(tblLecturas[Fecha],tblLecturas[Codigo],$A204)-_xlfn.MINIFS(tblLecturas[Fecha],tblLecturas[Codigo],$A204))),1)),"")</f>
        <v>21.6</v>
      </c>
      <c r="L204" s="18">
        <f>IFERROR(_xlfn.MAXIFS(tblLecturas[Fecha],tblLecturas[Codigo],$A204),"")</f>
        <v>46133</v>
      </c>
      <c r="M204" s="24">
        <f>IFERROR(_xlfn.MAXIFS(Lecturas!$C:$C,Lecturas!$B:$B,$A204,Lecturas!$C:$C,"&gt;0"),"")</f>
        <v>0</v>
      </c>
      <c r="N204" s="24">
        <f>IFERROR(_xlfn.MAXIFS(tblLecturas[Kilometraje],tblLecturas[Codigo],$A204,tblLecturas[Kilometraje],"&gt;0"),"")</f>
        <v>188442</v>
      </c>
      <c r="O204" s="24" cm="1">
        <f t="array" ref="O204">IFERROR(IF($I204="KM",LOOKUP(2,1/(Lecturas!$B:$B=$A204)/(Lecturas!$D:$D&gt;0),Lecturas!$D:$D),LOOKUP(2,1/(Lecturas!$B:$B=$A204)/(Lecturas!$C:$C&gt;0),Lecturas!$C:$C)),"")</f>
        <v>186218</v>
      </c>
      <c r="P204" s="18">
        <f>IFERROR(_xlfn.MAXIFS(tblMantenciones[Fecha],tblMantenciones[Codigo],tblMaestroEquipos[[#This Row],[Codigo]],tblMantenciones[EsPM],"Sí"),"")</f>
        <v>45219</v>
      </c>
      <c r="Q204" s="70">
        <f>IF(_xlfn.MAXIFS(Mantenciones!$D:$D,Mantenciones!$B:$B,A204)=0,"Sin datos de mantención registrado",_xlfn.MAXIFS(Mantenciones!$D:$D,Mantenciones!$B:$B,A204))</f>
        <v>119559</v>
      </c>
      <c r="R204" s="16">
        <f>IFERROR(IF(_xlfn.MAXIFS(Mantenciones!$D:$D,Mantenciones!$B:$B,$A204,Mantenciones!$E:$E,"Sí",Mantenciones!$D:$D,"&gt;0")=0,"Sin datos de mantención registrado",_xlfn.MAXIFS(Mantenciones!$D:$D,Mantenciones!$B:$B,$A204,Mantenciones!$E:$E,"Sí",Mantenciones!$D:$D,"&gt;0")),"Sin datos de mantención registrado")</f>
        <v>119559</v>
      </c>
      <c r="S204" s="19">
        <f>IFERROR(SUMIFS(tblMantenciones[Costo Mantencion CLP],tblMantenciones[Codigo],tblMaestroEquipos[[#This Row],[Codigo]]),0)</f>
        <v>0</v>
      </c>
      <c r="T204" s="19">
        <f>IFERROR(SUMIFS(tblComprasPM[Costo PM CLP],tblComprasPM[Codigo],tblMaestroEquipos[[#This Row],[Codigo]]),0)</f>
        <v>0</v>
      </c>
      <c r="U204" s="19">
        <f>IFERROR(tblMaestroEquipos[[#This Row],[Costo Mantenciones CLP]]+tblMaestroEquipos[[#This Row],[Costo Compras PM CLP]],0)</f>
        <v>0</v>
      </c>
      <c r="V204" s="16" t="str">
        <f>IFERROR(_xlfn.XLOOKUP(tblMaestroEquipos[[#This Row],[Codigo]],tblEquipos[Codigo],tblEquipos[Estado Base]),"")</f>
        <v>Operativo</v>
      </c>
      <c r="W204" s="16" t="str">
        <f t="shared" si="24"/>
        <v>POR RECIBIR</v>
      </c>
      <c r="X204" s="16">
        <f t="shared" si="25"/>
        <v>-51659</v>
      </c>
      <c r="Y204" s="23">
        <f>IFERROR(IF(OR(tblMaestroEquipos[[#This Row],[Estado Operacional]]="FUERA DE SERVICIO",tblMaestroEquipos[[#This Row],[Ultima Fecha Lectura]]="",tblMaestroEquipos[[#This Row],[Dias a Proxima Mantencion]]=""),"",tblMaestroEquipos[[#This Row],[Ultima Fecha Lectura]]+tblMaestroEquipos[[#This Row],[Dias a Proxima Mantencion]]),"")</f>
        <v>-5526</v>
      </c>
      <c r="Z204" s="23" t="str">
        <f>IFERROR(IF(_xlfn.MINIFS(tblComprasPM[Fecha],tblComprasPM[Codigo],tblMaestroEquipos[[#This Row],[Codigo]])=0,"",_xlfn.MINIFS(tblComprasPM[Fecha],tblComprasPM[Codigo],tblMaestroEquipos[[#This Row],[Codigo]])),"")</f>
        <v/>
      </c>
      <c r="AA204" s="23">
        <f>IFERROR(IF(_xlfn.MAXIFS(tblBodega[Fecha],tblBodega[Codigo],tblMaestroEquipos[[#This Row],[Codigo]])=0,"",_xlfn.MAXIFS(tblBodega[Fecha],tblBodega[Codigo],tblMaestroEquipos[[#This Row],[Codigo]])),"")</f>
        <v>46118</v>
      </c>
      <c r="AB204"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04"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204" s="16" t="str">
        <f>IF(tblMaestroEquipos[[#This Row],[Fecha Salida Bodega]]="","SIN SALIDA BODEGA",IF(OR(tblMaestroEquipos[[#This Row],[Ultima Fecha PM]]="",tblMaestroEquipos[[#This Row],[Ultima Fecha PM]]&lt;tblMaestroEquipos[[#This Row],[Fecha Salida Bodega]]),"PENDIENTE","CERRADO"))</f>
        <v>PENDIENTE</v>
      </c>
      <c r="AE204" s="48" t="str">
        <f t="shared" si="26"/>
        <v>OPERATIVO</v>
      </c>
      <c r="AF204" s="16" t="str">
        <f t="shared" si="27"/>
        <v>BAJA</v>
      </c>
      <c r="AG204" s="16" t="str">
        <f t="shared" si="28"/>
        <v>Monitorear próximo vencimiento</v>
      </c>
      <c r="AH204">
        <f t="shared" si="29"/>
        <v>0</v>
      </c>
      <c r="AI204" t="str">
        <f t="shared" si="30"/>
        <v/>
      </c>
      <c r="AJ204" s="22">
        <f t="shared" si="31"/>
        <v>3</v>
      </c>
    </row>
    <row r="205" spans="1:36" s="25" customFormat="1">
      <c r="A205" s="16" t="s">
        <v>586</v>
      </c>
      <c r="B205" s="16" t="s">
        <v>461</v>
      </c>
      <c r="C205" s="16" t="s">
        <v>1414</v>
      </c>
      <c r="D205" s="16" t="s">
        <v>98</v>
      </c>
      <c r="E205" s="17" t="s">
        <v>574</v>
      </c>
      <c r="F205" s="16">
        <v>2021</v>
      </c>
      <c r="G205" s="17" t="str">
        <f>IFERROR(_xlfn.XLOOKUP($A205,tblEquipos[Codigo],tblEquipos[Ubicacion],""),"")</f>
        <v>San Nicolas</v>
      </c>
      <c r="H205" s="16" t="s">
        <v>56</v>
      </c>
      <c r="I205" s="16" t="str">
        <f>IFERROR(VLOOKUP(A205, Equipos!A:J, 9, FALSE), "")</f>
        <v>KM</v>
      </c>
      <c r="J205" s="16">
        <f>IFERROR(VLOOKUP(A205, Equipos!A:J, 10, FALSE), "")</f>
        <v>10000</v>
      </c>
      <c r="K205" s="16">
        <f>IFERROR(IF($I205="KM",ROUND((_xlfn.MAXIFS(tblLecturas[Kilometraje],tblLecturas[Codigo],$A205)-_xlfn.MINIFS(tblLecturas[Kilometraje],tblLecturas[Codigo],$A205))/(MAX(1,_xlfn.MAXIFS(tblLecturas[Fecha],tblLecturas[Codigo],$A205)-_xlfn.MINIFS(tblLecturas[Fecha],tblLecturas[Codigo],$A205))),1),ROUND((_xlfn.MAXIFS(tblLecturas[Horometro],tblLecturas[Codigo],$A205)-_xlfn.MINIFS(tblLecturas[Horometro],tblLecturas[Codigo],$A205))/(MAX(1,_xlfn.MAXIFS(tblLecturas[Fecha],tblLecturas[Codigo],$A205)-_xlfn.MINIFS(tblLecturas[Fecha],tblLecturas[Codigo],$A205))),1)),"")</f>
        <v>93.6</v>
      </c>
      <c r="L205" s="18">
        <f>IFERROR(_xlfn.MAXIFS(tblLecturas[Fecha],tblLecturas[Codigo],$A205),"")</f>
        <v>46133</v>
      </c>
      <c r="M205" s="24">
        <f>IFERROR(_xlfn.MAXIFS(Lecturas!$C:$C,Lecturas!$B:$B,$A205,Lecturas!$C:$C,"&gt;0"),"")</f>
        <v>0</v>
      </c>
      <c r="N205" s="24">
        <f>IFERROR(_xlfn.MAXIFS(tblLecturas[Kilometraje],tblLecturas[Codigo],$A205,tblLecturas[Kilometraje],"&gt;0"),"")</f>
        <v>242494</v>
      </c>
      <c r="O205" s="24" cm="1">
        <f t="array" ref="O205">IFERROR(IF($I205="KM",LOOKUP(2,1/(Lecturas!$B:$B=$A205)/(Lecturas!$D:$D&gt;0),Lecturas!$D:$D),LOOKUP(2,1/(Lecturas!$B:$B=$A205)/(Lecturas!$C:$C&gt;0),Lecturas!$C:$C)),"")</f>
        <v>237160</v>
      </c>
      <c r="P205" s="18">
        <f>IFERROR(_xlfn.MAXIFS(tblMantenciones[Fecha],tblMantenciones[Codigo],tblMaestroEquipos[[#This Row],[Codigo]],tblMantenciones[EsPM],"Sí"),"")</f>
        <v>46099</v>
      </c>
      <c r="Q205" s="70">
        <f>IF(_xlfn.MAXIFS(Mantenciones!$D:$D,Mantenciones!$B:$B,A205)=0,"Sin datos de mantención registrado",_xlfn.MAXIFS(Mantenciones!$D:$D,Mantenciones!$B:$B,A205))</f>
        <v>241448</v>
      </c>
      <c r="R205" s="16">
        <f>IFERROR(IF(_xlfn.MAXIFS(Mantenciones!$D:$D,Mantenciones!$B:$B,$A205,Mantenciones!$E:$E,"Sí",Mantenciones!$D:$D,"&gt;0")=0,"Sin datos de mantención registrado",_xlfn.MAXIFS(Mantenciones!$D:$D,Mantenciones!$B:$B,$A205,Mantenciones!$E:$E,"Sí",Mantenciones!$D:$D,"&gt;0")),"Sin datos de mantención registrado")</f>
        <v>241448</v>
      </c>
      <c r="S205" s="19">
        <f>IFERROR(SUMIFS(tblMantenciones[Costo Mantencion CLP],tblMantenciones[Codigo],tblMaestroEquipos[[#This Row],[Codigo]]),0)</f>
        <v>0</v>
      </c>
      <c r="T205" s="19">
        <f>IFERROR(SUMIFS(tblComprasPM[Costo PM CLP],tblComprasPM[Codigo],tblMaestroEquipos[[#This Row],[Codigo]]),0)</f>
        <v>0</v>
      </c>
      <c r="U205" s="19">
        <f>IFERROR(tblMaestroEquipos[[#This Row],[Costo Mantenciones CLP]]+tblMaestroEquipos[[#This Row],[Costo Compras PM CLP]],0)</f>
        <v>0</v>
      </c>
      <c r="V205" s="16" t="str">
        <f>IFERROR(_xlfn.XLOOKUP(tblMaestroEquipos[[#This Row],[Codigo]],tblEquipos[Codigo],tblEquipos[Estado Base]),"")</f>
        <v>Fuera de Servicio</v>
      </c>
      <c r="W205" s="16" t="str">
        <f t="shared" si="24"/>
        <v>FUERA DE SERVICIO</v>
      </c>
      <c r="X205" s="16">
        <f t="shared" si="25"/>
        <v>14288</v>
      </c>
      <c r="Y205"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05" s="23" t="str">
        <f>IFERROR(IF(_xlfn.MINIFS(tblComprasPM[Fecha],tblComprasPM[Codigo],tblMaestroEquipos[[#This Row],[Codigo]])=0,"",_xlfn.MINIFS(tblComprasPM[Fecha],tblComprasPM[Codigo],tblMaestroEquipos[[#This Row],[Codigo]])),"")</f>
        <v/>
      </c>
      <c r="AA205" s="23" t="str">
        <f>IFERROR(IF(_xlfn.MAXIFS(tblBodega[Fecha],tblBodega[Codigo],tblMaestroEquipos[[#This Row],[Codigo]])=0,"",_xlfn.MAXIFS(tblBodega[Fecha],tblBodega[Codigo],tblMaestroEquipos[[#This Row],[Codigo]])),"")</f>
        <v/>
      </c>
      <c r="AB205"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05"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05" s="16" t="str">
        <f>IF(tblMaestroEquipos[[#This Row],[Fecha Salida Bodega]]="","SIN SALIDA BODEGA",IF(OR(tblMaestroEquipos[[#This Row],[Ultima Fecha PM]]="",tblMaestroEquipos[[#This Row],[Ultima Fecha PM]]&lt;tblMaestroEquipos[[#This Row],[Fecha Salida Bodega]]),"PENDIENTE","CERRADO"))</f>
        <v>SIN SALIDA BODEGA</v>
      </c>
      <c r="AE205" s="48" t="str">
        <f t="shared" si="26"/>
        <v>FUERA DE SERVICIO</v>
      </c>
      <c r="AF205" s="16" t="str">
        <f t="shared" si="27"/>
        <v>NO APLICA</v>
      </c>
      <c r="AG205" s="16" t="str">
        <f t="shared" si="28"/>
        <v>No programar compra</v>
      </c>
      <c r="AH205">
        <f t="shared" si="29"/>
        <v>0</v>
      </c>
      <c r="AI205" t="str">
        <f t="shared" si="30"/>
        <v/>
      </c>
      <c r="AJ205" s="22">
        <f t="shared" si="31"/>
        <v>99</v>
      </c>
    </row>
    <row r="206" spans="1:36" s="25" customFormat="1">
      <c r="A206" s="16" t="s">
        <v>587</v>
      </c>
      <c r="B206" s="16" t="s">
        <v>461</v>
      </c>
      <c r="C206" s="16" t="s">
        <v>1414</v>
      </c>
      <c r="D206" s="16" t="s">
        <v>98</v>
      </c>
      <c r="E206" s="17" t="s">
        <v>574</v>
      </c>
      <c r="F206" s="16">
        <v>2021</v>
      </c>
      <c r="G206" s="17">
        <f>IFERROR(_xlfn.XLOOKUP($A206,tblEquipos[Codigo],tblEquipos[Ubicacion],""),"")</f>
        <v>0</v>
      </c>
      <c r="H206" s="16" t="s">
        <v>575</v>
      </c>
      <c r="I206" s="16" t="str">
        <f>IFERROR(VLOOKUP(A206, Equipos!A:J, 9, FALSE), "")</f>
        <v>KM</v>
      </c>
      <c r="J206" s="16">
        <f>IFERROR(VLOOKUP(A206, Equipos!A:J, 10, FALSE), "")</f>
        <v>15000</v>
      </c>
      <c r="K206" s="16">
        <f>IFERROR(IF($I206="KM",ROUND((_xlfn.MAXIFS(tblLecturas[Kilometraje],tblLecturas[Codigo],$A206)-_xlfn.MINIFS(tblLecturas[Kilometraje],tblLecturas[Codigo],$A206))/(MAX(1,_xlfn.MAXIFS(tblLecturas[Fecha],tblLecturas[Codigo],$A206)-_xlfn.MINIFS(tblLecturas[Fecha],tblLecturas[Codigo],$A206))),1),ROUND((_xlfn.MAXIFS(tblLecturas[Horometro],tblLecturas[Codigo],$A206)-_xlfn.MINIFS(tblLecturas[Horometro],tblLecturas[Codigo],$A206))/(MAX(1,_xlfn.MAXIFS(tblLecturas[Fecha],tblLecturas[Codigo],$A206)-_xlfn.MINIFS(tblLecturas[Fecha],tblLecturas[Codigo],$A206))),1)),"")</f>
        <v>0</v>
      </c>
      <c r="L206" s="18">
        <f>IFERROR(_xlfn.MAXIFS(tblLecturas[Fecha],tblLecturas[Codigo],$A206),"")</f>
        <v>0</v>
      </c>
      <c r="M206" s="24">
        <f>IFERROR(_xlfn.MAXIFS(Lecturas!$C:$C,Lecturas!$B:$B,$A206,Lecturas!$C:$C,"&gt;0"),"")</f>
        <v>0</v>
      </c>
      <c r="N206" s="24">
        <f>IFERROR(_xlfn.MAXIFS(tblLecturas[Kilometraje],tblLecturas[Codigo],$A206,tblLecturas[Kilometraje],"&gt;0"),"")</f>
        <v>0</v>
      </c>
      <c r="O206" s="24" t="str" cm="1">
        <f t="array" ref="O206">IFERROR(IF($I206="KM",LOOKUP(2,1/(Lecturas!$B:$B=$A206)/(Lecturas!$D:$D&gt;0),Lecturas!$D:$D),LOOKUP(2,1/(Lecturas!$B:$B=$A206)/(Lecturas!$C:$C&gt;0),Lecturas!$C:$C)),"")</f>
        <v/>
      </c>
      <c r="P206" s="18">
        <f>IFERROR(_xlfn.MAXIFS(tblMantenciones[Fecha],tblMantenciones[Codigo],tblMaestroEquipos[[#This Row],[Codigo]],tblMantenciones[EsPM],"Sí"),"")</f>
        <v>45202</v>
      </c>
      <c r="Q206" s="70">
        <f>IF(_xlfn.MAXIFS(Mantenciones!$D:$D,Mantenciones!$B:$B,A206)=0,"Sin datos de mantención registrado",_xlfn.MAXIFS(Mantenciones!$D:$D,Mantenciones!$B:$B,A206))</f>
        <v>26593</v>
      </c>
      <c r="R206" s="16">
        <f>IFERROR(IF(_xlfn.MAXIFS(Mantenciones!$D:$D,Mantenciones!$B:$B,$A206,Mantenciones!$E:$E,"Sí",Mantenciones!$D:$D,"&gt;0")=0,"Sin datos de mantención registrado",_xlfn.MAXIFS(Mantenciones!$D:$D,Mantenciones!$B:$B,$A206,Mantenciones!$E:$E,"Sí",Mantenciones!$D:$D,"&gt;0")),"Sin datos de mantención registrado")</f>
        <v>26593</v>
      </c>
      <c r="S206" s="19">
        <f>IFERROR(SUMIFS(tblMantenciones[Costo Mantencion CLP],tblMantenciones[Codigo],tblMaestroEquipos[[#This Row],[Codigo]]),0)</f>
        <v>0</v>
      </c>
      <c r="T206" s="19">
        <f>IFERROR(SUMIFS(tblComprasPM[Costo PM CLP],tblComprasPM[Codigo],tblMaestroEquipos[[#This Row],[Codigo]]),0)</f>
        <v>0</v>
      </c>
      <c r="U206" s="19">
        <f>IFERROR(tblMaestroEquipos[[#This Row],[Costo Mantenciones CLP]]+tblMaestroEquipos[[#This Row],[Costo Compras PM CLP]],0)</f>
        <v>0</v>
      </c>
      <c r="V206" s="16" t="str">
        <f>IFERROR(_xlfn.XLOOKUP(tblMaestroEquipos[[#This Row],[Codigo]],tblEquipos[Codigo],tblEquipos[Estado Base]),"")</f>
        <v>Fuera de Servicio</v>
      </c>
      <c r="W206" s="16" t="str">
        <f t="shared" si="24"/>
        <v>FUERA DE SERVICIO</v>
      </c>
      <c r="X206" s="16" t="str">
        <f t="shared" si="25"/>
        <v/>
      </c>
      <c r="Y206"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06" s="23" t="str">
        <f>IFERROR(IF(_xlfn.MINIFS(tblComprasPM[Fecha],tblComprasPM[Codigo],tblMaestroEquipos[[#This Row],[Codigo]])=0,"",_xlfn.MINIFS(tblComprasPM[Fecha],tblComprasPM[Codigo],tblMaestroEquipos[[#This Row],[Codigo]])),"")</f>
        <v/>
      </c>
      <c r="AA206" s="23" t="str">
        <f>IFERROR(IF(_xlfn.MAXIFS(tblBodega[Fecha],tblBodega[Codigo],tblMaestroEquipos[[#This Row],[Codigo]])=0,"",_xlfn.MAXIFS(tblBodega[Fecha],tblBodega[Codigo],tblMaestroEquipos[[#This Row],[Codigo]])),"")</f>
        <v/>
      </c>
      <c r="AB206"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06"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06" s="16" t="str">
        <f>IF(tblMaestroEquipos[[#This Row],[Fecha Salida Bodega]]="","SIN SALIDA BODEGA",IF(OR(tblMaestroEquipos[[#This Row],[Ultima Fecha PM]]="",tblMaestroEquipos[[#This Row],[Ultima Fecha PM]]&lt;tblMaestroEquipos[[#This Row],[Fecha Salida Bodega]]),"PENDIENTE","CERRADO"))</f>
        <v>SIN SALIDA BODEGA</v>
      </c>
      <c r="AE206" s="48" t="str">
        <f t="shared" si="26"/>
        <v>FUERA DE SERVICIO</v>
      </c>
      <c r="AF206" s="16" t="str">
        <f t="shared" si="27"/>
        <v>NO APLICA</v>
      </c>
      <c r="AG206" s="16" t="str">
        <f t="shared" si="28"/>
        <v>No programar compra</v>
      </c>
      <c r="AH206" s="25">
        <f t="shared" si="29"/>
        <v>0</v>
      </c>
      <c r="AI206" s="25" t="str">
        <f t="shared" si="30"/>
        <v/>
      </c>
      <c r="AJ206" s="22">
        <f t="shared" si="31"/>
        <v>99</v>
      </c>
    </row>
    <row r="207" spans="1:36">
      <c r="A207" s="16" t="s">
        <v>588</v>
      </c>
      <c r="B207" s="16" t="s">
        <v>461</v>
      </c>
      <c r="C207" s="16" t="s">
        <v>1414</v>
      </c>
      <c r="D207" s="16" t="s">
        <v>98</v>
      </c>
      <c r="E207" s="17" t="s">
        <v>574</v>
      </c>
      <c r="F207" s="16">
        <v>2021</v>
      </c>
      <c r="G207" s="17" t="str">
        <f>IFERROR(_xlfn.XLOOKUP($A207,tblEquipos[Codigo],tblEquipos[Ubicacion],""),"")</f>
        <v>Retiro</v>
      </c>
      <c r="H207" s="16" t="s">
        <v>575</v>
      </c>
      <c r="I207" s="16" t="str">
        <f>IFERROR(VLOOKUP(A207, Equipos!A:J, 9, FALSE), "")</f>
        <v>KM</v>
      </c>
      <c r="J207" s="16">
        <f>IFERROR(VLOOKUP(A207, Equipos!A:J, 10, FALSE), "")</f>
        <v>15000</v>
      </c>
      <c r="K207" s="16">
        <f>IFERROR(IF($I207="KM",ROUND((_xlfn.MAXIFS(tblLecturas[Kilometraje],tblLecturas[Codigo],$A207)-_xlfn.MINIFS(tblLecturas[Kilometraje],tblLecturas[Codigo],$A207))/(MAX(1,_xlfn.MAXIFS(tblLecturas[Fecha],tblLecturas[Codigo],$A207)-_xlfn.MINIFS(tblLecturas[Fecha],tblLecturas[Codigo],$A207))),1),ROUND((_xlfn.MAXIFS(tblLecturas[Horometro],tblLecturas[Codigo],$A207)-_xlfn.MINIFS(tblLecturas[Horometro],tblLecturas[Codigo],$A207))/(MAX(1,_xlfn.MAXIFS(tblLecturas[Fecha],tblLecturas[Codigo],$A207)-_xlfn.MINIFS(tblLecturas[Fecha],tblLecturas[Codigo],$A207))),1)),"")</f>
        <v>134.5</v>
      </c>
      <c r="L207" s="18">
        <f>IFERROR(_xlfn.MAXIFS(tblLecturas[Fecha],tblLecturas[Codigo],$A207),"")</f>
        <v>46098</v>
      </c>
      <c r="M207" s="24">
        <f>IFERROR(_xlfn.MAXIFS(Lecturas!$C:$C,Lecturas!$B:$B,$A207,Lecturas!$C:$C,"&gt;0"),"")</f>
        <v>0</v>
      </c>
      <c r="N207" s="24">
        <f>IFERROR(_xlfn.MAXIFS(tblLecturas[Kilometraje],tblLecturas[Codigo],$A207,tblLecturas[Kilometraje],"&gt;0"),"")</f>
        <v>227541</v>
      </c>
      <c r="O207" s="24" cm="1">
        <f t="array" ref="O207">IFERROR(IF($I207="KM",LOOKUP(2,1/(Lecturas!$B:$B=$A207)/(Lecturas!$D:$D&gt;0),Lecturas!$D:$D),LOOKUP(2,1/(Lecturas!$B:$B=$A207)/(Lecturas!$C:$C&gt;0),Lecturas!$C:$C)),"")</f>
        <v>224581</v>
      </c>
      <c r="P207" s="18">
        <f>IFERROR(_xlfn.MAXIFS(tblMantenciones[Fecha],tblMantenciones[Codigo],tblMaestroEquipos[[#This Row],[Codigo]],tblMantenciones[EsPM],"Sí"),"")</f>
        <v>44898</v>
      </c>
      <c r="Q207" s="70">
        <f>IF(_xlfn.MAXIFS(Mantenciones!$D:$D,Mantenciones!$B:$B,A207)=0,"Sin datos de mantención registrado",_xlfn.MAXIFS(Mantenciones!$D:$D,Mantenciones!$B:$B,A207))</f>
        <v>52744</v>
      </c>
      <c r="R207" s="16">
        <f>IFERROR(IF(_xlfn.MAXIFS(Mantenciones!$D:$D,Mantenciones!$B:$B,$A207,Mantenciones!$E:$E,"Sí",Mantenciones!$D:$D,"&gt;0")=0,"Sin datos de mantención registrado",_xlfn.MAXIFS(Mantenciones!$D:$D,Mantenciones!$B:$B,$A207,Mantenciones!$E:$E,"Sí",Mantenciones!$D:$D,"&gt;0")),"Sin datos de mantención registrado")</f>
        <v>52744</v>
      </c>
      <c r="S207" s="19">
        <f>IFERROR(SUMIFS(tblMantenciones[Costo Mantencion CLP],tblMantenciones[Codigo],tblMaestroEquipos[[#This Row],[Codigo]]),0)</f>
        <v>0</v>
      </c>
      <c r="T207" s="19">
        <f>IFERROR(SUMIFS(tblComprasPM[Costo PM CLP],tblComprasPM[Codigo],tblMaestroEquipos[[#This Row],[Codigo]]),0)</f>
        <v>0</v>
      </c>
      <c r="U207" s="19">
        <f>IFERROR(tblMaestroEquipos[[#This Row],[Costo Mantenciones CLP]]+tblMaestroEquipos[[#This Row],[Costo Compras PM CLP]],0)</f>
        <v>0</v>
      </c>
      <c r="V207" s="16" t="str">
        <f>IFERROR(_xlfn.XLOOKUP(tblMaestroEquipos[[#This Row],[Codigo]],tblEquipos[Codigo],tblEquipos[Estado Base]),"")</f>
        <v>Fuera de Servicio</v>
      </c>
      <c r="W207" s="16" t="str">
        <f t="shared" si="24"/>
        <v>FUERA DE SERVICIO</v>
      </c>
      <c r="X207" s="16">
        <f t="shared" si="25"/>
        <v>-156837</v>
      </c>
      <c r="Y207"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07" s="23" t="str">
        <f>IFERROR(IF(_xlfn.MINIFS(tblComprasPM[Fecha],tblComprasPM[Codigo],tblMaestroEquipos[[#This Row],[Codigo]])=0,"",_xlfn.MINIFS(tblComprasPM[Fecha],tblComprasPM[Codigo],tblMaestroEquipos[[#This Row],[Codigo]])),"")</f>
        <v/>
      </c>
      <c r="AA207" s="23" t="str">
        <f>IFERROR(IF(_xlfn.MAXIFS(tblBodega[Fecha],tblBodega[Codigo],tblMaestroEquipos[[#This Row],[Codigo]])=0,"",_xlfn.MAXIFS(tblBodega[Fecha],tblBodega[Codigo],tblMaestroEquipos[[#This Row],[Codigo]])),"")</f>
        <v/>
      </c>
      <c r="AB207"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07"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07" s="16" t="str">
        <f>IF(tblMaestroEquipos[[#This Row],[Fecha Salida Bodega]]="","SIN SALIDA BODEGA",IF(OR(tblMaestroEquipos[[#This Row],[Ultima Fecha PM]]="",tblMaestroEquipos[[#This Row],[Ultima Fecha PM]]&lt;tblMaestroEquipos[[#This Row],[Fecha Salida Bodega]]),"PENDIENTE","CERRADO"))</f>
        <v>SIN SALIDA BODEGA</v>
      </c>
      <c r="AE207" s="48" t="str">
        <f t="shared" si="26"/>
        <v>FUERA DE SERVICIO</v>
      </c>
      <c r="AF207" s="16" t="str">
        <f t="shared" si="27"/>
        <v>NO APLICA</v>
      </c>
      <c r="AG207" s="16" t="str">
        <f t="shared" si="28"/>
        <v>No programar compra</v>
      </c>
      <c r="AH207">
        <f t="shared" si="29"/>
        <v>0</v>
      </c>
      <c r="AI207" t="str">
        <f t="shared" si="30"/>
        <v/>
      </c>
      <c r="AJ207" s="22">
        <f t="shared" si="31"/>
        <v>99</v>
      </c>
    </row>
    <row r="208" spans="1:36" s="25" customFormat="1">
      <c r="A208" s="16" t="s">
        <v>591</v>
      </c>
      <c r="B208" s="16" t="s">
        <v>461</v>
      </c>
      <c r="C208" s="16" t="s">
        <v>1414</v>
      </c>
      <c r="D208" s="16" t="s">
        <v>98</v>
      </c>
      <c r="E208" s="17" t="s">
        <v>592</v>
      </c>
      <c r="F208" s="16">
        <v>2021</v>
      </c>
      <c r="G208" s="17">
        <f>IFERROR(_xlfn.XLOOKUP($A208,tblEquipos[Codigo],tblEquipos[Ubicacion],""),"")</f>
        <v>0</v>
      </c>
      <c r="H208" s="16" t="s">
        <v>575</v>
      </c>
      <c r="I208" s="16" t="str">
        <f>IFERROR(VLOOKUP(A208, Equipos!A:J, 9, FALSE), "")</f>
        <v>KM</v>
      </c>
      <c r="J208" s="16">
        <f>IFERROR(VLOOKUP(A208, Equipos!A:J, 10, FALSE), "")</f>
        <v>15000</v>
      </c>
      <c r="K208" s="16">
        <f>IFERROR(IF($I208="KM",ROUND((_xlfn.MAXIFS(tblLecturas[Kilometraje],tblLecturas[Codigo],$A208)-_xlfn.MINIFS(tblLecturas[Kilometraje],tblLecturas[Codigo],$A208))/(MAX(1,_xlfn.MAXIFS(tblLecturas[Fecha],tblLecturas[Codigo],$A208)-_xlfn.MINIFS(tblLecturas[Fecha],tblLecturas[Codigo],$A208))),1),ROUND((_xlfn.MAXIFS(tblLecturas[Horometro],tblLecturas[Codigo],$A208)-_xlfn.MINIFS(tblLecturas[Horometro],tblLecturas[Codigo],$A208))/(MAX(1,_xlfn.MAXIFS(tblLecturas[Fecha],tblLecturas[Codigo],$A208)-_xlfn.MINIFS(tblLecturas[Fecha],tblLecturas[Codigo],$A208))),1)),"")</f>
        <v>0</v>
      </c>
      <c r="L208" s="18">
        <f>IFERROR(_xlfn.MAXIFS(tblLecturas[Fecha],tblLecturas[Codigo],$A208),"")</f>
        <v>0</v>
      </c>
      <c r="M208" s="24">
        <f>IFERROR(_xlfn.MAXIFS(Lecturas!$C:$C,Lecturas!$B:$B,$A208,Lecturas!$C:$C,"&gt;0"),"")</f>
        <v>0</v>
      </c>
      <c r="N208" s="24">
        <f>IFERROR(_xlfn.MAXIFS(tblLecturas[Kilometraje],tblLecturas[Codigo],$A208,tblLecturas[Kilometraje],"&gt;0"),"")</f>
        <v>0</v>
      </c>
      <c r="O208" s="24" t="str" cm="1">
        <f t="array" ref="O208">IFERROR(IF($I208="KM",LOOKUP(2,1/(Lecturas!$B:$B=$A208)/(Lecturas!$D:$D&gt;0),Lecturas!$D:$D),LOOKUP(2,1/(Lecturas!$B:$B=$A208)/(Lecturas!$C:$C&gt;0),Lecturas!$C:$C)),"")</f>
        <v/>
      </c>
      <c r="P208" s="18">
        <f>IFERROR(_xlfn.MAXIFS(tblMantenciones[Fecha],tblMantenciones[Codigo],tblMaestroEquipos[[#This Row],[Codigo]],tblMantenciones[EsPM],"Sí"),"")</f>
        <v>44719</v>
      </c>
      <c r="Q208" s="70" t="str">
        <f>IF(_xlfn.MAXIFS(Mantenciones!$D:$D,Mantenciones!$B:$B,A208)=0,"Sin datos de mantención registrado",_xlfn.MAXIFS(Mantenciones!$D:$D,Mantenciones!$B:$B,A208))</f>
        <v>Sin datos de mantención registrado</v>
      </c>
      <c r="R208" s="16" t="str">
        <f>IFERROR(IF(_xlfn.MAXIFS(Mantenciones!$D:$D,Mantenciones!$B:$B,$A208,Mantenciones!$E:$E,"Sí",Mantenciones!$D:$D,"&gt;0")=0,"Sin datos de mantención registrado",_xlfn.MAXIFS(Mantenciones!$D:$D,Mantenciones!$B:$B,$A208,Mantenciones!$E:$E,"Sí",Mantenciones!$D:$D,"&gt;0")),"Sin datos de mantención registrado")</f>
        <v>Sin datos de mantención registrado</v>
      </c>
      <c r="S208" s="19">
        <f>IFERROR(SUMIFS(tblMantenciones[Costo Mantencion CLP],tblMantenciones[Codigo],tblMaestroEquipos[[#This Row],[Codigo]]),0)</f>
        <v>0</v>
      </c>
      <c r="T208" s="19">
        <f>IFERROR(SUMIFS(tblComprasPM[Costo PM CLP],tblComprasPM[Codigo],tblMaestroEquipos[[#This Row],[Codigo]]),0)</f>
        <v>0</v>
      </c>
      <c r="U208" s="19">
        <f>IFERROR(tblMaestroEquipos[[#This Row],[Costo Mantenciones CLP]]+tblMaestroEquipos[[#This Row],[Costo Compras PM CLP]],0)</f>
        <v>0</v>
      </c>
      <c r="V208" s="16" t="str">
        <f>IFERROR(_xlfn.XLOOKUP(tblMaestroEquipos[[#This Row],[Codigo]],tblEquipos[Codigo],tblEquipos[Estado Base]),"")</f>
        <v>Fuera de Servicio</v>
      </c>
      <c r="W208" s="16" t="str">
        <f t="shared" si="24"/>
        <v>FUERA DE SERVICIO</v>
      </c>
      <c r="X208" s="16" t="str">
        <f t="shared" si="25"/>
        <v/>
      </c>
      <c r="Y208"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08" s="23" t="str">
        <f>IFERROR(IF(_xlfn.MINIFS(tblComprasPM[Fecha],tblComprasPM[Codigo],tblMaestroEquipos[[#This Row],[Codigo]])=0,"",_xlfn.MINIFS(tblComprasPM[Fecha],tblComprasPM[Codigo],tblMaestroEquipos[[#This Row],[Codigo]])),"")</f>
        <v/>
      </c>
      <c r="AA208" s="23" t="str">
        <f>IFERROR(IF(_xlfn.MAXIFS(tblBodega[Fecha],tblBodega[Codigo],tblMaestroEquipos[[#This Row],[Codigo]])=0,"",_xlfn.MAXIFS(tblBodega[Fecha],tblBodega[Codigo],tblMaestroEquipos[[#This Row],[Codigo]])),"")</f>
        <v/>
      </c>
      <c r="AB208"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08"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08" s="16" t="str">
        <f>IF(tblMaestroEquipos[[#This Row],[Fecha Salida Bodega]]="","SIN SALIDA BODEGA",IF(OR(tblMaestroEquipos[[#This Row],[Ultima Fecha PM]]="",tblMaestroEquipos[[#This Row],[Ultima Fecha PM]]&lt;tblMaestroEquipos[[#This Row],[Fecha Salida Bodega]]),"PENDIENTE","CERRADO"))</f>
        <v>SIN SALIDA BODEGA</v>
      </c>
      <c r="AE208" s="48" t="str">
        <f t="shared" si="26"/>
        <v>FUERA DE SERVICIO</v>
      </c>
      <c r="AF208" s="16" t="str">
        <f t="shared" si="27"/>
        <v>NO APLICA</v>
      </c>
      <c r="AG208" s="16" t="str">
        <f t="shared" si="28"/>
        <v>No programar compra</v>
      </c>
      <c r="AH208" s="25">
        <f t="shared" si="29"/>
        <v>0</v>
      </c>
      <c r="AI208" s="25" t="str">
        <f t="shared" si="30"/>
        <v/>
      </c>
      <c r="AJ208" s="22">
        <f t="shared" si="31"/>
        <v>99</v>
      </c>
    </row>
    <row r="209" spans="1:36" s="25" customFormat="1">
      <c r="A209" s="16" t="s">
        <v>593</v>
      </c>
      <c r="B209" s="16" t="s">
        <v>461</v>
      </c>
      <c r="C209" s="16" t="s">
        <v>1414</v>
      </c>
      <c r="D209" s="16" t="s">
        <v>98</v>
      </c>
      <c r="E209" s="17" t="s">
        <v>592</v>
      </c>
      <c r="F209" s="16">
        <v>2021</v>
      </c>
      <c r="G209" s="17">
        <f>IFERROR(_xlfn.XLOOKUP($A209,tblEquipos[Codigo],tblEquipos[Ubicacion],""),"")</f>
        <v>0</v>
      </c>
      <c r="H209" s="16" t="s">
        <v>56</v>
      </c>
      <c r="I209" s="16" t="str">
        <f>IFERROR(VLOOKUP(A209, Equipos!A:J, 9, FALSE), "")</f>
        <v>KM</v>
      </c>
      <c r="J209" s="16">
        <f>IFERROR(VLOOKUP(A209, Equipos!A:J, 10, FALSE), "")</f>
        <v>15000</v>
      </c>
      <c r="K209" s="16">
        <f>IFERROR(IF($I209="KM",ROUND((_xlfn.MAXIFS(tblLecturas[Kilometraje],tblLecturas[Codigo],$A209)-_xlfn.MINIFS(tblLecturas[Kilometraje],tblLecturas[Codigo],$A209))/(MAX(1,_xlfn.MAXIFS(tblLecturas[Fecha],tblLecturas[Codigo],$A209)-_xlfn.MINIFS(tblLecturas[Fecha],tblLecturas[Codigo],$A209))),1),ROUND((_xlfn.MAXIFS(tblLecturas[Horometro],tblLecturas[Codigo],$A209)-_xlfn.MINIFS(tblLecturas[Horometro],tblLecturas[Codigo],$A209))/(MAX(1,_xlfn.MAXIFS(tblLecturas[Fecha],tblLecturas[Codigo],$A209)-_xlfn.MINIFS(tblLecturas[Fecha],tblLecturas[Codigo],$A209))),1)),"")</f>
        <v>164.5</v>
      </c>
      <c r="L209" s="18">
        <f>IFERROR(_xlfn.MAXIFS(tblLecturas[Fecha],tblLecturas[Codigo],$A209),"")</f>
        <v>46066</v>
      </c>
      <c r="M209" s="24">
        <f>IFERROR(_xlfn.MAXIFS(Lecturas!$C:$C,Lecturas!$B:$B,$A209,Lecturas!$C:$C,"&gt;0"),"")</f>
        <v>0</v>
      </c>
      <c r="N209" s="24">
        <f>IFERROR(_xlfn.MAXIFS(tblLecturas[Kilometraje],tblLecturas[Codigo],$A209,tblLecturas[Kilometraje],"&gt;0"),"")</f>
        <v>147597</v>
      </c>
      <c r="O209" s="24" cm="1">
        <f t="array" ref="O209">IFERROR(IF($I209="KM",LOOKUP(2,1/(Lecturas!$B:$B=$A209)/(Lecturas!$D:$D&gt;0),Lecturas!$D:$D),LOOKUP(2,1/(Lecturas!$B:$B=$A209)/(Lecturas!$C:$C&gt;0),Lecturas!$C:$C)),"")</f>
        <v>138220</v>
      </c>
      <c r="P209" s="18">
        <f>IFERROR(_xlfn.MAXIFS(tblMantenciones[Fecha],tblMantenciones[Codigo],tblMaestroEquipos[[#This Row],[Codigo]],tblMantenciones[EsPM],"Sí"),"")</f>
        <v>45234</v>
      </c>
      <c r="Q209" s="70">
        <f>IF(_xlfn.MAXIFS(Mantenciones!$D:$D,Mantenciones!$B:$B,A209)=0,"Sin datos de mantención registrado",_xlfn.MAXIFS(Mantenciones!$D:$D,Mantenciones!$B:$B,A209))</f>
        <v>97182</v>
      </c>
      <c r="R209" s="16">
        <f>IFERROR(IF(_xlfn.MAXIFS(Mantenciones!$D:$D,Mantenciones!$B:$B,$A209,Mantenciones!$E:$E,"Sí",Mantenciones!$D:$D,"&gt;0")=0,"Sin datos de mantención registrado",_xlfn.MAXIFS(Mantenciones!$D:$D,Mantenciones!$B:$B,$A209,Mantenciones!$E:$E,"Sí",Mantenciones!$D:$D,"&gt;0")),"Sin datos de mantención registrado")</f>
        <v>97182</v>
      </c>
      <c r="S209" s="19">
        <f>IFERROR(SUMIFS(tblMantenciones[Costo Mantencion CLP],tblMantenciones[Codigo],tblMaestroEquipos[[#This Row],[Codigo]]),0)</f>
        <v>0</v>
      </c>
      <c r="T209" s="19">
        <f>IFERROR(SUMIFS(tblComprasPM[Costo PM CLP],tblComprasPM[Codigo],tblMaestroEquipos[[#This Row],[Codigo]]),0)</f>
        <v>0</v>
      </c>
      <c r="U209" s="19">
        <f>IFERROR(tblMaestroEquipos[[#This Row],[Costo Mantenciones CLP]]+tblMaestroEquipos[[#This Row],[Costo Compras PM CLP]],0)</f>
        <v>0</v>
      </c>
      <c r="V209" s="16" t="str">
        <f>IFERROR(_xlfn.XLOOKUP(tblMaestroEquipos[[#This Row],[Codigo]],tblEquipos[Codigo],tblEquipos[Estado Base]),"")</f>
        <v>Fuera de Servicio</v>
      </c>
      <c r="W209" s="16" t="str">
        <f t="shared" si="24"/>
        <v>FUERA DE SERVICIO</v>
      </c>
      <c r="X209" s="16">
        <f t="shared" si="25"/>
        <v>-26038</v>
      </c>
      <c r="Y209"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09" s="23" t="str">
        <f>IFERROR(IF(_xlfn.MINIFS(tblComprasPM[Fecha],tblComprasPM[Codigo],tblMaestroEquipos[[#This Row],[Codigo]])=0,"",_xlfn.MINIFS(tblComprasPM[Fecha],tblComprasPM[Codigo],tblMaestroEquipos[[#This Row],[Codigo]])),"")</f>
        <v/>
      </c>
      <c r="AA209" s="23" t="str">
        <f>IFERROR(IF(_xlfn.MAXIFS(tblBodega[Fecha],tblBodega[Codigo],tblMaestroEquipos[[#This Row],[Codigo]])=0,"",_xlfn.MAXIFS(tblBodega[Fecha],tblBodega[Codigo],tblMaestroEquipos[[#This Row],[Codigo]])),"")</f>
        <v/>
      </c>
      <c r="AB209"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09"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09" s="16" t="str">
        <f>IF(tblMaestroEquipos[[#This Row],[Fecha Salida Bodega]]="","SIN SALIDA BODEGA",IF(OR(tblMaestroEquipos[[#This Row],[Ultima Fecha PM]]="",tblMaestroEquipos[[#This Row],[Ultima Fecha PM]]&lt;tblMaestroEquipos[[#This Row],[Fecha Salida Bodega]]),"PENDIENTE","CERRADO"))</f>
        <v>SIN SALIDA BODEGA</v>
      </c>
      <c r="AE209" s="48" t="str">
        <f t="shared" si="26"/>
        <v>FUERA DE SERVICIO</v>
      </c>
      <c r="AF209" s="16" t="str">
        <f t="shared" si="27"/>
        <v>NO APLICA</v>
      </c>
      <c r="AG209" s="16" t="str">
        <f t="shared" si="28"/>
        <v>No programar compra</v>
      </c>
      <c r="AH209">
        <f t="shared" si="29"/>
        <v>0</v>
      </c>
      <c r="AI209" t="str">
        <f t="shared" si="30"/>
        <v/>
      </c>
      <c r="AJ209" s="22">
        <f t="shared" si="31"/>
        <v>99</v>
      </c>
    </row>
    <row r="210" spans="1:36">
      <c r="A210" s="16" t="s">
        <v>594</v>
      </c>
      <c r="B210" s="16" t="s">
        <v>505</v>
      </c>
      <c r="C210" s="16" t="s">
        <v>1414</v>
      </c>
      <c r="D210" s="16" t="s">
        <v>54</v>
      </c>
      <c r="E210" s="17" t="s">
        <v>595</v>
      </c>
      <c r="F210" s="16">
        <v>2010</v>
      </c>
      <c r="G210" s="17" t="str">
        <f>IFERROR(_xlfn.XLOOKUP($A210,tblEquipos[Codigo],tblEquipos[Ubicacion],""),"")</f>
        <v>Taller</v>
      </c>
      <c r="H210" s="16" t="s">
        <v>56</v>
      </c>
      <c r="I210" s="16" t="str">
        <f>IFERROR(VLOOKUP(A210, Equipos!A:J, 9, FALSE), "")</f>
        <v>KM</v>
      </c>
      <c r="J210" s="16">
        <f>IFERROR(VLOOKUP(A210, Equipos!A:J, 10, FALSE), "")</f>
        <v>15000</v>
      </c>
      <c r="K210" s="16">
        <f>IFERROR(IF($I210="KM",ROUND((_xlfn.MAXIFS(tblLecturas[Kilometraje],tblLecturas[Codigo],$A210)-_xlfn.MINIFS(tblLecturas[Kilometraje],tblLecturas[Codigo],$A210))/(MAX(1,_xlfn.MAXIFS(tblLecturas[Fecha],tblLecturas[Codigo],$A210)-_xlfn.MINIFS(tblLecturas[Fecha],tblLecturas[Codigo],$A210))),1),ROUND((_xlfn.MAXIFS(tblLecturas[Horometro],tblLecturas[Codigo],$A210)-_xlfn.MINIFS(tblLecturas[Horometro],tblLecturas[Codigo],$A210))/(MAX(1,_xlfn.MAXIFS(tblLecturas[Fecha],tblLecturas[Codigo],$A210)-_xlfn.MINIFS(tblLecturas[Fecha],tblLecturas[Codigo],$A210))),1)),"")</f>
        <v>0</v>
      </c>
      <c r="L210" s="18">
        <f>IFERROR(_xlfn.MAXIFS(tblLecturas[Fecha],tblLecturas[Codigo],$A210),"")</f>
        <v>0</v>
      </c>
      <c r="M210" s="24">
        <f>IFERROR(_xlfn.MAXIFS(Lecturas!$C:$C,Lecturas!$B:$B,$A210,Lecturas!$C:$C,"&gt;0"),"")</f>
        <v>0</v>
      </c>
      <c r="N210" s="24">
        <f>IFERROR(_xlfn.MAXIFS(tblLecturas[Kilometraje],tblLecturas[Codigo],$A210,tblLecturas[Kilometraje],"&gt;0"),"")</f>
        <v>0</v>
      </c>
      <c r="O210" s="24" t="str" cm="1">
        <f t="array" ref="O210">IFERROR(IF($I210="KM",LOOKUP(2,1/(Lecturas!$B:$B=$A210)/(Lecturas!$D:$D&gt;0),Lecturas!$D:$D),LOOKUP(2,1/(Lecturas!$B:$B=$A210)/(Lecturas!$C:$C&gt;0),Lecturas!$C:$C)),"")</f>
        <v/>
      </c>
      <c r="P210" s="18">
        <f>IFERROR(_xlfn.MAXIFS(tblMantenciones[Fecha],tblMantenciones[Codigo],tblMaestroEquipos[[#This Row],[Codigo]],tblMantenciones[EsPM],"Sí"),"")</f>
        <v>45258</v>
      </c>
      <c r="Q210" s="70">
        <f>IF(_xlfn.MAXIFS(Mantenciones!$D:$D,Mantenciones!$B:$B,A210)=0,"Sin datos de mantención registrado",_xlfn.MAXIFS(Mantenciones!$D:$D,Mantenciones!$B:$B,A210))</f>
        <v>395774</v>
      </c>
      <c r="R210" s="16">
        <f>IFERROR(IF(_xlfn.MAXIFS(Mantenciones!$D:$D,Mantenciones!$B:$B,$A210,Mantenciones!$E:$E,"Sí",Mantenciones!$D:$D,"&gt;0")=0,"Sin datos de mantención registrado",_xlfn.MAXIFS(Mantenciones!$D:$D,Mantenciones!$B:$B,$A210,Mantenciones!$E:$E,"Sí",Mantenciones!$D:$D,"&gt;0")),"Sin datos de mantención registrado")</f>
        <v>395774</v>
      </c>
      <c r="S210" s="19">
        <f>IFERROR(SUMIFS(tblMantenciones[Costo Mantencion CLP],tblMantenciones[Codigo],tblMaestroEquipos[[#This Row],[Codigo]]),0)</f>
        <v>0</v>
      </c>
      <c r="T210" s="19">
        <f>IFERROR(SUMIFS(tblComprasPM[Costo PM CLP],tblComprasPM[Codigo],tblMaestroEquipos[[#This Row],[Codigo]]),0)</f>
        <v>0</v>
      </c>
      <c r="U210" s="19">
        <f>IFERROR(tblMaestroEquipos[[#This Row],[Costo Mantenciones CLP]]+tblMaestroEquipos[[#This Row],[Costo Compras PM CLP]],0)</f>
        <v>0</v>
      </c>
      <c r="V210" s="16" t="str">
        <f>IFERROR(_xlfn.XLOOKUP(tblMaestroEquipos[[#This Row],[Codigo]],tblEquipos[Codigo],tblEquipos[Estado Base]),"")</f>
        <v>Fuera de Servicio</v>
      </c>
      <c r="W210" s="16" t="str">
        <f t="shared" si="24"/>
        <v>FUERA DE SERVICIO</v>
      </c>
      <c r="X210" s="16" t="str">
        <f t="shared" si="25"/>
        <v/>
      </c>
      <c r="Y210"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10" s="23" t="str">
        <f>IFERROR(IF(_xlfn.MINIFS(tblComprasPM[Fecha],tblComprasPM[Codigo],tblMaestroEquipos[[#This Row],[Codigo]])=0,"",_xlfn.MINIFS(tblComprasPM[Fecha],tblComprasPM[Codigo],tblMaestroEquipos[[#This Row],[Codigo]])),"")</f>
        <v/>
      </c>
      <c r="AA210" s="23" t="str">
        <f>IFERROR(IF(_xlfn.MAXIFS(tblBodega[Fecha],tblBodega[Codigo],tblMaestroEquipos[[#This Row],[Codigo]])=0,"",_xlfn.MAXIFS(tblBodega[Fecha],tblBodega[Codigo],tblMaestroEquipos[[#This Row],[Codigo]])),"")</f>
        <v/>
      </c>
      <c r="AB210"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10"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10" s="16" t="str">
        <f>IF(tblMaestroEquipos[[#This Row],[Fecha Salida Bodega]]="","SIN SALIDA BODEGA",IF(OR(tblMaestroEquipos[[#This Row],[Ultima Fecha PM]]="",tblMaestroEquipos[[#This Row],[Ultima Fecha PM]]&lt;tblMaestroEquipos[[#This Row],[Fecha Salida Bodega]]),"PENDIENTE","CERRADO"))</f>
        <v>SIN SALIDA BODEGA</v>
      </c>
      <c r="AE210" s="48" t="str">
        <f t="shared" si="26"/>
        <v>FUERA DE SERVICIO</v>
      </c>
      <c r="AF210" s="16" t="str">
        <f t="shared" si="27"/>
        <v>NO APLICA</v>
      </c>
      <c r="AG210" s="16" t="str">
        <f t="shared" si="28"/>
        <v>No programar compra</v>
      </c>
      <c r="AH210" s="25">
        <f t="shared" si="29"/>
        <v>0</v>
      </c>
      <c r="AI210" s="25" t="str">
        <f t="shared" si="30"/>
        <v/>
      </c>
      <c r="AJ210" s="22">
        <f t="shared" si="31"/>
        <v>99</v>
      </c>
    </row>
    <row r="211" spans="1:36">
      <c r="A211" s="16" t="s">
        <v>596</v>
      </c>
      <c r="B211" s="16" t="s">
        <v>505</v>
      </c>
      <c r="C211" s="16" t="s">
        <v>1414</v>
      </c>
      <c r="D211" s="16" t="s">
        <v>54</v>
      </c>
      <c r="E211" s="17" t="s">
        <v>597</v>
      </c>
      <c r="F211" s="16">
        <v>2017</v>
      </c>
      <c r="G211" s="17">
        <f>IFERROR(_xlfn.XLOOKUP($A211,tblEquipos[Codigo],tblEquipos[Ubicacion],""),"")</f>
        <v>0</v>
      </c>
      <c r="H211" s="16" t="s">
        <v>575</v>
      </c>
      <c r="I211" s="16" t="str">
        <f>IFERROR(VLOOKUP(A211, Equipos!A:J, 9, FALSE), "")</f>
        <v>KM</v>
      </c>
      <c r="J211" s="16">
        <f>IFERROR(VLOOKUP(A211, Equipos!A:J, 10, FALSE), "")</f>
        <v>15000</v>
      </c>
      <c r="K211" s="16">
        <f>IFERROR(IF($I211="KM",ROUND((_xlfn.MAXIFS(tblLecturas[Kilometraje],tblLecturas[Codigo],$A211)-_xlfn.MINIFS(tblLecturas[Kilometraje],tblLecturas[Codigo],$A211))/(MAX(1,_xlfn.MAXIFS(tblLecturas[Fecha],tblLecturas[Codigo],$A211)-_xlfn.MINIFS(tblLecturas[Fecha],tblLecturas[Codigo],$A211))),1),ROUND((_xlfn.MAXIFS(tblLecturas[Horometro],tblLecturas[Codigo],$A211)-_xlfn.MINIFS(tblLecturas[Horometro],tblLecturas[Codigo],$A211))/(MAX(1,_xlfn.MAXIFS(tblLecturas[Fecha],tblLecturas[Codigo],$A211)-_xlfn.MINIFS(tblLecturas[Fecha],tblLecturas[Codigo],$A211))),1)),"")</f>
        <v>0</v>
      </c>
      <c r="L211" s="18">
        <f>IFERROR(_xlfn.MAXIFS(tblLecturas[Fecha],tblLecturas[Codigo],$A211),"")</f>
        <v>44851</v>
      </c>
      <c r="M211" s="24">
        <f>IFERROR(_xlfn.MAXIFS(Lecturas!$C:$C,Lecturas!$B:$B,$A211,Lecturas!$C:$C,"&gt;0"),"")</f>
        <v>0</v>
      </c>
      <c r="N211" s="24">
        <f>IFERROR(_xlfn.MAXIFS(tblLecturas[Kilometraje],tblLecturas[Codigo],$A211,tblLecturas[Kilometraje],"&gt;0"),"")</f>
        <v>118036</v>
      </c>
      <c r="O211" s="24" cm="1">
        <f t="array" ref="O211">IFERROR(IF($I211="KM",LOOKUP(2,1/(Lecturas!$B:$B=$A211)/(Lecturas!$D:$D&gt;0),Lecturas!$D:$D),LOOKUP(2,1/(Lecturas!$B:$B=$A211)/(Lecturas!$C:$C&gt;0),Lecturas!$C:$C)),"")</f>
        <v>118036</v>
      </c>
      <c r="P211" s="18">
        <f>IFERROR(_xlfn.MAXIFS(tblMantenciones[Fecha],tblMantenciones[Codigo],tblMaestroEquipos[[#This Row],[Codigo]],tblMantenciones[EsPM],"Sí"),"")</f>
        <v>45243</v>
      </c>
      <c r="Q211" s="70">
        <f>IF(_xlfn.MAXIFS(Mantenciones!$D:$D,Mantenciones!$B:$B,A211)=0,"Sin datos de mantención registrado",_xlfn.MAXIFS(Mantenciones!$D:$D,Mantenciones!$B:$B,A211))</f>
        <v>131600</v>
      </c>
      <c r="R211" s="16">
        <f>IFERROR(IF(_xlfn.MAXIFS(Mantenciones!$D:$D,Mantenciones!$B:$B,$A211,Mantenciones!$E:$E,"Sí",Mantenciones!$D:$D,"&gt;0")=0,"Sin datos de mantención registrado",_xlfn.MAXIFS(Mantenciones!$D:$D,Mantenciones!$B:$B,$A211,Mantenciones!$E:$E,"Sí",Mantenciones!$D:$D,"&gt;0")),"Sin datos de mantención registrado")</f>
        <v>131600</v>
      </c>
      <c r="S211" s="19">
        <f>IFERROR(SUMIFS(tblMantenciones[Costo Mantencion CLP],tblMantenciones[Codigo],tblMaestroEquipos[[#This Row],[Codigo]]),0)</f>
        <v>0</v>
      </c>
      <c r="T211" s="19">
        <f>IFERROR(SUMIFS(tblComprasPM[Costo PM CLP],tblComprasPM[Codigo],tblMaestroEquipos[[#This Row],[Codigo]]),0)</f>
        <v>0</v>
      </c>
      <c r="U211" s="19">
        <f>IFERROR(tblMaestroEquipos[[#This Row],[Costo Mantenciones CLP]]+tblMaestroEquipos[[#This Row],[Costo Compras PM CLP]],0)</f>
        <v>0</v>
      </c>
      <c r="V211" s="16" t="str">
        <f>IFERROR(_xlfn.XLOOKUP(tblMaestroEquipos[[#This Row],[Codigo]],tblEquipos[Codigo],tblEquipos[Estado Base]),"")</f>
        <v>Fuera de Servicio</v>
      </c>
      <c r="W211" s="16" t="str">
        <f t="shared" si="24"/>
        <v>FUERA DE SERVICIO</v>
      </c>
      <c r="X211" s="16">
        <f t="shared" si="25"/>
        <v>28564</v>
      </c>
      <c r="Y211"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11" s="23" t="str">
        <f>IFERROR(IF(_xlfn.MINIFS(tblComprasPM[Fecha],tblComprasPM[Codigo],tblMaestroEquipos[[#This Row],[Codigo]])=0,"",_xlfn.MINIFS(tblComprasPM[Fecha],tblComprasPM[Codigo],tblMaestroEquipos[[#This Row],[Codigo]])),"")</f>
        <v/>
      </c>
      <c r="AA211" s="23" t="str">
        <f>IFERROR(IF(_xlfn.MAXIFS(tblBodega[Fecha],tblBodega[Codigo],tblMaestroEquipos[[#This Row],[Codigo]])=0,"",_xlfn.MAXIFS(tblBodega[Fecha],tblBodega[Codigo],tblMaestroEquipos[[#This Row],[Codigo]])),"")</f>
        <v/>
      </c>
      <c r="AB211"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11"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11" s="16" t="str">
        <f>IF(tblMaestroEquipos[[#This Row],[Fecha Salida Bodega]]="","SIN SALIDA BODEGA",IF(OR(tblMaestroEquipos[[#This Row],[Ultima Fecha PM]]="",tblMaestroEquipos[[#This Row],[Ultima Fecha PM]]&lt;tblMaestroEquipos[[#This Row],[Fecha Salida Bodega]]),"PENDIENTE","CERRADO"))</f>
        <v>SIN SALIDA BODEGA</v>
      </c>
      <c r="AE211" s="48" t="str">
        <f t="shared" si="26"/>
        <v>FUERA DE SERVICIO</v>
      </c>
      <c r="AF211" s="16" t="str">
        <f t="shared" si="27"/>
        <v>NO APLICA</v>
      </c>
      <c r="AG211" s="16" t="str">
        <f t="shared" si="28"/>
        <v>No programar compra</v>
      </c>
      <c r="AH211" s="25">
        <f t="shared" si="29"/>
        <v>0</v>
      </c>
      <c r="AI211" s="25" t="str">
        <f t="shared" si="30"/>
        <v/>
      </c>
      <c r="AJ211" s="22">
        <f t="shared" si="31"/>
        <v>99</v>
      </c>
    </row>
    <row r="212" spans="1:36">
      <c r="A212" s="16" t="s">
        <v>598</v>
      </c>
      <c r="B212" s="16" t="s">
        <v>505</v>
      </c>
      <c r="C212" s="16" t="s">
        <v>1414</v>
      </c>
      <c r="D212" s="16" t="s">
        <v>54</v>
      </c>
      <c r="E212" s="17" t="s">
        <v>599</v>
      </c>
      <c r="F212" s="16">
        <v>2013</v>
      </c>
      <c r="G212" s="17">
        <f>IFERROR(_xlfn.XLOOKUP($A212,tblEquipos[Codigo],tblEquipos[Ubicacion],""),"")</f>
        <v>0</v>
      </c>
      <c r="H212" s="16" t="s">
        <v>56</v>
      </c>
      <c r="I212" s="16" t="str">
        <f>IFERROR(VLOOKUP(A212, Equipos!A:J, 9, FALSE), "")</f>
        <v>KM</v>
      </c>
      <c r="J212" s="16">
        <f>IFERROR(VLOOKUP(A212, Equipos!A:J, 10, FALSE), "")</f>
        <v>15000</v>
      </c>
      <c r="K212" s="16">
        <f>IFERROR(IF($I212="KM",ROUND((_xlfn.MAXIFS(tblLecturas[Kilometraje],tblLecturas[Codigo],$A212)-_xlfn.MINIFS(tblLecturas[Kilometraje],tblLecturas[Codigo],$A212))/(MAX(1,_xlfn.MAXIFS(tblLecturas[Fecha],tblLecturas[Codigo],$A212)-_xlfn.MINIFS(tblLecturas[Fecha],tblLecturas[Codigo],$A212))),1),ROUND((_xlfn.MAXIFS(tblLecturas[Horometro],tblLecturas[Codigo],$A212)-_xlfn.MINIFS(tblLecturas[Horometro],tblLecturas[Codigo],$A212))/(MAX(1,_xlfn.MAXIFS(tblLecturas[Fecha],tblLecturas[Codigo],$A212)-_xlfn.MINIFS(tblLecturas[Fecha],tblLecturas[Codigo],$A212))),1)),"")</f>
        <v>0</v>
      </c>
      <c r="L212" s="18">
        <f>IFERROR(_xlfn.MAXIFS(tblLecturas[Fecha],tblLecturas[Codigo],$A212),"")</f>
        <v>0</v>
      </c>
      <c r="M212" s="24">
        <f>IFERROR(_xlfn.MAXIFS(Lecturas!$C:$C,Lecturas!$B:$B,$A212,Lecturas!$C:$C,"&gt;0"),"")</f>
        <v>0</v>
      </c>
      <c r="N212" s="24">
        <f>IFERROR(_xlfn.MAXIFS(tblLecturas[Kilometraje],tblLecturas[Codigo],$A212,tblLecturas[Kilometraje],"&gt;0"),"")</f>
        <v>0</v>
      </c>
      <c r="O212" s="24" t="str" cm="1">
        <f t="array" ref="O212">IFERROR(IF($I212="KM",LOOKUP(2,1/(Lecturas!$B:$B=$A212)/(Lecturas!$D:$D&gt;0),Lecturas!$D:$D),LOOKUP(2,1/(Lecturas!$B:$B=$A212)/(Lecturas!$C:$C&gt;0),Lecturas!$C:$C)),"")</f>
        <v/>
      </c>
      <c r="P212" s="18">
        <f>IFERROR(_xlfn.MAXIFS(tblMantenciones[Fecha],tblMantenciones[Codigo],tblMaestroEquipos[[#This Row],[Codigo]],tblMantenciones[EsPM],"Sí"),"")</f>
        <v>44907</v>
      </c>
      <c r="Q212" s="70" t="str">
        <f>IF(_xlfn.MAXIFS(Mantenciones!$D:$D,Mantenciones!$B:$B,A212)=0,"Sin datos de mantención registrado",_xlfn.MAXIFS(Mantenciones!$D:$D,Mantenciones!$B:$B,A212))</f>
        <v>Sin datos de mantención registrado</v>
      </c>
      <c r="R212" s="16" t="str">
        <f>IFERROR(IF(_xlfn.MAXIFS(Mantenciones!$D:$D,Mantenciones!$B:$B,$A212,Mantenciones!$E:$E,"Sí",Mantenciones!$D:$D,"&gt;0")=0,"Sin datos de mantención registrado",_xlfn.MAXIFS(Mantenciones!$D:$D,Mantenciones!$B:$B,$A212,Mantenciones!$E:$E,"Sí",Mantenciones!$D:$D,"&gt;0")),"Sin datos de mantención registrado")</f>
        <v>Sin datos de mantención registrado</v>
      </c>
      <c r="S212" s="19">
        <f>IFERROR(SUMIFS(tblMantenciones[Costo Mantencion CLP],tblMantenciones[Codigo],tblMaestroEquipos[[#This Row],[Codigo]]),0)</f>
        <v>0</v>
      </c>
      <c r="T212" s="19">
        <f>IFERROR(SUMIFS(tblComprasPM[Costo PM CLP],tblComprasPM[Codigo],tblMaestroEquipos[[#This Row],[Codigo]]),0)</f>
        <v>0</v>
      </c>
      <c r="U212" s="19">
        <f>IFERROR(tblMaestroEquipos[[#This Row],[Costo Mantenciones CLP]]+tblMaestroEquipos[[#This Row],[Costo Compras PM CLP]],0)</f>
        <v>0</v>
      </c>
      <c r="V212" s="16" t="str">
        <f>IFERROR(_xlfn.XLOOKUP(tblMaestroEquipos[[#This Row],[Codigo]],tblEquipos[Codigo],tblEquipos[Estado Base]),"")</f>
        <v>Fuera de Servicio</v>
      </c>
      <c r="W212" s="16" t="str">
        <f t="shared" si="24"/>
        <v>FUERA DE SERVICIO</v>
      </c>
      <c r="X212" s="16" t="str">
        <f t="shared" si="25"/>
        <v/>
      </c>
      <c r="Y212"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12" s="23" t="str">
        <f>IFERROR(IF(_xlfn.MINIFS(tblComprasPM[Fecha],tblComprasPM[Codigo],tblMaestroEquipos[[#This Row],[Codigo]])=0,"",_xlfn.MINIFS(tblComprasPM[Fecha],tblComprasPM[Codigo],tblMaestroEquipos[[#This Row],[Codigo]])),"")</f>
        <v/>
      </c>
      <c r="AA212" s="23" t="str">
        <f>IFERROR(IF(_xlfn.MAXIFS(tblBodega[Fecha],tblBodega[Codigo],tblMaestroEquipos[[#This Row],[Codigo]])=0,"",_xlfn.MAXIFS(tblBodega[Fecha],tblBodega[Codigo],tblMaestroEquipos[[#This Row],[Codigo]])),"")</f>
        <v/>
      </c>
      <c r="AB212"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1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12" s="16" t="str">
        <f>IF(tblMaestroEquipos[[#This Row],[Fecha Salida Bodega]]="","SIN SALIDA BODEGA",IF(OR(tblMaestroEquipos[[#This Row],[Ultima Fecha PM]]="",tblMaestroEquipos[[#This Row],[Ultima Fecha PM]]&lt;tblMaestroEquipos[[#This Row],[Fecha Salida Bodega]]),"PENDIENTE","CERRADO"))</f>
        <v>SIN SALIDA BODEGA</v>
      </c>
      <c r="AE212" s="48" t="str">
        <f t="shared" si="26"/>
        <v>FUERA DE SERVICIO</v>
      </c>
      <c r="AF212" s="16" t="str">
        <f t="shared" si="27"/>
        <v>NO APLICA</v>
      </c>
      <c r="AG212" s="16" t="str">
        <f t="shared" si="28"/>
        <v>No programar compra</v>
      </c>
      <c r="AH212" s="25">
        <f t="shared" si="29"/>
        <v>0</v>
      </c>
      <c r="AI212" s="25" t="str">
        <f t="shared" si="30"/>
        <v/>
      </c>
      <c r="AJ212" s="22">
        <f t="shared" si="31"/>
        <v>99</v>
      </c>
    </row>
    <row r="213" spans="1:36">
      <c r="A213" s="16" t="s">
        <v>600</v>
      </c>
      <c r="B213" s="16" t="s">
        <v>461</v>
      </c>
      <c r="C213" s="16" t="s">
        <v>1414</v>
      </c>
      <c r="D213" s="16" t="s">
        <v>601</v>
      </c>
      <c r="E213" s="17" t="s">
        <v>602</v>
      </c>
      <c r="F213" s="16">
        <v>2023</v>
      </c>
      <c r="G213" s="17">
        <f>IFERROR(_xlfn.XLOOKUP($A213,tblEquipos[Codigo],tblEquipos[Ubicacion],""),"")</f>
        <v>0</v>
      </c>
      <c r="H213" s="16" t="s">
        <v>267</v>
      </c>
      <c r="I213" s="16" t="str">
        <f>IFERROR(VLOOKUP(A213, Equipos!A:J, 9, FALSE), "")</f>
        <v>KM</v>
      </c>
      <c r="J213" s="16">
        <f>IFERROR(VLOOKUP(A213, Equipos!A:J, 10, FALSE), "")</f>
        <v>15000</v>
      </c>
      <c r="K213" s="16">
        <f>IFERROR(IF($I213="KM",ROUND((_xlfn.MAXIFS(tblLecturas[Kilometraje],tblLecturas[Codigo],$A213)-_xlfn.MINIFS(tblLecturas[Kilometraje],tblLecturas[Codigo],$A213))/(MAX(1,_xlfn.MAXIFS(tblLecturas[Fecha],tblLecturas[Codigo],$A213)-_xlfn.MINIFS(tblLecturas[Fecha],tblLecturas[Codigo],$A213))),1),ROUND((_xlfn.MAXIFS(tblLecturas[Horometro],tblLecturas[Codigo],$A213)-_xlfn.MINIFS(tblLecturas[Horometro],tblLecturas[Codigo],$A213))/(MAX(1,_xlfn.MAXIFS(tblLecturas[Fecha],tblLecturas[Codigo],$A213)-_xlfn.MINIFS(tblLecturas[Fecha],tblLecturas[Codigo],$A213))),1)),"")</f>
        <v>0</v>
      </c>
      <c r="L213" s="18">
        <f>IFERROR(_xlfn.MAXIFS(tblLecturas[Fecha],tblLecturas[Codigo],$A213),"")</f>
        <v>0</v>
      </c>
      <c r="M213" s="24">
        <f>IFERROR(_xlfn.MAXIFS(Lecturas!$C:$C,Lecturas!$B:$B,$A213,Lecturas!$C:$C,"&gt;0"),"")</f>
        <v>0</v>
      </c>
      <c r="N213" s="24">
        <f>IFERROR(_xlfn.MAXIFS(tblLecturas[Kilometraje],tblLecturas[Codigo],$A213,tblLecturas[Kilometraje],"&gt;0"),"")</f>
        <v>0</v>
      </c>
      <c r="O213" s="24" t="str" cm="1">
        <f t="array" ref="O213">IFERROR(IF($I213="KM",LOOKUP(2,1/(Lecturas!$B:$B=$A213)/(Lecturas!$D:$D&gt;0),Lecturas!$D:$D),LOOKUP(2,1/(Lecturas!$B:$B=$A213)/(Lecturas!$C:$C&gt;0),Lecturas!$C:$C)),"")</f>
        <v/>
      </c>
      <c r="P213" s="18">
        <f>IFERROR(_xlfn.MAXIFS(tblMantenciones[Fecha],tblMantenciones[Codigo],tblMaestroEquipos[[#This Row],[Codigo]],tblMantenciones[EsPM],"Sí"),"")</f>
        <v>0</v>
      </c>
      <c r="Q213" s="70" t="str">
        <f>IF(_xlfn.MAXIFS(Mantenciones!$D:$D,Mantenciones!$B:$B,A213)=0,"Sin datos de mantención registrado",_xlfn.MAXIFS(Mantenciones!$D:$D,Mantenciones!$B:$B,A213))</f>
        <v>Sin datos de mantención registrado</v>
      </c>
      <c r="R213" s="16" t="str">
        <f>IFERROR(IF(_xlfn.MAXIFS(Mantenciones!$D:$D,Mantenciones!$B:$B,$A213,Mantenciones!$E:$E,"Sí",Mantenciones!$D:$D,"&gt;0")=0,"Sin datos de mantención registrado",_xlfn.MAXIFS(Mantenciones!$D:$D,Mantenciones!$B:$B,$A213,Mantenciones!$E:$E,"Sí",Mantenciones!$D:$D,"&gt;0")),"Sin datos de mantención registrado")</f>
        <v>Sin datos de mantención registrado</v>
      </c>
      <c r="S213" s="19">
        <f>IFERROR(SUMIFS(tblMantenciones[Costo Mantencion CLP],tblMantenciones[Codigo],tblMaestroEquipos[[#This Row],[Codigo]]),0)</f>
        <v>0</v>
      </c>
      <c r="T213" s="19">
        <f>IFERROR(SUMIFS(tblComprasPM[Costo PM CLP],tblComprasPM[Codigo],tblMaestroEquipos[[#This Row],[Codigo]]),0)</f>
        <v>0</v>
      </c>
      <c r="U213" s="19">
        <f>IFERROR(tblMaestroEquipos[[#This Row],[Costo Mantenciones CLP]]+tblMaestroEquipos[[#This Row],[Costo Compras PM CLP]],0)</f>
        <v>0</v>
      </c>
      <c r="V213" s="16" t="str">
        <f>IFERROR(_xlfn.XLOOKUP(tblMaestroEquipos[[#This Row],[Codigo]],tblEquipos[Codigo],tblEquipos[Estado Base]),"")</f>
        <v>Fuera de Servicio</v>
      </c>
      <c r="W213" s="16" t="str">
        <f t="shared" si="24"/>
        <v>FUERA DE SERVICIO</v>
      </c>
      <c r="X213" s="16" t="str">
        <f t="shared" si="25"/>
        <v/>
      </c>
      <c r="Y213"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13" s="23" t="str">
        <f>IFERROR(IF(_xlfn.MINIFS(tblComprasPM[Fecha],tblComprasPM[Codigo],tblMaestroEquipos[[#This Row],[Codigo]])=0,"",_xlfn.MINIFS(tblComprasPM[Fecha],tblComprasPM[Codigo],tblMaestroEquipos[[#This Row],[Codigo]])),"")</f>
        <v/>
      </c>
      <c r="AA213" s="23" t="str">
        <f>IFERROR(IF(_xlfn.MAXIFS(tblBodega[Fecha],tblBodega[Codigo],tblMaestroEquipos[[#This Row],[Codigo]])=0,"",_xlfn.MAXIFS(tblBodega[Fecha],tblBodega[Codigo],tblMaestroEquipos[[#This Row],[Codigo]])),"")</f>
        <v/>
      </c>
      <c r="AB213"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13"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13" s="16" t="str">
        <f>IF(tblMaestroEquipos[[#This Row],[Fecha Salida Bodega]]="","SIN SALIDA BODEGA",IF(OR(tblMaestroEquipos[[#This Row],[Ultima Fecha PM]]="",tblMaestroEquipos[[#This Row],[Ultima Fecha PM]]&lt;tblMaestroEquipos[[#This Row],[Fecha Salida Bodega]]),"PENDIENTE","CERRADO"))</f>
        <v>SIN SALIDA BODEGA</v>
      </c>
      <c r="AE213" s="48" t="str">
        <f t="shared" si="26"/>
        <v>FUERA DE SERVICIO</v>
      </c>
      <c r="AF213" s="16" t="str">
        <f t="shared" si="27"/>
        <v>NO APLICA</v>
      </c>
      <c r="AG213" s="16" t="str">
        <f t="shared" si="28"/>
        <v>No programar compra</v>
      </c>
      <c r="AH213" s="25">
        <f t="shared" si="29"/>
        <v>0</v>
      </c>
      <c r="AI213" s="25" t="str">
        <f t="shared" si="30"/>
        <v/>
      </c>
      <c r="AJ213" s="22">
        <f t="shared" si="31"/>
        <v>99</v>
      </c>
    </row>
    <row r="214" spans="1:36">
      <c r="A214" s="16" t="s">
        <v>603</v>
      </c>
      <c r="B214" s="16" t="s">
        <v>461</v>
      </c>
      <c r="C214" s="16" t="s">
        <v>1414</v>
      </c>
      <c r="D214" s="16" t="s">
        <v>601</v>
      </c>
      <c r="E214" s="17" t="s">
        <v>602</v>
      </c>
      <c r="F214" s="16">
        <v>2023</v>
      </c>
      <c r="G214" s="17" t="str">
        <f>IFERROR(_xlfn.XLOOKUP($A214,tblEquipos[Codigo],tblEquipos[Ubicacion],""),"")</f>
        <v>TALLER</v>
      </c>
      <c r="H214" s="16" t="s">
        <v>585</v>
      </c>
      <c r="I214" s="16" t="str">
        <f>IFERROR(VLOOKUP(A214, Equipos!A:J, 9, FALSE), "")</f>
        <v>KM</v>
      </c>
      <c r="J214" s="16">
        <f>IFERROR(VLOOKUP(A214, Equipos!A:J, 10, FALSE), "")</f>
        <v>15000</v>
      </c>
      <c r="K214" s="16">
        <f>IFERROR(IF($I214="KM",ROUND((_xlfn.MAXIFS(tblLecturas[Kilometraje],tblLecturas[Codigo],$A214)-_xlfn.MINIFS(tblLecturas[Kilometraje],tblLecturas[Codigo],$A214))/(MAX(1,_xlfn.MAXIFS(tblLecturas[Fecha],tblLecturas[Codigo],$A214)-_xlfn.MINIFS(tblLecturas[Fecha],tblLecturas[Codigo],$A214))),1),ROUND((_xlfn.MAXIFS(tblLecturas[Horometro],tblLecturas[Codigo],$A214)-_xlfn.MINIFS(tblLecturas[Horometro],tblLecturas[Codigo],$A214))/(MAX(1,_xlfn.MAXIFS(tblLecturas[Fecha],tblLecturas[Codigo],$A214)-_xlfn.MINIFS(tblLecturas[Fecha],tblLecturas[Codigo],$A214))),1)),"")</f>
        <v>123.2</v>
      </c>
      <c r="L214" s="18">
        <f>IFERROR(_xlfn.MAXIFS(tblLecturas[Fecha],tblLecturas[Codigo],$A214),"")</f>
        <v>46045</v>
      </c>
      <c r="M214" s="24">
        <f>IFERROR(_xlfn.MAXIFS(Lecturas!$C:$C,Lecturas!$B:$B,$A214,Lecturas!$C:$C,"&gt;0"),"")</f>
        <v>0</v>
      </c>
      <c r="N214" s="24">
        <f>IFERROR(_xlfn.MAXIFS(tblLecturas[Kilometraje],tblLecturas[Codigo],$A214,tblLecturas[Kilometraje],"&gt;0"),"")</f>
        <v>137077</v>
      </c>
      <c r="O214" s="24" cm="1">
        <f t="array" ref="O214">IFERROR(IF($I214="KM",LOOKUP(2,1/(Lecturas!$B:$B=$A214)/(Lecturas!$D:$D&gt;0),Lecturas!$D:$D),LOOKUP(2,1/(Lecturas!$B:$B=$A214)/(Lecturas!$C:$C&gt;0),Lecturas!$C:$C)),"")</f>
        <v>136003</v>
      </c>
      <c r="P214" s="18">
        <f>IFERROR(_xlfn.MAXIFS(tblMantenciones[Fecha],tblMantenciones[Codigo],tblMaestroEquipos[[#This Row],[Codigo]],tblMantenciones[EsPM],"Sí"),"")</f>
        <v>46129</v>
      </c>
      <c r="Q214" s="70">
        <f>IF(_xlfn.MAXIFS(Mantenciones!$D:$D,Mantenciones!$B:$B,A214)=0,"Sin datos de mantención registrado",_xlfn.MAXIFS(Mantenciones!$D:$D,Mantenciones!$B:$B,A214))</f>
        <v>170002</v>
      </c>
      <c r="R214" s="16">
        <f>IFERROR(IF(_xlfn.MAXIFS(Mantenciones!$D:$D,Mantenciones!$B:$B,$A214,Mantenciones!$E:$E,"Sí",Mantenciones!$D:$D,"&gt;0")=0,"Sin datos de mantención registrado",_xlfn.MAXIFS(Mantenciones!$D:$D,Mantenciones!$B:$B,$A214,Mantenciones!$E:$E,"Sí",Mantenciones!$D:$D,"&gt;0")),"Sin datos de mantención registrado")</f>
        <v>170002</v>
      </c>
      <c r="S214" s="19">
        <f>IFERROR(SUMIFS(tblMantenciones[Costo Mantencion CLP],tblMantenciones[Codigo],tblMaestroEquipos[[#This Row],[Codigo]]),0)</f>
        <v>0</v>
      </c>
      <c r="T214" s="19">
        <f>IFERROR(SUMIFS(tblComprasPM[Costo PM CLP],tblComprasPM[Codigo],tblMaestroEquipos[[#This Row],[Codigo]]),0)</f>
        <v>0</v>
      </c>
      <c r="U214" s="19">
        <f>IFERROR(tblMaestroEquipos[[#This Row],[Costo Mantenciones CLP]]+tblMaestroEquipos[[#This Row],[Costo Compras PM CLP]],0)</f>
        <v>0</v>
      </c>
      <c r="V214" s="16" t="str">
        <f>IFERROR(_xlfn.XLOOKUP(tblMaestroEquipos[[#This Row],[Codigo]],tblEquipos[Codigo],tblEquipos[Estado Base]),"")</f>
        <v>Fuera de Servicio</v>
      </c>
      <c r="W214" s="16" t="str">
        <f t="shared" si="24"/>
        <v>FUERA DE SERVICIO</v>
      </c>
      <c r="X214" s="16">
        <f t="shared" si="25"/>
        <v>48999</v>
      </c>
      <c r="Y214"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14" s="23" t="str">
        <f>IFERROR(IF(_xlfn.MINIFS(tblComprasPM[Fecha],tblComprasPM[Codigo],tblMaestroEquipos[[#This Row],[Codigo]])=0,"",_xlfn.MINIFS(tblComprasPM[Fecha],tblComprasPM[Codigo],tblMaestroEquipos[[#This Row],[Codigo]])),"")</f>
        <v/>
      </c>
      <c r="AA214" s="23" t="str">
        <f>IFERROR(IF(_xlfn.MAXIFS(tblBodega[Fecha],tblBodega[Codigo],tblMaestroEquipos[[#This Row],[Codigo]])=0,"",_xlfn.MAXIFS(tblBodega[Fecha],tblBodega[Codigo],tblMaestroEquipos[[#This Row],[Codigo]])),"")</f>
        <v/>
      </c>
      <c r="AB214"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14"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14" s="16" t="str">
        <f>IF(tblMaestroEquipos[[#This Row],[Fecha Salida Bodega]]="","SIN SALIDA BODEGA",IF(OR(tblMaestroEquipos[[#This Row],[Ultima Fecha PM]]="",tblMaestroEquipos[[#This Row],[Ultima Fecha PM]]&lt;tblMaestroEquipos[[#This Row],[Fecha Salida Bodega]]),"PENDIENTE","CERRADO"))</f>
        <v>SIN SALIDA BODEGA</v>
      </c>
      <c r="AE214" s="48" t="str">
        <f t="shared" si="26"/>
        <v>FUERA DE SERVICIO</v>
      </c>
      <c r="AF214" s="16" t="str">
        <f t="shared" si="27"/>
        <v>NO APLICA</v>
      </c>
      <c r="AG214" s="16" t="str">
        <f t="shared" si="28"/>
        <v>No programar compra</v>
      </c>
      <c r="AH214">
        <f t="shared" si="29"/>
        <v>0</v>
      </c>
      <c r="AI214" t="str">
        <f t="shared" si="30"/>
        <v/>
      </c>
      <c r="AJ214" s="22">
        <f t="shared" si="31"/>
        <v>99</v>
      </c>
    </row>
    <row r="215" spans="1:36">
      <c r="A215" s="16" t="s">
        <v>604</v>
      </c>
      <c r="B215" s="16" t="s">
        <v>461</v>
      </c>
      <c r="C215" s="16" t="s">
        <v>1414</v>
      </c>
      <c r="D215" s="16" t="s">
        <v>601</v>
      </c>
      <c r="E215" s="17" t="s">
        <v>602</v>
      </c>
      <c r="F215" s="16">
        <v>2023</v>
      </c>
      <c r="G215" s="17" t="str">
        <f>IFERROR(_xlfn.XLOOKUP($A215,tblEquipos[Codigo],tblEquipos[Ubicacion],""),"")</f>
        <v>Emergencias Curico</v>
      </c>
      <c r="H215" s="16" t="s">
        <v>201</v>
      </c>
      <c r="I215" s="16" t="str">
        <f>IFERROR(VLOOKUP(A215, Equipos!A:J, 9, FALSE), "")</f>
        <v>KM</v>
      </c>
      <c r="J215" s="16">
        <f>IFERROR(VLOOKUP(A215, Equipos!A:J, 10, FALSE), "")</f>
        <v>15000</v>
      </c>
      <c r="K215" s="16">
        <f>IFERROR(IF($I215="KM",ROUND((_xlfn.MAXIFS(tblLecturas[Kilometraje],tblLecturas[Codigo],$A215)-_xlfn.MINIFS(tblLecturas[Kilometraje],tblLecturas[Codigo],$A215))/(MAX(1,_xlfn.MAXIFS(tblLecturas[Fecha],tblLecturas[Codigo],$A215)-_xlfn.MINIFS(tblLecturas[Fecha],tblLecturas[Codigo],$A215))),1),ROUND((_xlfn.MAXIFS(tblLecturas[Horometro],tblLecturas[Codigo],$A215)-_xlfn.MINIFS(tblLecturas[Horometro],tblLecturas[Codigo],$A215))/(MAX(1,_xlfn.MAXIFS(tblLecturas[Fecha],tblLecturas[Codigo],$A215)-_xlfn.MINIFS(tblLecturas[Fecha],tblLecturas[Codigo],$A215))),1)),"")</f>
        <v>96.8</v>
      </c>
      <c r="L215" s="18">
        <f>IFERROR(_xlfn.MAXIFS(tblLecturas[Fecha],tblLecturas[Codigo],$A215),"")</f>
        <v>46133</v>
      </c>
      <c r="M215" s="24">
        <f>IFERROR(_xlfn.MAXIFS(Lecturas!$C:$C,Lecturas!$B:$B,$A215,Lecturas!$C:$C,"&gt;0"),"")</f>
        <v>0</v>
      </c>
      <c r="N215" s="24">
        <f>IFERROR(_xlfn.MAXIFS(tblLecturas[Kilometraje],tblLecturas[Codigo],$A215,tblLecturas[Kilometraje],"&gt;0"),"")</f>
        <v>170476</v>
      </c>
      <c r="O215" s="24" cm="1">
        <f t="array" ref="O215">IFERROR(IF($I215="KM",LOOKUP(2,1/(Lecturas!$B:$B=$A215)/(Lecturas!$D:$D&gt;0),Lecturas!$D:$D),LOOKUP(2,1/(Lecturas!$B:$B=$A215)/(Lecturas!$C:$C&gt;0),Lecturas!$C:$C)),"")</f>
        <v>166412</v>
      </c>
      <c r="P215" s="18">
        <f>IFERROR(_xlfn.MAXIFS(tblMantenciones[Fecha],tblMantenciones[Codigo],tblMaestroEquipos[[#This Row],[Codigo]],tblMantenciones[EsPM],"Sí"),"")</f>
        <v>46036</v>
      </c>
      <c r="Q215" s="70">
        <f>IF(_xlfn.MAXIFS(Mantenciones!$D:$D,Mantenciones!$B:$B,A215)=0,"Sin datos de mantención registrado",_xlfn.MAXIFS(Mantenciones!$D:$D,Mantenciones!$B:$B,A215))</f>
        <v>157018</v>
      </c>
      <c r="R215" s="16">
        <f>IFERROR(IF(_xlfn.MAXIFS(Mantenciones!$D:$D,Mantenciones!$B:$B,$A215,Mantenciones!$E:$E,"Sí",Mantenciones!$D:$D,"&gt;0")=0,"Sin datos de mantención registrado",_xlfn.MAXIFS(Mantenciones!$D:$D,Mantenciones!$B:$B,$A215,Mantenciones!$E:$E,"Sí",Mantenciones!$D:$D,"&gt;0")),"Sin datos de mantención registrado")</f>
        <v>157018</v>
      </c>
      <c r="S215" s="19">
        <f>IFERROR(SUMIFS(tblMantenciones[Costo Mantencion CLP],tblMantenciones[Codigo],tblMaestroEquipos[[#This Row],[Codigo]]),0)</f>
        <v>0</v>
      </c>
      <c r="T215" s="19">
        <f>IFERROR(SUMIFS(tblComprasPM[Costo PM CLP],tblComprasPM[Codigo],tblMaestroEquipos[[#This Row],[Codigo]]),0)</f>
        <v>55701.27</v>
      </c>
      <c r="U215" s="19">
        <f>IFERROR(tblMaestroEquipos[[#This Row],[Costo Mantenciones CLP]]+tblMaestroEquipos[[#This Row],[Costo Compras PM CLP]],0)</f>
        <v>55701.27</v>
      </c>
      <c r="V215" s="16" t="str">
        <f>IFERROR(_xlfn.XLOOKUP(tblMaestroEquipos[[#This Row],[Codigo]],tblEquipos[Codigo],tblEquipos[Estado Base]),"")</f>
        <v>Operativo</v>
      </c>
      <c r="W215" s="16" t="str">
        <f t="shared" si="24"/>
        <v>POR RECIBIR</v>
      </c>
      <c r="X215" s="16">
        <f t="shared" si="25"/>
        <v>5606</v>
      </c>
      <c r="Y215" s="23">
        <f>IFERROR(IF(OR(tblMaestroEquipos[[#This Row],[Estado Operacional]]="FUERA DE SERVICIO",tblMaestroEquipos[[#This Row],[Ultima Fecha Lectura]]="",tblMaestroEquipos[[#This Row],[Dias a Proxima Mantencion]]=""),"",tblMaestroEquipos[[#This Row],[Ultima Fecha Lectura]]+tblMaestroEquipos[[#This Row],[Dias a Proxima Mantencion]]),"")</f>
        <v>51739</v>
      </c>
      <c r="Z215" s="23">
        <f>IFERROR(IF(_xlfn.MINIFS(tblComprasPM[Fecha],tblComprasPM[Codigo],tblMaestroEquipos[[#This Row],[Codigo]])=0,"",_xlfn.MINIFS(tblComprasPM[Fecha],tblComprasPM[Codigo],tblMaestroEquipos[[#This Row],[Codigo]])),"")</f>
        <v>46119.430838807901</v>
      </c>
      <c r="AA215" s="23">
        <f>IFERROR(IF(_xlfn.MAXIFS(tblBodega[Fecha],tblBodega[Codigo],tblMaestroEquipos[[#This Row],[Codigo]])=0,"",_xlfn.MAXIFS(tblBodega[Fecha],tblBodega[Codigo],tblMaestroEquipos[[#This Row],[Codigo]])),"")</f>
        <v>46129</v>
      </c>
      <c r="AB21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21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215" s="16" t="str">
        <f>IF(tblMaestroEquipos[[#This Row],[Fecha Salida Bodega]]="","SIN SALIDA BODEGA",IF(OR(tblMaestroEquipos[[#This Row],[Ultima Fecha PM]]="",tblMaestroEquipos[[#This Row],[Ultima Fecha PM]]&lt;tblMaestroEquipos[[#This Row],[Fecha Salida Bodega]]),"PENDIENTE","CERRADO"))</f>
        <v>PENDIENTE</v>
      </c>
      <c r="AE215" s="48" t="str">
        <f t="shared" si="26"/>
        <v>OPERATIVO</v>
      </c>
      <c r="AF215" s="16" t="str">
        <f t="shared" si="27"/>
        <v>BAJA</v>
      </c>
      <c r="AG215" s="16" t="str">
        <f t="shared" si="28"/>
        <v>Monitorear próximo vencimiento</v>
      </c>
      <c r="AH215">
        <f t="shared" si="29"/>
        <v>0</v>
      </c>
      <c r="AI215" t="str">
        <f t="shared" si="30"/>
        <v/>
      </c>
      <c r="AJ215" s="22">
        <f t="shared" si="31"/>
        <v>3</v>
      </c>
    </row>
    <row r="216" spans="1:36" s="25" customFormat="1">
      <c r="A216" s="16" t="s">
        <v>606</v>
      </c>
      <c r="B216" s="16" t="s">
        <v>461</v>
      </c>
      <c r="C216" s="16" t="s">
        <v>1414</v>
      </c>
      <c r="D216" s="16" t="s">
        <v>601</v>
      </c>
      <c r="E216" s="17" t="s">
        <v>602</v>
      </c>
      <c r="F216" s="16">
        <v>2023</v>
      </c>
      <c r="G216" s="17" t="str">
        <f>IFERROR(_xlfn.XLOOKUP($A216,tblEquipos[Codigo],tblEquipos[Ubicacion],""),"")</f>
        <v>Asfalto</v>
      </c>
      <c r="H216" s="16" t="s">
        <v>1426</v>
      </c>
      <c r="I216" s="16" t="str">
        <f>IFERROR(VLOOKUP(A216, Equipos!A:J, 9, FALSE), "")</f>
        <v>KM</v>
      </c>
      <c r="J216" s="16">
        <f>IFERROR(VLOOKUP(A216, Equipos!A:J, 10, FALSE), "")</f>
        <v>10000</v>
      </c>
      <c r="K216" s="16">
        <f>IFERROR(IF($I216="KM",ROUND((_xlfn.MAXIFS(tblLecturas[Kilometraje],tblLecturas[Codigo],$A216)-_xlfn.MINIFS(tblLecturas[Kilometraje],tblLecturas[Codigo],$A216))/(MAX(1,_xlfn.MAXIFS(tblLecturas[Fecha],tblLecturas[Codigo],$A216)-_xlfn.MINIFS(tblLecturas[Fecha],tblLecturas[Codigo],$A216))),1),ROUND((_xlfn.MAXIFS(tblLecturas[Horometro],tblLecturas[Codigo],$A216)-_xlfn.MINIFS(tblLecturas[Horometro],tblLecturas[Codigo],$A216))/(MAX(1,_xlfn.MAXIFS(tblLecturas[Fecha],tblLecturas[Codigo],$A216)-_xlfn.MINIFS(tblLecturas[Fecha],tblLecturas[Codigo],$A216))),1)),"")</f>
        <v>184.7</v>
      </c>
      <c r="L216" s="18">
        <f>IFERROR(_xlfn.MAXIFS(tblLecturas[Fecha],tblLecturas[Codigo],$A216),"")</f>
        <v>46133</v>
      </c>
      <c r="M216" s="24">
        <f>IFERROR(_xlfn.MAXIFS(Lecturas!$C:$C,Lecturas!$B:$B,$A216,Lecturas!$C:$C,"&gt;0"),"")</f>
        <v>0</v>
      </c>
      <c r="N216" s="24">
        <f>IFERROR(_xlfn.MAXIFS(tblLecturas[Kilometraje],tblLecturas[Codigo],$A216,tblLecturas[Kilometraje],"&gt;0"),"")</f>
        <v>148370</v>
      </c>
      <c r="O216" s="24" cm="1">
        <f t="array" ref="O216">IFERROR(IF($I216="KM",LOOKUP(2,1/(Lecturas!$B:$B=$A216)/(Lecturas!$D:$D&gt;0),Lecturas!$D:$D),LOOKUP(2,1/(Lecturas!$B:$B=$A216)/(Lecturas!$C:$C&gt;0),Lecturas!$C:$C)),"")</f>
        <v>140796</v>
      </c>
      <c r="P216" s="18">
        <f>IFERROR(_xlfn.MAXIFS(tblMantenciones[Fecha],tblMantenciones[Codigo],tblMaestroEquipos[[#This Row],[Codigo]],tblMantenciones[EsPM],"Sí"),"")</f>
        <v>46188</v>
      </c>
      <c r="Q216" s="70">
        <f>IF(_xlfn.MAXIFS(Mantenciones!$D:$D,Mantenciones!$B:$B,A216)=0,"Sin datos de mantención registrado",_xlfn.MAXIFS(Mantenciones!$D:$D,Mantenciones!$B:$B,A216))</f>
        <v>157161</v>
      </c>
      <c r="R216" s="16">
        <f>IFERROR(IF(_xlfn.MAXIFS(Mantenciones!$D:$D,Mantenciones!$B:$B,$A216,Mantenciones!$E:$E,"Sí",Mantenciones!$D:$D,"&gt;0")=0,"Sin datos de mantención registrado",_xlfn.MAXIFS(Mantenciones!$D:$D,Mantenciones!$B:$B,$A216,Mantenciones!$E:$E,"Sí",Mantenciones!$D:$D,"&gt;0")),"Sin datos de mantención registrado")</f>
        <v>157161</v>
      </c>
      <c r="S216" s="19">
        <f>IFERROR(SUMIFS(tblMantenciones[Costo Mantencion CLP],tblMantenciones[Codigo],tblMaestroEquipos[[#This Row],[Codigo]]),0)</f>
        <v>0</v>
      </c>
      <c r="T216" s="19">
        <f>IFERROR(SUMIFS(tblComprasPM[Costo PM CLP],tblComprasPM[Codigo],tblMaestroEquipos[[#This Row],[Codigo]]),0)</f>
        <v>95301.276500000007</v>
      </c>
      <c r="U216" s="19">
        <f>IFERROR(tblMaestroEquipos[[#This Row],[Costo Mantenciones CLP]]+tblMaestroEquipos[[#This Row],[Costo Compras PM CLP]],0)</f>
        <v>95301.276500000007</v>
      </c>
      <c r="V216" s="16" t="str">
        <f>IFERROR(_xlfn.XLOOKUP(tblMaestroEquipos[[#This Row],[Codigo]],tblEquipos[Codigo],tblEquipos[Estado Base]),"")</f>
        <v>Operativo</v>
      </c>
      <c r="W216" s="16" t="str">
        <f t="shared" si="24"/>
        <v>AL DÍA</v>
      </c>
      <c r="X216" s="16">
        <f t="shared" si="25"/>
        <v>26365</v>
      </c>
      <c r="Y216" s="23">
        <f>IFERROR(IF(OR(tblMaestroEquipos[[#This Row],[Estado Operacional]]="FUERA DE SERVICIO",tblMaestroEquipos[[#This Row],[Ultima Fecha Lectura]]="",tblMaestroEquipos[[#This Row],[Dias a Proxima Mantencion]]=""),"",tblMaestroEquipos[[#This Row],[Ultima Fecha Lectura]]+tblMaestroEquipos[[#This Row],[Dias a Proxima Mantencion]]),"")</f>
        <v>72498</v>
      </c>
      <c r="Z216" s="23">
        <f>IFERROR(IF(_xlfn.MINIFS(tblComprasPM[Fecha],tblComprasPM[Codigo],tblMaestroEquipos[[#This Row],[Codigo]])=0,"",_xlfn.MINIFS(tblComprasPM[Fecha],tblComprasPM[Codigo],tblMaestroEquipos[[#This Row],[Codigo]])),"")</f>
        <v>46086.416198495397</v>
      </c>
      <c r="AA216" s="23">
        <f>IFERROR(IF(_xlfn.MAXIFS(tblBodega[Fecha],tblBodega[Codigo],tblMaestroEquipos[[#This Row],[Codigo]])=0,"",_xlfn.MAXIFS(tblBodega[Fecha],tblBodega[Codigo],tblMaestroEquipos[[#This Row],[Codigo]])),"")</f>
        <v>46118</v>
      </c>
      <c r="AB21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102</v>
      </c>
      <c r="AC216"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70</v>
      </c>
      <c r="AD216" s="16" t="str">
        <f>IF(tblMaestroEquipos[[#This Row],[Fecha Salida Bodega]]="","SIN SALIDA BODEGA",IF(OR(tblMaestroEquipos[[#This Row],[Ultima Fecha PM]]="",tblMaestroEquipos[[#This Row],[Ultima Fecha PM]]&lt;tblMaestroEquipos[[#This Row],[Fecha Salida Bodega]]),"PENDIENTE","CERRADO"))</f>
        <v>CERRADO</v>
      </c>
      <c r="AE216" s="48" t="str">
        <f t="shared" si="26"/>
        <v>OPERATIVO</v>
      </c>
      <c r="AF216" s="16" t="str">
        <f t="shared" si="27"/>
        <v>BAJA</v>
      </c>
      <c r="AG216" s="16" t="str">
        <f t="shared" si="28"/>
        <v>Monitorear próximo vencimiento</v>
      </c>
      <c r="AH216" s="25">
        <f t="shared" si="29"/>
        <v>0</v>
      </c>
      <c r="AI216" s="25" t="str">
        <f t="shared" si="30"/>
        <v/>
      </c>
      <c r="AJ216" s="22">
        <f t="shared" si="31"/>
        <v>99</v>
      </c>
    </row>
    <row r="217" spans="1:36" s="25" customFormat="1">
      <c r="A217" s="16" t="s">
        <v>608</v>
      </c>
      <c r="B217" s="16" t="s">
        <v>461</v>
      </c>
      <c r="C217" s="16" t="s">
        <v>1414</v>
      </c>
      <c r="D217" s="16" t="s">
        <v>601</v>
      </c>
      <c r="E217" s="17" t="s">
        <v>602</v>
      </c>
      <c r="F217" s="16">
        <v>2023</v>
      </c>
      <c r="G217" s="17" t="str">
        <f>IFERROR(_xlfn.XLOOKUP($A217,tblEquipos[Codigo],tblEquipos[Ubicacion],""),"")</f>
        <v>Emergencias Curico</v>
      </c>
      <c r="H217" s="16" t="s">
        <v>1427</v>
      </c>
      <c r="I217" s="16" t="str">
        <f>IFERROR(VLOOKUP(A217, Equipos!A:J, 9, FALSE), "")</f>
        <v>KM</v>
      </c>
      <c r="J217" s="16">
        <f>IFERROR(VLOOKUP(A217, Equipos!A:J, 10, FALSE), "")</f>
        <v>15000</v>
      </c>
      <c r="K217" s="16">
        <f>IFERROR(IF($I217="KM",ROUND((_xlfn.MAXIFS(tblLecturas[Kilometraje],tblLecturas[Codigo],$A217)-_xlfn.MINIFS(tblLecturas[Kilometraje],tblLecturas[Codigo],$A217))/(MAX(1,_xlfn.MAXIFS(tblLecturas[Fecha],tblLecturas[Codigo],$A217)-_xlfn.MINIFS(tblLecturas[Fecha],tblLecturas[Codigo],$A217))),1),ROUND((_xlfn.MAXIFS(tblLecturas[Horometro],tblLecturas[Codigo],$A217)-_xlfn.MINIFS(tblLecturas[Horometro],tblLecturas[Codigo],$A217))/(MAX(1,_xlfn.MAXIFS(tblLecturas[Fecha],tblLecturas[Codigo],$A217)-_xlfn.MINIFS(tblLecturas[Fecha],tblLecturas[Codigo],$A217))),1)),"")</f>
        <v>96.8</v>
      </c>
      <c r="L217" s="18">
        <f>IFERROR(_xlfn.MAXIFS(tblLecturas[Fecha],tblLecturas[Codigo],$A217),"")</f>
        <v>46133</v>
      </c>
      <c r="M217" s="24">
        <f>IFERROR(_xlfn.MAXIFS(Lecturas!$C:$C,Lecturas!$B:$B,$A217,Lecturas!$C:$C,"&gt;0"),"")</f>
        <v>0</v>
      </c>
      <c r="N217" s="24">
        <f>IFERROR(_xlfn.MAXIFS(tblLecturas[Kilometraje],tblLecturas[Codigo],$A217,tblLecturas[Kilometraje],"&gt;0"),"")</f>
        <v>150214</v>
      </c>
      <c r="O217" s="24" cm="1">
        <f t="array" ref="O217">IFERROR(IF($I217="KM",LOOKUP(2,1/(Lecturas!$B:$B=$A217)/(Lecturas!$D:$D&gt;0),Lecturas!$D:$D),LOOKUP(2,1/(Lecturas!$B:$B=$A217)/(Lecturas!$C:$C&gt;0),Lecturas!$C:$C)),"")</f>
        <v>147793</v>
      </c>
      <c r="P217" s="18">
        <f>IFERROR(_xlfn.MAXIFS(tblMantenciones[Fecha],tblMantenciones[Codigo],tblMaestroEquipos[[#This Row],[Codigo]],tblMantenciones[EsPM],"Sí"),"")</f>
        <v>46195</v>
      </c>
      <c r="Q217" s="70">
        <f>IF(_xlfn.MAXIFS(Mantenciones!$D:$D,Mantenciones!$B:$B,A217)=0,"Sin datos de mantención registrado",_xlfn.MAXIFS(Mantenciones!$D:$D,Mantenciones!$B:$B,A217))</f>
        <v>158877</v>
      </c>
      <c r="R217" s="16">
        <f>IFERROR(IF(_xlfn.MAXIFS(Mantenciones!$D:$D,Mantenciones!$B:$B,$A217,Mantenciones!$E:$E,"Sí",Mantenciones!$D:$D,"&gt;0")=0,"Sin datos de mantención registrado",_xlfn.MAXIFS(Mantenciones!$D:$D,Mantenciones!$B:$B,$A217,Mantenciones!$E:$E,"Sí",Mantenciones!$D:$D,"&gt;0")),"Sin datos de mantención registrado")</f>
        <v>158877</v>
      </c>
      <c r="S217" s="19">
        <f>IFERROR(SUMIFS(tblMantenciones[Costo Mantencion CLP],tblMantenciones[Codigo],tblMaestroEquipos[[#This Row],[Codigo]]),0)</f>
        <v>0</v>
      </c>
      <c r="T217" s="19">
        <f>IFERROR(SUMIFS(tblComprasPM[Costo PM CLP],tblComprasPM[Codigo],tblMaestroEquipos[[#This Row],[Codigo]]),0)</f>
        <v>76501.239999999991</v>
      </c>
      <c r="U217" s="19">
        <f>IFERROR(tblMaestroEquipos[[#This Row],[Costo Mantenciones CLP]]+tblMaestroEquipos[[#This Row],[Costo Compras PM CLP]],0)</f>
        <v>76501.239999999991</v>
      </c>
      <c r="V217" s="16" t="str">
        <f>IFERROR(_xlfn.XLOOKUP(tblMaestroEquipos[[#This Row],[Codigo]],tblEquipos[Codigo],tblEquipos[Estado Base]),"")</f>
        <v>Operativo</v>
      </c>
      <c r="W217" s="16" t="str">
        <f t="shared" si="24"/>
        <v>EN PROCESO</v>
      </c>
      <c r="X217" s="16">
        <f t="shared" si="25"/>
        <v>26084</v>
      </c>
      <c r="Y217" s="23">
        <f>IFERROR(IF(OR(tblMaestroEquipos[[#This Row],[Estado Operacional]]="FUERA DE SERVICIO",tblMaestroEquipos[[#This Row],[Ultima Fecha Lectura]]="",tblMaestroEquipos[[#This Row],[Dias a Proxima Mantencion]]=""),"",tblMaestroEquipos[[#This Row],[Ultima Fecha Lectura]]+tblMaestroEquipos[[#This Row],[Dias a Proxima Mantencion]]),"")</f>
        <v>72217</v>
      </c>
      <c r="Z217" s="23">
        <f>IFERROR(IF(_xlfn.MINIFS(tblComprasPM[Fecha],tblComprasPM[Codigo],tblMaestroEquipos[[#This Row],[Codigo]])=0,"",_xlfn.MINIFS(tblComprasPM[Fecha],tblComprasPM[Codigo],tblMaestroEquipos[[#This Row],[Codigo]])),"")</f>
        <v>46119.430838807901</v>
      </c>
      <c r="AA217" s="23" t="str">
        <f>IFERROR(IF(_xlfn.MAXIFS(tblBodega[Fecha],tblBodega[Codigo],tblMaestroEquipos[[#This Row],[Codigo]])=0,"",_xlfn.MAXIFS(tblBodega[Fecha],tblBodega[Codigo],tblMaestroEquipos[[#This Row],[Codigo]])),"")</f>
        <v/>
      </c>
      <c r="AB21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76</v>
      </c>
      <c r="AC217"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17" s="16" t="str">
        <f>IF(tblMaestroEquipos[[#This Row],[Fecha Salida Bodega]]="","SIN SALIDA BODEGA",IF(OR(tblMaestroEquipos[[#This Row],[Ultima Fecha PM]]="",tblMaestroEquipos[[#This Row],[Ultima Fecha PM]]&lt;tblMaestroEquipos[[#This Row],[Fecha Salida Bodega]]),"PENDIENTE","CERRADO"))</f>
        <v>SIN SALIDA BODEGA</v>
      </c>
      <c r="AE217" s="48" t="str">
        <f t="shared" si="26"/>
        <v>EN PROCESO</v>
      </c>
      <c r="AF217" s="16" t="str">
        <f t="shared" si="27"/>
        <v>SEGUIMIENTO</v>
      </c>
      <c r="AG217" s="16" t="str">
        <f t="shared" si="28"/>
        <v>Hacer seguimiento al taller y cerrar report</v>
      </c>
      <c r="AH217">
        <f t="shared" si="29"/>
        <v>0</v>
      </c>
      <c r="AI217" t="str">
        <f t="shared" si="30"/>
        <v/>
      </c>
      <c r="AJ217" s="22">
        <f t="shared" si="31"/>
        <v>2</v>
      </c>
    </row>
    <row r="218" spans="1:36" s="25" customFormat="1">
      <c r="A218" s="16" t="s">
        <v>610</v>
      </c>
      <c r="B218" s="16" t="s">
        <v>461</v>
      </c>
      <c r="C218" s="16" t="s">
        <v>1414</v>
      </c>
      <c r="D218" s="16" t="s">
        <v>601</v>
      </c>
      <c r="E218" s="17" t="s">
        <v>602</v>
      </c>
      <c r="F218" s="16">
        <v>2023</v>
      </c>
      <c r="G218" s="17" t="str">
        <f>IFERROR(_xlfn.XLOOKUP($A218,tblEquipos[Codigo],tblEquipos[Ubicacion],""),"")</f>
        <v>Palmucho</v>
      </c>
      <c r="H218" s="16" t="s">
        <v>201</v>
      </c>
      <c r="I218" s="16" t="str">
        <f>IFERROR(VLOOKUP(A218, Equipos!A:J, 9, FALSE), "")</f>
        <v>KM</v>
      </c>
      <c r="J218" s="16">
        <f>IFERROR(VLOOKUP(A218, Equipos!A:J, 10, FALSE), "")</f>
        <v>15000</v>
      </c>
      <c r="K218" s="16">
        <f>IFERROR(IF($I218="KM",ROUND((_xlfn.MAXIFS(tblLecturas[Kilometraje],tblLecturas[Codigo],$A218)-_xlfn.MINIFS(tblLecturas[Kilometraje],tblLecturas[Codigo],$A218))/(MAX(1,_xlfn.MAXIFS(tblLecturas[Fecha],tblLecturas[Codigo],$A218)-_xlfn.MINIFS(tblLecturas[Fecha],tblLecturas[Codigo],$A218))),1),ROUND((_xlfn.MAXIFS(tblLecturas[Horometro],tblLecturas[Codigo],$A218)-_xlfn.MINIFS(tblLecturas[Horometro],tblLecturas[Codigo],$A218))/(MAX(1,_xlfn.MAXIFS(tblLecturas[Fecha],tblLecturas[Codigo],$A218)-_xlfn.MINIFS(tblLecturas[Fecha],tblLecturas[Codigo],$A218))),1)),"")</f>
        <v>82.8</v>
      </c>
      <c r="L218" s="18">
        <f>IFERROR(_xlfn.MAXIFS(tblLecturas[Fecha],tblLecturas[Codigo],$A218),"")</f>
        <v>46176</v>
      </c>
      <c r="M218" s="24">
        <f>IFERROR(_xlfn.MAXIFS(Lecturas!$C:$C,Lecturas!$B:$B,$A218,Lecturas!$C:$C,"&gt;0"),"")</f>
        <v>0</v>
      </c>
      <c r="N218" s="24">
        <f>IFERROR(_xlfn.MAXIFS(tblLecturas[Kilometraje],tblLecturas[Codigo],$A218,tblLecturas[Kilometraje],"&gt;0"),"")</f>
        <v>147132</v>
      </c>
      <c r="O218" s="24" cm="1">
        <f t="array" ref="O218">IFERROR(IF($I218="KM",LOOKUP(2,1/(Lecturas!$B:$B=$A218)/(Lecturas!$D:$D&gt;0),Lecturas!$D:$D),LOOKUP(2,1/(Lecturas!$B:$B=$A218)/(Lecturas!$C:$C&gt;0),Lecturas!$C:$C)),"")</f>
        <v>147132</v>
      </c>
      <c r="P218" s="18">
        <f>IFERROR(_xlfn.MAXIFS(tblMantenciones[Fecha],tblMantenciones[Codigo],tblMaestroEquipos[[#This Row],[Codigo]],tblMantenciones[EsPM],"Sí"),"")</f>
        <v>0</v>
      </c>
      <c r="Q218" s="70" t="str">
        <f>IF(_xlfn.MAXIFS(Mantenciones!$D:$D,Mantenciones!$B:$B,A218)=0,"Sin datos de mantención registrado",_xlfn.MAXIFS(Mantenciones!$D:$D,Mantenciones!$B:$B,A218))</f>
        <v>Sin datos de mantención registrado</v>
      </c>
      <c r="R218" s="16" t="str">
        <f>IFERROR(IF(_xlfn.MAXIFS(Mantenciones!$D:$D,Mantenciones!$B:$B,$A218,Mantenciones!$E:$E,"Sí",Mantenciones!$D:$D,"&gt;0")=0,"Sin datos de mantención registrado",_xlfn.MAXIFS(Mantenciones!$D:$D,Mantenciones!$B:$B,$A218,Mantenciones!$E:$E,"Sí",Mantenciones!$D:$D,"&gt;0")),"Sin datos de mantención registrado")</f>
        <v>Sin datos de mantención registrado</v>
      </c>
      <c r="S218" s="19">
        <f>IFERROR(SUMIFS(tblMantenciones[Costo Mantencion CLP],tblMantenciones[Codigo],tblMaestroEquipos[[#This Row],[Codigo]]),0)</f>
        <v>0</v>
      </c>
      <c r="T218" s="19">
        <f>IFERROR(SUMIFS(tblComprasPM[Costo PM CLP],tblComprasPM[Codigo],tblMaestroEquipos[[#This Row],[Codigo]]),0)</f>
        <v>20799.97</v>
      </c>
      <c r="U218" s="19">
        <f>IFERROR(tblMaestroEquipos[[#This Row],[Costo Mantenciones CLP]]+tblMaestroEquipos[[#This Row],[Costo Compras PM CLP]],0)</f>
        <v>20799.97</v>
      </c>
      <c r="V218" s="16" t="str">
        <f>IFERROR(_xlfn.XLOOKUP(tblMaestroEquipos[[#This Row],[Codigo]],tblEquipos[Codigo],tblEquipos[Estado Base]),"")</f>
        <v>Operativo</v>
      </c>
      <c r="W218" s="16" t="str">
        <f t="shared" si="24"/>
        <v>POR RECIBIR</v>
      </c>
      <c r="X218" s="16" t="str">
        <f t="shared" si="25"/>
        <v/>
      </c>
      <c r="Y218"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18" s="23">
        <f>IFERROR(IF(_xlfn.MINIFS(tblComprasPM[Fecha],tblComprasPM[Codigo],tblMaestroEquipos[[#This Row],[Codigo]])=0,"",_xlfn.MINIFS(tblComprasPM[Fecha],tblComprasPM[Codigo],tblMaestroEquipos[[#This Row],[Codigo]])),"")</f>
        <v>46162</v>
      </c>
      <c r="AA218" s="23">
        <f>IFERROR(IF(_xlfn.MAXIFS(tblBodega[Fecha],tblBodega[Codigo],tblMaestroEquipos[[#This Row],[Codigo]])=0,"",_xlfn.MAXIFS(tblBodega[Fecha],tblBodega[Codigo],tblMaestroEquipos[[#This Row],[Codigo]])),"")</f>
        <v>46132</v>
      </c>
      <c r="AB218"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78</v>
      </c>
      <c r="AC218"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108</v>
      </c>
      <c r="AD218" s="16" t="str">
        <f>IF(tblMaestroEquipos[[#This Row],[Fecha Salida Bodega]]="","SIN SALIDA BODEGA",IF(OR(tblMaestroEquipos[[#This Row],[Ultima Fecha PM]]="",tblMaestroEquipos[[#This Row],[Ultima Fecha PM]]&lt;tblMaestroEquipos[[#This Row],[Fecha Salida Bodega]]),"PENDIENTE","CERRADO"))</f>
        <v>PENDIENTE</v>
      </c>
      <c r="AE218" s="48" t="str">
        <f t="shared" si="26"/>
        <v>OPERATIVO</v>
      </c>
      <c r="AF218" s="16" t="str">
        <f t="shared" si="27"/>
        <v>BAJA</v>
      </c>
      <c r="AG218" s="16" t="str">
        <f t="shared" si="28"/>
        <v>Monitorear próximo vencimiento</v>
      </c>
      <c r="AH218">
        <f t="shared" si="29"/>
        <v>0</v>
      </c>
      <c r="AI218" t="str">
        <f t="shared" si="30"/>
        <v/>
      </c>
      <c r="AJ218" s="22">
        <f t="shared" si="31"/>
        <v>3</v>
      </c>
    </row>
    <row r="219" spans="1:36" s="25" customFormat="1">
      <c r="A219" s="16" t="s">
        <v>611</v>
      </c>
      <c r="B219" s="16" t="s">
        <v>505</v>
      </c>
      <c r="C219" s="16" t="s">
        <v>1414</v>
      </c>
      <c r="D219" s="16" t="s">
        <v>506</v>
      </c>
      <c r="E219" s="17" t="s">
        <v>612</v>
      </c>
      <c r="F219" s="16">
        <v>2015</v>
      </c>
      <c r="G219" s="17">
        <f>IFERROR(_xlfn.XLOOKUP($A219,tblEquipos[Codigo],tblEquipos[Ubicacion],""),"")</f>
        <v>0</v>
      </c>
      <c r="H219" s="16" t="s">
        <v>575</v>
      </c>
      <c r="I219" s="16" t="str">
        <f>IFERROR(VLOOKUP(A219, Equipos!A:J, 9, FALSE), "")</f>
        <v>KM</v>
      </c>
      <c r="J219" s="16">
        <f>IFERROR(VLOOKUP(A219, Equipos!A:J, 10, FALSE), "")</f>
        <v>10000</v>
      </c>
      <c r="K219" s="16">
        <f>IFERROR(IF($I219="KM",ROUND((_xlfn.MAXIFS(tblLecturas[Kilometraje],tblLecturas[Codigo],$A219)-_xlfn.MINIFS(tblLecturas[Kilometraje],tblLecturas[Codigo],$A219))/(MAX(1,_xlfn.MAXIFS(tblLecturas[Fecha],tblLecturas[Codigo],$A219)-_xlfn.MINIFS(tblLecturas[Fecha],tblLecturas[Codigo],$A219))),1),ROUND((_xlfn.MAXIFS(tblLecturas[Horometro],tblLecturas[Codigo],$A219)-_xlfn.MINIFS(tblLecturas[Horometro],tblLecturas[Codigo],$A219))/(MAX(1,_xlfn.MAXIFS(tblLecturas[Fecha],tblLecturas[Codigo],$A219)-_xlfn.MINIFS(tblLecturas[Fecha],tblLecturas[Codigo],$A219))),1)),"")</f>
        <v>0</v>
      </c>
      <c r="L219" s="18">
        <f>IFERROR(_xlfn.MAXIFS(tblLecturas[Fecha],tblLecturas[Codigo],$A219),"")</f>
        <v>0</v>
      </c>
      <c r="M219" s="24">
        <f>IFERROR(_xlfn.MAXIFS(Lecturas!$C:$C,Lecturas!$B:$B,$A219,Lecturas!$C:$C,"&gt;0"),"")</f>
        <v>0</v>
      </c>
      <c r="N219" s="24">
        <f>IFERROR(_xlfn.MAXIFS(tblLecturas[Kilometraje],tblLecturas[Codigo],$A219,tblLecturas[Kilometraje],"&gt;0"),"")</f>
        <v>0</v>
      </c>
      <c r="O219" s="24" t="str" cm="1">
        <f t="array" ref="O219">IFERROR(IF($I219="KM",LOOKUP(2,1/(Lecturas!$B:$B=$A219)/(Lecturas!$D:$D&gt;0),Lecturas!$D:$D),LOOKUP(2,1/(Lecturas!$B:$B=$A219)/(Lecturas!$C:$C&gt;0),Lecturas!$C:$C)),"")</f>
        <v/>
      </c>
      <c r="P219" s="18">
        <f>IFERROR(_xlfn.MAXIFS(tblMantenciones[Fecha],tblMantenciones[Codigo],tblMaestroEquipos[[#This Row],[Codigo]],tblMantenciones[EsPM],"Sí"),"")</f>
        <v>0</v>
      </c>
      <c r="Q219" s="70" t="str">
        <f>IF(_xlfn.MAXIFS(Mantenciones!$D:$D,Mantenciones!$B:$B,A219)=0,"Sin datos de mantención registrado",_xlfn.MAXIFS(Mantenciones!$D:$D,Mantenciones!$B:$B,A219))</f>
        <v>Sin datos de mantención registrado</v>
      </c>
      <c r="R219" s="16" t="str">
        <f>IFERROR(IF(_xlfn.MAXIFS(Mantenciones!$D:$D,Mantenciones!$B:$B,$A219,Mantenciones!$E:$E,"Sí",Mantenciones!$D:$D,"&gt;0")=0,"Sin datos de mantención registrado",_xlfn.MAXIFS(Mantenciones!$D:$D,Mantenciones!$B:$B,$A219,Mantenciones!$E:$E,"Sí",Mantenciones!$D:$D,"&gt;0")),"Sin datos de mantención registrado")</f>
        <v>Sin datos de mantención registrado</v>
      </c>
      <c r="S219" s="19">
        <f>IFERROR(SUMIFS(tblMantenciones[Costo Mantencion CLP],tblMantenciones[Codigo],tblMaestroEquipos[[#This Row],[Codigo]]),0)</f>
        <v>0</v>
      </c>
      <c r="T219" s="19">
        <f>IFERROR(SUMIFS(tblComprasPM[Costo PM CLP],tblComprasPM[Codigo],tblMaestroEquipos[[#This Row],[Codigo]]),0)</f>
        <v>0</v>
      </c>
      <c r="U219" s="19">
        <f>IFERROR(tblMaestroEquipos[[#This Row],[Costo Mantenciones CLP]]+tblMaestroEquipos[[#This Row],[Costo Compras PM CLP]],0)</f>
        <v>0</v>
      </c>
      <c r="V219" s="16" t="str">
        <f>IFERROR(_xlfn.XLOOKUP(tblMaestroEquipos[[#This Row],[Codigo]],tblEquipos[Codigo],tblEquipos[Estado Base]),"")</f>
        <v>Fuera de Servicio</v>
      </c>
      <c r="W219" s="16" t="str">
        <f t="shared" si="24"/>
        <v>FUERA DE SERVICIO</v>
      </c>
      <c r="X219" s="16" t="str">
        <f t="shared" si="25"/>
        <v/>
      </c>
      <c r="Y219"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19" s="23" t="str">
        <f>IFERROR(IF(_xlfn.MINIFS(tblComprasPM[Fecha],tblComprasPM[Codigo],tblMaestroEquipos[[#This Row],[Codigo]])=0,"",_xlfn.MINIFS(tblComprasPM[Fecha],tblComprasPM[Codigo],tblMaestroEquipos[[#This Row],[Codigo]])),"")</f>
        <v/>
      </c>
      <c r="AA219" s="23" t="str">
        <f>IFERROR(IF(_xlfn.MAXIFS(tblBodega[Fecha],tblBodega[Codigo],tblMaestroEquipos[[#This Row],[Codigo]])=0,"",_xlfn.MAXIFS(tblBodega[Fecha],tblBodega[Codigo],tblMaestroEquipos[[#This Row],[Codigo]])),"")</f>
        <v/>
      </c>
      <c r="AB219"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19"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19" s="16" t="str">
        <f>IF(tblMaestroEquipos[[#This Row],[Fecha Salida Bodega]]="","SIN SALIDA BODEGA",IF(OR(tblMaestroEquipos[[#This Row],[Ultima Fecha PM]]="",tblMaestroEquipos[[#This Row],[Ultima Fecha PM]]&lt;tblMaestroEquipos[[#This Row],[Fecha Salida Bodega]]),"PENDIENTE","CERRADO"))</f>
        <v>SIN SALIDA BODEGA</v>
      </c>
      <c r="AE219" s="48" t="str">
        <f t="shared" si="26"/>
        <v>FUERA DE SERVICIO</v>
      </c>
      <c r="AF219" s="16" t="str">
        <f t="shared" si="27"/>
        <v>NO APLICA</v>
      </c>
      <c r="AG219" s="16" t="str">
        <f t="shared" si="28"/>
        <v>No programar compra</v>
      </c>
      <c r="AH219" s="25">
        <f t="shared" si="29"/>
        <v>0</v>
      </c>
      <c r="AI219" s="25" t="str">
        <f t="shared" si="30"/>
        <v/>
      </c>
      <c r="AJ219" s="22">
        <f t="shared" si="31"/>
        <v>99</v>
      </c>
    </row>
    <row r="220" spans="1:36">
      <c r="A220" s="16" t="s">
        <v>613</v>
      </c>
      <c r="B220" s="16" t="s">
        <v>505</v>
      </c>
      <c r="C220" s="16" t="s">
        <v>1414</v>
      </c>
      <c r="D220" s="16" t="s">
        <v>479</v>
      </c>
      <c r="E220" s="17" t="s">
        <v>614</v>
      </c>
      <c r="F220" s="16">
        <v>2019</v>
      </c>
      <c r="G220" s="17">
        <f>IFERROR(_xlfn.XLOOKUP($A220,tblEquipos[Codigo],tblEquipos[Ubicacion],""),"")</f>
        <v>0</v>
      </c>
      <c r="H220" s="16" t="s">
        <v>190</v>
      </c>
      <c r="I220" s="16" t="str">
        <f>IFERROR(VLOOKUP(A220, Equipos!A:J, 9, FALSE), "")</f>
        <v>KM</v>
      </c>
      <c r="J220" s="16">
        <f>IFERROR(VLOOKUP(A220, Equipos!A:J, 10, FALSE), "")</f>
        <v>15000</v>
      </c>
      <c r="K220" s="16">
        <f>IFERROR(IF($I220="KM",ROUND((_xlfn.MAXIFS(tblLecturas[Kilometraje],tblLecturas[Codigo],$A220)-_xlfn.MINIFS(tblLecturas[Kilometraje],tblLecturas[Codigo],$A220))/(MAX(1,_xlfn.MAXIFS(tblLecturas[Fecha],tblLecturas[Codigo],$A220)-_xlfn.MINIFS(tblLecturas[Fecha],tblLecturas[Codigo],$A220))),1),ROUND((_xlfn.MAXIFS(tblLecturas[Horometro],tblLecturas[Codigo],$A220)-_xlfn.MINIFS(tblLecturas[Horometro],tblLecturas[Codigo],$A220))/(MAX(1,_xlfn.MAXIFS(tblLecturas[Fecha],tblLecturas[Codigo],$A220)-_xlfn.MINIFS(tblLecturas[Fecha],tblLecturas[Codigo],$A220))),1)),"")</f>
        <v>0</v>
      </c>
      <c r="L220" s="18">
        <f>IFERROR(_xlfn.MAXIFS(tblLecturas[Fecha],tblLecturas[Codigo],$A220),"")</f>
        <v>0</v>
      </c>
      <c r="M220" s="24">
        <f>IFERROR(_xlfn.MAXIFS(Lecturas!$C:$C,Lecturas!$B:$B,$A220,Lecturas!$C:$C,"&gt;0"),"")</f>
        <v>0</v>
      </c>
      <c r="N220" s="24">
        <f>IFERROR(_xlfn.MAXIFS(tblLecturas[Kilometraje],tblLecturas[Codigo],$A220,tblLecturas[Kilometraje],"&gt;0"),"")</f>
        <v>0</v>
      </c>
      <c r="O220" s="24" t="str" cm="1">
        <f t="array" ref="O220">IFERROR(IF($I220="KM",LOOKUP(2,1/(Lecturas!$B:$B=$A220)/(Lecturas!$D:$D&gt;0),Lecturas!$D:$D),LOOKUP(2,1/(Lecturas!$B:$B=$A220)/(Lecturas!$C:$C&gt;0),Lecturas!$C:$C)),"")</f>
        <v/>
      </c>
      <c r="P220" s="18">
        <f>IFERROR(_xlfn.MAXIFS(tblMantenciones[Fecha],tblMantenciones[Codigo],tblMaestroEquipos[[#This Row],[Codigo]],tblMantenciones[EsPM],"Sí"),"")</f>
        <v>45232</v>
      </c>
      <c r="Q220" s="70">
        <f>IF(_xlfn.MAXIFS(Mantenciones!$D:$D,Mantenciones!$B:$B,A220)=0,"Sin datos de mantención registrado",_xlfn.MAXIFS(Mantenciones!$D:$D,Mantenciones!$B:$B,A220))</f>
        <v>190629</v>
      </c>
      <c r="R220" s="16">
        <f>IFERROR(IF(_xlfn.MAXIFS(Mantenciones!$D:$D,Mantenciones!$B:$B,$A220,Mantenciones!$E:$E,"Sí",Mantenciones!$D:$D,"&gt;0")=0,"Sin datos de mantención registrado",_xlfn.MAXIFS(Mantenciones!$D:$D,Mantenciones!$B:$B,$A220,Mantenciones!$E:$E,"Sí",Mantenciones!$D:$D,"&gt;0")),"Sin datos de mantención registrado")</f>
        <v>190629</v>
      </c>
      <c r="S220" s="19">
        <f>IFERROR(SUMIFS(tblMantenciones[Costo Mantencion CLP],tblMantenciones[Codigo],tblMaestroEquipos[[#This Row],[Codigo]]),0)</f>
        <v>0</v>
      </c>
      <c r="T220" s="19">
        <f>IFERROR(SUMIFS(tblComprasPM[Costo PM CLP],tblComprasPM[Codigo],tblMaestroEquipos[[#This Row],[Codigo]]),0)</f>
        <v>0</v>
      </c>
      <c r="U220" s="19">
        <f>IFERROR(tblMaestroEquipos[[#This Row],[Costo Mantenciones CLP]]+tblMaestroEquipos[[#This Row],[Costo Compras PM CLP]],0)</f>
        <v>0</v>
      </c>
      <c r="V220" s="16" t="str">
        <f>IFERROR(_xlfn.XLOOKUP(tblMaestroEquipos[[#This Row],[Codigo]],tblEquipos[Codigo],tblEquipos[Estado Base]),"")</f>
        <v>Fuera de Servicio</v>
      </c>
      <c r="W220" s="16" t="str">
        <f t="shared" si="24"/>
        <v>FUERA DE SERVICIO</v>
      </c>
      <c r="X220" s="16" t="str">
        <f t="shared" si="25"/>
        <v/>
      </c>
      <c r="Y220"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20" s="23" t="str">
        <f>IFERROR(IF(_xlfn.MINIFS(tblComprasPM[Fecha],tblComprasPM[Codigo],tblMaestroEquipos[[#This Row],[Codigo]])=0,"",_xlfn.MINIFS(tblComprasPM[Fecha],tblComprasPM[Codigo],tblMaestroEquipos[[#This Row],[Codigo]])),"")</f>
        <v/>
      </c>
      <c r="AA220" s="23" t="str">
        <f>IFERROR(IF(_xlfn.MAXIFS(tblBodega[Fecha],tblBodega[Codigo],tblMaestroEquipos[[#This Row],[Codigo]])=0,"",_xlfn.MAXIFS(tblBodega[Fecha],tblBodega[Codigo],tblMaestroEquipos[[#This Row],[Codigo]])),"")</f>
        <v/>
      </c>
      <c r="AB220"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20"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20" s="16" t="str">
        <f>IF(tblMaestroEquipos[[#This Row],[Fecha Salida Bodega]]="","SIN SALIDA BODEGA",IF(OR(tblMaestroEquipos[[#This Row],[Ultima Fecha PM]]="",tblMaestroEquipos[[#This Row],[Ultima Fecha PM]]&lt;tblMaestroEquipos[[#This Row],[Fecha Salida Bodega]]),"PENDIENTE","CERRADO"))</f>
        <v>SIN SALIDA BODEGA</v>
      </c>
      <c r="AE220" s="48" t="str">
        <f t="shared" si="26"/>
        <v>FUERA DE SERVICIO</v>
      </c>
      <c r="AF220" s="16" t="str">
        <f t="shared" si="27"/>
        <v>NO APLICA</v>
      </c>
      <c r="AG220" s="16" t="str">
        <f t="shared" si="28"/>
        <v>No programar compra</v>
      </c>
      <c r="AH220" s="25">
        <f t="shared" si="29"/>
        <v>0</v>
      </c>
      <c r="AI220" s="25" t="str">
        <f t="shared" si="30"/>
        <v/>
      </c>
      <c r="AJ220" s="22">
        <f t="shared" si="31"/>
        <v>99</v>
      </c>
    </row>
    <row r="221" spans="1:36">
      <c r="A221" s="16" t="s">
        <v>615</v>
      </c>
      <c r="B221" s="16" t="s">
        <v>461</v>
      </c>
      <c r="C221" s="16" t="s">
        <v>1414</v>
      </c>
      <c r="D221" s="16" t="s">
        <v>616</v>
      </c>
      <c r="E221" s="17" t="s">
        <v>617</v>
      </c>
      <c r="F221" s="16">
        <v>2018</v>
      </c>
      <c r="G221" s="17" t="str">
        <f>IFERROR(_xlfn.XLOOKUP($A221,tblEquipos[Codigo],tblEquipos[Ubicacion],""),"")</f>
        <v>Taller</v>
      </c>
      <c r="H221" s="16" t="s">
        <v>321</v>
      </c>
      <c r="I221" s="16" t="str">
        <f>IFERROR(VLOOKUP(A221, Equipos!A:J, 9, FALSE), "")</f>
        <v>KM</v>
      </c>
      <c r="J221" s="16">
        <f>IFERROR(VLOOKUP(A221, Equipos!A:J, 10, FALSE), "")</f>
        <v>15000</v>
      </c>
      <c r="K221" s="16">
        <f>IFERROR(IF($I221="KM",ROUND((_xlfn.MAXIFS(tblLecturas[Kilometraje],tblLecturas[Codigo],$A221)-_xlfn.MINIFS(tblLecturas[Kilometraje],tblLecturas[Codigo],$A221))/(MAX(1,_xlfn.MAXIFS(tblLecturas[Fecha],tblLecturas[Codigo],$A221)-_xlfn.MINIFS(tblLecturas[Fecha],tblLecturas[Codigo],$A221))),1),ROUND((_xlfn.MAXIFS(tblLecturas[Horometro],tblLecturas[Codigo],$A221)-_xlfn.MINIFS(tblLecturas[Horometro],tblLecturas[Codigo],$A221))/(MAX(1,_xlfn.MAXIFS(tblLecturas[Fecha],tblLecturas[Codigo],$A221)-_xlfn.MINIFS(tblLecturas[Fecha],tblLecturas[Codigo],$A221))),1)),"")</f>
        <v>0</v>
      </c>
      <c r="L221" s="18">
        <f>IFERROR(_xlfn.MAXIFS(tblLecturas[Fecha],tblLecturas[Codigo],$A221),"")</f>
        <v>46007</v>
      </c>
      <c r="M221" s="24">
        <f>IFERROR(_xlfn.MAXIFS(Lecturas!$C:$C,Lecturas!$B:$B,$A221,Lecturas!$C:$C,"&gt;0"),"")</f>
        <v>0</v>
      </c>
      <c r="N221" s="24">
        <f>IFERROR(_xlfn.MAXIFS(tblLecturas[Kilometraje],tblLecturas[Codigo],$A221,tblLecturas[Kilometraje],"&gt;0"),"")</f>
        <v>153679</v>
      </c>
      <c r="O221" s="24" cm="1">
        <f t="array" ref="O221">IFERROR(IF($I221="KM",LOOKUP(2,1/(Lecturas!$B:$B=$A221)/(Lecturas!$D:$D&gt;0),Lecturas!$D:$D),LOOKUP(2,1/(Lecturas!$B:$B=$A221)/(Lecturas!$C:$C&gt;0),Lecturas!$C:$C)),"")</f>
        <v>153679</v>
      </c>
      <c r="P221" s="18">
        <f>IFERROR(_xlfn.MAXIFS(tblMantenciones[Fecha],tblMantenciones[Codigo],tblMaestroEquipos[[#This Row],[Codigo]],tblMantenciones[EsPM],"Sí"),"")</f>
        <v>46189</v>
      </c>
      <c r="Q221" s="70">
        <f>IF(_xlfn.MAXIFS(Mantenciones!$D:$D,Mantenciones!$B:$B,A221)=0,"Sin datos de mantención registrado",_xlfn.MAXIFS(Mantenciones!$D:$D,Mantenciones!$B:$B,A221))</f>
        <v>324561</v>
      </c>
      <c r="R221" s="16">
        <f>IFERROR(IF(_xlfn.MAXIFS(Mantenciones!$D:$D,Mantenciones!$B:$B,$A221,Mantenciones!$E:$E,"Sí",Mantenciones!$D:$D,"&gt;0")=0,"Sin datos de mantención registrado",_xlfn.MAXIFS(Mantenciones!$D:$D,Mantenciones!$B:$B,$A221,Mantenciones!$E:$E,"Sí",Mantenciones!$D:$D,"&gt;0")),"Sin datos de mantención registrado")</f>
        <v>324561</v>
      </c>
      <c r="S221" s="19">
        <f>IFERROR(SUMIFS(tblMantenciones[Costo Mantencion CLP],tblMantenciones[Codigo],tblMaestroEquipos[[#This Row],[Codigo]]),0)</f>
        <v>0</v>
      </c>
      <c r="T221" s="19">
        <f>IFERROR(SUMIFS(tblComprasPM[Costo PM CLP],tblComprasPM[Codigo],tblMaestroEquipos[[#This Row],[Codigo]]),0)</f>
        <v>28399.98</v>
      </c>
      <c r="U221" s="19">
        <f>IFERROR(tblMaestroEquipos[[#This Row],[Costo Mantenciones CLP]]+tblMaestroEquipos[[#This Row],[Costo Compras PM CLP]],0)</f>
        <v>28399.98</v>
      </c>
      <c r="V221" s="16" t="str">
        <f>IFERROR(_xlfn.XLOOKUP(tblMaestroEquipos[[#This Row],[Codigo]],tblEquipos[Codigo],tblEquipos[Estado Base]),"")</f>
        <v>Operativo</v>
      </c>
      <c r="W221" s="16" t="str">
        <f t="shared" si="24"/>
        <v>EN PROCESO</v>
      </c>
      <c r="X221" s="16">
        <f t="shared" si="25"/>
        <v>185882</v>
      </c>
      <c r="Y221" s="23">
        <f>IFERROR(IF(OR(tblMaestroEquipos[[#This Row],[Estado Operacional]]="FUERA DE SERVICIO",tblMaestroEquipos[[#This Row],[Ultima Fecha Lectura]]="",tblMaestroEquipos[[#This Row],[Dias a Proxima Mantencion]]=""),"",tblMaestroEquipos[[#This Row],[Ultima Fecha Lectura]]+tblMaestroEquipos[[#This Row],[Dias a Proxima Mantencion]]),"")</f>
        <v>231889</v>
      </c>
      <c r="Z221" s="23">
        <f>IFERROR(IF(_xlfn.MINIFS(tblComprasPM[Fecha],tblComprasPM[Codigo],tblMaestroEquipos[[#This Row],[Codigo]])=0,"",_xlfn.MINIFS(tblComprasPM[Fecha],tblComprasPM[Codigo],tblMaestroEquipos[[#This Row],[Codigo]])),"")</f>
        <v>46188</v>
      </c>
      <c r="AA221" s="23" t="str">
        <f>IFERROR(IF(_xlfn.MAXIFS(tblBodega[Fecha],tblBodega[Codigo],tblMaestroEquipos[[#This Row],[Codigo]])=0,"",_xlfn.MAXIFS(tblBodega[Fecha],tblBodega[Codigo],tblMaestroEquipos[[#This Row],[Codigo]])),"")</f>
        <v/>
      </c>
      <c r="AB22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v>
      </c>
      <c r="AC221"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21" s="16" t="str">
        <f>IF(tblMaestroEquipos[[#This Row],[Fecha Salida Bodega]]="","SIN SALIDA BODEGA",IF(OR(tblMaestroEquipos[[#This Row],[Ultima Fecha PM]]="",tblMaestroEquipos[[#This Row],[Ultima Fecha PM]]&lt;tblMaestroEquipos[[#This Row],[Fecha Salida Bodega]]),"PENDIENTE","CERRADO"))</f>
        <v>SIN SALIDA BODEGA</v>
      </c>
      <c r="AE221" s="48" t="str">
        <f t="shared" si="26"/>
        <v>EN PROCESO</v>
      </c>
      <c r="AF221" s="16" t="str">
        <f t="shared" si="27"/>
        <v>SEGUIMIENTO</v>
      </c>
      <c r="AG221" s="16" t="str">
        <f t="shared" si="28"/>
        <v>Hacer seguimiento al taller y cerrar report</v>
      </c>
      <c r="AH221">
        <f t="shared" si="29"/>
        <v>0</v>
      </c>
      <c r="AI221" t="str">
        <f t="shared" si="30"/>
        <v/>
      </c>
      <c r="AJ221" s="22">
        <f t="shared" si="31"/>
        <v>2</v>
      </c>
    </row>
    <row r="222" spans="1:36">
      <c r="A222" s="16" t="s">
        <v>618</v>
      </c>
      <c r="B222" s="16" t="s">
        <v>505</v>
      </c>
      <c r="C222" s="16" t="s">
        <v>1414</v>
      </c>
      <c r="D222" s="16" t="s">
        <v>115</v>
      </c>
      <c r="E222" s="17" t="s">
        <v>619</v>
      </c>
      <c r="F222" s="16">
        <v>2018</v>
      </c>
      <c r="G222" s="17" t="str">
        <f>IFERROR(_xlfn.XLOOKUP($A222,tblEquipos[Codigo],tblEquipos[Ubicacion],""),"")</f>
        <v>Taller</v>
      </c>
      <c r="H222" s="16" t="s">
        <v>56</v>
      </c>
      <c r="I222" s="16" t="str">
        <f>IFERROR(VLOOKUP(A222, Equipos!A:J, 9, FALSE), "")</f>
        <v>KM</v>
      </c>
      <c r="J222" s="16">
        <f>IFERROR(VLOOKUP(A222, Equipos!A:J, 10, FALSE), "")</f>
        <v>10000</v>
      </c>
      <c r="K222" s="16">
        <f>IFERROR(IF($I222="KM",ROUND((_xlfn.MAXIFS(tblLecturas[Kilometraje],tblLecturas[Codigo],$A222)-_xlfn.MINIFS(tblLecturas[Kilometraje],tblLecturas[Codigo],$A222))/(MAX(1,_xlfn.MAXIFS(tblLecturas[Fecha],tblLecturas[Codigo],$A222)-_xlfn.MINIFS(tblLecturas[Fecha],tblLecturas[Codigo],$A222))),1),ROUND((_xlfn.MAXIFS(tblLecturas[Horometro],tblLecturas[Codigo],$A222)-_xlfn.MINIFS(tblLecturas[Horometro],tblLecturas[Codigo],$A222))/(MAX(1,_xlfn.MAXIFS(tblLecturas[Fecha],tblLecturas[Codigo],$A222)-_xlfn.MINIFS(tblLecturas[Fecha],tblLecturas[Codigo],$A222))),1)),"")</f>
        <v>0</v>
      </c>
      <c r="L222" s="18">
        <f>IFERROR(_xlfn.MAXIFS(tblLecturas[Fecha],tblLecturas[Codigo],$A222),"")</f>
        <v>0</v>
      </c>
      <c r="M222" s="24">
        <f>IFERROR(_xlfn.MAXIFS(Lecturas!$C:$C,Lecturas!$B:$B,$A222,Lecturas!$C:$C,"&gt;0"),"")</f>
        <v>0</v>
      </c>
      <c r="N222" s="24">
        <f>IFERROR(_xlfn.MAXIFS(tblLecturas[Kilometraje],tblLecturas[Codigo],$A222,tblLecturas[Kilometraje],"&gt;0"),"")</f>
        <v>0</v>
      </c>
      <c r="O222" s="24" t="str" cm="1">
        <f t="array" ref="O222">IFERROR(IF($I222="KM",LOOKUP(2,1/(Lecturas!$B:$B=$A222)/(Lecturas!$D:$D&gt;0),Lecturas!$D:$D),LOOKUP(2,1/(Lecturas!$B:$B=$A222)/(Lecturas!$C:$C&gt;0),Lecturas!$C:$C)),"")</f>
        <v/>
      </c>
      <c r="P222" s="18">
        <f>IFERROR(_xlfn.MAXIFS(tblMantenciones[Fecha],tblMantenciones[Codigo],tblMaestroEquipos[[#This Row],[Codigo]],tblMantenciones[EsPM],"Sí"),"")</f>
        <v>45058</v>
      </c>
      <c r="Q222" s="70" t="str">
        <f>IF(_xlfn.MAXIFS(Mantenciones!$D:$D,Mantenciones!$B:$B,A222)=0,"Sin datos de mantención registrado",_xlfn.MAXIFS(Mantenciones!$D:$D,Mantenciones!$B:$B,A222))</f>
        <v>Sin datos de mantención registrado</v>
      </c>
      <c r="R222" s="16" t="str">
        <f>IFERROR(IF(_xlfn.MAXIFS(Mantenciones!$D:$D,Mantenciones!$B:$B,$A222,Mantenciones!$E:$E,"Sí",Mantenciones!$D:$D,"&gt;0")=0,"Sin datos de mantención registrado",_xlfn.MAXIFS(Mantenciones!$D:$D,Mantenciones!$B:$B,$A222,Mantenciones!$E:$E,"Sí",Mantenciones!$D:$D,"&gt;0")),"Sin datos de mantención registrado")</f>
        <v>Sin datos de mantención registrado</v>
      </c>
      <c r="S222" s="19">
        <f>IFERROR(SUMIFS(tblMantenciones[Costo Mantencion CLP],tblMantenciones[Codigo],tblMaestroEquipos[[#This Row],[Codigo]]),0)</f>
        <v>0</v>
      </c>
      <c r="T222" s="19">
        <f>IFERROR(SUMIFS(tblComprasPM[Costo PM CLP],tblComprasPM[Codigo],tblMaestroEquipos[[#This Row],[Codigo]]),0)</f>
        <v>0</v>
      </c>
      <c r="U222" s="19">
        <f>IFERROR(tblMaestroEquipos[[#This Row],[Costo Mantenciones CLP]]+tblMaestroEquipos[[#This Row],[Costo Compras PM CLP]],0)</f>
        <v>0</v>
      </c>
      <c r="V222" s="16" t="str">
        <f>IFERROR(_xlfn.XLOOKUP(tblMaestroEquipos[[#This Row],[Codigo]],tblEquipos[Codigo],tblEquipos[Estado Base]),"")</f>
        <v>Fuera de Servicio</v>
      </c>
      <c r="W222" s="16" t="str">
        <f t="shared" si="24"/>
        <v>FUERA DE SERVICIO</v>
      </c>
      <c r="X222" s="16" t="str">
        <f t="shared" si="25"/>
        <v/>
      </c>
      <c r="Y222"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22" s="23" t="str">
        <f>IFERROR(IF(_xlfn.MINIFS(tblComprasPM[Fecha],tblComprasPM[Codigo],tblMaestroEquipos[[#This Row],[Codigo]])=0,"",_xlfn.MINIFS(tblComprasPM[Fecha],tblComprasPM[Codigo],tblMaestroEquipos[[#This Row],[Codigo]])),"")</f>
        <v/>
      </c>
      <c r="AA222" s="23" t="str">
        <f>IFERROR(IF(_xlfn.MAXIFS(tblBodega[Fecha],tblBodega[Codigo],tblMaestroEquipos[[#This Row],[Codigo]])=0,"",_xlfn.MAXIFS(tblBodega[Fecha],tblBodega[Codigo],tblMaestroEquipos[[#This Row],[Codigo]])),"")</f>
        <v/>
      </c>
      <c r="AB222"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2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22" s="16" t="str">
        <f>IF(tblMaestroEquipos[[#This Row],[Fecha Salida Bodega]]="","SIN SALIDA BODEGA",IF(OR(tblMaestroEquipos[[#This Row],[Ultima Fecha PM]]="",tblMaestroEquipos[[#This Row],[Ultima Fecha PM]]&lt;tblMaestroEquipos[[#This Row],[Fecha Salida Bodega]]),"PENDIENTE","CERRADO"))</f>
        <v>SIN SALIDA BODEGA</v>
      </c>
      <c r="AE222" s="48" t="str">
        <f t="shared" si="26"/>
        <v>FUERA DE SERVICIO</v>
      </c>
      <c r="AF222" s="16" t="str">
        <f t="shared" si="27"/>
        <v>NO APLICA</v>
      </c>
      <c r="AG222" s="16" t="str">
        <f t="shared" si="28"/>
        <v>No programar compra</v>
      </c>
      <c r="AH222" s="25">
        <f t="shared" si="29"/>
        <v>0</v>
      </c>
      <c r="AI222" s="25" t="str">
        <f t="shared" si="30"/>
        <v/>
      </c>
      <c r="AJ222" s="22">
        <f t="shared" si="31"/>
        <v>99</v>
      </c>
    </row>
    <row r="223" spans="1:36">
      <c r="A223" s="16" t="s">
        <v>620</v>
      </c>
      <c r="B223" s="16" t="s">
        <v>505</v>
      </c>
      <c r="C223" s="16" t="s">
        <v>1414</v>
      </c>
      <c r="D223" s="16" t="s">
        <v>115</v>
      </c>
      <c r="E223" s="17" t="s">
        <v>621</v>
      </c>
      <c r="F223" s="16">
        <v>2017</v>
      </c>
      <c r="G223" s="17" t="str">
        <f>IFERROR(_xlfn.XLOOKUP($A223,tblEquipos[Codigo],tblEquipos[Ubicacion],""),"")</f>
        <v>Taller</v>
      </c>
      <c r="H223" s="16" t="s">
        <v>56</v>
      </c>
      <c r="I223" s="16" t="str">
        <f>IFERROR(VLOOKUP(A223, Equipos!A:J, 9, FALSE), "")</f>
        <v>KM</v>
      </c>
      <c r="J223" s="16">
        <f>IFERROR(VLOOKUP(A223, Equipos!A:J, 10, FALSE), "")</f>
        <v>10000</v>
      </c>
      <c r="K223" s="16">
        <f>IFERROR(IF($I223="KM",ROUND((_xlfn.MAXIFS(tblLecturas[Kilometraje],tblLecturas[Codigo],$A223)-_xlfn.MINIFS(tblLecturas[Kilometraje],tblLecturas[Codigo],$A223))/(MAX(1,_xlfn.MAXIFS(tblLecturas[Fecha],tblLecturas[Codigo],$A223)-_xlfn.MINIFS(tblLecturas[Fecha],tblLecturas[Codigo],$A223))),1),ROUND((_xlfn.MAXIFS(tblLecturas[Horometro],tblLecturas[Codigo],$A223)-_xlfn.MINIFS(tblLecturas[Horometro],tblLecturas[Codigo],$A223))/(MAX(1,_xlfn.MAXIFS(tblLecturas[Fecha],tblLecturas[Codigo],$A223)-_xlfn.MINIFS(tblLecturas[Fecha],tblLecturas[Codigo],$A223))),1)),"")</f>
        <v>110.8</v>
      </c>
      <c r="L223" s="18">
        <f>IFERROR(_xlfn.MAXIFS(tblLecturas[Fecha],tblLecturas[Codigo],$A223),"")</f>
        <v>46156</v>
      </c>
      <c r="M223" s="24">
        <f>IFERROR(_xlfn.MAXIFS(Lecturas!$C:$C,Lecturas!$B:$B,$A223,Lecturas!$C:$C,"&gt;0"),"")</f>
        <v>0</v>
      </c>
      <c r="N223" s="24">
        <f>IFERROR(_xlfn.MAXIFS(tblLecturas[Kilometraje],tblLecturas[Codigo],$A223,tblLecturas[Kilometraje],"&gt;0"),"")</f>
        <v>309808</v>
      </c>
      <c r="O223" s="24" cm="1">
        <f t="array" ref="O223">IFERROR(IF($I223="KM",LOOKUP(2,1/(Lecturas!$B:$B=$A223)/(Lecturas!$D:$D&gt;0),Lecturas!$D:$D),LOOKUP(2,1/(Lecturas!$B:$B=$A223)/(Lecturas!$C:$C&gt;0),Lecturas!$C:$C)),"")</f>
        <v>309808</v>
      </c>
      <c r="P223" s="18">
        <f>IFERROR(_xlfn.MAXIFS(tblMantenciones[Fecha],tblMantenciones[Codigo],tblMaestroEquipos[[#This Row],[Codigo]],tblMantenciones[EsPM],"Sí"),"")</f>
        <v>46219</v>
      </c>
      <c r="Q223" s="70">
        <f>IF(_xlfn.MAXIFS(Mantenciones!$D:$D,Mantenciones!$B:$B,A223)=0,"Sin datos de mantención registrado",_xlfn.MAXIFS(Mantenciones!$D:$D,Mantenciones!$B:$B,A223))</f>
        <v>315000</v>
      </c>
      <c r="R223" s="16">
        <f>IFERROR(IF(_xlfn.MAXIFS(Mantenciones!$D:$D,Mantenciones!$B:$B,$A223,Mantenciones!$E:$E,"Sí",Mantenciones!$D:$D,"&gt;0")=0,"Sin datos de mantención registrado",_xlfn.MAXIFS(Mantenciones!$D:$D,Mantenciones!$B:$B,$A223,Mantenciones!$E:$E,"Sí",Mantenciones!$D:$D,"&gt;0")),"Sin datos de mantención registrado")</f>
        <v>315000</v>
      </c>
      <c r="S223" s="19">
        <f>IFERROR(SUMIFS(tblMantenciones[Costo Mantencion CLP],tblMantenciones[Codigo],tblMaestroEquipos[[#This Row],[Codigo]]),0)</f>
        <v>0</v>
      </c>
      <c r="T223" s="19">
        <f>IFERROR(SUMIFS(tblComprasPM[Costo PM CLP],tblComprasPM[Codigo],tblMaestroEquipos[[#This Row],[Codigo]]),0)</f>
        <v>59699.586799999997</v>
      </c>
      <c r="U223" s="19">
        <f>IFERROR(tblMaestroEquipos[[#This Row],[Costo Mantenciones CLP]]+tblMaestroEquipos[[#This Row],[Costo Compras PM CLP]],0)</f>
        <v>59699.586799999997</v>
      </c>
      <c r="V223" s="16" t="str">
        <f>IFERROR(_xlfn.XLOOKUP(tblMaestroEquipos[[#This Row],[Codigo]],tblEquipos[Codigo],tblEquipos[Estado Base]),"")</f>
        <v>Operativo</v>
      </c>
      <c r="W223" s="16" t="str">
        <f t="shared" si="24"/>
        <v>AL DÍA</v>
      </c>
      <c r="X223" s="16">
        <f t="shared" si="25"/>
        <v>15192</v>
      </c>
      <c r="Y223" s="23">
        <f>IFERROR(IF(OR(tblMaestroEquipos[[#This Row],[Estado Operacional]]="FUERA DE SERVICIO",tblMaestroEquipos[[#This Row],[Ultima Fecha Lectura]]="",tblMaestroEquipos[[#This Row],[Dias a Proxima Mantencion]]=""),"",tblMaestroEquipos[[#This Row],[Ultima Fecha Lectura]]+tblMaestroEquipos[[#This Row],[Dias a Proxima Mantencion]]),"")</f>
        <v>61348</v>
      </c>
      <c r="Z223" s="23">
        <f>IFERROR(IF(_xlfn.MINIFS(tblComprasPM[Fecha],tblComprasPM[Codigo],tblMaestroEquipos[[#This Row],[Codigo]])=0,"",_xlfn.MINIFS(tblComprasPM[Fecha],tblComprasPM[Codigo],tblMaestroEquipos[[#This Row],[Codigo]])),"")</f>
        <v>46104.427122835601</v>
      </c>
      <c r="AA223" s="23">
        <f>IFERROR(IF(_xlfn.MAXIFS(tblBodega[Fecha],tblBodega[Codigo],tblMaestroEquipos[[#This Row],[Codigo]])=0,"",_xlfn.MAXIFS(tblBodega[Fecha],tblBodega[Codigo],tblMaestroEquipos[[#This Row],[Codigo]])),"")</f>
        <v>46118</v>
      </c>
      <c r="AB223"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115</v>
      </c>
      <c r="AC223"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101</v>
      </c>
      <c r="AD223" s="16" t="str">
        <f>IF(tblMaestroEquipos[[#This Row],[Fecha Salida Bodega]]="","SIN SALIDA BODEGA",IF(OR(tblMaestroEquipos[[#This Row],[Ultima Fecha PM]]="",tblMaestroEquipos[[#This Row],[Ultima Fecha PM]]&lt;tblMaestroEquipos[[#This Row],[Fecha Salida Bodega]]),"PENDIENTE","CERRADO"))</f>
        <v>CERRADO</v>
      </c>
      <c r="AE223" s="48" t="str">
        <f t="shared" si="26"/>
        <v>OPERATIVO</v>
      </c>
      <c r="AF223" s="16" t="str">
        <f t="shared" si="27"/>
        <v>BAJA</v>
      </c>
      <c r="AG223" s="16" t="str">
        <f t="shared" si="28"/>
        <v>Monitorear próximo vencimiento</v>
      </c>
      <c r="AH223">
        <f t="shared" si="29"/>
        <v>0</v>
      </c>
      <c r="AI223" t="str">
        <f t="shared" si="30"/>
        <v/>
      </c>
      <c r="AJ223" s="22">
        <f t="shared" si="31"/>
        <v>99</v>
      </c>
    </row>
    <row r="224" spans="1:36">
      <c r="A224" s="16" t="s">
        <v>623</v>
      </c>
      <c r="B224" s="16" t="s">
        <v>505</v>
      </c>
      <c r="C224" s="16" t="s">
        <v>1414</v>
      </c>
      <c r="D224" s="16" t="s">
        <v>115</v>
      </c>
      <c r="E224" s="17" t="s">
        <v>621</v>
      </c>
      <c r="F224" s="16">
        <v>2017</v>
      </c>
      <c r="G224" s="17" t="str">
        <f>IFERROR(_xlfn.XLOOKUP($A224,tblEquipos[Codigo],tblEquipos[Ubicacion],""),"")</f>
        <v>Asfalto</v>
      </c>
      <c r="H224" s="16" t="s">
        <v>1428</v>
      </c>
      <c r="I224" s="16" t="str">
        <f>IFERROR(VLOOKUP(A224, Equipos!A:J, 9, FALSE), "")</f>
        <v>KM</v>
      </c>
      <c r="J224" s="16">
        <f>IFERROR(VLOOKUP(A224, Equipos!A:J, 10, FALSE), "")</f>
        <v>10000</v>
      </c>
      <c r="K224" s="16">
        <f>IFERROR(IF($I224="KM",ROUND((_xlfn.MAXIFS(tblLecturas[Kilometraje],tblLecturas[Codigo],$A224)-_xlfn.MINIFS(tblLecturas[Kilometraje],tblLecturas[Codigo],$A224))/(MAX(1,_xlfn.MAXIFS(tblLecturas[Fecha],tblLecturas[Codigo],$A224)-_xlfn.MINIFS(tblLecturas[Fecha],tblLecturas[Codigo],$A224))),1),ROUND((_xlfn.MAXIFS(tblLecturas[Horometro],tblLecturas[Codigo],$A224)-_xlfn.MINIFS(tblLecturas[Horometro],tblLecturas[Codigo],$A224))/(MAX(1,_xlfn.MAXIFS(tblLecturas[Fecha],tblLecturas[Codigo],$A224)-_xlfn.MINIFS(tblLecturas[Fecha],tblLecturas[Codigo],$A224))),1)),"")</f>
        <v>99.1</v>
      </c>
      <c r="L224" s="18">
        <f>IFERROR(_xlfn.MAXIFS(tblLecturas[Fecha],tblLecturas[Codigo],$A224),"")</f>
        <v>46133</v>
      </c>
      <c r="M224" s="24">
        <f>IFERROR(_xlfn.MAXIFS(Lecturas!$C:$C,Lecturas!$B:$B,$A224,Lecturas!$C:$C,"&gt;0"),"")</f>
        <v>0</v>
      </c>
      <c r="N224" s="24">
        <f>IFERROR(_xlfn.MAXIFS(tblLecturas[Kilometraje],tblLecturas[Codigo],$A224,tblLecturas[Kilometraje],"&gt;0"),"")</f>
        <v>266420</v>
      </c>
      <c r="O224" s="24" cm="1">
        <f t="array" ref="O224">IFERROR(IF($I224="KM",LOOKUP(2,1/(Lecturas!$B:$B=$A224)/(Lecturas!$D:$D&gt;0),Lecturas!$D:$D),LOOKUP(2,1/(Lecturas!$B:$B=$A224)/(Lecturas!$C:$C&gt;0),Lecturas!$C:$C)),"")</f>
        <v>263250</v>
      </c>
      <c r="P224" s="18">
        <f>IFERROR(_xlfn.MAXIFS(tblMantenciones[Fecha],tblMantenciones[Codigo],tblMaestroEquipos[[#This Row],[Codigo]],tblMantenciones[EsPM],"Sí"),"")</f>
        <v>46124</v>
      </c>
      <c r="Q224" s="70">
        <f>IF(_xlfn.MAXIFS(Mantenciones!$D:$D,Mantenciones!$B:$B,A224)=0,"Sin datos de mantención registrado",_xlfn.MAXIFS(Mantenciones!$D:$D,Mantenciones!$B:$B,A224))</f>
        <v>306311</v>
      </c>
      <c r="R224" s="16">
        <f>IFERROR(IF(_xlfn.MAXIFS(Mantenciones!$D:$D,Mantenciones!$B:$B,$A224,Mantenciones!$E:$E,"Sí",Mantenciones!$D:$D,"&gt;0")=0,"Sin datos de mantención registrado",_xlfn.MAXIFS(Mantenciones!$D:$D,Mantenciones!$B:$B,$A224,Mantenciones!$E:$E,"Sí",Mantenciones!$D:$D,"&gt;0")),"Sin datos de mantención registrado")</f>
        <v>306311</v>
      </c>
      <c r="S224" s="19">
        <f>IFERROR(SUMIFS(tblMantenciones[Costo Mantencion CLP],tblMantenciones[Codigo],tblMaestroEquipos[[#This Row],[Codigo]]),0)</f>
        <v>0</v>
      </c>
      <c r="T224" s="19">
        <f>IFERROR(SUMIFS(tblComprasPM[Costo PM CLP],tblComprasPM[Codigo],tblMaestroEquipos[[#This Row],[Codigo]]),0)</f>
        <v>0</v>
      </c>
      <c r="U224" s="19">
        <f>IFERROR(tblMaestroEquipos[[#This Row],[Costo Mantenciones CLP]]+tblMaestroEquipos[[#This Row],[Costo Compras PM CLP]],0)</f>
        <v>0</v>
      </c>
      <c r="V224" s="16" t="str">
        <f>IFERROR(_xlfn.XLOOKUP(tblMaestroEquipos[[#This Row],[Codigo]],tblEquipos[Codigo],tblEquipos[Estado Base]),"")</f>
        <v>Operativo</v>
      </c>
      <c r="W224" s="16" t="str">
        <f t="shared" si="24"/>
        <v>AL DÍA</v>
      </c>
      <c r="X224" s="16">
        <f t="shared" si="25"/>
        <v>53061</v>
      </c>
      <c r="Y224" s="23">
        <f>IFERROR(IF(OR(tblMaestroEquipos[[#This Row],[Estado Operacional]]="FUERA DE SERVICIO",tblMaestroEquipos[[#This Row],[Ultima Fecha Lectura]]="",tblMaestroEquipos[[#This Row],[Dias a Proxima Mantencion]]=""),"",tblMaestroEquipos[[#This Row],[Ultima Fecha Lectura]]+tblMaestroEquipos[[#This Row],[Dias a Proxima Mantencion]]),"")</f>
        <v>99194</v>
      </c>
      <c r="Z224" s="23" t="str">
        <f>IFERROR(IF(_xlfn.MINIFS(tblComprasPM[Fecha],tblComprasPM[Codigo],tblMaestroEquipos[[#This Row],[Codigo]])=0,"",_xlfn.MINIFS(tblComprasPM[Fecha],tblComprasPM[Codigo],tblMaestroEquipos[[#This Row],[Codigo]])),"")</f>
        <v/>
      </c>
      <c r="AA224" s="23">
        <f>IFERROR(IF(_xlfn.MAXIFS(tblBodega[Fecha],tblBodega[Codigo],tblMaestroEquipos[[#This Row],[Codigo]])=0,"",_xlfn.MAXIFS(tblBodega[Fecha],tblBodega[Codigo],tblMaestroEquipos[[#This Row],[Codigo]])),"")</f>
        <v>46119</v>
      </c>
      <c r="AB224"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24"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5</v>
      </c>
      <c r="AD224" s="16" t="str">
        <f>IF(tblMaestroEquipos[[#This Row],[Fecha Salida Bodega]]="","SIN SALIDA BODEGA",IF(OR(tblMaestroEquipos[[#This Row],[Ultima Fecha PM]]="",tblMaestroEquipos[[#This Row],[Ultima Fecha PM]]&lt;tblMaestroEquipos[[#This Row],[Fecha Salida Bodega]]),"PENDIENTE","CERRADO"))</f>
        <v>CERRADO</v>
      </c>
      <c r="AE224" s="48" t="str">
        <f t="shared" si="26"/>
        <v>OPERATIVO</v>
      </c>
      <c r="AF224" s="16" t="str">
        <f t="shared" si="27"/>
        <v>BAJA</v>
      </c>
      <c r="AG224" s="16" t="str">
        <f t="shared" si="28"/>
        <v>Monitorear próximo vencimiento</v>
      </c>
      <c r="AH224">
        <f t="shared" si="29"/>
        <v>0</v>
      </c>
      <c r="AI224" t="str">
        <f t="shared" si="30"/>
        <v/>
      </c>
      <c r="AJ224" s="22">
        <f t="shared" si="31"/>
        <v>99</v>
      </c>
    </row>
    <row r="225" spans="1:36">
      <c r="A225" s="16" t="s">
        <v>625</v>
      </c>
      <c r="B225" s="16" t="s">
        <v>505</v>
      </c>
      <c r="C225" s="16" t="s">
        <v>1414</v>
      </c>
      <c r="D225" s="16" t="s">
        <v>115</v>
      </c>
      <c r="E225" s="17" t="s">
        <v>621</v>
      </c>
      <c r="F225" s="16">
        <v>2017</v>
      </c>
      <c r="G225" s="17">
        <f>IFERROR(_xlfn.XLOOKUP($A225,tblEquipos[Codigo],tblEquipos[Ubicacion],""),"")</f>
        <v>0</v>
      </c>
      <c r="H225" s="16" t="s">
        <v>510</v>
      </c>
      <c r="I225" s="16" t="str">
        <f>IFERROR(VLOOKUP(A225, Equipos!A:J, 9, FALSE), "")</f>
        <v>KM</v>
      </c>
      <c r="J225" s="16">
        <f>IFERROR(VLOOKUP(A225, Equipos!A:J, 10, FALSE), "")</f>
        <v>10000</v>
      </c>
      <c r="K225" s="16">
        <f>IFERROR(IF($I225="KM",ROUND((_xlfn.MAXIFS(tblLecturas[Kilometraje],tblLecturas[Codigo],$A225)-_xlfn.MINIFS(tblLecturas[Kilometraje],tblLecturas[Codigo],$A225))/(MAX(1,_xlfn.MAXIFS(tblLecturas[Fecha],tblLecturas[Codigo],$A225)-_xlfn.MINIFS(tblLecturas[Fecha],tblLecturas[Codigo],$A225))),1),ROUND((_xlfn.MAXIFS(tblLecturas[Horometro],tblLecturas[Codigo],$A225)-_xlfn.MINIFS(tblLecturas[Horometro],tblLecturas[Codigo],$A225))/(MAX(1,_xlfn.MAXIFS(tblLecturas[Fecha],tblLecturas[Codigo],$A225)-_xlfn.MINIFS(tblLecturas[Fecha],tblLecturas[Codigo],$A225))),1)),"")</f>
        <v>0</v>
      </c>
      <c r="L225" s="18">
        <f>IFERROR(_xlfn.MAXIFS(tblLecturas[Fecha],tblLecturas[Codigo],$A225),"")</f>
        <v>46104</v>
      </c>
      <c r="M225" s="24">
        <f>IFERROR(_xlfn.MAXIFS(Lecturas!$C:$C,Lecturas!$B:$B,$A225,Lecturas!$C:$C,"&gt;0"),"")</f>
        <v>0</v>
      </c>
      <c r="N225" s="24">
        <f>IFERROR(_xlfn.MAXIFS(tblLecturas[Kilometraje],tblLecturas[Codigo],$A225,tblLecturas[Kilometraje],"&gt;0"),"")</f>
        <v>263620</v>
      </c>
      <c r="O225" s="24" cm="1">
        <f t="array" ref="O225">IFERROR(IF($I225="KM",LOOKUP(2,1/(Lecturas!$B:$B=$A225)/(Lecturas!$D:$D&gt;0),Lecturas!$D:$D),LOOKUP(2,1/(Lecturas!$B:$B=$A225)/(Lecturas!$C:$C&gt;0),Lecturas!$C:$C)),"")</f>
        <v>263620</v>
      </c>
      <c r="P225" s="18">
        <f>IFERROR(_xlfn.MAXIFS(tblMantenciones[Fecha],tblMantenciones[Codigo],tblMaestroEquipos[[#This Row],[Codigo]],tblMantenciones[EsPM],"Sí"),"")</f>
        <v>0</v>
      </c>
      <c r="Q225" s="70" t="str">
        <f>IF(_xlfn.MAXIFS(Mantenciones!$D:$D,Mantenciones!$B:$B,A225)=0,"Sin datos de mantención registrado",_xlfn.MAXIFS(Mantenciones!$D:$D,Mantenciones!$B:$B,A225))</f>
        <v>Sin datos de mantención registrado</v>
      </c>
      <c r="R225" s="16" t="str">
        <f>IFERROR(IF(_xlfn.MAXIFS(Mantenciones!$D:$D,Mantenciones!$B:$B,$A225,Mantenciones!$E:$E,"Sí",Mantenciones!$D:$D,"&gt;0")=0,"Sin datos de mantención registrado",_xlfn.MAXIFS(Mantenciones!$D:$D,Mantenciones!$B:$B,$A225,Mantenciones!$E:$E,"Sí",Mantenciones!$D:$D,"&gt;0")),"Sin datos de mantención registrado")</f>
        <v>Sin datos de mantención registrado</v>
      </c>
      <c r="S225" s="19">
        <f>IFERROR(SUMIFS(tblMantenciones[Costo Mantencion CLP],tblMantenciones[Codigo],tblMaestroEquipos[[#This Row],[Codigo]]),0)</f>
        <v>0</v>
      </c>
      <c r="T225" s="19">
        <f>IFERROR(SUMIFS(tblComprasPM[Costo PM CLP],tblComprasPM[Codigo],tblMaestroEquipos[[#This Row],[Codigo]]),0)</f>
        <v>0</v>
      </c>
      <c r="U225" s="19">
        <f>IFERROR(tblMaestroEquipos[[#This Row],[Costo Mantenciones CLP]]+tblMaestroEquipos[[#This Row],[Costo Compras PM CLP]],0)</f>
        <v>0</v>
      </c>
      <c r="V225" s="16" t="str">
        <f>IFERROR(_xlfn.XLOOKUP(tblMaestroEquipos[[#This Row],[Codigo]],tblEquipos[Codigo],tblEquipos[Estado Base]),"")</f>
        <v>Fuera de Servicio</v>
      </c>
      <c r="W225" s="16" t="str">
        <f t="shared" si="24"/>
        <v>FUERA DE SERVICIO</v>
      </c>
      <c r="X225" s="16" t="str">
        <f t="shared" si="25"/>
        <v/>
      </c>
      <c r="Y225"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25" s="23" t="str">
        <f>IFERROR(IF(_xlfn.MINIFS(tblComprasPM[Fecha],tblComprasPM[Codigo],tblMaestroEquipos[[#This Row],[Codigo]])=0,"",_xlfn.MINIFS(tblComprasPM[Fecha],tblComprasPM[Codigo],tblMaestroEquipos[[#This Row],[Codigo]])),"")</f>
        <v/>
      </c>
      <c r="AA225" s="23" t="str">
        <f>IFERROR(IF(_xlfn.MAXIFS(tblBodega[Fecha],tblBodega[Codigo],tblMaestroEquipos[[#This Row],[Codigo]])=0,"",_xlfn.MAXIFS(tblBodega[Fecha],tblBodega[Codigo],tblMaestroEquipos[[#This Row],[Codigo]])),"")</f>
        <v/>
      </c>
      <c r="AB225"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25"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25" s="16" t="str">
        <f>IF(tblMaestroEquipos[[#This Row],[Fecha Salida Bodega]]="","SIN SALIDA BODEGA",IF(OR(tblMaestroEquipos[[#This Row],[Ultima Fecha PM]]="",tblMaestroEquipos[[#This Row],[Ultima Fecha PM]]&lt;tblMaestroEquipos[[#This Row],[Fecha Salida Bodega]]),"PENDIENTE","CERRADO"))</f>
        <v>SIN SALIDA BODEGA</v>
      </c>
      <c r="AE225" s="48" t="str">
        <f t="shared" si="26"/>
        <v>FUERA DE SERVICIO</v>
      </c>
      <c r="AF225" s="16" t="str">
        <f t="shared" si="27"/>
        <v>NO APLICA</v>
      </c>
      <c r="AG225" s="16" t="str">
        <f t="shared" si="28"/>
        <v>No programar compra</v>
      </c>
      <c r="AH225" s="25">
        <f t="shared" si="29"/>
        <v>0</v>
      </c>
      <c r="AI225" s="25" t="str">
        <f t="shared" si="30"/>
        <v/>
      </c>
      <c r="AJ225" s="22">
        <f t="shared" si="31"/>
        <v>99</v>
      </c>
    </row>
    <row r="226" spans="1:36" s="25" customFormat="1">
      <c r="A226" s="16" t="s">
        <v>626</v>
      </c>
      <c r="B226" s="16" t="s">
        <v>461</v>
      </c>
      <c r="C226" s="16" t="s">
        <v>1414</v>
      </c>
      <c r="D226" s="16" t="s">
        <v>98</v>
      </c>
      <c r="E226" s="17" t="s">
        <v>574</v>
      </c>
      <c r="F226" s="16">
        <v>2023</v>
      </c>
      <c r="G226" s="17" t="str">
        <f>IFERROR(_xlfn.XLOOKUP($A226,tblEquipos[Codigo],tblEquipos[Ubicacion],""),"")</f>
        <v>Emergencias Curico</v>
      </c>
      <c r="H226" s="16" t="s">
        <v>1429</v>
      </c>
      <c r="I226" s="16" t="str">
        <f>IFERROR(VLOOKUP(A226, Equipos!A:J, 9, FALSE), "")</f>
        <v>KM</v>
      </c>
      <c r="J226" s="16">
        <f>IFERROR(VLOOKUP(A226, Equipos!A:J, 10, FALSE), "")</f>
        <v>15000</v>
      </c>
      <c r="K226" s="16">
        <f>IFERROR(IF($I226="KM",ROUND((_xlfn.MAXIFS(tblLecturas[Kilometraje],tblLecturas[Codigo],$A226)-_xlfn.MINIFS(tblLecturas[Kilometraje],tblLecturas[Codigo],$A226))/(MAX(1,_xlfn.MAXIFS(tblLecturas[Fecha],tblLecturas[Codigo],$A226)-_xlfn.MINIFS(tblLecturas[Fecha],tblLecturas[Codigo],$A226))),1),ROUND((_xlfn.MAXIFS(tblLecturas[Horometro],tblLecturas[Codigo],$A226)-_xlfn.MINIFS(tblLecturas[Horometro],tblLecturas[Codigo],$A226))/(MAX(1,_xlfn.MAXIFS(tblLecturas[Fecha],tblLecturas[Codigo],$A226)-_xlfn.MINIFS(tblLecturas[Fecha],tblLecturas[Codigo],$A226))),1)),"")</f>
        <v>119.3</v>
      </c>
      <c r="L226" s="18">
        <f>IFERROR(_xlfn.MAXIFS(tblLecturas[Fecha],tblLecturas[Codigo],$A226),"")</f>
        <v>46133</v>
      </c>
      <c r="M226" s="24">
        <f>IFERROR(_xlfn.MAXIFS(Lecturas!$C:$C,Lecturas!$B:$B,$A226,Lecturas!$C:$C,"&gt;0"),"")</f>
        <v>0</v>
      </c>
      <c r="N226" s="24">
        <f>IFERROR(_xlfn.MAXIFS(tblLecturas[Kilometraje],tblLecturas[Codigo],$A226,tblLecturas[Kilometraje],"&gt;0"),"")</f>
        <v>155441</v>
      </c>
      <c r="O226" s="24" cm="1">
        <f t="array" ref="O226">IFERROR(IF($I226="KM",LOOKUP(2,1/(Lecturas!$B:$B=$A226)/(Lecturas!$D:$D&gt;0),Lecturas!$D:$D),LOOKUP(2,1/(Lecturas!$B:$B=$A226)/(Lecturas!$C:$C&gt;0),Lecturas!$C:$C)),"")</f>
        <v>152100</v>
      </c>
      <c r="P226" s="18">
        <f>IFERROR(_xlfn.MAXIFS(tblMantenciones[Fecha],tblMantenciones[Codigo],tblMaestroEquipos[[#This Row],[Codigo]],tblMantenciones[EsPM],"Sí"),"")</f>
        <v>46133</v>
      </c>
      <c r="Q226" s="70">
        <f>IF(_xlfn.MAXIFS(Mantenciones!$D:$D,Mantenciones!$B:$B,A226)=0,"Sin datos de mantención registrado",_xlfn.MAXIFS(Mantenciones!$D:$D,Mantenciones!$B:$B,A226))</f>
        <v>156473</v>
      </c>
      <c r="R226" s="16">
        <f>IFERROR(IF(_xlfn.MAXIFS(Mantenciones!$D:$D,Mantenciones!$B:$B,$A226,Mantenciones!$E:$E,"Sí",Mantenciones!$D:$D,"&gt;0")=0,"Sin datos de mantención registrado",_xlfn.MAXIFS(Mantenciones!$D:$D,Mantenciones!$B:$B,$A226,Mantenciones!$E:$E,"Sí",Mantenciones!$D:$D,"&gt;0")),"Sin datos de mantención registrado")</f>
        <v>156473</v>
      </c>
      <c r="S226" s="19">
        <f>IFERROR(SUMIFS(tblMantenciones[Costo Mantencion CLP],tblMantenciones[Codigo],tblMaestroEquipos[[#This Row],[Codigo]]),0)</f>
        <v>0</v>
      </c>
      <c r="T226" s="19">
        <f>IFERROR(SUMIFS(tblComprasPM[Costo PM CLP],tblComprasPM[Codigo],tblMaestroEquipos[[#This Row],[Codigo]]),0)</f>
        <v>45691.97</v>
      </c>
      <c r="U226" s="19">
        <f>IFERROR(tblMaestroEquipos[[#This Row],[Costo Mantenciones CLP]]+tblMaestroEquipos[[#This Row],[Costo Compras PM CLP]],0)</f>
        <v>45691.97</v>
      </c>
      <c r="V226" s="16" t="str">
        <f>IFERROR(_xlfn.XLOOKUP(tblMaestroEquipos[[#This Row],[Codigo]],tblEquipos[Codigo],tblEquipos[Estado Base]),"")</f>
        <v>Operativo</v>
      </c>
      <c r="W226" s="16" t="str">
        <f t="shared" si="24"/>
        <v>AL DÍA</v>
      </c>
      <c r="X226" s="16">
        <f t="shared" si="25"/>
        <v>19373</v>
      </c>
      <c r="Y226" s="23">
        <f>IFERROR(IF(OR(tblMaestroEquipos[[#This Row],[Estado Operacional]]="FUERA DE SERVICIO",tblMaestroEquipos[[#This Row],[Ultima Fecha Lectura]]="",tblMaestroEquipos[[#This Row],[Dias a Proxima Mantencion]]=""),"",tblMaestroEquipos[[#This Row],[Ultima Fecha Lectura]]+tblMaestroEquipos[[#This Row],[Dias a Proxima Mantencion]]),"")</f>
        <v>65506</v>
      </c>
      <c r="Z226" s="23">
        <f>IFERROR(IF(_xlfn.MINIFS(tblComprasPM[Fecha],tblComprasPM[Codigo],tblMaestroEquipos[[#This Row],[Codigo]])=0,"",_xlfn.MINIFS(tblComprasPM[Fecha],tblComprasPM[Codigo],tblMaestroEquipos[[#This Row],[Codigo]])),"")</f>
        <v>46114</v>
      </c>
      <c r="AA226" s="23">
        <f>IFERROR(IF(_xlfn.MAXIFS(tblBodega[Fecha],tblBodega[Codigo],tblMaestroEquipos[[#This Row],[Codigo]])=0,"",_xlfn.MAXIFS(tblBodega[Fecha],tblBodega[Codigo],tblMaestroEquipos[[#This Row],[Codigo]])),"")</f>
        <v>46133</v>
      </c>
      <c r="AB22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19</v>
      </c>
      <c r="AC226"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226" s="16" t="str">
        <f>IF(tblMaestroEquipos[[#This Row],[Fecha Salida Bodega]]="","SIN SALIDA BODEGA",IF(OR(tblMaestroEquipos[[#This Row],[Ultima Fecha PM]]="",tblMaestroEquipos[[#This Row],[Ultima Fecha PM]]&lt;tblMaestroEquipos[[#This Row],[Fecha Salida Bodega]]),"PENDIENTE","CERRADO"))</f>
        <v>CERRADO</v>
      </c>
      <c r="AE226" s="48" t="str">
        <f t="shared" si="26"/>
        <v>OPERATIVO</v>
      </c>
      <c r="AF226" s="16" t="str">
        <f t="shared" si="27"/>
        <v>BAJA</v>
      </c>
      <c r="AG226" s="16" t="str">
        <f t="shared" si="28"/>
        <v>Monitorear próximo vencimiento</v>
      </c>
      <c r="AH226">
        <f t="shared" si="29"/>
        <v>0</v>
      </c>
      <c r="AI226" t="str">
        <f t="shared" si="30"/>
        <v/>
      </c>
      <c r="AJ226" s="22">
        <f t="shared" si="31"/>
        <v>99</v>
      </c>
    </row>
    <row r="227" spans="1:36" s="25" customFormat="1">
      <c r="A227" s="16" t="s">
        <v>628</v>
      </c>
      <c r="B227" s="16" t="s">
        <v>461</v>
      </c>
      <c r="C227" s="16" t="s">
        <v>1414</v>
      </c>
      <c r="D227" s="16" t="s">
        <v>98</v>
      </c>
      <c r="E227" s="17" t="s">
        <v>574</v>
      </c>
      <c r="F227" s="16">
        <v>2023</v>
      </c>
      <c r="G227" s="17" t="str">
        <f>IFERROR(_xlfn.XLOOKUP($A227,tblEquipos[Codigo],tblEquipos[Ubicacion],""),"")</f>
        <v>Palmucho</v>
      </c>
      <c r="H227" s="16" t="s">
        <v>1430</v>
      </c>
      <c r="I227" s="16" t="str">
        <f>IFERROR(VLOOKUP(A227, Equipos!A:J, 9, FALSE), "")</f>
        <v>KM</v>
      </c>
      <c r="J227" s="16">
        <f>IFERROR(VLOOKUP(A227, Equipos!A:J, 10, FALSE), "")</f>
        <v>15000</v>
      </c>
      <c r="K227" s="16">
        <f>IFERROR(IF($I227="KM",ROUND((_xlfn.MAXIFS(tblLecturas[Kilometraje],tblLecturas[Codigo],$A227)-_xlfn.MINIFS(tblLecturas[Kilometraje],tblLecturas[Codigo],$A227))/(MAX(1,_xlfn.MAXIFS(tblLecturas[Fecha],tblLecturas[Codigo],$A227)-_xlfn.MINIFS(tblLecturas[Fecha],tblLecturas[Codigo],$A227))),1),ROUND((_xlfn.MAXIFS(tblLecturas[Horometro],tblLecturas[Codigo],$A227)-_xlfn.MINIFS(tblLecturas[Horometro],tblLecturas[Codigo],$A227))/(MAX(1,_xlfn.MAXIFS(tblLecturas[Fecha],tblLecturas[Codigo],$A227)-_xlfn.MINIFS(tblLecturas[Fecha],tblLecturas[Codigo],$A227))),1)),"")</f>
        <v>92.7</v>
      </c>
      <c r="L227" s="18">
        <f>IFERROR(_xlfn.MAXIFS(tblLecturas[Fecha],tblLecturas[Codigo],$A227),"")</f>
        <v>46197</v>
      </c>
      <c r="M227" s="24">
        <f>IFERROR(_xlfn.MAXIFS(Lecturas!$C:$C,Lecturas!$B:$B,$A227,Lecturas!$C:$C,"&gt;0"),"")</f>
        <v>0</v>
      </c>
      <c r="N227" s="24">
        <f>IFERROR(_xlfn.MAXIFS(tblLecturas[Kilometraje],tblLecturas[Codigo],$A227,tblLecturas[Kilometraje],"&gt;0"),"")</f>
        <v>132860</v>
      </c>
      <c r="O227" s="24" cm="1">
        <f t="array" ref="O227">IFERROR(IF($I227="KM",LOOKUP(2,1/(Lecturas!$B:$B=$A227)/(Lecturas!$D:$D&gt;0),Lecturas!$D:$D),LOOKUP(2,1/(Lecturas!$B:$B=$A227)/(Lecturas!$C:$C&gt;0),Lecturas!$C:$C)),"")</f>
        <v>132860</v>
      </c>
      <c r="P227" s="18">
        <f>IFERROR(_xlfn.MAXIFS(tblMantenciones[Fecha],tblMantenciones[Codigo],tblMaestroEquipos[[#This Row],[Codigo]],tblMantenciones[EsPM],"Sí"),"")</f>
        <v>46203</v>
      </c>
      <c r="Q227" s="70">
        <f>IF(_xlfn.MAXIFS(Mantenciones!$D:$D,Mantenciones!$B:$B,A227)=0,"Sin datos de mantención registrado",_xlfn.MAXIFS(Mantenciones!$D:$D,Mantenciones!$B:$B,A227))</f>
        <v>134647</v>
      </c>
      <c r="R227" s="16">
        <f>IFERROR(IF(_xlfn.MAXIFS(Mantenciones!$D:$D,Mantenciones!$B:$B,$A227,Mantenciones!$E:$E,"Sí",Mantenciones!$D:$D,"&gt;0")=0,"Sin datos de mantención registrado",_xlfn.MAXIFS(Mantenciones!$D:$D,Mantenciones!$B:$B,$A227,Mantenciones!$E:$E,"Sí",Mantenciones!$D:$D,"&gt;0")),"Sin datos de mantención registrado")</f>
        <v>134647</v>
      </c>
      <c r="S227" s="19">
        <f>IFERROR(SUMIFS(tblMantenciones[Costo Mantencion CLP],tblMantenciones[Codigo],tblMaestroEquipos[[#This Row],[Codigo]]),0)</f>
        <v>0</v>
      </c>
      <c r="T227" s="19">
        <f>IFERROR(SUMIFS(tblComprasPM[Costo PM CLP],tblComprasPM[Codigo],tblMaestroEquipos[[#This Row],[Codigo]]),0)</f>
        <v>45691.97</v>
      </c>
      <c r="U227" s="19">
        <f>IFERROR(tblMaestroEquipos[[#This Row],[Costo Mantenciones CLP]]+tblMaestroEquipos[[#This Row],[Costo Compras PM CLP]],0)</f>
        <v>45691.97</v>
      </c>
      <c r="V227" s="16" t="str">
        <f>IFERROR(_xlfn.XLOOKUP(tblMaestroEquipos[[#This Row],[Codigo]],tblEquipos[Codigo],tblEquipos[Estado Base]),"")</f>
        <v>Operativo</v>
      </c>
      <c r="W227" s="16" t="str">
        <f t="shared" si="24"/>
        <v>AL DÍA</v>
      </c>
      <c r="X227" s="16">
        <f t="shared" si="25"/>
        <v>16787</v>
      </c>
      <c r="Y227" s="23">
        <f>IFERROR(IF(OR(tblMaestroEquipos[[#This Row],[Estado Operacional]]="FUERA DE SERVICIO",tblMaestroEquipos[[#This Row],[Ultima Fecha Lectura]]="",tblMaestroEquipos[[#This Row],[Dias a Proxima Mantencion]]=""),"",tblMaestroEquipos[[#This Row],[Ultima Fecha Lectura]]+tblMaestroEquipos[[#This Row],[Dias a Proxima Mantencion]]),"")</f>
        <v>62984</v>
      </c>
      <c r="Z227" s="23">
        <f>IFERROR(IF(_xlfn.MINIFS(tblComprasPM[Fecha],tblComprasPM[Codigo],tblMaestroEquipos[[#This Row],[Codigo]])=0,"",_xlfn.MINIFS(tblComprasPM[Fecha],tblComprasPM[Codigo],tblMaestroEquipos[[#This Row],[Codigo]])),"")</f>
        <v>46114</v>
      </c>
      <c r="AA227" s="23">
        <f>IFERROR(IF(_xlfn.MAXIFS(tblBodega[Fecha],tblBodega[Codigo],tblMaestroEquipos[[#This Row],[Codigo]])=0,"",_xlfn.MAXIFS(tblBodega[Fecha],tblBodega[Codigo],tblMaestroEquipos[[#This Row],[Codigo]])),"")</f>
        <v>46083</v>
      </c>
      <c r="AB227"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89</v>
      </c>
      <c r="AC227"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120</v>
      </c>
      <c r="AD227" s="16" t="str">
        <f>IF(tblMaestroEquipos[[#This Row],[Fecha Salida Bodega]]="","SIN SALIDA BODEGA",IF(OR(tblMaestroEquipos[[#This Row],[Ultima Fecha PM]]="",tblMaestroEquipos[[#This Row],[Ultima Fecha PM]]&lt;tblMaestroEquipos[[#This Row],[Fecha Salida Bodega]]),"PENDIENTE","CERRADO"))</f>
        <v>CERRADO</v>
      </c>
      <c r="AE227" s="48" t="str">
        <f t="shared" si="26"/>
        <v>OPERATIVO</v>
      </c>
      <c r="AF227" s="16" t="str">
        <f t="shared" si="27"/>
        <v>BAJA</v>
      </c>
      <c r="AG227" s="16" t="str">
        <f t="shared" si="28"/>
        <v>Monitorear próximo vencimiento</v>
      </c>
      <c r="AH227">
        <f t="shared" si="29"/>
        <v>0</v>
      </c>
      <c r="AI227" t="str">
        <f t="shared" si="30"/>
        <v/>
      </c>
      <c r="AJ227" s="22">
        <f t="shared" si="31"/>
        <v>99</v>
      </c>
    </row>
    <row r="228" spans="1:36" s="25" customFormat="1">
      <c r="A228" s="16" t="s">
        <v>630</v>
      </c>
      <c r="B228" s="16" t="s">
        <v>461</v>
      </c>
      <c r="C228" s="16" t="s">
        <v>1414</v>
      </c>
      <c r="D228" s="16" t="s">
        <v>98</v>
      </c>
      <c r="E228" s="17" t="s">
        <v>574</v>
      </c>
      <c r="F228" s="16">
        <v>2023</v>
      </c>
      <c r="G228" s="17" t="str">
        <f>IFERROR(_xlfn.XLOOKUP($A228,tblEquipos[Codigo],tblEquipos[Ubicacion],""),"")</f>
        <v>Taller Demotron</v>
      </c>
      <c r="H228" s="16" t="s">
        <v>631</v>
      </c>
      <c r="I228" s="16" t="str">
        <f>IFERROR(VLOOKUP(A228, Equipos!A:J, 9, FALSE), "")</f>
        <v>KM</v>
      </c>
      <c r="J228" s="16">
        <f>IFERROR(VLOOKUP(A228, Equipos!A:J, 10, FALSE), "")</f>
        <v>15000</v>
      </c>
      <c r="K228" s="16">
        <f>IFERROR(IF($I228="KM",ROUND((_xlfn.MAXIFS(tblLecturas[Kilometraje],tblLecturas[Codigo],$A228)-_xlfn.MINIFS(tblLecturas[Kilometraje],tblLecturas[Codigo],$A228))/(MAX(1,_xlfn.MAXIFS(tblLecturas[Fecha],tblLecturas[Codigo],$A228)-_xlfn.MINIFS(tblLecturas[Fecha],tblLecturas[Codigo],$A228))),1),ROUND((_xlfn.MAXIFS(tblLecturas[Horometro],tblLecturas[Codigo],$A228)-_xlfn.MINIFS(tblLecturas[Horometro],tblLecturas[Codigo],$A228))/(MAX(1,_xlfn.MAXIFS(tblLecturas[Fecha],tblLecturas[Codigo],$A228)-_xlfn.MINIFS(tblLecturas[Fecha],tblLecturas[Codigo],$A228))),1)),"")</f>
        <v>167.7</v>
      </c>
      <c r="L228" s="18">
        <f>IFERROR(_xlfn.MAXIFS(tblLecturas[Fecha],tblLecturas[Codigo],$A228),"")</f>
        <v>46069</v>
      </c>
      <c r="M228" s="24">
        <f>IFERROR(_xlfn.MAXIFS(Lecturas!$C:$C,Lecturas!$B:$B,$A228,Lecturas!$C:$C,"&gt;0"),"")</f>
        <v>0</v>
      </c>
      <c r="N228" s="24">
        <f>IFERROR(_xlfn.MAXIFS(tblLecturas[Kilometraje],tblLecturas[Codigo],$A228,tblLecturas[Kilometraje],"&gt;0"),"")</f>
        <v>108975</v>
      </c>
      <c r="O228" s="24" cm="1">
        <f t="array" ref="O228">IFERROR(IF($I228="KM",LOOKUP(2,1/(Lecturas!$B:$B=$A228)/(Lecturas!$D:$D&gt;0),Lecturas!$D:$D),LOOKUP(2,1/(Lecturas!$B:$B=$A228)/(Lecturas!$C:$C&gt;0),Lecturas!$C:$C)),"")</f>
        <v>107827</v>
      </c>
      <c r="P228" s="18">
        <f>IFERROR(_xlfn.MAXIFS(tblMantenciones[Fecha],tblMantenciones[Codigo],tblMaestroEquipos[[#This Row],[Codigo]],tblMantenciones[EsPM],"Sí"),"")</f>
        <v>0</v>
      </c>
      <c r="Q228" s="70" t="str">
        <f>IF(_xlfn.MAXIFS(Mantenciones!$D:$D,Mantenciones!$B:$B,A228)=0,"Sin datos de mantención registrado",_xlfn.MAXIFS(Mantenciones!$D:$D,Mantenciones!$B:$B,A228))</f>
        <v>Sin datos de mantención registrado</v>
      </c>
      <c r="R228" s="16" t="str">
        <f>IFERROR(IF(_xlfn.MAXIFS(Mantenciones!$D:$D,Mantenciones!$B:$B,$A228,Mantenciones!$E:$E,"Sí",Mantenciones!$D:$D,"&gt;0")=0,"Sin datos de mantención registrado",_xlfn.MAXIFS(Mantenciones!$D:$D,Mantenciones!$B:$B,$A228,Mantenciones!$E:$E,"Sí",Mantenciones!$D:$D,"&gt;0")),"Sin datos de mantención registrado")</f>
        <v>Sin datos de mantención registrado</v>
      </c>
      <c r="S228" s="19">
        <f>IFERROR(SUMIFS(tblMantenciones[Costo Mantencion CLP],tblMantenciones[Codigo],tblMaestroEquipos[[#This Row],[Codigo]]),0)</f>
        <v>0</v>
      </c>
      <c r="T228" s="19">
        <f>IFERROR(SUMIFS(tblComprasPM[Costo PM CLP],tblComprasPM[Codigo],tblMaestroEquipos[[#This Row],[Codigo]]),0)</f>
        <v>357721.87</v>
      </c>
      <c r="U228" s="19">
        <f>IFERROR(tblMaestroEquipos[[#This Row],[Costo Mantenciones CLP]]+tblMaestroEquipos[[#This Row],[Costo Compras PM CLP]],0)</f>
        <v>357721.87</v>
      </c>
      <c r="V228" s="16" t="str">
        <f>IFERROR(_xlfn.XLOOKUP(tblMaestroEquipos[[#This Row],[Codigo]],tblEquipos[Codigo],tblEquipos[Estado Base]),"")</f>
        <v>Operativo</v>
      </c>
      <c r="W228" s="16" t="str">
        <f t="shared" si="24"/>
        <v>EN PROCESO</v>
      </c>
      <c r="X228" s="16" t="str">
        <f t="shared" si="25"/>
        <v/>
      </c>
      <c r="Y228"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28" s="23">
        <f>IFERROR(IF(_xlfn.MINIFS(tblComprasPM[Fecha],tblComprasPM[Codigo],tblMaestroEquipos[[#This Row],[Codigo]])=0,"",_xlfn.MINIFS(tblComprasPM[Fecha],tblComprasPM[Codigo],tblMaestroEquipos[[#This Row],[Codigo]])),"")</f>
        <v>46083.669711955998</v>
      </c>
      <c r="AA228" s="23" t="str">
        <f>IFERROR(IF(_xlfn.MAXIFS(tblBodega[Fecha],tblBodega[Codigo],tblMaestroEquipos[[#This Row],[Codigo]])=0,"",_xlfn.MAXIFS(tblBodega[Fecha],tblBodega[Codigo],tblMaestroEquipos[[#This Row],[Codigo]])),"")</f>
        <v/>
      </c>
      <c r="AB228"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157</v>
      </c>
      <c r="AC228"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28" s="16" t="str">
        <f>IF(tblMaestroEquipos[[#This Row],[Fecha Salida Bodega]]="","SIN SALIDA BODEGA",IF(OR(tblMaestroEquipos[[#This Row],[Ultima Fecha PM]]="",tblMaestroEquipos[[#This Row],[Ultima Fecha PM]]&lt;tblMaestroEquipos[[#This Row],[Fecha Salida Bodega]]),"PENDIENTE","CERRADO"))</f>
        <v>SIN SALIDA BODEGA</v>
      </c>
      <c r="AE228" s="48" t="str">
        <f t="shared" si="26"/>
        <v>EN PROCESO</v>
      </c>
      <c r="AF228" s="16" t="str">
        <f t="shared" si="27"/>
        <v>SEGUIMIENTO</v>
      </c>
      <c r="AG228" s="16" t="str">
        <f t="shared" si="28"/>
        <v>Hacer seguimiento al taller y cerrar report</v>
      </c>
      <c r="AH228">
        <f t="shared" si="29"/>
        <v>0</v>
      </c>
      <c r="AI228" t="str">
        <f t="shared" si="30"/>
        <v/>
      </c>
      <c r="AJ228" s="22">
        <f t="shared" si="31"/>
        <v>2</v>
      </c>
    </row>
    <row r="229" spans="1:36" s="25" customFormat="1">
      <c r="A229" s="16" t="s">
        <v>632</v>
      </c>
      <c r="B229" s="16" t="s">
        <v>461</v>
      </c>
      <c r="C229" s="16" t="s">
        <v>1414</v>
      </c>
      <c r="D229" s="16" t="s">
        <v>98</v>
      </c>
      <c r="E229" s="17" t="s">
        <v>574</v>
      </c>
      <c r="F229" s="16">
        <v>2023</v>
      </c>
      <c r="G229" s="17" t="str">
        <f>IFERROR(_xlfn.XLOOKUP($A229,tblEquipos[Codigo],tblEquipos[Ubicacion],""),"")</f>
        <v>Quirihue</v>
      </c>
      <c r="H229" s="16" t="s">
        <v>633</v>
      </c>
      <c r="I229" s="16" t="str">
        <f>IFERROR(VLOOKUP(A229, Equipos!A:J, 9, FALSE), "")</f>
        <v>KM</v>
      </c>
      <c r="J229" s="16">
        <f>IFERROR(VLOOKUP(A229, Equipos!A:J, 10, FALSE), "")</f>
        <v>15000</v>
      </c>
      <c r="K229" s="16">
        <f>IFERROR(IF($I229="KM",ROUND((_xlfn.MAXIFS(tblLecturas[Kilometraje],tblLecturas[Codigo],$A229)-_xlfn.MINIFS(tblLecturas[Kilometraje],tblLecturas[Codigo],$A229))/(MAX(1,_xlfn.MAXIFS(tblLecturas[Fecha],tblLecturas[Codigo],$A229)-_xlfn.MINIFS(tblLecturas[Fecha],tblLecturas[Codigo],$A229))),1),ROUND((_xlfn.MAXIFS(tblLecturas[Horometro],tblLecturas[Codigo],$A229)-_xlfn.MINIFS(tblLecturas[Horometro],tblLecturas[Codigo],$A229))/(MAX(1,_xlfn.MAXIFS(tblLecturas[Fecha],tblLecturas[Codigo],$A229)-_xlfn.MINIFS(tblLecturas[Fecha],tblLecturas[Codigo],$A229))),1)),"")</f>
        <v>114.3</v>
      </c>
      <c r="L229" s="18">
        <f>IFERROR(_xlfn.MAXIFS(tblLecturas[Fecha],tblLecturas[Codigo],$A229),"")</f>
        <v>46185</v>
      </c>
      <c r="M229" s="24">
        <f>IFERROR(_xlfn.MAXIFS(Lecturas!$C:$C,Lecturas!$B:$B,$A229,Lecturas!$C:$C,"&gt;0"),"")</f>
        <v>140014</v>
      </c>
      <c r="N229" s="24">
        <f>IFERROR(_xlfn.MAXIFS(tblLecturas[Kilometraje],tblLecturas[Codigo],$A229,tblLecturas[Kilometraje],"&gt;0"),"")</f>
        <v>139007</v>
      </c>
      <c r="O229" s="24" cm="1">
        <f t="array" ref="O229">IFERROR(IF($I229="KM",LOOKUP(2,1/(Lecturas!$B:$B=$A229)/(Lecturas!$D:$D&gt;0),Lecturas!$D:$D),LOOKUP(2,1/(Lecturas!$B:$B=$A229)/(Lecturas!$C:$C&gt;0),Lecturas!$C:$C)),"")</f>
        <v>139007</v>
      </c>
      <c r="P229" s="18">
        <f>IFERROR(_xlfn.MAXIFS(tblMantenciones[Fecha],tblMantenciones[Codigo],tblMaestroEquipos[[#This Row],[Codigo]],tblMantenciones[EsPM],"Sí"),"")</f>
        <v>46125</v>
      </c>
      <c r="Q229" s="70">
        <f>IF(_xlfn.MAXIFS(Mantenciones!$D:$D,Mantenciones!$B:$B,A229)=0,"Sin datos de mantención registrado",_xlfn.MAXIFS(Mantenciones!$D:$D,Mantenciones!$B:$B,A229))</f>
        <v>133477</v>
      </c>
      <c r="R229" s="16">
        <f>IFERROR(IF(_xlfn.MAXIFS(Mantenciones!$D:$D,Mantenciones!$B:$B,$A229,Mantenciones!$E:$E,"Sí",Mantenciones!$D:$D,"&gt;0")=0,"Sin datos de mantención registrado",_xlfn.MAXIFS(Mantenciones!$D:$D,Mantenciones!$B:$B,$A229,Mantenciones!$E:$E,"Sí",Mantenciones!$D:$D,"&gt;0")),"Sin datos de mantención registrado")</f>
        <v>133477</v>
      </c>
      <c r="S229" s="19">
        <f>IFERROR(SUMIFS(tblMantenciones[Costo Mantencion CLP],tblMantenciones[Codigo],tblMaestroEquipos[[#This Row],[Codigo]]),0)</f>
        <v>0</v>
      </c>
      <c r="T229" s="19">
        <f>IFERROR(SUMIFS(tblComprasPM[Costo PM CLP],tblComprasPM[Codigo],tblMaestroEquipos[[#This Row],[Codigo]]),0)</f>
        <v>45691.97</v>
      </c>
      <c r="U229" s="19">
        <f>IFERROR(tblMaestroEquipos[[#This Row],[Costo Mantenciones CLP]]+tblMaestroEquipos[[#This Row],[Costo Compras PM CLP]],0)</f>
        <v>45691.97</v>
      </c>
      <c r="V229" s="16" t="str">
        <f>IFERROR(_xlfn.XLOOKUP(tblMaestroEquipos[[#This Row],[Codigo]],tblEquipos[Codigo],tblEquipos[Estado Base]),"")</f>
        <v>Operativo</v>
      </c>
      <c r="W229" s="16" t="str">
        <f t="shared" si="24"/>
        <v>AL DÍA</v>
      </c>
      <c r="X229" s="16">
        <f t="shared" si="25"/>
        <v>9470</v>
      </c>
      <c r="Y229" s="23">
        <f>IFERROR(IF(OR(tblMaestroEquipos[[#This Row],[Estado Operacional]]="FUERA DE SERVICIO",tblMaestroEquipos[[#This Row],[Ultima Fecha Lectura]]="",tblMaestroEquipos[[#This Row],[Dias a Proxima Mantencion]]=""),"",tblMaestroEquipos[[#This Row],[Ultima Fecha Lectura]]+tblMaestroEquipos[[#This Row],[Dias a Proxima Mantencion]]),"")</f>
        <v>55655</v>
      </c>
      <c r="Z229" s="23">
        <f>IFERROR(IF(_xlfn.MINIFS(tblComprasPM[Fecha],tblComprasPM[Codigo],tblMaestroEquipos[[#This Row],[Codigo]])=0,"",_xlfn.MINIFS(tblComprasPM[Fecha],tblComprasPM[Codigo],tblMaestroEquipos[[#This Row],[Codigo]])),"")</f>
        <v>46114</v>
      </c>
      <c r="AA229" s="23">
        <f>IFERROR(IF(_xlfn.MAXIFS(tblBodega[Fecha],tblBodega[Codigo],tblMaestroEquipos[[#This Row],[Codigo]])=0,"",_xlfn.MAXIFS(tblBodega[Fecha],tblBodega[Codigo],tblMaestroEquipos[[#This Row],[Codigo]])),"")</f>
        <v>46125</v>
      </c>
      <c r="AB229"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11</v>
      </c>
      <c r="AC229"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229" s="16" t="str">
        <f>IF(tblMaestroEquipos[[#This Row],[Fecha Salida Bodega]]="","SIN SALIDA BODEGA",IF(OR(tblMaestroEquipos[[#This Row],[Ultima Fecha PM]]="",tblMaestroEquipos[[#This Row],[Ultima Fecha PM]]&lt;tblMaestroEquipos[[#This Row],[Fecha Salida Bodega]]),"PENDIENTE","CERRADO"))</f>
        <v>CERRADO</v>
      </c>
      <c r="AE229" s="48" t="str">
        <f t="shared" si="26"/>
        <v>OPERATIVO</v>
      </c>
      <c r="AF229" s="16" t="str">
        <f t="shared" si="27"/>
        <v>BAJA</v>
      </c>
      <c r="AG229" s="16" t="str">
        <f t="shared" si="28"/>
        <v>Monitorear próximo vencimiento</v>
      </c>
      <c r="AH229">
        <f t="shared" si="29"/>
        <v>0</v>
      </c>
      <c r="AI229" t="str">
        <f t="shared" si="30"/>
        <v/>
      </c>
      <c r="AJ229" s="22">
        <f t="shared" si="31"/>
        <v>99</v>
      </c>
    </row>
    <row r="230" spans="1:36" s="25" customFormat="1">
      <c r="A230" s="16" t="s">
        <v>634</v>
      </c>
      <c r="B230" s="16" t="s">
        <v>461</v>
      </c>
      <c r="C230" s="16" t="s">
        <v>1414</v>
      </c>
      <c r="D230" s="16" t="s">
        <v>98</v>
      </c>
      <c r="E230" s="17" t="s">
        <v>574</v>
      </c>
      <c r="F230" s="16">
        <v>2023</v>
      </c>
      <c r="G230" s="17" t="str">
        <f>IFERROR(_xlfn.XLOOKUP($A230,tblEquipos[Codigo],tblEquipos[Ubicacion],""),"")</f>
        <v>Emergencias Curico</v>
      </c>
      <c r="H230" s="16" t="s">
        <v>627</v>
      </c>
      <c r="I230" s="16" t="str">
        <f>IFERROR(VLOOKUP(A230, Equipos!A:J, 9, FALSE), "")</f>
        <v>KM</v>
      </c>
      <c r="J230" s="16">
        <f>IFERROR(VLOOKUP(A230, Equipos!A:J, 10, FALSE), "")</f>
        <v>15000</v>
      </c>
      <c r="K230" s="16">
        <f>IFERROR(IF($I230="KM",ROUND((_xlfn.MAXIFS(tblLecturas[Kilometraje],tblLecturas[Codigo],$A230)-_xlfn.MINIFS(tblLecturas[Kilometraje],tblLecturas[Codigo],$A230))/(MAX(1,_xlfn.MAXIFS(tblLecturas[Fecha],tblLecturas[Codigo],$A230)-_xlfn.MINIFS(tblLecturas[Fecha],tblLecturas[Codigo],$A230))),1),ROUND((_xlfn.MAXIFS(tblLecturas[Horometro],tblLecturas[Codigo],$A230)-_xlfn.MINIFS(tblLecturas[Horometro],tblLecturas[Codigo],$A230))/(MAX(1,_xlfn.MAXIFS(tblLecturas[Fecha],tblLecturas[Codigo],$A230)-_xlfn.MINIFS(tblLecturas[Fecha],tblLecturas[Codigo],$A230))),1)),"")</f>
        <v>75.900000000000006</v>
      </c>
      <c r="L230" s="18">
        <f>IFERROR(_xlfn.MAXIFS(tblLecturas[Fecha],tblLecturas[Codigo],$A230),"")</f>
        <v>46133</v>
      </c>
      <c r="M230" s="24">
        <f>IFERROR(_xlfn.MAXIFS(Lecturas!$C:$C,Lecturas!$B:$B,$A230,Lecturas!$C:$C,"&gt;0"),"")</f>
        <v>0</v>
      </c>
      <c r="N230" s="24">
        <f>IFERROR(_xlfn.MAXIFS(tblLecturas[Kilometraje],tblLecturas[Codigo],$A230,tblLecturas[Kilometraje],"&gt;0"),"")</f>
        <v>114573</v>
      </c>
      <c r="O230" s="24" cm="1">
        <f t="array" ref="O230">IFERROR(IF($I230="KM",LOOKUP(2,1/(Lecturas!$B:$B=$A230)/(Lecturas!$D:$D&gt;0),Lecturas!$D:$D),LOOKUP(2,1/(Lecturas!$B:$B=$A230)/(Lecturas!$C:$C&gt;0),Lecturas!$C:$C)),"")</f>
        <v>112676</v>
      </c>
      <c r="P230" s="18">
        <f>IFERROR(_xlfn.MAXIFS(tblMantenciones[Fecha],tblMantenciones[Codigo],tblMaestroEquipos[[#This Row],[Codigo]],tblMantenciones[EsPM],"Sí"),"")</f>
        <v>46183</v>
      </c>
      <c r="Q230" s="70">
        <f>IF(_xlfn.MAXIFS(Mantenciones!$D:$D,Mantenciones!$B:$B,A230)=0,"Sin datos de mantención registrado",_xlfn.MAXIFS(Mantenciones!$D:$D,Mantenciones!$B:$B,A230))</f>
        <v>120039</v>
      </c>
      <c r="R230" s="16">
        <f>IFERROR(IF(_xlfn.MAXIFS(Mantenciones!$D:$D,Mantenciones!$B:$B,$A230,Mantenciones!$E:$E,"Sí",Mantenciones!$D:$D,"&gt;0")=0,"Sin datos de mantención registrado",_xlfn.MAXIFS(Mantenciones!$D:$D,Mantenciones!$B:$B,$A230,Mantenciones!$E:$E,"Sí",Mantenciones!$D:$D,"&gt;0")),"Sin datos de mantención registrado")</f>
        <v>120039</v>
      </c>
      <c r="S230" s="19">
        <f>IFERROR(SUMIFS(tblMantenciones[Costo Mantencion CLP],tblMantenciones[Codigo],tblMaestroEquipos[[#This Row],[Codigo]]),0)</f>
        <v>0</v>
      </c>
      <c r="T230" s="19">
        <f>IFERROR(SUMIFS(tblComprasPM[Costo PM CLP],tblComprasPM[Codigo],tblMaestroEquipos[[#This Row],[Codigo]]),0)</f>
        <v>45691.97</v>
      </c>
      <c r="U230" s="19">
        <f>IFERROR(tblMaestroEquipos[[#This Row],[Costo Mantenciones CLP]]+tblMaestroEquipos[[#This Row],[Costo Compras PM CLP]],0)</f>
        <v>45691.97</v>
      </c>
      <c r="V230" s="16" t="str">
        <f>IFERROR(_xlfn.XLOOKUP(tblMaestroEquipos[[#This Row],[Codigo]],tblEquipos[Codigo],tblEquipos[Estado Base]),"")</f>
        <v>Operativo</v>
      </c>
      <c r="W230" s="16" t="str">
        <f t="shared" si="24"/>
        <v>EN PROCESO</v>
      </c>
      <c r="X230" s="16">
        <f t="shared" si="25"/>
        <v>22363</v>
      </c>
      <c r="Y230" s="23">
        <f>IFERROR(IF(OR(tblMaestroEquipos[[#This Row],[Estado Operacional]]="FUERA DE SERVICIO",tblMaestroEquipos[[#This Row],[Ultima Fecha Lectura]]="",tblMaestroEquipos[[#This Row],[Dias a Proxima Mantencion]]=""),"",tblMaestroEquipos[[#This Row],[Ultima Fecha Lectura]]+tblMaestroEquipos[[#This Row],[Dias a Proxima Mantencion]]),"")</f>
        <v>68496</v>
      </c>
      <c r="Z230" s="23">
        <f>IFERROR(IF(_xlfn.MINIFS(tblComprasPM[Fecha],tblComprasPM[Codigo],tblMaestroEquipos[[#This Row],[Codigo]])=0,"",_xlfn.MINIFS(tblComprasPM[Fecha],tblComprasPM[Codigo],tblMaestroEquipos[[#This Row],[Codigo]])),"")</f>
        <v>46114</v>
      </c>
      <c r="AA230" s="23" t="str">
        <f>IFERROR(IF(_xlfn.MAXIFS(tblBodega[Fecha],tblBodega[Codigo],tblMaestroEquipos[[#This Row],[Codigo]])=0,"",_xlfn.MAXIFS(tblBodega[Fecha],tblBodega[Codigo],tblMaestroEquipos[[#This Row],[Codigo]])),"")</f>
        <v/>
      </c>
      <c r="AB230"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69</v>
      </c>
      <c r="AC230"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30" s="16" t="str">
        <f>IF(tblMaestroEquipos[[#This Row],[Fecha Salida Bodega]]="","SIN SALIDA BODEGA",IF(OR(tblMaestroEquipos[[#This Row],[Ultima Fecha PM]]="",tblMaestroEquipos[[#This Row],[Ultima Fecha PM]]&lt;tblMaestroEquipos[[#This Row],[Fecha Salida Bodega]]),"PENDIENTE","CERRADO"))</f>
        <v>SIN SALIDA BODEGA</v>
      </c>
      <c r="AE230" s="48" t="str">
        <f t="shared" si="26"/>
        <v>EN PROCESO</v>
      </c>
      <c r="AF230" s="16" t="str">
        <f t="shared" si="27"/>
        <v>SEGUIMIENTO</v>
      </c>
      <c r="AG230" s="16" t="str">
        <f t="shared" si="28"/>
        <v>Hacer seguimiento al taller y cerrar report</v>
      </c>
      <c r="AH230">
        <f t="shared" si="29"/>
        <v>0</v>
      </c>
      <c r="AI230" t="str">
        <f t="shared" si="30"/>
        <v/>
      </c>
      <c r="AJ230" s="22">
        <f t="shared" si="31"/>
        <v>2</v>
      </c>
    </row>
    <row r="231" spans="1:36" s="25" customFormat="1">
      <c r="A231" s="16" t="s">
        <v>636</v>
      </c>
      <c r="B231" s="16" t="s">
        <v>461</v>
      </c>
      <c r="C231" s="16" t="s">
        <v>1414</v>
      </c>
      <c r="D231" s="16" t="s">
        <v>98</v>
      </c>
      <c r="E231" s="17" t="s">
        <v>574</v>
      </c>
      <c r="F231" s="16">
        <v>2023</v>
      </c>
      <c r="G231" s="17" t="str">
        <f>IFERROR(_xlfn.XLOOKUP($A231,tblEquipos[Codigo],tblEquipos[Ubicacion],""),"")</f>
        <v>Cobquecura</v>
      </c>
      <c r="H231" s="16" t="s">
        <v>1431</v>
      </c>
      <c r="I231" s="16" t="str">
        <f>IFERROR(VLOOKUP(A231, Equipos!A:J, 9, FALSE), "")</f>
        <v>KM</v>
      </c>
      <c r="J231" s="16">
        <f>IFERROR(VLOOKUP(A231, Equipos!A:J, 10, FALSE), "")</f>
        <v>15000</v>
      </c>
      <c r="K231" s="16">
        <f>IFERROR(IF($I231="KM",ROUND((_xlfn.MAXIFS(tblLecturas[Kilometraje],tblLecturas[Codigo],$A231)-_xlfn.MINIFS(tblLecturas[Kilometraje],tblLecturas[Codigo],$A231))/(MAX(1,_xlfn.MAXIFS(tblLecturas[Fecha],tblLecturas[Codigo],$A231)-_xlfn.MINIFS(tblLecturas[Fecha],tblLecturas[Codigo],$A231))),1),ROUND((_xlfn.MAXIFS(tblLecturas[Horometro],tblLecturas[Codigo],$A231)-_xlfn.MINIFS(tblLecturas[Horometro],tblLecturas[Codigo],$A231))/(MAX(1,_xlfn.MAXIFS(tblLecturas[Fecha],tblLecturas[Codigo],$A231)-_xlfn.MINIFS(tblLecturas[Fecha],tblLecturas[Codigo],$A231))),1)),"")</f>
        <v>158.6</v>
      </c>
      <c r="L231" s="18">
        <f>IFERROR(_xlfn.MAXIFS(tblLecturas[Fecha],tblLecturas[Codigo],$A231),"")</f>
        <v>46111</v>
      </c>
      <c r="M231" s="24">
        <f>IFERROR(_xlfn.MAXIFS(Lecturas!$C:$C,Lecturas!$B:$B,$A231,Lecturas!$C:$C,"&gt;0"),"")</f>
        <v>0</v>
      </c>
      <c r="N231" s="24">
        <f>IFERROR(_xlfn.MAXIFS(tblLecturas[Kilometraje],tblLecturas[Codigo],$A231,tblLecturas[Kilometraje],"&gt;0"),"")</f>
        <v>95862</v>
      </c>
      <c r="O231" s="24" cm="1">
        <f t="array" ref="O231">IFERROR(IF($I231="KM",LOOKUP(2,1/(Lecturas!$B:$B=$A231)/(Lecturas!$D:$D&gt;0),Lecturas!$D:$D),LOOKUP(2,1/(Lecturas!$B:$B=$A231)/(Lecturas!$C:$C&gt;0),Lecturas!$C:$C)),"")</f>
        <v>90312</v>
      </c>
      <c r="P231" s="18">
        <f>IFERROR(_xlfn.MAXIFS(tblMantenciones[Fecha],tblMantenciones[Codigo],tblMaestroEquipos[[#This Row],[Codigo]],tblMantenciones[EsPM],"Sí"),"")</f>
        <v>46126</v>
      </c>
      <c r="Q231" s="70">
        <f>IF(_xlfn.MAXIFS(Mantenciones!$D:$D,Mantenciones!$B:$B,A231)=0,"Sin datos de mantención registrado",_xlfn.MAXIFS(Mantenciones!$D:$D,Mantenciones!$B:$B,A231))</f>
        <v>98151</v>
      </c>
      <c r="R231" s="16">
        <f>IFERROR(IF(_xlfn.MAXIFS(Mantenciones!$D:$D,Mantenciones!$B:$B,$A231,Mantenciones!$E:$E,"Sí",Mantenciones!$D:$D,"&gt;0")=0,"Sin datos de mantención registrado",_xlfn.MAXIFS(Mantenciones!$D:$D,Mantenciones!$B:$B,$A231,Mantenciones!$E:$E,"Sí",Mantenciones!$D:$D,"&gt;0")),"Sin datos de mantención registrado")</f>
        <v>98151</v>
      </c>
      <c r="S231" s="19">
        <f>IFERROR(SUMIFS(tblMantenciones[Costo Mantencion CLP],tblMantenciones[Codigo],tblMaestroEquipos[[#This Row],[Codigo]]),0)</f>
        <v>0</v>
      </c>
      <c r="T231" s="19">
        <f>IFERROR(SUMIFS(tblComprasPM[Costo PM CLP],tblComprasPM[Codigo],tblMaestroEquipos[[#This Row],[Codigo]]),0)</f>
        <v>45691.97</v>
      </c>
      <c r="U231" s="19">
        <f>IFERROR(tblMaestroEquipos[[#This Row],[Costo Mantenciones CLP]]+tblMaestroEquipos[[#This Row],[Costo Compras PM CLP]],0)</f>
        <v>45691.97</v>
      </c>
      <c r="V231" s="16" t="str">
        <f>IFERROR(_xlfn.XLOOKUP(tblMaestroEquipos[[#This Row],[Codigo]],tblEquipos[Codigo],tblEquipos[Estado Base]),"")</f>
        <v>Operativo</v>
      </c>
      <c r="W231" s="16" t="str">
        <f t="shared" si="24"/>
        <v>AL DÍA</v>
      </c>
      <c r="X231" s="16">
        <f t="shared" si="25"/>
        <v>22839</v>
      </c>
      <c r="Y231" s="23">
        <f>IFERROR(IF(OR(tblMaestroEquipos[[#This Row],[Estado Operacional]]="FUERA DE SERVICIO",tblMaestroEquipos[[#This Row],[Ultima Fecha Lectura]]="",tblMaestroEquipos[[#This Row],[Dias a Proxima Mantencion]]=""),"",tblMaestroEquipos[[#This Row],[Ultima Fecha Lectura]]+tblMaestroEquipos[[#This Row],[Dias a Proxima Mantencion]]),"")</f>
        <v>68950</v>
      </c>
      <c r="Z231" s="23">
        <f>IFERROR(IF(_xlfn.MINIFS(tblComprasPM[Fecha],tblComprasPM[Codigo],tblMaestroEquipos[[#This Row],[Codigo]])=0,"",_xlfn.MINIFS(tblComprasPM[Fecha],tblComprasPM[Codigo],tblMaestroEquipos[[#This Row],[Codigo]])),"")</f>
        <v>46114</v>
      </c>
      <c r="AA231" s="23">
        <f>IFERROR(IF(_xlfn.MAXIFS(tblBodega[Fecha],tblBodega[Codigo],tblMaestroEquipos[[#This Row],[Codigo]])=0,"",_xlfn.MAXIFS(tblBodega[Fecha],tblBodega[Codigo],tblMaestroEquipos[[#This Row],[Codigo]])),"")</f>
        <v>46126</v>
      </c>
      <c r="AB231"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12</v>
      </c>
      <c r="AC231"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231" s="16" t="str">
        <f>IF(tblMaestroEquipos[[#This Row],[Fecha Salida Bodega]]="","SIN SALIDA BODEGA",IF(OR(tblMaestroEquipos[[#This Row],[Ultima Fecha PM]]="",tblMaestroEquipos[[#This Row],[Ultima Fecha PM]]&lt;tblMaestroEquipos[[#This Row],[Fecha Salida Bodega]]),"PENDIENTE","CERRADO"))</f>
        <v>CERRADO</v>
      </c>
      <c r="AE231" s="48" t="str">
        <f t="shared" si="26"/>
        <v>OPERATIVO</v>
      </c>
      <c r="AF231" s="16" t="str">
        <f t="shared" si="27"/>
        <v>BAJA</v>
      </c>
      <c r="AG231" s="16" t="str">
        <f t="shared" si="28"/>
        <v>Monitorear próximo vencimiento</v>
      </c>
      <c r="AH231">
        <f t="shared" si="29"/>
        <v>0</v>
      </c>
      <c r="AI231" t="str">
        <f t="shared" si="30"/>
        <v/>
      </c>
      <c r="AJ231" s="22">
        <f t="shared" si="31"/>
        <v>99</v>
      </c>
    </row>
    <row r="232" spans="1:36" s="25" customFormat="1">
      <c r="A232" s="16" t="s">
        <v>638</v>
      </c>
      <c r="B232" s="16" t="s">
        <v>461</v>
      </c>
      <c r="C232" s="16" t="s">
        <v>1414</v>
      </c>
      <c r="D232" s="16" t="s">
        <v>98</v>
      </c>
      <c r="E232" s="17" t="s">
        <v>574</v>
      </c>
      <c r="F232" s="16">
        <v>2023</v>
      </c>
      <c r="G232" s="17" t="str">
        <f>IFERROR(_xlfn.XLOOKUP($A232,tblEquipos[Codigo],tblEquipos[Ubicacion],""),"")</f>
        <v>Palmucho</v>
      </c>
      <c r="H232" s="16" t="s">
        <v>1432</v>
      </c>
      <c r="I232" s="16" t="str">
        <f>IFERROR(VLOOKUP(A232, Equipos!A:J, 9, FALSE), "")</f>
        <v>KM</v>
      </c>
      <c r="J232" s="16">
        <f>IFERROR(VLOOKUP(A232, Equipos!A:J, 10, FALSE), "")</f>
        <v>15000</v>
      </c>
      <c r="K232" s="16">
        <f>IFERROR(IF($I232="KM",ROUND((_xlfn.MAXIFS(tblLecturas[Kilometraje],tblLecturas[Codigo],$A232)-_xlfn.MINIFS(tblLecturas[Kilometraje],tblLecturas[Codigo],$A232))/(MAX(1,_xlfn.MAXIFS(tblLecturas[Fecha],tblLecturas[Codigo],$A232)-_xlfn.MINIFS(tblLecturas[Fecha],tblLecturas[Codigo],$A232))),1),ROUND((_xlfn.MAXIFS(tblLecturas[Horometro],tblLecturas[Codigo],$A232)-_xlfn.MINIFS(tblLecturas[Horometro],tblLecturas[Codigo],$A232))/(MAX(1,_xlfn.MAXIFS(tblLecturas[Fecha],tblLecturas[Codigo],$A232)-_xlfn.MINIFS(tblLecturas[Fecha],tblLecturas[Codigo],$A232))),1)),"")</f>
        <v>113.6</v>
      </c>
      <c r="L232" s="18">
        <f>IFERROR(_xlfn.MAXIFS(tblLecturas[Fecha],tblLecturas[Codigo],$A232),"")</f>
        <v>46191</v>
      </c>
      <c r="M232" s="24">
        <f>IFERROR(_xlfn.MAXIFS(Lecturas!$C:$C,Lecturas!$B:$B,$A232,Lecturas!$C:$C,"&gt;0"),"")</f>
        <v>0</v>
      </c>
      <c r="N232" s="24">
        <f>IFERROR(_xlfn.MAXIFS(tblLecturas[Kilometraje],tblLecturas[Codigo],$A232,tblLecturas[Kilometraje],"&gt;0"),"")</f>
        <v>119726</v>
      </c>
      <c r="O232" s="24" cm="1">
        <f t="array" ref="O232">IFERROR(IF($I232="KM",LOOKUP(2,1/(Lecturas!$B:$B=$A232)/(Lecturas!$D:$D&gt;0),Lecturas!$D:$D),LOOKUP(2,1/(Lecturas!$B:$B=$A232)/(Lecturas!$C:$C&gt;0),Lecturas!$C:$C)),"")</f>
        <v>119726</v>
      </c>
      <c r="P232" s="18">
        <f>IFERROR(_xlfn.MAXIFS(tblMantenciones[Fecha],tblMantenciones[Codigo],tblMaestroEquipos[[#This Row],[Codigo]],tblMantenciones[EsPM],"Sí"),"")</f>
        <v>0</v>
      </c>
      <c r="Q232" s="70" t="str">
        <f>IF(_xlfn.MAXIFS(Mantenciones!$D:$D,Mantenciones!$B:$B,A232)=0,"Sin datos de mantención registrado",_xlfn.MAXIFS(Mantenciones!$D:$D,Mantenciones!$B:$B,A232))</f>
        <v>Sin datos de mantención registrado</v>
      </c>
      <c r="R232" s="16" t="str">
        <f>IFERROR(IF(_xlfn.MAXIFS(Mantenciones!$D:$D,Mantenciones!$B:$B,$A232,Mantenciones!$E:$E,"Sí",Mantenciones!$D:$D,"&gt;0")=0,"Sin datos de mantención registrado",_xlfn.MAXIFS(Mantenciones!$D:$D,Mantenciones!$B:$B,$A232,Mantenciones!$E:$E,"Sí",Mantenciones!$D:$D,"&gt;0")),"Sin datos de mantención registrado")</f>
        <v>Sin datos de mantención registrado</v>
      </c>
      <c r="S232" s="19">
        <f>IFERROR(SUMIFS(tblMantenciones[Costo Mantencion CLP],tblMantenciones[Codigo],tblMaestroEquipos[[#This Row],[Codigo]]),0)</f>
        <v>0</v>
      </c>
      <c r="T232" s="19">
        <f>IFERROR(SUMIFS(tblComprasPM[Costo PM CLP],tblComprasPM[Codigo],tblMaestroEquipos[[#This Row],[Codigo]]),0)</f>
        <v>45691.97</v>
      </c>
      <c r="U232" s="19">
        <f>IFERROR(tblMaestroEquipos[[#This Row],[Costo Mantenciones CLP]]+tblMaestroEquipos[[#This Row],[Costo Compras PM CLP]],0)</f>
        <v>45691.97</v>
      </c>
      <c r="V232" s="16" t="str">
        <f>IFERROR(_xlfn.XLOOKUP(tblMaestroEquipos[[#This Row],[Codigo]],tblEquipos[Codigo],tblEquipos[Estado Base]),"")</f>
        <v>Operativo</v>
      </c>
      <c r="W232" s="16" t="str">
        <f t="shared" si="24"/>
        <v>EN PROCESO</v>
      </c>
      <c r="X232" s="16" t="str">
        <f t="shared" si="25"/>
        <v/>
      </c>
      <c r="Y232"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32" s="23">
        <f>IFERROR(IF(_xlfn.MINIFS(tblComprasPM[Fecha],tblComprasPM[Codigo],tblMaestroEquipos[[#This Row],[Codigo]])=0,"",_xlfn.MINIFS(tblComprasPM[Fecha],tblComprasPM[Codigo],tblMaestroEquipos[[#This Row],[Codigo]])),"")</f>
        <v>46114</v>
      </c>
      <c r="AA232" s="23" t="str">
        <f>IFERROR(IF(_xlfn.MAXIFS(tblBodega[Fecha],tblBodega[Codigo],tblMaestroEquipos[[#This Row],[Codigo]])=0,"",_xlfn.MAXIFS(tblBodega[Fecha],tblBodega[Codigo],tblMaestroEquipos[[#This Row],[Codigo]])),"")</f>
        <v/>
      </c>
      <c r="AB232"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126</v>
      </c>
      <c r="AC23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32" s="16" t="str">
        <f>IF(tblMaestroEquipos[[#This Row],[Fecha Salida Bodega]]="","SIN SALIDA BODEGA",IF(OR(tblMaestroEquipos[[#This Row],[Ultima Fecha PM]]="",tblMaestroEquipos[[#This Row],[Ultima Fecha PM]]&lt;tblMaestroEquipos[[#This Row],[Fecha Salida Bodega]]),"PENDIENTE","CERRADO"))</f>
        <v>SIN SALIDA BODEGA</v>
      </c>
      <c r="AE232" s="48" t="str">
        <f t="shared" si="26"/>
        <v>EN PROCESO</v>
      </c>
      <c r="AF232" s="16" t="str">
        <f t="shared" si="27"/>
        <v>SEGUIMIENTO</v>
      </c>
      <c r="AG232" s="16" t="str">
        <f t="shared" si="28"/>
        <v>Hacer seguimiento al taller y cerrar report</v>
      </c>
      <c r="AH232">
        <f t="shared" si="29"/>
        <v>0</v>
      </c>
      <c r="AI232" t="str">
        <f t="shared" si="30"/>
        <v/>
      </c>
      <c r="AJ232" s="22">
        <f t="shared" si="31"/>
        <v>2</v>
      </c>
    </row>
    <row r="233" spans="1:36" s="25" customFormat="1">
      <c r="A233" s="16" t="s">
        <v>639</v>
      </c>
      <c r="B233" s="16" t="s">
        <v>461</v>
      </c>
      <c r="C233" s="16" t="s">
        <v>1414</v>
      </c>
      <c r="D233" s="16" t="s">
        <v>98</v>
      </c>
      <c r="E233" s="17" t="s">
        <v>574</v>
      </c>
      <c r="F233" s="16">
        <v>2023</v>
      </c>
      <c r="G233" s="17" t="str">
        <f>IFERROR(_xlfn.XLOOKUP($A233,tblEquipos[Codigo],tblEquipos[Ubicacion],""),"")</f>
        <v>Palmucho</v>
      </c>
      <c r="H233" s="16" t="s">
        <v>640</v>
      </c>
      <c r="I233" s="16" t="str">
        <f>IFERROR(VLOOKUP(A233, Equipos!A:J, 9, FALSE), "")</f>
        <v>KM</v>
      </c>
      <c r="J233" s="16">
        <f>IFERROR(VLOOKUP(A233, Equipos!A:J, 10, FALSE), "")</f>
        <v>15000</v>
      </c>
      <c r="K233" s="16">
        <f>IFERROR(IF($I233="KM",ROUND((_xlfn.MAXIFS(tblLecturas[Kilometraje],tblLecturas[Codigo],$A233)-_xlfn.MINIFS(tblLecturas[Kilometraje],tblLecturas[Codigo],$A233))/(MAX(1,_xlfn.MAXIFS(tblLecturas[Fecha],tblLecturas[Codigo],$A233)-_xlfn.MINIFS(tblLecturas[Fecha],tblLecturas[Codigo],$A233))),1),ROUND((_xlfn.MAXIFS(tblLecturas[Horometro],tblLecturas[Codigo],$A233)-_xlfn.MINIFS(tblLecturas[Horometro],tblLecturas[Codigo],$A233))/(MAX(1,_xlfn.MAXIFS(tblLecturas[Fecha],tblLecturas[Codigo],$A233)-_xlfn.MINIFS(tblLecturas[Fecha],tblLecturas[Codigo],$A233))),1)),"")</f>
        <v>102.3</v>
      </c>
      <c r="L233" s="18">
        <f>IFERROR(_xlfn.MAXIFS(tblLecturas[Fecha],tblLecturas[Codigo],$A233),"")</f>
        <v>46192</v>
      </c>
      <c r="M233" s="24">
        <f>IFERROR(_xlfn.MAXIFS(Lecturas!$C:$C,Lecturas!$B:$B,$A233,Lecturas!$C:$C,"&gt;0"),"")</f>
        <v>0</v>
      </c>
      <c r="N233" s="24">
        <f>IFERROR(_xlfn.MAXIFS(tblLecturas[Kilometraje],tblLecturas[Codigo],$A233,tblLecturas[Kilometraje],"&gt;0"),"")</f>
        <v>102342</v>
      </c>
      <c r="O233" s="24" cm="1">
        <f t="array" ref="O233">IFERROR(IF($I233="KM",LOOKUP(2,1/(Lecturas!$B:$B=$A233)/(Lecturas!$D:$D&gt;0),Lecturas!$D:$D),LOOKUP(2,1/(Lecturas!$B:$B=$A233)/(Lecturas!$C:$C&gt;0),Lecturas!$C:$C)),"")</f>
        <v>102342</v>
      </c>
      <c r="P233" s="18">
        <f>IFERROR(_xlfn.MAXIFS(tblMantenciones[Fecha],tblMantenciones[Codigo],tblMaestroEquipos[[#This Row],[Codigo]],tblMantenciones[EsPM],"Sí"),"")</f>
        <v>46188</v>
      </c>
      <c r="Q233" s="70">
        <f>IF(_xlfn.MAXIFS(Mantenciones!$D:$D,Mantenciones!$B:$B,A233)=0,"Sin datos de mantención registrado",_xlfn.MAXIFS(Mantenciones!$D:$D,Mantenciones!$B:$B,A233))</f>
        <v>103809</v>
      </c>
      <c r="R233" s="16">
        <f>IFERROR(IF(_xlfn.MAXIFS(Mantenciones!$D:$D,Mantenciones!$B:$B,$A233,Mantenciones!$E:$E,"Sí",Mantenciones!$D:$D,"&gt;0")=0,"Sin datos de mantención registrado",_xlfn.MAXIFS(Mantenciones!$D:$D,Mantenciones!$B:$B,$A233,Mantenciones!$E:$E,"Sí",Mantenciones!$D:$D,"&gt;0")),"Sin datos de mantención registrado")</f>
        <v>103809</v>
      </c>
      <c r="S233" s="19">
        <f>IFERROR(SUMIFS(tblMantenciones[Costo Mantencion CLP],tblMantenciones[Codigo],tblMaestroEquipos[[#This Row],[Codigo]]),0)</f>
        <v>0</v>
      </c>
      <c r="T233" s="19">
        <f>IFERROR(SUMIFS(tblComprasPM[Costo PM CLP],tblComprasPM[Codigo],tblMaestroEquipos[[#This Row],[Codigo]]),0)</f>
        <v>45691.97</v>
      </c>
      <c r="U233" s="19">
        <f>IFERROR(tblMaestroEquipos[[#This Row],[Costo Mantenciones CLP]]+tblMaestroEquipos[[#This Row],[Costo Compras PM CLP]],0)</f>
        <v>45691.97</v>
      </c>
      <c r="V233" s="16" t="str">
        <f>IFERROR(_xlfn.XLOOKUP(tblMaestroEquipos[[#This Row],[Codigo]],tblEquipos[Codigo],tblEquipos[Estado Base]),"")</f>
        <v>Operativo</v>
      </c>
      <c r="W233" s="16" t="str">
        <f t="shared" si="24"/>
        <v>AL DÍA</v>
      </c>
      <c r="X233" s="16">
        <f t="shared" si="25"/>
        <v>16467</v>
      </c>
      <c r="Y233" s="23">
        <f>IFERROR(IF(OR(tblMaestroEquipos[[#This Row],[Estado Operacional]]="FUERA DE SERVICIO",tblMaestroEquipos[[#This Row],[Ultima Fecha Lectura]]="",tblMaestroEquipos[[#This Row],[Dias a Proxima Mantencion]]=""),"",tblMaestroEquipos[[#This Row],[Ultima Fecha Lectura]]+tblMaestroEquipos[[#This Row],[Dias a Proxima Mantencion]]),"")</f>
        <v>62659</v>
      </c>
      <c r="Z233" s="23">
        <f>IFERROR(IF(_xlfn.MINIFS(tblComprasPM[Fecha],tblComprasPM[Codigo],tblMaestroEquipos[[#This Row],[Codigo]])=0,"",_xlfn.MINIFS(tblComprasPM[Fecha],tblComprasPM[Codigo],tblMaestroEquipos[[#This Row],[Codigo]])),"")</f>
        <v>46114</v>
      </c>
      <c r="AA233" s="23">
        <f>IFERROR(IF(_xlfn.MAXIFS(tblBodega[Fecha],tblBodega[Codigo],tblMaestroEquipos[[#This Row],[Codigo]])=0,"",_xlfn.MAXIFS(tblBodega[Fecha],tblBodega[Codigo],tblMaestroEquipos[[#This Row],[Codigo]])),"")</f>
        <v>46101</v>
      </c>
      <c r="AB233"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74</v>
      </c>
      <c r="AC233"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87</v>
      </c>
      <c r="AD233" s="16" t="str">
        <f>IF(tblMaestroEquipos[[#This Row],[Fecha Salida Bodega]]="","SIN SALIDA BODEGA",IF(OR(tblMaestroEquipos[[#This Row],[Ultima Fecha PM]]="",tblMaestroEquipos[[#This Row],[Ultima Fecha PM]]&lt;tblMaestroEquipos[[#This Row],[Fecha Salida Bodega]]),"PENDIENTE","CERRADO"))</f>
        <v>CERRADO</v>
      </c>
      <c r="AE233" s="48" t="str">
        <f t="shared" si="26"/>
        <v>OPERATIVO</v>
      </c>
      <c r="AF233" s="16" t="str">
        <f t="shared" si="27"/>
        <v>BAJA</v>
      </c>
      <c r="AG233" s="16" t="str">
        <f t="shared" si="28"/>
        <v>Monitorear próximo vencimiento</v>
      </c>
      <c r="AH233">
        <f t="shared" si="29"/>
        <v>0</v>
      </c>
      <c r="AI233" t="str">
        <f t="shared" si="30"/>
        <v/>
      </c>
      <c r="AJ233" s="22">
        <f t="shared" si="31"/>
        <v>99</v>
      </c>
    </row>
    <row r="234" spans="1:36" s="25" customFormat="1">
      <c r="A234" s="16" t="s">
        <v>641</v>
      </c>
      <c r="B234" s="16" t="s">
        <v>461</v>
      </c>
      <c r="C234" s="16" t="s">
        <v>1414</v>
      </c>
      <c r="D234" s="16" t="s">
        <v>98</v>
      </c>
      <c r="E234" s="17" t="s">
        <v>574</v>
      </c>
      <c r="F234" s="16">
        <v>2023</v>
      </c>
      <c r="G234" s="17" t="str">
        <f>IFERROR(_xlfn.XLOOKUP($A234,tblEquipos[Codigo],tblEquipos[Ubicacion],""),"")</f>
        <v>Quirihue</v>
      </c>
      <c r="H234" s="16" t="s">
        <v>1433</v>
      </c>
      <c r="I234" s="16" t="str">
        <f>IFERROR(VLOOKUP(A234, Equipos!A:J, 9, FALSE), "")</f>
        <v>KM</v>
      </c>
      <c r="J234" s="16">
        <f>IFERROR(VLOOKUP(A234, Equipos!A:J, 10, FALSE), "")</f>
        <v>15000</v>
      </c>
      <c r="K234" s="16">
        <f>IFERROR(IF($I234="KM",ROUND((_xlfn.MAXIFS(tblLecturas[Kilometraje],tblLecturas[Codigo],$A234)-_xlfn.MINIFS(tblLecturas[Kilometraje],tblLecturas[Codigo],$A234))/(MAX(1,_xlfn.MAXIFS(tblLecturas[Fecha],tblLecturas[Codigo],$A234)-_xlfn.MINIFS(tblLecturas[Fecha],tblLecturas[Codigo],$A234))),1),ROUND((_xlfn.MAXIFS(tblLecturas[Horometro],tblLecturas[Codigo],$A234)-_xlfn.MINIFS(tblLecturas[Horometro],tblLecturas[Codigo],$A234))/(MAX(1,_xlfn.MAXIFS(tblLecturas[Fecha],tblLecturas[Codigo],$A234)-_xlfn.MINIFS(tblLecturas[Fecha],tblLecturas[Codigo],$A234))),1)),"")</f>
        <v>151.9</v>
      </c>
      <c r="L234" s="18">
        <f>IFERROR(_xlfn.MAXIFS(tblLecturas[Fecha],tblLecturas[Codigo],$A234),"")</f>
        <v>46185</v>
      </c>
      <c r="M234" s="24">
        <f>IFERROR(_xlfn.MAXIFS(Lecturas!$C:$C,Lecturas!$B:$B,$A234,Lecturas!$C:$C,"&gt;0"),"")</f>
        <v>159652</v>
      </c>
      <c r="N234" s="24">
        <f>IFERROR(_xlfn.MAXIFS(tblLecturas[Kilometraje],tblLecturas[Codigo],$A234,tblLecturas[Kilometraje],"&gt;0"),"")</f>
        <v>158673</v>
      </c>
      <c r="O234" s="24" cm="1">
        <f t="array" ref="O234">IFERROR(IF($I234="KM",LOOKUP(2,1/(Lecturas!$B:$B=$A234)/(Lecturas!$D:$D&gt;0),Lecturas!$D:$D),LOOKUP(2,1/(Lecturas!$B:$B=$A234)/(Lecturas!$C:$C&gt;0),Lecturas!$C:$C)),"")</f>
        <v>156455</v>
      </c>
      <c r="P234" s="18">
        <f>IFERROR(_xlfn.MAXIFS(tblMantenciones[Fecha],tblMantenciones[Codigo],tblMaestroEquipos[[#This Row],[Codigo]],tblMantenciones[EsPM],"Sí"),"")</f>
        <v>46181</v>
      </c>
      <c r="Q234" s="70">
        <f>IF(_xlfn.MAXIFS(Mantenciones!$D:$D,Mantenciones!$B:$B,A234)=0,"Sin datos de mantención registrado",_xlfn.MAXIFS(Mantenciones!$D:$D,Mantenciones!$B:$B,A234))</f>
        <v>159017</v>
      </c>
      <c r="R234" s="16">
        <f>IFERROR(IF(_xlfn.MAXIFS(Mantenciones!$D:$D,Mantenciones!$B:$B,$A234,Mantenciones!$E:$E,"Sí",Mantenciones!$D:$D,"&gt;0")=0,"Sin datos de mantención registrado",_xlfn.MAXIFS(Mantenciones!$D:$D,Mantenciones!$B:$B,$A234,Mantenciones!$E:$E,"Sí",Mantenciones!$D:$D,"&gt;0")),"Sin datos de mantención registrado")</f>
        <v>159017</v>
      </c>
      <c r="S234" s="19">
        <f>IFERROR(SUMIFS(tblMantenciones[Costo Mantencion CLP],tblMantenciones[Codigo],tblMaestroEquipos[[#This Row],[Codigo]]),0)</f>
        <v>0</v>
      </c>
      <c r="T234" s="19">
        <f>IFERROR(SUMIFS(tblComprasPM[Costo PM CLP],tblComprasPM[Codigo],tblMaestroEquipos[[#This Row],[Codigo]]),0)</f>
        <v>45691.97</v>
      </c>
      <c r="U234" s="19">
        <f>IFERROR(tblMaestroEquipos[[#This Row],[Costo Mantenciones CLP]]+tblMaestroEquipos[[#This Row],[Costo Compras PM CLP]],0)</f>
        <v>45691.97</v>
      </c>
      <c r="V234" s="16" t="str">
        <f>IFERROR(_xlfn.XLOOKUP(tblMaestroEquipos[[#This Row],[Codigo]],tblEquipos[Codigo],tblEquipos[Estado Base]),"")</f>
        <v>Operativo</v>
      </c>
      <c r="W234" s="16" t="str">
        <f t="shared" si="24"/>
        <v>AL DÍA</v>
      </c>
      <c r="X234" s="16">
        <f t="shared" si="25"/>
        <v>17562</v>
      </c>
      <c r="Y234" s="23">
        <f>IFERROR(IF(OR(tblMaestroEquipos[[#This Row],[Estado Operacional]]="FUERA DE SERVICIO",tblMaestroEquipos[[#This Row],[Ultima Fecha Lectura]]="",tblMaestroEquipos[[#This Row],[Dias a Proxima Mantencion]]=""),"",tblMaestroEquipos[[#This Row],[Ultima Fecha Lectura]]+tblMaestroEquipos[[#This Row],[Dias a Proxima Mantencion]]),"")</f>
        <v>63747</v>
      </c>
      <c r="Z234" s="23">
        <f>IFERROR(IF(_xlfn.MINIFS(tblComprasPM[Fecha],tblComprasPM[Codigo],tblMaestroEquipos[[#This Row],[Codigo]])=0,"",_xlfn.MINIFS(tblComprasPM[Fecha],tblComprasPM[Codigo],tblMaestroEquipos[[#This Row],[Codigo]])),"")</f>
        <v>46114</v>
      </c>
      <c r="AA234" s="23">
        <f>IFERROR(IF(_xlfn.MAXIFS(tblBodega[Fecha],tblBodega[Codigo],tblMaestroEquipos[[#This Row],[Codigo]])=0,"",_xlfn.MAXIFS(tblBodega[Fecha],tblBodega[Codigo],tblMaestroEquipos[[#This Row],[Codigo]])),"")</f>
        <v>46181</v>
      </c>
      <c r="AB234"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67</v>
      </c>
      <c r="AC234"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234" s="16" t="str">
        <f>IF(tblMaestroEquipos[[#This Row],[Fecha Salida Bodega]]="","SIN SALIDA BODEGA",IF(OR(tblMaestroEquipos[[#This Row],[Ultima Fecha PM]]="",tblMaestroEquipos[[#This Row],[Ultima Fecha PM]]&lt;tblMaestroEquipos[[#This Row],[Fecha Salida Bodega]]),"PENDIENTE","CERRADO"))</f>
        <v>CERRADO</v>
      </c>
      <c r="AE234" s="48" t="str">
        <f t="shared" si="26"/>
        <v>OPERATIVO</v>
      </c>
      <c r="AF234" s="16" t="str">
        <f t="shared" si="27"/>
        <v>BAJA</v>
      </c>
      <c r="AG234" s="16" t="str">
        <f t="shared" si="28"/>
        <v>Monitorear próximo vencimiento</v>
      </c>
      <c r="AH234">
        <f t="shared" si="29"/>
        <v>0</v>
      </c>
      <c r="AI234" t="str">
        <f t="shared" si="30"/>
        <v/>
      </c>
      <c r="AJ234" s="22">
        <f t="shared" si="31"/>
        <v>99</v>
      </c>
    </row>
    <row r="235" spans="1:36" s="25" customFormat="1">
      <c r="A235" s="16" t="s">
        <v>643</v>
      </c>
      <c r="B235" s="16" t="s">
        <v>461</v>
      </c>
      <c r="C235" s="16" t="s">
        <v>1414</v>
      </c>
      <c r="D235" s="16" t="s">
        <v>98</v>
      </c>
      <c r="E235" s="17" t="s">
        <v>583</v>
      </c>
      <c r="F235" s="16">
        <v>2023</v>
      </c>
      <c r="G235" s="17" t="str">
        <f>IFERROR(_xlfn.XLOOKUP($A235,tblEquipos[Codigo],tblEquipos[Ubicacion],""),"")</f>
        <v>Taller</v>
      </c>
      <c r="H235" s="16" t="s">
        <v>1434</v>
      </c>
      <c r="I235" s="16" t="str">
        <f>IFERROR(VLOOKUP(A235, Equipos!A:J, 9, FALSE), "")</f>
        <v>KM</v>
      </c>
      <c r="J235" s="16">
        <f>IFERROR(VLOOKUP(A235, Equipos!A:J, 10, FALSE), "")</f>
        <v>15000</v>
      </c>
      <c r="K235" s="16">
        <f>IFERROR(IF($I235="KM",ROUND((_xlfn.MAXIFS(tblLecturas[Kilometraje],tblLecturas[Codigo],$A235)-_xlfn.MINIFS(tblLecturas[Kilometraje],tblLecturas[Codigo],$A235))/(MAX(1,_xlfn.MAXIFS(tblLecturas[Fecha],tblLecturas[Codigo],$A235)-_xlfn.MINIFS(tblLecturas[Fecha],tblLecturas[Codigo],$A235))),1),ROUND((_xlfn.MAXIFS(tblLecturas[Horometro],tblLecturas[Codigo],$A235)-_xlfn.MINIFS(tblLecturas[Horometro],tblLecturas[Codigo],$A235))/(MAX(1,_xlfn.MAXIFS(tblLecturas[Fecha],tblLecturas[Codigo],$A235)-_xlfn.MINIFS(tblLecturas[Fecha],tblLecturas[Codigo],$A235))),1)),"")</f>
        <v>263.8</v>
      </c>
      <c r="L235" s="18">
        <f>IFERROR(_xlfn.MAXIFS(tblLecturas[Fecha],tblLecturas[Codigo],$A235),"")</f>
        <v>46174</v>
      </c>
      <c r="M235" s="24">
        <f>IFERROR(_xlfn.MAXIFS(Lecturas!$C:$C,Lecturas!$B:$B,$A235,Lecturas!$C:$C,"&gt;0"),"")</f>
        <v>0</v>
      </c>
      <c r="N235" s="24">
        <f>IFERROR(_xlfn.MAXIFS(tblLecturas[Kilometraje],tblLecturas[Codigo],$A235,tblLecturas[Kilometraje],"&gt;0"),"")</f>
        <v>139746</v>
      </c>
      <c r="O235" s="24" cm="1">
        <f t="array" ref="O235">IFERROR(IF($I235="KM",LOOKUP(2,1/(Lecturas!$B:$B=$A235)/(Lecturas!$D:$D&gt;0),Lecturas!$D:$D),LOOKUP(2,1/(Lecturas!$B:$B=$A235)/(Lecturas!$C:$C&gt;0),Lecturas!$C:$C)),"")</f>
        <v>139746</v>
      </c>
      <c r="P235" s="18">
        <f>IFERROR(_xlfn.MAXIFS(tblMantenciones[Fecha],tblMantenciones[Codigo],tblMaestroEquipos[[#This Row],[Codigo]],tblMantenciones[EsPM],"Sí"),"")</f>
        <v>46174</v>
      </c>
      <c r="Q235" s="70">
        <f>IF(_xlfn.MAXIFS(Mantenciones!$D:$D,Mantenciones!$B:$B,A235)=0,"Sin datos de mantención registrado",_xlfn.MAXIFS(Mantenciones!$D:$D,Mantenciones!$B:$B,A235))</f>
        <v>139746</v>
      </c>
      <c r="R235" s="16">
        <f>IFERROR(IF(_xlfn.MAXIFS(Mantenciones!$D:$D,Mantenciones!$B:$B,$A235,Mantenciones!$E:$E,"Sí",Mantenciones!$D:$D,"&gt;0")=0,"Sin datos de mantención registrado",_xlfn.MAXIFS(Mantenciones!$D:$D,Mantenciones!$B:$B,$A235,Mantenciones!$E:$E,"Sí",Mantenciones!$D:$D,"&gt;0")),"Sin datos de mantención registrado")</f>
        <v>139746</v>
      </c>
      <c r="S235" s="19">
        <f>IFERROR(SUMIFS(tblMantenciones[Costo Mantencion CLP],tblMantenciones[Codigo],tblMaestroEquipos[[#This Row],[Codigo]]),0)</f>
        <v>0</v>
      </c>
      <c r="T235" s="19">
        <f>IFERROR(SUMIFS(tblComprasPM[Costo PM CLP],tblComprasPM[Codigo],tblMaestroEquipos[[#This Row],[Codigo]]),0)</f>
        <v>45691.97</v>
      </c>
      <c r="U235" s="19">
        <f>IFERROR(tblMaestroEquipos[[#This Row],[Costo Mantenciones CLP]]+tblMaestroEquipos[[#This Row],[Costo Compras PM CLP]],0)</f>
        <v>45691.97</v>
      </c>
      <c r="V235" s="16" t="str">
        <f>IFERROR(_xlfn.XLOOKUP(tblMaestroEquipos[[#This Row],[Codigo]],tblEquipos[Codigo],tblEquipos[Estado Base]),"")</f>
        <v>Operativo</v>
      </c>
      <c r="W235" s="16" t="str">
        <f t="shared" si="24"/>
        <v>AL DÍA</v>
      </c>
      <c r="X235" s="16">
        <f t="shared" si="25"/>
        <v>15000</v>
      </c>
      <c r="Y235" s="23">
        <f>IFERROR(IF(OR(tblMaestroEquipos[[#This Row],[Estado Operacional]]="FUERA DE SERVICIO",tblMaestroEquipos[[#This Row],[Ultima Fecha Lectura]]="",tblMaestroEquipos[[#This Row],[Dias a Proxima Mantencion]]=""),"",tblMaestroEquipos[[#This Row],[Ultima Fecha Lectura]]+tblMaestroEquipos[[#This Row],[Dias a Proxima Mantencion]]),"")</f>
        <v>61174</v>
      </c>
      <c r="Z235" s="23">
        <f>IFERROR(IF(_xlfn.MINIFS(tblComprasPM[Fecha],tblComprasPM[Codigo],tblMaestroEquipos[[#This Row],[Codigo]])=0,"",_xlfn.MINIFS(tblComprasPM[Fecha],tblComprasPM[Codigo],tblMaestroEquipos[[#This Row],[Codigo]])),"")</f>
        <v>46114</v>
      </c>
      <c r="AA235" s="23">
        <f>IFERROR(IF(_xlfn.MAXIFS(tblBodega[Fecha],tblBodega[Codigo],tblMaestroEquipos[[#This Row],[Codigo]])=0,"",_xlfn.MAXIFS(tblBodega[Fecha],tblBodega[Codigo],tblMaestroEquipos[[#This Row],[Codigo]])),"")</f>
        <v>46174</v>
      </c>
      <c r="AB235"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60</v>
      </c>
      <c r="AC235"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235" s="16" t="str">
        <f>IF(tblMaestroEquipos[[#This Row],[Fecha Salida Bodega]]="","SIN SALIDA BODEGA",IF(OR(tblMaestroEquipos[[#This Row],[Ultima Fecha PM]]="",tblMaestroEquipos[[#This Row],[Ultima Fecha PM]]&lt;tblMaestroEquipos[[#This Row],[Fecha Salida Bodega]]),"PENDIENTE","CERRADO"))</f>
        <v>CERRADO</v>
      </c>
      <c r="AE235" s="48" t="str">
        <f t="shared" si="26"/>
        <v>OPERATIVO</v>
      </c>
      <c r="AF235" s="16" t="str">
        <f t="shared" si="27"/>
        <v>BAJA</v>
      </c>
      <c r="AG235" s="16" t="str">
        <f t="shared" si="28"/>
        <v>Monitorear próximo vencimiento</v>
      </c>
      <c r="AH235">
        <f t="shared" si="29"/>
        <v>0</v>
      </c>
      <c r="AI235" t="str">
        <f t="shared" si="30"/>
        <v/>
      </c>
      <c r="AJ235" s="22">
        <f t="shared" si="31"/>
        <v>99</v>
      </c>
    </row>
    <row r="236" spans="1:36" s="25" customFormat="1">
      <c r="A236" s="16" t="s">
        <v>644</v>
      </c>
      <c r="B236" s="16" t="s">
        <v>461</v>
      </c>
      <c r="C236" s="16" t="s">
        <v>1414</v>
      </c>
      <c r="D236" s="16" t="s">
        <v>98</v>
      </c>
      <c r="E236" s="17" t="s">
        <v>574</v>
      </c>
      <c r="F236" s="16">
        <v>2023</v>
      </c>
      <c r="G236" s="17" t="str">
        <f>IFERROR(_xlfn.XLOOKUP($A236,tblEquipos[Codigo],tblEquipos[Ubicacion],""),"")</f>
        <v>Obras Varias</v>
      </c>
      <c r="H236" s="16" t="s">
        <v>56</v>
      </c>
      <c r="I236" s="16" t="str">
        <f>IFERROR(VLOOKUP(A236, Equipos!A:J, 9, FALSE), "")</f>
        <v>KM</v>
      </c>
      <c r="J236" s="16">
        <f>IFERROR(VLOOKUP(A236, Equipos!A:J, 10, FALSE), "")</f>
        <v>10000</v>
      </c>
      <c r="K236" s="16">
        <f>IFERROR(IF($I236="KM",ROUND((_xlfn.MAXIFS(tblLecturas[Kilometraje],tblLecturas[Codigo],$A236)-_xlfn.MINIFS(tblLecturas[Kilometraje],tblLecturas[Codigo],$A236))/(MAX(1,_xlfn.MAXIFS(tblLecturas[Fecha],tblLecturas[Codigo],$A236)-_xlfn.MINIFS(tblLecturas[Fecha],tblLecturas[Codigo],$A236))),1),ROUND((_xlfn.MAXIFS(tblLecturas[Horometro],tblLecturas[Codigo],$A236)-_xlfn.MINIFS(tblLecturas[Horometro],tblLecturas[Codigo],$A236))/(MAX(1,_xlfn.MAXIFS(tblLecturas[Fecha],tblLecturas[Codigo],$A236)-_xlfn.MINIFS(tblLecturas[Fecha],tblLecturas[Codigo],$A236))),1)),"")</f>
        <v>215.5</v>
      </c>
      <c r="L236" s="18">
        <f>IFERROR(_xlfn.MAXIFS(tblLecturas[Fecha],tblLecturas[Codigo],$A236),"")</f>
        <v>46108</v>
      </c>
      <c r="M236" s="24">
        <f>IFERROR(_xlfn.MAXIFS(Lecturas!$C:$C,Lecturas!$B:$B,$A236,Lecturas!$C:$C,"&gt;0"),"")</f>
        <v>0</v>
      </c>
      <c r="N236" s="24">
        <f>IFERROR(_xlfn.MAXIFS(tblLecturas[Kilometraje],tblLecturas[Codigo],$A236,tblLecturas[Kilometraje],"&gt;0"),"")</f>
        <v>112051</v>
      </c>
      <c r="O236" s="24" cm="1">
        <f t="array" ref="O236">IFERROR(IF($I236="KM",LOOKUP(2,1/(Lecturas!$B:$B=$A236)/(Lecturas!$D:$D&gt;0),Lecturas!$D:$D),LOOKUP(2,1/(Lecturas!$B:$B=$A236)/(Lecturas!$C:$C&gt;0),Lecturas!$C:$C)),"")</f>
        <v>111189</v>
      </c>
      <c r="P236" s="18">
        <f>IFERROR(_xlfn.MAXIFS(tblMantenciones[Fecha],tblMantenciones[Codigo],tblMaestroEquipos[[#This Row],[Codigo]],tblMantenciones[EsPM],"Sí"),"")</f>
        <v>46099</v>
      </c>
      <c r="Q236" s="70">
        <f>IF(_xlfn.MAXIFS(Mantenciones!$D:$D,Mantenciones!$B:$B,A236)=0,"Sin datos de mantención registrado",_xlfn.MAXIFS(Mantenciones!$D:$D,Mantenciones!$B:$B,A236))</f>
        <v>110602</v>
      </c>
      <c r="R236" s="16">
        <f>IFERROR(IF(_xlfn.MAXIFS(Mantenciones!$D:$D,Mantenciones!$B:$B,$A236,Mantenciones!$E:$E,"Sí",Mantenciones!$D:$D,"&gt;0")=0,"Sin datos de mantención registrado",_xlfn.MAXIFS(Mantenciones!$D:$D,Mantenciones!$B:$B,$A236,Mantenciones!$E:$E,"Sí",Mantenciones!$D:$D,"&gt;0")),"Sin datos de mantención registrado")</f>
        <v>110602</v>
      </c>
      <c r="S236" s="19">
        <f>IFERROR(SUMIFS(tblMantenciones[Costo Mantencion CLP],tblMantenciones[Codigo],tblMaestroEquipos[[#This Row],[Codigo]]),0)</f>
        <v>276888</v>
      </c>
      <c r="T236" s="19">
        <f>IFERROR(SUMIFS(tblComprasPM[Costo PM CLP],tblComprasPM[Codigo],tblMaestroEquipos[[#This Row],[Codigo]]),0)</f>
        <v>392089.53</v>
      </c>
      <c r="U236" s="19">
        <f>IFERROR(tblMaestroEquipos[[#This Row],[Costo Mantenciones CLP]]+tblMaestroEquipos[[#This Row],[Costo Compras PM CLP]],0)</f>
        <v>668977.53</v>
      </c>
      <c r="V236" s="16" t="str">
        <f>IFERROR(_xlfn.XLOOKUP(tblMaestroEquipos[[#This Row],[Codigo]],tblEquipos[Codigo],tblEquipos[Estado Base]),"")</f>
        <v>Operativo</v>
      </c>
      <c r="W236" s="16" t="str">
        <f t="shared" si="24"/>
        <v>POR RECIBIR</v>
      </c>
      <c r="X236" s="16">
        <f t="shared" si="25"/>
        <v>9413</v>
      </c>
      <c r="Y236" s="23">
        <f>IFERROR(IF(OR(tblMaestroEquipos[[#This Row],[Estado Operacional]]="FUERA DE SERVICIO",tblMaestroEquipos[[#This Row],[Ultima Fecha Lectura]]="",tblMaestroEquipos[[#This Row],[Dias a Proxima Mantencion]]=""),"",tblMaestroEquipos[[#This Row],[Ultima Fecha Lectura]]+tblMaestroEquipos[[#This Row],[Dias a Proxima Mantencion]]),"")</f>
        <v>55521</v>
      </c>
      <c r="Z236" s="23">
        <f>IFERROR(IF(_xlfn.MINIFS(tblComprasPM[Fecha],tblComprasPM[Codigo],tblMaestroEquipos[[#This Row],[Codigo]])=0,"",_xlfn.MINIFS(tblComprasPM[Fecha],tblComprasPM[Codigo],tblMaestroEquipos[[#This Row],[Codigo]])),"")</f>
        <v>46100</v>
      </c>
      <c r="AA236" s="23">
        <f>IFERROR(IF(_xlfn.MAXIFS(tblBodega[Fecha],tblBodega[Codigo],tblMaestroEquipos[[#This Row],[Codigo]])=0,"",_xlfn.MAXIFS(tblBodega[Fecha],tblBodega[Codigo],tblMaestroEquipos[[#This Row],[Codigo]])),"")</f>
        <v>46162</v>
      </c>
      <c r="AB236" s="16">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0</v>
      </c>
      <c r="AC236"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0</v>
      </c>
      <c r="AD236" s="16" t="str">
        <f>IF(tblMaestroEquipos[[#This Row],[Fecha Salida Bodega]]="","SIN SALIDA BODEGA",IF(OR(tblMaestroEquipos[[#This Row],[Ultima Fecha PM]]="",tblMaestroEquipos[[#This Row],[Ultima Fecha PM]]&lt;tblMaestroEquipos[[#This Row],[Fecha Salida Bodega]]),"PENDIENTE","CERRADO"))</f>
        <v>PENDIENTE</v>
      </c>
      <c r="AE236" s="48" t="str">
        <f t="shared" si="26"/>
        <v>OPERATIVO</v>
      </c>
      <c r="AF236" s="16" t="str">
        <f t="shared" si="27"/>
        <v>BAJA</v>
      </c>
      <c r="AG236" s="16" t="str">
        <f t="shared" si="28"/>
        <v>Monitorear próximo vencimiento</v>
      </c>
      <c r="AH236">
        <f t="shared" si="29"/>
        <v>0</v>
      </c>
      <c r="AI236" t="str">
        <f t="shared" si="30"/>
        <v/>
      </c>
      <c r="AJ236" s="22">
        <f t="shared" si="31"/>
        <v>3</v>
      </c>
    </row>
    <row r="237" spans="1:36" s="25" customFormat="1">
      <c r="A237" s="16" t="s">
        <v>646</v>
      </c>
      <c r="B237" s="16" t="s">
        <v>461</v>
      </c>
      <c r="C237" s="16" t="s">
        <v>1414</v>
      </c>
      <c r="D237" s="16" t="s">
        <v>98</v>
      </c>
      <c r="E237" s="17" t="s">
        <v>462</v>
      </c>
      <c r="F237" s="16">
        <v>2023</v>
      </c>
      <c r="G237" s="17" t="str">
        <f>IFERROR(_xlfn.XLOOKUP($A237,tblEquipos[Codigo],tblEquipos[Ubicacion],""),"")</f>
        <v>Taller ext (Kauffman)</v>
      </c>
      <c r="H237" s="16" t="s">
        <v>56</v>
      </c>
      <c r="I237" s="16" t="str">
        <f>IFERROR(VLOOKUP(A237, Equipos!A:J, 9, FALSE), "")</f>
        <v>KM</v>
      </c>
      <c r="J237" s="16">
        <f>IFERROR(VLOOKUP(A237, Equipos!A:J, 10, FALSE), "")</f>
        <v>15000</v>
      </c>
      <c r="K237" s="16">
        <f>IFERROR(IF($I237="KM",ROUND((_xlfn.MAXIFS(tblLecturas[Kilometraje],tblLecturas[Codigo],$A237)-_xlfn.MINIFS(tblLecturas[Kilometraje],tblLecturas[Codigo],$A237))/(MAX(1,_xlfn.MAXIFS(tblLecturas[Fecha],tblLecturas[Codigo],$A237)-_xlfn.MINIFS(tblLecturas[Fecha],tblLecturas[Codigo],$A237))),1),ROUND((_xlfn.MAXIFS(tblLecturas[Horometro],tblLecturas[Codigo],$A237)-_xlfn.MINIFS(tblLecturas[Horometro],tblLecturas[Codigo],$A237))/(MAX(1,_xlfn.MAXIFS(tblLecturas[Fecha],tblLecturas[Codigo],$A237)-_xlfn.MINIFS(tblLecturas[Fecha],tblLecturas[Codigo],$A237))),1)),"")</f>
        <v>320.3</v>
      </c>
      <c r="L237" s="18">
        <f>IFERROR(_xlfn.MAXIFS(tblLecturas[Fecha],tblLecturas[Codigo],$A237),"")</f>
        <v>46013</v>
      </c>
      <c r="M237" s="24">
        <f>IFERROR(_xlfn.MAXIFS(Lecturas!$C:$C,Lecturas!$B:$B,$A237,Lecturas!$C:$C,"&gt;0"),"")</f>
        <v>0</v>
      </c>
      <c r="N237" s="24">
        <f>IFERROR(_xlfn.MAXIFS(tblLecturas[Kilometraje],tblLecturas[Codigo],$A237,tblLecturas[Kilometraje],"&gt;0"),"")</f>
        <v>105907</v>
      </c>
      <c r="O237" s="24" cm="1">
        <f t="array" ref="O237">IFERROR(IF($I237="KM",LOOKUP(2,1/(Lecturas!$B:$B=$A237)/(Lecturas!$D:$D&gt;0),Lecturas!$D:$D),LOOKUP(2,1/(Lecturas!$B:$B=$A237)/(Lecturas!$C:$C&gt;0),Lecturas!$C:$C)),"")</f>
        <v>102679</v>
      </c>
      <c r="P237" s="18">
        <f>IFERROR(_xlfn.MAXIFS(tblMantenciones[Fecha],tblMantenciones[Codigo],tblMaestroEquipos[[#This Row],[Codigo]],tblMantenciones[EsPM],"Sí"),"")</f>
        <v>0</v>
      </c>
      <c r="Q237" s="70" t="str">
        <f>IF(_xlfn.MAXIFS(Mantenciones!$D:$D,Mantenciones!$B:$B,A237)=0,"Sin datos de mantención registrado",_xlfn.MAXIFS(Mantenciones!$D:$D,Mantenciones!$B:$B,A237))</f>
        <v>Sin datos de mantención registrado</v>
      </c>
      <c r="R237" s="16" t="str">
        <f>IFERROR(IF(_xlfn.MAXIFS(Mantenciones!$D:$D,Mantenciones!$B:$B,$A237,Mantenciones!$E:$E,"Sí",Mantenciones!$D:$D,"&gt;0")=0,"Sin datos de mantención registrado",_xlfn.MAXIFS(Mantenciones!$D:$D,Mantenciones!$B:$B,$A237,Mantenciones!$E:$E,"Sí",Mantenciones!$D:$D,"&gt;0")),"Sin datos de mantención registrado")</f>
        <v>Sin datos de mantención registrado</v>
      </c>
      <c r="S237" s="19">
        <f>IFERROR(SUMIFS(tblMantenciones[Costo Mantencion CLP],tblMantenciones[Codigo],tblMaestroEquipos[[#This Row],[Codigo]]),0)</f>
        <v>0</v>
      </c>
      <c r="T237" s="19">
        <f>IFERROR(SUMIFS(tblComprasPM[Costo PM CLP],tblComprasPM[Codigo],tblMaestroEquipos[[#This Row],[Codigo]]),0)</f>
        <v>0</v>
      </c>
      <c r="U237" s="19">
        <f>IFERROR(tblMaestroEquipos[[#This Row],[Costo Mantenciones CLP]]+tblMaestroEquipos[[#This Row],[Costo Compras PM CLP]],0)</f>
        <v>0</v>
      </c>
      <c r="V237" s="16" t="str">
        <f>IFERROR(_xlfn.XLOOKUP(tblMaestroEquipos[[#This Row],[Codigo]],tblEquipos[Codigo],tblEquipos[Estado Base]),"")</f>
        <v>Fuera de Servicio</v>
      </c>
      <c r="W237" s="16" t="str">
        <f t="shared" si="24"/>
        <v>FUERA DE SERVICIO</v>
      </c>
      <c r="X237" s="16" t="str">
        <f t="shared" si="25"/>
        <v/>
      </c>
      <c r="Y237"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37" s="23" t="str">
        <f>IFERROR(IF(_xlfn.MINIFS(tblComprasPM[Fecha],tblComprasPM[Codigo],tblMaestroEquipos[[#This Row],[Codigo]])=0,"",_xlfn.MINIFS(tblComprasPM[Fecha],tblComprasPM[Codigo],tblMaestroEquipos[[#This Row],[Codigo]])),"")</f>
        <v/>
      </c>
      <c r="AA237" s="23" t="str">
        <f>IFERROR(IF(_xlfn.MAXIFS(tblBodega[Fecha],tblBodega[Codigo],tblMaestroEquipos[[#This Row],[Codigo]])=0,"",_xlfn.MAXIFS(tblBodega[Fecha],tblBodega[Codigo],tblMaestroEquipos[[#This Row],[Codigo]])),"")</f>
        <v/>
      </c>
      <c r="AB237"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37"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37" s="16" t="str">
        <f>IF(tblMaestroEquipos[[#This Row],[Fecha Salida Bodega]]="","SIN SALIDA BODEGA",IF(OR(tblMaestroEquipos[[#This Row],[Ultima Fecha PM]]="",tblMaestroEquipos[[#This Row],[Ultima Fecha PM]]&lt;tblMaestroEquipos[[#This Row],[Fecha Salida Bodega]]),"PENDIENTE","CERRADO"))</f>
        <v>SIN SALIDA BODEGA</v>
      </c>
      <c r="AE237" s="48" t="str">
        <f t="shared" si="26"/>
        <v>FUERA DE SERVICIO</v>
      </c>
      <c r="AF237" s="16" t="str">
        <f t="shared" si="27"/>
        <v>NO APLICA</v>
      </c>
      <c r="AG237" s="16" t="str">
        <f t="shared" si="28"/>
        <v>No programar compra</v>
      </c>
      <c r="AH237">
        <f t="shared" si="29"/>
        <v>0</v>
      </c>
      <c r="AI237" t="str">
        <f t="shared" si="30"/>
        <v/>
      </c>
      <c r="AJ237" s="22">
        <f t="shared" si="31"/>
        <v>99</v>
      </c>
    </row>
    <row r="238" spans="1:36">
      <c r="A238" s="16" t="s">
        <v>647</v>
      </c>
      <c r="B238" s="16" t="s">
        <v>461</v>
      </c>
      <c r="C238" s="16" t="s">
        <v>1414</v>
      </c>
      <c r="D238" s="16" t="s">
        <v>98</v>
      </c>
      <c r="E238" s="17" t="s">
        <v>462</v>
      </c>
      <c r="F238" s="16">
        <v>2023</v>
      </c>
      <c r="G238" s="17" t="str">
        <f>IFERROR(_xlfn.XLOOKUP($A238,tblEquipos[Codigo],tblEquipos[Ubicacion],""),"")</f>
        <v>Taller ext (Moraga)</v>
      </c>
      <c r="H238" s="16" t="s">
        <v>648</v>
      </c>
      <c r="I238" s="16" t="str">
        <f>IFERROR(VLOOKUP(A238, Equipos!A:J, 9, FALSE), "")</f>
        <v>KM</v>
      </c>
      <c r="J238" s="16">
        <f>IFERROR(VLOOKUP(A238, Equipos!A:J, 10, FALSE), "")</f>
        <v>15000</v>
      </c>
      <c r="K238" s="16">
        <f>IFERROR(IF($I238="KM",ROUND((_xlfn.MAXIFS(tblLecturas[Kilometraje],tblLecturas[Codigo],$A238)-_xlfn.MINIFS(tblLecturas[Kilometraje],tblLecturas[Codigo],$A238))/(MAX(1,_xlfn.MAXIFS(tblLecturas[Fecha],tblLecturas[Codigo],$A238)-_xlfn.MINIFS(tblLecturas[Fecha],tblLecturas[Codigo],$A238))),1),ROUND((_xlfn.MAXIFS(tblLecturas[Horometro],tblLecturas[Codigo],$A238)-_xlfn.MINIFS(tblLecturas[Horometro],tblLecturas[Codigo],$A238))/(MAX(1,_xlfn.MAXIFS(tblLecturas[Fecha],tblLecturas[Codigo],$A238)-_xlfn.MINIFS(tblLecturas[Fecha],tblLecturas[Codigo],$A238))),1)),"")</f>
        <v>59.1</v>
      </c>
      <c r="L238" s="18">
        <f>IFERROR(_xlfn.MAXIFS(tblLecturas[Fecha],tblLecturas[Codigo],$A238),"")</f>
        <v>46015</v>
      </c>
      <c r="M238" s="24">
        <f>IFERROR(_xlfn.MAXIFS(Lecturas!$C:$C,Lecturas!$B:$B,$A238,Lecturas!$C:$C,"&gt;0"),"")</f>
        <v>0</v>
      </c>
      <c r="N238" s="24">
        <f>IFERROR(_xlfn.MAXIFS(tblLecturas[Kilometraje],tblLecturas[Codigo],$A238,tblLecturas[Kilometraje],"&gt;0"),"")</f>
        <v>96800</v>
      </c>
      <c r="O238" s="24" cm="1">
        <f t="array" ref="O238">IFERROR(IF($I238="KM",LOOKUP(2,1/(Lecturas!$B:$B=$A238)/(Lecturas!$D:$D&gt;0),Lecturas!$D:$D),LOOKUP(2,1/(Lecturas!$B:$B=$A238)/(Lecturas!$C:$C&gt;0),Lecturas!$C:$C)),"")</f>
        <v>95914</v>
      </c>
      <c r="P238" s="18">
        <f>IFERROR(_xlfn.MAXIFS(tblMantenciones[Fecha],tblMantenciones[Codigo],tblMaestroEquipos[[#This Row],[Codigo]],tblMantenciones[EsPM],"Sí"),"")</f>
        <v>46161</v>
      </c>
      <c r="Q238" s="70">
        <f>IF(_xlfn.MAXIFS(Mantenciones!$D:$D,Mantenciones!$B:$B,A238)=0,"Sin datos de mantención registrado",_xlfn.MAXIFS(Mantenciones!$D:$D,Mantenciones!$B:$B,A238))</f>
        <v>98889</v>
      </c>
      <c r="R238" s="16">
        <f>IFERROR(IF(_xlfn.MAXIFS(Mantenciones!$D:$D,Mantenciones!$B:$B,$A238,Mantenciones!$E:$E,"Sí",Mantenciones!$D:$D,"&gt;0")=0,"Sin datos de mantención registrado",_xlfn.MAXIFS(Mantenciones!$D:$D,Mantenciones!$B:$B,$A238,Mantenciones!$E:$E,"Sí",Mantenciones!$D:$D,"&gt;0")),"Sin datos de mantención registrado")</f>
        <v>98889</v>
      </c>
      <c r="S238" s="19">
        <f>IFERROR(SUMIFS(tblMantenciones[Costo Mantencion CLP],tblMantenciones[Codigo],tblMaestroEquipos[[#This Row],[Codigo]]),0)</f>
        <v>0</v>
      </c>
      <c r="T238" s="19">
        <f>IFERROR(SUMIFS(tblComprasPM[Costo PM CLP],tblComprasPM[Codigo],tblMaestroEquipos[[#This Row],[Codigo]]),0)</f>
        <v>0</v>
      </c>
      <c r="U238" s="19">
        <f>IFERROR(tblMaestroEquipos[[#This Row],[Costo Mantenciones CLP]]+tblMaestroEquipos[[#This Row],[Costo Compras PM CLP]],0)</f>
        <v>0</v>
      </c>
      <c r="V238" s="16" t="str">
        <f>IFERROR(_xlfn.XLOOKUP(tblMaestroEquipos[[#This Row],[Codigo]],tblEquipos[Codigo],tblEquipos[Estado Base]),"")</f>
        <v>Fuera de Servicio</v>
      </c>
      <c r="W238" s="16" t="str">
        <f t="shared" si="24"/>
        <v>FUERA DE SERVICIO</v>
      </c>
      <c r="X238" s="16">
        <f t="shared" si="25"/>
        <v>17975</v>
      </c>
      <c r="Y238"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38" s="23" t="str">
        <f>IFERROR(IF(_xlfn.MINIFS(tblComprasPM[Fecha],tblComprasPM[Codigo],tblMaestroEquipos[[#This Row],[Codigo]])=0,"",_xlfn.MINIFS(tblComprasPM[Fecha],tblComprasPM[Codigo],tblMaestroEquipos[[#This Row],[Codigo]])),"")</f>
        <v/>
      </c>
      <c r="AA238" s="23">
        <f>IFERROR(IF(_xlfn.MAXIFS(tblBodega[Fecha],tblBodega[Codigo],tblMaestroEquipos[[#This Row],[Codigo]])=0,"",_xlfn.MAXIFS(tblBodega[Fecha],tblBodega[Codigo],tblMaestroEquipos[[#This Row],[Codigo]])),"")</f>
        <v>46160</v>
      </c>
      <c r="AB238"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38" s="16">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1</v>
      </c>
      <c r="AD238" s="16" t="str">
        <f>IF(tblMaestroEquipos[[#This Row],[Fecha Salida Bodega]]="","SIN SALIDA BODEGA",IF(OR(tblMaestroEquipos[[#This Row],[Ultima Fecha PM]]="",tblMaestroEquipos[[#This Row],[Ultima Fecha PM]]&lt;tblMaestroEquipos[[#This Row],[Fecha Salida Bodega]]),"PENDIENTE","CERRADO"))</f>
        <v>CERRADO</v>
      </c>
      <c r="AE238" s="48" t="str">
        <f t="shared" si="26"/>
        <v>FUERA DE SERVICIO</v>
      </c>
      <c r="AF238" s="16" t="str">
        <f t="shared" si="27"/>
        <v>NO APLICA</v>
      </c>
      <c r="AG238" s="16" t="str">
        <f t="shared" si="28"/>
        <v>No programar compra</v>
      </c>
      <c r="AH238">
        <f t="shared" si="29"/>
        <v>0</v>
      </c>
      <c r="AI238" t="str">
        <f t="shared" si="30"/>
        <v/>
      </c>
      <c r="AJ238" s="22">
        <f t="shared" si="31"/>
        <v>99</v>
      </c>
    </row>
    <row r="239" spans="1:36">
      <c r="A239" s="16" t="s">
        <v>649</v>
      </c>
      <c r="B239" s="16" t="s">
        <v>650</v>
      </c>
      <c r="C239" s="16" t="s">
        <v>1385</v>
      </c>
      <c r="D239" s="16" t="s">
        <v>651</v>
      </c>
      <c r="E239" s="17" t="s">
        <v>652</v>
      </c>
      <c r="F239" s="16">
        <v>1990</v>
      </c>
      <c r="G239" s="17" t="str">
        <f>IFERROR(_xlfn.XLOOKUP($A239,tblEquipos[Codigo],tblEquipos[Ubicacion],""),"")</f>
        <v>TALLER</v>
      </c>
      <c r="H239" s="16" t="s">
        <v>149</v>
      </c>
      <c r="I239" s="16" t="str">
        <f>IFERROR(VLOOKUP(A239, Equipos!A:J, 9, FALSE), "")</f>
        <v>HORAS</v>
      </c>
      <c r="J239" s="16">
        <f>IFERROR(VLOOKUP(A239, Equipos!A:J, 10, FALSE), "")</f>
        <v>250</v>
      </c>
      <c r="K239" s="16">
        <f>IFERROR(IF($I239="KM",ROUND((_xlfn.MAXIFS(tblLecturas[Kilometraje],tblLecturas[Codigo],$A239)-_xlfn.MINIFS(tblLecturas[Kilometraje],tblLecturas[Codigo],$A239))/(MAX(1,_xlfn.MAXIFS(tblLecturas[Fecha],tblLecturas[Codigo],$A239)-_xlfn.MINIFS(tblLecturas[Fecha],tblLecturas[Codigo],$A239))),1),ROUND((_xlfn.MAXIFS(tblLecturas[Horometro],tblLecturas[Codigo],$A239)-_xlfn.MINIFS(tblLecturas[Horometro],tblLecturas[Codigo],$A239))/(MAX(1,_xlfn.MAXIFS(tblLecturas[Fecha],tblLecturas[Codigo],$A239)-_xlfn.MINIFS(tblLecturas[Fecha],tblLecturas[Codigo],$A239))),1)),"")</f>
        <v>0</v>
      </c>
      <c r="L239" s="18">
        <f>IFERROR(_xlfn.MAXIFS(tblLecturas[Fecha],tblLecturas[Codigo],$A239),"")</f>
        <v>0</v>
      </c>
      <c r="M239" s="24">
        <f>IFERROR(_xlfn.MAXIFS(Lecturas!$C:$C,Lecturas!$B:$B,$A239,Lecturas!$C:$C,"&gt;0"),"")</f>
        <v>0</v>
      </c>
      <c r="N239" s="24">
        <f>IFERROR(_xlfn.MAXIFS(tblLecturas[Kilometraje],tblLecturas[Codigo],$A239,tblLecturas[Kilometraje],"&gt;0"),"")</f>
        <v>0</v>
      </c>
      <c r="O239" s="24" t="str" cm="1">
        <f t="array" ref="O239">IFERROR(IF($I239="KM",LOOKUP(2,1/(Lecturas!$B:$B=$A239)/(Lecturas!$D:$D&gt;0),Lecturas!$D:$D),LOOKUP(2,1/(Lecturas!$B:$B=$A239)/(Lecturas!$C:$C&gt;0),Lecturas!$C:$C)),"")</f>
        <v/>
      </c>
      <c r="P239" s="18">
        <f>IFERROR(_xlfn.MAXIFS(tblMantenciones[Fecha],tblMantenciones[Codigo],tblMaestroEquipos[[#This Row],[Codigo]],tblMantenciones[EsPM],"Sí"),"")</f>
        <v>0</v>
      </c>
      <c r="Q239" s="70" t="str">
        <f>IF(_xlfn.MAXIFS(Mantenciones!$D:$D,Mantenciones!$B:$B,A239)=0,"Sin datos de mantención registrado",_xlfn.MAXIFS(Mantenciones!$D:$D,Mantenciones!$B:$B,A239))</f>
        <v>Sin datos de mantención registrado</v>
      </c>
      <c r="R239" s="16" t="str">
        <f>IFERROR(IF(_xlfn.MAXIFS(Mantenciones!$D:$D,Mantenciones!$B:$B,$A239,Mantenciones!$E:$E,"Sí",Mantenciones!$D:$D,"&gt;0")=0,"Sin datos de mantención registrado",_xlfn.MAXIFS(Mantenciones!$D:$D,Mantenciones!$B:$B,$A239,Mantenciones!$E:$E,"Sí",Mantenciones!$D:$D,"&gt;0")),"Sin datos de mantención registrado")</f>
        <v>Sin datos de mantención registrado</v>
      </c>
      <c r="S239" s="19">
        <f>IFERROR(SUMIFS(tblMantenciones[Costo Mantencion CLP],tblMantenciones[Codigo],tblMaestroEquipos[[#This Row],[Codigo]]),0)</f>
        <v>0</v>
      </c>
      <c r="T239" s="19">
        <f>IFERROR(SUMIFS(tblComprasPM[Costo PM CLP],tblComprasPM[Codigo],tblMaestroEquipos[[#This Row],[Codigo]]),0)</f>
        <v>0</v>
      </c>
      <c r="U239" s="19">
        <f>IFERROR(tblMaestroEquipos[[#This Row],[Costo Mantenciones CLP]]+tblMaestroEquipos[[#This Row],[Costo Compras PM CLP]],0)</f>
        <v>0</v>
      </c>
      <c r="V239" s="16" t="str">
        <f>IFERROR(_xlfn.XLOOKUP(tblMaestroEquipos[[#This Row],[Codigo]],tblEquipos[Codigo],tblEquipos[Estado Base]),"")</f>
        <v>Operativo</v>
      </c>
      <c r="W239" s="16" t="str">
        <f t="shared" si="24"/>
        <v>AL DÍA</v>
      </c>
      <c r="X239" s="16" t="str">
        <f t="shared" si="25"/>
        <v/>
      </c>
      <c r="Y239"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39" s="23" t="str">
        <f>IFERROR(IF(_xlfn.MINIFS(tblComprasPM[Fecha],tblComprasPM[Codigo],tblMaestroEquipos[[#This Row],[Codigo]])=0,"",_xlfn.MINIFS(tblComprasPM[Fecha],tblComprasPM[Codigo],tblMaestroEquipos[[#This Row],[Codigo]])),"")</f>
        <v/>
      </c>
      <c r="AA239" s="23" t="str">
        <f>IFERROR(IF(_xlfn.MAXIFS(tblBodega[Fecha],tblBodega[Codigo],tblMaestroEquipos[[#This Row],[Codigo]])=0,"",_xlfn.MAXIFS(tblBodega[Fecha],tblBodega[Codigo],tblMaestroEquipos[[#This Row],[Codigo]])),"")</f>
        <v/>
      </c>
      <c r="AB239"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39"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39" s="16" t="str">
        <f>IF(tblMaestroEquipos[[#This Row],[Fecha Salida Bodega]]="","SIN SALIDA BODEGA",IF(OR(tblMaestroEquipos[[#This Row],[Ultima Fecha PM]]="",tblMaestroEquipos[[#This Row],[Ultima Fecha PM]]&lt;tblMaestroEquipos[[#This Row],[Fecha Salida Bodega]]),"PENDIENTE","CERRADO"))</f>
        <v>SIN SALIDA BODEGA</v>
      </c>
      <c r="AE239" s="48" t="str">
        <f t="shared" si="26"/>
        <v>OPERATIVO</v>
      </c>
      <c r="AF239" s="16" t="str">
        <f t="shared" si="27"/>
        <v>BAJA</v>
      </c>
      <c r="AG239" s="16" t="str">
        <f t="shared" si="28"/>
        <v>Monitorear próximo vencimiento</v>
      </c>
      <c r="AH239">
        <f t="shared" si="29"/>
        <v>0</v>
      </c>
      <c r="AI239" t="str">
        <f t="shared" si="30"/>
        <v/>
      </c>
      <c r="AJ239" s="22">
        <f t="shared" si="31"/>
        <v>99</v>
      </c>
    </row>
    <row r="240" spans="1:36">
      <c r="A240" s="16" t="s">
        <v>653</v>
      </c>
      <c r="B240" s="16" t="s">
        <v>650</v>
      </c>
      <c r="C240" s="16" t="s">
        <v>1385</v>
      </c>
      <c r="D240" s="16" t="s">
        <v>654</v>
      </c>
      <c r="E240" s="17" t="s">
        <v>655</v>
      </c>
      <c r="F240" s="16">
        <v>2007</v>
      </c>
      <c r="G240" s="17" t="str">
        <f>IFERROR(_xlfn.XLOOKUP($A240,tblEquipos[Codigo],tblEquipos[Ubicacion],""),"")</f>
        <v>TALLER</v>
      </c>
      <c r="H240" s="16" t="s">
        <v>149</v>
      </c>
      <c r="I240" s="16" t="str">
        <f>IFERROR(VLOOKUP(A240, Equipos!A:J, 9, FALSE), "")</f>
        <v>HORAS</v>
      </c>
      <c r="J240" s="16">
        <f>IFERROR(VLOOKUP(A240, Equipos!A:J, 10, FALSE), "")</f>
        <v>250</v>
      </c>
      <c r="K240" s="16">
        <f>IFERROR(IF($I240="KM",ROUND((_xlfn.MAXIFS(tblLecturas[Kilometraje],tblLecturas[Codigo],$A240)-_xlfn.MINIFS(tblLecturas[Kilometraje],tblLecturas[Codigo],$A240))/(MAX(1,_xlfn.MAXIFS(tblLecturas[Fecha],tblLecturas[Codigo],$A240)-_xlfn.MINIFS(tblLecturas[Fecha],tblLecturas[Codigo],$A240))),1),ROUND((_xlfn.MAXIFS(tblLecturas[Horometro],tblLecturas[Codigo],$A240)-_xlfn.MINIFS(tblLecturas[Horometro],tblLecturas[Codigo],$A240))/(MAX(1,_xlfn.MAXIFS(tblLecturas[Fecha],tblLecturas[Codigo],$A240)-_xlfn.MINIFS(tblLecturas[Fecha],tblLecturas[Codigo],$A240))),1)),"")</f>
        <v>0</v>
      </c>
      <c r="L240" s="18">
        <f>IFERROR(_xlfn.MAXIFS(tblLecturas[Fecha],tblLecturas[Codigo],$A240),"")</f>
        <v>0</v>
      </c>
      <c r="M240" s="24">
        <f>IFERROR(_xlfn.MAXIFS(Lecturas!$C:$C,Lecturas!$B:$B,$A240,Lecturas!$C:$C,"&gt;0"),"")</f>
        <v>0</v>
      </c>
      <c r="N240" s="24">
        <f>IFERROR(_xlfn.MAXIFS(tblLecturas[Kilometraje],tblLecturas[Codigo],$A240,tblLecturas[Kilometraje],"&gt;0"),"")</f>
        <v>0</v>
      </c>
      <c r="O240" s="24" t="str" cm="1">
        <f t="array" ref="O240">IFERROR(IF($I240="KM",LOOKUP(2,1/(Lecturas!$B:$B=$A240)/(Lecturas!$D:$D&gt;0),Lecturas!$D:$D),LOOKUP(2,1/(Lecturas!$B:$B=$A240)/(Lecturas!$C:$C&gt;0),Lecturas!$C:$C)),"")</f>
        <v/>
      </c>
      <c r="P240" s="18">
        <f>IFERROR(_xlfn.MAXIFS(tblMantenciones[Fecha],tblMantenciones[Codigo],tblMaestroEquipos[[#This Row],[Codigo]],tblMantenciones[EsPM],"Sí"),"")</f>
        <v>0</v>
      </c>
      <c r="Q240" s="70" t="str">
        <f>IF(_xlfn.MAXIFS(Mantenciones!$D:$D,Mantenciones!$B:$B,A240)=0,"Sin datos de mantención registrado",_xlfn.MAXIFS(Mantenciones!$D:$D,Mantenciones!$B:$B,A240))</f>
        <v>Sin datos de mantención registrado</v>
      </c>
      <c r="R240" s="16" t="str">
        <f>IFERROR(IF(_xlfn.MAXIFS(Mantenciones!$D:$D,Mantenciones!$B:$B,$A240,Mantenciones!$E:$E,"Sí",Mantenciones!$D:$D,"&gt;0")=0,"Sin datos de mantención registrado",_xlfn.MAXIFS(Mantenciones!$D:$D,Mantenciones!$B:$B,$A240,Mantenciones!$E:$E,"Sí",Mantenciones!$D:$D,"&gt;0")),"Sin datos de mantención registrado")</f>
        <v>Sin datos de mantención registrado</v>
      </c>
      <c r="S240" s="19">
        <f>IFERROR(SUMIFS(tblMantenciones[Costo Mantencion CLP],tblMantenciones[Codigo],tblMaestroEquipos[[#This Row],[Codigo]]),0)</f>
        <v>0</v>
      </c>
      <c r="T240" s="19">
        <f>IFERROR(SUMIFS(tblComprasPM[Costo PM CLP],tblComprasPM[Codigo],tblMaestroEquipos[[#This Row],[Codigo]]),0)</f>
        <v>0</v>
      </c>
      <c r="U240" s="19">
        <f>IFERROR(tblMaestroEquipos[[#This Row],[Costo Mantenciones CLP]]+tblMaestroEquipos[[#This Row],[Costo Compras PM CLP]],0)</f>
        <v>0</v>
      </c>
      <c r="V240" s="16" t="str">
        <f>IFERROR(_xlfn.XLOOKUP(tblMaestroEquipos[[#This Row],[Codigo]],tblEquipos[Codigo],tblEquipos[Estado Base]),"")</f>
        <v>Operativo</v>
      </c>
      <c r="W240" s="16" t="str">
        <f t="shared" si="24"/>
        <v>AL DÍA</v>
      </c>
      <c r="X240" s="16" t="str">
        <f t="shared" si="25"/>
        <v/>
      </c>
      <c r="Y240"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40" s="23" t="str">
        <f>IFERROR(IF(_xlfn.MINIFS(tblComprasPM[Fecha],tblComprasPM[Codigo],tblMaestroEquipos[[#This Row],[Codigo]])=0,"",_xlfn.MINIFS(tblComprasPM[Fecha],tblComprasPM[Codigo],tblMaestroEquipos[[#This Row],[Codigo]])),"")</f>
        <v/>
      </c>
      <c r="AA240" s="23" t="str">
        <f>IFERROR(IF(_xlfn.MAXIFS(tblBodega[Fecha],tblBodega[Codigo],tblMaestroEquipos[[#This Row],[Codigo]])=0,"",_xlfn.MAXIFS(tblBodega[Fecha],tblBodega[Codigo],tblMaestroEquipos[[#This Row],[Codigo]])),"")</f>
        <v/>
      </c>
      <c r="AB240"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40"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40" s="16" t="str">
        <f>IF(tblMaestroEquipos[[#This Row],[Fecha Salida Bodega]]="","SIN SALIDA BODEGA",IF(OR(tblMaestroEquipos[[#This Row],[Ultima Fecha PM]]="",tblMaestroEquipos[[#This Row],[Ultima Fecha PM]]&lt;tblMaestroEquipos[[#This Row],[Fecha Salida Bodega]]),"PENDIENTE","CERRADO"))</f>
        <v>SIN SALIDA BODEGA</v>
      </c>
      <c r="AE240" s="48" t="str">
        <f t="shared" si="26"/>
        <v>OPERATIVO</v>
      </c>
      <c r="AF240" s="16" t="str">
        <f t="shared" si="27"/>
        <v>BAJA</v>
      </c>
      <c r="AG240" s="16" t="str">
        <f t="shared" si="28"/>
        <v>Monitorear próximo vencimiento</v>
      </c>
      <c r="AH240">
        <f t="shared" si="29"/>
        <v>0</v>
      </c>
      <c r="AI240" t="str">
        <f t="shared" si="30"/>
        <v/>
      </c>
      <c r="AJ240" s="22">
        <f t="shared" si="31"/>
        <v>99</v>
      </c>
    </row>
    <row r="241" spans="1:36">
      <c r="A241" s="16" t="s">
        <v>656</v>
      </c>
      <c r="B241" s="16" t="s">
        <v>650</v>
      </c>
      <c r="C241" s="16" t="s">
        <v>1385</v>
      </c>
      <c r="D241" s="16" t="s">
        <v>657</v>
      </c>
      <c r="E241" s="17" t="s">
        <v>658</v>
      </c>
      <c r="F241" s="16">
        <v>2010</v>
      </c>
      <c r="G241" s="17" t="str">
        <f>IFERROR(_xlfn.XLOOKUP($A241,tblEquipos[Codigo],tblEquipos[Ubicacion],""),"")</f>
        <v>TALLER</v>
      </c>
      <c r="H241" s="16" t="s">
        <v>149</v>
      </c>
      <c r="I241" s="16" t="str">
        <f>IFERROR(VLOOKUP(A241, Equipos!A:J, 9, FALSE), "")</f>
        <v>HORAS</v>
      </c>
      <c r="J241" s="16">
        <f>IFERROR(VLOOKUP(A241, Equipos!A:J, 10, FALSE), "")</f>
        <v>250</v>
      </c>
      <c r="K241" s="16">
        <f>IFERROR(IF($I241="KM",ROUND((_xlfn.MAXIFS(tblLecturas[Kilometraje],tblLecturas[Codigo],$A241)-_xlfn.MINIFS(tblLecturas[Kilometraje],tblLecturas[Codigo],$A241))/(MAX(1,_xlfn.MAXIFS(tblLecturas[Fecha],tblLecturas[Codigo],$A241)-_xlfn.MINIFS(tblLecturas[Fecha],tblLecturas[Codigo],$A241))),1),ROUND((_xlfn.MAXIFS(tblLecturas[Horometro],tblLecturas[Codigo],$A241)-_xlfn.MINIFS(tblLecturas[Horometro],tblLecturas[Codigo],$A241))/(MAX(1,_xlfn.MAXIFS(tblLecturas[Fecha],tblLecturas[Codigo],$A241)-_xlfn.MINIFS(tblLecturas[Fecha],tblLecturas[Codigo],$A241))),1)),"")</f>
        <v>0</v>
      </c>
      <c r="L241" s="18">
        <f>IFERROR(_xlfn.MAXIFS(tblLecturas[Fecha],tblLecturas[Codigo],$A241),"")</f>
        <v>0</v>
      </c>
      <c r="M241" s="24">
        <f>IFERROR(_xlfn.MAXIFS(Lecturas!$C:$C,Lecturas!$B:$B,$A241,Lecturas!$C:$C,"&gt;0"),"")</f>
        <v>0</v>
      </c>
      <c r="N241" s="24">
        <f>IFERROR(_xlfn.MAXIFS(tblLecturas[Kilometraje],tblLecturas[Codigo],$A241,tblLecturas[Kilometraje],"&gt;0"),"")</f>
        <v>0</v>
      </c>
      <c r="O241" s="24" t="str" cm="1">
        <f t="array" ref="O241">IFERROR(IF($I241="KM",LOOKUP(2,1/(Lecturas!$B:$B=$A241)/(Lecturas!$D:$D&gt;0),Lecturas!$D:$D),LOOKUP(2,1/(Lecturas!$B:$B=$A241)/(Lecturas!$C:$C&gt;0),Lecturas!$C:$C)),"")</f>
        <v/>
      </c>
      <c r="P241" s="18">
        <f>IFERROR(_xlfn.MAXIFS(tblMantenciones[Fecha],tblMantenciones[Codigo],tblMaestroEquipos[[#This Row],[Codigo]],tblMantenciones[EsPM],"Sí"),"")</f>
        <v>0</v>
      </c>
      <c r="Q241" s="70" t="str">
        <f>IF(_xlfn.MAXIFS(Mantenciones!$D:$D,Mantenciones!$B:$B,A241)=0,"Sin datos de mantención registrado",_xlfn.MAXIFS(Mantenciones!$D:$D,Mantenciones!$B:$B,A241))</f>
        <v>Sin datos de mantención registrado</v>
      </c>
      <c r="R241" s="16" t="str">
        <f>IFERROR(IF(_xlfn.MAXIFS(Mantenciones!$D:$D,Mantenciones!$B:$B,$A241,Mantenciones!$E:$E,"Sí",Mantenciones!$D:$D,"&gt;0")=0,"Sin datos de mantención registrado",_xlfn.MAXIFS(Mantenciones!$D:$D,Mantenciones!$B:$B,$A241,Mantenciones!$E:$E,"Sí",Mantenciones!$D:$D,"&gt;0")),"Sin datos de mantención registrado")</f>
        <v>Sin datos de mantención registrado</v>
      </c>
      <c r="S241" s="19">
        <f>IFERROR(SUMIFS(tblMantenciones[Costo Mantencion CLP],tblMantenciones[Codigo],tblMaestroEquipos[[#This Row],[Codigo]]),0)</f>
        <v>0</v>
      </c>
      <c r="T241" s="19">
        <f>IFERROR(SUMIFS(tblComprasPM[Costo PM CLP],tblComprasPM[Codigo],tblMaestroEquipos[[#This Row],[Codigo]]),0)</f>
        <v>0</v>
      </c>
      <c r="U241" s="19">
        <f>IFERROR(tblMaestroEquipos[[#This Row],[Costo Mantenciones CLP]]+tblMaestroEquipos[[#This Row],[Costo Compras PM CLP]],0)</f>
        <v>0</v>
      </c>
      <c r="V241" s="16" t="str">
        <f>IFERROR(_xlfn.XLOOKUP(tblMaestroEquipos[[#This Row],[Codigo]],tblEquipos[Codigo],tblEquipos[Estado Base]),"")</f>
        <v>Operativo</v>
      </c>
      <c r="W241" s="16" t="str">
        <f t="shared" si="24"/>
        <v>AL DÍA</v>
      </c>
      <c r="X241" s="16" t="str">
        <f t="shared" si="25"/>
        <v/>
      </c>
      <c r="Y241"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41" s="23" t="str">
        <f>IFERROR(IF(_xlfn.MINIFS(tblComprasPM[Fecha],tblComprasPM[Codigo],tblMaestroEquipos[[#This Row],[Codigo]])=0,"",_xlfn.MINIFS(tblComprasPM[Fecha],tblComprasPM[Codigo],tblMaestroEquipos[[#This Row],[Codigo]])),"")</f>
        <v/>
      </c>
      <c r="AA241" s="23" t="str">
        <f>IFERROR(IF(_xlfn.MAXIFS(tblBodega[Fecha],tblBodega[Codigo],tblMaestroEquipos[[#This Row],[Codigo]])=0,"",_xlfn.MAXIFS(tblBodega[Fecha],tblBodega[Codigo],tblMaestroEquipos[[#This Row],[Codigo]])),"")</f>
        <v/>
      </c>
      <c r="AB241" s="16"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41"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41" s="16" t="str">
        <f>IF(tblMaestroEquipos[[#This Row],[Fecha Salida Bodega]]="","SIN SALIDA BODEGA",IF(OR(tblMaestroEquipos[[#This Row],[Ultima Fecha PM]]="",tblMaestroEquipos[[#This Row],[Ultima Fecha PM]]&lt;tblMaestroEquipos[[#This Row],[Fecha Salida Bodega]]),"PENDIENTE","CERRADO"))</f>
        <v>SIN SALIDA BODEGA</v>
      </c>
      <c r="AE241" s="48" t="str">
        <f t="shared" si="26"/>
        <v>OPERATIVO</v>
      </c>
      <c r="AF241" s="16" t="str">
        <f t="shared" si="27"/>
        <v>BAJA</v>
      </c>
      <c r="AG241" s="16" t="str">
        <f t="shared" si="28"/>
        <v>Monitorear próximo vencimiento</v>
      </c>
      <c r="AH241">
        <f t="shared" si="29"/>
        <v>0</v>
      </c>
      <c r="AI241" t="str">
        <f t="shared" si="30"/>
        <v/>
      </c>
      <c r="AJ241" s="22">
        <f t="shared" si="31"/>
        <v>99</v>
      </c>
    </row>
    <row r="242" spans="1:36">
      <c r="A242" s="16" t="s">
        <v>659</v>
      </c>
      <c r="B242" s="16" t="s">
        <v>650</v>
      </c>
      <c r="C242" s="16" t="s">
        <v>1385</v>
      </c>
      <c r="D242" s="16" t="s">
        <v>660</v>
      </c>
      <c r="E242" s="17" t="s">
        <v>661</v>
      </c>
      <c r="F242" s="16">
        <v>2010</v>
      </c>
      <c r="G242" s="17" t="str">
        <f>IFERROR(_xlfn.XLOOKUP($A242,tblEquipos[Codigo],tblEquipos[Ubicacion],""),"")</f>
        <v>TALLER</v>
      </c>
      <c r="H242" s="16" t="s">
        <v>149</v>
      </c>
      <c r="I242" s="16" t="str">
        <f>IFERROR(VLOOKUP(A242, Equipos!A:J, 9, FALSE), "")</f>
        <v>HORAS</v>
      </c>
      <c r="J242" s="16">
        <f>IFERROR(VLOOKUP(A242, Equipos!A:J, 10, FALSE), "")</f>
        <v>250</v>
      </c>
      <c r="K242" s="16">
        <f>IFERROR(IF($I242="KM",ROUND((_xlfn.MAXIFS(tblLecturas[Kilometraje],tblLecturas[Codigo],$A242)-_xlfn.MINIFS(tblLecturas[Kilometraje],tblLecturas[Codigo],$A242))/(MAX(1,_xlfn.MAXIFS(tblLecturas[Fecha],tblLecturas[Codigo],$A242)-_xlfn.MINIFS(tblLecturas[Fecha],tblLecturas[Codigo],$A242))),1),ROUND((_xlfn.MAXIFS(tblLecturas[Horometro],tblLecturas[Codigo],$A242)-_xlfn.MINIFS(tblLecturas[Horometro],tblLecturas[Codigo],$A242))/(MAX(1,_xlfn.MAXIFS(tblLecturas[Fecha],tblLecturas[Codigo],$A242)-_xlfn.MINIFS(tblLecturas[Fecha],tblLecturas[Codigo],$A242))),1)),"")</f>
        <v>0</v>
      </c>
      <c r="L242" s="18">
        <f>IFERROR(_xlfn.MAXIFS(tblLecturas[Fecha],tblLecturas[Codigo],$A242),"")</f>
        <v>0</v>
      </c>
      <c r="M242" s="24">
        <f>IFERROR(_xlfn.MAXIFS(Lecturas!$C:$C,Lecturas!$B:$B,$A242,Lecturas!$C:$C,"&gt;0"),"")</f>
        <v>0</v>
      </c>
      <c r="N242" s="24">
        <f>IFERROR(_xlfn.MAXIFS(tblLecturas[Kilometraje],tblLecturas[Codigo],$A242,tblLecturas[Kilometraje],"&gt;0"),"")</f>
        <v>0</v>
      </c>
      <c r="O242" s="24" t="str" cm="1">
        <f t="array" ref="O242">IFERROR(IF($I242="KM",LOOKUP(2,1/(Lecturas!$B:$B=$A242)/(Lecturas!$D:$D&gt;0),Lecturas!$D:$D),LOOKUP(2,1/(Lecturas!$B:$B=$A242)/(Lecturas!$C:$C&gt;0),Lecturas!$C:$C)),"")</f>
        <v/>
      </c>
      <c r="P242" s="18">
        <f>IFERROR(_xlfn.MAXIFS(tblMantenciones[Fecha],tblMantenciones[Codigo],tblMaestroEquipos[[#This Row],[Codigo]],tblMantenciones[EsPM],"Sí"),"")</f>
        <v>0</v>
      </c>
      <c r="Q242" s="70" t="str">
        <f>IF(_xlfn.MAXIFS(Mantenciones!$D:$D,Mantenciones!$B:$B,A242)=0,"Sin datos de mantención registrado",_xlfn.MAXIFS(Mantenciones!$D:$D,Mantenciones!$B:$B,A242))</f>
        <v>Sin datos de mantención registrado</v>
      </c>
      <c r="R242" s="16" t="str">
        <f>IFERROR(IF(_xlfn.MAXIFS(Mantenciones!$D:$D,Mantenciones!$B:$B,$A242,Mantenciones!$E:$E,"Sí",Mantenciones!$D:$D,"&gt;0")=0,"Sin datos de mantención registrado",_xlfn.MAXIFS(Mantenciones!$D:$D,Mantenciones!$B:$B,$A242,Mantenciones!$E:$E,"Sí",Mantenciones!$D:$D,"&gt;0")),"Sin datos de mantención registrado")</f>
        <v>Sin datos de mantención registrado</v>
      </c>
      <c r="S242" s="19">
        <f>IFERROR(SUMIFS(tblMantenciones[Costo Mantencion CLP],tblMantenciones[Codigo],tblMaestroEquipos[[#This Row],[Codigo]]),0)</f>
        <v>0</v>
      </c>
      <c r="T242" s="19">
        <f>IFERROR(SUMIFS(tblComprasPM[Costo PM CLP],tblComprasPM[Codigo],tblMaestroEquipos[[#This Row],[Codigo]]),0)</f>
        <v>0</v>
      </c>
      <c r="U242" s="19">
        <f>IFERROR(tblMaestroEquipos[[#This Row],[Costo Mantenciones CLP]]+tblMaestroEquipos[[#This Row],[Costo Compras PM CLP]],0)</f>
        <v>0</v>
      </c>
      <c r="V242" s="16" t="str">
        <f>IFERROR(_xlfn.XLOOKUP(tblMaestroEquipos[[#This Row],[Codigo]],tblEquipos[Codigo],tblEquipos[Estado Base]),"")</f>
        <v>Operativo</v>
      </c>
      <c r="W242" s="16" t="str">
        <f t="shared" si="24"/>
        <v>AL DÍA</v>
      </c>
      <c r="X242" s="16" t="str">
        <f t="shared" si="25"/>
        <v/>
      </c>
      <c r="Y242" s="23" t="str">
        <f>IFERROR(IF(OR(tblMaestroEquipos[[#This Row],[Estado Operacional]]="FUERA DE SERVICIO",tblMaestroEquipos[[#This Row],[Ultima Fecha Lectura]]="",tblMaestroEquipos[[#This Row],[Dias a Proxima Mantencion]]=""),"",tblMaestroEquipos[[#This Row],[Ultima Fecha Lectura]]+tblMaestroEquipos[[#This Row],[Dias a Proxima Mantencion]]),"")</f>
        <v/>
      </c>
      <c r="Z242" s="26" t="str">
        <f>IFERROR(IF(_xlfn.MINIFS(tblComprasPM[Fecha],tblComprasPM[Codigo],tblMaestroEquipos[[#This Row],[Codigo]])=0,"",_xlfn.MINIFS(tblComprasPM[Fecha],tblComprasPM[Codigo],tblMaestroEquipos[[#This Row],[Codigo]])),"")</f>
        <v/>
      </c>
      <c r="AA242" s="26" t="str">
        <f>IFERROR(IF(_xlfn.MAXIFS(tblBodega[Fecha],tblBodega[Codigo],tblMaestroEquipos[[#This Row],[Codigo]])=0,"",_xlfn.MAXIFS(tblBodega[Fecha],tblBodega[Codigo],tblMaestroEquipos[[#This Row],[Codigo]])),"")</f>
        <v/>
      </c>
      <c r="AB242" s="27" t="str">
        <f ca="1">IFERROR(IF(OR(tblMaestroEquipos[[#This Row],[Fecha Compra PM]]="",tblMaestroEquipos[[#This Row],[Fecha Compra PM]]=0),"",IF(OR(tblMaestroEquipos[[#This Row],[Ultima Fecha PM]]="",tblMaestroEquipos[[#This Row],[Ultima Fecha PM]]=0),MAX(0,INT(TODAY())-INT(tblMaestroEquipos[[#This Row],[Fecha Compra PM]])),MAX(0,INT(tblMaestroEquipos[[#This Row],[Ultima Fecha PM]])-INT(tblMaestroEquipos[[#This Row],[Fecha Compra PM]])))),"")</f>
        <v/>
      </c>
      <c r="AC242" s="16" t="str">
        <f ca="1">IFERROR(IF(OR(tblMaestroEquipos[[#This Row],[Fecha Salida Bodega]]="",tblMaestroEquipos[[#This Row],[Fecha Salida Bodega]]=0),"",IF(OR(tblMaestroEquipos[[#This Row],[Ultima Fecha PM]]="",tblMaestroEquipos[[#This Row],[Ultima Fecha PM]]=0),MAX(0,INT(TODAY())-INT(tblMaestroEquipos[[#This Row],[Fecha Salida Bodega]])),MAX(0,INT(tblMaestroEquipos[[#This Row],[Ultima Fecha PM]])-INT(tblMaestroEquipos[[#This Row],[Fecha Salida Bodega]])))),"")</f>
        <v/>
      </c>
      <c r="AD242" s="16" t="str">
        <f>IF(tblMaestroEquipos[[#This Row],[Fecha Salida Bodega]]="","SIN SALIDA BODEGA",IF(OR(tblMaestroEquipos[[#This Row],[Ultima Fecha PM]]="",tblMaestroEquipos[[#This Row],[Ultima Fecha PM]]&lt;tblMaestroEquipos[[#This Row],[Fecha Salida Bodega]]),"PENDIENTE","CERRADO"))</f>
        <v>SIN SALIDA BODEGA</v>
      </c>
      <c r="AE242" s="48" t="str">
        <f t="shared" si="26"/>
        <v>OPERATIVO</v>
      </c>
      <c r="AF242" s="16" t="str">
        <f t="shared" si="27"/>
        <v>BAJA</v>
      </c>
      <c r="AG242" s="16" t="str">
        <f t="shared" si="28"/>
        <v>Monitorear próximo vencimiento</v>
      </c>
      <c r="AH242">
        <f t="shared" si="29"/>
        <v>0</v>
      </c>
      <c r="AI242" t="str">
        <f t="shared" si="30"/>
        <v/>
      </c>
      <c r="AJ242" s="22">
        <f t="shared" si="31"/>
        <v>99</v>
      </c>
    </row>
  </sheetData>
  <mergeCells count="1">
    <mergeCell ref="A1:F2"/>
  </mergeCells>
  <conditionalFormatting sqref="A4:AG242">
    <cfRule type="expression" dxfId="35" priority="8">
      <formula>$W4="ATRASADA"</formula>
    </cfRule>
    <cfRule type="expression" dxfId="34" priority="9">
      <formula>$W4="REVISAR LECTURA"</formula>
    </cfRule>
    <cfRule type="expression" dxfId="33" priority="10">
      <formula>$W4="FUERA DE SERVICIO"</formula>
    </cfRule>
  </conditionalFormatting>
  <conditionalFormatting sqref="A4:AJ242">
    <cfRule type="expression" dxfId="32" priority="2">
      <formula>$W4="POR RECIBIR"</formula>
    </cfRule>
    <cfRule type="expression" dxfId="31" priority="3">
      <formula>$W4="EN TALLER"</formula>
    </cfRule>
    <cfRule type="expression" dxfId="30" priority="5">
      <formula>$W4="AL DÍA"</formula>
    </cfRule>
    <cfRule type="expression" dxfId="29" priority="6">
      <formula>$W4="PRÓXIMA"</formula>
    </cfRule>
    <cfRule type="expression" dxfId="28" priority="7">
      <formula>$W4="EN PROCESO"</formula>
    </cfRule>
  </conditionalFormatting>
  <conditionalFormatting sqref="AD1:AD1048576">
    <cfRule type="colorScale" priority="1">
      <colorScale>
        <cfvo type="min"/>
        <cfvo type="percentile" val="50"/>
        <cfvo type="max"/>
        <color rgb="FF63BE7B"/>
        <color rgb="FFFFEB84"/>
        <color rgb="FFF8696B"/>
      </colorScale>
    </cfRule>
  </conditionalFormatting>
  <hyperlinks>
    <hyperlink ref="AA66" r:id="rId1" display="mailto:=SI.ERROR(SI(MAX.SI.CONJUNTO(tblBodega[Fecha];tblBodega[Codigo];[@Codigo])=0;%22%22;MAX.SI.CONJUNTO(tblBodega[Fecha];tblBodega[Codigo];[@Codigo]));%22%22)" xr:uid="{00000000-0004-0000-0500-000000000000}"/>
  </hyperlinks>
  <pageMargins left="0.75" right="0.75" top="1" bottom="1" header="0.511811023622047" footer="0.511811023622047"/>
  <pageSetup paperSize="9"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47"/>
  <sheetViews>
    <sheetView zoomScaleNormal="100" workbookViewId="0">
      <pane ySplit="3" topLeftCell="A42" activePane="bottomLeft" state="frozen"/>
      <selection pane="bottomLeft" activeCell="A287" sqref="A287:XFD287"/>
      <selection activeCell="A287" sqref="A287:XFD287"/>
    </sheetView>
  </sheetViews>
  <sheetFormatPr defaultColWidth="9.140625" defaultRowHeight="15" customHeight="1"/>
  <cols>
    <col min="1" max="1" width="9.42578125" customWidth="1"/>
    <col min="2" max="2" width="20.85546875" customWidth="1"/>
    <col min="3" max="3" width="17.85546875" customWidth="1"/>
    <col min="4" max="4" width="8.42578125" customWidth="1"/>
    <col min="5" max="5" width="15.7109375" customWidth="1"/>
    <col min="6" max="6" width="13.140625" customWidth="1"/>
    <col min="7" max="7" width="17.7109375" customWidth="1"/>
    <col min="8" max="8" width="16.42578125" customWidth="1"/>
    <col min="9" max="9" width="16.85546875" style="39" customWidth="1"/>
    <col min="10" max="10" width="18" customWidth="1"/>
    <col min="11" max="11" width="16" customWidth="1"/>
    <col min="12" max="12" width="15.85546875" bestFit="1" customWidth="1"/>
    <col min="13" max="13" width="14" style="39" customWidth="1"/>
    <col min="14" max="14" width="16" customWidth="1"/>
    <col min="15" max="15" width="18" customWidth="1"/>
    <col min="16" max="16" width="31.28515625" bestFit="1" customWidth="1"/>
    <col min="17" max="17" width="31" bestFit="1" customWidth="1"/>
    <col min="18" max="18" width="24.5703125" bestFit="1" customWidth="1"/>
    <col min="19" max="19" width="40.28515625" customWidth="1"/>
  </cols>
  <sheetData>
    <row r="1" spans="1:19" ht="23.25" customHeight="1">
      <c r="A1" s="99" t="s">
        <v>1435</v>
      </c>
      <c r="B1" s="99"/>
      <c r="C1" s="99"/>
      <c r="D1" s="99"/>
      <c r="E1" s="99"/>
      <c r="F1" s="99"/>
      <c r="G1" s="99"/>
      <c r="H1" s="99"/>
      <c r="I1" s="99"/>
      <c r="J1" s="99"/>
      <c r="K1" s="99"/>
      <c r="L1" s="99"/>
      <c r="M1" s="99"/>
      <c r="N1" s="99"/>
      <c r="O1" s="99"/>
      <c r="P1" s="99"/>
      <c r="Q1" s="99"/>
      <c r="R1" s="99"/>
      <c r="S1" s="99"/>
    </row>
    <row r="2" spans="1:19">
      <c r="A2" s="100" t="s">
        <v>1436</v>
      </c>
      <c r="B2" s="100"/>
      <c r="C2" s="100"/>
      <c r="D2" s="100"/>
      <c r="E2" s="100"/>
      <c r="F2" s="100"/>
      <c r="G2" s="100"/>
      <c r="H2" s="100"/>
      <c r="I2" s="100"/>
      <c r="J2" s="100"/>
      <c r="K2" s="100"/>
      <c r="L2" s="100"/>
      <c r="M2" s="100"/>
      <c r="N2" s="100"/>
      <c r="O2" s="100"/>
      <c r="P2" s="100"/>
      <c r="Q2" s="100"/>
      <c r="R2" s="100"/>
      <c r="S2" s="100"/>
    </row>
    <row r="3" spans="1:19">
      <c r="A3" s="14" t="s">
        <v>1</v>
      </c>
      <c r="B3" s="14" t="s">
        <v>2</v>
      </c>
      <c r="C3" s="14" t="s">
        <v>1352</v>
      </c>
      <c r="D3" s="14" t="s">
        <v>1437</v>
      </c>
      <c r="E3" s="14" t="s">
        <v>1356</v>
      </c>
      <c r="F3" s="14" t="s">
        <v>1438</v>
      </c>
      <c r="G3" s="15" t="s">
        <v>11</v>
      </c>
      <c r="H3" s="14" t="s">
        <v>1439</v>
      </c>
      <c r="I3" s="51" t="s">
        <v>1440</v>
      </c>
      <c r="J3" s="14" t="s">
        <v>1441</v>
      </c>
      <c r="K3" s="15" t="s">
        <v>1442</v>
      </c>
      <c r="L3" s="14" t="s">
        <v>1443</v>
      </c>
      <c r="M3" s="52" t="s">
        <v>1357</v>
      </c>
      <c r="N3" s="15" t="s">
        <v>1367</v>
      </c>
      <c r="O3" s="14" t="s">
        <v>1368</v>
      </c>
      <c r="P3" s="15" t="s">
        <v>1444</v>
      </c>
      <c r="Q3" s="15" t="s">
        <v>1445</v>
      </c>
      <c r="R3" s="15" t="s">
        <v>1446</v>
      </c>
      <c r="S3" s="14" t="s">
        <v>1374</v>
      </c>
    </row>
    <row r="4" spans="1:19">
      <c r="A4" s="61" t="str" cm="1">
        <f t="array" ref="A4">IFERROR(INDEX(_xlfn._xlws.FILTER(Maestro_Equipos!$A$4:$A$242,Maestro_Equipos!$A$4:$A$242&lt;&gt;""),ROWS($A$4:A4)),"")</f>
        <v>CD-100</v>
      </c>
      <c r="B4" s="61" t="str">
        <f>IFERROR(_xlfn.XLOOKUP($A4,Maestro_Equipos!$A$4:$A$242,Maestro_Equipos!$B$4:$B$242,""),"")</f>
        <v>Camión Slurry</v>
      </c>
      <c r="C4" s="61" t="str">
        <f>IFERROR(_xlfn.XLOOKUP($A4,Maestro_Equipos!$A$4:$A$242,Maestro_Equipos!$C$4:$C$242,""),"")</f>
        <v>Camiones de Ruta</v>
      </c>
      <c r="D4" s="61" t="str">
        <f>IFERROR(VLOOKUP($A1,Maestro_Equipos!$A$4:$Z$242,9,FALSE),"")</f>
        <v/>
      </c>
      <c r="E4" s="61">
        <f>IFERROR(IF($D4="KM",_xlfn.XLOOKUP($A4,Maestro_Equipos!$A:$A,Maestro_Equipos!$N:$N,""),_xlfn.XLOOKUP($A4,Maestro_Equipos!$A:$A,Maestro_Equipos!$M:$M,"")),"")</f>
        <v>2852</v>
      </c>
      <c r="F4" s="61">
        <f>IFERROR(_xlfn.XLOOKUP($A4,Maestro_Equipos!$A:$A,Maestro_Equipos!$R:$R,"")+_xlfn.XLOOKUP($A4,Maestro_Equipos!$A:$A,Maestro_Equipos!$J:$J,""),"")</f>
        <v>3132</v>
      </c>
      <c r="G4" s="61">
        <f>IFERROR(_xlfn.XLOOKUP($A4,Maestro_Equipos!$A:$A,Maestro_Equipos!$K:$K,""),"")</f>
        <v>1</v>
      </c>
      <c r="H4" s="61">
        <f>IFERROR(IF(OR($E4="",$F4="",$G4="",$G4&lt;=0),"",ROUND(($F4-$E4)/$G4,0)),"")</f>
        <v>280</v>
      </c>
      <c r="I4" s="62">
        <f ca="1">IFERROR(IF($H4="","",TODAY()+$H4),"")</f>
        <v>46520</v>
      </c>
      <c r="J4" s="63" t="str">
        <f>IFERROR(INDEX(Maestro_Equipos!$V$4:$V$242,MATCH($A4,Maestro_Equipos!$A$4:$A$242,0)),"")</f>
        <v>Operativo</v>
      </c>
      <c r="K4" s="64">
        <f>IFERROR(
   SUMIFS(Mantenciones!$I:$I,Mantenciones!$B:$B,$A4)
 + SUMIFS('Compras PM'!$F:$F,'Compras PM'!$C:$C,$A4),0)</f>
        <v>199255.98</v>
      </c>
      <c r="L4" s="65" t="str">
        <f>IF($J4="Fuera de Servicio","NO PROGRAMAR",IF($H4="","SIN DATOS",IF($H4&lt;=0,"VENCIDA",IF($H4&lt;=7,"CRÍTICA",IF($H4&lt;=15,"ALTA",IF($H4&lt;=30,"MEDIA","BAJA"))))))</f>
        <v>BAJA</v>
      </c>
      <c r="M4" s="66" cm="1">
        <f t="array" ref="M4">IFERROR(_xlfn.AGGREGATE(14,6,Mantenciones!$A$3:$A$9916/(Mantenciones!$B$3:$B$9916=$A4),1),"")</f>
        <v>46113</v>
      </c>
      <c r="N4" s="67" cm="1">
        <f t="array" ref="N4">IFERROR(_xlfn.AGGREGATE(14,6,'Compras PM'!$A$4:$A$10029/('Compras PM'!$C$4:$C$10029=$A4),1),"")</f>
        <v>46085.626711226898</v>
      </c>
      <c r="O4" s="67">
        <f>IFERROR(VLOOKUP($A4,Maestro_Equipos!$A$4:$AG$242,27,FALSE()),"")</f>
        <v>46113</v>
      </c>
      <c r="P4" s="68">
        <f ca="1">IFERROR(IF($N4="","",IF(OR($M4="",$M4&lt;$N4),TODAY()-$N4,$M4-$N4)),"")</f>
        <v>27.373288773102104</v>
      </c>
      <c r="Q4" s="68">
        <f ca="1">IFERROR(IF($O4="","",IF(OR($M4="",$M4&lt;$O4),TODAY()-$O4,$M4-$O4)),"")</f>
        <v>0</v>
      </c>
      <c r="R4" s="65" t="str">
        <f>IF($O4="","SIN SALIDA",IF(OR($M4="",$M4&lt;$O4),"PENDIENTE","REALIZADA"))</f>
        <v>REALIZADA</v>
      </c>
      <c r="S4" s="69" t="str">
        <f>IFERROR(VLOOKUP($A4,Maestro_Equipos!$A$4:$AG$242,33,FALSE()),"")</f>
        <v>Monitorear próximo vencimiento</v>
      </c>
    </row>
    <row r="5" spans="1:19" ht="15" customHeight="1">
      <c r="A5" t="str" cm="1">
        <f t="array" ref="A5">IFERROR(INDEX(_xlfn._xlws.FILTER(Maestro_Equipos!$A$4:$A$242,Maestro_Equipos!$A$4:$A$242&lt;&gt;""),ROWS($A$4:A5)),"")</f>
        <v>CD-102</v>
      </c>
      <c r="B5" t="str">
        <f>IFERROR(_xlfn.XLOOKUP($A5,Maestro_Equipos!$A$4:$A$242,Maestro_Equipos!$B$4:$B$242,""),"")</f>
        <v>Camión Tolva</v>
      </c>
      <c r="C5" t="str">
        <f>IFERROR(_xlfn.XLOOKUP($A5,Maestro_Equipos!$A$4:$A$242,Maestro_Equipos!$C$4:$C$242,""),"")</f>
        <v>Camiones de Ruta</v>
      </c>
      <c r="D5" t="str">
        <f>IFERROR(_xlfn.XLOOKUP($A5,Maestro_Equipos!$A:$A,Maestro_Equipos!$I:$I,""),"")</f>
        <v>HORAS</v>
      </c>
      <c r="E5">
        <f>IFERROR(IF($D5="KM",_xlfn.XLOOKUP($A5,Maestro_Equipos!$A:$A,Maestro_Equipos!$N:$N,""),_xlfn.XLOOKUP($A5,Maestro_Equipos!$A:$A,Maestro_Equipos!$M:$M,"")),"")</f>
        <v>10633</v>
      </c>
      <c r="F5">
        <f>IFERROR(_xlfn.XLOOKUP($A5,Maestro_Equipos!$A:$A,Maestro_Equipos!$R:$R,"")+_xlfn.XLOOKUP($A5,Maestro_Equipos!$A:$A,Maestro_Equipos!$J:$J,""),"")</f>
        <v>11542</v>
      </c>
      <c r="G5">
        <f>IFERROR(_xlfn.XLOOKUP($A5,Maestro_Equipos!$A:$A,Maestro_Equipos!$K:$K,""),"")</f>
        <v>4.5</v>
      </c>
      <c r="H5">
        <f>IFERROR(IF(OR($E5="",$F5="",$G5="",$G5&lt;=0),"",ROUND(($F5-$E5)/$G5,0)),"")</f>
        <v>202</v>
      </c>
      <c r="I5" s="71">
        <f ca="1">IFERROR(IF($H5="","",TODAY()+$H5),"")</f>
        <v>46442</v>
      </c>
      <c r="J5" s="5" t="str">
        <f>IFERROR(INDEX(Maestro_Equipos!$V$4:$V$242,MATCH($A5,Maestro_Equipos!$A$4:$A$242,0)),"")</f>
        <v>Operativo</v>
      </c>
      <c r="K5" s="35">
        <f>IFERROR(
   SUMIFS(Mantenciones!$I:$I,Mantenciones!$B:$B,$A5)
 + SUMIFS('Compras PM'!$F:$F,'Compras PM'!$C:$C,$A5),0)</f>
        <v>314826.61529999995</v>
      </c>
      <c r="L5" s="28" t="str">
        <f>IF($J5="Fuera de Servicio","NO PROGRAMAR",IF($H5="","SIN DATOS",IF($H5&lt;=0,"VENCIDA",IF($H5&lt;=7,"CRÍTICA",IF($H5&lt;=15,"ALTA",IF($H5&lt;=30,"MEDIA","BAJA"))))))</f>
        <v>BAJA</v>
      </c>
      <c r="M5" s="53" cm="1">
        <f t="array" ref="M5">IFERROR(_xlfn.AGGREGATE(14,6,Mantenciones!$A$3:$A$9916/(Mantenciones!$B$3:$B$9916=$A5),1),"")</f>
        <v>46197</v>
      </c>
      <c r="N5" s="29" cm="1">
        <f t="array" ref="N5">IFERROR(_xlfn.AGGREGATE(14,6,'Compras PM'!$A$4:$A$10029/('Compras PM'!$C$4:$C$10029=$A5),1),"")</f>
        <v>46093.460116550901</v>
      </c>
      <c r="O5" s="29">
        <f>IFERROR(VLOOKUP($A5,Maestro_Equipos!$A$4:$AG$242,27,FALSE()),"")</f>
        <v>46174</v>
      </c>
      <c r="P5" s="30">
        <f ca="1">IFERROR(IF($N5="","",IF(OR($M5="",$M5&lt;$N5),TODAY()-$N5,$M5-$N5)),"")</f>
        <v>103.53988344909885</v>
      </c>
      <c r="Q5" s="30">
        <f ca="1">IFERROR(IF($O5="","",IF(OR($M5="",$M5&lt;$O5),TODAY()-$O5,$M5-$O5)),"")</f>
        <v>23</v>
      </c>
      <c r="R5" s="28" t="str">
        <f>IF($O5="","SIN SALIDA",IF(OR($M5="",$M5&lt;$O5),"PENDIENTE","REALIZADA"))</f>
        <v>REALIZADA</v>
      </c>
      <c r="S5" s="31" t="str">
        <f>IFERROR(VLOOKUP($A5,Maestro_Equipos!$A$4:$AG$242,33,FALSE()),"")</f>
        <v>Monitorear próximo vencimiento</v>
      </c>
    </row>
    <row r="6" spans="1:19">
      <c r="A6" t="str" cm="1">
        <f t="array" ref="A6">IFERROR(INDEX(_xlfn._xlws.FILTER(Maestro_Equipos!$A$4:$A$242,Maestro_Equipos!$A$4:$A$242&lt;&gt;""),ROWS($A$4:A6)),"")</f>
        <v>CD-103</v>
      </c>
      <c r="B6" t="str">
        <f>IFERROR(_xlfn.XLOOKUP($A6,Maestro_Equipos!$A$4:$A$242,Maestro_Equipos!$B$4:$B$242,""),"")</f>
        <v>Camión Tolva</v>
      </c>
      <c r="C6" t="str">
        <f>IFERROR(_xlfn.XLOOKUP($A6,Maestro_Equipos!$A$4:$A$242,Maestro_Equipos!$C$4:$C$242,""),"")</f>
        <v>Camiones de Ruta</v>
      </c>
      <c r="D6" t="str">
        <f>IFERROR(_xlfn.XLOOKUP($A6,Maestro_Equipos!$A:$A,Maestro_Equipos!$I:$I,""),"")</f>
        <v>HORAS</v>
      </c>
      <c r="E6">
        <f>IFERROR(IF($D6="KM",_xlfn.XLOOKUP($A6,Maestro_Equipos!$A:$A,Maestro_Equipos!$N:$N,""),_xlfn.XLOOKUP($A6,Maestro_Equipos!$A:$A,Maestro_Equipos!$M:$M,"")),"")</f>
        <v>5327</v>
      </c>
      <c r="F6">
        <f>IFERROR(_xlfn.XLOOKUP($A6,Maestro_Equipos!$A:$A,Maestro_Equipos!$R:$R,"")+_xlfn.XLOOKUP($A6,Maestro_Equipos!$A:$A,Maestro_Equipos!$J:$J,""),"")</f>
        <v>6442</v>
      </c>
      <c r="G6">
        <f>IFERROR(_xlfn.XLOOKUP($A6,Maestro_Equipos!$A:$A,Maestro_Equipos!$K:$K,""),"")</f>
        <v>0</v>
      </c>
      <c r="H6" t="str">
        <f>IFERROR(IF(OR($E6="",$F6="",$G6="",$G6&lt;=0),"",ROUND(($F6-$E6)/$G6,0)),"")</f>
        <v/>
      </c>
      <c r="I6" s="71" t="str">
        <f ca="1">IFERROR(IF($H6="","",TODAY()+$H6),"")</f>
        <v/>
      </c>
      <c r="J6" s="5" t="str">
        <f>IFERROR(INDEX(Maestro_Equipos!$V$4:$V$242,MATCH($A6,Maestro_Equipos!$A$4:$A$242,0)),"")</f>
        <v>Fuera de Servicio</v>
      </c>
      <c r="K6" s="35">
        <f>IFERROR(
   SUMIFS(Mantenciones!$I:$I,Mantenciones!$B:$B,$A6)
 + SUMIFS('Compras PM'!$F:$F,'Compras PM'!$C:$C,$A6),0)</f>
        <v>0</v>
      </c>
      <c r="L6" s="28" t="str">
        <f>IF($J6="Fuera de Servicio","NO PROGRAMAR",IF($H6="","SIN DATOS",IF($H6&lt;=0,"VENCIDA",IF($H6&lt;=7,"CRÍTICA",IF($H6&lt;=15,"ALTA",IF($H6&lt;=30,"MEDIA","BAJA"))))))</f>
        <v>NO PROGRAMAR</v>
      </c>
      <c r="M6" s="53" cm="1">
        <f t="array" ref="M6">IFERROR(_xlfn.AGGREGATE(14,6,Mantenciones!$A$3:$A$9916/(Mantenciones!$B$3:$B$9916=$A6),1),"")</f>
        <v>45234</v>
      </c>
      <c r="N6" s="29" t="str" cm="1">
        <f t="array" ref="N6">IFERROR(_xlfn.AGGREGATE(14,6,'Compras PM'!$A$4:$A$10029/('Compras PM'!$C$4:$C$10029=$A6),1),"")</f>
        <v/>
      </c>
      <c r="O6" s="29" t="str">
        <f>IFERROR(VLOOKUP($A6,Maestro_Equipos!$A$4:$AG$242,27,FALSE()),"")</f>
        <v/>
      </c>
      <c r="P6" s="30" t="str">
        <f ca="1">IFERROR(IF($N6="","",IF(OR($M6="",$M6&lt;$N6),TODAY()-$N6,$M6-$N6)),"")</f>
        <v/>
      </c>
      <c r="Q6" s="30" t="str">
        <f ca="1">IFERROR(IF($O6="","",IF(OR($M6="",$M6&lt;$O6),TODAY()-$O6,$M6-$O6)),"")</f>
        <v/>
      </c>
      <c r="R6" s="28" t="str">
        <f>IF($O6="","SIN SALIDA",IF(OR($M6="",$M6&lt;$O6),"PENDIENTE","REALIZADA"))</f>
        <v>SIN SALIDA</v>
      </c>
      <c r="S6" s="31" t="str">
        <f>IFERROR(VLOOKUP($A6,Maestro_Equipos!$A$4:$AG$242,33,FALSE()),"")</f>
        <v>No programar compra</v>
      </c>
    </row>
    <row r="7" spans="1:19">
      <c r="A7" t="str" cm="1">
        <f t="array" ref="A7">IFERROR(INDEX(_xlfn._xlws.FILTER(Maestro_Equipos!$A$4:$A$242,Maestro_Equipos!$A$4:$A$242&lt;&gt;""),ROWS($A$4:A7)),"")</f>
        <v>CD-104</v>
      </c>
      <c r="B7" t="str">
        <f>IFERROR(_xlfn.XLOOKUP($A7,Maestro_Equipos!$A$4:$A$242,Maestro_Equipos!$B$4:$B$242,""),"")</f>
        <v>Camión Tolva</v>
      </c>
      <c r="C7" t="str">
        <f>IFERROR(_xlfn.XLOOKUP($A7,Maestro_Equipos!$A$4:$A$242,Maestro_Equipos!$C$4:$C$242,""),"")</f>
        <v>Camiones de Ruta</v>
      </c>
      <c r="D7" t="str">
        <f>IFERROR(_xlfn.XLOOKUP($A7,Maestro_Equipos!$A:$A,Maestro_Equipos!$I:$I,""),"")</f>
        <v>HORAS</v>
      </c>
      <c r="E7">
        <f>IFERROR(IF($D7="KM",_xlfn.XLOOKUP($A7,Maestro_Equipos!$A:$A,Maestro_Equipos!$N:$N,""),_xlfn.XLOOKUP($A7,Maestro_Equipos!$A:$A,Maestro_Equipos!$M:$M,"")),"")</f>
        <v>8820</v>
      </c>
      <c r="F7">
        <f>IFERROR(_xlfn.XLOOKUP($A7,Maestro_Equipos!$A:$A,Maestro_Equipos!$R:$R,"")+_xlfn.XLOOKUP($A7,Maestro_Equipos!$A:$A,Maestro_Equipos!$J:$J,""),"")</f>
        <v>9275</v>
      </c>
      <c r="G7">
        <f>IFERROR(_xlfn.XLOOKUP($A7,Maestro_Equipos!$A:$A,Maestro_Equipos!$K:$K,""),"")</f>
        <v>0</v>
      </c>
      <c r="H7" t="str">
        <f>IFERROR(IF(OR($E7="",$F7="",$G7="",$G7&lt;=0),"",ROUND(($F7-$E7)/$G7,0)),"")</f>
        <v/>
      </c>
      <c r="I7" s="71" t="str">
        <f ca="1">IFERROR(IF($H7="","",TODAY()+$H7),"")</f>
        <v/>
      </c>
      <c r="J7" s="5" t="str">
        <f>IFERROR(INDEX(Maestro_Equipos!$V$4:$V$242,MATCH($A7,Maestro_Equipos!$A$4:$A$242,0)),"")</f>
        <v>Operativo</v>
      </c>
      <c r="K7" s="35">
        <f>IFERROR(
   SUMIFS(Mantenciones!$I:$I,Mantenciones!$B:$B,$A7)
 + SUMIFS('Compras PM'!$F:$F,'Compras PM'!$C:$C,$A7),0)</f>
        <v>314826.61529999995</v>
      </c>
      <c r="L7" s="28" t="str">
        <f>IF($J7="Fuera de Servicio","NO PROGRAMAR",IF($H7="","SIN DATOS",IF($H7&lt;=0,"VENCIDA",IF($H7&lt;=7,"CRÍTICA",IF($H7&lt;=15,"ALTA",IF($H7&lt;=30,"MEDIA","BAJA"))))))</f>
        <v>SIN DATOS</v>
      </c>
      <c r="M7" s="53" cm="1">
        <f t="array" ref="M7">IFERROR(_xlfn.AGGREGATE(14,6,Mantenciones!$A$3:$A$9916/(Mantenciones!$B$3:$B$9916=$A7),1),"")</f>
        <v>46175</v>
      </c>
      <c r="N7" s="29" cm="1">
        <f t="array" ref="N7">IFERROR(_xlfn.AGGREGATE(14,6,'Compras PM'!$A$4:$A$10029/('Compras PM'!$C$4:$C$10029=$A7),1),"")</f>
        <v>46093.460116550901</v>
      </c>
      <c r="O7" s="29">
        <f>IFERROR(VLOOKUP($A7,Maestro_Equipos!$A$4:$AG$242,27,FALSE()),"")</f>
        <v>46168</v>
      </c>
      <c r="P7" s="30">
        <f ca="1">IFERROR(IF($N7="","",IF(OR($M7="",$M7&lt;$N7),TODAY()-$N7,$M7-$N7)),"")</f>
        <v>81.539883449098852</v>
      </c>
      <c r="Q7" s="30">
        <f ca="1">IFERROR(IF($O7="","",IF(OR($M7="",$M7&lt;$O7),TODAY()-$O7,$M7-$O7)),"")</f>
        <v>7</v>
      </c>
      <c r="R7" s="28" t="str">
        <f>IF($O7="","SIN SALIDA",IF(OR($M7="",$M7&lt;$O7),"PENDIENTE","REALIZADA"))</f>
        <v>REALIZADA</v>
      </c>
      <c r="S7" s="31" t="str">
        <f>IFERROR(VLOOKUP($A7,Maestro_Equipos!$A$4:$AG$242,33,FALSE()),"")</f>
        <v>Monitorear próximo vencimiento</v>
      </c>
    </row>
    <row r="8" spans="1:19">
      <c r="A8" t="str" cm="1">
        <f t="array" ref="A8">IFERROR(INDEX(_xlfn._xlws.FILTER(Maestro_Equipos!$A$4:$A$242,Maestro_Equipos!$A$4:$A$242&lt;&gt;""),ROWS($A$4:A8)),"")</f>
        <v>CD-105</v>
      </c>
      <c r="B8" t="str">
        <f>IFERROR(_xlfn.XLOOKUP($A8,Maestro_Equipos!$A$4:$A$242,Maestro_Equipos!$B$4:$B$242,""),"")</f>
        <v>Camión Tolva</v>
      </c>
      <c r="C8" t="str">
        <f>IFERROR(_xlfn.XLOOKUP($A8,Maestro_Equipos!$A$4:$A$242,Maestro_Equipos!$C$4:$C$242,""),"")</f>
        <v>Camiones de Ruta</v>
      </c>
      <c r="D8" t="str">
        <f>IFERROR(_xlfn.XLOOKUP($A8,Maestro_Equipos!$A:$A,Maestro_Equipos!$I:$I,""),"")</f>
        <v>HORAS</v>
      </c>
      <c r="E8">
        <f>IFERROR(IF($D8="KM",_xlfn.XLOOKUP($A8,Maestro_Equipos!$A:$A,Maestro_Equipos!$N:$N,""),_xlfn.XLOOKUP($A8,Maestro_Equipos!$A:$A,Maestro_Equipos!$M:$M,"")),"")</f>
        <v>10821</v>
      </c>
      <c r="F8">
        <f>IFERROR(_xlfn.XLOOKUP($A8,Maestro_Equipos!$A:$A,Maestro_Equipos!$R:$R,"")+_xlfn.XLOOKUP($A8,Maestro_Equipos!$A:$A,Maestro_Equipos!$J:$J,""),"")</f>
        <v>11238</v>
      </c>
      <c r="G8">
        <f>IFERROR(_xlfn.XLOOKUP($A8,Maestro_Equipos!$A:$A,Maestro_Equipos!$K:$K,""),"")</f>
        <v>6.2</v>
      </c>
      <c r="H8">
        <f>IFERROR(IF(OR($E8="",$F8="",$G8="",$G8&lt;=0),"",ROUND(($F8-$E8)/$G8,0)),"")</f>
        <v>67</v>
      </c>
      <c r="I8" s="71">
        <f ca="1">IFERROR(IF($H8="","",TODAY()+$H8),"")</f>
        <v>46307</v>
      </c>
      <c r="J8" s="5" t="str">
        <f>IFERROR(INDEX(Maestro_Equipos!$V$4:$V$242,MATCH($A8,Maestro_Equipos!$A$4:$A$242,0)),"")</f>
        <v>Operativo</v>
      </c>
      <c r="K8" s="35">
        <f>IFERROR(
   SUMIFS(Mantenciones!$I:$I,Mantenciones!$B:$B,$A8)
 + SUMIFS('Compras PM'!$F:$F,'Compras PM'!$C:$C,$A8),0)</f>
        <v>50277.864000000001</v>
      </c>
      <c r="L8" s="28" t="str">
        <f>IF($J8="Fuera de Servicio","NO PROGRAMAR",IF($H8="","SIN DATOS",IF($H8&lt;=0,"VENCIDA",IF($H8&lt;=7,"CRÍTICA",IF($H8&lt;=15,"ALTA",IF($H8&lt;=30,"MEDIA","BAJA"))))))</f>
        <v>BAJA</v>
      </c>
      <c r="M8" s="53" cm="1">
        <f t="array" ref="M8">IFERROR(_xlfn.AGGREGATE(14,6,Mantenciones!$A$3:$A$9916/(Mantenciones!$B$3:$B$9916=$A8),1),"")</f>
        <v>46127</v>
      </c>
      <c r="N8" s="29" cm="1">
        <f t="array" ref="N8">IFERROR(_xlfn.AGGREGATE(14,6,'Compras PM'!$A$4:$A$10029/('Compras PM'!$C$4:$C$10029=$A8),1),"")</f>
        <v>46093.460116550901</v>
      </c>
      <c r="O8" s="29">
        <f>IFERROR(VLOOKUP($A8,Maestro_Equipos!$A$4:$AG$242,27,FALSE()),"")</f>
        <v>46105</v>
      </c>
      <c r="P8" s="30">
        <f ca="1">IFERROR(IF($N8="","",IF(OR($M8="",$M8&lt;$N8),TODAY()-$N8,$M8-$N8)),"")</f>
        <v>33.539883449098852</v>
      </c>
      <c r="Q8" s="30">
        <f ca="1">IFERROR(IF($O8="","",IF(OR($M8="",$M8&lt;$O8),TODAY()-$O8,$M8-$O8)),"")</f>
        <v>22</v>
      </c>
      <c r="R8" s="28" t="str">
        <f>IF($O8="","SIN SALIDA",IF(OR($M8="",$M8&lt;$O8),"PENDIENTE","REALIZADA"))</f>
        <v>REALIZADA</v>
      </c>
      <c r="S8" s="31" t="str">
        <f>IFERROR(VLOOKUP($A8,Maestro_Equipos!$A$4:$AG$242,33,FALSE()),"")</f>
        <v>Monitorear próximo vencimiento</v>
      </c>
    </row>
    <row r="9" spans="1:19">
      <c r="A9" t="str" cm="1">
        <f t="array" ref="A9">IFERROR(INDEX(_xlfn._xlws.FILTER(Maestro_Equipos!$A$4:$A$242,Maestro_Equipos!$A$4:$A$242&lt;&gt;""),ROWS($A$4:A9)),"")</f>
        <v>CD-106</v>
      </c>
      <c r="B9" t="str">
        <f>IFERROR(_xlfn.XLOOKUP($A9,Maestro_Equipos!$A$4:$A$242,Maestro_Equipos!$B$4:$B$242,""),"")</f>
        <v>Camión Tolva</v>
      </c>
      <c r="C9" t="str">
        <f>IFERROR(_xlfn.XLOOKUP($A9,Maestro_Equipos!$A$4:$A$242,Maestro_Equipos!$C$4:$C$242,""),"")</f>
        <v>Camiones de Ruta</v>
      </c>
      <c r="D9" t="str">
        <f>IFERROR(_xlfn.XLOOKUP($A9,Maestro_Equipos!$A:$A,Maestro_Equipos!$I:$I,""),"")</f>
        <v>HORAS</v>
      </c>
      <c r="E9">
        <f>IFERROR(IF($D9="KM",_xlfn.XLOOKUP($A9,Maestro_Equipos!$A:$A,Maestro_Equipos!$N:$N,""),_xlfn.XLOOKUP($A9,Maestro_Equipos!$A:$A,Maestro_Equipos!$M:$M,"")),"")</f>
        <v>8345</v>
      </c>
      <c r="F9">
        <f>IFERROR(_xlfn.XLOOKUP($A9,Maestro_Equipos!$A:$A,Maestro_Equipos!$R:$R,"")+_xlfn.XLOOKUP($A9,Maestro_Equipos!$A:$A,Maestro_Equipos!$J:$J,""),"")</f>
        <v>8819</v>
      </c>
      <c r="G9">
        <f>IFERROR(_xlfn.XLOOKUP($A9,Maestro_Equipos!$A:$A,Maestro_Equipos!$K:$K,""),"")</f>
        <v>2.2000000000000002</v>
      </c>
      <c r="H9">
        <f>IFERROR(IF(OR($E9="",$F9="",$G9="",$G9&lt;=0),"",ROUND(($F9-$E9)/$G9,0)),"")</f>
        <v>215</v>
      </c>
      <c r="I9" s="71">
        <f ca="1">IFERROR(IF($H9="","",TODAY()+$H9),"")</f>
        <v>46455</v>
      </c>
      <c r="J9" s="5" t="str">
        <f>IFERROR(INDEX(Maestro_Equipos!$V$4:$V$242,MATCH($A9,Maestro_Equipos!$A$4:$A$242,0)),"")</f>
        <v>Operativo</v>
      </c>
      <c r="K9" s="35">
        <f>IFERROR(
   SUMIFS(Mantenciones!$I:$I,Mantenciones!$B:$B,$A9)
 + SUMIFS('Compras PM'!$F:$F,'Compras PM'!$C:$C,$A9),0)</f>
        <v>49130.810399999995</v>
      </c>
      <c r="L9" s="28" t="str">
        <f>IF($J9="Fuera de Servicio","NO PROGRAMAR",IF($H9="","SIN DATOS",IF($H9&lt;=0,"VENCIDA",IF($H9&lt;=7,"CRÍTICA",IF($H9&lt;=15,"ALTA",IF($H9&lt;=30,"MEDIA","BAJA"))))))</f>
        <v>BAJA</v>
      </c>
      <c r="M9" s="53" cm="1">
        <f t="array" ref="M9">IFERROR(_xlfn.AGGREGATE(14,6,Mantenciones!$A$3:$A$9916/(Mantenciones!$B$3:$B$9916=$A9),1),"")</f>
        <v>46044</v>
      </c>
      <c r="N9" s="29" cm="1">
        <f t="array" ref="N9">IFERROR(_xlfn.AGGREGATE(14,6,'Compras PM'!$A$4:$A$10029/('Compras PM'!$C$4:$C$10029=$A9),1),"")</f>
        <v>46093.460116550901</v>
      </c>
      <c r="O9" s="29">
        <f>IFERROR(VLOOKUP($A9,Maestro_Equipos!$A$4:$AG$242,27,FALSE()),"")</f>
        <v>46044</v>
      </c>
      <c r="P9" s="30">
        <f ca="1">IFERROR(IF($N9="","",IF(OR($M9="",$M9&lt;$N9),TODAY()-$N9,$M9-$N9)),"")</f>
        <v>146.53988344909885</v>
      </c>
      <c r="Q9" s="30">
        <f ca="1">IFERROR(IF($O9="","",IF(OR($M9="",$M9&lt;$O9),TODAY()-$O9,$M9-$O9)),"")</f>
        <v>0</v>
      </c>
      <c r="R9" s="28" t="str">
        <f>IF($O9="","SIN SALIDA",IF(OR($M9="",$M9&lt;$O9),"PENDIENTE","REALIZADA"))</f>
        <v>REALIZADA</v>
      </c>
      <c r="S9" s="31" t="str">
        <f>IFERROR(VLOOKUP($A9,Maestro_Equipos!$A$4:$AG$242,33,FALSE()),"")</f>
        <v>Monitorear próximo vencimiento</v>
      </c>
    </row>
    <row r="10" spans="1:19">
      <c r="A10" t="str" cm="1">
        <f t="array" ref="A10">IFERROR(INDEX(_xlfn._xlws.FILTER(Maestro_Equipos!$A$4:$A$242,Maestro_Equipos!$A$4:$A$242&lt;&gt;""),ROWS($A$4:A10)),"")</f>
        <v>CD-107</v>
      </c>
      <c r="B10" t="str">
        <f>IFERROR(_xlfn.XLOOKUP($A10,Maestro_Equipos!$A$4:$A$242,Maestro_Equipos!$B$4:$B$242,""),"")</f>
        <v>Camión Tolva</v>
      </c>
      <c r="C10" t="str">
        <f>IFERROR(_xlfn.XLOOKUP($A10,Maestro_Equipos!$A$4:$A$242,Maestro_Equipos!$C$4:$C$242,""),"")</f>
        <v>Camiones de Ruta</v>
      </c>
      <c r="D10" t="str">
        <f>IFERROR(VLOOKUP($A7,Maestro_Equipos!$A$4:$Z$242,9,FALSE),"")</f>
        <v>HORAS</v>
      </c>
      <c r="E10">
        <f>IFERROR(IF($D10="KM",_xlfn.XLOOKUP($A10,Maestro_Equipos!$A:$A,Maestro_Equipos!$N:$N,""),_xlfn.XLOOKUP($A10,Maestro_Equipos!$A:$A,Maestro_Equipos!$M:$M,"")),"")</f>
        <v>10923</v>
      </c>
      <c r="F10">
        <f>IFERROR(_xlfn.XLOOKUP($A10,Maestro_Equipos!$A:$A,Maestro_Equipos!$R:$R,"")+_xlfn.XLOOKUP($A10,Maestro_Equipos!$A:$A,Maestro_Equipos!$J:$J,""),"")</f>
        <v>11474</v>
      </c>
      <c r="G10">
        <f>IFERROR(_xlfn.XLOOKUP($A10,Maestro_Equipos!$A:$A,Maestro_Equipos!$K:$K,""),"")</f>
        <v>3.8</v>
      </c>
      <c r="H10">
        <f>IFERROR(IF(OR($E10="",$F10="",$G10="",$G10&lt;=0),"",ROUND(($F10-$E10)/$G10,0)),"")</f>
        <v>145</v>
      </c>
      <c r="I10" s="71">
        <f ca="1">IFERROR(IF($H10="","",TODAY()+$H10),"")</f>
        <v>46385</v>
      </c>
      <c r="J10" s="5" t="str">
        <f>IFERROR(INDEX(Maestro_Equipos!$V$4:$V$242,MATCH($A10,Maestro_Equipos!$A$4:$A$242,0)),"")</f>
        <v>Operativo</v>
      </c>
      <c r="K10" s="35">
        <f>IFERROR(
   SUMIFS(Mantenciones!$I:$I,Mantenciones!$B:$B,$A10)
 + SUMIFS('Compras PM'!$F:$F,'Compras PM'!$C:$C,$A10),0)</f>
        <v>275874.6004</v>
      </c>
      <c r="L10" s="28" t="str">
        <f>IF($J10="Fuera de Servicio","NO PROGRAMAR",IF($H10="","SIN DATOS",IF($H10&lt;=0,"VENCIDA",IF($H10&lt;=7,"CRÍTICA",IF($H10&lt;=15,"ALTA",IF($H10&lt;=30,"MEDIA","BAJA"))))))</f>
        <v>BAJA</v>
      </c>
      <c r="M10" s="53" cm="1">
        <f t="array" ref="M10">IFERROR(_xlfn.AGGREGATE(14,6,Mantenciones!$A$3:$A$9916/(Mantenciones!$B$3:$B$9916=$A10),1),"")</f>
        <v>46181</v>
      </c>
      <c r="N10" s="29" cm="1">
        <f t="array" ref="N10">IFERROR(_xlfn.AGGREGATE(14,6,'Compras PM'!$A$4:$A$10029/('Compras PM'!$C$4:$C$10029=$A10),1),"")</f>
        <v>46178</v>
      </c>
      <c r="O10" s="29">
        <f>IFERROR(VLOOKUP($A10,Maestro_Equipos!$A$4:$AG$242,27,FALSE()),"")</f>
        <v>46179</v>
      </c>
      <c r="P10" s="30">
        <f ca="1">IFERROR(IF($N10="","",IF(OR($M10="",$M10&lt;$N10),TODAY()-$N10,$M10-$N10)),"")</f>
        <v>3</v>
      </c>
      <c r="Q10" s="30">
        <f ca="1">IFERROR(IF($O10="","",IF(OR($M10="",$M10&lt;$O10),TODAY()-$O10,$M10-$O10)),"")</f>
        <v>2</v>
      </c>
      <c r="R10" s="28" t="str">
        <f>IF($O10="","SIN SALIDA",IF(OR($M10="",$M10&lt;$O10),"PENDIENTE","REALIZADA"))</f>
        <v>REALIZADA</v>
      </c>
      <c r="S10" s="31" t="str">
        <f>IFERROR(VLOOKUP($A10,Maestro_Equipos!$A$4:$AG$242,33,FALSE()),"")</f>
        <v>Monitorear próximo vencimiento</v>
      </c>
    </row>
    <row r="11" spans="1:19" ht="15" customHeight="1">
      <c r="A11" t="str" cm="1">
        <f t="array" ref="A11">IFERROR(INDEX(_xlfn._xlws.FILTER(Maestro_Equipos!$A$4:$A$242,Maestro_Equipos!$A$4:$A$242&lt;&gt;""),ROWS($A$4:A11)),"")</f>
        <v>CD-108</v>
      </c>
      <c r="B11" t="str">
        <f>IFERROR(_xlfn.XLOOKUP($A11,Maestro_Equipos!$A$4:$A$242,Maestro_Equipos!$B$4:$B$242,""),"")</f>
        <v>Camión Slurry</v>
      </c>
      <c r="C11" t="str">
        <f>IFERROR(_xlfn.XLOOKUP($A11,Maestro_Equipos!$A$4:$A$242,Maestro_Equipos!$C$4:$C$242,""),"")</f>
        <v>Camiones de Ruta</v>
      </c>
      <c r="D11" t="str">
        <f>IFERROR(_xlfn.XLOOKUP($A11,Maestro_Equipos!$A:$A,Maestro_Equipos!$I:$I,""),"")</f>
        <v>HORAS</v>
      </c>
      <c r="E11">
        <f>IFERROR(IF($D11="KM",_xlfn.XLOOKUP($A11,Maestro_Equipos!$A:$A,Maestro_Equipos!$N:$N,""),_xlfn.XLOOKUP($A11,Maestro_Equipos!$A:$A,Maestro_Equipos!$M:$M,"")),"")</f>
        <v>9884</v>
      </c>
      <c r="F11" t="str">
        <f>IFERROR(_xlfn.XLOOKUP($A11,Maestro_Equipos!$A:$A,Maestro_Equipos!$R:$R,"")+_xlfn.XLOOKUP($A11,Maestro_Equipos!$A:$A,Maestro_Equipos!$J:$J,""),"")</f>
        <v/>
      </c>
      <c r="G11">
        <f>IFERROR(_xlfn.XLOOKUP($A11,Maestro_Equipos!$A:$A,Maestro_Equipos!$K:$K,""),"")</f>
        <v>137.19999999999999</v>
      </c>
      <c r="H11" t="str">
        <f>IFERROR(IF(OR($E11="",$F11="",$G11="",$G11&lt;=0),"",ROUND(($F11-$E11)/$G11,0)),"")</f>
        <v/>
      </c>
      <c r="I11" s="71" t="str">
        <f ca="1">IFERROR(IF($H11="","",TODAY()+$H11),"")</f>
        <v/>
      </c>
      <c r="J11" s="5" t="str">
        <f>IFERROR(INDEX(Maestro_Equipos!$V$4:$V$242,MATCH($A11,Maestro_Equipos!$A$4:$A$242,0)),"")</f>
        <v>Operativo</v>
      </c>
      <c r="K11" s="35">
        <f>IFERROR(
   SUMIFS(Mantenciones!$I:$I,Mantenciones!$B:$B,$A11)
 + SUMIFS('Compras PM'!$F:$F,'Compras PM'!$C:$C,$A11),0)</f>
        <v>251368.46356999999</v>
      </c>
      <c r="L11" s="28" t="str">
        <f>IF($J11="Fuera de Servicio","NO PROGRAMAR",IF($H11="","SIN DATOS",IF($H11&lt;=0,"VENCIDA",IF($H11&lt;=7,"CRÍTICA",IF($H11&lt;=15,"ALTA",IF($H11&lt;=30,"MEDIA","BAJA"))))))</f>
        <v>SIN DATOS</v>
      </c>
      <c r="M11" s="53" cm="1">
        <f t="array" ref="M11">IFERROR(_xlfn.AGGREGATE(14,6,Mantenciones!$A$3:$A$9916/(Mantenciones!$B$3:$B$9916=$A11),1),"")</f>
        <v>45015</v>
      </c>
      <c r="N11" s="29" cm="1">
        <f t="array" ref="N11">IFERROR(_xlfn.AGGREGATE(14,6,'Compras PM'!$A$4:$A$10029/('Compras PM'!$C$4:$C$10029=$A11),1),"")</f>
        <v>46146.541249803202</v>
      </c>
      <c r="O11" s="29" t="str">
        <f>IFERROR(VLOOKUP($A11,Maestro_Equipos!$A$4:$AG$242,27,FALSE()),"")</f>
        <v/>
      </c>
      <c r="P11" s="30">
        <f ca="1">IFERROR(IF($N11="","",IF(OR($M11="",$M11&lt;$N11),TODAY()-$N11,$M11-$N11)),"")</f>
        <v>93.458750196798064</v>
      </c>
      <c r="Q11" s="30" t="str">
        <f ca="1">IFERROR(IF($O11="","",IF(OR($M11="",$M11&lt;$O11),TODAY()-$O11,$M11-$O11)),"")</f>
        <v/>
      </c>
      <c r="R11" s="28" t="str">
        <f>IF($O11="","SIN SALIDA",IF(OR($M11="",$M11&lt;$O11),"PENDIENTE","REALIZADA"))</f>
        <v>SIN SALIDA</v>
      </c>
      <c r="S11" s="31" t="str">
        <f>IFERROR(VLOOKUP($A11,Maestro_Equipos!$A$4:$AG$242,33,FALSE()),"")</f>
        <v>Hacer seguimiento al taller y cerrar report</v>
      </c>
    </row>
    <row r="12" spans="1:19">
      <c r="A12" t="str" cm="1">
        <f t="array" ref="A12">IFERROR(INDEX(_xlfn._xlws.FILTER(Maestro_Equipos!$A$4:$A$242,Maestro_Equipos!$A$4:$A$242&lt;&gt;""),ROWS($A$4:A12)),"")</f>
        <v>CD-109</v>
      </c>
      <c r="B12" t="str">
        <f>IFERROR(_xlfn.XLOOKUP($A12,Maestro_Equipos!$A$4:$A$242,Maestro_Equipos!$B$4:$B$242,""),"")</f>
        <v>Camión Plano</v>
      </c>
      <c r="C12" t="str">
        <f>IFERROR(_xlfn.XLOOKUP($A12,Maestro_Equipos!$A$4:$A$242,Maestro_Equipos!$C$4:$C$242,""),"")</f>
        <v>Camiones de Ruta</v>
      </c>
      <c r="D12" t="str">
        <f>IFERROR(VLOOKUP($A9,Maestro_Equipos!$A$4:$Z$242,9,FALSE),"")</f>
        <v>HORAS</v>
      </c>
      <c r="E12">
        <f>IFERROR(IF($D12="KM",_xlfn.XLOOKUP($A12,Maestro_Equipos!$A:$A,Maestro_Equipos!$N:$N,""),_xlfn.XLOOKUP($A12,Maestro_Equipos!$A:$A,Maestro_Equipos!$M:$M,"")),"")</f>
        <v>0</v>
      </c>
      <c r="F12">
        <f>IFERROR(_xlfn.XLOOKUP($A12,Maestro_Equipos!$A:$A,Maestro_Equipos!$R:$R,"")+_xlfn.XLOOKUP($A12,Maestro_Equipos!$A:$A,Maestro_Equipos!$J:$J,""),"")</f>
        <v>199849</v>
      </c>
      <c r="G12">
        <f>IFERROR(_xlfn.XLOOKUP($A12,Maestro_Equipos!$A:$A,Maestro_Equipos!$K:$K,""),"")</f>
        <v>40.4</v>
      </c>
      <c r="H12">
        <f>IFERROR(IF(OR($E12="",$F12="",$G12="",$G12&lt;=0),"",ROUND(($F12-$E12)/$G12,0)),"")</f>
        <v>4947</v>
      </c>
      <c r="I12" s="71">
        <f ca="1">IFERROR(IF($H12="","",TODAY()+$H12),"")</f>
        <v>51187</v>
      </c>
      <c r="J12" s="5" t="str">
        <f>IFERROR(INDEX(Maestro_Equipos!$V$4:$V$242,MATCH($A12,Maestro_Equipos!$A$4:$A$242,0)),"")</f>
        <v>Operativo</v>
      </c>
      <c r="K12" s="35">
        <f>IFERROR(
   SUMIFS(Mantenciones!$I:$I,Mantenciones!$B:$B,$A12)
 + SUMIFS('Compras PM'!$F:$F,'Compras PM'!$C:$C,$A12),0)</f>
        <v>186232.99</v>
      </c>
      <c r="L12" s="28" t="str">
        <f>IF($J12="Fuera de Servicio","NO PROGRAMAR",IF($H12="","SIN DATOS",IF($H12&lt;=0,"VENCIDA",IF($H12&lt;=7,"CRÍTICA",IF($H12&lt;=15,"ALTA",IF($H12&lt;=30,"MEDIA","BAJA"))))))</f>
        <v>BAJA</v>
      </c>
      <c r="M12" s="53" cm="1">
        <f t="array" ref="M12">IFERROR(_xlfn.AGGREGATE(14,6,Mantenciones!$A$3:$A$9916/(Mantenciones!$B$3:$B$9916=$A12),1),"")</f>
        <v>46093</v>
      </c>
      <c r="N12" s="29" cm="1">
        <f t="array" ref="N12">IFERROR(_xlfn.AGGREGATE(14,6,'Compras PM'!$A$4:$A$10029/('Compras PM'!$C$4:$C$10029=$A12),1),"")</f>
        <v>46204</v>
      </c>
      <c r="O12" s="29">
        <f>IFERROR(VLOOKUP($A12,Maestro_Equipos!$A$4:$AG$242,27,FALSE()),"")</f>
        <v>46091</v>
      </c>
      <c r="P12" s="30">
        <f ca="1">IFERROR(IF($N12="","",IF(OR($M12="",$M12&lt;$N12),TODAY()-$N12,$M12-$N12)),"")</f>
        <v>36</v>
      </c>
      <c r="Q12" s="30">
        <f ca="1">IFERROR(IF($O12="","",IF(OR($M12="",$M12&lt;$O12),TODAY()-$O12,$M12-$O12)),"")</f>
        <v>2</v>
      </c>
      <c r="R12" s="28" t="str">
        <f>IF($O12="","SIN SALIDA",IF(OR($M12="",$M12&lt;$O12),"PENDIENTE","REALIZADA"))</f>
        <v>REALIZADA</v>
      </c>
      <c r="S12" s="31" t="str">
        <f>IFERROR(VLOOKUP($A12,Maestro_Equipos!$A$4:$AG$242,33,FALSE()),"")</f>
        <v>Monitorear próximo vencimiento</v>
      </c>
    </row>
    <row r="13" spans="1:19">
      <c r="A13" t="str" cm="1">
        <f t="array" ref="A13">IFERROR(INDEX(_xlfn._xlws.FILTER(Maestro_Equipos!$A$4:$A$242,Maestro_Equipos!$A$4:$A$242&lt;&gt;""),ROWS($A$4:A13)),"")</f>
        <v>CD-110</v>
      </c>
      <c r="B13" t="str">
        <f>IFERROR(_xlfn.XLOOKUP($A13,Maestro_Equipos!$A$4:$A$242,Maestro_Equipos!$B$4:$B$242,""),"")</f>
        <v>Camión Plano</v>
      </c>
      <c r="C13" t="str">
        <f>IFERROR(_xlfn.XLOOKUP($A13,Maestro_Equipos!$A$4:$A$242,Maestro_Equipos!$C$4:$C$242,""),"")</f>
        <v>Camiones de Ruta</v>
      </c>
      <c r="D13" t="str">
        <f>IFERROR(_xlfn.XLOOKUP($A13,Maestro_Equipos!$A:$A,Maestro_Equipos!$I:$I,""),"")</f>
        <v>HORAS</v>
      </c>
      <c r="E13">
        <f>IFERROR(IF($D13="KM",_xlfn.XLOOKUP($A13,Maestro_Equipos!$A:$A,Maestro_Equipos!$N:$N,""),_xlfn.XLOOKUP($A13,Maestro_Equipos!$A:$A,Maestro_Equipos!$M:$M,"")),"")</f>
        <v>0</v>
      </c>
      <c r="F13">
        <f>IFERROR(_xlfn.XLOOKUP($A13,Maestro_Equipos!$A:$A,Maestro_Equipos!$R:$R,"")+_xlfn.XLOOKUP($A13,Maestro_Equipos!$A:$A,Maestro_Equipos!$J:$J,""),"")</f>
        <v>275798</v>
      </c>
      <c r="G13">
        <f>IFERROR(_xlfn.XLOOKUP($A13,Maestro_Equipos!$A:$A,Maestro_Equipos!$K:$K,""),"")</f>
        <v>0</v>
      </c>
      <c r="H13" t="str">
        <f>IFERROR(IF(OR($E13="",$F13="",$G13="",$G13&lt;=0),"",ROUND(($F13-$E13)/$G13,0)),"")</f>
        <v/>
      </c>
      <c r="I13" s="71" t="str">
        <f ca="1">IFERROR(IF($H13="","",TODAY()+$H13),"")</f>
        <v/>
      </c>
      <c r="J13" s="5" t="str">
        <f>IFERROR(INDEX(Maestro_Equipos!$V$4:$V$242,MATCH($A13,Maestro_Equipos!$A$4:$A$242,0)),"")</f>
        <v>Operativo</v>
      </c>
      <c r="K13" s="35">
        <f>IFERROR(
   SUMIFS(Mantenciones!$I:$I,Mantenciones!$B:$B,$A13)
 + SUMIFS('Compras PM'!$F:$F,'Compras PM'!$C:$C,$A13),0)</f>
        <v>21301</v>
      </c>
      <c r="L13" s="28" t="str">
        <f>IF($J13="Fuera de Servicio","NO PROGRAMAR",IF($H13="","SIN DATOS",IF($H13&lt;=0,"VENCIDA",IF($H13&lt;=7,"CRÍTICA",IF($H13&lt;=15,"ALTA",IF($H13&lt;=30,"MEDIA","BAJA"))))))</f>
        <v>SIN DATOS</v>
      </c>
      <c r="M13" s="53" cm="1">
        <f t="array" ref="M13">IFERROR(_xlfn.AGGREGATE(14,6,Mantenciones!$A$3:$A$9916/(Mantenciones!$B$3:$B$9916=$A13),1),"")</f>
        <v>46105</v>
      </c>
      <c r="N13" s="29" cm="1">
        <f t="array" ref="N13">IFERROR(_xlfn.AGGREGATE(14,6,'Compras PM'!$A$4:$A$10029/('Compras PM'!$C$4:$C$10029=$A13),1),"")</f>
        <v>46076.363726701398</v>
      </c>
      <c r="O13" s="29">
        <f>IFERROR(VLOOKUP($A13,Maestro_Equipos!$A$4:$AG$242,27,FALSE()),"")</f>
        <v>46101</v>
      </c>
      <c r="P13" s="30">
        <f ca="1">IFERROR(IF($N13="","",IF(OR($M13="",$M13&lt;$N13),TODAY()-$N13,$M13-$N13)),"")</f>
        <v>28.636273298601736</v>
      </c>
      <c r="Q13" s="30">
        <f ca="1">IFERROR(IF($O13="","",IF(OR($M13="",$M13&lt;$O13),TODAY()-$O13,$M13-$O13)),"")</f>
        <v>4</v>
      </c>
      <c r="R13" s="28" t="str">
        <f>IF($O13="","SIN SALIDA",IF(OR($M13="",$M13&lt;$O13),"PENDIENTE","REALIZADA"))</f>
        <v>REALIZADA</v>
      </c>
      <c r="S13" s="31" t="str">
        <f>IFERROR(VLOOKUP($A13,Maestro_Equipos!$A$4:$AG$242,33,FALSE()),"")</f>
        <v>Monitorear próximo vencimiento</v>
      </c>
    </row>
    <row r="14" spans="1:19" ht="18" customHeight="1">
      <c r="A14" t="str" cm="1">
        <f t="array" ref="A14">IFERROR(INDEX(_xlfn._xlws.FILTER(Maestro_Equipos!$A$4:$A$242,Maestro_Equipos!$A$4:$A$242&lt;&gt;""),ROWS($A$4:A14)),"")</f>
        <v>CD-111</v>
      </c>
      <c r="B14" t="str">
        <f>IFERROR(_xlfn.XLOOKUP($A14,Maestro_Equipos!$A$4:$A$242,Maestro_Equipos!$B$4:$B$242,""),"")</f>
        <v>Camión Plano</v>
      </c>
      <c r="C14" t="str">
        <f>IFERROR(_xlfn.XLOOKUP($A14,Maestro_Equipos!$A$4:$A$242,Maestro_Equipos!$C$4:$C$242,""),"")</f>
        <v>Camiones de Ruta</v>
      </c>
      <c r="D14" t="str">
        <f>IFERROR(_xlfn.XLOOKUP($A14,Maestro_Equipos!$A:$A,Maestro_Equipos!$I:$I,""),"")</f>
        <v>HORAS</v>
      </c>
      <c r="E14">
        <f>IFERROR(IF($D14="KM",_xlfn.XLOOKUP($A14,Maestro_Equipos!$A:$A,Maestro_Equipos!$N:$N,""),_xlfn.XLOOKUP($A14,Maestro_Equipos!$A:$A,Maestro_Equipos!$M:$M,"")),"")</f>
        <v>0</v>
      </c>
      <c r="F14" t="str">
        <f>IFERROR(_xlfn.XLOOKUP($A14,Maestro_Equipos!$A:$A,Maestro_Equipos!$R:$R,"")+_xlfn.XLOOKUP($A14,Maestro_Equipos!$A:$A,Maestro_Equipos!$J:$J,""),"")</f>
        <v/>
      </c>
      <c r="G14">
        <f>IFERROR(_xlfn.XLOOKUP($A14,Maestro_Equipos!$A:$A,Maestro_Equipos!$K:$K,""),"")</f>
        <v>0</v>
      </c>
      <c r="H14" t="str">
        <f>IFERROR(IF(OR($E14="",$F14="",$G14="",$G14&lt;=0),"",ROUND(($F14-$E14)/$G14,0)),"")</f>
        <v/>
      </c>
      <c r="I14" s="71" t="str">
        <f ca="1">IFERROR(IF($H14="","",TODAY()+$H14),"")</f>
        <v/>
      </c>
      <c r="J14" s="5" t="str">
        <f>IFERROR(INDEX(Maestro_Equipos!$V$4:$V$242,MATCH($A14,Maestro_Equipos!$A$4:$A$242,0)),"")</f>
        <v>Fuera de Servicio</v>
      </c>
      <c r="K14" s="35">
        <f>IFERROR(
   SUMIFS(Mantenciones!$I:$I,Mantenciones!$B:$B,$A14)
 + SUMIFS('Compras PM'!$F:$F,'Compras PM'!$C:$C,$A14),0)</f>
        <v>0</v>
      </c>
      <c r="L14" s="28" t="str">
        <f>IF($J14="Fuera de Servicio","NO PROGRAMAR",IF($H14="","SIN DATOS",IF($H14&lt;=0,"VENCIDA",IF($H14&lt;=7,"CRÍTICA",IF($H14&lt;=15,"ALTA",IF($H14&lt;=30,"MEDIA","BAJA"))))))</f>
        <v>NO PROGRAMAR</v>
      </c>
      <c r="M14" s="53" t="str" cm="1">
        <f t="array" ref="M14">IFERROR(_xlfn.AGGREGATE(14,6,Mantenciones!$A$3:$A$9916/(Mantenciones!$B$3:$B$9916=$A14),1),"")</f>
        <v/>
      </c>
      <c r="N14" s="29" t="str" cm="1">
        <f t="array" ref="N14">IFERROR(_xlfn.AGGREGATE(14,6,'Compras PM'!$A$4:$A$10029/('Compras PM'!$C$4:$C$10029=$A14),1),"")</f>
        <v/>
      </c>
      <c r="O14" s="29" t="str">
        <f>IFERROR(VLOOKUP($A14,Maestro_Equipos!$A$4:$AG$242,27,FALSE()),"")</f>
        <v/>
      </c>
      <c r="P14" s="30" t="str">
        <f ca="1">IFERROR(IF($N14="","",IF(OR($M14="",$M14&lt;$N14),TODAY()-$N14,$M14-$N14)),"")</f>
        <v/>
      </c>
      <c r="Q14" s="30" t="str">
        <f ca="1">IFERROR(IF($O14="","",IF(OR($M14="",$M14&lt;$O14),TODAY()-$O14,$M14-$O14)),"")</f>
        <v/>
      </c>
      <c r="R14" s="28" t="str">
        <f>IF($O14="","SIN SALIDA",IF(OR($M14="",$M14&lt;$O14),"PENDIENTE","REALIZADA"))</f>
        <v>SIN SALIDA</v>
      </c>
      <c r="S14" s="31" t="str">
        <f>IFERROR(VLOOKUP($A14,Maestro_Equipos!$A$4:$AG$242,33,FALSE()),"")</f>
        <v>No programar compra</v>
      </c>
    </row>
    <row r="15" spans="1:19">
      <c r="A15" t="str" cm="1">
        <f t="array" ref="A15">IFERROR(INDEX(_xlfn._xlws.FILTER(Maestro_Equipos!$A$4:$A$242,Maestro_Equipos!$A$4:$A$242&lt;&gt;""),ROWS($A$4:A15)),"")</f>
        <v>CD-112</v>
      </c>
      <c r="B15" t="str">
        <f>IFERROR(_xlfn.XLOOKUP($A15,Maestro_Equipos!$A$4:$A$242,Maestro_Equipos!$B$4:$B$242,""),"")</f>
        <v>Camión Pintura</v>
      </c>
      <c r="C15" t="str">
        <f>IFERROR(_xlfn.XLOOKUP($A15,Maestro_Equipos!$A$4:$A$242,Maestro_Equipos!$C$4:$C$242,""),"")</f>
        <v>Camiones de Ruta</v>
      </c>
      <c r="D15" t="str">
        <f>IFERROR(_xlfn.XLOOKUP($A15,Maestro_Equipos!$A:$A,Maestro_Equipos!$I:$I,""),"")</f>
        <v>HORAS</v>
      </c>
      <c r="E15">
        <f>IFERROR(IF($D15="KM",_xlfn.XLOOKUP($A15,Maestro_Equipos!$A:$A,Maestro_Equipos!$N:$N,""),_xlfn.XLOOKUP($A15,Maestro_Equipos!$A:$A,Maestro_Equipos!$M:$M,"")),"")</f>
        <v>0</v>
      </c>
      <c r="F15" t="str">
        <f>IFERROR(_xlfn.XLOOKUP($A15,Maestro_Equipos!$A:$A,Maestro_Equipos!$R:$R,"")+_xlfn.XLOOKUP($A15,Maestro_Equipos!$A:$A,Maestro_Equipos!$J:$J,""),"")</f>
        <v/>
      </c>
      <c r="G15">
        <f>IFERROR(_xlfn.XLOOKUP($A15,Maestro_Equipos!$A:$A,Maestro_Equipos!$K:$K,""),"")</f>
        <v>0</v>
      </c>
      <c r="H15" t="str">
        <f>IFERROR(IF(OR($E15="",$F15="",$G15="",$G15&lt;=0),"",ROUND(($F15-$E15)/$G15,0)),"")</f>
        <v/>
      </c>
      <c r="I15" s="71" t="str">
        <f ca="1">IFERROR(IF($H15="","",TODAY()+$H15),"")</f>
        <v/>
      </c>
      <c r="J15" s="5" t="str">
        <f>IFERROR(INDEX(Maestro_Equipos!$V$4:$V$242,MATCH($A15,Maestro_Equipos!$A$4:$A$242,0)),"")</f>
        <v>Fuera de Servicio</v>
      </c>
      <c r="K15" s="35">
        <f>IFERROR(
   SUMIFS(Mantenciones!$I:$I,Mantenciones!$B:$B,$A15)
 + SUMIFS('Compras PM'!$F:$F,'Compras PM'!$C:$C,$A15),0)</f>
        <v>0</v>
      </c>
      <c r="L15" s="28" t="str">
        <f>IF($J15="Fuera de Servicio","NO PROGRAMAR",IF($H15="","SIN DATOS",IF($H15&lt;=0,"VENCIDA",IF($H15&lt;=7,"CRÍTICA",IF($H15&lt;=15,"ALTA",IF($H15&lt;=30,"MEDIA","BAJA"))))))</f>
        <v>NO PROGRAMAR</v>
      </c>
      <c r="M15" s="53" cm="1">
        <f t="array" ref="M15">IFERROR(_xlfn.AGGREGATE(14,6,Mantenciones!$A$3:$A$9916/(Mantenciones!$B$3:$B$9916=$A15),1),"")</f>
        <v>44455</v>
      </c>
      <c r="N15" s="29" t="str" cm="1">
        <f t="array" ref="N15">IFERROR(_xlfn.AGGREGATE(14,6,'Compras PM'!$A$4:$A$10029/('Compras PM'!$C$4:$C$10029=$A15),1),"")</f>
        <v/>
      </c>
      <c r="O15" s="29" t="str">
        <f>IFERROR(VLOOKUP($A15,Maestro_Equipos!$A$4:$AG$242,27,FALSE()),"")</f>
        <v/>
      </c>
      <c r="P15" s="30" t="str">
        <f ca="1">IFERROR(IF($N15="","",IF(OR($M15="",$M15&lt;$N15),TODAY()-$N15,$M15-$N15)),"")</f>
        <v/>
      </c>
      <c r="Q15" s="30" t="str">
        <f ca="1">IFERROR(IF($O15="","",IF(OR($M15="",$M15&lt;$O15),TODAY()-$O15,$M15-$O15)),"")</f>
        <v/>
      </c>
      <c r="R15" s="28" t="str">
        <f>IF($O15="","SIN SALIDA",IF(OR($M15="",$M15&lt;$O15),"PENDIENTE","REALIZADA"))</f>
        <v>SIN SALIDA</v>
      </c>
      <c r="S15" s="31" t="str">
        <f>IFERROR(VLOOKUP($A15,Maestro_Equipos!$A$4:$AG$242,33,FALSE()),"")</f>
        <v>No programar compra</v>
      </c>
    </row>
    <row r="16" spans="1:19" ht="15" customHeight="1">
      <c r="A16" t="str" cm="1">
        <f t="array" ref="A16">IFERROR(INDEX(_xlfn._xlws.FILTER(Maestro_Equipos!$A$4:$A$242,Maestro_Equipos!$A$4:$A$242&lt;&gt;""),ROWS($A$4:A16)),"")</f>
        <v>CD-113</v>
      </c>
      <c r="B16" t="str">
        <f>IFERROR(_xlfn.XLOOKUP($A16,Maestro_Equipos!$A$4:$A$242,Maestro_Equipos!$B$4:$B$242,""),"")</f>
        <v>Camión Imprimador</v>
      </c>
      <c r="C16" t="str">
        <f>IFERROR(_xlfn.XLOOKUP($A16,Maestro_Equipos!$A$4:$A$242,Maestro_Equipos!$C$4:$C$242,""),"")</f>
        <v>Camiones de Ruta</v>
      </c>
      <c r="D16" t="str">
        <f>IFERROR(_xlfn.XLOOKUP($A16,Maestro_Equipos!$A:$A,Maestro_Equipos!$I:$I,""),"")</f>
        <v>HORAS</v>
      </c>
      <c r="E16">
        <f>IFERROR(IF($D16="KM",_xlfn.XLOOKUP($A16,Maestro_Equipos!$A:$A,Maestro_Equipos!$N:$N,""),_xlfn.XLOOKUP($A16,Maestro_Equipos!$A:$A,Maestro_Equipos!$M:$M,"")),"")</f>
        <v>0</v>
      </c>
      <c r="F16">
        <f>IFERROR(_xlfn.XLOOKUP($A16,Maestro_Equipos!$A:$A,Maestro_Equipos!$R:$R,"")+_xlfn.XLOOKUP($A16,Maestro_Equipos!$A:$A,Maestro_Equipos!$J:$J,""),"")</f>
        <v>803170</v>
      </c>
      <c r="G16">
        <f>IFERROR(_xlfn.XLOOKUP($A16,Maestro_Equipos!$A:$A,Maestro_Equipos!$K:$K,""),"")</f>
        <v>0</v>
      </c>
      <c r="H16" t="str">
        <f>IFERROR(IF(OR($E16="",$F16="",$G16="",$G16&lt;=0),"",ROUND(($F16-$E16)/$G16,0)),"")</f>
        <v/>
      </c>
      <c r="I16" s="71" t="str">
        <f ca="1">IFERROR(IF($H16="","",TODAY()+$H16),"")</f>
        <v/>
      </c>
      <c r="J16" s="5" t="str">
        <f>IFERROR(INDEX(Maestro_Equipos!$V$4:$V$242,MATCH($A16,Maestro_Equipos!$A$4:$A$242,0)),"")</f>
        <v>Operativo</v>
      </c>
      <c r="K16" s="35">
        <f>IFERROR(
   SUMIFS(Mantenciones!$I:$I,Mantenciones!$B:$B,$A16)
 + SUMIFS('Compras PM'!$F:$F,'Compras PM'!$C:$C,$A16),0)</f>
        <v>209900.81559999997</v>
      </c>
      <c r="L16" s="28" t="str">
        <f>IF($J16="Fuera de Servicio","NO PROGRAMAR",IF($H16="","SIN DATOS",IF($H16&lt;=0,"VENCIDA",IF($H16&lt;=7,"CRÍTICA",IF($H16&lt;=15,"ALTA",IF($H16&lt;=30,"MEDIA","BAJA"))))))</f>
        <v>SIN DATOS</v>
      </c>
      <c r="M16" s="53" cm="1">
        <f t="array" ref="M16">IFERROR(_xlfn.AGGREGATE(14,6,Mantenciones!$A$3:$A$9916/(Mantenciones!$B$3:$B$9916=$A16),1),"")</f>
        <v>46167</v>
      </c>
      <c r="N16" s="29" cm="1">
        <f t="array" ref="N16">IFERROR(_xlfn.AGGREGATE(14,6,'Compras PM'!$A$4:$A$10029/('Compras PM'!$C$4:$C$10029=$A16),1),"")</f>
        <v>46154.345345023103</v>
      </c>
      <c r="O16" s="29">
        <f>IFERROR(VLOOKUP($A16,Maestro_Equipos!$A$4:$AG$242,27,FALSE()),"")</f>
        <v>46167</v>
      </c>
      <c r="P16" s="30">
        <f ca="1">IFERROR(IF($N16="","",IF(OR($M16="",$M16&lt;$N16),TODAY()-$N16,$M16-$N16)),"")</f>
        <v>12.654654976897291</v>
      </c>
      <c r="Q16" s="30">
        <f ca="1">IFERROR(IF($O16="","",IF(OR($M16="",$M16&lt;$O16),TODAY()-$O16,$M16-$O16)),"")</f>
        <v>0</v>
      </c>
      <c r="R16" s="28" t="str">
        <f>IF($O16="","SIN SALIDA",IF(OR($M16="",$M16&lt;$O16),"PENDIENTE","REALIZADA"))</f>
        <v>REALIZADA</v>
      </c>
      <c r="S16" s="31" t="str">
        <f>IFERROR(VLOOKUP($A16,Maestro_Equipos!$A$4:$AG$242,33,FALSE()),"")</f>
        <v>Monitorear próximo vencimiento</v>
      </c>
    </row>
    <row r="17" spans="1:19">
      <c r="A17" t="str" cm="1">
        <f t="array" ref="A17">IFERROR(INDEX(_xlfn._xlws.FILTER(Maestro_Equipos!$A$4:$A$242,Maestro_Equipos!$A$4:$A$242&lt;&gt;""),ROWS($A$4:A17)),"")</f>
        <v>CD-114</v>
      </c>
      <c r="B17" t="str">
        <f>IFERROR(_xlfn.XLOOKUP($A17,Maestro_Equipos!$A$4:$A$242,Maestro_Equipos!$B$4:$B$242,""),"")</f>
        <v>Camión Imprimador</v>
      </c>
      <c r="C17" t="str">
        <f>IFERROR(_xlfn.XLOOKUP($A17,Maestro_Equipos!$A$4:$A$242,Maestro_Equipos!$C$4:$C$242,""),"")</f>
        <v>Camiones de Ruta</v>
      </c>
      <c r="D17" t="str">
        <f>IFERROR(_xlfn.XLOOKUP($A17,Maestro_Equipos!$A:$A,Maestro_Equipos!$I:$I,""),"")</f>
        <v>HORAS</v>
      </c>
      <c r="E17">
        <f>IFERROR(IF($D17="KM",_xlfn.XLOOKUP($A17,Maestro_Equipos!$A:$A,Maestro_Equipos!$N:$N,""),_xlfn.XLOOKUP($A17,Maestro_Equipos!$A:$A,Maestro_Equipos!$M:$M,"")),"")</f>
        <v>4017</v>
      </c>
      <c r="F17">
        <f>IFERROR(_xlfn.XLOOKUP($A17,Maestro_Equipos!$A:$A,Maestro_Equipos!$R:$R,"")+_xlfn.XLOOKUP($A17,Maestro_Equipos!$A:$A,Maestro_Equipos!$J:$J,""),"")</f>
        <v>4260</v>
      </c>
      <c r="G17">
        <f>IFERROR(_xlfn.XLOOKUP($A17,Maestro_Equipos!$A:$A,Maestro_Equipos!$K:$K,""),"")</f>
        <v>6.3</v>
      </c>
      <c r="H17">
        <f>IFERROR(IF(OR($E17="",$F17="",$G17="",$G17&lt;=0),"",ROUND(($F17-$E17)/$G17,0)),"")</f>
        <v>39</v>
      </c>
      <c r="I17" s="71">
        <f ca="1">IFERROR(IF($H17="","",TODAY()+$H17),"")</f>
        <v>46279</v>
      </c>
      <c r="J17" s="5" t="str">
        <f>IFERROR(INDEX(Maestro_Equipos!$V$4:$V$242,MATCH($A17,Maestro_Equipos!$A$4:$A$242,0)),"")</f>
        <v>Operativo</v>
      </c>
      <c r="K17" s="35">
        <f>IFERROR(
   SUMIFS(Mantenciones!$I:$I,Mantenciones!$B:$B,$A17)
 + SUMIFS('Compras PM'!$F:$F,'Compras PM'!$C:$C,$A17),0)</f>
        <v>341629.95999999996</v>
      </c>
      <c r="L17" s="28" t="str">
        <f>IF($J17="Fuera de Servicio","NO PROGRAMAR",IF($H17="","SIN DATOS",IF($H17&lt;=0,"VENCIDA",IF($H17&lt;=7,"CRÍTICA",IF($H17&lt;=15,"ALTA",IF($H17&lt;=30,"MEDIA","BAJA"))))))</f>
        <v>BAJA</v>
      </c>
      <c r="M17" s="53" cm="1">
        <f t="array" ref="M17">IFERROR(_xlfn.AGGREGATE(14,6,Mantenciones!$A$3:$A$9916/(Mantenciones!$B$3:$B$9916=$A17),1),"")</f>
        <v>46147</v>
      </c>
      <c r="N17" s="29" cm="1">
        <f t="array" ref="N17">IFERROR(_xlfn.AGGREGATE(14,6,'Compras PM'!$A$4:$A$10029/('Compras PM'!$C$4:$C$10029=$A17),1),"")</f>
        <v>46184</v>
      </c>
      <c r="O17" s="29">
        <f>IFERROR(VLOOKUP($A17,Maestro_Equipos!$A$4:$AG$242,27,FALSE()),"")</f>
        <v>46134</v>
      </c>
      <c r="P17" s="30">
        <f ca="1">IFERROR(IF($N17="","",IF(OR($M17="",$M17&lt;$N17),TODAY()-$N17,$M17-$N17)),"")</f>
        <v>56</v>
      </c>
      <c r="Q17" s="30">
        <f ca="1">IFERROR(IF($O17="","",IF(OR($M17="",$M17&lt;$O17),TODAY()-$O17,$M17-$O17)),"")</f>
        <v>13</v>
      </c>
      <c r="R17" s="28" t="str">
        <f>IF($O17="","SIN SALIDA",IF(OR($M17="",$M17&lt;$O17),"PENDIENTE","REALIZADA"))</f>
        <v>REALIZADA</v>
      </c>
      <c r="S17" s="31" t="str">
        <f>IFERROR(VLOOKUP($A17,Maestro_Equipos!$A$4:$AG$242,33,FALSE()),"")</f>
        <v>Monitorear próximo vencimiento</v>
      </c>
    </row>
    <row r="18" spans="1:19" ht="15" customHeight="1">
      <c r="A18" t="str" cm="1">
        <f t="array" ref="A18">IFERROR(INDEX(_xlfn._xlws.FILTER(Maestro_Equipos!$A$4:$A$242,Maestro_Equipos!$A$4:$A$242&lt;&gt;""),ROWS($A$4:A18)),"")</f>
        <v>CD-115</v>
      </c>
      <c r="B18" t="str">
        <f>IFERROR(_xlfn.XLOOKUP($A18,Maestro_Equipos!$A$4:$A$242,Maestro_Equipos!$B$4:$B$242,""),"")</f>
        <v>Tracto Camión</v>
      </c>
      <c r="C18" t="str">
        <f>IFERROR(_xlfn.XLOOKUP($A18,Maestro_Equipos!$A$4:$A$242,Maestro_Equipos!$C$4:$C$242,""),"")</f>
        <v>Camiones de Ruta</v>
      </c>
      <c r="D18" t="str">
        <f>IFERROR(_xlfn.XLOOKUP($A18,Maestro_Equipos!$A:$A,Maestro_Equipos!$I:$I,""),"")</f>
        <v>KM</v>
      </c>
      <c r="E18">
        <f>IFERROR(IF($D18="KM",_xlfn.XLOOKUP($A18,Maestro_Equipos!$A:$A,Maestro_Equipos!$N:$N,""),_xlfn.XLOOKUP($A18,Maestro_Equipos!$A:$A,Maestro_Equipos!$M:$M,"")),"")</f>
        <v>333912</v>
      </c>
      <c r="F18">
        <f>IFERROR(_xlfn.XLOOKUP($A18,Maestro_Equipos!$A:$A,Maestro_Equipos!$R:$R,"")+_xlfn.XLOOKUP($A18,Maestro_Equipos!$A:$A,Maestro_Equipos!$J:$J,""),"")</f>
        <v>338000</v>
      </c>
      <c r="G18">
        <f>IFERROR(_xlfn.XLOOKUP($A18,Maestro_Equipos!$A:$A,Maestro_Equipos!$K:$K,""),"")</f>
        <v>225.3</v>
      </c>
      <c r="H18">
        <f>IFERROR(IF(OR($E18="",$F18="",$G18="",$G18&lt;=0),"",ROUND(($F18-$E18)/$G18,0)),"")</f>
        <v>18</v>
      </c>
      <c r="I18" s="71">
        <f ca="1">IFERROR(IF($H18="","",TODAY()+$H18),"")</f>
        <v>46258</v>
      </c>
      <c r="J18" s="5" t="str">
        <f>IFERROR(INDEX(Maestro_Equipos!$V$4:$V$242,MATCH($A18,Maestro_Equipos!$A$4:$A$242,0)),"")</f>
        <v>Taller</v>
      </c>
      <c r="K18" s="35">
        <f>IFERROR(
   SUMIFS(Mantenciones!$I:$I,Mantenciones!$B:$B,$A18)
 + SUMIFS('Compras PM'!$F:$F,'Compras PM'!$C:$C,$A18),0)</f>
        <v>121145.57</v>
      </c>
      <c r="L18" s="28" t="str">
        <f>IF($J18="Fuera de Servicio","NO PROGRAMAR",IF($H18="","SIN DATOS",IF($H18&lt;=0,"VENCIDA",IF($H18&lt;=7,"CRÍTICA",IF($H18&lt;=15,"ALTA",IF($H18&lt;=30,"MEDIA","BAJA"))))))</f>
        <v>MEDIA</v>
      </c>
      <c r="M18" s="53" cm="1">
        <f t="array" ref="M18">IFERROR(_xlfn.AGGREGATE(14,6,Mantenciones!$A$3:$A$9916/(Mantenciones!$B$3:$B$9916=$A18),1),"")</f>
        <v>44937</v>
      </c>
      <c r="N18" s="29" cm="1">
        <f t="array" ref="N18">IFERROR(_xlfn.AGGREGATE(14,6,'Compras PM'!$A$4:$A$10029/('Compras PM'!$C$4:$C$10029=$A18),1),"")</f>
        <v>46100</v>
      </c>
      <c r="O18" s="29">
        <f>IFERROR(VLOOKUP($A18,Maestro_Equipos!$A$4:$AG$242,27,FALSE()),"")</f>
        <v>46062</v>
      </c>
      <c r="P18" s="30">
        <f ca="1">IFERROR(IF($N18="","",IF(OR($M18="",$M18&lt;$N18),TODAY()-$N18,$M18-$N18)),"")</f>
        <v>140</v>
      </c>
      <c r="Q18" s="30">
        <f ca="1">IFERROR(IF($O18="","",IF(OR($M18="",$M18&lt;$O18),TODAY()-$O18,$M18-$O18)),"")</f>
        <v>178</v>
      </c>
      <c r="R18" s="28" t="str">
        <f>IF($O18="","SIN SALIDA",IF(OR($M18="",$M18&lt;$O18),"PENDIENTE","REALIZADA"))</f>
        <v>PENDIENTE</v>
      </c>
      <c r="S18" s="31" t="str">
        <f>IFERROR(VLOOKUP($A18,Maestro_Equipos!$A$4:$AG$242,33,FALSE()),"")</f>
        <v>Monitorear próximo vencimiento</v>
      </c>
    </row>
    <row r="19" spans="1:19">
      <c r="A19" t="str" cm="1">
        <f t="array" ref="A19">IFERROR(INDEX(_xlfn._xlws.FILTER(Maestro_Equipos!$A$4:$A$242,Maestro_Equipos!$A$4:$A$242&lt;&gt;""),ROWS($A$4:A19)),"")</f>
        <v>CD-116</v>
      </c>
      <c r="B19" t="str">
        <f>IFERROR(_xlfn.XLOOKUP($A19,Maestro_Equipos!$A$4:$A$242,Maestro_Equipos!$B$4:$B$242,""),"")</f>
        <v>Camión Plano</v>
      </c>
      <c r="C19" t="str">
        <f>IFERROR(_xlfn.XLOOKUP($A19,Maestro_Equipos!$A$4:$A$242,Maestro_Equipos!$C$4:$C$242,""),"")</f>
        <v>Camiones de Ruta</v>
      </c>
      <c r="D19" t="str">
        <f>IFERROR(_xlfn.XLOOKUP($A19,Maestro_Equipos!$A:$A,Maestro_Equipos!$I:$I,""),"")</f>
        <v>HORAS</v>
      </c>
      <c r="E19">
        <f>IFERROR(IF($D19="KM",_xlfn.XLOOKUP($A19,Maestro_Equipos!$A:$A,Maestro_Equipos!$N:$N,""),_xlfn.XLOOKUP($A19,Maestro_Equipos!$A:$A,Maestro_Equipos!$M:$M,"")),"")</f>
        <v>0</v>
      </c>
      <c r="F19">
        <f>IFERROR(_xlfn.XLOOKUP($A19,Maestro_Equipos!$A:$A,Maestro_Equipos!$R:$R,"")+_xlfn.XLOOKUP($A19,Maestro_Equipos!$A:$A,Maestro_Equipos!$J:$J,""),"")</f>
        <v>395568</v>
      </c>
      <c r="G19">
        <f>IFERROR(_xlfn.XLOOKUP($A19,Maestro_Equipos!$A:$A,Maestro_Equipos!$K:$K,""),"")</f>
        <v>0</v>
      </c>
      <c r="H19" t="str">
        <f>IFERROR(IF(OR($E19="",$F19="",$G19="",$G19&lt;=0),"",ROUND(($F19-$E19)/$G19,0)),"")</f>
        <v/>
      </c>
      <c r="I19" s="71" t="str">
        <f ca="1">IFERROR(IF($H19="","",TODAY()+$H19),"")</f>
        <v/>
      </c>
      <c r="J19" s="5" t="str">
        <f>IFERROR(INDEX(Maestro_Equipos!$V$4:$V$242,MATCH($A19,Maestro_Equipos!$A$4:$A$242,0)),"")</f>
        <v>Operativo</v>
      </c>
      <c r="K19" s="35">
        <f>IFERROR(
   SUMIFS(Mantenciones!$I:$I,Mantenciones!$B:$B,$A19)
 + SUMIFS('Compras PM'!$F:$F,'Compras PM'!$C:$C,$A19),0)</f>
        <v>94000.004000000001</v>
      </c>
      <c r="L19" s="28" t="str">
        <f>IF($J19="Fuera de Servicio","NO PROGRAMAR",IF($H19="","SIN DATOS",IF($H19&lt;=0,"VENCIDA",IF($H19&lt;=7,"CRÍTICA",IF($H19&lt;=15,"ALTA",IF($H19&lt;=30,"MEDIA","BAJA"))))))</f>
        <v>SIN DATOS</v>
      </c>
      <c r="M19" s="53" cm="1">
        <f t="array" ref="M19">IFERROR(_xlfn.AGGREGATE(14,6,Mantenciones!$A$3:$A$9916/(Mantenciones!$B$3:$B$9916=$A19),1),"")</f>
        <v>46133</v>
      </c>
      <c r="N19" s="29" cm="1">
        <f t="array" ref="N19">IFERROR(_xlfn.AGGREGATE(14,6,'Compras PM'!$A$4:$A$10029/('Compras PM'!$C$4:$C$10029=$A19),1),"")</f>
        <v>46078.357904513898</v>
      </c>
      <c r="O19" s="29" t="str">
        <f>IFERROR(VLOOKUP($A19,Maestro_Equipos!$A$4:$AG$242,27,FALSE()),"")</f>
        <v/>
      </c>
      <c r="P19" s="30">
        <f ca="1">IFERROR(IF($N19="","",IF(OR($M19="",$M19&lt;$N19),TODAY()-$N19,$M19-$N19)),"")</f>
        <v>54.642095486102335</v>
      </c>
      <c r="Q19" s="30" t="str">
        <f ca="1">IFERROR(IF($O19="","",IF(OR($M19="",$M19&lt;$O19),TODAY()-$O19,$M19-$O19)),"")</f>
        <v/>
      </c>
      <c r="R19" s="28" t="str">
        <f>IF($O19="","SIN SALIDA",IF(OR($M19="",$M19&lt;$O19),"PENDIENTE","REALIZADA"))</f>
        <v>SIN SALIDA</v>
      </c>
      <c r="S19" s="31" t="str">
        <f>IFERROR(VLOOKUP($A19,Maestro_Equipos!$A$4:$AG$242,33,FALSE()),"")</f>
        <v>Hacer seguimiento al taller y cerrar report</v>
      </c>
    </row>
    <row r="20" spans="1:19">
      <c r="A20" t="str" cm="1">
        <f t="array" ref="A20">IFERROR(INDEX(_xlfn._xlws.FILTER(Maestro_Equipos!$A$4:$A$242,Maestro_Equipos!$A$4:$A$242&lt;&gt;""),ROWS($A$4:A20)),"")</f>
        <v>CD-117</v>
      </c>
      <c r="B20" t="str">
        <f>IFERROR(_xlfn.XLOOKUP($A20,Maestro_Equipos!$A$4:$A$242,Maestro_Equipos!$B$4:$B$242,""),"")</f>
        <v>Camión Slurry</v>
      </c>
      <c r="C20" t="str">
        <f>IFERROR(_xlfn.XLOOKUP($A20,Maestro_Equipos!$A$4:$A$242,Maestro_Equipos!$C$4:$C$242,""),"")</f>
        <v>Camiones de Ruta</v>
      </c>
      <c r="D20" t="str">
        <f>IFERROR(_xlfn.XLOOKUP($A20,Maestro_Equipos!$A:$A,Maestro_Equipos!$I:$I,""),"")</f>
        <v>HORAS</v>
      </c>
      <c r="E20">
        <f>IFERROR(IF($D20="KM",_xlfn.XLOOKUP($A20,Maestro_Equipos!$A:$A,Maestro_Equipos!$N:$N,""),_xlfn.XLOOKUP($A20,Maestro_Equipos!$A:$A,Maestro_Equipos!$M:$M,"")),"")</f>
        <v>0</v>
      </c>
      <c r="F20" t="str">
        <f>IFERROR(_xlfn.XLOOKUP($A20,Maestro_Equipos!$A:$A,Maestro_Equipos!$R:$R,"")+_xlfn.XLOOKUP($A20,Maestro_Equipos!$A:$A,Maestro_Equipos!$J:$J,""),"")</f>
        <v/>
      </c>
      <c r="G20">
        <f>IFERROR(_xlfn.XLOOKUP($A20,Maestro_Equipos!$A:$A,Maestro_Equipos!$K:$K,""),"")</f>
        <v>0</v>
      </c>
      <c r="H20" t="str">
        <f>IFERROR(IF(OR($E20="",$F20="",$G20="",$G20&lt;=0),"",ROUND(($F20-$E20)/$G20,0)),"")</f>
        <v/>
      </c>
      <c r="I20" s="71" t="str">
        <f ca="1">IFERROR(IF($H20="","",TODAY()+$H20),"")</f>
        <v/>
      </c>
      <c r="J20" s="5" t="str">
        <f>IFERROR(INDEX(Maestro_Equipos!$V$4:$V$242,MATCH($A20,Maestro_Equipos!$A$4:$A$242,0)),"")</f>
        <v>Fuera de Servicio</v>
      </c>
      <c r="K20" s="35">
        <f>IFERROR(
   SUMIFS(Mantenciones!$I:$I,Mantenciones!$B:$B,$A20)
 + SUMIFS('Compras PM'!$F:$F,'Compras PM'!$C:$C,$A20),0)</f>
        <v>0</v>
      </c>
      <c r="L20" s="28" t="str">
        <f>IF($J20="Fuera de Servicio","NO PROGRAMAR",IF($H20="","SIN DATOS",IF($H20&lt;=0,"VENCIDA",IF($H20&lt;=7,"CRÍTICA",IF($H20&lt;=15,"ALTA",IF($H20&lt;=30,"MEDIA","BAJA"))))))</f>
        <v>NO PROGRAMAR</v>
      </c>
      <c r="M20" s="53" t="str" cm="1">
        <f t="array" ref="M20">IFERROR(_xlfn.AGGREGATE(14,6,Mantenciones!$A$3:$A$9916/(Mantenciones!$B$3:$B$9916=$A20),1),"")</f>
        <v/>
      </c>
      <c r="N20" s="29" t="str" cm="1">
        <f t="array" ref="N20">IFERROR(_xlfn.AGGREGATE(14,6,'Compras PM'!$A$4:$A$10029/('Compras PM'!$C$4:$C$10029=$A20),1),"")</f>
        <v/>
      </c>
      <c r="O20" s="29" t="str">
        <f>IFERROR(VLOOKUP($A20,Maestro_Equipos!$A$4:$AG$242,27,FALSE()),"")</f>
        <v/>
      </c>
      <c r="P20" s="30" t="str">
        <f ca="1">IFERROR(IF($N20="","",IF(OR($M20="",$M20&lt;$N20),TODAY()-$N20,$M20-$N20)),"")</f>
        <v/>
      </c>
      <c r="Q20" s="30" t="str">
        <f ca="1">IFERROR(IF($O20="","",IF(OR($M20="",$M20&lt;$O20),TODAY()-$O20,$M20-$O20)),"")</f>
        <v/>
      </c>
      <c r="R20" s="28" t="str">
        <f>IF($O20="","SIN SALIDA",IF(OR($M20="",$M20&lt;$O20),"PENDIENTE","REALIZADA"))</f>
        <v>SIN SALIDA</v>
      </c>
      <c r="S20" s="31" t="str">
        <f>IFERROR(VLOOKUP($A20,Maestro_Equipos!$A$4:$AG$242,33,FALSE()),"")</f>
        <v>No programar compra</v>
      </c>
    </row>
    <row r="21" spans="1:19">
      <c r="A21" s="61" t="str" cm="1">
        <f t="array" ref="A21">IFERROR(INDEX(_xlfn._xlws.FILTER(Maestro_Equipos!$A$4:$A$242,Maestro_Equipos!$A$4:$A$242&lt;&gt;""),ROWS($A$4:A21)),"")</f>
        <v>CD-118</v>
      </c>
      <c r="B21" s="61" t="str">
        <f>IFERROR(_xlfn.XLOOKUP($A21,Maestro_Equipos!$A$4:$A$242,Maestro_Equipos!$B$4:$B$242,""),"")</f>
        <v>Camión Plano</v>
      </c>
      <c r="C21" s="61" t="str">
        <f>IFERROR(_xlfn.XLOOKUP($A21,Maestro_Equipos!$A$4:$A$242,Maestro_Equipos!$C$4:$C$242,""),"")</f>
        <v>Camiones de Ruta</v>
      </c>
      <c r="D21" s="61" t="str">
        <f>IFERROR(VLOOKUP($A18,Maestro_Equipos!$A$4:$Z$242,9,FALSE),"")</f>
        <v>KM</v>
      </c>
      <c r="E21" s="61">
        <f>IFERROR(IF($D21="KM",_xlfn.XLOOKUP($A21,Maestro_Equipos!$A:$A,Maestro_Equipos!$N:$N,""),_xlfn.XLOOKUP($A21,Maestro_Equipos!$A:$A,Maestro_Equipos!$M:$M,"")),"")</f>
        <v>917261</v>
      </c>
      <c r="F21" s="61" t="str">
        <f>IFERROR(_xlfn.XLOOKUP($A21,Maestro_Equipos!$A:$A,Maestro_Equipos!$R:$R,"")+_xlfn.XLOOKUP($A21,Maestro_Equipos!$A:$A,Maestro_Equipos!$J:$J,""),"")</f>
        <v/>
      </c>
      <c r="G21" s="61">
        <f>IFERROR(_xlfn.XLOOKUP($A21,Maestro_Equipos!$A:$A,Maestro_Equipos!$K:$K,""),"")</f>
        <v>0</v>
      </c>
      <c r="H21" s="61" t="str">
        <f>IFERROR(IF(OR($E21="",$F21="",$G21="",$G21&lt;=0),"",ROUND(($F21-$E21)/$G21,0)),"")</f>
        <v/>
      </c>
      <c r="I21" s="62" t="str">
        <f ca="1">IFERROR(IF($H21="","",TODAY()+$H21),"")</f>
        <v/>
      </c>
      <c r="J21" s="63" t="str">
        <f>IFERROR(INDEX(Maestro_Equipos!$V$4:$V$242,MATCH($A21,Maestro_Equipos!$A$4:$A$242,0)),"")</f>
        <v>Operativo</v>
      </c>
      <c r="K21" s="64">
        <f>IFERROR(
   SUMIFS(Mantenciones!$I:$I,Mantenciones!$B:$B,$A21)
 + SUMIFS('Compras PM'!$F:$F,'Compras PM'!$C:$C,$A21),0)</f>
        <v>382151.35210000002</v>
      </c>
      <c r="L21" s="65" t="str">
        <f>IF($J21="Fuera de Servicio","NO PROGRAMAR",IF($H21="","SIN DATOS",IF($H21&lt;=0,"VENCIDA",IF($H21&lt;=7,"CRÍTICA",IF($H21&lt;=15,"ALTA",IF($H21&lt;=30,"MEDIA","BAJA"))))))</f>
        <v>SIN DATOS</v>
      </c>
      <c r="M21" s="66" t="str" cm="1">
        <f t="array" ref="M21">IFERROR(_xlfn.AGGREGATE(14,6,Mantenciones!$A$3:$A$9916/(Mantenciones!$B$3:$B$9916=$A21),1),"")</f>
        <v/>
      </c>
      <c r="N21" s="67" cm="1">
        <f t="array" ref="N21">IFERROR(_xlfn.AGGREGATE(14,6,'Compras PM'!$A$4:$A$10029/('Compras PM'!$C$4:$C$10029=$A21),1),"")</f>
        <v>46184</v>
      </c>
      <c r="O21" s="67">
        <f>IFERROR(VLOOKUP($A21,Maestro_Equipos!$A$4:$AG$242,27,FALSE()),"")</f>
        <v>46161</v>
      </c>
      <c r="P21" s="68">
        <f ca="1">IFERROR(IF($N21="","",IF(OR($M21="",$M21&lt;$N21),TODAY()-$N21,$M21-$N21)),"")</f>
        <v>56</v>
      </c>
      <c r="Q21" s="68">
        <f ca="1">IFERROR(IF($O21="","",IF(OR($M21="",$M21&lt;$O21),TODAY()-$O21,$M21-$O21)),"")</f>
        <v>79</v>
      </c>
      <c r="R21" s="65" t="str">
        <f>IF($O21="","SIN SALIDA",IF(OR($M21="",$M21&lt;$O21),"PENDIENTE","REALIZADA"))</f>
        <v>PENDIENTE</v>
      </c>
      <c r="S21" s="69" t="str">
        <f>IFERROR(VLOOKUP($A21,Maestro_Equipos!$A$4:$AG$242,33,FALSE()),"")</f>
        <v>Monitorear próximo vencimiento</v>
      </c>
    </row>
    <row r="22" spans="1:19">
      <c r="A22" t="str" cm="1">
        <f t="array" ref="A22">IFERROR(INDEX(_xlfn._xlws.FILTER(Maestro_Equipos!$A$4:$A$242,Maestro_Equipos!$A$4:$A$242&lt;&gt;""),ROWS($A$4:A22)),"")</f>
        <v>CD-119</v>
      </c>
      <c r="B22" t="str">
        <f>IFERROR(_xlfn.XLOOKUP($A22,Maestro_Equipos!$A$4:$A$242,Maestro_Equipos!$B$4:$B$242,""),"")</f>
        <v>Camión Combustible</v>
      </c>
      <c r="C22" t="str">
        <f>IFERROR(_xlfn.XLOOKUP($A22,Maestro_Equipos!$A$4:$A$242,Maestro_Equipos!$C$4:$C$242,""),"")</f>
        <v>Camiones de Ruta</v>
      </c>
      <c r="D22" t="str">
        <f>IFERROR(VLOOKUP($A19,Maestro_Equipos!$A$4:$Z$242,9,FALSE),"")</f>
        <v>HORAS</v>
      </c>
      <c r="E22">
        <f>IFERROR(IF($D22="KM",_xlfn.XLOOKUP($A22,Maestro_Equipos!$A:$A,Maestro_Equipos!$N:$N,""),_xlfn.XLOOKUP($A22,Maestro_Equipos!$A:$A,Maestro_Equipos!$M:$M,"")),"")</f>
        <v>2841</v>
      </c>
      <c r="F22">
        <f>IFERROR(_xlfn.XLOOKUP($A22,Maestro_Equipos!$A:$A,Maestro_Equipos!$R:$R,"")+_xlfn.XLOOKUP($A22,Maestro_Equipos!$A:$A,Maestro_Equipos!$J:$J,""),"")</f>
        <v>195850</v>
      </c>
      <c r="G22">
        <f>IFERROR(_xlfn.XLOOKUP($A22,Maestro_Equipos!$A:$A,Maestro_Equipos!$K:$K,""),"")</f>
        <v>0.6</v>
      </c>
      <c r="H22">
        <f>IFERROR(IF(OR($E22="",$F22="",$G22="",$G22&lt;=0),"",ROUND(($F22-$E22)/$G22,0)),"")</f>
        <v>321682</v>
      </c>
      <c r="I22" s="71">
        <f ca="1">IFERROR(IF($H22="","",TODAY()+$H22),"")</f>
        <v>367922</v>
      </c>
      <c r="J22" s="5" t="str">
        <f>IFERROR(INDEX(Maestro_Equipos!$V$4:$V$242,MATCH($A22,Maestro_Equipos!$A$4:$A$242,0)),"")</f>
        <v>Operativo</v>
      </c>
      <c r="K22" s="35">
        <f>IFERROR(
   SUMIFS(Mantenciones!$I:$I,Mantenciones!$B:$B,$A22)
 + SUMIFS('Compras PM'!$F:$F,'Compras PM'!$C:$C,$A22),0)</f>
        <v>685750.33</v>
      </c>
      <c r="L22" s="28" t="str">
        <f>IF($J22="Fuera de Servicio","NO PROGRAMAR",IF($H22="","SIN DATOS",IF($H22&lt;=0,"VENCIDA",IF($H22&lt;=7,"CRÍTICA",IF($H22&lt;=15,"ALTA",IF($H22&lt;=30,"MEDIA","BAJA"))))))</f>
        <v>BAJA</v>
      </c>
      <c r="M22" s="53" cm="1">
        <f t="array" ref="M22">IFERROR(_xlfn.AGGREGATE(14,6,Mantenciones!$A$3:$A$9916/(Mantenciones!$B$3:$B$9916=$A22),1),"")</f>
        <v>46099</v>
      </c>
      <c r="N22" s="29" cm="1">
        <f t="array" ref="N22">IFERROR(_xlfn.AGGREGATE(14,6,'Compras PM'!$A$4:$A$10029/('Compras PM'!$C$4:$C$10029=$A22),1),"")</f>
        <v>46093.364912696801</v>
      </c>
      <c r="O22" s="29">
        <f>IFERROR(VLOOKUP($A22,Maestro_Equipos!$A$4:$AG$242,27,FALSE()),"")</f>
        <v>46099</v>
      </c>
      <c r="P22" s="30">
        <f ca="1">IFERROR(IF($N22="","",IF(OR($M22="",$M22&lt;$N22),TODAY()-$N22,$M22-$N22)),"")</f>
        <v>5.6350873031988158</v>
      </c>
      <c r="Q22" s="30">
        <f ca="1">IFERROR(IF($O22="","",IF(OR($M22="",$M22&lt;$O22),TODAY()-$O22,$M22-$O22)),"")</f>
        <v>0</v>
      </c>
      <c r="R22" s="28" t="str">
        <f>IF($O22="","SIN SALIDA",IF(OR($M22="",$M22&lt;$O22),"PENDIENTE","REALIZADA"))</f>
        <v>REALIZADA</v>
      </c>
      <c r="S22" s="31" t="str">
        <f>IFERROR(VLOOKUP($A22,Maestro_Equipos!$A$4:$AG$242,33,FALSE()),"")</f>
        <v>Monitorear próximo vencimiento</v>
      </c>
    </row>
    <row r="23" spans="1:19" ht="15" customHeight="1">
      <c r="A23" s="61" t="str" cm="1">
        <f t="array" ref="A23">IFERROR(INDEX(_xlfn._xlws.FILTER(Maestro_Equipos!$A$4:$A$242,Maestro_Equipos!$A$4:$A$242&lt;&gt;""),ROWS($A$4:A23)),"")</f>
        <v>CD-120</v>
      </c>
      <c r="B23" s="61" t="str">
        <f>IFERROR(_xlfn.XLOOKUP($A23,Maestro_Equipos!$A$4:$A$242,Maestro_Equipos!$B$4:$B$242,""),"")</f>
        <v>Camión Tolva</v>
      </c>
      <c r="C23" s="61" t="str">
        <f>IFERROR(_xlfn.XLOOKUP($A23,Maestro_Equipos!$A$4:$A$242,Maestro_Equipos!$C$4:$C$242,""),"")</f>
        <v>Camiones de Ruta</v>
      </c>
      <c r="D23" s="61" t="str">
        <f>IFERROR(VLOOKUP($A20,Maestro_Equipos!$A$4:$Z$242,9,FALSE),"")</f>
        <v>HORAS</v>
      </c>
      <c r="E23" s="61">
        <f>IFERROR(IF($D23="KM",_xlfn.XLOOKUP($A23,Maestro_Equipos!$A:$A,Maestro_Equipos!$N:$N,""),_xlfn.XLOOKUP($A23,Maestro_Equipos!$A:$A,Maestro_Equipos!$M:$M,"")),"")</f>
        <v>3406</v>
      </c>
      <c r="F23" s="61">
        <f>IFERROR(_xlfn.XLOOKUP($A23,Maestro_Equipos!$A:$A,Maestro_Equipos!$R:$R,"")+_xlfn.XLOOKUP($A23,Maestro_Equipos!$A:$A,Maestro_Equipos!$J:$J,""),"")</f>
        <v>4199</v>
      </c>
      <c r="G23" s="61">
        <f>IFERROR(_xlfn.XLOOKUP($A23,Maestro_Equipos!$A:$A,Maestro_Equipos!$K:$K,""),"")</f>
        <v>2.7</v>
      </c>
      <c r="H23" s="61">
        <f>IFERROR(IF(OR($E23="",$F23="",$G23="",$G23&lt;=0),"",ROUND(($F23-$E23)/$G23,0)),"")</f>
        <v>294</v>
      </c>
      <c r="I23" s="62">
        <f ca="1">IFERROR(IF($H23="","",TODAY()+$H23),"")</f>
        <v>46534</v>
      </c>
      <c r="J23" s="63" t="str">
        <f>IFERROR(INDEX(Maestro_Equipos!$V$4:$V$242,MATCH($A23,Maestro_Equipos!$A$4:$A$242,0)),"")</f>
        <v>Operativo</v>
      </c>
      <c r="K23" s="64">
        <f>IFERROR(
   SUMIFS(Mantenciones!$I:$I,Mantenciones!$B:$B,$A23)
 + SUMIFS('Compras PM'!$F:$F,'Compras PM'!$C:$C,$A23),0)</f>
        <v>327374.59039999999</v>
      </c>
      <c r="L23" s="65" t="str">
        <f>IF($J23="Fuera de Servicio","NO PROGRAMAR",IF($H23="","SIN DATOS",IF($H23&lt;=0,"VENCIDA",IF($H23&lt;=7,"CRÍTICA",IF($H23&lt;=15,"ALTA",IF($H23&lt;=30,"MEDIA","BAJA"))))))</f>
        <v>BAJA</v>
      </c>
      <c r="M23" s="66" cm="1">
        <f t="array" ref="M23">IFERROR(_xlfn.AGGREGATE(14,6,Mantenciones!$A$3:$A$9916/(Mantenciones!$B$3:$B$9916=$A23),1),"")</f>
        <v>46188</v>
      </c>
      <c r="N23" s="67" cm="1">
        <f t="array" ref="N23">IFERROR(_xlfn.AGGREGATE(14,6,'Compras PM'!$A$4:$A$10029/('Compras PM'!$C$4:$C$10029=$A23),1),"")</f>
        <v>46183</v>
      </c>
      <c r="O23" s="67">
        <f>IFERROR(VLOOKUP($A23,Maestro_Equipos!$A$4:$AG$242,27,FALSE()),"")</f>
        <v>46080</v>
      </c>
      <c r="P23" s="68">
        <f ca="1">IFERROR(IF($N23="","",IF(OR($M23="",$M23&lt;$N23),TODAY()-$N23,$M23-$N23)),"")</f>
        <v>5</v>
      </c>
      <c r="Q23" s="68">
        <f ca="1">IFERROR(IF($O23="","",IF(OR($M23="",$M23&lt;$O23),TODAY()-$O23,$M23-$O23)),"")</f>
        <v>108</v>
      </c>
      <c r="R23" s="65" t="str">
        <f>IF($O23="","SIN SALIDA",IF(OR($M23="",$M23&lt;$O23),"PENDIENTE","REALIZADA"))</f>
        <v>REALIZADA</v>
      </c>
      <c r="S23" s="69" t="str">
        <f>IFERROR(VLOOKUP($A23,Maestro_Equipos!$A$4:$AG$242,33,FALSE()),"")</f>
        <v>Monitorear próximo vencimiento</v>
      </c>
    </row>
    <row r="24" spans="1:19">
      <c r="A24" t="str" cm="1">
        <f t="array" ref="A24">IFERROR(INDEX(_xlfn._xlws.FILTER(Maestro_Equipos!$A$4:$A$242,Maestro_Equipos!$A$4:$A$242&lt;&gt;""),ROWS($A$4:A24)),"")</f>
        <v>CD-121</v>
      </c>
      <c r="B24" t="str">
        <f>IFERROR(_xlfn.XLOOKUP($A24,Maestro_Equipos!$A$4:$A$242,Maestro_Equipos!$B$4:$B$242,""),"")</f>
        <v>Camión Tolva</v>
      </c>
      <c r="C24" t="str">
        <f>IFERROR(_xlfn.XLOOKUP($A24,Maestro_Equipos!$A$4:$A$242,Maestro_Equipos!$C$4:$C$242,""),"")</f>
        <v>Camiones de Ruta</v>
      </c>
      <c r="D24" t="str">
        <f>IFERROR(_xlfn.XLOOKUP($A24,Maestro_Equipos!$A:$A,Maestro_Equipos!$I:$I,""),"")</f>
        <v>HORAS</v>
      </c>
      <c r="E24">
        <f>IFERROR(IF($D24="KM",_xlfn.XLOOKUP($A24,Maestro_Equipos!$A:$A,Maestro_Equipos!$N:$N,""),_xlfn.XLOOKUP($A24,Maestro_Equipos!$A:$A,Maestro_Equipos!$M:$M,"")),"")</f>
        <v>3552</v>
      </c>
      <c r="F24">
        <f>IFERROR(_xlfn.XLOOKUP($A24,Maestro_Equipos!$A:$A,Maestro_Equipos!$R:$R,"")+_xlfn.XLOOKUP($A24,Maestro_Equipos!$A:$A,Maestro_Equipos!$J:$J,""),"")</f>
        <v>3968</v>
      </c>
      <c r="G24">
        <f>IFERROR(_xlfn.XLOOKUP($A24,Maestro_Equipos!$A:$A,Maestro_Equipos!$K:$K,""),"")</f>
        <v>3.1</v>
      </c>
      <c r="H24">
        <f>IFERROR(IF(OR($E24="",$F24="",$G24="",$G24&lt;=0),"",ROUND(($F24-$E24)/$G24,0)),"")</f>
        <v>134</v>
      </c>
      <c r="I24" s="71">
        <f ca="1">IFERROR(IF($H24="","",TODAY()+$H24),"")</f>
        <v>46374</v>
      </c>
      <c r="J24" s="5" t="str">
        <f>IFERROR(INDEX(Maestro_Equipos!$V$4:$V$242,MATCH($A24,Maestro_Equipos!$A$4:$A$242,0)),"")</f>
        <v>Operativo</v>
      </c>
      <c r="K24" s="35">
        <f>IFERROR(
   SUMIFS(Mantenciones!$I:$I,Mantenciones!$B:$B,$A24)
 + SUMIFS('Compras PM'!$F:$F,'Compras PM'!$C:$C,$A24),0)</f>
        <v>274198.12839999999</v>
      </c>
      <c r="L24" s="28" t="str">
        <f>IF($J24="Fuera de Servicio","NO PROGRAMAR",IF($H24="","SIN DATOS",IF($H24&lt;=0,"VENCIDA",IF($H24&lt;=7,"CRÍTICA",IF($H24&lt;=15,"ALTA",IF($H24&lt;=30,"MEDIA","BAJA"))))))</f>
        <v>BAJA</v>
      </c>
      <c r="M24" s="53" cm="1">
        <f t="array" ref="M24">IFERROR(_xlfn.AGGREGATE(14,6,Mantenciones!$A$3:$A$9916/(Mantenciones!$B$3:$B$9916=$A24),1),"")</f>
        <v>46085</v>
      </c>
      <c r="N24" s="29" cm="1">
        <f t="array" ref="N24">IFERROR(_xlfn.AGGREGATE(14,6,'Compras PM'!$A$4:$A$10029/('Compras PM'!$C$4:$C$10029=$A24),1),"")</f>
        <v>46178</v>
      </c>
      <c r="O24" s="29">
        <f>IFERROR(VLOOKUP($A24,Maestro_Equipos!$A$4:$AG$242,27,FALSE()),"")</f>
        <v>46080</v>
      </c>
      <c r="P24" s="30">
        <f ca="1">IFERROR(IF($N24="","",IF(OR($M24="",$M24&lt;$N24),TODAY()-$N24,$M24-$N24)),"")</f>
        <v>62</v>
      </c>
      <c r="Q24" s="30">
        <f ca="1">IFERROR(IF($O24="","",IF(OR($M24="",$M24&lt;$O24),TODAY()-$O24,$M24-$O24)),"")</f>
        <v>5</v>
      </c>
      <c r="R24" s="28" t="str">
        <f>IF($O24="","SIN SALIDA",IF(OR($M24="",$M24&lt;$O24),"PENDIENTE","REALIZADA"))</f>
        <v>REALIZADA</v>
      </c>
      <c r="S24" s="31" t="str">
        <f>IFERROR(VLOOKUP($A24,Maestro_Equipos!$A$4:$AG$242,33,FALSE()),"")</f>
        <v>Monitorear próximo vencimiento</v>
      </c>
    </row>
    <row r="25" spans="1:19">
      <c r="A25" t="str" cm="1">
        <f t="array" ref="A25">IFERROR(INDEX(_xlfn._xlws.FILTER(Maestro_Equipos!$A$4:$A$242,Maestro_Equipos!$A$4:$A$242&lt;&gt;""),ROWS($A$4:A25)),"")</f>
        <v>CD-122</v>
      </c>
      <c r="B25" t="str">
        <f>IFERROR(_xlfn.XLOOKUP($A25,Maestro_Equipos!$A$4:$A$242,Maestro_Equipos!$B$4:$B$242,""),"")</f>
        <v>Camión Tolva</v>
      </c>
      <c r="C25" t="str">
        <f>IFERROR(_xlfn.XLOOKUP($A25,Maestro_Equipos!$A$4:$A$242,Maestro_Equipos!$C$4:$C$242,""),"")</f>
        <v>Camiones de Ruta</v>
      </c>
      <c r="D25" t="str">
        <f>IFERROR(_xlfn.XLOOKUP($A25,Maestro_Equipos!$A:$A,Maestro_Equipos!$I:$I,""),"")</f>
        <v>HORAS</v>
      </c>
      <c r="E25">
        <f>IFERROR(IF($D25="KM",_xlfn.XLOOKUP($A25,Maestro_Equipos!$A:$A,Maestro_Equipos!$N:$N,""),_xlfn.XLOOKUP($A25,Maestro_Equipos!$A:$A,Maestro_Equipos!$M:$M,"")),"")</f>
        <v>3774</v>
      </c>
      <c r="F25">
        <f>IFERROR(_xlfn.XLOOKUP($A25,Maestro_Equipos!$A:$A,Maestro_Equipos!$R:$R,"")+_xlfn.XLOOKUP($A25,Maestro_Equipos!$A:$A,Maestro_Equipos!$J:$J,""),"")</f>
        <v>4441</v>
      </c>
      <c r="G25">
        <f>IFERROR(_xlfn.XLOOKUP($A25,Maestro_Equipos!$A:$A,Maestro_Equipos!$K:$K,""),"")</f>
        <v>6.2</v>
      </c>
      <c r="H25">
        <f>IFERROR(IF(OR($E25="",$F25="",$G25="",$G25&lt;=0),"",ROUND(($F25-$E25)/$G25,0)),"")</f>
        <v>108</v>
      </c>
      <c r="I25" s="71">
        <f ca="1">IFERROR(IF($H25="","",TODAY()+$H25),"")</f>
        <v>46348</v>
      </c>
      <c r="J25" s="5" t="str">
        <f>IFERROR(INDEX(Maestro_Equipos!$V$4:$V$242,MATCH($A25,Maestro_Equipos!$A$4:$A$242,0)),"")</f>
        <v>Operativo</v>
      </c>
      <c r="K25" s="35">
        <f>IFERROR(
   SUMIFS(Mantenciones!$I:$I,Mantenciones!$B:$B,$A25)
 + SUMIFS('Compras PM'!$F:$F,'Compras PM'!$C:$C,$A25),0)</f>
        <v>319997.65839999996</v>
      </c>
      <c r="L25" s="28" t="str">
        <f>IF($J25="Fuera de Servicio","NO PROGRAMAR",IF($H25="","SIN DATOS",IF($H25&lt;=0,"VENCIDA",IF($H25&lt;=7,"CRÍTICA",IF($H25&lt;=15,"ALTA",IF($H25&lt;=30,"MEDIA","BAJA"))))))</f>
        <v>BAJA</v>
      </c>
      <c r="M25" s="53" cm="1">
        <f t="array" ref="M25">IFERROR(_xlfn.AGGREGATE(14,6,Mantenciones!$A$3:$A$9916/(Mantenciones!$B$3:$B$9916=$A25),1),"")</f>
        <v>46157</v>
      </c>
      <c r="N25" s="29" cm="1">
        <f t="array" ref="N25">IFERROR(_xlfn.AGGREGATE(14,6,'Compras PM'!$A$4:$A$10029/('Compras PM'!$C$4:$C$10029=$A25),1),"")</f>
        <v>46191</v>
      </c>
      <c r="O25" s="29">
        <f>IFERROR(VLOOKUP($A25,Maestro_Equipos!$A$4:$AG$242,27,FALSE()),"")</f>
        <v>46157</v>
      </c>
      <c r="P25" s="30">
        <f ca="1">IFERROR(IF($N25="","",IF(OR($M25="",$M25&lt;$N25),TODAY()-$N25,$M25-$N25)),"")</f>
        <v>49</v>
      </c>
      <c r="Q25" s="30">
        <f ca="1">IFERROR(IF($O25="","",IF(OR($M25="",$M25&lt;$O25),TODAY()-$O25,$M25-$O25)),"")</f>
        <v>0</v>
      </c>
      <c r="R25" s="28" t="str">
        <f>IF($O25="","SIN SALIDA",IF(OR($M25="",$M25&lt;$O25),"PENDIENTE","REALIZADA"))</f>
        <v>REALIZADA</v>
      </c>
      <c r="S25" s="31" t="str">
        <f>IFERROR(VLOOKUP($A25,Maestro_Equipos!$A$4:$AG$242,33,FALSE()),"")</f>
        <v>Monitorear próximo vencimiento</v>
      </c>
    </row>
    <row r="26" spans="1:19" ht="18" customHeight="1">
      <c r="A26" t="str" cm="1">
        <f t="array" ref="A26">IFERROR(INDEX(_xlfn._xlws.FILTER(Maestro_Equipos!$A$4:$A$242,Maestro_Equipos!$A$4:$A$242&lt;&gt;""),ROWS($A$4:A26)),"")</f>
        <v>CD-123</v>
      </c>
      <c r="B26" t="str">
        <f>IFERROR(_xlfn.XLOOKUP($A26,Maestro_Equipos!$A$4:$A$242,Maestro_Equipos!$B$4:$B$242,""),"")</f>
        <v>Camión Tolva</v>
      </c>
      <c r="C26" t="str">
        <f>IFERROR(_xlfn.XLOOKUP($A26,Maestro_Equipos!$A$4:$A$242,Maestro_Equipos!$C$4:$C$242,""),"")</f>
        <v>Camiones de Ruta</v>
      </c>
      <c r="D26" t="str">
        <f>IFERROR(_xlfn.XLOOKUP($A26,Maestro_Equipos!$A:$A,Maestro_Equipos!$I:$I,""),"")</f>
        <v>HORAS</v>
      </c>
      <c r="E26">
        <f>IFERROR(IF($D26="KM",_xlfn.XLOOKUP($A26,Maestro_Equipos!$A:$A,Maestro_Equipos!$N:$N,""),_xlfn.XLOOKUP($A26,Maestro_Equipos!$A:$A,Maestro_Equipos!$M:$M,"")),"")</f>
        <v>3720</v>
      </c>
      <c r="F26">
        <f>IFERROR(_xlfn.XLOOKUP($A26,Maestro_Equipos!$A:$A,Maestro_Equipos!$R:$R,"")+_xlfn.XLOOKUP($A26,Maestro_Equipos!$A:$A,Maestro_Equipos!$J:$J,""),"")</f>
        <v>4193</v>
      </c>
      <c r="G26">
        <f>IFERROR(_xlfn.XLOOKUP($A26,Maestro_Equipos!$A:$A,Maestro_Equipos!$K:$K,""),"")</f>
        <v>0</v>
      </c>
      <c r="H26" t="str">
        <f>IFERROR(IF(OR($E26="",$F26="",$G26="",$G26&lt;=0),"",ROUND(($F26-$E26)/$G26,0)),"")</f>
        <v/>
      </c>
      <c r="I26" s="71" t="str">
        <f ca="1">IFERROR(IF($H26="","",TODAY()+$H26),"")</f>
        <v/>
      </c>
      <c r="J26" s="5" t="str">
        <f>IFERROR(INDEX(Maestro_Equipos!$V$4:$V$242,MATCH($A26,Maestro_Equipos!$A$4:$A$242,0)),"")</f>
        <v>Operativo</v>
      </c>
      <c r="K26" s="35">
        <f>IFERROR(
   SUMIFS(Mantenciones!$I:$I,Mantenciones!$B:$B,$A26)
 + SUMIFS('Compras PM'!$F:$F,'Compras PM'!$C:$C,$A26),0)</f>
        <v>274198.12839999999</v>
      </c>
      <c r="L26" s="28" t="str">
        <f>IF($J26="Fuera de Servicio","NO PROGRAMAR",IF($H26="","SIN DATOS",IF($H26&lt;=0,"VENCIDA",IF($H26&lt;=7,"CRÍTICA",IF($H26&lt;=15,"ALTA",IF($H26&lt;=30,"MEDIA","BAJA"))))))</f>
        <v>SIN DATOS</v>
      </c>
      <c r="M26" s="53" cm="1">
        <f t="array" ref="M26">IFERROR(_xlfn.AGGREGATE(14,6,Mantenciones!$A$3:$A$9916/(Mantenciones!$B$3:$B$9916=$A26),1),"")</f>
        <v>46093</v>
      </c>
      <c r="N26" s="29" cm="1">
        <f t="array" ref="N26">IFERROR(_xlfn.AGGREGATE(14,6,'Compras PM'!$A$4:$A$10029/('Compras PM'!$C$4:$C$10029=$A26),1),"")</f>
        <v>46178</v>
      </c>
      <c r="O26" s="29">
        <f>IFERROR(VLOOKUP($A26,Maestro_Equipos!$A$4:$AG$242,27,FALSE()),"")</f>
        <v>46080</v>
      </c>
      <c r="P26" s="30">
        <f ca="1">IFERROR(IF($N26="","",IF(OR($M26="",$M26&lt;$N26),TODAY()-$N26,$M26-$N26)),"")</f>
        <v>62</v>
      </c>
      <c r="Q26" s="30">
        <f ca="1">IFERROR(IF($O26="","",IF(OR($M26="",$M26&lt;$O26),TODAY()-$O26,$M26-$O26)),"")</f>
        <v>13</v>
      </c>
      <c r="R26" s="28" t="str">
        <f>IF($O26="","SIN SALIDA",IF(OR($M26="",$M26&lt;$O26),"PENDIENTE","REALIZADA"))</f>
        <v>REALIZADA</v>
      </c>
      <c r="S26" s="31" t="str">
        <f>IFERROR(VLOOKUP($A26,Maestro_Equipos!$A$4:$AG$242,33,FALSE()),"")</f>
        <v>Monitorear próximo vencimiento</v>
      </c>
    </row>
    <row r="27" spans="1:19">
      <c r="A27" t="str" cm="1">
        <f t="array" ref="A27">IFERROR(INDEX(_xlfn._xlws.FILTER(Maestro_Equipos!$A$4:$A$242,Maestro_Equipos!$A$4:$A$242&lt;&gt;""),ROWS($A$4:A27)),"")</f>
        <v>CD-124</v>
      </c>
      <c r="B27" t="str">
        <f>IFERROR(_xlfn.XLOOKUP($A27,Maestro_Equipos!$A$4:$A$242,Maestro_Equipos!$B$4:$B$242,""),"")</f>
        <v>Camión Tolva</v>
      </c>
      <c r="C27" t="str">
        <f>IFERROR(_xlfn.XLOOKUP($A27,Maestro_Equipos!$A$4:$A$242,Maestro_Equipos!$C$4:$C$242,""),"")</f>
        <v>Camiones de Ruta</v>
      </c>
      <c r="D27" t="str">
        <f>IFERROR(_xlfn.XLOOKUP($A27,Maestro_Equipos!$A:$A,Maestro_Equipos!$I:$I,""),"")</f>
        <v>HORAS</v>
      </c>
      <c r="E27">
        <f>IFERROR(IF($D27="KM",_xlfn.XLOOKUP($A27,Maestro_Equipos!$A:$A,Maestro_Equipos!$N:$N,""),_xlfn.XLOOKUP($A27,Maestro_Equipos!$A:$A,Maestro_Equipos!$M:$M,"")),"")</f>
        <v>0</v>
      </c>
      <c r="F27" t="str">
        <f>IFERROR(_xlfn.XLOOKUP($A27,Maestro_Equipos!$A:$A,Maestro_Equipos!$R:$R,"")+_xlfn.XLOOKUP($A27,Maestro_Equipos!$A:$A,Maestro_Equipos!$J:$J,""),"")</f>
        <v/>
      </c>
      <c r="G27">
        <f>IFERROR(_xlfn.XLOOKUP($A27,Maestro_Equipos!$A:$A,Maestro_Equipos!$K:$K,""),"")</f>
        <v>0</v>
      </c>
      <c r="H27" t="str">
        <f>IFERROR(IF(OR($E27="",$F27="",$G27="",$G27&lt;=0),"",ROUND(($F27-$E27)/$G27,0)),"")</f>
        <v/>
      </c>
      <c r="I27" s="71" t="str">
        <f ca="1">IFERROR(IF($H27="","",TODAY()+$H27),"")</f>
        <v/>
      </c>
      <c r="J27" s="5" t="str">
        <f>IFERROR(INDEX(Maestro_Equipos!$V$4:$V$242,MATCH($A27,Maestro_Equipos!$A$4:$A$242,0)),"")</f>
        <v>Fuera de Servicio</v>
      </c>
      <c r="K27" s="35">
        <f>IFERROR(
   SUMIFS(Mantenciones!$I:$I,Mantenciones!$B:$B,$A27)
 + SUMIFS('Compras PM'!$F:$F,'Compras PM'!$C:$C,$A27),0)</f>
        <v>0</v>
      </c>
      <c r="L27" s="28" t="str">
        <f>IF($J27="Fuera de Servicio","NO PROGRAMAR",IF($H27="","SIN DATOS",IF($H27&lt;=0,"VENCIDA",IF($H27&lt;=7,"CRÍTICA",IF($H27&lt;=15,"ALTA",IF($H27&lt;=30,"MEDIA","BAJA"))))))</f>
        <v>NO PROGRAMAR</v>
      </c>
      <c r="M27" s="53" t="str" cm="1">
        <f t="array" ref="M27">IFERROR(_xlfn.AGGREGATE(14,6,Mantenciones!$A$3:$A$9916/(Mantenciones!$B$3:$B$9916=$A27),1),"")</f>
        <v/>
      </c>
      <c r="N27" s="29" t="str" cm="1">
        <f t="array" ref="N27">IFERROR(_xlfn.AGGREGATE(14,6,'Compras PM'!$A$4:$A$10029/('Compras PM'!$C$4:$C$10029=$A27),1),"")</f>
        <v/>
      </c>
      <c r="O27" s="29" t="str">
        <f>IFERROR(VLOOKUP($A27,Maestro_Equipos!$A$4:$AG$242,27,FALSE()),"")</f>
        <v/>
      </c>
      <c r="P27" s="30" t="str">
        <f ca="1">IFERROR(IF($N27="","",IF(OR($M27="",$M27&lt;$N27),TODAY()-$N27,$M27-$N27)),"")</f>
        <v/>
      </c>
      <c r="Q27" s="30" t="str">
        <f ca="1">IFERROR(IF($O27="","",IF(OR($M27="",$M27&lt;$O27),TODAY()-$O27,$M27-$O27)),"")</f>
        <v/>
      </c>
      <c r="R27" s="28" t="str">
        <f>IF($O27="","SIN SALIDA",IF(OR($M27="",$M27&lt;$O27),"PENDIENTE","REALIZADA"))</f>
        <v>SIN SALIDA</v>
      </c>
      <c r="S27" s="31" t="str">
        <f>IFERROR(VLOOKUP($A27,Maestro_Equipos!$A$4:$AG$242,33,FALSE()),"")</f>
        <v>No programar compra</v>
      </c>
    </row>
    <row r="28" spans="1:19">
      <c r="A28" t="str" cm="1">
        <f t="array" ref="A28">IFERROR(INDEX(_xlfn._xlws.FILTER(Maestro_Equipos!$A$4:$A$242,Maestro_Equipos!$A$4:$A$242&lt;&gt;""),ROWS($A$4:A28)),"")</f>
        <v>CD-125</v>
      </c>
      <c r="B28" t="str">
        <f>IFERROR(_xlfn.XLOOKUP($A28,Maestro_Equipos!$A$4:$A$242,Maestro_Equipos!$B$4:$B$242,""),"")</f>
        <v>Camión Maxus</v>
      </c>
      <c r="C28" t="str">
        <f>IFERROR(_xlfn.XLOOKUP($A28,Maestro_Equipos!$A$4:$A$242,Maestro_Equipos!$C$4:$C$242,""),"")</f>
        <v>Camiones de Ruta</v>
      </c>
      <c r="D28" t="str">
        <f>IFERROR(_xlfn.XLOOKUP($A28,Maestro_Equipos!$A:$A,Maestro_Equipos!$I:$I,""),"")</f>
        <v>HORAS</v>
      </c>
      <c r="E28">
        <f>IFERROR(IF($D28="KM",_xlfn.XLOOKUP($A28,Maestro_Equipos!$A:$A,Maestro_Equipos!$N:$N,""),_xlfn.XLOOKUP($A28,Maestro_Equipos!$A:$A,Maestro_Equipos!$M:$M,"")),"")</f>
        <v>1471</v>
      </c>
      <c r="F28" t="str">
        <f>IFERROR(_xlfn.XLOOKUP($A28,Maestro_Equipos!$A:$A,Maestro_Equipos!$R:$R,"")+_xlfn.XLOOKUP($A28,Maestro_Equipos!$A:$A,Maestro_Equipos!$J:$J,""),"")</f>
        <v/>
      </c>
      <c r="G28">
        <f>IFERROR(_xlfn.XLOOKUP($A28,Maestro_Equipos!$A:$A,Maestro_Equipos!$K:$K,""),"")</f>
        <v>0</v>
      </c>
      <c r="H28" t="str">
        <f>IFERROR(IF(OR($E28="",$F28="",$G28="",$G28&lt;=0),"",ROUND(($F28-$E28)/$G28,0)),"")</f>
        <v/>
      </c>
      <c r="I28" s="71" t="str">
        <f ca="1">IFERROR(IF($H28="","",TODAY()+$H28),"")</f>
        <v/>
      </c>
      <c r="J28" s="5" t="str">
        <f>IFERROR(INDEX(Maestro_Equipos!$V$4:$V$242,MATCH($A28,Maestro_Equipos!$A$4:$A$242,0)),"")</f>
        <v>Operativo</v>
      </c>
      <c r="K28" s="35">
        <f>IFERROR(
   SUMIFS(Mantenciones!$I:$I,Mantenciones!$B:$B,$A28)
 + SUMIFS('Compras PM'!$F:$F,'Compras PM'!$C:$C,$A28),0)</f>
        <v>134066.59</v>
      </c>
      <c r="L28" s="28" t="str">
        <f>IF($J28="Fuera de Servicio","NO PROGRAMAR",IF($H28="","SIN DATOS",IF($H28&lt;=0,"VENCIDA",IF($H28&lt;=7,"CRÍTICA",IF($H28&lt;=15,"ALTA",IF($H28&lt;=30,"MEDIA","BAJA"))))))</f>
        <v>SIN DATOS</v>
      </c>
      <c r="M28" s="53" t="str" cm="1">
        <f t="array" ref="M28">IFERROR(_xlfn.AGGREGATE(14,6,Mantenciones!$A$3:$A$9916/(Mantenciones!$B$3:$B$9916=$A28),1),"")</f>
        <v/>
      </c>
      <c r="N28" s="29" cm="1">
        <f t="array" ref="N28">IFERROR(_xlfn.AGGREGATE(14,6,'Compras PM'!$A$4:$A$10029/('Compras PM'!$C$4:$C$10029=$A28),1),"")</f>
        <v>46178</v>
      </c>
      <c r="O28" s="29">
        <f>IFERROR(VLOOKUP($A28,Maestro_Equipos!$A$4:$AG$242,27,FALSE()),"")</f>
        <v>46080</v>
      </c>
      <c r="P28" s="30">
        <f ca="1">IFERROR(IF($N28="","",IF(OR($M28="",$M28&lt;$N28),TODAY()-$N28,$M28-$N28)),"")</f>
        <v>62</v>
      </c>
      <c r="Q28" s="30">
        <f ca="1">IFERROR(IF($O28="","",IF(OR($M28="",$M28&lt;$O28),TODAY()-$O28,$M28-$O28)),"")</f>
        <v>160</v>
      </c>
      <c r="R28" s="28" t="str">
        <f>IF($O28="","SIN SALIDA",IF(OR($M28="",$M28&lt;$O28),"PENDIENTE","REALIZADA"))</f>
        <v>PENDIENTE</v>
      </c>
      <c r="S28" s="31" t="str">
        <f>IFERROR(VLOOKUP($A28,Maestro_Equipos!$A$4:$AG$242,33,FALSE()),"")</f>
        <v>Monitorear próximo vencimiento</v>
      </c>
    </row>
    <row r="29" spans="1:19">
      <c r="A29" t="str" cm="1">
        <f t="array" ref="A29">IFERROR(INDEX(_xlfn._xlws.FILTER(Maestro_Equipos!$A$4:$A$242,Maestro_Equipos!$A$4:$A$242&lt;&gt;""),ROWS($A$4:A29)),"")</f>
        <v>CD-126</v>
      </c>
      <c r="B29" t="str">
        <f>IFERROR(_xlfn.XLOOKUP($A29,Maestro_Equipos!$A$4:$A$242,Maestro_Equipos!$B$4:$B$242,""),"")</f>
        <v>Camión Maxus</v>
      </c>
      <c r="C29" t="str">
        <f>IFERROR(_xlfn.XLOOKUP($A29,Maestro_Equipos!$A$4:$A$242,Maestro_Equipos!$C$4:$C$242,""),"")</f>
        <v>Camiones de Ruta</v>
      </c>
      <c r="D29" t="str">
        <f>IFERROR(_xlfn.XLOOKUP($A29,Maestro_Equipos!$A:$A,Maestro_Equipos!$I:$I,""),"")</f>
        <v>HORAS</v>
      </c>
      <c r="E29">
        <f>IFERROR(IF($D29="KM",_xlfn.XLOOKUP($A29,Maestro_Equipos!$A:$A,Maestro_Equipos!$N:$N,""),_xlfn.XLOOKUP($A29,Maestro_Equipos!$A:$A,Maestro_Equipos!$M:$M,"")),"")</f>
        <v>0</v>
      </c>
      <c r="F29">
        <f>IFERROR(_xlfn.XLOOKUP($A29,Maestro_Equipos!$A:$A,Maestro_Equipos!$R:$R,"")+_xlfn.XLOOKUP($A29,Maestro_Equipos!$A:$A,Maestro_Equipos!$J:$J,""),"")</f>
        <v>57630</v>
      </c>
      <c r="G29">
        <f>IFERROR(_xlfn.XLOOKUP($A29,Maestro_Equipos!$A:$A,Maestro_Equipos!$K:$K,""),"")</f>
        <v>0</v>
      </c>
      <c r="H29" t="str">
        <f>IFERROR(IF(OR($E29="",$F29="",$G29="",$G29&lt;=0),"",ROUND(($F29-$E29)/$G29,0)),"")</f>
        <v/>
      </c>
      <c r="I29" s="71" t="str">
        <f ca="1">IFERROR(IF($H29="","",TODAY()+$H29),"")</f>
        <v/>
      </c>
      <c r="J29" s="5" t="str">
        <f>IFERROR(INDEX(Maestro_Equipos!$V$4:$V$242,MATCH($A29,Maestro_Equipos!$A$4:$A$242,0)),"")</f>
        <v>Operativo</v>
      </c>
      <c r="K29" s="35">
        <f>IFERROR(
   SUMIFS(Mantenciones!$I:$I,Mantenciones!$B:$B,$A29)
 + SUMIFS('Compras PM'!$F:$F,'Compras PM'!$C:$C,$A29),0)</f>
        <v>268133.18</v>
      </c>
      <c r="L29" s="28" t="str">
        <f>IF($J29="Fuera de Servicio","NO PROGRAMAR",IF($H29="","SIN DATOS",IF($H29&lt;=0,"VENCIDA",IF($H29&lt;=7,"CRÍTICA",IF($H29&lt;=15,"ALTA",IF($H29&lt;=30,"MEDIA","BAJA"))))))</f>
        <v>SIN DATOS</v>
      </c>
      <c r="M29" s="53" cm="1">
        <f t="array" ref="M29">IFERROR(_xlfn.AGGREGATE(14,6,Mantenciones!$A$3:$A$9916/(Mantenciones!$B$3:$B$9916=$A29),1),"")</f>
        <v>46183</v>
      </c>
      <c r="N29" s="29" cm="1">
        <f t="array" ref="N29">IFERROR(_xlfn.AGGREGATE(14,6,'Compras PM'!$A$4:$A$10029/('Compras PM'!$C$4:$C$10029=$A29),1),"")</f>
        <v>46167.397245798602</v>
      </c>
      <c r="O29" s="29" t="str">
        <f>IFERROR(VLOOKUP($A29,Maestro_Equipos!$A$4:$AG$242,27,FALSE()),"")</f>
        <v/>
      </c>
      <c r="P29" s="30">
        <f ca="1">IFERROR(IF($N29="","",IF(OR($M29="",$M29&lt;$N29),TODAY()-$N29,$M29-$N29)),"")</f>
        <v>15.602754201398056</v>
      </c>
      <c r="Q29" s="30" t="str">
        <f ca="1">IFERROR(IF($O29="","",IF(OR($M29="",$M29&lt;$O29),TODAY()-$O29,$M29-$O29)),"")</f>
        <v/>
      </c>
      <c r="R29" s="28" t="str">
        <f>IF($O29="","SIN SALIDA",IF(OR($M29="",$M29&lt;$O29),"PENDIENTE","REALIZADA"))</f>
        <v>SIN SALIDA</v>
      </c>
      <c r="S29" s="31" t="str">
        <f>IFERROR(VLOOKUP($A29,Maestro_Equipos!$A$4:$AG$242,33,FALSE()),"")</f>
        <v>Hacer seguimiento al taller y cerrar report</v>
      </c>
    </row>
    <row r="30" spans="1:19">
      <c r="A30" s="61" t="str" cm="1">
        <f t="array" ref="A30">IFERROR(INDEX(_xlfn._xlws.FILTER(Maestro_Equipos!$A$4:$A$242,Maestro_Equipos!$A$4:$A$242&lt;&gt;""),ROWS($A$4:A30)),"")</f>
        <v>CD-127</v>
      </c>
      <c r="B30" s="61" t="str">
        <f>IFERROR(_xlfn.XLOOKUP($A30,Maestro_Equipos!$A$4:$A$242,Maestro_Equipos!$B$4:$B$242,""),"")</f>
        <v>Camión Pluma</v>
      </c>
      <c r="C30" s="61" t="str">
        <f>IFERROR(_xlfn.XLOOKUP($A30,Maestro_Equipos!$A$4:$A$242,Maestro_Equipos!$C$4:$C$242,""),"")</f>
        <v>Camiones de Ruta</v>
      </c>
      <c r="D30" s="61" t="str">
        <f>IFERROR(VLOOKUP($A27,Maestro_Equipos!$A$4:$Z$242,9,FALSE),"")</f>
        <v>HORAS</v>
      </c>
      <c r="E30" s="61">
        <f>IFERROR(IF($D30="KM",_xlfn.XLOOKUP($A30,Maestro_Equipos!$A:$A,Maestro_Equipos!$N:$N,""),_xlfn.XLOOKUP($A30,Maestro_Equipos!$A:$A,Maestro_Equipos!$M:$M,"")),"")</f>
        <v>0</v>
      </c>
      <c r="F30" s="61">
        <f>IFERROR(_xlfn.XLOOKUP($A30,Maestro_Equipos!$A:$A,Maestro_Equipos!$R:$R,"")+_xlfn.XLOOKUP($A30,Maestro_Equipos!$A:$A,Maestro_Equipos!$J:$J,""),"")</f>
        <v>142160</v>
      </c>
      <c r="G30" s="61">
        <f>IFERROR(_xlfn.XLOOKUP($A30,Maestro_Equipos!$A:$A,Maestro_Equipos!$K:$K,""),"")</f>
        <v>0</v>
      </c>
      <c r="H30" s="61" t="str">
        <f>IFERROR(IF(OR($E30="",$F30="",$G30="",$G30&lt;=0),"",ROUND(($F30-$E30)/$G30,0)),"")</f>
        <v/>
      </c>
      <c r="I30" s="62" t="str">
        <f ca="1">IFERROR(IF($H30="","",TODAY()+$H30),"")</f>
        <v/>
      </c>
      <c r="J30" s="63" t="str">
        <f>IFERROR(INDEX(Maestro_Equipos!$V$4:$V$242,MATCH($A30,Maestro_Equipos!$A$4:$A$242,0)),"")</f>
        <v>Operativo</v>
      </c>
      <c r="K30" s="64">
        <f>IFERROR(
   SUMIFS(Mantenciones!$I:$I,Mantenciones!$B:$B,$A30)
 + SUMIFS('Compras PM'!$F:$F,'Compras PM'!$C:$C,$A30),0)</f>
        <v>222792.99</v>
      </c>
      <c r="L30" s="65" t="str">
        <f>IF($J30="Fuera de Servicio","NO PROGRAMAR",IF($H30="","SIN DATOS",IF($H30&lt;=0,"VENCIDA",IF($H30&lt;=7,"CRÍTICA",IF($H30&lt;=15,"ALTA",IF($H30&lt;=30,"MEDIA","BAJA"))))))</f>
        <v>SIN DATOS</v>
      </c>
      <c r="M30" s="66" cm="1">
        <f t="array" ref="M30">IFERROR(_xlfn.AGGREGATE(14,6,Mantenciones!$A$3:$A$9916/(Mantenciones!$B$3:$B$9916=$A30),1),"")</f>
        <v>46218</v>
      </c>
      <c r="N30" s="67" cm="1">
        <f t="array" ref="N30">IFERROR(_xlfn.AGGREGATE(14,6,'Compras PM'!$A$4:$A$10029/('Compras PM'!$C$4:$C$10029=$A30),1),"")</f>
        <v>46086.705769826403</v>
      </c>
      <c r="O30" s="67">
        <f>IFERROR(VLOOKUP($A30,Maestro_Equipos!$A$4:$AG$242,27,FALSE()),"")</f>
        <v>46129</v>
      </c>
      <c r="P30" s="68">
        <f ca="1">IFERROR(IF($N30="","",IF(OR($M30="",$M30&lt;$N30),TODAY()-$N30,$M30-$N30)),"")</f>
        <v>131.29423017359659</v>
      </c>
      <c r="Q30" s="68">
        <f ca="1">IFERROR(IF($O30="","",IF(OR($M30="",$M30&lt;$O30),TODAY()-$O30,$M30-$O30)),"")</f>
        <v>89</v>
      </c>
      <c r="R30" s="65" t="str">
        <f>IF($O30="","SIN SALIDA",IF(OR($M30="",$M30&lt;$O30),"PENDIENTE","REALIZADA"))</f>
        <v>REALIZADA</v>
      </c>
      <c r="S30" s="69" t="str">
        <f>IFERROR(VLOOKUP($A30,Maestro_Equipos!$A$4:$AG$242,33,FALSE()),"")</f>
        <v>Monitorear próximo vencimiento</v>
      </c>
    </row>
    <row r="31" spans="1:19">
      <c r="A31" t="str" cm="1">
        <f t="array" ref="A31">IFERROR(INDEX(_xlfn._xlws.FILTER(Maestro_Equipos!$A$4:$A$242,Maestro_Equipos!$A$4:$A$242&lt;&gt;""),ROWS($A$4:A31)),"")</f>
        <v>CD-128</v>
      </c>
      <c r="B31" t="str">
        <f>IFERROR(_xlfn.XLOOKUP($A31,Maestro_Equipos!$A$4:$A$242,Maestro_Equipos!$B$4:$B$242,""),"")</f>
        <v>Camión slurry</v>
      </c>
      <c r="C31" t="str">
        <f>IFERROR(_xlfn.XLOOKUP($A31,Maestro_Equipos!$A$4:$A$242,Maestro_Equipos!$C$4:$C$242,""),"")</f>
        <v>Camiones de Ruta</v>
      </c>
      <c r="D31" t="str">
        <f>IFERROR(_xlfn.XLOOKUP($A31,Maestro_Equipos!$A:$A,Maestro_Equipos!$I:$I,""),"")</f>
        <v>HORAS</v>
      </c>
      <c r="E31">
        <f>IFERROR(IF($D31="KM",_xlfn.XLOOKUP($A31,Maestro_Equipos!$A:$A,Maestro_Equipos!$N:$N,""),_xlfn.XLOOKUP($A31,Maestro_Equipos!$A:$A,Maestro_Equipos!$M:$M,"")),"")</f>
        <v>0</v>
      </c>
      <c r="F31" t="str">
        <f>IFERROR(_xlfn.XLOOKUP($A31,Maestro_Equipos!$A:$A,Maestro_Equipos!$R:$R,"")+_xlfn.XLOOKUP($A31,Maestro_Equipos!$A:$A,Maestro_Equipos!$J:$J,""),"")</f>
        <v/>
      </c>
      <c r="G31">
        <f>IFERROR(_xlfn.XLOOKUP($A31,Maestro_Equipos!$A:$A,Maestro_Equipos!$K:$K,""),"")</f>
        <v>0</v>
      </c>
      <c r="H31" t="str">
        <f>IFERROR(IF(OR($E31="",$F31="",$G31="",$G31&lt;=0),"",ROUND(($F31-$E31)/$G31,0)),"")</f>
        <v/>
      </c>
      <c r="I31" s="71" t="str">
        <f ca="1">IFERROR(IF($H31="","",TODAY()+$H31),"")</f>
        <v/>
      </c>
      <c r="J31" s="5" t="str">
        <f>IFERROR(INDEX(Maestro_Equipos!$V$4:$V$242,MATCH($A31,Maestro_Equipos!$A$4:$A$242,0)),"")</f>
        <v>Operativo</v>
      </c>
      <c r="K31" s="35">
        <f>IFERROR(
   SUMIFS(Mantenciones!$I:$I,Mantenciones!$B:$B,$A31)
 + SUMIFS('Compras PM'!$F:$F,'Compras PM'!$C:$C,$A31),0)</f>
        <v>183418.27</v>
      </c>
      <c r="L31" s="28" t="str">
        <f>IF($J31="Fuera de Servicio","NO PROGRAMAR",IF($H31="","SIN DATOS",IF($H31&lt;=0,"VENCIDA",IF($H31&lt;=7,"CRÍTICA",IF($H31&lt;=15,"ALTA",IF($H31&lt;=30,"MEDIA","BAJA"))))))</f>
        <v>SIN DATOS</v>
      </c>
      <c r="M31" s="53" t="str" cm="1">
        <f t="array" ref="M31">IFERROR(_xlfn.AGGREGATE(14,6,Mantenciones!$A$3:$A$9916/(Mantenciones!$B$3:$B$9916=$A31),1),"")</f>
        <v/>
      </c>
      <c r="N31" s="29" cm="1">
        <f t="array" ref="N31">IFERROR(_xlfn.AGGREGATE(14,6,'Compras PM'!$A$4:$A$10029/('Compras PM'!$C$4:$C$10029=$A31),1),"")</f>
        <v>46146.415785219899</v>
      </c>
      <c r="O31" s="29">
        <f>IFERROR(VLOOKUP($A31,Maestro_Equipos!$A$4:$AG$242,27,FALSE()),"")</f>
        <v>46148</v>
      </c>
      <c r="P31" s="30">
        <f ca="1">IFERROR(IF($N31="","",IF(OR($M31="",$M31&lt;$N31),TODAY()-$N31,$M31-$N31)),"")</f>
        <v>93.58421478010132</v>
      </c>
      <c r="Q31" s="30">
        <f ca="1">IFERROR(IF($O31="","",IF(OR($M31="",$M31&lt;$O31),TODAY()-$O31,$M31-$O31)),"")</f>
        <v>92</v>
      </c>
      <c r="R31" s="28" t="str">
        <f>IF($O31="","SIN SALIDA",IF(OR($M31="",$M31&lt;$O31),"PENDIENTE","REALIZADA"))</f>
        <v>PENDIENTE</v>
      </c>
      <c r="S31" s="31" t="str">
        <f>IFERROR(VLOOKUP($A31,Maestro_Equipos!$A$4:$AG$242,33,FALSE()),"")</f>
        <v>Monitorear próximo vencimiento</v>
      </c>
    </row>
    <row r="32" spans="1:19">
      <c r="A32" t="str" cm="1">
        <f t="array" ref="A32">IFERROR(INDEX(_xlfn._xlws.FILTER(Maestro_Equipos!$A$4:$A$242,Maestro_Equipos!$A$4:$A$242&lt;&gt;""),ROWS($A$4:A32)),"")</f>
        <v>CD-129</v>
      </c>
      <c r="B32" t="str">
        <f>IFERROR(_xlfn.XLOOKUP($A32,Maestro_Equipos!$A$4:$A$242,Maestro_Equipos!$B$4:$B$242,""),"")</f>
        <v>Camión Aljibe</v>
      </c>
      <c r="C32" t="str">
        <f>IFERROR(_xlfn.XLOOKUP($A32,Maestro_Equipos!$A$4:$A$242,Maestro_Equipos!$C$4:$C$242,""),"")</f>
        <v>Camiones de Ruta</v>
      </c>
      <c r="D32" t="str">
        <f>IFERROR(_xlfn.XLOOKUP($A32,Maestro_Equipos!$A:$A,Maestro_Equipos!$I:$I,""),"")</f>
        <v>HORAS</v>
      </c>
      <c r="E32">
        <f>IFERROR(IF($D32="KM",_xlfn.XLOOKUP($A32,Maestro_Equipos!$A:$A,Maestro_Equipos!$N:$N,""),_xlfn.XLOOKUP($A32,Maestro_Equipos!$A:$A,Maestro_Equipos!$M:$M,"")),"")</f>
        <v>0</v>
      </c>
      <c r="F32" t="str">
        <f>IFERROR(_xlfn.XLOOKUP($A32,Maestro_Equipos!$A:$A,Maestro_Equipos!$R:$R,"")+_xlfn.XLOOKUP($A32,Maestro_Equipos!$A:$A,Maestro_Equipos!$J:$J,""),"")</f>
        <v/>
      </c>
      <c r="G32">
        <f>IFERROR(_xlfn.XLOOKUP($A32,Maestro_Equipos!$A:$A,Maestro_Equipos!$K:$K,""),"")</f>
        <v>0</v>
      </c>
      <c r="H32" t="str">
        <f>IFERROR(IF(OR($E32="",$F32="",$G32="",$G32&lt;=0),"",ROUND(($F32-$E32)/$G32,0)),"")</f>
        <v/>
      </c>
      <c r="I32" s="71" t="str">
        <f ca="1">IFERROR(IF($H32="","",TODAY()+$H32),"")</f>
        <v/>
      </c>
      <c r="J32" s="5" t="str">
        <f>IFERROR(INDEX(Maestro_Equipos!$V$4:$V$242,MATCH($A32,Maestro_Equipos!$A$4:$A$242,0)),"")</f>
        <v>Fuera de Servicio</v>
      </c>
      <c r="K32" s="35">
        <f>IFERROR(
   SUMIFS(Mantenciones!$I:$I,Mantenciones!$B:$B,$A32)
 + SUMIFS('Compras PM'!$F:$F,'Compras PM'!$C:$C,$A32),0)</f>
        <v>0</v>
      </c>
      <c r="L32" s="28" t="str">
        <f>IF($J32="Fuera de Servicio","NO PROGRAMAR",IF($H32="","SIN DATOS",IF($H32&lt;=0,"VENCIDA",IF($H32&lt;=7,"CRÍTICA",IF($H32&lt;=15,"ALTA",IF($H32&lt;=30,"MEDIA","BAJA"))))))</f>
        <v>NO PROGRAMAR</v>
      </c>
      <c r="M32" s="53" t="str" cm="1">
        <f t="array" ref="M32">IFERROR(_xlfn.AGGREGATE(14,6,Mantenciones!$A$3:$A$9916/(Mantenciones!$B$3:$B$9916=$A32),1),"")</f>
        <v/>
      </c>
      <c r="N32" s="29" t="str" cm="1">
        <f t="array" ref="N32">IFERROR(_xlfn.AGGREGATE(14,6,'Compras PM'!$A$4:$A$10029/('Compras PM'!$C$4:$C$10029=$A32),1),"")</f>
        <v/>
      </c>
      <c r="O32" s="29" t="str">
        <f>IFERROR(VLOOKUP($A32,Maestro_Equipos!$A$4:$AG$242,27,FALSE()),"")</f>
        <v/>
      </c>
      <c r="P32" s="30" t="str">
        <f ca="1">IFERROR(IF($N32="","",IF(OR($M32="",$M32&lt;$N32),TODAY()-$N32,$M32-$N32)),"")</f>
        <v/>
      </c>
      <c r="Q32" s="30" t="str">
        <f ca="1">IFERROR(IF($O32="","",IF(OR($M32="",$M32&lt;$O32),TODAY()-$O32,$M32-$O32)),"")</f>
        <v/>
      </c>
      <c r="R32" s="28" t="str">
        <f>IF($O32="","SIN SALIDA",IF(OR($M32="",$M32&lt;$O32),"PENDIENTE","REALIZADA"))</f>
        <v>SIN SALIDA</v>
      </c>
      <c r="S32" s="31" t="str">
        <f>IFERROR(VLOOKUP($A32,Maestro_Equipos!$A$4:$AG$242,33,FALSE()),"")</f>
        <v>No programar compra</v>
      </c>
    </row>
    <row r="33" spans="1:19">
      <c r="A33" t="str" cm="1">
        <f t="array" ref="A33">IFERROR(INDEX(_xlfn._xlws.FILTER(Maestro_Equipos!$A$4:$A$242,Maestro_Equipos!$A$4:$A$242&lt;&gt;""),ROWS($A$4:A33)),"")</f>
        <v>CD-130</v>
      </c>
      <c r="B33" t="str">
        <f>IFERROR(_xlfn.XLOOKUP($A33,Maestro_Equipos!$A$4:$A$242,Maestro_Equipos!$B$4:$B$242,""),"")</f>
        <v>Camión Tolva</v>
      </c>
      <c r="C33" t="str">
        <f>IFERROR(_xlfn.XLOOKUP($A33,Maestro_Equipos!$A$4:$A$242,Maestro_Equipos!$C$4:$C$242,""),"")</f>
        <v>Camiones de Ruta</v>
      </c>
      <c r="D33" t="str">
        <f>IFERROR(_xlfn.XLOOKUP($A33,Maestro_Equipos!$A:$A,Maestro_Equipos!$I:$I,""),"")</f>
        <v>HORAS</v>
      </c>
      <c r="E33">
        <f>IFERROR(IF($D33="KM",_xlfn.XLOOKUP($A33,Maestro_Equipos!$A:$A,Maestro_Equipos!$N:$N,""),_xlfn.XLOOKUP($A33,Maestro_Equipos!$A:$A,Maestro_Equipos!$M:$M,"")),"")</f>
        <v>0</v>
      </c>
      <c r="F33" t="str">
        <f>IFERROR(_xlfn.XLOOKUP($A33,Maestro_Equipos!$A:$A,Maestro_Equipos!$R:$R,"")+_xlfn.XLOOKUP($A33,Maestro_Equipos!$A:$A,Maestro_Equipos!$J:$J,""),"")</f>
        <v/>
      </c>
      <c r="G33">
        <f>IFERROR(_xlfn.XLOOKUP($A33,Maestro_Equipos!$A:$A,Maestro_Equipos!$K:$K,""),"")</f>
        <v>0</v>
      </c>
      <c r="H33" t="str">
        <f>IFERROR(IF(OR($E33="",$F33="",$G33="",$G33&lt;=0),"",ROUND(($F33-$E33)/$G33,0)),"")</f>
        <v/>
      </c>
      <c r="I33" s="71" t="str">
        <f ca="1">IFERROR(IF($H33="","",TODAY()+$H33),"")</f>
        <v/>
      </c>
      <c r="J33" s="5" t="str">
        <f>IFERROR(INDEX(Maestro_Equipos!$V$4:$V$242,MATCH($A33,Maestro_Equipos!$A$4:$A$242,0)),"")</f>
        <v>Fuera de Servicio</v>
      </c>
      <c r="K33" s="35">
        <f>IFERROR(
   SUMIFS(Mantenciones!$I:$I,Mantenciones!$B:$B,$A33)
 + SUMIFS('Compras PM'!$F:$F,'Compras PM'!$C:$C,$A33),0)</f>
        <v>0</v>
      </c>
      <c r="L33" s="28" t="str">
        <f>IF($J33="Fuera de Servicio","NO PROGRAMAR",IF($H33="","SIN DATOS",IF($H33&lt;=0,"VENCIDA",IF($H33&lt;=7,"CRÍTICA",IF($H33&lt;=15,"ALTA",IF($H33&lt;=30,"MEDIA","BAJA"))))))</f>
        <v>NO PROGRAMAR</v>
      </c>
      <c r="M33" s="53" t="str" cm="1">
        <f t="array" ref="M33">IFERROR(_xlfn.AGGREGATE(14,6,Mantenciones!$A$3:$A$9916/(Mantenciones!$B$3:$B$9916=$A33),1),"")</f>
        <v/>
      </c>
      <c r="N33" s="29" t="str" cm="1">
        <f t="array" ref="N33">IFERROR(_xlfn.AGGREGATE(14,6,'Compras PM'!$A$4:$A$10029/('Compras PM'!$C$4:$C$10029=$A33),1),"")</f>
        <v/>
      </c>
      <c r="O33" s="29" t="str">
        <f>IFERROR(VLOOKUP($A33,Maestro_Equipos!$A$4:$AG$242,27,FALSE()),"")</f>
        <v/>
      </c>
      <c r="P33" s="30" t="str">
        <f ca="1">IFERROR(IF($N33="","",IF(OR($M33="",$M33&lt;$N33),TODAY()-$N33,$M33-$N33)),"")</f>
        <v/>
      </c>
      <c r="Q33" s="30" t="str">
        <f ca="1">IFERROR(IF($O33="","",IF(OR($M33="",$M33&lt;$O33),TODAY()-$O33,$M33-$O33)),"")</f>
        <v/>
      </c>
      <c r="R33" s="28" t="str">
        <f>IF($O33="","SIN SALIDA",IF(OR($M33="",$M33&lt;$O33),"PENDIENTE","REALIZADA"))</f>
        <v>SIN SALIDA</v>
      </c>
      <c r="S33" s="31" t="str">
        <f>IFERROR(VLOOKUP($A33,Maestro_Equipos!$A$4:$AG$242,33,FALSE()),"")</f>
        <v>No programar compra</v>
      </c>
    </row>
    <row r="34" spans="1:19" s="61" customFormat="1" ht="18" customHeight="1">
      <c r="A34" s="61" t="str" cm="1">
        <f t="array" ref="A34">IFERROR(INDEX(_xlfn._xlws.FILTER(Maestro_Equipos!$A$4:$A$242,Maestro_Equipos!$A$4:$A$242&lt;&gt;""),ROWS($A$4:A34)),"")</f>
        <v>CD-131</v>
      </c>
      <c r="B34" s="61" t="str">
        <f>IFERROR(_xlfn.XLOOKUP($A34,Maestro_Equipos!$A$4:$A$242,Maestro_Equipos!$B$4:$B$242,""),"")</f>
        <v>Camión Tolva</v>
      </c>
      <c r="C34" s="61" t="str">
        <f>IFERROR(_xlfn.XLOOKUP($A34,Maestro_Equipos!$A$4:$A$242,Maestro_Equipos!$C$4:$C$242,""),"")</f>
        <v>Camiones de Ruta</v>
      </c>
      <c r="D34" s="61" t="str">
        <f>IFERROR(VLOOKUP($A31,Maestro_Equipos!$A$4:$Z$242,9,FALSE),"")</f>
        <v>HORAS</v>
      </c>
      <c r="E34" s="61">
        <f>IFERROR(IF($D34="KM",_xlfn.XLOOKUP($A34,Maestro_Equipos!$A:$A,Maestro_Equipos!$N:$N,""),_xlfn.XLOOKUP($A34,Maestro_Equipos!$A:$A,Maestro_Equipos!$M:$M,"")),"")</f>
        <v>0</v>
      </c>
      <c r="F34" s="61" t="str">
        <f>IFERROR(_xlfn.XLOOKUP($A34,Maestro_Equipos!$A:$A,Maestro_Equipos!$R:$R,"")+_xlfn.XLOOKUP($A34,Maestro_Equipos!$A:$A,Maestro_Equipos!$J:$J,""),"")</f>
        <v/>
      </c>
      <c r="G34" s="61">
        <f>IFERROR(_xlfn.XLOOKUP($A34,Maestro_Equipos!$A:$A,Maestro_Equipos!$K:$K,""),"")</f>
        <v>0</v>
      </c>
      <c r="H34" s="61" t="str">
        <f>IFERROR(IF(OR($E34="",$F34="",$G34="",$G34&lt;=0),"",ROUND(($F34-$E34)/$G34,0)),"")</f>
        <v/>
      </c>
      <c r="I34" s="62" t="str">
        <f ca="1">IFERROR(IF($H34="","",TODAY()+$H34),"")</f>
        <v/>
      </c>
      <c r="J34" s="63" t="str">
        <f>IFERROR(INDEX(Maestro_Equipos!$V$4:$V$242,MATCH($A34,Maestro_Equipos!$A$4:$A$242,0)),"")</f>
        <v>Fuera de Servicio</v>
      </c>
      <c r="K34" s="64">
        <f>IFERROR(
   SUMIFS(Mantenciones!$I:$I,Mantenciones!$B:$B,$A34)
 + SUMIFS('Compras PM'!$F:$F,'Compras PM'!$C:$C,$A34),0)</f>
        <v>0</v>
      </c>
      <c r="L34" s="65" t="str">
        <f>IF($J34="Fuera de Servicio","NO PROGRAMAR",IF($H34="","SIN DATOS",IF($H34&lt;=0,"VENCIDA",IF($H34&lt;=7,"CRÍTICA",IF($H34&lt;=15,"ALTA",IF($H34&lt;=30,"MEDIA","BAJA"))))))</f>
        <v>NO PROGRAMAR</v>
      </c>
      <c r="M34" s="66" t="str" cm="1">
        <f t="array" ref="M34">IFERROR(_xlfn.AGGREGATE(14,6,Mantenciones!$A$3:$A$9916/(Mantenciones!$B$3:$B$9916=$A34),1),"")</f>
        <v/>
      </c>
      <c r="N34" s="67" t="str" cm="1">
        <f t="array" ref="N34">IFERROR(_xlfn.AGGREGATE(14,6,'Compras PM'!$A$4:$A$10029/('Compras PM'!$C$4:$C$10029=$A34),1),"")</f>
        <v/>
      </c>
      <c r="O34" s="67" t="str">
        <f>IFERROR(VLOOKUP($A34,Maestro_Equipos!$A$4:$AG$242,27,FALSE()),"")</f>
        <v/>
      </c>
      <c r="P34" s="68" t="str">
        <f ca="1">IFERROR(IF($N34="","",IF(OR($M34="",$M34&lt;$N34),TODAY()-$N34,$M34-$N34)),"")</f>
        <v/>
      </c>
      <c r="Q34" s="68" t="str">
        <f ca="1">IFERROR(IF($O34="","",IF(OR($M34="",$M34&lt;$O34),TODAY()-$O34,$M34-$O34)),"")</f>
        <v/>
      </c>
      <c r="R34" s="65" t="str">
        <f>IF($O34="","SIN SALIDA",IF(OR($M34="",$M34&lt;$O34),"PENDIENTE","REALIZADA"))</f>
        <v>SIN SALIDA</v>
      </c>
      <c r="S34" s="69" t="str">
        <f>IFERROR(VLOOKUP($A34,Maestro_Equipos!$A$4:$AG$242,33,FALSE()),"")</f>
        <v>No programar compra</v>
      </c>
    </row>
    <row r="35" spans="1:19" s="61" customFormat="1">
      <c r="A35" t="str" cm="1">
        <f t="array" ref="A35">IFERROR(INDEX(_xlfn._xlws.FILTER(Maestro_Equipos!$A$4:$A$242,Maestro_Equipos!$A$4:$A$242&lt;&gt;""),ROWS($A$4:A35)),"")</f>
        <v>CD-132</v>
      </c>
      <c r="B35" t="str">
        <f>IFERROR(_xlfn.XLOOKUP($A35,Maestro_Equipos!$A$4:$A$242,Maestro_Equipos!$B$4:$B$242,""),"")</f>
        <v>Camión Tolva</v>
      </c>
      <c r="C35" t="str">
        <f>IFERROR(_xlfn.XLOOKUP($A35,Maestro_Equipos!$A$4:$A$242,Maestro_Equipos!$C$4:$C$242,""),"")</f>
        <v>Camiones de Ruta</v>
      </c>
      <c r="D35" t="str">
        <f>IFERROR(_xlfn.XLOOKUP($A35,Maestro_Equipos!$A:$A,Maestro_Equipos!$I:$I,""),"")</f>
        <v>HORAS</v>
      </c>
      <c r="E35">
        <f>IFERROR(IF($D35="KM",_xlfn.XLOOKUP($A35,Maestro_Equipos!$A:$A,Maestro_Equipos!$N:$N,""),_xlfn.XLOOKUP($A35,Maestro_Equipos!$A:$A,Maestro_Equipos!$M:$M,"")),"")</f>
        <v>7962</v>
      </c>
      <c r="F35">
        <f>IFERROR(_xlfn.XLOOKUP($A35,Maestro_Equipos!$A:$A,Maestro_Equipos!$R:$R,"")+_xlfn.XLOOKUP($A35,Maestro_Equipos!$A:$A,Maestro_Equipos!$J:$J,""),"")</f>
        <v>189542</v>
      </c>
      <c r="G35">
        <f>IFERROR(_xlfn.XLOOKUP($A35,Maestro_Equipos!$A:$A,Maestro_Equipos!$K:$K,""),"")</f>
        <v>7.1</v>
      </c>
      <c r="H35">
        <f>IFERROR(IF(OR($E35="",$F35="",$G35="",$G35&lt;=0),"",ROUND(($F35-$E35)/$G35,0)),"")</f>
        <v>25575</v>
      </c>
      <c r="I35" s="71">
        <f ca="1">IFERROR(IF($H35="","",TODAY()+$H35),"")</f>
        <v>71815</v>
      </c>
      <c r="J35" s="5" t="str">
        <f>IFERROR(INDEX(Maestro_Equipos!$V$4:$V$242,MATCH($A35,Maestro_Equipos!$A$4:$A$242,0)),"")</f>
        <v>Operativo</v>
      </c>
      <c r="K35" s="35">
        <f>IFERROR(
   SUMIFS(Mantenciones!$I:$I,Mantenciones!$B:$B,$A35)
 + SUMIFS('Compras PM'!$F:$F,'Compras PM'!$C:$C,$A35),0)</f>
        <v>0</v>
      </c>
      <c r="L35" s="28" t="str">
        <f>IF($J35="Fuera de Servicio","NO PROGRAMAR",IF($H35="","SIN DATOS",IF($H35&lt;=0,"VENCIDA",IF($H35&lt;=7,"CRÍTICA",IF($H35&lt;=15,"ALTA",IF($H35&lt;=30,"MEDIA","BAJA"))))))</f>
        <v>BAJA</v>
      </c>
      <c r="M35" s="53" cm="1">
        <f t="array" ref="M35">IFERROR(_xlfn.AGGREGATE(14,6,Mantenciones!$A$3:$A$9916/(Mantenciones!$B$3:$B$9916=$A35),1),"")</f>
        <v>46105</v>
      </c>
      <c r="N35" s="29" t="str" cm="1">
        <f t="array" ref="N35">IFERROR(_xlfn.AGGREGATE(14,6,'Compras PM'!$A$4:$A$10029/('Compras PM'!$C$4:$C$10029=$A35),1),"")</f>
        <v/>
      </c>
      <c r="O35" s="29">
        <f>IFERROR(VLOOKUP($A35,Maestro_Equipos!$A$4:$AG$242,27,FALSE()),"")</f>
        <v>46087</v>
      </c>
      <c r="P35" s="30" t="str">
        <f ca="1">IFERROR(IF($N35="","",IF(OR($M35="",$M35&lt;$N35),TODAY()-$N35,$M35-$N35)),"")</f>
        <v/>
      </c>
      <c r="Q35" s="30">
        <f ca="1">IFERROR(IF($O35="","",IF(OR($M35="",$M35&lt;$O35),TODAY()-$O35,$M35-$O35)),"")</f>
        <v>18</v>
      </c>
      <c r="R35" s="28" t="str">
        <f>IF($O35="","SIN SALIDA",IF(OR($M35="",$M35&lt;$O35),"PENDIENTE","REALIZADA"))</f>
        <v>REALIZADA</v>
      </c>
      <c r="S35" s="31" t="str">
        <f>IFERROR(VLOOKUP($A35,Maestro_Equipos!$A$4:$AG$242,33,FALSE()),"")</f>
        <v>Monitorear próximo vencimiento</v>
      </c>
    </row>
    <row r="36" spans="1:19" ht="18" customHeight="1">
      <c r="A36" t="str" cm="1">
        <f t="array" ref="A36">IFERROR(INDEX(_xlfn._xlws.FILTER(Maestro_Equipos!$A$4:$A$242,Maestro_Equipos!$A$4:$A$242&lt;&gt;""),ROWS($A$4:A36)),"")</f>
        <v>CD-133</v>
      </c>
      <c r="B36" t="str">
        <f>IFERROR(_xlfn.XLOOKUP($A36,Maestro_Equipos!$A$4:$A$242,Maestro_Equipos!$B$4:$B$242,""),"")</f>
        <v>Camión Plano</v>
      </c>
      <c r="C36" t="str">
        <f>IFERROR(_xlfn.XLOOKUP($A36,Maestro_Equipos!$A$4:$A$242,Maestro_Equipos!$C$4:$C$242,""),"")</f>
        <v>Camiones de Ruta</v>
      </c>
      <c r="D36" t="str">
        <f>IFERROR(_xlfn.XLOOKUP($A36,Maestro_Equipos!$A:$A,Maestro_Equipos!$I:$I,""),"")</f>
        <v>HORAS</v>
      </c>
      <c r="E36">
        <f>IFERROR(IF($D36="KM",_xlfn.XLOOKUP($A36,Maestro_Equipos!$A:$A,Maestro_Equipos!$N:$N,""),_xlfn.XLOOKUP($A36,Maestro_Equipos!$A:$A,Maestro_Equipos!$M:$M,"")),"")</f>
        <v>0</v>
      </c>
      <c r="F36" t="str">
        <f>IFERROR(_xlfn.XLOOKUP($A36,Maestro_Equipos!$A:$A,Maestro_Equipos!$R:$R,"")+_xlfn.XLOOKUP($A36,Maestro_Equipos!$A:$A,Maestro_Equipos!$J:$J,""),"")</f>
        <v/>
      </c>
      <c r="G36">
        <f>IFERROR(_xlfn.XLOOKUP($A36,Maestro_Equipos!$A:$A,Maestro_Equipos!$K:$K,""),"")</f>
        <v>0</v>
      </c>
      <c r="H36" t="str">
        <f>IFERROR(IF(OR($E36="",$F36="",$G36="",$G36&lt;=0),"",ROUND(($F36-$E36)/$G36,0)),"")</f>
        <v/>
      </c>
      <c r="I36" s="71" t="str">
        <f ca="1">IFERROR(IF($H36="","",TODAY()+$H36),"")</f>
        <v/>
      </c>
      <c r="J36" s="5" t="str">
        <f>IFERROR(INDEX(Maestro_Equipos!$V$4:$V$242,MATCH($A36,Maestro_Equipos!$A$4:$A$242,0)),"")</f>
        <v>Fuera de Servicio</v>
      </c>
      <c r="K36" s="35">
        <f>IFERROR(
   SUMIFS(Mantenciones!$I:$I,Mantenciones!$B:$B,$A36)
 + SUMIFS('Compras PM'!$F:$F,'Compras PM'!$C:$C,$A36),0)</f>
        <v>0</v>
      </c>
      <c r="L36" s="28" t="str">
        <f>IF($J36="Fuera de Servicio","NO PROGRAMAR",IF($H36="","SIN DATOS",IF($H36&lt;=0,"VENCIDA",IF($H36&lt;=7,"CRÍTICA",IF($H36&lt;=15,"ALTA",IF($H36&lt;=30,"MEDIA","BAJA"))))))</f>
        <v>NO PROGRAMAR</v>
      </c>
      <c r="M36" s="53" t="str" cm="1">
        <f t="array" ref="M36">IFERROR(_xlfn.AGGREGATE(14,6,Mantenciones!$A$3:$A$9916/(Mantenciones!$B$3:$B$9916=$A36),1),"")</f>
        <v/>
      </c>
      <c r="N36" s="29" t="str" cm="1">
        <f t="array" ref="N36">IFERROR(_xlfn.AGGREGATE(14,6,'Compras PM'!$A$4:$A$10029/('Compras PM'!$C$4:$C$10029=$A36),1),"")</f>
        <v/>
      </c>
      <c r="O36" s="29" t="str">
        <f>IFERROR(VLOOKUP($A36,Maestro_Equipos!$A$4:$AG$242,27,FALSE()),"")</f>
        <v/>
      </c>
      <c r="P36" s="30" t="str">
        <f ca="1">IFERROR(IF($N36="","",IF(OR($M36="",$M36&lt;$N36),TODAY()-$N36,$M36-$N36)),"")</f>
        <v/>
      </c>
      <c r="Q36" s="30" t="str">
        <f ca="1">IFERROR(IF($O36="","",IF(OR($M36="",$M36&lt;$O36),TODAY()-$O36,$M36-$O36)),"")</f>
        <v/>
      </c>
      <c r="R36" s="28" t="str">
        <f>IF($O36="","SIN SALIDA",IF(OR($M36="",$M36&lt;$O36),"PENDIENTE","REALIZADA"))</f>
        <v>SIN SALIDA</v>
      </c>
      <c r="S36" s="31" t="str">
        <f>IFERROR(VLOOKUP($A36,Maestro_Equipos!$A$4:$AG$242,33,FALSE()),"")</f>
        <v>No programar compra</v>
      </c>
    </row>
    <row r="37" spans="1:19" s="61" customFormat="1" ht="18" customHeight="1">
      <c r="A37" t="str" cm="1">
        <f t="array" ref="A37">IFERROR(INDEX(_xlfn._xlws.FILTER(Maestro_Equipos!$A$4:$A$242,Maestro_Equipos!$A$4:$A$242&lt;&gt;""),ROWS($A$4:A37)),"")</f>
        <v>CD-134</v>
      </c>
      <c r="B37" t="str">
        <f>IFERROR(_xlfn.XLOOKUP($A37,Maestro_Equipos!$A$4:$A$242,Maestro_Equipos!$B$4:$B$242,""),"")</f>
        <v>Camión Plano</v>
      </c>
      <c r="C37" t="str">
        <f>IFERROR(_xlfn.XLOOKUP($A37,Maestro_Equipos!$A$4:$A$242,Maestro_Equipos!$C$4:$C$242,""),"")</f>
        <v>Camiones de Ruta</v>
      </c>
      <c r="D37" t="str">
        <f>IFERROR(_xlfn.XLOOKUP($A37,Maestro_Equipos!$A:$A,Maestro_Equipos!$I:$I,""),"")</f>
        <v>HORAS</v>
      </c>
      <c r="E37">
        <f>IFERROR(IF($D37="KM",_xlfn.XLOOKUP($A37,Maestro_Equipos!$A:$A,Maestro_Equipos!$N:$N,""),_xlfn.XLOOKUP($A37,Maestro_Equipos!$A:$A,Maestro_Equipos!$M:$M,"")),"")</f>
        <v>0</v>
      </c>
      <c r="F37" t="str">
        <f>IFERROR(_xlfn.XLOOKUP($A37,Maestro_Equipos!$A:$A,Maestro_Equipos!$R:$R,"")+_xlfn.XLOOKUP($A37,Maestro_Equipos!$A:$A,Maestro_Equipos!$J:$J,""),"")</f>
        <v/>
      </c>
      <c r="G37">
        <f>IFERROR(_xlfn.XLOOKUP($A37,Maestro_Equipos!$A:$A,Maestro_Equipos!$K:$K,""),"")</f>
        <v>0</v>
      </c>
      <c r="H37" t="str">
        <f>IFERROR(IF(OR($E37="",$F37="",$G37="",$G37&lt;=0),"",ROUND(($F37-$E37)/$G37,0)),"")</f>
        <v/>
      </c>
      <c r="I37" s="71" t="str">
        <f ca="1">IFERROR(IF($H37="","",TODAY()+$H37),"")</f>
        <v/>
      </c>
      <c r="J37" s="5" t="str">
        <f>IFERROR(INDEX(Maestro_Equipos!$V$4:$V$242,MATCH($A37,Maestro_Equipos!$A$4:$A$242,0)),"")</f>
        <v>Taller</v>
      </c>
      <c r="K37" s="35">
        <f>IFERROR(
   SUMIFS(Mantenciones!$I:$I,Mantenciones!$B:$B,$A37)
 + SUMIFS('Compras PM'!$F:$F,'Compras PM'!$C:$C,$A37),0)</f>
        <v>162080.38</v>
      </c>
      <c r="L37" s="28" t="str">
        <f>IF($J37="Fuera de Servicio","NO PROGRAMAR",IF($H37="","SIN DATOS",IF($H37&lt;=0,"VENCIDA",IF($H37&lt;=7,"CRÍTICA",IF($H37&lt;=15,"ALTA",IF($H37&lt;=30,"MEDIA","BAJA"))))))</f>
        <v>SIN DATOS</v>
      </c>
      <c r="M37" s="53" t="str" cm="1">
        <f t="array" ref="M37">IFERROR(_xlfn.AGGREGATE(14,6,Mantenciones!$A$3:$A$9916/(Mantenciones!$B$3:$B$9916=$A37),1),"")</f>
        <v/>
      </c>
      <c r="N37" s="29" cm="1">
        <f t="array" ref="N37">IFERROR(_xlfn.AGGREGATE(14,6,'Compras PM'!$A$4:$A$10029/('Compras PM'!$C$4:$C$10029=$A37),1),"")</f>
        <v>46146.415869710603</v>
      </c>
      <c r="O37" s="29" t="str">
        <f>IFERROR(VLOOKUP($A37,Maestro_Equipos!$A$4:$AG$242,27,FALSE()),"")</f>
        <v/>
      </c>
      <c r="P37" s="30">
        <f ca="1">IFERROR(IF($N37="","",IF(OR($M37="",$M37&lt;$N37),TODAY()-$N37,$M37-$N37)),"")</f>
        <v>93.584130289396853</v>
      </c>
      <c r="Q37" s="30" t="str">
        <f ca="1">IFERROR(IF($O37="","",IF(OR($M37="",$M37&lt;$O37),TODAY()-$O37,$M37-$O37)),"")</f>
        <v/>
      </c>
      <c r="R37" s="28" t="str">
        <f>IF($O37="","SIN SALIDA",IF(OR($M37="",$M37&lt;$O37),"PENDIENTE","REALIZADA"))</f>
        <v>SIN SALIDA</v>
      </c>
      <c r="S37" s="31" t="str">
        <f>IFERROR(VLOOKUP($A37,Maestro_Equipos!$A$4:$AG$242,33,FALSE()),"")</f>
        <v>Monitorear próximo vencimiento</v>
      </c>
    </row>
    <row r="38" spans="1:19" s="61" customFormat="1">
      <c r="A38" s="61" t="str" cm="1">
        <f t="array" ref="A38">IFERROR(INDEX(_xlfn._xlws.FILTER(Maestro_Equipos!$A$4:$A$242,Maestro_Equipos!$A$4:$A$242&lt;&gt;""),ROWS($A$4:A38)),"")</f>
        <v>CD-135</v>
      </c>
      <c r="B38" s="61" t="str">
        <f>IFERROR(_xlfn.XLOOKUP($A38,Maestro_Equipos!$A$4:$A$242,Maestro_Equipos!$B$4:$B$242,""),"")</f>
        <v>Camión Plano</v>
      </c>
      <c r="C38" s="61" t="str">
        <f>IFERROR(_xlfn.XLOOKUP($A38,Maestro_Equipos!$A$4:$A$242,Maestro_Equipos!$C$4:$C$242,""),"")</f>
        <v>Camiones de Ruta</v>
      </c>
      <c r="D38" s="61" t="str">
        <f>IFERROR(VLOOKUP($A35,Maestro_Equipos!$A$4:$Z$242,9,FALSE),"")</f>
        <v>HORAS</v>
      </c>
      <c r="E38" s="61">
        <f>IFERROR(IF($D38="KM",_xlfn.XLOOKUP($A38,Maestro_Equipos!$A:$A,Maestro_Equipos!$N:$N,""),_xlfn.XLOOKUP($A38,Maestro_Equipos!$A:$A,Maestro_Equipos!$M:$M,"")),"")</f>
        <v>0</v>
      </c>
      <c r="F38" s="61" t="str">
        <f>IFERROR(_xlfn.XLOOKUP($A38,Maestro_Equipos!$A:$A,Maestro_Equipos!$R:$R,"")+_xlfn.XLOOKUP($A38,Maestro_Equipos!$A:$A,Maestro_Equipos!$J:$J,""),"")</f>
        <v/>
      </c>
      <c r="G38" s="61">
        <f>IFERROR(_xlfn.XLOOKUP($A38,Maestro_Equipos!$A:$A,Maestro_Equipos!$K:$K,""),"")</f>
        <v>0</v>
      </c>
      <c r="H38" s="61" t="str">
        <f>IFERROR(IF(OR($E38="",$F38="",$G38="",$G38&lt;=0),"",ROUND(($F38-$E38)/$G38,0)),"")</f>
        <v/>
      </c>
      <c r="I38" s="62" t="str">
        <f ca="1">IFERROR(IF($H38="","",TODAY()+$H38),"")</f>
        <v/>
      </c>
      <c r="J38" s="63" t="str">
        <f>IFERROR(INDEX(Maestro_Equipos!$V$4:$V$242,MATCH($A38,Maestro_Equipos!$A$4:$A$242,0)),"")</f>
        <v>Fuera de Servicio</v>
      </c>
      <c r="K38" s="64">
        <f>IFERROR(
   SUMIFS(Mantenciones!$I:$I,Mantenciones!$B:$B,$A38)
 + SUMIFS('Compras PM'!$F:$F,'Compras PM'!$C:$C,$A38),0)</f>
        <v>0</v>
      </c>
      <c r="L38" s="65" t="str">
        <f>IF($J38="Fuera de Servicio","NO PROGRAMAR",IF($H38="","SIN DATOS",IF($H38&lt;=0,"VENCIDA",IF($H38&lt;=7,"CRÍTICA",IF($H38&lt;=15,"ALTA",IF($H38&lt;=30,"MEDIA","BAJA"))))))</f>
        <v>NO PROGRAMAR</v>
      </c>
      <c r="M38" s="66" t="str" cm="1">
        <f t="array" ref="M38">IFERROR(_xlfn.AGGREGATE(14,6,Mantenciones!$A$3:$A$9916/(Mantenciones!$B$3:$B$9916=$A38),1),"")</f>
        <v/>
      </c>
      <c r="N38" s="67" t="str" cm="1">
        <f t="array" ref="N38">IFERROR(_xlfn.AGGREGATE(14,6,'Compras PM'!$A$4:$A$10029/('Compras PM'!$C$4:$C$10029=$A38),1),"")</f>
        <v/>
      </c>
      <c r="O38" s="67" t="str">
        <f>IFERROR(VLOOKUP($A38,Maestro_Equipos!$A$4:$AG$242,27,FALSE()),"")</f>
        <v/>
      </c>
      <c r="P38" s="68" t="str">
        <f ca="1">IFERROR(IF($N38="","",IF(OR($M38="",$M38&lt;$N38),TODAY()-$N38,$M38-$N38)),"")</f>
        <v/>
      </c>
      <c r="Q38" s="68" t="str">
        <f ca="1">IFERROR(IF($O38="","",IF(OR($M38="",$M38&lt;$O38),TODAY()-$O38,$M38-$O38)),"")</f>
        <v/>
      </c>
      <c r="R38" s="65" t="str">
        <f>IF($O38="","SIN SALIDA",IF(OR($M38="",$M38&lt;$O38),"PENDIENTE","REALIZADA"))</f>
        <v>SIN SALIDA</v>
      </c>
      <c r="S38" s="69" t="str">
        <f>IFERROR(VLOOKUP($A38,Maestro_Equipos!$A$4:$AG$242,33,FALSE()),"")</f>
        <v>No programar compra</v>
      </c>
    </row>
    <row r="39" spans="1:19" s="61" customFormat="1" ht="18" customHeight="1">
      <c r="A39" t="str" cm="1">
        <f t="array" ref="A39">IFERROR(INDEX(_xlfn._xlws.FILTER(Maestro_Equipos!$A$4:$A$242,Maestro_Equipos!$A$4:$A$242&lt;&gt;""),ROWS($A$4:A39)),"")</f>
        <v>CD-136</v>
      </c>
      <c r="B39" t="str">
        <f>IFERROR(_xlfn.XLOOKUP($A39,Maestro_Equipos!$A$4:$A$242,Maestro_Equipos!$B$4:$B$242,""),"")</f>
        <v>Camión Combustible</v>
      </c>
      <c r="C39" t="str">
        <f>IFERROR(_xlfn.XLOOKUP($A39,Maestro_Equipos!$A$4:$A$242,Maestro_Equipos!$C$4:$C$242,""),"")</f>
        <v>Camiones de Ruta</v>
      </c>
      <c r="D39" t="str">
        <f>IFERROR(_xlfn.XLOOKUP($A39,Maestro_Equipos!$A:$A,Maestro_Equipos!$I:$I,""),"")</f>
        <v>KM</v>
      </c>
      <c r="E39">
        <f>IFERROR(IF($D39="KM",_xlfn.XLOOKUP($A39,Maestro_Equipos!$A:$A,Maestro_Equipos!$N:$N,""),_xlfn.XLOOKUP($A39,Maestro_Equipos!$A:$A,Maestro_Equipos!$M:$M,"")),"")</f>
        <v>62298</v>
      </c>
      <c r="F39">
        <f>IFERROR(_xlfn.XLOOKUP($A39,Maestro_Equipos!$A:$A,Maestro_Equipos!$R:$R,"")+_xlfn.XLOOKUP($A39,Maestro_Equipos!$A:$A,Maestro_Equipos!$J:$J,""),"")</f>
        <v>88050</v>
      </c>
      <c r="G39">
        <f>IFERROR(_xlfn.XLOOKUP($A39,Maestro_Equipos!$A:$A,Maestro_Equipos!$K:$K,""),"")</f>
        <v>95.7</v>
      </c>
      <c r="H39">
        <f>IFERROR(IF(OR($E39="",$F39="",$G39="",$G39&lt;=0),"",ROUND(($F39-$E39)/$G39,0)),"")</f>
        <v>269</v>
      </c>
      <c r="I39" s="71">
        <f ca="1">IFERROR(IF($H39="","",TODAY()+$H39),"")</f>
        <v>46509</v>
      </c>
      <c r="J39" s="5" t="str">
        <f>IFERROR(INDEX(Maestro_Equipos!$V$4:$V$242,MATCH($A39,Maestro_Equipos!$A$4:$A$242,0)),"")</f>
        <v>Operativo</v>
      </c>
      <c r="K39" s="35">
        <f>IFERROR(
   SUMIFS(Mantenciones!$I:$I,Mantenciones!$B:$B,$A39)
 + SUMIFS('Compras PM'!$F:$F,'Compras PM'!$C:$C,$A39),0)</f>
        <v>54299.973700000002</v>
      </c>
      <c r="L39" s="28" t="str">
        <f>IF($J39="Fuera de Servicio","NO PROGRAMAR",IF($H39="","SIN DATOS",IF($H39&lt;=0,"VENCIDA",IF($H39&lt;=7,"CRÍTICA",IF($H39&lt;=15,"ALTA",IF($H39&lt;=30,"MEDIA","BAJA"))))))</f>
        <v>BAJA</v>
      </c>
      <c r="M39" s="53" cm="1">
        <f t="array" ref="M39">IFERROR(_xlfn.AGGREGATE(14,6,Mantenciones!$A$3:$A$9916/(Mantenciones!$B$3:$B$9916=$A39),1),"")</f>
        <v>46174</v>
      </c>
      <c r="N39" s="29" cm="1">
        <f t="array" ref="N39">IFERROR(_xlfn.AGGREGATE(14,6,'Compras PM'!$A$4:$A$10029/('Compras PM'!$C$4:$C$10029=$A39),1),"")</f>
        <v>46119.461431099502</v>
      </c>
      <c r="O39" s="29">
        <f>IFERROR(VLOOKUP($A39,Maestro_Equipos!$A$4:$AG$242,27,FALSE()),"")</f>
        <v>46174</v>
      </c>
      <c r="P39" s="30">
        <f ca="1">IFERROR(IF($N39="","",IF(OR($M39="",$M39&lt;$N39),TODAY()-$N39,$M39-$N39)),"")</f>
        <v>54.538568900497921</v>
      </c>
      <c r="Q39" s="30">
        <f ca="1">IFERROR(IF($O39="","",IF(OR($M39="",$M39&lt;$O39),TODAY()-$O39,$M39-$O39)),"")</f>
        <v>0</v>
      </c>
      <c r="R39" s="28" t="str">
        <f>IF($O39="","SIN SALIDA",IF(OR($M39="",$M39&lt;$O39),"PENDIENTE","REALIZADA"))</f>
        <v>REALIZADA</v>
      </c>
      <c r="S39" s="31" t="str">
        <f>IFERROR(VLOOKUP($A39,Maestro_Equipos!$A$4:$AG$242,33,FALSE()),"")</f>
        <v>Monitorear próximo vencimiento</v>
      </c>
    </row>
    <row r="40" spans="1:19">
      <c r="A40" t="str" cm="1">
        <f t="array" ref="A40">IFERROR(INDEX(_xlfn._xlws.FILTER(Maestro_Equipos!$A$4:$A$242,Maestro_Equipos!$A$4:$A$242&lt;&gt;""),ROWS($A$4:A40)),"")</f>
        <v>CD-137</v>
      </c>
      <c r="B40" t="str">
        <f>IFERROR(_xlfn.XLOOKUP($A40,Maestro_Equipos!$A$4:$A$242,Maestro_Equipos!$B$4:$B$242,""),"")</f>
        <v>Tracto Camión</v>
      </c>
      <c r="C40" t="str">
        <f>IFERROR(_xlfn.XLOOKUP($A40,Maestro_Equipos!$A$4:$A$242,Maestro_Equipos!$C$4:$C$242,""),"")</f>
        <v>Camiones de Ruta</v>
      </c>
      <c r="D40" t="str">
        <f>IFERROR(_xlfn.XLOOKUP($A40,Maestro_Equipos!$A:$A,Maestro_Equipos!$I:$I,""),"")</f>
        <v>HORAS</v>
      </c>
      <c r="E40">
        <f>IFERROR(IF($D40="KM",_xlfn.XLOOKUP($A40,Maestro_Equipos!$A:$A,Maestro_Equipos!$N:$N,""),_xlfn.XLOOKUP($A40,Maestro_Equipos!$A:$A,Maestro_Equipos!$M:$M,"")),"")</f>
        <v>0</v>
      </c>
      <c r="F40" t="str">
        <f>IFERROR(_xlfn.XLOOKUP($A40,Maestro_Equipos!$A:$A,Maestro_Equipos!$R:$R,"")+_xlfn.XLOOKUP($A40,Maestro_Equipos!$A:$A,Maestro_Equipos!$J:$J,""),"")</f>
        <v/>
      </c>
      <c r="G40">
        <f>IFERROR(_xlfn.XLOOKUP($A40,Maestro_Equipos!$A:$A,Maestro_Equipos!$K:$K,""),"")</f>
        <v>0</v>
      </c>
      <c r="H40" t="str">
        <f>IFERROR(IF(OR($E40="",$F40="",$G40="",$G40&lt;=0),"",ROUND(($F40-$E40)/$G40,0)),"")</f>
        <v/>
      </c>
      <c r="I40" s="71" t="str">
        <f ca="1">IFERROR(IF($H40="","",TODAY()+$H40),"")</f>
        <v/>
      </c>
      <c r="J40" s="5" t="str">
        <f>IFERROR(INDEX(Maestro_Equipos!$V$4:$V$242,MATCH($A40,Maestro_Equipos!$A$4:$A$242,0)),"")</f>
        <v>Operativo</v>
      </c>
      <c r="K40" s="35">
        <f>IFERROR(
   SUMIFS(Mantenciones!$I:$I,Mantenciones!$B:$B,$A40)
 + SUMIFS('Compras PM'!$F:$F,'Compras PM'!$C:$C,$A40),0)</f>
        <v>664862.12</v>
      </c>
      <c r="L40" s="28" t="str">
        <f>IF($J40="Fuera de Servicio","NO PROGRAMAR",IF($H40="","SIN DATOS",IF($H40&lt;=0,"VENCIDA",IF($H40&lt;=7,"CRÍTICA",IF($H40&lt;=15,"ALTA",IF($H40&lt;=30,"MEDIA","BAJA"))))))</f>
        <v>SIN DATOS</v>
      </c>
      <c r="M40" s="53" t="str" cm="1">
        <f t="array" ref="M40">IFERROR(_xlfn.AGGREGATE(14,6,Mantenciones!$A$3:$A$9916/(Mantenciones!$B$3:$B$9916=$A40),1),"")</f>
        <v/>
      </c>
      <c r="N40" s="29" cm="1">
        <f t="array" ref="N40">IFERROR(_xlfn.AGGREGATE(14,6,'Compras PM'!$A$4:$A$10029/('Compras PM'!$C$4:$C$10029=$A40),1),"")</f>
        <v>46199</v>
      </c>
      <c r="O40" s="29" t="str">
        <f>IFERROR(VLOOKUP($A40,Maestro_Equipos!$A$4:$AG$242,27,FALSE()),"")</f>
        <v/>
      </c>
      <c r="P40" s="30">
        <f ca="1">IFERROR(IF($N40="","",IF(OR($M40="",$M40&lt;$N40),TODAY()-$N40,$M40-$N40)),"")</f>
        <v>41</v>
      </c>
      <c r="Q40" s="30" t="str">
        <f ca="1">IFERROR(IF($O40="","",IF(OR($M40="",$M40&lt;$O40),TODAY()-$O40,$M40-$O40)),"")</f>
        <v/>
      </c>
      <c r="R40" s="28" t="str">
        <f>IF($O40="","SIN SALIDA",IF(OR($M40="",$M40&lt;$O40),"PENDIENTE","REALIZADA"))</f>
        <v>SIN SALIDA</v>
      </c>
      <c r="S40" s="31" t="str">
        <f>IFERROR(VLOOKUP($A40,Maestro_Equipos!$A$4:$AG$242,33,FALSE()),"")</f>
        <v>Hacer seguimiento al taller y cerrar report</v>
      </c>
    </row>
    <row r="41" spans="1:19" ht="15" customHeight="1">
      <c r="A41" t="str" cm="1">
        <f t="array" ref="A41">IFERROR(INDEX(_xlfn._xlws.FILTER(Maestro_Equipos!$A$4:$A$242,Maestro_Equipos!$A$4:$A$242&lt;&gt;""),ROWS($A$4:A41)),"")</f>
        <v>CD-138</v>
      </c>
      <c r="B41" t="str">
        <f>IFERROR(_xlfn.XLOOKUP($A41,Maestro_Equipos!$A$4:$A$242,Maestro_Equipos!$B$4:$B$242,""),"")</f>
        <v>Camion Imprimador</v>
      </c>
      <c r="C41" t="str">
        <f>IFERROR(_xlfn.XLOOKUP($A41,Maestro_Equipos!$A$4:$A$242,Maestro_Equipos!$C$4:$C$242,""),"")</f>
        <v>Maquinaria Pesada</v>
      </c>
      <c r="D41" t="str">
        <f>IFERROR(VLOOKUP($A38,Maestro_Equipos!$A$4:$Z$242,9,FALSE),"")</f>
        <v>HORAS</v>
      </c>
      <c r="E41">
        <f>IFERROR(IF($D41="KM",_xlfn.XLOOKUP($A41,Maestro_Equipos!$A:$A,Maestro_Equipos!$N:$N,""),_xlfn.XLOOKUP($A41,Maestro_Equipos!$A:$A,Maestro_Equipos!$M:$M,"")),"")</f>
        <v>0</v>
      </c>
      <c r="F41">
        <f>IFERROR(_xlfn.XLOOKUP($A41,Maestro_Equipos!$A:$A,Maestro_Equipos!$R:$R,"")+_xlfn.XLOOKUP($A41,Maestro_Equipos!$A:$A,Maestro_Equipos!$J:$J,""),"")</f>
        <v>6095</v>
      </c>
      <c r="G41">
        <f>IFERROR(_xlfn.XLOOKUP($A41,Maestro_Equipos!$A:$A,Maestro_Equipos!$K:$K,""),"")</f>
        <v>0</v>
      </c>
      <c r="H41" t="str">
        <f>IFERROR(IF(OR($E41="",$F41="",$G41="",$G41&lt;=0),"",ROUND(($F41-$E41)/$G41,0)),"")</f>
        <v/>
      </c>
      <c r="I41" s="71" t="str">
        <f ca="1">IFERROR(IF($H41="","",TODAY()+$H41),"")</f>
        <v/>
      </c>
      <c r="J41" s="5" t="str">
        <f>IFERROR(INDEX(Maestro_Equipos!$V$4:$V$242,MATCH($A41,Maestro_Equipos!$A$4:$A$242,0)),"")</f>
        <v>Operativo</v>
      </c>
      <c r="K41" s="35">
        <f>IFERROR(
   SUMIFS(Mantenciones!$I:$I,Mantenciones!$B:$B,$A41)
 + SUMIFS('Compras PM'!$F:$F,'Compras PM'!$C:$C,$A41),0)</f>
        <v>675093.6</v>
      </c>
      <c r="L41" s="28" t="str">
        <f>IF($J41="Fuera de Servicio","NO PROGRAMAR",IF($H41="","SIN DATOS",IF($H41&lt;=0,"VENCIDA",IF($H41&lt;=7,"CRÍTICA",IF($H41&lt;=15,"ALTA",IF($H41&lt;=30,"MEDIA","BAJA"))))))</f>
        <v>SIN DATOS</v>
      </c>
      <c r="M41" s="53" cm="1">
        <f t="array" ref="M41">IFERROR(_xlfn.AGGREGATE(14,6,Mantenciones!$A$3:$A$9916/(Mantenciones!$B$3:$B$9916=$A41),1),"")</f>
        <v>46168</v>
      </c>
      <c r="N41" s="29" cm="1">
        <f t="array" ref="N41">IFERROR(_xlfn.AGGREGATE(14,6,'Compras PM'!$A$4:$A$10029/('Compras PM'!$C$4:$C$10029=$A41),1),"")</f>
        <v>46174</v>
      </c>
      <c r="O41" s="29">
        <f>IFERROR(VLOOKUP($A41,Maestro_Equipos!$A$4:$AG$242,27,FALSE()),"")</f>
        <v>46169</v>
      </c>
      <c r="P41" s="30">
        <f ca="1">IFERROR(IF($N41="","",IF(OR($M41="",$M41&lt;$N41),TODAY()-$N41,$M41-$N41)),"")</f>
        <v>66</v>
      </c>
      <c r="Q41" s="30">
        <f ca="1">IFERROR(IF($O41="","",IF(OR($M41="",$M41&lt;$O41),TODAY()-$O41,$M41-$O41)),"")</f>
        <v>71</v>
      </c>
      <c r="R41" s="28" t="str">
        <f>IF($O41="","SIN SALIDA",IF(OR($M41="",$M41&lt;$O41),"PENDIENTE","REALIZADA"))</f>
        <v>PENDIENTE</v>
      </c>
      <c r="S41" s="31" t="str">
        <f>IFERROR(VLOOKUP($A41,Maestro_Equipos!$A$4:$AG$242,33,FALSE()),"")</f>
        <v>Monitorear próximo vencimiento</v>
      </c>
    </row>
    <row r="42" spans="1:19" s="61" customFormat="1" ht="18" customHeight="1">
      <c r="A42" s="61" t="str" cm="1">
        <f t="array" ref="A42">IFERROR(INDEX(_xlfn._xlws.FILTER(Maestro_Equipos!$A$4:$A$242,Maestro_Equipos!$A$4:$A$242&lt;&gt;""),ROWS($A$4:A42)),"")</f>
        <v>CD-139</v>
      </c>
      <c r="B42" s="61" t="str">
        <f>IFERROR(_xlfn.XLOOKUP($A42,Maestro_Equipos!$A$4:$A$242,Maestro_Equipos!$B$4:$B$242,""),"")</f>
        <v>Camion Plano</v>
      </c>
      <c r="C42" s="61" t="str">
        <f>IFERROR(_xlfn.XLOOKUP($A42,Maestro_Equipos!$A$4:$A$242,Maestro_Equipos!$C$4:$C$242,""),"")</f>
        <v>Maquinaria Pesada</v>
      </c>
      <c r="D42" s="61" t="str">
        <f>IFERROR(VLOOKUP($A39,Maestro_Equipos!$A$4:$Z$242,9,FALSE),"")</f>
        <v>KM</v>
      </c>
      <c r="E42" s="61">
        <f>IFERROR(IF($D42="KM",_xlfn.XLOOKUP($A42,Maestro_Equipos!$A:$A,Maestro_Equipos!$N:$N,""),_xlfn.XLOOKUP($A42,Maestro_Equipos!$A:$A,Maestro_Equipos!$M:$M,"")),"")</f>
        <v>0</v>
      </c>
      <c r="F42" s="61" t="str">
        <f>IFERROR(_xlfn.XLOOKUP($A42,Maestro_Equipos!$A:$A,Maestro_Equipos!$R:$R,"")+_xlfn.XLOOKUP($A42,Maestro_Equipos!$A:$A,Maestro_Equipos!$J:$J,""),"")</f>
        <v/>
      </c>
      <c r="G42" s="61">
        <f>IFERROR(_xlfn.XLOOKUP($A42,Maestro_Equipos!$A:$A,Maestro_Equipos!$K:$K,""),"")</f>
        <v>0</v>
      </c>
      <c r="H42" s="61" t="str">
        <f>IFERROR(IF(OR($E42="",$F42="",$G42="",$G42&lt;=0),"",ROUND(($F42-$E42)/$G42,0)),"")</f>
        <v/>
      </c>
      <c r="I42" s="62" t="str">
        <f ca="1">IFERROR(IF($H42="","",TODAY()+$H42),"")</f>
        <v/>
      </c>
      <c r="J42" s="63" t="str">
        <f>IFERROR(INDEX(Maestro_Equipos!$V$4:$V$242,MATCH($A42,Maestro_Equipos!$A$4:$A$242,0)),"")</f>
        <v>Fuera de Servicio</v>
      </c>
      <c r="K42" s="64">
        <f>IFERROR(
   SUMIFS(Mantenciones!$I:$I,Mantenciones!$B:$B,$A42)
 + SUMIFS('Compras PM'!$F:$F,'Compras PM'!$C:$C,$A42),0)</f>
        <v>15800</v>
      </c>
      <c r="L42" s="65" t="str">
        <f>IF($J42="Fuera de Servicio","NO PROGRAMAR",IF($H42="","SIN DATOS",IF($H42&lt;=0,"VENCIDA",IF($H42&lt;=7,"CRÍTICA",IF($H42&lt;=15,"ALTA",IF($H42&lt;=30,"MEDIA","BAJA"))))))</f>
        <v>NO PROGRAMAR</v>
      </c>
      <c r="M42" s="66" t="str" cm="1">
        <f t="array" ref="M42">IFERROR(_xlfn.AGGREGATE(14,6,Mantenciones!$A$3:$A$9916/(Mantenciones!$B$3:$B$9916=$A42),1),"")</f>
        <v/>
      </c>
      <c r="N42" s="67" cm="1">
        <f t="array" ref="N42">IFERROR(_xlfn.AGGREGATE(14,6,'Compras PM'!$A$4:$A$10029/('Compras PM'!$C$4:$C$10029=$A42),1),"")</f>
        <v>46204</v>
      </c>
      <c r="O42" s="67" t="str">
        <f>IFERROR(VLOOKUP($A42,Maestro_Equipos!$A$4:$AG$242,27,FALSE()),"")</f>
        <v/>
      </c>
      <c r="P42" s="68">
        <f ca="1">IFERROR(IF($N42="","",IF(OR($M42="",$M42&lt;$N42),TODAY()-$N42,$M42-$N42)),"")</f>
        <v>36</v>
      </c>
      <c r="Q42" s="68" t="str">
        <f ca="1">IFERROR(IF($O42="","",IF(OR($M42="",$M42&lt;$O42),TODAY()-$O42,$M42-$O42)),"")</f>
        <v/>
      </c>
      <c r="R42" s="65" t="str">
        <f>IF($O42="","SIN SALIDA",IF(OR($M42="",$M42&lt;$O42),"PENDIENTE","REALIZADA"))</f>
        <v>SIN SALIDA</v>
      </c>
      <c r="S42" s="69" t="str">
        <f>IFERROR(VLOOKUP($A42,Maestro_Equipos!$A$4:$AG$242,33,FALSE()),"")</f>
        <v>No programar compra</v>
      </c>
    </row>
    <row r="43" spans="1:19" s="61" customFormat="1" ht="15" customHeight="1">
      <c r="A43" t="str" cm="1">
        <f t="array" ref="A43">IFERROR(INDEX(_xlfn._xlws.FILTER(Maestro_Equipos!$A$4:$A$242,Maestro_Equipos!$A$4:$A$242&lt;&gt;""),ROWS($A$4:A43)),"")</f>
        <v>CD-140</v>
      </c>
      <c r="B43" t="str">
        <f>IFERROR(_xlfn.XLOOKUP($A43,Maestro_Equipos!$A$4:$A$242,Maestro_Equipos!$B$4:$B$242,""),"")</f>
        <v>Camion Plano</v>
      </c>
      <c r="C43" t="str">
        <f>IFERROR(_xlfn.XLOOKUP($A43,Maestro_Equipos!$A$4:$A$242,Maestro_Equipos!$C$4:$C$242,""),"")</f>
        <v>Maquinaria Pesada</v>
      </c>
      <c r="D43" t="str">
        <f>IFERROR(_xlfn.XLOOKUP($A43,Maestro_Equipos!$A:$A,Maestro_Equipos!$I:$I,""),"")</f>
        <v>KM</v>
      </c>
      <c r="E43">
        <f>IFERROR(IF($D43="KM",_xlfn.XLOOKUP($A43,Maestro_Equipos!$A:$A,Maestro_Equipos!$N:$N,""),_xlfn.XLOOKUP($A43,Maestro_Equipos!$A:$A,Maestro_Equipos!$M:$M,"")),"")</f>
        <v>307050</v>
      </c>
      <c r="F43">
        <f>IFERROR(_xlfn.XLOOKUP($A43,Maestro_Equipos!$A:$A,Maestro_Equipos!$R:$R,"")+_xlfn.XLOOKUP($A43,Maestro_Equipos!$A:$A,Maestro_Equipos!$J:$J,""),"")</f>
        <v>316826</v>
      </c>
      <c r="G43">
        <f>IFERROR(_xlfn.XLOOKUP($A43,Maestro_Equipos!$A:$A,Maestro_Equipos!$K:$K,""),"")</f>
        <v>112.5</v>
      </c>
      <c r="H43">
        <f>IFERROR(IF(OR($E43="",$F43="",$G43="",$G43&lt;=0),"",ROUND(($F43-$E43)/$G43,0)),"")</f>
        <v>87</v>
      </c>
      <c r="I43" s="71">
        <f ca="1">IFERROR(IF($H43="","",TODAY()+$H43),"")</f>
        <v>46327</v>
      </c>
      <c r="J43" s="5" t="str">
        <f>IFERROR(INDEX(Maestro_Equipos!$V$4:$V$242,MATCH($A43,Maestro_Equipos!$A$4:$A$242,0)),"")</f>
        <v>Operativo</v>
      </c>
      <c r="K43" s="35">
        <f>IFERROR(
   SUMIFS(Mantenciones!$I:$I,Mantenciones!$B:$B,$A43)
 + SUMIFS('Compras PM'!$F:$F,'Compras PM'!$C:$C,$A43),0)</f>
        <v>0</v>
      </c>
      <c r="L43" s="28" t="str">
        <f>IF($J43="Fuera de Servicio","NO PROGRAMAR",IF($H43="","SIN DATOS",IF($H43&lt;=0,"VENCIDA",IF($H43&lt;=7,"CRÍTICA",IF($H43&lt;=15,"ALTA",IF($H43&lt;=30,"MEDIA","BAJA"))))))</f>
        <v>BAJA</v>
      </c>
      <c r="M43" s="53" cm="1">
        <f t="array" ref="M43">IFERROR(_xlfn.AGGREGATE(14,6,Mantenciones!$A$3:$A$9916/(Mantenciones!$B$3:$B$9916=$A43),1),"")</f>
        <v>46192</v>
      </c>
      <c r="N43" s="29" t="str" cm="1">
        <f t="array" ref="N43">IFERROR(_xlfn.AGGREGATE(14,6,'Compras PM'!$A$4:$A$10029/('Compras PM'!$C$4:$C$10029=$A43),1),"")</f>
        <v/>
      </c>
      <c r="O43" s="29">
        <f>IFERROR(VLOOKUP($A43,Maestro_Equipos!$A$4:$AG$242,27,FALSE()),"")</f>
        <v>46153</v>
      </c>
      <c r="P43" s="30" t="str">
        <f ca="1">IFERROR(IF($N43="","",IF(OR($M43="",$M43&lt;$N43),TODAY()-$N43,$M43-$N43)),"")</f>
        <v/>
      </c>
      <c r="Q43" s="30">
        <f ca="1">IFERROR(IF($O43="","",IF(OR($M43="",$M43&lt;$O43),TODAY()-$O43,$M43-$O43)),"")</f>
        <v>39</v>
      </c>
      <c r="R43" s="28" t="str">
        <f>IF($O43="","SIN SALIDA",IF(OR($M43="",$M43&lt;$O43),"PENDIENTE","REALIZADA"))</f>
        <v>REALIZADA</v>
      </c>
      <c r="S43" s="31" t="str">
        <f>IFERROR(VLOOKUP($A43,Maestro_Equipos!$A$4:$AG$242,33,FALSE()),"")</f>
        <v>Monitorear próximo vencimiento</v>
      </c>
    </row>
    <row r="44" spans="1:19" s="61" customFormat="1">
      <c r="A44" t="str" cm="1">
        <f t="array" ref="A44">IFERROR(INDEX(_xlfn._xlws.FILTER(Maestro_Equipos!$A$4:$A$242,Maestro_Equipos!$A$4:$A$242&lt;&gt;""),ROWS($A$4:A44)),"")</f>
        <v>CD-141</v>
      </c>
      <c r="B44" t="str">
        <f>IFERROR(_xlfn.XLOOKUP($A44,Maestro_Equipos!$A$4:$A$242,Maestro_Equipos!$B$4:$B$242,""),"")</f>
        <v>Camion Mixer</v>
      </c>
      <c r="C44" t="str">
        <f>IFERROR(_xlfn.XLOOKUP($A44,Maestro_Equipos!$A$4:$A$242,Maestro_Equipos!$C$4:$C$242,""),"")</f>
        <v>Maquinaria Pesada</v>
      </c>
      <c r="D44" t="str">
        <f>IFERROR(_xlfn.XLOOKUP($A44,Maestro_Equipos!$A:$A,Maestro_Equipos!$I:$I,""),"")</f>
        <v>HORAS</v>
      </c>
      <c r="E44">
        <f>IFERROR(IF($D44="KM",_xlfn.XLOOKUP($A44,Maestro_Equipos!$A:$A,Maestro_Equipos!$N:$N,""),_xlfn.XLOOKUP($A44,Maestro_Equipos!$A:$A,Maestro_Equipos!$M:$M,"")),"")</f>
        <v>1963</v>
      </c>
      <c r="F44">
        <f>IFERROR(_xlfn.XLOOKUP($A44,Maestro_Equipos!$A:$A,Maestro_Equipos!$R:$R,"")+_xlfn.XLOOKUP($A44,Maestro_Equipos!$A:$A,Maestro_Equipos!$J:$J,""),"")</f>
        <v>35159</v>
      </c>
      <c r="G44">
        <f>IFERROR(_xlfn.XLOOKUP($A44,Maestro_Equipos!$A:$A,Maestro_Equipos!$K:$K,""),"")</f>
        <v>1.5</v>
      </c>
      <c r="H44">
        <f>IFERROR(IF(OR($E44="",$F44="",$G44="",$G44&lt;=0),"",ROUND(($F44-$E44)/$G44,0)),"")</f>
        <v>22131</v>
      </c>
      <c r="I44" s="71">
        <f ca="1">IFERROR(IF($H44="","",TODAY()+$H44),"")</f>
        <v>68371</v>
      </c>
      <c r="J44" s="5" t="str">
        <f>IFERROR(INDEX(Maestro_Equipos!$V$4:$V$242,MATCH($A44,Maestro_Equipos!$A$4:$A$242,0)),"")</f>
        <v>Operativo</v>
      </c>
      <c r="K44" s="35">
        <f>IFERROR(
   SUMIFS(Mantenciones!$I:$I,Mantenciones!$B:$B,$A44)
 + SUMIFS('Compras PM'!$F:$F,'Compras PM'!$C:$C,$A44),0)</f>
        <v>209194.86</v>
      </c>
      <c r="L44" s="28" t="str">
        <f>IF($J44="Fuera de Servicio","NO PROGRAMAR",IF($H44="","SIN DATOS",IF($H44&lt;=0,"VENCIDA",IF($H44&lt;=7,"CRÍTICA",IF($H44&lt;=15,"ALTA",IF($H44&lt;=30,"MEDIA","BAJA"))))))</f>
        <v>BAJA</v>
      </c>
      <c r="M44" s="53" cm="1">
        <f t="array" ref="M44">IFERROR(_xlfn.AGGREGATE(14,6,Mantenciones!$A$3:$A$9916/(Mantenciones!$B$3:$B$9916=$A44),1),"")</f>
        <v>46162</v>
      </c>
      <c r="N44" s="29" cm="1">
        <f t="array" ref="N44">IFERROR(_xlfn.AGGREGATE(14,6,'Compras PM'!$A$4:$A$10029/('Compras PM'!$C$4:$C$10029=$A44),1),"")</f>
        <v>46177</v>
      </c>
      <c r="O44" s="29">
        <f>IFERROR(VLOOKUP($A44,Maestro_Equipos!$A$4:$AG$242,27,FALSE()),"")</f>
        <v>46155</v>
      </c>
      <c r="P44" s="30">
        <f ca="1">IFERROR(IF($N44="","",IF(OR($M44="",$M44&lt;$N44),TODAY()-$N44,$M44-$N44)),"")</f>
        <v>63</v>
      </c>
      <c r="Q44" s="30">
        <f ca="1">IFERROR(IF($O44="","",IF(OR($M44="",$M44&lt;$O44),TODAY()-$O44,$M44-$O44)),"")</f>
        <v>7</v>
      </c>
      <c r="R44" s="28" t="str">
        <f>IF($O44="","SIN SALIDA",IF(OR($M44="",$M44&lt;$O44),"PENDIENTE","REALIZADA"))</f>
        <v>REALIZADA</v>
      </c>
      <c r="S44" s="31" t="str">
        <f>IFERROR(VLOOKUP($A44,Maestro_Equipos!$A$4:$AG$242,33,FALSE()),"")</f>
        <v>Monitorear próximo vencimiento</v>
      </c>
    </row>
    <row r="45" spans="1:19" ht="15" customHeight="1">
      <c r="A45" t="str" cm="1">
        <f t="array" ref="A45">IFERROR(INDEX(_xlfn._xlws.FILTER(Maestro_Equipos!$A$4:$A$242,Maestro_Equipos!$A$4:$A$242&lt;&gt;""),ROWS($A$4:A45)),"")</f>
        <v>CD-142</v>
      </c>
      <c r="B45" t="str">
        <f>IFERROR(_xlfn.XLOOKUP($A45,Maestro_Equipos!$A$4:$A$242,Maestro_Equipos!$B$4:$B$242,""),"")</f>
        <v>Camion Mixer</v>
      </c>
      <c r="C45" t="str">
        <f>IFERROR(_xlfn.XLOOKUP($A45,Maestro_Equipos!$A$4:$A$242,Maestro_Equipos!$C$4:$C$242,""),"")</f>
        <v>Maquinaria Pesada</v>
      </c>
      <c r="D45" t="str">
        <f>IFERROR(_xlfn.XLOOKUP($A45,Maestro_Equipos!$A:$A,Maestro_Equipos!$I:$I,""),"")</f>
        <v>HORAS</v>
      </c>
      <c r="E45">
        <f>IFERROR(IF($D45="KM",_xlfn.XLOOKUP($A45,Maestro_Equipos!$A:$A,Maestro_Equipos!$N:$N,""),_xlfn.XLOOKUP($A45,Maestro_Equipos!$A:$A,Maestro_Equipos!$M:$M,"")),"")</f>
        <v>2033</v>
      </c>
      <c r="F45">
        <f>IFERROR(_xlfn.XLOOKUP($A45,Maestro_Equipos!$A:$A,Maestro_Equipos!$R:$R,"")+_xlfn.XLOOKUP($A45,Maestro_Equipos!$A:$A,Maestro_Equipos!$J:$J,""),"")</f>
        <v>332141</v>
      </c>
      <c r="G45">
        <f>IFERROR(_xlfn.XLOOKUP($A45,Maestro_Equipos!$A:$A,Maestro_Equipos!$K:$K,""),"")</f>
        <v>3.2</v>
      </c>
      <c r="H45">
        <f>IFERROR(IF(OR($E45="",$F45="",$G45="",$G45&lt;=0),"",ROUND(($F45-$E45)/$G45,0)),"")</f>
        <v>103159</v>
      </c>
      <c r="I45" s="71">
        <f ca="1">IFERROR(IF($H45="","",TODAY()+$H45),"")</f>
        <v>149399</v>
      </c>
      <c r="J45" s="5" t="str">
        <f>IFERROR(INDEX(Maestro_Equipos!$V$4:$V$242,MATCH($A45,Maestro_Equipos!$A$4:$A$242,0)),"")</f>
        <v>Operativo</v>
      </c>
      <c r="K45" s="35">
        <f>IFERROR(
   SUMIFS(Mantenciones!$I:$I,Mantenciones!$B:$B,$A45)
 + SUMIFS('Compras PM'!$F:$F,'Compras PM'!$C:$C,$A45),0)</f>
        <v>206297.21</v>
      </c>
      <c r="L45" s="28" t="str">
        <f>IF($J45="Fuera de Servicio","NO PROGRAMAR",IF($H45="","SIN DATOS",IF($H45&lt;=0,"VENCIDA",IF($H45&lt;=7,"CRÍTICA",IF($H45&lt;=15,"ALTA",IF($H45&lt;=30,"MEDIA","BAJA"))))))</f>
        <v>BAJA</v>
      </c>
      <c r="M45" s="53" cm="1">
        <f t="array" ref="M45">IFERROR(_xlfn.AGGREGATE(14,6,Mantenciones!$A$3:$A$9916/(Mantenciones!$B$3:$B$9916=$A45),1),"")</f>
        <v>46160</v>
      </c>
      <c r="N45" s="29" cm="1">
        <f t="array" ref="N45">IFERROR(_xlfn.AGGREGATE(14,6,'Compras PM'!$A$4:$A$10029/('Compras PM'!$C$4:$C$10029=$A45),1),"")</f>
        <v>46146.415923958302</v>
      </c>
      <c r="O45" s="29">
        <f>IFERROR(VLOOKUP($A45,Maestro_Equipos!$A$4:$AG$242,27,FALSE()),"")</f>
        <v>46155</v>
      </c>
      <c r="P45" s="30">
        <f ca="1">IFERROR(IF($N45="","",IF(OR($M45="",$M45&lt;$N45),TODAY()-$N45,$M45-$N45)),"")</f>
        <v>13.584076041697699</v>
      </c>
      <c r="Q45" s="30">
        <f ca="1">IFERROR(IF($O45="","",IF(OR($M45="",$M45&lt;$O45),TODAY()-$O45,$M45-$O45)),"")</f>
        <v>5</v>
      </c>
      <c r="R45" s="28" t="str">
        <f>IF($O45="","SIN SALIDA",IF(OR($M45="",$M45&lt;$O45),"PENDIENTE","REALIZADA"))</f>
        <v>REALIZADA</v>
      </c>
      <c r="S45" s="31" t="str">
        <f>IFERROR(VLOOKUP($A45,Maestro_Equipos!$A$4:$AG$242,33,FALSE()),"")</f>
        <v>Monitorear próximo vencimiento</v>
      </c>
    </row>
    <row r="46" spans="1:19" ht="15.75" customHeight="1">
      <c r="A46" t="str" cm="1">
        <f t="array" ref="A46">IFERROR(INDEX(_xlfn._xlws.FILTER(Maestro_Equipos!$A$4:$A$242,Maestro_Equipos!$A$4:$A$242&lt;&gt;""),ROWS($A$4:A46)),"")</f>
        <v>CD-51</v>
      </c>
      <c r="B46" t="str">
        <f>IFERROR(_xlfn.XLOOKUP($A46,Maestro_Equipos!$A$4:$A$242,Maestro_Equipos!$B$4:$B$242,""),"")</f>
        <v>Camión Combustible</v>
      </c>
      <c r="C46" t="str">
        <f>IFERROR(_xlfn.XLOOKUP($A46,Maestro_Equipos!$A$4:$A$242,Maestro_Equipos!$C$4:$C$242,""),"")</f>
        <v>Camiones de Ruta</v>
      </c>
      <c r="D46" t="str">
        <f>IFERROR(_xlfn.XLOOKUP($A46,Maestro_Equipos!$A:$A,Maestro_Equipos!$I:$I,""),"")</f>
        <v>KM</v>
      </c>
      <c r="E46">
        <f>IFERROR(IF($D46="KM",_xlfn.XLOOKUP($A46,Maestro_Equipos!$A:$A,Maestro_Equipos!$N:$N,""),_xlfn.XLOOKUP($A46,Maestro_Equipos!$A:$A,Maestro_Equipos!$M:$M,"")),"")</f>
        <v>810571</v>
      </c>
      <c r="F46">
        <f>IFERROR(_xlfn.XLOOKUP($A46,Maestro_Equipos!$A:$A,Maestro_Equipos!$R:$R,"")+_xlfn.XLOOKUP($A46,Maestro_Equipos!$A:$A,Maestro_Equipos!$J:$J,""),"")</f>
        <v>821356</v>
      </c>
      <c r="G46">
        <f>IFERROR(_xlfn.XLOOKUP($A46,Maestro_Equipos!$A:$A,Maestro_Equipos!$K:$K,""),"")</f>
        <v>66</v>
      </c>
      <c r="H46">
        <f>IFERROR(IF(OR($E46="",$F46="",$G46="",$G46&lt;=0),"",ROUND(($F46-$E46)/$G46,0)),"")</f>
        <v>163</v>
      </c>
      <c r="I46" s="71">
        <f ca="1">IFERROR(IF($H46="","",TODAY()+$H46),"")</f>
        <v>46403</v>
      </c>
      <c r="J46" s="5" t="str">
        <f>IFERROR(INDEX(Maestro_Equipos!$V$4:$V$242,MATCH($A46,Maestro_Equipos!$A$4:$A$242,0)),"")</f>
        <v>Operativo</v>
      </c>
      <c r="K46" s="35">
        <f>IFERROR(
   SUMIFS(Mantenciones!$I:$I,Mantenciones!$B:$B,$A46)
 + SUMIFS('Compras PM'!$F:$F,'Compras PM'!$C:$C,$A46),0)</f>
        <v>131994.79999999999</v>
      </c>
      <c r="L46" s="28" t="str">
        <f>IF($J46="Fuera de Servicio","NO PROGRAMAR",IF($H46="","SIN DATOS",IF($H46&lt;=0,"VENCIDA",IF($H46&lt;=7,"CRÍTICA",IF($H46&lt;=15,"ALTA",IF($H46&lt;=30,"MEDIA","BAJA"))))))</f>
        <v>BAJA</v>
      </c>
      <c r="M46" s="53" cm="1">
        <f t="array" ref="M46">IFERROR(_xlfn.AGGREGATE(14,6,Mantenciones!$A$3:$A$9916/(Mantenciones!$B$3:$B$9916=$A46),1),"")</f>
        <v>46196</v>
      </c>
      <c r="N46" s="29" cm="1">
        <f t="array" ref="N46">IFERROR(_xlfn.AGGREGATE(14,6,'Compras PM'!$A$4:$A$10029/('Compras PM'!$C$4:$C$10029=$A46),1),"")</f>
        <v>46079.4319211806</v>
      </c>
      <c r="O46" s="29" t="str">
        <f>IFERROR(VLOOKUP($A46,Maestro_Equipos!$A$4:$AG$242,27,FALSE()),"")</f>
        <v/>
      </c>
      <c r="P46" s="30">
        <f ca="1">IFERROR(IF($N46="","",IF(OR($M46="",$M46&lt;$N46),TODAY()-$N46,$M46-$N46)),"")</f>
        <v>116.5680788194004</v>
      </c>
      <c r="Q46" s="30" t="str">
        <f ca="1">IFERROR(IF($O46="","",IF(OR($M46="",$M46&lt;$O46),TODAY()-$O46,$M46-$O46)),"")</f>
        <v/>
      </c>
      <c r="R46" s="28" t="str">
        <f>IF($O46="","SIN SALIDA",IF(OR($M46="",$M46&lt;$O46),"PENDIENTE","REALIZADA"))</f>
        <v>SIN SALIDA</v>
      </c>
      <c r="S46" s="31" t="str">
        <f>IFERROR(VLOOKUP($A46,Maestro_Equipos!$A$4:$AG$242,33,FALSE()),"")</f>
        <v>Hacer seguimiento al taller y cerrar report</v>
      </c>
    </row>
    <row r="47" spans="1:19" s="61" customFormat="1" ht="18" customHeight="1">
      <c r="A47" s="61" t="str" cm="1">
        <f t="array" ref="A47">IFERROR(INDEX(_xlfn._xlws.FILTER(Maestro_Equipos!$A$4:$A$242,Maestro_Equipos!$A$4:$A$242&lt;&gt;""),ROWS($A$4:A47)),"")</f>
        <v>CD-57</v>
      </c>
      <c r="B47" s="61" t="str">
        <f>IFERROR(_xlfn.XLOOKUP($A47,Maestro_Equipos!$A$4:$A$242,Maestro_Equipos!$B$4:$B$242,""),"")</f>
        <v>Camión Plano</v>
      </c>
      <c r="C47" s="61" t="str">
        <f>IFERROR(_xlfn.XLOOKUP($A47,Maestro_Equipos!$A$4:$A$242,Maestro_Equipos!$C$4:$C$242,""),"")</f>
        <v>Camiones de Ruta</v>
      </c>
      <c r="D47" s="61" t="str">
        <f>IFERROR(VLOOKUP($A44,Maestro_Equipos!$A$4:$Z$242,9,FALSE),"")</f>
        <v>HORAS</v>
      </c>
      <c r="E47" s="61">
        <f>IFERROR(IF($D47="KM",_xlfn.XLOOKUP($A47,Maestro_Equipos!$A:$A,Maestro_Equipos!$N:$N,""),_xlfn.XLOOKUP($A47,Maestro_Equipos!$A:$A,Maestro_Equipos!$M:$M,"")),"")</f>
        <v>0</v>
      </c>
      <c r="F47" s="61">
        <f>IFERROR(_xlfn.XLOOKUP($A47,Maestro_Equipos!$A:$A,Maestro_Equipos!$R:$R,"")+_xlfn.XLOOKUP($A47,Maestro_Equipos!$A:$A,Maestro_Equipos!$J:$J,""),"")</f>
        <v>238350</v>
      </c>
      <c r="G47" s="61">
        <f>IFERROR(_xlfn.XLOOKUP($A47,Maestro_Equipos!$A:$A,Maestro_Equipos!$K:$K,""),"")</f>
        <v>0</v>
      </c>
      <c r="H47" s="61" t="str">
        <f>IFERROR(IF(OR($E47="",$F47="",$G47="",$G47&lt;=0),"",ROUND(($F47-$E47)/$G47,0)),"")</f>
        <v/>
      </c>
      <c r="I47" s="62" t="str">
        <f ca="1">IFERROR(IF($H47="","",TODAY()+$H47),"")</f>
        <v/>
      </c>
      <c r="J47" s="63" t="str">
        <f>IFERROR(INDEX(Maestro_Equipos!$V$4:$V$242,MATCH($A47,Maestro_Equipos!$A$4:$A$242,0)),"")</f>
        <v>Fuera de Servicio</v>
      </c>
      <c r="K47" s="64">
        <f>IFERROR(
   SUMIFS(Mantenciones!$I:$I,Mantenciones!$B:$B,$A47)
 + SUMIFS('Compras PM'!$F:$F,'Compras PM'!$C:$C,$A47),0)</f>
        <v>0</v>
      </c>
      <c r="L47" s="65" t="str">
        <f>IF($J47="Fuera de Servicio","NO PROGRAMAR",IF($H47="","SIN DATOS",IF($H47&lt;=0,"VENCIDA",IF($H47&lt;=7,"CRÍTICA",IF($H47&lt;=15,"ALTA",IF($H47&lt;=30,"MEDIA","BAJA"))))))</f>
        <v>NO PROGRAMAR</v>
      </c>
      <c r="M47" s="66" cm="1">
        <f t="array" ref="M47">IFERROR(_xlfn.AGGREGATE(14,6,Mantenciones!$A$3:$A$9916/(Mantenciones!$B$3:$B$9916=$A47),1),"")</f>
        <v>45230</v>
      </c>
      <c r="N47" s="67" t="str" cm="1">
        <f t="array" ref="N47">IFERROR(_xlfn.AGGREGATE(14,6,'Compras PM'!$A$4:$A$10029/('Compras PM'!$C$4:$C$10029=$A47),1),"")</f>
        <v/>
      </c>
      <c r="O47" s="67" t="str">
        <f>IFERROR(VLOOKUP($A47,Maestro_Equipos!$A$4:$AG$242,27,FALSE()),"")</f>
        <v/>
      </c>
      <c r="P47" s="68" t="str">
        <f ca="1">IFERROR(IF($N47="","",IF(OR($M47="",$M47&lt;$N47),TODAY()-$N47,$M47-$N47)),"")</f>
        <v/>
      </c>
      <c r="Q47" s="68" t="str">
        <f ca="1">IFERROR(IF($O47="","",IF(OR($M47="",$M47&lt;$O47),TODAY()-$O47,$M47-$O47)),"")</f>
        <v/>
      </c>
      <c r="R47" s="65" t="str">
        <f>IF($O47="","SIN SALIDA",IF(OR($M47="",$M47&lt;$O47),"PENDIENTE","REALIZADA"))</f>
        <v>SIN SALIDA</v>
      </c>
      <c r="S47" s="69" t="str">
        <f>IFERROR(VLOOKUP($A47,Maestro_Equipos!$A$4:$AG$242,33,FALSE()),"")</f>
        <v>No programar compra</v>
      </c>
    </row>
    <row r="48" spans="1:19" ht="18" customHeight="1">
      <c r="A48" t="str" cm="1">
        <f t="array" ref="A48">IFERROR(INDEX(_xlfn._xlws.FILTER(Maestro_Equipos!$A$4:$A$242,Maestro_Equipos!$A$4:$A$242&lt;&gt;""),ROWS($A$4:A48)),"")</f>
        <v>CD-68</v>
      </c>
      <c r="B48" t="str">
        <f>IFERROR(_xlfn.XLOOKUP($A48,Maestro_Equipos!$A$4:$A$242,Maestro_Equipos!$B$4:$B$242,""),"")</f>
        <v>Camión Aljibe</v>
      </c>
      <c r="C48" t="str">
        <f>IFERROR(_xlfn.XLOOKUP($A48,Maestro_Equipos!$A$4:$A$242,Maestro_Equipos!$C$4:$C$242,""),"")</f>
        <v>Camiones de Ruta</v>
      </c>
      <c r="D48" t="str">
        <f>IFERROR(_xlfn.XLOOKUP($A48,Maestro_Equipos!$A:$A,Maestro_Equipos!$I:$I,""),"")</f>
        <v>HORAS</v>
      </c>
      <c r="E48">
        <f>IFERROR(IF($D48="KM",_xlfn.XLOOKUP($A48,Maestro_Equipos!$A:$A,Maestro_Equipos!$N:$N,""),_xlfn.XLOOKUP($A48,Maestro_Equipos!$A:$A,Maestro_Equipos!$M:$M,"")),"")</f>
        <v>481560</v>
      </c>
      <c r="F48">
        <f>IFERROR(_xlfn.XLOOKUP($A48,Maestro_Equipos!$A:$A,Maestro_Equipos!$R:$R,"")+_xlfn.XLOOKUP($A48,Maestro_Equipos!$A:$A,Maestro_Equipos!$J:$J,""),"")</f>
        <v>8065</v>
      </c>
      <c r="G48">
        <f>IFERROR(_xlfn.XLOOKUP($A48,Maestro_Equipos!$A:$A,Maestro_Equipos!$K:$K,""),"")</f>
        <v>0</v>
      </c>
      <c r="H48" t="str">
        <f>IFERROR(IF(OR($E48="",$F48="",$G48="",$G48&lt;=0),"",ROUND(($F48-$E48)/$G48,0)),"")</f>
        <v/>
      </c>
      <c r="I48" s="71" t="str">
        <f ca="1">IFERROR(IF($H48="","",TODAY()+$H48),"")</f>
        <v/>
      </c>
      <c r="J48" s="5" t="str">
        <f>IFERROR(INDEX(Maestro_Equipos!$V$4:$V$242,MATCH($A48,Maestro_Equipos!$A$4:$A$242,0)),"")</f>
        <v>Operativo</v>
      </c>
      <c r="K48" s="35">
        <f>IFERROR(
   SUMIFS(Mantenciones!$I:$I,Mantenciones!$B:$B,$A48)
 + SUMIFS('Compras PM'!$F:$F,'Compras PM'!$C:$C,$A48),0)</f>
        <v>381399.96230000001</v>
      </c>
      <c r="L48" s="28" t="str">
        <f>IF($J48="Fuera de Servicio","NO PROGRAMAR",IF($H48="","SIN DATOS",IF($H48&lt;=0,"VENCIDA",IF($H48&lt;=7,"CRÍTICA",IF($H48&lt;=15,"ALTA",IF($H48&lt;=30,"MEDIA","BAJA"))))))</f>
        <v>SIN DATOS</v>
      </c>
      <c r="M48" s="53" cm="1">
        <f t="array" ref="M48">IFERROR(_xlfn.AGGREGATE(14,6,Mantenciones!$A$3:$A$9916/(Mantenciones!$B$3:$B$9916=$A48),1),"")</f>
        <v>44609</v>
      </c>
      <c r="N48" s="29" cm="1">
        <f t="array" ref="N48">IFERROR(_xlfn.AGGREGATE(14,6,'Compras PM'!$A$4:$A$10029/('Compras PM'!$C$4:$C$10029=$A48),1),"")</f>
        <v>46104.621280289401</v>
      </c>
      <c r="O48" s="29" t="str">
        <f>IFERROR(VLOOKUP($A48,Maestro_Equipos!$A$4:$AG$242,27,FALSE()),"")</f>
        <v/>
      </c>
      <c r="P48" s="30">
        <f ca="1">IFERROR(IF($N48="","",IF(OR($M48="",$M48&lt;$N48),TODAY()-$N48,$M48-$N48)),"")</f>
        <v>135.3787197105994</v>
      </c>
      <c r="Q48" s="30" t="str">
        <f ca="1">IFERROR(IF($O48="","",IF(OR($M48="",$M48&lt;$O48),TODAY()-$O48,$M48-$O48)),"")</f>
        <v/>
      </c>
      <c r="R48" s="28" t="str">
        <f>IF($O48="","SIN SALIDA",IF(OR($M48="",$M48&lt;$O48),"PENDIENTE","REALIZADA"))</f>
        <v>SIN SALIDA</v>
      </c>
      <c r="S48" s="31" t="str">
        <f>IFERROR(VLOOKUP($A48,Maestro_Equipos!$A$4:$AG$242,33,FALSE()),"")</f>
        <v>Hacer seguimiento al taller y cerrar report</v>
      </c>
    </row>
    <row r="49" spans="1:19" s="61" customFormat="1">
      <c r="A49" t="str" cm="1">
        <f t="array" ref="A49">IFERROR(INDEX(_xlfn._xlws.FILTER(Maestro_Equipos!$A$4:$A$242,Maestro_Equipos!$A$4:$A$242&lt;&gt;""),ROWS($A$4:A49)),"")</f>
        <v>CD-69</v>
      </c>
      <c r="B49" t="str">
        <f>IFERROR(_xlfn.XLOOKUP($A49,Maestro_Equipos!$A$4:$A$242,Maestro_Equipos!$B$4:$B$242,""),"")</f>
        <v>Tracto Camión</v>
      </c>
      <c r="C49" t="str">
        <f>IFERROR(_xlfn.XLOOKUP($A49,Maestro_Equipos!$A$4:$A$242,Maestro_Equipos!$C$4:$C$242,""),"")</f>
        <v>Camiones de Ruta</v>
      </c>
      <c r="D49" t="str">
        <f>IFERROR(_xlfn.XLOOKUP($A49,Maestro_Equipos!$A:$A,Maestro_Equipos!$I:$I,""),"")</f>
        <v>Km</v>
      </c>
      <c r="E49">
        <f>IFERROR(IF($D49="KM",_xlfn.XLOOKUP($A49,Maestro_Equipos!$A:$A,Maestro_Equipos!$N:$N,""),_xlfn.XLOOKUP($A49,Maestro_Equipos!$A:$A,Maestro_Equipos!$M:$M,"")),"")</f>
        <v>500330</v>
      </c>
      <c r="F49">
        <f>IFERROR(_xlfn.XLOOKUP($A49,Maestro_Equipos!$A:$A,Maestro_Equipos!$R:$R,"")+_xlfn.XLOOKUP($A49,Maestro_Equipos!$A:$A,Maestro_Equipos!$J:$J,""),"")</f>
        <v>501662</v>
      </c>
      <c r="G49">
        <f>IFERROR(_xlfn.XLOOKUP($A49,Maestro_Equipos!$A:$A,Maestro_Equipos!$K:$K,""),"")</f>
        <v>244.2</v>
      </c>
      <c r="H49">
        <f>IFERROR(IF(OR($E49="",$F49="",$G49="",$G49&lt;=0),"",ROUND(($F49-$E49)/$G49,0)),"")</f>
        <v>5</v>
      </c>
      <c r="I49" s="71">
        <f ca="1">IFERROR(IF($H49="","",TODAY()+$H49),"")</f>
        <v>46245</v>
      </c>
      <c r="J49" s="5" t="str">
        <f>IFERROR(INDEX(Maestro_Equipos!$V$4:$V$242,MATCH($A49,Maestro_Equipos!$A$4:$A$242,0)),"")</f>
        <v>Operativo</v>
      </c>
      <c r="K49" s="35">
        <f>IFERROR(
   SUMIFS(Mantenciones!$I:$I,Mantenciones!$B:$B,$A49)
 + SUMIFS('Compras PM'!$F:$F,'Compras PM'!$C:$C,$A49),0)</f>
        <v>764993.28500000003</v>
      </c>
      <c r="L49" s="28" t="str">
        <f>IF($J49="Fuera de Servicio","NO PROGRAMAR",IF($H49="","SIN DATOS",IF($H49&lt;=0,"VENCIDA",IF($H49&lt;=7,"CRÍTICA",IF($H49&lt;=15,"ALTA",IF($H49&lt;=30,"MEDIA","BAJA"))))))</f>
        <v>CRÍTICA</v>
      </c>
      <c r="M49" s="53" cm="1">
        <f t="array" ref="M49">IFERROR(_xlfn.AGGREGATE(14,6,Mantenciones!$A$3:$A$9916/(Mantenciones!$B$3:$B$9916=$A49),1),"")</f>
        <v>46154</v>
      </c>
      <c r="N49" s="29" cm="1">
        <f t="array" ref="N49">IFERROR(_xlfn.AGGREGATE(14,6,'Compras PM'!$A$4:$A$10029/('Compras PM'!$C$4:$C$10029=$A49),1),"")</f>
        <v>46154.502627812501</v>
      </c>
      <c r="O49" s="29">
        <f>IFERROR(VLOOKUP($A49,Maestro_Equipos!$A$4:$AG$242,27,FALSE()),"")</f>
        <v>46153</v>
      </c>
      <c r="P49" s="30">
        <f ca="1">IFERROR(IF($N49="","",IF(OR($M49="",$M49&lt;$N49),TODAY()-$N49,$M49-$N49)),"")</f>
        <v>85.497372187499423</v>
      </c>
      <c r="Q49" s="30">
        <f ca="1">IFERROR(IF($O49="","",IF(OR($M49="",$M49&lt;$O49),TODAY()-$O49,$M49-$O49)),"")</f>
        <v>1</v>
      </c>
      <c r="R49" s="28" t="str">
        <f>IF($O49="","SIN SALIDA",IF(OR($M49="",$M49&lt;$O49),"PENDIENTE","REALIZADA"))</f>
        <v>REALIZADA</v>
      </c>
      <c r="S49" s="31" t="str">
        <f>IFERROR(VLOOKUP($A49,Maestro_Equipos!$A$4:$AG$242,33,FALSE()),"")</f>
        <v>Monitorear próximo vencimiento</v>
      </c>
    </row>
    <row r="50" spans="1:19" s="61" customFormat="1">
      <c r="A50" t="str" cm="1">
        <f t="array" ref="A50">IFERROR(INDEX(_xlfn._xlws.FILTER(Maestro_Equipos!$A$4:$A$242,Maestro_Equipos!$A$4:$A$242&lt;&gt;""),ROWS($A$4:A50)),"")</f>
        <v>CD-71</v>
      </c>
      <c r="B50" t="str">
        <f>IFERROR(_xlfn.XLOOKUP($A50,Maestro_Equipos!$A$4:$A$242,Maestro_Equipos!$B$4:$B$242,""),"")</f>
        <v>Camión Aljibe</v>
      </c>
      <c r="C50" t="str">
        <f>IFERROR(_xlfn.XLOOKUP($A50,Maestro_Equipos!$A$4:$A$242,Maestro_Equipos!$C$4:$C$242,""),"")</f>
        <v>Camiones de Ruta</v>
      </c>
      <c r="D50" t="str">
        <f>IFERROR(_xlfn.XLOOKUP($A50,Maestro_Equipos!$A:$A,Maestro_Equipos!$I:$I,""),"")</f>
        <v>HORAS</v>
      </c>
      <c r="E50">
        <f>IFERROR(IF($D50="KM",_xlfn.XLOOKUP($A50,Maestro_Equipos!$A:$A,Maestro_Equipos!$N:$N,""),_xlfn.XLOOKUP($A50,Maestro_Equipos!$A:$A,Maestro_Equipos!$M:$M,"")),"")</f>
        <v>0</v>
      </c>
      <c r="F50">
        <f>IFERROR(_xlfn.XLOOKUP($A50,Maestro_Equipos!$A:$A,Maestro_Equipos!$R:$R,"")+_xlfn.XLOOKUP($A50,Maestro_Equipos!$A:$A,Maestro_Equipos!$J:$J,""),"")</f>
        <v>13177</v>
      </c>
      <c r="G50">
        <f>IFERROR(_xlfn.XLOOKUP($A50,Maestro_Equipos!$A:$A,Maestro_Equipos!$K:$K,""),"")</f>
        <v>0</v>
      </c>
      <c r="H50" t="str">
        <f>IFERROR(IF(OR($E50="",$F50="",$G50="",$G50&lt;=0),"",ROUND(($F50-$E50)/$G50,0)),"")</f>
        <v/>
      </c>
      <c r="I50" s="71" t="str">
        <f ca="1">IFERROR(IF($H50="","",TODAY()+$H50),"")</f>
        <v/>
      </c>
      <c r="J50" s="5" t="str">
        <f>IFERROR(INDEX(Maestro_Equipos!$V$4:$V$242,MATCH($A50,Maestro_Equipos!$A$4:$A$242,0)),"")</f>
        <v>Operativo</v>
      </c>
      <c r="K50" s="35">
        <f>IFERROR(
   SUMIFS(Mantenciones!$I:$I,Mantenciones!$B:$B,$A50)
 + SUMIFS('Compras PM'!$F:$F,'Compras PM'!$C:$C,$A50),0)</f>
        <v>393830.5</v>
      </c>
      <c r="L50" s="28" t="str">
        <f>IF($J50="Fuera de Servicio","NO PROGRAMAR",IF($H50="","SIN DATOS",IF($H50&lt;=0,"VENCIDA",IF($H50&lt;=7,"CRÍTICA",IF($H50&lt;=15,"ALTA",IF($H50&lt;=30,"MEDIA","BAJA"))))))</f>
        <v>SIN DATOS</v>
      </c>
      <c r="M50" s="53" cm="1">
        <f t="array" ref="M50">IFERROR(_xlfn.AGGREGATE(14,6,Mantenciones!$A$3:$A$9916/(Mantenciones!$B$3:$B$9916=$A50),1),"")</f>
        <v>45026</v>
      </c>
      <c r="N50" s="29" cm="1">
        <f t="array" ref="N50">IFERROR(_xlfn.AGGREGATE(14,6,'Compras PM'!$A$4:$A$10029/('Compras PM'!$C$4:$C$10029=$A50),1),"")</f>
        <v>46078.661368634297</v>
      </c>
      <c r="O50" s="29">
        <f>IFERROR(VLOOKUP($A50,Maestro_Equipos!$A$4:$AG$242,27,FALSE()),"")</f>
        <v>46087</v>
      </c>
      <c r="P50" s="30">
        <f ca="1">IFERROR(IF($N50="","",IF(OR($M50="",$M50&lt;$N50),TODAY()-$N50,$M50-$N50)),"")</f>
        <v>161.33863136570289</v>
      </c>
      <c r="Q50" s="30">
        <f ca="1">IFERROR(IF($O50="","",IF(OR($M50="",$M50&lt;$O50),TODAY()-$O50,$M50-$O50)),"")</f>
        <v>153</v>
      </c>
      <c r="R50" s="28" t="str">
        <f>IF($O50="","SIN SALIDA",IF(OR($M50="",$M50&lt;$O50),"PENDIENTE","REALIZADA"))</f>
        <v>PENDIENTE</v>
      </c>
      <c r="S50" s="31" t="str">
        <f>IFERROR(VLOOKUP($A50,Maestro_Equipos!$A$4:$AG$242,33,FALSE()),"")</f>
        <v>Monitorear próximo vencimiento</v>
      </c>
    </row>
    <row r="51" spans="1:19" s="61" customFormat="1">
      <c r="A51" t="str" cm="1">
        <f t="array" ref="A51">IFERROR(INDEX(_xlfn._xlws.FILTER(Maestro_Equipos!$A$4:$A$242,Maestro_Equipos!$A$4:$A$242&lt;&gt;""),ROWS($A$4:A51)),"")</f>
        <v>CD-73</v>
      </c>
      <c r="B51" t="str">
        <f>IFERROR(_xlfn.XLOOKUP($A51,Maestro_Equipos!$A$4:$A$242,Maestro_Equipos!$B$4:$B$242,""),"")</f>
        <v>Camión Aljibe</v>
      </c>
      <c r="C51" t="str">
        <f>IFERROR(_xlfn.XLOOKUP($A51,Maestro_Equipos!$A$4:$A$242,Maestro_Equipos!$C$4:$C$242,""),"")</f>
        <v>Camiones de Ruta</v>
      </c>
      <c r="D51" t="str">
        <f>IFERROR(_xlfn.XLOOKUP($A51,Maestro_Equipos!$A:$A,Maestro_Equipos!$I:$I,""),"")</f>
        <v>HORAS</v>
      </c>
      <c r="E51">
        <f>IFERROR(IF($D51="KM",_xlfn.XLOOKUP($A51,Maestro_Equipos!$A:$A,Maestro_Equipos!$N:$N,""),_xlfn.XLOOKUP($A51,Maestro_Equipos!$A:$A,Maestro_Equipos!$M:$M,"")),"")</f>
        <v>7867</v>
      </c>
      <c r="F51">
        <f>IFERROR(_xlfn.XLOOKUP($A51,Maestro_Equipos!$A:$A,Maestro_Equipos!$R:$R,"")+_xlfn.XLOOKUP($A51,Maestro_Equipos!$A:$A,Maestro_Equipos!$J:$J,""),"")</f>
        <v>9456</v>
      </c>
      <c r="G51">
        <f>IFERROR(_xlfn.XLOOKUP($A51,Maestro_Equipos!$A:$A,Maestro_Equipos!$K:$K,""),"")</f>
        <v>0</v>
      </c>
      <c r="H51" t="str">
        <f>IFERROR(IF(OR($E51="",$F51="",$G51="",$G51&lt;=0),"",ROUND(($F51-$E51)/$G51,0)),"")</f>
        <v/>
      </c>
      <c r="I51" s="71" t="str">
        <f ca="1">IFERROR(IF($H51="","",TODAY()+$H51),"")</f>
        <v/>
      </c>
      <c r="J51" s="5" t="str">
        <f>IFERROR(INDEX(Maestro_Equipos!$V$4:$V$242,MATCH($A51,Maestro_Equipos!$A$4:$A$242,0)),"")</f>
        <v>Operativo</v>
      </c>
      <c r="K51" s="35">
        <f>IFERROR(
   SUMIFS(Mantenciones!$I:$I,Mantenciones!$B:$B,$A51)
 + SUMIFS('Compras PM'!$F:$F,'Compras PM'!$C:$C,$A51),0)</f>
        <v>0</v>
      </c>
      <c r="L51" s="28" t="str">
        <f>IF($J51="Fuera de Servicio","NO PROGRAMAR",IF($H51="","SIN DATOS",IF($H51&lt;=0,"VENCIDA",IF($H51&lt;=7,"CRÍTICA",IF($H51&lt;=15,"ALTA",IF($H51&lt;=30,"MEDIA","BAJA"))))))</f>
        <v>SIN DATOS</v>
      </c>
      <c r="M51" s="53" cm="1">
        <f t="array" ref="M51">IFERROR(_xlfn.AGGREGATE(14,6,Mantenciones!$A$3:$A$9916/(Mantenciones!$B$3:$B$9916=$A51),1),"")</f>
        <v>45217</v>
      </c>
      <c r="N51" s="29" t="str" cm="1">
        <f t="array" ref="N51">IFERROR(_xlfn.AGGREGATE(14,6,'Compras PM'!$A$4:$A$10029/('Compras PM'!$C$4:$C$10029=$A51),1),"")</f>
        <v/>
      </c>
      <c r="O51" s="29" t="str">
        <f>IFERROR(VLOOKUP($A51,Maestro_Equipos!$A$4:$AG$242,27,FALSE()),"")</f>
        <v/>
      </c>
      <c r="P51" s="30" t="str">
        <f ca="1">IFERROR(IF($N51="","",IF(OR($M51="",$M51&lt;$N51),TODAY()-$N51,$M51-$N51)),"")</f>
        <v/>
      </c>
      <c r="Q51" s="30" t="str">
        <f ca="1">IFERROR(IF($O51="","",IF(OR($M51="",$M51&lt;$O51),TODAY()-$O51,$M51-$O51)),"")</f>
        <v/>
      </c>
      <c r="R51" s="28" t="str">
        <f>IF($O51="","SIN SALIDA",IF(OR($M51="",$M51&lt;$O51),"PENDIENTE","REALIZADA"))</f>
        <v>SIN SALIDA</v>
      </c>
      <c r="S51" s="31" t="str">
        <f>IFERROR(VLOOKUP($A51,Maestro_Equipos!$A$4:$AG$242,33,FALSE()),"")</f>
        <v>Monitorear próximo vencimiento</v>
      </c>
    </row>
    <row r="52" spans="1:19">
      <c r="A52" t="str" cm="1">
        <f t="array" ref="A52">IFERROR(INDEX(_xlfn._xlws.FILTER(Maestro_Equipos!$A$4:$A$242,Maestro_Equipos!$A$4:$A$242&lt;&gt;""),ROWS($A$4:A52)),"")</f>
        <v>CD-74</v>
      </c>
      <c r="B52" t="str">
        <f>IFERROR(_xlfn.XLOOKUP($A52,Maestro_Equipos!$A$4:$A$242,Maestro_Equipos!$B$4:$B$242,""),"")</f>
        <v>Tracto Camión</v>
      </c>
      <c r="C52" t="str">
        <f>IFERROR(_xlfn.XLOOKUP($A52,Maestro_Equipos!$A$4:$A$242,Maestro_Equipos!$C$4:$C$242,""),"")</f>
        <v>Camiones de Ruta</v>
      </c>
      <c r="D52" t="str">
        <f>IFERROR(_xlfn.XLOOKUP($A52,Maestro_Equipos!$A:$A,Maestro_Equipos!$I:$I,""),"")</f>
        <v>HORAS</v>
      </c>
      <c r="E52">
        <f>IFERROR(IF($D52="KM",_xlfn.XLOOKUP($A52,Maestro_Equipos!$A:$A,Maestro_Equipos!$N:$N,""),_xlfn.XLOOKUP($A52,Maestro_Equipos!$A:$A,Maestro_Equipos!$M:$M,"")),"")</f>
        <v>0</v>
      </c>
      <c r="F52" t="str">
        <f>IFERROR(_xlfn.XLOOKUP($A52,Maestro_Equipos!$A:$A,Maestro_Equipos!$R:$R,"")+_xlfn.XLOOKUP($A52,Maestro_Equipos!$A:$A,Maestro_Equipos!$J:$J,""),"")</f>
        <v/>
      </c>
      <c r="G52">
        <f>IFERROR(_xlfn.XLOOKUP($A52,Maestro_Equipos!$A:$A,Maestro_Equipos!$K:$K,""),"")</f>
        <v>0</v>
      </c>
      <c r="H52" t="str">
        <f>IFERROR(IF(OR($E52="",$F52="",$G52="",$G52&lt;=0),"",ROUND(($F52-$E52)/$G52,0)),"")</f>
        <v/>
      </c>
      <c r="I52" s="71" t="str">
        <f ca="1">IFERROR(IF($H52="","",TODAY()+$H52),"")</f>
        <v/>
      </c>
      <c r="J52" s="5" t="str">
        <f>IFERROR(INDEX(Maestro_Equipos!$V$4:$V$242,MATCH($A52,Maestro_Equipos!$A$4:$A$242,0)),"")</f>
        <v>Fuera de Servicio</v>
      </c>
      <c r="K52" s="35">
        <f>IFERROR(
   SUMIFS(Mantenciones!$I:$I,Mantenciones!$B:$B,$A52)
 + SUMIFS('Compras PM'!$F:$F,'Compras PM'!$C:$C,$A52),0)</f>
        <v>0</v>
      </c>
      <c r="L52" s="28" t="str">
        <f>IF($J52="Fuera de Servicio","NO PROGRAMAR",IF($H52="","SIN DATOS",IF($H52&lt;=0,"VENCIDA",IF($H52&lt;=7,"CRÍTICA",IF($H52&lt;=15,"ALTA",IF($H52&lt;=30,"MEDIA","BAJA"))))))</f>
        <v>NO PROGRAMAR</v>
      </c>
      <c r="M52" s="53" cm="1">
        <f t="array" ref="M52">IFERROR(_xlfn.AGGREGATE(14,6,Mantenciones!$A$3:$A$9916/(Mantenciones!$B$3:$B$9916=$A52),1),"")</f>
        <v>44209</v>
      </c>
      <c r="N52" s="29" t="str" cm="1">
        <f t="array" ref="N52">IFERROR(_xlfn.AGGREGATE(14,6,'Compras PM'!$A$4:$A$10029/('Compras PM'!$C$4:$C$10029=$A52),1),"")</f>
        <v/>
      </c>
      <c r="O52" s="29" t="str">
        <f>IFERROR(VLOOKUP($A52,Maestro_Equipos!$A$4:$AG$242,27,FALSE()),"")</f>
        <v/>
      </c>
      <c r="P52" s="30" t="str">
        <f ca="1">IFERROR(IF($N52="","",IF(OR($M52="",$M52&lt;$N52),TODAY()-$N52,$M52-$N52)),"")</f>
        <v/>
      </c>
      <c r="Q52" s="30" t="str">
        <f ca="1">IFERROR(IF($O52="","",IF(OR($M52="",$M52&lt;$O52),TODAY()-$O52,$M52-$O52)),"")</f>
        <v/>
      </c>
      <c r="R52" s="28" t="str">
        <f>IF($O52="","SIN SALIDA",IF(OR($M52="",$M52&lt;$O52),"PENDIENTE","REALIZADA"))</f>
        <v>SIN SALIDA</v>
      </c>
      <c r="S52" s="31" t="str">
        <f>IFERROR(VLOOKUP($A52,Maestro_Equipos!$A$4:$AG$242,33,FALSE()),"")</f>
        <v>No programar compra</v>
      </c>
    </row>
    <row r="53" spans="1:19">
      <c r="A53" t="str" cm="1">
        <f t="array" ref="A53">IFERROR(INDEX(_xlfn._xlws.FILTER(Maestro_Equipos!$A$4:$A$242,Maestro_Equipos!$A$4:$A$242&lt;&gt;""),ROWS($A$4:A53)),"")</f>
        <v>CD-80</v>
      </c>
      <c r="B53" t="str">
        <f>IFERROR(_xlfn.XLOOKUP($A53,Maestro_Equipos!$A$4:$A$242,Maestro_Equipos!$B$4:$B$242,""),"")</f>
        <v>Camión Pluma</v>
      </c>
      <c r="C53" t="str">
        <f>IFERROR(_xlfn.XLOOKUP($A53,Maestro_Equipos!$A$4:$A$242,Maestro_Equipos!$C$4:$C$242,""),"")</f>
        <v>Camiones de Ruta</v>
      </c>
      <c r="D53" t="str">
        <f>IFERROR(_xlfn.XLOOKUP($A53,Maestro_Equipos!$A:$A,Maestro_Equipos!$I:$I,""),"")</f>
        <v>HORAS</v>
      </c>
      <c r="E53">
        <f>IFERROR(IF($D53="KM",_xlfn.XLOOKUP($A53,Maestro_Equipos!$A:$A,Maestro_Equipos!$N:$N,""),_xlfn.XLOOKUP($A53,Maestro_Equipos!$A:$A,Maestro_Equipos!$M:$M,"")),"")</f>
        <v>10625</v>
      </c>
      <c r="F53">
        <f>IFERROR(_xlfn.XLOOKUP($A53,Maestro_Equipos!$A:$A,Maestro_Equipos!$R:$R,"")+_xlfn.XLOOKUP($A53,Maestro_Equipos!$A:$A,Maestro_Equipos!$J:$J,""),"")</f>
        <v>18779</v>
      </c>
      <c r="G53">
        <f>IFERROR(_xlfn.XLOOKUP($A53,Maestro_Equipos!$A:$A,Maestro_Equipos!$K:$K,""),"")</f>
        <v>3.1</v>
      </c>
      <c r="H53">
        <f>IFERROR(IF(OR($E53="",$F53="",$G53="",$G53&lt;=0),"",ROUND(($F53-$E53)/$G53,0)),"")</f>
        <v>2630</v>
      </c>
      <c r="I53" s="71">
        <f ca="1">IFERROR(IF($H53="","",TODAY()+$H53),"")</f>
        <v>48870</v>
      </c>
      <c r="J53" s="5" t="str">
        <f>IFERROR(INDEX(Maestro_Equipos!$V$4:$V$242,MATCH($A53,Maestro_Equipos!$A$4:$A$242,0)),"")</f>
        <v>Fuera de Servicio</v>
      </c>
      <c r="K53" s="35">
        <f>IFERROR(
   SUMIFS(Mantenciones!$I:$I,Mantenciones!$B:$B,$A53)
 + SUMIFS('Compras PM'!$F:$F,'Compras PM'!$C:$C,$A53),0)</f>
        <v>0</v>
      </c>
      <c r="L53" s="28" t="str">
        <f>IF($J53="Fuera de Servicio","NO PROGRAMAR",IF($H53="","SIN DATOS",IF($H53&lt;=0,"VENCIDA",IF($H53&lt;=7,"CRÍTICA",IF($H53&lt;=15,"ALTA",IF($H53&lt;=30,"MEDIA","BAJA"))))))</f>
        <v>NO PROGRAMAR</v>
      </c>
      <c r="M53" s="53" cm="1">
        <f t="array" ref="M53">IFERROR(_xlfn.AGGREGATE(14,6,Mantenciones!$A$3:$A$9916/(Mantenciones!$B$3:$B$9916=$A53),1),"")</f>
        <v>45232</v>
      </c>
      <c r="N53" s="29" t="str" cm="1">
        <f t="array" ref="N53">IFERROR(_xlfn.AGGREGATE(14,6,'Compras PM'!$A$4:$A$10029/('Compras PM'!$C$4:$C$10029=$A53),1),"")</f>
        <v/>
      </c>
      <c r="O53" s="29" t="str">
        <f>IFERROR(VLOOKUP($A53,Maestro_Equipos!$A$4:$AG$242,27,FALSE()),"")</f>
        <v/>
      </c>
      <c r="P53" s="30" t="str">
        <f ca="1">IFERROR(IF($N53="","",IF(OR($M53="",$M53&lt;$N53),TODAY()-$N53,$M53-$N53)),"")</f>
        <v/>
      </c>
      <c r="Q53" s="30" t="str">
        <f ca="1">IFERROR(IF($O53="","",IF(OR($M53="",$M53&lt;$O53),TODAY()-$O53,$M53-$O53)),"")</f>
        <v/>
      </c>
      <c r="R53" s="28" t="str">
        <f>IF($O53="","SIN SALIDA",IF(OR($M53="",$M53&lt;$O53),"PENDIENTE","REALIZADA"))</f>
        <v>SIN SALIDA</v>
      </c>
      <c r="S53" s="31" t="str">
        <f>IFERROR(VLOOKUP($A53,Maestro_Equipos!$A$4:$AG$242,33,FALSE()),"")</f>
        <v>No programar compra</v>
      </c>
    </row>
    <row r="54" spans="1:19">
      <c r="A54" t="str" cm="1">
        <f t="array" ref="A54">IFERROR(INDEX(_xlfn._xlws.FILTER(Maestro_Equipos!$A$4:$A$242,Maestro_Equipos!$A$4:$A$242&lt;&gt;""),ROWS($A$4:A54)),"")</f>
        <v>CD-86</v>
      </c>
      <c r="B54" t="str">
        <f>IFERROR(_xlfn.XLOOKUP($A54,Maestro_Equipos!$A$4:$A$242,Maestro_Equipos!$B$4:$B$242,""),"")</f>
        <v>Camión Aljibe</v>
      </c>
      <c r="C54" t="str">
        <f>IFERROR(_xlfn.XLOOKUP($A54,Maestro_Equipos!$A$4:$A$242,Maestro_Equipos!$C$4:$C$242,""),"")</f>
        <v>Camiones de Ruta</v>
      </c>
      <c r="D54" t="str">
        <f>IFERROR(_xlfn.XLOOKUP($A54,Maestro_Equipos!$A:$A,Maestro_Equipos!$I:$I,""),"")</f>
        <v>HORAS</v>
      </c>
      <c r="E54">
        <f>IFERROR(IF($D54="KM",_xlfn.XLOOKUP($A54,Maestro_Equipos!$A:$A,Maestro_Equipos!$N:$N,""),_xlfn.XLOOKUP($A54,Maestro_Equipos!$A:$A,Maestro_Equipos!$M:$M,"")),"")</f>
        <v>6418</v>
      </c>
      <c r="F54">
        <f>IFERROR(_xlfn.XLOOKUP($A54,Maestro_Equipos!$A:$A,Maestro_Equipos!$R:$R,"")+_xlfn.XLOOKUP($A54,Maestro_Equipos!$A:$A,Maestro_Equipos!$J:$J,""),"")</f>
        <v>6668</v>
      </c>
      <c r="G54">
        <f>IFERROR(_xlfn.XLOOKUP($A54,Maestro_Equipos!$A:$A,Maestro_Equipos!$K:$K,""),"")</f>
        <v>4.0999999999999996</v>
      </c>
      <c r="H54">
        <f>IFERROR(IF(OR($E54="",$F54="",$G54="",$G54&lt;=0),"",ROUND(($F54-$E54)/$G54,0)),"")</f>
        <v>61</v>
      </c>
      <c r="I54" s="71">
        <f ca="1">IFERROR(IF($H54="","",TODAY()+$H54),"")</f>
        <v>46301</v>
      </c>
      <c r="J54" s="5" t="str">
        <f>IFERROR(INDEX(Maestro_Equipos!$V$4:$V$242,MATCH($A54,Maestro_Equipos!$A$4:$A$242,0)),"")</f>
        <v>Operativo</v>
      </c>
      <c r="K54" s="35">
        <f>IFERROR(
   SUMIFS(Mantenciones!$I:$I,Mantenciones!$B:$B,$A54)
 + SUMIFS('Compras PM'!$F:$F,'Compras PM'!$C:$C,$A54),0)</f>
        <v>288199.9596</v>
      </c>
      <c r="L54" s="28" t="str">
        <f>IF($J54="Fuera de Servicio","NO PROGRAMAR",IF($H54="","SIN DATOS",IF($H54&lt;=0,"VENCIDA",IF($H54&lt;=7,"CRÍTICA",IF($H54&lt;=15,"ALTA",IF($H54&lt;=30,"MEDIA","BAJA"))))))</f>
        <v>BAJA</v>
      </c>
      <c r="M54" s="53" cm="1">
        <f t="array" ref="M54">IFERROR(_xlfn.AGGREGATE(14,6,Mantenciones!$A$3:$A$9916/(Mantenciones!$B$3:$B$9916=$A54),1),"")</f>
        <v>45019</v>
      </c>
      <c r="N54" s="29" cm="1">
        <f t="array" ref="N54">IFERROR(_xlfn.AGGREGATE(14,6,'Compras PM'!$A$4:$A$10029/('Compras PM'!$C$4:$C$10029=$A54),1),"")</f>
        <v>46076.483925694498</v>
      </c>
      <c r="O54" s="29">
        <f>IFERROR(VLOOKUP($A54,Maestro_Equipos!$A$4:$AG$242,27,FALSE()),"")</f>
        <v>46085</v>
      </c>
      <c r="P54" s="30">
        <f ca="1">IFERROR(IF($N54="","",IF(OR($M54="",$M54&lt;$N54),TODAY()-$N54,$M54-$N54)),"")</f>
        <v>163.51607430550212</v>
      </c>
      <c r="Q54" s="30">
        <f ca="1">IFERROR(IF($O54="","",IF(OR($M54="",$M54&lt;$O54),TODAY()-$O54,$M54-$O54)),"")</f>
        <v>155</v>
      </c>
      <c r="R54" s="28" t="str">
        <f>IF($O54="","SIN SALIDA",IF(OR($M54="",$M54&lt;$O54),"PENDIENTE","REALIZADA"))</f>
        <v>PENDIENTE</v>
      </c>
      <c r="S54" s="31" t="str">
        <f>IFERROR(VLOOKUP($A54,Maestro_Equipos!$A$4:$AG$242,33,FALSE()),"")</f>
        <v>Monitorear próximo vencimiento</v>
      </c>
    </row>
    <row r="55" spans="1:19" ht="15" customHeight="1">
      <c r="A55" t="str" cm="1">
        <f t="array" ref="A55">IFERROR(INDEX(_xlfn._xlws.FILTER(Maestro_Equipos!$A$4:$A$242,Maestro_Equipos!$A$4:$A$242&lt;&gt;""),ROWS($A$4:A55)),"")</f>
        <v>CD-87</v>
      </c>
      <c r="B55" t="str">
        <f>IFERROR(_xlfn.XLOOKUP($A55,Maestro_Equipos!$A$4:$A$242,Maestro_Equipos!$B$4:$B$242,""),"")</f>
        <v>Camión Tolva</v>
      </c>
      <c r="C55" t="str">
        <f>IFERROR(_xlfn.XLOOKUP($A55,Maestro_Equipos!$A$4:$A$242,Maestro_Equipos!$C$4:$C$242,""),"")</f>
        <v>Camiones de Ruta</v>
      </c>
      <c r="D55" t="str">
        <f>IFERROR(_xlfn.XLOOKUP($A55,Maestro_Equipos!$A:$A,Maestro_Equipos!$I:$I,""),"")</f>
        <v>HORAS</v>
      </c>
      <c r="E55">
        <f>IFERROR(IF($D55="KM",_xlfn.XLOOKUP($A55,Maestro_Equipos!$A:$A,Maestro_Equipos!$N:$N,""),_xlfn.XLOOKUP($A55,Maestro_Equipos!$A:$A,Maestro_Equipos!$M:$M,"")),"")</f>
        <v>0</v>
      </c>
      <c r="F55">
        <f>IFERROR(_xlfn.XLOOKUP($A55,Maestro_Equipos!$A:$A,Maestro_Equipos!$R:$R,"")+_xlfn.XLOOKUP($A55,Maestro_Equipos!$A:$A,Maestro_Equipos!$J:$J,""),"")</f>
        <v>9802</v>
      </c>
      <c r="G55">
        <f>IFERROR(_xlfn.XLOOKUP($A55,Maestro_Equipos!$A:$A,Maestro_Equipos!$K:$K,""),"")</f>
        <v>0</v>
      </c>
      <c r="H55" t="str">
        <f>IFERROR(IF(OR($E55="",$F55="",$G55="",$G55&lt;=0),"",ROUND(($F55-$E55)/$G55,0)),"")</f>
        <v/>
      </c>
      <c r="I55" s="71" t="str">
        <f ca="1">IFERROR(IF($H55="","",TODAY()+$H55),"")</f>
        <v/>
      </c>
      <c r="J55" s="5" t="str">
        <f>IFERROR(INDEX(Maestro_Equipos!$V$4:$V$242,MATCH($A55,Maestro_Equipos!$A$4:$A$242,0)),"")</f>
        <v>Operativo</v>
      </c>
      <c r="K55" s="35">
        <f>IFERROR(
   SUMIFS(Mantenciones!$I:$I,Mantenciones!$B:$B,$A55)
 + SUMIFS('Compras PM'!$F:$F,'Compras PM'!$C:$C,$A55),0)</f>
        <v>311744.26049999997</v>
      </c>
      <c r="L55" s="28" t="str">
        <f>IF($J55="Fuera de Servicio","NO PROGRAMAR",IF($H55="","SIN DATOS",IF($H55&lt;=0,"VENCIDA",IF($H55&lt;=7,"CRÍTICA",IF($H55&lt;=15,"ALTA",IF($H55&lt;=30,"MEDIA","BAJA"))))))</f>
        <v>SIN DATOS</v>
      </c>
      <c r="M55" s="53" cm="1">
        <f t="array" ref="M55">IFERROR(_xlfn.AGGREGATE(14,6,Mantenciones!$A$3:$A$9916/(Mantenciones!$B$3:$B$9916=$A55),1),"")</f>
        <v>46066</v>
      </c>
      <c r="N55" s="29" cm="1">
        <f t="array" ref="N55">IFERROR(_xlfn.AGGREGATE(14,6,'Compras PM'!$A$4:$A$10029/('Compras PM'!$C$4:$C$10029=$A55),1),"")</f>
        <v>46093.460116550901</v>
      </c>
      <c r="O55" s="29">
        <f>IFERROR(VLOOKUP($A55,Maestro_Equipos!$A$4:$AG$242,27,FALSE()),"")</f>
        <v>46077</v>
      </c>
      <c r="P55" s="30">
        <f ca="1">IFERROR(IF($N55="","",IF(OR($M55="",$M55&lt;$N55),TODAY()-$N55,$M55-$N55)),"")</f>
        <v>146.53988344909885</v>
      </c>
      <c r="Q55" s="30">
        <f ca="1">IFERROR(IF($O55="","",IF(OR($M55="",$M55&lt;$O55),TODAY()-$O55,$M55-$O55)),"")</f>
        <v>163</v>
      </c>
      <c r="R55" s="28" t="str">
        <f>IF($O55="","SIN SALIDA",IF(OR($M55="",$M55&lt;$O55),"PENDIENTE","REALIZADA"))</f>
        <v>PENDIENTE</v>
      </c>
      <c r="S55" s="31" t="str">
        <f>IFERROR(VLOOKUP($A55,Maestro_Equipos!$A$4:$AG$242,33,FALSE()),"")</f>
        <v>Monitorear próximo vencimiento</v>
      </c>
    </row>
    <row r="56" spans="1:19">
      <c r="A56" t="str" cm="1">
        <f t="array" ref="A56">IFERROR(INDEX(_xlfn._xlws.FILTER(Maestro_Equipos!$A$4:$A$242,Maestro_Equipos!$A$4:$A$242&lt;&gt;""),ROWS($A$4:A56)),"")</f>
        <v>CD-88</v>
      </c>
      <c r="B56" t="str">
        <f>IFERROR(_xlfn.XLOOKUP($A56,Maestro_Equipos!$A$4:$A$242,Maestro_Equipos!$B$4:$B$242,""),"")</f>
        <v>Camión Tolva</v>
      </c>
      <c r="C56" t="str">
        <f>IFERROR(_xlfn.XLOOKUP($A56,Maestro_Equipos!$A$4:$A$242,Maestro_Equipos!$C$4:$C$242,""),"")</f>
        <v>Camiones de Ruta</v>
      </c>
      <c r="D56" t="str">
        <f>IFERROR(_xlfn.XLOOKUP($A56,Maestro_Equipos!$A:$A,Maestro_Equipos!$I:$I,""),"")</f>
        <v>HORAS</v>
      </c>
      <c r="E56">
        <f>IFERROR(IF($D56="KM",_xlfn.XLOOKUP($A56,Maestro_Equipos!$A:$A,Maestro_Equipos!$N:$N,""),_xlfn.XLOOKUP($A56,Maestro_Equipos!$A:$A,Maestro_Equipos!$M:$M,"")),"")</f>
        <v>2336</v>
      </c>
      <c r="F56">
        <f>IFERROR(_xlfn.XLOOKUP($A56,Maestro_Equipos!$A:$A,Maestro_Equipos!$R:$R,"")+_xlfn.XLOOKUP($A56,Maestro_Equipos!$A:$A,Maestro_Equipos!$J:$J,""),"")</f>
        <v>4646</v>
      </c>
      <c r="G56">
        <f>IFERROR(_xlfn.XLOOKUP($A56,Maestro_Equipos!$A:$A,Maestro_Equipos!$K:$K,""),"")</f>
        <v>4.2</v>
      </c>
      <c r="H56">
        <f>IFERROR(IF(OR($E56="",$F56="",$G56="",$G56&lt;=0),"",ROUND(($F56-$E56)/$G56,0)),"")</f>
        <v>550</v>
      </c>
      <c r="I56" s="71">
        <f ca="1">IFERROR(IF($H56="","",TODAY()+$H56),"")</f>
        <v>46790</v>
      </c>
      <c r="J56" s="5" t="str">
        <f>IFERROR(INDEX(Maestro_Equipos!$V$4:$V$242,MATCH($A56,Maestro_Equipos!$A$4:$A$242,0)),"")</f>
        <v>Operativo</v>
      </c>
      <c r="K56" s="35">
        <f>IFERROR(
   SUMIFS(Mantenciones!$I:$I,Mantenciones!$B:$B,$A56)
 + SUMIFS('Compras PM'!$F:$F,'Compras PM'!$C:$C,$A56),0)</f>
        <v>768943.03050000011</v>
      </c>
      <c r="L56" s="28" t="str">
        <f>IF($J56="Fuera de Servicio","NO PROGRAMAR",IF($H56="","SIN DATOS",IF($H56&lt;=0,"VENCIDA",IF($H56&lt;=7,"CRÍTICA",IF($H56&lt;=15,"ALTA",IF($H56&lt;=30,"MEDIA","BAJA"))))))</f>
        <v>BAJA</v>
      </c>
      <c r="M56" s="53" cm="1">
        <f t="array" ref="M56">IFERROR(_xlfn.AGGREGATE(14,6,Mantenciones!$A$3:$A$9916/(Mantenciones!$B$3:$B$9916=$A56),1),"")</f>
        <v>46178</v>
      </c>
      <c r="N56" s="29" cm="1">
        <f t="array" ref="N56">IFERROR(_xlfn.AGGREGATE(14,6,'Compras PM'!$A$4:$A$10029/('Compras PM'!$C$4:$C$10029=$A56),1),"")</f>
        <v>46191</v>
      </c>
      <c r="O56" s="29">
        <f>IFERROR(VLOOKUP($A56,Maestro_Equipos!$A$4:$AG$242,27,FALSE()),"")</f>
        <v>46181</v>
      </c>
      <c r="P56" s="30">
        <f ca="1">IFERROR(IF($N56="","",IF(OR($M56="",$M56&lt;$N56),TODAY()-$N56,$M56-$N56)),"")</f>
        <v>49</v>
      </c>
      <c r="Q56" s="30">
        <f ca="1">IFERROR(IF($O56="","",IF(OR($M56="",$M56&lt;$O56),TODAY()-$O56,$M56-$O56)),"")</f>
        <v>59</v>
      </c>
      <c r="R56" s="28" t="str">
        <f>IF($O56="","SIN SALIDA",IF(OR($M56="",$M56&lt;$O56),"PENDIENTE","REALIZADA"))</f>
        <v>PENDIENTE</v>
      </c>
      <c r="S56" s="31" t="str">
        <f>IFERROR(VLOOKUP($A56,Maestro_Equipos!$A$4:$AG$242,33,FALSE()),"")</f>
        <v>Monitorear próximo vencimiento</v>
      </c>
    </row>
    <row r="57" spans="1:19" ht="15" customHeight="1">
      <c r="A57" t="str" cm="1">
        <f t="array" ref="A57">IFERROR(INDEX(_xlfn._xlws.FILTER(Maestro_Equipos!$A$4:$A$242,Maestro_Equipos!$A$4:$A$242&lt;&gt;""),ROWS($A$4:A57)),"")</f>
        <v>CD-89</v>
      </c>
      <c r="B57" t="str">
        <f>IFERROR(_xlfn.XLOOKUP($A57,Maestro_Equipos!$A$4:$A$242,Maestro_Equipos!$B$4:$B$242,""),"")</f>
        <v>Camión Tolva</v>
      </c>
      <c r="C57" t="str">
        <f>IFERROR(_xlfn.XLOOKUP($A57,Maestro_Equipos!$A$4:$A$242,Maestro_Equipos!$C$4:$C$242,""),"")</f>
        <v>Camiones de Ruta</v>
      </c>
      <c r="D57" t="str">
        <f>IFERROR(_xlfn.XLOOKUP($A57,Maestro_Equipos!$A:$A,Maestro_Equipos!$I:$I,""),"")</f>
        <v>HORAS</v>
      </c>
      <c r="E57">
        <f>IFERROR(IF($D57="KM",_xlfn.XLOOKUP($A57,Maestro_Equipos!$A:$A,Maestro_Equipos!$N:$N,""),_xlfn.XLOOKUP($A57,Maestro_Equipos!$A:$A,Maestro_Equipos!$M:$M,"")),"")</f>
        <v>8957</v>
      </c>
      <c r="F57">
        <f>IFERROR(_xlfn.XLOOKUP($A57,Maestro_Equipos!$A:$A,Maestro_Equipos!$R:$R,"")+_xlfn.XLOOKUP($A57,Maestro_Equipos!$A:$A,Maestro_Equipos!$J:$J,""),"")</f>
        <v>9375</v>
      </c>
      <c r="G57">
        <f>IFERROR(_xlfn.XLOOKUP($A57,Maestro_Equipos!$A:$A,Maestro_Equipos!$K:$K,""),"")</f>
        <v>3.5</v>
      </c>
      <c r="H57">
        <f>IFERROR(IF(OR($E57="",$F57="",$G57="",$G57&lt;=0),"",ROUND(($F57-$E57)/$G57,0)),"")</f>
        <v>119</v>
      </c>
      <c r="I57" s="71">
        <f ca="1">IFERROR(IF($H57="","",TODAY()+$H57),"")</f>
        <v>46359</v>
      </c>
      <c r="J57" s="5" t="str">
        <f>IFERROR(INDEX(Maestro_Equipos!$V$4:$V$242,MATCH($A57,Maestro_Equipos!$A$4:$A$242,0)),"")</f>
        <v>Operativo</v>
      </c>
      <c r="K57" s="35">
        <f>IFERROR(
   SUMIFS(Mantenciones!$I:$I,Mantenciones!$B:$B,$A57)
 + SUMIFS('Compras PM'!$F:$F,'Compras PM'!$C:$C,$A57),0)</f>
        <v>406826.62049999996</v>
      </c>
      <c r="L57" s="28" t="str">
        <f>IF($J57="Fuera de Servicio","NO PROGRAMAR",IF($H57="","SIN DATOS",IF($H57&lt;=0,"VENCIDA",IF($H57&lt;=7,"CRÍTICA",IF($H57&lt;=15,"ALTA",IF($H57&lt;=30,"MEDIA","BAJA"))))))</f>
        <v>BAJA</v>
      </c>
      <c r="M57" s="53" cm="1">
        <f t="array" ref="M57">IFERROR(_xlfn.AGGREGATE(14,6,Mantenciones!$A$3:$A$9916/(Mantenciones!$B$3:$B$9916=$A57),1),"")</f>
        <v>46149</v>
      </c>
      <c r="N57" s="29" cm="1">
        <f t="array" ref="N57">IFERROR(_xlfn.AGGREGATE(14,6,'Compras PM'!$A$4:$A$10029/('Compras PM'!$C$4:$C$10029=$A57),1),"")</f>
        <v>46191</v>
      </c>
      <c r="O57" s="29">
        <f>IFERROR(VLOOKUP($A57,Maestro_Equipos!$A$4:$AG$242,27,FALSE()),"")</f>
        <v>46105</v>
      </c>
      <c r="P57" s="30">
        <f ca="1">IFERROR(IF($N57="","",IF(OR($M57="",$M57&lt;$N57),TODAY()-$N57,$M57-$N57)),"")</f>
        <v>49</v>
      </c>
      <c r="Q57" s="30">
        <f ca="1">IFERROR(IF($O57="","",IF(OR($M57="",$M57&lt;$O57),TODAY()-$O57,$M57-$O57)),"")</f>
        <v>44</v>
      </c>
      <c r="R57" s="28" t="str">
        <f>IF($O57="","SIN SALIDA",IF(OR($M57="",$M57&lt;$O57),"PENDIENTE","REALIZADA"))</f>
        <v>REALIZADA</v>
      </c>
      <c r="S57" s="31" t="str">
        <f>IFERROR(VLOOKUP($A57,Maestro_Equipos!$A$4:$AG$242,33,FALSE()),"")</f>
        <v>Monitorear próximo vencimiento</v>
      </c>
    </row>
    <row r="58" spans="1:19" s="61" customFormat="1">
      <c r="A58" t="str" cm="1">
        <f t="array" ref="A58">IFERROR(INDEX(_xlfn._xlws.FILTER(Maestro_Equipos!$A$4:$A$242,Maestro_Equipos!$A$4:$A$242&lt;&gt;""),ROWS($A$4:A58)),"")</f>
        <v>CD-90</v>
      </c>
      <c r="B58" t="str">
        <f>IFERROR(_xlfn.XLOOKUP($A58,Maestro_Equipos!$A$4:$A$242,Maestro_Equipos!$B$4:$B$242,""),"")</f>
        <v>Camión Tolva</v>
      </c>
      <c r="C58" t="str">
        <f>IFERROR(_xlfn.XLOOKUP($A58,Maestro_Equipos!$A$4:$A$242,Maestro_Equipos!$C$4:$C$242,""),"")</f>
        <v>Camiones de Ruta</v>
      </c>
      <c r="D58" t="str">
        <f>IFERROR(VLOOKUP($A55,Maestro_Equipos!$A$4:$Z$242,9,FALSE),"")</f>
        <v>HORAS</v>
      </c>
      <c r="E58">
        <f>IFERROR(IF($D58="KM",_xlfn.XLOOKUP($A58,Maestro_Equipos!$A:$A,Maestro_Equipos!$N:$N,""),_xlfn.XLOOKUP($A58,Maestro_Equipos!$A:$A,Maestro_Equipos!$M:$M,"")),"")</f>
        <v>0</v>
      </c>
      <c r="F58">
        <f>IFERROR(_xlfn.XLOOKUP($A58,Maestro_Equipos!$A:$A,Maestro_Equipos!$R:$R,"")+_xlfn.XLOOKUP($A58,Maestro_Equipos!$A:$A,Maestro_Equipos!$J:$J,""),"")</f>
        <v>9817</v>
      </c>
      <c r="G58">
        <f>IFERROR(_xlfn.XLOOKUP($A58,Maestro_Equipos!$A:$A,Maestro_Equipos!$K:$K,""),"")</f>
        <v>0</v>
      </c>
      <c r="H58" t="str">
        <f>IFERROR(IF(OR($E58="",$F58="",$G58="",$G58&lt;=0),"",ROUND(($F58-$E58)/$G58,0)),"")</f>
        <v/>
      </c>
      <c r="I58" s="71" t="str">
        <f ca="1">IFERROR(IF($H58="","",TODAY()+$H58),"")</f>
        <v/>
      </c>
      <c r="J58" s="5" t="str">
        <f>IFERROR(INDEX(Maestro_Equipos!$V$4:$V$242,MATCH($A58,Maestro_Equipos!$A$4:$A$242,0)),"")</f>
        <v>Operativo</v>
      </c>
      <c r="K58" s="35">
        <f>IFERROR(
   SUMIFS(Mantenciones!$I:$I,Mantenciones!$B:$B,$A58)
 + SUMIFS('Compras PM'!$F:$F,'Compras PM'!$C:$C,$A58),0)</f>
        <v>486933.51169999992</v>
      </c>
      <c r="L58" s="28" t="str">
        <f>IF($J58="Fuera de Servicio","NO PROGRAMAR",IF($H58="","SIN DATOS",IF($H58&lt;=0,"VENCIDA",IF($H58&lt;=7,"CRÍTICA",IF($H58&lt;=15,"ALTA",IF($H58&lt;=30,"MEDIA","BAJA"))))))</f>
        <v>SIN DATOS</v>
      </c>
      <c r="M58" s="53" cm="1">
        <f t="array" ref="M58">IFERROR(_xlfn.AGGREGATE(14,6,Mantenciones!$A$3:$A$9916/(Mantenciones!$B$3:$B$9916=$A58),1),"")</f>
        <v>46100</v>
      </c>
      <c r="N58" s="29" cm="1">
        <f t="array" ref="N58">IFERROR(_xlfn.AGGREGATE(14,6,'Compras PM'!$A$4:$A$10029/('Compras PM'!$C$4:$C$10029=$A58),1),"")</f>
        <v>46191</v>
      </c>
      <c r="O58" s="29">
        <f>IFERROR(VLOOKUP($A58,Maestro_Equipos!$A$4:$AG$242,27,FALSE()),"")</f>
        <v>46097</v>
      </c>
      <c r="P58" s="30">
        <f ca="1">IFERROR(IF($N58="","",IF(OR($M58="",$M58&lt;$N58),TODAY()-$N58,$M58-$N58)),"")</f>
        <v>49</v>
      </c>
      <c r="Q58" s="30">
        <f ca="1">IFERROR(IF($O58="","",IF(OR($M58="",$M58&lt;$O58),TODAY()-$O58,$M58-$O58)),"")</f>
        <v>3</v>
      </c>
      <c r="R58" s="28" t="str">
        <f>IF($O58="","SIN SALIDA",IF(OR($M58="",$M58&lt;$O58),"PENDIENTE","REALIZADA"))</f>
        <v>REALIZADA</v>
      </c>
      <c r="S58" s="31" t="str">
        <f>IFERROR(VLOOKUP($A58,Maestro_Equipos!$A$4:$AG$242,33,FALSE()),"")</f>
        <v>Monitorear próximo vencimiento</v>
      </c>
    </row>
    <row r="59" spans="1:19" s="61" customFormat="1">
      <c r="A59" s="61" t="str" cm="1">
        <f t="array" ref="A59">IFERROR(INDEX(_xlfn._xlws.FILTER(Maestro_Equipos!$A$4:$A$242,Maestro_Equipos!$A$4:$A$242&lt;&gt;""),ROWS($A$4:A59)),"")</f>
        <v>CD-91</v>
      </c>
      <c r="B59" s="61" t="str">
        <f>IFERROR(_xlfn.XLOOKUP($A59,Maestro_Equipos!$A$4:$A$242,Maestro_Equipos!$B$4:$B$242,""),"")</f>
        <v>Camión Tolva</v>
      </c>
      <c r="C59" s="61" t="str">
        <f>IFERROR(_xlfn.XLOOKUP($A59,Maestro_Equipos!$A$4:$A$242,Maestro_Equipos!$C$4:$C$242,""),"")</f>
        <v>Camiones de Ruta</v>
      </c>
      <c r="D59" s="61" t="str">
        <f>IFERROR(VLOOKUP($A56,Maestro_Equipos!$A$4:$Z$242,9,FALSE),"")</f>
        <v>HORAS</v>
      </c>
      <c r="E59" s="61">
        <f>IFERROR(IF($D59="KM",_xlfn.XLOOKUP($A59,Maestro_Equipos!$A:$A,Maestro_Equipos!$N:$N,""),_xlfn.XLOOKUP($A59,Maestro_Equipos!$A:$A,Maestro_Equipos!$M:$M,"")),"")</f>
        <v>8719</v>
      </c>
      <c r="F59" s="61">
        <f>IFERROR(_xlfn.XLOOKUP($A59,Maestro_Equipos!$A:$A,Maestro_Equipos!$R:$R,"")+_xlfn.XLOOKUP($A59,Maestro_Equipos!$A:$A,Maestro_Equipos!$J:$J,""),"")</f>
        <v>6702</v>
      </c>
      <c r="G59" s="61">
        <f>IFERROR(_xlfn.XLOOKUP($A59,Maestro_Equipos!$A:$A,Maestro_Equipos!$K:$K,""),"")</f>
        <v>0</v>
      </c>
      <c r="H59" s="61" t="str">
        <f>IFERROR(IF(OR($E59="",$F59="",$G59="",$G59&lt;=0),"",ROUND(($F59-$E59)/$G59,0)),"")</f>
        <v/>
      </c>
      <c r="I59" s="62" t="str">
        <f ca="1">IFERROR(IF($H59="","",TODAY()+$H59),"")</f>
        <v/>
      </c>
      <c r="J59" s="63" t="str">
        <f>IFERROR(INDEX(Maestro_Equipos!$V$4:$V$242,MATCH($A59,Maestro_Equipos!$A$4:$A$242,0)),"")</f>
        <v>Fuera de Servicio</v>
      </c>
      <c r="K59" s="64">
        <f>IFERROR(
   SUMIFS(Mantenciones!$I:$I,Mantenciones!$B:$B,$A59)
 + SUMIFS('Compras PM'!$F:$F,'Compras PM'!$C:$C,$A59),0)</f>
        <v>0</v>
      </c>
      <c r="L59" s="65" t="str">
        <f>IF($J59="Fuera de Servicio","NO PROGRAMAR",IF($H59="","SIN DATOS",IF($H59&lt;=0,"VENCIDA",IF($H59&lt;=7,"CRÍTICA",IF($H59&lt;=15,"ALTA",IF($H59&lt;=30,"MEDIA","BAJA"))))))</f>
        <v>NO PROGRAMAR</v>
      </c>
      <c r="M59" s="66" cm="1">
        <f t="array" ref="M59">IFERROR(_xlfn.AGGREGATE(14,6,Mantenciones!$A$3:$A$9916/(Mantenciones!$B$3:$B$9916=$A59),1),"")</f>
        <v>45216</v>
      </c>
      <c r="N59" s="67" t="str" cm="1">
        <f t="array" ref="N59">IFERROR(_xlfn.AGGREGATE(14,6,'Compras PM'!$A$4:$A$10029/('Compras PM'!$C$4:$C$10029=$A59),1),"")</f>
        <v/>
      </c>
      <c r="O59" s="67" t="str">
        <f>IFERROR(VLOOKUP($A59,Maestro_Equipos!$A$4:$AG$242,27,FALSE()),"")</f>
        <v/>
      </c>
      <c r="P59" s="68" t="str">
        <f ca="1">IFERROR(IF($N59="","",IF(OR($M59="",$M59&lt;$N59),TODAY()-$N59,$M59-$N59)),"")</f>
        <v/>
      </c>
      <c r="Q59" s="68" t="str">
        <f ca="1">IFERROR(IF($O59="","",IF(OR($M59="",$M59&lt;$O59),TODAY()-$O59,$M59-$O59)),"")</f>
        <v/>
      </c>
      <c r="R59" s="65" t="str">
        <f>IF($O59="","SIN SALIDA",IF(OR($M59="",$M59&lt;$O59),"PENDIENTE","REALIZADA"))</f>
        <v>SIN SALIDA</v>
      </c>
      <c r="S59" s="69" t="str">
        <f>IFERROR(VLOOKUP($A59,Maestro_Equipos!$A$4:$AG$242,33,FALSE()),"")</f>
        <v>No programar compra</v>
      </c>
    </row>
    <row r="60" spans="1:19">
      <c r="A60" t="str" cm="1">
        <f t="array" ref="A60">IFERROR(INDEX(_xlfn._xlws.FILTER(Maestro_Equipos!$A$4:$A$242,Maestro_Equipos!$A$4:$A$242&lt;&gt;""),ROWS($A$4:A60)),"")</f>
        <v>CD-92</v>
      </c>
      <c r="B60" t="str">
        <f>IFERROR(_xlfn.XLOOKUP($A60,Maestro_Equipos!$A$4:$A$242,Maestro_Equipos!$B$4:$B$242,""),"")</f>
        <v>Camión Combustible</v>
      </c>
      <c r="C60" t="str">
        <f>IFERROR(_xlfn.XLOOKUP($A60,Maestro_Equipos!$A$4:$A$242,Maestro_Equipos!$C$4:$C$242,""),"")</f>
        <v>Camiones de Ruta</v>
      </c>
      <c r="D60" t="str">
        <f>IFERROR(_xlfn.XLOOKUP($A60,Maestro_Equipos!$A:$A,Maestro_Equipos!$I:$I,""),"")</f>
        <v>HORAS</v>
      </c>
      <c r="E60">
        <f>IFERROR(IF($D60="KM",_xlfn.XLOOKUP($A60,Maestro_Equipos!$A:$A,Maestro_Equipos!$N:$N,""),_xlfn.XLOOKUP($A60,Maestro_Equipos!$A:$A,Maestro_Equipos!$M:$M,"")),"")</f>
        <v>0</v>
      </c>
      <c r="F60">
        <f>IFERROR(_xlfn.XLOOKUP($A60,Maestro_Equipos!$A:$A,Maestro_Equipos!$R:$R,"")+_xlfn.XLOOKUP($A60,Maestro_Equipos!$A:$A,Maestro_Equipos!$J:$J,""),"")</f>
        <v>3577</v>
      </c>
      <c r="G60">
        <f>IFERROR(_xlfn.XLOOKUP($A60,Maestro_Equipos!$A:$A,Maestro_Equipos!$K:$K,""),"")</f>
        <v>0</v>
      </c>
      <c r="H60" t="str">
        <f>IFERROR(IF(OR($E60="",$F60="",$G60="",$G60&lt;=0),"",ROUND(($F60-$E60)/$G60,0)),"")</f>
        <v/>
      </c>
      <c r="I60" s="71" t="str">
        <f ca="1">IFERROR(IF($H60="","",TODAY()+$H60),"")</f>
        <v/>
      </c>
      <c r="J60" s="5" t="str">
        <f>IFERROR(INDEX(Maestro_Equipos!$V$4:$V$242,MATCH($A60,Maestro_Equipos!$A$4:$A$242,0)),"")</f>
        <v>Fuera de Servicio</v>
      </c>
      <c r="K60" s="35">
        <f>IFERROR(
   SUMIFS(Mantenciones!$I:$I,Mantenciones!$B:$B,$A60)
 + SUMIFS('Compras PM'!$F:$F,'Compras PM'!$C:$C,$A60),0)</f>
        <v>170432.99</v>
      </c>
      <c r="L60" s="28" t="str">
        <f>IF($J60="Fuera de Servicio","NO PROGRAMAR",IF($H60="","SIN DATOS",IF($H60&lt;=0,"VENCIDA",IF($H60&lt;=7,"CRÍTICA",IF($H60&lt;=15,"ALTA",IF($H60&lt;=30,"MEDIA","BAJA"))))))</f>
        <v>NO PROGRAMAR</v>
      </c>
      <c r="M60" s="53" cm="1">
        <f t="array" ref="M60">IFERROR(_xlfn.AGGREGATE(14,6,Mantenciones!$A$3:$A$9916/(Mantenciones!$B$3:$B$9916=$A60),1),"")</f>
        <v>45042</v>
      </c>
      <c r="N60" s="29" cm="1">
        <f t="array" ref="N60">IFERROR(_xlfn.AGGREGATE(14,6,'Compras PM'!$A$4:$A$10029/('Compras PM'!$C$4:$C$10029=$A60),1),"")</f>
        <v>46093.649381215298</v>
      </c>
      <c r="O60" s="29" t="str">
        <f>IFERROR(VLOOKUP($A60,Maestro_Equipos!$A$4:$AG$242,27,FALSE()),"")</f>
        <v/>
      </c>
      <c r="P60" s="30">
        <f ca="1">IFERROR(IF($N60="","",IF(OR($M60="",$M60&lt;$N60),TODAY()-$N60,$M60-$N60)),"")</f>
        <v>146.35061878470151</v>
      </c>
      <c r="Q60" s="30" t="str">
        <f ca="1">IFERROR(IF($O60="","",IF(OR($M60="",$M60&lt;$O60),TODAY()-$O60,$M60-$O60)),"")</f>
        <v/>
      </c>
      <c r="R60" s="28" t="str">
        <f>IF($O60="","SIN SALIDA",IF(OR($M60="",$M60&lt;$O60),"PENDIENTE","REALIZADA"))</f>
        <v>SIN SALIDA</v>
      </c>
      <c r="S60" s="31" t="str">
        <f>IFERROR(VLOOKUP($A60,Maestro_Equipos!$A$4:$AG$242,33,FALSE()),"")</f>
        <v>No programar compra</v>
      </c>
    </row>
    <row r="61" spans="1:19">
      <c r="A61" t="str" cm="1">
        <f t="array" ref="A61">IFERROR(INDEX(_xlfn._xlws.FILTER(Maestro_Equipos!$A$4:$A$242,Maestro_Equipos!$A$4:$A$242&lt;&gt;""),ROWS($A$4:A61)),"")</f>
        <v>CD-93</v>
      </c>
      <c r="B61" t="str">
        <f>IFERROR(_xlfn.XLOOKUP($A61,Maestro_Equipos!$A$4:$A$242,Maestro_Equipos!$B$4:$B$242,""),"")</f>
        <v>Camión Plano</v>
      </c>
      <c r="C61" t="str">
        <f>IFERROR(_xlfn.XLOOKUP($A61,Maestro_Equipos!$A$4:$A$242,Maestro_Equipos!$C$4:$C$242,""),"")</f>
        <v>Camiones de Ruta</v>
      </c>
      <c r="D61" t="str">
        <f>IFERROR(_xlfn.XLOOKUP($A61,Maestro_Equipos!$A:$A,Maestro_Equipos!$I:$I,""),"")</f>
        <v>HORAS</v>
      </c>
      <c r="E61">
        <f>IFERROR(IF($D61="KM",_xlfn.XLOOKUP($A61,Maestro_Equipos!$A:$A,Maestro_Equipos!$N:$N,""),_xlfn.XLOOKUP($A61,Maestro_Equipos!$A:$A,Maestro_Equipos!$M:$M,"")),"")</f>
        <v>0</v>
      </c>
      <c r="F61">
        <f>IFERROR(_xlfn.XLOOKUP($A61,Maestro_Equipos!$A:$A,Maestro_Equipos!$R:$R,"")+_xlfn.XLOOKUP($A61,Maestro_Equipos!$A:$A,Maestro_Equipos!$J:$J,""),"")</f>
        <v>267432</v>
      </c>
      <c r="G61">
        <f>IFERROR(_xlfn.XLOOKUP($A61,Maestro_Equipos!$A:$A,Maestro_Equipos!$K:$K,""),"")</f>
        <v>0</v>
      </c>
      <c r="H61" t="str">
        <f>IFERROR(IF(OR($E61="",$F61="",$G61="",$G61&lt;=0),"",ROUND(($F61-$E61)/$G61,0)),"")</f>
        <v/>
      </c>
      <c r="I61" s="71" t="str">
        <f ca="1">IFERROR(IF($H61="","",TODAY()+$H61),"")</f>
        <v/>
      </c>
      <c r="J61" s="5" t="str">
        <f>IFERROR(INDEX(Maestro_Equipos!$V$4:$V$242,MATCH($A61,Maestro_Equipos!$A$4:$A$242,0)),"")</f>
        <v>Fuera de Servicio</v>
      </c>
      <c r="K61" s="35">
        <f>IFERROR(
   SUMIFS(Mantenciones!$I:$I,Mantenciones!$B:$B,$A61)
 + SUMIFS('Compras PM'!$F:$F,'Compras PM'!$C:$C,$A61),0)</f>
        <v>170432.99</v>
      </c>
      <c r="L61" s="28" t="str">
        <f>IF($J61="Fuera de Servicio","NO PROGRAMAR",IF($H61="","SIN DATOS",IF($H61&lt;=0,"VENCIDA",IF($H61&lt;=7,"CRÍTICA",IF($H61&lt;=15,"ALTA",IF($H61&lt;=30,"MEDIA","BAJA"))))))</f>
        <v>NO PROGRAMAR</v>
      </c>
      <c r="M61" s="53" cm="1">
        <f t="array" ref="M61">IFERROR(_xlfn.AGGREGATE(14,6,Mantenciones!$A$3:$A$9916/(Mantenciones!$B$3:$B$9916=$A61),1),"")</f>
        <v>45216</v>
      </c>
      <c r="N61" s="29" cm="1">
        <f t="array" ref="N61">IFERROR(_xlfn.AGGREGATE(14,6,'Compras PM'!$A$4:$A$10029/('Compras PM'!$C$4:$C$10029=$A61),1),"")</f>
        <v>46079.431099421301</v>
      </c>
      <c r="O61" s="29" t="str">
        <f>IFERROR(VLOOKUP($A61,Maestro_Equipos!$A$4:$AG$242,27,FALSE()),"")</f>
        <v/>
      </c>
      <c r="P61" s="30">
        <f ca="1">IFERROR(IF($N61="","",IF(OR($M61="",$M61&lt;$N61),TODAY()-$N61,$M61-$N61)),"")</f>
        <v>160.56890057869896</v>
      </c>
      <c r="Q61" s="30" t="str">
        <f ca="1">IFERROR(IF($O61="","",IF(OR($M61="",$M61&lt;$O61),TODAY()-$O61,$M61-$O61)),"")</f>
        <v/>
      </c>
      <c r="R61" s="28" t="str">
        <f>IF($O61="","SIN SALIDA",IF(OR($M61="",$M61&lt;$O61),"PENDIENTE","REALIZADA"))</f>
        <v>SIN SALIDA</v>
      </c>
      <c r="S61" s="31" t="str">
        <f>IFERROR(VLOOKUP($A61,Maestro_Equipos!$A$4:$AG$242,33,FALSE()),"")</f>
        <v>No programar compra</v>
      </c>
    </row>
    <row r="62" spans="1:19" s="61" customFormat="1">
      <c r="A62" s="61" t="str" cm="1">
        <f t="array" ref="A62">IFERROR(INDEX(_xlfn._xlws.FILTER(Maestro_Equipos!$A$4:$A$242,Maestro_Equipos!$A$4:$A$242&lt;&gt;""),ROWS($A$4:A62)),"")</f>
        <v>CD-94</v>
      </c>
      <c r="B62" s="61" t="str">
        <f>IFERROR(_xlfn.XLOOKUP($A62,Maestro_Equipos!$A$4:$A$242,Maestro_Equipos!$B$4:$B$242,""),"")</f>
        <v>Camión Tolva</v>
      </c>
      <c r="C62" s="61" t="str">
        <f>IFERROR(_xlfn.XLOOKUP($A62,Maestro_Equipos!$A$4:$A$242,Maestro_Equipos!$C$4:$C$242,""),"")</f>
        <v>Camiones de Ruta</v>
      </c>
      <c r="D62" s="61" t="str">
        <f>IFERROR(VLOOKUP($A59,Maestro_Equipos!$A$4:$Z$242,9,FALSE),"")</f>
        <v>HORAS</v>
      </c>
      <c r="E62" s="61">
        <f>IFERROR(IF($D62="KM",_xlfn.XLOOKUP($A62,Maestro_Equipos!$A:$A,Maestro_Equipos!$N:$N,""),_xlfn.XLOOKUP($A62,Maestro_Equipos!$A:$A,Maestro_Equipos!$M:$M,"")),"")</f>
        <v>9268</v>
      </c>
      <c r="F62" s="61">
        <f>IFERROR(_xlfn.XLOOKUP($A62,Maestro_Equipos!$A:$A,Maestro_Equipos!$R:$R,"")+_xlfn.XLOOKUP($A62,Maestro_Equipos!$A:$A,Maestro_Equipos!$J:$J,""),"")</f>
        <v>9751</v>
      </c>
      <c r="G62" s="61">
        <f>IFERROR(_xlfn.XLOOKUP($A62,Maestro_Equipos!$A:$A,Maestro_Equipos!$K:$K,""),"")</f>
        <v>4.5999999999999996</v>
      </c>
      <c r="H62" s="61">
        <f>IFERROR(IF(OR($E62="",$F62="",$G62="",$G62&lt;=0),"",ROUND(($F62-$E62)/$G62,0)),"")</f>
        <v>105</v>
      </c>
      <c r="I62" s="62">
        <f ca="1">IFERROR(IF($H62="","",TODAY()+$H62),"")</f>
        <v>46345</v>
      </c>
      <c r="J62" s="63" t="str">
        <f>IFERROR(INDEX(Maestro_Equipos!$V$4:$V$242,MATCH($A62,Maestro_Equipos!$A$4:$A$242,0)),"")</f>
        <v>Operativo</v>
      </c>
      <c r="K62" s="64">
        <f>IFERROR(
   SUMIFS(Mantenciones!$I:$I,Mantenciones!$B:$B,$A62)
 + SUMIFS('Compras PM'!$F:$F,'Compras PM'!$C:$C,$A62),0)</f>
        <v>764810.24170000001</v>
      </c>
      <c r="L62" s="65" t="str">
        <f>IF($J62="Fuera de Servicio","NO PROGRAMAR",IF($H62="","SIN DATOS",IF($H62&lt;=0,"VENCIDA",IF($H62&lt;=7,"CRÍTICA",IF($H62&lt;=15,"ALTA",IF($H62&lt;=30,"MEDIA","BAJA"))))))</f>
        <v>BAJA</v>
      </c>
      <c r="M62" s="66" cm="1">
        <f t="array" ref="M62">IFERROR(_xlfn.AGGREGATE(14,6,Mantenciones!$A$3:$A$9916/(Mantenciones!$B$3:$B$9916=$A62),1),"")</f>
        <v>46181</v>
      </c>
      <c r="N62" s="67" cm="1">
        <f t="array" ref="N62">IFERROR(_xlfn.AGGREGATE(14,6,'Compras PM'!$A$4:$A$10029/('Compras PM'!$C$4:$C$10029=$A62),1),"")</f>
        <v>46093.460116550901</v>
      </c>
      <c r="O62" s="67">
        <f>IFERROR(VLOOKUP($A62,Maestro_Equipos!$A$4:$AG$242,27,FALSE()),"")</f>
        <v>46097</v>
      </c>
      <c r="P62" s="68">
        <f ca="1">IFERROR(IF($N62="","",IF(OR($M62="",$M62&lt;$N62),TODAY()-$N62,$M62-$N62)),"")</f>
        <v>87.539883449098852</v>
      </c>
      <c r="Q62" s="68">
        <f ca="1">IFERROR(IF($O62="","",IF(OR($M62="",$M62&lt;$O62),TODAY()-$O62,$M62-$O62)),"")</f>
        <v>84</v>
      </c>
      <c r="R62" s="65" t="str">
        <f>IF($O62="","SIN SALIDA",IF(OR($M62="",$M62&lt;$O62),"PENDIENTE","REALIZADA"))</f>
        <v>REALIZADA</v>
      </c>
      <c r="S62" s="69" t="str">
        <f>IFERROR(VLOOKUP($A62,Maestro_Equipos!$A$4:$AG$242,33,FALSE()),"")</f>
        <v>Monitorear próximo vencimiento</v>
      </c>
    </row>
    <row r="63" spans="1:19" ht="15" customHeight="1">
      <c r="A63" t="str" cm="1">
        <f t="array" ref="A63">IFERROR(INDEX(_xlfn._xlws.FILTER(Maestro_Equipos!$A$4:$A$242,Maestro_Equipos!$A$4:$A$242&lt;&gt;""),ROWS($A$4:A63)),"")</f>
        <v>CD-96</v>
      </c>
      <c r="B63" t="str">
        <f>IFERROR(_xlfn.XLOOKUP($A63,Maestro_Equipos!$A$4:$A$242,Maestro_Equipos!$B$4:$B$242,""),"")</f>
        <v>Camión Aljibe</v>
      </c>
      <c r="C63" t="str">
        <f>IFERROR(_xlfn.XLOOKUP($A63,Maestro_Equipos!$A$4:$A$242,Maestro_Equipos!$C$4:$C$242,""),"")</f>
        <v>Camiones de Ruta</v>
      </c>
      <c r="D63" t="str">
        <f>IFERROR(_xlfn.XLOOKUP($A63,Maestro_Equipos!$A:$A,Maestro_Equipos!$I:$I,""),"")</f>
        <v>HORAS</v>
      </c>
      <c r="E63">
        <f>IFERROR(IF($D63="KM",_xlfn.XLOOKUP($A63,Maestro_Equipos!$A:$A,Maestro_Equipos!$N:$N,""),_xlfn.XLOOKUP($A63,Maestro_Equipos!$A:$A,Maestro_Equipos!$M:$M,"")),"")</f>
        <v>3332</v>
      </c>
      <c r="F63">
        <f>IFERROR(_xlfn.XLOOKUP($A63,Maestro_Equipos!$A:$A,Maestro_Equipos!$R:$R,"")+_xlfn.XLOOKUP($A63,Maestro_Equipos!$A:$A,Maestro_Equipos!$J:$J,""),"")</f>
        <v>40599</v>
      </c>
      <c r="G63">
        <f>IFERROR(_xlfn.XLOOKUP($A63,Maestro_Equipos!$A:$A,Maestro_Equipos!$K:$K,""),"")</f>
        <v>1.5</v>
      </c>
      <c r="H63">
        <f>IFERROR(IF(OR($E63="",$F63="",$G63="",$G63&lt;=0),"",ROUND(($F63-$E63)/$G63,0)),"")</f>
        <v>24845</v>
      </c>
      <c r="I63" s="71">
        <f ca="1">IFERROR(IF($H63="","",TODAY()+$H63),"")</f>
        <v>71085</v>
      </c>
      <c r="J63" s="5" t="str">
        <f>IFERROR(INDEX(Maestro_Equipos!$V$4:$V$242,MATCH($A63,Maestro_Equipos!$A$4:$A$242,0)),"")</f>
        <v>Operativo</v>
      </c>
      <c r="K63" s="35">
        <f>IFERROR(
   SUMIFS(Mantenciones!$I:$I,Mantenciones!$B:$B,$A63)
 + SUMIFS('Compras PM'!$F:$F,'Compras PM'!$C:$C,$A63),0)</f>
        <v>215797.5631</v>
      </c>
      <c r="L63" s="28" t="str">
        <f>IF($J63="Fuera de Servicio","NO PROGRAMAR",IF($H63="","SIN DATOS",IF($H63&lt;=0,"VENCIDA",IF($H63&lt;=7,"CRÍTICA",IF($H63&lt;=15,"ALTA",IF($H63&lt;=30,"MEDIA","BAJA"))))))</f>
        <v>BAJA</v>
      </c>
      <c r="M63" s="53" cm="1">
        <f t="array" ref="M63">IFERROR(_xlfn.AGGREGATE(14,6,Mantenciones!$A$3:$A$9916/(Mantenciones!$B$3:$B$9916=$A63),1),"")</f>
        <v>45218</v>
      </c>
      <c r="N63" s="29" cm="1">
        <f t="array" ref="N63">IFERROR(_xlfn.AGGREGATE(14,6,'Compras PM'!$A$4:$A$10029/('Compras PM'!$C$4:$C$10029=$A63),1),"")</f>
        <v>46142.533922106501</v>
      </c>
      <c r="O63" s="29">
        <f>IFERROR(VLOOKUP($A63,Maestro_Equipos!$A$4:$AG$242,27,FALSE()),"")</f>
        <v>46097</v>
      </c>
      <c r="P63" s="30">
        <f ca="1">IFERROR(IF($N63="","",IF(OR($M63="",$M63&lt;$N63),TODAY()-$N63,$M63-$N63)),"")</f>
        <v>97.46607789349946</v>
      </c>
      <c r="Q63" s="30">
        <f ca="1">IFERROR(IF($O63="","",IF(OR($M63="",$M63&lt;$O63),TODAY()-$O63,$M63-$O63)),"")</f>
        <v>143</v>
      </c>
      <c r="R63" s="28" t="str">
        <f>IF($O63="","SIN SALIDA",IF(OR($M63="",$M63&lt;$O63),"PENDIENTE","REALIZADA"))</f>
        <v>PENDIENTE</v>
      </c>
      <c r="S63" s="31" t="str">
        <f>IFERROR(VLOOKUP($A63,Maestro_Equipos!$A$4:$AG$242,33,FALSE()),"")</f>
        <v>Monitorear próximo vencimiento</v>
      </c>
    </row>
    <row r="64" spans="1:19" ht="15" customHeight="1">
      <c r="A64" t="str" cm="1">
        <f t="array" ref="A64">IFERROR(INDEX(_xlfn._xlws.FILTER(Maestro_Equipos!$A$4:$A$242,Maestro_Equipos!$A$4:$A$242&lt;&gt;""),ROWS($A$4:A64)),"")</f>
        <v>CD-97</v>
      </c>
      <c r="B64" t="str">
        <f>IFERROR(_xlfn.XLOOKUP($A64,Maestro_Equipos!$A$4:$A$242,Maestro_Equipos!$B$4:$B$242,""),"")</f>
        <v>Tracto Camión</v>
      </c>
      <c r="C64" t="str">
        <f>IFERROR(_xlfn.XLOOKUP($A64,Maestro_Equipos!$A$4:$A$242,Maestro_Equipos!$C$4:$C$242,""),"")</f>
        <v>Camiones de Ruta</v>
      </c>
      <c r="D64" t="str">
        <f>IFERROR(_xlfn.XLOOKUP($A64,Maestro_Equipos!$A:$A,Maestro_Equipos!$I:$I,""),"")</f>
        <v>HORAS</v>
      </c>
      <c r="E64">
        <f>IFERROR(IF($D64="KM",_xlfn.XLOOKUP($A64,Maestro_Equipos!$A:$A,Maestro_Equipos!$N:$N,""),_xlfn.XLOOKUP($A64,Maestro_Equipos!$A:$A,Maestro_Equipos!$M:$M,"")),"")</f>
        <v>0</v>
      </c>
      <c r="F64">
        <f>IFERROR(_xlfn.XLOOKUP($A64,Maestro_Equipos!$A:$A,Maestro_Equipos!$R:$R,"")+_xlfn.XLOOKUP($A64,Maestro_Equipos!$A:$A,Maestro_Equipos!$J:$J,""),"")</f>
        <v>530461</v>
      </c>
      <c r="G64">
        <f>IFERROR(_xlfn.XLOOKUP($A64,Maestro_Equipos!$A:$A,Maestro_Equipos!$K:$K,""),"")</f>
        <v>0</v>
      </c>
      <c r="H64" t="str">
        <f>IFERROR(IF(OR($E64="",$F64="",$G64="",$G64&lt;=0),"",ROUND(($F64-$E64)/$G64,0)),"")</f>
        <v/>
      </c>
      <c r="I64" s="71" t="str">
        <f ca="1">IFERROR(IF($H64="","",TODAY()+$H64),"")</f>
        <v/>
      </c>
      <c r="J64" s="5" t="str">
        <f>IFERROR(INDEX(Maestro_Equipos!$V$4:$V$242,MATCH($A64,Maestro_Equipos!$A$4:$A$242,0)),"")</f>
        <v>Operativo</v>
      </c>
      <c r="K64" s="35">
        <f>IFERROR(
   SUMIFS(Mantenciones!$I:$I,Mantenciones!$B:$B,$A64)
 + SUMIFS('Compras PM'!$F:$F,'Compras PM'!$C:$C,$A64),0)</f>
        <v>264548.7513</v>
      </c>
      <c r="L64" s="28" t="str">
        <f>IF($J64="Fuera de Servicio","NO PROGRAMAR",IF($H64="","SIN DATOS",IF($H64&lt;=0,"VENCIDA",IF($H64&lt;=7,"CRÍTICA",IF($H64&lt;=15,"ALTA",IF($H64&lt;=30,"MEDIA","BAJA"))))))</f>
        <v>SIN DATOS</v>
      </c>
      <c r="M64" s="53" cm="1">
        <f t="array" ref="M64">IFERROR(_xlfn.AGGREGATE(14,6,Mantenciones!$A$3:$A$9916/(Mantenciones!$B$3:$B$9916=$A64),1),"")</f>
        <v>46162</v>
      </c>
      <c r="N64" s="29" cm="1">
        <f t="array" ref="N64">IFERROR(_xlfn.AGGREGATE(14,6,'Compras PM'!$A$4:$A$10029/('Compras PM'!$C$4:$C$10029=$A64),1),"")</f>
        <v>46083.514697685197</v>
      </c>
      <c r="O64" s="29" t="str">
        <f>IFERROR(VLOOKUP($A64,Maestro_Equipos!$A$4:$AG$242,27,FALSE()),"")</f>
        <v/>
      </c>
      <c r="P64" s="30">
        <f ca="1">IFERROR(IF($N64="","",IF(OR($M64="",$M64&lt;$N64),TODAY()-$N64,$M64-$N64)),"")</f>
        <v>78.485302314802539</v>
      </c>
      <c r="Q64" s="30" t="str">
        <f ca="1">IFERROR(IF($O64="","",IF(OR($M64="",$M64&lt;$O64),TODAY()-$O64,$M64-$O64)),"")</f>
        <v/>
      </c>
      <c r="R64" s="28" t="str">
        <f>IF($O64="","SIN SALIDA",IF(OR($M64="",$M64&lt;$O64),"PENDIENTE","REALIZADA"))</f>
        <v>SIN SALIDA</v>
      </c>
      <c r="S64" s="31" t="str">
        <f>IFERROR(VLOOKUP($A64,Maestro_Equipos!$A$4:$AG$242,33,FALSE()),"")</f>
        <v>Hacer seguimiento al taller y cerrar report</v>
      </c>
    </row>
    <row r="65" spans="1:19" ht="15" customHeight="1">
      <c r="A65" s="61" t="str" cm="1">
        <f t="array" ref="A65">IFERROR(INDEX(_xlfn._xlws.FILTER(Maestro_Equipos!$A$4:$A$242,Maestro_Equipos!$A$4:$A$242&lt;&gt;""),ROWS($A$4:A65)),"")</f>
        <v>CD-98</v>
      </c>
      <c r="B65" s="61" t="str">
        <f>IFERROR(_xlfn.XLOOKUP($A65,Maestro_Equipos!$A$4:$A$242,Maestro_Equipos!$B$4:$B$242,""),"")</f>
        <v>Camión Plano</v>
      </c>
      <c r="C65" s="61" t="str">
        <f>IFERROR(_xlfn.XLOOKUP($A65,Maestro_Equipos!$A$4:$A$242,Maestro_Equipos!$C$4:$C$242,""),"")</f>
        <v>Camiones de Ruta</v>
      </c>
      <c r="D65" s="61" t="str">
        <f>IFERROR(VLOOKUP($A65,Maestro_Equipos!$A$4:$Z$242,9,FALSE),"")</f>
        <v>KM</v>
      </c>
      <c r="E65" s="61">
        <f>IFERROR(IF($D65="KM",_xlfn.XLOOKUP($A65,Maestro_Equipos!$A:$A,Maestro_Equipos!$N:$N,""),_xlfn.XLOOKUP($A65,Maestro_Equipos!$A:$A,Maestro_Equipos!$M:$M,"")),"")</f>
        <v>342905</v>
      </c>
      <c r="F65" s="61">
        <f>IFERROR(_xlfn.XLOOKUP($A65,Maestro_Equipos!$A:$A,Maestro_Equipos!$R:$R,"")+_xlfn.XLOOKUP($A65,Maestro_Equipos!$A:$A,Maestro_Equipos!$J:$J,""),"")</f>
        <v>352684</v>
      </c>
      <c r="G65" s="61">
        <f>IFERROR(_xlfn.XLOOKUP($A65,Maestro_Equipos!$A:$A,Maestro_Equipos!$K:$K,""),"")</f>
        <v>79.7</v>
      </c>
      <c r="H65" s="61">
        <f>IFERROR(IF(OR($E65="",$F65="",$G65="",$G65&lt;=0),"",ROUND(($F65-$E65)/$G65,0)),"")</f>
        <v>123</v>
      </c>
      <c r="I65" s="62">
        <f ca="1">IFERROR(IF($H65="","",TODAY()+$H65),"")</f>
        <v>46363</v>
      </c>
      <c r="J65" s="63" t="str">
        <f>IFERROR(INDEX(Maestro_Equipos!$V$4:$V$242,MATCH($A65,Maestro_Equipos!$A$4:$A$242,0)),"")</f>
        <v>Operativo</v>
      </c>
      <c r="K65" s="64">
        <f>IFERROR(
   SUMIFS(Mantenciones!$I:$I,Mantenciones!$B:$B,$A65)
 + SUMIFS('Compras PM'!$F:$F,'Compras PM'!$C:$C,$A65),0)</f>
        <v>271270.02</v>
      </c>
      <c r="L65" s="65" t="str">
        <f>IF($J65="Fuera de Servicio","NO PROGRAMAR",IF($H65="","SIN DATOS",IF($H65&lt;=0,"VENCIDA",IF($H65&lt;=7,"CRÍTICA",IF($H65&lt;=15,"ALTA",IF($H65&lt;=30,"MEDIA","BAJA"))))))</f>
        <v>BAJA</v>
      </c>
      <c r="M65" s="66" cm="1">
        <f t="array" ref="M65">IFERROR(_xlfn.AGGREGATE(14,6,Mantenciones!$A$3:$A$9916/(Mantenciones!$B$3:$B$9916=$A65),1),"")</f>
        <v>46112</v>
      </c>
      <c r="N65" s="67" cm="1">
        <f t="array" ref="N65">IFERROR(_xlfn.AGGREGATE(14,6,'Compras PM'!$A$4:$A$10029/('Compras PM'!$C$4:$C$10029=$A65),1),"")</f>
        <v>46076.407432673601</v>
      </c>
      <c r="O65" s="67">
        <f>IFERROR(VLOOKUP($A65,Maestro_Equipos!$A$4:$AG$242,27,FALSE()),"")</f>
        <v>46097</v>
      </c>
      <c r="P65" s="68">
        <f ca="1">IFERROR(IF($N65="","",IF(OR($M65="",$M65&lt;$N65),TODAY()-$N65,$M65-$N65)),"")</f>
        <v>35.592567326399148</v>
      </c>
      <c r="Q65" s="68">
        <f ca="1">IFERROR(IF($O65="","",IF(OR($M65="",$M65&lt;$O65),TODAY()-$O65,$M65-$O65)),"")</f>
        <v>15</v>
      </c>
      <c r="R65" s="65" t="str">
        <f>IF($O65="","SIN SALIDA",IF(OR($M65="",$M65&lt;$O65),"PENDIENTE","REALIZADA"))</f>
        <v>REALIZADA</v>
      </c>
      <c r="S65" s="69" t="str">
        <f>IFERROR(VLOOKUP($A65,Maestro_Equipos!$A$4:$AG$242,33,FALSE()),"")</f>
        <v>Monitorear próximo vencimiento</v>
      </c>
    </row>
    <row r="66" spans="1:19">
      <c r="A66" t="str" cm="1">
        <f t="array" ref="A66">IFERROR(INDEX(_xlfn._xlws.FILTER(Maestro_Equipos!$A$4:$A$242,Maestro_Equipos!$A$4:$A$242&lt;&gt;""),ROWS($A$4:A66)),"")</f>
        <v>CD-99</v>
      </c>
      <c r="B66" t="str">
        <f>IFERROR(_xlfn.XLOOKUP($A66,Maestro_Equipos!$A$4:$A$242,Maestro_Equipos!$B$4:$B$242,""),"")</f>
        <v>Camión Aljibe</v>
      </c>
      <c r="C66" t="str">
        <f>IFERROR(_xlfn.XLOOKUP($A66,Maestro_Equipos!$A$4:$A$242,Maestro_Equipos!$C$4:$C$242,""),"")</f>
        <v>Camiones de Ruta</v>
      </c>
      <c r="D66" t="str">
        <f>IFERROR(_xlfn.XLOOKUP($A66,Maestro_Equipos!$A:$A,Maestro_Equipos!$I:$I,""),"")</f>
        <v>HORAS</v>
      </c>
      <c r="E66">
        <f>IFERROR(IF($D66="KM",_xlfn.XLOOKUP($A66,Maestro_Equipos!$A:$A,Maestro_Equipos!$N:$N,""),_xlfn.XLOOKUP($A66,Maestro_Equipos!$A:$A,Maestro_Equipos!$M:$M,"")),"")</f>
        <v>0</v>
      </c>
      <c r="F66" t="str">
        <f>IFERROR(_xlfn.XLOOKUP($A66,Maestro_Equipos!$A:$A,Maestro_Equipos!$R:$R,"")+_xlfn.XLOOKUP($A66,Maestro_Equipos!$A:$A,Maestro_Equipos!$J:$J,""),"")</f>
        <v/>
      </c>
      <c r="G66">
        <f>IFERROR(_xlfn.XLOOKUP($A66,Maestro_Equipos!$A:$A,Maestro_Equipos!$K:$K,""),"")</f>
        <v>0</v>
      </c>
      <c r="H66" t="str">
        <f>IFERROR(IF(OR($E66="",$F66="",$G66="",$G66&lt;=0),"",ROUND(($F66-$E66)/$G66,0)),"")</f>
        <v/>
      </c>
      <c r="I66" s="71" t="str">
        <f ca="1">IFERROR(IF($H66="","",TODAY()+$H66),"")</f>
        <v/>
      </c>
      <c r="J66" s="5" t="str">
        <f>IFERROR(INDEX(Maestro_Equipos!$V$4:$V$242,MATCH($A66,Maestro_Equipos!$A$4:$A$242,0)),"")</f>
        <v>Fuera de Servicio</v>
      </c>
      <c r="K66" s="35">
        <f>IFERROR(
   SUMIFS(Mantenciones!$I:$I,Mantenciones!$B:$B,$A66)
 + SUMIFS('Compras PM'!$F:$F,'Compras PM'!$C:$C,$A66),0)</f>
        <v>0</v>
      </c>
      <c r="L66" s="28" t="str">
        <f>IF($J66="Fuera de Servicio","NO PROGRAMAR",IF($H66="","SIN DATOS",IF($H66&lt;=0,"VENCIDA",IF($H66&lt;=7,"CRÍTICA",IF($H66&lt;=15,"ALTA",IF($H66&lt;=30,"MEDIA","BAJA"))))))</f>
        <v>NO PROGRAMAR</v>
      </c>
      <c r="M66" s="53" cm="1">
        <f t="array" ref="M66">IFERROR(_xlfn.AGGREGATE(14,6,Mantenciones!$A$3:$A$9916/(Mantenciones!$B$3:$B$9916=$A66),1),"")</f>
        <v>44958</v>
      </c>
      <c r="N66" s="29" t="str" cm="1">
        <f t="array" ref="N66">IFERROR(_xlfn.AGGREGATE(14,6,'Compras PM'!$A$4:$A$10029/('Compras PM'!$C$4:$C$10029=$A66),1),"")</f>
        <v/>
      </c>
      <c r="O66" s="29" t="str">
        <f>IFERROR(VLOOKUP($A66,Maestro_Equipos!$A$4:$AG$242,27,FALSE()),"")</f>
        <v/>
      </c>
      <c r="P66" s="30" t="str">
        <f ca="1">IFERROR(IF($N66="","",IF(OR($M66="",$M66&lt;$N66),TODAY()-$N66,$M66-$N66)),"")</f>
        <v/>
      </c>
      <c r="Q66" s="30" t="str">
        <f ca="1">IFERROR(IF($O66="","",IF(OR($M66="",$M66&lt;$O66),TODAY()-$O66,$M66-$O66)),"")</f>
        <v/>
      </c>
      <c r="R66" s="28" t="str">
        <f>IF($O66="","SIN SALIDA",IF(OR($M66="",$M66&lt;$O66),"PENDIENTE","REALIZADA"))</f>
        <v>SIN SALIDA</v>
      </c>
      <c r="S66" s="31" t="str">
        <f>IFERROR(VLOOKUP($A66,Maestro_Equipos!$A$4:$AG$242,33,FALSE()),"")</f>
        <v>No programar compra</v>
      </c>
    </row>
    <row r="67" spans="1:19">
      <c r="A67" t="str" cm="1">
        <f t="array" ref="A67">IFERROR(INDEX(_xlfn._xlws.FILTER(Maestro_Equipos!$A$4:$A$242,Maestro_Equipos!$A$4:$A$242&lt;&gt;""),ROWS($A$4:A67)),"")</f>
        <v>ED-51</v>
      </c>
      <c r="B67" t="str">
        <f>IFERROR(_xlfn.XLOOKUP($A67,Maestro_Equipos!$A$4:$A$242,Maestro_Equipos!$B$4:$B$242,""),"")</f>
        <v>Gravilladora</v>
      </c>
      <c r="C67" t="str">
        <f>IFERROR(_xlfn.XLOOKUP($A67,Maestro_Equipos!$A$4:$A$242,Maestro_Equipos!$C$4:$C$242,""),"")</f>
        <v>Maquinaria Pesada</v>
      </c>
      <c r="D67" t="str">
        <f>IFERROR(_xlfn.XLOOKUP($A67,Maestro_Equipos!$A:$A,Maestro_Equipos!$I:$I,""),"")</f>
        <v>HORAS</v>
      </c>
      <c r="E67">
        <f>IFERROR(IF($D67="KM",_xlfn.XLOOKUP($A67,Maestro_Equipos!$A:$A,Maestro_Equipos!$N:$N,""),_xlfn.XLOOKUP($A67,Maestro_Equipos!$A:$A,Maestro_Equipos!$M:$M,"")),"")</f>
        <v>609</v>
      </c>
      <c r="F67">
        <f>IFERROR(_xlfn.XLOOKUP($A67,Maestro_Equipos!$A:$A,Maestro_Equipos!$R:$R,"")+_xlfn.XLOOKUP($A67,Maestro_Equipos!$A:$A,Maestro_Equipos!$J:$J,""),"")</f>
        <v>468</v>
      </c>
      <c r="G67">
        <f>IFERROR(_xlfn.XLOOKUP($A67,Maestro_Equipos!$A:$A,Maestro_Equipos!$K:$K,""),"")</f>
        <v>0</v>
      </c>
      <c r="H67" t="str">
        <f>IFERROR(IF(OR($E67="",$F67="",$G67="",$G67&lt;=0),"",ROUND(($F67-$E67)/$G67,0)),"")</f>
        <v/>
      </c>
      <c r="I67" s="71" t="str">
        <f ca="1">IFERROR(IF($H67="","",TODAY()+$H67),"")</f>
        <v/>
      </c>
      <c r="J67" s="5" t="str">
        <f>IFERROR(INDEX(Maestro_Equipos!$V$4:$V$242,MATCH($A67,Maestro_Equipos!$A$4:$A$242,0)),"")</f>
        <v>Operativo</v>
      </c>
      <c r="K67" s="35">
        <f>IFERROR(
   SUMIFS(Mantenciones!$I:$I,Mantenciones!$B:$B,$A67)
 + SUMIFS('Compras PM'!$F:$F,'Compras PM'!$C:$C,$A67),0)</f>
        <v>0</v>
      </c>
      <c r="L67" s="28" t="str">
        <f>IF($J67="Fuera de Servicio","NO PROGRAMAR",IF($H67="","SIN DATOS",IF($H67&lt;=0,"VENCIDA",IF($H67&lt;=7,"CRÍTICA",IF($H67&lt;=15,"ALTA",IF($H67&lt;=30,"MEDIA","BAJA"))))))</f>
        <v>SIN DATOS</v>
      </c>
      <c r="M67" s="53" cm="1">
        <f t="array" ref="M67">IFERROR(_xlfn.AGGREGATE(14,6,Mantenciones!$A$3:$A$9916/(Mantenciones!$B$3:$B$9916=$A67),1),"")</f>
        <v>44977</v>
      </c>
      <c r="N67" s="29" t="str" cm="1">
        <f t="array" ref="N67">IFERROR(_xlfn.AGGREGATE(14,6,'Compras PM'!$A$4:$A$10029/('Compras PM'!$C$4:$C$10029=$A67),1),"")</f>
        <v/>
      </c>
      <c r="O67" s="29" t="str">
        <f>IFERROR(VLOOKUP($A67,Maestro_Equipos!$A$4:$AG$242,27,FALSE()),"")</f>
        <v/>
      </c>
      <c r="P67" s="30" t="str">
        <f ca="1">IFERROR(IF($N67="","",IF(OR($M67="",$M67&lt;$N67),TODAY()-$N67,$M67-$N67)),"")</f>
        <v/>
      </c>
      <c r="Q67" s="30" t="str">
        <f ca="1">IFERROR(IF($O67="","",IF(OR($M67="",$M67&lt;$O67),TODAY()-$O67,$M67-$O67)),"")</f>
        <v/>
      </c>
      <c r="R67" s="28" t="str">
        <f>IF($O67="","SIN SALIDA",IF(OR($M67="",$M67&lt;$O67),"PENDIENTE","REALIZADA"))</f>
        <v>SIN SALIDA</v>
      </c>
      <c r="S67" s="31" t="str">
        <f>IFERROR(VLOOKUP($A67,Maestro_Equipos!$A$4:$AG$242,33,FALSE()),"")</f>
        <v>Monitorear próximo vencimiento</v>
      </c>
    </row>
    <row r="68" spans="1:19">
      <c r="A68" t="str" cm="1">
        <f t="array" ref="A68">IFERROR(INDEX(_xlfn._xlws.FILTER(Maestro_Equipos!$A$4:$A$242,Maestro_Equipos!$A$4:$A$242&lt;&gt;""),ROWS($A$4:A68)),"")</f>
        <v>ED-52</v>
      </c>
      <c r="B68" t="str">
        <f>IFERROR(_xlfn.XLOOKUP($A68,Maestro_Equipos!$A$4:$A$242,Maestro_Equipos!$B$4:$B$242,""),"")</f>
        <v>Barredora</v>
      </c>
      <c r="C68" t="str">
        <f>IFERROR(_xlfn.XLOOKUP($A68,Maestro_Equipos!$A$4:$A$242,Maestro_Equipos!$C$4:$C$242,""),"")</f>
        <v>Maquinaria Pesada</v>
      </c>
      <c r="D68" t="str">
        <f>IFERROR(_xlfn.XLOOKUP($A68,Maestro_Equipos!$A:$A,Maestro_Equipos!$I:$I,""),"")</f>
        <v>HORAS</v>
      </c>
      <c r="E68">
        <f>IFERROR(IF($D68="KM",_xlfn.XLOOKUP($A68,Maestro_Equipos!$A:$A,Maestro_Equipos!$N:$N,""),_xlfn.XLOOKUP($A68,Maestro_Equipos!$A:$A,Maestro_Equipos!$M:$M,"")),"")</f>
        <v>691</v>
      </c>
      <c r="F68">
        <f>IFERROR(_xlfn.XLOOKUP($A68,Maestro_Equipos!$A:$A,Maestro_Equipos!$R:$R,"")+_xlfn.XLOOKUP($A68,Maestro_Equipos!$A:$A,Maestro_Equipos!$J:$J,""),"")</f>
        <v>1512</v>
      </c>
      <c r="G68">
        <f>IFERROR(_xlfn.XLOOKUP($A68,Maestro_Equipos!$A:$A,Maestro_Equipos!$K:$K,""),"")</f>
        <v>4.2</v>
      </c>
      <c r="H68">
        <f>IFERROR(IF(OR($E68="",$F68="",$G68="",$G68&lt;=0),"",ROUND(($F68-$E68)/$G68,0)),"")</f>
        <v>195</v>
      </c>
      <c r="I68" s="71">
        <f ca="1">IFERROR(IF($H68="","",TODAY()+$H68),"")</f>
        <v>46435</v>
      </c>
      <c r="J68" s="5" t="str">
        <f>IFERROR(INDEX(Maestro_Equipos!$V$4:$V$242,MATCH($A68,Maestro_Equipos!$A$4:$A$242,0)),"")</f>
        <v>Operativo</v>
      </c>
      <c r="K68" s="35">
        <f>IFERROR(
   SUMIFS(Mantenciones!$I:$I,Mantenciones!$B:$B,$A68)
 + SUMIFS('Compras PM'!$F:$F,'Compras PM'!$C:$C,$A68),0)</f>
        <v>149298.59</v>
      </c>
      <c r="L68" s="28" t="str">
        <f>IF($J68="Fuera de Servicio","NO PROGRAMAR",IF($H68="","SIN DATOS",IF($H68&lt;=0,"VENCIDA",IF($H68&lt;=7,"CRÍTICA",IF($H68&lt;=15,"ALTA",IF($H68&lt;=30,"MEDIA","BAJA"))))))</f>
        <v>BAJA</v>
      </c>
      <c r="M68" s="53" cm="1">
        <f t="array" ref="M68">IFERROR(_xlfn.AGGREGATE(14,6,Mantenciones!$A$3:$A$9916/(Mantenciones!$B$3:$B$9916=$A68),1),"")</f>
        <v>46121</v>
      </c>
      <c r="N68" s="29" cm="1">
        <f t="array" ref="N68">IFERROR(_xlfn.AGGREGATE(14,6,'Compras PM'!$A$4:$A$10029/('Compras PM'!$C$4:$C$10029=$A68),1),"")</f>
        <v>46100</v>
      </c>
      <c r="O68" s="29">
        <f>IFERROR(VLOOKUP($A68,Maestro_Equipos!$A$4:$AG$242,27,FALSE()),"")</f>
        <v>46121</v>
      </c>
      <c r="P68" s="30">
        <f ca="1">IFERROR(IF($N68="","",IF(OR($M68="",$M68&lt;$N68),TODAY()-$N68,$M68-$N68)),"")</f>
        <v>21</v>
      </c>
      <c r="Q68" s="30">
        <f ca="1">IFERROR(IF($O68="","",IF(OR($M68="",$M68&lt;$O68),TODAY()-$O68,$M68-$O68)),"")</f>
        <v>0</v>
      </c>
      <c r="R68" s="28" t="str">
        <f>IF($O68="","SIN SALIDA",IF(OR($M68="",$M68&lt;$O68),"PENDIENTE","REALIZADA"))</f>
        <v>REALIZADA</v>
      </c>
      <c r="S68" s="31" t="str">
        <f>IFERROR(VLOOKUP($A68,Maestro_Equipos!$A$4:$AG$242,33,FALSE()),"")</f>
        <v>Monitorear próximo vencimiento</v>
      </c>
    </row>
    <row r="69" spans="1:19" ht="15" customHeight="1">
      <c r="A69" t="str" cm="1">
        <f t="array" ref="A69">IFERROR(INDEX(_xlfn._xlws.FILTER(Maestro_Equipos!$A$4:$A$242,Maestro_Equipos!$A$4:$A$242&lt;&gt;""),ROWS($A$4:A69)),"")</f>
        <v>ED-61</v>
      </c>
      <c r="B69" t="str">
        <f>IFERROR(_xlfn.XLOOKUP($A69,Maestro_Equipos!$A$4:$A$242,Maestro_Equipos!$B$4:$B$242,""),"")</f>
        <v>Gravilladora</v>
      </c>
      <c r="C69" t="str">
        <f>IFERROR(_xlfn.XLOOKUP($A69,Maestro_Equipos!$A$4:$A$242,Maestro_Equipos!$C$4:$C$242,""),"")</f>
        <v>Maquinaria Pesada</v>
      </c>
      <c r="D69" t="str">
        <f>IFERROR(_xlfn.XLOOKUP($A69,Maestro_Equipos!$A:$A,Maestro_Equipos!$I:$I,""),"")</f>
        <v>HORAS</v>
      </c>
      <c r="E69">
        <f>IFERROR(IF($D69="KM",_xlfn.XLOOKUP($A69,Maestro_Equipos!$A:$A,Maestro_Equipos!$N:$N,""),_xlfn.XLOOKUP($A69,Maestro_Equipos!$A:$A,Maestro_Equipos!$M:$M,"")),"")</f>
        <v>1564</v>
      </c>
      <c r="F69">
        <f>IFERROR(_xlfn.XLOOKUP($A69,Maestro_Equipos!$A:$A,Maestro_Equipos!$R:$R,"")+_xlfn.XLOOKUP($A69,Maestro_Equipos!$A:$A,Maestro_Equipos!$J:$J,""),"")</f>
        <v>1791</v>
      </c>
      <c r="G69">
        <f>IFERROR(_xlfn.XLOOKUP($A69,Maestro_Equipos!$A:$A,Maestro_Equipos!$K:$K,""),"")</f>
        <v>2.8</v>
      </c>
      <c r="H69">
        <f>IFERROR(IF(OR($E69="",$F69="",$G69="",$G69&lt;=0),"",ROUND(($F69-$E69)/$G69,0)),"")</f>
        <v>81</v>
      </c>
      <c r="I69" s="71">
        <f ca="1">IFERROR(IF($H69="","",TODAY()+$H69),"")</f>
        <v>46321</v>
      </c>
      <c r="J69" s="5" t="str">
        <f>IFERROR(INDEX(Maestro_Equipos!$V$4:$V$242,MATCH($A69,Maestro_Equipos!$A$4:$A$242,0)),"")</f>
        <v>Operativo</v>
      </c>
      <c r="K69" s="35">
        <f>IFERROR(
   SUMIFS(Mantenciones!$I:$I,Mantenciones!$B:$B,$A69)
 + SUMIFS('Compras PM'!$F:$F,'Compras PM'!$C:$C,$A69),0)</f>
        <v>62300.415099999998</v>
      </c>
      <c r="L69" s="28" t="str">
        <f>IF($J69="Fuera de Servicio","NO PROGRAMAR",IF($H69="","SIN DATOS",IF($H69&lt;=0,"VENCIDA",IF($H69&lt;=7,"CRÍTICA",IF($H69&lt;=15,"ALTA",IF($H69&lt;=30,"MEDIA","BAJA"))))))</f>
        <v>BAJA</v>
      </c>
      <c r="M69" s="53" cm="1">
        <f t="array" ref="M69">IFERROR(_xlfn.AGGREGATE(14,6,Mantenciones!$A$3:$A$9916/(Mantenciones!$B$3:$B$9916=$A69),1),"")</f>
        <v>46108</v>
      </c>
      <c r="N69" s="29" cm="1">
        <f t="array" ref="N69">IFERROR(_xlfn.AGGREGATE(14,6,'Compras PM'!$A$4:$A$10029/('Compras PM'!$C$4:$C$10029=$A69),1),"")</f>
        <v>46146.541044791702</v>
      </c>
      <c r="O69" s="29">
        <f>IFERROR(VLOOKUP($A69,Maestro_Equipos!$A$4:$AG$242,27,FALSE()),"")</f>
        <v>46104</v>
      </c>
      <c r="P69" s="30">
        <f ca="1">IFERROR(IF($N69="","",IF(OR($M69="",$M69&lt;$N69),TODAY()-$N69,$M69-$N69)),"")</f>
        <v>93.458955208297994</v>
      </c>
      <c r="Q69" s="30">
        <f ca="1">IFERROR(IF($O69="","",IF(OR($M69="",$M69&lt;$O69),TODAY()-$O69,$M69-$O69)),"")</f>
        <v>4</v>
      </c>
      <c r="R69" s="28" t="str">
        <f>IF($O69="","SIN SALIDA",IF(OR($M69="",$M69&lt;$O69),"PENDIENTE","REALIZADA"))</f>
        <v>REALIZADA</v>
      </c>
      <c r="S69" s="31" t="str">
        <f>IFERROR(VLOOKUP($A69,Maestro_Equipos!$A$4:$AG$242,33,FALSE()),"")</f>
        <v>Monitorear próximo vencimiento</v>
      </c>
    </row>
    <row r="70" spans="1:19" ht="15" customHeight="1">
      <c r="A70" t="str" cm="1">
        <f t="array" ref="A70">IFERROR(INDEX(_xlfn._xlws.FILTER(Maestro_Equipos!$A$4:$A$242,Maestro_Equipos!$A$4:$A$242&lt;&gt;""),ROWS($A$4:A70)),"")</f>
        <v>ED-63</v>
      </c>
      <c r="B70" t="str">
        <f>IFERROR(_xlfn.XLOOKUP($A70,Maestro_Equipos!$A$4:$A$242,Maestro_Equipos!$B$4:$B$242,""),"")</f>
        <v>Barredora</v>
      </c>
      <c r="C70" t="str">
        <f>IFERROR(_xlfn.XLOOKUP($A70,Maestro_Equipos!$A$4:$A$242,Maestro_Equipos!$C$4:$C$242,""),"")</f>
        <v>Maquinaria Pesada</v>
      </c>
      <c r="D70" t="str">
        <f>IFERROR(_xlfn.XLOOKUP($A70,Maestro_Equipos!$A:$A,Maestro_Equipos!$I:$I,""),"")</f>
        <v>HORAS</v>
      </c>
      <c r="E70">
        <f>IFERROR(IF($D70="KM",_xlfn.XLOOKUP($A70,Maestro_Equipos!$A:$A,Maestro_Equipos!$N:$N,""),_xlfn.XLOOKUP($A70,Maestro_Equipos!$A:$A,Maestro_Equipos!$M:$M,"")),"")</f>
        <v>241</v>
      </c>
      <c r="F70" t="str">
        <f>IFERROR(_xlfn.XLOOKUP($A70,Maestro_Equipos!$A:$A,Maestro_Equipos!$R:$R,"")+_xlfn.XLOOKUP($A70,Maestro_Equipos!$A:$A,Maestro_Equipos!$J:$J,""),"")</f>
        <v/>
      </c>
      <c r="G70">
        <f>IFERROR(_xlfn.XLOOKUP($A70,Maestro_Equipos!$A:$A,Maestro_Equipos!$K:$K,""),"")</f>
        <v>5.3</v>
      </c>
      <c r="H70" t="str">
        <f>IFERROR(IF(OR($E70="",$F70="",$G70="",$G70&lt;=0),"",ROUND(($F70-$E70)/$G70,0)),"")</f>
        <v/>
      </c>
      <c r="I70" s="71" t="str">
        <f ca="1">IFERROR(IF($H70="","",TODAY()+$H70),"")</f>
        <v/>
      </c>
      <c r="J70" s="5" t="str">
        <f>IFERROR(INDEX(Maestro_Equipos!$V$4:$V$242,MATCH($A70,Maestro_Equipos!$A$4:$A$242,0)),"")</f>
        <v>Operativo</v>
      </c>
      <c r="K70" s="35">
        <f>IFERROR(
   SUMIFS(Mantenciones!$I:$I,Mantenciones!$B:$B,$A70)
 + SUMIFS('Compras PM'!$F:$F,'Compras PM'!$C:$C,$A70),0)</f>
        <v>426894.65</v>
      </c>
      <c r="L70" s="28" t="str">
        <f>IF($J70="Fuera de Servicio","NO PROGRAMAR",IF($H70="","SIN DATOS",IF($H70&lt;=0,"VENCIDA",IF($H70&lt;=7,"CRÍTICA",IF($H70&lt;=15,"ALTA",IF($H70&lt;=30,"MEDIA","BAJA"))))))</f>
        <v>SIN DATOS</v>
      </c>
      <c r="M70" s="53" cm="1">
        <f t="array" ref="M70">IFERROR(_xlfn.AGGREGATE(14,6,Mantenciones!$A$3:$A$9916/(Mantenciones!$B$3:$B$9916=$A70),1),"")</f>
        <v>44882</v>
      </c>
      <c r="N70" s="29" cm="1">
        <f t="array" ref="N70">IFERROR(_xlfn.AGGREGATE(14,6,'Compras PM'!$A$4:$A$10029/('Compras PM'!$C$4:$C$10029=$A70),1),"")</f>
        <v>46162.422470868099</v>
      </c>
      <c r="O70" s="29">
        <f>IFERROR(VLOOKUP($A70,Maestro_Equipos!$A$4:$AG$242,27,FALSE()),"")</f>
        <v>46160</v>
      </c>
      <c r="P70" s="30">
        <f ca="1">IFERROR(IF($N70="","",IF(OR($M70="",$M70&lt;$N70),TODAY()-$N70,$M70-$N70)),"")</f>
        <v>77.577529131900519</v>
      </c>
      <c r="Q70" s="30">
        <f ca="1">IFERROR(IF($O70="","",IF(OR($M70="",$M70&lt;$O70),TODAY()-$O70,$M70-$O70)),"")</f>
        <v>80</v>
      </c>
      <c r="R70" s="28" t="str">
        <f>IF($O70="","SIN SALIDA",IF(OR($M70="",$M70&lt;$O70),"PENDIENTE","REALIZADA"))</f>
        <v>PENDIENTE</v>
      </c>
      <c r="S70" s="31" t="str">
        <f>IFERROR(VLOOKUP($A70,Maestro_Equipos!$A$4:$AG$242,33,FALSE()),"")</f>
        <v>Monitorear próximo vencimiento</v>
      </c>
    </row>
    <row r="71" spans="1:19" ht="15" customHeight="1">
      <c r="A71" t="str" cm="1">
        <f t="array" ref="A71">IFERROR(INDEX(_xlfn._xlws.FILTER(Maestro_Equipos!$A$4:$A$242,Maestro_Equipos!$A$4:$A$242&lt;&gt;""),ROWS($A$4:A71)),"")</f>
        <v>ED-66</v>
      </c>
      <c r="B71" t="str">
        <f>IFERROR(_xlfn.XLOOKUP($A71,Maestro_Equipos!$A$4:$A$242,Maestro_Equipos!$B$4:$B$242,""),"")</f>
        <v>Planta Micropavimento</v>
      </c>
      <c r="C71" t="str">
        <f>IFERROR(_xlfn.XLOOKUP($A71,Maestro_Equipos!$A$4:$A$242,Maestro_Equipos!$C$4:$C$242,""),"")</f>
        <v>Maquinaria Pesada</v>
      </c>
      <c r="D71" t="str">
        <f>IFERROR(_xlfn.XLOOKUP($A71,Maestro_Equipos!$A:$A,Maestro_Equipos!$I:$I,""),"")</f>
        <v>HORAS</v>
      </c>
      <c r="E71">
        <f>IFERROR(IF($D71="KM",_xlfn.XLOOKUP($A71,Maestro_Equipos!$A:$A,Maestro_Equipos!$N:$N,""),_xlfn.XLOOKUP($A71,Maestro_Equipos!$A:$A,Maestro_Equipos!$M:$M,"")),"")</f>
        <v>0</v>
      </c>
      <c r="F71" t="str">
        <f>IFERROR(_xlfn.XLOOKUP($A71,Maestro_Equipos!$A:$A,Maestro_Equipos!$R:$R,"")+_xlfn.XLOOKUP($A71,Maestro_Equipos!$A:$A,Maestro_Equipos!$J:$J,""),"")</f>
        <v/>
      </c>
      <c r="G71">
        <f>IFERROR(_xlfn.XLOOKUP($A71,Maestro_Equipos!$A:$A,Maestro_Equipos!$K:$K,""),"")</f>
        <v>0</v>
      </c>
      <c r="H71" t="str">
        <f>IFERROR(IF(OR($E71="",$F71="",$G71="",$G71&lt;=0),"",ROUND(($F71-$E71)/$G71,0)),"")</f>
        <v/>
      </c>
      <c r="I71" s="71" t="str">
        <f ca="1">IFERROR(IF($H71="","",TODAY()+$H71),"")</f>
        <v/>
      </c>
      <c r="J71" s="5" t="str">
        <f>IFERROR(INDEX(Maestro_Equipos!$V$4:$V$242,MATCH($A71,Maestro_Equipos!$A$4:$A$242,0)),"")</f>
        <v>Operativo</v>
      </c>
      <c r="K71" s="35">
        <f>IFERROR(
   SUMIFS(Mantenciones!$I:$I,Mantenciones!$B:$B,$A71)
 + SUMIFS('Compras PM'!$F:$F,'Compras PM'!$C:$C,$A71),0)</f>
        <v>0</v>
      </c>
      <c r="L71" s="28" t="str">
        <f>IF($J71="Fuera de Servicio","NO PROGRAMAR",IF($H71="","SIN DATOS",IF($H71&lt;=0,"VENCIDA",IF($H71&lt;=7,"CRÍTICA",IF($H71&lt;=15,"ALTA",IF($H71&lt;=30,"MEDIA","BAJA"))))))</f>
        <v>SIN DATOS</v>
      </c>
      <c r="M71" s="53" t="str" cm="1">
        <f t="array" ref="M71">IFERROR(_xlfn.AGGREGATE(14,6,Mantenciones!$A$3:$A$9916/(Mantenciones!$B$3:$B$9916=$A71),1),"")</f>
        <v/>
      </c>
      <c r="N71" s="29" t="str" cm="1">
        <f t="array" ref="N71">IFERROR(_xlfn.AGGREGATE(14,6,'Compras PM'!$A$4:$A$10029/('Compras PM'!$C$4:$C$10029=$A71),1),"")</f>
        <v/>
      </c>
      <c r="O71" s="29" t="str">
        <f>IFERROR(VLOOKUP($A71,Maestro_Equipos!$A$4:$AG$242,27,FALSE()),"")</f>
        <v/>
      </c>
      <c r="P71" s="30" t="str">
        <f ca="1">IFERROR(IF($N71="","",IF(OR($M71="",$M71&lt;$N71),TODAY()-$N71,$M71-$N71)),"")</f>
        <v/>
      </c>
      <c r="Q71" s="30" t="str">
        <f ca="1">IFERROR(IF($O71="","",IF(OR($M71="",$M71&lt;$O71),TODAY()-$O71,$M71-$O71)),"")</f>
        <v/>
      </c>
      <c r="R71" s="28" t="str">
        <f>IF($O71="","SIN SALIDA",IF(OR($M71="",$M71&lt;$O71),"PENDIENTE","REALIZADA"))</f>
        <v>SIN SALIDA</v>
      </c>
      <c r="S71" s="31" t="str">
        <f>IFERROR(VLOOKUP($A71,Maestro_Equipos!$A$4:$AG$242,33,FALSE()),"")</f>
        <v>Monitorear próximo vencimiento</v>
      </c>
    </row>
    <row r="72" spans="1:19" ht="15" customHeight="1">
      <c r="A72" t="str" cm="1">
        <f t="array" ref="A72">IFERROR(INDEX(_xlfn._xlws.FILTER(Maestro_Equipos!$A$4:$A$242,Maestro_Equipos!$A$4:$A$242&lt;&gt;""),ROWS($A$4:A72)),"")</f>
        <v>ED-67</v>
      </c>
      <c r="B72" t="str">
        <f>IFERROR(_xlfn.XLOOKUP($A72,Maestro_Equipos!$A$4:$A$242,Maestro_Equipos!$B$4:$B$242,""),"")</f>
        <v>Imprimador</v>
      </c>
      <c r="C72" t="str">
        <f>IFERROR(_xlfn.XLOOKUP($A72,Maestro_Equipos!$A$4:$A$242,Maestro_Equipos!$C$4:$C$242,""),"")</f>
        <v>Maquinaria Pesada</v>
      </c>
      <c r="D72" t="str">
        <f>IFERROR(_xlfn.XLOOKUP($A72,Maestro_Equipos!$A:$A,Maestro_Equipos!$I:$I,""),"")</f>
        <v>HORAS</v>
      </c>
      <c r="E72">
        <f>IFERROR(IF($D72="KM",_xlfn.XLOOKUP($A72,Maestro_Equipos!$A:$A,Maestro_Equipos!$N:$N,""),_xlfn.XLOOKUP($A72,Maestro_Equipos!$A:$A,Maestro_Equipos!$M:$M,"")),"")</f>
        <v>0</v>
      </c>
      <c r="F72" t="str">
        <f>IFERROR(_xlfn.XLOOKUP($A72,Maestro_Equipos!$A:$A,Maestro_Equipos!$R:$R,"")+_xlfn.XLOOKUP($A72,Maestro_Equipos!$A:$A,Maestro_Equipos!$J:$J,""),"")</f>
        <v/>
      </c>
      <c r="G72">
        <f>IFERROR(_xlfn.XLOOKUP($A72,Maestro_Equipos!$A:$A,Maestro_Equipos!$K:$K,""),"")</f>
        <v>0</v>
      </c>
      <c r="H72" t="str">
        <f>IFERROR(IF(OR($E72="",$F72="",$G72="",$G72&lt;=0),"",ROUND(($F72-$E72)/$G72,0)),"")</f>
        <v/>
      </c>
      <c r="I72" s="71" t="str">
        <f ca="1">IFERROR(IF($H72="","",TODAY()+$H72),"")</f>
        <v/>
      </c>
      <c r="J72" s="5" t="str">
        <f>IFERROR(INDEX(Maestro_Equipos!$V$4:$V$242,MATCH($A72,Maestro_Equipos!$A$4:$A$242,0)),"")</f>
        <v>Operativo</v>
      </c>
      <c r="K72" s="35">
        <f>IFERROR(
   SUMIFS(Mantenciones!$I:$I,Mantenciones!$B:$B,$A72)
 + SUMIFS('Compras PM'!$F:$F,'Compras PM'!$C:$C,$A72),0)</f>
        <v>0</v>
      </c>
      <c r="L72" s="28" t="str">
        <f>IF($J72="Fuera de Servicio","NO PROGRAMAR",IF($H72="","SIN DATOS",IF($H72&lt;=0,"VENCIDA",IF($H72&lt;=7,"CRÍTICA",IF($H72&lt;=15,"ALTA",IF($H72&lt;=30,"MEDIA","BAJA"))))))</f>
        <v>SIN DATOS</v>
      </c>
      <c r="M72" s="53" t="str" cm="1">
        <f t="array" ref="M72">IFERROR(_xlfn.AGGREGATE(14,6,Mantenciones!$A$3:$A$9916/(Mantenciones!$B$3:$B$9916=$A72),1),"")</f>
        <v/>
      </c>
      <c r="N72" s="29" t="str" cm="1">
        <f t="array" ref="N72">IFERROR(_xlfn.AGGREGATE(14,6,'Compras PM'!$A$4:$A$10029/('Compras PM'!$C$4:$C$10029=$A72),1),"")</f>
        <v/>
      </c>
      <c r="O72" s="29" t="str">
        <f>IFERROR(VLOOKUP($A72,Maestro_Equipos!$A$4:$AG$242,27,FALSE()),"")</f>
        <v/>
      </c>
      <c r="P72" s="30" t="str">
        <f ca="1">IFERROR(IF($N72="","",IF(OR($M72="",$M72&lt;$N72),TODAY()-$N72,$M72-$N72)),"")</f>
        <v/>
      </c>
      <c r="Q72" s="30" t="str">
        <f ca="1">IFERROR(IF($O72="","",IF(OR($M72="",$M72&lt;$O72),TODAY()-$O72,$M72-$O72)),"")</f>
        <v/>
      </c>
      <c r="R72" s="28" t="str">
        <f>IF($O72="","SIN SALIDA",IF(OR($M72="",$M72&lt;$O72),"PENDIENTE","REALIZADA"))</f>
        <v>SIN SALIDA</v>
      </c>
      <c r="S72" s="31" t="str">
        <f>IFERROR(VLOOKUP($A72,Maestro_Equipos!$A$4:$AG$242,33,FALSE()),"")</f>
        <v>Monitorear próximo vencimiento</v>
      </c>
    </row>
    <row r="73" spans="1:19" ht="15" customHeight="1">
      <c r="A73" t="str" cm="1">
        <f t="array" ref="A73">IFERROR(INDEX(_xlfn._xlws.FILTER(Maestro_Equipos!$A$4:$A$242,Maestro_Equipos!$A$4:$A$242&lt;&gt;""),ROWS($A$4:A73)),"")</f>
        <v>ED-73</v>
      </c>
      <c r="B73" t="str">
        <f>IFERROR(_xlfn.XLOOKUP($A73,Maestro_Equipos!$A$4:$A$242,Maestro_Equipos!$B$4:$B$242,""),"")</f>
        <v>Gravilladora</v>
      </c>
      <c r="C73" t="str">
        <f>IFERROR(_xlfn.XLOOKUP($A73,Maestro_Equipos!$A$4:$A$242,Maestro_Equipos!$C$4:$C$242,""),"")</f>
        <v>Maquinaria Pesada</v>
      </c>
      <c r="D73" t="str">
        <f>IFERROR(VLOOKUP($A70,Maestro_Equipos!$A$4:$Z$242,9,FALSE),"")</f>
        <v>HORAS</v>
      </c>
      <c r="E73">
        <f>IFERROR(IF($D73="KM",_xlfn.XLOOKUP($A73,Maestro_Equipos!$A:$A,Maestro_Equipos!$N:$N,""),_xlfn.XLOOKUP($A73,Maestro_Equipos!$A:$A,Maestro_Equipos!$M:$M,"")),"")</f>
        <v>785</v>
      </c>
      <c r="F73">
        <f>IFERROR(_xlfn.XLOOKUP($A73,Maestro_Equipos!$A:$A,Maestro_Equipos!$R:$R,"")+_xlfn.XLOOKUP($A73,Maestro_Equipos!$A:$A,Maestro_Equipos!$J:$J,""),"")</f>
        <v>1117</v>
      </c>
      <c r="G73">
        <f>IFERROR(_xlfn.XLOOKUP($A73,Maestro_Equipos!$A:$A,Maestro_Equipos!$K:$K,""),"")</f>
        <v>3.1</v>
      </c>
      <c r="H73">
        <f>IFERROR(IF(OR($E73="",$F73="",$G73="",$G73&lt;=0),"",ROUND(($F73-$E73)/$G73,0)),"")</f>
        <v>107</v>
      </c>
      <c r="I73" s="71">
        <f ca="1">IFERROR(IF($H73="","",TODAY()+$H73),"")</f>
        <v>46347</v>
      </c>
      <c r="J73" s="5" t="str">
        <f>IFERROR(INDEX(Maestro_Equipos!$V$4:$V$242,MATCH($A73,Maestro_Equipos!$A$4:$A$242,0)),"")</f>
        <v>Taller</v>
      </c>
      <c r="K73" s="35">
        <f>IFERROR(
   SUMIFS(Mantenciones!$I:$I,Mantenciones!$B:$B,$A73)
 + SUMIFS('Compras PM'!$F:$F,'Compras PM'!$C:$C,$A73),0)</f>
        <v>70384.929999999993</v>
      </c>
      <c r="L73" s="28" t="str">
        <f>IF($J73="Fuera de Servicio","NO PROGRAMAR",IF($H73="","SIN DATOS",IF($H73&lt;=0,"VENCIDA",IF($H73&lt;=7,"CRÍTICA",IF($H73&lt;=15,"ALTA",IF($H73&lt;=30,"MEDIA","BAJA"))))))</f>
        <v>BAJA</v>
      </c>
      <c r="M73" s="53" cm="1">
        <f t="array" ref="M73">IFERROR(_xlfn.AGGREGATE(14,6,Mantenciones!$A$3:$A$9916/(Mantenciones!$B$3:$B$9916=$A73),1),"")</f>
        <v>46155</v>
      </c>
      <c r="N73" s="29" cm="1">
        <f t="array" ref="N73">IFERROR(_xlfn.AGGREGATE(14,6,'Compras PM'!$A$4:$A$10029/('Compras PM'!$C$4:$C$10029=$A73),1),"")</f>
        <v>46142.533997338003</v>
      </c>
      <c r="O73" s="29">
        <f>IFERROR(VLOOKUP($A73,Maestro_Equipos!$A$4:$AG$242,27,FALSE()),"")</f>
        <v>46093</v>
      </c>
      <c r="P73" s="30">
        <f ca="1">IFERROR(IF($N73="","",IF(OR($M73="",$M73&lt;$N73),TODAY()-$N73,$M73-$N73)),"")</f>
        <v>12.466002661996754</v>
      </c>
      <c r="Q73" s="30">
        <f ca="1">IFERROR(IF($O73="","",IF(OR($M73="",$M73&lt;$O73),TODAY()-$O73,$M73-$O73)),"")</f>
        <v>62</v>
      </c>
      <c r="R73" s="28" t="str">
        <f>IF($O73="","SIN SALIDA",IF(OR($M73="",$M73&lt;$O73),"PENDIENTE","REALIZADA"))</f>
        <v>REALIZADA</v>
      </c>
      <c r="S73" s="31" t="str">
        <f>IFERROR(VLOOKUP($A73,Maestro_Equipos!$A$4:$AG$242,33,FALSE()),"")</f>
        <v>Monitorear próximo vencimiento</v>
      </c>
    </row>
    <row r="74" spans="1:19" ht="15" customHeight="1">
      <c r="A74" s="61" t="str" cm="1">
        <f t="array" ref="A74">IFERROR(INDEX(_xlfn._xlws.FILTER(Maestro_Equipos!$A$4:$A$242,Maestro_Equipos!$A$4:$A$242&lt;&gt;""),ROWS($A$4:A74)),"")</f>
        <v>EQP-10</v>
      </c>
      <c r="B74" s="61" t="str">
        <f>IFERROR(_xlfn.XLOOKUP($A74,Maestro_Equipos!$A$4:$A$242,Maestro_Equipos!$B$4:$B$242,""),"")</f>
        <v>Planta aridos</v>
      </c>
      <c r="C74" s="61" t="str">
        <f>IFERROR(_xlfn.XLOOKUP($A74,Maestro_Equipos!$A$4:$A$242,Maestro_Equipos!$C$4:$C$242,""),"")</f>
        <v>Maquinaria Pesada</v>
      </c>
      <c r="D74" s="61" t="str">
        <f>IFERROR(VLOOKUP($A71,Maestro_Equipos!$A$4:$Z$242,9,FALSE),"")</f>
        <v>HORAS</v>
      </c>
      <c r="E74" s="61">
        <f>IFERROR(IF($D74="KM",_xlfn.XLOOKUP($A74,Maestro_Equipos!$A:$A,Maestro_Equipos!$N:$N,""),_xlfn.XLOOKUP($A74,Maestro_Equipos!$A:$A,Maestro_Equipos!$M:$M,"")),"")</f>
        <v>0</v>
      </c>
      <c r="F74" s="61">
        <f>IFERROR(_xlfn.XLOOKUP($A74,Maestro_Equipos!$A:$A,Maestro_Equipos!$R:$R,"")+_xlfn.XLOOKUP($A74,Maestro_Equipos!$A:$A,Maestro_Equipos!$J:$J,""),"")</f>
        <v>9004</v>
      </c>
      <c r="G74" s="61">
        <f>IFERROR(_xlfn.XLOOKUP($A74,Maestro_Equipos!$A:$A,Maestro_Equipos!$K:$K,""),"")</f>
        <v>0</v>
      </c>
      <c r="H74" s="61" t="str">
        <f>IFERROR(IF(OR($E74="",$F74="",$G74="",$G74&lt;=0),"",ROUND(($F74-$E74)/$G74,0)),"")</f>
        <v/>
      </c>
      <c r="I74" s="62" t="str">
        <f ca="1">IFERROR(IF($H74="","",TODAY()+$H74),"")</f>
        <v/>
      </c>
      <c r="J74" s="63" t="str">
        <f>IFERROR(INDEX(Maestro_Equipos!$V$4:$V$242,MATCH($A74,Maestro_Equipos!$A$4:$A$242,0)),"")</f>
        <v>Operativo</v>
      </c>
      <c r="K74" s="64">
        <f>IFERROR(
   SUMIFS(Mantenciones!$I:$I,Mantenciones!$B:$B,$A74)
 + SUMIFS('Compras PM'!$F:$F,'Compras PM'!$C:$C,$A74),0)</f>
        <v>0</v>
      </c>
      <c r="L74" s="65" t="str">
        <f>IF($J74="Fuera de Servicio","NO PROGRAMAR",IF($H74="","SIN DATOS",IF($H74&lt;=0,"VENCIDA",IF($H74&lt;=7,"CRÍTICA",IF($H74&lt;=15,"ALTA",IF($H74&lt;=30,"MEDIA","BAJA"))))))</f>
        <v>SIN DATOS</v>
      </c>
      <c r="M74" s="66" cm="1">
        <f t="array" ref="M74">IFERROR(_xlfn.AGGREGATE(14,6,Mantenciones!$A$3:$A$9916/(Mantenciones!$B$3:$B$9916=$A74),1),"")</f>
        <v>45156</v>
      </c>
      <c r="N74" s="67" t="str" cm="1">
        <f t="array" ref="N74">IFERROR(_xlfn.AGGREGATE(14,6,'Compras PM'!$A$4:$A$10029/('Compras PM'!$C$4:$C$10029=$A74),1),"")</f>
        <v/>
      </c>
      <c r="O74" s="67" t="str">
        <f>IFERROR(VLOOKUP($A74,Maestro_Equipos!$A$4:$AG$242,27,FALSE()),"")</f>
        <v/>
      </c>
      <c r="P74" s="68" t="str">
        <f ca="1">IFERROR(IF($N74="","",IF(OR($M74="",$M74&lt;$N74),TODAY()-$N74,$M74-$N74)),"")</f>
        <v/>
      </c>
      <c r="Q74" s="68" t="str">
        <f ca="1">IFERROR(IF($O74="","",IF(OR($M74="",$M74&lt;$O74),TODAY()-$O74,$M74-$O74)),"")</f>
        <v/>
      </c>
      <c r="R74" s="65" t="str">
        <f>IF($O74="","SIN SALIDA",IF(OR($M74="",$M74&lt;$O74),"PENDIENTE","REALIZADA"))</f>
        <v>SIN SALIDA</v>
      </c>
      <c r="S74" s="69" t="str">
        <f>IFERROR(VLOOKUP($A74,Maestro_Equipos!$A$4:$AG$242,33,FALSE()),"")</f>
        <v>Monitorear próximo vencimiento</v>
      </c>
    </row>
    <row r="75" spans="1:19" s="61" customFormat="1" ht="15" customHeight="1">
      <c r="A75" t="str" cm="1">
        <f t="array" ref="A75">IFERROR(INDEX(_xlfn._xlws.FILTER(Maestro_Equipos!$A$4:$A$242,Maestro_Equipos!$A$4:$A$242&lt;&gt;""),ROWS($A$4:A75)),"")</f>
        <v>EQP-11</v>
      </c>
      <c r="B75" t="str">
        <f>IFERROR(_xlfn.XLOOKUP($A75,Maestro_Equipos!$A$4:$A$242,Maestro_Equipos!$B$4:$B$242,""),"")</f>
        <v>Planta Aridos seleccionadora</v>
      </c>
      <c r="C75" t="str">
        <f>IFERROR(_xlfn.XLOOKUP($A75,Maestro_Equipos!$A$4:$A$242,Maestro_Equipos!$C$4:$C$242,""),"")</f>
        <v>Maquinaria Pesada</v>
      </c>
      <c r="D75" t="str">
        <f>IFERROR(_xlfn.XLOOKUP($A75,Maestro_Equipos!$A:$A,Maestro_Equipos!$I:$I,""),"")</f>
        <v>HORAS</v>
      </c>
      <c r="E75">
        <f>IFERROR(IF($D75="KM",_xlfn.XLOOKUP($A75,Maestro_Equipos!$A:$A,Maestro_Equipos!$N:$N,""),_xlfn.XLOOKUP($A75,Maestro_Equipos!$A:$A,Maestro_Equipos!$M:$M,"")),"")</f>
        <v>2165</v>
      </c>
      <c r="F75">
        <f>IFERROR(_xlfn.XLOOKUP($A75,Maestro_Equipos!$A:$A,Maestro_Equipos!$R:$R,"")+_xlfn.XLOOKUP($A75,Maestro_Equipos!$A:$A,Maestro_Equipos!$J:$J,""),"")</f>
        <v>2300</v>
      </c>
      <c r="G75">
        <f>IFERROR(_xlfn.XLOOKUP($A75,Maestro_Equipos!$A:$A,Maestro_Equipos!$K:$K,""),"")</f>
        <v>2.4</v>
      </c>
      <c r="H75">
        <f>IFERROR(IF(OR($E75="",$F75="",$G75="",$G75&lt;=0),"",ROUND(($F75-$E75)/$G75,0)),"")</f>
        <v>56</v>
      </c>
      <c r="I75" s="71">
        <f ca="1">IFERROR(IF($H75="","",TODAY()+$H75),"")</f>
        <v>46296</v>
      </c>
      <c r="J75" s="5" t="str">
        <f>IFERROR(INDEX(Maestro_Equipos!$V$4:$V$242,MATCH($A75,Maestro_Equipos!$A$4:$A$242,0)),"")</f>
        <v>Operativo</v>
      </c>
      <c r="K75" s="35">
        <f>IFERROR(
   SUMIFS(Mantenciones!$I:$I,Mantenciones!$B:$B,$A75)
 + SUMIFS('Compras PM'!$F:$F,'Compras PM'!$C:$C,$A75),0)</f>
        <v>176399.98</v>
      </c>
      <c r="L75" s="28" t="str">
        <f>IF($J75="Fuera de Servicio","NO PROGRAMAR",IF($H75="","SIN DATOS",IF($H75&lt;=0,"VENCIDA",IF($H75&lt;=7,"CRÍTICA",IF($H75&lt;=15,"ALTA",IF($H75&lt;=30,"MEDIA","BAJA"))))))</f>
        <v>BAJA</v>
      </c>
      <c r="M75" s="53" cm="1">
        <f t="array" ref="M75">IFERROR(_xlfn.AGGREGATE(14,6,Mantenciones!$A$3:$A$9916/(Mantenciones!$B$3:$B$9916=$A75),1),"")</f>
        <v>46107</v>
      </c>
      <c r="N75" s="29" cm="1">
        <f t="array" ref="N75">IFERROR(_xlfn.AGGREGATE(14,6,'Compras PM'!$A$4:$A$10029/('Compras PM'!$C$4:$C$10029=$A75),1),"")</f>
        <v>46113</v>
      </c>
      <c r="O75" s="29">
        <f>IFERROR(VLOOKUP($A75,Maestro_Equipos!$A$4:$AG$242,27,FALSE()),"")</f>
        <v>46105</v>
      </c>
      <c r="P75" s="30">
        <f ca="1">IFERROR(IF($N75="","",IF(OR($M75="",$M75&lt;$N75),TODAY()-$N75,$M75-$N75)),"")</f>
        <v>127</v>
      </c>
      <c r="Q75" s="30">
        <f ca="1">IFERROR(IF($O75="","",IF(OR($M75="",$M75&lt;$O75),TODAY()-$O75,$M75-$O75)),"")</f>
        <v>2</v>
      </c>
      <c r="R75" s="28" t="str">
        <f>IF($O75="","SIN SALIDA",IF(OR($M75="",$M75&lt;$O75),"PENDIENTE","REALIZADA"))</f>
        <v>REALIZADA</v>
      </c>
      <c r="S75" s="31" t="str">
        <f>IFERROR(VLOOKUP($A75,Maestro_Equipos!$A$4:$AG$242,33,FALSE()),"")</f>
        <v>Monitorear próximo vencimiento</v>
      </c>
    </row>
    <row r="76" spans="1:19" s="61" customFormat="1" ht="15" customHeight="1">
      <c r="A76" s="61" t="str" cm="1">
        <f t="array" ref="A76">IFERROR(INDEX(_xlfn._xlws.FILTER(Maestro_Equipos!$A$4:$A$242,Maestro_Equipos!$A$4:$A$242&lt;&gt;""),ROWS($A$4:A76)),"")</f>
        <v>EQP-13</v>
      </c>
      <c r="B76" s="61" t="str">
        <f>IFERROR(_xlfn.XLOOKUP($A76,Maestro_Equipos!$A$4:$A$242,Maestro_Equipos!$B$4:$B$242,""),"")</f>
        <v>Planta aridos</v>
      </c>
      <c r="C76" s="61" t="str">
        <f>IFERROR(_xlfn.XLOOKUP($A76,Maestro_Equipos!$A$4:$A$242,Maestro_Equipos!$C$4:$C$242,""),"")</f>
        <v>Maquinaria Pesada</v>
      </c>
      <c r="D76" s="61" t="str">
        <f>IFERROR(VLOOKUP($A73,Maestro_Equipos!$A$4:$Z$242,9,FALSE),"")</f>
        <v>Horas</v>
      </c>
      <c r="E76" s="61">
        <f>IFERROR(IF($D76="KM",_xlfn.XLOOKUP($A76,Maestro_Equipos!$A:$A,Maestro_Equipos!$N:$N,""),_xlfn.XLOOKUP($A76,Maestro_Equipos!$A:$A,Maestro_Equipos!$M:$M,"")),"")</f>
        <v>0</v>
      </c>
      <c r="F76" s="61">
        <f>IFERROR(_xlfn.XLOOKUP($A76,Maestro_Equipos!$A:$A,Maestro_Equipos!$R:$R,"")+_xlfn.XLOOKUP($A76,Maestro_Equipos!$A:$A,Maestro_Equipos!$J:$J,""),"")</f>
        <v>12666</v>
      </c>
      <c r="G76" s="61">
        <f>IFERROR(_xlfn.XLOOKUP($A76,Maestro_Equipos!$A:$A,Maestro_Equipos!$K:$K,""),"")</f>
        <v>0</v>
      </c>
      <c r="H76" s="61" t="str">
        <f>IFERROR(IF(OR($E76="",$F76="",$G76="",$G76&lt;=0),"",ROUND(($F76-$E76)/$G76,0)),"")</f>
        <v/>
      </c>
      <c r="I76" s="62" t="str">
        <f ca="1">IFERROR(IF($H76="","",TODAY()+$H76),"")</f>
        <v/>
      </c>
      <c r="J76" s="63" t="str">
        <f>IFERROR(INDEX(Maestro_Equipos!$V$4:$V$242,MATCH($A76,Maestro_Equipos!$A$4:$A$242,0)),"")</f>
        <v>Fuera de Servicio</v>
      </c>
      <c r="K76" s="64">
        <f>IFERROR(
   SUMIFS(Mantenciones!$I:$I,Mantenciones!$B:$B,$A76)
 + SUMIFS('Compras PM'!$F:$F,'Compras PM'!$C:$C,$A76),0)</f>
        <v>0</v>
      </c>
      <c r="L76" s="65" t="str">
        <f>IF($J76="Fuera de Servicio","NO PROGRAMAR",IF($H76="","SIN DATOS",IF($H76&lt;=0,"VENCIDA",IF($H76&lt;=7,"CRÍTICA",IF($H76&lt;=15,"ALTA",IF($H76&lt;=30,"MEDIA","BAJA"))))))</f>
        <v>NO PROGRAMAR</v>
      </c>
      <c r="M76" s="66" cm="1">
        <f t="array" ref="M76">IFERROR(_xlfn.AGGREGATE(14,6,Mantenciones!$A$3:$A$9916/(Mantenciones!$B$3:$B$9916=$A76),1),"")</f>
        <v>45029</v>
      </c>
      <c r="N76" s="67" t="str" cm="1">
        <f t="array" ref="N76">IFERROR(_xlfn.AGGREGATE(14,6,'Compras PM'!$A$4:$A$10029/('Compras PM'!$C$4:$C$10029=$A76),1),"")</f>
        <v/>
      </c>
      <c r="O76" s="67" t="str">
        <f>IFERROR(VLOOKUP($A76,Maestro_Equipos!$A$4:$AG$242,27,FALSE()),"")</f>
        <v/>
      </c>
      <c r="P76" s="68" t="str">
        <f ca="1">IFERROR(IF($N76="","",IF(OR($M76="",$M76&lt;$N76),TODAY()-$N76,$M76-$N76)),"")</f>
        <v/>
      </c>
      <c r="Q76" s="68" t="str">
        <f ca="1">IFERROR(IF($O76="","",IF(OR($M76="",$M76&lt;$O76),TODAY()-$O76,$M76-$O76)),"")</f>
        <v/>
      </c>
      <c r="R76" s="65" t="str">
        <f>IF($O76="","SIN SALIDA",IF(OR($M76="",$M76&lt;$O76),"PENDIENTE","REALIZADA"))</f>
        <v>SIN SALIDA</v>
      </c>
      <c r="S76" s="69" t="str">
        <f>IFERROR(VLOOKUP($A76,Maestro_Equipos!$A$4:$AG$242,33,FALSE()),"")</f>
        <v>No programar compra</v>
      </c>
    </row>
    <row r="77" spans="1:19" s="61" customFormat="1" ht="15" customHeight="1">
      <c r="A77" s="61" t="str" cm="1">
        <f t="array" ref="A77">IFERROR(INDEX(_xlfn._xlws.FILTER(Maestro_Equipos!$A$4:$A$242,Maestro_Equipos!$A$4:$A$242&lt;&gt;""),ROWS($A$4:A77)),"")</f>
        <v>EQP-14</v>
      </c>
      <c r="B77" s="61" t="str">
        <f>IFERROR(_xlfn.XLOOKUP($A77,Maestro_Equipos!$A$4:$A$242,Maestro_Equipos!$B$4:$B$242,""),"")</f>
        <v>Planta aridos</v>
      </c>
      <c r="C77" s="61" t="str">
        <f>IFERROR(_xlfn.XLOOKUP($A77,Maestro_Equipos!$A$4:$A$242,Maestro_Equipos!$C$4:$C$242,""),"")</f>
        <v>Maquinaria Pesada</v>
      </c>
      <c r="D77" s="61" t="str">
        <f>IFERROR(VLOOKUP($A74,Maestro_Equipos!$A$4:$Z$242,9,FALSE),"")</f>
        <v>HORAS</v>
      </c>
      <c r="E77" s="61">
        <f>IFERROR(IF($D77="KM",_xlfn.XLOOKUP($A77,Maestro_Equipos!$A:$A,Maestro_Equipos!$N:$N,""),_xlfn.XLOOKUP($A77,Maestro_Equipos!$A:$A,Maestro_Equipos!$M:$M,"")),"")</f>
        <v>0</v>
      </c>
      <c r="F77" s="61" t="str">
        <f>IFERROR(_xlfn.XLOOKUP($A77,Maestro_Equipos!$A:$A,Maestro_Equipos!$R:$R,"")+_xlfn.XLOOKUP($A77,Maestro_Equipos!$A:$A,Maestro_Equipos!$J:$J,""),"")</f>
        <v/>
      </c>
      <c r="G77" s="61">
        <f>IFERROR(_xlfn.XLOOKUP($A77,Maestro_Equipos!$A:$A,Maestro_Equipos!$K:$K,""),"")</f>
        <v>0</v>
      </c>
      <c r="H77" s="61" t="str">
        <f>IFERROR(IF(OR($E77="",$F77="",$G77="",$G77&lt;=0),"",ROUND(($F77-$E77)/$G77,0)),"")</f>
        <v/>
      </c>
      <c r="I77" s="62" t="str">
        <f ca="1">IFERROR(IF($H77="","",TODAY()+$H77),"")</f>
        <v/>
      </c>
      <c r="J77" s="63" t="str">
        <f>IFERROR(INDEX(Maestro_Equipos!$V$4:$V$242,MATCH($A77,Maestro_Equipos!$A$4:$A$242,0)),"")</f>
        <v>Fuera de Servicio</v>
      </c>
      <c r="K77" s="64">
        <f>IFERROR(
   SUMIFS(Mantenciones!$I:$I,Mantenciones!$B:$B,$A77)
 + SUMIFS('Compras PM'!$F:$F,'Compras PM'!$C:$C,$A77),0)</f>
        <v>0</v>
      </c>
      <c r="L77" s="65" t="str">
        <f>IF($J77="Fuera de Servicio","NO PROGRAMAR",IF($H77="","SIN DATOS",IF($H77&lt;=0,"VENCIDA",IF($H77&lt;=7,"CRÍTICA",IF($H77&lt;=15,"ALTA",IF($H77&lt;=30,"MEDIA","BAJA"))))))</f>
        <v>NO PROGRAMAR</v>
      </c>
      <c r="M77" s="66" t="str" cm="1">
        <f t="array" ref="M77">IFERROR(_xlfn.AGGREGATE(14,6,Mantenciones!$A$3:$A$9916/(Mantenciones!$B$3:$B$9916=$A77),1),"")</f>
        <v/>
      </c>
      <c r="N77" s="67" t="str" cm="1">
        <f t="array" ref="N77">IFERROR(_xlfn.AGGREGATE(14,6,'Compras PM'!$A$4:$A$10029/('Compras PM'!$C$4:$C$10029=$A77),1),"")</f>
        <v/>
      </c>
      <c r="O77" s="67" t="str">
        <f>IFERROR(VLOOKUP($A77,Maestro_Equipos!$A$4:$AG$242,27,FALSE()),"")</f>
        <v/>
      </c>
      <c r="P77" s="68" t="str">
        <f ca="1">IFERROR(IF($N77="","",IF(OR($M77="",$M77&lt;$N77),TODAY()-$N77,$M77-$N77)),"")</f>
        <v/>
      </c>
      <c r="Q77" s="68" t="str">
        <f ca="1">IFERROR(IF($O77="","",IF(OR($M77="",$M77&lt;$O77),TODAY()-$O77,$M77-$O77)),"")</f>
        <v/>
      </c>
      <c r="R77" s="65" t="str">
        <f>IF($O77="","SIN SALIDA",IF(OR($M77="",$M77&lt;$O77),"PENDIENTE","REALIZADA"))</f>
        <v>SIN SALIDA</v>
      </c>
      <c r="S77" s="69" t="str">
        <f>IFERROR(VLOOKUP($A77,Maestro_Equipos!$A$4:$AG$242,33,FALSE()),"")</f>
        <v>No programar compra</v>
      </c>
    </row>
    <row r="78" spans="1:19" ht="15" customHeight="1">
      <c r="A78" t="str" cm="1">
        <f t="array" ref="A78">IFERROR(INDEX(_xlfn._xlws.FILTER(Maestro_Equipos!$A$4:$A$242,Maestro_Equipos!$A$4:$A$242&lt;&gt;""),ROWS($A$4:A78)),"")</f>
        <v>EQP-15</v>
      </c>
      <c r="B78" t="str">
        <f>IFERROR(_xlfn.XLOOKUP($A78,Maestro_Equipos!$A$4:$A$242,Maestro_Equipos!$B$4:$B$242,""),"")</f>
        <v>Planta Aridos seleccionadora</v>
      </c>
      <c r="C78" t="str">
        <f>IFERROR(_xlfn.XLOOKUP($A78,Maestro_Equipos!$A$4:$A$242,Maestro_Equipos!$C$4:$C$242,""),"")</f>
        <v>Maquinaria Pesada</v>
      </c>
      <c r="D78" t="str">
        <f>IFERROR(_xlfn.XLOOKUP($A78,Maestro_Equipos!$A:$A,Maestro_Equipos!$I:$I,""),"")</f>
        <v>HORAS</v>
      </c>
      <c r="E78">
        <f>IFERROR(IF($D78="KM",_xlfn.XLOOKUP($A78,Maestro_Equipos!$A:$A,Maestro_Equipos!$N:$N,""),_xlfn.XLOOKUP($A78,Maestro_Equipos!$A:$A,Maestro_Equipos!$M:$M,"")),"")</f>
        <v>512195</v>
      </c>
      <c r="F78" t="str">
        <f>IFERROR(_xlfn.XLOOKUP($A78,Maestro_Equipos!$A:$A,Maestro_Equipos!$R:$R,"")+_xlfn.XLOOKUP($A78,Maestro_Equipos!$A:$A,Maestro_Equipos!$J:$J,""),"")</f>
        <v/>
      </c>
      <c r="G78">
        <f>IFERROR(_xlfn.XLOOKUP($A78,Maestro_Equipos!$A:$A,Maestro_Equipos!$K:$K,""),"")</f>
        <v>17484.599999999999</v>
      </c>
      <c r="H78" t="str">
        <f>IFERROR(IF(OR($E78="",$F78="",$G78="",$G78&lt;=0),"",ROUND(($F78-$E78)/$G78,0)),"")</f>
        <v/>
      </c>
      <c r="I78" s="71" t="str">
        <f ca="1">IFERROR(IF($H78="","",TODAY()+$H78),"")</f>
        <v/>
      </c>
      <c r="J78" s="5" t="str">
        <f>IFERROR(INDEX(Maestro_Equipos!$V$4:$V$242,MATCH($A78,Maestro_Equipos!$A$4:$A$242,0)),"")</f>
        <v>Fuera de Servicio</v>
      </c>
      <c r="K78" s="35">
        <f>IFERROR(
   SUMIFS(Mantenciones!$I:$I,Mantenciones!$B:$B,$A78)
 + SUMIFS('Compras PM'!$F:$F,'Compras PM'!$C:$C,$A78),0)</f>
        <v>0</v>
      </c>
      <c r="L78" s="28" t="str">
        <f>IF($J78="Fuera de Servicio","NO PROGRAMAR",IF($H78="","SIN DATOS",IF($H78&lt;=0,"VENCIDA",IF($H78&lt;=7,"CRÍTICA",IF($H78&lt;=15,"ALTA",IF($H78&lt;=30,"MEDIA","BAJA"))))))</f>
        <v>NO PROGRAMAR</v>
      </c>
      <c r="M78" s="53" t="str" cm="1">
        <f t="array" ref="M78">IFERROR(_xlfn.AGGREGATE(14,6,Mantenciones!$A$3:$A$9916/(Mantenciones!$B$3:$B$9916=$A78),1),"")</f>
        <v/>
      </c>
      <c r="N78" s="29" t="str" cm="1">
        <f t="array" ref="N78">IFERROR(_xlfn.AGGREGATE(14,6,'Compras PM'!$A$4:$A$10029/('Compras PM'!$C$4:$C$10029=$A78),1),"")</f>
        <v/>
      </c>
      <c r="O78" s="29" t="str">
        <f>IFERROR(VLOOKUP($A78,Maestro_Equipos!$A$4:$AG$242,27,FALSE()),"")</f>
        <v/>
      </c>
      <c r="P78" s="30" t="str">
        <f ca="1">IFERROR(IF($N78="","",IF(OR($M78="",$M78&lt;$N78),TODAY()-$N78,$M78-$N78)),"")</f>
        <v/>
      </c>
      <c r="Q78" s="30" t="str">
        <f ca="1">IFERROR(IF($O78="","",IF(OR($M78="",$M78&lt;$O78),TODAY()-$O78,$M78-$O78)),"")</f>
        <v/>
      </c>
      <c r="R78" s="28" t="str">
        <f>IF($O78="","SIN SALIDA",IF(OR($M78="",$M78&lt;$O78),"PENDIENTE","REALIZADA"))</f>
        <v>SIN SALIDA</v>
      </c>
      <c r="S78" s="31" t="str">
        <f>IFERROR(VLOOKUP($A78,Maestro_Equipos!$A$4:$AG$242,33,FALSE()),"")</f>
        <v>No programar compra</v>
      </c>
    </row>
    <row r="79" spans="1:19" ht="15" customHeight="1">
      <c r="A79" t="str" cm="1">
        <f t="array" ref="A79">IFERROR(INDEX(_xlfn._xlws.FILTER(Maestro_Equipos!$A$4:$A$242,Maestro_Equipos!$A$4:$A$242&lt;&gt;""),ROWS($A$4:A79)),"")</f>
        <v>EQP-16</v>
      </c>
      <c r="B79" t="str">
        <f>IFERROR(_xlfn.XLOOKUP($A79,Maestro_Equipos!$A$4:$A$242,Maestro_Equipos!$B$4:$B$242,""),"")</f>
        <v>Planta aridos</v>
      </c>
      <c r="C79" t="str">
        <f>IFERROR(_xlfn.XLOOKUP($A79,Maestro_Equipos!$A$4:$A$242,Maestro_Equipos!$C$4:$C$242,""),"")</f>
        <v>Maquinaria Pesada</v>
      </c>
      <c r="D79" t="str">
        <f>IFERROR(_xlfn.XLOOKUP($A79,Maestro_Equipos!$A:$A,Maestro_Equipos!$I:$I,""),"")</f>
        <v>HORAS</v>
      </c>
      <c r="E79">
        <f>IFERROR(IF($D79="KM",_xlfn.XLOOKUP($A79,Maestro_Equipos!$A:$A,Maestro_Equipos!$N:$N,""),_xlfn.XLOOKUP($A79,Maestro_Equipos!$A:$A,Maestro_Equipos!$M:$M,"")),"")</f>
        <v>6682</v>
      </c>
      <c r="F79">
        <f>IFERROR(_xlfn.XLOOKUP($A79,Maestro_Equipos!$A:$A,Maestro_Equipos!$R:$R,"")+_xlfn.XLOOKUP($A79,Maestro_Equipos!$A:$A,Maestro_Equipos!$J:$J,""),"")</f>
        <v>6950</v>
      </c>
      <c r="G79">
        <f>IFERROR(_xlfn.XLOOKUP($A79,Maestro_Equipos!$A:$A,Maestro_Equipos!$K:$K,""),"")</f>
        <v>2.5</v>
      </c>
      <c r="H79">
        <f>IFERROR(IF(OR($E79="",$F79="",$G79="",$G79&lt;=0),"",ROUND(($F79-$E79)/$G79,0)),"")</f>
        <v>107</v>
      </c>
      <c r="I79" s="71">
        <f ca="1">IFERROR(IF($H79="","",TODAY()+$H79),"")</f>
        <v>46347</v>
      </c>
      <c r="J79" s="5" t="str">
        <f>IFERROR(INDEX(Maestro_Equipos!$V$4:$V$242,MATCH($A79,Maestro_Equipos!$A$4:$A$242,0)),"")</f>
        <v>Operativo</v>
      </c>
      <c r="K79" s="35">
        <f>IFERROR(
   SUMIFS(Mantenciones!$I:$I,Mantenciones!$B:$B,$A79)
 + SUMIFS('Compras PM'!$F:$F,'Compras PM'!$C:$C,$A79),0)</f>
        <v>597975</v>
      </c>
      <c r="L79" s="28" t="str">
        <f>IF($J79="Fuera de Servicio","NO PROGRAMAR",IF($H79="","SIN DATOS",IF($H79&lt;=0,"VENCIDA",IF($H79&lt;=7,"CRÍTICA",IF($H79&lt;=15,"ALTA",IF($H79&lt;=30,"MEDIA","BAJA"))))))</f>
        <v>BAJA</v>
      </c>
      <c r="M79" s="53" cm="1">
        <f t="array" ref="M79">IFERROR(_xlfn.AGGREGATE(14,6,Mantenciones!$A$3:$A$9916/(Mantenciones!$B$3:$B$9916=$A79),1),"")</f>
        <v>46175</v>
      </c>
      <c r="N79" s="29" cm="1">
        <f t="array" ref="N79">IFERROR(_xlfn.AGGREGATE(14,6,'Compras PM'!$A$4:$A$10029/('Compras PM'!$C$4:$C$10029=$A79),1),"")</f>
        <v>46104.729813854203</v>
      </c>
      <c r="O79" s="29">
        <f>IFERROR(VLOOKUP($A79,Maestro_Equipos!$A$4:$AG$242,27,FALSE()),"")</f>
        <v>46175</v>
      </c>
      <c r="P79" s="30">
        <f ca="1">IFERROR(IF($N79="","",IF(OR($M79="",$M79&lt;$N79),TODAY()-$N79,$M79-$N79)),"")</f>
        <v>70.270186145797197</v>
      </c>
      <c r="Q79" s="30">
        <f ca="1">IFERROR(IF($O79="","",IF(OR($M79="",$M79&lt;$O79),TODAY()-$O79,$M79-$O79)),"")</f>
        <v>0</v>
      </c>
      <c r="R79" s="28" t="str">
        <f>IF($O79="","SIN SALIDA",IF(OR($M79="",$M79&lt;$O79),"PENDIENTE","REALIZADA"))</f>
        <v>REALIZADA</v>
      </c>
      <c r="S79" s="31" t="str">
        <f>IFERROR(VLOOKUP($A79,Maestro_Equipos!$A$4:$AG$242,33,FALSE()),"")</f>
        <v>Monitorear próximo vencimiento</v>
      </c>
    </row>
    <row r="80" spans="1:19" ht="15" customHeight="1">
      <c r="A80" t="str" cm="1">
        <f t="array" ref="A80">IFERROR(INDEX(_xlfn._xlws.FILTER(Maestro_Equipos!$A$4:$A$242,Maestro_Equipos!$A$4:$A$242&lt;&gt;""),ROWS($A$4:A80)),"")</f>
        <v>EQP-17</v>
      </c>
      <c r="B80" t="str">
        <f>IFERROR(_xlfn.XLOOKUP($A80,Maestro_Equipos!$A$4:$A$242,Maestro_Equipos!$B$4:$B$242,""),"")</f>
        <v>Planta Aridos seleccionadora</v>
      </c>
      <c r="C80" t="str">
        <f>IFERROR(_xlfn.XLOOKUP($A80,Maestro_Equipos!$A$4:$A$242,Maestro_Equipos!$C$4:$C$242,""),"")</f>
        <v>Maquinaria Pesada</v>
      </c>
      <c r="D80" t="str">
        <f>IFERROR(_xlfn.XLOOKUP($A80,Maestro_Equipos!$A:$A,Maestro_Equipos!$I:$I,""),"")</f>
        <v>HORAS</v>
      </c>
      <c r="E80">
        <f>IFERROR(IF($D80="KM",_xlfn.XLOOKUP($A80,Maestro_Equipos!$A:$A,Maestro_Equipos!$N:$N,""),_xlfn.XLOOKUP($A80,Maestro_Equipos!$A:$A,Maestro_Equipos!$M:$M,"")),"")</f>
        <v>3964</v>
      </c>
      <c r="F80" t="str">
        <f>IFERROR(_xlfn.XLOOKUP($A80,Maestro_Equipos!$A:$A,Maestro_Equipos!$R:$R,"")+_xlfn.XLOOKUP($A80,Maestro_Equipos!$A:$A,Maestro_Equipos!$J:$J,""),"")</f>
        <v/>
      </c>
      <c r="G80">
        <f>IFERROR(_xlfn.XLOOKUP($A80,Maestro_Equipos!$A:$A,Maestro_Equipos!$K:$K,""),"")</f>
        <v>8.6</v>
      </c>
      <c r="H80" t="str">
        <f>IFERROR(IF(OR($E80="",$F80="",$G80="",$G80&lt;=0),"",ROUND(($F80-$E80)/$G80,0)),"")</f>
        <v/>
      </c>
      <c r="I80" s="71" t="str">
        <f ca="1">IFERROR(IF($H80="","",TODAY()+$H80),"")</f>
        <v/>
      </c>
      <c r="J80" s="5" t="str">
        <f>IFERROR(INDEX(Maestro_Equipos!$V$4:$V$242,MATCH($A80,Maestro_Equipos!$A$4:$A$242,0)),"")</f>
        <v>Fuera de Servicio</v>
      </c>
      <c r="K80" s="35">
        <f>IFERROR(
   SUMIFS(Mantenciones!$I:$I,Mantenciones!$B:$B,$A80)
 + SUMIFS('Compras PM'!$F:$F,'Compras PM'!$C:$C,$A80),0)</f>
        <v>718029.34</v>
      </c>
      <c r="L80" s="28" t="str">
        <f>IF($J80="Fuera de Servicio","NO PROGRAMAR",IF($H80="","SIN DATOS",IF($H80&lt;=0,"VENCIDA",IF($H80&lt;=7,"CRÍTICA",IF($H80&lt;=15,"ALTA",IF($H80&lt;=30,"MEDIA","BAJA"))))))</f>
        <v>NO PROGRAMAR</v>
      </c>
      <c r="M80" s="53" t="str" cm="1">
        <f t="array" ref="M80">IFERROR(_xlfn.AGGREGATE(14,6,Mantenciones!$A$3:$A$9916/(Mantenciones!$B$3:$B$9916=$A80),1),"")</f>
        <v/>
      </c>
      <c r="N80" s="29" cm="1">
        <f t="array" ref="N80">IFERROR(_xlfn.AGGREGATE(14,6,'Compras PM'!$A$4:$A$10029/('Compras PM'!$C$4:$C$10029=$A80),1),"")</f>
        <v>46147.636475544001</v>
      </c>
      <c r="O80" s="29" t="str">
        <f>IFERROR(VLOOKUP($A80,Maestro_Equipos!$A$4:$AG$242,27,FALSE()),"")</f>
        <v/>
      </c>
      <c r="P80" s="30">
        <f ca="1">IFERROR(IF($N80="","",IF(OR($M80="",$M80&lt;$N80),TODAY()-$N80,$M80-$N80)),"")</f>
        <v>92.363524455999141</v>
      </c>
      <c r="Q80" s="30" t="str">
        <f ca="1">IFERROR(IF($O80="","",IF(OR($M80="",$M80&lt;$O80),TODAY()-$O80,$M80-$O80)),"")</f>
        <v/>
      </c>
      <c r="R80" s="28" t="str">
        <f>IF($O80="","SIN SALIDA",IF(OR($M80="",$M80&lt;$O80),"PENDIENTE","REALIZADA"))</f>
        <v>SIN SALIDA</v>
      </c>
      <c r="S80" s="31" t="str">
        <f>IFERROR(VLOOKUP($A80,Maestro_Equipos!$A$4:$AG$242,33,FALSE()),"")</f>
        <v>No programar compra</v>
      </c>
    </row>
    <row r="81" spans="1:19" ht="15" customHeight="1">
      <c r="A81" t="str" cm="1">
        <f t="array" ref="A81">IFERROR(INDEX(_xlfn._xlws.FILTER(Maestro_Equipos!$A$4:$A$242,Maestro_Equipos!$A$4:$A$242&lt;&gt;""),ROWS($A$4:A81)),"")</f>
        <v>EQP-18</v>
      </c>
      <c r="B81" t="str">
        <f>IFERROR(_xlfn.XLOOKUP($A81,Maestro_Equipos!$A$4:$A$242,Maestro_Equipos!$B$4:$B$242,""),"")</f>
        <v>Planta aridos</v>
      </c>
      <c r="C81" t="str">
        <f>IFERROR(_xlfn.XLOOKUP($A81,Maestro_Equipos!$A$4:$A$242,Maestro_Equipos!$C$4:$C$242,""),"")</f>
        <v>Maquinaria Pesada</v>
      </c>
      <c r="D81" t="str">
        <f>IFERROR(_xlfn.XLOOKUP($A81,Maestro_Equipos!$A:$A,Maestro_Equipos!$I:$I,""),"")</f>
        <v>HORAS</v>
      </c>
      <c r="E81">
        <f>IFERROR(IF($D81="KM",_xlfn.XLOOKUP($A81,Maestro_Equipos!$A:$A,Maestro_Equipos!$N:$N,""),_xlfn.XLOOKUP($A81,Maestro_Equipos!$A:$A,Maestro_Equipos!$M:$M,"")),"")</f>
        <v>5033</v>
      </c>
      <c r="F81">
        <f>IFERROR(_xlfn.XLOOKUP($A81,Maestro_Equipos!$A:$A,Maestro_Equipos!$R:$R,"")+_xlfn.XLOOKUP($A81,Maestro_Equipos!$A:$A,Maestro_Equipos!$J:$J,""),"")</f>
        <v>5174</v>
      </c>
      <c r="G81">
        <f>IFERROR(_xlfn.XLOOKUP($A81,Maestro_Equipos!$A:$A,Maestro_Equipos!$K:$K,""),"")</f>
        <v>2.4</v>
      </c>
      <c r="H81">
        <f>IFERROR(IF(OR($E81="",$F81="",$G81="",$G81&lt;=0),"",ROUND(($F81-$E81)/$G81,0)),"")</f>
        <v>59</v>
      </c>
      <c r="I81" s="71">
        <f ca="1">IFERROR(IF($H81="","",TODAY()+$H81),"")</f>
        <v>46299</v>
      </c>
      <c r="J81" s="5" t="str">
        <f>IFERROR(INDEX(Maestro_Equipos!$V$4:$V$242,MATCH($A81,Maestro_Equipos!$A$4:$A$242,0)),"")</f>
        <v>Operativo</v>
      </c>
      <c r="K81" s="35">
        <f>IFERROR(
   SUMIFS(Mantenciones!$I:$I,Mantenciones!$B:$B,$A81)
 + SUMIFS('Compras PM'!$F:$F,'Compras PM'!$C:$C,$A81),0)</f>
        <v>451399.71310000005</v>
      </c>
      <c r="L81" s="28" t="str">
        <f>IF($J81="Fuera de Servicio","NO PROGRAMAR",IF($H81="","SIN DATOS",IF($H81&lt;=0,"VENCIDA",IF($H81&lt;=7,"CRÍTICA",IF($H81&lt;=15,"ALTA",IF($H81&lt;=30,"MEDIA","BAJA"))))))</f>
        <v>BAJA</v>
      </c>
      <c r="M81" s="53" cm="1">
        <f t="array" ref="M81">IFERROR(_xlfn.AGGREGATE(14,6,Mantenciones!$A$3:$A$9916/(Mantenciones!$B$3:$B$9916=$A81),1),"")</f>
        <v>46111</v>
      </c>
      <c r="N81" s="29" cm="1">
        <f t="array" ref="N81">IFERROR(_xlfn.AGGREGATE(14,6,'Compras PM'!$A$4:$A$10029/('Compras PM'!$C$4:$C$10029=$A81),1),"")</f>
        <v>46114</v>
      </c>
      <c r="O81" s="29">
        <f>IFERROR(VLOOKUP($A81,Maestro_Equipos!$A$4:$AG$242,27,FALSE()),"")</f>
        <v>46105</v>
      </c>
      <c r="P81" s="30">
        <f ca="1">IFERROR(IF($N81="","",IF(OR($M81="",$M81&lt;$N81),TODAY()-$N81,$M81-$N81)),"")</f>
        <v>126</v>
      </c>
      <c r="Q81" s="30">
        <f ca="1">IFERROR(IF($O81="","",IF(OR($M81="",$M81&lt;$O81),TODAY()-$O81,$M81-$O81)),"")</f>
        <v>6</v>
      </c>
      <c r="R81" s="28" t="str">
        <f>IF($O81="","SIN SALIDA",IF(OR($M81="",$M81&lt;$O81),"PENDIENTE","REALIZADA"))</f>
        <v>REALIZADA</v>
      </c>
      <c r="S81" s="31" t="str">
        <f>IFERROR(VLOOKUP($A81,Maestro_Equipos!$A$4:$AG$242,33,FALSE()),"")</f>
        <v>Monitorear próximo vencimiento</v>
      </c>
    </row>
    <row r="82" spans="1:19" ht="20.25" customHeight="1">
      <c r="A82" s="61" t="str" cm="1">
        <f t="array" ref="A82">IFERROR(INDEX(_xlfn._xlws.FILTER(Maestro_Equipos!$A$4:$A$242,Maestro_Equipos!$A$4:$A$242&lt;&gt;""),ROWS($A$4:A82)),"")</f>
        <v>EQP-19</v>
      </c>
      <c r="B82" s="61" t="str">
        <f>IFERROR(_xlfn.XLOOKUP($A82,Maestro_Equipos!$A$4:$A$242,Maestro_Equipos!$B$4:$B$242,""),"")</f>
        <v>Planta aridos</v>
      </c>
      <c r="C82" s="61" t="str">
        <f>IFERROR(_xlfn.XLOOKUP($A82,Maestro_Equipos!$A$4:$A$242,Maestro_Equipos!$C$4:$C$242,""),"")</f>
        <v>Maquinaria Pesada</v>
      </c>
      <c r="D82" s="61" t="str">
        <f>IFERROR(VLOOKUP($A79,Maestro_Equipos!$A$4:$Z$242,9,FALSE),"")</f>
        <v>HORAS</v>
      </c>
      <c r="E82" s="61">
        <f>IFERROR(IF($D82="KM",_xlfn.XLOOKUP($A82,Maestro_Equipos!$A:$A,Maestro_Equipos!$N:$N,""),_xlfn.XLOOKUP($A82,Maestro_Equipos!$A:$A,Maestro_Equipos!$M:$M,"")),"")</f>
        <v>0</v>
      </c>
      <c r="F82" s="61" t="str">
        <f>IFERROR(_xlfn.XLOOKUP($A82,Maestro_Equipos!$A:$A,Maestro_Equipos!$R:$R,"")+_xlfn.XLOOKUP($A82,Maestro_Equipos!$A:$A,Maestro_Equipos!$J:$J,""),"")</f>
        <v/>
      </c>
      <c r="G82" s="61">
        <f>IFERROR(_xlfn.XLOOKUP($A82,Maestro_Equipos!$A:$A,Maestro_Equipos!$K:$K,""),"")</f>
        <v>0</v>
      </c>
      <c r="H82" s="61" t="str">
        <f>IFERROR(IF(OR($E82="",$F82="",$G82="",$G82&lt;=0),"",ROUND(($F82-$E82)/$G82,0)),"")</f>
        <v/>
      </c>
      <c r="I82" s="62" t="str">
        <f ca="1">IFERROR(IF($H82="","",TODAY()+$H82),"")</f>
        <v/>
      </c>
      <c r="J82" s="63" t="str">
        <f>IFERROR(INDEX(Maestro_Equipos!$V$4:$V$242,MATCH($A82,Maestro_Equipos!$A$4:$A$242,0)),"")</f>
        <v>Operativo</v>
      </c>
      <c r="K82" s="64">
        <f>IFERROR(
   SUMIFS(Mantenciones!$I:$I,Mantenciones!$B:$B,$A82)
 + SUMIFS('Compras PM'!$F:$F,'Compras PM'!$C:$C,$A82),0)</f>
        <v>0</v>
      </c>
      <c r="L82" s="65" t="str">
        <f>IF($J82="Fuera de Servicio","NO PROGRAMAR",IF($H82="","SIN DATOS",IF($H82&lt;=0,"VENCIDA",IF($H82&lt;=7,"CRÍTICA",IF($H82&lt;=15,"ALTA",IF($H82&lt;=30,"MEDIA","BAJA"))))))</f>
        <v>SIN DATOS</v>
      </c>
      <c r="M82" s="66" t="str" cm="1">
        <f t="array" ref="M82">IFERROR(_xlfn.AGGREGATE(14,6,Mantenciones!$A$3:$A$9916/(Mantenciones!$B$3:$B$9916=$A82),1),"")</f>
        <v/>
      </c>
      <c r="N82" s="67" t="str" cm="1">
        <f t="array" ref="N82">IFERROR(_xlfn.AGGREGATE(14,6,'Compras PM'!$A$4:$A$10029/('Compras PM'!$C$4:$C$10029=$A82),1),"")</f>
        <v/>
      </c>
      <c r="O82" s="67" t="str">
        <f>IFERROR(VLOOKUP($A82,Maestro_Equipos!$A$4:$AG$242,27,FALSE()),"")</f>
        <v/>
      </c>
      <c r="P82" s="68" t="str">
        <f ca="1">IFERROR(IF($N82="","",IF(OR($M82="",$M82&lt;$N82),TODAY()-$N82,$M82-$N82)),"")</f>
        <v/>
      </c>
      <c r="Q82" s="68" t="str">
        <f ca="1">IFERROR(IF($O82="","",IF(OR($M82="",$M82&lt;$O82),TODAY()-$O82,$M82-$O82)),"")</f>
        <v/>
      </c>
      <c r="R82" s="65" t="str">
        <f>IF($O82="","SIN SALIDA",IF(OR($M82="",$M82&lt;$O82),"PENDIENTE","REALIZADA"))</f>
        <v>SIN SALIDA</v>
      </c>
      <c r="S82" s="69" t="str">
        <f>IFERROR(VLOOKUP($A82,Maestro_Equipos!$A$4:$AG$242,33,FALSE()),"")</f>
        <v>Monitorear próximo vencimiento</v>
      </c>
    </row>
    <row r="83" spans="1:19" ht="15" customHeight="1">
      <c r="A83" s="61" t="str" cm="1">
        <f t="array" ref="A83">IFERROR(INDEX(_xlfn._xlws.FILTER(Maestro_Equipos!$A$4:$A$242,Maestro_Equipos!$A$4:$A$242&lt;&gt;""),ROWS($A$4:A83)),"")</f>
        <v>EQP-7</v>
      </c>
      <c r="B83" s="61" t="str">
        <f>IFERROR(_xlfn.XLOOKUP($A83,Maestro_Equipos!$A$4:$A$242,Maestro_Equipos!$B$4:$B$242,""),"")</f>
        <v>Planta aridos</v>
      </c>
      <c r="C83" s="61" t="str">
        <f>IFERROR(_xlfn.XLOOKUP($A83,Maestro_Equipos!$A$4:$A$242,Maestro_Equipos!$C$4:$C$242,""),"")</f>
        <v>Maquinaria Pesada</v>
      </c>
      <c r="D83" s="61" t="str">
        <f>IFERROR(VLOOKUP($A80,Maestro_Equipos!$A$4:$Z$242,9,FALSE),"")</f>
        <v>HORAS</v>
      </c>
      <c r="E83" s="61">
        <f>IFERROR(IF($D83="KM",_xlfn.XLOOKUP($A83,Maestro_Equipos!$A:$A,Maestro_Equipos!$N:$N,""),_xlfn.XLOOKUP($A83,Maestro_Equipos!$A:$A,Maestro_Equipos!$M:$M,"")),"")</f>
        <v>15846</v>
      </c>
      <c r="F83" s="61">
        <f>IFERROR(_xlfn.XLOOKUP($A83,Maestro_Equipos!$A:$A,Maestro_Equipos!$R:$R,"")+_xlfn.XLOOKUP($A83,Maestro_Equipos!$A:$A,Maestro_Equipos!$J:$J,""),"")</f>
        <v>16704</v>
      </c>
      <c r="G83" s="61">
        <f>IFERROR(_xlfn.XLOOKUP($A83,Maestro_Equipos!$A:$A,Maestro_Equipos!$K:$K,""),"")</f>
        <v>4.4000000000000004</v>
      </c>
      <c r="H83" s="61">
        <f>IFERROR(IF(OR($E83="",$F83="",$G83="",$G83&lt;=0),"",ROUND(($F83-$E83)/$G83,0)),"")</f>
        <v>195</v>
      </c>
      <c r="I83" s="62">
        <f ca="1">IFERROR(IF($H83="","",TODAY()+$H83),"")</f>
        <v>46435</v>
      </c>
      <c r="J83" s="63" t="str">
        <f>IFERROR(INDEX(Maestro_Equipos!$V$4:$V$242,MATCH($A83,Maestro_Equipos!$A$4:$A$242,0)),"")</f>
        <v>Operativo</v>
      </c>
      <c r="K83" s="64">
        <f>IFERROR(
   SUMIFS(Mantenciones!$I:$I,Mantenciones!$B:$B,$A83)
 + SUMIFS('Compras PM'!$F:$F,'Compras PM'!$C:$C,$A83),0)</f>
        <v>1772597.0164000001</v>
      </c>
      <c r="L83" s="65" t="str">
        <f>IF($J83="Fuera de Servicio","NO PROGRAMAR",IF($H83="","SIN DATOS",IF($H83&lt;=0,"VENCIDA",IF($H83&lt;=7,"CRÍTICA",IF($H83&lt;=15,"ALTA",IF($H83&lt;=30,"MEDIA","BAJA"))))))</f>
        <v>BAJA</v>
      </c>
      <c r="M83" s="66" cm="1">
        <f t="array" ref="M83">IFERROR(_xlfn.AGGREGATE(14,6,Mantenciones!$A$3:$A$9916/(Mantenciones!$B$3:$B$9916=$A83),1),"")</f>
        <v>46097</v>
      </c>
      <c r="N83" s="67" cm="1">
        <f t="array" ref="N83">IFERROR(_xlfn.AGGREGATE(14,6,'Compras PM'!$A$4:$A$10029/('Compras PM'!$C$4:$C$10029=$A83),1),"")</f>
        <v>46104.729813854203</v>
      </c>
      <c r="O83" s="67" t="str">
        <f>IFERROR(VLOOKUP($A83,Maestro_Equipos!$A$4:$AG$242,27,FALSE()),"")</f>
        <v/>
      </c>
      <c r="P83" s="68">
        <f ca="1">IFERROR(IF($N83="","",IF(OR($M83="",$M83&lt;$N83),TODAY()-$N83,$M83-$N83)),"")</f>
        <v>135.2701861457972</v>
      </c>
      <c r="Q83" s="68" t="str">
        <f ca="1">IFERROR(IF($O83="","",IF(OR($M83="",$M83&lt;$O83),TODAY()-$O83,$M83-$O83)),"")</f>
        <v/>
      </c>
      <c r="R83" s="65" t="str">
        <f>IF($O83="","SIN SALIDA",IF(OR($M83="",$M83&lt;$O83),"PENDIENTE","REALIZADA"))</f>
        <v>SIN SALIDA</v>
      </c>
      <c r="S83" s="69" t="str">
        <f>IFERROR(VLOOKUP($A83,Maestro_Equipos!$A$4:$AG$242,33,FALSE()),"")</f>
        <v>Hacer seguimiento al taller y cerrar report</v>
      </c>
    </row>
    <row r="84" spans="1:19" s="61" customFormat="1" ht="15" customHeight="1">
      <c r="A84" s="61" t="str" cm="1">
        <f t="array" ref="A84">IFERROR(INDEX(_xlfn._xlws.FILTER(Maestro_Equipos!$A$4:$A$242,Maestro_Equipos!$A$4:$A$242&lt;&gt;""),ROWS($A$4:A84)),"")</f>
        <v>EQP-9</v>
      </c>
      <c r="B84" s="61" t="str">
        <f>IFERROR(_xlfn.XLOOKUP($A84,Maestro_Equipos!$A$4:$A$242,Maestro_Equipos!$B$4:$B$242,""),"")</f>
        <v>Planta aridos</v>
      </c>
      <c r="C84" s="61" t="str">
        <f>IFERROR(_xlfn.XLOOKUP($A84,Maestro_Equipos!$A$4:$A$242,Maestro_Equipos!$C$4:$C$242,""),"")</f>
        <v>Maquinaria Pesada</v>
      </c>
      <c r="D84" s="61" t="str">
        <f>IFERROR(VLOOKUP($A81,Maestro_Equipos!$A$4:$Z$242,9,FALSE),"")</f>
        <v>HORAS</v>
      </c>
      <c r="E84" s="61">
        <f>IFERROR(IF($D84="KM",_xlfn.XLOOKUP($A84,Maestro_Equipos!$A:$A,Maestro_Equipos!$N:$N,""),_xlfn.XLOOKUP($A84,Maestro_Equipos!$A:$A,Maestro_Equipos!$M:$M,"")),"")</f>
        <v>0</v>
      </c>
      <c r="F84" s="61">
        <f>IFERROR(_xlfn.XLOOKUP($A84,Maestro_Equipos!$A:$A,Maestro_Equipos!$R:$R,"")+_xlfn.XLOOKUP($A84,Maestro_Equipos!$A:$A,Maestro_Equipos!$J:$J,""),"")</f>
        <v>7848</v>
      </c>
      <c r="G84" s="61">
        <f>IFERROR(_xlfn.XLOOKUP($A84,Maestro_Equipos!$A:$A,Maestro_Equipos!$K:$K,""),"")</f>
        <v>0</v>
      </c>
      <c r="H84" s="61" t="str">
        <f>IFERROR(IF(OR($E84="",$F84="",$G84="",$G84&lt;=0),"",ROUND(($F84-$E84)/$G84,0)),"")</f>
        <v/>
      </c>
      <c r="I84" s="62" t="str">
        <f ca="1">IFERROR(IF($H84="","",TODAY()+$H84),"")</f>
        <v/>
      </c>
      <c r="J84" s="63" t="str">
        <f>IFERROR(INDEX(Maestro_Equipos!$V$4:$V$242,MATCH($A84,Maestro_Equipos!$A$4:$A$242,0)),"")</f>
        <v>Fuera de Servicio</v>
      </c>
      <c r="K84" s="64">
        <f>IFERROR(
   SUMIFS(Mantenciones!$I:$I,Mantenciones!$B:$B,$A84)
 + SUMIFS('Compras PM'!$F:$F,'Compras PM'!$C:$C,$A84),0)</f>
        <v>0</v>
      </c>
      <c r="L84" s="65" t="str">
        <f>IF($J84="Fuera de Servicio","NO PROGRAMAR",IF($H84="","SIN DATOS",IF($H84&lt;=0,"VENCIDA",IF($H84&lt;=7,"CRÍTICA",IF($H84&lt;=15,"ALTA",IF($H84&lt;=30,"MEDIA","BAJA"))))))</f>
        <v>NO PROGRAMAR</v>
      </c>
      <c r="M84" s="66" cm="1">
        <f t="array" ref="M84">IFERROR(_xlfn.AGGREGATE(14,6,Mantenciones!$A$3:$A$9916/(Mantenciones!$B$3:$B$9916=$A84),1),"")</f>
        <v>44719</v>
      </c>
      <c r="N84" s="67" t="str" cm="1">
        <f t="array" ref="N84">IFERROR(_xlfn.AGGREGATE(14,6,'Compras PM'!$A$4:$A$10029/('Compras PM'!$C$4:$C$10029=$A84),1),"")</f>
        <v/>
      </c>
      <c r="O84" s="67" t="str">
        <f>IFERROR(VLOOKUP($A84,Maestro_Equipos!$A$4:$AG$242,27,FALSE()),"")</f>
        <v/>
      </c>
      <c r="P84" s="68" t="str">
        <f ca="1">IFERROR(IF($N84="","",IF(OR($M84="",$M84&lt;$N84),TODAY()-$N84,$M84-$N84)),"")</f>
        <v/>
      </c>
      <c r="Q84" s="68" t="str">
        <f ca="1">IFERROR(IF($O84="","",IF(OR($M84="",$M84&lt;$O84),TODAY()-$O84,$M84-$O84)),"")</f>
        <v/>
      </c>
      <c r="R84" s="65" t="str">
        <f>IF($O84="","SIN SALIDA",IF(OR($M84="",$M84&lt;$O84),"PENDIENTE","REALIZADA"))</f>
        <v>SIN SALIDA</v>
      </c>
      <c r="S84" s="69" t="str">
        <f>IFERROR(VLOOKUP($A84,Maestro_Equipos!$A$4:$AG$242,33,FALSE()),"")</f>
        <v>No programar compra</v>
      </c>
    </row>
    <row r="85" spans="1:19" s="61" customFormat="1" ht="15" customHeight="1">
      <c r="A85" t="str" cm="1">
        <f t="array" ref="A85">IFERROR(INDEX(_xlfn._xlws.FILTER(Maestro_Equipos!$A$4:$A$242,Maestro_Equipos!$A$4:$A$242&lt;&gt;""),ROWS($A$4:A85)),"")</f>
        <v>MD-100</v>
      </c>
      <c r="B85" t="str">
        <f>IFERROR(_xlfn.XLOOKUP($A85,Maestro_Equipos!$A$4:$A$242,Maestro_Equipos!$B$4:$B$242,""),"")</f>
        <v>Excavadora</v>
      </c>
      <c r="C85" t="str">
        <f>IFERROR(_xlfn.XLOOKUP($A85,Maestro_Equipos!$A$4:$A$242,Maestro_Equipos!$C$4:$C$242,""),"")</f>
        <v>Maquinaria Pesada</v>
      </c>
      <c r="D85" t="str">
        <f>IFERROR(_xlfn.XLOOKUP($A85,Maestro_Equipos!$A:$A,Maestro_Equipos!$I:$I,""),"")</f>
        <v>HORAS</v>
      </c>
      <c r="E85">
        <f>IFERROR(IF($D85="KM",_xlfn.XLOOKUP($A85,Maestro_Equipos!$A:$A,Maestro_Equipos!$N:$N,""),_xlfn.XLOOKUP($A85,Maestro_Equipos!$A:$A,Maestro_Equipos!$M:$M,"")),"")</f>
        <v>3006</v>
      </c>
      <c r="F85">
        <f>IFERROR(_xlfn.XLOOKUP($A85,Maestro_Equipos!$A:$A,Maestro_Equipos!$R:$R,"")+_xlfn.XLOOKUP($A85,Maestro_Equipos!$A:$A,Maestro_Equipos!$J:$J,""),"")</f>
        <v>3443</v>
      </c>
      <c r="G85">
        <f>IFERROR(_xlfn.XLOOKUP($A85,Maestro_Equipos!$A:$A,Maestro_Equipos!$K:$K,""),"")</f>
        <v>8</v>
      </c>
      <c r="H85">
        <f>IFERROR(IF(OR($E85="",$F85="",$G85="",$G85&lt;=0),"",ROUND(($F85-$E85)/$G85,0)),"")</f>
        <v>55</v>
      </c>
      <c r="I85" s="71">
        <f ca="1">IFERROR(IF($H85="","",TODAY()+$H85),"")</f>
        <v>46295</v>
      </c>
      <c r="J85" s="5" t="str">
        <f>IFERROR(INDEX(Maestro_Equipos!$V$4:$V$242,MATCH($A85,Maestro_Equipos!$A$4:$A$242,0)),"")</f>
        <v>Operativo</v>
      </c>
      <c r="K85" s="35">
        <f>IFERROR(
   SUMIFS(Mantenciones!$I:$I,Mantenciones!$B:$B,$A85)
 + SUMIFS('Compras PM'!$F:$F,'Compras PM'!$C:$C,$A85),0)</f>
        <v>414197.35</v>
      </c>
      <c r="L85" s="28" t="str">
        <f>IF($J85="Fuera de Servicio","NO PROGRAMAR",IF($H85="","SIN DATOS",IF($H85&lt;=0,"VENCIDA",IF($H85&lt;=7,"CRÍTICA",IF($H85&lt;=15,"ALTA",IF($H85&lt;=30,"MEDIA","BAJA"))))))</f>
        <v>BAJA</v>
      </c>
      <c r="M85" s="53" cm="1">
        <f t="array" ref="M85">IFERROR(_xlfn.AGGREGATE(14,6,Mantenciones!$A$3:$A$9916/(Mantenciones!$B$3:$B$9916=$A85),1),"")</f>
        <v>46169</v>
      </c>
      <c r="N85" s="29" cm="1">
        <f t="array" ref="N85">IFERROR(_xlfn.AGGREGATE(14,6,'Compras PM'!$A$4:$A$10029/('Compras PM'!$C$4:$C$10029=$A85),1),"")</f>
        <v>46167.748160995397</v>
      </c>
      <c r="O85" s="29">
        <f>IFERROR(VLOOKUP($A85,Maestro_Equipos!$A$4:$AG$242,27,FALSE()),"")</f>
        <v>46169</v>
      </c>
      <c r="P85" s="30">
        <f ca="1">IFERROR(IF($N85="","",IF(OR($M85="",$M85&lt;$N85),TODAY()-$N85,$M85-$N85)),"")</f>
        <v>1.2518390046025161</v>
      </c>
      <c r="Q85" s="30">
        <f ca="1">IFERROR(IF($O85="","",IF(OR($M85="",$M85&lt;$O85),TODAY()-$O85,$M85-$O85)),"")</f>
        <v>0</v>
      </c>
      <c r="R85" s="28" t="str">
        <f>IF($O85="","SIN SALIDA",IF(OR($M85="",$M85&lt;$O85),"PENDIENTE","REALIZADA"))</f>
        <v>REALIZADA</v>
      </c>
      <c r="S85" s="31" t="str">
        <f>IFERROR(VLOOKUP($A85,Maestro_Equipos!$A$4:$AG$242,33,FALSE()),"")</f>
        <v>Monitorear próximo vencimiento</v>
      </c>
    </row>
    <row r="86" spans="1:19" s="61" customFormat="1" ht="15" customHeight="1">
      <c r="A86" t="str" cm="1">
        <f t="array" ref="A86">IFERROR(INDEX(_xlfn._xlws.FILTER(Maestro_Equipos!$A$4:$A$242,Maestro_Equipos!$A$4:$A$242&lt;&gt;""),ROWS($A$4:A86)),"")</f>
        <v>MD-101</v>
      </c>
      <c r="B86" t="str">
        <f>IFERROR(_xlfn.XLOOKUP($A86,Maestro_Equipos!$A$4:$A$242,Maestro_Equipos!$B$4:$B$242,""),"")</f>
        <v>Motoniveladora</v>
      </c>
      <c r="C86" t="str">
        <f>IFERROR(_xlfn.XLOOKUP($A86,Maestro_Equipos!$A$4:$A$242,Maestro_Equipos!$C$4:$C$242,""),"")</f>
        <v>Maquinaria Pesada</v>
      </c>
      <c r="D86" t="str">
        <f>IFERROR(_xlfn.XLOOKUP($A86,Maestro_Equipos!$A:$A,Maestro_Equipos!$I:$I,""),"")</f>
        <v>HORAS</v>
      </c>
      <c r="E86">
        <f>IFERROR(IF($D86="KM",_xlfn.XLOOKUP($A86,Maestro_Equipos!$A:$A,Maestro_Equipos!$N:$N,""),_xlfn.XLOOKUP($A86,Maestro_Equipos!$A:$A,Maestro_Equipos!$M:$M,"")),"")</f>
        <v>10278</v>
      </c>
      <c r="F86">
        <f>IFERROR(_xlfn.XLOOKUP($A86,Maestro_Equipos!$A:$A,Maestro_Equipos!$R:$R,"")+_xlfn.XLOOKUP($A86,Maestro_Equipos!$A:$A,Maestro_Equipos!$J:$J,""),"")</f>
        <v>10404</v>
      </c>
      <c r="G86">
        <f>IFERROR(_xlfn.XLOOKUP($A86,Maestro_Equipos!$A:$A,Maestro_Equipos!$K:$K,""),"")</f>
        <v>2.6</v>
      </c>
      <c r="H86">
        <f>IFERROR(IF(OR($E86="",$F86="",$G86="",$G86&lt;=0),"",ROUND(($F86-$E86)/$G86,0)),"")</f>
        <v>48</v>
      </c>
      <c r="I86" s="71">
        <f ca="1">IFERROR(IF($H86="","",TODAY()+$H86),"")</f>
        <v>46288</v>
      </c>
      <c r="J86" s="5" t="str">
        <f>IFERROR(INDEX(Maestro_Equipos!$V$4:$V$242,MATCH($A86,Maestro_Equipos!$A$4:$A$242,0)),"")</f>
        <v>Operativo</v>
      </c>
      <c r="K86" s="35">
        <f>IFERROR(
   SUMIFS(Mantenciones!$I:$I,Mantenciones!$B:$B,$A86)
 + SUMIFS('Compras PM'!$F:$F,'Compras PM'!$C:$C,$A86),0)</f>
        <v>0</v>
      </c>
      <c r="L86" s="28" t="str">
        <f>IF($J86="Fuera de Servicio","NO PROGRAMAR",IF($H86="","SIN DATOS",IF($H86&lt;=0,"VENCIDA",IF($H86&lt;=7,"CRÍTICA",IF($H86&lt;=15,"ALTA",IF($H86&lt;=30,"MEDIA","BAJA"))))))</f>
        <v>BAJA</v>
      </c>
      <c r="M86" s="53" cm="1">
        <f t="array" ref="M86">IFERROR(_xlfn.AGGREGATE(14,6,Mantenciones!$A$3:$A$9916/(Mantenciones!$B$3:$B$9916=$A86),1),"")</f>
        <v>46134</v>
      </c>
      <c r="N86" s="29" t="str" cm="1">
        <f t="array" ref="N86">IFERROR(_xlfn.AGGREGATE(14,6,'Compras PM'!$A$4:$A$10029/('Compras PM'!$C$4:$C$10029=$A86),1),"")</f>
        <v/>
      </c>
      <c r="O86" s="29" t="str">
        <f>IFERROR(VLOOKUP($A86,Maestro_Equipos!$A$4:$AG$242,27,FALSE()),"")</f>
        <v/>
      </c>
      <c r="P86" s="30" t="str">
        <f ca="1">IFERROR(IF($N86="","",IF(OR($M86="",$M86&lt;$N86),TODAY()-$N86,$M86-$N86)),"")</f>
        <v/>
      </c>
      <c r="Q86" s="30" t="str">
        <f ca="1">IFERROR(IF($O86="","",IF(OR($M86="",$M86&lt;$O86),TODAY()-$O86,$M86-$O86)),"")</f>
        <v/>
      </c>
      <c r="R86" s="28" t="str">
        <f>IF($O86="","SIN SALIDA",IF(OR($M86="",$M86&lt;$O86),"PENDIENTE","REALIZADA"))</f>
        <v>SIN SALIDA</v>
      </c>
      <c r="S86" s="31" t="str">
        <f>IFERROR(VLOOKUP($A86,Maestro_Equipos!$A$4:$AG$242,33,FALSE()),"")</f>
        <v>Monitorear próximo vencimiento</v>
      </c>
    </row>
    <row r="87" spans="1:19" s="61" customFormat="1" ht="15" customHeight="1">
      <c r="A87" t="str" cm="1">
        <f t="array" ref="A87">IFERROR(INDEX(_xlfn._xlws.FILTER(Maestro_Equipos!$A$4:$A$242,Maestro_Equipos!$A$4:$A$242&lt;&gt;""),ROWS($A$4:A87)),"")</f>
        <v>MD-102</v>
      </c>
      <c r="B87" t="str">
        <f>IFERROR(_xlfn.XLOOKUP($A87,Maestro_Equipos!$A$4:$A$242,Maestro_Equipos!$B$4:$B$242,""),"")</f>
        <v>Rodillo</v>
      </c>
      <c r="C87" t="str">
        <f>IFERROR(_xlfn.XLOOKUP($A87,Maestro_Equipos!$A$4:$A$242,Maestro_Equipos!$C$4:$C$242,""),"")</f>
        <v>Maquinaria Pesada</v>
      </c>
      <c r="D87" t="str">
        <f>IFERROR(_xlfn.XLOOKUP($A87,Maestro_Equipos!$A:$A,Maestro_Equipos!$I:$I,""),"")</f>
        <v>HORAS</v>
      </c>
      <c r="E87">
        <f>IFERROR(IF($D87="KM",_xlfn.XLOOKUP($A87,Maestro_Equipos!$A:$A,Maestro_Equipos!$N:$N,""),_xlfn.XLOOKUP($A87,Maestro_Equipos!$A:$A,Maestro_Equipos!$M:$M,"")),"")</f>
        <v>5690</v>
      </c>
      <c r="F87">
        <f>IFERROR(_xlfn.XLOOKUP($A87,Maestro_Equipos!$A:$A,Maestro_Equipos!$R:$R,"")+_xlfn.XLOOKUP($A87,Maestro_Equipos!$A:$A,Maestro_Equipos!$J:$J,""),"")</f>
        <v>5948</v>
      </c>
      <c r="G87">
        <f>IFERROR(_xlfn.XLOOKUP($A87,Maestro_Equipos!$A:$A,Maestro_Equipos!$K:$K,""),"")</f>
        <v>3.3</v>
      </c>
      <c r="H87">
        <f>IFERROR(IF(OR($E87="",$F87="",$G87="",$G87&lt;=0),"",ROUND(($F87-$E87)/$G87,0)),"")</f>
        <v>78</v>
      </c>
      <c r="I87" s="71">
        <f ca="1">IFERROR(IF($H87="","",TODAY()+$H87),"")</f>
        <v>46318</v>
      </c>
      <c r="J87" s="5" t="str">
        <f>IFERROR(INDEX(Maestro_Equipos!$V$4:$V$242,MATCH($A87,Maestro_Equipos!$A$4:$A$242,0)),"")</f>
        <v>Operativo</v>
      </c>
      <c r="K87" s="35">
        <f>IFERROR(
   SUMIFS(Mantenciones!$I:$I,Mantenciones!$B:$B,$A87)
 + SUMIFS('Compras PM'!$F:$F,'Compras PM'!$C:$C,$A87),0)</f>
        <v>723525</v>
      </c>
      <c r="L87" s="28" t="str">
        <f>IF($J87="Fuera de Servicio","NO PROGRAMAR",IF($H87="","SIN DATOS",IF($H87&lt;=0,"VENCIDA",IF($H87&lt;=7,"CRÍTICA",IF($H87&lt;=15,"ALTA",IF($H87&lt;=30,"MEDIA","BAJA"))))))</f>
        <v>BAJA</v>
      </c>
      <c r="M87" s="53" cm="1">
        <f t="array" ref="M87">IFERROR(_xlfn.AGGREGATE(14,6,Mantenciones!$A$3:$A$9916/(Mantenciones!$B$3:$B$9916=$A87),1),"")</f>
        <v>46098</v>
      </c>
      <c r="N87" s="29" cm="1">
        <f t="array" ref="N87">IFERROR(_xlfn.AGGREGATE(14,6,'Compras PM'!$A$4:$A$10029/('Compras PM'!$C$4:$C$10029=$A87),1),"")</f>
        <v>46132.714388622699</v>
      </c>
      <c r="O87" s="29" t="str">
        <f>IFERROR(VLOOKUP($A87,Maestro_Equipos!$A$4:$AG$242,27,FALSE()),"")</f>
        <v/>
      </c>
      <c r="P87" s="30">
        <f ca="1">IFERROR(IF($N87="","",IF(OR($M87="",$M87&lt;$N87),TODAY()-$N87,$M87-$N87)),"")</f>
        <v>107.28561137730139</v>
      </c>
      <c r="Q87" s="30" t="str">
        <f ca="1">IFERROR(IF($O87="","",IF(OR($M87="",$M87&lt;$O87),TODAY()-$O87,$M87-$O87)),"")</f>
        <v/>
      </c>
      <c r="R87" s="28" t="str">
        <f>IF($O87="","SIN SALIDA",IF(OR($M87="",$M87&lt;$O87),"PENDIENTE","REALIZADA"))</f>
        <v>SIN SALIDA</v>
      </c>
      <c r="S87" s="31" t="str">
        <f>IFERROR(VLOOKUP($A87,Maestro_Equipos!$A$4:$AG$242,33,FALSE()),"")</f>
        <v>Hacer seguimiento al taller y cerrar report</v>
      </c>
    </row>
    <row r="88" spans="1:19" s="61" customFormat="1" ht="15" customHeight="1">
      <c r="A88" t="str" cm="1">
        <f t="array" ref="A88">IFERROR(INDEX(_xlfn._xlws.FILTER(Maestro_Equipos!$A$4:$A$242,Maestro_Equipos!$A$4:$A$242&lt;&gt;""),ROWS($A$4:A88)),"")</f>
        <v>MD-103</v>
      </c>
      <c r="B88" t="str">
        <f>IFERROR(_xlfn.XLOOKUP($A88,Maestro_Equipos!$A$4:$A$242,Maestro_Equipos!$B$4:$B$242,""),"")</f>
        <v>Rodillo</v>
      </c>
      <c r="C88" t="str">
        <f>IFERROR(_xlfn.XLOOKUP($A88,Maestro_Equipos!$A$4:$A$242,Maestro_Equipos!$C$4:$C$242,""),"")</f>
        <v>Maquinaria Pesada</v>
      </c>
      <c r="D88" t="str">
        <f>IFERROR(_xlfn.XLOOKUP($A88,Maestro_Equipos!$A:$A,Maestro_Equipos!$I:$I,""),"")</f>
        <v>HORAS</v>
      </c>
      <c r="E88">
        <f>IFERROR(IF($D88="KM",_xlfn.XLOOKUP($A88,Maestro_Equipos!$A:$A,Maestro_Equipos!$N:$N,""),_xlfn.XLOOKUP($A88,Maestro_Equipos!$A:$A,Maestro_Equipos!$M:$M,"")),"")</f>
        <v>4457</v>
      </c>
      <c r="F88">
        <f>IFERROR(_xlfn.XLOOKUP($A88,Maestro_Equipos!$A:$A,Maestro_Equipos!$R:$R,"")+_xlfn.XLOOKUP($A88,Maestro_Equipos!$A:$A,Maestro_Equipos!$J:$J,""),"")</f>
        <v>4608</v>
      </c>
      <c r="G88">
        <f>IFERROR(_xlfn.XLOOKUP($A88,Maestro_Equipos!$A:$A,Maestro_Equipos!$K:$K,""),"")</f>
        <v>2.8</v>
      </c>
      <c r="H88">
        <f>IFERROR(IF(OR($E88="",$F88="",$G88="",$G88&lt;=0),"",ROUND(($F88-$E88)/$G88,0)),"")</f>
        <v>54</v>
      </c>
      <c r="I88" s="71">
        <f ca="1">IFERROR(IF($H88="","",TODAY()+$H88),"")</f>
        <v>46294</v>
      </c>
      <c r="J88" s="5" t="str">
        <f>IFERROR(INDEX(Maestro_Equipos!$V$4:$V$242,MATCH($A88,Maestro_Equipos!$A$4:$A$242,0)),"")</f>
        <v>Operativo</v>
      </c>
      <c r="K88" s="35">
        <f>IFERROR(
   SUMIFS(Mantenciones!$I:$I,Mantenciones!$B:$B,$A88)
 + SUMIFS('Compras PM'!$F:$F,'Compras PM'!$C:$C,$A88),0)</f>
        <v>263781.34999999998</v>
      </c>
      <c r="L88" s="28" t="str">
        <f>IF($J88="Fuera de Servicio","NO PROGRAMAR",IF($H88="","SIN DATOS",IF($H88&lt;=0,"VENCIDA",IF($H88&lt;=7,"CRÍTICA",IF($H88&lt;=15,"ALTA",IF($H88&lt;=30,"MEDIA","BAJA"))))))</f>
        <v>BAJA</v>
      </c>
      <c r="M88" s="53" cm="1">
        <f t="array" ref="M88">IFERROR(_xlfn.AGGREGATE(14,6,Mantenciones!$A$3:$A$9916/(Mantenciones!$B$3:$B$9916=$A88),1),"")</f>
        <v>46132</v>
      </c>
      <c r="N88" s="29" cm="1">
        <f t="array" ref="N88">IFERROR(_xlfn.AGGREGATE(14,6,'Compras PM'!$A$4:$A$10029/('Compras PM'!$C$4:$C$10029=$A88),1),"")</f>
        <v>46083.444348263904</v>
      </c>
      <c r="O88" s="29">
        <f>IFERROR(VLOOKUP($A88,Maestro_Equipos!$A$4:$AG$242,27,FALSE()),"")</f>
        <v>46093</v>
      </c>
      <c r="P88" s="30">
        <f ca="1">IFERROR(IF($N88="","",IF(OR($M88="",$M88&lt;$N88),TODAY()-$N88,$M88-$N88)),"")</f>
        <v>48.555651736096479</v>
      </c>
      <c r="Q88" s="30">
        <f ca="1">IFERROR(IF($O88="","",IF(OR($M88="",$M88&lt;$O88),TODAY()-$O88,$M88-$O88)),"")</f>
        <v>39</v>
      </c>
      <c r="R88" s="28" t="str">
        <f>IF($O88="","SIN SALIDA",IF(OR($M88="",$M88&lt;$O88),"PENDIENTE","REALIZADA"))</f>
        <v>REALIZADA</v>
      </c>
      <c r="S88" s="31" t="str">
        <f>IFERROR(VLOOKUP($A88,Maestro_Equipos!$A$4:$AG$242,33,FALSE()),"")</f>
        <v>Monitorear próximo vencimiento</v>
      </c>
    </row>
    <row r="89" spans="1:19" s="61" customFormat="1" ht="15" customHeight="1">
      <c r="A89" t="str" cm="1">
        <f t="array" ref="A89">IFERROR(INDEX(_xlfn._xlws.FILTER(Maestro_Equipos!$A$4:$A$242,Maestro_Equipos!$A$4:$A$242&lt;&gt;""),ROWS($A$4:A89)),"")</f>
        <v>MD-104</v>
      </c>
      <c r="B89" t="str">
        <f>IFERROR(_xlfn.XLOOKUP($A89,Maestro_Equipos!$A$4:$A$242,Maestro_Equipos!$B$4:$B$242,""),"")</f>
        <v>Excavadora</v>
      </c>
      <c r="C89" t="str">
        <f>IFERROR(_xlfn.XLOOKUP($A89,Maestro_Equipos!$A$4:$A$242,Maestro_Equipos!$C$4:$C$242,""),"")</f>
        <v>Maquinaria Pesada</v>
      </c>
      <c r="D89" t="str">
        <f>IFERROR(_xlfn.XLOOKUP($A89,Maestro_Equipos!$A:$A,Maestro_Equipos!$I:$I,""),"")</f>
        <v>HORAS</v>
      </c>
      <c r="E89">
        <f>IFERROR(IF($D89="KM",_xlfn.XLOOKUP($A89,Maestro_Equipos!$A:$A,Maestro_Equipos!$N:$N,""),_xlfn.XLOOKUP($A89,Maestro_Equipos!$A:$A,Maestro_Equipos!$M:$M,"")),"")</f>
        <v>1474</v>
      </c>
      <c r="F89">
        <f>IFERROR(_xlfn.XLOOKUP($A89,Maestro_Equipos!$A:$A,Maestro_Equipos!$R:$R,"")+_xlfn.XLOOKUP($A89,Maestro_Equipos!$A:$A,Maestro_Equipos!$J:$J,""),"")</f>
        <v>1790</v>
      </c>
      <c r="G89">
        <f>IFERROR(_xlfn.XLOOKUP($A89,Maestro_Equipos!$A:$A,Maestro_Equipos!$K:$K,""),"")</f>
        <v>0.4</v>
      </c>
      <c r="H89">
        <f>IFERROR(IF(OR($E89="",$F89="",$G89="",$G89&lt;=0),"",ROUND(($F89-$E89)/$G89,0)),"")</f>
        <v>790</v>
      </c>
      <c r="I89" s="71">
        <f ca="1">IFERROR(IF($H89="","",TODAY()+$H89),"")</f>
        <v>47030</v>
      </c>
      <c r="J89" s="5" t="str">
        <f>IFERROR(INDEX(Maestro_Equipos!$V$4:$V$242,MATCH($A89,Maestro_Equipos!$A$4:$A$242,0)),"")</f>
        <v>Operativo</v>
      </c>
      <c r="K89" s="35">
        <f>IFERROR(
   SUMIFS(Mantenciones!$I:$I,Mantenciones!$B:$B,$A89)
 + SUMIFS('Compras PM'!$F:$F,'Compras PM'!$C:$C,$A89),0)</f>
        <v>397094.67</v>
      </c>
      <c r="L89" s="28" t="str">
        <f>IF($J89="Fuera de Servicio","NO PROGRAMAR",IF($H89="","SIN DATOS",IF($H89&lt;=0,"VENCIDA",IF($H89&lt;=7,"CRÍTICA",IF($H89&lt;=15,"ALTA",IF($H89&lt;=30,"MEDIA","BAJA"))))))</f>
        <v>BAJA</v>
      </c>
      <c r="M89" s="53" cm="1">
        <f t="array" ref="M89">IFERROR(_xlfn.AGGREGATE(14,6,Mantenciones!$A$3:$A$9916/(Mantenciones!$B$3:$B$9916=$A89),1),"")</f>
        <v>46120</v>
      </c>
      <c r="N89" s="29" cm="1">
        <f t="array" ref="N89">IFERROR(_xlfn.AGGREGATE(14,6,'Compras PM'!$A$4:$A$10029/('Compras PM'!$C$4:$C$10029=$A89),1),"")</f>
        <v>46093.632126932898</v>
      </c>
      <c r="O89" s="29">
        <f>IFERROR(VLOOKUP($A89,Maestro_Equipos!$A$4:$AG$242,27,FALSE()),"")</f>
        <v>46120</v>
      </c>
      <c r="P89" s="30">
        <f ca="1">IFERROR(IF($N89="","",IF(OR($M89="",$M89&lt;$N89),TODAY()-$N89,$M89-$N89)),"")</f>
        <v>26.367873067101755</v>
      </c>
      <c r="Q89" s="30">
        <f ca="1">IFERROR(IF($O89="","",IF(OR($M89="",$M89&lt;$O89),TODAY()-$O89,$M89-$O89)),"")</f>
        <v>0</v>
      </c>
      <c r="R89" s="28" t="str">
        <f>IF($O89="","SIN SALIDA",IF(OR($M89="",$M89&lt;$O89),"PENDIENTE","REALIZADA"))</f>
        <v>REALIZADA</v>
      </c>
      <c r="S89" s="31" t="str">
        <f>IFERROR(VLOOKUP($A89,Maestro_Equipos!$A$4:$AG$242,33,FALSE()),"")</f>
        <v>Monitorear próximo vencimiento</v>
      </c>
    </row>
    <row r="90" spans="1:19" s="61" customFormat="1" ht="15" customHeight="1">
      <c r="A90" t="str" cm="1">
        <f t="array" ref="A90">IFERROR(INDEX(_xlfn._xlws.FILTER(Maestro_Equipos!$A$4:$A$242,Maestro_Equipos!$A$4:$A$242&lt;&gt;""),ROWS($A$4:A90)),"")</f>
        <v>MD-105</v>
      </c>
      <c r="B90" t="str">
        <f>IFERROR(_xlfn.XLOOKUP($A90,Maestro_Equipos!$A$4:$A$242,Maestro_Equipos!$B$4:$B$242,""),"")</f>
        <v>Cargador Frontal</v>
      </c>
      <c r="C90" t="str">
        <f>IFERROR(_xlfn.XLOOKUP($A90,Maestro_Equipos!$A$4:$A$242,Maestro_Equipos!$C$4:$C$242,""),"")</f>
        <v>Maquinaria Pesada</v>
      </c>
      <c r="D90" t="str">
        <f>IFERROR(_xlfn.XLOOKUP($A90,Maestro_Equipos!$A:$A,Maestro_Equipos!$I:$I,""),"")</f>
        <v>HORAS</v>
      </c>
      <c r="E90">
        <f>IFERROR(IF($D90="KM",_xlfn.XLOOKUP($A90,Maestro_Equipos!$A:$A,Maestro_Equipos!$N:$N,""),_xlfn.XLOOKUP($A90,Maestro_Equipos!$A:$A,Maestro_Equipos!$M:$M,"")),"")</f>
        <v>771</v>
      </c>
      <c r="F90" t="str">
        <f>IFERROR(_xlfn.XLOOKUP($A90,Maestro_Equipos!$A:$A,Maestro_Equipos!$R:$R,"")+_xlfn.XLOOKUP($A90,Maestro_Equipos!$A:$A,Maestro_Equipos!$J:$J,""),"")</f>
        <v/>
      </c>
      <c r="G90">
        <f>IFERROR(_xlfn.XLOOKUP($A90,Maestro_Equipos!$A:$A,Maestro_Equipos!$K:$K,""),"")</f>
        <v>0.8</v>
      </c>
      <c r="H90" t="str">
        <f>IFERROR(IF(OR($E90="",$F90="",$G90="",$G90&lt;=0),"",ROUND(($F90-$E90)/$G90,0)),"")</f>
        <v/>
      </c>
      <c r="I90" s="71" t="str">
        <f ca="1">IFERROR(IF($H90="","",TODAY()+$H90),"")</f>
        <v/>
      </c>
      <c r="J90" s="5" t="str">
        <f>IFERROR(INDEX(Maestro_Equipos!$V$4:$V$242,MATCH($A90,Maestro_Equipos!$A$4:$A$242,0)),"")</f>
        <v>Operativo</v>
      </c>
      <c r="K90" s="35">
        <f>IFERROR(
   SUMIFS(Mantenciones!$I:$I,Mantenciones!$B:$B,$A90)
 + SUMIFS('Compras PM'!$F:$F,'Compras PM'!$C:$C,$A90),0)</f>
        <v>365383.6214</v>
      </c>
      <c r="L90" s="28" t="str">
        <f>IF($J90="Fuera de Servicio","NO PROGRAMAR",IF($H90="","SIN DATOS",IF($H90&lt;=0,"VENCIDA",IF($H90&lt;=7,"CRÍTICA",IF($H90&lt;=15,"ALTA",IF($H90&lt;=30,"MEDIA","BAJA"))))))</f>
        <v>SIN DATOS</v>
      </c>
      <c r="M90" s="53" t="str" cm="1">
        <f t="array" ref="M90">IFERROR(_xlfn.AGGREGATE(14,6,Mantenciones!$A$3:$A$9916/(Mantenciones!$B$3:$B$9916=$A90),1),"")</f>
        <v/>
      </c>
      <c r="N90" s="29" cm="1">
        <f t="array" ref="N90">IFERROR(_xlfn.AGGREGATE(14,6,'Compras PM'!$A$4:$A$10029/('Compras PM'!$C$4:$C$10029=$A90),1),"")</f>
        <v>46104.379210416701</v>
      </c>
      <c r="O90" s="29" t="str">
        <f>IFERROR(VLOOKUP($A90,Maestro_Equipos!$A$4:$AG$242,27,FALSE()),"")</f>
        <v/>
      </c>
      <c r="P90" s="30">
        <f ca="1">IFERROR(IF($N90="","",IF(OR($M90="",$M90&lt;$N90),TODAY()-$N90,$M90-$N90)),"")</f>
        <v>135.62078958329948</v>
      </c>
      <c r="Q90" s="30" t="str">
        <f ca="1">IFERROR(IF($O90="","",IF(OR($M90="",$M90&lt;$O90),TODAY()-$O90,$M90-$O90)),"")</f>
        <v/>
      </c>
      <c r="R90" s="28" t="str">
        <f>IF($O90="","SIN SALIDA",IF(OR($M90="",$M90&lt;$O90),"PENDIENTE","REALIZADA"))</f>
        <v>SIN SALIDA</v>
      </c>
      <c r="S90" s="31" t="str">
        <f>IFERROR(VLOOKUP($A90,Maestro_Equipos!$A$4:$AG$242,33,FALSE()),"")</f>
        <v>Hacer seguimiento al taller y cerrar report</v>
      </c>
    </row>
    <row r="91" spans="1:19" s="61" customFormat="1" ht="15" customHeight="1">
      <c r="A91" t="str" cm="1">
        <f t="array" ref="A91">IFERROR(INDEX(_xlfn._xlws.FILTER(Maestro_Equipos!$A$4:$A$242,Maestro_Equipos!$A$4:$A$242&lt;&gt;""),ROWS($A$4:A91)),"")</f>
        <v>MD-107</v>
      </c>
      <c r="B91" t="str">
        <f>IFERROR(_xlfn.XLOOKUP($A91,Maestro_Equipos!$A$4:$A$242,Maestro_Equipos!$B$4:$B$242,""),"")</f>
        <v>Cargador Frontal</v>
      </c>
      <c r="C91" t="str">
        <f>IFERROR(_xlfn.XLOOKUP($A91,Maestro_Equipos!$A$4:$A$242,Maestro_Equipos!$C$4:$C$242,""),"")</f>
        <v>Maquinaria Pesada</v>
      </c>
      <c r="D91" t="str">
        <f>IFERROR(VLOOKUP($A88,Maestro_Equipos!$A$4:$Z$242,9,FALSE),"")</f>
        <v>HORAS</v>
      </c>
      <c r="E91">
        <f>IFERROR(IF($D91="KM",_xlfn.XLOOKUP($A91,Maestro_Equipos!$A:$A,Maestro_Equipos!$N:$N,""),_xlfn.XLOOKUP($A91,Maestro_Equipos!$A:$A,Maestro_Equipos!$M:$M,"")),"")</f>
        <v>1743</v>
      </c>
      <c r="F91">
        <f>IFERROR(_xlfn.XLOOKUP($A91,Maestro_Equipos!$A:$A,Maestro_Equipos!$R:$R,"")+_xlfn.XLOOKUP($A91,Maestro_Equipos!$A:$A,Maestro_Equipos!$J:$J,""),"")</f>
        <v>2044</v>
      </c>
      <c r="G91">
        <f>IFERROR(_xlfn.XLOOKUP($A91,Maestro_Equipos!$A:$A,Maestro_Equipos!$K:$K,""),"")</f>
        <v>9.9</v>
      </c>
      <c r="H91">
        <f>IFERROR(IF(OR($E91="",$F91="",$G91="",$G91&lt;=0),"",ROUND(($F91-$E91)/$G91,0)),"")</f>
        <v>30</v>
      </c>
      <c r="I91" s="71">
        <f ca="1">IFERROR(IF($H91="","",TODAY()+$H91),"")</f>
        <v>46270</v>
      </c>
      <c r="J91" s="5" t="str">
        <f>IFERROR(INDEX(Maestro_Equipos!$V$4:$V$242,MATCH($A91,Maestro_Equipos!$A$4:$A$242,0)),"")</f>
        <v>Operativo</v>
      </c>
      <c r="K91" s="35">
        <f>IFERROR(
   SUMIFS(Mantenciones!$I:$I,Mantenciones!$B:$B,$A91)
 + SUMIFS('Compras PM'!$F:$F,'Compras PM'!$C:$C,$A91),0)</f>
        <v>778852.91</v>
      </c>
      <c r="L91" s="28" t="str">
        <f>IF($J91="Fuera de Servicio","NO PROGRAMAR",IF($H91="","SIN DATOS",IF($H91&lt;=0,"VENCIDA",IF($H91&lt;=7,"CRÍTICA",IF($H91&lt;=15,"ALTA",IF($H91&lt;=30,"MEDIA","BAJA"))))))</f>
        <v>MEDIA</v>
      </c>
      <c r="M91" s="53" cm="1">
        <f t="array" ref="M91">IFERROR(_xlfn.AGGREGATE(14,6,Mantenciones!$A$3:$A$9916/(Mantenciones!$B$3:$B$9916=$A91),1),"")</f>
        <v>46153</v>
      </c>
      <c r="N91" s="29" cm="1">
        <f t="array" ref="N91">IFERROR(_xlfn.AGGREGATE(14,6,'Compras PM'!$A$4:$A$10029/('Compras PM'!$C$4:$C$10029=$A91),1),"")</f>
        <v>46140.483474918998</v>
      </c>
      <c r="O91" s="29">
        <f>IFERROR(VLOOKUP($A91,Maestro_Equipos!$A$4:$AG$242,27,FALSE()),"")</f>
        <v>46149</v>
      </c>
      <c r="P91" s="30">
        <f ca="1">IFERROR(IF($N91="","",IF(OR($M91="",$M91&lt;$N91),TODAY()-$N91,$M91-$N91)),"")</f>
        <v>12.516525081002328</v>
      </c>
      <c r="Q91" s="30">
        <f ca="1">IFERROR(IF($O91="","",IF(OR($M91="",$M91&lt;$O91),TODAY()-$O91,$M91-$O91)),"")</f>
        <v>4</v>
      </c>
      <c r="R91" s="28" t="str">
        <f>IF($O91="","SIN SALIDA",IF(OR($M91="",$M91&lt;$O91),"PENDIENTE","REALIZADA"))</f>
        <v>REALIZADA</v>
      </c>
      <c r="S91" s="31" t="str">
        <f>IFERROR(VLOOKUP($A91,Maestro_Equipos!$A$4:$AG$242,33,FALSE()),"")</f>
        <v>Monitorear próximo vencimiento</v>
      </c>
    </row>
    <row r="92" spans="1:19" s="61" customFormat="1" ht="15" customHeight="1">
      <c r="A92" t="str" cm="1">
        <f t="array" ref="A92">IFERROR(INDEX(_xlfn._xlws.FILTER(Maestro_Equipos!$A$4:$A$242,Maestro_Equipos!$A$4:$A$242&lt;&gt;""),ROWS($A$4:A92)),"")</f>
        <v>MD-108</v>
      </c>
      <c r="B92" t="str">
        <f>IFERROR(_xlfn.XLOOKUP($A92,Maestro_Equipos!$A$4:$A$242,Maestro_Equipos!$B$4:$B$242,""),"")</f>
        <v>Rodillo de Neumaticos</v>
      </c>
      <c r="C92" t="str">
        <f>IFERROR(_xlfn.XLOOKUP($A92,Maestro_Equipos!$A$4:$A$242,Maestro_Equipos!$C$4:$C$242,""),"")</f>
        <v>Maquinaria Pesada</v>
      </c>
      <c r="D92" t="str">
        <f>IFERROR(_xlfn.XLOOKUP($A92,Maestro_Equipos!$A:$A,Maestro_Equipos!$I:$I,""),"")</f>
        <v>HORAS</v>
      </c>
      <c r="E92">
        <f>IFERROR(IF($D92="KM",_xlfn.XLOOKUP($A92,Maestro_Equipos!$A:$A,Maestro_Equipos!$N:$N,""),_xlfn.XLOOKUP($A92,Maestro_Equipos!$A:$A,Maestro_Equipos!$M:$M,"")),"")</f>
        <v>5326</v>
      </c>
      <c r="F92" t="str">
        <f>IFERROR(_xlfn.XLOOKUP($A92,Maestro_Equipos!$A:$A,Maestro_Equipos!$R:$R,"")+_xlfn.XLOOKUP($A92,Maestro_Equipos!$A:$A,Maestro_Equipos!$J:$J,""),"")</f>
        <v/>
      </c>
      <c r="G92">
        <f>IFERROR(_xlfn.XLOOKUP($A92,Maestro_Equipos!$A:$A,Maestro_Equipos!$K:$K,""),"")</f>
        <v>164</v>
      </c>
      <c r="H92" t="str">
        <f>IFERROR(IF(OR($E92="",$F92="",$G92="",$G92&lt;=0),"",ROUND(($F92-$E92)/$G92,0)),"")</f>
        <v/>
      </c>
      <c r="I92" s="71" t="str">
        <f ca="1">IFERROR(IF($H92="","",TODAY()+$H92),"")</f>
        <v/>
      </c>
      <c r="J92" s="5" t="str">
        <f>IFERROR(INDEX(Maestro_Equipos!$V$4:$V$242,MATCH($A92,Maestro_Equipos!$A$4:$A$242,0)),"")</f>
        <v>Operativo</v>
      </c>
      <c r="K92" s="35">
        <f>IFERROR(
   SUMIFS(Mantenciones!$I:$I,Mantenciones!$B:$B,$A92)
 + SUMIFS('Compras PM'!$F:$F,'Compras PM'!$C:$C,$A92),0)</f>
        <v>320165.93</v>
      </c>
      <c r="L92" s="28" t="str">
        <f>IF($J92="Fuera de Servicio","NO PROGRAMAR",IF($H92="","SIN DATOS",IF($H92&lt;=0,"VENCIDA",IF($H92&lt;=7,"CRÍTICA",IF($H92&lt;=15,"ALTA",IF($H92&lt;=30,"MEDIA","BAJA"))))))</f>
        <v>SIN DATOS</v>
      </c>
      <c r="M92" s="53" t="str" cm="1">
        <f t="array" ref="M92">IFERROR(_xlfn.AGGREGATE(14,6,Mantenciones!$A$3:$A$9916/(Mantenciones!$B$3:$B$9916=$A92),1),"")</f>
        <v/>
      </c>
      <c r="N92" s="29" cm="1">
        <f t="array" ref="N92">IFERROR(_xlfn.AGGREGATE(14,6,'Compras PM'!$A$4:$A$10029/('Compras PM'!$C$4:$C$10029=$A92),1),"")</f>
        <v>46106</v>
      </c>
      <c r="O92" s="29" t="str">
        <f>IFERROR(VLOOKUP($A92,Maestro_Equipos!$A$4:$AG$242,27,FALSE()),"")</f>
        <v/>
      </c>
      <c r="P92" s="30">
        <f ca="1">IFERROR(IF($N92="","",IF(OR($M92="",$M92&lt;$N92),TODAY()-$N92,$M92-$N92)),"")</f>
        <v>134</v>
      </c>
      <c r="Q92" s="30" t="str">
        <f ca="1">IFERROR(IF($O92="","",IF(OR($M92="",$M92&lt;$O92),TODAY()-$O92,$M92-$O92)),"")</f>
        <v/>
      </c>
      <c r="R92" s="28" t="str">
        <f>IF($O92="","SIN SALIDA",IF(OR($M92="",$M92&lt;$O92),"PENDIENTE","REALIZADA"))</f>
        <v>SIN SALIDA</v>
      </c>
      <c r="S92" s="31" t="str">
        <f>IFERROR(VLOOKUP($A92,Maestro_Equipos!$A$4:$AG$242,33,FALSE()),"")</f>
        <v>Hacer seguimiento al taller y cerrar report</v>
      </c>
    </row>
    <row r="93" spans="1:19" s="61" customFormat="1" ht="15" customHeight="1">
      <c r="A93" t="str" cm="1">
        <f t="array" ref="A93">IFERROR(INDEX(_xlfn._xlws.FILTER(Maestro_Equipos!$A$4:$A$242,Maestro_Equipos!$A$4:$A$242&lt;&gt;""),ROWS($A$4:A93)),"")</f>
        <v>MD-109</v>
      </c>
      <c r="B93" t="str">
        <f>IFERROR(_xlfn.XLOOKUP($A93,Maestro_Equipos!$A$4:$A$242,Maestro_Equipos!$B$4:$B$242,""),"")</f>
        <v>Motoniveladora</v>
      </c>
      <c r="C93" t="str">
        <f>IFERROR(_xlfn.XLOOKUP($A93,Maestro_Equipos!$A$4:$A$242,Maestro_Equipos!$C$4:$C$242,""),"")</f>
        <v>Maquinaria Pesada</v>
      </c>
      <c r="D93" t="str">
        <f>IFERROR(_xlfn.XLOOKUP($A93,Maestro_Equipos!$A:$A,Maestro_Equipos!$I:$I,""),"")</f>
        <v>HORAS</v>
      </c>
      <c r="E93">
        <f>IFERROR(IF($D93="KM",_xlfn.XLOOKUP($A93,Maestro_Equipos!$A:$A,Maestro_Equipos!$N:$N,""),_xlfn.XLOOKUP($A93,Maestro_Equipos!$A:$A,Maestro_Equipos!$M:$M,"")),"")</f>
        <v>8971</v>
      </c>
      <c r="F93">
        <f>IFERROR(_xlfn.XLOOKUP($A93,Maestro_Equipos!$A:$A,Maestro_Equipos!$R:$R,"")+_xlfn.XLOOKUP($A93,Maestro_Equipos!$A:$A,Maestro_Equipos!$J:$J,""),"")</f>
        <v>87911</v>
      </c>
      <c r="G93">
        <f>IFERROR(_xlfn.XLOOKUP($A93,Maestro_Equipos!$A:$A,Maestro_Equipos!$K:$K,""),"")</f>
        <v>0.7</v>
      </c>
      <c r="H93">
        <f>IFERROR(IF(OR($E93="",$F93="",$G93="",$G93&lt;=0),"",ROUND(($F93-$E93)/$G93,0)),"")</f>
        <v>112771</v>
      </c>
      <c r="I93" s="71">
        <f ca="1">IFERROR(IF($H93="","",TODAY()+$H93),"")</f>
        <v>159011</v>
      </c>
      <c r="J93" s="5" t="str">
        <f>IFERROR(INDEX(Maestro_Equipos!$V$4:$V$242,MATCH($A93,Maestro_Equipos!$A$4:$A$242,0)),"")</f>
        <v>Operativo</v>
      </c>
      <c r="K93" s="35">
        <f>IFERROR(
   SUMIFS(Mantenciones!$I:$I,Mantenciones!$B:$B,$A93)
 + SUMIFS('Compras PM'!$F:$F,'Compras PM'!$C:$C,$A93),0)</f>
        <v>0</v>
      </c>
      <c r="L93" s="28" t="str">
        <f>IF($J93="Fuera de Servicio","NO PROGRAMAR",IF($H93="","SIN DATOS",IF($H93&lt;=0,"VENCIDA",IF($H93&lt;=7,"CRÍTICA",IF($H93&lt;=15,"ALTA",IF($H93&lt;=30,"MEDIA","BAJA"))))))</f>
        <v>BAJA</v>
      </c>
      <c r="M93" s="53" cm="1">
        <f t="array" ref="M93">IFERROR(_xlfn.AGGREGATE(14,6,Mantenciones!$A$3:$A$9916/(Mantenciones!$B$3:$B$9916=$A93),1),"")</f>
        <v>46154</v>
      </c>
      <c r="N93" s="29" t="str" cm="1">
        <f t="array" ref="N93">IFERROR(_xlfn.AGGREGATE(14,6,'Compras PM'!$A$4:$A$10029/('Compras PM'!$C$4:$C$10029=$A93),1),"")</f>
        <v/>
      </c>
      <c r="O93" s="29">
        <f>IFERROR(VLOOKUP($A93,Maestro_Equipos!$A$4:$AG$242,27,FALSE()),"")</f>
        <v>46148</v>
      </c>
      <c r="P93" s="30" t="str">
        <f ca="1">IFERROR(IF($N93="","",IF(OR($M93="",$M93&lt;$N93),TODAY()-$N93,$M93-$N93)),"")</f>
        <v/>
      </c>
      <c r="Q93" s="30">
        <f ca="1">IFERROR(IF($O93="","",IF(OR($M93="",$M93&lt;$O93),TODAY()-$O93,$M93-$O93)),"")</f>
        <v>6</v>
      </c>
      <c r="R93" s="28" t="str">
        <f>IF($O93="","SIN SALIDA",IF(OR($M93="",$M93&lt;$O93),"PENDIENTE","REALIZADA"))</f>
        <v>REALIZADA</v>
      </c>
      <c r="S93" s="31" t="str">
        <f>IFERROR(VLOOKUP($A93,Maestro_Equipos!$A$4:$AG$242,33,FALSE()),"")</f>
        <v>Monitorear próximo vencimiento</v>
      </c>
    </row>
    <row r="94" spans="1:19" s="61" customFormat="1" ht="15" customHeight="1">
      <c r="A94" t="str" cm="1">
        <f t="array" ref="A94">IFERROR(INDEX(_xlfn._xlws.FILTER(Maestro_Equipos!$A$4:$A$242,Maestro_Equipos!$A$4:$A$242&lt;&gt;""),ROWS($A$4:A94)),"")</f>
        <v>MD-110</v>
      </c>
      <c r="B94" t="str">
        <f>IFERROR(_xlfn.XLOOKUP($A94,Maestro_Equipos!$A$4:$A$242,Maestro_Equipos!$B$4:$B$242,""),"")</f>
        <v>Motoniveladora</v>
      </c>
      <c r="C94" t="str">
        <f>IFERROR(_xlfn.XLOOKUP($A94,Maestro_Equipos!$A$4:$A$242,Maestro_Equipos!$C$4:$C$242,""),"")</f>
        <v>Maquinaria Pesada</v>
      </c>
      <c r="D94" t="str">
        <f>IFERROR(_xlfn.XLOOKUP($A94,Maestro_Equipos!$A:$A,Maestro_Equipos!$I:$I,""),"")</f>
        <v>HORAS</v>
      </c>
      <c r="E94">
        <f>IFERROR(IF($D94="KM",_xlfn.XLOOKUP($A94,Maestro_Equipos!$A:$A,Maestro_Equipos!$N:$N,""),_xlfn.XLOOKUP($A94,Maestro_Equipos!$A:$A,Maestro_Equipos!$M:$M,"")),"")</f>
        <v>8894</v>
      </c>
      <c r="F94">
        <f>IFERROR(_xlfn.XLOOKUP($A94,Maestro_Equipos!$A:$A,Maestro_Equipos!$R:$R,"")+_xlfn.XLOOKUP($A94,Maestro_Equipos!$A:$A,Maestro_Equipos!$J:$J,""),"")</f>
        <v>9082</v>
      </c>
      <c r="G94">
        <f>IFERROR(_xlfn.XLOOKUP($A94,Maestro_Equipos!$A:$A,Maestro_Equipos!$K:$K,""),"")</f>
        <v>2.9</v>
      </c>
      <c r="H94">
        <f>IFERROR(IF(OR($E94="",$F94="",$G94="",$G94&lt;=0),"",ROUND(($F94-$E94)/$G94,0)),"")</f>
        <v>65</v>
      </c>
      <c r="I94" s="71">
        <f ca="1">IFERROR(IF($H94="","",TODAY()+$H94),"")</f>
        <v>46305</v>
      </c>
      <c r="J94" s="5" t="str">
        <f>IFERROR(INDEX(Maestro_Equipos!$V$4:$V$242,MATCH($A94,Maestro_Equipos!$A$4:$A$242,0)),"")</f>
        <v>Operativo</v>
      </c>
      <c r="K94" s="35">
        <f>IFERROR(
   SUMIFS(Mantenciones!$I:$I,Mantenciones!$B:$B,$A94)
 + SUMIFS('Compras PM'!$F:$F,'Compras PM'!$C:$C,$A94),0)</f>
        <v>775405.19</v>
      </c>
      <c r="L94" s="28" t="str">
        <f>IF($J94="Fuera de Servicio","NO PROGRAMAR",IF($H94="","SIN DATOS",IF($H94&lt;=0,"VENCIDA",IF($H94&lt;=7,"CRÍTICA",IF($H94&lt;=15,"ALTA",IF($H94&lt;=30,"MEDIA","BAJA"))))))</f>
        <v>BAJA</v>
      </c>
      <c r="M94" s="53" cm="1">
        <f t="array" ref="M94">IFERROR(_xlfn.AGGREGATE(14,6,Mantenciones!$A$3:$A$9916/(Mantenciones!$B$3:$B$9916=$A94),1),"")</f>
        <v>46141</v>
      </c>
      <c r="N94" s="29" cm="1">
        <f t="array" ref="N94">IFERROR(_xlfn.AGGREGATE(14,6,'Compras PM'!$A$4:$A$10029/('Compras PM'!$C$4:$C$10029=$A94),1),"")</f>
        <v>46111</v>
      </c>
      <c r="O94" s="29">
        <f>IFERROR(VLOOKUP($A94,Maestro_Equipos!$A$4:$AG$242,27,FALSE()),"")</f>
        <v>46058</v>
      </c>
      <c r="P94" s="30">
        <f ca="1">IFERROR(IF($N94="","",IF(OR($M94="",$M94&lt;$N94),TODAY()-$N94,$M94-$N94)),"")</f>
        <v>30</v>
      </c>
      <c r="Q94" s="30">
        <f ca="1">IFERROR(IF($O94="","",IF(OR($M94="",$M94&lt;$O94),TODAY()-$O94,$M94-$O94)),"")</f>
        <v>83</v>
      </c>
      <c r="R94" s="28" t="str">
        <f>IF($O94="","SIN SALIDA",IF(OR($M94="",$M94&lt;$O94),"PENDIENTE","REALIZADA"))</f>
        <v>REALIZADA</v>
      </c>
      <c r="S94" s="31" t="str">
        <f>IFERROR(VLOOKUP($A94,Maestro_Equipos!$A$4:$AG$242,33,FALSE()),"")</f>
        <v>Monitorear próximo vencimiento</v>
      </c>
    </row>
    <row r="95" spans="1:19" s="61" customFormat="1" ht="15" customHeight="1">
      <c r="A95" s="61" t="str" cm="1">
        <f t="array" ref="A95">IFERROR(INDEX(_xlfn._xlws.FILTER(Maestro_Equipos!$A$4:$A$242,Maestro_Equipos!$A$4:$A$242&lt;&gt;""),ROWS($A$4:A95)),"")</f>
        <v>MD-25</v>
      </c>
      <c r="B95" s="61" t="str">
        <f>IFERROR(_xlfn.XLOOKUP($A95,Maestro_Equipos!$A$4:$A$242,Maestro_Equipos!$B$4:$B$242,""),"")</f>
        <v>Motoniveladora</v>
      </c>
      <c r="C95" s="61" t="str">
        <f>IFERROR(_xlfn.XLOOKUP($A95,Maestro_Equipos!$A$4:$A$242,Maestro_Equipos!$C$4:$C$242,""),"")</f>
        <v>Maquinaria Pesada</v>
      </c>
      <c r="D95" s="61" t="str">
        <f>IFERROR(VLOOKUP($A92,Maestro_Equipos!$A$4:$Z$242,9,FALSE),"")</f>
        <v>HORAS</v>
      </c>
      <c r="E95" s="61">
        <f>IFERROR(IF($D95="KM",_xlfn.XLOOKUP($A95,Maestro_Equipos!$A:$A,Maestro_Equipos!$N:$N,""),_xlfn.XLOOKUP($A95,Maestro_Equipos!$A:$A,Maestro_Equipos!$M:$M,"")),"")</f>
        <v>14740</v>
      </c>
      <c r="F95" s="61">
        <f>IFERROR(_xlfn.XLOOKUP($A95,Maestro_Equipos!$A:$A,Maestro_Equipos!$R:$R,"")+_xlfn.XLOOKUP($A95,Maestro_Equipos!$A:$A,Maestro_Equipos!$J:$J,""),"")</f>
        <v>14990</v>
      </c>
      <c r="G95" s="61">
        <f>IFERROR(_xlfn.XLOOKUP($A95,Maestro_Equipos!$A:$A,Maestro_Equipos!$K:$K,""),"")</f>
        <v>3.8</v>
      </c>
      <c r="H95" s="61">
        <f>IFERROR(IF(OR($E95="",$F95="",$G95="",$G95&lt;=0),"",ROUND(($F95-$E95)/$G95,0)),"")</f>
        <v>66</v>
      </c>
      <c r="I95" s="62">
        <f ca="1">IFERROR(IF($H95="","",TODAY()+$H95),"")</f>
        <v>46306</v>
      </c>
      <c r="J95" s="63" t="str">
        <f>IFERROR(INDEX(Maestro_Equipos!$V$4:$V$242,MATCH($A95,Maestro_Equipos!$A$4:$A$242,0)),"")</f>
        <v>Operativo</v>
      </c>
      <c r="K95" s="64">
        <f>IFERROR(
   SUMIFS(Mantenciones!$I:$I,Mantenciones!$B:$B,$A95)
 + SUMIFS('Compras PM'!$F:$F,'Compras PM'!$C:$C,$A95),0)</f>
        <v>763402.85</v>
      </c>
      <c r="L95" s="65" t="str">
        <f>IF($J95="Fuera de Servicio","NO PROGRAMAR",IF($H95="","SIN DATOS",IF($H95&lt;=0,"VENCIDA",IF($H95&lt;=7,"CRÍTICA",IF($H95&lt;=15,"ALTA",IF($H95&lt;=30,"MEDIA","BAJA"))))))</f>
        <v>BAJA</v>
      </c>
      <c r="M95" s="66" cm="1">
        <f t="array" ref="M95">IFERROR(_xlfn.AGGREGATE(14,6,Mantenciones!$A$3:$A$9916/(Mantenciones!$B$3:$B$9916=$A95),1),"")</f>
        <v>46162</v>
      </c>
      <c r="N95" s="67" cm="1">
        <f t="array" ref="N95">IFERROR(_xlfn.AGGREGATE(14,6,'Compras PM'!$A$4:$A$10029/('Compras PM'!$C$4:$C$10029=$A95),1),"")</f>
        <v>46086.422014780102</v>
      </c>
      <c r="O95" s="67">
        <f>IFERROR(VLOOKUP($A95,Maestro_Equipos!$A$4:$AG$242,27,FALSE()),"")</f>
        <v>46161</v>
      </c>
      <c r="P95" s="68">
        <f ca="1">IFERROR(IF($N95="","",IF(OR($M95="",$M95&lt;$N95),TODAY()-$N95,$M95-$N95)),"")</f>
        <v>75.577985219897528</v>
      </c>
      <c r="Q95" s="68">
        <f ca="1">IFERROR(IF($O95="","",IF(OR($M95="",$M95&lt;$O95),TODAY()-$O95,$M95-$O95)),"")</f>
        <v>1</v>
      </c>
      <c r="R95" s="65" t="str">
        <f>IF($O95="","SIN SALIDA",IF(OR($M95="",$M95&lt;$O95),"PENDIENTE","REALIZADA"))</f>
        <v>REALIZADA</v>
      </c>
      <c r="S95" s="69" t="str">
        <f>IFERROR(VLOOKUP($A95,Maestro_Equipos!$A$4:$AG$242,33,FALSE()),"")</f>
        <v>Monitorear próximo vencimiento</v>
      </c>
    </row>
    <row r="96" spans="1:19" ht="15" customHeight="1">
      <c r="A96" t="str" cm="1">
        <f t="array" ref="A96">IFERROR(INDEX(_xlfn._xlws.FILTER(Maestro_Equipos!$A$4:$A$242,Maestro_Equipos!$A$4:$A$242&lt;&gt;""),ROWS($A$4:A96)),"")</f>
        <v>MD-26</v>
      </c>
      <c r="B96" t="str">
        <f>IFERROR(_xlfn.XLOOKUP($A96,Maestro_Equipos!$A$4:$A$242,Maestro_Equipos!$B$4:$B$242,""),"")</f>
        <v>Motoniveladora</v>
      </c>
      <c r="C96" t="str">
        <f>IFERROR(_xlfn.XLOOKUP($A96,Maestro_Equipos!$A$4:$A$242,Maestro_Equipos!$C$4:$C$242,""),"")</f>
        <v>Maquinaria Pesada</v>
      </c>
      <c r="D96" t="str">
        <f>IFERROR(_xlfn.XLOOKUP($A96,Maestro_Equipos!$A:$A,Maestro_Equipos!$I:$I,""),"")</f>
        <v>HORAS</v>
      </c>
      <c r="E96">
        <f>IFERROR(IF($D96="KM",_xlfn.XLOOKUP($A96,Maestro_Equipos!$A:$A,Maestro_Equipos!$N:$N,""),_xlfn.XLOOKUP($A96,Maestro_Equipos!$A:$A,Maestro_Equipos!$M:$M,"")),"")</f>
        <v>17175</v>
      </c>
      <c r="F96">
        <f>IFERROR(_xlfn.XLOOKUP($A96,Maestro_Equipos!$A:$A,Maestro_Equipos!$R:$R,"")+_xlfn.XLOOKUP($A96,Maestro_Equipos!$A:$A,Maestro_Equipos!$J:$J,""),"")</f>
        <v>17203</v>
      </c>
      <c r="G96">
        <f>IFERROR(_xlfn.XLOOKUP($A96,Maestro_Equipos!$A:$A,Maestro_Equipos!$K:$K,""),"")</f>
        <v>2.6</v>
      </c>
      <c r="H96">
        <f>IFERROR(IF(OR($E96="",$F96="",$G96="",$G96&lt;=0),"",ROUND(($F96-$E96)/$G96,0)),"")</f>
        <v>11</v>
      </c>
      <c r="I96" s="71">
        <f ca="1">IFERROR(IF($H96="","",TODAY()+$H96),"")</f>
        <v>46251</v>
      </c>
      <c r="J96" s="5" t="str">
        <f>IFERROR(INDEX(Maestro_Equipos!$V$4:$V$242,MATCH($A96,Maestro_Equipos!$A$4:$A$242,0)),"")</f>
        <v>Operativo</v>
      </c>
      <c r="K96" s="35">
        <f>IFERROR(
   SUMIFS(Mantenciones!$I:$I,Mantenciones!$B:$B,$A96)
 + SUMIFS('Compras PM'!$F:$F,'Compras PM'!$C:$C,$A96),0)</f>
        <v>952236.02</v>
      </c>
      <c r="L96" s="28" t="str">
        <f>IF($J96="Fuera de Servicio","NO PROGRAMAR",IF($H96="","SIN DATOS",IF($H96&lt;=0,"VENCIDA",IF($H96&lt;=7,"CRÍTICA",IF($H96&lt;=15,"ALTA",IF($H96&lt;=30,"MEDIA","BAJA"))))))</f>
        <v>ALTA</v>
      </c>
      <c r="M96" s="53" cm="1">
        <f t="array" ref="M96">IFERROR(_xlfn.AGGREGATE(14,6,Mantenciones!$A$3:$A$9916/(Mantenciones!$B$3:$B$9916=$A96),1),"")</f>
        <v>46086</v>
      </c>
      <c r="N96" s="29" cm="1">
        <f t="array" ref="N96">IFERROR(_xlfn.AGGREGATE(14,6,'Compras PM'!$A$4:$A$10029/('Compras PM'!$C$4:$C$10029=$A96),1),"")</f>
        <v>46189</v>
      </c>
      <c r="O96" s="29">
        <f>IFERROR(VLOOKUP($A96,Maestro_Equipos!$A$4:$AG$242,27,FALSE()),"")</f>
        <v>46080</v>
      </c>
      <c r="P96" s="30">
        <f ca="1">IFERROR(IF($N96="","",IF(OR($M96="",$M96&lt;$N96),TODAY()-$N96,$M96-$N96)),"")</f>
        <v>51</v>
      </c>
      <c r="Q96" s="30">
        <f ca="1">IFERROR(IF($O96="","",IF(OR($M96="",$M96&lt;$O96),TODAY()-$O96,$M96-$O96)),"")</f>
        <v>6</v>
      </c>
      <c r="R96" s="28" t="str">
        <f>IF($O96="","SIN SALIDA",IF(OR($M96="",$M96&lt;$O96),"PENDIENTE","REALIZADA"))</f>
        <v>REALIZADA</v>
      </c>
      <c r="S96" s="31" t="str">
        <f>IFERROR(VLOOKUP($A96,Maestro_Equipos!$A$4:$AG$242,33,FALSE()),"")</f>
        <v>Monitorear próximo vencimiento</v>
      </c>
    </row>
    <row r="97" spans="1:19" ht="15" customHeight="1">
      <c r="A97" t="str" cm="1">
        <f t="array" ref="A97">IFERROR(INDEX(_xlfn._xlws.FILTER(Maestro_Equipos!$A$4:$A$242,Maestro_Equipos!$A$4:$A$242&lt;&gt;""),ROWS($A$4:A97)),"")</f>
        <v>MD-28</v>
      </c>
      <c r="B97" t="str">
        <f>IFERROR(_xlfn.XLOOKUP($A97,Maestro_Equipos!$A$4:$A$242,Maestro_Equipos!$B$4:$B$242,""),"")</f>
        <v>Excavadora</v>
      </c>
      <c r="C97" t="str">
        <f>IFERROR(_xlfn.XLOOKUP($A97,Maestro_Equipos!$A$4:$A$242,Maestro_Equipos!$C$4:$C$242,""),"")</f>
        <v>Maquinaria Pesada</v>
      </c>
      <c r="D97" t="str">
        <f>IFERROR(VLOOKUP($A94,Maestro_Equipos!$A$4:$Z$242,9,FALSE),"")</f>
        <v>HORAS</v>
      </c>
      <c r="E97">
        <f>IFERROR(IF($D97="KM",_xlfn.XLOOKUP($A97,Maestro_Equipos!$A:$A,Maestro_Equipos!$N:$N,""),_xlfn.XLOOKUP($A97,Maestro_Equipos!$A:$A,Maestro_Equipos!$M:$M,"")),"")</f>
        <v>21615</v>
      </c>
      <c r="F97">
        <f>IFERROR(_xlfn.XLOOKUP($A97,Maestro_Equipos!$A:$A,Maestro_Equipos!$R:$R,"")+_xlfn.XLOOKUP($A97,Maestro_Equipos!$A:$A,Maestro_Equipos!$J:$J,""),"")</f>
        <v>21695</v>
      </c>
      <c r="G97">
        <f>IFERROR(_xlfn.XLOOKUP($A97,Maestro_Equipos!$A:$A,Maestro_Equipos!$K:$K,""),"")</f>
        <v>2.2999999999999998</v>
      </c>
      <c r="H97">
        <f>IFERROR(IF(OR($E97="",$F97="",$G97="",$G97&lt;=0),"",ROUND(($F97-$E97)/$G97,0)),"")</f>
        <v>35</v>
      </c>
      <c r="I97" s="71">
        <f ca="1">IFERROR(IF($H97="","",TODAY()+$H97),"")</f>
        <v>46275</v>
      </c>
      <c r="J97" s="5" t="str">
        <f>IFERROR(INDEX(Maestro_Equipos!$V$4:$V$242,MATCH($A97,Maestro_Equipos!$A$4:$A$242,0)),"")</f>
        <v>Operativo</v>
      </c>
      <c r="K97" s="35">
        <f>IFERROR(
   SUMIFS(Mantenciones!$I:$I,Mantenciones!$B:$B,$A97)
 + SUMIFS('Compras PM'!$F:$F,'Compras PM'!$C:$C,$A97),0)</f>
        <v>231847.7</v>
      </c>
      <c r="L97" s="28" t="str">
        <f>IF($J97="Fuera de Servicio","NO PROGRAMAR",IF($H97="","SIN DATOS",IF($H97&lt;=0,"VENCIDA",IF($H97&lt;=7,"CRÍTICA",IF($H97&lt;=15,"ALTA",IF($H97&lt;=30,"MEDIA","BAJA"))))))</f>
        <v>BAJA</v>
      </c>
      <c r="M97" s="53" cm="1">
        <f t="array" ref="M97">IFERROR(_xlfn.AGGREGATE(14,6,Mantenciones!$A$3:$A$9916/(Mantenciones!$B$3:$B$9916=$A97),1),"")</f>
        <v>46121</v>
      </c>
      <c r="N97" s="29" cm="1">
        <f t="array" ref="N97">IFERROR(_xlfn.AGGREGATE(14,6,'Compras PM'!$A$4:$A$10029/('Compras PM'!$C$4:$C$10029=$A97),1),"")</f>
        <v>46084.6612838773</v>
      </c>
      <c r="O97" s="29">
        <f>IFERROR(VLOOKUP($A97,Maestro_Equipos!$A$4:$AG$242,27,FALSE()),"")</f>
        <v>46105</v>
      </c>
      <c r="P97" s="30">
        <f ca="1">IFERROR(IF($N97="","",IF(OR($M97="",$M97&lt;$N97),TODAY()-$N97,$M97-$N97)),"")</f>
        <v>36.338716122700134</v>
      </c>
      <c r="Q97" s="30">
        <f ca="1">IFERROR(IF($O97="","",IF(OR($M97="",$M97&lt;$O97),TODAY()-$O97,$M97-$O97)),"")</f>
        <v>16</v>
      </c>
      <c r="R97" s="28" t="str">
        <f>IF($O97="","SIN SALIDA",IF(OR($M97="",$M97&lt;$O97),"PENDIENTE","REALIZADA"))</f>
        <v>REALIZADA</v>
      </c>
      <c r="S97" s="31" t="str">
        <f>IFERROR(VLOOKUP($A97,Maestro_Equipos!$A$4:$AG$242,33,FALSE()),"")</f>
        <v>Monitorear próximo vencimiento</v>
      </c>
    </row>
    <row r="98" spans="1:19" ht="15" customHeight="1">
      <c r="A98" s="61" t="str" cm="1">
        <f t="array" ref="A98">IFERROR(INDEX(_xlfn._xlws.FILTER(Maestro_Equipos!$A$4:$A$242,Maestro_Equipos!$A$4:$A$242&lt;&gt;""),ROWS($A$4:A98)),"")</f>
        <v>MD-33</v>
      </c>
      <c r="B98" s="61" t="str">
        <f>IFERROR(_xlfn.XLOOKUP($A98,Maestro_Equipos!$A$4:$A$242,Maestro_Equipos!$B$4:$B$242,""),"")</f>
        <v>Excavadora</v>
      </c>
      <c r="C98" s="61" t="str">
        <f>IFERROR(_xlfn.XLOOKUP($A98,Maestro_Equipos!$A$4:$A$242,Maestro_Equipos!$C$4:$C$242,""),"")</f>
        <v>Maquinaria Pesada</v>
      </c>
      <c r="D98" s="61" t="str">
        <f>IFERROR(VLOOKUP($A95,Maestro_Equipos!$A$4:$Z$242,9,FALSE),"")</f>
        <v>HORAS</v>
      </c>
      <c r="E98" s="61">
        <f>IFERROR(IF($D98="KM",_xlfn.XLOOKUP($A98,Maestro_Equipos!$A:$A,Maestro_Equipos!$N:$N,""),_xlfn.XLOOKUP($A98,Maestro_Equipos!$A:$A,Maestro_Equipos!$M:$M,"")),"")</f>
        <v>10128</v>
      </c>
      <c r="F98" s="61">
        <f>IFERROR(_xlfn.XLOOKUP($A98,Maestro_Equipos!$A:$A,Maestro_Equipos!$R:$R,"")+_xlfn.XLOOKUP($A98,Maestro_Equipos!$A:$A,Maestro_Equipos!$J:$J,""),"")</f>
        <v>10615</v>
      </c>
      <c r="G98" s="61">
        <f>IFERROR(_xlfn.XLOOKUP($A98,Maestro_Equipos!$A:$A,Maestro_Equipos!$K:$K,""),"")</f>
        <v>0</v>
      </c>
      <c r="H98" s="61" t="str">
        <f>IFERROR(IF(OR($E98="",$F98="",$G98="",$G98&lt;=0),"",ROUND(($F98-$E98)/$G98,0)),"")</f>
        <v/>
      </c>
      <c r="I98" s="62" t="str">
        <f ca="1">IFERROR(IF($H98="","",TODAY()+$H98),"")</f>
        <v/>
      </c>
      <c r="J98" s="63" t="str">
        <f>IFERROR(INDEX(Maestro_Equipos!$V$4:$V$242,MATCH($A98,Maestro_Equipos!$A$4:$A$242,0)),"")</f>
        <v>Taller</v>
      </c>
      <c r="K98" s="64">
        <f>IFERROR(
   SUMIFS(Mantenciones!$I:$I,Mantenciones!$B:$B,$A98)
 + SUMIFS('Compras PM'!$F:$F,'Compras PM'!$C:$C,$A98),0)</f>
        <v>0</v>
      </c>
      <c r="L98" s="65" t="str">
        <f>IF($J98="Fuera de Servicio","NO PROGRAMAR",IF($H98="","SIN DATOS",IF($H98&lt;=0,"VENCIDA",IF($H98&lt;=7,"CRÍTICA",IF($H98&lt;=15,"ALTA",IF($H98&lt;=30,"MEDIA","BAJA"))))))</f>
        <v>SIN DATOS</v>
      </c>
      <c r="M98" s="66" cm="1">
        <f t="array" ref="M98">IFERROR(_xlfn.AGGREGATE(14,6,Mantenciones!$A$3:$A$9916/(Mantenciones!$B$3:$B$9916=$A98),1),"")</f>
        <v>45215</v>
      </c>
      <c r="N98" s="67" t="str" cm="1">
        <f t="array" ref="N98">IFERROR(_xlfn.AGGREGATE(14,6,'Compras PM'!$A$4:$A$10029/('Compras PM'!$C$4:$C$10029=$A98),1),"")</f>
        <v/>
      </c>
      <c r="O98" s="67" t="str">
        <f>IFERROR(VLOOKUP($A98,Maestro_Equipos!$A$4:$AG$242,27,FALSE()),"")</f>
        <v/>
      </c>
      <c r="P98" s="68" t="str">
        <f ca="1">IFERROR(IF($N98="","",IF(OR($M98="",$M98&lt;$N98),TODAY()-$N98,$M98-$N98)),"")</f>
        <v/>
      </c>
      <c r="Q98" s="68" t="str">
        <f ca="1">IFERROR(IF($O98="","",IF(OR($M98="",$M98&lt;$O98),TODAY()-$O98,$M98-$O98)),"")</f>
        <v/>
      </c>
      <c r="R98" s="65" t="str">
        <f>IF($O98="","SIN SALIDA",IF(OR($M98="",$M98&lt;$O98),"PENDIENTE","REALIZADA"))</f>
        <v>SIN SALIDA</v>
      </c>
      <c r="S98" s="69" t="str">
        <f>IFERROR(VLOOKUP($A98,Maestro_Equipos!$A$4:$AG$242,33,FALSE()),"")</f>
        <v>Monitorear próximo vencimiento</v>
      </c>
    </row>
    <row r="99" spans="1:19" ht="15" customHeight="1">
      <c r="A99" t="str" cm="1">
        <f t="array" ref="A99">IFERROR(INDEX(_xlfn._xlws.FILTER(Maestro_Equipos!$A$4:$A$242,Maestro_Equipos!$A$4:$A$242&lt;&gt;""),ROWS($A$4:A99)),"")</f>
        <v>MD-36</v>
      </c>
      <c r="B99" t="str">
        <f>IFERROR(_xlfn.XLOOKUP($A99,Maestro_Equipos!$A$4:$A$242,Maestro_Equipos!$B$4:$B$242,""),"")</f>
        <v>Cargador Frontal</v>
      </c>
      <c r="C99" t="str">
        <f>IFERROR(_xlfn.XLOOKUP($A99,Maestro_Equipos!$A$4:$A$242,Maestro_Equipos!$C$4:$C$242,""),"")</f>
        <v>Maquinaria Pesada</v>
      </c>
      <c r="D99" t="str">
        <f>IFERROR(_xlfn.XLOOKUP($A99,Maestro_Equipos!$A:$A,Maestro_Equipos!$I:$I,""),"")</f>
        <v>HORAS</v>
      </c>
      <c r="E99">
        <f>IFERROR(IF($D99="KM",_xlfn.XLOOKUP($A99,Maestro_Equipos!$A:$A,Maestro_Equipos!$N:$N,""),_xlfn.XLOOKUP($A99,Maestro_Equipos!$A:$A,Maestro_Equipos!$M:$M,"")),"")</f>
        <v>27836</v>
      </c>
      <c r="F99">
        <f>IFERROR(_xlfn.XLOOKUP($A99,Maestro_Equipos!$A:$A,Maestro_Equipos!$R:$R,"")+_xlfn.XLOOKUP($A99,Maestro_Equipos!$A:$A,Maestro_Equipos!$J:$J,""),"")</f>
        <v>24682</v>
      </c>
      <c r="G99">
        <f>IFERROR(_xlfn.XLOOKUP($A99,Maestro_Equipos!$A:$A,Maestro_Equipos!$K:$K,""),"")</f>
        <v>0.8</v>
      </c>
      <c r="H99">
        <f>IFERROR(IF(OR($E99="",$F99="",$G99="",$G99&lt;=0),"",ROUND(($F99-$E99)/$G99,0)),"")</f>
        <v>-3943</v>
      </c>
      <c r="I99" s="71">
        <f ca="1">IFERROR(IF($H99="","",TODAY()+$H99),"")</f>
        <v>42297</v>
      </c>
      <c r="J99" s="5" t="str">
        <f>IFERROR(INDEX(Maestro_Equipos!$V$4:$V$242,MATCH($A99,Maestro_Equipos!$A$4:$A$242,0)),"")</f>
        <v>Taller</v>
      </c>
      <c r="K99" s="35">
        <f>IFERROR(
   SUMIFS(Mantenciones!$I:$I,Mantenciones!$B:$B,$A99)
 + SUMIFS('Compras PM'!$F:$F,'Compras PM'!$C:$C,$A99),0)</f>
        <v>634845.96</v>
      </c>
      <c r="L99" s="28" t="str">
        <f>IF($J99="Fuera de Servicio","NO PROGRAMAR",IF($H99="","SIN DATOS",IF($H99&lt;=0,"VENCIDA",IF($H99&lt;=7,"CRÍTICA",IF($H99&lt;=15,"ALTA",IF($H99&lt;=30,"MEDIA","BAJA"))))))</f>
        <v>VENCIDA</v>
      </c>
      <c r="M99" s="53" cm="1">
        <f t="array" ref="M99">IFERROR(_xlfn.AGGREGATE(14,6,Mantenciones!$A$3:$A$9916/(Mantenciones!$B$3:$B$9916=$A99),1),"")</f>
        <v>45204</v>
      </c>
      <c r="N99" s="29" cm="1">
        <f t="array" ref="N99">IFERROR(_xlfn.AGGREGATE(14,6,'Compras PM'!$A$4:$A$10029/('Compras PM'!$C$4:$C$10029=$A99),1),"")</f>
        <v>46118.4804357986</v>
      </c>
      <c r="O99" s="29" t="str">
        <f>IFERROR(VLOOKUP($A99,Maestro_Equipos!$A$4:$AG$242,27,FALSE()),"")</f>
        <v/>
      </c>
      <c r="P99" s="30">
        <f ca="1">IFERROR(IF($N99="","",IF(OR($M99="",$M99&lt;$N99),TODAY()-$N99,$M99-$N99)),"")</f>
        <v>121.5195642014005</v>
      </c>
      <c r="Q99" s="30" t="str">
        <f ca="1">IFERROR(IF($O99="","",IF(OR($M99="",$M99&lt;$O99),TODAY()-$O99,$M99-$O99)),"")</f>
        <v/>
      </c>
      <c r="R99" s="28" t="str">
        <f>IF($O99="","SIN SALIDA",IF(OR($M99="",$M99&lt;$O99),"PENDIENTE","REALIZADA"))</f>
        <v>SIN SALIDA</v>
      </c>
      <c r="S99" s="31" t="str">
        <f>IFERROR(VLOOKUP($A99,Maestro_Equipos!$A$4:$AG$242,33,FALSE()),"")</f>
        <v>Monitorear próximo vencimiento</v>
      </c>
    </row>
    <row r="100" spans="1:19" ht="15" customHeight="1">
      <c r="A100" t="str" cm="1">
        <f t="array" ref="A100">IFERROR(INDEX(_xlfn._xlws.FILTER(Maestro_Equipos!$A$4:$A$242,Maestro_Equipos!$A$4:$A$242&lt;&gt;""),ROWS($A$4:A100)),"")</f>
        <v>MD-37</v>
      </c>
      <c r="B100" t="str">
        <f>IFERROR(_xlfn.XLOOKUP($A100,Maestro_Equipos!$A$4:$A$242,Maestro_Equipos!$B$4:$B$242,""),"")</f>
        <v>Cargador Frontal</v>
      </c>
      <c r="C100" t="str">
        <f>IFERROR(_xlfn.XLOOKUP($A100,Maestro_Equipos!$A$4:$A$242,Maestro_Equipos!$C$4:$C$242,""),"")</f>
        <v>Maquinaria Pesada</v>
      </c>
      <c r="D100" t="str">
        <f>IFERROR(_xlfn.XLOOKUP($A100,Maestro_Equipos!$A:$A,Maestro_Equipos!$I:$I,""),"")</f>
        <v>HORAS</v>
      </c>
      <c r="E100">
        <f>IFERROR(IF($D100="KM",_xlfn.XLOOKUP($A100,Maestro_Equipos!$A:$A,Maestro_Equipos!$N:$N,""),_xlfn.XLOOKUP($A100,Maestro_Equipos!$A:$A,Maestro_Equipos!$M:$M,"")),"")</f>
        <v>14098</v>
      </c>
      <c r="F100">
        <f>IFERROR(_xlfn.XLOOKUP($A100,Maestro_Equipos!$A:$A,Maestro_Equipos!$R:$R,"")+_xlfn.XLOOKUP($A100,Maestro_Equipos!$A:$A,Maestro_Equipos!$J:$J,""),"")</f>
        <v>14332</v>
      </c>
      <c r="G100">
        <f>IFERROR(_xlfn.XLOOKUP($A100,Maestro_Equipos!$A:$A,Maestro_Equipos!$K:$K,""),"")</f>
        <v>0</v>
      </c>
      <c r="H100" t="str">
        <f>IFERROR(IF(OR($E100="",$F100="",$G100="",$G100&lt;=0),"",ROUND(($F100-$E100)/$G100,0)),"")</f>
        <v/>
      </c>
      <c r="I100" s="71" t="str">
        <f ca="1">IFERROR(IF($H100="","",TODAY()+$H100),"")</f>
        <v/>
      </c>
      <c r="J100" s="5" t="str">
        <f>IFERROR(INDEX(Maestro_Equipos!$V$4:$V$242,MATCH($A100,Maestro_Equipos!$A$4:$A$242,0)),"")</f>
        <v>Operativo</v>
      </c>
      <c r="K100" s="35">
        <f>IFERROR(
   SUMIFS(Mantenciones!$I:$I,Mantenciones!$B:$B,$A100)
 + SUMIFS('Compras PM'!$F:$F,'Compras PM'!$C:$C,$A100),0)</f>
        <v>0</v>
      </c>
      <c r="L100" s="28" t="str">
        <f>IF($J100="Fuera de Servicio","NO PROGRAMAR",IF($H100="","SIN DATOS",IF($H100&lt;=0,"VENCIDA",IF($H100&lt;=7,"CRÍTICA",IF($H100&lt;=15,"ALTA",IF($H100&lt;=30,"MEDIA","BAJA"))))))</f>
        <v>SIN DATOS</v>
      </c>
      <c r="M100" s="53" cm="1">
        <f t="array" ref="M100">IFERROR(_xlfn.AGGREGATE(14,6,Mantenciones!$A$3:$A$9916/(Mantenciones!$B$3:$B$9916=$A100),1),"")</f>
        <v>46105</v>
      </c>
      <c r="N100" s="29" t="str" cm="1">
        <f t="array" ref="N100">IFERROR(_xlfn.AGGREGATE(14,6,'Compras PM'!$A$4:$A$10029/('Compras PM'!$C$4:$C$10029=$A100),1),"")</f>
        <v/>
      </c>
      <c r="O100" s="29">
        <f>IFERROR(VLOOKUP($A100,Maestro_Equipos!$A$4:$AG$242,27,FALSE()),"")</f>
        <v>46105</v>
      </c>
      <c r="P100" s="30" t="str">
        <f ca="1">IFERROR(IF($N100="","",IF(OR($M100="",$M100&lt;$N100),TODAY()-$N100,$M100-$N100)),"")</f>
        <v/>
      </c>
      <c r="Q100" s="30">
        <f ca="1">IFERROR(IF($O100="","",IF(OR($M100="",$M100&lt;$O100),TODAY()-$O100,$M100-$O100)),"")</f>
        <v>0</v>
      </c>
      <c r="R100" s="28" t="str">
        <f>IF($O100="","SIN SALIDA",IF(OR($M100="",$M100&lt;$O100),"PENDIENTE","REALIZADA"))</f>
        <v>REALIZADA</v>
      </c>
      <c r="S100" s="31" t="str">
        <f>IFERROR(VLOOKUP($A100,Maestro_Equipos!$A$4:$AG$242,33,FALSE()),"")</f>
        <v>Monitorear próximo vencimiento</v>
      </c>
    </row>
    <row r="101" spans="1:19" ht="15" customHeight="1">
      <c r="A101" s="61" t="str" cm="1">
        <f t="array" ref="A101">IFERROR(INDEX(_xlfn._xlws.FILTER(Maestro_Equipos!$A$4:$A$242,Maestro_Equipos!$A$4:$A$242&lt;&gt;""),ROWS($A$4:A101)),"")</f>
        <v>MD-38</v>
      </c>
      <c r="B101" s="61" t="str">
        <f>IFERROR(_xlfn.XLOOKUP($A101,Maestro_Equipos!$A$4:$A$242,Maestro_Equipos!$B$4:$B$242,""),"")</f>
        <v>Rodillo</v>
      </c>
      <c r="C101" s="61" t="str">
        <f>IFERROR(_xlfn.XLOOKUP($A101,Maestro_Equipos!$A$4:$A$242,Maestro_Equipos!$C$4:$C$242,""),"")</f>
        <v>Maquinaria Pesada</v>
      </c>
      <c r="D101" s="61" t="str">
        <f>IFERROR(VLOOKUP($A98,Maestro_Equipos!$A$4:$Z$242,9,FALSE),"")</f>
        <v>HORAS</v>
      </c>
      <c r="E101" s="61">
        <f>IFERROR(IF($D101="KM",_xlfn.XLOOKUP($A101,Maestro_Equipos!$A:$A,Maestro_Equipos!$N:$N,""),_xlfn.XLOOKUP($A101,Maestro_Equipos!$A:$A,Maestro_Equipos!$M:$M,"")),"")</f>
        <v>7947</v>
      </c>
      <c r="F101" s="61">
        <f>IFERROR(_xlfn.XLOOKUP($A101,Maestro_Equipos!$A:$A,Maestro_Equipos!$R:$R,"")+_xlfn.XLOOKUP($A101,Maestro_Equipos!$A:$A,Maestro_Equipos!$J:$J,""),"")</f>
        <v>8417</v>
      </c>
      <c r="G101" s="61">
        <f>IFERROR(_xlfn.XLOOKUP($A101,Maestro_Equipos!$A:$A,Maestro_Equipos!$K:$K,""),"")</f>
        <v>0</v>
      </c>
      <c r="H101" s="61" t="str">
        <f>IFERROR(IF(OR($E101="",$F101="",$G101="",$G101&lt;=0),"",ROUND(($F101-$E101)/$G101,0)),"")</f>
        <v/>
      </c>
      <c r="I101" s="62" t="str">
        <f ca="1">IFERROR(IF($H101="","",TODAY()+$H101),"")</f>
        <v/>
      </c>
      <c r="J101" s="63" t="str">
        <f>IFERROR(INDEX(Maestro_Equipos!$V$4:$V$242,MATCH($A101,Maestro_Equipos!$A$4:$A$242,0)),"")</f>
        <v>Operativo</v>
      </c>
      <c r="K101" s="64">
        <f>IFERROR(
   SUMIFS(Mantenciones!$I:$I,Mantenciones!$B:$B,$A101)
 + SUMIFS('Compras PM'!$F:$F,'Compras PM'!$C:$C,$A101),0)</f>
        <v>234660.86</v>
      </c>
      <c r="L101" s="65" t="str">
        <f>IF($J101="Fuera de Servicio","NO PROGRAMAR",IF($H101="","SIN DATOS",IF($H101&lt;=0,"VENCIDA",IF($H101&lt;=7,"CRÍTICA",IF($H101&lt;=15,"ALTA",IF($H101&lt;=30,"MEDIA","BAJA"))))))</f>
        <v>SIN DATOS</v>
      </c>
      <c r="M101" s="66" cm="1">
        <f t="array" ref="M101">IFERROR(_xlfn.AGGREGATE(14,6,Mantenciones!$A$3:$A$9916/(Mantenciones!$B$3:$B$9916=$A101),1),"")</f>
        <v>45273</v>
      </c>
      <c r="N101" s="67" cm="1">
        <f t="array" ref="N101">IFERROR(_xlfn.AGGREGATE(14,6,'Compras PM'!$A$4:$A$10029/('Compras PM'!$C$4:$C$10029=$A101),1),"")</f>
        <v>46154.391135497703</v>
      </c>
      <c r="O101" s="67" t="str">
        <f>IFERROR(VLOOKUP($A101,Maestro_Equipos!$A$4:$AG$242,27,FALSE()),"")</f>
        <v/>
      </c>
      <c r="P101" s="68">
        <f ca="1">IFERROR(IF($N101="","",IF(OR($M101="",$M101&lt;$N101),TODAY()-$N101,$M101-$N101)),"")</f>
        <v>85.608864502297365</v>
      </c>
      <c r="Q101" s="68" t="str">
        <f ca="1">IFERROR(IF($O101="","",IF(OR($M101="",$M101&lt;$O101),TODAY()-$O101,$M101-$O101)),"")</f>
        <v/>
      </c>
      <c r="R101" s="65" t="str">
        <f>IF($O101="","SIN SALIDA",IF(OR($M101="",$M101&lt;$O101),"PENDIENTE","REALIZADA"))</f>
        <v>SIN SALIDA</v>
      </c>
      <c r="S101" s="69" t="str">
        <f>IFERROR(VLOOKUP($A101,Maestro_Equipos!$A$4:$AG$242,33,FALSE()),"")</f>
        <v>Hacer seguimiento al taller y cerrar report</v>
      </c>
    </row>
    <row r="102" spans="1:19" ht="15" customHeight="1">
      <c r="A102" s="61" t="str" cm="1">
        <f t="array" ref="A102">IFERROR(INDEX(_xlfn._xlws.FILTER(Maestro_Equipos!$A$4:$A$242,Maestro_Equipos!$A$4:$A$242&lt;&gt;""),ROWS($A$4:A102)),"")</f>
        <v>MD-39</v>
      </c>
      <c r="B102" s="61" t="str">
        <f>IFERROR(_xlfn.XLOOKUP($A102,Maestro_Equipos!$A$4:$A$242,Maestro_Equipos!$B$4:$B$242,""),"")</f>
        <v>Motoniveladora</v>
      </c>
      <c r="C102" s="61" t="str">
        <f>IFERROR(_xlfn.XLOOKUP($A102,Maestro_Equipos!$A$4:$A$242,Maestro_Equipos!$C$4:$C$242,""),"")</f>
        <v>Maquinaria Pesada</v>
      </c>
      <c r="D102" s="61" t="str">
        <f>IFERROR(VLOOKUP($A99,Maestro_Equipos!$A$4:$Z$242,9,FALSE),"")</f>
        <v>HORAS</v>
      </c>
      <c r="E102" s="61">
        <f>IFERROR(IF($D102="KM",_xlfn.XLOOKUP($A102,Maestro_Equipos!$A:$A,Maestro_Equipos!$N:$N,""),_xlfn.XLOOKUP($A102,Maestro_Equipos!$A:$A,Maestro_Equipos!$M:$M,"")),"")</f>
        <v>9000.5</v>
      </c>
      <c r="F102" s="61">
        <f>IFERROR(_xlfn.XLOOKUP($A102,Maestro_Equipos!$A:$A,Maestro_Equipos!$R:$R,"")+_xlfn.XLOOKUP($A102,Maestro_Equipos!$A:$A,Maestro_Equipos!$J:$J,""),"")</f>
        <v>15001</v>
      </c>
      <c r="G102" s="61">
        <f>IFERROR(_xlfn.XLOOKUP($A102,Maestro_Equipos!$A:$A,Maestro_Equipos!$K:$K,""),"")</f>
        <v>28.1</v>
      </c>
      <c r="H102" s="61">
        <f>IFERROR(IF(OR($E102="",$F102="",$G102="",$G102&lt;=0),"",ROUND(($F102-$E102)/$G102,0)),"")</f>
        <v>214</v>
      </c>
      <c r="I102" s="62">
        <f ca="1">IFERROR(IF($H102="","",TODAY()+$H102),"")</f>
        <v>46454</v>
      </c>
      <c r="J102" s="63" t="str">
        <f>IFERROR(INDEX(Maestro_Equipos!$V$4:$V$242,MATCH($A102,Maestro_Equipos!$A$4:$A$242,0)),"")</f>
        <v>Operativo</v>
      </c>
      <c r="K102" s="64">
        <f>IFERROR(
   SUMIFS(Mantenciones!$I:$I,Mantenciones!$B:$B,$A102)
 + SUMIFS('Compras PM'!$F:$F,'Compras PM'!$C:$C,$A102),0)</f>
        <v>603437.1</v>
      </c>
      <c r="L102" s="65" t="str">
        <f>IF($J102="Fuera de Servicio","NO PROGRAMAR",IF($H102="","SIN DATOS",IF($H102&lt;=0,"VENCIDA",IF($H102&lt;=7,"CRÍTICA",IF($H102&lt;=15,"ALTA",IF($H102&lt;=30,"MEDIA","BAJA"))))))</f>
        <v>BAJA</v>
      </c>
      <c r="M102" s="66" cm="1">
        <f t="array" ref="M102">IFERROR(_xlfn.AGGREGATE(14,6,Mantenciones!$A$3:$A$9916/(Mantenciones!$B$3:$B$9916=$A102),1),"")</f>
        <v>46085</v>
      </c>
      <c r="N102" s="67" cm="1">
        <f t="array" ref="N102">IFERROR(_xlfn.AGGREGATE(14,6,'Compras PM'!$A$4:$A$10029/('Compras PM'!$C$4:$C$10029=$A102),1),"")</f>
        <v>46196</v>
      </c>
      <c r="O102" s="67">
        <f>IFERROR(VLOOKUP($A102,Maestro_Equipos!$A$4:$AG$242,27,FALSE()),"")</f>
        <v>46085</v>
      </c>
      <c r="P102" s="68">
        <f ca="1">IFERROR(IF($N102="","",IF(OR($M102="",$M102&lt;$N102),TODAY()-$N102,$M102-$N102)),"")</f>
        <v>44</v>
      </c>
      <c r="Q102" s="68">
        <f ca="1">IFERROR(IF($O102="","",IF(OR($M102="",$M102&lt;$O102),TODAY()-$O102,$M102-$O102)),"")</f>
        <v>0</v>
      </c>
      <c r="R102" s="65" t="str">
        <f>IF($O102="","SIN SALIDA",IF(OR($M102="",$M102&lt;$O102),"PENDIENTE","REALIZADA"))</f>
        <v>REALIZADA</v>
      </c>
      <c r="S102" s="69" t="str">
        <f>IFERROR(VLOOKUP($A102,Maestro_Equipos!$A$4:$AG$242,33,FALSE()),"")</f>
        <v>Monitorear próximo vencimiento</v>
      </c>
    </row>
    <row r="103" spans="1:19" ht="15" customHeight="1">
      <c r="A103" t="str" cm="1">
        <f t="array" ref="A103">IFERROR(INDEX(_xlfn._xlws.FILTER(Maestro_Equipos!$A$4:$A$242,Maestro_Equipos!$A$4:$A$242&lt;&gt;""),ROWS($A$4:A103)),"")</f>
        <v>MD-41</v>
      </c>
      <c r="B103" t="str">
        <f>IFERROR(_xlfn.XLOOKUP($A103,Maestro_Equipos!$A$4:$A$242,Maestro_Equipos!$B$4:$B$242,""),"")</f>
        <v>Rodillo</v>
      </c>
      <c r="C103" t="str">
        <f>IFERROR(_xlfn.XLOOKUP($A103,Maestro_Equipos!$A$4:$A$242,Maestro_Equipos!$C$4:$C$242,""),"")</f>
        <v>Maquinaria Pesada</v>
      </c>
      <c r="D103" t="str">
        <f>IFERROR(_xlfn.XLOOKUP($A103,Maestro_Equipos!$A:$A,Maestro_Equipos!$I:$I,""),"")</f>
        <v>HORAS</v>
      </c>
      <c r="E103">
        <f>IFERROR(IF($D103="KM",_xlfn.XLOOKUP($A103,Maestro_Equipos!$A:$A,Maestro_Equipos!$N:$N,""),_xlfn.XLOOKUP($A103,Maestro_Equipos!$A:$A,Maestro_Equipos!$M:$M,"")),"")</f>
        <v>7219</v>
      </c>
      <c r="F103">
        <f>IFERROR(_xlfn.XLOOKUP($A103,Maestro_Equipos!$A:$A,Maestro_Equipos!$R:$R,"")+_xlfn.XLOOKUP($A103,Maestro_Equipos!$A:$A,Maestro_Equipos!$J:$J,""),"")</f>
        <v>5889</v>
      </c>
      <c r="G103">
        <f>IFERROR(_xlfn.XLOOKUP($A103,Maestro_Equipos!$A:$A,Maestro_Equipos!$K:$K,""),"")</f>
        <v>1.6</v>
      </c>
      <c r="H103">
        <f>IFERROR(IF(OR($E103="",$F103="",$G103="",$G103&lt;=0),"",ROUND(($F103-$E103)/$G103,0)),"")</f>
        <v>-831</v>
      </c>
      <c r="I103" s="71">
        <f ca="1">IFERROR(IF($H103="","",TODAY()+$H103),"")</f>
        <v>45409</v>
      </c>
      <c r="J103" s="5" t="str">
        <f>IFERROR(INDEX(Maestro_Equipos!$V$4:$V$242,MATCH($A103,Maestro_Equipos!$A$4:$A$242,0)),"")</f>
        <v>Operativo</v>
      </c>
      <c r="K103" s="35">
        <f>IFERROR(
   SUMIFS(Mantenciones!$I:$I,Mantenciones!$B:$B,$A103)
 + SUMIFS('Compras PM'!$F:$F,'Compras PM'!$C:$C,$A103),0)</f>
        <v>0</v>
      </c>
      <c r="L103" s="28" t="str">
        <f>IF($J103="Fuera de Servicio","NO PROGRAMAR",IF($H103="","SIN DATOS",IF($H103&lt;=0,"VENCIDA",IF($H103&lt;=7,"CRÍTICA",IF($H103&lt;=15,"ALTA",IF($H103&lt;=30,"MEDIA","BAJA"))))))</f>
        <v>VENCIDA</v>
      </c>
      <c r="M103" s="53" cm="1">
        <f t="array" ref="M103">IFERROR(_xlfn.AGGREGATE(14,6,Mantenciones!$A$3:$A$9916/(Mantenciones!$B$3:$B$9916=$A103),1),"")</f>
        <v>44757</v>
      </c>
      <c r="N103" s="29" t="str" cm="1">
        <f t="array" ref="N103">IFERROR(_xlfn.AGGREGATE(14,6,'Compras PM'!$A$4:$A$10029/('Compras PM'!$C$4:$C$10029=$A103),1),"")</f>
        <v/>
      </c>
      <c r="O103" s="29">
        <f>IFERROR(VLOOKUP($A103,Maestro_Equipos!$A$4:$AG$242,27,FALSE()),"")</f>
        <v>46073</v>
      </c>
      <c r="P103" s="30" t="str">
        <f ca="1">IFERROR(IF($N103="","",IF(OR($M103="",$M103&lt;$N103),TODAY()-$N103,$M103-$N103)),"")</f>
        <v/>
      </c>
      <c r="Q103" s="30">
        <f ca="1">IFERROR(IF($O103="","",IF(OR($M103="",$M103&lt;$O103),TODAY()-$O103,$M103-$O103)),"")</f>
        <v>167</v>
      </c>
      <c r="R103" s="28" t="str">
        <f>IF($O103="","SIN SALIDA",IF(OR($M103="",$M103&lt;$O103),"PENDIENTE","REALIZADA"))</f>
        <v>PENDIENTE</v>
      </c>
      <c r="S103" s="31" t="str">
        <f>IFERROR(VLOOKUP($A103,Maestro_Equipos!$A$4:$AG$242,33,FALSE()),"")</f>
        <v>Monitorear próximo vencimiento</v>
      </c>
    </row>
    <row r="104" spans="1:19" ht="15" customHeight="1">
      <c r="A104" t="str" cm="1">
        <f t="array" ref="A104">IFERROR(INDEX(_xlfn._xlws.FILTER(Maestro_Equipos!$A$4:$A$242,Maestro_Equipos!$A$4:$A$242&lt;&gt;""),ROWS($A$4:A104)),"")</f>
        <v>MD-42</v>
      </c>
      <c r="B104" t="str">
        <f>IFERROR(_xlfn.XLOOKUP($A104,Maestro_Equipos!$A$4:$A$242,Maestro_Equipos!$B$4:$B$242,""),"")</f>
        <v>Cargador Frontal</v>
      </c>
      <c r="C104" t="str">
        <f>IFERROR(_xlfn.XLOOKUP($A104,Maestro_Equipos!$A$4:$A$242,Maestro_Equipos!$C$4:$C$242,""),"")</f>
        <v>Maquinaria Pesada</v>
      </c>
      <c r="D104" t="str">
        <f>IFERROR(_xlfn.XLOOKUP($A104,Maestro_Equipos!$A:$A,Maestro_Equipos!$I:$I,""),"")</f>
        <v>HORAS</v>
      </c>
      <c r="E104">
        <f>IFERROR(IF($D104="KM",_xlfn.XLOOKUP($A104,Maestro_Equipos!$A:$A,Maestro_Equipos!$N:$N,""),_xlfn.XLOOKUP($A104,Maestro_Equipos!$A:$A,Maestro_Equipos!$M:$M,"")),"")</f>
        <v>0</v>
      </c>
      <c r="F104">
        <f>IFERROR(_xlfn.XLOOKUP($A104,Maestro_Equipos!$A:$A,Maestro_Equipos!$R:$R,"")+_xlfn.XLOOKUP($A104,Maestro_Equipos!$A:$A,Maestro_Equipos!$J:$J,""),"")</f>
        <v>19123</v>
      </c>
      <c r="G104">
        <f>IFERROR(_xlfn.XLOOKUP($A104,Maestro_Equipos!$A:$A,Maestro_Equipos!$K:$K,""),"")</f>
        <v>0</v>
      </c>
      <c r="H104" t="str">
        <f>IFERROR(IF(OR($E104="",$F104="",$G104="",$G104&lt;=0),"",ROUND(($F104-$E104)/$G104,0)),"")</f>
        <v/>
      </c>
      <c r="I104" s="71" t="str">
        <f ca="1">IFERROR(IF($H104="","",TODAY()+$H104),"")</f>
        <v/>
      </c>
      <c r="J104" s="5" t="str">
        <f>IFERROR(INDEX(Maestro_Equipos!$V$4:$V$242,MATCH($A104,Maestro_Equipos!$A$4:$A$242,0)),"")</f>
        <v>Taller</v>
      </c>
      <c r="K104" s="35">
        <f>IFERROR(
   SUMIFS(Mantenciones!$I:$I,Mantenciones!$B:$B,$A104)
 + SUMIFS('Compras PM'!$F:$F,'Compras PM'!$C:$C,$A104),0)</f>
        <v>0</v>
      </c>
      <c r="L104" s="28" t="str">
        <f>IF($J104="Fuera de Servicio","NO PROGRAMAR",IF($H104="","SIN DATOS",IF($H104&lt;=0,"VENCIDA",IF($H104&lt;=7,"CRÍTICA",IF($H104&lt;=15,"ALTA",IF($H104&lt;=30,"MEDIA","BAJA"))))))</f>
        <v>SIN DATOS</v>
      </c>
      <c r="M104" s="53" cm="1">
        <f t="array" ref="M104">IFERROR(_xlfn.AGGREGATE(14,6,Mantenciones!$A$3:$A$9916/(Mantenciones!$B$3:$B$9916=$A104),1),"")</f>
        <v>44718</v>
      </c>
      <c r="N104" s="29" t="str" cm="1">
        <f t="array" ref="N104">IFERROR(_xlfn.AGGREGATE(14,6,'Compras PM'!$A$4:$A$10029/('Compras PM'!$C$4:$C$10029=$A104),1),"")</f>
        <v/>
      </c>
      <c r="O104" s="29" t="str">
        <f>IFERROR(VLOOKUP($A104,Maestro_Equipos!$A$4:$AG$242,27,FALSE()),"")</f>
        <v/>
      </c>
      <c r="P104" s="30" t="str">
        <f ca="1">IFERROR(IF($N104="","",IF(OR($M104="",$M104&lt;$N104),TODAY()-$N104,$M104-$N104)),"")</f>
        <v/>
      </c>
      <c r="Q104" s="30" t="str">
        <f ca="1">IFERROR(IF($O104="","",IF(OR($M104="",$M104&lt;$O104),TODAY()-$O104,$M104-$O104)),"")</f>
        <v/>
      </c>
      <c r="R104" s="28" t="str">
        <f>IF($O104="","SIN SALIDA",IF(OR($M104="",$M104&lt;$O104),"PENDIENTE","REALIZADA"))</f>
        <v>SIN SALIDA</v>
      </c>
      <c r="S104" s="31" t="str">
        <f>IFERROR(VLOOKUP($A104,Maestro_Equipos!$A$4:$AG$242,33,FALSE()),"")</f>
        <v>Monitorear próximo vencimiento</v>
      </c>
    </row>
    <row r="105" spans="1:19" ht="15" customHeight="1">
      <c r="A105" t="str" cm="1">
        <f t="array" ref="A105">IFERROR(INDEX(_xlfn._xlws.FILTER(Maestro_Equipos!$A$4:$A$242,Maestro_Equipos!$A$4:$A$242&lt;&gt;""),ROWS($A$4:A105)),"")</f>
        <v>MD-43</v>
      </c>
      <c r="B105" t="str">
        <f>IFERROR(_xlfn.XLOOKUP($A105,Maestro_Equipos!$A$4:$A$242,Maestro_Equipos!$B$4:$B$242,""),"")</f>
        <v>Excavadora</v>
      </c>
      <c r="C105" t="str">
        <f>IFERROR(_xlfn.XLOOKUP($A105,Maestro_Equipos!$A$4:$A$242,Maestro_Equipos!$C$4:$C$242,""),"")</f>
        <v>Maquinaria Pesada</v>
      </c>
      <c r="D105" t="str">
        <f>IFERROR(_xlfn.XLOOKUP($A105,Maestro_Equipos!$A:$A,Maestro_Equipos!$I:$I,""),"")</f>
        <v>HORAS</v>
      </c>
      <c r="E105">
        <f>IFERROR(IF($D105="KM",_xlfn.XLOOKUP($A105,Maestro_Equipos!$A:$A,Maestro_Equipos!$N:$N,""),_xlfn.XLOOKUP($A105,Maestro_Equipos!$A:$A,Maestro_Equipos!$M:$M,"")),"")</f>
        <v>0</v>
      </c>
      <c r="F105">
        <f>IFERROR(_xlfn.XLOOKUP($A105,Maestro_Equipos!$A:$A,Maestro_Equipos!$R:$R,"")+_xlfn.XLOOKUP($A105,Maestro_Equipos!$A:$A,Maestro_Equipos!$J:$J,""),"")</f>
        <v>9990</v>
      </c>
      <c r="G105">
        <f>IFERROR(_xlfn.XLOOKUP($A105,Maestro_Equipos!$A:$A,Maestro_Equipos!$K:$K,""),"")</f>
        <v>0</v>
      </c>
      <c r="H105" t="str">
        <f>IFERROR(IF(OR($E105="",$F105="",$G105="",$G105&lt;=0),"",ROUND(($F105-$E105)/$G105,0)),"")</f>
        <v/>
      </c>
      <c r="I105" s="71" t="str">
        <f ca="1">IFERROR(IF($H105="","",TODAY()+$H105),"")</f>
        <v/>
      </c>
      <c r="J105" s="5" t="str">
        <f>IFERROR(INDEX(Maestro_Equipos!$V$4:$V$242,MATCH($A105,Maestro_Equipos!$A$4:$A$242,0)),"")</f>
        <v>Taller</v>
      </c>
      <c r="K105" s="35">
        <f>IFERROR(
   SUMIFS(Mantenciones!$I:$I,Mantenciones!$B:$B,$A105)
 + SUMIFS('Compras PM'!$F:$F,'Compras PM'!$C:$C,$A105),0)</f>
        <v>0</v>
      </c>
      <c r="L105" s="28" t="str">
        <f>IF($J105="Fuera de Servicio","NO PROGRAMAR",IF($H105="","SIN DATOS",IF($H105&lt;=0,"VENCIDA",IF($H105&lt;=7,"CRÍTICA",IF($H105&lt;=15,"ALTA",IF($H105&lt;=30,"MEDIA","BAJA"))))))</f>
        <v>SIN DATOS</v>
      </c>
      <c r="M105" s="53" cm="1">
        <f t="array" ref="M105">IFERROR(_xlfn.AGGREGATE(14,6,Mantenciones!$A$3:$A$9916/(Mantenciones!$B$3:$B$9916=$A105),1),"")</f>
        <v>45244</v>
      </c>
      <c r="N105" s="29" t="str" cm="1">
        <f t="array" ref="N105">IFERROR(_xlfn.AGGREGATE(14,6,'Compras PM'!$A$4:$A$10029/('Compras PM'!$C$4:$C$10029=$A105),1),"")</f>
        <v/>
      </c>
      <c r="O105" s="29" t="str">
        <f>IFERROR(VLOOKUP($A105,Maestro_Equipos!$A$4:$AG$242,27,FALSE()),"")</f>
        <v/>
      </c>
      <c r="P105" s="30" t="str">
        <f ca="1">IFERROR(IF($N105="","",IF(OR($M105="",$M105&lt;$N105),TODAY()-$N105,$M105-$N105)),"")</f>
        <v/>
      </c>
      <c r="Q105" s="30" t="str">
        <f ca="1">IFERROR(IF($O105="","",IF(OR($M105="",$M105&lt;$O105),TODAY()-$O105,$M105-$O105)),"")</f>
        <v/>
      </c>
      <c r="R105" s="28" t="str">
        <f>IF($O105="","SIN SALIDA",IF(OR($M105="",$M105&lt;$O105),"PENDIENTE","REALIZADA"))</f>
        <v>SIN SALIDA</v>
      </c>
      <c r="S105" s="31" t="str">
        <f>IFERROR(VLOOKUP($A105,Maestro_Equipos!$A$4:$AG$242,33,FALSE()),"")</f>
        <v>Monitorear próximo vencimiento</v>
      </c>
    </row>
    <row r="106" spans="1:19" ht="15" customHeight="1">
      <c r="A106" t="str" cm="1">
        <f t="array" ref="A106">IFERROR(INDEX(_xlfn._xlws.FILTER(Maestro_Equipos!$A$4:$A$242,Maestro_Equipos!$A$4:$A$242&lt;&gt;""),ROWS($A$4:A106)),"")</f>
        <v>MD-45</v>
      </c>
      <c r="B106" t="str">
        <f>IFERROR(_xlfn.XLOOKUP($A106,Maestro_Equipos!$A$4:$A$242,Maestro_Equipos!$B$4:$B$242,""),"")</f>
        <v>Cargador Frontal</v>
      </c>
      <c r="C106" t="str">
        <f>IFERROR(_xlfn.XLOOKUP($A106,Maestro_Equipos!$A$4:$A$242,Maestro_Equipos!$C$4:$C$242,""),"")</f>
        <v>Maquinaria Pesada</v>
      </c>
      <c r="D106" t="str">
        <f>IFERROR(_xlfn.XLOOKUP($A106,Maestro_Equipos!$A:$A,Maestro_Equipos!$I:$I,""),"")</f>
        <v>HORAS</v>
      </c>
      <c r="E106">
        <f>IFERROR(IF($D106="KM",_xlfn.XLOOKUP($A106,Maestro_Equipos!$A:$A,Maestro_Equipos!$N:$N,""),_xlfn.XLOOKUP($A106,Maestro_Equipos!$A:$A,Maestro_Equipos!$M:$M,"")),"")</f>
        <v>26196</v>
      </c>
      <c r="F106">
        <f>IFERROR(_xlfn.XLOOKUP($A106,Maestro_Equipos!$A:$A,Maestro_Equipos!$R:$R,"")+_xlfn.XLOOKUP($A106,Maestro_Equipos!$A:$A,Maestro_Equipos!$J:$J,""),"")</f>
        <v>26431</v>
      </c>
      <c r="G106">
        <f>IFERROR(_xlfn.XLOOKUP($A106,Maestro_Equipos!$A:$A,Maestro_Equipos!$K:$K,""),"")</f>
        <v>3.7</v>
      </c>
      <c r="H106">
        <f>IFERROR(IF(OR($E106="",$F106="",$G106="",$G106&lt;=0),"",ROUND(($F106-$E106)/$G106,0)),"")</f>
        <v>64</v>
      </c>
      <c r="I106" s="71">
        <f ca="1">IFERROR(IF($H106="","",TODAY()+$H106),"")</f>
        <v>46304</v>
      </c>
      <c r="J106" s="5" t="str">
        <f>IFERROR(INDEX(Maestro_Equipos!$V$4:$V$242,MATCH($A106,Maestro_Equipos!$A$4:$A$242,0)),"")</f>
        <v>Operativo</v>
      </c>
      <c r="K106" s="35">
        <f>IFERROR(
   SUMIFS(Mantenciones!$I:$I,Mantenciones!$B:$B,$A106)
 + SUMIFS('Compras PM'!$F:$F,'Compras PM'!$C:$C,$A106),0)</f>
        <v>120362.55</v>
      </c>
      <c r="L106" s="28" t="str">
        <f>IF($J106="Fuera de Servicio","NO PROGRAMAR",IF($H106="","SIN DATOS",IF($H106&lt;=0,"VENCIDA",IF($H106&lt;=7,"CRÍTICA",IF($H106&lt;=15,"ALTA",IF($H106&lt;=30,"MEDIA","BAJA"))))))</f>
        <v>BAJA</v>
      </c>
      <c r="M106" s="53" cm="1">
        <f t="array" ref="M106">IFERROR(_xlfn.AGGREGATE(14,6,Mantenciones!$A$3:$A$9916/(Mantenciones!$B$3:$B$9916=$A106),1),"")</f>
        <v>46154</v>
      </c>
      <c r="N106" s="29" cm="1">
        <f t="array" ref="N106">IFERROR(_xlfn.AGGREGATE(14,6,'Compras PM'!$A$4:$A$10029/('Compras PM'!$C$4:$C$10029=$A106),1),"")</f>
        <v>46154.380285185202</v>
      </c>
      <c r="O106" s="29">
        <f>IFERROR(VLOOKUP($A106,Maestro_Equipos!$A$4:$AG$242,27,FALSE()),"")</f>
        <v>46148</v>
      </c>
      <c r="P106" s="30">
        <f ca="1">IFERROR(IF($N106="","",IF(OR($M106="",$M106&lt;$N106),TODAY()-$N106,$M106-$N106)),"")</f>
        <v>85.619714814798499</v>
      </c>
      <c r="Q106" s="30">
        <f ca="1">IFERROR(IF($O106="","",IF(OR($M106="",$M106&lt;$O106),TODAY()-$O106,$M106-$O106)),"")</f>
        <v>6</v>
      </c>
      <c r="R106" s="28" t="str">
        <f>IF($O106="","SIN SALIDA",IF(OR($M106="",$M106&lt;$O106),"PENDIENTE","REALIZADA"))</f>
        <v>REALIZADA</v>
      </c>
      <c r="S106" s="31" t="str">
        <f>IFERROR(VLOOKUP($A106,Maestro_Equipos!$A$4:$AG$242,33,FALSE()),"")</f>
        <v>Monitorear próximo vencimiento</v>
      </c>
    </row>
    <row r="107" spans="1:19" ht="15" customHeight="1">
      <c r="A107" t="str" cm="1">
        <f t="array" ref="A107">IFERROR(INDEX(_xlfn._xlws.FILTER(Maestro_Equipos!$A$4:$A$242,Maestro_Equipos!$A$4:$A$242&lt;&gt;""),ROWS($A$4:A107)),"")</f>
        <v>MD-46</v>
      </c>
      <c r="B107" t="str">
        <f>IFERROR(_xlfn.XLOOKUP($A107,Maestro_Equipos!$A$4:$A$242,Maestro_Equipos!$B$4:$B$242,""),"")</f>
        <v>Excavadora</v>
      </c>
      <c r="C107" t="str">
        <f>IFERROR(_xlfn.XLOOKUP($A107,Maestro_Equipos!$A$4:$A$242,Maestro_Equipos!$C$4:$C$242,""),"")</f>
        <v>Maquinaria Pesada</v>
      </c>
      <c r="D107" t="str">
        <f>IFERROR(_xlfn.XLOOKUP($A107,Maestro_Equipos!$A:$A,Maestro_Equipos!$I:$I,""),"")</f>
        <v>HORAS</v>
      </c>
      <c r="E107">
        <f>IFERROR(IF($D107="KM",_xlfn.XLOOKUP($A107,Maestro_Equipos!$A:$A,Maestro_Equipos!$N:$N,""),_xlfn.XLOOKUP($A107,Maestro_Equipos!$A:$A,Maestro_Equipos!$M:$M,"")),"")</f>
        <v>11880</v>
      </c>
      <c r="F107">
        <f>IFERROR(_xlfn.XLOOKUP($A107,Maestro_Equipos!$A:$A,Maestro_Equipos!$R:$R,"")+_xlfn.XLOOKUP($A107,Maestro_Equipos!$A:$A,Maestro_Equipos!$J:$J,""),"")</f>
        <v>12271</v>
      </c>
      <c r="G107">
        <f>IFERROR(_xlfn.XLOOKUP($A107,Maestro_Equipos!$A:$A,Maestro_Equipos!$K:$K,""),"")</f>
        <v>1.9</v>
      </c>
      <c r="H107">
        <f>IFERROR(IF(OR($E107="",$F107="",$G107="",$G107&lt;=0),"",ROUND(($F107-$E107)/$G107,0)),"")</f>
        <v>206</v>
      </c>
      <c r="I107" s="71">
        <f ca="1">IFERROR(IF($H107="","",TODAY()+$H107),"")</f>
        <v>46446</v>
      </c>
      <c r="J107" s="5" t="str">
        <f>IFERROR(INDEX(Maestro_Equipos!$V$4:$V$242,MATCH($A107,Maestro_Equipos!$A$4:$A$242,0)),"")</f>
        <v>Operativo</v>
      </c>
      <c r="K107" s="35">
        <f>IFERROR(
   SUMIFS(Mantenciones!$I:$I,Mantenciones!$B:$B,$A107)
 + SUMIFS('Compras PM'!$F:$F,'Compras PM'!$C:$C,$A107),0)</f>
        <v>228336.01</v>
      </c>
      <c r="L107" s="28" t="str">
        <f>IF($J107="Fuera de Servicio","NO PROGRAMAR",IF($H107="","SIN DATOS",IF($H107&lt;=0,"VENCIDA",IF($H107&lt;=7,"CRÍTICA",IF($H107&lt;=15,"ALTA",IF($H107&lt;=30,"MEDIA","BAJA"))))))</f>
        <v>BAJA</v>
      </c>
      <c r="M107" s="53" cm="1">
        <f t="array" ref="M107">IFERROR(_xlfn.AGGREGATE(14,6,Mantenciones!$A$3:$A$9916/(Mantenciones!$B$3:$B$9916=$A107),1),"")</f>
        <v>46185</v>
      </c>
      <c r="N107" s="29" cm="1">
        <f t="array" ref="N107">IFERROR(_xlfn.AGGREGATE(14,6,'Compras PM'!$A$4:$A$10029/('Compras PM'!$C$4:$C$10029=$A107),1),"")</f>
        <v>46100</v>
      </c>
      <c r="O107" s="29" t="str">
        <f>IFERROR(VLOOKUP($A107,Maestro_Equipos!$A$4:$AG$242,27,FALSE()),"")</f>
        <v/>
      </c>
      <c r="P107" s="30">
        <f ca="1">IFERROR(IF($N107="","",IF(OR($M107="",$M107&lt;$N107),TODAY()-$N107,$M107-$N107)),"")</f>
        <v>85</v>
      </c>
      <c r="Q107" s="30" t="str">
        <f ca="1">IFERROR(IF($O107="","",IF(OR($M107="",$M107&lt;$O107),TODAY()-$O107,$M107-$O107)),"")</f>
        <v/>
      </c>
      <c r="R107" s="28" t="str">
        <f>IF($O107="","SIN SALIDA",IF(OR($M107="",$M107&lt;$O107),"PENDIENTE","REALIZADA"))</f>
        <v>SIN SALIDA</v>
      </c>
      <c r="S107" s="31" t="str">
        <f>IFERROR(VLOOKUP($A107,Maestro_Equipos!$A$4:$AG$242,33,FALSE()),"")</f>
        <v>Hacer seguimiento al taller y cerrar report</v>
      </c>
    </row>
    <row r="108" spans="1:19" ht="15" customHeight="1">
      <c r="A108" t="str" cm="1">
        <f t="array" ref="A108">IFERROR(INDEX(_xlfn._xlws.FILTER(Maestro_Equipos!$A$4:$A$242,Maestro_Equipos!$A$4:$A$242&lt;&gt;""),ROWS($A$4:A108)),"")</f>
        <v>MD-47</v>
      </c>
      <c r="B108" t="str">
        <f>IFERROR(_xlfn.XLOOKUP($A108,Maestro_Equipos!$A$4:$A$242,Maestro_Equipos!$B$4:$B$242,""),"")</f>
        <v>Excavadora</v>
      </c>
      <c r="C108" t="str">
        <f>IFERROR(_xlfn.XLOOKUP($A108,Maestro_Equipos!$A$4:$A$242,Maestro_Equipos!$C$4:$C$242,""),"")</f>
        <v>Maquinaria Pesada</v>
      </c>
      <c r="D108" t="str">
        <f>IFERROR(_xlfn.XLOOKUP($A108,Maestro_Equipos!$A:$A,Maestro_Equipos!$I:$I,""),"")</f>
        <v>HORAS</v>
      </c>
      <c r="E108">
        <f>IFERROR(IF($D108="KM",_xlfn.XLOOKUP($A108,Maestro_Equipos!$A:$A,Maestro_Equipos!$N:$N,""),_xlfn.XLOOKUP($A108,Maestro_Equipos!$A:$A,Maestro_Equipos!$M:$M,"")),"")</f>
        <v>0</v>
      </c>
      <c r="F108">
        <f>IFERROR(_xlfn.XLOOKUP($A108,Maestro_Equipos!$A:$A,Maestro_Equipos!$R:$R,"")+_xlfn.XLOOKUP($A108,Maestro_Equipos!$A:$A,Maestro_Equipos!$J:$J,""),"")</f>
        <v>11718</v>
      </c>
      <c r="G108">
        <f>IFERROR(_xlfn.XLOOKUP($A108,Maestro_Equipos!$A:$A,Maestro_Equipos!$K:$K,""),"")</f>
        <v>0</v>
      </c>
      <c r="H108" t="str">
        <f>IFERROR(IF(OR($E108="",$F108="",$G108="",$G108&lt;=0),"",ROUND(($F108-$E108)/$G108,0)),"")</f>
        <v/>
      </c>
      <c r="I108" s="71" t="str">
        <f ca="1">IFERROR(IF($H108="","",TODAY()+$H108),"")</f>
        <v/>
      </c>
      <c r="J108" s="5" t="str">
        <f>IFERROR(INDEX(Maestro_Equipos!$V$4:$V$242,MATCH($A108,Maestro_Equipos!$A$4:$A$242,0)),"")</f>
        <v>Operativo</v>
      </c>
      <c r="K108" s="35">
        <f>IFERROR(
   SUMIFS(Mantenciones!$I:$I,Mantenciones!$B:$B,$A108)
 + SUMIFS('Compras PM'!$F:$F,'Compras PM'!$C:$C,$A108),0)</f>
        <v>0</v>
      </c>
      <c r="L108" s="28" t="str">
        <f>IF($J108="Fuera de Servicio","NO PROGRAMAR",IF($H108="","SIN DATOS",IF($H108&lt;=0,"VENCIDA",IF($H108&lt;=7,"CRÍTICA",IF($H108&lt;=15,"ALTA",IF($H108&lt;=30,"MEDIA","BAJA"))))))</f>
        <v>SIN DATOS</v>
      </c>
      <c r="M108" s="53" cm="1">
        <f t="array" ref="M108">IFERROR(_xlfn.AGGREGATE(14,6,Mantenciones!$A$3:$A$9916/(Mantenciones!$B$3:$B$9916=$A108),1),"")</f>
        <v>44321</v>
      </c>
      <c r="N108" s="29" t="str" cm="1">
        <f t="array" ref="N108">IFERROR(_xlfn.AGGREGATE(14,6,'Compras PM'!$A$4:$A$10029/('Compras PM'!$C$4:$C$10029=$A108),1),"")</f>
        <v/>
      </c>
      <c r="O108" s="29" t="str">
        <f>IFERROR(VLOOKUP($A108,Maestro_Equipos!$A$4:$AG$242,27,FALSE()),"")</f>
        <v/>
      </c>
      <c r="P108" s="30" t="str">
        <f ca="1">IFERROR(IF($N108="","",IF(OR($M108="",$M108&lt;$N108),TODAY()-$N108,$M108-$N108)),"")</f>
        <v/>
      </c>
      <c r="Q108" s="30" t="str">
        <f ca="1">IFERROR(IF($O108="","",IF(OR($M108="",$M108&lt;$O108),TODAY()-$O108,$M108-$O108)),"")</f>
        <v/>
      </c>
      <c r="R108" s="28" t="str">
        <f>IF($O108="","SIN SALIDA",IF(OR($M108="",$M108&lt;$O108),"PENDIENTE","REALIZADA"))</f>
        <v>SIN SALIDA</v>
      </c>
      <c r="S108" s="31" t="str">
        <f>IFERROR(VLOOKUP($A108,Maestro_Equipos!$A$4:$AG$242,33,FALSE()),"")</f>
        <v>Monitorear próximo vencimiento</v>
      </c>
    </row>
    <row r="109" spans="1:19" ht="15" customHeight="1">
      <c r="A109" t="str" cm="1">
        <f t="array" ref="A109">IFERROR(INDEX(_xlfn._xlws.FILTER(Maestro_Equipos!$A$4:$A$242,Maestro_Equipos!$A$4:$A$242&lt;&gt;""),ROWS($A$4:A109)),"")</f>
        <v>MD-49</v>
      </c>
      <c r="B109" t="str">
        <f>IFERROR(_xlfn.XLOOKUP($A109,Maestro_Equipos!$A$4:$A$242,Maestro_Equipos!$B$4:$B$242,""),"")</f>
        <v>Retroexcavadora</v>
      </c>
      <c r="C109" t="str">
        <f>IFERROR(_xlfn.XLOOKUP($A109,Maestro_Equipos!$A$4:$A$242,Maestro_Equipos!$C$4:$C$242,""),"")</f>
        <v>Maquinaria Pesada</v>
      </c>
      <c r="D109" t="str">
        <f>IFERROR(VLOOKUP($A106,Maestro_Equipos!$A$4:$Z$242,9,FALSE),"")</f>
        <v>HORAS</v>
      </c>
      <c r="E109">
        <f>IFERROR(IF($D109="KM",_xlfn.XLOOKUP($A109,Maestro_Equipos!$A:$A,Maestro_Equipos!$N:$N,""),_xlfn.XLOOKUP($A109,Maestro_Equipos!$A:$A,Maestro_Equipos!$M:$M,"")),"")</f>
        <v>1965</v>
      </c>
      <c r="F109">
        <f>IFERROR(_xlfn.XLOOKUP($A109,Maestro_Equipos!$A:$A,Maestro_Equipos!$R:$R,"")+_xlfn.XLOOKUP($A109,Maestro_Equipos!$A:$A,Maestro_Equipos!$J:$J,""),"")</f>
        <v>14978</v>
      </c>
      <c r="G109">
        <f>IFERROR(_xlfn.XLOOKUP($A109,Maestro_Equipos!$A:$A,Maestro_Equipos!$K:$K,""),"")</f>
        <v>1.9</v>
      </c>
      <c r="H109">
        <f>IFERROR(IF(OR($E109="",$F109="",$G109="",$G109&lt;=0),"",ROUND(($F109-$E109)/$G109,0)),"")</f>
        <v>6849</v>
      </c>
      <c r="I109" s="71">
        <f ca="1">IFERROR(IF($H109="","",TODAY()+$H109),"")</f>
        <v>53089</v>
      </c>
      <c r="J109" s="5" t="str">
        <f>IFERROR(INDEX(Maestro_Equipos!$V$4:$V$242,MATCH($A109,Maestro_Equipos!$A$4:$A$242,0)),"")</f>
        <v>Operativo</v>
      </c>
      <c r="K109" s="35">
        <f>IFERROR(
   SUMIFS(Mantenciones!$I:$I,Mantenciones!$B:$B,$A109)
 + SUMIFS('Compras PM'!$F:$F,'Compras PM'!$C:$C,$A109),0)</f>
        <v>564536.5</v>
      </c>
      <c r="L109" s="28" t="str">
        <f>IF($J109="Fuera de Servicio","NO PROGRAMAR",IF($H109="","SIN DATOS",IF($H109&lt;=0,"VENCIDA",IF($H109&lt;=7,"CRÍTICA",IF($H109&lt;=15,"ALTA",IF($H109&lt;=30,"MEDIA","BAJA"))))))</f>
        <v>BAJA</v>
      </c>
      <c r="M109" s="53" cm="1">
        <f t="array" ref="M109">IFERROR(_xlfn.AGGREGATE(14,6,Mantenciones!$A$3:$A$9916/(Mantenciones!$B$3:$B$9916=$A109),1),"")</f>
        <v>46196</v>
      </c>
      <c r="N109" s="29" cm="1">
        <f t="array" ref="N109">IFERROR(_xlfn.AGGREGATE(14,6,'Compras PM'!$A$4:$A$10029/('Compras PM'!$C$4:$C$10029=$A109),1),"")</f>
        <v>46184</v>
      </c>
      <c r="O109" s="29">
        <f>IFERROR(VLOOKUP($A109,Maestro_Equipos!$A$4:$AG$242,27,FALSE()),"")</f>
        <v>46105</v>
      </c>
      <c r="P109" s="30">
        <f ca="1">IFERROR(IF($N109="","",IF(OR($M109="",$M109&lt;$N109),TODAY()-$N109,$M109-$N109)),"")</f>
        <v>12</v>
      </c>
      <c r="Q109" s="30">
        <f ca="1">IFERROR(IF($O109="","",IF(OR($M109="",$M109&lt;$O109),TODAY()-$O109,$M109-$O109)),"")</f>
        <v>91</v>
      </c>
      <c r="R109" s="28" t="str">
        <f>IF($O109="","SIN SALIDA",IF(OR($M109="",$M109&lt;$O109),"PENDIENTE","REALIZADA"))</f>
        <v>REALIZADA</v>
      </c>
      <c r="S109" s="31" t="str">
        <f>IFERROR(VLOOKUP($A109,Maestro_Equipos!$A$4:$AG$242,33,FALSE()),"")</f>
        <v>Monitorear próximo vencimiento</v>
      </c>
    </row>
    <row r="110" spans="1:19" ht="15" customHeight="1">
      <c r="A110" t="str" cm="1">
        <f t="array" ref="A110">IFERROR(INDEX(_xlfn._xlws.FILTER(Maestro_Equipos!$A$4:$A$242,Maestro_Equipos!$A$4:$A$242&lt;&gt;""),ROWS($A$4:A110)),"")</f>
        <v>MD-50</v>
      </c>
      <c r="B110" t="str">
        <f>IFERROR(_xlfn.XLOOKUP($A110,Maestro_Equipos!$A$4:$A$242,Maestro_Equipos!$B$4:$B$242,""),"")</f>
        <v>Retroexcavadora</v>
      </c>
      <c r="C110" t="str">
        <f>IFERROR(_xlfn.XLOOKUP($A110,Maestro_Equipos!$A$4:$A$242,Maestro_Equipos!$C$4:$C$242,""),"")</f>
        <v>Maquinaria Pesada</v>
      </c>
      <c r="D110" t="str">
        <f>IFERROR(VLOOKUP($A107,Maestro_Equipos!$A$4:$Z$242,9,FALSE),"")</f>
        <v>HORAS</v>
      </c>
      <c r="E110">
        <f>IFERROR(IF($D110="KM",_xlfn.XLOOKUP($A110,Maestro_Equipos!$A:$A,Maestro_Equipos!$N:$N,""),_xlfn.XLOOKUP($A110,Maestro_Equipos!$A:$A,Maestro_Equipos!$M:$M,"")),"")</f>
        <v>0</v>
      </c>
      <c r="F110">
        <f>IFERROR(_xlfn.XLOOKUP($A110,Maestro_Equipos!$A:$A,Maestro_Equipos!$R:$R,"")+_xlfn.XLOOKUP($A110,Maestro_Equipos!$A:$A,Maestro_Equipos!$J:$J,""),"")</f>
        <v>7009</v>
      </c>
      <c r="G110">
        <f>IFERROR(_xlfn.XLOOKUP($A110,Maestro_Equipos!$A:$A,Maestro_Equipos!$K:$K,""),"")</f>
        <v>0</v>
      </c>
      <c r="H110" t="str">
        <f>IFERROR(IF(OR($E110="",$F110="",$G110="",$G110&lt;=0),"",ROUND(($F110-$E110)/$G110,0)),"")</f>
        <v/>
      </c>
      <c r="I110" s="71" t="str">
        <f ca="1">IFERROR(IF($H110="","",TODAY()+$H110),"")</f>
        <v/>
      </c>
      <c r="J110" s="5" t="str">
        <f>IFERROR(INDEX(Maestro_Equipos!$V$4:$V$242,MATCH($A110,Maestro_Equipos!$A$4:$A$242,0)),"")</f>
        <v>Fuera de Servicio</v>
      </c>
      <c r="K110" s="35">
        <f>IFERROR(
   SUMIFS(Mantenciones!$I:$I,Mantenciones!$B:$B,$A110)
 + SUMIFS('Compras PM'!$F:$F,'Compras PM'!$C:$C,$A110),0)</f>
        <v>0</v>
      </c>
      <c r="L110" s="28" t="str">
        <f>IF($J110="Fuera de Servicio","NO PROGRAMAR",IF($H110="","SIN DATOS",IF($H110&lt;=0,"VENCIDA",IF($H110&lt;=7,"CRÍTICA",IF($H110&lt;=15,"ALTA",IF($H110&lt;=30,"MEDIA","BAJA"))))))</f>
        <v>NO PROGRAMAR</v>
      </c>
      <c r="M110" s="53" cm="1">
        <f t="array" ref="M110">IFERROR(_xlfn.AGGREGATE(14,6,Mantenciones!$A$3:$A$9916/(Mantenciones!$B$3:$B$9916=$A110),1),"")</f>
        <v>44908</v>
      </c>
      <c r="N110" s="29" t="str" cm="1">
        <f t="array" ref="N110">IFERROR(_xlfn.AGGREGATE(14,6,'Compras PM'!$A$4:$A$10029/('Compras PM'!$C$4:$C$10029=$A110),1),"")</f>
        <v/>
      </c>
      <c r="O110" s="29" t="str">
        <f>IFERROR(VLOOKUP($A110,Maestro_Equipos!$A$4:$AG$242,27,FALSE()),"")</f>
        <v/>
      </c>
      <c r="P110" s="30" t="str">
        <f ca="1">IFERROR(IF($N110="","",IF(OR($M110="",$M110&lt;$N110),TODAY()-$N110,$M110-$N110)),"")</f>
        <v/>
      </c>
      <c r="Q110" s="30" t="str">
        <f ca="1">IFERROR(IF($O110="","",IF(OR($M110="",$M110&lt;$O110),TODAY()-$O110,$M110-$O110)),"")</f>
        <v/>
      </c>
      <c r="R110" s="28" t="str">
        <f>IF($O110="","SIN SALIDA",IF(OR($M110="",$M110&lt;$O110),"PENDIENTE","REALIZADA"))</f>
        <v>SIN SALIDA</v>
      </c>
      <c r="S110" s="31" t="str">
        <f>IFERROR(VLOOKUP($A110,Maestro_Equipos!$A$4:$AG$242,33,FALSE()),"")</f>
        <v>No programar compra</v>
      </c>
    </row>
    <row r="111" spans="1:19" ht="15" customHeight="1">
      <c r="A111" t="str" cm="1">
        <f t="array" ref="A111">IFERROR(INDEX(_xlfn._xlws.FILTER(Maestro_Equipos!$A$4:$A$242,Maestro_Equipos!$A$4:$A$242&lt;&gt;""),ROWS($A$4:A111)),"")</f>
        <v>MD-51</v>
      </c>
      <c r="B111" t="str">
        <f>IFERROR(_xlfn.XLOOKUP($A111,Maestro_Equipos!$A$4:$A$242,Maestro_Equipos!$B$4:$B$242,""),"")</f>
        <v>Rodillo de Neumaticos</v>
      </c>
      <c r="C111" t="str">
        <f>IFERROR(_xlfn.XLOOKUP($A111,Maestro_Equipos!$A$4:$A$242,Maestro_Equipos!$C$4:$C$242,""),"")</f>
        <v>Maquinaria Pesada</v>
      </c>
      <c r="D111" t="str">
        <f>IFERROR(_xlfn.XLOOKUP($A111,Maestro_Equipos!$A:$A,Maestro_Equipos!$I:$I,""),"")</f>
        <v>HORAS</v>
      </c>
      <c r="E111">
        <f>IFERROR(IF($D111="KM",_xlfn.XLOOKUP($A111,Maestro_Equipos!$A:$A,Maestro_Equipos!$N:$N,""),_xlfn.XLOOKUP($A111,Maestro_Equipos!$A:$A,Maestro_Equipos!$M:$M,"")),"")</f>
        <v>8627</v>
      </c>
      <c r="F111">
        <f>IFERROR(_xlfn.XLOOKUP($A111,Maestro_Equipos!$A:$A,Maestro_Equipos!$R:$R,"")+_xlfn.XLOOKUP($A111,Maestro_Equipos!$A:$A,Maestro_Equipos!$J:$J,""),"")</f>
        <v>8877</v>
      </c>
      <c r="G111">
        <f>IFERROR(_xlfn.XLOOKUP($A111,Maestro_Equipos!$A:$A,Maestro_Equipos!$K:$K,""),"")</f>
        <v>0.2</v>
      </c>
      <c r="H111">
        <f>IFERROR(IF(OR($E111="",$F111="",$G111="",$G111&lt;=0),"",ROUND(($F111-$E111)/$G111,0)),"")</f>
        <v>1250</v>
      </c>
      <c r="I111" s="71">
        <f ca="1">IFERROR(IF($H111="","",TODAY()+$H111),"")</f>
        <v>47490</v>
      </c>
      <c r="J111" s="5" t="str">
        <f>IFERROR(INDEX(Maestro_Equipos!$V$4:$V$242,MATCH($A111,Maestro_Equipos!$A$4:$A$242,0)),"")</f>
        <v>Operativo</v>
      </c>
      <c r="K111" s="35">
        <f>IFERROR(
   SUMIFS(Mantenciones!$I:$I,Mantenciones!$B:$B,$A111)
 + SUMIFS('Compras PM'!$F:$F,'Compras PM'!$C:$C,$A111),0)</f>
        <v>58974.119999999995</v>
      </c>
      <c r="L111" s="28" t="str">
        <f>IF($J111="Fuera de Servicio","NO PROGRAMAR",IF($H111="","SIN DATOS",IF($H111&lt;=0,"VENCIDA",IF($H111&lt;=7,"CRÍTICA",IF($H111&lt;=15,"ALTA",IF($H111&lt;=30,"MEDIA","BAJA"))))))</f>
        <v>BAJA</v>
      </c>
      <c r="M111" s="53" cm="1">
        <f t="array" ref="M111">IFERROR(_xlfn.AGGREGATE(14,6,Mantenciones!$A$3:$A$9916/(Mantenciones!$B$3:$B$9916=$A111),1),"")</f>
        <v>46155</v>
      </c>
      <c r="N111" s="29" cm="1">
        <f t="array" ref="N111">IFERROR(_xlfn.AGGREGATE(14,6,'Compras PM'!$A$4:$A$10029/('Compras PM'!$C$4:$C$10029=$A111),1),"")</f>
        <v>46184</v>
      </c>
      <c r="O111" s="29">
        <f>IFERROR(VLOOKUP($A111,Maestro_Equipos!$A$4:$AG$242,27,FALSE()),"")</f>
        <v>46148</v>
      </c>
      <c r="P111" s="30">
        <f ca="1">IFERROR(IF($N111="","",IF(OR($M111="",$M111&lt;$N111),TODAY()-$N111,$M111-$N111)),"")</f>
        <v>56</v>
      </c>
      <c r="Q111" s="30">
        <f ca="1">IFERROR(IF($O111="","",IF(OR($M111="",$M111&lt;$O111),TODAY()-$O111,$M111-$O111)),"")</f>
        <v>7</v>
      </c>
      <c r="R111" s="28" t="str">
        <f>IF($O111="","SIN SALIDA",IF(OR($M111="",$M111&lt;$O111),"PENDIENTE","REALIZADA"))</f>
        <v>REALIZADA</v>
      </c>
      <c r="S111" s="31" t="str">
        <f>IFERROR(VLOOKUP($A111,Maestro_Equipos!$A$4:$AG$242,33,FALSE()),"")</f>
        <v>Monitorear próximo vencimiento</v>
      </c>
    </row>
    <row r="112" spans="1:19" ht="15" customHeight="1">
      <c r="A112" t="str" cm="1">
        <f t="array" ref="A112">IFERROR(INDEX(_xlfn._xlws.FILTER(Maestro_Equipos!$A$4:$A$242,Maestro_Equipos!$A$4:$A$242&lt;&gt;""),ROWS($A$4:A112)),"")</f>
        <v>MD-52</v>
      </c>
      <c r="B112" t="str">
        <f>IFERROR(_xlfn.XLOOKUP($A112,Maestro_Equipos!$A$4:$A$242,Maestro_Equipos!$B$4:$B$242,""),"")</f>
        <v>Rodillo Doble Tambor</v>
      </c>
      <c r="C112" t="str">
        <f>IFERROR(_xlfn.XLOOKUP($A112,Maestro_Equipos!$A$4:$A$242,Maestro_Equipos!$C$4:$C$242,""),"")</f>
        <v>Maquinaria Pesada</v>
      </c>
      <c r="D112" t="str">
        <f>IFERROR(_xlfn.XLOOKUP($A112,Maestro_Equipos!$A:$A,Maestro_Equipos!$I:$I,""),"")</f>
        <v>HORAS</v>
      </c>
      <c r="E112">
        <f>IFERROR(IF($D112="KM",_xlfn.XLOOKUP($A112,Maestro_Equipos!$A:$A,Maestro_Equipos!$N:$N,""),_xlfn.XLOOKUP($A112,Maestro_Equipos!$A:$A,Maestro_Equipos!$M:$M,"")),"")</f>
        <v>0</v>
      </c>
      <c r="F112" t="str">
        <f>IFERROR(_xlfn.XLOOKUP($A112,Maestro_Equipos!$A:$A,Maestro_Equipos!$R:$R,"")+_xlfn.XLOOKUP($A112,Maestro_Equipos!$A:$A,Maestro_Equipos!$J:$J,""),"")</f>
        <v/>
      </c>
      <c r="G112">
        <f>IFERROR(_xlfn.XLOOKUP($A112,Maestro_Equipos!$A:$A,Maestro_Equipos!$K:$K,""),"")</f>
        <v>0</v>
      </c>
      <c r="H112" t="str">
        <f>IFERROR(IF(OR($E112="",$F112="",$G112="",$G112&lt;=0),"",ROUND(($F112-$E112)/$G112,0)),"")</f>
        <v/>
      </c>
      <c r="I112" s="71" t="str">
        <f ca="1">IFERROR(IF($H112="","",TODAY()+$H112),"")</f>
        <v/>
      </c>
      <c r="J112" s="5" t="str">
        <f>IFERROR(INDEX(Maestro_Equipos!$V$4:$V$242,MATCH($A112,Maestro_Equipos!$A$4:$A$242,0)),"")</f>
        <v>Operativo</v>
      </c>
      <c r="K112" s="35">
        <f>IFERROR(
   SUMIFS(Mantenciones!$I:$I,Mantenciones!$B:$B,$A112)
 + SUMIFS('Compras PM'!$F:$F,'Compras PM'!$C:$C,$A112),0)</f>
        <v>0</v>
      </c>
      <c r="L112" s="28" t="str">
        <f>IF($J112="Fuera de Servicio","NO PROGRAMAR",IF($H112="","SIN DATOS",IF($H112&lt;=0,"VENCIDA",IF($H112&lt;=7,"CRÍTICA",IF($H112&lt;=15,"ALTA",IF($H112&lt;=30,"MEDIA","BAJA"))))))</f>
        <v>SIN DATOS</v>
      </c>
      <c r="M112" s="53" t="str" cm="1">
        <f t="array" ref="M112">IFERROR(_xlfn.AGGREGATE(14,6,Mantenciones!$A$3:$A$9916/(Mantenciones!$B$3:$B$9916=$A112),1),"")</f>
        <v/>
      </c>
      <c r="N112" s="29" t="str" cm="1">
        <f t="array" ref="N112">IFERROR(_xlfn.AGGREGATE(14,6,'Compras PM'!$A$4:$A$10029/('Compras PM'!$C$4:$C$10029=$A112),1),"")</f>
        <v/>
      </c>
      <c r="O112" s="29" t="str">
        <f>IFERROR(VLOOKUP($A112,Maestro_Equipos!$A$4:$AG$242,27,FALSE()),"")</f>
        <v/>
      </c>
      <c r="P112" s="30" t="str">
        <f ca="1">IFERROR(IF($N112="","",IF(OR($M112="",$M112&lt;$N112),TODAY()-$N112,$M112-$N112)),"")</f>
        <v/>
      </c>
      <c r="Q112" s="30" t="str">
        <f ca="1">IFERROR(IF($O112="","",IF(OR($M112="",$M112&lt;$O112),TODAY()-$O112,$M112-$O112)),"")</f>
        <v/>
      </c>
      <c r="R112" s="28" t="str">
        <f>IF($O112="","SIN SALIDA",IF(OR($M112="",$M112&lt;$O112),"PENDIENTE","REALIZADA"))</f>
        <v>SIN SALIDA</v>
      </c>
      <c r="S112" s="31" t="str">
        <f>IFERROR(VLOOKUP($A112,Maestro_Equipos!$A$4:$AG$242,33,FALSE()),"")</f>
        <v>Monitorear próximo vencimiento</v>
      </c>
    </row>
    <row r="113" spans="1:19" ht="15" customHeight="1">
      <c r="A113" t="str" cm="1">
        <f t="array" ref="A113">IFERROR(INDEX(_xlfn._xlws.FILTER(Maestro_Equipos!$A$4:$A$242,Maestro_Equipos!$A$4:$A$242&lt;&gt;""),ROWS($A$4:A113)),"")</f>
        <v>MD-53</v>
      </c>
      <c r="B113" t="str">
        <f>IFERROR(_xlfn.XLOOKUP($A113,Maestro_Equipos!$A$4:$A$242,Maestro_Equipos!$B$4:$B$242,""),"")</f>
        <v>Rodillo Doble Tambor</v>
      </c>
      <c r="C113" t="str">
        <f>IFERROR(_xlfn.XLOOKUP($A113,Maestro_Equipos!$A$4:$A$242,Maestro_Equipos!$C$4:$C$242,""),"")</f>
        <v>Maquinaria Pesada</v>
      </c>
      <c r="D113" t="str">
        <f>IFERROR(_xlfn.XLOOKUP($A113,Maestro_Equipos!$A:$A,Maestro_Equipos!$I:$I,""),"")</f>
        <v>HORAS</v>
      </c>
      <c r="E113">
        <f>IFERROR(IF($D113="KM",_xlfn.XLOOKUP($A113,Maestro_Equipos!$A:$A,Maestro_Equipos!$N:$N,""),_xlfn.XLOOKUP($A113,Maestro_Equipos!$A:$A,Maestro_Equipos!$M:$M,"")),"")</f>
        <v>8282</v>
      </c>
      <c r="F113">
        <f>IFERROR(_xlfn.XLOOKUP($A113,Maestro_Equipos!$A:$A,Maestro_Equipos!$R:$R,"")+_xlfn.XLOOKUP($A113,Maestro_Equipos!$A:$A,Maestro_Equipos!$J:$J,""),"")</f>
        <v>8574</v>
      </c>
      <c r="G113">
        <f>IFERROR(_xlfn.XLOOKUP($A113,Maestro_Equipos!$A:$A,Maestro_Equipos!$K:$K,""),"")</f>
        <v>0.5</v>
      </c>
      <c r="H113">
        <f>IFERROR(IF(OR($E113="",$F113="",$G113="",$G113&lt;=0),"",ROUND(($F113-$E113)/$G113,0)),"")</f>
        <v>584</v>
      </c>
      <c r="I113" s="71">
        <f ca="1">IFERROR(IF($H113="","",TODAY()+$H113),"")</f>
        <v>46824</v>
      </c>
      <c r="J113" s="5" t="str">
        <f>IFERROR(INDEX(Maestro_Equipos!$V$4:$V$242,MATCH($A113,Maestro_Equipos!$A$4:$A$242,0)),"")</f>
        <v>Operativo</v>
      </c>
      <c r="K113" s="35">
        <f>IFERROR(
   SUMIFS(Mantenciones!$I:$I,Mantenciones!$B:$B,$A113)
 + SUMIFS('Compras PM'!$F:$F,'Compras PM'!$C:$C,$A113),0)</f>
        <v>268361.65999999997</v>
      </c>
      <c r="L113" s="28" t="str">
        <f>IF($J113="Fuera de Servicio","NO PROGRAMAR",IF($H113="","SIN DATOS",IF($H113&lt;=0,"VENCIDA",IF($H113&lt;=7,"CRÍTICA",IF($H113&lt;=15,"ALTA",IF($H113&lt;=30,"MEDIA","BAJA"))))))</f>
        <v>BAJA</v>
      </c>
      <c r="M113" s="53" cm="1">
        <f t="array" ref="M113">IFERROR(_xlfn.AGGREGATE(14,6,Mantenciones!$A$3:$A$9916/(Mantenciones!$B$3:$B$9916=$A113),1),"")</f>
        <v>46153</v>
      </c>
      <c r="N113" s="29" cm="1">
        <f t="array" ref="N113">IFERROR(_xlfn.AGGREGATE(14,6,'Compras PM'!$A$4:$A$10029/('Compras PM'!$C$4:$C$10029=$A113),1),"")</f>
        <v>46118</v>
      </c>
      <c r="O113" s="29">
        <f>IFERROR(VLOOKUP($A113,Maestro_Equipos!$A$4:$AG$242,27,FALSE()),"")</f>
        <v>46148</v>
      </c>
      <c r="P113" s="30">
        <f ca="1">IFERROR(IF($N113="","",IF(OR($M113="",$M113&lt;$N113),TODAY()-$N113,$M113-$N113)),"")</f>
        <v>35</v>
      </c>
      <c r="Q113" s="30">
        <f ca="1">IFERROR(IF($O113="","",IF(OR($M113="",$M113&lt;$O113),TODAY()-$O113,$M113-$O113)),"")</f>
        <v>5</v>
      </c>
      <c r="R113" s="28" t="str">
        <f>IF($O113="","SIN SALIDA",IF(OR($M113="",$M113&lt;$O113),"PENDIENTE","REALIZADA"))</f>
        <v>REALIZADA</v>
      </c>
      <c r="S113" s="31" t="str">
        <f>IFERROR(VLOOKUP($A113,Maestro_Equipos!$A$4:$AG$242,33,FALSE()),"")</f>
        <v>Monitorear próximo vencimiento</v>
      </c>
    </row>
    <row r="114" spans="1:19" ht="15" customHeight="1">
      <c r="A114" s="61" t="str" cm="1">
        <f t="array" ref="A114">IFERROR(INDEX(_xlfn._xlws.FILTER(Maestro_Equipos!$A$4:$A$242,Maestro_Equipos!$A$4:$A$242&lt;&gt;""),ROWS($A$4:A114)),"")</f>
        <v>MD-55</v>
      </c>
      <c r="B114" s="61" t="str">
        <f>IFERROR(_xlfn.XLOOKUP($A114,Maestro_Equipos!$A$4:$A$242,Maestro_Equipos!$B$4:$B$242,""),"")</f>
        <v>Rodillo</v>
      </c>
      <c r="C114" s="61" t="str">
        <f>IFERROR(_xlfn.XLOOKUP($A114,Maestro_Equipos!$A$4:$A$242,Maestro_Equipos!$C$4:$C$242,""),"")</f>
        <v>Maquinaria Pesada</v>
      </c>
      <c r="D114" s="61" t="str">
        <f>IFERROR(VLOOKUP($A111,Maestro_Equipos!$A$4:$Z$242,9,FALSE),"")</f>
        <v>HORAS</v>
      </c>
      <c r="E114" s="61">
        <f>IFERROR(IF($D114="KM",_xlfn.XLOOKUP($A114,Maestro_Equipos!$A:$A,Maestro_Equipos!$N:$N,""),_xlfn.XLOOKUP($A114,Maestro_Equipos!$A:$A,Maestro_Equipos!$M:$M,"")),"")</f>
        <v>7168</v>
      </c>
      <c r="F114" s="61">
        <f>IFERROR(_xlfn.XLOOKUP($A114,Maestro_Equipos!$A:$A,Maestro_Equipos!$R:$R,"")+_xlfn.XLOOKUP($A114,Maestro_Equipos!$A:$A,Maestro_Equipos!$J:$J,""),"")</f>
        <v>7413</v>
      </c>
      <c r="G114" s="61">
        <f>IFERROR(_xlfn.XLOOKUP($A114,Maestro_Equipos!$A:$A,Maestro_Equipos!$K:$K,""),"")</f>
        <v>17.8</v>
      </c>
      <c r="H114" s="61">
        <f>IFERROR(IF(OR($E114="",$F114="",$G114="",$G114&lt;=0),"",ROUND(($F114-$E114)/$G114,0)),"")</f>
        <v>14</v>
      </c>
      <c r="I114" s="62">
        <f ca="1">IFERROR(IF($H114="","",TODAY()+$H114),"")</f>
        <v>46254</v>
      </c>
      <c r="J114" s="63" t="str">
        <f>IFERROR(INDEX(Maestro_Equipos!$V$4:$V$242,MATCH($A114,Maestro_Equipos!$A$4:$A$242,0)),"")</f>
        <v>Operativo</v>
      </c>
      <c r="K114" s="64">
        <f>IFERROR(
   SUMIFS(Mantenciones!$I:$I,Mantenciones!$B:$B,$A114)
 + SUMIFS('Compras PM'!$F:$F,'Compras PM'!$C:$C,$A114),0)</f>
        <v>730199.13</v>
      </c>
      <c r="L114" s="65" t="str">
        <f>IF($J114="Fuera de Servicio","NO PROGRAMAR",IF($H114="","SIN DATOS",IF($H114&lt;=0,"VENCIDA",IF($H114&lt;=7,"CRÍTICA",IF($H114&lt;=15,"ALTA",IF($H114&lt;=30,"MEDIA","BAJA"))))))</f>
        <v>ALTA</v>
      </c>
      <c r="M114" s="66" cm="1">
        <f t="array" ref="M114">IFERROR(_xlfn.AGGREGATE(14,6,Mantenciones!$A$3:$A$9916/(Mantenciones!$B$3:$B$9916=$A114),1),"")</f>
        <v>46133</v>
      </c>
      <c r="N114" s="67" cm="1">
        <f t="array" ref="N114">IFERROR(_xlfn.AGGREGATE(14,6,'Compras PM'!$A$4:$A$10029/('Compras PM'!$C$4:$C$10029=$A114),1),"")</f>
        <v>46199</v>
      </c>
      <c r="O114" s="67">
        <f>IFERROR(VLOOKUP($A114,Maestro_Equipos!$A$4:$AG$242,27,FALSE()),"")</f>
        <v>46133</v>
      </c>
      <c r="P114" s="68">
        <f ca="1">IFERROR(IF($N114="","",IF(OR($M114="",$M114&lt;$N114),TODAY()-$N114,$M114-$N114)),"")</f>
        <v>41</v>
      </c>
      <c r="Q114" s="68">
        <f ca="1">IFERROR(IF($O114="","",IF(OR($M114="",$M114&lt;$O114),TODAY()-$O114,$M114-$O114)),"")</f>
        <v>0</v>
      </c>
      <c r="R114" s="65" t="str">
        <f>IF($O114="","SIN SALIDA",IF(OR($M114="",$M114&lt;$O114),"PENDIENTE","REALIZADA"))</f>
        <v>REALIZADA</v>
      </c>
      <c r="S114" s="69" t="str">
        <f>IFERROR(VLOOKUP($A114,Maestro_Equipos!$A$4:$AG$242,33,FALSE()),"")</f>
        <v>Monitorear próximo vencimiento</v>
      </c>
    </row>
    <row r="115" spans="1:19" ht="15" customHeight="1">
      <c r="A115" t="str" cm="1">
        <f t="array" ref="A115">IFERROR(INDEX(_xlfn._xlws.FILTER(Maestro_Equipos!$A$4:$A$242,Maestro_Equipos!$A$4:$A$242&lt;&gt;""),ROWS($A$4:A115)),"")</f>
        <v>MD-56</v>
      </c>
      <c r="B115" t="str">
        <f>IFERROR(_xlfn.XLOOKUP($A115,Maestro_Equipos!$A$4:$A$242,Maestro_Equipos!$B$4:$B$242,""),"")</f>
        <v>Motoniveladora</v>
      </c>
      <c r="C115" t="str">
        <f>IFERROR(_xlfn.XLOOKUP($A115,Maestro_Equipos!$A$4:$A$242,Maestro_Equipos!$C$4:$C$242,""),"")</f>
        <v>Maquinaria Pesada</v>
      </c>
      <c r="D115" t="str">
        <f>IFERROR(VLOOKUP($A112,Maestro_Equipos!$A$4:$Z$242,9,FALSE),"")</f>
        <v>HORAS</v>
      </c>
      <c r="E115">
        <f>IFERROR(IF($D115="KM",_xlfn.XLOOKUP($A115,Maestro_Equipos!$A:$A,Maestro_Equipos!$N:$N,""),_xlfn.XLOOKUP($A115,Maestro_Equipos!$A:$A,Maestro_Equipos!$M:$M,"")),"")</f>
        <v>15867</v>
      </c>
      <c r="F115">
        <f>IFERROR(_xlfn.XLOOKUP($A115,Maestro_Equipos!$A:$A,Maestro_Equipos!$R:$R,"")+_xlfn.XLOOKUP($A115,Maestro_Equipos!$A:$A,Maestro_Equipos!$J:$J,""),"")</f>
        <v>16124</v>
      </c>
      <c r="G115">
        <f>IFERROR(_xlfn.XLOOKUP($A115,Maestro_Equipos!$A:$A,Maestro_Equipos!$K:$K,""),"")</f>
        <v>4</v>
      </c>
      <c r="H115">
        <f>IFERROR(IF(OR($E115="",$F115="",$G115="",$G115&lt;=0),"",ROUND(($F115-$E115)/$G115,0)),"")</f>
        <v>64</v>
      </c>
      <c r="I115" s="71">
        <f ca="1">IFERROR(IF($H115="","",TODAY()+$H115),"")</f>
        <v>46304</v>
      </c>
      <c r="J115" s="5" t="str">
        <f>IFERROR(INDEX(Maestro_Equipos!$V$4:$V$242,MATCH($A115,Maestro_Equipos!$A$4:$A$242,0)),"")</f>
        <v>Operativo</v>
      </c>
      <c r="K115" s="35">
        <f>IFERROR(
   SUMIFS(Mantenciones!$I:$I,Mantenciones!$B:$B,$A115)
 + SUMIFS('Compras PM'!$F:$F,'Compras PM'!$C:$C,$A115),0)</f>
        <v>336768.81</v>
      </c>
      <c r="L115" s="28" t="str">
        <f>IF($J115="Fuera de Servicio","NO PROGRAMAR",IF($H115="","SIN DATOS",IF($H115&lt;=0,"VENCIDA",IF($H115&lt;=7,"CRÍTICA",IF($H115&lt;=15,"ALTA",IF($H115&lt;=30,"MEDIA","BAJA"))))))</f>
        <v>BAJA</v>
      </c>
      <c r="M115" s="53" cm="1">
        <f t="array" ref="M115">IFERROR(_xlfn.AGGREGATE(14,6,Mantenciones!$A$3:$A$9916/(Mantenciones!$B$3:$B$9916=$A115),1),"")</f>
        <v>46079</v>
      </c>
      <c r="N115" s="29" cm="1">
        <f t="array" ref="N115">IFERROR(_xlfn.AGGREGATE(14,6,'Compras PM'!$A$4:$A$10029/('Compras PM'!$C$4:$C$10029=$A115),1),"")</f>
        <v>46188</v>
      </c>
      <c r="O115" s="29">
        <f>IFERROR(VLOOKUP($A115,Maestro_Equipos!$A$4:$AG$242,27,FALSE()),"")</f>
        <v>46057</v>
      </c>
      <c r="P115" s="30">
        <f ca="1">IFERROR(IF($N115="","",IF(OR($M115="",$M115&lt;$N115),TODAY()-$N115,$M115-$N115)),"")</f>
        <v>52</v>
      </c>
      <c r="Q115" s="30">
        <f ca="1">IFERROR(IF($O115="","",IF(OR($M115="",$M115&lt;$O115),TODAY()-$O115,$M115-$O115)),"")</f>
        <v>22</v>
      </c>
      <c r="R115" s="28" t="str">
        <f>IF($O115="","SIN SALIDA",IF(OR($M115="",$M115&lt;$O115),"PENDIENTE","REALIZADA"))</f>
        <v>REALIZADA</v>
      </c>
      <c r="S115" s="31" t="str">
        <f>IFERROR(VLOOKUP($A115,Maestro_Equipos!$A$4:$AG$242,33,FALSE()),"")</f>
        <v>Monitorear próximo vencimiento</v>
      </c>
    </row>
    <row r="116" spans="1:19" ht="15" customHeight="1">
      <c r="A116" t="str" cm="1">
        <f t="array" ref="A116">IFERROR(INDEX(_xlfn._xlws.FILTER(Maestro_Equipos!$A$4:$A$242,Maestro_Equipos!$A$4:$A$242&lt;&gt;""),ROWS($A$4:A116)),"")</f>
        <v>MD-57</v>
      </c>
      <c r="B116" t="str">
        <f>IFERROR(_xlfn.XLOOKUP($A116,Maestro_Equipos!$A$4:$A$242,Maestro_Equipos!$B$4:$B$242,""),"")</f>
        <v>Excavadora</v>
      </c>
      <c r="C116" t="str">
        <f>IFERROR(_xlfn.XLOOKUP($A116,Maestro_Equipos!$A$4:$A$242,Maestro_Equipos!$C$4:$C$242,""),"")</f>
        <v>Maquinaria Pesada</v>
      </c>
      <c r="D116" t="str">
        <f>IFERROR(_xlfn.XLOOKUP($A116,Maestro_Equipos!$A:$A,Maestro_Equipos!$I:$I,""),"")</f>
        <v>HORAS</v>
      </c>
      <c r="E116">
        <f>IFERROR(IF($D116="KM",_xlfn.XLOOKUP($A116,Maestro_Equipos!$A:$A,Maestro_Equipos!$N:$N,""),_xlfn.XLOOKUP($A116,Maestro_Equipos!$A:$A,Maestro_Equipos!$M:$M,"")),"")</f>
        <v>13667</v>
      </c>
      <c r="F116">
        <f>IFERROR(_xlfn.XLOOKUP($A116,Maestro_Equipos!$A:$A,Maestro_Equipos!$R:$R,"")+_xlfn.XLOOKUP($A116,Maestro_Equipos!$A:$A,Maestro_Equipos!$J:$J,""),"")</f>
        <v>13900</v>
      </c>
      <c r="G116">
        <f>IFERROR(_xlfn.XLOOKUP($A116,Maestro_Equipos!$A:$A,Maestro_Equipos!$K:$K,""),"")</f>
        <v>1</v>
      </c>
      <c r="H116">
        <f>IFERROR(IF(OR($E116="",$F116="",$G116="",$G116&lt;=0),"",ROUND(($F116-$E116)/$G116,0)),"")</f>
        <v>233</v>
      </c>
      <c r="I116" s="71">
        <f ca="1">IFERROR(IF($H116="","",TODAY()+$H116),"")</f>
        <v>46473</v>
      </c>
      <c r="J116" s="5" t="str">
        <f>IFERROR(INDEX(Maestro_Equipos!$V$4:$V$242,MATCH($A116,Maestro_Equipos!$A$4:$A$242,0)),"")</f>
        <v>Operativo</v>
      </c>
      <c r="K116" s="35">
        <f>IFERROR(
   SUMIFS(Mantenciones!$I:$I,Mantenciones!$B:$B,$A116)
 + SUMIFS('Compras PM'!$F:$F,'Compras PM'!$C:$C,$A116),0)</f>
        <v>449997.08999999997</v>
      </c>
      <c r="L116" s="28" t="str">
        <f>IF($J116="Fuera de Servicio","NO PROGRAMAR",IF($H116="","SIN DATOS",IF($H116&lt;=0,"VENCIDA",IF($H116&lt;=7,"CRÍTICA",IF($H116&lt;=15,"ALTA",IF($H116&lt;=30,"MEDIA","BAJA"))))))</f>
        <v>BAJA</v>
      </c>
      <c r="M116" s="53" cm="1">
        <f t="array" ref="M116">IFERROR(_xlfn.AGGREGATE(14,6,Mantenciones!$A$3:$A$9916/(Mantenciones!$B$3:$B$9916=$A116),1),"")</f>
        <v>46094</v>
      </c>
      <c r="N116" s="29" cm="1">
        <f t="array" ref="N116">IFERROR(_xlfn.AGGREGATE(14,6,'Compras PM'!$A$4:$A$10029/('Compras PM'!$C$4:$C$10029=$A116),1),"")</f>
        <v>46184</v>
      </c>
      <c r="O116" s="29">
        <f>IFERROR(VLOOKUP($A116,Maestro_Equipos!$A$4:$AG$242,27,FALSE()),"")</f>
        <v>46094</v>
      </c>
      <c r="P116" s="30">
        <f ca="1">IFERROR(IF($N116="","",IF(OR($M116="",$M116&lt;$N116),TODAY()-$N116,$M116-$N116)),"")</f>
        <v>56</v>
      </c>
      <c r="Q116" s="30">
        <f ca="1">IFERROR(IF($O116="","",IF(OR($M116="",$M116&lt;$O116),TODAY()-$O116,$M116-$O116)),"")</f>
        <v>0</v>
      </c>
      <c r="R116" s="28" t="str">
        <f>IF($O116="","SIN SALIDA",IF(OR($M116="",$M116&lt;$O116),"PENDIENTE","REALIZADA"))</f>
        <v>REALIZADA</v>
      </c>
      <c r="S116" s="31" t="str">
        <f>IFERROR(VLOOKUP($A116,Maestro_Equipos!$A$4:$AG$242,33,FALSE()),"")</f>
        <v>Monitorear próximo vencimiento</v>
      </c>
    </row>
    <row r="117" spans="1:19" ht="15" customHeight="1">
      <c r="A117" t="str" cm="1">
        <f t="array" ref="A117">IFERROR(INDEX(_xlfn._xlws.FILTER(Maestro_Equipos!$A$4:$A$242,Maestro_Equipos!$A$4:$A$242&lt;&gt;""),ROWS($A$4:A117)),"")</f>
        <v>MD-58</v>
      </c>
      <c r="B117" t="str">
        <f>IFERROR(_xlfn.XLOOKUP($A117,Maestro_Equipos!$A$4:$A$242,Maestro_Equipos!$B$4:$B$242,""),"")</f>
        <v>Rodillo de Neumaticos</v>
      </c>
      <c r="C117" t="str">
        <f>IFERROR(_xlfn.XLOOKUP($A117,Maestro_Equipos!$A$4:$A$242,Maestro_Equipos!$C$4:$C$242,""),"")</f>
        <v>Maquinaria Pesada</v>
      </c>
      <c r="D117" t="str">
        <f>IFERROR(_xlfn.XLOOKUP($A117,Maestro_Equipos!$A:$A,Maestro_Equipos!$I:$I,""),"")</f>
        <v>HORAS</v>
      </c>
      <c r="E117">
        <f>IFERROR(IF($D117="KM",_xlfn.XLOOKUP($A117,Maestro_Equipos!$A:$A,Maestro_Equipos!$N:$N,""),_xlfn.XLOOKUP($A117,Maestro_Equipos!$A:$A,Maestro_Equipos!$M:$M,"")),"")</f>
        <v>0</v>
      </c>
      <c r="F117" t="str">
        <f>IFERROR(_xlfn.XLOOKUP($A117,Maestro_Equipos!$A:$A,Maestro_Equipos!$R:$R,"")+_xlfn.XLOOKUP($A117,Maestro_Equipos!$A:$A,Maestro_Equipos!$J:$J,""),"")</f>
        <v/>
      </c>
      <c r="G117">
        <f>IFERROR(_xlfn.XLOOKUP($A117,Maestro_Equipos!$A:$A,Maestro_Equipos!$K:$K,""),"")</f>
        <v>0</v>
      </c>
      <c r="H117" t="str">
        <f>IFERROR(IF(OR($E117="",$F117="",$G117="",$G117&lt;=0),"",ROUND(($F117-$E117)/$G117,0)),"")</f>
        <v/>
      </c>
      <c r="I117" s="71" t="str">
        <f ca="1">IFERROR(IF($H117="","",TODAY()+$H117),"")</f>
        <v/>
      </c>
      <c r="J117" s="5" t="str">
        <f>IFERROR(INDEX(Maestro_Equipos!$V$4:$V$242,MATCH($A117,Maestro_Equipos!$A$4:$A$242,0)),"")</f>
        <v>Operativo</v>
      </c>
      <c r="K117" s="35">
        <f>IFERROR(
   SUMIFS(Mantenciones!$I:$I,Mantenciones!$B:$B,$A117)
 + SUMIFS('Compras PM'!$F:$F,'Compras PM'!$C:$C,$A117),0)</f>
        <v>0</v>
      </c>
      <c r="L117" s="28" t="str">
        <f>IF($J117="Fuera de Servicio","NO PROGRAMAR",IF($H117="","SIN DATOS",IF($H117&lt;=0,"VENCIDA",IF($H117&lt;=7,"CRÍTICA",IF($H117&lt;=15,"ALTA",IF($H117&lt;=30,"MEDIA","BAJA"))))))</f>
        <v>SIN DATOS</v>
      </c>
      <c r="M117" s="53" t="str" cm="1">
        <f t="array" ref="M117">IFERROR(_xlfn.AGGREGATE(14,6,Mantenciones!$A$3:$A$9916/(Mantenciones!$B$3:$B$9916=$A117),1),"")</f>
        <v/>
      </c>
      <c r="N117" s="29" t="str" cm="1">
        <f t="array" ref="N117">IFERROR(_xlfn.AGGREGATE(14,6,'Compras PM'!$A$4:$A$10029/('Compras PM'!$C$4:$C$10029=$A117),1),"")</f>
        <v/>
      </c>
      <c r="O117" s="29">
        <f>IFERROR(VLOOKUP($A117,Maestro_Equipos!$A$4:$AG$242,27,FALSE()),"")</f>
        <v>46147</v>
      </c>
      <c r="P117" s="30" t="str">
        <f ca="1">IFERROR(IF($N117="","",IF(OR($M117="",$M117&lt;$N117),TODAY()-$N117,$M117-$N117)),"")</f>
        <v/>
      </c>
      <c r="Q117" s="30">
        <f ca="1">IFERROR(IF($O117="","",IF(OR($M117="",$M117&lt;$O117),TODAY()-$O117,$M117-$O117)),"")</f>
        <v>93</v>
      </c>
      <c r="R117" s="28" t="str">
        <f>IF($O117="","SIN SALIDA",IF(OR($M117="",$M117&lt;$O117),"PENDIENTE","REALIZADA"))</f>
        <v>PENDIENTE</v>
      </c>
      <c r="S117" s="31" t="str">
        <f>IFERROR(VLOOKUP($A117,Maestro_Equipos!$A$4:$AG$242,33,FALSE()),"")</f>
        <v>Monitorear próximo vencimiento</v>
      </c>
    </row>
    <row r="118" spans="1:19">
      <c r="A118" t="str" cm="1">
        <f t="array" ref="A118">IFERROR(INDEX(_xlfn._xlws.FILTER(Maestro_Equipos!$A$4:$A$242,Maestro_Equipos!$A$4:$A$242&lt;&gt;""),ROWS($A$4:A118)),"")</f>
        <v>MD-59</v>
      </c>
      <c r="B118" t="str">
        <f>IFERROR(_xlfn.XLOOKUP($A118,Maestro_Equipos!$A$4:$A$242,Maestro_Equipos!$B$4:$B$242,""),"")</f>
        <v>Cargador Frontal</v>
      </c>
      <c r="C118" t="str">
        <f>IFERROR(_xlfn.XLOOKUP($A118,Maestro_Equipos!$A$4:$A$242,Maestro_Equipos!$C$4:$C$242,""),"")</f>
        <v>Maquinaria Pesada</v>
      </c>
      <c r="D118" t="str">
        <f>IFERROR(_xlfn.XLOOKUP($A118,Maestro_Equipos!$A:$A,Maestro_Equipos!$I:$I,""),"")</f>
        <v>HORAS</v>
      </c>
      <c r="E118">
        <f>IFERROR(IF($D118="KM",_xlfn.XLOOKUP($A118,Maestro_Equipos!$A:$A,Maestro_Equipos!$N:$N,""),_xlfn.XLOOKUP($A118,Maestro_Equipos!$A:$A,Maestro_Equipos!$M:$M,"")),"")</f>
        <v>0</v>
      </c>
      <c r="F118">
        <f>IFERROR(_xlfn.XLOOKUP($A118,Maestro_Equipos!$A:$A,Maestro_Equipos!$R:$R,"")+_xlfn.XLOOKUP($A118,Maestro_Equipos!$A:$A,Maestro_Equipos!$J:$J,""),"")</f>
        <v>11357</v>
      </c>
      <c r="G118">
        <f>IFERROR(_xlfn.XLOOKUP($A118,Maestro_Equipos!$A:$A,Maestro_Equipos!$K:$K,""),"")</f>
        <v>0</v>
      </c>
      <c r="H118" t="str">
        <f>IFERROR(IF(OR($E118="",$F118="",$G118="",$G118&lt;=0),"",ROUND(($F118-$E118)/$G118,0)),"")</f>
        <v/>
      </c>
      <c r="I118" s="71" t="str">
        <f ca="1">IFERROR(IF($H118="","",TODAY()+$H118),"")</f>
        <v/>
      </c>
      <c r="J118" s="5" t="str">
        <f>IFERROR(INDEX(Maestro_Equipos!$V$4:$V$242,MATCH($A118,Maestro_Equipos!$A$4:$A$242,0)),"")</f>
        <v>Operativo</v>
      </c>
      <c r="K118" s="35">
        <f>IFERROR(
   SUMIFS(Mantenciones!$I:$I,Mantenciones!$B:$B,$A118)
 + SUMIFS('Compras PM'!$F:$F,'Compras PM'!$C:$C,$A118),0)</f>
        <v>0</v>
      </c>
      <c r="L118" s="28" t="str">
        <f>IF($J118="Fuera de Servicio","NO PROGRAMAR",IF($H118="","SIN DATOS",IF($H118&lt;=0,"VENCIDA",IF($H118&lt;=7,"CRÍTICA",IF($H118&lt;=15,"ALTA",IF($H118&lt;=30,"MEDIA","BAJA"))))))</f>
        <v>SIN DATOS</v>
      </c>
      <c r="M118" s="53" cm="1">
        <f t="array" ref="M118">IFERROR(_xlfn.AGGREGATE(14,6,Mantenciones!$A$3:$A$9916/(Mantenciones!$B$3:$B$9916=$A118),1),"")</f>
        <v>45282</v>
      </c>
      <c r="N118" s="29" t="str" cm="1">
        <f t="array" ref="N118">IFERROR(_xlfn.AGGREGATE(14,6,'Compras PM'!$A$4:$A$10029/('Compras PM'!$C$4:$C$10029=$A118),1),"")</f>
        <v/>
      </c>
      <c r="O118" s="29" t="str">
        <f>IFERROR(VLOOKUP($A118,Maestro_Equipos!$A$4:$AG$242,27,FALSE()),"")</f>
        <v/>
      </c>
      <c r="P118" s="30" t="str">
        <f ca="1">IFERROR(IF($N118="","",IF(OR($M118="",$M118&lt;$N118),TODAY()-$N118,$M118-$N118)),"")</f>
        <v/>
      </c>
      <c r="Q118" s="30" t="str">
        <f ca="1">IFERROR(IF($O118="","",IF(OR($M118="",$M118&lt;$O118),TODAY()-$O118,$M118-$O118)),"")</f>
        <v/>
      </c>
      <c r="R118" s="28" t="str">
        <f>IF($O118="","SIN SALIDA",IF(OR($M118="",$M118&lt;$O118),"PENDIENTE","REALIZADA"))</f>
        <v>SIN SALIDA</v>
      </c>
      <c r="S118" s="31" t="str">
        <f>IFERROR(VLOOKUP($A118,Maestro_Equipos!$A$4:$AG$242,33,FALSE()),"")</f>
        <v>Monitorear próximo vencimiento</v>
      </c>
    </row>
    <row r="119" spans="1:19">
      <c r="A119" t="str" cm="1">
        <f t="array" ref="A119">IFERROR(INDEX(_xlfn._xlws.FILTER(Maestro_Equipos!$A$4:$A$242,Maestro_Equipos!$A$4:$A$242&lt;&gt;""),ROWS($A$4:A119)),"")</f>
        <v>MD-61</v>
      </c>
      <c r="B119" t="str">
        <f>IFERROR(_xlfn.XLOOKUP($A119,Maestro_Equipos!$A$4:$A$242,Maestro_Equipos!$B$4:$B$242,""),"")</f>
        <v>Excavadora</v>
      </c>
      <c r="C119" t="str">
        <f>IFERROR(_xlfn.XLOOKUP($A119,Maestro_Equipos!$A$4:$A$242,Maestro_Equipos!$C$4:$C$242,""),"")</f>
        <v>Maquinaria Pesada</v>
      </c>
      <c r="D119" t="str">
        <f>IFERROR(_xlfn.XLOOKUP($A119,Maestro_Equipos!$A:$A,Maestro_Equipos!$I:$I,""),"")</f>
        <v>HORAS</v>
      </c>
      <c r="E119">
        <f>IFERROR(IF($D119="KM",_xlfn.XLOOKUP($A119,Maestro_Equipos!$A:$A,Maestro_Equipos!$N:$N,""),_xlfn.XLOOKUP($A119,Maestro_Equipos!$A:$A,Maestro_Equipos!$M:$M,"")),"")</f>
        <v>17005</v>
      </c>
      <c r="F119">
        <f>IFERROR(_xlfn.XLOOKUP($A119,Maestro_Equipos!$A:$A,Maestro_Equipos!$R:$R,"")+_xlfn.XLOOKUP($A119,Maestro_Equipos!$A:$A,Maestro_Equipos!$J:$J,""),"")</f>
        <v>17250</v>
      </c>
      <c r="G119">
        <f>IFERROR(_xlfn.XLOOKUP($A119,Maestro_Equipos!$A:$A,Maestro_Equipos!$K:$K,""),"")</f>
        <v>1.5</v>
      </c>
      <c r="H119">
        <f>IFERROR(IF(OR($E119="",$F119="",$G119="",$G119&lt;=0),"",ROUND(($F119-$E119)/$G119,0)),"")</f>
        <v>163</v>
      </c>
      <c r="I119" s="71">
        <f ca="1">IFERROR(IF($H119="","",TODAY()+$H119),"")</f>
        <v>46403</v>
      </c>
      <c r="J119" s="5" t="str">
        <f>IFERROR(INDEX(Maestro_Equipos!$V$4:$V$242,MATCH($A119,Maestro_Equipos!$A$4:$A$242,0)),"")</f>
        <v>Operativo</v>
      </c>
      <c r="K119" s="35">
        <f>IFERROR(
   SUMIFS(Mantenciones!$I:$I,Mantenciones!$B:$B,$A119)
 + SUMIFS('Compras PM'!$F:$F,'Compras PM'!$C:$C,$A119),0)</f>
        <v>200572.12</v>
      </c>
      <c r="L119" s="28" t="str">
        <f>IF($J119="Fuera de Servicio","NO PROGRAMAR",IF($H119="","SIN DATOS",IF($H119&lt;=0,"VENCIDA",IF($H119&lt;=7,"CRÍTICA",IF($H119&lt;=15,"ALTA",IF($H119&lt;=30,"MEDIA","BAJA"))))))</f>
        <v>BAJA</v>
      </c>
      <c r="M119" s="53" cm="1">
        <f t="array" ref="M119">IFERROR(_xlfn.AGGREGATE(14,6,Mantenciones!$A$3:$A$9916/(Mantenciones!$B$3:$B$9916=$A119),1),"")</f>
        <v>46169</v>
      </c>
      <c r="N119" s="29" cm="1">
        <f t="array" ref="N119">IFERROR(_xlfn.AGGREGATE(14,6,'Compras PM'!$A$4:$A$10029/('Compras PM'!$C$4:$C$10029=$A119),1),"")</f>
        <v>46174</v>
      </c>
      <c r="O119" s="29">
        <f>IFERROR(VLOOKUP($A119,Maestro_Equipos!$A$4:$AG$242,27,FALSE()),"")</f>
        <v>46087</v>
      </c>
      <c r="P119" s="30">
        <f ca="1">IFERROR(IF($N119="","",IF(OR($M119="",$M119&lt;$N119),TODAY()-$N119,$M119-$N119)),"")</f>
        <v>66</v>
      </c>
      <c r="Q119" s="30">
        <f ca="1">IFERROR(IF($O119="","",IF(OR($M119="",$M119&lt;$O119),TODAY()-$O119,$M119-$O119)),"")</f>
        <v>82</v>
      </c>
      <c r="R119" s="28" t="str">
        <f>IF($O119="","SIN SALIDA",IF(OR($M119="",$M119&lt;$O119),"PENDIENTE","REALIZADA"))</f>
        <v>REALIZADA</v>
      </c>
      <c r="S119" s="31" t="str">
        <f>IFERROR(VLOOKUP($A119,Maestro_Equipos!$A$4:$AG$242,33,FALSE()),"")</f>
        <v>Monitorear próximo vencimiento</v>
      </c>
    </row>
    <row r="120" spans="1:19" ht="15" customHeight="1">
      <c r="A120" t="str" cm="1">
        <f t="array" ref="A120">IFERROR(INDEX(_xlfn._xlws.FILTER(Maestro_Equipos!$A$4:$A$242,Maestro_Equipos!$A$4:$A$242&lt;&gt;""),ROWS($A$4:A120)),"")</f>
        <v>MD-62</v>
      </c>
      <c r="B120" t="str">
        <f>IFERROR(_xlfn.XLOOKUP($A120,Maestro_Equipos!$A$4:$A$242,Maestro_Equipos!$B$4:$B$242,""),"")</f>
        <v>Excavadora con Ruedas</v>
      </c>
      <c r="C120" t="str">
        <f>IFERROR(_xlfn.XLOOKUP($A120,Maestro_Equipos!$A$4:$A$242,Maestro_Equipos!$C$4:$C$242,""),"")</f>
        <v>Maquinaria Pesada</v>
      </c>
      <c r="D120" t="str">
        <f>IFERROR(_xlfn.XLOOKUP($A120,Maestro_Equipos!$A:$A,Maestro_Equipos!$I:$I,""),"")</f>
        <v>HORAS</v>
      </c>
      <c r="E120">
        <f>IFERROR(IF($D120="KM",_xlfn.XLOOKUP($A120,Maestro_Equipos!$A:$A,Maestro_Equipos!$N:$N,""),_xlfn.XLOOKUP($A120,Maestro_Equipos!$A:$A,Maestro_Equipos!$M:$M,"")),"")</f>
        <v>4871</v>
      </c>
      <c r="F120">
        <f>IFERROR(_xlfn.XLOOKUP($A120,Maestro_Equipos!$A:$A,Maestro_Equipos!$R:$R,"")+_xlfn.XLOOKUP($A120,Maestro_Equipos!$A:$A,Maestro_Equipos!$J:$J,""),"")</f>
        <v>17402</v>
      </c>
      <c r="G120">
        <f>IFERROR(_xlfn.XLOOKUP($A120,Maestro_Equipos!$A:$A,Maestro_Equipos!$K:$K,""),"")</f>
        <v>2.5</v>
      </c>
      <c r="H120">
        <f>IFERROR(IF(OR($E120="",$F120="",$G120="",$G120&lt;=0),"",ROUND(($F120-$E120)/$G120,0)),"")</f>
        <v>5012</v>
      </c>
      <c r="I120" s="71">
        <f ca="1">IFERROR(IF($H120="","",TODAY()+$H120),"")</f>
        <v>51252</v>
      </c>
      <c r="J120" s="5" t="str">
        <f>IFERROR(INDEX(Maestro_Equipos!$V$4:$V$242,MATCH($A120,Maestro_Equipos!$A$4:$A$242,0)),"")</f>
        <v>Operativo</v>
      </c>
      <c r="K120" s="35">
        <f>IFERROR(
   SUMIFS(Mantenciones!$I:$I,Mantenciones!$B:$B,$A120)
 + SUMIFS('Compras PM'!$F:$F,'Compras PM'!$C:$C,$A120),0)</f>
        <v>337567.43</v>
      </c>
      <c r="L120" s="28" t="str">
        <f>IF($J120="Fuera de Servicio","NO PROGRAMAR",IF($H120="","SIN DATOS",IF($H120&lt;=0,"VENCIDA",IF($H120&lt;=7,"CRÍTICA",IF($H120&lt;=15,"ALTA",IF($H120&lt;=30,"MEDIA","BAJA"))))))</f>
        <v>BAJA</v>
      </c>
      <c r="M120" s="53" cm="1">
        <f t="array" ref="M120">IFERROR(_xlfn.AGGREGATE(14,6,Mantenciones!$A$3:$A$9916/(Mantenciones!$B$3:$B$9916=$A120),1),"")</f>
        <v>46094</v>
      </c>
      <c r="N120" s="29" cm="1">
        <f t="array" ref="N120">IFERROR(_xlfn.AGGREGATE(14,6,'Compras PM'!$A$4:$A$10029/('Compras PM'!$C$4:$C$10029=$A120),1),"")</f>
        <v>46197</v>
      </c>
      <c r="O120" s="29">
        <f>IFERROR(VLOOKUP($A120,Maestro_Equipos!$A$4:$AG$242,27,FALSE()),"")</f>
        <v>46079</v>
      </c>
      <c r="P120" s="30">
        <f ca="1">IFERROR(IF($N120="","",IF(OR($M120="",$M120&lt;$N120),TODAY()-$N120,$M120-$N120)),"")</f>
        <v>43</v>
      </c>
      <c r="Q120" s="30">
        <f ca="1">IFERROR(IF($O120="","",IF(OR($M120="",$M120&lt;$O120),TODAY()-$O120,$M120-$O120)),"")</f>
        <v>15</v>
      </c>
      <c r="R120" s="28" t="str">
        <f>IF($O120="","SIN SALIDA",IF(OR($M120="",$M120&lt;$O120),"PENDIENTE","REALIZADA"))</f>
        <v>REALIZADA</v>
      </c>
      <c r="S120" s="31" t="str">
        <f>IFERROR(VLOOKUP($A120,Maestro_Equipos!$A$4:$AG$242,33,FALSE()),"")</f>
        <v>Monitorear próximo vencimiento</v>
      </c>
    </row>
    <row r="121" spans="1:19">
      <c r="A121" t="str" cm="1">
        <f t="array" ref="A121">IFERROR(INDEX(_xlfn._xlws.FILTER(Maestro_Equipos!$A$4:$A$242,Maestro_Equipos!$A$4:$A$242&lt;&gt;""),ROWS($A$4:A121)),"")</f>
        <v>MD-64</v>
      </c>
      <c r="B121" t="str">
        <f>IFERROR(_xlfn.XLOOKUP($A121,Maestro_Equipos!$A$4:$A$242,Maestro_Equipos!$B$4:$B$242,""),"")</f>
        <v>Retroexcavadora</v>
      </c>
      <c r="C121" t="str">
        <f>IFERROR(_xlfn.XLOOKUP($A121,Maestro_Equipos!$A$4:$A$242,Maestro_Equipos!$C$4:$C$242,""),"")</f>
        <v>Maquinaria Pesada</v>
      </c>
      <c r="D121" t="str">
        <f>IFERROR(_xlfn.XLOOKUP($A121,Maestro_Equipos!$A:$A,Maestro_Equipos!$I:$I,""),"")</f>
        <v>HORAS</v>
      </c>
      <c r="E121">
        <f>IFERROR(IF($D121="KM",_xlfn.XLOOKUP($A121,Maestro_Equipos!$A:$A,Maestro_Equipos!$N:$N,""),_xlfn.XLOOKUP($A121,Maestro_Equipos!$A:$A,Maestro_Equipos!$M:$M,"")),"")</f>
        <v>0</v>
      </c>
      <c r="F121">
        <f>IFERROR(_xlfn.XLOOKUP($A121,Maestro_Equipos!$A:$A,Maestro_Equipos!$R:$R,"")+_xlfn.XLOOKUP($A121,Maestro_Equipos!$A:$A,Maestro_Equipos!$J:$J,""),"")</f>
        <v>6603</v>
      </c>
      <c r="G121">
        <f>IFERROR(_xlfn.XLOOKUP($A121,Maestro_Equipos!$A:$A,Maestro_Equipos!$K:$K,""),"")</f>
        <v>0</v>
      </c>
      <c r="H121" t="str">
        <f>IFERROR(IF(OR($E121="",$F121="",$G121="",$G121&lt;=0),"",ROUND(($F121-$E121)/$G121,0)),"")</f>
        <v/>
      </c>
      <c r="I121" s="71" t="str">
        <f ca="1">IFERROR(IF($H121="","",TODAY()+$H121),"")</f>
        <v/>
      </c>
      <c r="J121" s="5" t="str">
        <f>IFERROR(INDEX(Maestro_Equipos!$V$4:$V$242,MATCH($A121,Maestro_Equipos!$A$4:$A$242,0)),"")</f>
        <v>Operativo</v>
      </c>
      <c r="K121" s="35">
        <f>IFERROR(
   SUMIFS(Mantenciones!$I:$I,Mantenciones!$B:$B,$A121)
 + SUMIFS('Compras PM'!$F:$F,'Compras PM'!$C:$C,$A121),0)</f>
        <v>0</v>
      </c>
      <c r="L121" s="28" t="str">
        <f>IF($J121="Fuera de Servicio","NO PROGRAMAR",IF($H121="","SIN DATOS",IF($H121&lt;=0,"VENCIDA",IF($H121&lt;=7,"CRÍTICA",IF($H121&lt;=15,"ALTA",IF($H121&lt;=30,"MEDIA","BAJA"))))))</f>
        <v>SIN DATOS</v>
      </c>
      <c r="M121" s="53" cm="1">
        <f t="array" ref="M121">IFERROR(_xlfn.AGGREGATE(14,6,Mantenciones!$A$3:$A$9916/(Mantenciones!$B$3:$B$9916=$A121),1),"")</f>
        <v>44489</v>
      </c>
      <c r="N121" s="29" t="str" cm="1">
        <f t="array" ref="N121">IFERROR(_xlfn.AGGREGATE(14,6,'Compras PM'!$A$4:$A$10029/('Compras PM'!$C$4:$C$10029=$A121),1),"")</f>
        <v/>
      </c>
      <c r="O121" s="29" t="str">
        <f>IFERROR(VLOOKUP($A121,Maestro_Equipos!$A$4:$AG$242,27,FALSE()),"")</f>
        <v/>
      </c>
      <c r="P121" s="30" t="str">
        <f ca="1">IFERROR(IF($N121="","",IF(OR($M121="",$M121&lt;$N121),TODAY()-$N121,$M121-$N121)),"")</f>
        <v/>
      </c>
      <c r="Q121" s="30" t="str">
        <f ca="1">IFERROR(IF($O121="","",IF(OR($M121="",$M121&lt;$O121),TODAY()-$O121,$M121-$O121)),"")</f>
        <v/>
      </c>
      <c r="R121" s="28" t="str">
        <f>IF($O121="","SIN SALIDA",IF(OR($M121="",$M121&lt;$O121),"PENDIENTE","REALIZADA"))</f>
        <v>SIN SALIDA</v>
      </c>
      <c r="S121" s="31" t="str">
        <f>IFERROR(VLOOKUP($A121,Maestro_Equipos!$A$4:$AG$242,33,FALSE()),"")</f>
        <v>Monitorear próximo vencimiento</v>
      </c>
    </row>
    <row r="122" spans="1:19">
      <c r="A122" t="str" cm="1">
        <f t="array" ref="A122">IFERROR(INDEX(_xlfn._xlws.FILTER(Maestro_Equipos!$A$4:$A$242,Maestro_Equipos!$A$4:$A$242&lt;&gt;""),ROWS($A$4:A122)),"")</f>
        <v>MD-65</v>
      </c>
      <c r="B122" t="str">
        <f>IFERROR(_xlfn.XLOOKUP($A122,Maestro_Equipos!$A$4:$A$242,Maestro_Equipos!$B$4:$B$242,""),"")</f>
        <v>Cargador Frontal</v>
      </c>
      <c r="C122" t="str">
        <f>IFERROR(_xlfn.XLOOKUP($A122,Maestro_Equipos!$A$4:$A$242,Maestro_Equipos!$C$4:$C$242,""),"")</f>
        <v>Maquinaria Pesada</v>
      </c>
      <c r="D122" t="str">
        <f>IFERROR(_xlfn.XLOOKUP($A122,Maestro_Equipos!$A:$A,Maestro_Equipos!$I:$I,""),"")</f>
        <v>HORAS</v>
      </c>
      <c r="E122">
        <f>IFERROR(IF($D122="KM",_xlfn.XLOOKUP($A122,Maestro_Equipos!$A:$A,Maestro_Equipos!$N:$N,""),_xlfn.XLOOKUP($A122,Maestro_Equipos!$A:$A,Maestro_Equipos!$M:$M,"")),"")</f>
        <v>5714</v>
      </c>
      <c r="F122">
        <f>IFERROR(_xlfn.XLOOKUP($A122,Maestro_Equipos!$A:$A,Maestro_Equipos!$R:$R,"")+_xlfn.XLOOKUP($A122,Maestro_Equipos!$A:$A,Maestro_Equipos!$J:$J,""),"")</f>
        <v>4268</v>
      </c>
      <c r="G122">
        <f>IFERROR(_xlfn.XLOOKUP($A122,Maestro_Equipos!$A:$A,Maestro_Equipos!$K:$K,""),"")</f>
        <v>1.6</v>
      </c>
      <c r="H122">
        <f>IFERROR(IF(OR($E122="",$F122="",$G122="",$G122&lt;=0),"",ROUND(($F122-$E122)/$G122,0)),"")</f>
        <v>-904</v>
      </c>
      <c r="I122" s="71">
        <f ca="1">IFERROR(IF($H122="","",TODAY()+$H122),"")</f>
        <v>45336</v>
      </c>
      <c r="J122" s="5" t="str">
        <f>IFERROR(INDEX(Maestro_Equipos!$V$4:$V$242,MATCH($A122,Maestro_Equipos!$A$4:$A$242,0)),"")</f>
        <v>Operativo</v>
      </c>
      <c r="K122" s="35">
        <f>IFERROR(
   SUMIFS(Mantenciones!$I:$I,Mantenciones!$B:$B,$A122)
 + SUMIFS('Compras PM'!$F:$F,'Compras PM'!$C:$C,$A122),0)</f>
        <v>0</v>
      </c>
      <c r="L122" s="28" t="str">
        <f>IF($J122="Fuera de Servicio","NO PROGRAMAR",IF($H122="","SIN DATOS",IF($H122&lt;=0,"VENCIDA",IF($H122&lt;=7,"CRÍTICA",IF($H122&lt;=15,"ALTA",IF($H122&lt;=30,"MEDIA","BAJA"))))))</f>
        <v>VENCIDA</v>
      </c>
      <c r="M122" s="53" cm="1">
        <f t="array" ref="M122">IFERROR(_xlfn.AGGREGATE(14,6,Mantenciones!$A$3:$A$9916/(Mantenciones!$B$3:$B$9916=$A122),1),"")</f>
        <v>45086</v>
      </c>
      <c r="N122" s="29" t="str" cm="1">
        <f t="array" ref="N122">IFERROR(_xlfn.AGGREGATE(14,6,'Compras PM'!$A$4:$A$10029/('Compras PM'!$C$4:$C$10029=$A122),1),"")</f>
        <v/>
      </c>
      <c r="O122" s="29" t="str">
        <f>IFERROR(VLOOKUP($A122,Maestro_Equipos!$A$4:$AG$242,27,FALSE()),"")</f>
        <v/>
      </c>
      <c r="P122" s="30" t="str">
        <f ca="1">IFERROR(IF($N122="","",IF(OR($M122="",$M122&lt;$N122),TODAY()-$N122,$M122-$N122)),"")</f>
        <v/>
      </c>
      <c r="Q122" s="30" t="str">
        <f ca="1">IFERROR(IF($O122="","",IF(OR($M122="",$M122&lt;$O122),TODAY()-$O122,$M122-$O122)),"")</f>
        <v/>
      </c>
      <c r="R122" s="28" t="str">
        <f>IF($O122="","SIN SALIDA",IF(OR($M122="",$M122&lt;$O122),"PENDIENTE","REALIZADA"))</f>
        <v>SIN SALIDA</v>
      </c>
      <c r="S122" s="31" t="str">
        <f>IFERROR(VLOOKUP($A122,Maestro_Equipos!$A$4:$AG$242,33,FALSE()),"")</f>
        <v>Monitorear próximo vencimiento</v>
      </c>
    </row>
    <row r="123" spans="1:19">
      <c r="A123" t="str" cm="1">
        <f t="array" ref="A123">IFERROR(INDEX(_xlfn._xlws.FILTER(Maestro_Equipos!$A$4:$A$242,Maestro_Equipos!$A$4:$A$242&lt;&gt;""),ROWS($A$4:A123)),"")</f>
        <v>MD-67</v>
      </c>
      <c r="B123" t="str">
        <f>IFERROR(_xlfn.XLOOKUP($A123,Maestro_Equipos!$A$4:$A$242,Maestro_Equipos!$B$4:$B$242,""),"")</f>
        <v>Rodillo</v>
      </c>
      <c r="C123" t="str">
        <f>IFERROR(_xlfn.XLOOKUP($A123,Maestro_Equipos!$A$4:$A$242,Maestro_Equipos!$C$4:$C$242,""),"")</f>
        <v>Maquinaria Pesada</v>
      </c>
      <c r="D123" t="str">
        <f>IFERROR(_xlfn.XLOOKUP($A123,Maestro_Equipos!$A:$A,Maestro_Equipos!$I:$I,""),"")</f>
        <v>HORAS</v>
      </c>
      <c r="E123">
        <f>IFERROR(IF($D123="KM",_xlfn.XLOOKUP($A123,Maestro_Equipos!$A:$A,Maestro_Equipos!$N:$N,""),_xlfn.XLOOKUP($A123,Maestro_Equipos!$A:$A,Maestro_Equipos!$M:$M,"")),"")</f>
        <v>3850</v>
      </c>
      <c r="F123">
        <f>IFERROR(_xlfn.XLOOKUP($A123,Maestro_Equipos!$A:$A,Maestro_Equipos!$R:$R,"")+_xlfn.XLOOKUP($A123,Maestro_Equipos!$A:$A,Maestro_Equipos!$J:$J,""),"")</f>
        <v>4045</v>
      </c>
      <c r="G123">
        <f>IFERROR(_xlfn.XLOOKUP($A123,Maestro_Equipos!$A:$A,Maestro_Equipos!$K:$K,""),"")</f>
        <v>2.4</v>
      </c>
      <c r="H123">
        <f>IFERROR(IF(OR($E123="",$F123="",$G123="",$G123&lt;=0),"",ROUND(($F123-$E123)/$G123,0)),"")</f>
        <v>81</v>
      </c>
      <c r="I123" s="71">
        <f ca="1">IFERROR(IF($H123="","",TODAY()+$H123),"")</f>
        <v>46321</v>
      </c>
      <c r="J123" s="5" t="str">
        <f>IFERROR(INDEX(Maestro_Equipos!$V$4:$V$242,MATCH($A123,Maestro_Equipos!$A$4:$A$242,0)),"")</f>
        <v>Operativo</v>
      </c>
      <c r="K123" s="35">
        <f>IFERROR(
   SUMIFS(Mantenciones!$I:$I,Mantenciones!$B:$B,$A123)
 + SUMIFS('Compras PM'!$F:$F,'Compras PM'!$C:$C,$A123),0)</f>
        <v>177476</v>
      </c>
      <c r="L123" s="28" t="str">
        <f>IF($J123="Fuera de Servicio","NO PROGRAMAR",IF($H123="","SIN DATOS",IF($H123&lt;=0,"VENCIDA",IF($H123&lt;=7,"CRÍTICA",IF($H123&lt;=15,"ALTA",IF($H123&lt;=30,"MEDIA","BAJA"))))))</f>
        <v>BAJA</v>
      </c>
      <c r="M123" s="53" cm="1">
        <f t="array" ref="M123">IFERROR(_xlfn.AGGREGATE(14,6,Mantenciones!$A$3:$A$9916/(Mantenciones!$B$3:$B$9916=$A123),1),"")</f>
        <v>46092</v>
      </c>
      <c r="N123" s="29" t="str" cm="1">
        <f t="array" ref="N123">IFERROR(_xlfn.AGGREGATE(14,6,'Compras PM'!$A$4:$A$10029/('Compras PM'!$C$4:$C$10029=$A123),1),"")</f>
        <v/>
      </c>
      <c r="O123" s="29">
        <f>IFERROR(VLOOKUP($A123,Maestro_Equipos!$A$4:$AG$242,27,FALSE()),"")</f>
        <v>46134</v>
      </c>
      <c r="P123" s="30" t="str">
        <f ca="1">IFERROR(IF($N123="","",IF(OR($M123="",$M123&lt;$N123),TODAY()-$N123,$M123-$N123)),"")</f>
        <v/>
      </c>
      <c r="Q123" s="30">
        <f ca="1">IFERROR(IF($O123="","",IF(OR($M123="",$M123&lt;$O123),TODAY()-$O123,$M123-$O123)),"")</f>
        <v>106</v>
      </c>
      <c r="R123" s="28" t="str">
        <f>IF($O123="","SIN SALIDA",IF(OR($M123="",$M123&lt;$O123),"PENDIENTE","REALIZADA"))</f>
        <v>PENDIENTE</v>
      </c>
      <c r="S123" s="31" t="str">
        <f>IFERROR(VLOOKUP($A123,Maestro_Equipos!$A$4:$AG$242,33,FALSE()),"")</f>
        <v>Monitorear próximo vencimiento</v>
      </c>
    </row>
    <row r="124" spans="1:19" ht="15" customHeight="1">
      <c r="A124" t="str" cm="1">
        <f t="array" ref="A124">IFERROR(INDEX(_xlfn._xlws.FILTER(Maestro_Equipos!$A$4:$A$242,Maestro_Equipos!$A$4:$A$242&lt;&gt;""),ROWS($A$4:A124)),"")</f>
        <v>MD-68</v>
      </c>
      <c r="B124" t="str">
        <f>IFERROR(_xlfn.XLOOKUP($A124,Maestro_Equipos!$A$4:$A$242,Maestro_Equipos!$B$4:$B$242,""),"")</f>
        <v>Rodillo</v>
      </c>
      <c r="C124" t="str">
        <f>IFERROR(_xlfn.XLOOKUP($A124,Maestro_Equipos!$A$4:$A$242,Maestro_Equipos!$C$4:$C$242,""),"")</f>
        <v>Maquinaria Pesada</v>
      </c>
      <c r="D124" t="str">
        <f>IFERROR(_xlfn.XLOOKUP($A124,Maestro_Equipos!$A:$A,Maestro_Equipos!$I:$I,""),"")</f>
        <v>HORAS</v>
      </c>
      <c r="E124">
        <f>IFERROR(IF($D124="KM",_xlfn.XLOOKUP($A124,Maestro_Equipos!$A:$A,Maestro_Equipos!$N:$N,""),_xlfn.XLOOKUP($A124,Maestro_Equipos!$A:$A,Maestro_Equipos!$M:$M,"")),"")</f>
        <v>3578</v>
      </c>
      <c r="F124">
        <f>IFERROR(_xlfn.XLOOKUP($A124,Maestro_Equipos!$A:$A,Maestro_Equipos!$R:$R,"")+_xlfn.XLOOKUP($A124,Maestro_Equipos!$A:$A,Maestro_Equipos!$J:$J,""),"")</f>
        <v>3772</v>
      </c>
      <c r="G124">
        <f>IFERROR(_xlfn.XLOOKUP($A124,Maestro_Equipos!$A:$A,Maestro_Equipos!$K:$K,""),"")</f>
        <v>1.1000000000000001</v>
      </c>
      <c r="H124">
        <f>IFERROR(IF(OR($E124="",$F124="",$G124="",$G124&lt;=0),"",ROUND(($F124-$E124)/$G124,0)),"")</f>
        <v>176</v>
      </c>
      <c r="I124" s="71">
        <f ca="1">IFERROR(IF($H124="","",TODAY()+$H124),"")</f>
        <v>46416</v>
      </c>
      <c r="J124" s="5" t="str">
        <f>IFERROR(INDEX(Maestro_Equipos!$V$4:$V$242,MATCH($A124,Maestro_Equipos!$A$4:$A$242,0)),"")</f>
        <v>Operativo</v>
      </c>
      <c r="K124" s="35">
        <f>IFERROR(
   SUMIFS(Mantenciones!$I:$I,Mantenciones!$B:$B,$A124)
 + SUMIFS('Compras PM'!$F:$F,'Compras PM'!$C:$C,$A124),0)</f>
        <v>358626.13</v>
      </c>
      <c r="L124" s="28" t="str">
        <f>IF($J124="Fuera de Servicio","NO PROGRAMAR",IF($H124="","SIN DATOS",IF($H124&lt;=0,"VENCIDA",IF($H124&lt;=7,"CRÍTICA",IF($H124&lt;=15,"ALTA",IF($H124&lt;=30,"MEDIA","BAJA"))))))</f>
        <v>BAJA</v>
      </c>
      <c r="M124" s="53" cm="1">
        <f t="array" ref="M124">IFERROR(_xlfn.AGGREGATE(14,6,Mantenciones!$A$3:$A$9916/(Mantenciones!$B$3:$B$9916=$A124),1),"")</f>
        <v>46057</v>
      </c>
      <c r="N124" s="29" cm="1">
        <f t="array" ref="N124">IFERROR(_xlfn.AGGREGATE(14,6,'Compras PM'!$A$4:$A$10029/('Compras PM'!$C$4:$C$10029=$A124),1),"")</f>
        <v>46184</v>
      </c>
      <c r="O124" s="29">
        <f>IFERROR(VLOOKUP($A124,Maestro_Equipos!$A$4:$AG$242,27,FALSE()),"")</f>
        <v>46065</v>
      </c>
      <c r="P124" s="30">
        <f ca="1">IFERROR(IF($N124="","",IF(OR($M124="",$M124&lt;$N124),TODAY()-$N124,$M124-$N124)),"")</f>
        <v>56</v>
      </c>
      <c r="Q124" s="30">
        <f ca="1">IFERROR(IF($O124="","",IF(OR($M124="",$M124&lt;$O124),TODAY()-$O124,$M124-$O124)),"")</f>
        <v>175</v>
      </c>
      <c r="R124" s="28" t="str">
        <f>IF($O124="","SIN SALIDA",IF(OR($M124="",$M124&lt;$O124),"PENDIENTE","REALIZADA"))</f>
        <v>PENDIENTE</v>
      </c>
      <c r="S124" s="31" t="str">
        <f>IFERROR(VLOOKUP($A124,Maestro_Equipos!$A$4:$AG$242,33,FALSE()),"")</f>
        <v>Monitorear próximo vencimiento</v>
      </c>
    </row>
    <row r="125" spans="1:19" ht="15" customHeight="1">
      <c r="A125" t="str" cm="1">
        <f t="array" ref="A125">IFERROR(INDEX(_xlfn._xlws.FILTER(Maestro_Equipos!$A$4:$A$242,Maestro_Equipos!$A$4:$A$242&lt;&gt;""),ROWS($A$4:A125)),"")</f>
        <v>MD-70</v>
      </c>
      <c r="B125" t="str">
        <f>IFERROR(_xlfn.XLOOKUP($A125,Maestro_Equipos!$A$4:$A$242,Maestro_Equipos!$B$4:$B$242,""),"")</f>
        <v>Excavadora con Ruedas</v>
      </c>
      <c r="C125" t="str">
        <f>IFERROR(_xlfn.XLOOKUP($A125,Maestro_Equipos!$A$4:$A$242,Maestro_Equipos!$C$4:$C$242,""),"")</f>
        <v>Maquinaria Pesada</v>
      </c>
      <c r="D125" t="str">
        <f>IFERROR(_xlfn.XLOOKUP($A125,Maestro_Equipos!$A:$A,Maestro_Equipos!$I:$I,""),"")</f>
        <v>HORAS</v>
      </c>
      <c r="E125">
        <f>IFERROR(IF($D125="KM",_xlfn.XLOOKUP($A125,Maestro_Equipos!$A:$A,Maestro_Equipos!$N:$N,""),_xlfn.XLOOKUP($A125,Maestro_Equipos!$A:$A,Maestro_Equipos!$M:$M,"")),"")</f>
        <v>13040</v>
      </c>
      <c r="F125">
        <f>IFERROR(_xlfn.XLOOKUP($A125,Maestro_Equipos!$A:$A,Maestro_Equipos!$R:$R,"")+_xlfn.XLOOKUP($A125,Maestro_Equipos!$A:$A,Maestro_Equipos!$J:$J,""),"")</f>
        <v>13562</v>
      </c>
      <c r="G125">
        <f>IFERROR(_xlfn.XLOOKUP($A125,Maestro_Equipos!$A:$A,Maestro_Equipos!$K:$K,""),"")</f>
        <v>0.9</v>
      </c>
      <c r="H125">
        <f>IFERROR(IF(OR($E125="",$F125="",$G125="",$G125&lt;=0),"",ROUND(($F125-$E125)/$G125,0)),"")</f>
        <v>580</v>
      </c>
      <c r="I125" s="71">
        <f ca="1">IFERROR(IF($H125="","",TODAY()+$H125),"")</f>
        <v>46820</v>
      </c>
      <c r="J125" s="5" t="str">
        <f>IFERROR(INDEX(Maestro_Equipos!$V$4:$V$242,MATCH($A125,Maestro_Equipos!$A$4:$A$242,0)),"")</f>
        <v>Operativo</v>
      </c>
      <c r="K125" s="35">
        <f>IFERROR(
   SUMIFS(Mantenciones!$I:$I,Mantenciones!$B:$B,$A125)
 + SUMIFS('Compras PM'!$F:$F,'Compras PM'!$C:$C,$A125),0)</f>
        <v>178199.95669999998</v>
      </c>
      <c r="L125" s="28" t="str">
        <f>IF($J125="Fuera de Servicio","NO PROGRAMAR",IF($H125="","SIN DATOS",IF($H125&lt;=0,"VENCIDA",IF($H125&lt;=7,"CRÍTICA",IF($H125&lt;=15,"ALTA",IF($H125&lt;=30,"MEDIA","BAJA"))))))</f>
        <v>BAJA</v>
      </c>
      <c r="M125" s="53" cm="1">
        <f t="array" ref="M125">IFERROR(_xlfn.AGGREGATE(14,6,Mantenciones!$A$3:$A$9916/(Mantenciones!$B$3:$B$9916=$A125),1),"")</f>
        <v>46230</v>
      </c>
      <c r="N125" s="29" cm="1">
        <f t="array" ref="N125">IFERROR(_xlfn.AGGREGATE(14,6,'Compras PM'!$A$4:$A$10029/('Compras PM'!$C$4:$C$10029=$A125),1),"")</f>
        <v>46094.669263854201</v>
      </c>
      <c r="O125" s="29">
        <f>IFERROR(VLOOKUP($A125,Maestro_Equipos!$A$4:$AG$242,27,FALSE()),"")</f>
        <v>46094</v>
      </c>
      <c r="P125" s="30">
        <f ca="1">IFERROR(IF($N125="","",IF(OR($M125="",$M125&lt;$N125),TODAY()-$N125,$M125-$N125)),"")</f>
        <v>135.33073614579916</v>
      </c>
      <c r="Q125" s="30">
        <f ca="1">IFERROR(IF($O125="","",IF(OR($M125="",$M125&lt;$O125),TODAY()-$O125,$M125-$O125)),"")</f>
        <v>136</v>
      </c>
      <c r="R125" s="28" t="str">
        <f>IF($O125="","SIN SALIDA",IF(OR($M125="",$M125&lt;$O125),"PENDIENTE","REALIZADA"))</f>
        <v>REALIZADA</v>
      </c>
      <c r="S125" s="31" t="str">
        <f>IFERROR(VLOOKUP($A125,Maestro_Equipos!$A$4:$AG$242,33,FALSE()),"")</f>
        <v>Monitorear próximo vencimiento</v>
      </c>
    </row>
    <row r="126" spans="1:19" ht="15" customHeight="1">
      <c r="A126" t="str" cm="1">
        <f t="array" ref="A126">IFERROR(INDEX(_xlfn._xlws.FILTER(Maestro_Equipos!$A$4:$A$242,Maestro_Equipos!$A$4:$A$242&lt;&gt;""),ROWS($A$4:A126)),"")</f>
        <v>MD-71</v>
      </c>
      <c r="B126" t="str">
        <f>IFERROR(_xlfn.XLOOKUP($A126,Maestro_Equipos!$A$4:$A$242,Maestro_Equipos!$B$4:$B$242,""),"")</f>
        <v>Retroexcavadora</v>
      </c>
      <c r="C126" t="str">
        <f>IFERROR(_xlfn.XLOOKUP($A126,Maestro_Equipos!$A$4:$A$242,Maestro_Equipos!$C$4:$C$242,""),"")</f>
        <v>Maquinaria Pesada</v>
      </c>
      <c r="D126" t="str">
        <f>IFERROR(_xlfn.XLOOKUP($A126,Maestro_Equipos!$A:$A,Maestro_Equipos!$I:$I,""),"")</f>
        <v>HORAS</v>
      </c>
      <c r="E126">
        <f>IFERROR(IF($D126="KM",_xlfn.XLOOKUP($A126,Maestro_Equipos!$A:$A,Maestro_Equipos!$N:$N,""),_xlfn.XLOOKUP($A126,Maestro_Equipos!$A:$A,Maestro_Equipos!$M:$M,"")),"")</f>
        <v>5937</v>
      </c>
      <c r="F126">
        <f>IFERROR(_xlfn.XLOOKUP($A126,Maestro_Equipos!$A:$A,Maestro_Equipos!$R:$R,"")+_xlfn.XLOOKUP($A126,Maestro_Equipos!$A:$A,Maestro_Equipos!$J:$J,""),"")</f>
        <v>6572</v>
      </c>
      <c r="G126">
        <f>IFERROR(_xlfn.XLOOKUP($A126,Maestro_Equipos!$A:$A,Maestro_Equipos!$K:$K,""),"")</f>
        <v>0</v>
      </c>
      <c r="H126" t="str">
        <f>IFERROR(IF(OR($E126="",$F126="",$G126="",$G126&lt;=0),"",ROUND(($F126-$E126)/$G126,0)),"")</f>
        <v/>
      </c>
      <c r="I126" s="71" t="str">
        <f ca="1">IFERROR(IF($H126="","",TODAY()+$H126),"")</f>
        <v/>
      </c>
      <c r="J126" s="5" t="str">
        <f>IFERROR(INDEX(Maestro_Equipos!$V$4:$V$242,MATCH($A126,Maestro_Equipos!$A$4:$A$242,0)),"")</f>
        <v>Taller</v>
      </c>
      <c r="K126" s="35">
        <f>IFERROR(
   SUMIFS(Mantenciones!$I:$I,Mantenciones!$B:$B,$A126)
 + SUMIFS('Compras PM'!$F:$F,'Compras PM'!$C:$C,$A126),0)</f>
        <v>93278.744999999995</v>
      </c>
      <c r="L126" s="28" t="str">
        <f>IF($J126="Fuera de Servicio","NO PROGRAMAR",IF($H126="","SIN DATOS",IF($H126&lt;=0,"VENCIDA",IF($H126&lt;=7,"CRÍTICA",IF($H126&lt;=15,"ALTA",IF($H126&lt;=30,"MEDIA","BAJA"))))))</f>
        <v>SIN DATOS</v>
      </c>
      <c r="M126" s="53" cm="1">
        <f t="array" ref="M126">IFERROR(_xlfn.AGGREGATE(14,6,Mantenciones!$A$3:$A$9916/(Mantenciones!$B$3:$B$9916=$A126),1),"")</f>
        <v>46183</v>
      </c>
      <c r="N126" s="29" cm="1">
        <f t="array" ref="N126">IFERROR(_xlfn.AGGREGATE(14,6,'Compras PM'!$A$4:$A$10029/('Compras PM'!$C$4:$C$10029=$A126),1),"")</f>
        <v>46183</v>
      </c>
      <c r="O126" s="29">
        <f>IFERROR(VLOOKUP($A126,Maestro_Equipos!$A$4:$AG$242,27,FALSE()),"")</f>
        <v>46106</v>
      </c>
      <c r="P126" s="30">
        <f ca="1">IFERROR(IF($N126="","",IF(OR($M126="",$M126&lt;$N126),TODAY()-$N126,$M126-$N126)),"")</f>
        <v>0</v>
      </c>
      <c r="Q126" s="30">
        <f ca="1">IFERROR(IF($O126="","",IF(OR($M126="",$M126&lt;$O126),TODAY()-$O126,$M126-$O126)),"")</f>
        <v>77</v>
      </c>
      <c r="R126" s="28" t="str">
        <f>IF($O126="","SIN SALIDA",IF(OR($M126="",$M126&lt;$O126),"PENDIENTE","REALIZADA"))</f>
        <v>REALIZADA</v>
      </c>
      <c r="S126" s="31" t="str">
        <f>IFERROR(VLOOKUP($A126,Maestro_Equipos!$A$4:$AG$242,33,FALSE()),"")</f>
        <v>Monitorear próximo vencimiento</v>
      </c>
    </row>
    <row r="127" spans="1:19" ht="15" customHeight="1">
      <c r="A127" t="str" cm="1">
        <f t="array" ref="A127">IFERROR(INDEX(_xlfn._xlws.FILTER(Maestro_Equipos!$A$4:$A$242,Maestro_Equipos!$A$4:$A$242&lt;&gt;""),ROWS($A$4:A127)),"")</f>
        <v>MD-72</v>
      </c>
      <c r="B127" t="str">
        <f>IFERROR(_xlfn.XLOOKUP($A127,Maestro_Equipos!$A$4:$A$242,Maestro_Equipos!$B$4:$B$242,""),"")</f>
        <v>Retroexcavadora</v>
      </c>
      <c r="C127" t="str">
        <f>IFERROR(_xlfn.XLOOKUP($A127,Maestro_Equipos!$A$4:$A$242,Maestro_Equipos!$C$4:$C$242,""),"")</f>
        <v>Maquinaria Pesada</v>
      </c>
      <c r="D127" t="str">
        <f>IFERROR(_xlfn.XLOOKUP($A127,Maestro_Equipos!$A:$A,Maestro_Equipos!$I:$I,""),"")</f>
        <v>HORAS</v>
      </c>
      <c r="E127">
        <f>IFERROR(IF($D127="KM",_xlfn.XLOOKUP($A127,Maestro_Equipos!$A:$A,Maestro_Equipos!$N:$N,""),_xlfn.XLOOKUP($A127,Maestro_Equipos!$A:$A,Maestro_Equipos!$M:$M,"")),"")</f>
        <v>7950</v>
      </c>
      <c r="F127">
        <f>IFERROR(_xlfn.XLOOKUP($A127,Maestro_Equipos!$A:$A,Maestro_Equipos!$R:$R,"")+_xlfn.XLOOKUP($A127,Maestro_Equipos!$A:$A,Maestro_Equipos!$J:$J,""),"")</f>
        <v>8218</v>
      </c>
      <c r="G127">
        <f>IFERROR(_xlfn.XLOOKUP($A127,Maestro_Equipos!$A:$A,Maestro_Equipos!$K:$K,""),"")</f>
        <v>1.4</v>
      </c>
      <c r="H127">
        <f>IFERROR(IF(OR($E127="",$F127="",$G127="",$G127&lt;=0),"",ROUND(($F127-$E127)/$G127,0)),"")</f>
        <v>191</v>
      </c>
      <c r="I127" s="71">
        <f ca="1">IFERROR(IF($H127="","",TODAY()+$H127),"")</f>
        <v>46431</v>
      </c>
      <c r="J127" s="5" t="str">
        <f>IFERROR(INDEX(Maestro_Equipos!$V$4:$V$242,MATCH($A127,Maestro_Equipos!$A$4:$A$242,0)),"")</f>
        <v>Taller</v>
      </c>
      <c r="K127" s="35">
        <f>IFERROR(
   SUMIFS(Mantenciones!$I:$I,Mantenciones!$B:$B,$A127)
 + SUMIFS('Compras PM'!$F:$F,'Compras PM'!$C:$C,$A127),0)</f>
        <v>131080.38499999998</v>
      </c>
      <c r="L127" s="28" t="str">
        <f>IF($J127="Fuera de Servicio","NO PROGRAMAR",IF($H127="","SIN DATOS",IF($H127&lt;=0,"VENCIDA",IF($H127&lt;=7,"CRÍTICA",IF($H127&lt;=15,"ALTA",IF($H127&lt;=30,"MEDIA","BAJA"))))))</f>
        <v>BAJA</v>
      </c>
      <c r="M127" s="53" cm="1">
        <f t="array" ref="M127">IFERROR(_xlfn.AGGREGATE(14,6,Mantenciones!$A$3:$A$9916/(Mantenciones!$B$3:$B$9916=$A127),1),"")</f>
        <v>46141</v>
      </c>
      <c r="N127" s="29" cm="1">
        <f t="array" ref="N127">IFERROR(_xlfn.AGGREGATE(14,6,'Compras PM'!$A$4:$A$10029/('Compras PM'!$C$4:$C$10029=$A127),1),"")</f>
        <v>46191</v>
      </c>
      <c r="O127" s="29">
        <f>IFERROR(VLOOKUP($A127,Maestro_Equipos!$A$4:$AG$242,27,FALSE()),"")</f>
        <v>46111</v>
      </c>
      <c r="P127" s="30">
        <f ca="1">IFERROR(IF($N127="","",IF(OR($M127="",$M127&lt;$N127),TODAY()-$N127,$M127-$N127)),"")</f>
        <v>49</v>
      </c>
      <c r="Q127" s="30">
        <f ca="1">IFERROR(IF($O127="","",IF(OR($M127="",$M127&lt;$O127),TODAY()-$O127,$M127-$O127)),"")</f>
        <v>30</v>
      </c>
      <c r="R127" s="28" t="str">
        <f>IF($O127="","SIN SALIDA",IF(OR($M127="",$M127&lt;$O127),"PENDIENTE","REALIZADA"))</f>
        <v>REALIZADA</v>
      </c>
      <c r="S127" s="31" t="str">
        <f>IFERROR(VLOOKUP($A127,Maestro_Equipos!$A$4:$AG$242,33,FALSE()),"")</f>
        <v>Monitorear próximo vencimiento</v>
      </c>
    </row>
    <row r="128" spans="1:19" ht="15" customHeight="1">
      <c r="A128" t="str" cm="1">
        <f t="array" ref="A128">IFERROR(INDEX(_xlfn._xlws.FILTER(Maestro_Equipos!$A$4:$A$242,Maestro_Equipos!$A$4:$A$242&lt;&gt;""),ROWS($A$4:A128)),"")</f>
        <v>MD-73</v>
      </c>
      <c r="B128" t="str">
        <f>IFERROR(_xlfn.XLOOKUP($A128,Maestro_Equipos!$A$4:$A$242,Maestro_Equipos!$B$4:$B$242,""),"")</f>
        <v>Motoniveladora</v>
      </c>
      <c r="C128" t="str">
        <f>IFERROR(_xlfn.XLOOKUP($A128,Maestro_Equipos!$A$4:$A$242,Maestro_Equipos!$C$4:$C$242,""),"")</f>
        <v>Maquinaria Pesada</v>
      </c>
      <c r="D128" t="str">
        <f>IFERROR(_xlfn.XLOOKUP($A128,Maestro_Equipos!$A:$A,Maestro_Equipos!$I:$I,""),"")</f>
        <v>HORAS</v>
      </c>
      <c r="E128">
        <f>IFERROR(IF($D128="KM",_xlfn.XLOOKUP($A128,Maestro_Equipos!$A:$A,Maestro_Equipos!$N:$N,""),_xlfn.XLOOKUP($A128,Maestro_Equipos!$A:$A,Maestro_Equipos!$M:$M,"")),"")</f>
        <v>17345</v>
      </c>
      <c r="F128">
        <f>IFERROR(_xlfn.XLOOKUP($A128,Maestro_Equipos!$A:$A,Maestro_Equipos!$R:$R,"")+_xlfn.XLOOKUP($A128,Maestro_Equipos!$A:$A,Maestro_Equipos!$J:$J,""),"")</f>
        <v>17546</v>
      </c>
      <c r="G128">
        <f>IFERROR(_xlfn.XLOOKUP($A128,Maestro_Equipos!$A:$A,Maestro_Equipos!$K:$K,""),"")</f>
        <v>2.5</v>
      </c>
      <c r="H128">
        <f>IFERROR(IF(OR($E128="",$F128="",$G128="",$G128&lt;=0),"",ROUND(($F128-$E128)/$G128,0)),"")</f>
        <v>80</v>
      </c>
      <c r="I128" s="71">
        <f ca="1">IFERROR(IF($H128="","",TODAY()+$H128),"")</f>
        <v>46320</v>
      </c>
      <c r="J128" s="5" t="str">
        <f>IFERROR(INDEX(Maestro_Equipos!$V$4:$V$242,MATCH($A128,Maestro_Equipos!$A$4:$A$242,0)),"")</f>
        <v>Operativo</v>
      </c>
      <c r="K128" s="35">
        <f>IFERROR(
   SUMIFS(Mantenciones!$I:$I,Mantenciones!$B:$B,$A128)
 + SUMIFS('Compras PM'!$F:$F,'Compras PM'!$C:$C,$A128),0)</f>
        <v>784514.64000000013</v>
      </c>
      <c r="L128" s="28" t="str">
        <f>IF($J128="Fuera de Servicio","NO PROGRAMAR",IF($H128="","SIN DATOS",IF($H128&lt;=0,"VENCIDA",IF($H128&lt;=7,"CRÍTICA",IF($H128&lt;=15,"ALTA",IF($H128&lt;=30,"MEDIA","BAJA"))))))</f>
        <v>BAJA</v>
      </c>
      <c r="M128" s="53" cm="1">
        <f t="array" ref="M128">IFERROR(_xlfn.AGGREGATE(14,6,Mantenciones!$A$3:$A$9916/(Mantenciones!$B$3:$B$9916=$A128),1),"")</f>
        <v>46098</v>
      </c>
      <c r="N128" s="29" cm="1">
        <f t="array" ref="N128">IFERROR(_xlfn.AGGREGATE(14,6,'Compras PM'!$A$4:$A$10029/('Compras PM'!$C$4:$C$10029=$A128),1),"")</f>
        <v>46148.4678185995</v>
      </c>
      <c r="O128" s="29">
        <f>IFERROR(VLOOKUP($A128,Maestro_Equipos!$A$4:$AG$242,27,FALSE()),"")</f>
        <v>46098</v>
      </c>
      <c r="P128" s="30">
        <f ca="1">IFERROR(IF($N128="","",IF(OR($M128="",$M128&lt;$N128),TODAY()-$N128,$M128-$N128)),"")</f>
        <v>91.532181400500122</v>
      </c>
      <c r="Q128" s="30">
        <f ca="1">IFERROR(IF($O128="","",IF(OR($M128="",$M128&lt;$O128),TODAY()-$O128,$M128-$O128)),"")</f>
        <v>0</v>
      </c>
      <c r="R128" s="28" t="str">
        <f>IF($O128="","SIN SALIDA",IF(OR($M128="",$M128&lt;$O128),"PENDIENTE","REALIZADA"))</f>
        <v>REALIZADA</v>
      </c>
      <c r="S128" s="31" t="str">
        <f>IFERROR(VLOOKUP($A128,Maestro_Equipos!$A$4:$AG$242,33,FALSE()),"")</f>
        <v>Monitorear próximo vencimiento</v>
      </c>
    </row>
    <row r="129" spans="1:19">
      <c r="A129" s="61" t="str" cm="1">
        <f t="array" ref="A129">IFERROR(INDEX(_xlfn._xlws.FILTER(Maestro_Equipos!$A$4:$A$242,Maestro_Equipos!$A$4:$A$242&lt;&gt;""),ROWS($A$4:A129)),"")</f>
        <v>MD-74</v>
      </c>
      <c r="B129" s="61" t="str">
        <f>IFERROR(_xlfn.XLOOKUP($A129,Maestro_Equipos!$A$4:$A$242,Maestro_Equipos!$B$4:$B$242,""),"")</f>
        <v>Excavadora</v>
      </c>
      <c r="C129" s="61" t="str">
        <f>IFERROR(_xlfn.XLOOKUP($A129,Maestro_Equipos!$A$4:$A$242,Maestro_Equipos!$C$4:$C$242,""),"")</f>
        <v>Maquinaria Pesada</v>
      </c>
      <c r="D129" s="61" t="str">
        <f>IFERROR(VLOOKUP($A126,Maestro_Equipos!$A$4:$Z$242,9,FALSE),"")</f>
        <v>HORAS</v>
      </c>
      <c r="E129" s="61">
        <f>IFERROR(IF($D129="KM",_xlfn.XLOOKUP($A129,Maestro_Equipos!$A:$A,Maestro_Equipos!$N:$N,""),_xlfn.XLOOKUP($A129,Maestro_Equipos!$A:$A,Maestro_Equipos!$M:$M,"")),"")</f>
        <v>9276</v>
      </c>
      <c r="F129" s="61">
        <f>IFERROR(_xlfn.XLOOKUP($A129,Maestro_Equipos!$A:$A,Maestro_Equipos!$R:$R,"")+_xlfn.XLOOKUP($A129,Maestro_Equipos!$A:$A,Maestro_Equipos!$J:$J,""),"")</f>
        <v>9543</v>
      </c>
      <c r="G129" s="61">
        <f>IFERROR(_xlfn.XLOOKUP($A129,Maestro_Equipos!$A:$A,Maestro_Equipos!$K:$K,""),"")</f>
        <v>0</v>
      </c>
      <c r="H129" s="61" t="str">
        <f>IFERROR(IF(OR($E129="",$F129="",$G129="",$G129&lt;=0),"",ROUND(($F129-$E129)/$G129,0)),"")</f>
        <v/>
      </c>
      <c r="I129" s="62" t="str">
        <f ca="1">IFERROR(IF($H129="","",TODAY()+$H129),"")</f>
        <v/>
      </c>
      <c r="J129" s="63" t="str">
        <f>IFERROR(INDEX(Maestro_Equipos!$V$4:$V$242,MATCH($A129,Maestro_Equipos!$A$4:$A$242,0)),"")</f>
        <v>Operativo</v>
      </c>
      <c r="K129" s="64">
        <f>IFERROR(
   SUMIFS(Mantenciones!$I:$I,Mantenciones!$B:$B,$A129)
 + SUMIFS('Compras PM'!$F:$F,'Compras PM'!$C:$C,$A129),0)</f>
        <v>0</v>
      </c>
      <c r="L129" s="65" t="str">
        <f>IF($J129="Fuera de Servicio","NO PROGRAMAR",IF($H129="","SIN DATOS",IF($H129&lt;=0,"VENCIDA",IF($H129&lt;=7,"CRÍTICA",IF($H129&lt;=15,"ALTA",IF($H129&lt;=30,"MEDIA","BAJA"))))))</f>
        <v>SIN DATOS</v>
      </c>
      <c r="M129" s="66" cm="1">
        <f t="array" ref="M129">IFERROR(_xlfn.AGGREGATE(14,6,Mantenciones!$A$3:$A$9916/(Mantenciones!$B$3:$B$9916=$A129),1),"")</f>
        <v>45110</v>
      </c>
      <c r="N129" s="67" t="str" cm="1">
        <f t="array" ref="N129">IFERROR(_xlfn.AGGREGATE(14,6,'Compras PM'!$A$4:$A$10029/('Compras PM'!$C$4:$C$10029=$A129),1),"")</f>
        <v/>
      </c>
      <c r="O129" s="67" t="str">
        <f>IFERROR(VLOOKUP($A129,Maestro_Equipos!$A$4:$AG$242,27,FALSE()),"")</f>
        <v/>
      </c>
      <c r="P129" s="68" t="str">
        <f ca="1">IFERROR(IF($N129="","",IF(OR($M129="",$M129&lt;$N129),TODAY()-$N129,$M129-$N129)),"")</f>
        <v/>
      </c>
      <c r="Q129" s="68" t="str">
        <f ca="1">IFERROR(IF($O129="","",IF(OR($M129="",$M129&lt;$O129),TODAY()-$O129,$M129-$O129)),"")</f>
        <v/>
      </c>
      <c r="R129" s="65" t="str">
        <f>IF($O129="","SIN SALIDA",IF(OR($M129="",$M129&lt;$O129),"PENDIENTE","REALIZADA"))</f>
        <v>SIN SALIDA</v>
      </c>
      <c r="S129" s="69" t="str">
        <f>IFERROR(VLOOKUP($A129,Maestro_Equipos!$A$4:$AG$242,33,FALSE()),"")</f>
        <v>Monitorear próximo vencimiento</v>
      </c>
    </row>
    <row r="130" spans="1:19">
      <c r="A130" t="str" cm="1">
        <f t="array" ref="A130">IFERROR(INDEX(_xlfn._xlws.FILTER(Maestro_Equipos!$A$4:$A$242,Maestro_Equipos!$A$4:$A$242&lt;&gt;""),ROWS($A$4:A130)),"")</f>
        <v>MD-75</v>
      </c>
      <c r="B130" t="str">
        <f>IFERROR(_xlfn.XLOOKUP($A130,Maestro_Equipos!$A$4:$A$242,Maestro_Equipos!$B$4:$B$242,""),"")</f>
        <v>Retroexcavadora</v>
      </c>
      <c r="C130" t="str">
        <f>IFERROR(_xlfn.XLOOKUP($A130,Maestro_Equipos!$A$4:$A$242,Maestro_Equipos!$C$4:$C$242,""),"")</f>
        <v>Maquinaria Pesada</v>
      </c>
      <c r="D130" t="str">
        <f>IFERROR(_xlfn.XLOOKUP($A130,Maestro_Equipos!$A:$A,Maestro_Equipos!$I:$I,""),"")</f>
        <v>HORAS</v>
      </c>
      <c r="E130">
        <f>IFERROR(IF($D130="KM",_xlfn.XLOOKUP($A130,Maestro_Equipos!$A:$A,Maestro_Equipos!$N:$N,""),_xlfn.XLOOKUP($A130,Maestro_Equipos!$A:$A,Maestro_Equipos!$M:$M,"")),"")</f>
        <v>169</v>
      </c>
      <c r="F130">
        <f>IFERROR(_xlfn.XLOOKUP($A130,Maestro_Equipos!$A:$A,Maestro_Equipos!$R:$R,"")+_xlfn.XLOOKUP($A130,Maestro_Equipos!$A:$A,Maestro_Equipos!$J:$J,""),"")</f>
        <v>9256</v>
      </c>
      <c r="G130">
        <f>IFERROR(_xlfn.XLOOKUP($A130,Maestro_Equipos!$A:$A,Maestro_Equipos!$K:$K,""),"")</f>
        <v>2.9</v>
      </c>
      <c r="H130">
        <f>IFERROR(IF(OR($E130="",$F130="",$G130="",$G130&lt;=0),"",ROUND(($F130-$E130)/$G130,0)),"")</f>
        <v>3133</v>
      </c>
      <c r="I130" s="71">
        <f ca="1">IFERROR(IF($H130="","",TODAY()+$H130),"")</f>
        <v>49373</v>
      </c>
      <c r="J130" s="5" t="str">
        <f>IFERROR(INDEX(Maestro_Equipos!$V$4:$V$242,MATCH($A130,Maestro_Equipos!$A$4:$A$242,0)),"")</f>
        <v>Operativo</v>
      </c>
      <c r="K130" s="35">
        <f>IFERROR(
   SUMIFS(Mantenciones!$I:$I,Mantenciones!$B:$B,$A130)
 + SUMIFS('Compras PM'!$F:$F,'Compras PM'!$C:$C,$A130),0)</f>
        <v>491535.45</v>
      </c>
      <c r="L130" s="28" t="str">
        <f>IF($J130="Fuera de Servicio","NO PROGRAMAR",IF($H130="","SIN DATOS",IF($H130&lt;=0,"VENCIDA",IF($H130&lt;=7,"CRÍTICA",IF($H130&lt;=15,"ALTA",IF($H130&lt;=30,"MEDIA","BAJA"))))))</f>
        <v>BAJA</v>
      </c>
      <c r="M130" s="53" cm="1">
        <f t="array" ref="M130">IFERROR(_xlfn.AGGREGATE(14,6,Mantenciones!$A$3:$A$9916/(Mantenciones!$B$3:$B$9916=$A130),1),"")</f>
        <v>46093</v>
      </c>
      <c r="N130" s="29" cm="1">
        <f t="array" ref="N130">IFERROR(_xlfn.AGGREGATE(14,6,'Compras PM'!$A$4:$A$10029/('Compras PM'!$C$4:$C$10029=$A130),1),"")</f>
        <v>46078.424829247699</v>
      </c>
      <c r="O130" s="29">
        <f>IFERROR(VLOOKUP($A130,Maestro_Equipos!$A$4:$AG$242,27,FALSE()),"")</f>
        <v>46090</v>
      </c>
      <c r="P130" s="30">
        <f ca="1">IFERROR(IF($N130="","",IF(OR($M130="",$M130&lt;$N130),TODAY()-$N130,$M130-$N130)),"")</f>
        <v>14.575170752301347</v>
      </c>
      <c r="Q130" s="30">
        <f ca="1">IFERROR(IF($O130="","",IF(OR($M130="",$M130&lt;$O130),TODAY()-$O130,$M130-$O130)),"")</f>
        <v>3</v>
      </c>
      <c r="R130" s="28" t="str">
        <f>IF($O130="","SIN SALIDA",IF(OR($M130="",$M130&lt;$O130),"PENDIENTE","REALIZADA"))</f>
        <v>REALIZADA</v>
      </c>
      <c r="S130" s="31" t="str">
        <f>IFERROR(VLOOKUP($A130,Maestro_Equipos!$A$4:$AG$242,33,FALSE()),"")</f>
        <v>Monitorear próximo vencimiento</v>
      </c>
    </row>
    <row r="131" spans="1:19">
      <c r="A131" t="str" cm="1">
        <f t="array" ref="A131">IFERROR(INDEX(_xlfn._xlws.FILTER(Maestro_Equipos!$A$4:$A$242,Maestro_Equipos!$A$4:$A$242&lt;&gt;""),ROWS($A$4:A131)),"")</f>
        <v>MD-76</v>
      </c>
      <c r="B131" t="str">
        <f>IFERROR(_xlfn.XLOOKUP($A131,Maestro_Equipos!$A$4:$A$242,Maestro_Equipos!$B$4:$B$242,""),"")</f>
        <v>Retroexcavadora</v>
      </c>
      <c r="C131" t="str">
        <f>IFERROR(_xlfn.XLOOKUP($A131,Maestro_Equipos!$A$4:$A$242,Maestro_Equipos!$C$4:$C$242,""),"")</f>
        <v>Maquinaria Pesada</v>
      </c>
      <c r="D131" t="str">
        <f>IFERROR(VLOOKUP($A128,Maestro_Equipos!$A$4:$Z$242,9,FALSE),"")</f>
        <v>HORAS</v>
      </c>
      <c r="E131">
        <f>IFERROR(IF($D131="KM",_xlfn.XLOOKUP($A131,Maestro_Equipos!$A:$A,Maestro_Equipos!$N:$N,""),_xlfn.XLOOKUP($A131,Maestro_Equipos!$A:$A,Maestro_Equipos!$M:$M,"")),"")</f>
        <v>8815</v>
      </c>
      <c r="F131">
        <f>IFERROR(_xlfn.XLOOKUP($A131,Maestro_Equipos!$A:$A,Maestro_Equipos!$R:$R,"")+_xlfn.XLOOKUP($A131,Maestro_Equipos!$A:$A,Maestro_Equipos!$J:$J,""),"")</f>
        <v>8955</v>
      </c>
      <c r="G131">
        <f>IFERROR(_xlfn.XLOOKUP($A131,Maestro_Equipos!$A:$A,Maestro_Equipos!$K:$K,""),"")</f>
        <v>2.1</v>
      </c>
      <c r="H131">
        <f>IFERROR(IF(OR($E131="",$F131="",$G131="",$G131&lt;=0),"",ROUND(($F131-$E131)/$G131,0)),"")</f>
        <v>67</v>
      </c>
      <c r="I131" s="71">
        <f ca="1">IFERROR(IF($H131="","",TODAY()+$H131),"")</f>
        <v>46307</v>
      </c>
      <c r="J131" s="5" t="str">
        <f>IFERROR(INDEX(Maestro_Equipos!$V$4:$V$242,MATCH($A131,Maestro_Equipos!$A$4:$A$242,0)),"")</f>
        <v>Operativo</v>
      </c>
      <c r="K131" s="35">
        <f>IFERROR(
   SUMIFS(Mantenciones!$I:$I,Mantenciones!$B:$B,$A131)
 + SUMIFS('Compras PM'!$F:$F,'Compras PM'!$C:$C,$A131),0)</f>
        <v>754678.96</v>
      </c>
      <c r="L131" s="28" t="str">
        <f>IF($J131="Fuera de Servicio","NO PROGRAMAR",IF($H131="","SIN DATOS",IF($H131&lt;=0,"VENCIDA",IF($H131&lt;=7,"CRÍTICA",IF($H131&lt;=15,"ALTA",IF($H131&lt;=30,"MEDIA","BAJA"))))))</f>
        <v>BAJA</v>
      </c>
      <c r="M131" s="53" cm="1">
        <f t="array" ref="M131">IFERROR(_xlfn.AGGREGATE(14,6,Mantenciones!$A$3:$A$9916/(Mantenciones!$B$3:$B$9916=$A131),1),"")</f>
        <v>46136</v>
      </c>
      <c r="N131" s="29" cm="1">
        <f t="array" ref="N131">IFERROR(_xlfn.AGGREGATE(14,6,'Compras PM'!$A$4:$A$10029/('Compras PM'!$C$4:$C$10029=$A131),1),"")</f>
        <v>46133.517267361101</v>
      </c>
      <c r="O131" s="29">
        <f>IFERROR(VLOOKUP($A131,Maestro_Equipos!$A$4:$AG$242,27,FALSE()),"")</f>
        <v>46090</v>
      </c>
      <c r="P131" s="30">
        <f ca="1">IFERROR(IF($N131="","",IF(OR($M131="",$M131&lt;$N131),TODAY()-$N131,$M131-$N131)),"")</f>
        <v>2.4827326388985966</v>
      </c>
      <c r="Q131" s="30">
        <f ca="1">IFERROR(IF($O131="","",IF(OR($M131="",$M131&lt;$O131),TODAY()-$O131,$M131-$O131)),"")</f>
        <v>46</v>
      </c>
      <c r="R131" s="28" t="str">
        <f>IF($O131="","SIN SALIDA",IF(OR($M131="",$M131&lt;$O131),"PENDIENTE","REALIZADA"))</f>
        <v>REALIZADA</v>
      </c>
      <c r="S131" s="31" t="str">
        <f>IFERROR(VLOOKUP($A131,Maestro_Equipos!$A$4:$AG$242,33,FALSE()),"")</f>
        <v>Monitorear próximo vencimiento</v>
      </c>
    </row>
    <row r="132" spans="1:19" ht="15" customHeight="1">
      <c r="A132" t="str" cm="1">
        <f t="array" ref="A132">IFERROR(INDEX(_xlfn._xlws.FILTER(Maestro_Equipos!$A$4:$A$242,Maestro_Equipos!$A$4:$A$242&lt;&gt;""),ROWS($A$4:A132)),"")</f>
        <v>MD-77</v>
      </c>
      <c r="B132" t="str">
        <f>IFERROR(_xlfn.XLOOKUP($A132,Maestro_Equipos!$A$4:$A$242,Maestro_Equipos!$B$4:$B$242,""),"")</f>
        <v>Motoniveladora</v>
      </c>
      <c r="C132" t="str">
        <f>IFERROR(_xlfn.XLOOKUP($A132,Maestro_Equipos!$A$4:$A$242,Maestro_Equipos!$C$4:$C$242,""),"")</f>
        <v>Maquinaria Pesada</v>
      </c>
      <c r="D132" t="str">
        <f>IFERROR(_xlfn.XLOOKUP($A132,Maestro_Equipos!$A:$A,Maestro_Equipos!$I:$I,""),"")</f>
        <v>HORAS</v>
      </c>
      <c r="E132">
        <f>IFERROR(IF($D132="KM",_xlfn.XLOOKUP($A132,Maestro_Equipos!$A:$A,Maestro_Equipos!$N:$N,""),_xlfn.XLOOKUP($A132,Maestro_Equipos!$A:$A,Maestro_Equipos!$M:$M,"")),"")</f>
        <v>0</v>
      </c>
      <c r="F132" t="str">
        <f>IFERROR(_xlfn.XLOOKUP($A132,Maestro_Equipos!$A:$A,Maestro_Equipos!$R:$R,"")+_xlfn.XLOOKUP($A132,Maestro_Equipos!$A:$A,Maestro_Equipos!$J:$J,""),"")</f>
        <v/>
      </c>
      <c r="G132">
        <f>IFERROR(_xlfn.XLOOKUP($A132,Maestro_Equipos!$A:$A,Maestro_Equipos!$K:$K,""),"")</f>
        <v>0</v>
      </c>
      <c r="H132" t="str">
        <f>IFERROR(IF(OR($E132="",$F132="",$G132="",$G132&lt;=0),"",ROUND(($F132-$E132)/$G132,0)),"")</f>
        <v/>
      </c>
      <c r="I132" s="71" t="str">
        <f ca="1">IFERROR(IF($H132="","",TODAY()+$H132),"")</f>
        <v/>
      </c>
      <c r="J132" s="5" t="str">
        <f>IFERROR(INDEX(Maestro_Equipos!$V$4:$V$242,MATCH($A132,Maestro_Equipos!$A$4:$A$242,0)),"")</f>
        <v>Fuera de Servicio</v>
      </c>
      <c r="K132" s="35">
        <f>IFERROR(
   SUMIFS(Mantenciones!$I:$I,Mantenciones!$B:$B,$A132)
 + SUMIFS('Compras PM'!$F:$F,'Compras PM'!$C:$C,$A132),0)</f>
        <v>0</v>
      </c>
      <c r="L132" s="28" t="str">
        <f>IF($J132="Fuera de Servicio","NO PROGRAMAR",IF($H132="","SIN DATOS",IF($H132&lt;=0,"VENCIDA",IF($H132&lt;=7,"CRÍTICA",IF($H132&lt;=15,"ALTA",IF($H132&lt;=30,"MEDIA","BAJA"))))))</f>
        <v>NO PROGRAMAR</v>
      </c>
      <c r="M132" s="53" t="str" cm="1">
        <f t="array" ref="M132">IFERROR(_xlfn.AGGREGATE(14,6,Mantenciones!$A$3:$A$9916/(Mantenciones!$B$3:$B$9916=$A132),1),"")</f>
        <v/>
      </c>
      <c r="N132" s="29" t="str" cm="1">
        <f t="array" ref="N132">IFERROR(_xlfn.AGGREGATE(14,6,'Compras PM'!$A$4:$A$10029/('Compras PM'!$C$4:$C$10029=$A132),1),"")</f>
        <v/>
      </c>
      <c r="O132" s="29" t="str">
        <f>IFERROR(VLOOKUP($A132,Maestro_Equipos!$A$4:$AG$242,27,FALSE()),"")</f>
        <v/>
      </c>
      <c r="P132" s="30" t="str">
        <f ca="1">IFERROR(IF($N132="","",IF(OR($M132="",$M132&lt;$N132),TODAY()-$N132,$M132-$N132)),"")</f>
        <v/>
      </c>
      <c r="Q132" s="30" t="str">
        <f ca="1">IFERROR(IF($O132="","",IF(OR($M132="",$M132&lt;$O132),TODAY()-$O132,$M132-$O132)),"")</f>
        <v/>
      </c>
      <c r="R132" s="28" t="str">
        <f>IF($O132="","SIN SALIDA",IF(OR($M132="",$M132&lt;$O132),"PENDIENTE","REALIZADA"))</f>
        <v>SIN SALIDA</v>
      </c>
      <c r="S132" s="31" t="str">
        <f>IFERROR(VLOOKUP($A132,Maestro_Equipos!$A$4:$AG$242,33,FALSE()),"")</f>
        <v>No programar compra</v>
      </c>
    </row>
    <row r="133" spans="1:19" ht="15" customHeight="1">
      <c r="A133" t="str" cm="1">
        <f t="array" ref="A133">IFERROR(INDEX(_xlfn._xlws.FILTER(Maestro_Equipos!$A$4:$A$242,Maestro_Equipos!$A$4:$A$242&lt;&gt;""),ROWS($A$4:A133)),"")</f>
        <v>MD-78</v>
      </c>
      <c r="B133" t="str">
        <f>IFERROR(_xlfn.XLOOKUP($A133,Maestro_Equipos!$A$4:$A$242,Maestro_Equipos!$B$4:$B$242,""),"")</f>
        <v>Extendedora</v>
      </c>
      <c r="C133" t="str">
        <f>IFERROR(_xlfn.XLOOKUP($A133,Maestro_Equipos!$A$4:$A$242,Maestro_Equipos!$C$4:$C$242,""),"")</f>
        <v>Maquinaria Pesada</v>
      </c>
      <c r="D133" t="str">
        <f>IFERROR(_xlfn.XLOOKUP($A133,Maestro_Equipos!$A:$A,Maestro_Equipos!$I:$I,""),"")</f>
        <v>HORAS</v>
      </c>
      <c r="E133">
        <f>IFERROR(IF($D133="KM",_xlfn.XLOOKUP($A133,Maestro_Equipos!$A:$A,Maestro_Equipos!$N:$N,""),_xlfn.XLOOKUP($A133,Maestro_Equipos!$A:$A,Maestro_Equipos!$M:$M,"")),"")</f>
        <v>0</v>
      </c>
      <c r="F133" t="str">
        <f>IFERROR(_xlfn.XLOOKUP($A133,Maestro_Equipos!$A:$A,Maestro_Equipos!$R:$R,"")+_xlfn.XLOOKUP($A133,Maestro_Equipos!$A:$A,Maestro_Equipos!$J:$J,""),"")</f>
        <v/>
      </c>
      <c r="G133">
        <f>IFERROR(_xlfn.XLOOKUP($A133,Maestro_Equipos!$A:$A,Maestro_Equipos!$K:$K,""),"")</f>
        <v>0</v>
      </c>
      <c r="H133" t="str">
        <f>IFERROR(IF(OR($E133="",$F133="",$G133="",$G133&lt;=0),"",ROUND(($F133-$E133)/$G133,0)),"")</f>
        <v/>
      </c>
      <c r="I133" s="71" t="str">
        <f ca="1">IFERROR(IF($H133="","",TODAY()+$H133),"")</f>
        <v/>
      </c>
      <c r="J133" s="5" t="str">
        <f>IFERROR(INDEX(Maestro_Equipos!$V$4:$V$242,MATCH($A133,Maestro_Equipos!$A$4:$A$242,0)),"")</f>
        <v>Fuera de Servicio</v>
      </c>
      <c r="K133" s="35">
        <f>IFERROR(
   SUMIFS(Mantenciones!$I:$I,Mantenciones!$B:$B,$A133)
 + SUMIFS('Compras PM'!$F:$F,'Compras PM'!$C:$C,$A133),0)</f>
        <v>0</v>
      </c>
      <c r="L133" s="28" t="str">
        <f>IF($J133="Fuera de Servicio","NO PROGRAMAR",IF($H133="","SIN DATOS",IF($H133&lt;=0,"VENCIDA",IF($H133&lt;=7,"CRÍTICA",IF($H133&lt;=15,"ALTA",IF($H133&lt;=30,"MEDIA","BAJA"))))))</f>
        <v>NO PROGRAMAR</v>
      </c>
      <c r="M133" s="53" t="str" cm="1">
        <f t="array" ref="M133">IFERROR(_xlfn.AGGREGATE(14,6,Mantenciones!$A$3:$A$9916/(Mantenciones!$B$3:$B$9916=$A133),1),"")</f>
        <v/>
      </c>
      <c r="N133" s="29" t="str" cm="1">
        <f t="array" ref="N133">IFERROR(_xlfn.AGGREGATE(14,6,'Compras PM'!$A$4:$A$10029/('Compras PM'!$C$4:$C$10029=$A133),1),"")</f>
        <v/>
      </c>
      <c r="O133" s="29" t="str">
        <f>IFERROR(VLOOKUP($A133,Maestro_Equipos!$A$4:$AG$242,27,FALSE()),"")</f>
        <v/>
      </c>
      <c r="P133" s="30" t="str">
        <f ca="1">IFERROR(IF($N133="","",IF(OR($M133="",$M133&lt;$N133),TODAY()-$N133,$M133-$N133)),"")</f>
        <v/>
      </c>
      <c r="Q133" s="30" t="str">
        <f ca="1">IFERROR(IF($O133="","",IF(OR($M133="",$M133&lt;$O133),TODAY()-$O133,$M133-$O133)),"")</f>
        <v/>
      </c>
      <c r="R133" s="28" t="str">
        <f>IF($O133="","SIN SALIDA",IF(OR($M133="",$M133&lt;$O133),"PENDIENTE","REALIZADA"))</f>
        <v>SIN SALIDA</v>
      </c>
      <c r="S133" s="31" t="str">
        <f>IFERROR(VLOOKUP($A133,Maestro_Equipos!$A$4:$AG$242,33,FALSE()),"")</f>
        <v>No programar compra</v>
      </c>
    </row>
    <row r="134" spans="1:19">
      <c r="A134" t="str" cm="1">
        <f t="array" ref="A134">IFERROR(INDEX(_xlfn._xlws.FILTER(Maestro_Equipos!$A$4:$A$242,Maestro_Equipos!$A$4:$A$242&lt;&gt;""),ROWS($A$4:A134)),"")</f>
        <v>MD-79</v>
      </c>
      <c r="B134" t="str">
        <f>IFERROR(_xlfn.XLOOKUP($A134,Maestro_Equipos!$A$4:$A$242,Maestro_Equipos!$B$4:$B$242,""),"")</f>
        <v>Motoniveladora</v>
      </c>
      <c r="C134" t="str">
        <f>IFERROR(_xlfn.XLOOKUP($A134,Maestro_Equipos!$A$4:$A$242,Maestro_Equipos!$C$4:$C$242,""),"")</f>
        <v>Maquinaria Pesada</v>
      </c>
      <c r="D134" t="str">
        <f>IFERROR(_xlfn.XLOOKUP($A134,Maestro_Equipos!$A:$A,Maestro_Equipos!$I:$I,""),"")</f>
        <v>HORAS</v>
      </c>
      <c r="E134">
        <f>IFERROR(IF($D134="KM",_xlfn.XLOOKUP($A134,Maestro_Equipos!$A:$A,Maestro_Equipos!$N:$N,""),_xlfn.XLOOKUP($A134,Maestro_Equipos!$A:$A,Maestro_Equipos!$M:$M,"")),"")</f>
        <v>12802</v>
      </c>
      <c r="F134">
        <f>IFERROR(_xlfn.XLOOKUP($A134,Maestro_Equipos!$A:$A,Maestro_Equipos!$R:$R,"")+_xlfn.XLOOKUP($A134,Maestro_Equipos!$A:$A,Maestro_Equipos!$J:$J,""),"")</f>
        <v>13025</v>
      </c>
      <c r="G134">
        <f>IFERROR(_xlfn.XLOOKUP($A134,Maestro_Equipos!$A:$A,Maestro_Equipos!$K:$K,""),"")</f>
        <v>3.5</v>
      </c>
      <c r="H134">
        <f>IFERROR(IF(OR($E134="",$F134="",$G134="",$G134&lt;=0),"",ROUND(($F134-$E134)/$G134,0)),"")</f>
        <v>64</v>
      </c>
      <c r="I134" s="71">
        <f ca="1">IFERROR(IF($H134="","",TODAY()+$H134),"")</f>
        <v>46304</v>
      </c>
      <c r="J134" s="5" t="str">
        <f>IFERROR(INDEX(Maestro_Equipos!$V$4:$V$242,MATCH($A134,Maestro_Equipos!$A$4:$A$242,0)),"")</f>
        <v>Operativo</v>
      </c>
      <c r="K134" s="35">
        <f>IFERROR(
   SUMIFS(Mantenciones!$I:$I,Mantenciones!$B:$B,$A134)
 + SUMIFS('Compras PM'!$F:$F,'Compras PM'!$C:$C,$A134),0)</f>
        <v>612207.84030000004</v>
      </c>
      <c r="L134" s="28" t="str">
        <f>IF($J134="Fuera de Servicio","NO PROGRAMAR",IF($H134="","SIN DATOS",IF($H134&lt;=0,"VENCIDA",IF($H134&lt;=7,"CRÍTICA",IF($H134&lt;=15,"ALTA",IF($H134&lt;=30,"MEDIA","BAJA"))))))</f>
        <v>BAJA</v>
      </c>
      <c r="M134" s="53" cm="1">
        <f t="array" ref="M134">IFERROR(_xlfn.AGGREGATE(14,6,Mantenciones!$A$3:$A$9916/(Mantenciones!$B$3:$B$9916=$A134),1),"")</f>
        <v>46104</v>
      </c>
      <c r="N134" s="29" cm="1">
        <f t="array" ref="N134">IFERROR(_xlfn.AGGREGATE(14,6,'Compras PM'!$A$4:$A$10029/('Compras PM'!$C$4:$C$10029=$A134),1),"")</f>
        <v>46181</v>
      </c>
      <c r="O134" s="29">
        <f>IFERROR(VLOOKUP($A134,Maestro_Equipos!$A$4:$AG$242,27,FALSE()),"")</f>
        <v>46100</v>
      </c>
      <c r="P134" s="30">
        <f ca="1">IFERROR(IF($N134="","",IF(OR($M134="",$M134&lt;$N134),TODAY()-$N134,$M134-$N134)),"")</f>
        <v>59</v>
      </c>
      <c r="Q134" s="30">
        <f ca="1">IFERROR(IF($O134="","",IF(OR($M134="",$M134&lt;$O134),TODAY()-$O134,$M134-$O134)),"")</f>
        <v>4</v>
      </c>
      <c r="R134" s="28" t="str">
        <f>IF($O134="","SIN SALIDA",IF(OR($M134="",$M134&lt;$O134),"PENDIENTE","REALIZADA"))</f>
        <v>REALIZADA</v>
      </c>
      <c r="S134" s="31" t="str">
        <f>IFERROR(VLOOKUP($A134,Maestro_Equipos!$A$4:$AG$242,33,FALSE()),"")</f>
        <v>Monitorear próximo vencimiento</v>
      </c>
    </row>
    <row r="135" spans="1:19">
      <c r="A135" t="str" cm="1">
        <f t="array" ref="A135">IFERROR(INDEX(_xlfn._xlws.FILTER(Maestro_Equipos!$A$4:$A$242,Maestro_Equipos!$A$4:$A$242&lt;&gt;""),ROWS($A$4:A135)),"")</f>
        <v>MD-80</v>
      </c>
      <c r="B135" t="str">
        <f>IFERROR(_xlfn.XLOOKUP($A135,Maestro_Equipos!$A$4:$A$242,Maestro_Equipos!$B$4:$B$242,""),"")</f>
        <v>Retroexcavadora</v>
      </c>
      <c r="C135" t="str">
        <f>IFERROR(_xlfn.XLOOKUP($A135,Maestro_Equipos!$A$4:$A$242,Maestro_Equipos!$C$4:$C$242,""),"")</f>
        <v>Maquinaria Pesada</v>
      </c>
      <c r="D135" t="str">
        <f>IFERROR(_xlfn.XLOOKUP($A135,Maestro_Equipos!$A:$A,Maestro_Equipos!$I:$I,""),"")</f>
        <v>HORAS</v>
      </c>
      <c r="E135">
        <f>IFERROR(IF($D135="KM",_xlfn.XLOOKUP($A135,Maestro_Equipos!$A:$A,Maestro_Equipos!$N:$N,""),_xlfn.XLOOKUP($A135,Maestro_Equipos!$A:$A,Maestro_Equipos!$M:$M,"")),"")</f>
        <v>9619</v>
      </c>
      <c r="F135">
        <f>IFERROR(_xlfn.XLOOKUP($A135,Maestro_Equipos!$A:$A,Maestro_Equipos!$R:$R,"")+_xlfn.XLOOKUP($A135,Maestro_Equipos!$A:$A,Maestro_Equipos!$J:$J,""),"")</f>
        <v>5079</v>
      </c>
      <c r="G135">
        <f>IFERROR(_xlfn.XLOOKUP($A135,Maestro_Equipos!$A:$A,Maestro_Equipos!$K:$K,""),"")</f>
        <v>52.7</v>
      </c>
      <c r="H135">
        <f>IFERROR(IF(OR($E135="",$F135="",$G135="",$G135&lt;=0),"",ROUND(($F135-$E135)/$G135,0)),"")</f>
        <v>-86</v>
      </c>
      <c r="I135" s="71">
        <f ca="1">IFERROR(IF($H135="","",TODAY()+$H135),"")</f>
        <v>46154</v>
      </c>
      <c r="J135" s="5" t="str">
        <f>IFERROR(INDEX(Maestro_Equipos!$V$4:$V$242,MATCH($A135,Maestro_Equipos!$A$4:$A$242,0)),"")</f>
        <v>Operativo</v>
      </c>
      <c r="K135" s="35">
        <f>IFERROR(
   SUMIFS(Mantenciones!$I:$I,Mantenciones!$B:$B,$A135)
 + SUMIFS('Compras PM'!$F:$F,'Compras PM'!$C:$C,$A135),0)</f>
        <v>332797.78000000003</v>
      </c>
      <c r="L135" s="28" t="str">
        <f>IF($J135="Fuera de Servicio","NO PROGRAMAR",IF($H135="","SIN DATOS",IF($H135&lt;=0,"VENCIDA",IF($H135&lt;=7,"CRÍTICA",IF($H135&lt;=15,"ALTA",IF($H135&lt;=30,"MEDIA","BAJA"))))))</f>
        <v>VENCIDA</v>
      </c>
      <c r="M135" s="53" cm="1">
        <f t="array" ref="M135">IFERROR(_xlfn.AGGREGATE(14,6,Mantenciones!$A$3:$A$9916/(Mantenciones!$B$3:$B$9916=$A135),1),"")</f>
        <v>46205</v>
      </c>
      <c r="N135" s="29" cm="1">
        <f t="array" ref="N135">IFERROR(_xlfn.AGGREGATE(14,6,'Compras PM'!$A$4:$A$10029/('Compras PM'!$C$4:$C$10029=$A135),1),"")</f>
        <v>46113</v>
      </c>
      <c r="O135" s="29">
        <f>IFERROR(VLOOKUP($A135,Maestro_Equipos!$A$4:$AG$242,27,FALSE()),"")</f>
        <v>46132</v>
      </c>
      <c r="P135" s="30">
        <f ca="1">IFERROR(IF($N135="","",IF(OR($M135="",$M135&lt;$N135),TODAY()-$N135,$M135-$N135)),"")</f>
        <v>92</v>
      </c>
      <c r="Q135" s="30">
        <f ca="1">IFERROR(IF($O135="","",IF(OR($M135="",$M135&lt;$O135),TODAY()-$O135,$M135-$O135)),"")</f>
        <v>73</v>
      </c>
      <c r="R135" s="28" t="str">
        <f>IF($O135="","SIN SALIDA",IF(OR($M135="",$M135&lt;$O135),"PENDIENTE","REALIZADA"))</f>
        <v>REALIZADA</v>
      </c>
      <c r="S135" s="31" t="str">
        <f>IFERROR(VLOOKUP($A135,Maestro_Equipos!$A$4:$AG$242,33,FALSE()),"")</f>
        <v>Monitorear próximo vencimiento</v>
      </c>
    </row>
    <row r="136" spans="1:19">
      <c r="A136" t="str" cm="1">
        <f t="array" ref="A136">IFERROR(INDEX(_xlfn._xlws.FILTER(Maestro_Equipos!$A$4:$A$242,Maestro_Equipos!$A$4:$A$242&lt;&gt;""),ROWS($A$4:A136)),"")</f>
        <v>MD-81</v>
      </c>
      <c r="B136" t="str">
        <f>IFERROR(_xlfn.XLOOKUP($A136,Maestro_Equipos!$A$4:$A$242,Maestro_Equipos!$B$4:$B$242,""),"")</f>
        <v>Pavimentadora de encofrado deslizante</v>
      </c>
      <c r="C136" t="str">
        <f>IFERROR(_xlfn.XLOOKUP($A136,Maestro_Equipos!$A$4:$A$242,Maestro_Equipos!$C$4:$C$242,""),"")</f>
        <v>Maquinaria Pesada</v>
      </c>
      <c r="D136" t="str">
        <f>IFERROR(_xlfn.XLOOKUP($A136,Maestro_Equipos!$A:$A,Maestro_Equipos!$I:$I,""),"")</f>
        <v>HORAS</v>
      </c>
      <c r="E136">
        <f>IFERROR(IF($D136="KM",_xlfn.XLOOKUP($A136,Maestro_Equipos!$A:$A,Maestro_Equipos!$N:$N,""),_xlfn.XLOOKUP($A136,Maestro_Equipos!$A:$A,Maestro_Equipos!$M:$M,"")),"")</f>
        <v>0</v>
      </c>
      <c r="F136" t="str">
        <f>IFERROR(_xlfn.XLOOKUP($A136,Maestro_Equipos!$A:$A,Maestro_Equipos!$R:$R,"")+_xlfn.XLOOKUP($A136,Maestro_Equipos!$A:$A,Maestro_Equipos!$J:$J,""),"")</f>
        <v/>
      </c>
      <c r="G136">
        <f>IFERROR(_xlfn.XLOOKUP($A136,Maestro_Equipos!$A:$A,Maestro_Equipos!$K:$K,""),"")</f>
        <v>0</v>
      </c>
      <c r="H136" t="str">
        <f>IFERROR(IF(OR($E136="",$F136="",$G136="",$G136&lt;=0),"",ROUND(($F136-$E136)/$G136,0)),"")</f>
        <v/>
      </c>
      <c r="I136" s="71" t="str">
        <f ca="1">IFERROR(IF($H136="","",TODAY()+$H136),"")</f>
        <v/>
      </c>
      <c r="J136" s="5" t="str">
        <f>IFERROR(INDEX(Maestro_Equipos!$V$4:$V$242,MATCH($A136,Maestro_Equipos!$A$4:$A$242,0)),"")</f>
        <v>Fuera de Servicio</v>
      </c>
      <c r="K136" s="35">
        <f>IFERROR(
   SUMIFS(Mantenciones!$I:$I,Mantenciones!$B:$B,$A136)
 + SUMIFS('Compras PM'!$F:$F,'Compras PM'!$C:$C,$A136),0)</f>
        <v>0</v>
      </c>
      <c r="L136" s="28" t="str">
        <f>IF($J136="Fuera de Servicio","NO PROGRAMAR",IF($H136="","SIN DATOS",IF($H136&lt;=0,"VENCIDA",IF($H136&lt;=7,"CRÍTICA",IF($H136&lt;=15,"ALTA",IF($H136&lt;=30,"MEDIA","BAJA"))))))</f>
        <v>NO PROGRAMAR</v>
      </c>
      <c r="M136" s="53" t="str" cm="1">
        <f t="array" ref="M136">IFERROR(_xlfn.AGGREGATE(14,6,Mantenciones!$A$3:$A$9916/(Mantenciones!$B$3:$B$9916=$A136),1),"")</f>
        <v/>
      </c>
      <c r="N136" s="29" t="str" cm="1">
        <f t="array" ref="N136">IFERROR(_xlfn.AGGREGATE(14,6,'Compras PM'!$A$4:$A$10029/('Compras PM'!$C$4:$C$10029=$A136),1),"")</f>
        <v/>
      </c>
      <c r="O136" s="29" t="str">
        <f>IFERROR(VLOOKUP($A136,Maestro_Equipos!$A$4:$AG$242,27,FALSE()),"")</f>
        <v/>
      </c>
      <c r="P136" s="30" t="str">
        <f ca="1">IFERROR(IF($N136="","",IF(OR($M136="",$M136&lt;$N136),TODAY()-$N136,$M136-$N136)),"")</f>
        <v/>
      </c>
      <c r="Q136" s="30" t="str">
        <f ca="1">IFERROR(IF($O136="","",IF(OR($M136="",$M136&lt;$O136),TODAY()-$O136,$M136-$O136)),"")</f>
        <v/>
      </c>
      <c r="R136" s="28" t="str">
        <f>IF($O136="","SIN SALIDA",IF(OR($M136="",$M136&lt;$O136),"PENDIENTE","REALIZADA"))</f>
        <v>SIN SALIDA</v>
      </c>
      <c r="S136" s="31" t="str">
        <f>IFERROR(VLOOKUP($A136,Maestro_Equipos!$A$4:$AG$242,33,FALSE()),"")</f>
        <v>No programar compra</v>
      </c>
    </row>
    <row r="137" spans="1:19" ht="15" customHeight="1">
      <c r="A137" t="str" cm="1">
        <f t="array" ref="A137">IFERROR(INDEX(_xlfn._xlws.FILTER(Maestro_Equipos!$A$4:$A$242,Maestro_Equipos!$A$4:$A$242&lt;&gt;""),ROWS($A$4:A137)),"")</f>
        <v>MD-82</v>
      </c>
      <c r="B137" t="str">
        <f>IFERROR(_xlfn.XLOOKUP($A137,Maestro_Equipos!$A$4:$A$242,Maestro_Equipos!$B$4:$B$242,""),"")</f>
        <v>Excavadora</v>
      </c>
      <c r="C137" t="str">
        <f>IFERROR(_xlfn.XLOOKUP($A137,Maestro_Equipos!$A$4:$A$242,Maestro_Equipos!$C$4:$C$242,""),"")</f>
        <v>Maquinaria Pesada</v>
      </c>
      <c r="D137" t="str">
        <f>IFERROR(_xlfn.XLOOKUP($A137,Maestro_Equipos!$A:$A,Maestro_Equipos!$I:$I,""),"")</f>
        <v>HORAS</v>
      </c>
      <c r="E137">
        <f>IFERROR(IF($D137="KM",_xlfn.XLOOKUP($A137,Maestro_Equipos!$A:$A,Maestro_Equipos!$N:$N,""),_xlfn.XLOOKUP($A137,Maestro_Equipos!$A:$A,Maestro_Equipos!$M:$M,"")),"")</f>
        <v>10640</v>
      </c>
      <c r="F137">
        <f>IFERROR(_xlfn.XLOOKUP($A137,Maestro_Equipos!$A:$A,Maestro_Equipos!$R:$R,"")+_xlfn.XLOOKUP($A137,Maestro_Equipos!$A:$A,Maestro_Equipos!$J:$J,""),"")</f>
        <v>10703</v>
      </c>
      <c r="G137">
        <f>IFERROR(_xlfn.XLOOKUP($A137,Maestro_Equipos!$A:$A,Maestro_Equipos!$K:$K,""),"")</f>
        <v>3.1</v>
      </c>
      <c r="H137">
        <f>IFERROR(IF(OR($E137="",$F137="",$G137="",$G137&lt;=0),"",ROUND(($F137-$E137)/$G137,0)),"")</f>
        <v>20</v>
      </c>
      <c r="I137" s="71">
        <f ca="1">IFERROR(IF($H137="","",TODAY()+$H137),"")</f>
        <v>46260</v>
      </c>
      <c r="J137" s="5" t="str">
        <f>IFERROR(INDEX(Maestro_Equipos!$V$4:$V$242,MATCH($A137,Maestro_Equipos!$A$4:$A$242,0)),"")</f>
        <v>Operativo</v>
      </c>
      <c r="K137" s="35">
        <f>IFERROR(
   SUMIFS(Mantenciones!$I:$I,Mantenciones!$B:$B,$A137)
 + SUMIFS('Compras PM'!$F:$F,'Compras PM'!$C:$C,$A137),0)</f>
        <v>321247.64</v>
      </c>
      <c r="L137" s="28" t="str">
        <f>IF($J137="Fuera de Servicio","NO PROGRAMAR",IF($H137="","SIN DATOS",IF($H137&lt;=0,"VENCIDA",IF($H137&lt;=7,"CRÍTICA",IF($H137&lt;=15,"ALTA",IF($H137&lt;=30,"MEDIA","BAJA"))))))</f>
        <v>MEDIA</v>
      </c>
      <c r="M137" s="53" cm="1">
        <f t="array" ref="M137">IFERROR(_xlfn.AGGREGATE(14,6,Mantenciones!$A$3:$A$9916/(Mantenciones!$B$3:$B$9916=$A137),1),"")</f>
        <v>46133</v>
      </c>
      <c r="N137" s="29" cm="1">
        <f t="array" ref="N137">IFERROR(_xlfn.AGGREGATE(14,6,'Compras PM'!$A$4:$A$10029/('Compras PM'!$C$4:$C$10029=$A137),1),"")</f>
        <v>46086.684334803198</v>
      </c>
      <c r="O137" s="29">
        <f>IFERROR(VLOOKUP($A137,Maestro_Equipos!$A$4:$AG$242,27,FALSE()),"")</f>
        <v>46097</v>
      </c>
      <c r="P137" s="30">
        <f ca="1">IFERROR(IF($N137="","",IF(OR($M137="",$M137&lt;$N137),TODAY()-$N137,$M137-$N137)),"")</f>
        <v>46.315665196802001</v>
      </c>
      <c r="Q137" s="30">
        <f ca="1">IFERROR(IF($O137="","",IF(OR($M137="",$M137&lt;$O137),TODAY()-$O137,$M137-$O137)),"")</f>
        <v>36</v>
      </c>
      <c r="R137" s="28" t="str">
        <f>IF($O137="","SIN SALIDA",IF(OR($M137="",$M137&lt;$O137),"PENDIENTE","REALIZADA"))</f>
        <v>REALIZADA</v>
      </c>
      <c r="S137" s="31" t="str">
        <f>IFERROR(VLOOKUP($A137,Maestro_Equipos!$A$4:$AG$242,33,FALSE()),"")</f>
        <v>Monitorear próximo vencimiento</v>
      </c>
    </row>
    <row r="138" spans="1:19">
      <c r="A138" t="str" cm="1">
        <f t="array" ref="A138">IFERROR(INDEX(_xlfn._xlws.FILTER(Maestro_Equipos!$A$4:$A$242,Maestro_Equipos!$A$4:$A$242&lt;&gt;""),ROWS($A$4:A138)),"")</f>
        <v>MD-83</v>
      </c>
      <c r="B138" t="str">
        <f>IFERROR(_xlfn.XLOOKUP($A138,Maestro_Equipos!$A$4:$A$242,Maestro_Equipos!$B$4:$B$242,""),"")</f>
        <v>Excavadora</v>
      </c>
      <c r="C138" t="str">
        <f>IFERROR(_xlfn.XLOOKUP($A138,Maestro_Equipos!$A$4:$A$242,Maestro_Equipos!$C$4:$C$242,""),"")</f>
        <v>Maquinaria Pesada</v>
      </c>
      <c r="D138" t="str">
        <f>IFERROR(_xlfn.XLOOKUP($A138,Maestro_Equipos!$A:$A,Maestro_Equipos!$I:$I,""),"")</f>
        <v>HORAS</v>
      </c>
      <c r="E138">
        <f>IFERROR(IF($D138="KM",_xlfn.XLOOKUP($A138,Maestro_Equipos!$A:$A,Maestro_Equipos!$N:$N,""),_xlfn.XLOOKUP($A138,Maestro_Equipos!$A:$A,Maestro_Equipos!$M:$M,"")),"")</f>
        <v>8497</v>
      </c>
      <c r="F138">
        <f>IFERROR(_xlfn.XLOOKUP($A138,Maestro_Equipos!$A:$A,Maestro_Equipos!$R:$R,"")+_xlfn.XLOOKUP($A138,Maestro_Equipos!$A:$A,Maestro_Equipos!$J:$J,""),"")</f>
        <v>8596</v>
      </c>
      <c r="G138">
        <f>IFERROR(_xlfn.XLOOKUP($A138,Maestro_Equipos!$A:$A,Maestro_Equipos!$K:$K,""),"")</f>
        <v>3</v>
      </c>
      <c r="H138">
        <f>IFERROR(IF(OR($E138="",$F138="",$G138="",$G138&lt;=0),"",ROUND(($F138-$E138)/$G138,0)),"")</f>
        <v>33</v>
      </c>
      <c r="I138" s="71">
        <f ca="1">IFERROR(IF($H138="","",TODAY()+$H138),"")</f>
        <v>46273</v>
      </c>
      <c r="J138" s="5" t="str">
        <f>IFERROR(INDEX(Maestro_Equipos!$V$4:$V$242,MATCH($A138,Maestro_Equipos!$A$4:$A$242,0)),"")</f>
        <v>Operativo</v>
      </c>
      <c r="K138" s="35">
        <f>IFERROR(
   SUMIFS(Mantenciones!$I:$I,Mantenciones!$B:$B,$A138)
 + SUMIFS('Compras PM'!$F:$F,'Compras PM'!$C:$C,$A138),0)</f>
        <v>775051.56</v>
      </c>
      <c r="L138" s="28" t="str">
        <f>IF($J138="Fuera de Servicio","NO PROGRAMAR",IF($H138="","SIN DATOS",IF($H138&lt;=0,"VENCIDA",IF($H138&lt;=7,"CRÍTICA",IF($H138&lt;=15,"ALTA",IF($H138&lt;=30,"MEDIA","BAJA"))))))</f>
        <v>BAJA</v>
      </c>
      <c r="M138" s="53" cm="1">
        <f t="array" ref="M138">IFERROR(_xlfn.AGGREGATE(14,6,Mantenciones!$A$3:$A$9916/(Mantenciones!$B$3:$B$9916=$A138),1),"")</f>
        <v>46107</v>
      </c>
      <c r="N138" s="29" cm="1">
        <f t="array" ref="N138">IFERROR(_xlfn.AGGREGATE(14,6,'Compras PM'!$A$4:$A$10029/('Compras PM'!$C$4:$C$10029=$A138),1),"")</f>
        <v>46183</v>
      </c>
      <c r="O138" s="29">
        <f>IFERROR(VLOOKUP($A138,Maestro_Equipos!$A$4:$AG$242,27,FALSE()),"")</f>
        <v>46104</v>
      </c>
      <c r="P138" s="30">
        <f ca="1">IFERROR(IF($N138="","",IF(OR($M138="",$M138&lt;$N138),TODAY()-$N138,$M138-$N138)),"")</f>
        <v>57</v>
      </c>
      <c r="Q138" s="30">
        <f ca="1">IFERROR(IF($O138="","",IF(OR($M138="",$M138&lt;$O138),TODAY()-$O138,$M138-$O138)),"")</f>
        <v>3</v>
      </c>
      <c r="R138" s="28" t="str">
        <f>IF($O138="","SIN SALIDA",IF(OR($M138="",$M138&lt;$O138),"PENDIENTE","REALIZADA"))</f>
        <v>REALIZADA</v>
      </c>
      <c r="S138" s="31" t="str">
        <f>IFERROR(VLOOKUP($A138,Maestro_Equipos!$A$4:$AG$242,33,FALSE()),"")</f>
        <v>Monitorear próximo vencimiento</v>
      </c>
    </row>
    <row r="139" spans="1:19">
      <c r="A139" t="str" cm="1">
        <f t="array" ref="A139">IFERROR(INDEX(_xlfn._xlws.FILTER(Maestro_Equipos!$A$4:$A$242,Maestro_Equipos!$A$4:$A$242&lt;&gt;""),ROWS($A$4:A139)),"")</f>
        <v>MD-84</v>
      </c>
      <c r="B139" t="str">
        <f>IFERROR(_xlfn.XLOOKUP($A139,Maestro_Equipos!$A$4:$A$242,Maestro_Equipos!$B$4:$B$242,""),"")</f>
        <v>Excavadora</v>
      </c>
      <c r="C139" t="str">
        <f>IFERROR(_xlfn.XLOOKUP($A139,Maestro_Equipos!$A$4:$A$242,Maestro_Equipos!$C$4:$C$242,""),"")</f>
        <v>Maquinaria Pesada</v>
      </c>
      <c r="D139" t="str">
        <f>IFERROR(_xlfn.XLOOKUP($A139,Maestro_Equipos!$A:$A,Maestro_Equipos!$I:$I,""),"")</f>
        <v>HORAS</v>
      </c>
      <c r="E139">
        <f>IFERROR(IF($D139="KM",_xlfn.XLOOKUP($A139,Maestro_Equipos!$A:$A,Maestro_Equipos!$N:$N,""),_xlfn.XLOOKUP($A139,Maestro_Equipos!$A:$A,Maestro_Equipos!$M:$M,"")),"")</f>
        <v>5905</v>
      </c>
      <c r="F139">
        <f>IFERROR(_xlfn.XLOOKUP($A139,Maestro_Equipos!$A:$A,Maestro_Equipos!$R:$R,"")+_xlfn.XLOOKUP($A139,Maestro_Equipos!$A:$A,Maestro_Equipos!$J:$J,""),"")</f>
        <v>6020</v>
      </c>
      <c r="G139">
        <f>IFERROR(_xlfn.XLOOKUP($A139,Maestro_Equipos!$A:$A,Maestro_Equipos!$K:$K,""),"")</f>
        <v>2.6</v>
      </c>
      <c r="H139">
        <f>IFERROR(IF(OR($E139="",$F139="",$G139="",$G139&lt;=0),"",ROUND(($F139-$E139)/$G139,0)),"")</f>
        <v>44</v>
      </c>
      <c r="I139" s="71">
        <f ca="1">IFERROR(IF($H139="","",TODAY()+$H139),"")</f>
        <v>46284</v>
      </c>
      <c r="J139" s="5" t="str">
        <f>IFERROR(INDEX(Maestro_Equipos!$V$4:$V$242,MATCH($A139,Maestro_Equipos!$A$4:$A$242,0)),"")</f>
        <v>Operativo</v>
      </c>
      <c r="K139" s="35">
        <f>IFERROR(
   SUMIFS(Mantenciones!$I:$I,Mantenciones!$B:$B,$A139)
 + SUMIFS('Compras PM'!$F:$F,'Compras PM'!$C:$C,$A139),0)</f>
        <v>520723.38</v>
      </c>
      <c r="L139" s="28" t="str">
        <f>IF($J139="Fuera de Servicio","NO PROGRAMAR",IF($H139="","SIN DATOS",IF($H139&lt;=0,"VENCIDA",IF($H139&lt;=7,"CRÍTICA",IF($H139&lt;=15,"ALTA",IF($H139&lt;=30,"MEDIA","BAJA"))))))</f>
        <v>BAJA</v>
      </c>
      <c r="M139" s="53" cm="1">
        <f t="array" ref="M139">IFERROR(_xlfn.AGGREGATE(14,6,Mantenciones!$A$3:$A$9916/(Mantenciones!$B$3:$B$9916=$A139),1),"")</f>
        <v>46125</v>
      </c>
      <c r="N139" s="29" cm="1">
        <f t="array" ref="N139">IFERROR(_xlfn.AGGREGATE(14,6,'Compras PM'!$A$4:$A$10029/('Compras PM'!$C$4:$C$10029=$A139),1),"")</f>
        <v>46106</v>
      </c>
      <c r="O139" s="29">
        <f>IFERROR(VLOOKUP($A139,Maestro_Equipos!$A$4:$AG$242,27,FALSE()),"")</f>
        <v>46077</v>
      </c>
      <c r="P139" s="30">
        <f ca="1">IFERROR(IF($N139="","",IF(OR($M139="",$M139&lt;$N139),TODAY()-$N139,$M139-$N139)),"")</f>
        <v>19</v>
      </c>
      <c r="Q139" s="30">
        <f ca="1">IFERROR(IF($O139="","",IF(OR($M139="",$M139&lt;$O139),TODAY()-$O139,$M139-$O139)),"")</f>
        <v>48</v>
      </c>
      <c r="R139" s="28" t="str">
        <f>IF($O139="","SIN SALIDA",IF(OR($M139="",$M139&lt;$O139),"PENDIENTE","REALIZADA"))</f>
        <v>REALIZADA</v>
      </c>
      <c r="S139" s="31" t="str">
        <f>IFERROR(VLOOKUP($A139,Maestro_Equipos!$A$4:$AG$242,33,FALSE()),"")</f>
        <v>Monitorear próximo vencimiento</v>
      </c>
    </row>
    <row r="140" spans="1:19" ht="15" customHeight="1">
      <c r="A140" t="str" cm="1">
        <f t="array" ref="A140">IFERROR(INDEX(_xlfn._xlws.FILTER(Maestro_Equipos!$A$4:$A$242,Maestro_Equipos!$A$4:$A$242&lt;&gt;""),ROWS($A$4:A140)),"")</f>
        <v>MD-85</v>
      </c>
      <c r="B140" t="str">
        <f>IFERROR(_xlfn.XLOOKUP($A140,Maestro_Equipos!$A$4:$A$242,Maestro_Equipos!$B$4:$B$242,""),"")</f>
        <v>Motoniveladora</v>
      </c>
      <c r="C140" t="str">
        <f>IFERROR(_xlfn.XLOOKUP($A140,Maestro_Equipos!$A$4:$A$242,Maestro_Equipos!$C$4:$C$242,""),"")</f>
        <v>Maquinaria Pesada</v>
      </c>
      <c r="D140" t="str">
        <f>IFERROR(_xlfn.XLOOKUP($A140,Maestro_Equipos!$A:$A,Maestro_Equipos!$I:$I,""),"")</f>
        <v>HORAS</v>
      </c>
      <c r="E140">
        <f>IFERROR(IF($D140="KM",_xlfn.XLOOKUP($A140,Maestro_Equipos!$A:$A,Maestro_Equipos!$N:$N,""),_xlfn.XLOOKUP($A140,Maestro_Equipos!$A:$A,Maestro_Equipos!$M:$M,"")),"")</f>
        <v>589</v>
      </c>
      <c r="F140">
        <f>IFERROR(_xlfn.XLOOKUP($A140,Maestro_Equipos!$A:$A,Maestro_Equipos!$R:$R,"")+_xlfn.XLOOKUP($A140,Maestro_Equipos!$A:$A,Maestro_Equipos!$J:$J,""),"")</f>
        <v>846</v>
      </c>
      <c r="G140">
        <f>IFERROR(_xlfn.XLOOKUP($A140,Maestro_Equipos!$A:$A,Maestro_Equipos!$K:$K,""),"")</f>
        <v>0.8</v>
      </c>
      <c r="H140">
        <f>IFERROR(IF(OR($E140="",$F140="",$G140="",$G140&lt;=0),"",ROUND(($F140-$E140)/$G140,0)),"")</f>
        <v>321</v>
      </c>
      <c r="I140" s="71">
        <f ca="1">IFERROR(IF($H140="","",TODAY()+$H140),"")</f>
        <v>46561</v>
      </c>
      <c r="J140" s="5" t="str">
        <f>IFERROR(INDEX(Maestro_Equipos!$V$4:$V$242,MATCH($A140,Maestro_Equipos!$A$4:$A$242,0)),"")</f>
        <v>Operativo</v>
      </c>
      <c r="K140" s="35">
        <f>IFERROR(
   SUMIFS(Mantenciones!$I:$I,Mantenciones!$B:$B,$A140)
 + SUMIFS('Compras PM'!$F:$F,'Compras PM'!$C:$C,$A140),0)</f>
        <v>306326.23</v>
      </c>
      <c r="L140" s="28" t="str">
        <f>IF($J140="Fuera de Servicio","NO PROGRAMAR",IF($H140="","SIN DATOS",IF($H140&lt;=0,"VENCIDA",IF($H140&lt;=7,"CRÍTICA",IF($H140&lt;=15,"ALTA",IF($H140&lt;=30,"MEDIA","BAJA"))))))</f>
        <v>BAJA</v>
      </c>
      <c r="M140" s="53" cm="1">
        <f t="array" ref="M140">IFERROR(_xlfn.AGGREGATE(14,6,Mantenciones!$A$3:$A$9916/(Mantenciones!$B$3:$B$9916=$A140),1),"")</f>
        <v>46140</v>
      </c>
      <c r="N140" s="29" cm="1">
        <f t="array" ref="N140">IFERROR(_xlfn.AGGREGATE(14,6,'Compras PM'!$A$4:$A$10029/('Compras PM'!$C$4:$C$10029=$A140),1),"")</f>
        <v>46104.470781678203</v>
      </c>
      <c r="O140" s="29" t="str">
        <f>IFERROR(VLOOKUP($A140,Maestro_Equipos!$A$4:$AG$242,27,FALSE()),"")</f>
        <v/>
      </c>
      <c r="P140" s="30">
        <f ca="1">IFERROR(IF($N140="","",IF(OR($M140="",$M140&lt;$N140),TODAY()-$N140,$M140-$N140)),"")</f>
        <v>35.529218321797089</v>
      </c>
      <c r="Q140" s="30" t="str">
        <f ca="1">IFERROR(IF($O140="","",IF(OR($M140="",$M140&lt;$O140),TODAY()-$O140,$M140-$O140)),"")</f>
        <v/>
      </c>
      <c r="R140" s="28" t="str">
        <f>IF($O140="","SIN SALIDA",IF(OR($M140="",$M140&lt;$O140),"PENDIENTE","REALIZADA"))</f>
        <v>SIN SALIDA</v>
      </c>
      <c r="S140" s="31" t="str">
        <f>IFERROR(VLOOKUP($A140,Maestro_Equipos!$A$4:$AG$242,33,FALSE()),"")</f>
        <v>Hacer seguimiento al taller y cerrar report</v>
      </c>
    </row>
    <row r="141" spans="1:19">
      <c r="A141" t="str" cm="1">
        <f t="array" ref="A141">IFERROR(INDEX(_xlfn._xlws.FILTER(Maestro_Equipos!$A$4:$A$242,Maestro_Equipos!$A$4:$A$242&lt;&gt;""),ROWS($A$4:A141)),"")</f>
        <v>MD-87</v>
      </c>
      <c r="B141" t="str">
        <f>IFERROR(_xlfn.XLOOKUP($A141,Maestro_Equipos!$A$4:$A$242,Maestro_Equipos!$B$4:$B$242,""),"")</f>
        <v>Excavadora</v>
      </c>
      <c r="C141" t="str">
        <f>IFERROR(_xlfn.XLOOKUP($A141,Maestro_Equipos!$A$4:$A$242,Maestro_Equipos!$C$4:$C$242,""),"")</f>
        <v>Maquinaria Pesada</v>
      </c>
      <c r="D141" t="str">
        <f>IFERROR(_xlfn.XLOOKUP($A141,Maestro_Equipos!$A:$A,Maestro_Equipos!$I:$I,""),"")</f>
        <v>HORAS</v>
      </c>
      <c r="E141">
        <f>IFERROR(IF($D141="KM",_xlfn.XLOOKUP($A141,Maestro_Equipos!$A:$A,Maestro_Equipos!$N:$N,""),_xlfn.XLOOKUP($A141,Maestro_Equipos!$A:$A,Maestro_Equipos!$M:$M,"")),"")</f>
        <v>6777</v>
      </c>
      <c r="F141">
        <f>IFERROR(_xlfn.XLOOKUP($A141,Maestro_Equipos!$A:$A,Maestro_Equipos!$R:$R,"")+_xlfn.XLOOKUP($A141,Maestro_Equipos!$A:$A,Maestro_Equipos!$J:$J,""),"")</f>
        <v>6933</v>
      </c>
      <c r="G141">
        <f>IFERROR(_xlfn.XLOOKUP($A141,Maestro_Equipos!$A:$A,Maestro_Equipos!$K:$K,""),"")</f>
        <v>0</v>
      </c>
      <c r="H141" t="str">
        <f>IFERROR(IF(OR($E141="",$F141="",$G141="",$G141&lt;=0),"",ROUND(($F141-$E141)/$G141,0)),"")</f>
        <v/>
      </c>
      <c r="I141" s="71" t="str">
        <f ca="1">IFERROR(IF($H141="","",TODAY()+$H141),"")</f>
        <v/>
      </c>
      <c r="J141" s="5" t="str">
        <f>IFERROR(INDEX(Maestro_Equipos!$V$4:$V$242,MATCH($A141,Maestro_Equipos!$A$4:$A$242,0)),"")</f>
        <v>Operativo</v>
      </c>
      <c r="K141" s="35">
        <f>IFERROR(
   SUMIFS(Mantenciones!$I:$I,Mantenciones!$B:$B,$A141)
 + SUMIFS('Compras PM'!$F:$F,'Compras PM'!$C:$C,$A141),0)</f>
        <v>514722.20999999996</v>
      </c>
      <c r="L141" s="28" t="str">
        <f>IF($J141="Fuera de Servicio","NO PROGRAMAR",IF($H141="","SIN DATOS",IF($H141&lt;=0,"VENCIDA",IF($H141&lt;=7,"CRÍTICA",IF($H141&lt;=15,"ALTA",IF($H141&lt;=30,"MEDIA","BAJA"))))))</f>
        <v>SIN DATOS</v>
      </c>
      <c r="M141" s="53" cm="1">
        <f t="array" ref="M141">IFERROR(_xlfn.AGGREGATE(14,6,Mantenciones!$A$3:$A$9916/(Mantenciones!$B$3:$B$9916=$A141),1),"")</f>
        <v>46100</v>
      </c>
      <c r="N141" s="29" cm="1">
        <f t="array" ref="N141">IFERROR(_xlfn.AGGREGATE(14,6,'Compras PM'!$A$4:$A$10029/('Compras PM'!$C$4:$C$10029=$A141),1),"")</f>
        <v>46106</v>
      </c>
      <c r="O141" s="29">
        <f>IFERROR(VLOOKUP($A141,Maestro_Equipos!$A$4:$AG$242,27,FALSE()),"")</f>
        <v>46101</v>
      </c>
      <c r="P141" s="30">
        <f ca="1">IFERROR(IF($N141="","",IF(OR($M141="",$M141&lt;$N141),TODAY()-$N141,$M141-$N141)),"")</f>
        <v>134</v>
      </c>
      <c r="Q141" s="30">
        <f ca="1">IFERROR(IF($O141="","",IF(OR($M141="",$M141&lt;$O141),TODAY()-$O141,$M141-$O141)),"")</f>
        <v>139</v>
      </c>
      <c r="R141" s="28" t="str">
        <f>IF($O141="","SIN SALIDA",IF(OR($M141="",$M141&lt;$O141),"PENDIENTE","REALIZADA"))</f>
        <v>PENDIENTE</v>
      </c>
      <c r="S141" s="31" t="str">
        <f>IFERROR(VLOOKUP($A141,Maestro_Equipos!$A$4:$AG$242,33,FALSE()),"")</f>
        <v>Monitorear próximo vencimiento</v>
      </c>
    </row>
    <row r="142" spans="1:19">
      <c r="A142" t="str" cm="1">
        <f t="array" ref="A142">IFERROR(INDEX(_xlfn._xlws.FILTER(Maestro_Equipos!$A$4:$A$242,Maestro_Equipos!$A$4:$A$242&lt;&gt;""),ROWS($A$4:A142)),"")</f>
        <v>MD-88</v>
      </c>
      <c r="B142" t="str">
        <f>IFERROR(_xlfn.XLOOKUP($A142,Maestro_Equipos!$A$4:$A$242,Maestro_Equipos!$B$4:$B$242,""),"")</f>
        <v>Excavadora</v>
      </c>
      <c r="C142" t="str">
        <f>IFERROR(_xlfn.XLOOKUP($A142,Maestro_Equipos!$A$4:$A$242,Maestro_Equipos!$C$4:$C$242,""),"")</f>
        <v>Maquinaria Pesada</v>
      </c>
      <c r="D142" t="str">
        <f>IFERROR(_xlfn.XLOOKUP($A142,Maestro_Equipos!$A:$A,Maestro_Equipos!$I:$I,""),"")</f>
        <v>HORAS</v>
      </c>
      <c r="E142">
        <f>IFERROR(IF($D142="KM",_xlfn.XLOOKUP($A142,Maestro_Equipos!$A:$A,Maestro_Equipos!$N:$N,""),_xlfn.XLOOKUP($A142,Maestro_Equipos!$A:$A,Maestro_Equipos!$M:$M,"")),"")</f>
        <v>6553</v>
      </c>
      <c r="F142">
        <f>IFERROR(_xlfn.XLOOKUP($A142,Maestro_Equipos!$A:$A,Maestro_Equipos!$R:$R,"")+_xlfn.XLOOKUP($A142,Maestro_Equipos!$A:$A,Maestro_Equipos!$J:$J,""),"")</f>
        <v>6939</v>
      </c>
      <c r="G142">
        <f>IFERROR(_xlfn.XLOOKUP($A142,Maestro_Equipos!$A:$A,Maestro_Equipos!$K:$K,""),"")</f>
        <v>2.7</v>
      </c>
      <c r="H142">
        <f>IFERROR(IF(OR($E142="",$F142="",$G142="",$G142&lt;=0),"",ROUND(($F142-$E142)/$G142,0)),"")</f>
        <v>143</v>
      </c>
      <c r="I142" s="71">
        <f ca="1">IFERROR(IF($H142="","",TODAY()+$H142),"")</f>
        <v>46383</v>
      </c>
      <c r="J142" s="5" t="str">
        <f>IFERROR(INDEX(Maestro_Equipos!$V$4:$V$242,MATCH($A142,Maestro_Equipos!$A$4:$A$242,0)),"")</f>
        <v>Operativo</v>
      </c>
      <c r="K142" s="35">
        <f>IFERROR(
   SUMIFS(Mantenciones!$I:$I,Mantenciones!$B:$B,$A142)
 + SUMIFS('Compras PM'!$F:$F,'Compras PM'!$C:$C,$A142),0)</f>
        <v>447697.04</v>
      </c>
      <c r="L142" s="28" t="str">
        <f>IF($J142="Fuera de Servicio","NO PROGRAMAR",IF($H142="","SIN DATOS",IF($H142&lt;=0,"VENCIDA",IF($H142&lt;=7,"CRÍTICA",IF($H142&lt;=15,"ALTA",IF($H142&lt;=30,"MEDIA","BAJA"))))))</f>
        <v>BAJA</v>
      </c>
      <c r="M142" s="53" cm="1">
        <f t="array" ref="M142">IFERROR(_xlfn.AGGREGATE(14,6,Mantenciones!$A$3:$A$9916/(Mantenciones!$B$3:$B$9916=$A142),1),"")</f>
        <v>46161</v>
      </c>
      <c r="N142" s="29" cm="1">
        <f t="array" ref="N142">IFERROR(_xlfn.AGGREGATE(14,6,'Compras PM'!$A$4:$A$10029/('Compras PM'!$C$4:$C$10029=$A142),1),"")</f>
        <v>46147.380388888902</v>
      </c>
      <c r="O142" s="29" t="str">
        <f>IFERROR(VLOOKUP($A142,Maestro_Equipos!$A$4:$AG$242,27,FALSE()),"")</f>
        <v/>
      </c>
      <c r="P142" s="30">
        <f ca="1">IFERROR(IF($N142="","",IF(OR($M142="",$M142&lt;$N142),TODAY()-$N142,$M142-$N142)),"")</f>
        <v>13.619611111098493</v>
      </c>
      <c r="Q142" s="30" t="str">
        <f ca="1">IFERROR(IF($O142="","",IF(OR($M142="",$M142&lt;$O142),TODAY()-$O142,$M142-$O142)),"")</f>
        <v/>
      </c>
      <c r="R142" s="28" t="str">
        <f>IF($O142="","SIN SALIDA",IF(OR($M142="",$M142&lt;$O142),"PENDIENTE","REALIZADA"))</f>
        <v>SIN SALIDA</v>
      </c>
      <c r="S142" s="31" t="str">
        <f>IFERROR(VLOOKUP($A142,Maestro_Equipos!$A$4:$AG$242,33,FALSE()),"")</f>
        <v>Hacer seguimiento al taller y cerrar report</v>
      </c>
    </row>
    <row r="143" spans="1:19">
      <c r="A143" t="str" cm="1">
        <f t="array" ref="A143">IFERROR(INDEX(_xlfn._xlws.FILTER(Maestro_Equipos!$A$4:$A$242,Maestro_Equipos!$A$4:$A$242&lt;&gt;""),ROWS($A$4:A143)),"")</f>
        <v>MD-89</v>
      </c>
      <c r="B143" t="str">
        <f>IFERROR(_xlfn.XLOOKUP($A143,Maestro_Equipos!$A$4:$A$242,Maestro_Equipos!$B$4:$B$242,""),"")</f>
        <v>Motoniveladora</v>
      </c>
      <c r="C143" t="str">
        <f>IFERROR(_xlfn.XLOOKUP($A143,Maestro_Equipos!$A$4:$A$242,Maestro_Equipos!$C$4:$C$242,""),"")</f>
        <v>Maquinaria Pesada</v>
      </c>
      <c r="D143" t="str">
        <f>IFERROR(_xlfn.XLOOKUP($A143,Maestro_Equipos!$A:$A,Maestro_Equipos!$I:$I,""),"")</f>
        <v>HORAS</v>
      </c>
      <c r="E143">
        <f>IFERROR(IF($D143="KM",_xlfn.XLOOKUP($A143,Maestro_Equipos!$A:$A,Maestro_Equipos!$N:$N,""),_xlfn.XLOOKUP($A143,Maestro_Equipos!$A:$A,Maestro_Equipos!$M:$M,"")),"")</f>
        <v>10101</v>
      </c>
      <c r="F143">
        <f>IFERROR(_xlfn.XLOOKUP($A143,Maestro_Equipos!$A:$A,Maestro_Equipos!$R:$R,"")+_xlfn.XLOOKUP($A143,Maestro_Equipos!$A:$A,Maestro_Equipos!$J:$J,""),"")</f>
        <v>10472</v>
      </c>
      <c r="G143">
        <f>IFERROR(_xlfn.XLOOKUP($A143,Maestro_Equipos!$A:$A,Maestro_Equipos!$K:$K,""),"")</f>
        <v>4</v>
      </c>
      <c r="H143">
        <f>IFERROR(IF(OR($E143="",$F143="",$G143="",$G143&lt;=0),"",ROUND(($F143-$E143)/$G143,0)),"")</f>
        <v>93</v>
      </c>
      <c r="I143" s="71">
        <f ca="1">IFERROR(IF($H143="","",TODAY()+$H143),"")</f>
        <v>46333</v>
      </c>
      <c r="J143" s="5" t="str">
        <f>IFERROR(INDEX(Maestro_Equipos!$V$4:$V$242,MATCH($A143,Maestro_Equipos!$A$4:$A$242,0)),"")</f>
        <v>Operativo</v>
      </c>
      <c r="K143" s="35">
        <f>IFERROR(
   SUMIFS(Mantenciones!$I:$I,Mantenciones!$B:$B,$A143)
 + SUMIFS('Compras PM'!$F:$F,'Compras PM'!$C:$C,$A143),0)</f>
        <v>237325.27</v>
      </c>
      <c r="L143" s="28" t="str">
        <f>IF($J143="Fuera de Servicio","NO PROGRAMAR",IF($H143="","SIN DATOS",IF($H143&lt;=0,"VENCIDA",IF($H143&lt;=7,"CRÍTICA",IF($H143&lt;=15,"ALTA",IF($H143&lt;=30,"MEDIA","BAJA"))))))</f>
        <v>BAJA</v>
      </c>
      <c r="M143" s="53" cm="1">
        <f t="array" ref="M143">IFERROR(_xlfn.AGGREGATE(14,6,Mantenciones!$A$3:$A$9916/(Mantenciones!$B$3:$B$9916=$A143),1),"")</f>
        <v>46133</v>
      </c>
      <c r="N143" s="29" cm="1">
        <f t="array" ref="N143">IFERROR(_xlfn.AGGREGATE(14,6,'Compras PM'!$A$4:$A$10029/('Compras PM'!$C$4:$C$10029=$A143),1),"")</f>
        <v>46084.554178669001</v>
      </c>
      <c r="O143" s="29">
        <f>IFERROR(VLOOKUP($A143,Maestro_Equipos!$A$4:$AG$242,27,FALSE()),"")</f>
        <v>46093</v>
      </c>
      <c r="P143" s="30">
        <f ca="1">IFERROR(IF($N143="","",IF(OR($M143="",$M143&lt;$N143),TODAY()-$N143,$M143-$N143)),"")</f>
        <v>48.445821330999024</v>
      </c>
      <c r="Q143" s="30">
        <f ca="1">IFERROR(IF($O143="","",IF(OR($M143="",$M143&lt;$O143),TODAY()-$O143,$M143-$O143)),"")</f>
        <v>40</v>
      </c>
      <c r="R143" s="28" t="str">
        <f>IF($O143="","SIN SALIDA",IF(OR($M143="",$M143&lt;$O143),"PENDIENTE","REALIZADA"))</f>
        <v>REALIZADA</v>
      </c>
      <c r="S143" s="31" t="str">
        <f>IFERROR(VLOOKUP($A143,Maestro_Equipos!$A$4:$AG$242,33,FALSE()),"")</f>
        <v>Monitorear próximo vencimiento</v>
      </c>
    </row>
    <row r="144" spans="1:19">
      <c r="A144" t="str" cm="1">
        <f t="array" ref="A144">IFERROR(INDEX(_xlfn._xlws.FILTER(Maestro_Equipos!$A$4:$A$242,Maestro_Equipos!$A$4:$A$242&lt;&gt;""),ROWS($A$4:A144)),"")</f>
        <v>MD-90</v>
      </c>
      <c r="B144" t="str">
        <f>IFERROR(_xlfn.XLOOKUP($A144,Maestro_Equipos!$A$4:$A$242,Maestro_Equipos!$B$4:$B$242,""),"")</f>
        <v>Excavadora</v>
      </c>
      <c r="C144" t="str">
        <f>IFERROR(_xlfn.XLOOKUP($A144,Maestro_Equipos!$A$4:$A$242,Maestro_Equipos!$C$4:$C$242,""),"")</f>
        <v>Maquinaria Pesada</v>
      </c>
      <c r="D144" t="str">
        <f>IFERROR(_xlfn.XLOOKUP($A144,Maestro_Equipos!$A:$A,Maestro_Equipos!$I:$I,""),"")</f>
        <v>HORAS</v>
      </c>
      <c r="E144">
        <f>IFERROR(IF($D144="KM",_xlfn.XLOOKUP($A144,Maestro_Equipos!$A:$A,Maestro_Equipos!$N:$N,""),_xlfn.XLOOKUP($A144,Maestro_Equipos!$A:$A,Maestro_Equipos!$M:$M,"")),"")</f>
        <v>0</v>
      </c>
      <c r="F144" t="str">
        <f>IFERROR(_xlfn.XLOOKUP($A144,Maestro_Equipos!$A:$A,Maestro_Equipos!$R:$R,"")+_xlfn.XLOOKUP($A144,Maestro_Equipos!$A:$A,Maestro_Equipos!$J:$J,""),"")</f>
        <v/>
      </c>
      <c r="G144">
        <f>IFERROR(_xlfn.XLOOKUP($A144,Maestro_Equipos!$A:$A,Maestro_Equipos!$K:$K,""),"")</f>
        <v>0</v>
      </c>
      <c r="H144" t="str">
        <f>IFERROR(IF(OR($E144="",$F144="",$G144="",$G144&lt;=0),"",ROUND(($F144-$E144)/$G144,0)),"")</f>
        <v/>
      </c>
      <c r="I144" s="71" t="str">
        <f ca="1">IFERROR(IF($H144="","",TODAY()+$H144),"")</f>
        <v/>
      </c>
      <c r="J144" s="5" t="str">
        <f>IFERROR(INDEX(Maestro_Equipos!$V$4:$V$242,MATCH($A144,Maestro_Equipos!$A$4:$A$242,0)),"")</f>
        <v>Taller</v>
      </c>
      <c r="K144" s="35">
        <f>IFERROR(
   SUMIFS(Mantenciones!$I:$I,Mantenciones!$B:$B,$A144)
 + SUMIFS('Compras PM'!$F:$F,'Compras PM'!$C:$C,$A144),0)</f>
        <v>0</v>
      </c>
      <c r="L144" s="28" t="str">
        <f>IF($J144="Fuera de Servicio","NO PROGRAMAR",IF($H144="","SIN DATOS",IF($H144&lt;=0,"VENCIDA",IF($H144&lt;=7,"CRÍTICA",IF($H144&lt;=15,"ALTA",IF($H144&lt;=30,"MEDIA","BAJA"))))))</f>
        <v>SIN DATOS</v>
      </c>
      <c r="M144" s="53" t="str" cm="1">
        <f t="array" ref="M144">IFERROR(_xlfn.AGGREGATE(14,6,Mantenciones!$A$3:$A$9916/(Mantenciones!$B$3:$B$9916=$A144),1),"")</f>
        <v/>
      </c>
      <c r="N144" s="29" t="str" cm="1">
        <f t="array" ref="N144">IFERROR(_xlfn.AGGREGATE(14,6,'Compras PM'!$A$4:$A$10029/('Compras PM'!$C$4:$C$10029=$A144),1),"")</f>
        <v/>
      </c>
      <c r="O144" s="29" t="str">
        <f>IFERROR(VLOOKUP($A144,Maestro_Equipos!$A$4:$AG$242,27,FALSE()),"")</f>
        <v/>
      </c>
      <c r="P144" s="30" t="str">
        <f ca="1">IFERROR(IF($N144="","",IF(OR($M144="",$M144&lt;$N144),TODAY()-$N144,$M144-$N144)),"")</f>
        <v/>
      </c>
      <c r="Q144" s="30" t="str">
        <f ca="1">IFERROR(IF($O144="","",IF(OR($M144="",$M144&lt;$O144),TODAY()-$O144,$M144-$O144)),"")</f>
        <v/>
      </c>
      <c r="R144" s="28" t="str">
        <f>IF($O144="","SIN SALIDA",IF(OR($M144="",$M144&lt;$O144),"PENDIENTE","REALIZADA"))</f>
        <v>SIN SALIDA</v>
      </c>
      <c r="S144" s="31" t="str">
        <f>IFERROR(VLOOKUP($A144,Maestro_Equipos!$A$4:$AG$242,33,FALSE()),"")</f>
        <v>Monitorear próximo vencimiento</v>
      </c>
    </row>
    <row r="145" spans="1:19">
      <c r="A145" t="str" cm="1">
        <f t="array" ref="A145">IFERROR(INDEX(_xlfn._xlws.FILTER(Maestro_Equipos!$A$4:$A$242,Maestro_Equipos!$A$4:$A$242&lt;&gt;""),ROWS($A$4:A145)),"")</f>
        <v>MD-91</v>
      </c>
      <c r="B145" t="str">
        <f>IFERROR(_xlfn.XLOOKUP($A145,Maestro_Equipos!$A$4:$A$242,Maestro_Equipos!$B$4:$B$242,""),"")</f>
        <v>Motoniveladora</v>
      </c>
      <c r="C145" t="str">
        <f>IFERROR(_xlfn.XLOOKUP($A145,Maestro_Equipos!$A$4:$A$242,Maestro_Equipos!$C$4:$C$242,""),"")</f>
        <v>Maquinaria Pesada</v>
      </c>
      <c r="D145" t="str">
        <f>IFERROR(_xlfn.XLOOKUP($A145,Maestro_Equipos!$A:$A,Maestro_Equipos!$I:$I,""),"")</f>
        <v>HORAS</v>
      </c>
      <c r="E145">
        <f>IFERROR(IF($D145="KM",_xlfn.XLOOKUP($A145,Maestro_Equipos!$A:$A,Maestro_Equipos!$N:$N,""),_xlfn.XLOOKUP($A145,Maestro_Equipos!$A:$A,Maestro_Equipos!$M:$M,"")),"")</f>
        <v>0</v>
      </c>
      <c r="F145" t="str">
        <f>IFERROR(_xlfn.XLOOKUP($A145,Maestro_Equipos!$A:$A,Maestro_Equipos!$R:$R,"")+_xlfn.XLOOKUP($A145,Maestro_Equipos!$A:$A,Maestro_Equipos!$J:$J,""),"")</f>
        <v/>
      </c>
      <c r="G145">
        <f>IFERROR(_xlfn.XLOOKUP($A145,Maestro_Equipos!$A:$A,Maestro_Equipos!$K:$K,""),"")</f>
        <v>0</v>
      </c>
      <c r="H145" t="str">
        <f>IFERROR(IF(OR($E145="",$F145="",$G145="",$G145&lt;=0),"",ROUND(($F145-$E145)/$G145,0)),"")</f>
        <v/>
      </c>
      <c r="I145" s="71" t="str">
        <f ca="1">IFERROR(IF($H145="","",TODAY()+$H145),"")</f>
        <v/>
      </c>
      <c r="J145" s="5" t="str">
        <f>IFERROR(INDEX(Maestro_Equipos!$V$4:$V$242,MATCH($A145,Maestro_Equipos!$A$4:$A$242,0)),"")</f>
        <v>Taller</v>
      </c>
      <c r="K145" s="35">
        <f>IFERROR(
   SUMIFS(Mantenciones!$I:$I,Mantenciones!$B:$B,$A145)
 + SUMIFS('Compras PM'!$F:$F,'Compras PM'!$C:$C,$A145),0)</f>
        <v>0</v>
      </c>
      <c r="L145" s="28" t="str">
        <f>IF($J145="Fuera de Servicio","NO PROGRAMAR",IF($H145="","SIN DATOS",IF($H145&lt;=0,"VENCIDA",IF($H145&lt;=7,"CRÍTICA",IF($H145&lt;=15,"ALTA",IF($H145&lt;=30,"MEDIA","BAJA"))))))</f>
        <v>SIN DATOS</v>
      </c>
      <c r="M145" s="53" t="str" cm="1">
        <f t="array" ref="M145">IFERROR(_xlfn.AGGREGATE(14,6,Mantenciones!$A$3:$A$9916/(Mantenciones!$B$3:$B$9916=$A145),1),"")</f>
        <v/>
      </c>
      <c r="N145" s="29" t="str" cm="1">
        <f t="array" ref="N145">IFERROR(_xlfn.AGGREGATE(14,6,'Compras PM'!$A$4:$A$10029/('Compras PM'!$C$4:$C$10029=$A145),1),"")</f>
        <v/>
      </c>
      <c r="O145" s="29" t="str">
        <f>IFERROR(VLOOKUP($A145,Maestro_Equipos!$A$4:$AG$242,27,FALSE()),"")</f>
        <v/>
      </c>
      <c r="P145" s="30" t="str">
        <f ca="1">IFERROR(IF($N145="","",IF(OR($M145="",$M145&lt;$N145),TODAY()-$N145,$M145-$N145)),"")</f>
        <v/>
      </c>
      <c r="Q145" s="30" t="str">
        <f ca="1">IFERROR(IF($O145="","",IF(OR($M145="",$M145&lt;$O145),TODAY()-$O145,$M145-$O145)),"")</f>
        <v/>
      </c>
      <c r="R145" s="28" t="str">
        <f>IF($O145="","SIN SALIDA",IF(OR($M145="",$M145&lt;$O145),"PENDIENTE","REALIZADA"))</f>
        <v>SIN SALIDA</v>
      </c>
      <c r="S145" s="31" t="str">
        <f>IFERROR(VLOOKUP($A145,Maestro_Equipos!$A$4:$AG$242,33,FALSE()),"")</f>
        <v>Monitorear próximo vencimiento</v>
      </c>
    </row>
    <row r="146" spans="1:19">
      <c r="A146" t="str" cm="1">
        <f t="array" ref="A146">IFERROR(INDEX(_xlfn._xlws.FILTER(Maestro_Equipos!$A$4:$A$242,Maestro_Equipos!$A$4:$A$242&lt;&gt;""),ROWS($A$4:A146)),"")</f>
        <v>MD-92</v>
      </c>
      <c r="B146" t="str">
        <f>IFERROR(_xlfn.XLOOKUP($A146,Maestro_Equipos!$A$4:$A$242,Maestro_Equipos!$B$4:$B$242,""),"")</f>
        <v>Cargador Frontal</v>
      </c>
      <c r="C146" t="str">
        <f>IFERROR(_xlfn.XLOOKUP($A146,Maestro_Equipos!$A$4:$A$242,Maestro_Equipos!$C$4:$C$242,""),"")</f>
        <v>Maquinaria Pesada</v>
      </c>
      <c r="D146" t="str">
        <f>IFERROR(_xlfn.XLOOKUP($A146,Maestro_Equipos!$A:$A,Maestro_Equipos!$I:$I,""),"")</f>
        <v>HORAS</v>
      </c>
      <c r="E146">
        <f>IFERROR(IF($D146="KM",_xlfn.XLOOKUP($A146,Maestro_Equipos!$A:$A,Maestro_Equipos!$N:$N,""),_xlfn.XLOOKUP($A146,Maestro_Equipos!$A:$A,Maestro_Equipos!$M:$M,"")),"")</f>
        <v>1733</v>
      </c>
      <c r="F146" t="str">
        <f>IFERROR(_xlfn.XLOOKUP($A146,Maestro_Equipos!$A:$A,Maestro_Equipos!$R:$R,"")+_xlfn.XLOOKUP($A146,Maestro_Equipos!$A:$A,Maestro_Equipos!$J:$J,""),"")</f>
        <v/>
      </c>
      <c r="G146">
        <f>IFERROR(_xlfn.XLOOKUP($A146,Maestro_Equipos!$A:$A,Maestro_Equipos!$K:$K,""),"")</f>
        <v>0</v>
      </c>
      <c r="H146" t="str">
        <f>IFERROR(IF(OR($E146="",$F146="",$G146="",$G146&lt;=0),"",ROUND(($F146-$E146)/$G146,0)),"")</f>
        <v/>
      </c>
      <c r="I146" s="71" t="str">
        <f ca="1">IFERROR(IF($H146="","",TODAY()+$H146),"")</f>
        <v/>
      </c>
      <c r="J146" s="5" t="str">
        <f>IFERROR(INDEX(Maestro_Equipos!$V$4:$V$242,MATCH($A146,Maestro_Equipos!$A$4:$A$242,0)),"")</f>
        <v>Fuera de Servicio</v>
      </c>
      <c r="K146" s="35">
        <f>IFERROR(
   SUMIFS(Mantenciones!$I:$I,Mantenciones!$B:$B,$A146)
 + SUMIFS('Compras PM'!$F:$F,'Compras PM'!$C:$C,$A146),0)</f>
        <v>0</v>
      </c>
      <c r="L146" s="28" t="str">
        <f>IF($J146="Fuera de Servicio","NO PROGRAMAR",IF($H146="","SIN DATOS",IF($H146&lt;=0,"VENCIDA",IF($H146&lt;=7,"CRÍTICA",IF($H146&lt;=15,"ALTA",IF($H146&lt;=30,"MEDIA","BAJA"))))))</f>
        <v>NO PROGRAMAR</v>
      </c>
      <c r="M146" s="53" t="str" cm="1">
        <f t="array" ref="M146">IFERROR(_xlfn.AGGREGATE(14,6,Mantenciones!$A$3:$A$9916/(Mantenciones!$B$3:$B$9916=$A146),1),"")</f>
        <v/>
      </c>
      <c r="N146" s="29" t="str" cm="1">
        <f t="array" ref="N146">IFERROR(_xlfn.AGGREGATE(14,6,'Compras PM'!$A$4:$A$10029/('Compras PM'!$C$4:$C$10029=$A146),1),"")</f>
        <v/>
      </c>
      <c r="O146" s="29" t="str">
        <f>IFERROR(VLOOKUP($A146,Maestro_Equipos!$A$4:$AG$242,27,FALSE()),"")</f>
        <v/>
      </c>
      <c r="P146" s="30" t="str">
        <f ca="1">IFERROR(IF($N146="","",IF(OR($M146="",$M146&lt;$N146),TODAY()-$N146,$M146-$N146)),"")</f>
        <v/>
      </c>
      <c r="Q146" s="30" t="str">
        <f ca="1">IFERROR(IF($O146="","",IF(OR($M146="",$M146&lt;$O146),TODAY()-$O146,$M146-$O146)),"")</f>
        <v/>
      </c>
      <c r="R146" s="28" t="str">
        <f>IF($O146="","SIN SALIDA",IF(OR($M146="",$M146&lt;$O146),"PENDIENTE","REALIZADA"))</f>
        <v>SIN SALIDA</v>
      </c>
      <c r="S146" s="31" t="str">
        <f>IFERROR(VLOOKUP($A146,Maestro_Equipos!$A$4:$AG$242,33,FALSE()),"")</f>
        <v>No programar compra</v>
      </c>
    </row>
    <row r="147" spans="1:19" ht="15" customHeight="1">
      <c r="A147" t="str" cm="1">
        <f t="array" ref="A147">IFERROR(INDEX(_xlfn._xlws.FILTER(Maestro_Equipos!$A$4:$A$242,Maestro_Equipos!$A$4:$A$242&lt;&gt;""),ROWS($A$4:A147)),"")</f>
        <v>MD-93</v>
      </c>
      <c r="B147" t="str">
        <f>IFERROR(_xlfn.XLOOKUP($A147,Maestro_Equipos!$A$4:$A$242,Maestro_Equipos!$B$4:$B$242,""),"")</f>
        <v>Retroexcavadora</v>
      </c>
      <c r="C147" t="str">
        <f>IFERROR(_xlfn.XLOOKUP($A147,Maestro_Equipos!$A$4:$A$242,Maestro_Equipos!$C$4:$C$242,""),"")</f>
        <v>Maquinaria Pesada</v>
      </c>
      <c r="D147" t="str">
        <f>IFERROR(_xlfn.XLOOKUP($A147,Maestro_Equipos!$A:$A,Maestro_Equipos!$I:$I,""),"")</f>
        <v>HORAS</v>
      </c>
      <c r="E147">
        <f>IFERROR(IF($D147="KM",_xlfn.XLOOKUP($A147,Maestro_Equipos!$A:$A,Maestro_Equipos!$N:$N,""),_xlfn.XLOOKUP($A147,Maestro_Equipos!$A:$A,Maestro_Equipos!$M:$M,"")),"")</f>
        <v>2333</v>
      </c>
      <c r="F147">
        <f>IFERROR(_xlfn.XLOOKUP($A147,Maestro_Equipos!$A:$A,Maestro_Equipos!$R:$R,"")+_xlfn.XLOOKUP($A147,Maestro_Equipos!$A:$A,Maestro_Equipos!$J:$J,""),"")</f>
        <v>2413</v>
      </c>
      <c r="G147">
        <f>IFERROR(_xlfn.XLOOKUP($A147,Maestro_Equipos!$A:$A,Maestro_Equipos!$K:$K,""),"")</f>
        <v>3.1</v>
      </c>
      <c r="H147">
        <f>IFERROR(IF(OR($E147="",$F147="",$G147="",$G147&lt;=0),"",ROUND(($F147-$E147)/$G147,0)),"")</f>
        <v>26</v>
      </c>
      <c r="I147" s="71">
        <f ca="1">IFERROR(IF($H147="","",TODAY()+$H147),"")</f>
        <v>46266</v>
      </c>
      <c r="J147" s="5" t="str">
        <f>IFERROR(INDEX(Maestro_Equipos!$V$4:$V$242,MATCH($A147,Maestro_Equipos!$A$4:$A$242,0)),"")</f>
        <v>Operativo</v>
      </c>
      <c r="K147" s="35">
        <f>IFERROR(
   SUMIFS(Mantenciones!$I:$I,Mantenciones!$B:$B,$A147)
 + SUMIFS('Compras PM'!$F:$F,'Compras PM'!$C:$C,$A147),0)</f>
        <v>1739863.3299999998</v>
      </c>
      <c r="L147" s="28" t="str">
        <f>IF($J147="Fuera de Servicio","NO PROGRAMAR",IF($H147="","SIN DATOS",IF($H147&lt;=0,"VENCIDA",IF($H147&lt;=7,"CRÍTICA",IF($H147&lt;=15,"ALTA",IF($H147&lt;=30,"MEDIA","BAJA"))))))</f>
        <v>MEDIA</v>
      </c>
      <c r="M147" s="53" cm="1">
        <f t="array" ref="M147">IFERROR(_xlfn.AGGREGATE(14,6,Mantenciones!$A$3:$A$9916/(Mantenciones!$B$3:$B$9916=$A147),1),"")</f>
        <v>46147</v>
      </c>
      <c r="N147" s="29" cm="1">
        <f t="array" ref="N147">IFERROR(_xlfn.AGGREGATE(14,6,'Compras PM'!$A$4:$A$10029/('Compras PM'!$C$4:$C$10029=$A147),1),"")</f>
        <v>46106</v>
      </c>
      <c r="O147" s="29">
        <f>IFERROR(VLOOKUP($A147,Maestro_Equipos!$A$4:$AG$242,27,FALSE()),"")</f>
        <v>46146</v>
      </c>
      <c r="P147" s="30">
        <f ca="1">IFERROR(IF($N147="","",IF(OR($M147="",$M147&lt;$N147),TODAY()-$N147,$M147-$N147)),"")</f>
        <v>41</v>
      </c>
      <c r="Q147" s="30">
        <f ca="1">IFERROR(IF($O147="","",IF(OR($M147="",$M147&lt;$O147),TODAY()-$O147,$M147-$O147)),"")</f>
        <v>1</v>
      </c>
      <c r="R147" s="28" t="str">
        <f>IF($O147="","SIN SALIDA",IF(OR($M147="",$M147&lt;$O147),"PENDIENTE","REALIZADA"))</f>
        <v>REALIZADA</v>
      </c>
      <c r="S147" s="31" t="str">
        <f>IFERROR(VLOOKUP($A147,Maestro_Equipos!$A$4:$AG$242,33,FALSE()),"")</f>
        <v>Monitorear próximo vencimiento</v>
      </c>
    </row>
    <row r="148" spans="1:19" ht="15" customHeight="1">
      <c r="A148" t="str" cm="1">
        <f t="array" ref="A148">IFERROR(INDEX(_xlfn._xlws.FILTER(Maestro_Equipos!$A$4:$A$242,Maestro_Equipos!$A$4:$A$242&lt;&gt;""),ROWS($A$4:A148)),"")</f>
        <v>MD-94</v>
      </c>
      <c r="B148" t="str">
        <f>IFERROR(_xlfn.XLOOKUP($A148,Maestro_Equipos!$A$4:$A$242,Maestro_Equipos!$B$4:$B$242,""),"")</f>
        <v>Retroexcavadora</v>
      </c>
      <c r="C148" t="str">
        <f>IFERROR(_xlfn.XLOOKUP($A148,Maestro_Equipos!$A$4:$A$242,Maestro_Equipos!$C$4:$C$242,""),"")</f>
        <v>Maquinaria Pesada</v>
      </c>
      <c r="D148" t="str">
        <f>IFERROR(_xlfn.XLOOKUP($A148,Maestro_Equipos!$A:$A,Maestro_Equipos!$I:$I,""),"")</f>
        <v>HORAS</v>
      </c>
      <c r="E148">
        <f>IFERROR(IF($D148="KM",_xlfn.XLOOKUP($A148,Maestro_Equipos!$A:$A,Maestro_Equipos!$N:$N,""),_xlfn.XLOOKUP($A148,Maestro_Equipos!$A:$A,Maestro_Equipos!$M:$M,"")),"")</f>
        <v>2396</v>
      </c>
      <c r="F148">
        <f>IFERROR(_xlfn.XLOOKUP($A148,Maestro_Equipos!$A:$A,Maestro_Equipos!$R:$R,"")+_xlfn.XLOOKUP($A148,Maestro_Equipos!$A:$A,Maestro_Equipos!$J:$J,""),"")</f>
        <v>2610</v>
      </c>
      <c r="G148">
        <f>IFERROR(_xlfn.XLOOKUP($A148,Maestro_Equipos!$A:$A,Maestro_Equipos!$K:$K,""),"")</f>
        <v>2.9</v>
      </c>
      <c r="H148">
        <f>IFERROR(IF(OR($E148="",$F148="",$G148="",$G148&lt;=0),"",ROUND(($F148-$E148)/$G148,0)),"")</f>
        <v>74</v>
      </c>
      <c r="I148" s="71">
        <f ca="1">IFERROR(IF($H148="","",TODAY()+$H148),"")</f>
        <v>46314</v>
      </c>
      <c r="J148" s="5" t="str">
        <f>IFERROR(INDEX(Maestro_Equipos!$V$4:$V$242,MATCH($A148,Maestro_Equipos!$A$4:$A$242,0)),"")</f>
        <v>Operativo</v>
      </c>
      <c r="K148" s="35">
        <f>IFERROR(
   SUMIFS(Mantenciones!$I:$I,Mantenciones!$B:$B,$A148)
 + SUMIFS('Compras PM'!$F:$F,'Compras PM'!$C:$C,$A148),0)</f>
        <v>0</v>
      </c>
      <c r="L148" s="28" t="str">
        <f>IF($J148="Fuera de Servicio","NO PROGRAMAR",IF($H148="","SIN DATOS",IF($H148&lt;=0,"VENCIDA",IF($H148&lt;=7,"CRÍTICA",IF($H148&lt;=15,"ALTA",IF($H148&lt;=30,"MEDIA","BAJA"))))))</f>
        <v>BAJA</v>
      </c>
      <c r="M148" s="53" cm="1">
        <f t="array" ref="M148">IFERROR(_xlfn.AGGREGATE(14,6,Mantenciones!$A$3:$A$9916/(Mantenciones!$B$3:$B$9916=$A148),1),"")</f>
        <v>46100</v>
      </c>
      <c r="N148" s="29" t="str" cm="1">
        <f t="array" ref="N148">IFERROR(_xlfn.AGGREGATE(14,6,'Compras PM'!$A$4:$A$10029/('Compras PM'!$C$4:$C$10029=$A148),1),"")</f>
        <v/>
      </c>
      <c r="O148" s="29">
        <f>IFERROR(VLOOKUP($A148,Maestro_Equipos!$A$4:$AG$242,27,FALSE()),"")</f>
        <v>46083</v>
      </c>
      <c r="P148" s="30" t="str">
        <f ca="1">IFERROR(IF($N148="","",IF(OR($M148="",$M148&lt;$N148),TODAY()-$N148,$M148-$N148)),"")</f>
        <v/>
      </c>
      <c r="Q148" s="30">
        <f ca="1">IFERROR(IF($O148="","",IF(OR($M148="",$M148&lt;$O148),TODAY()-$O148,$M148-$O148)),"")</f>
        <v>17</v>
      </c>
      <c r="R148" s="28" t="str">
        <f>IF($O148="","SIN SALIDA",IF(OR($M148="",$M148&lt;$O148),"PENDIENTE","REALIZADA"))</f>
        <v>REALIZADA</v>
      </c>
      <c r="S148" s="31" t="str">
        <f>IFERROR(VLOOKUP($A148,Maestro_Equipos!$A$4:$AG$242,33,FALSE()),"")</f>
        <v>Monitorear próximo vencimiento</v>
      </c>
    </row>
    <row r="149" spans="1:19">
      <c r="A149" s="61" t="str" cm="1">
        <f t="array" ref="A149">IFERROR(INDEX(_xlfn._xlws.FILTER(Maestro_Equipos!$A$4:$A$242,Maestro_Equipos!$A$4:$A$242&lt;&gt;""),ROWS($A$4:A149)),"")</f>
        <v>MD-95</v>
      </c>
      <c r="B149" s="61" t="str">
        <f>IFERROR(_xlfn.XLOOKUP($A149,Maestro_Equipos!$A$4:$A$242,Maestro_Equipos!$B$4:$B$242,""),"")</f>
        <v>Retroexcavadora</v>
      </c>
      <c r="C149" s="61" t="str">
        <f>IFERROR(_xlfn.XLOOKUP($A149,Maestro_Equipos!$A$4:$A$242,Maestro_Equipos!$C$4:$C$242,""),"")</f>
        <v>Maquinaria Pesada</v>
      </c>
      <c r="D149" s="61" t="str">
        <f>IFERROR(VLOOKUP($A146,Maestro_Equipos!$A$4:$Z$242,9,FALSE),"")</f>
        <v>HORAS</v>
      </c>
      <c r="E149" s="61">
        <f>IFERROR(IF($D149="KM",_xlfn.XLOOKUP($A149,Maestro_Equipos!$A:$A,Maestro_Equipos!$N:$N,""),_xlfn.XLOOKUP($A149,Maestro_Equipos!$A:$A,Maestro_Equipos!$M:$M,"")),"")</f>
        <v>2026</v>
      </c>
      <c r="F149" s="61">
        <f>IFERROR(_xlfn.XLOOKUP($A149,Maestro_Equipos!$A:$A,Maestro_Equipos!$R:$R,"")+_xlfn.XLOOKUP($A149,Maestro_Equipos!$A:$A,Maestro_Equipos!$J:$J,""),"")</f>
        <v>2328</v>
      </c>
      <c r="G149" s="61">
        <f>IFERROR(_xlfn.XLOOKUP($A149,Maestro_Equipos!$A:$A,Maestro_Equipos!$K:$K,""),"")</f>
        <v>3.2</v>
      </c>
      <c r="H149" s="61">
        <f>IFERROR(IF(OR($E149="",$F149="",$G149="",$G149&lt;=0),"",ROUND(($F149-$E149)/$G149,0)),"")</f>
        <v>94</v>
      </c>
      <c r="I149" s="62">
        <f ca="1">IFERROR(IF($H149="","",TODAY()+$H149),"")</f>
        <v>46334</v>
      </c>
      <c r="J149" s="63" t="str">
        <f>IFERROR(INDEX(Maestro_Equipos!$V$4:$V$242,MATCH($A149,Maestro_Equipos!$A$4:$A$242,0)),"")</f>
        <v>Operativo</v>
      </c>
      <c r="K149" s="64">
        <f>IFERROR(
   SUMIFS(Mantenciones!$I:$I,Mantenciones!$B:$B,$A149)
 + SUMIFS('Compras PM'!$F:$F,'Compras PM'!$C:$C,$A149),0)</f>
        <v>1342707.94</v>
      </c>
      <c r="L149" s="65" t="str">
        <f>IF($J149="Fuera de Servicio","NO PROGRAMAR",IF($H149="","SIN DATOS",IF($H149&lt;=0,"VENCIDA",IF($H149&lt;=7,"CRÍTICA",IF($H149&lt;=15,"ALTA",IF($H149&lt;=30,"MEDIA","BAJA"))))))</f>
        <v>BAJA</v>
      </c>
      <c r="M149" s="66" cm="1">
        <f t="array" ref="M149">IFERROR(_xlfn.AGGREGATE(14,6,Mantenciones!$A$3:$A$9916/(Mantenciones!$B$3:$B$9916=$A149),1),"")</f>
        <v>46199</v>
      </c>
      <c r="N149" s="67" cm="1">
        <f t="array" ref="N149">IFERROR(_xlfn.AGGREGATE(14,6,'Compras PM'!$A$4:$A$10029/('Compras PM'!$C$4:$C$10029=$A149),1),"")</f>
        <v>46191</v>
      </c>
      <c r="O149" s="67">
        <f>IFERROR(VLOOKUP($A149,Maestro_Equipos!$A$4:$AG$242,27,FALSE()),"")</f>
        <v>46080</v>
      </c>
      <c r="P149" s="68">
        <f ca="1">IFERROR(IF($N149="","",IF(OR($M149="",$M149&lt;$N149),TODAY()-$N149,$M149-$N149)),"")</f>
        <v>8</v>
      </c>
      <c r="Q149" s="68">
        <f ca="1">IFERROR(IF($O149="","",IF(OR($M149="",$M149&lt;$O149),TODAY()-$O149,$M149-$O149)),"")</f>
        <v>119</v>
      </c>
      <c r="R149" s="65" t="str">
        <f>IF($O149="","SIN SALIDA",IF(OR($M149="",$M149&lt;$O149),"PENDIENTE","REALIZADA"))</f>
        <v>REALIZADA</v>
      </c>
      <c r="S149" s="69" t="str">
        <f>IFERROR(VLOOKUP($A149,Maestro_Equipos!$A$4:$AG$242,33,FALSE()),"")</f>
        <v>Monitorear próximo vencimiento</v>
      </c>
    </row>
    <row r="150" spans="1:19">
      <c r="A150" t="str" cm="1">
        <f t="array" ref="A150">IFERROR(INDEX(_xlfn._xlws.FILTER(Maestro_Equipos!$A$4:$A$242,Maestro_Equipos!$A$4:$A$242&lt;&gt;""),ROWS($A$4:A150)),"")</f>
        <v>MD-96</v>
      </c>
      <c r="B150" t="str">
        <f>IFERROR(_xlfn.XLOOKUP($A150,Maestro_Equipos!$A$4:$A$242,Maestro_Equipos!$B$4:$B$242,""),"")</f>
        <v>Retroexcavadora</v>
      </c>
      <c r="C150" t="str">
        <f>IFERROR(_xlfn.XLOOKUP($A150,Maestro_Equipos!$A$4:$A$242,Maestro_Equipos!$C$4:$C$242,""),"")</f>
        <v>Maquinaria Pesada</v>
      </c>
      <c r="D150" t="str">
        <f>IFERROR(_xlfn.XLOOKUP($A150,Maestro_Equipos!$A:$A,Maestro_Equipos!$I:$I,""),"")</f>
        <v>HORAS</v>
      </c>
      <c r="E150">
        <f>IFERROR(IF($D150="KM",_xlfn.XLOOKUP($A150,Maestro_Equipos!$A:$A,Maestro_Equipos!$N:$N,""),_xlfn.XLOOKUP($A150,Maestro_Equipos!$A:$A,Maestro_Equipos!$M:$M,"")),"")</f>
        <v>1861</v>
      </c>
      <c r="F150">
        <f>IFERROR(_xlfn.XLOOKUP($A150,Maestro_Equipos!$A:$A,Maestro_Equipos!$R:$R,"")+_xlfn.XLOOKUP($A150,Maestro_Equipos!$A:$A,Maestro_Equipos!$J:$J,""),"")</f>
        <v>2155</v>
      </c>
      <c r="G150">
        <f>IFERROR(_xlfn.XLOOKUP($A150,Maestro_Equipos!$A:$A,Maestro_Equipos!$K:$K,""),"")</f>
        <v>3.5</v>
      </c>
      <c r="H150">
        <f>IFERROR(IF(OR($E150="",$F150="",$G150="",$G150&lt;=0),"",ROUND(($F150-$E150)/$G150,0)),"")</f>
        <v>84</v>
      </c>
      <c r="I150" s="71">
        <f ca="1">IFERROR(IF($H150="","",TODAY()+$H150),"")</f>
        <v>46324</v>
      </c>
      <c r="J150" s="5" t="str">
        <f>IFERROR(INDEX(Maestro_Equipos!$V$4:$V$242,MATCH($A150,Maestro_Equipos!$A$4:$A$242,0)),"")</f>
        <v>Operativo</v>
      </c>
      <c r="K150" s="35">
        <f>IFERROR(
   SUMIFS(Mantenciones!$I:$I,Mantenciones!$B:$B,$A150)
 + SUMIFS('Compras PM'!$F:$F,'Compras PM'!$C:$C,$A150),0)</f>
        <v>258526.31</v>
      </c>
      <c r="L150" s="28" t="str">
        <f>IF($J150="Fuera de Servicio","NO PROGRAMAR",IF($H150="","SIN DATOS",IF($H150&lt;=0,"VENCIDA",IF($H150&lt;=7,"CRÍTICA",IF($H150&lt;=15,"ALTA",IF($H150&lt;=30,"MEDIA","BAJA"))))))</f>
        <v>BAJA</v>
      </c>
      <c r="M150" s="53" cm="1">
        <f t="array" ref="M150">IFERROR(_xlfn.AGGREGATE(14,6,Mantenciones!$A$3:$A$9916/(Mantenciones!$B$3:$B$9916=$A150),1),"")</f>
        <v>46146</v>
      </c>
      <c r="N150" s="29" cm="1">
        <f t="array" ref="N150">IFERROR(_xlfn.AGGREGATE(14,6,'Compras PM'!$A$4:$A$10029/('Compras PM'!$C$4:$C$10029=$A150),1),"")</f>
        <v>46078.648084178203</v>
      </c>
      <c r="O150" s="29">
        <f>IFERROR(VLOOKUP($A150,Maestro_Equipos!$A$4:$AG$242,27,FALSE()),"")</f>
        <v>46083</v>
      </c>
      <c r="P150" s="30">
        <f ca="1">IFERROR(IF($N150="","",IF(OR($M150="",$M150&lt;$N150),TODAY()-$N150,$M150-$N150)),"")</f>
        <v>67.351915821796865</v>
      </c>
      <c r="Q150" s="30">
        <f ca="1">IFERROR(IF($O150="","",IF(OR($M150="",$M150&lt;$O150),TODAY()-$O150,$M150-$O150)),"")</f>
        <v>63</v>
      </c>
      <c r="R150" s="28" t="str">
        <f>IF($O150="","SIN SALIDA",IF(OR($M150="",$M150&lt;$O150),"PENDIENTE","REALIZADA"))</f>
        <v>REALIZADA</v>
      </c>
      <c r="S150" s="31" t="str">
        <f>IFERROR(VLOOKUP($A150,Maestro_Equipos!$A$4:$AG$242,33,FALSE()),"")</f>
        <v>Monitorear próximo vencimiento</v>
      </c>
    </row>
    <row r="151" spans="1:19">
      <c r="A151" t="str" cm="1">
        <f t="array" ref="A151">IFERROR(INDEX(_xlfn._xlws.FILTER(Maestro_Equipos!$A$4:$A$242,Maestro_Equipos!$A$4:$A$242&lt;&gt;""),ROWS($A$4:A151)),"")</f>
        <v>MD-97</v>
      </c>
      <c r="B151" t="str">
        <f>IFERROR(_xlfn.XLOOKUP($A151,Maestro_Equipos!$A$4:$A$242,Maestro_Equipos!$B$4:$B$242,""),"")</f>
        <v>Rodillo Neumaticos</v>
      </c>
      <c r="C151" t="str">
        <f>IFERROR(_xlfn.XLOOKUP($A151,Maestro_Equipos!$A$4:$A$242,Maestro_Equipos!$C$4:$C$242,""),"")</f>
        <v>Maquinaria Pesada</v>
      </c>
      <c r="D151" t="str">
        <f>IFERROR(_xlfn.XLOOKUP($A151,Maestro_Equipos!$A:$A,Maestro_Equipos!$I:$I,""),"")</f>
        <v>HORAS</v>
      </c>
      <c r="E151">
        <f>IFERROR(IF($D151="KM",_xlfn.XLOOKUP($A151,Maestro_Equipos!$A:$A,Maestro_Equipos!$N:$N,""),_xlfn.XLOOKUP($A151,Maestro_Equipos!$A:$A,Maestro_Equipos!$M:$M,"")),"")</f>
        <v>1950</v>
      </c>
      <c r="F151">
        <f>IFERROR(_xlfn.XLOOKUP($A151,Maestro_Equipos!$A:$A,Maestro_Equipos!$R:$R,"")+_xlfn.XLOOKUP($A151,Maestro_Equipos!$A:$A,Maestro_Equipos!$J:$J,""),"")</f>
        <v>2262</v>
      </c>
      <c r="G151">
        <f>IFERROR(_xlfn.XLOOKUP($A151,Maestro_Equipos!$A:$A,Maestro_Equipos!$K:$K,""),"")</f>
        <v>0.5</v>
      </c>
      <c r="H151">
        <f>IFERROR(IF(OR($E151="",$F151="",$G151="",$G151&lt;=0),"",ROUND(($F151-$E151)/$G151,0)),"")</f>
        <v>624</v>
      </c>
      <c r="I151" s="71">
        <f ca="1">IFERROR(IF($H151="","",TODAY()+$H151),"")</f>
        <v>46864</v>
      </c>
      <c r="J151" s="5" t="str">
        <f>IFERROR(INDEX(Maestro_Equipos!$V$4:$V$242,MATCH($A151,Maestro_Equipos!$A$4:$A$242,0)),"")</f>
        <v>Operativo</v>
      </c>
      <c r="K151" s="35">
        <f>IFERROR(
   SUMIFS(Mantenciones!$I:$I,Mantenciones!$B:$B,$A151)
 + SUMIFS('Compras PM'!$F:$F,'Compras PM'!$C:$C,$A151),0)</f>
        <v>320165.93</v>
      </c>
      <c r="L151" s="28" t="str">
        <f>IF($J151="Fuera de Servicio","NO PROGRAMAR",IF($H151="","SIN DATOS",IF($H151&lt;=0,"VENCIDA",IF($H151&lt;=7,"CRÍTICA",IF($H151&lt;=15,"ALTA",IF($H151&lt;=30,"MEDIA","BAJA"))))))</f>
        <v>BAJA</v>
      </c>
      <c r="M151" s="53" cm="1">
        <f t="array" ref="M151">IFERROR(_xlfn.AGGREGATE(14,6,Mantenciones!$A$3:$A$9916/(Mantenciones!$B$3:$B$9916=$A151),1),"")</f>
        <v>46150</v>
      </c>
      <c r="N151" s="29" cm="1">
        <f t="array" ref="N151">IFERROR(_xlfn.AGGREGATE(14,6,'Compras PM'!$A$4:$A$10029/('Compras PM'!$C$4:$C$10029=$A151),1),"")</f>
        <v>46106</v>
      </c>
      <c r="O151" s="29">
        <f>IFERROR(VLOOKUP($A151,Maestro_Equipos!$A$4:$AG$242,27,FALSE()),"")</f>
        <v>46148</v>
      </c>
      <c r="P151" s="30">
        <f ca="1">IFERROR(IF($N151="","",IF(OR($M151="",$M151&lt;$N151),TODAY()-$N151,$M151-$N151)),"")</f>
        <v>44</v>
      </c>
      <c r="Q151" s="30">
        <f ca="1">IFERROR(IF($O151="","",IF(OR($M151="",$M151&lt;$O151),TODAY()-$O151,$M151-$O151)),"")</f>
        <v>2</v>
      </c>
      <c r="R151" s="28" t="str">
        <f>IF($O151="","SIN SALIDA",IF(OR($M151="",$M151&lt;$O151),"PENDIENTE","REALIZADA"))</f>
        <v>REALIZADA</v>
      </c>
      <c r="S151" s="31" t="str">
        <f>IFERROR(VLOOKUP($A151,Maestro_Equipos!$A$4:$AG$242,33,FALSE()),"")</f>
        <v>Monitorear próximo vencimiento</v>
      </c>
    </row>
    <row r="152" spans="1:19">
      <c r="A152" t="str" cm="1">
        <f t="array" ref="A152">IFERROR(INDEX(_xlfn._xlws.FILTER(Maestro_Equipos!$A$4:$A$242,Maestro_Equipos!$A$4:$A$242&lt;&gt;""),ROWS($A$4:A152)),"")</f>
        <v>MD-98</v>
      </c>
      <c r="B152" t="str">
        <f>IFERROR(_xlfn.XLOOKUP($A152,Maestro_Equipos!$A$4:$A$242,Maestro_Equipos!$B$4:$B$242,""),"")</f>
        <v>Rodillo Neumaticos</v>
      </c>
      <c r="C152" t="str">
        <f>IFERROR(_xlfn.XLOOKUP($A152,Maestro_Equipos!$A$4:$A$242,Maestro_Equipos!$C$4:$C$242,""),"")</f>
        <v>Maquinaria Pesada</v>
      </c>
      <c r="D152" t="str">
        <f>IFERROR(_xlfn.XLOOKUP($A152,Maestro_Equipos!$A:$A,Maestro_Equipos!$I:$I,""),"")</f>
        <v>HORAS</v>
      </c>
      <c r="E152">
        <f>IFERROR(IF($D152="KM",_xlfn.XLOOKUP($A152,Maestro_Equipos!$A:$A,Maestro_Equipos!$N:$N,""),_xlfn.XLOOKUP($A152,Maestro_Equipos!$A:$A,Maestro_Equipos!$M:$M,"")),"")</f>
        <v>2438</v>
      </c>
      <c r="F152" t="str">
        <f>IFERROR(_xlfn.XLOOKUP($A152,Maestro_Equipos!$A:$A,Maestro_Equipos!$R:$R,"")+_xlfn.XLOOKUP($A152,Maestro_Equipos!$A:$A,Maestro_Equipos!$J:$J,""),"")</f>
        <v/>
      </c>
      <c r="G152">
        <f>IFERROR(_xlfn.XLOOKUP($A152,Maestro_Equipos!$A:$A,Maestro_Equipos!$K:$K,""),"")</f>
        <v>4.5999999999999996</v>
      </c>
      <c r="H152" t="str">
        <f>IFERROR(IF(OR($E152="",$F152="",$G152="",$G152&lt;=0),"",ROUND(($F152-$E152)/$G152,0)),"")</f>
        <v/>
      </c>
      <c r="I152" s="71" t="str">
        <f ca="1">IFERROR(IF($H152="","",TODAY()+$H152),"")</f>
        <v/>
      </c>
      <c r="J152" s="5" t="str">
        <f>IFERROR(INDEX(Maestro_Equipos!$V$4:$V$242,MATCH($A152,Maestro_Equipos!$A$4:$A$242,0)),"")</f>
        <v>Operativo</v>
      </c>
      <c r="K152" s="35">
        <f>IFERROR(
   SUMIFS(Mantenciones!$I:$I,Mantenciones!$B:$B,$A152)
 + SUMIFS('Compras PM'!$F:$F,'Compras PM'!$C:$C,$A152),0)</f>
        <v>100231.32</v>
      </c>
      <c r="L152" s="28" t="str">
        <f>IF($J152="Fuera de Servicio","NO PROGRAMAR",IF($H152="","SIN DATOS",IF($H152&lt;=0,"VENCIDA",IF($H152&lt;=7,"CRÍTICA",IF($H152&lt;=15,"ALTA",IF($H152&lt;=30,"MEDIA","BAJA"))))))</f>
        <v>SIN DATOS</v>
      </c>
      <c r="M152" s="53" t="str" cm="1">
        <f t="array" ref="M152">IFERROR(_xlfn.AGGREGATE(14,6,Mantenciones!$A$3:$A$9916/(Mantenciones!$B$3:$B$9916=$A152),1),"")</f>
        <v/>
      </c>
      <c r="N152" s="29" cm="1">
        <f t="array" ref="N152">IFERROR(_xlfn.AGGREGATE(14,6,'Compras PM'!$A$4:$A$10029/('Compras PM'!$C$4:$C$10029=$A152),1),"")</f>
        <v>46156.414239004604</v>
      </c>
      <c r="O152" s="29">
        <f>IFERROR(VLOOKUP($A152,Maestro_Equipos!$A$4:$AG$242,27,FALSE()),"")</f>
        <v>46153</v>
      </c>
      <c r="P152" s="30">
        <f ca="1">IFERROR(IF($N152="","",IF(OR($M152="",$M152&lt;$N152),TODAY()-$N152,$M152-$N152)),"")</f>
        <v>83.585760995396413</v>
      </c>
      <c r="Q152" s="30">
        <f ca="1">IFERROR(IF($O152="","",IF(OR($M152="",$M152&lt;$O152),TODAY()-$O152,$M152-$O152)),"")</f>
        <v>87</v>
      </c>
      <c r="R152" s="28" t="str">
        <f>IF($O152="","SIN SALIDA",IF(OR($M152="",$M152&lt;$O152),"PENDIENTE","REALIZADA"))</f>
        <v>PENDIENTE</v>
      </c>
      <c r="S152" s="31" t="str">
        <f>IFERROR(VLOOKUP($A152,Maestro_Equipos!$A$4:$AG$242,33,FALSE()),"")</f>
        <v>Monitorear próximo vencimiento</v>
      </c>
    </row>
    <row r="153" spans="1:19">
      <c r="A153" t="str" cm="1">
        <f t="array" ref="A153">IFERROR(INDEX(_xlfn._xlws.FILTER(Maestro_Equipos!$A$4:$A$242,Maestro_Equipos!$A$4:$A$242&lt;&gt;""),ROWS($A$4:A153)),"")</f>
        <v>MD-99</v>
      </c>
      <c r="B153" t="str">
        <f>IFERROR(_xlfn.XLOOKUP($A153,Maestro_Equipos!$A$4:$A$242,Maestro_Equipos!$B$4:$B$242,""),"")</f>
        <v>Excavadora</v>
      </c>
      <c r="C153" t="str">
        <f>IFERROR(_xlfn.XLOOKUP($A153,Maestro_Equipos!$A$4:$A$242,Maestro_Equipos!$C$4:$C$242,""),"")</f>
        <v>Maquinaria Pesada</v>
      </c>
      <c r="D153" t="str">
        <f>IFERROR(_xlfn.XLOOKUP($A153,Maestro_Equipos!$A:$A,Maestro_Equipos!$I:$I,""),"")</f>
        <v>HORAS</v>
      </c>
      <c r="E153">
        <f>IFERROR(IF($D153="KM",_xlfn.XLOOKUP($A153,Maestro_Equipos!$A:$A,Maestro_Equipos!$N:$N,""),_xlfn.XLOOKUP($A153,Maestro_Equipos!$A:$A,Maestro_Equipos!$M:$M,"")),"")</f>
        <v>2587</v>
      </c>
      <c r="F153">
        <f>IFERROR(_xlfn.XLOOKUP($A153,Maestro_Equipos!$A:$A,Maestro_Equipos!$R:$R,"")+_xlfn.XLOOKUP($A153,Maestro_Equipos!$A:$A,Maestro_Equipos!$J:$J,""),"")</f>
        <v>2839</v>
      </c>
      <c r="G153">
        <f>IFERROR(_xlfn.XLOOKUP($A153,Maestro_Equipos!$A:$A,Maestro_Equipos!$K:$K,""),"")</f>
        <v>3.6</v>
      </c>
      <c r="H153">
        <f>IFERROR(IF(OR($E153="",$F153="",$G153="",$G153&lt;=0),"",ROUND(($F153-$E153)/$G153,0)),"")</f>
        <v>70</v>
      </c>
      <c r="I153" s="71">
        <f ca="1">IFERROR(IF($H153="","",TODAY()+$H153),"")</f>
        <v>46310</v>
      </c>
      <c r="J153" s="5" t="str">
        <f>IFERROR(INDEX(Maestro_Equipos!$V$4:$V$242,MATCH($A153,Maestro_Equipos!$A$4:$A$242,0)),"")</f>
        <v>Operativo</v>
      </c>
      <c r="K153" s="35">
        <f>IFERROR(
   SUMIFS(Mantenciones!$I:$I,Mantenciones!$B:$B,$A153)
 + SUMIFS('Compras PM'!$F:$F,'Compras PM'!$C:$C,$A153),0)</f>
        <v>632698.01</v>
      </c>
      <c r="L153" s="28" t="str">
        <f>IF($J153="Fuera de Servicio","NO PROGRAMAR",IF($H153="","SIN DATOS",IF($H153&lt;=0,"VENCIDA",IF($H153&lt;=7,"CRÍTICA",IF($H153&lt;=15,"ALTA",IF($H153&lt;=30,"MEDIA","BAJA"))))))</f>
        <v>BAJA</v>
      </c>
      <c r="M153" s="53" cm="1">
        <f t="array" ref="M153">IFERROR(_xlfn.AGGREGATE(14,6,Mantenciones!$A$3:$A$9916/(Mantenciones!$B$3:$B$9916=$A153),1),"")</f>
        <v>46197</v>
      </c>
      <c r="N153" s="29" cm="1">
        <f t="array" ref="N153">IFERROR(_xlfn.AGGREGATE(14,6,'Compras PM'!$A$4:$A$10029/('Compras PM'!$C$4:$C$10029=$A153),1),"")</f>
        <v>46184</v>
      </c>
      <c r="O153" s="29" t="str">
        <f>IFERROR(VLOOKUP($A153,Maestro_Equipos!$A$4:$AG$242,27,FALSE()),"")</f>
        <v/>
      </c>
      <c r="P153" s="30">
        <f ca="1">IFERROR(IF($N153="","",IF(OR($M153="",$M153&lt;$N153),TODAY()-$N153,$M153-$N153)),"")</f>
        <v>13</v>
      </c>
      <c r="Q153" s="30" t="str">
        <f ca="1">IFERROR(IF($O153="","",IF(OR($M153="",$M153&lt;$O153),TODAY()-$O153,$M153-$O153)),"")</f>
        <v/>
      </c>
      <c r="R153" s="28" t="str">
        <f>IF($O153="","SIN SALIDA",IF(OR($M153="",$M153&lt;$O153),"PENDIENTE","REALIZADA"))</f>
        <v>SIN SALIDA</v>
      </c>
      <c r="S153" s="31" t="str">
        <f>IFERROR(VLOOKUP($A153,Maestro_Equipos!$A$4:$AG$242,33,FALSE()),"")</f>
        <v>Hacer seguimiento al taller y cerrar report</v>
      </c>
    </row>
    <row r="154" spans="1:19">
      <c r="A154" t="str" cm="1">
        <f t="array" ref="A154">IFERROR(INDEX(_xlfn._xlws.FILTER(Maestro_Equipos!$A$4:$A$242,Maestro_Equipos!$A$4:$A$242&lt;&gt;""),ROWS($A$4:A154)),"")</f>
        <v>VD-100</v>
      </c>
      <c r="B154" t="str">
        <f>IFERROR(_xlfn.XLOOKUP($A154,Maestro_Equipos!$A$4:$A$242,Maestro_Equipos!$B$4:$B$242,""),"")</f>
        <v>Camioneta</v>
      </c>
      <c r="C154" t="str">
        <f>IFERROR(_xlfn.XLOOKUP($A154,Maestro_Equipos!$A$4:$A$242,Maestro_Equipos!$C$4:$C$242,""),"")</f>
        <v>Vehículos Livianos</v>
      </c>
      <c r="D154" t="str">
        <f>IFERROR(_xlfn.XLOOKUP($A154,Maestro_Equipos!$A:$A,Maestro_Equipos!$I:$I,""),"")</f>
        <v>KM</v>
      </c>
      <c r="E154">
        <f>IFERROR(IF($D154="KM",_xlfn.XLOOKUP($A154,Maestro_Equipos!$A:$A,Maestro_Equipos!$N:$N,""),_xlfn.XLOOKUP($A154,Maestro_Equipos!$A:$A,Maestro_Equipos!$M:$M,"")),"")</f>
        <v>99450</v>
      </c>
      <c r="F154">
        <f>IFERROR(_xlfn.XLOOKUP($A154,Maestro_Equipos!$A:$A,Maestro_Equipos!$R:$R,"")+_xlfn.XLOOKUP($A154,Maestro_Equipos!$A:$A,Maestro_Equipos!$J:$J,""),"")</f>
        <v>114593</v>
      </c>
      <c r="G154">
        <f>IFERROR(_xlfn.XLOOKUP($A154,Maestro_Equipos!$A:$A,Maestro_Equipos!$K:$K,""),"")</f>
        <v>55.5</v>
      </c>
      <c r="H154">
        <f>IFERROR(IF(OR($E154="",$F154="",$G154="",$G154&lt;=0),"",ROUND(($F154-$E154)/$G154,0)),"")</f>
        <v>273</v>
      </c>
      <c r="I154" s="71">
        <f ca="1">IFERROR(IF($H154="","",TODAY()+$H154),"")</f>
        <v>46513</v>
      </c>
      <c r="J154" s="5" t="str">
        <f>IFERROR(INDEX(Maestro_Equipos!$V$4:$V$242,MATCH($A154,Maestro_Equipos!$A$4:$A$242,0)),"")</f>
        <v>Operativo</v>
      </c>
      <c r="K154" s="35">
        <f>IFERROR(
   SUMIFS(Mantenciones!$I:$I,Mantenciones!$B:$B,$A154)
 + SUMIFS('Compras PM'!$F:$F,'Compras PM'!$C:$C,$A154),0)</f>
        <v>0</v>
      </c>
      <c r="L154" s="28" t="str">
        <f>IF($J154="Fuera de Servicio","NO PROGRAMAR",IF($H154="","SIN DATOS",IF($H154&lt;=0,"VENCIDA",IF($H154&lt;=7,"CRÍTICA",IF($H154&lt;=15,"ALTA",IF($H154&lt;=30,"MEDIA","BAJA"))))))</f>
        <v>BAJA</v>
      </c>
      <c r="M154" s="53" cm="1">
        <f t="array" ref="M154">IFERROR(_xlfn.AGGREGATE(14,6,Mantenciones!$A$3:$A$9916/(Mantenciones!$B$3:$B$9916=$A154),1),"")</f>
        <v>46147</v>
      </c>
      <c r="N154" s="29" t="str" cm="1">
        <f t="array" ref="N154">IFERROR(_xlfn.AGGREGATE(14,6,'Compras PM'!$A$4:$A$10029/('Compras PM'!$C$4:$C$10029=$A154),1),"")</f>
        <v/>
      </c>
      <c r="O154" s="29">
        <f>IFERROR(VLOOKUP($A154,Maestro_Equipos!$A$4:$AG$242,27,FALSE()),"")</f>
        <v>46147</v>
      </c>
      <c r="P154" s="30" t="str">
        <f ca="1">IFERROR(IF($N154="","",IF(OR($M154="",$M154&lt;$N154),TODAY()-$N154,$M154-$N154)),"")</f>
        <v/>
      </c>
      <c r="Q154" s="30">
        <f ca="1">IFERROR(IF($O154="","",IF(OR($M154="",$M154&lt;$O154),TODAY()-$O154,$M154-$O154)),"")</f>
        <v>0</v>
      </c>
      <c r="R154" s="28" t="str">
        <f>IF($O154="","SIN SALIDA",IF(OR($M154="",$M154&lt;$O154),"PENDIENTE","REALIZADA"))</f>
        <v>REALIZADA</v>
      </c>
      <c r="S154" s="31" t="str">
        <f>IFERROR(VLOOKUP($A154,Maestro_Equipos!$A$4:$AG$242,33,FALSE()),"")</f>
        <v>Monitorear próximo vencimiento</v>
      </c>
    </row>
    <row r="155" spans="1:19">
      <c r="A155" t="str" cm="1">
        <f t="array" ref="A155">IFERROR(INDEX(_xlfn._xlws.FILTER(Maestro_Equipos!$A$4:$A$242,Maestro_Equipos!$A$4:$A$242&lt;&gt;""),ROWS($A$4:A155)),"")</f>
        <v>VD-101</v>
      </c>
      <c r="B155" t="str">
        <f>IFERROR(_xlfn.XLOOKUP($A155,Maestro_Equipos!$A$4:$A$242,Maestro_Equipos!$B$4:$B$242,""),"")</f>
        <v>Camioneta</v>
      </c>
      <c r="C155" t="str">
        <f>IFERROR(_xlfn.XLOOKUP($A155,Maestro_Equipos!$A$4:$A$242,Maestro_Equipos!$C$4:$C$242,""),"")</f>
        <v>Vehículos Livianos</v>
      </c>
      <c r="D155" t="str">
        <f>IFERROR(_xlfn.XLOOKUP($A155,Maestro_Equipos!$A:$A,Maestro_Equipos!$I:$I,""),"")</f>
        <v>KM</v>
      </c>
      <c r="E155">
        <f>IFERROR(IF($D155="KM",_xlfn.XLOOKUP($A155,Maestro_Equipos!$A:$A,Maestro_Equipos!$N:$N,""),_xlfn.XLOOKUP($A155,Maestro_Equipos!$A:$A,Maestro_Equipos!$M:$M,"")),"")</f>
        <v>116347</v>
      </c>
      <c r="F155">
        <f>IFERROR(_xlfn.XLOOKUP($A155,Maestro_Equipos!$A:$A,Maestro_Equipos!$R:$R,"")+_xlfn.XLOOKUP($A155,Maestro_Equipos!$A:$A,Maestro_Equipos!$J:$J,""),"")</f>
        <v>131347</v>
      </c>
      <c r="G155">
        <f>IFERROR(_xlfn.XLOOKUP($A155,Maestro_Equipos!$A:$A,Maestro_Equipos!$K:$K,""),"")</f>
        <v>131.5</v>
      </c>
      <c r="H155">
        <f>IFERROR(IF(OR($E155="",$F155="",$G155="",$G155&lt;=0),"",ROUND(($F155-$E155)/$G155,0)),"")</f>
        <v>114</v>
      </c>
      <c r="I155" s="71">
        <f ca="1">IFERROR(IF($H155="","",TODAY()+$H155),"")</f>
        <v>46354</v>
      </c>
      <c r="J155" s="5" t="str">
        <f>IFERROR(INDEX(Maestro_Equipos!$V$4:$V$242,MATCH($A155,Maestro_Equipos!$A$4:$A$242,0)),"")</f>
        <v>Operativo</v>
      </c>
      <c r="K155" s="35">
        <f>IFERROR(
   SUMIFS(Mantenciones!$I:$I,Mantenciones!$B:$B,$A155)
 + SUMIFS('Compras PM'!$F:$F,'Compras PM'!$C:$C,$A155),0)</f>
        <v>0</v>
      </c>
      <c r="L155" s="28" t="str">
        <f>IF($J155="Fuera de Servicio","NO PROGRAMAR",IF($H155="","SIN DATOS",IF($H155&lt;=0,"VENCIDA",IF($H155&lt;=7,"CRÍTICA",IF($H155&lt;=15,"ALTA",IF($H155&lt;=30,"MEDIA","BAJA"))))))</f>
        <v>BAJA</v>
      </c>
      <c r="M155" s="53" cm="1">
        <f t="array" ref="M155">IFERROR(_xlfn.AGGREGATE(14,6,Mantenciones!$A$3:$A$9916/(Mantenciones!$B$3:$B$9916=$A155),1),"")</f>
        <v>46161</v>
      </c>
      <c r="N155" s="29" t="str" cm="1">
        <f t="array" ref="N155">IFERROR(_xlfn.AGGREGATE(14,6,'Compras PM'!$A$4:$A$10029/('Compras PM'!$C$4:$C$10029=$A155),1),"")</f>
        <v/>
      </c>
      <c r="O155" s="29">
        <f>IFERROR(VLOOKUP($A155,Maestro_Equipos!$A$4:$AG$242,27,FALSE()),"")</f>
        <v>46161</v>
      </c>
      <c r="P155" s="30" t="str">
        <f ca="1">IFERROR(IF($N155="","",IF(OR($M155="",$M155&lt;$N155),TODAY()-$N155,$M155-$N155)),"")</f>
        <v/>
      </c>
      <c r="Q155" s="30">
        <f ca="1">IFERROR(IF($O155="","",IF(OR($M155="",$M155&lt;$O155),TODAY()-$O155,$M155-$O155)),"")</f>
        <v>0</v>
      </c>
      <c r="R155" s="28" t="str">
        <f>IF($O155="","SIN SALIDA",IF(OR($M155="",$M155&lt;$O155),"PENDIENTE","REALIZADA"))</f>
        <v>REALIZADA</v>
      </c>
      <c r="S155" s="31" t="str">
        <f>IFERROR(VLOOKUP($A155,Maestro_Equipos!$A$4:$AG$242,33,FALSE()),"")</f>
        <v>Monitorear próximo vencimiento</v>
      </c>
    </row>
    <row r="156" spans="1:19">
      <c r="A156" t="str" cm="1">
        <f t="array" ref="A156">IFERROR(INDEX(_xlfn._xlws.FILTER(Maestro_Equipos!$A$4:$A$242,Maestro_Equipos!$A$4:$A$242&lt;&gt;""),ROWS($A$4:A156)),"")</f>
        <v>VD-102</v>
      </c>
      <c r="B156" t="str">
        <f>IFERROR(_xlfn.XLOOKUP($A156,Maestro_Equipos!$A$4:$A$242,Maestro_Equipos!$B$4:$B$242,""),"")</f>
        <v>Camioneta</v>
      </c>
      <c r="C156" t="str">
        <f>IFERROR(_xlfn.XLOOKUP($A156,Maestro_Equipos!$A$4:$A$242,Maestro_Equipos!$C$4:$C$242,""),"")</f>
        <v>Vehículos Livianos</v>
      </c>
      <c r="D156" t="str">
        <f>IFERROR(_xlfn.XLOOKUP($A156,Maestro_Equipos!$A:$A,Maestro_Equipos!$I:$I,""),"")</f>
        <v>KM</v>
      </c>
      <c r="E156">
        <f>IFERROR(IF($D156="KM",_xlfn.XLOOKUP($A156,Maestro_Equipos!$A:$A,Maestro_Equipos!$N:$N,""),_xlfn.XLOOKUP($A156,Maestro_Equipos!$A:$A,Maestro_Equipos!$M:$M,"")),"")</f>
        <v>108622</v>
      </c>
      <c r="F156">
        <f>IFERROR(_xlfn.XLOOKUP($A156,Maestro_Equipos!$A:$A,Maestro_Equipos!$R:$R,"")+_xlfn.XLOOKUP($A156,Maestro_Equipos!$A:$A,Maestro_Equipos!$J:$J,""),"")</f>
        <v>120962</v>
      </c>
      <c r="G156">
        <f>IFERROR(_xlfn.XLOOKUP($A156,Maestro_Equipos!$A:$A,Maestro_Equipos!$K:$K,""),"")</f>
        <v>151.30000000000001</v>
      </c>
      <c r="H156">
        <f>IFERROR(IF(OR($E156="",$F156="",$G156="",$G156&lt;=0),"",ROUND(($F156-$E156)/$G156,0)),"")</f>
        <v>82</v>
      </c>
      <c r="I156" s="71">
        <f ca="1">IFERROR(IF($H156="","",TODAY()+$H156),"")</f>
        <v>46322</v>
      </c>
      <c r="J156" s="5" t="str">
        <f>IFERROR(INDEX(Maestro_Equipos!$V$4:$V$242,MATCH($A156,Maestro_Equipos!$A$4:$A$242,0)),"")</f>
        <v>Taller</v>
      </c>
      <c r="K156" s="35">
        <f>IFERROR(
   SUMIFS(Mantenciones!$I:$I,Mantenciones!$B:$B,$A156)
 + SUMIFS('Compras PM'!$F:$F,'Compras PM'!$C:$C,$A156),0)</f>
        <v>0</v>
      </c>
      <c r="L156" s="28" t="str">
        <f>IF($J156="Fuera de Servicio","NO PROGRAMAR",IF($H156="","SIN DATOS",IF($H156&lt;=0,"VENCIDA",IF($H156&lt;=7,"CRÍTICA",IF($H156&lt;=15,"ALTA",IF($H156&lt;=30,"MEDIA","BAJA"))))))</f>
        <v>BAJA</v>
      </c>
      <c r="M156" s="53" cm="1">
        <f t="array" ref="M156">IFERROR(_xlfn.AGGREGATE(14,6,Mantenciones!$A$3:$A$9916/(Mantenciones!$B$3:$B$9916=$A156),1),"")</f>
        <v>46087</v>
      </c>
      <c r="N156" s="29" t="str" cm="1">
        <f t="array" ref="N156">IFERROR(_xlfn.AGGREGATE(14,6,'Compras PM'!$A$4:$A$10029/('Compras PM'!$C$4:$C$10029=$A156),1),"")</f>
        <v/>
      </c>
      <c r="O156" s="29">
        <f>IFERROR(VLOOKUP($A156,Maestro_Equipos!$A$4:$AG$242,27,FALSE()),"")</f>
        <v>46087</v>
      </c>
      <c r="P156" s="30" t="str">
        <f ca="1">IFERROR(IF($N156="","",IF(OR($M156="",$M156&lt;$N156),TODAY()-$N156,$M156-$N156)),"")</f>
        <v/>
      </c>
      <c r="Q156" s="30">
        <f ca="1">IFERROR(IF($O156="","",IF(OR($M156="",$M156&lt;$O156),TODAY()-$O156,$M156-$O156)),"")</f>
        <v>0</v>
      </c>
      <c r="R156" s="28" t="str">
        <f>IF($O156="","SIN SALIDA",IF(OR($M156="",$M156&lt;$O156),"PENDIENTE","REALIZADA"))</f>
        <v>REALIZADA</v>
      </c>
      <c r="S156" s="31" t="str">
        <f>IFERROR(VLOOKUP($A156,Maestro_Equipos!$A$4:$AG$242,33,FALSE()),"")</f>
        <v>Monitorear próximo vencimiento</v>
      </c>
    </row>
    <row r="157" spans="1:19">
      <c r="A157" t="str" cm="1">
        <f t="array" ref="A157">IFERROR(INDEX(_xlfn._xlws.FILTER(Maestro_Equipos!$A$4:$A$242,Maestro_Equipos!$A$4:$A$242&lt;&gt;""),ROWS($A$4:A157)),"")</f>
        <v>VD-103</v>
      </c>
      <c r="B157" t="str">
        <f>IFERROR(_xlfn.XLOOKUP($A157,Maestro_Equipos!$A$4:$A$242,Maestro_Equipos!$B$4:$B$242,""),"")</f>
        <v>Camioneta</v>
      </c>
      <c r="C157" t="str">
        <f>IFERROR(_xlfn.XLOOKUP($A157,Maestro_Equipos!$A$4:$A$242,Maestro_Equipos!$C$4:$C$242,""),"")</f>
        <v>Vehículos Livianos</v>
      </c>
      <c r="D157" t="str">
        <f>IFERROR(_xlfn.XLOOKUP($A157,Maestro_Equipos!$A:$A,Maestro_Equipos!$I:$I,""),"")</f>
        <v>KM</v>
      </c>
      <c r="E157">
        <f>IFERROR(IF($D157="KM",_xlfn.XLOOKUP($A157,Maestro_Equipos!$A:$A,Maestro_Equipos!$N:$N,""),_xlfn.XLOOKUP($A157,Maestro_Equipos!$A:$A,Maestro_Equipos!$M:$M,"")),"")</f>
        <v>81467</v>
      </c>
      <c r="F157" t="str">
        <f>IFERROR(_xlfn.XLOOKUP($A157,Maestro_Equipos!$A:$A,Maestro_Equipos!$R:$R,"")+_xlfn.XLOOKUP($A157,Maestro_Equipos!$A:$A,Maestro_Equipos!$J:$J,""),"")</f>
        <v/>
      </c>
      <c r="G157">
        <f>IFERROR(_xlfn.XLOOKUP($A157,Maestro_Equipos!$A:$A,Maestro_Equipos!$K:$K,""),"")</f>
        <v>144.69999999999999</v>
      </c>
      <c r="H157" t="str">
        <f>IFERROR(IF(OR($E157="",$F157="",$G157="",$G157&lt;=0),"",ROUND(($F157-$E157)/$G157,0)),"")</f>
        <v/>
      </c>
      <c r="I157" s="71" t="str">
        <f ca="1">IFERROR(IF($H157="","",TODAY()+$H157),"")</f>
        <v/>
      </c>
      <c r="J157" s="5" t="str">
        <f>IFERROR(INDEX(Maestro_Equipos!$V$4:$V$242,MATCH($A157,Maestro_Equipos!$A$4:$A$242,0)),"")</f>
        <v>Operativo</v>
      </c>
      <c r="K157" s="35">
        <f>IFERROR(
   SUMIFS(Mantenciones!$I:$I,Mantenciones!$B:$B,$A157)
 + SUMIFS('Compras PM'!$F:$F,'Compras PM'!$C:$C,$A157),0)</f>
        <v>0</v>
      </c>
      <c r="L157" s="28" t="str">
        <f>IF($J157="Fuera de Servicio","NO PROGRAMAR",IF($H157="","SIN DATOS",IF($H157&lt;=0,"VENCIDA",IF($H157&lt;=7,"CRÍTICA",IF($H157&lt;=15,"ALTA",IF($H157&lt;=30,"MEDIA","BAJA"))))))</f>
        <v>SIN DATOS</v>
      </c>
      <c r="M157" s="53" t="str" cm="1">
        <f t="array" ref="M157">IFERROR(_xlfn.AGGREGATE(14,6,Mantenciones!$A$3:$A$9916/(Mantenciones!$B$3:$B$9916=$A157),1),"")</f>
        <v/>
      </c>
      <c r="N157" s="29" t="str" cm="1">
        <f t="array" ref="N157">IFERROR(_xlfn.AGGREGATE(14,6,'Compras PM'!$A$4:$A$10029/('Compras PM'!$C$4:$C$10029=$A157),1),"")</f>
        <v/>
      </c>
      <c r="O157" s="29">
        <f>IFERROR(VLOOKUP($A157,Maestro_Equipos!$A$4:$AG$242,27,FALSE()),"")</f>
        <v>46118</v>
      </c>
      <c r="P157" s="30" t="str">
        <f ca="1">IFERROR(IF($N157="","",IF(OR($M157="",$M157&lt;$N157),TODAY()-$N157,$M157-$N157)),"")</f>
        <v/>
      </c>
      <c r="Q157" s="30">
        <f ca="1">IFERROR(IF($O157="","",IF(OR($M157="",$M157&lt;$O157),TODAY()-$O157,$M157-$O157)),"")</f>
        <v>122</v>
      </c>
      <c r="R157" s="28" t="str">
        <f>IF($O157="","SIN SALIDA",IF(OR($M157="",$M157&lt;$O157),"PENDIENTE","REALIZADA"))</f>
        <v>PENDIENTE</v>
      </c>
      <c r="S157" s="31" t="str">
        <f>IFERROR(VLOOKUP($A157,Maestro_Equipos!$A$4:$AG$242,33,FALSE()),"")</f>
        <v>Monitorear próximo vencimiento</v>
      </c>
    </row>
    <row r="158" spans="1:19">
      <c r="A158" t="str" cm="1">
        <f t="array" ref="A158">IFERROR(INDEX(_xlfn._xlws.FILTER(Maestro_Equipos!$A$4:$A$242,Maestro_Equipos!$A$4:$A$242&lt;&gt;""),ROWS($A$4:A158)),"")</f>
        <v>VD-105</v>
      </c>
      <c r="B158" t="str">
        <f>IFERROR(_xlfn.XLOOKUP($A158,Maestro_Equipos!$A$4:$A$242,Maestro_Equipos!$B$4:$B$242,""),"")</f>
        <v>Camioneta</v>
      </c>
      <c r="C158" t="str">
        <f>IFERROR(_xlfn.XLOOKUP($A158,Maestro_Equipos!$A$4:$A$242,Maestro_Equipos!$C$4:$C$242,""),"")</f>
        <v>Vehículos Livianos</v>
      </c>
      <c r="D158" t="str">
        <f>IFERROR(_xlfn.XLOOKUP($A158,Maestro_Equipos!$A:$A,Maestro_Equipos!$I:$I,""),"")</f>
        <v>KM</v>
      </c>
      <c r="E158">
        <f>IFERROR(IF($D158="KM",_xlfn.XLOOKUP($A158,Maestro_Equipos!$A:$A,Maestro_Equipos!$N:$N,""),_xlfn.XLOOKUP($A158,Maestro_Equipos!$A:$A,Maestro_Equipos!$M:$M,"")),"")</f>
        <v>246005</v>
      </c>
      <c r="F158" t="str">
        <f>IFERROR(_xlfn.XLOOKUP($A158,Maestro_Equipos!$A:$A,Maestro_Equipos!$R:$R,"")+_xlfn.XLOOKUP($A158,Maestro_Equipos!$A:$A,Maestro_Equipos!$J:$J,""),"")</f>
        <v/>
      </c>
      <c r="G158">
        <f>IFERROR(_xlfn.XLOOKUP($A158,Maestro_Equipos!$A:$A,Maestro_Equipos!$K:$K,""),"")</f>
        <v>4947.8</v>
      </c>
      <c r="H158" t="str">
        <f>IFERROR(IF(OR($E158="",$F158="",$G158="",$G158&lt;=0),"",ROUND(($F158-$E158)/$G158,0)),"")</f>
        <v/>
      </c>
      <c r="I158" s="71" t="str">
        <f ca="1">IFERROR(IF($H158="","",TODAY()+$H158),"")</f>
        <v/>
      </c>
      <c r="J158" s="5" t="str">
        <f>IFERROR(INDEX(Maestro_Equipos!$V$4:$V$242,MATCH($A158,Maestro_Equipos!$A$4:$A$242,0)),"")</f>
        <v>Fuera de Servicio</v>
      </c>
      <c r="K158" s="35">
        <f>IFERROR(
   SUMIFS(Mantenciones!$I:$I,Mantenciones!$B:$B,$A158)
 + SUMIFS('Compras PM'!$F:$F,'Compras PM'!$C:$C,$A158),0)</f>
        <v>0</v>
      </c>
      <c r="L158" s="28" t="str">
        <f>IF($J158="Fuera de Servicio","NO PROGRAMAR",IF($H158="","SIN DATOS",IF($H158&lt;=0,"VENCIDA",IF($H158&lt;=7,"CRÍTICA",IF($H158&lt;=15,"ALTA",IF($H158&lt;=30,"MEDIA","BAJA"))))))</f>
        <v>NO PROGRAMAR</v>
      </c>
      <c r="M158" s="53" t="str" cm="1">
        <f t="array" ref="M158">IFERROR(_xlfn.AGGREGATE(14,6,Mantenciones!$A$3:$A$9916/(Mantenciones!$B$3:$B$9916=$A158),1),"")</f>
        <v/>
      </c>
      <c r="N158" s="29" t="str" cm="1">
        <f t="array" ref="N158">IFERROR(_xlfn.AGGREGATE(14,6,'Compras PM'!$A$4:$A$10029/('Compras PM'!$C$4:$C$10029=$A158),1),"")</f>
        <v/>
      </c>
      <c r="O158" s="29" t="str">
        <f>IFERROR(VLOOKUP($A158,Maestro_Equipos!$A$4:$AG$242,27,FALSE()),"")</f>
        <v/>
      </c>
      <c r="P158" s="30" t="str">
        <f ca="1">IFERROR(IF($N158="","",IF(OR($M158="",$M158&lt;$N158),TODAY()-$N158,$M158-$N158)),"")</f>
        <v/>
      </c>
      <c r="Q158" s="30" t="str">
        <f ca="1">IFERROR(IF($O158="","",IF(OR($M158="",$M158&lt;$O158),TODAY()-$O158,$M158-$O158)),"")</f>
        <v/>
      </c>
      <c r="R158" s="28" t="str">
        <f>IF($O158="","SIN SALIDA",IF(OR($M158="",$M158&lt;$O158),"PENDIENTE","REALIZADA"))</f>
        <v>SIN SALIDA</v>
      </c>
      <c r="S158" s="31" t="str">
        <f>IFERROR(VLOOKUP($A158,Maestro_Equipos!$A$4:$AG$242,33,FALSE()),"")</f>
        <v>No programar compra</v>
      </c>
    </row>
    <row r="159" spans="1:19">
      <c r="A159" t="str" cm="1">
        <f t="array" ref="A159">IFERROR(INDEX(_xlfn._xlws.FILTER(Maestro_Equipos!$A$4:$A$242,Maestro_Equipos!$A$4:$A$242&lt;&gt;""),ROWS($A$4:A159)),"")</f>
        <v>VD-106</v>
      </c>
      <c r="B159" t="str">
        <f>IFERROR(_xlfn.XLOOKUP($A159,Maestro_Equipos!$A$4:$A$242,Maestro_Equipos!$B$4:$B$242,""),"")</f>
        <v>Camioneta</v>
      </c>
      <c r="C159" t="str">
        <f>IFERROR(_xlfn.XLOOKUP($A159,Maestro_Equipos!$A$4:$A$242,Maestro_Equipos!$C$4:$C$242,""),"")</f>
        <v>Vehículos Livianos</v>
      </c>
      <c r="D159" t="str">
        <f>IFERROR(_xlfn.XLOOKUP($A159,Maestro_Equipos!$A:$A,Maestro_Equipos!$I:$I,""),"")</f>
        <v>KM</v>
      </c>
      <c r="E159">
        <f>IFERROR(IF($D159="KM",_xlfn.XLOOKUP($A159,Maestro_Equipos!$A:$A,Maestro_Equipos!$N:$N,""),_xlfn.XLOOKUP($A159,Maestro_Equipos!$A:$A,Maestro_Equipos!$M:$M,"")),"")</f>
        <v>66902</v>
      </c>
      <c r="F159" t="str">
        <f>IFERROR(_xlfn.XLOOKUP($A159,Maestro_Equipos!$A:$A,Maestro_Equipos!$R:$R,"")+_xlfn.XLOOKUP($A159,Maestro_Equipos!$A:$A,Maestro_Equipos!$J:$J,""),"")</f>
        <v/>
      </c>
      <c r="G159">
        <f>IFERROR(_xlfn.XLOOKUP($A159,Maestro_Equipos!$A:$A,Maestro_Equipos!$K:$K,""),"")</f>
        <v>0</v>
      </c>
      <c r="H159" t="str">
        <f>IFERROR(IF(OR($E159="",$F159="",$G159="",$G159&lt;=0),"",ROUND(($F159-$E159)/$G159,0)),"")</f>
        <v/>
      </c>
      <c r="I159" s="71" t="str">
        <f ca="1">IFERROR(IF($H159="","",TODAY()+$H159),"")</f>
        <v/>
      </c>
      <c r="J159" s="5" t="str">
        <f>IFERROR(INDEX(Maestro_Equipos!$V$4:$V$242,MATCH($A159,Maestro_Equipos!$A$4:$A$242,0)),"")</f>
        <v>Fuera de Servicio</v>
      </c>
      <c r="K159" s="35">
        <f>IFERROR(
   SUMIFS(Mantenciones!$I:$I,Mantenciones!$B:$B,$A159)
 + SUMIFS('Compras PM'!$F:$F,'Compras PM'!$C:$C,$A159),0)</f>
        <v>0</v>
      </c>
      <c r="L159" s="28" t="str">
        <f>IF($J159="Fuera de Servicio","NO PROGRAMAR",IF($H159="","SIN DATOS",IF($H159&lt;=0,"VENCIDA",IF($H159&lt;=7,"CRÍTICA",IF($H159&lt;=15,"ALTA",IF($H159&lt;=30,"MEDIA","BAJA"))))))</f>
        <v>NO PROGRAMAR</v>
      </c>
      <c r="M159" s="53" t="str" cm="1">
        <f t="array" ref="M159">IFERROR(_xlfn.AGGREGATE(14,6,Mantenciones!$A$3:$A$9916/(Mantenciones!$B$3:$B$9916=$A159),1),"")</f>
        <v/>
      </c>
      <c r="N159" s="29" t="str" cm="1">
        <f t="array" ref="N159">IFERROR(_xlfn.AGGREGATE(14,6,'Compras PM'!$A$4:$A$10029/('Compras PM'!$C$4:$C$10029=$A159),1),"")</f>
        <v/>
      </c>
      <c r="O159" s="29" t="str">
        <f>IFERROR(VLOOKUP($A159,Maestro_Equipos!$A$4:$AG$242,27,FALSE()),"")</f>
        <v/>
      </c>
      <c r="P159" s="30" t="str">
        <f ca="1">IFERROR(IF($N159="","",IF(OR($M159="",$M159&lt;$N159),TODAY()-$N159,$M159-$N159)),"")</f>
        <v/>
      </c>
      <c r="Q159" s="30" t="str">
        <f ca="1">IFERROR(IF($O159="","",IF(OR($M159="",$M159&lt;$O159),TODAY()-$O159,$M159-$O159)),"")</f>
        <v/>
      </c>
      <c r="R159" s="28" t="str">
        <f>IF($O159="","SIN SALIDA",IF(OR($M159="",$M159&lt;$O159),"PENDIENTE","REALIZADA"))</f>
        <v>SIN SALIDA</v>
      </c>
      <c r="S159" s="31" t="str">
        <f>IFERROR(VLOOKUP($A159,Maestro_Equipos!$A$4:$AG$242,33,FALSE()),"")</f>
        <v>No programar compra</v>
      </c>
    </row>
    <row r="160" spans="1:19">
      <c r="A160" s="61" t="str" cm="1">
        <f t="array" ref="A160">IFERROR(INDEX(_xlfn._xlws.FILTER(Maestro_Equipos!$A$4:$A$242,Maestro_Equipos!$A$4:$A$242&lt;&gt;""),ROWS($A$4:A160)),"")</f>
        <v>VD-107</v>
      </c>
      <c r="B160" s="61" t="str">
        <f>IFERROR(_xlfn.XLOOKUP($A160,Maestro_Equipos!$A$4:$A$242,Maestro_Equipos!$B$4:$B$242,""),"")</f>
        <v>Camioneta</v>
      </c>
      <c r="C160" s="61" t="str">
        <f>IFERROR(_xlfn.XLOOKUP($A160,Maestro_Equipos!$A$4:$A$242,Maestro_Equipos!$C$4:$C$242,""),"")</f>
        <v>Vehículos Livianos</v>
      </c>
      <c r="D160" s="61" t="str">
        <f>IFERROR(VLOOKUP($A157,Maestro_Equipos!$A$4:$Z$242,9,FALSE),"")</f>
        <v>KM</v>
      </c>
      <c r="E160" s="61">
        <f>IFERROR(IF($D160="KM",_xlfn.XLOOKUP($A160,Maestro_Equipos!$A:$A,Maestro_Equipos!$N:$N,""),_xlfn.XLOOKUP($A160,Maestro_Equipos!$A:$A,Maestro_Equipos!$M:$M,"")),"")</f>
        <v>82711</v>
      </c>
      <c r="F160" s="61">
        <f>IFERROR(_xlfn.XLOOKUP($A160,Maestro_Equipos!$A:$A,Maestro_Equipos!$R:$R,"")+_xlfn.XLOOKUP($A160,Maestro_Equipos!$A:$A,Maestro_Equipos!$J:$J,""),"")</f>
        <v>108023</v>
      </c>
      <c r="G160" s="61">
        <f>IFERROR(_xlfn.XLOOKUP($A160,Maestro_Equipos!$A:$A,Maestro_Equipos!$K:$K,""),"")</f>
        <v>149.9</v>
      </c>
      <c r="H160" s="61">
        <f>IFERROR(IF(OR($E160="",$F160="",$G160="",$G160&lt;=0),"",ROUND(($F160-$E160)/$G160,0)),"")</f>
        <v>169</v>
      </c>
      <c r="I160" s="62">
        <f ca="1">IFERROR(IF($H160="","",TODAY()+$H160),"")</f>
        <v>46409</v>
      </c>
      <c r="J160" s="63" t="str">
        <f>IFERROR(INDEX(Maestro_Equipos!$V$4:$V$242,MATCH($A160,Maestro_Equipos!$A$4:$A$242,0)),"")</f>
        <v>Operativo</v>
      </c>
      <c r="K160" s="64">
        <f>IFERROR(
   SUMIFS(Mantenciones!$I:$I,Mantenciones!$B:$B,$A160)
 + SUMIFS('Compras PM'!$F:$F,'Compras PM'!$C:$C,$A160),0)</f>
        <v>962755.61</v>
      </c>
      <c r="L160" s="65" t="str">
        <f>IF($J160="Fuera de Servicio","NO PROGRAMAR",IF($H160="","SIN DATOS",IF($H160&lt;=0,"VENCIDA",IF($H160&lt;=7,"CRÍTICA",IF($H160&lt;=15,"ALTA",IF($H160&lt;=30,"MEDIA","BAJA"))))))</f>
        <v>BAJA</v>
      </c>
      <c r="M160" s="66" cm="1">
        <f t="array" ref="M160">IFERROR(_xlfn.AGGREGATE(14,6,Mantenciones!$A$3:$A$9916/(Mantenciones!$B$3:$B$9916=$A160),1),"")</f>
        <v>46234</v>
      </c>
      <c r="N160" s="67" cm="1">
        <f t="array" ref="N160">IFERROR(_xlfn.AGGREGATE(14,6,'Compras PM'!$A$4:$A$10029/('Compras PM'!$C$4:$C$10029=$A160),1),"")</f>
        <v>46174</v>
      </c>
      <c r="O160" s="67" t="str">
        <f>IFERROR(VLOOKUP($A160,Maestro_Equipos!$A$4:$AG$242,27,FALSE()),"")</f>
        <v/>
      </c>
      <c r="P160" s="68">
        <f ca="1">IFERROR(IF($N160="","",IF(OR($M160="",$M160&lt;$N160),TODAY()-$N160,$M160-$N160)),"")</f>
        <v>60</v>
      </c>
      <c r="Q160" s="68" t="str">
        <f ca="1">IFERROR(IF($O160="","",IF(OR($M160="",$M160&lt;$O160),TODAY()-$O160,$M160-$O160)),"")</f>
        <v/>
      </c>
      <c r="R160" s="65" t="str">
        <f>IF($O160="","SIN SALIDA",IF(OR($M160="",$M160&lt;$O160),"PENDIENTE","REALIZADA"))</f>
        <v>SIN SALIDA</v>
      </c>
      <c r="S160" s="69" t="str">
        <f>IFERROR(VLOOKUP($A160,Maestro_Equipos!$A$4:$AG$242,33,FALSE()),"")</f>
        <v>Hacer seguimiento al taller y cerrar report</v>
      </c>
    </row>
    <row r="161" spans="1:19">
      <c r="A161" t="str" cm="1">
        <f t="array" ref="A161">IFERROR(INDEX(_xlfn._xlws.FILTER(Maestro_Equipos!$A$4:$A$242,Maestro_Equipos!$A$4:$A$242&lt;&gt;""),ROWS($A$4:A161)),"")</f>
        <v>VD-108</v>
      </c>
      <c r="B161" t="str">
        <f>IFERROR(_xlfn.XLOOKUP($A161,Maestro_Equipos!$A$4:$A$242,Maestro_Equipos!$B$4:$B$242,""),"")</f>
        <v>Camioneta</v>
      </c>
      <c r="C161" t="str">
        <f>IFERROR(_xlfn.XLOOKUP($A161,Maestro_Equipos!$A$4:$A$242,Maestro_Equipos!$C$4:$C$242,""),"")</f>
        <v>Vehículos Livianos</v>
      </c>
      <c r="D161" t="str">
        <f>IFERROR(_xlfn.XLOOKUP($A161,Maestro_Equipos!$A:$A,Maestro_Equipos!$I:$I,""),"")</f>
        <v>KM</v>
      </c>
      <c r="E161">
        <f>IFERROR(IF($D161="KM",_xlfn.XLOOKUP($A161,Maestro_Equipos!$A:$A,Maestro_Equipos!$N:$N,""),_xlfn.XLOOKUP($A161,Maestro_Equipos!$A:$A,Maestro_Equipos!$M:$M,"")),"")</f>
        <v>90200</v>
      </c>
      <c r="F161">
        <f>IFERROR(_xlfn.XLOOKUP($A161,Maestro_Equipos!$A:$A,Maestro_Equipos!$R:$R,"")+_xlfn.XLOOKUP($A161,Maestro_Equipos!$A:$A,Maestro_Equipos!$J:$J,""),"")</f>
        <v>105200</v>
      </c>
      <c r="G161">
        <f>IFERROR(_xlfn.XLOOKUP($A161,Maestro_Equipos!$A:$A,Maestro_Equipos!$K:$K,""),"")</f>
        <v>250</v>
      </c>
      <c r="H161">
        <f>IFERROR(IF(OR($E161="",$F161="",$G161="",$G161&lt;=0),"",ROUND(($F161-$E161)/$G161,0)),"")</f>
        <v>60</v>
      </c>
      <c r="I161" s="71">
        <f ca="1">IFERROR(IF($H161="","",TODAY()+$H161),"")</f>
        <v>46300</v>
      </c>
      <c r="J161" s="5" t="str">
        <f>IFERROR(INDEX(Maestro_Equipos!$V$4:$V$242,MATCH($A161,Maestro_Equipos!$A$4:$A$242,0)),"")</f>
        <v>Taller</v>
      </c>
      <c r="K161" s="35">
        <f>IFERROR(
   SUMIFS(Mantenciones!$I:$I,Mantenciones!$B:$B,$A161)
 + SUMIFS('Compras PM'!$F:$F,'Compras PM'!$C:$C,$A161),0)</f>
        <v>140899.69</v>
      </c>
      <c r="L161" s="28" t="str">
        <f>IF($J161="Fuera de Servicio","NO PROGRAMAR",IF($H161="","SIN DATOS",IF($H161&lt;=0,"VENCIDA",IF($H161&lt;=7,"CRÍTICA",IF($H161&lt;=15,"ALTA",IF($H161&lt;=30,"MEDIA","BAJA"))))))</f>
        <v>BAJA</v>
      </c>
      <c r="M161" s="53" cm="1">
        <f t="array" ref="M161">IFERROR(_xlfn.AGGREGATE(14,6,Mantenciones!$A$3:$A$9916/(Mantenciones!$B$3:$B$9916=$A161),1),"")</f>
        <v>46118</v>
      </c>
      <c r="N161" s="29" cm="1">
        <f t="array" ref="N161">IFERROR(_xlfn.AGGREGATE(14,6,'Compras PM'!$A$4:$A$10029/('Compras PM'!$C$4:$C$10029=$A161),1),"")</f>
        <v>46174</v>
      </c>
      <c r="O161" s="29" t="str">
        <f>IFERROR(VLOOKUP($A161,Maestro_Equipos!$A$4:$AG$242,27,FALSE()),"")</f>
        <v/>
      </c>
      <c r="P161" s="30">
        <f ca="1">IFERROR(IF($N161="","",IF(OR($M161="",$M161&lt;$N161),TODAY()-$N161,$M161-$N161)),"")</f>
        <v>66</v>
      </c>
      <c r="Q161" s="30" t="str">
        <f ca="1">IFERROR(IF($O161="","",IF(OR($M161="",$M161&lt;$O161),TODAY()-$O161,$M161-$O161)),"")</f>
        <v/>
      </c>
      <c r="R161" s="28" t="str">
        <f>IF($O161="","SIN SALIDA",IF(OR($M161="",$M161&lt;$O161),"PENDIENTE","REALIZADA"))</f>
        <v>SIN SALIDA</v>
      </c>
      <c r="S161" s="31" t="str">
        <f>IFERROR(VLOOKUP($A161,Maestro_Equipos!$A$4:$AG$242,33,FALSE()),"")</f>
        <v>Monitorear próximo vencimiento</v>
      </c>
    </row>
    <row r="162" spans="1:19">
      <c r="A162" t="str" cm="1">
        <f t="array" ref="A162">IFERROR(INDEX(_xlfn._xlws.FILTER(Maestro_Equipos!$A$4:$A$242,Maestro_Equipos!$A$4:$A$242&lt;&gt;""),ROWS($A$4:A162)),"")</f>
        <v>VD-109</v>
      </c>
      <c r="B162" t="str">
        <f>IFERROR(_xlfn.XLOOKUP($A162,Maestro_Equipos!$A$4:$A$242,Maestro_Equipos!$B$4:$B$242,""),"")</f>
        <v>Camioneta</v>
      </c>
      <c r="C162" t="str">
        <f>IFERROR(_xlfn.XLOOKUP($A162,Maestro_Equipos!$A$4:$A$242,Maestro_Equipos!$C$4:$C$242,""),"")</f>
        <v>Vehículos Livianos</v>
      </c>
      <c r="D162" t="str">
        <f>IFERROR(_xlfn.XLOOKUP($A162,Maestro_Equipos!$A:$A,Maestro_Equipos!$I:$I,""),"")</f>
        <v>KM</v>
      </c>
      <c r="E162">
        <f>IFERROR(IF($D162="KM",_xlfn.XLOOKUP($A162,Maestro_Equipos!$A:$A,Maestro_Equipos!$N:$N,""),_xlfn.XLOOKUP($A162,Maestro_Equipos!$A:$A,Maestro_Equipos!$M:$M,"")),"")</f>
        <v>115335</v>
      </c>
      <c r="F162">
        <f>IFERROR(_xlfn.XLOOKUP($A162,Maestro_Equipos!$A:$A,Maestro_Equipos!$R:$R,"")+_xlfn.XLOOKUP($A162,Maestro_Equipos!$A:$A,Maestro_Equipos!$J:$J,""),"")</f>
        <v>122210</v>
      </c>
      <c r="G162">
        <f>IFERROR(_xlfn.XLOOKUP($A162,Maestro_Equipos!$A:$A,Maestro_Equipos!$K:$K,""),"")</f>
        <v>152.80000000000001</v>
      </c>
      <c r="H162">
        <f>IFERROR(IF(OR($E162="",$F162="",$G162="",$G162&lt;=0),"",ROUND(($F162-$E162)/$G162,0)),"")</f>
        <v>45</v>
      </c>
      <c r="I162" s="71">
        <f ca="1">IFERROR(IF($H162="","",TODAY()+$H162),"")</f>
        <v>46285</v>
      </c>
      <c r="J162" s="5" t="str">
        <f>IFERROR(INDEX(Maestro_Equipos!$V$4:$V$242,MATCH($A162,Maestro_Equipos!$A$4:$A$242,0)),"")</f>
        <v>Operativo</v>
      </c>
      <c r="K162" s="35">
        <f>IFERROR(
   SUMIFS(Mantenciones!$I:$I,Mantenciones!$B:$B,$A162)
 + SUMIFS('Compras PM'!$F:$F,'Compras PM'!$C:$C,$A162),0)</f>
        <v>436716.66</v>
      </c>
      <c r="L162" s="28" t="str">
        <f>IF($J162="Fuera de Servicio","NO PROGRAMAR",IF($H162="","SIN DATOS",IF($H162&lt;=0,"VENCIDA",IF($H162&lt;=7,"CRÍTICA",IF($H162&lt;=15,"ALTA",IF($H162&lt;=30,"MEDIA","BAJA"))))))</f>
        <v>BAJA</v>
      </c>
      <c r="M162" s="53" cm="1">
        <f t="array" ref="M162">IFERROR(_xlfn.AGGREGATE(14,6,Mantenciones!$A$3:$A$9916/(Mantenciones!$B$3:$B$9916=$A162),1),"")</f>
        <v>46094</v>
      </c>
      <c r="N162" s="29" cm="1">
        <f t="array" ref="N162">IFERROR(_xlfn.AGGREGATE(14,6,'Compras PM'!$A$4:$A$10029/('Compras PM'!$C$4:$C$10029=$A162),1),"")</f>
        <v>46174</v>
      </c>
      <c r="O162" s="29" t="str">
        <f>IFERROR(VLOOKUP($A162,Maestro_Equipos!$A$4:$AG$242,27,FALSE()),"")</f>
        <v/>
      </c>
      <c r="P162" s="30">
        <f ca="1">IFERROR(IF($N162="","",IF(OR($M162="",$M162&lt;$N162),TODAY()-$N162,$M162-$N162)),"")</f>
        <v>66</v>
      </c>
      <c r="Q162" s="30" t="str">
        <f ca="1">IFERROR(IF($O162="","",IF(OR($M162="",$M162&lt;$O162),TODAY()-$O162,$M162-$O162)),"")</f>
        <v/>
      </c>
      <c r="R162" s="28" t="str">
        <f>IF($O162="","SIN SALIDA",IF(OR($M162="",$M162&lt;$O162),"PENDIENTE","REALIZADA"))</f>
        <v>SIN SALIDA</v>
      </c>
      <c r="S162" s="31" t="str">
        <f>IFERROR(VLOOKUP($A162,Maestro_Equipos!$A$4:$AG$242,33,FALSE()),"")</f>
        <v>Hacer seguimiento al taller y cerrar report</v>
      </c>
    </row>
    <row r="163" spans="1:19">
      <c r="A163" t="str" cm="1">
        <f t="array" ref="A163">IFERROR(INDEX(_xlfn._xlws.FILTER(Maestro_Equipos!$A$4:$A$242,Maestro_Equipos!$A$4:$A$242&lt;&gt;""),ROWS($A$4:A163)),"")</f>
        <v>VD-110</v>
      </c>
      <c r="B163" t="str">
        <f>IFERROR(_xlfn.XLOOKUP($A163,Maestro_Equipos!$A$4:$A$242,Maestro_Equipos!$B$4:$B$242,""),"")</f>
        <v>Camioneta</v>
      </c>
      <c r="C163" t="str">
        <f>IFERROR(_xlfn.XLOOKUP($A163,Maestro_Equipos!$A$4:$A$242,Maestro_Equipos!$C$4:$C$242,""),"")</f>
        <v>Vehículos Livianos</v>
      </c>
      <c r="D163" t="str">
        <f>IFERROR(_xlfn.XLOOKUP($A163,Maestro_Equipos!$A:$A,Maestro_Equipos!$I:$I,""),"")</f>
        <v>KM</v>
      </c>
      <c r="E163">
        <f>IFERROR(IF($D163="KM",_xlfn.XLOOKUP($A163,Maestro_Equipos!$A:$A,Maestro_Equipos!$N:$N,""),_xlfn.XLOOKUP($A163,Maestro_Equipos!$A:$A,Maestro_Equipos!$M:$M,"")),"")</f>
        <v>98245</v>
      </c>
      <c r="F163">
        <f>IFERROR(_xlfn.XLOOKUP($A163,Maestro_Equipos!$A:$A,Maestro_Equipos!$R:$R,"")+_xlfn.XLOOKUP($A163,Maestro_Equipos!$A:$A,Maestro_Equipos!$J:$J,""),"")</f>
        <v>100000</v>
      </c>
      <c r="G163">
        <f>IFERROR(_xlfn.XLOOKUP($A163,Maestro_Equipos!$A:$A,Maestro_Equipos!$K:$K,""),"")</f>
        <v>161.80000000000001</v>
      </c>
      <c r="H163">
        <f>IFERROR(IF(OR($E163="",$F163="",$G163="",$G163&lt;=0),"",ROUND(($F163-$E163)/$G163,0)),"")</f>
        <v>11</v>
      </c>
      <c r="I163" s="71">
        <f ca="1">IFERROR(IF($H163="","",TODAY()+$H163),"")</f>
        <v>46251</v>
      </c>
      <c r="J163" s="5" t="str">
        <f>IFERROR(INDEX(Maestro_Equipos!$V$4:$V$242,MATCH($A163,Maestro_Equipos!$A$4:$A$242,0)),"")</f>
        <v>Operativo</v>
      </c>
      <c r="K163" s="35">
        <f>IFERROR(
   SUMIFS(Mantenciones!$I:$I,Mantenciones!$B:$B,$A163)
 + SUMIFS('Compras PM'!$F:$F,'Compras PM'!$C:$C,$A163),0)</f>
        <v>23899.98</v>
      </c>
      <c r="L163" s="28" t="str">
        <f>IF($J163="Fuera de Servicio","NO PROGRAMAR",IF($H163="","SIN DATOS",IF($H163&lt;=0,"VENCIDA",IF($H163&lt;=7,"CRÍTICA",IF($H163&lt;=15,"ALTA",IF($H163&lt;=30,"MEDIA","BAJA"))))))</f>
        <v>ALTA</v>
      </c>
      <c r="M163" s="53" cm="1">
        <f t="array" ref="M163">IFERROR(_xlfn.AGGREGATE(14,6,Mantenciones!$A$3:$A$9916/(Mantenciones!$B$3:$B$9916=$A163),1),"")</f>
        <v>46099</v>
      </c>
      <c r="N163" s="29" cm="1">
        <f t="array" ref="N163">IFERROR(_xlfn.AGGREGATE(14,6,'Compras PM'!$A$4:$A$10029/('Compras PM'!$C$4:$C$10029=$A163),1),"")</f>
        <v>46161.3715812847</v>
      </c>
      <c r="O163" s="29" t="str">
        <f>IFERROR(VLOOKUP($A163,Maestro_Equipos!$A$4:$AG$242,27,FALSE()),"")</f>
        <v/>
      </c>
      <c r="P163" s="30">
        <f ca="1">IFERROR(IF($N163="","",IF(OR($M163="",$M163&lt;$N163),TODAY()-$N163,$M163-$N163)),"")</f>
        <v>78.628418715299631</v>
      </c>
      <c r="Q163" s="30" t="str">
        <f ca="1">IFERROR(IF($O163="","",IF(OR($M163="",$M163&lt;$O163),TODAY()-$O163,$M163-$O163)),"")</f>
        <v/>
      </c>
      <c r="R163" s="28" t="str">
        <f>IF($O163="","SIN SALIDA",IF(OR($M163="",$M163&lt;$O163),"PENDIENTE","REALIZADA"))</f>
        <v>SIN SALIDA</v>
      </c>
      <c r="S163" s="31" t="str">
        <f>IFERROR(VLOOKUP($A163,Maestro_Equipos!$A$4:$AG$242,33,FALSE()),"")</f>
        <v>Hacer seguimiento al taller y cerrar report</v>
      </c>
    </row>
    <row r="164" spans="1:19">
      <c r="A164" t="str" cm="1">
        <f t="array" ref="A164">IFERROR(INDEX(_xlfn._xlws.FILTER(Maestro_Equipos!$A$4:$A$242,Maestro_Equipos!$A$4:$A$242&lt;&gt;""),ROWS($A$4:A164)),"")</f>
        <v>VD-111</v>
      </c>
      <c r="B164" t="str">
        <f>IFERROR(_xlfn.XLOOKUP($A164,Maestro_Equipos!$A$4:$A$242,Maestro_Equipos!$B$4:$B$242,""),"")</f>
        <v>Camioneta</v>
      </c>
      <c r="C164" t="str">
        <f>IFERROR(_xlfn.XLOOKUP($A164,Maestro_Equipos!$A$4:$A$242,Maestro_Equipos!$C$4:$C$242,""),"")</f>
        <v>Vehículos Livianos</v>
      </c>
      <c r="D164" t="str">
        <f>IFERROR(_xlfn.XLOOKUP($A164,Maestro_Equipos!$A:$A,Maestro_Equipos!$I:$I,""),"")</f>
        <v>KM</v>
      </c>
      <c r="E164">
        <f>IFERROR(IF($D164="KM",_xlfn.XLOOKUP($A164,Maestro_Equipos!$A:$A,Maestro_Equipos!$N:$N,""),_xlfn.XLOOKUP($A164,Maestro_Equipos!$A:$A,Maestro_Equipos!$M:$M,"")),"")</f>
        <v>56286</v>
      </c>
      <c r="F164">
        <f>IFERROR(_xlfn.XLOOKUP($A164,Maestro_Equipos!$A:$A,Maestro_Equipos!$R:$R,"")+_xlfn.XLOOKUP($A164,Maestro_Equipos!$A:$A,Maestro_Equipos!$J:$J,""),"")</f>
        <v>69500</v>
      </c>
      <c r="G164">
        <f>IFERROR(_xlfn.XLOOKUP($A164,Maestro_Equipos!$A:$A,Maestro_Equipos!$K:$K,""),"")</f>
        <v>202.7</v>
      </c>
      <c r="H164">
        <f>IFERROR(IF(OR($E164="",$F164="",$G164="",$G164&lt;=0),"",ROUND(($F164-$E164)/$G164,0)),"")</f>
        <v>65</v>
      </c>
      <c r="I164" s="71">
        <f ca="1">IFERROR(IF($H164="","",TODAY()+$H164),"")</f>
        <v>46305</v>
      </c>
      <c r="J164" s="5" t="str">
        <f>IFERROR(INDEX(Maestro_Equipos!$V$4:$V$242,MATCH($A164,Maestro_Equipos!$A$4:$A$242,0)),"")</f>
        <v>Operativo</v>
      </c>
      <c r="K164" s="35">
        <f>IFERROR(
   SUMIFS(Mantenciones!$I:$I,Mantenciones!$B:$B,$A164)
 + SUMIFS('Compras PM'!$F:$F,'Compras PM'!$C:$C,$A164),0)</f>
        <v>23899.98</v>
      </c>
      <c r="L164" s="28" t="str">
        <f>IF($J164="Fuera de Servicio","NO PROGRAMAR",IF($H164="","SIN DATOS",IF($H164&lt;=0,"VENCIDA",IF($H164&lt;=7,"CRÍTICA",IF($H164&lt;=15,"ALTA",IF($H164&lt;=30,"MEDIA","BAJA"))))))</f>
        <v>BAJA</v>
      </c>
      <c r="M164" s="53" cm="1">
        <f t="array" ref="M164">IFERROR(_xlfn.AGGREGATE(14,6,Mantenciones!$A$3:$A$9916/(Mantenciones!$B$3:$B$9916=$A164),1),"")</f>
        <v>46050</v>
      </c>
      <c r="N164" s="29" cm="1">
        <f t="array" ref="N164">IFERROR(_xlfn.AGGREGATE(14,6,'Compras PM'!$A$4:$A$10029/('Compras PM'!$C$4:$C$10029=$A164),1),"")</f>
        <v>46161.3715812847</v>
      </c>
      <c r="O164" s="29" t="str">
        <f>IFERROR(VLOOKUP($A164,Maestro_Equipos!$A$4:$AG$242,27,FALSE()),"")</f>
        <v/>
      </c>
      <c r="P164" s="30">
        <f ca="1">IFERROR(IF($N164="","",IF(OR($M164="",$M164&lt;$N164),TODAY()-$N164,$M164-$N164)),"")</f>
        <v>78.628418715299631</v>
      </c>
      <c r="Q164" s="30" t="str">
        <f ca="1">IFERROR(IF($O164="","",IF(OR($M164="",$M164&lt;$O164),TODAY()-$O164,$M164-$O164)),"")</f>
        <v/>
      </c>
      <c r="R164" s="28" t="str">
        <f>IF($O164="","SIN SALIDA",IF(OR($M164="",$M164&lt;$O164),"PENDIENTE","REALIZADA"))</f>
        <v>SIN SALIDA</v>
      </c>
      <c r="S164" s="31" t="str">
        <f>IFERROR(VLOOKUP($A164,Maestro_Equipos!$A$4:$AG$242,33,FALSE()),"")</f>
        <v>Hacer seguimiento al taller y cerrar report</v>
      </c>
    </row>
    <row r="165" spans="1:19">
      <c r="A165" t="str" cm="1">
        <f t="array" ref="A165">IFERROR(INDEX(_xlfn._xlws.FILTER(Maestro_Equipos!$A$4:$A$242,Maestro_Equipos!$A$4:$A$242&lt;&gt;""),ROWS($A$4:A165)),"")</f>
        <v>VD-112</v>
      </c>
      <c r="B165" t="str">
        <f>IFERROR(_xlfn.XLOOKUP($A165,Maestro_Equipos!$A$4:$A$242,Maestro_Equipos!$B$4:$B$242,""),"")</f>
        <v>Camioneta</v>
      </c>
      <c r="C165" t="str">
        <f>IFERROR(_xlfn.XLOOKUP($A165,Maestro_Equipos!$A$4:$A$242,Maestro_Equipos!$C$4:$C$242,""),"")</f>
        <v>Vehículos Livianos</v>
      </c>
      <c r="D165" t="str">
        <f>IFERROR(VLOOKUP($A162,Maestro_Equipos!$A$4:$Z$242,9,FALSE),"")</f>
        <v>KM</v>
      </c>
      <c r="E165">
        <f>IFERROR(IF($D165="KM",_xlfn.XLOOKUP($A165,Maestro_Equipos!$A:$A,Maestro_Equipos!$N:$N,""),_xlfn.XLOOKUP($A165,Maestro_Equipos!$A:$A,Maestro_Equipos!$M:$M,"")),"")</f>
        <v>128642</v>
      </c>
      <c r="F165">
        <f>IFERROR(_xlfn.XLOOKUP($A165,Maestro_Equipos!$A:$A,Maestro_Equipos!$R:$R,"")+_xlfn.XLOOKUP($A165,Maestro_Equipos!$A:$A,Maestro_Equipos!$J:$J,""),"")</f>
        <v>143642</v>
      </c>
      <c r="G165">
        <f>IFERROR(_xlfn.XLOOKUP($A165,Maestro_Equipos!$A:$A,Maestro_Equipos!$K:$K,""),"")</f>
        <v>190.5</v>
      </c>
      <c r="H165">
        <f>IFERROR(IF(OR($E165="",$F165="",$G165="",$G165&lt;=0),"",ROUND(($F165-$E165)/$G165,0)),"")</f>
        <v>79</v>
      </c>
      <c r="I165" s="71">
        <f ca="1">IFERROR(IF($H165="","",TODAY()+$H165),"")</f>
        <v>46319</v>
      </c>
      <c r="J165" s="5" t="str">
        <f>IFERROR(INDEX(Maestro_Equipos!$V$4:$V$242,MATCH($A165,Maestro_Equipos!$A$4:$A$242,0)),"")</f>
        <v>Operativo</v>
      </c>
      <c r="K165" s="35">
        <f>IFERROR(
   SUMIFS(Mantenciones!$I:$I,Mantenciones!$B:$B,$A165)
 + SUMIFS('Compras PM'!$F:$F,'Compras PM'!$C:$C,$A165),0)</f>
        <v>23899.98</v>
      </c>
      <c r="L165" s="28" t="str">
        <f>IF($J165="Fuera de Servicio","NO PROGRAMAR",IF($H165="","SIN DATOS",IF($H165&lt;=0,"VENCIDA",IF($H165&lt;=7,"CRÍTICA",IF($H165&lt;=15,"ALTA",IF($H165&lt;=30,"MEDIA","BAJA"))))))</f>
        <v>BAJA</v>
      </c>
      <c r="M165" s="53" cm="1">
        <f t="array" ref="M165">IFERROR(_xlfn.AGGREGATE(14,6,Mantenciones!$A$3:$A$9916/(Mantenciones!$B$3:$B$9916=$A165),1),"")</f>
        <v>46182</v>
      </c>
      <c r="N165" s="29" cm="1">
        <f t="array" ref="N165">IFERROR(_xlfn.AGGREGATE(14,6,'Compras PM'!$A$4:$A$10029/('Compras PM'!$C$4:$C$10029=$A165),1),"")</f>
        <v>46161.3715812847</v>
      </c>
      <c r="O165" s="29">
        <f>IFERROR(VLOOKUP($A165,Maestro_Equipos!$A$4:$AG$242,27,FALSE()),"")</f>
        <v>46182</v>
      </c>
      <c r="P165" s="30">
        <f ca="1">IFERROR(IF($N165="","",IF(OR($M165="",$M165&lt;$N165),TODAY()-$N165,$M165-$N165)),"")</f>
        <v>20.628418715299631</v>
      </c>
      <c r="Q165" s="30">
        <f ca="1">IFERROR(IF($O165="","",IF(OR($M165="",$M165&lt;$O165),TODAY()-$O165,$M165-$O165)),"")</f>
        <v>0</v>
      </c>
      <c r="R165" s="28" t="str">
        <f>IF($O165="","SIN SALIDA",IF(OR($M165="",$M165&lt;$O165),"PENDIENTE","REALIZADA"))</f>
        <v>REALIZADA</v>
      </c>
      <c r="S165" s="31" t="str">
        <f>IFERROR(VLOOKUP($A165,Maestro_Equipos!$A$4:$AG$242,33,FALSE()),"")</f>
        <v>Monitorear próximo vencimiento</v>
      </c>
    </row>
    <row r="166" spans="1:19">
      <c r="A166" t="str" cm="1">
        <f t="array" ref="A166">IFERROR(INDEX(_xlfn._xlws.FILTER(Maestro_Equipos!$A$4:$A$242,Maestro_Equipos!$A$4:$A$242&lt;&gt;""),ROWS($A$4:A166)),"")</f>
        <v>VD-113</v>
      </c>
      <c r="B166" t="str">
        <f>IFERROR(_xlfn.XLOOKUP($A166,Maestro_Equipos!$A$4:$A$242,Maestro_Equipos!$B$4:$B$242,""),"")</f>
        <v>Camioneta</v>
      </c>
      <c r="C166" t="str">
        <f>IFERROR(_xlfn.XLOOKUP($A166,Maestro_Equipos!$A$4:$A$242,Maestro_Equipos!$C$4:$C$242,""),"")</f>
        <v>Vehículos Livianos</v>
      </c>
      <c r="D166" t="str">
        <f>IFERROR(_xlfn.XLOOKUP($A166,Maestro_Equipos!$A:$A,Maestro_Equipos!$I:$I,""),"")</f>
        <v>KM</v>
      </c>
      <c r="E166">
        <f>IFERROR(IF($D166="KM",_xlfn.XLOOKUP($A166,Maestro_Equipos!$A:$A,Maestro_Equipos!$N:$N,""),_xlfn.XLOOKUP($A166,Maestro_Equipos!$A:$A,Maestro_Equipos!$M:$M,"")),"")</f>
        <v>130401</v>
      </c>
      <c r="F166" t="str">
        <f>IFERROR(_xlfn.XLOOKUP($A166,Maestro_Equipos!$A:$A,Maestro_Equipos!$R:$R,"")+_xlfn.XLOOKUP($A166,Maestro_Equipos!$A:$A,Maestro_Equipos!$J:$J,""),"")</f>
        <v/>
      </c>
      <c r="G166">
        <f>IFERROR(_xlfn.XLOOKUP($A166,Maestro_Equipos!$A:$A,Maestro_Equipos!$K:$K,""),"")</f>
        <v>169.7</v>
      </c>
      <c r="H166" t="str">
        <f>IFERROR(IF(OR($E166="",$F166="",$G166="",$G166&lt;=0),"",ROUND(($F166-$E166)/$G166,0)),"")</f>
        <v/>
      </c>
      <c r="I166" s="71" t="str">
        <f ca="1">IFERROR(IF($H166="","",TODAY()+$H166),"")</f>
        <v/>
      </c>
      <c r="J166" s="5" t="str">
        <f>IFERROR(INDEX(Maestro_Equipos!$V$4:$V$242,MATCH($A166,Maestro_Equipos!$A$4:$A$242,0)),"")</f>
        <v>Operativo</v>
      </c>
      <c r="K166" s="35">
        <f>IFERROR(
   SUMIFS(Mantenciones!$I:$I,Mantenciones!$B:$B,$A166)
 + SUMIFS('Compras PM'!$F:$F,'Compras PM'!$C:$C,$A166),0)</f>
        <v>23899.98</v>
      </c>
      <c r="L166" s="28" t="str">
        <f>IF($J166="Fuera de Servicio","NO PROGRAMAR",IF($H166="","SIN DATOS",IF($H166&lt;=0,"VENCIDA",IF($H166&lt;=7,"CRÍTICA",IF($H166&lt;=15,"ALTA",IF($H166&lt;=30,"MEDIA","BAJA"))))))</f>
        <v>SIN DATOS</v>
      </c>
      <c r="M166" s="53" t="str" cm="1">
        <f t="array" ref="M166">IFERROR(_xlfn.AGGREGATE(14,6,Mantenciones!$A$3:$A$9916/(Mantenciones!$B$3:$B$9916=$A166),1),"")</f>
        <v/>
      </c>
      <c r="N166" s="29" cm="1">
        <f t="array" ref="N166">IFERROR(_xlfn.AGGREGATE(14,6,'Compras PM'!$A$4:$A$10029/('Compras PM'!$C$4:$C$10029=$A166),1),"")</f>
        <v>46161.3715812847</v>
      </c>
      <c r="O166" s="29">
        <f>IFERROR(VLOOKUP($A166,Maestro_Equipos!$A$4:$AG$242,27,FALSE()),"")</f>
        <v>46085</v>
      </c>
      <c r="P166" s="30">
        <f ca="1">IFERROR(IF($N166="","",IF(OR($M166="",$M166&lt;$N166),TODAY()-$N166,$M166-$N166)),"")</f>
        <v>78.628418715299631</v>
      </c>
      <c r="Q166" s="30">
        <f ca="1">IFERROR(IF($O166="","",IF(OR($M166="",$M166&lt;$O166),TODAY()-$O166,$M166-$O166)),"")</f>
        <v>155</v>
      </c>
      <c r="R166" s="28" t="str">
        <f>IF($O166="","SIN SALIDA",IF(OR($M166="",$M166&lt;$O166),"PENDIENTE","REALIZADA"))</f>
        <v>PENDIENTE</v>
      </c>
      <c r="S166" s="31" t="str">
        <f>IFERROR(VLOOKUP($A166,Maestro_Equipos!$A$4:$AG$242,33,FALSE()),"")</f>
        <v>Monitorear próximo vencimiento</v>
      </c>
    </row>
    <row r="167" spans="1:19">
      <c r="A167" t="str" cm="1">
        <f t="array" ref="A167">IFERROR(INDEX(_xlfn._xlws.FILTER(Maestro_Equipos!$A$4:$A$242,Maestro_Equipos!$A$4:$A$242&lt;&gt;""),ROWS($A$4:A167)),"")</f>
        <v>VD-114</v>
      </c>
      <c r="B167" t="str">
        <f>IFERROR(_xlfn.XLOOKUP($A167,Maestro_Equipos!$A$4:$A$242,Maestro_Equipos!$B$4:$B$242,""),"")</f>
        <v>Camioneta</v>
      </c>
      <c r="C167" t="str">
        <f>IFERROR(_xlfn.XLOOKUP($A167,Maestro_Equipos!$A$4:$A$242,Maestro_Equipos!$C$4:$C$242,""),"")</f>
        <v>Vehículos Livianos</v>
      </c>
      <c r="D167" t="str">
        <f>IFERROR(_xlfn.XLOOKUP($A167,Maestro_Equipos!$A:$A,Maestro_Equipos!$I:$I,""),"")</f>
        <v>KM</v>
      </c>
      <c r="E167">
        <f>IFERROR(IF($D167="KM",_xlfn.XLOOKUP($A167,Maestro_Equipos!$A:$A,Maestro_Equipos!$N:$N,""),_xlfn.XLOOKUP($A167,Maestro_Equipos!$A:$A,Maestro_Equipos!$M:$M,"")),"")</f>
        <v>76726</v>
      </c>
      <c r="F167">
        <f>IFERROR(_xlfn.XLOOKUP($A167,Maestro_Equipos!$A:$A,Maestro_Equipos!$R:$R,"")+_xlfn.XLOOKUP($A167,Maestro_Equipos!$A:$A,Maestro_Equipos!$J:$J,""),"")</f>
        <v>93356</v>
      </c>
      <c r="G167">
        <f>IFERROR(_xlfn.XLOOKUP($A167,Maestro_Equipos!$A:$A,Maestro_Equipos!$K:$K,""),"")</f>
        <v>136</v>
      </c>
      <c r="H167">
        <f>IFERROR(IF(OR($E167="",$F167="",$G167="",$G167&lt;=0),"",ROUND(($F167-$E167)/$G167,0)),"")</f>
        <v>122</v>
      </c>
      <c r="I167" s="71">
        <f ca="1">IFERROR(IF($H167="","",TODAY()+$H167),"")</f>
        <v>46362</v>
      </c>
      <c r="J167" s="5" t="str">
        <f>IFERROR(INDEX(Maestro_Equipos!$V$4:$V$242,MATCH($A167,Maestro_Equipos!$A$4:$A$242,0)),"")</f>
        <v>Operativo</v>
      </c>
      <c r="K167" s="35">
        <f>IFERROR(
   SUMIFS(Mantenciones!$I:$I,Mantenciones!$B:$B,$A167)
 + SUMIFS('Compras PM'!$F:$F,'Compras PM'!$C:$C,$A167),0)</f>
        <v>23899.98</v>
      </c>
      <c r="L167" s="28" t="str">
        <f>IF($J167="Fuera de Servicio","NO PROGRAMAR",IF($H167="","SIN DATOS",IF($H167&lt;=0,"VENCIDA",IF($H167&lt;=7,"CRÍTICA",IF($H167&lt;=15,"ALTA",IF($H167&lt;=30,"MEDIA","BAJA"))))))</f>
        <v>BAJA</v>
      </c>
      <c r="M167" s="53" cm="1">
        <f t="array" ref="M167">IFERROR(_xlfn.AGGREGATE(14,6,Mantenciones!$A$3:$A$9916/(Mantenciones!$B$3:$B$9916=$A167),1),"")</f>
        <v>46198</v>
      </c>
      <c r="N167" s="29" cm="1">
        <f t="array" ref="N167">IFERROR(_xlfn.AGGREGATE(14,6,'Compras PM'!$A$4:$A$10029/('Compras PM'!$C$4:$C$10029=$A167),1),"")</f>
        <v>46161.3715812847</v>
      </c>
      <c r="O167" s="29">
        <f>IFERROR(VLOOKUP($A167,Maestro_Equipos!$A$4:$AG$242,27,FALSE()),"")</f>
        <v>46087</v>
      </c>
      <c r="P167" s="30">
        <f ca="1">IFERROR(IF($N167="","",IF(OR($M167="",$M167&lt;$N167),TODAY()-$N167,$M167-$N167)),"")</f>
        <v>36.628418715299631</v>
      </c>
      <c r="Q167" s="30">
        <f ca="1">IFERROR(IF($O167="","",IF(OR($M167="",$M167&lt;$O167),TODAY()-$O167,$M167-$O167)),"")</f>
        <v>111</v>
      </c>
      <c r="R167" s="28" t="str">
        <f>IF($O167="","SIN SALIDA",IF(OR($M167="",$M167&lt;$O167),"PENDIENTE","REALIZADA"))</f>
        <v>REALIZADA</v>
      </c>
      <c r="S167" s="31" t="str">
        <f>IFERROR(VLOOKUP($A167,Maestro_Equipos!$A$4:$AG$242,33,FALSE()),"")</f>
        <v>Monitorear próximo vencimiento</v>
      </c>
    </row>
    <row r="168" spans="1:19">
      <c r="A168" t="str" cm="1">
        <f t="array" ref="A168">IFERROR(INDEX(_xlfn._xlws.FILTER(Maestro_Equipos!$A$4:$A$242,Maestro_Equipos!$A$4:$A$242&lt;&gt;""),ROWS($A$4:A168)),"")</f>
        <v>VD-115</v>
      </c>
      <c r="B168" t="str">
        <f>IFERROR(_xlfn.XLOOKUP($A168,Maestro_Equipos!$A$4:$A$242,Maestro_Equipos!$B$4:$B$242,""),"")</f>
        <v>Furgon</v>
      </c>
      <c r="C168" t="str">
        <f>IFERROR(_xlfn.XLOOKUP($A168,Maestro_Equipos!$A$4:$A$242,Maestro_Equipos!$C$4:$C$242,""),"")</f>
        <v>Vehículos Livianos</v>
      </c>
      <c r="D168" t="str">
        <f>IFERROR(_xlfn.XLOOKUP($A168,Maestro_Equipos!$A:$A,Maestro_Equipos!$I:$I,""),"")</f>
        <v>KM</v>
      </c>
      <c r="E168">
        <f>IFERROR(IF($D168="KM",_xlfn.XLOOKUP($A168,Maestro_Equipos!$A:$A,Maestro_Equipos!$N:$N,""),_xlfn.XLOOKUP($A168,Maestro_Equipos!$A:$A,Maestro_Equipos!$M:$M,"")),"")</f>
        <v>105494</v>
      </c>
      <c r="F168">
        <f>IFERROR(_xlfn.XLOOKUP($A168,Maestro_Equipos!$A:$A,Maestro_Equipos!$R:$R,"")+_xlfn.XLOOKUP($A168,Maestro_Equipos!$A:$A,Maestro_Equipos!$J:$J,""),"")</f>
        <v>129305</v>
      </c>
      <c r="G168">
        <f>IFERROR(_xlfn.XLOOKUP($A168,Maestro_Equipos!$A:$A,Maestro_Equipos!$K:$K,""),"")</f>
        <v>272.3</v>
      </c>
      <c r="H168">
        <f>IFERROR(IF(OR($E168="",$F168="",$G168="",$G168&lt;=0),"",ROUND(($F168-$E168)/$G168,0)),"")</f>
        <v>87</v>
      </c>
      <c r="I168" s="71">
        <f ca="1">IFERROR(IF($H168="","",TODAY()+$H168),"")</f>
        <v>46327</v>
      </c>
      <c r="J168" s="5" t="str">
        <f>IFERROR(INDEX(Maestro_Equipos!$V$4:$V$242,MATCH($A168,Maestro_Equipos!$A$4:$A$242,0)),"")</f>
        <v>Operativo</v>
      </c>
      <c r="K168" s="35">
        <f>IFERROR(
   SUMIFS(Mantenciones!$I:$I,Mantenciones!$B:$B,$A168)
 + SUMIFS('Compras PM'!$F:$F,'Compras PM'!$C:$C,$A168),0)</f>
        <v>56601.373999999996</v>
      </c>
      <c r="L168" s="28" t="str">
        <f>IF($J168="Fuera de Servicio","NO PROGRAMAR",IF($H168="","SIN DATOS",IF($H168&lt;=0,"VENCIDA",IF($H168&lt;=7,"CRÍTICA",IF($H168&lt;=15,"ALTA",IF($H168&lt;=30,"MEDIA","BAJA"))))))</f>
        <v>BAJA</v>
      </c>
      <c r="M168" s="53" cm="1">
        <f t="array" ref="M168">IFERROR(_xlfn.AGGREGATE(14,6,Mantenciones!$A$3:$A$9916/(Mantenciones!$B$3:$B$9916=$A168),1),"")</f>
        <v>46210</v>
      </c>
      <c r="N168" s="29" cm="1">
        <f t="array" ref="N168">IFERROR(_xlfn.AGGREGATE(14,6,'Compras PM'!$A$4:$A$10029/('Compras PM'!$C$4:$C$10029=$A168),1),"")</f>
        <v>46118</v>
      </c>
      <c r="O168" s="29">
        <f>IFERROR(VLOOKUP($A168,Maestro_Equipos!$A$4:$AG$242,27,FALSE()),"")</f>
        <v>46119</v>
      </c>
      <c r="P168" s="30">
        <f ca="1">IFERROR(IF($N168="","",IF(OR($M168="",$M168&lt;$N168),TODAY()-$N168,$M168-$N168)),"")</f>
        <v>92</v>
      </c>
      <c r="Q168" s="30">
        <f ca="1">IFERROR(IF($O168="","",IF(OR($M168="",$M168&lt;$O168),TODAY()-$O168,$M168-$O168)),"")</f>
        <v>91</v>
      </c>
      <c r="R168" s="28" t="str">
        <f>IF($O168="","SIN SALIDA",IF(OR($M168="",$M168&lt;$O168),"PENDIENTE","REALIZADA"))</f>
        <v>REALIZADA</v>
      </c>
      <c r="S168" s="31" t="str">
        <f>IFERROR(VLOOKUP($A168,Maestro_Equipos!$A$4:$AG$242,33,FALSE()),"")</f>
        <v>Monitorear próximo vencimiento</v>
      </c>
    </row>
    <row r="169" spans="1:19">
      <c r="A169" t="str" cm="1">
        <f t="array" ref="A169">IFERROR(INDEX(_xlfn._xlws.FILTER(Maestro_Equipos!$A$4:$A$242,Maestro_Equipos!$A$4:$A$242&lt;&gt;""),ROWS($A$4:A169)),"")</f>
        <v>VD-116</v>
      </c>
      <c r="B169" t="str">
        <f>IFERROR(_xlfn.XLOOKUP($A169,Maestro_Equipos!$A$4:$A$242,Maestro_Equipos!$B$4:$B$242,""),"")</f>
        <v>Furgon</v>
      </c>
      <c r="C169" t="str">
        <f>IFERROR(_xlfn.XLOOKUP($A169,Maestro_Equipos!$A$4:$A$242,Maestro_Equipos!$C$4:$C$242,""),"")</f>
        <v>Vehículos Livianos</v>
      </c>
      <c r="D169" t="str">
        <f>IFERROR(_xlfn.XLOOKUP($A169,Maestro_Equipos!$A:$A,Maestro_Equipos!$I:$I,""),"")</f>
        <v>KM</v>
      </c>
      <c r="E169">
        <f>IFERROR(IF($D169="KM",_xlfn.XLOOKUP($A169,Maestro_Equipos!$A:$A,Maestro_Equipos!$N:$N,""),_xlfn.XLOOKUP($A169,Maestro_Equipos!$A:$A,Maestro_Equipos!$M:$M,"")),"")</f>
        <v>81046</v>
      </c>
      <c r="F169">
        <f>IFERROR(_xlfn.XLOOKUP($A169,Maestro_Equipos!$A:$A,Maestro_Equipos!$R:$R,"")+_xlfn.XLOOKUP($A169,Maestro_Equipos!$A:$A,Maestro_Equipos!$J:$J,""),"")</f>
        <v>83245</v>
      </c>
      <c r="G169">
        <f>IFERROR(_xlfn.XLOOKUP($A169,Maestro_Equipos!$A:$A,Maestro_Equipos!$K:$K,""),"")</f>
        <v>196.8</v>
      </c>
      <c r="H169">
        <f>IFERROR(IF(OR($E169="",$F169="",$G169="",$G169&lt;=0),"",ROUND(($F169-$E169)/$G169,0)),"")</f>
        <v>11</v>
      </c>
      <c r="I169" s="71">
        <f ca="1">IFERROR(IF($H169="","",TODAY()+$H169),"")</f>
        <v>46251</v>
      </c>
      <c r="J169" s="5" t="str">
        <f>IFERROR(INDEX(Maestro_Equipos!$V$4:$V$242,MATCH($A169,Maestro_Equipos!$A$4:$A$242,0)),"")</f>
        <v>Operativo</v>
      </c>
      <c r="K169" s="35">
        <f>IFERROR(
   SUMIFS(Mantenciones!$I:$I,Mantenciones!$B:$B,$A169)
 + SUMIFS('Compras PM'!$F:$F,'Compras PM'!$C:$C,$A169),0)</f>
        <v>56601.373999999996</v>
      </c>
      <c r="L169" s="28" t="str">
        <f>IF($J169="Fuera de Servicio","NO PROGRAMAR",IF($H169="","SIN DATOS",IF($H169&lt;=0,"VENCIDA",IF($H169&lt;=7,"CRÍTICA",IF($H169&lt;=15,"ALTA",IF($H169&lt;=30,"MEDIA","BAJA"))))))</f>
        <v>ALTA</v>
      </c>
      <c r="M169" s="53" cm="1">
        <f t="array" ref="M169">IFERROR(_xlfn.AGGREGATE(14,6,Mantenciones!$A$3:$A$9916/(Mantenciones!$B$3:$B$9916=$A169),1),"")</f>
        <v>46139</v>
      </c>
      <c r="N169" s="29" cm="1">
        <f t="array" ref="N169">IFERROR(_xlfn.AGGREGATE(14,6,'Compras PM'!$A$4:$A$10029/('Compras PM'!$C$4:$C$10029=$A169),1),"")</f>
        <v>46118</v>
      </c>
      <c r="O169" s="29">
        <f>IFERROR(VLOOKUP($A169,Maestro_Equipos!$A$4:$AG$242,27,FALSE()),"")</f>
        <v>46132</v>
      </c>
      <c r="P169" s="30">
        <f ca="1">IFERROR(IF($N169="","",IF(OR($M169="",$M169&lt;$N169),TODAY()-$N169,$M169-$N169)),"")</f>
        <v>21</v>
      </c>
      <c r="Q169" s="30">
        <f ca="1">IFERROR(IF($O169="","",IF(OR($M169="",$M169&lt;$O169),TODAY()-$O169,$M169-$O169)),"")</f>
        <v>7</v>
      </c>
      <c r="R169" s="28" t="str">
        <f>IF($O169="","SIN SALIDA",IF(OR($M169="",$M169&lt;$O169),"PENDIENTE","REALIZADA"))</f>
        <v>REALIZADA</v>
      </c>
      <c r="S169" s="31" t="str">
        <f>IFERROR(VLOOKUP($A169,Maestro_Equipos!$A$4:$AG$242,33,FALSE()),"")</f>
        <v>Monitorear próximo vencimiento</v>
      </c>
    </row>
    <row r="170" spans="1:19">
      <c r="A170" t="str" cm="1">
        <f t="array" ref="A170">IFERROR(INDEX(_xlfn._xlws.FILTER(Maestro_Equipos!$A$4:$A$242,Maestro_Equipos!$A$4:$A$242&lt;&gt;""),ROWS($A$4:A170)),"")</f>
        <v>VD-117</v>
      </c>
      <c r="B170" t="str">
        <f>IFERROR(_xlfn.XLOOKUP($A170,Maestro_Equipos!$A$4:$A$242,Maestro_Equipos!$B$4:$B$242,""),"")</f>
        <v>Furgon</v>
      </c>
      <c r="C170" t="str">
        <f>IFERROR(_xlfn.XLOOKUP($A170,Maestro_Equipos!$A$4:$A$242,Maestro_Equipos!$C$4:$C$242,""),"")</f>
        <v>Vehículos Livianos</v>
      </c>
      <c r="D170" t="str">
        <f>IFERROR(VLOOKUP($A167,Maestro_Equipos!$A$4:$Z$242,9,FALSE),"")</f>
        <v>KM</v>
      </c>
      <c r="E170">
        <f>IFERROR(IF($D170="KM",_xlfn.XLOOKUP($A170,Maestro_Equipos!$A:$A,Maestro_Equipos!$N:$N,""),_xlfn.XLOOKUP($A170,Maestro_Equipos!$A:$A,Maestro_Equipos!$M:$M,"")),"")</f>
        <v>54674</v>
      </c>
      <c r="F170">
        <f>IFERROR(_xlfn.XLOOKUP($A170,Maestro_Equipos!$A:$A,Maestro_Equipos!$R:$R,"")+_xlfn.XLOOKUP($A170,Maestro_Equipos!$A:$A,Maestro_Equipos!$J:$J,""),"")</f>
        <v>67384</v>
      </c>
      <c r="G170">
        <f>IFERROR(_xlfn.XLOOKUP($A170,Maestro_Equipos!$A:$A,Maestro_Equipos!$K:$K,""),"")</f>
        <v>112.3</v>
      </c>
      <c r="H170">
        <f>IFERROR(IF(OR($E170="",$F170="",$G170="",$G170&lt;=0),"",ROUND(($F170-$E170)/$G170,0)),"")</f>
        <v>113</v>
      </c>
      <c r="I170" s="71">
        <f ca="1">IFERROR(IF($H170="","",TODAY()+$H170),"")</f>
        <v>46353</v>
      </c>
      <c r="J170" s="5" t="str">
        <f>IFERROR(INDEX(Maestro_Equipos!$V$4:$V$242,MATCH($A170,Maestro_Equipos!$A$4:$A$242,0)),"")</f>
        <v>Operativo</v>
      </c>
      <c r="K170" s="35">
        <f>IFERROR(
   SUMIFS(Mantenciones!$I:$I,Mantenciones!$B:$B,$A170)
 + SUMIFS('Compras PM'!$F:$F,'Compras PM'!$C:$C,$A170),0)</f>
        <v>56601.373999999996</v>
      </c>
      <c r="L170" s="28" t="str">
        <f>IF($J170="Fuera de Servicio","NO PROGRAMAR",IF($H170="","SIN DATOS",IF($H170&lt;=0,"VENCIDA",IF($H170&lt;=7,"CRÍTICA",IF($H170&lt;=15,"ALTA",IF($H170&lt;=30,"MEDIA","BAJA"))))))</f>
        <v>BAJA</v>
      </c>
      <c r="M170" s="53" cm="1">
        <f t="array" ref="M170">IFERROR(_xlfn.AGGREGATE(14,6,Mantenciones!$A$3:$A$9916/(Mantenciones!$B$3:$B$9916=$A170),1),"")</f>
        <v>46162</v>
      </c>
      <c r="N170" s="29" cm="1">
        <f t="array" ref="N170">IFERROR(_xlfn.AGGREGATE(14,6,'Compras PM'!$A$4:$A$10029/('Compras PM'!$C$4:$C$10029=$A170),1),"")</f>
        <v>46118</v>
      </c>
      <c r="O170" s="29">
        <f>IFERROR(VLOOKUP($A170,Maestro_Equipos!$A$4:$AG$242,27,FALSE()),"")</f>
        <v>46162</v>
      </c>
      <c r="P170" s="30">
        <f ca="1">IFERROR(IF($N170="","",IF(OR($M170="",$M170&lt;$N170),TODAY()-$N170,$M170-$N170)),"")</f>
        <v>44</v>
      </c>
      <c r="Q170" s="30">
        <f ca="1">IFERROR(IF($O170="","",IF(OR($M170="",$M170&lt;$O170),TODAY()-$O170,$M170-$O170)),"")</f>
        <v>0</v>
      </c>
      <c r="R170" s="28" t="str">
        <f>IF($O170="","SIN SALIDA",IF(OR($M170="",$M170&lt;$O170),"PENDIENTE","REALIZADA"))</f>
        <v>REALIZADA</v>
      </c>
      <c r="S170" s="31" t="str">
        <f>IFERROR(VLOOKUP($A170,Maestro_Equipos!$A$4:$AG$242,33,FALSE()),"")</f>
        <v>Monitorear próximo vencimiento</v>
      </c>
    </row>
    <row r="171" spans="1:19">
      <c r="A171" t="str" cm="1">
        <f t="array" ref="A171">IFERROR(INDEX(_xlfn._xlws.FILTER(Maestro_Equipos!$A$4:$A$242,Maestro_Equipos!$A$4:$A$242&lt;&gt;""),ROWS($A$4:A171)),"")</f>
        <v>VD-118</v>
      </c>
      <c r="B171" t="str">
        <f>IFERROR(_xlfn.XLOOKUP($A171,Maestro_Equipos!$A$4:$A$242,Maestro_Equipos!$B$4:$B$242,""),"")</f>
        <v>Furgon</v>
      </c>
      <c r="C171" t="str">
        <f>IFERROR(_xlfn.XLOOKUP($A171,Maestro_Equipos!$A$4:$A$242,Maestro_Equipos!$C$4:$C$242,""),"")</f>
        <v>Vehículos Livianos</v>
      </c>
      <c r="D171" t="str">
        <f>IFERROR(_xlfn.XLOOKUP($A171,Maestro_Equipos!$A:$A,Maestro_Equipos!$I:$I,""),"")</f>
        <v>KM</v>
      </c>
      <c r="E171">
        <f>IFERROR(IF($D171="KM",_xlfn.XLOOKUP($A171,Maestro_Equipos!$A:$A,Maestro_Equipos!$N:$N,""),_xlfn.XLOOKUP($A171,Maestro_Equipos!$A:$A,Maestro_Equipos!$M:$M,"")),"")</f>
        <v>47499</v>
      </c>
      <c r="F171">
        <f>IFERROR(_xlfn.XLOOKUP($A171,Maestro_Equipos!$A:$A,Maestro_Equipos!$R:$R,"")+_xlfn.XLOOKUP($A171,Maestro_Equipos!$A:$A,Maestro_Equipos!$J:$J,""),"")</f>
        <v>56246</v>
      </c>
      <c r="G171">
        <f>IFERROR(_xlfn.XLOOKUP($A171,Maestro_Equipos!$A:$A,Maestro_Equipos!$K:$K,""),"")</f>
        <v>86.5</v>
      </c>
      <c r="H171">
        <f>IFERROR(IF(OR($E171="",$F171="",$G171="",$G171&lt;=0),"",ROUND(($F171-$E171)/$G171,0)),"")</f>
        <v>101</v>
      </c>
      <c r="I171" s="71">
        <f ca="1">IFERROR(IF($H171="","",TODAY()+$H171),"")</f>
        <v>46341</v>
      </c>
      <c r="J171" s="5" t="str">
        <f>IFERROR(INDEX(Maestro_Equipos!$V$4:$V$242,MATCH($A171,Maestro_Equipos!$A$4:$A$242,0)),"")</f>
        <v>Operativo</v>
      </c>
      <c r="K171" s="35">
        <f>IFERROR(
   SUMIFS(Mantenciones!$I:$I,Mantenciones!$B:$B,$A171)
 + SUMIFS('Compras PM'!$F:$F,'Compras PM'!$C:$C,$A171),0)</f>
        <v>56601.373999999996</v>
      </c>
      <c r="L171" s="28" t="str">
        <f>IF($J171="Fuera de Servicio","NO PROGRAMAR",IF($H171="","SIN DATOS",IF($H171&lt;=0,"VENCIDA",IF($H171&lt;=7,"CRÍTICA",IF($H171&lt;=15,"ALTA",IF($H171&lt;=30,"MEDIA","BAJA"))))))</f>
        <v>BAJA</v>
      </c>
      <c r="M171" s="53" cm="1">
        <f t="array" ref="M171">IFERROR(_xlfn.AGGREGATE(14,6,Mantenciones!$A$3:$A$9916/(Mantenciones!$B$3:$B$9916=$A171),1),"")</f>
        <v>46105</v>
      </c>
      <c r="N171" s="29" cm="1">
        <f t="array" ref="N171">IFERROR(_xlfn.AGGREGATE(14,6,'Compras PM'!$A$4:$A$10029/('Compras PM'!$C$4:$C$10029=$A171),1),"")</f>
        <v>46118</v>
      </c>
      <c r="O171" s="29">
        <f>IFERROR(VLOOKUP($A171,Maestro_Equipos!$A$4:$AG$242,27,FALSE()),"")</f>
        <v>46078</v>
      </c>
      <c r="P171" s="30">
        <f ca="1">IFERROR(IF($N171="","",IF(OR($M171="",$M171&lt;$N171),TODAY()-$N171,$M171-$N171)),"")</f>
        <v>122</v>
      </c>
      <c r="Q171" s="30">
        <f ca="1">IFERROR(IF($O171="","",IF(OR($M171="",$M171&lt;$O171),TODAY()-$O171,$M171-$O171)),"")</f>
        <v>27</v>
      </c>
      <c r="R171" s="28" t="str">
        <f>IF($O171="","SIN SALIDA",IF(OR($M171="",$M171&lt;$O171),"PENDIENTE","REALIZADA"))</f>
        <v>REALIZADA</v>
      </c>
      <c r="S171" s="31" t="str">
        <f>IFERROR(VLOOKUP($A171,Maestro_Equipos!$A$4:$AG$242,33,FALSE()),"")</f>
        <v>Monitorear próximo vencimiento</v>
      </c>
    </row>
    <row r="172" spans="1:19">
      <c r="A172" t="str" cm="1">
        <f t="array" ref="A172">IFERROR(INDEX(_xlfn._xlws.FILTER(Maestro_Equipos!$A$4:$A$242,Maestro_Equipos!$A$4:$A$242&lt;&gt;""),ROWS($A$4:A172)),"")</f>
        <v>VD-119</v>
      </c>
      <c r="B172" t="str">
        <f>IFERROR(_xlfn.XLOOKUP($A172,Maestro_Equipos!$A$4:$A$242,Maestro_Equipos!$B$4:$B$242,""),"")</f>
        <v>Furgon</v>
      </c>
      <c r="C172" t="str">
        <f>IFERROR(_xlfn.XLOOKUP($A172,Maestro_Equipos!$A$4:$A$242,Maestro_Equipos!$C$4:$C$242,""),"")</f>
        <v>Vehículos Livianos</v>
      </c>
      <c r="D172" t="str">
        <f>IFERROR(_xlfn.XLOOKUP($A172,Maestro_Equipos!$A:$A,Maestro_Equipos!$I:$I,""),"")</f>
        <v>KM</v>
      </c>
      <c r="E172">
        <f>IFERROR(IF($D172="KM",_xlfn.XLOOKUP($A172,Maestro_Equipos!$A:$A,Maestro_Equipos!$N:$N,""),_xlfn.XLOOKUP($A172,Maestro_Equipos!$A:$A,Maestro_Equipos!$M:$M,"")),"")</f>
        <v>60235</v>
      </c>
      <c r="F172">
        <f>IFERROR(_xlfn.XLOOKUP($A172,Maestro_Equipos!$A:$A,Maestro_Equipos!$R:$R,"")+_xlfn.XLOOKUP($A172,Maestro_Equipos!$A:$A,Maestro_Equipos!$J:$J,""),"")</f>
        <v>73698</v>
      </c>
      <c r="G172">
        <f>IFERROR(_xlfn.XLOOKUP($A172,Maestro_Equipos!$A:$A,Maestro_Equipos!$K:$K,""),"")</f>
        <v>169.7</v>
      </c>
      <c r="H172">
        <f>IFERROR(IF(OR($E172="",$F172="",$G172="",$G172&lt;=0),"",ROUND(($F172-$E172)/$G172,0)),"")</f>
        <v>79</v>
      </c>
      <c r="I172" s="71">
        <f ca="1">IFERROR(IF($H172="","",TODAY()+$H172),"")</f>
        <v>46319</v>
      </c>
      <c r="J172" s="5" t="str">
        <f>IFERROR(INDEX(Maestro_Equipos!$V$4:$V$242,MATCH($A172,Maestro_Equipos!$A$4:$A$242,0)),"")</f>
        <v>Operativo</v>
      </c>
      <c r="K172" s="35">
        <f>IFERROR(
   SUMIFS(Mantenciones!$I:$I,Mantenciones!$B:$B,$A172)
 + SUMIFS('Compras PM'!$F:$F,'Compras PM'!$C:$C,$A172),0)</f>
        <v>56601.373999999996</v>
      </c>
      <c r="L172" s="28" t="str">
        <f>IF($J172="Fuera de Servicio","NO PROGRAMAR",IF($H172="","SIN DATOS",IF($H172&lt;=0,"VENCIDA",IF($H172&lt;=7,"CRÍTICA",IF($H172&lt;=15,"ALTA",IF($H172&lt;=30,"MEDIA","BAJA"))))))</f>
        <v>BAJA</v>
      </c>
      <c r="M172" s="53" cm="1">
        <f t="array" ref="M172">IFERROR(_xlfn.AGGREGATE(14,6,Mantenciones!$A$3:$A$9916/(Mantenciones!$B$3:$B$9916=$A172),1),"")</f>
        <v>46167</v>
      </c>
      <c r="N172" s="29" cm="1">
        <f t="array" ref="N172">IFERROR(_xlfn.AGGREGATE(14,6,'Compras PM'!$A$4:$A$10029/('Compras PM'!$C$4:$C$10029=$A172),1),"")</f>
        <v>46118</v>
      </c>
      <c r="O172" s="29">
        <f>IFERROR(VLOOKUP($A172,Maestro_Equipos!$A$4:$AG$242,27,FALSE()),"")</f>
        <v>46167</v>
      </c>
      <c r="P172" s="30">
        <f ca="1">IFERROR(IF($N172="","",IF(OR($M172="",$M172&lt;$N172),TODAY()-$N172,$M172-$N172)),"")</f>
        <v>49</v>
      </c>
      <c r="Q172" s="30">
        <f ca="1">IFERROR(IF($O172="","",IF(OR($M172="",$M172&lt;$O172),TODAY()-$O172,$M172-$O172)),"")</f>
        <v>0</v>
      </c>
      <c r="R172" s="28" t="str">
        <f>IF($O172="","SIN SALIDA",IF(OR($M172="",$M172&lt;$O172),"PENDIENTE","REALIZADA"))</f>
        <v>REALIZADA</v>
      </c>
      <c r="S172" s="31" t="str">
        <f>IFERROR(VLOOKUP($A172,Maestro_Equipos!$A$4:$AG$242,33,FALSE()),"")</f>
        <v>Monitorear próximo vencimiento</v>
      </c>
    </row>
    <row r="173" spans="1:19">
      <c r="A173" t="str" cm="1">
        <f t="array" ref="A173">IFERROR(INDEX(_xlfn._xlws.FILTER(Maestro_Equipos!$A$4:$A$242,Maestro_Equipos!$A$4:$A$242&lt;&gt;""),ROWS($A$4:A173)),"")</f>
        <v>VD-120</v>
      </c>
      <c r="B173" t="str">
        <f>IFERROR(_xlfn.XLOOKUP($A173,Maestro_Equipos!$A$4:$A$242,Maestro_Equipos!$B$4:$B$242,""),"")</f>
        <v>Furgon</v>
      </c>
      <c r="C173" t="str">
        <f>IFERROR(_xlfn.XLOOKUP($A173,Maestro_Equipos!$A$4:$A$242,Maestro_Equipos!$C$4:$C$242,""),"")</f>
        <v>Vehículos Livianos</v>
      </c>
      <c r="D173" t="str">
        <f>IFERROR(_xlfn.XLOOKUP($A173,Maestro_Equipos!$A:$A,Maestro_Equipos!$I:$I,""),"")</f>
        <v>KM</v>
      </c>
      <c r="E173">
        <f>IFERROR(IF($D173="KM",_xlfn.XLOOKUP($A173,Maestro_Equipos!$A:$A,Maestro_Equipos!$N:$N,""),_xlfn.XLOOKUP($A173,Maestro_Equipos!$A:$A,Maestro_Equipos!$M:$M,"")),"")</f>
        <v>76049</v>
      </c>
      <c r="F173">
        <f>IFERROR(_xlfn.XLOOKUP($A173,Maestro_Equipos!$A:$A,Maestro_Equipos!$R:$R,"")+_xlfn.XLOOKUP($A173,Maestro_Equipos!$A:$A,Maestro_Equipos!$J:$J,""),"")</f>
        <v>79677</v>
      </c>
      <c r="G173">
        <f>IFERROR(_xlfn.XLOOKUP($A173,Maestro_Equipos!$A:$A,Maestro_Equipos!$K:$K,""),"")</f>
        <v>129.30000000000001</v>
      </c>
      <c r="H173">
        <f>IFERROR(IF(OR($E173="",$F173="",$G173="",$G173&lt;=0),"",ROUND(($F173-$E173)/$G173,0)),"")</f>
        <v>28</v>
      </c>
      <c r="I173" s="71">
        <f ca="1">IFERROR(IF($H173="","",TODAY()+$H173),"")</f>
        <v>46268</v>
      </c>
      <c r="J173" s="5" t="str">
        <f>IFERROR(INDEX(Maestro_Equipos!$V$4:$V$242,MATCH($A173,Maestro_Equipos!$A$4:$A$242,0)),"")</f>
        <v>Operativo</v>
      </c>
      <c r="K173" s="35">
        <f>IFERROR(
   SUMIFS(Mantenciones!$I:$I,Mantenciones!$B:$B,$A173)
 + SUMIFS('Compras PM'!$F:$F,'Compras PM'!$C:$C,$A173),0)</f>
        <v>74401.394</v>
      </c>
      <c r="L173" s="28" t="str">
        <f>IF($J173="Fuera de Servicio","NO PROGRAMAR",IF($H173="","SIN DATOS",IF($H173&lt;=0,"VENCIDA",IF($H173&lt;=7,"CRÍTICA",IF($H173&lt;=15,"ALTA",IF($H173&lt;=30,"MEDIA","BAJA"))))))</f>
        <v>MEDIA</v>
      </c>
      <c r="M173" s="53" cm="1">
        <f t="array" ref="M173">IFERROR(_xlfn.AGGREGATE(14,6,Mantenciones!$A$3:$A$9916/(Mantenciones!$B$3:$B$9916=$A173),1),"")</f>
        <v>46132</v>
      </c>
      <c r="N173" s="29" cm="1">
        <f t="array" ref="N173">IFERROR(_xlfn.AGGREGATE(14,6,'Compras PM'!$A$4:$A$10029/('Compras PM'!$C$4:$C$10029=$A173),1),"")</f>
        <v>46162.424154247703</v>
      </c>
      <c r="O173" s="29">
        <f>IFERROR(VLOOKUP($A173,Maestro_Equipos!$A$4:$AG$242,27,FALSE()),"")</f>
        <v>46132</v>
      </c>
      <c r="P173" s="30">
        <f ca="1">IFERROR(IF($N173="","",IF(OR($M173="",$M173&lt;$N173),TODAY()-$N173,$M173-$N173)),"")</f>
        <v>77.575845752297028</v>
      </c>
      <c r="Q173" s="30">
        <f ca="1">IFERROR(IF($O173="","",IF(OR($M173="",$M173&lt;$O173),TODAY()-$O173,$M173-$O173)),"")</f>
        <v>0</v>
      </c>
      <c r="R173" s="28" t="str">
        <f>IF($O173="","SIN SALIDA",IF(OR($M173="",$M173&lt;$O173),"PENDIENTE","REALIZADA"))</f>
        <v>REALIZADA</v>
      </c>
      <c r="S173" s="31" t="str">
        <f>IFERROR(VLOOKUP($A173,Maestro_Equipos!$A$4:$AG$242,33,FALSE()),"")</f>
        <v>Monitorear próximo vencimiento</v>
      </c>
    </row>
    <row r="174" spans="1:19">
      <c r="A174" t="str" cm="1">
        <f t="array" ref="A174">IFERROR(INDEX(_xlfn._xlws.FILTER(Maestro_Equipos!$A$4:$A$242,Maestro_Equipos!$A$4:$A$242&lt;&gt;""),ROWS($A$4:A174)),"")</f>
        <v>VD-121</v>
      </c>
      <c r="B174" t="str">
        <f>IFERROR(_xlfn.XLOOKUP($A174,Maestro_Equipos!$A$4:$A$242,Maestro_Equipos!$B$4:$B$242,""),"")</f>
        <v>Furgon</v>
      </c>
      <c r="C174" t="str">
        <f>IFERROR(_xlfn.XLOOKUP($A174,Maestro_Equipos!$A$4:$A$242,Maestro_Equipos!$C$4:$C$242,""),"")</f>
        <v>Vehículos Livianos</v>
      </c>
      <c r="D174" t="str">
        <f>IFERROR(_xlfn.XLOOKUP($A174,Maestro_Equipos!$A:$A,Maestro_Equipos!$I:$I,""),"")</f>
        <v>KM</v>
      </c>
      <c r="E174">
        <f>IFERROR(IF($D174="KM",_xlfn.XLOOKUP($A174,Maestro_Equipos!$A:$A,Maestro_Equipos!$N:$N,""),_xlfn.XLOOKUP($A174,Maestro_Equipos!$A:$A,Maestro_Equipos!$M:$M,"")),"")</f>
        <v>80272</v>
      </c>
      <c r="F174">
        <f>IFERROR(_xlfn.XLOOKUP($A174,Maestro_Equipos!$A:$A,Maestro_Equipos!$R:$R,"")+_xlfn.XLOOKUP($A174,Maestro_Equipos!$A:$A,Maestro_Equipos!$J:$J,""),"")</f>
        <v>81838</v>
      </c>
      <c r="G174">
        <f>IFERROR(_xlfn.XLOOKUP($A174,Maestro_Equipos!$A:$A,Maestro_Equipos!$K:$K,""),"")</f>
        <v>184.9</v>
      </c>
      <c r="H174">
        <f>IFERROR(IF(OR($E174="",$F174="",$G174="",$G174&lt;=0),"",ROUND(($F174-$E174)/$G174,0)),"")</f>
        <v>8</v>
      </c>
      <c r="I174" s="71">
        <f ca="1">IFERROR(IF($H174="","",TODAY()+$H174),"")</f>
        <v>46248</v>
      </c>
      <c r="J174" s="5" t="str">
        <f>IFERROR(INDEX(Maestro_Equipos!$V$4:$V$242,MATCH($A174,Maestro_Equipos!$A$4:$A$242,0)),"")</f>
        <v>Operativo</v>
      </c>
      <c r="K174" s="35">
        <f>IFERROR(
   SUMIFS(Mantenciones!$I:$I,Mantenciones!$B:$B,$A174)
 + SUMIFS('Compras PM'!$F:$F,'Compras PM'!$C:$C,$A174),0)</f>
        <v>74401.394</v>
      </c>
      <c r="L174" s="28" t="str">
        <f>IF($J174="Fuera de Servicio","NO PROGRAMAR",IF($H174="","SIN DATOS",IF($H174&lt;=0,"VENCIDA",IF($H174&lt;=7,"CRÍTICA",IF($H174&lt;=15,"ALTA",IF($H174&lt;=30,"MEDIA","BAJA"))))))</f>
        <v>ALTA</v>
      </c>
      <c r="M174" s="53" cm="1">
        <f t="array" ref="M174">IFERROR(_xlfn.AGGREGATE(14,6,Mantenciones!$A$3:$A$9916/(Mantenciones!$B$3:$B$9916=$A174),1),"")</f>
        <v>46087</v>
      </c>
      <c r="N174" s="29" cm="1">
        <f t="array" ref="N174">IFERROR(_xlfn.AGGREGATE(14,6,'Compras PM'!$A$4:$A$10029/('Compras PM'!$C$4:$C$10029=$A174),1),"")</f>
        <v>46162.424154247703</v>
      </c>
      <c r="O174" s="29">
        <f>IFERROR(VLOOKUP($A174,Maestro_Equipos!$A$4:$AG$242,27,FALSE()),"")</f>
        <v>46087</v>
      </c>
      <c r="P174" s="30">
        <f ca="1">IFERROR(IF($N174="","",IF(OR($M174="",$M174&lt;$N174),TODAY()-$N174,$M174-$N174)),"")</f>
        <v>77.575845752297028</v>
      </c>
      <c r="Q174" s="30">
        <f ca="1">IFERROR(IF($O174="","",IF(OR($M174="",$M174&lt;$O174),TODAY()-$O174,$M174-$O174)),"")</f>
        <v>0</v>
      </c>
      <c r="R174" s="28" t="str">
        <f>IF($O174="","SIN SALIDA",IF(OR($M174="",$M174&lt;$O174),"PENDIENTE","REALIZADA"))</f>
        <v>REALIZADA</v>
      </c>
      <c r="S174" s="31" t="str">
        <f>IFERROR(VLOOKUP($A174,Maestro_Equipos!$A$4:$AG$242,33,FALSE()),"")</f>
        <v>Monitorear próximo vencimiento</v>
      </c>
    </row>
    <row r="175" spans="1:19" ht="15.75" customHeight="1">
      <c r="A175" t="str" cm="1">
        <f t="array" ref="A175">IFERROR(INDEX(_xlfn._xlws.FILTER(Maestro_Equipos!$A$4:$A$242,Maestro_Equipos!$A$4:$A$242&lt;&gt;""),ROWS($A$4:A175)),"")</f>
        <v>VD-122</v>
      </c>
      <c r="B175" t="str">
        <f>IFERROR(_xlfn.XLOOKUP($A175,Maestro_Equipos!$A$4:$A$242,Maestro_Equipos!$B$4:$B$242,""),"")</f>
        <v>Furgon</v>
      </c>
      <c r="C175" t="str">
        <f>IFERROR(_xlfn.XLOOKUP($A175,Maestro_Equipos!$A$4:$A$242,Maestro_Equipos!$C$4:$C$242,""),"")</f>
        <v>Vehículos Livianos</v>
      </c>
      <c r="D175" t="str">
        <f>IFERROR(_xlfn.XLOOKUP($A175,Maestro_Equipos!$A:$A,Maestro_Equipos!$I:$I,""),"")</f>
        <v>KM</v>
      </c>
      <c r="E175">
        <f>IFERROR(IF($D175="KM",_xlfn.XLOOKUP($A175,Maestro_Equipos!$A:$A,Maestro_Equipos!$N:$N,""),_xlfn.XLOOKUP($A175,Maestro_Equipos!$A:$A,Maestro_Equipos!$M:$M,"")),"")</f>
        <v>50072</v>
      </c>
      <c r="F175">
        <f>IFERROR(_xlfn.XLOOKUP($A175,Maestro_Equipos!$A:$A,Maestro_Equipos!$R:$R,"")+_xlfn.XLOOKUP($A175,Maestro_Equipos!$A:$A,Maestro_Equipos!$J:$J,""),"")</f>
        <v>61036</v>
      </c>
      <c r="G175">
        <f>IFERROR(_xlfn.XLOOKUP($A175,Maestro_Equipos!$A:$A,Maestro_Equipos!$K:$K,""),"")</f>
        <v>89.9</v>
      </c>
      <c r="H175">
        <f>IFERROR(IF(OR($E175="",$F175="",$G175="",$G175&lt;=0),"",ROUND(($F175-$E175)/$G175,0)),"")</f>
        <v>122</v>
      </c>
      <c r="I175" s="71">
        <f ca="1">IFERROR(IF($H175="","",TODAY()+$H175),"")</f>
        <v>46362</v>
      </c>
      <c r="J175" s="5" t="str">
        <f>IFERROR(INDEX(Maestro_Equipos!$V$4:$V$242,MATCH($A175,Maestro_Equipos!$A$4:$A$242,0)),"")</f>
        <v>Operativo</v>
      </c>
      <c r="K175" s="35">
        <f>IFERROR(
   SUMIFS(Mantenciones!$I:$I,Mantenciones!$B:$B,$A175)
 + SUMIFS('Compras PM'!$F:$F,'Compras PM'!$C:$C,$A175),0)</f>
        <v>74401.394</v>
      </c>
      <c r="L175" s="28" t="str">
        <f>IF($J175="Fuera de Servicio","NO PROGRAMAR",IF($H175="","SIN DATOS",IF($H175&lt;=0,"VENCIDA",IF($H175&lt;=7,"CRÍTICA",IF($H175&lt;=15,"ALTA",IF($H175&lt;=30,"MEDIA","BAJA"))))))</f>
        <v>BAJA</v>
      </c>
      <c r="M175" s="53" cm="1">
        <f t="array" ref="M175">IFERROR(_xlfn.AGGREGATE(14,6,Mantenciones!$A$3:$A$9916/(Mantenciones!$B$3:$B$9916=$A175),1),"")</f>
        <v>46189</v>
      </c>
      <c r="N175" s="29" cm="1">
        <f t="array" ref="N175">IFERROR(_xlfn.AGGREGATE(14,6,'Compras PM'!$A$4:$A$10029/('Compras PM'!$C$4:$C$10029=$A175),1),"")</f>
        <v>46162.424154247703</v>
      </c>
      <c r="O175" s="29">
        <f>IFERROR(VLOOKUP($A175,Maestro_Equipos!$A$4:$AG$242,27,FALSE()),"")</f>
        <v>46072</v>
      </c>
      <c r="P175" s="30">
        <f ca="1">IFERROR(IF($N175="","",IF(OR($M175="",$M175&lt;$N175),TODAY()-$N175,$M175-$N175)),"")</f>
        <v>26.575845752297028</v>
      </c>
      <c r="Q175" s="30">
        <f ca="1">IFERROR(IF($O175="","",IF(OR($M175="",$M175&lt;$O175),TODAY()-$O175,$M175-$O175)),"")</f>
        <v>117</v>
      </c>
      <c r="R175" s="28" t="str">
        <f>IF($O175="","SIN SALIDA",IF(OR($M175="",$M175&lt;$O175),"PENDIENTE","REALIZADA"))</f>
        <v>REALIZADA</v>
      </c>
      <c r="S175" s="31" t="str">
        <f>IFERROR(VLOOKUP($A175,Maestro_Equipos!$A$4:$AG$242,33,FALSE()),"")</f>
        <v>Monitorear próximo vencimiento</v>
      </c>
    </row>
    <row r="176" spans="1:19" ht="15.75" customHeight="1">
      <c r="A176" t="str" cm="1">
        <f t="array" ref="A176">IFERROR(INDEX(_xlfn._xlws.FILTER(Maestro_Equipos!$A$4:$A$242,Maestro_Equipos!$A$4:$A$242&lt;&gt;""),ROWS($A$4:A176)),"")</f>
        <v>VD-123</v>
      </c>
      <c r="B176" t="str">
        <f>IFERROR(_xlfn.XLOOKUP($A176,Maestro_Equipos!$A$4:$A$242,Maestro_Equipos!$B$4:$B$242,""),"")</f>
        <v>Furgon</v>
      </c>
      <c r="C176" t="str">
        <f>IFERROR(_xlfn.XLOOKUP($A176,Maestro_Equipos!$A$4:$A$242,Maestro_Equipos!$C$4:$C$242,""),"")</f>
        <v>Vehículos Livianos</v>
      </c>
      <c r="D176" t="str">
        <f>IFERROR(_xlfn.XLOOKUP($A176,Maestro_Equipos!$A:$A,Maestro_Equipos!$I:$I,""),"")</f>
        <v>KM</v>
      </c>
      <c r="E176">
        <f>IFERROR(IF($D176="KM",_xlfn.XLOOKUP($A176,Maestro_Equipos!$A:$A,Maestro_Equipos!$N:$N,""),_xlfn.XLOOKUP($A176,Maestro_Equipos!$A:$A,Maestro_Equipos!$M:$M,"")),"")</f>
        <v>84545</v>
      </c>
      <c r="F176">
        <f>IFERROR(_xlfn.XLOOKUP($A176,Maestro_Equipos!$A:$A,Maestro_Equipos!$R:$R,"")+_xlfn.XLOOKUP($A176,Maestro_Equipos!$A:$A,Maestro_Equipos!$J:$J,""),"")</f>
        <v>106425</v>
      </c>
      <c r="G176">
        <f>IFERROR(_xlfn.XLOOKUP($A176,Maestro_Equipos!$A:$A,Maestro_Equipos!$K:$K,""),"")</f>
        <v>116.7</v>
      </c>
      <c r="H176">
        <f>IFERROR(IF(OR($E176="",$F176="",$G176="",$G176&lt;=0),"",ROUND(($F176-$E176)/$G176,0)),"")</f>
        <v>187</v>
      </c>
      <c r="I176" s="71">
        <f ca="1">IFERROR(IF($H176="","",TODAY()+$H176),"")</f>
        <v>46427</v>
      </c>
      <c r="J176" s="5" t="str">
        <f>IFERROR(INDEX(Maestro_Equipos!$V$4:$V$242,MATCH($A176,Maestro_Equipos!$A$4:$A$242,0)),"")</f>
        <v>Operativo</v>
      </c>
      <c r="K176" s="35">
        <f>IFERROR(
   SUMIFS(Mantenciones!$I:$I,Mantenciones!$B:$B,$A176)
 + SUMIFS('Compras PM'!$F:$F,'Compras PM'!$C:$C,$A176),0)</f>
        <v>106415.394</v>
      </c>
      <c r="L176" s="28" t="str">
        <f>IF($J176="Fuera de Servicio","NO PROGRAMAR",IF($H176="","SIN DATOS",IF($H176&lt;=0,"VENCIDA",IF($H176&lt;=7,"CRÍTICA",IF($H176&lt;=15,"ALTA",IF($H176&lt;=30,"MEDIA","BAJA"))))))</f>
        <v>BAJA</v>
      </c>
      <c r="M176" s="53" cm="1">
        <f t="array" ref="M176">IFERROR(_xlfn.AGGREGATE(14,6,Mantenciones!$A$3:$A$9916/(Mantenciones!$B$3:$B$9916=$A176),1),"")</f>
        <v>46188</v>
      </c>
      <c r="N176" s="29" cm="1">
        <f t="array" ref="N176">IFERROR(_xlfn.AGGREGATE(14,6,'Compras PM'!$A$4:$A$10029/('Compras PM'!$C$4:$C$10029=$A176),1),"")</f>
        <v>46162.424154247703</v>
      </c>
      <c r="O176" s="29">
        <f>IFERROR(VLOOKUP($A176,Maestro_Equipos!$A$4:$AG$242,27,FALSE()),"")</f>
        <v>46099</v>
      </c>
      <c r="P176" s="30">
        <f ca="1">IFERROR(IF($N176="","",IF(OR($M176="",$M176&lt;$N176),TODAY()-$N176,$M176-$N176)),"")</f>
        <v>25.575845752297028</v>
      </c>
      <c r="Q176" s="30">
        <f ca="1">IFERROR(IF($O176="","",IF(OR($M176="",$M176&lt;$O176),TODAY()-$O176,$M176-$O176)),"")</f>
        <v>89</v>
      </c>
      <c r="R176" s="28" t="str">
        <f>IF($O176="","SIN SALIDA",IF(OR($M176="",$M176&lt;$O176),"PENDIENTE","REALIZADA"))</f>
        <v>REALIZADA</v>
      </c>
      <c r="S176" s="31" t="str">
        <f>IFERROR(VLOOKUP($A176,Maestro_Equipos!$A$4:$AG$242,33,FALSE()),"")</f>
        <v>Monitorear próximo vencimiento</v>
      </c>
    </row>
    <row r="177" spans="1:19" ht="15.75" customHeight="1">
      <c r="A177" t="str" cm="1">
        <f t="array" ref="A177">IFERROR(INDEX(_xlfn._xlws.FILTER(Maestro_Equipos!$A$4:$A$242,Maestro_Equipos!$A$4:$A$242&lt;&gt;""),ROWS($A$4:A177)),"")</f>
        <v>VD-124</v>
      </c>
      <c r="B177" t="str">
        <f>IFERROR(_xlfn.XLOOKUP($A177,Maestro_Equipos!$A$4:$A$242,Maestro_Equipos!$B$4:$B$242,""),"")</f>
        <v>Furgon</v>
      </c>
      <c r="C177" t="str">
        <f>IFERROR(_xlfn.XLOOKUP($A177,Maestro_Equipos!$A$4:$A$242,Maestro_Equipos!$C$4:$C$242,""),"")</f>
        <v>Vehículos Livianos</v>
      </c>
      <c r="D177" t="str">
        <f>IFERROR(_xlfn.XLOOKUP($A177,Maestro_Equipos!$A:$A,Maestro_Equipos!$I:$I,""),"")</f>
        <v>KM</v>
      </c>
      <c r="E177">
        <f>IFERROR(IF($D177="KM",_xlfn.XLOOKUP($A177,Maestro_Equipos!$A:$A,Maestro_Equipos!$N:$N,""),_xlfn.XLOOKUP($A177,Maestro_Equipos!$A:$A,Maestro_Equipos!$M:$M,"")),"")</f>
        <v>55477</v>
      </c>
      <c r="F177">
        <f>IFERROR(_xlfn.XLOOKUP($A177,Maestro_Equipos!$A:$A,Maestro_Equipos!$R:$R,"")+_xlfn.XLOOKUP($A177,Maestro_Equipos!$A:$A,Maestro_Equipos!$J:$J,""),"")</f>
        <v>68786</v>
      </c>
      <c r="G177">
        <f>IFERROR(_xlfn.XLOOKUP($A177,Maestro_Equipos!$A:$A,Maestro_Equipos!$K:$K,""),"")</f>
        <v>131.30000000000001</v>
      </c>
      <c r="H177">
        <f>IFERROR(IF(OR($E177="",$F177="",$G177="",$G177&lt;=0),"",ROUND(($F177-$E177)/$G177,0)),"")</f>
        <v>101</v>
      </c>
      <c r="I177" s="71">
        <f ca="1">IFERROR(IF($H177="","",TODAY()+$H177),"")</f>
        <v>46341</v>
      </c>
      <c r="J177" s="5" t="str">
        <f>IFERROR(INDEX(Maestro_Equipos!$V$4:$V$242,MATCH($A177,Maestro_Equipos!$A$4:$A$242,0)),"")</f>
        <v>Operativo</v>
      </c>
      <c r="K177" s="35">
        <f>IFERROR(
   SUMIFS(Mantenciones!$I:$I,Mantenciones!$B:$B,$A177)
 + SUMIFS('Compras PM'!$F:$F,'Compras PM'!$C:$C,$A177),0)</f>
        <v>56601.373999999996</v>
      </c>
      <c r="L177" s="28" t="str">
        <f>IF($J177="Fuera de Servicio","NO PROGRAMAR",IF($H177="","SIN DATOS",IF($H177&lt;=0,"VENCIDA",IF($H177&lt;=7,"CRÍTICA",IF($H177&lt;=15,"ALTA",IF($H177&lt;=30,"MEDIA","BAJA"))))))</f>
        <v>BAJA</v>
      </c>
      <c r="M177" s="53" cm="1">
        <f t="array" ref="M177">IFERROR(_xlfn.AGGREGATE(14,6,Mantenciones!$A$3:$A$9916/(Mantenciones!$B$3:$B$9916=$A177),1),"")</f>
        <v>46134</v>
      </c>
      <c r="N177" s="29" cm="1">
        <f t="array" ref="N177">IFERROR(_xlfn.AGGREGATE(14,6,'Compras PM'!$A$4:$A$10029/('Compras PM'!$C$4:$C$10029=$A177),1),"")</f>
        <v>46118.408281215299</v>
      </c>
      <c r="O177" s="29">
        <f>IFERROR(VLOOKUP($A177,Maestro_Equipos!$A$4:$AG$242,27,FALSE()),"")</f>
        <v>46080</v>
      </c>
      <c r="P177" s="30">
        <f ca="1">IFERROR(IF($N177="","",IF(OR($M177="",$M177&lt;$N177),TODAY()-$N177,$M177-$N177)),"")</f>
        <v>15.591718784700788</v>
      </c>
      <c r="Q177" s="30">
        <f ca="1">IFERROR(IF($O177="","",IF(OR($M177="",$M177&lt;$O177),TODAY()-$O177,$M177-$O177)),"")</f>
        <v>54</v>
      </c>
      <c r="R177" s="28" t="str">
        <f>IF($O177="","SIN SALIDA",IF(OR($M177="",$M177&lt;$O177),"PENDIENTE","REALIZADA"))</f>
        <v>REALIZADA</v>
      </c>
      <c r="S177" s="31" t="str">
        <f>IFERROR(VLOOKUP($A177,Maestro_Equipos!$A$4:$AG$242,33,FALSE()),"")</f>
        <v>Monitorear próximo vencimiento</v>
      </c>
    </row>
    <row r="178" spans="1:19" ht="15.75" customHeight="1">
      <c r="A178" t="str" cm="1">
        <f t="array" ref="A178">IFERROR(INDEX(_xlfn._xlws.FILTER(Maestro_Equipos!$A$4:$A$242,Maestro_Equipos!$A$4:$A$242&lt;&gt;""),ROWS($A$4:A178)),"")</f>
        <v>VD-125</v>
      </c>
      <c r="B178" t="str">
        <f>IFERROR(_xlfn.XLOOKUP($A178,Maestro_Equipos!$A$4:$A$242,Maestro_Equipos!$B$4:$B$242,""),"")</f>
        <v>Camioneta</v>
      </c>
      <c r="C178" t="str">
        <f>IFERROR(_xlfn.XLOOKUP($A178,Maestro_Equipos!$A$4:$A$242,Maestro_Equipos!$C$4:$C$242,""),"")</f>
        <v>Vehículos Livianos</v>
      </c>
      <c r="D178" t="str">
        <f>IFERROR(_xlfn.XLOOKUP($A178,Maestro_Equipos!$A:$A,Maestro_Equipos!$I:$I,""),"")</f>
        <v>KM</v>
      </c>
      <c r="E178">
        <f>IFERROR(IF($D178="KM",_xlfn.XLOOKUP($A178,Maestro_Equipos!$A:$A,Maestro_Equipos!$N:$N,""),_xlfn.XLOOKUP($A178,Maestro_Equipos!$A:$A,Maestro_Equipos!$M:$M,"")),"")</f>
        <v>67281</v>
      </c>
      <c r="F178">
        <f>IFERROR(_xlfn.XLOOKUP($A178,Maestro_Equipos!$A:$A,Maestro_Equipos!$R:$R,"")+_xlfn.XLOOKUP($A178,Maestro_Equipos!$A:$A,Maestro_Equipos!$J:$J,""),"")</f>
        <v>73306</v>
      </c>
      <c r="G178">
        <f>IFERROR(_xlfn.XLOOKUP($A178,Maestro_Equipos!$A:$A,Maestro_Equipos!$K:$K,""),"")</f>
        <v>160.1</v>
      </c>
      <c r="H178">
        <f>IFERROR(IF(OR($E178="",$F178="",$G178="",$G178&lt;=0),"",ROUND(($F178-$E178)/$G178,0)),"")</f>
        <v>38</v>
      </c>
      <c r="I178" s="71">
        <f ca="1">IFERROR(IF($H178="","",TODAY()+$H178),"")</f>
        <v>46278</v>
      </c>
      <c r="J178" s="5" t="str">
        <f>IFERROR(INDEX(Maestro_Equipos!$V$4:$V$242,MATCH($A178,Maestro_Equipos!$A$4:$A$242,0)),"")</f>
        <v>Operativo</v>
      </c>
      <c r="K178" s="35">
        <f>IFERROR(
   SUMIFS(Mantenciones!$I:$I,Mantenciones!$B:$B,$A178)
 + SUMIFS('Compras PM'!$F:$F,'Compras PM'!$C:$C,$A178),0)</f>
        <v>450393.56</v>
      </c>
      <c r="L178" s="28" t="str">
        <f>IF($J178="Fuera de Servicio","NO PROGRAMAR",IF($H178="","SIN DATOS",IF($H178&lt;=0,"VENCIDA",IF($H178&lt;=7,"CRÍTICA",IF($H178&lt;=15,"ALTA",IF($H178&lt;=30,"MEDIA","BAJA"))))))</f>
        <v>BAJA</v>
      </c>
      <c r="M178" s="53" cm="1">
        <f t="array" ref="M178">IFERROR(_xlfn.AGGREGATE(14,6,Mantenciones!$A$3:$A$9916/(Mantenciones!$B$3:$B$9916=$A178),1),"")</f>
        <v>46073</v>
      </c>
      <c r="N178" s="29" cm="1">
        <f t="array" ref="N178">IFERROR(_xlfn.AGGREGATE(14,6,'Compras PM'!$A$4:$A$10029/('Compras PM'!$C$4:$C$10029=$A178),1),"")</f>
        <v>46136.6736726042</v>
      </c>
      <c r="O178" s="29" t="str">
        <f>IFERROR(VLOOKUP($A178,Maestro_Equipos!$A$4:$AG$242,27,FALSE()),"")</f>
        <v/>
      </c>
      <c r="P178" s="30">
        <f ca="1">IFERROR(IF($N178="","",IF(OR($M178="",$M178&lt;$N178),TODAY()-$N178,$M178-$N178)),"")</f>
        <v>103.32632739580004</v>
      </c>
      <c r="Q178" s="30" t="str">
        <f ca="1">IFERROR(IF($O178="","",IF(OR($M178="",$M178&lt;$O178),TODAY()-$O178,$M178-$O178)),"")</f>
        <v/>
      </c>
      <c r="R178" s="28" t="str">
        <f>IF($O178="","SIN SALIDA",IF(OR($M178="",$M178&lt;$O178),"PENDIENTE","REALIZADA"))</f>
        <v>SIN SALIDA</v>
      </c>
      <c r="S178" s="31" t="str">
        <f>IFERROR(VLOOKUP($A178,Maestro_Equipos!$A$4:$AG$242,33,FALSE()),"")</f>
        <v>Hacer seguimiento al taller y cerrar report</v>
      </c>
    </row>
    <row r="179" spans="1:19" ht="15.75" customHeight="1">
      <c r="A179" t="str" cm="1">
        <f t="array" ref="A179">IFERROR(INDEX(_xlfn._xlws.FILTER(Maestro_Equipos!$A$4:$A$242,Maestro_Equipos!$A$4:$A$242&lt;&gt;""),ROWS($A$4:A179)),"")</f>
        <v>VD-126</v>
      </c>
      <c r="B179" t="str">
        <f>IFERROR(_xlfn.XLOOKUP($A179,Maestro_Equipos!$A$4:$A$242,Maestro_Equipos!$B$4:$B$242,""),"")</f>
        <v>Camioneta</v>
      </c>
      <c r="C179" t="str">
        <f>IFERROR(_xlfn.XLOOKUP($A179,Maestro_Equipos!$A$4:$A$242,Maestro_Equipos!$C$4:$C$242,""),"")</f>
        <v>Vehículos Livianos</v>
      </c>
      <c r="D179" t="str">
        <f>IFERROR(_xlfn.XLOOKUP($A179,Maestro_Equipos!$A:$A,Maestro_Equipos!$I:$I,""),"")</f>
        <v>KM</v>
      </c>
      <c r="E179">
        <f>IFERROR(IF($D179="KM",_xlfn.XLOOKUP($A179,Maestro_Equipos!$A:$A,Maestro_Equipos!$N:$N,""),_xlfn.XLOOKUP($A179,Maestro_Equipos!$A:$A,Maestro_Equipos!$M:$M,"")),"")</f>
        <v>69314</v>
      </c>
      <c r="F179">
        <f>IFERROR(_xlfn.XLOOKUP($A179,Maestro_Equipos!$A:$A,Maestro_Equipos!$R:$R,"")+_xlfn.XLOOKUP($A179,Maestro_Equipos!$A:$A,Maestro_Equipos!$J:$J,""),"")</f>
        <v>87991</v>
      </c>
      <c r="G179">
        <f>IFERROR(_xlfn.XLOOKUP($A179,Maestro_Equipos!$A:$A,Maestro_Equipos!$K:$K,""),"")</f>
        <v>138.30000000000001</v>
      </c>
      <c r="H179">
        <f>IFERROR(IF(OR($E179="",$F179="",$G179="",$G179&lt;=0),"",ROUND(($F179-$E179)/$G179,0)),"")</f>
        <v>135</v>
      </c>
      <c r="I179" s="71">
        <f ca="1">IFERROR(IF($H179="","",TODAY()+$H179),"")</f>
        <v>46375</v>
      </c>
      <c r="J179" s="5" t="str">
        <f>IFERROR(INDEX(Maestro_Equipos!$V$4:$V$242,MATCH($A179,Maestro_Equipos!$A$4:$A$242,0)),"")</f>
        <v>Operativo</v>
      </c>
      <c r="K179" s="35">
        <f>IFERROR(
   SUMIFS(Mantenciones!$I:$I,Mantenciones!$B:$B,$A179)
 + SUMIFS('Compras PM'!$F:$F,'Compras PM'!$C:$C,$A179),0)</f>
        <v>1089307.98</v>
      </c>
      <c r="L179" s="28" t="str">
        <f>IF($J179="Fuera de Servicio","NO PROGRAMAR",IF($H179="","SIN DATOS",IF($H179&lt;=0,"VENCIDA",IF($H179&lt;=7,"CRÍTICA",IF($H179&lt;=15,"ALTA",IF($H179&lt;=30,"MEDIA","BAJA"))))))</f>
        <v>BAJA</v>
      </c>
      <c r="M179" s="53" cm="1">
        <f t="array" ref="M179">IFERROR(_xlfn.AGGREGATE(14,6,Mantenciones!$A$3:$A$9916/(Mantenciones!$B$3:$B$9916=$A179),1),"")</f>
        <v>46155</v>
      </c>
      <c r="N179" s="29" cm="1">
        <f t="array" ref="N179">IFERROR(_xlfn.AGGREGATE(14,6,'Compras PM'!$A$4:$A$10029/('Compras PM'!$C$4:$C$10029=$A179),1),"")</f>
        <v>46136.6736726042</v>
      </c>
      <c r="O179" s="29" t="str">
        <f>IFERROR(VLOOKUP($A179,Maestro_Equipos!$A$4:$AG$242,27,FALSE()),"")</f>
        <v/>
      </c>
      <c r="P179" s="30">
        <f ca="1">IFERROR(IF($N179="","",IF(OR($M179="",$M179&lt;$N179),TODAY()-$N179,$M179-$N179)),"")</f>
        <v>18.326327395800035</v>
      </c>
      <c r="Q179" s="30" t="str">
        <f ca="1">IFERROR(IF($O179="","",IF(OR($M179="",$M179&lt;$O179),TODAY()-$O179,$M179-$O179)),"")</f>
        <v/>
      </c>
      <c r="R179" s="28" t="str">
        <f>IF($O179="","SIN SALIDA",IF(OR($M179="",$M179&lt;$O179),"PENDIENTE","REALIZADA"))</f>
        <v>SIN SALIDA</v>
      </c>
      <c r="S179" s="31" t="str">
        <f>IFERROR(VLOOKUP($A179,Maestro_Equipos!$A$4:$AG$242,33,FALSE()),"")</f>
        <v>Hacer seguimiento al taller y cerrar report</v>
      </c>
    </row>
    <row r="180" spans="1:19" ht="15.75" customHeight="1">
      <c r="A180" t="str" cm="1">
        <f t="array" ref="A180">IFERROR(INDEX(_xlfn._xlws.FILTER(Maestro_Equipos!$A$4:$A$242,Maestro_Equipos!$A$4:$A$242&lt;&gt;""),ROWS($A$4:A180)),"")</f>
        <v>VD-127</v>
      </c>
      <c r="B180" t="str">
        <f>IFERROR(_xlfn.XLOOKUP($A180,Maestro_Equipos!$A$4:$A$242,Maestro_Equipos!$B$4:$B$242,""),"")</f>
        <v>Camioneta</v>
      </c>
      <c r="C180" t="str">
        <f>IFERROR(_xlfn.XLOOKUP($A180,Maestro_Equipos!$A$4:$A$242,Maestro_Equipos!$C$4:$C$242,""),"")</f>
        <v>Vehículos Livianos</v>
      </c>
      <c r="D180" t="str">
        <f>IFERROR(_xlfn.XLOOKUP($A180,Maestro_Equipos!$A:$A,Maestro_Equipos!$I:$I,""),"")</f>
        <v>KM</v>
      </c>
      <c r="E180">
        <f>IFERROR(IF($D180="KM",_xlfn.XLOOKUP($A180,Maestro_Equipos!$A:$A,Maestro_Equipos!$N:$N,""),_xlfn.XLOOKUP($A180,Maestro_Equipos!$A:$A,Maestro_Equipos!$M:$M,"")),"")</f>
        <v>80238</v>
      </c>
      <c r="F180">
        <f>IFERROR(_xlfn.XLOOKUP($A180,Maestro_Equipos!$A:$A,Maestro_Equipos!$R:$R,"")+_xlfn.XLOOKUP($A180,Maestro_Equipos!$A:$A,Maestro_Equipos!$J:$J,""),"")</f>
        <v>102659</v>
      </c>
      <c r="G180">
        <f>IFERROR(_xlfn.XLOOKUP($A180,Maestro_Equipos!$A:$A,Maestro_Equipos!$K:$K,""),"")</f>
        <v>122.4</v>
      </c>
      <c r="H180">
        <f>IFERROR(IF(OR($E180="",$F180="",$G180="",$G180&lt;=0),"",ROUND(($F180-$E180)/$G180,0)),"")</f>
        <v>183</v>
      </c>
      <c r="I180" s="71">
        <f ca="1">IFERROR(IF($H180="","",TODAY()+$H180),"")</f>
        <v>46423</v>
      </c>
      <c r="J180" s="5" t="str">
        <f>IFERROR(INDEX(Maestro_Equipos!$V$4:$V$242,MATCH($A180,Maestro_Equipos!$A$4:$A$242,0)),"")</f>
        <v>Operativo</v>
      </c>
      <c r="K180" s="35">
        <f>IFERROR(
   SUMIFS(Mantenciones!$I:$I,Mantenciones!$B:$B,$A180)
 + SUMIFS('Compras PM'!$F:$F,'Compras PM'!$C:$C,$A180),0)</f>
        <v>631277.98</v>
      </c>
      <c r="L180" s="28" t="str">
        <f>IF($J180="Fuera de Servicio","NO PROGRAMAR",IF($H180="","SIN DATOS",IF($H180&lt;=0,"VENCIDA",IF($H180&lt;=7,"CRÍTICA",IF($H180&lt;=15,"ALTA",IF($H180&lt;=30,"MEDIA","BAJA"))))))</f>
        <v>BAJA</v>
      </c>
      <c r="M180" s="53" cm="1">
        <f t="array" ref="M180">IFERROR(_xlfn.AGGREGATE(14,6,Mantenciones!$A$3:$A$9916/(Mantenciones!$B$3:$B$9916=$A180),1),"")</f>
        <v>46237</v>
      </c>
      <c r="N180" s="29" cm="1">
        <f t="array" ref="N180">IFERROR(_xlfn.AGGREGATE(14,6,'Compras PM'!$A$4:$A$10029/('Compras PM'!$C$4:$C$10029=$A180),1),"")</f>
        <v>46136.6736726042</v>
      </c>
      <c r="O180" s="29">
        <f>IFERROR(VLOOKUP($A180,Maestro_Equipos!$A$4:$AG$242,27,FALSE()),"")</f>
        <v>46146</v>
      </c>
      <c r="P180" s="30">
        <f ca="1">IFERROR(IF($N180="","",IF(OR($M180="",$M180&lt;$N180),TODAY()-$N180,$M180-$N180)),"")</f>
        <v>100.32632739580004</v>
      </c>
      <c r="Q180" s="30">
        <f ca="1">IFERROR(IF($O180="","",IF(OR($M180="",$M180&lt;$O180),TODAY()-$O180,$M180-$O180)),"")</f>
        <v>91</v>
      </c>
      <c r="R180" s="28" t="str">
        <f>IF($O180="","SIN SALIDA",IF(OR($M180="",$M180&lt;$O180),"PENDIENTE","REALIZADA"))</f>
        <v>REALIZADA</v>
      </c>
      <c r="S180" s="31" t="str">
        <f>IFERROR(VLOOKUP($A180,Maestro_Equipos!$A$4:$AG$242,33,FALSE()),"")</f>
        <v>Monitorear próximo vencimiento</v>
      </c>
    </row>
    <row r="181" spans="1:19" ht="15.75" customHeight="1">
      <c r="A181" t="str" cm="1">
        <f t="array" ref="A181">IFERROR(INDEX(_xlfn._xlws.FILTER(Maestro_Equipos!$A$4:$A$242,Maestro_Equipos!$A$4:$A$242&lt;&gt;""),ROWS($A$4:A181)),"")</f>
        <v>VD-128</v>
      </c>
      <c r="B181" t="str">
        <f>IFERROR(_xlfn.XLOOKUP($A181,Maestro_Equipos!$A$4:$A$242,Maestro_Equipos!$B$4:$B$242,""),"")</f>
        <v>Camioneta</v>
      </c>
      <c r="C181" t="str">
        <f>IFERROR(_xlfn.XLOOKUP($A181,Maestro_Equipos!$A$4:$A$242,Maestro_Equipos!$C$4:$C$242,""),"")</f>
        <v>Vehículos Livianos</v>
      </c>
      <c r="D181" t="str">
        <f>IFERROR(_xlfn.XLOOKUP($A181,Maestro_Equipos!$A:$A,Maestro_Equipos!$I:$I,""),"")</f>
        <v>KM</v>
      </c>
      <c r="E181">
        <f>IFERROR(IF($D181="KM",_xlfn.XLOOKUP($A181,Maestro_Equipos!$A:$A,Maestro_Equipos!$N:$N,""),_xlfn.XLOOKUP($A181,Maestro_Equipos!$A:$A,Maestro_Equipos!$M:$M,"")),"")</f>
        <v>86820</v>
      </c>
      <c r="F181">
        <f>IFERROR(_xlfn.XLOOKUP($A181,Maestro_Equipos!$A:$A,Maestro_Equipos!$R:$R,"")+_xlfn.XLOOKUP($A181,Maestro_Equipos!$A:$A,Maestro_Equipos!$J:$J,""),"")</f>
        <v>101820</v>
      </c>
      <c r="G181">
        <f>IFERROR(_xlfn.XLOOKUP($A181,Maestro_Equipos!$A:$A,Maestro_Equipos!$K:$K,""),"")</f>
        <v>145.80000000000001</v>
      </c>
      <c r="H181">
        <f>IFERROR(IF(OR($E181="",$F181="",$G181="",$G181&lt;=0),"",ROUND(($F181-$E181)/$G181,0)),"")</f>
        <v>103</v>
      </c>
      <c r="I181" s="71">
        <f ca="1">IFERROR(IF($H181="","",TODAY()+$H181),"")</f>
        <v>46343</v>
      </c>
      <c r="J181" s="5" t="str">
        <f>IFERROR(INDEX(Maestro_Equipos!$V$4:$V$242,MATCH($A181,Maestro_Equipos!$A$4:$A$242,0)),"")</f>
        <v>Operativo</v>
      </c>
      <c r="K181" s="35">
        <f>IFERROR(
   SUMIFS(Mantenciones!$I:$I,Mantenciones!$B:$B,$A181)
 + SUMIFS('Compras PM'!$F:$F,'Compras PM'!$C:$C,$A181),0)</f>
        <v>1553440.52</v>
      </c>
      <c r="L181" s="28" t="str">
        <f>IF($J181="Fuera de Servicio","NO PROGRAMAR",IF($H181="","SIN DATOS",IF($H181&lt;=0,"VENCIDA",IF($H181&lt;=7,"CRÍTICA",IF($H181&lt;=15,"ALTA",IF($H181&lt;=30,"MEDIA","BAJA"))))))</f>
        <v>BAJA</v>
      </c>
      <c r="M181" s="53" cm="1">
        <f t="array" ref="M181">IFERROR(_xlfn.AGGREGATE(14,6,Mantenciones!$A$3:$A$9916/(Mantenciones!$B$3:$B$9916=$A181),1),"")</f>
        <v>46105</v>
      </c>
      <c r="N181" s="29" cm="1">
        <f t="array" ref="N181">IFERROR(_xlfn.AGGREGATE(14,6,'Compras PM'!$A$4:$A$10029/('Compras PM'!$C$4:$C$10029=$A181),1),"")</f>
        <v>46136.6736726042</v>
      </c>
      <c r="O181" s="29" t="str">
        <f>IFERROR(VLOOKUP($A181,Maestro_Equipos!$A$4:$AG$242,27,FALSE()),"")</f>
        <v/>
      </c>
      <c r="P181" s="30">
        <f ca="1">IFERROR(IF($N181="","",IF(OR($M181="",$M181&lt;$N181),TODAY()-$N181,$M181-$N181)),"")</f>
        <v>103.32632739580004</v>
      </c>
      <c r="Q181" s="30" t="str">
        <f ca="1">IFERROR(IF($O181="","",IF(OR($M181="",$M181&lt;$O181),TODAY()-$O181,$M181-$O181)),"")</f>
        <v/>
      </c>
      <c r="R181" s="28" t="str">
        <f>IF($O181="","SIN SALIDA",IF(OR($M181="",$M181&lt;$O181),"PENDIENTE","REALIZADA"))</f>
        <v>SIN SALIDA</v>
      </c>
      <c r="S181" s="31" t="str">
        <f>IFERROR(VLOOKUP($A181,Maestro_Equipos!$A$4:$AG$242,33,FALSE()),"")</f>
        <v>Hacer seguimiento al taller y cerrar report</v>
      </c>
    </row>
    <row r="182" spans="1:19" ht="15.75" customHeight="1">
      <c r="A182" t="str" cm="1">
        <f t="array" ref="A182">IFERROR(INDEX(_xlfn._xlws.FILTER(Maestro_Equipos!$A$4:$A$242,Maestro_Equipos!$A$4:$A$242&lt;&gt;""),ROWS($A$4:A182)),"")</f>
        <v>VD-129</v>
      </c>
      <c r="B182" t="str">
        <f>IFERROR(_xlfn.XLOOKUP($A182,Maestro_Equipos!$A$4:$A$242,Maestro_Equipos!$B$4:$B$242,""),"")</f>
        <v>Camioneta</v>
      </c>
      <c r="C182" t="str">
        <f>IFERROR(_xlfn.XLOOKUP($A182,Maestro_Equipos!$A$4:$A$242,Maestro_Equipos!$C$4:$C$242,""),"")</f>
        <v>Vehículos Livianos</v>
      </c>
      <c r="D182" t="str">
        <f>IFERROR(_xlfn.XLOOKUP($A182,Maestro_Equipos!$A:$A,Maestro_Equipos!$I:$I,""),"")</f>
        <v>KM</v>
      </c>
      <c r="E182">
        <f>IFERROR(IF($D182="KM",_xlfn.XLOOKUP($A182,Maestro_Equipos!$A:$A,Maestro_Equipos!$N:$N,""),_xlfn.XLOOKUP($A182,Maestro_Equipos!$A:$A,Maestro_Equipos!$M:$M,"")),"")</f>
        <v>81234</v>
      </c>
      <c r="F182">
        <f>IFERROR(_xlfn.XLOOKUP($A182,Maestro_Equipos!$A:$A,Maestro_Equipos!$R:$R,"")+_xlfn.XLOOKUP($A182,Maestro_Equipos!$A:$A,Maestro_Equipos!$J:$J,""),"")</f>
        <v>98032</v>
      </c>
      <c r="G182">
        <f>IFERROR(_xlfn.XLOOKUP($A182,Maestro_Equipos!$A:$A,Maestro_Equipos!$K:$K,""),"")</f>
        <v>134.9</v>
      </c>
      <c r="H182">
        <f>IFERROR(IF(OR($E182="",$F182="",$G182="",$G182&lt;=0),"",ROUND(($F182-$E182)/$G182,0)),"")</f>
        <v>125</v>
      </c>
      <c r="I182" s="71">
        <f ca="1">IFERROR(IF($H182="","",TODAY()+$H182),"")</f>
        <v>46365</v>
      </c>
      <c r="J182" s="5" t="str">
        <f>IFERROR(INDEX(Maestro_Equipos!$V$4:$V$242,MATCH($A182,Maestro_Equipos!$A$4:$A$242,0)),"")</f>
        <v>Operativo</v>
      </c>
      <c r="K182" s="35">
        <f>IFERROR(
   SUMIFS(Mantenciones!$I:$I,Mantenciones!$B:$B,$A182)
 + SUMIFS('Compras PM'!$F:$F,'Compras PM'!$C:$C,$A182),0)</f>
        <v>1281658.98</v>
      </c>
      <c r="L182" s="28" t="str">
        <f>IF($J182="Fuera de Servicio","NO PROGRAMAR",IF($H182="","SIN DATOS",IF($H182&lt;=0,"VENCIDA",IF($H182&lt;=7,"CRÍTICA",IF($H182&lt;=15,"ALTA",IF($H182&lt;=30,"MEDIA","BAJA"))))))</f>
        <v>BAJA</v>
      </c>
      <c r="M182" s="53" cm="1">
        <f t="array" ref="M182">IFERROR(_xlfn.AGGREGATE(14,6,Mantenciones!$A$3:$A$9916/(Mantenciones!$B$3:$B$9916=$A182),1),"")</f>
        <v>46156</v>
      </c>
      <c r="N182" s="29" cm="1">
        <f t="array" ref="N182">IFERROR(_xlfn.AGGREGATE(14,6,'Compras PM'!$A$4:$A$10029/('Compras PM'!$C$4:$C$10029=$A182),1),"")</f>
        <v>46136.6736726042</v>
      </c>
      <c r="O182" s="29" t="str">
        <f>IFERROR(VLOOKUP($A182,Maestro_Equipos!$A$4:$AG$242,27,FALSE()),"")</f>
        <v/>
      </c>
      <c r="P182" s="30">
        <f ca="1">IFERROR(IF($N182="","",IF(OR($M182="",$M182&lt;$N182),TODAY()-$N182,$M182-$N182)),"")</f>
        <v>19.326327395800035</v>
      </c>
      <c r="Q182" s="30" t="str">
        <f ca="1">IFERROR(IF($O182="","",IF(OR($M182="",$M182&lt;$O182),TODAY()-$O182,$M182-$O182)),"")</f>
        <v/>
      </c>
      <c r="R182" s="28" t="str">
        <f>IF($O182="","SIN SALIDA",IF(OR($M182="",$M182&lt;$O182),"PENDIENTE","REALIZADA"))</f>
        <v>SIN SALIDA</v>
      </c>
      <c r="S182" s="31" t="str">
        <f>IFERROR(VLOOKUP($A182,Maestro_Equipos!$A$4:$AG$242,33,FALSE()),"")</f>
        <v>Hacer seguimiento al taller y cerrar report</v>
      </c>
    </row>
    <row r="183" spans="1:19" ht="15.75" customHeight="1">
      <c r="A183" t="str" cm="1">
        <f t="array" ref="A183">IFERROR(INDEX(_xlfn._xlws.FILTER(Maestro_Equipos!$A$4:$A$242,Maestro_Equipos!$A$4:$A$242&lt;&gt;""),ROWS($A$4:A183)),"")</f>
        <v>VD-130</v>
      </c>
      <c r="B183" t="str">
        <f>IFERROR(_xlfn.XLOOKUP($A183,Maestro_Equipos!$A$4:$A$242,Maestro_Equipos!$B$4:$B$242,""),"")</f>
        <v>Camioneta</v>
      </c>
      <c r="C183" t="str">
        <f>IFERROR(_xlfn.XLOOKUP($A183,Maestro_Equipos!$A$4:$A$242,Maestro_Equipos!$C$4:$C$242,""),"")</f>
        <v>Vehículos Livianos</v>
      </c>
      <c r="D183" t="str">
        <f>IFERROR(_xlfn.XLOOKUP($A183,Maestro_Equipos!$A:$A,Maestro_Equipos!$I:$I,""),"")</f>
        <v>KM</v>
      </c>
      <c r="E183">
        <f>IFERROR(IF($D183="KM",_xlfn.XLOOKUP($A183,Maestro_Equipos!$A:$A,Maestro_Equipos!$N:$N,""),_xlfn.XLOOKUP($A183,Maestro_Equipos!$A:$A,Maestro_Equipos!$M:$M,"")),"")</f>
        <v>98990</v>
      </c>
      <c r="F183">
        <f>IFERROR(_xlfn.XLOOKUP($A183,Maestro_Equipos!$A:$A,Maestro_Equipos!$R:$R,"")+_xlfn.XLOOKUP($A183,Maestro_Equipos!$A:$A,Maestro_Equipos!$J:$J,""),"")</f>
        <v>113990</v>
      </c>
      <c r="G183">
        <f>IFERROR(_xlfn.XLOOKUP($A183,Maestro_Equipos!$A:$A,Maestro_Equipos!$K:$K,""),"")</f>
        <v>257.2</v>
      </c>
      <c r="H183">
        <f>IFERROR(IF(OR($E183="",$F183="",$G183="",$G183&lt;=0),"",ROUND(($F183-$E183)/$G183,0)),"")</f>
        <v>58</v>
      </c>
      <c r="I183" s="71">
        <f ca="1">IFERROR(IF($H183="","",TODAY()+$H183),"")</f>
        <v>46298</v>
      </c>
      <c r="J183" s="5" t="str">
        <f>IFERROR(INDEX(Maestro_Equipos!$V$4:$V$242,MATCH($A183,Maestro_Equipos!$A$4:$A$242,0)),"")</f>
        <v>Operativo</v>
      </c>
      <c r="K183" s="35">
        <f>IFERROR(
   SUMIFS(Mantenciones!$I:$I,Mantenciones!$B:$B,$A183)
 + SUMIFS('Compras PM'!$F:$F,'Compras PM'!$C:$C,$A183),0)</f>
        <v>1091904.5899999999</v>
      </c>
      <c r="L183" s="28" t="str">
        <f>IF($J183="Fuera de Servicio","NO PROGRAMAR",IF($H183="","SIN DATOS",IF($H183&lt;=0,"VENCIDA",IF($H183&lt;=7,"CRÍTICA",IF($H183&lt;=15,"ALTA",IF($H183&lt;=30,"MEDIA","BAJA"))))))</f>
        <v>BAJA</v>
      </c>
      <c r="M183" s="53" cm="1">
        <f t="array" ref="M183">IFERROR(_xlfn.AGGREGATE(14,6,Mantenciones!$A$3:$A$9916/(Mantenciones!$B$3:$B$9916=$A183),1),"")</f>
        <v>46178</v>
      </c>
      <c r="N183" s="29" cm="1">
        <f t="array" ref="N183">IFERROR(_xlfn.AGGREGATE(14,6,'Compras PM'!$A$4:$A$10029/('Compras PM'!$C$4:$C$10029=$A183),1),"")</f>
        <v>46136.6736726042</v>
      </c>
      <c r="O183" s="29">
        <f>IFERROR(VLOOKUP($A183,Maestro_Equipos!$A$4:$AG$242,27,FALSE()),"")</f>
        <v>46178</v>
      </c>
      <c r="P183" s="30">
        <f ca="1">IFERROR(IF($N183="","",IF(OR($M183="",$M183&lt;$N183),TODAY()-$N183,$M183-$N183)),"")</f>
        <v>41.326327395800035</v>
      </c>
      <c r="Q183" s="30">
        <f ca="1">IFERROR(IF($O183="","",IF(OR($M183="",$M183&lt;$O183),TODAY()-$O183,$M183-$O183)),"")</f>
        <v>0</v>
      </c>
      <c r="R183" s="28" t="str">
        <f>IF($O183="","SIN SALIDA",IF(OR($M183="",$M183&lt;$O183),"PENDIENTE","REALIZADA"))</f>
        <v>REALIZADA</v>
      </c>
      <c r="S183" s="31" t="str">
        <f>IFERROR(VLOOKUP($A183,Maestro_Equipos!$A$4:$AG$242,33,FALSE()),"")</f>
        <v>Monitorear próximo vencimiento</v>
      </c>
    </row>
    <row r="184" spans="1:19" ht="15.75" customHeight="1">
      <c r="A184" t="str" cm="1">
        <f t="array" ref="A184">IFERROR(INDEX(_xlfn._xlws.FILTER(Maestro_Equipos!$A$4:$A$242,Maestro_Equipos!$A$4:$A$242&lt;&gt;""),ROWS($A$4:A184)),"")</f>
        <v>VD-131</v>
      </c>
      <c r="B184" t="str">
        <f>IFERROR(_xlfn.XLOOKUP($A184,Maestro_Equipos!$A$4:$A$242,Maestro_Equipos!$B$4:$B$242,""),"")</f>
        <v>Camioneta</v>
      </c>
      <c r="C184" t="str">
        <f>IFERROR(_xlfn.XLOOKUP($A184,Maestro_Equipos!$A$4:$A$242,Maestro_Equipos!$C$4:$C$242,""),"")</f>
        <v>Vehículos Livianos</v>
      </c>
      <c r="D184" t="str">
        <f>IFERROR(VLOOKUP($A181,Maestro_Equipos!$A$4:$Z$242,9,FALSE),"")</f>
        <v>KM</v>
      </c>
      <c r="E184">
        <f>IFERROR(IF($D184="KM",_xlfn.XLOOKUP($A184,Maestro_Equipos!$A:$A,Maestro_Equipos!$N:$N,""),_xlfn.XLOOKUP($A184,Maestro_Equipos!$A:$A,Maestro_Equipos!$M:$M,"")),"")</f>
        <v>99814</v>
      </c>
      <c r="F184">
        <f>IFERROR(_xlfn.XLOOKUP($A184,Maestro_Equipos!$A:$A,Maestro_Equipos!$R:$R,"")+_xlfn.XLOOKUP($A184,Maestro_Equipos!$A:$A,Maestro_Equipos!$J:$J,""),"")</f>
        <v>115657</v>
      </c>
      <c r="G184">
        <f>IFERROR(_xlfn.XLOOKUP($A184,Maestro_Equipos!$A:$A,Maestro_Equipos!$K:$K,""),"")</f>
        <v>111.9</v>
      </c>
      <c r="H184">
        <f>IFERROR(IF(OR($E184="",$F184="",$G184="",$G184&lt;=0),"",ROUND(($F184-$E184)/$G184,0)),"")</f>
        <v>142</v>
      </c>
      <c r="I184" s="71">
        <f ca="1">IFERROR(IF($H184="","",TODAY()+$H184),"")</f>
        <v>46382</v>
      </c>
      <c r="J184" s="5" t="str">
        <f>IFERROR(INDEX(Maestro_Equipos!$V$4:$V$242,MATCH($A184,Maestro_Equipos!$A$4:$A$242,0)),"")</f>
        <v>Operativo</v>
      </c>
      <c r="K184" s="35">
        <f>IFERROR(
   SUMIFS(Mantenciones!$I:$I,Mantenciones!$B:$B,$A184)
 + SUMIFS('Compras PM'!$F:$F,'Compras PM'!$C:$C,$A184),0)</f>
        <v>748839.98</v>
      </c>
      <c r="L184" s="28" t="str">
        <f>IF($J184="Fuera de Servicio","NO PROGRAMAR",IF($H184="","SIN DATOS",IF($H184&lt;=0,"VENCIDA",IF($H184&lt;=7,"CRÍTICA",IF($H184&lt;=15,"ALTA",IF($H184&lt;=30,"MEDIA","BAJA"))))))</f>
        <v>BAJA</v>
      </c>
      <c r="M184" s="53" cm="1">
        <f t="array" ref="M184">IFERROR(_xlfn.AGGREGATE(14,6,Mantenciones!$A$3:$A$9916/(Mantenciones!$B$3:$B$9916=$A184),1),"")</f>
        <v>46135</v>
      </c>
      <c r="N184" s="29" cm="1">
        <f t="array" ref="N184">IFERROR(_xlfn.AGGREGATE(14,6,'Compras PM'!$A$4:$A$10029/('Compras PM'!$C$4:$C$10029=$A184),1),"")</f>
        <v>46136.6736726042</v>
      </c>
      <c r="O184" s="29">
        <f>IFERROR(VLOOKUP($A184,Maestro_Equipos!$A$4:$AG$242,27,FALSE()),"")</f>
        <v>46135</v>
      </c>
      <c r="P184" s="30">
        <f ca="1">IFERROR(IF($N184="","",IF(OR($M184="",$M184&lt;$N184),TODAY()-$N184,$M184-$N184)),"")</f>
        <v>103.32632739580004</v>
      </c>
      <c r="Q184" s="30">
        <f ca="1">IFERROR(IF($O184="","",IF(OR($M184="",$M184&lt;$O184),TODAY()-$O184,$M184-$O184)),"")</f>
        <v>0</v>
      </c>
      <c r="R184" s="28" t="str">
        <f>IF($O184="","SIN SALIDA",IF(OR($M184="",$M184&lt;$O184),"PENDIENTE","REALIZADA"))</f>
        <v>REALIZADA</v>
      </c>
      <c r="S184" s="31" t="str">
        <f>IFERROR(VLOOKUP($A184,Maestro_Equipos!$A$4:$AG$242,33,FALSE()),"")</f>
        <v>Monitorear próximo vencimiento</v>
      </c>
    </row>
    <row r="185" spans="1:19" ht="15.75" customHeight="1">
      <c r="A185" t="str" cm="1">
        <f t="array" ref="A185">IFERROR(INDEX(_xlfn._xlws.FILTER(Maestro_Equipos!$A$4:$A$242,Maestro_Equipos!$A$4:$A$242&lt;&gt;""),ROWS($A$4:A185)),"")</f>
        <v>VD-132</v>
      </c>
      <c r="B185" t="str">
        <f>IFERROR(_xlfn.XLOOKUP($A185,Maestro_Equipos!$A$4:$A$242,Maestro_Equipos!$B$4:$B$242,""),"")</f>
        <v>Camioneta</v>
      </c>
      <c r="C185" t="str">
        <f>IFERROR(_xlfn.XLOOKUP($A185,Maestro_Equipos!$A$4:$A$242,Maestro_Equipos!$C$4:$C$242,""),"")</f>
        <v>Vehículos Livianos</v>
      </c>
      <c r="D185" t="str">
        <f>IFERROR(_xlfn.XLOOKUP($A185,Maestro_Equipos!$A:$A,Maestro_Equipos!$I:$I,""),"")</f>
        <v>KM</v>
      </c>
      <c r="E185">
        <f>IFERROR(IF($D185="KM",_xlfn.XLOOKUP($A185,Maestro_Equipos!$A:$A,Maestro_Equipos!$N:$N,""),_xlfn.XLOOKUP($A185,Maestro_Equipos!$A:$A,Maestro_Equipos!$M:$M,"")),"")</f>
        <v>57547</v>
      </c>
      <c r="F185">
        <f>IFERROR(_xlfn.XLOOKUP($A185,Maestro_Equipos!$A:$A,Maestro_Equipos!$R:$R,"")+_xlfn.XLOOKUP($A185,Maestro_Equipos!$A:$A,Maestro_Equipos!$J:$J,""),"")</f>
        <v>68548</v>
      </c>
      <c r="G185">
        <f>IFERROR(_xlfn.XLOOKUP($A185,Maestro_Equipos!$A:$A,Maestro_Equipos!$K:$K,""),"")</f>
        <v>162.69999999999999</v>
      </c>
      <c r="H185">
        <f>IFERROR(IF(OR($E185="",$F185="",$G185="",$G185&lt;=0),"",ROUND(($F185-$E185)/$G185,0)),"")</f>
        <v>68</v>
      </c>
      <c r="I185" s="71">
        <f ca="1">IFERROR(IF($H185="","",TODAY()+$H185),"")</f>
        <v>46308</v>
      </c>
      <c r="J185" s="5" t="str">
        <f>IFERROR(INDEX(Maestro_Equipos!$V$4:$V$242,MATCH($A185,Maestro_Equipos!$A$4:$A$242,0)),"")</f>
        <v>Operativo</v>
      </c>
      <c r="K185" s="35">
        <f>IFERROR(
   SUMIFS(Mantenciones!$I:$I,Mantenciones!$B:$B,$A185)
 + SUMIFS('Compras PM'!$F:$F,'Compras PM'!$C:$C,$A185),0)</f>
        <v>663522.96980000008</v>
      </c>
      <c r="L185" s="28" t="str">
        <f>IF($J185="Fuera de Servicio","NO PROGRAMAR",IF($H185="","SIN DATOS",IF($H185&lt;=0,"VENCIDA",IF($H185&lt;=7,"CRÍTICA",IF($H185&lt;=15,"ALTA",IF($H185&lt;=30,"MEDIA","BAJA"))))))</f>
        <v>BAJA</v>
      </c>
      <c r="M185" s="53" cm="1">
        <f t="array" ref="M185">IFERROR(_xlfn.AGGREGATE(14,6,Mantenciones!$A$3:$A$9916/(Mantenciones!$B$3:$B$9916=$A185),1),"")</f>
        <v>46167</v>
      </c>
      <c r="N185" s="29" cm="1">
        <f t="array" ref="N185">IFERROR(_xlfn.AGGREGATE(14,6,'Compras PM'!$A$4:$A$10029/('Compras PM'!$C$4:$C$10029=$A185),1),"")</f>
        <v>46162.426806828698</v>
      </c>
      <c r="O185" s="29">
        <f>IFERROR(VLOOKUP($A185,Maestro_Equipos!$A$4:$AG$242,27,FALSE()),"")</f>
        <v>46167</v>
      </c>
      <c r="P185" s="30">
        <f ca="1">IFERROR(IF($N185="","",IF(OR($M185="",$M185&lt;$N185),TODAY()-$N185,$M185-$N185)),"")</f>
        <v>4.573193171301682</v>
      </c>
      <c r="Q185" s="30">
        <f ca="1">IFERROR(IF($O185="","",IF(OR($M185="",$M185&lt;$O185),TODAY()-$O185,$M185-$O185)),"")</f>
        <v>0</v>
      </c>
      <c r="R185" s="28" t="str">
        <f>IF($O185="","SIN SALIDA",IF(OR($M185="",$M185&lt;$O185),"PENDIENTE","REALIZADA"))</f>
        <v>REALIZADA</v>
      </c>
      <c r="S185" s="31" t="str">
        <f>IFERROR(VLOOKUP($A185,Maestro_Equipos!$A$4:$AG$242,33,FALSE()),"")</f>
        <v>Monitorear próximo vencimiento</v>
      </c>
    </row>
    <row r="186" spans="1:19" ht="15.75" customHeight="1">
      <c r="A186" t="str" cm="1">
        <f t="array" ref="A186">IFERROR(INDEX(_xlfn._xlws.FILTER(Maestro_Equipos!$A$4:$A$242,Maestro_Equipos!$A$4:$A$242&lt;&gt;""),ROWS($A$4:A186)),"")</f>
        <v>VD-133</v>
      </c>
      <c r="B186" t="str">
        <f>IFERROR(_xlfn.XLOOKUP($A186,Maestro_Equipos!$A$4:$A$242,Maestro_Equipos!$B$4:$B$242,""),"")</f>
        <v>Camioneta</v>
      </c>
      <c r="C186" t="str">
        <f>IFERROR(_xlfn.XLOOKUP($A186,Maestro_Equipos!$A$4:$A$242,Maestro_Equipos!$C$4:$C$242,""),"")</f>
        <v>Vehículos Livianos</v>
      </c>
      <c r="D186" t="str">
        <f>IFERROR(_xlfn.XLOOKUP($A186,Maestro_Equipos!$A:$A,Maestro_Equipos!$I:$I,""),"")</f>
        <v>KM</v>
      </c>
      <c r="E186">
        <f>IFERROR(IF($D186="KM",_xlfn.XLOOKUP($A186,Maestro_Equipos!$A:$A,Maestro_Equipos!$N:$N,""),_xlfn.XLOOKUP($A186,Maestro_Equipos!$A:$A,Maestro_Equipos!$M:$M,"")),"")</f>
        <v>60050</v>
      </c>
      <c r="F186">
        <f>IFERROR(_xlfn.XLOOKUP($A186,Maestro_Equipos!$A:$A,Maestro_Equipos!$R:$R,"")+_xlfn.XLOOKUP($A186,Maestro_Equipos!$A:$A,Maestro_Equipos!$J:$J,""),"")</f>
        <v>81289</v>
      </c>
      <c r="G186">
        <f>IFERROR(_xlfn.XLOOKUP($A186,Maestro_Equipos!$A:$A,Maestro_Equipos!$K:$K,""),"")</f>
        <v>25.2</v>
      </c>
      <c r="H186">
        <f>IFERROR(IF(OR($E186="",$F186="",$G186="",$G186&lt;=0),"",ROUND(($F186-$E186)/$G186,0)),"")</f>
        <v>843</v>
      </c>
      <c r="I186" s="71">
        <f ca="1">IFERROR(IF($H186="","",TODAY()+$H186),"")</f>
        <v>47083</v>
      </c>
      <c r="J186" s="5" t="str">
        <f>IFERROR(INDEX(Maestro_Equipos!$V$4:$V$242,MATCH($A186,Maestro_Equipos!$A$4:$A$242,0)),"")</f>
        <v>Operativo</v>
      </c>
      <c r="K186" s="35">
        <f>IFERROR(
   SUMIFS(Mantenciones!$I:$I,Mantenciones!$B:$B,$A186)
 + SUMIFS('Compras PM'!$F:$F,'Compras PM'!$C:$C,$A186),0)</f>
        <v>1144336.98</v>
      </c>
      <c r="L186" s="28" t="str">
        <f>IF($J186="Fuera de Servicio","NO PROGRAMAR",IF($H186="","SIN DATOS",IF($H186&lt;=0,"VENCIDA",IF($H186&lt;=7,"CRÍTICA",IF($H186&lt;=15,"ALTA",IF($H186&lt;=30,"MEDIA","BAJA"))))))</f>
        <v>BAJA</v>
      </c>
      <c r="M186" s="53" cm="1">
        <f t="array" ref="M186">IFERROR(_xlfn.AGGREGATE(14,6,Mantenciones!$A$3:$A$9916/(Mantenciones!$B$3:$B$9916=$A186),1),"")</f>
        <v>46184</v>
      </c>
      <c r="N186" s="29" cm="1">
        <f t="array" ref="N186">IFERROR(_xlfn.AGGREGATE(14,6,'Compras PM'!$A$4:$A$10029/('Compras PM'!$C$4:$C$10029=$A186),1),"")</f>
        <v>46136.6736726042</v>
      </c>
      <c r="O186" s="29" t="str">
        <f>IFERROR(VLOOKUP($A186,Maestro_Equipos!$A$4:$AG$242,27,FALSE()),"")</f>
        <v/>
      </c>
      <c r="P186" s="30">
        <f ca="1">IFERROR(IF($N186="","",IF(OR($M186="",$M186&lt;$N186),TODAY()-$N186,$M186-$N186)),"")</f>
        <v>47.326327395800035</v>
      </c>
      <c r="Q186" s="30" t="str">
        <f ca="1">IFERROR(IF($O186="","",IF(OR($M186="",$M186&lt;$O186),TODAY()-$O186,$M186-$O186)),"")</f>
        <v/>
      </c>
      <c r="R186" s="28" t="str">
        <f>IF($O186="","SIN SALIDA",IF(OR($M186="",$M186&lt;$O186),"PENDIENTE","REALIZADA"))</f>
        <v>SIN SALIDA</v>
      </c>
      <c r="S186" s="31" t="str">
        <f>IFERROR(VLOOKUP($A186,Maestro_Equipos!$A$4:$AG$242,33,FALSE()),"")</f>
        <v>Hacer seguimiento al taller y cerrar report</v>
      </c>
    </row>
    <row r="187" spans="1:19" ht="15.75" customHeight="1">
      <c r="A187" t="str" cm="1">
        <f t="array" ref="A187">IFERROR(INDEX(_xlfn._xlws.FILTER(Maestro_Equipos!$A$4:$A$242,Maestro_Equipos!$A$4:$A$242&lt;&gt;""),ROWS($A$4:A187)),"")</f>
        <v>VD-134</v>
      </c>
      <c r="B187" t="str">
        <f>IFERROR(_xlfn.XLOOKUP($A187,Maestro_Equipos!$A$4:$A$242,Maestro_Equipos!$B$4:$B$242,""),"")</f>
        <v>Camioneta</v>
      </c>
      <c r="C187" t="str">
        <f>IFERROR(_xlfn.XLOOKUP($A187,Maestro_Equipos!$A$4:$A$242,Maestro_Equipos!$C$4:$C$242,""),"")</f>
        <v>Vehículos Livianos</v>
      </c>
      <c r="D187" t="str">
        <f>IFERROR(_xlfn.XLOOKUP($A187,Maestro_Equipos!$A:$A,Maestro_Equipos!$I:$I,""),"")</f>
        <v>KM</v>
      </c>
      <c r="E187">
        <f>IFERROR(IF($D187="KM",_xlfn.XLOOKUP($A187,Maestro_Equipos!$A:$A,Maestro_Equipos!$N:$N,""),_xlfn.XLOOKUP($A187,Maestro_Equipos!$A:$A,Maestro_Equipos!$M:$M,"")),"")</f>
        <v>105438</v>
      </c>
      <c r="F187">
        <f>IFERROR(_xlfn.XLOOKUP($A187,Maestro_Equipos!$A:$A,Maestro_Equipos!$R:$R,"")+_xlfn.XLOOKUP($A187,Maestro_Equipos!$A:$A,Maestro_Equipos!$J:$J,""),"")</f>
        <v>115000</v>
      </c>
      <c r="G187">
        <f>IFERROR(_xlfn.XLOOKUP($A187,Maestro_Equipos!$A:$A,Maestro_Equipos!$K:$K,""),"")</f>
        <v>141.80000000000001</v>
      </c>
      <c r="H187">
        <f>IFERROR(IF(OR($E187="",$F187="",$G187="",$G187&lt;=0),"",ROUND(($F187-$E187)/$G187,0)),"")</f>
        <v>67</v>
      </c>
      <c r="I187" s="71">
        <f ca="1">IFERROR(IF($H187="","",TODAY()+$H187),"")</f>
        <v>46307</v>
      </c>
      <c r="J187" s="5" t="str">
        <f>IFERROR(INDEX(Maestro_Equipos!$V$4:$V$242,MATCH($A187,Maestro_Equipos!$A$4:$A$242,0)),"")</f>
        <v>Operativo</v>
      </c>
      <c r="K187" s="35">
        <f>IFERROR(
   SUMIFS(Mantenciones!$I:$I,Mantenciones!$B:$B,$A187)
 + SUMIFS('Compras PM'!$F:$F,'Compras PM'!$C:$C,$A187),0)</f>
        <v>23799.98</v>
      </c>
      <c r="L187" s="28" t="str">
        <f>IF($J187="Fuera de Servicio","NO PROGRAMAR",IF($H187="","SIN DATOS",IF($H187&lt;=0,"VENCIDA",IF($H187&lt;=7,"CRÍTICA",IF($H187&lt;=15,"ALTA",IF($H187&lt;=30,"MEDIA","BAJA"))))))</f>
        <v>BAJA</v>
      </c>
      <c r="M187" s="53" cm="1">
        <f t="array" ref="M187">IFERROR(_xlfn.AGGREGATE(14,6,Mantenciones!$A$3:$A$9916/(Mantenciones!$B$3:$B$9916=$A187),1),"")</f>
        <v>46146</v>
      </c>
      <c r="N187" s="29" cm="1">
        <f t="array" ref="N187">IFERROR(_xlfn.AGGREGATE(14,6,'Compras PM'!$A$4:$A$10029/('Compras PM'!$C$4:$C$10029=$A187),1),"")</f>
        <v>46136.6736726042</v>
      </c>
      <c r="O187" s="29" t="str">
        <f>IFERROR(VLOOKUP($A187,Maestro_Equipos!$A$4:$AG$242,27,FALSE()),"")</f>
        <v/>
      </c>
      <c r="P187" s="30">
        <f ca="1">IFERROR(IF($N187="","",IF(OR($M187="",$M187&lt;$N187),TODAY()-$N187,$M187-$N187)),"")</f>
        <v>9.3263273958000354</v>
      </c>
      <c r="Q187" s="30" t="str">
        <f ca="1">IFERROR(IF($O187="","",IF(OR($M187="",$M187&lt;$O187),TODAY()-$O187,$M187-$O187)),"")</f>
        <v/>
      </c>
      <c r="R187" s="28" t="str">
        <f>IF($O187="","SIN SALIDA",IF(OR($M187="",$M187&lt;$O187),"PENDIENTE","REALIZADA"))</f>
        <v>SIN SALIDA</v>
      </c>
      <c r="S187" s="31" t="str">
        <f>IFERROR(VLOOKUP($A187,Maestro_Equipos!$A$4:$AG$242,33,FALSE()),"")</f>
        <v>Hacer seguimiento al taller y cerrar report</v>
      </c>
    </row>
    <row r="188" spans="1:19" ht="15.75" customHeight="1">
      <c r="A188" t="str" cm="1">
        <f t="array" ref="A188">IFERROR(INDEX(_xlfn._xlws.FILTER(Maestro_Equipos!$A$4:$A$242,Maestro_Equipos!$A$4:$A$242&lt;&gt;""),ROWS($A$4:A188)),"")</f>
        <v>VD-135</v>
      </c>
      <c r="B188" t="str">
        <f>IFERROR(_xlfn.XLOOKUP($A188,Maestro_Equipos!$A$4:$A$242,Maestro_Equipos!$B$4:$B$242,""),"")</f>
        <v>Camioneta</v>
      </c>
      <c r="C188" t="str">
        <f>IFERROR(_xlfn.XLOOKUP($A188,Maestro_Equipos!$A$4:$A$242,Maestro_Equipos!$C$4:$C$242,""),"")</f>
        <v>Vehículos Livianos</v>
      </c>
      <c r="D188" t="str">
        <f>IFERROR(_xlfn.XLOOKUP($A188,Maestro_Equipos!$A:$A,Maestro_Equipos!$I:$I,""),"")</f>
        <v>KM</v>
      </c>
      <c r="E188">
        <f>IFERROR(IF($D188="KM",_xlfn.XLOOKUP($A188,Maestro_Equipos!$A:$A,Maestro_Equipos!$N:$N,""),_xlfn.XLOOKUP($A188,Maestro_Equipos!$A:$A,Maestro_Equipos!$M:$M,"")),"")</f>
        <v>34811</v>
      </c>
      <c r="F188">
        <f>IFERROR(_xlfn.XLOOKUP($A188,Maestro_Equipos!$A:$A,Maestro_Equipos!$R:$R,"")+_xlfn.XLOOKUP($A188,Maestro_Equipos!$A:$A,Maestro_Equipos!$J:$J,""),"")</f>
        <v>56871</v>
      </c>
      <c r="G188">
        <f>IFERROR(_xlfn.XLOOKUP($A188,Maestro_Equipos!$A:$A,Maestro_Equipos!$K:$K,""),"")</f>
        <v>70.400000000000006</v>
      </c>
      <c r="H188">
        <f>IFERROR(IF(OR($E188="",$F188="",$G188="",$G188&lt;=0),"",ROUND(($F188-$E188)/$G188,0)),"")</f>
        <v>313</v>
      </c>
      <c r="I188" s="71">
        <f ca="1">IFERROR(IF($H188="","",TODAY()+$H188),"")</f>
        <v>46553</v>
      </c>
      <c r="J188" s="5" t="str">
        <f>IFERROR(INDEX(Maestro_Equipos!$V$4:$V$242,MATCH($A188,Maestro_Equipos!$A$4:$A$242,0)),"")</f>
        <v>Operativo</v>
      </c>
      <c r="K188" s="35">
        <f>IFERROR(
   SUMIFS(Mantenciones!$I:$I,Mantenciones!$B:$B,$A188)
 + SUMIFS('Compras PM'!$F:$F,'Compras PM'!$C:$C,$A188),0)</f>
        <v>24199.9709</v>
      </c>
      <c r="L188" s="28" t="str">
        <f>IF($J188="Fuera de Servicio","NO PROGRAMAR",IF($H188="","SIN DATOS",IF($H188&lt;=0,"VENCIDA",IF($H188&lt;=7,"CRÍTICA",IF($H188&lt;=15,"ALTA",IF($H188&lt;=30,"MEDIA","BAJA"))))))</f>
        <v>BAJA</v>
      </c>
      <c r="M188" s="53" cm="1">
        <f t="array" ref="M188">IFERROR(_xlfn.AGGREGATE(14,6,Mantenciones!$A$3:$A$9916/(Mantenciones!$B$3:$B$9916=$A188),1),"")</f>
        <v>46168</v>
      </c>
      <c r="N188" s="29" cm="1">
        <f t="array" ref="N188">IFERROR(_xlfn.AGGREGATE(14,6,'Compras PM'!$A$4:$A$10029/('Compras PM'!$C$4:$C$10029=$A188),1),"")</f>
        <v>46154.344671180603</v>
      </c>
      <c r="O188" s="29">
        <f>IFERROR(VLOOKUP($A188,Maestro_Equipos!$A$4:$AG$242,27,FALSE()),"")</f>
        <v>46168</v>
      </c>
      <c r="P188" s="30">
        <f ca="1">IFERROR(IF($N188="","",IF(OR($M188="",$M188&lt;$N188),TODAY()-$N188,$M188-$N188)),"")</f>
        <v>13.655328819397255</v>
      </c>
      <c r="Q188" s="30">
        <f ca="1">IFERROR(IF($O188="","",IF(OR($M188="",$M188&lt;$O188),TODAY()-$O188,$M188-$O188)),"")</f>
        <v>0</v>
      </c>
      <c r="R188" s="28" t="str">
        <f>IF($O188="","SIN SALIDA",IF(OR($M188="",$M188&lt;$O188),"PENDIENTE","REALIZADA"))</f>
        <v>REALIZADA</v>
      </c>
      <c r="S188" s="31" t="str">
        <f>IFERROR(VLOOKUP($A188,Maestro_Equipos!$A$4:$AG$242,33,FALSE()),"")</f>
        <v>Monitorear próximo vencimiento</v>
      </c>
    </row>
    <row r="189" spans="1:19" ht="15.75" customHeight="1">
      <c r="A189" t="str" cm="1">
        <f t="array" ref="A189">IFERROR(INDEX(_xlfn._xlws.FILTER(Maestro_Equipos!$A$4:$A$242,Maestro_Equipos!$A$4:$A$242&lt;&gt;""),ROWS($A$4:A189)),"")</f>
        <v>VD-136</v>
      </c>
      <c r="B189" t="str">
        <f>IFERROR(_xlfn.XLOOKUP($A189,Maestro_Equipos!$A$4:$A$242,Maestro_Equipos!$B$4:$B$242,""),"")</f>
        <v>Camioneta</v>
      </c>
      <c r="C189" t="str">
        <f>IFERROR(_xlfn.XLOOKUP($A189,Maestro_Equipos!$A$4:$A$242,Maestro_Equipos!$C$4:$C$242,""),"")</f>
        <v>Vehículos Livianos</v>
      </c>
      <c r="D189" t="str">
        <f>IFERROR(_xlfn.XLOOKUP($A189,Maestro_Equipos!$A:$A,Maestro_Equipos!$I:$I,""),"")</f>
        <v>KM</v>
      </c>
      <c r="E189">
        <f>IFERROR(IF($D189="KM",_xlfn.XLOOKUP($A189,Maestro_Equipos!$A:$A,Maestro_Equipos!$N:$N,""),_xlfn.XLOOKUP($A189,Maestro_Equipos!$A:$A,Maestro_Equipos!$M:$M,"")),"")</f>
        <v>22731</v>
      </c>
      <c r="F189">
        <f>IFERROR(_xlfn.XLOOKUP($A189,Maestro_Equipos!$A:$A,Maestro_Equipos!$R:$R,"")+_xlfn.XLOOKUP($A189,Maestro_Equipos!$A:$A,Maestro_Equipos!$J:$J,""),"")</f>
        <v>55195</v>
      </c>
      <c r="G189">
        <f>IFERROR(_xlfn.XLOOKUP($A189,Maestro_Equipos!$A:$A,Maestro_Equipos!$K:$K,""),"")</f>
        <v>135.80000000000001</v>
      </c>
      <c r="H189">
        <f>IFERROR(IF(OR($E189="",$F189="",$G189="",$G189&lt;=0),"",ROUND(($F189-$E189)/$G189,0)),"")</f>
        <v>239</v>
      </c>
      <c r="I189" s="71">
        <f ca="1">IFERROR(IF($H189="","",TODAY()+$H189),"")</f>
        <v>46479</v>
      </c>
      <c r="J189" s="5" t="str">
        <f>IFERROR(INDEX(Maestro_Equipos!$V$4:$V$242,MATCH($A189,Maestro_Equipos!$A$4:$A$242,0)),"")</f>
        <v>Operativo</v>
      </c>
      <c r="K189" s="35">
        <f>IFERROR(
   SUMIFS(Mantenciones!$I:$I,Mantenciones!$B:$B,$A189)
 + SUMIFS('Compras PM'!$F:$F,'Compras PM'!$C:$C,$A189),0)</f>
        <v>882968</v>
      </c>
      <c r="L189" s="28" t="str">
        <f>IF($J189="Fuera de Servicio","NO PROGRAMAR",IF($H189="","SIN DATOS",IF($H189&lt;=0,"VENCIDA",IF($H189&lt;=7,"CRÍTICA",IF($H189&lt;=15,"ALTA",IF($H189&lt;=30,"MEDIA","BAJA"))))))</f>
        <v>BAJA</v>
      </c>
      <c r="M189" s="53" cm="1">
        <f t="array" ref="M189">IFERROR(_xlfn.AGGREGATE(14,6,Mantenciones!$A$3:$A$9916/(Mantenciones!$B$3:$B$9916=$A189),1),"")</f>
        <v>46224</v>
      </c>
      <c r="N189" s="29" t="str" cm="1">
        <f t="array" ref="N189">IFERROR(_xlfn.AGGREGATE(14,6,'Compras PM'!$A$4:$A$10029/('Compras PM'!$C$4:$C$10029=$A189),1),"")</f>
        <v/>
      </c>
      <c r="O189" s="29" t="str">
        <f>IFERROR(VLOOKUP($A189,Maestro_Equipos!$A$4:$AG$242,27,FALSE()),"")</f>
        <v/>
      </c>
      <c r="P189" s="30" t="str">
        <f ca="1">IFERROR(IF($N189="","",IF(OR($M189="",$M189&lt;$N189),TODAY()-$N189,$M189-$N189)),"")</f>
        <v/>
      </c>
      <c r="Q189" s="30" t="str">
        <f ca="1">IFERROR(IF($O189="","",IF(OR($M189="",$M189&lt;$O189),TODAY()-$O189,$M189-$O189)),"")</f>
        <v/>
      </c>
      <c r="R189" s="28" t="str">
        <f>IF($O189="","SIN SALIDA",IF(OR($M189="",$M189&lt;$O189),"PENDIENTE","REALIZADA"))</f>
        <v>SIN SALIDA</v>
      </c>
      <c r="S189" s="31" t="str">
        <f>IFERROR(VLOOKUP($A189,Maestro_Equipos!$A$4:$AG$242,33,FALSE()),"")</f>
        <v>Monitorear próximo vencimiento</v>
      </c>
    </row>
    <row r="190" spans="1:19" ht="15.75" customHeight="1">
      <c r="A190" t="str" cm="1">
        <f t="array" ref="A190">IFERROR(INDEX(_xlfn._xlws.FILTER(Maestro_Equipos!$A$4:$A$242,Maestro_Equipos!$A$4:$A$242&lt;&gt;""),ROWS($A$4:A190)),"")</f>
        <v>VD-137</v>
      </c>
      <c r="B190" t="str">
        <f>IFERROR(_xlfn.XLOOKUP($A190,Maestro_Equipos!$A$4:$A$242,Maestro_Equipos!$B$4:$B$242,""),"")</f>
        <v>Camioneta</v>
      </c>
      <c r="C190" t="str">
        <f>IFERROR(_xlfn.XLOOKUP($A190,Maestro_Equipos!$A$4:$A$242,Maestro_Equipos!$C$4:$C$242,""),"")</f>
        <v>Vehículos Livianos</v>
      </c>
      <c r="D190" t="str">
        <f>IFERROR(_xlfn.XLOOKUP($A190,Maestro_Equipos!$A:$A,Maestro_Equipos!$I:$I,""),"")</f>
        <v>KM</v>
      </c>
      <c r="E190">
        <f>IFERROR(IF($D190="KM",_xlfn.XLOOKUP($A190,Maestro_Equipos!$A:$A,Maestro_Equipos!$N:$N,""),_xlfn.XLOOKUP($A190,Maestro_Equipos!$A:$A,Maestro_Equipos!$M:$M,"")),"")</f>
        <v>23789</v>
      </c>
      <c r="F190">
        <f>IFERROR(_xlfn.XLOOKUP($A190,Maestro_Equipos!$A:$A,Maestro_Equipos!$R:$R,"")+_xlfn.XLOOKUP($A190,Maestro_Equipos!$A:$A,Maestro_Equipos!$J:$J,""),"")</f>
        <v>27362</v>
      </c>
      <c r="G190">
        <f>IFERROR(_xlfn.XLOOKUP($A190,Maestro_Equipos!$A:$A,Maestro_Equipos!$K:$K,""),"")</f>
        <v>2.7</v>
      </c>
      <c r="H190">
        <f>IFERROR(IF(OR($E190="",$F190="",$G190="",$G190&lt;=0),"",ROUND(($F190-$E190)/$G190,0)),"")</f>
        <v>1323</v>
      </c>
      <c r="I190" s="71">
        <f ca="1">IFERROR(IF($H190="","",TODAY()+$H190),"")</f>
        <v>47563</v>
      </c>
      <c r="J190" s="5" t="str">
        <f>IFERROR(INDEX(Maestro_Equipos!$V$4:$V$242,MATCH($A190,Maestro_Equipos!$A$4:$A$242,0)),"")</f>
        <v>Operativo</v>
      </c>
      <c r="K190" s="35">
        <f>IFERROR(
   SUMIFS(Mantenciones!$I:$I,Mantenciones!$B:$B,$A190)
 + SUMIFS('Compras PM'!$F:$F,'Compras PM'!$C:$C,$A190),0)</f>
        <v>263017</v>
      </c>
      <c r="L190" s="28" t="str">
        <f>IF($J190="Fuera de Servicio","NO PROGRAMAR",IF($H190="","SIN DATOS",IF($H190&lt;=0,"VENCIDA",IF($H190&lt;=7,"CRÍTICA",IF($H190&lt;=15,"ALTA",IF($H190&lt;=30,"MEDIA","BAJA"))))))</f>
        <v>BAJA</v>
      </c>
      <c r="M190" s="53" cm="1">
        <f t="array" ref="M190">IFERROR(_xlfn.AGGREGATE(14,6,Mantenciones!$A$3:$A$9916/(Mantenciones!$B$3:$B$9916=$A190),1),"")</f>
        <v>46050</v>
      </c>
      <c r="N190" s="29" t="str" cm="1">
        <f t="array" ref="N190">IFERROR(_xlfn.AGGREGATE(14,6,'Compras PM'!$A$4:$A$10029/('Compras PM'!$C$4:$C$10029=$A190),1),"")</f>
        <v/>
      </c>
      <c r="O190" s="29" t="str">
        <f>IFERROR(VLOOKUP($A190,Maestro_Equipos!$A$4:$AG$242,27,FALSE()),"")</f>
        <v/>
      </c>
      <c r="P190" s="30" t="str">
        <f ca="1">IFERROR(IF($N190="","",IF(OR($M190="",$M190&lt;$N190),TODAY()-$N190,$M190-$N190)),"")</f>
        <v/>
      </c>
      <c r="Q190" s="30" t="str">
        <f ca="1">IFERROR(IF($O190="","",IF(OR($M190="",$M190&lt;$O190),TODAY()-$O190,$M190-$O190)),"")</f>
        <v/>
      </c>
      <c r="R190" s="28" t="str">
        <f>IF($O190="","SIN SALIDA",IF(OR($M190="",$M190&lt;$O190),"PENDIENTE","REALIZADA"))</f>
        <v>SIN SALIDA</v>
      </c>
      <c r="S190" s="31" t="str">
        <f>IFERROR(VLOOKUP($A190,Maestro_Equipos!$A$4:$AG$242,33,FALSE()),"")</f>
        <v>Monitorear próximo vencimiento</v>
      </c>
    </row>
    <row r="191" spans="1:19" ht="15.75" customHeight="1">
      <c r="A191" s="61" t="str" cm="1">
        <f t="array" ref="A191">IFERROR(INDEX(_xlfn._xlws.FILTER(Maestro_Equipos!$A$4:$A$242,Maestro_Equipos!$A$4:$A$242&lt;&gt;""),ROWS($A$4:A191)),"")</f>
        <v>VD-138</v>
      </c>
      <c r="B191" s="61" t="str">
        <f>IFERROR(_xlfn.XLOOKUP($A191,Maestro_Equipos!$A$4:$A$242,Maestro_Equipos!$B$4:$B$242,""),"")</f>
        <v>Camioneta</v>
      </c>
      <c r="C191" s="61" t="str">
        <f>IFERROR(_xlfn.XLOOKUP($A191,Maestro_Equipos!$A$4:$A$242,Maestro_Equipos!$C$4:$C$242,""),"")</f>
        <v>Vehículos Livianos</v>
      </c>
      <c r="D191" s="61" t="str">
        <f>IFERROR(VLOOKUP($A188,Maestro_Equipos!$A$4:$Z$242,9,FALSE),"")</f>
        <v>KM</v>
      </c>
      <c r="E191" s="61">
        <f>IFERROR(IF($D191="KM",_xlfn.XLOOKUP($A191,Maestro_Equipos!$A:$A,Maestro_Equipos!$N:$N,""),_xlfn.XLOOKUP($A191,Maestro_Equipos!$A:$A,Maestro_Equipos!$M:$M,"")),"")</f>
        <v>32667</v>
      </c>
      <c r="F191" s="61">
        <f>IFERROR(_xlfn.XLOOKUP($A191,Maestro_Equipos!$A:$A,Maestro_Equipos!$R:$R,"")+_xlfn.XLOOKUP($A191,Maestro_Equipos!$A:$A,Maestro_Equipos!$J:$J,""),"")</f>
        <v>46381</v>
      </c>
      <c r="G191" s="61">
        <f>IFERROR(_xlfn.XLOOKUP($A191,Maestro_Equipos!$A:$A,Maestro_Equipos!$K:$K,""),"")</f>
        <v>164.1</v>
      </c>
      <c r="H191" s="61">
        <f>IFERROR(IF(OR($E191="",$F191="",$G191="",$G191&lt;=0),"",ROUND(($F191-$E191)/$G191,0)),"")</f>
        <v>84</v>
      </c>
      <c r="I191" s="62">
        <f ca="1">IFERROR(IF($H191="","",TODAY()+$H191),"")</f>
        <v>46324</v>
      </c>
      <c r="J191" s="63" t="str">
        <f>IFERROR(INDEX(Maestro_Equipos!$V$4:$V$242,MATCH($A191,Maestro_Equipos!$A$4:$A$242,0)),"")</f>
        <v>Operativo</v>
      </c>
      <c r="K191" s="64">
        <f>IFERROR(
   SUMIFS(Mantenciones!$I:$I,Mantenciones!$B:$B,$A191)
 + SUMIFS('Compras PM'!$F:$F,'Compras PM'!$C:$C,$A191),0)</f>
        <v>1151189.77</v>
      </c>
      <c r="L191" s="65" t="str">
        <f>IF($J191="Fuera de Servicio","NO PROGRAMAR",IF($H191="","SIN DATOS",IF($H191&lt;=0,"VENCIDA",IF($H191&lt;=7,"CRÍTICA",IF($H191&lt;=15,"ALTA",IF($H191&lt;=30,"MEDIA","BAJA"))))))</f>
        <v>BAJA</v>
      </c>
      <c r="M191" s="66" cm="1">
        <f t="array" ref="M191">IFERROR(_xlfn.AGGREGATE(14,6,Mantenciones!$A$3:$A$9916/(Mantenciones!$B$3:$B$9916=$A191),1),"")</f>
        <v>46177</v>
      </c>
      <c r="N191" s="67" cm="1">
        <f t="array" ref="N191">IFERROR(_xlfn.AGGREGATE(14,6,'Compras PM'!$A$4:$A$10029/('Compras PM'!$C$4:$C$10029=$A191),1),"")</f>
        <v>46086.516942939801</v>
      </c>
      <c r="O191" s="67" t="str">
        <f>IFERROR(VLOOKUP($A191,Maestro_Equipos!$A$4:$AG$242,27,FALSE()),"")</f>
        <v/>
      </c>
      <c r="P191" s="68">
        <f ca="1">IFERROR(IF($N191="","",IF(OR($M191="",$M191&lt;$N191),TODAY()-$N191,$M191-$N191)),"")</f>
        <v>90.483057060198917</v>
      </c>
      <c r="Q191" s="68" t="str">
        <f ca="1">IFERROR(IF($O191="","",IF(OR($M191="",$M191&lt;$O191),TODAY()-$O191,$M191-$O191)),"")</f>
        <v/>
      </c>
      <c r="R191" s="65" t="str">
        <f>IF($O191="","SIN SALIDA",IF(OR($M191="",$M191&lt;$O191),"PENDIENTE","REALIZADA"))</f>
        <v>SIN SALIDA</v>
      </c>
      <c r="S191" s="69" t="str">
        <f>IFERROR(VLOOKUP($A191,Maestro_Equipos!$A$4:$AG$242,33,FALSE()),"")</f>
        <v>Hacer seguimiento al taller y cerrar report</v>
      </c>
    </row>
    <row r="192" spans="1:19" ht="15.75" customHeight="1">
      <c r="A192" t="str" cm="1">
        <f t="array" ref="A192">IFERROR(INDEX(_xlfn._xlws.FILTER(Maestro_Equipos!$A$4:$A$242,Maestro_Equipos!$A$4:$A$242&lt;&gt;""),ROWS($A$4:A192)),"")</f>
        <v>VD-139</v>
      </c>
      <c r="B192" t="str">
        <f>IFERROR(_xlfn.XLOOKUP($A192,Maestro_Equipos!$A$4:$A$242,Maestro_Equipos!$B$4:$B$242,""),"")</f>
        <v>Camioneta</v>
      </c>
      <c r="C192" t="str">
        <f>IFERROR(_xlfn.XLOOKUP($A192,Maestro_Equipos!$A$4:$A$242,Maestro_Equipos!$C$4:$C$242,""),"")</f>
        <v>Vehículos Livianos</v>
      </c>
      <c r="D192" t="str">
        <f>IFERROR(_xlfn.XLOOKUP($A192,Maestro_Equipos!$A:$A,Maestro_Equipos!$I:$I,""),"")</f>
        <v>KM</v>
      </c>
      <c r="E192">
        <f>IFERROR(IF($D192="KM",_xlfn.XLOOKUP($A192,Maestro_Equipos!$A:$A,Maestro_Equipos!$N:$N,""),_xlfn.XLOOKUP($A192,Maestro_Equipos!$A:$A,Maestro_Equipos!$M:$M,"")),"")</f>
        <v>32437</v>
      </c>
      <c r="F192">
        <f>IFERROR(_xlfn.XLOOKUP($A192,Maestro_Equipos!$A:$A,Maestro_Equipos!$R:$R,"")+_xlfn.XLOOKUP($A192,Maestro_Equipos!$A:$A,Maestro_Equipos!$J:$J,""),"")</f>
        <v>48065</v>
      </c>
      <c r="G192">
        <f>IFERROR(_xlfn.XLOOKUP($A192,Maestro_Equipos!$A:$A,Maestro_Equipos!$K:$K,""),"")</f>
        <v>138.19999999999999</v>
      </c>
      <c r="H192">
        <f>IFERROR(IF(OR($E192="",$F192="",$G192="",$G192&lt;=0),"",ROUND(($F192-$E192)/$G192,0)),"")</f>
        <v>113</v>
      </c>
      <c r="I192" s="71">
        <f ca="1">IFERROR(IF($H192="","",TODAY()+$H192),"")</f>
        <v>46353</v>
      </c>
      <c r="J192" s="5" t="str">
        <f>IFERROR(INDEX(Maestro_Equipos!$V$4:$V$242,MATCH($A192,Maestro_Equipos!$A$4:$A$242,0)),"")</f>
        <v>Operativo</v>
      </c>
      <c r="K192" s="35">
        <f>IFERROR(
   SUMIFS(Mantenciones!$I:$I,Mantenciones!$B:$B,$A192)
 + SUMIFS('Compras PM'!$F:$F,'Compras PM'!$C:$C,$A192),0)</f>
        <v>794435.45</v>
      </c>
      <c r="L192" s="28" t="str">
        <f>IF($J192="Fuera de Servicio","NO PROGRAMAR",IF($H192="","SIN DATOS",IF($H192&lt;=0,"VENCIDA",IF($H192&lt;=7,"CRÍTICA",IF($H192&lt;=15,"ALTA",IF($H192&lt;=30,"MEDIA","BAJA"))))))</f>
        <v>BAJA</v>
      </c>
      <c r="M192" s="53" cm="1">
        <f t="array" ref="M192">IFERROR(_xlfn.AGGREGATE(14,6,Mantenciones!$A$3:$A$9916/(Mantenciones!$B$3:$B$9916=$A192),1),"")</f>
        <v>46181</v>
      </c>
      <c r="N192" s="29" cm="1">
        <f t="array" ref="N192">IFERROR(_xlfn.AGGREGATE(14,6,'Compras PM'!$A$4:$A$10029/('Compras PM'!$C$4:$C$10029=$A192),1),"")</f>
        <v>46111</v>
      </c>
      <c r="O192" s="29" t="str">
        <f>IFERROR(VLOOKUP($A192,Maestro_Equipos!$A$4:$AG$242,27,FALSE()),"")</f>
        <v/>
      </c>
      <c r="P192" s="30">
        <f ca="1">IFERROR(IF($N192="","",IF(OR($M192="",$M192&lt;$N192),TODAY()-$N192,$M192-$N192)),"")</f>
        <v>70</v>
      </c>
      <c r="Q192" s="30" t="str">
        <f ca="1">IFERROR(IF($O192="","",IF(OR($M192="",$M192&lt;$O192),TODAY()-$O192,$M192-$O192)),"")</f>
        <v/>
      </c>
      <c r="R192" s="28" t="str">
        <f>IF($O192="","SIN SALIDA",IF(OR($M192="",$M192&lt;$O192),"PENDIENTE","REALIZADA"))</f>
        <v>SIN SALIDA</v>
      </c>
      <c r="S192" s="31" t="str">
        <f>IFERROR(VLOOKUP($A192,Maestro_Equipos!$A$4:$AG$242,33,FALSE()),"")</f>
        <v>Hacer seguimiento al taller y cerrar report</v>
      </c>
    </row>
    <row r="193" spans="1:19" ht="15.75" customHeight="1">
      <c r="A193" t="str" cm="1">
        <f t="array" ref="A193">IFERROR(INDEX(_xlfn._xlws.FILTER(Maestro_Equipos!$A$4:$A$242,Maestro_Equipos!$A$4:$A$242&lt;&gt;""),ROWS($A$4:A193)),"")</f>
        <v>VD-140</v>
      </c>
      <c r="B193" t="str">
        <f>IFERROR(_xlfn.XLOOKUP($A193,Maestro_Equipos!$A$4:$A$242,Maestro_Equipos!$B$4:$B$242,""),"")</f>
        <v>Camioneta</v>
      </c>
      <c r="C193" t="str">
        <f>IFERROR(_xlfn.XLOOKUP($A193,Maestro_Equipos!$A$4:$A$242,Maestro_Equipos!$C$4:$C$242,""),"")</f>
        <v>Vehículos Livianos</v>
      </c>
      <c r="D193" t="str">
        <f>IFERROR(_xlfn.XLOOKUP($A193,Maestro_Equipos!$A:$A,Maestro_Equipos!$I:$I,""),"")</f>
        <v>KM</v>
      </c>
      <c r="E193">
        <f>IFERROR(IF($D193="KM",_xlfn.XLOOKUP($A193,Maestro_Equipos!$A:$A,Maestro_Equipos!$N:$N,""),_xlfn.XLOOKUP($A193,Maestro_Equipos!$A:$A,Maestro_Equipos!$M:$M,"")),"")</f>
        <v>28123</v>
      </c>
      <c r="F193">
        <f>IFERROR(_xlfn.XLOOKUP($A193,Maestro_Equipos!$A:$A,Maestro_Equipos!$R:$R,"")+_xlfn.XLOOKUP($A193,Maestro_Equipos!$A:$A,Maestro_Equipos!$J:$J,""),"")</f>
        <v>53968</v>
      </c>
      <c r="G193">
        <f>IFERROR(_xlfn.XLOOKUP($A193,Maestro_Equipos!$A:$A,Maestro_Equipos!$K:$K,""),"")</f>
        <v>165.8</v>
      </c>
      <c r="H193">
        <f>IFERROR(IF(OR($E193="",$F193="",$G193="",$G193&lt;=0),"",ROUND(($F193-$E193)/$G193,0)),"")</f>
        <v>156</v>
      </c>
      <c r="I193" s="71">
        <f ca="1">IFERROR(IF($H193="","",TODAY()+$H193),"")</f>
        <v>46396</v>
      </c>
      <c r="J193" s="5" t="str">
        <f>IFERROR(INDEX(Maestro_Equipos!$V$4:$V$242,MATCH($A193,Maestro_Equipos!$A$4:$A$242,0)),"")</f>
        <v>Operativo</v>
      </c>
      <c r="K193" s="35">
        <f>IFERROR(
   SUMIFS(Mantenciones!$I:$I,Mantenciones!$B:$B,$A193)
 + SUMIFS('Compras PM'!$F:$F,'Compras PM'!$C:$C,$A193),0)</f>
        <v>1522148.94</v>
      </c>
      <c r="L193" s="28" t="str">
        <f>IF($J193="Fuera de Servicio","NO PROGRAMAR",IF($H193="","SIN DATOS",IF($H193&lt;=0,"VENCIDA",IF($H193&lt;=7,"CRÍTICA",IF($H193&lt;=15,"ALTA",IF($H193&lt;=30,"MEDIA","BAJA"))))))</f>
        <v>BAJA</v>
      </c>
      <c r="M193" s="53" cm="1">
        <f t="array" ref="M193">IFERROR(_xlfn.AGGREGATE(14,6,Mantenciones!$A$3:$A$9916/(Mantenciones!$B$3:$B$9916=$A193),1),"")</f>
        <v>46199</v>
      </c>
      <c r="N193" s="29" cm="1">
        <f t="array" ref="N193">IFERROR(_xlfn.AGGREGATE(14,6,'Compras PM'!$A$4:$A$10029/('Compras PM'!$C$4:$C$10029=$A193),1),"")</f>
        <v>46199</v>
      </c>
      <c r="O193" s="29" t="str">
        <f>IFERROR(VLOOKUP($A193,Maestro_Equipos!$A$4:$AG$242,27,FALSE()),"")</f>
        <v/>
      </c>
      <c r="P193" s="30">
        <f ca="1">IFERROR(IF($N193="","",IF(OR($M193="",$M193&lt;$N193),TODAY()-$N193,$M193-$N193)),"")</f>
        <v>0</v>
      </c>
      <c r="Q193" s="30" t="str">
        <f ca="1">IFERROR(IF($O193="","",IF(OR($M193="",$M193&lt;$O193),TODAY()-$O193,$M193-$O193)),"")</f>
        <v/>
      </c>
      <c r="R193" s="28" t="str">
        <f>IF($O193="","SIN SALIDA",IF(OR($M193="",$M193&lt;$O193),"PENDIENTE","REALIZADA"))</f>
        <v>SIN SALIDA</v>
      </c>
      <c r="S193" s="31" t="str">
        <f>IFERROR(VLOOKUP($A193,Maestro_Equipos!$A$4:$AG$242,33,FALSE()),"")</f>
        <v>Hacer seguimiento al taller y cerrar report</v>
      </c>
    </row>
    <row r="194" spans="1:19" ht="15.75" customHeight="1">
      <c r="A194" t="str" cm="1">
        <f t="array" ref="A194">IFERROR(INDEX(_xlfn._xlws.FILTER(Maestro_Equipos!$A$4:$A$242,Maestro_Equipos!$A$4:$A$242&lt;&gt;""),ROWS($A$4:A194)),"")</f>
        <v>VD-141</v>
      </c>
      <c r="B194" t="str">
        <f>IFERROR(_xlfn.XLOOKUP($A194,Maestro_Equipos!$A$4:$A$242,Maestro_Equipos!$B$4:$B$242,""),"")</f>
        <v>Camioneta</v>
      </c>
      <c r="C194" t="str">
        <f>IFERROR(_xlfn.XLOOKUP($A194,Maestro_Equipos!$A$4:$A$242,Maestro_Equipos!$C$4:$C$242,""),"")</f>
        <v>Vehículos Livianos</v>
      </c>
      <c r="D194" t="str">
        <f>IFERROR(_xlfn.XLOOKUP($A194,Maestro_Equipos!$A:$A,Maestro_Equipos!$I:$I,""),"")</f>
        <v>KM</v>
      </c>
      <c r="E194">
        <f>IFERROR(IF($D194="KM",_xlfn.XLOOKUP($A194,Maestro_Equipos!$A:$A,Maestro_Equipos!$N:$N,""),_xlfn.XLOOKUP($A194,Maestro_Equipos!$A:$A,Maestro_Equipos!$M:$M,"")),"")</f>
        <v>0</v>
      </c>
      <c r="F194" t="str">
        <f>IFERROR(_xlfn.XLOOKUP($A194,Maestro_Equipos!$A:$A,Maestro_Equipos!$R:$R,"")+_xlfn.XLOOKUP($A194,Maestro_Equipos!$A:$A,Maestro_Equipos!$J:$J,""),"")</f>
        <v/>
      </c>
      <c r="G194">
        <f>IFERROR(_xlfn.XLOOKUP($A194,Maestro_Equipos!$A:$A,Maestro_Equipos!$K:$K,""),"")</f>
        <v>0</v>
      </c>
      <c r="H194" t="str">
        <f>IFERROR(IF(OR($E194="",$F194="",$G194="",$G194&lt;=0),"",ROUND(($F194-$E194)/$G194,0)),"")</f>
        <v/>
      </c>
      <c r="I194" s="71" t="str">
        <f ca="1">IFERROR(IF($H194="","",TODAY()+$H194),"")</f>
        <v/>
      </c>
      <c r="J194" s="5" t="str">
        <f>IFERROR(INDEX(Maestro_Equipos!$V$4:$V$242,MATCH($A194,Maestro_Equipos!$A$4:$A$242,0)),"")</f>
        <v>Operativo</v>
      </c>
      <c r="K194" s="35">
        <f>IFERROR(
   SUMIFS(Mantenciones!$I:$I,Mantenciones!$B:$B,$A194)
 + SUMIFS('Compras PM'!$F:$F,'Compras PM'!$C:$C,$A194),0)</f>
        <v>0</v>
      </c>
      <c r="L194" s="28" t="str">
        <f>IF($J194="Fuera de Servicio","NO PROGRAMAR",IF($H194="","SIN DATOS",IF($H194&lt;=0,"VENCIDA",IF($H194&lt;=7,"CRÍTICA",IF($H194&lt;=15,"ALTA",IF($H194&lt;=30,"MEDIA","BAJA"))))))</f>
        <v>SIN DATOS</v>
      </c>
      <c r="M194" s="53" t="str" cm="1">
        <f t="array" ref="M194">IFERROR(_xlfn.AGGREGATE(14,6,Mantenciones!$A$3:$A$9916/(Mantenciones!$B$3:$B$9916=$A194),1),"")</f>
        <v/>
      </c>
      <c r="N194" s="29" t="str" cm="1">
        <f t="array" ref="N194">IFERROR(_xlfn.AGGREGATE(14,6,'Compras PM'!$A$4:$A$10029/('Compras PM'!$C$4:$C$10029=$A194),1),"")</f>
        <v/>
      </c>
      <c r="O194" s="29" t="str">
        <f>IFERROR(VLOOKUP($A194,Maestro_Equipos!$A$4:$AG$242,27,FALSE()),"")</f>
        <v/>
      </c>
      <c r="P194" s="30" t="str">
        <f ca="1">IFERROR(IF($N194="","",IF(OR($M194="",$M194&lt;$N194),TODAY()-$N194,$M194-$N194)),"")</f>
        <v/>
      </c>
      <c r="Q194" s="30" t="str">
        <f ca="1">IFERROR(IF($O194="","",IF(OR($M194="",$M194&lt;$O194),TODAY()-$O194,$M194-$O194)),"")</f>
        <v/>
      </c>
      <c r="R194" s="28" t="str">
        <f>IF($O194="","SIN SALIDA",IF(OR($M194="",$M194&lt;$O194),"PENDIENTE","REALIZADA"))</f>
        <v>SIN SALIDA</v>
      </c>
      <c r="S194" s="31" t="str">
        <f>IFERROR(VLOOKUP($A194,Maestro_Equipos!$A$4:$AG$242,33,FALSE()),"")</f>
        <v>Monitorear próximo vencimiento</v>
      </c>
    </row>
    <row r="195" spans="1:19" ht="15.75" customHeight="1">
      <c r="A195" t="str" cm="1">
        <f t="array" ref="A195">IFERROR(INDEX(_xlfn._xlws.FILTER(Maestro_Equipos!$A$4:$A$242,Maestro_Equipos!$A$4:$A$242&lt;&gt;""),ROWS($A$4:A195)),"")</f>
        <v>VD-142</v>
      </c>
      <c r="B195" t="str">
        <f>IFERROR(_xlfn.XLOOKUP($A195,Maestro_Equipos!$A$4:$A$242,Maestro_Equipos!$B$4:$B$242,""),"")</f>
        <v>Camioneta</v>
      </c>
      <c r="C195" t="str">
        <f>IFERROR(_xlfn.XLOOKUP($A195,Maestro_Equipos!$A$4:$A$242,Maestro_Equipos!$C$4:$C$242,""),"")</f>
        <v>Vehículos Livianos</v>
      </c>
      <c r="D195" t="str">
        <f>IFERROR(_xlfn.XLOOKUP($A195,Maestro_Equipos!$A:$A,Maestro_Equipos!$I:$I,""),"")</f>
        <v>KM</v>
      </c>
      <c r="E195">
        <f>IFERROR(IF($D195="KM",_xlfn.XLOOKUP($A195,Maestro_Equipos!$A:$A,Maestro_Equipos!$N:$N,""),_xlfn.XLOOKUP($A195,Maestro_Equipos!$A:$A,Maestro_Equipos!$M:$M,"")),"")</f>
        <v>0</v>
      </c>
      <c r="F195" t="str">
        <f>IFERROR(_xlfn.XLOOKUP($A195,Maestro_Equipos!$A:$A,Maestro_Equipos!$R:$R,"")+_xlfn.XLOOKUP($A195,Maestro_Equipos!$A:$A,Maestro_Equipos!$J:$J,""),"")</f>
        <v/>
      </c>
      <c r="G195">
        <f>IFERROR(_xlfn.XLOOKUP($A195,Maestro_Equipos!$A:$A,Maestro_Equipos!$K:$K,""),"")</f>
        <v>0</v>
      </c>
      <c r="H195" t="str">
        <f>IFERROR(IF(OR($E195="",$F195="",$G195="",$G195&lt;=0),"",ROUND(($F195-$E195)/$G195,0)),"")</f>
        <v/>
      </c>
      <c r="I195" s="71" t="str">
        <f ca="1">IFERROR(IF($H195="","",TODAY()+$H195),"")</f>
        <v/>
      </c>
      <c r="J195" s="5" t="str">
        <f>IFERROR(INDEX(Maestro_Equipos!$V$4:$V$242,MATCH($A195,Maestro_Equipos!$A$4:$A$242,0)),"")</f>
        <v>Operativo</v>
      </c>
      <c r="K195" s="35">
        <f>IFERROR(
   SUMIFS(Mantenciones!$I:$I,Mantenciones!$B:$B,$A195)
 + SUMIFS('Compras PM'!$F:$F,'Compras PM'!$C:$C,$A195),0)</f>
        <v>0</v>
      </c>
      <c r="L195" s="28" t="str">
        <f>IF($J195="Fuera de Servicio","NO PROGRAMAR",IF($H195="","SIN DATOS",IF($H195&lt;=0,"VENCIDA",IF($H195&lt;=7,"CRÍTICA",IF($H195&lt;=15,"ALTA",IF($H195&lt;=30,"MEDIA","BAJA"))))))</f>
        <v>SIN DATOS</v>
      </c>
      <c r="M195" s="53" t="str" cm="1">
        <f t="array" ref="M195">IFERROR(_xlfn.AGGREGATE(14,6,Mantenciones!$A$3:$A$9916/(Mantenciones!$B$3:$B$9916=$A195),1),"")</f>
        <v/>
      </c>
      <c r="N195" s="29" t="str" cm="1">
        <f t="array" ref="N195">IFERROR(_xlfn.AGGREGATE(14,6,'Compras PM'!$A$4:$A$10029/('Compras PM'!$C$4:$C$10029=$A195),1),"")</f>
        <v/>
      </c>
      <c r="O195" s="29" t="str">
        <f>IFERROR(VLOOKUP($A195,Maestro_Equipos!$A$4:$AG$242,27,FALSE()),"")</f>
        <v/>
      </c>
      <c r="P195" s="30" t="str">
        <f ca="1">IFERROR(IF($N195="","",IF(OR($M195="",$M195&lt;$N195),TODAY()-$N195,$M195-$N195)),"")</f>
        <v/>
      </c>
      <c r="Q195" s="30" t="str">
        <f ca="1">IFERROR(IF($O195="","",IF(OR($M195="",$M195&lt;$O195),TODAY()-$O195,$M195-$O195)),"")</f>
        <v/>
      </c>
      <c r="R195" s="28" t="str">
        <f>IF($O195="","SIN SALIDA",IF(OR($M195="",$M195&lt;$O195),"PENDIENTE","REALIZADA"))</f>
        <v>SIN SALIDA</v>
      </c>
      <c r="S195" s="31" t="str">
        <f>IFERROR(VLOOKUP($A195,Maestro_Equipos!$A$4:$AG$242,33,FALSE()),"")</f>
        <v>Monitorear próximo vencimiento</v>
      </c>
    </row>
    <row r="196" spans="1:19" ht="15.75" customHeight="1">
      <c r="A196" t="str" cm="1">
        <f t="array" ref="A196">IFERROR(INDEX(_xlfn._xlws.FILTER(Maestro_Equipos!$A$4:$A$242,Maestro_Equipos!$A$4:$A$242&lt;&gt;""),ROWS($A$4:A196)),"")</f>
        <v>VD-29</v>
      </c>
      <c r="B196" t="str">
        <f>IFERROR(_xlfn.XLOOKUP($A196,Maestro_Equipos!$A$4:$A$242,Maestro_Equipos!$B$4:$B$242,""),"")</f>
        <v>Minibus</v>
      </c>
      <c r="C196" t="str">
        <f>IFERROR(_xlfn.XLOOKUP($A196,Maestro_Equipos!$A$4:$A$242,Maestro_Equipos!$C$4:$C$242,""),"")</f>
        <v>Vehículos Livianos</v>
      </c>
      <c r="D196" t="str">
        <f>IFERROR(_xlfn.XLOOKUP($A196,Maestro_Equipos!$A:$A,Maestro_Equipos!$I:$I,""),"")</f>
        <v>KM</v>
      </c>
      <c r="E196">
        <f>IFERROR(IF($D196="KM",_xlfn.XLOOKUP($A196,Maestro_Equipos!$A:$A,Maestro_Equipos!$N:$N,""),_xlfn.XLOOKUP($A196,Maestro_Equipos!$A:$A,Maestro_Equipos!$M:$M,"")),"")</f>
        <v>510507</v>
      </c>
      <c r="F196" t="str">
        <f>IFERROR(_xlfn.XLOOKUP($A196,Maestro_Equipos!$A:$A,Maestro_Equipos!$R:$R,"")+_xlfn.XLOOKUP($A196,Maestro_Equipos!$A:$A,Maestro_Equipos!$J:$J,""),"")</f>
        <v/>
      </c>
      <c r="G196">
        <f>IFERROR(_xlfn.XLOOKUP($A196,Maestro_Equipos!$A:$A,Maestro_Equipos!$K:$K,""),"")</f>
        <v>0</v>
      </c>
      <c r="H196" t="str">
        <f>IFERROR(IF(OR($E196="",$F196="",$G196="",$G196&lt;=0),"",ROUND(($F196-$E196)/$G196,0)),"")</f>
        <v/>
      </c>
      <c r="I196" s="71" t="str">
        <f ca="1">IFERROR(IF($H196="","",TODAY()+$H196),"")</f>
        <v/>
      </c>
      <c r="J196" s="5" t="str">
        <f>IFERROR(INDEX(Maestro_Equipos!$V$4:$V$242,MATCH($A196,Maestro_Equipos!$A$4:$A$242,0)),"")</f>
        <v>Operativo</v>
      </c>
      <c r="K196" s="35">
        <f>IFERROR(
   SUMIFS(Mantenciones!$I:$I,Mantenciones!$B:$B,$A196)
 + SUMIFS('Compras PM'!$F:$F,'Compras PM'!$C:$C,$A196),0)</f>
        <v>61356.4</v>
      </c>
      <c r="L196" s="28" t="str">
        <f>IF($J196="Fuera de Servicio","NO PROGRAMAR",IF($H196="","SIN DATOS",IF($H196&lt;=0,"VENCIDA",IF($H196&lt;=7,"CRÍTICA",IF($H196&lt;=15,"ALTA",IF($H196&lt;=30,"MEDIA","BAJA"))))))</f>
        <v>SIN DATOS</v>
      </c>
      <c r="M196" s="53" cm="1">
        <f t="array" ref="M196">IFERROR(_xlfn.AGGREGATE(14,6,Mantenciones!$A$3:$A$9916/(Mantenciones!$B$3:$B$9916=$A196),1),"")</f>
        <v>46078</v>
      </c>
      <c r="N196" s="29" cm="1">
        <f t="array" ref="N196">IFERROR(_xlfn.AGGREGATE(14,6,'Compras PM'!$A$4:$A$10029/('Compras PM'!$C$4:$C$10029=$A196),1),"")</f>
        <v>46073.523869641198</v>
      </c>
      <c r="O196" s="29">
        <f>IFERROR(VLOOKUP($A196,Maestro_Equipos!$A$4:$AG$242,27,FALSE()),"")</f>
        <v>46077</v>
      </c>
      <c r="P196" s="30">
        <f ca="1">IFERROR(IF($N196="","",IF(OR($M196="",$M196&lt;$N196),TODAY()-$N196,$M196-$N196)),"")</f>
        <v>4.4761303588020382</v>
      </c>
      <c r="Q196" s="30">
        <f ca="1">IFERROR(IF($O196="","",IF(OR($M196="",$M196&lt;$O196),TODAY()-$O196,$M196-$O196)),"")</f>
        <v>1</v>
      </c>
      <c r="R196" s="28" t="str">
        <f>IF($O196="","SIN SALIDA",IF(OR($M196="",$M196&lt;$O196),"PENDIENTE","REALIZADA"))</f>
        <v>REALIZADA</v>
      </c>
      <c r="S196" s="31" t="str">
        <f>IFERROR(VLOOKUP($A196,Maestro_Equipos!$A$4:$AG$242,33,FALSE()),"")</f>
        <v>Monitorear próximo vencimiento</v>
      </c>
    </row>
    <row r="197" spans="1:19" ht="15.75" customHeight="1">
      <c r="A197" t="str" cm="1">
        <f t="array" ref="A197">IFERROR(INDEX(_xlfn._xlws.FILTER(Maestro_Equipos!$A$4:$A$242,Maestro_Equipos!$A$4:$A$242&lt;&gt;""),ROWS($A$4:A197)),"")</f>
        <v>VD-38</v>
      </c>
      <c r="B197" t="str">
        <f>IFERROR(_xlfn.XLOOKUP($A197,Maestro_Equipos!$A$4:$A$242,Maestro_Equipos!$B$4:$B$242,""),"")</f>
        <v>Minibus</v>
      </c>
      <c r="C197" t="str">
        <f>IFERROR(_xlfn.XLOOKUP($A197,Maestro_Equipos!$A$4:$A$242,Maestro_Equipos!$C$4:$C$242,""),"")</f>
        <v>Vehículos Livianos</v>
      </c>
      <c r="D197" t="str">
        <f>IFERROR(_xlfn.XLOOKUP($A197,Maestro_Equipos!$A:$A,Maestro_Equipos!$I:$I,""),"")</f>
        <v>KM</v>
      </c>
      <c r="E197">
        <f>IFERROR(IF($D197="KM",_xlfn.XLOOKUP($A197,Maestro_Equipos!$A:$A,Maestro_Equipos!$N:$N,""),_xlfn.XLOOKUP($A197,Maestro_Equipos!$A:$A,Maestro_Equipos!$M:$M,"")),"")</f>
        <v>559749</v>
      </c>
      <c r="F197">
        <f>IFERROR(_xlfn.XLOOKUP($A197,Maestro_Equipos!$A:$A,Maestro_Equipos!$R:$R,"")+_xlfn.XLOOKUP($A197,Maestro_Equipos!$A:$A,Maestro_Equipos!$J:$J,""),"")</f>
        <v>576359</v>
      </c>
      <c r="G197">
        <f>IFERROR(_xlfn.XLOOKUP($A197,Maestro_Equipos!$A:$A,Maestro_Equipos!$K:$K,""),"")</f>
        <v>4</v>
      </c>
      <c r="H197">
        <f>IFERROR(IF(OR($E197="",$F197="",$G197="",$G197&lt;=0),"",ROUND(($F197-$E197)/$G197,0)),"")</f>
        <v>4153</v>
      </c>
      <c r="I197" s="71">
        <f ca="1">IFERROR(IF($H197="","",TODAY()+$H197),"")</f>
        <v>50393</v>
      </c>
      <c r="J197" s="5" t="str">
        <f>IFERROR(INDEX(Maestro_Equipos!$V$4:$V$242,MATCH($A197,Maestro_Equipos!$A$4:$A$242,0)),"")</f>
        <v>Operativo</v>
      </c>
      <c r="K197" s="35">
        <f>IFERROR(
   SUMIFS(Mantenciones!$I:$I,Mantenciones!$B:$B,$A197)
 + SUMIFS('Compras PM'!$F:$F,'Compras PM'!$C:$C,$A197),0)</f>
        <v>40499.972099999999</v>
      </c>
      <c r="L197" s="28" t="str">
        <f>IF($J197="Fuera de Servicio","NO PROGRAMAR",IF($H197="","SIN DATOS",IF($H197&lt;=0,"VENCIDA",IF($H197&lt;=7,"CRÍTICA",IF($H197&lt;=15,"ALTA",IF($H197&lt;=30,"MEDIA","BAJA"))))))</f>
        <v>BAJA</v>
      </c>
      <c r="M197" s="53" cm="1">
        <f t="array" ref="M197">IFERROR(_xlfn.AGGREGATE(14,6,Mantenciones!$A$3:$A$9916/(Mantenciones!$B$3:$B$9916=$A197),1),"")</f>
        <v>46106</v>
      </c>
      <c r="N197" s="29" cm="1">
        <f t="array" ref="N197">IFERROR(_xlfn.AGGREGATE(14,6,'Compras PM'!$A$4:$A$10029/('Compras PM'!$C$4:$C$10029=$A197),1),"")</f>
        <v>46086.626455555597</v>
      </c>
      <c r="O197" s="29">
        <f>IFERROR(VLOOKUP($A197,Maestro_Equipos!$A$4:$AG$242,27,FALSE()),"")</f>
        <v>46086</v>
      </c>
      <c r="P197" s="30">
        <f ca="1">IFERROR(IF($N197="","",IF(OR($M197="",$M197&lt;$N197),TODAY()-$N197,$M197-$N197)),"")</f>
        <v>19.373544444402796</v>
      </c>
      <c r="Q197" s="30">
        <f ca="1">IFERROR(IF($O197="","",IF(OR($M197="",$M197&lt;$O197),TODAY()-$O197,$M197-$O197)),"")</f>
        <v>20</v>
      </c>
      <c r="R197" s="28" t="str">
        <f>IF($O197="","SIN SALIDA",IF(OR($M197="",$M197&lt;$O197),"PENDIENTE","REALIZADA"))</f>
        <v>REALIZADA</v>
      </c>
      <c r="S197" s="31" t="str">
        <f>IFERROR(VLOOKUP($A197,Maestro_Equipos!$A$4:$AG$242,33,FALSE()),"")</f>
        <v>Monitorear próximo vencimiento</v>
      </c>
    </row>
    <row r="198" spans="1:19" ht="15.75" customHeight="1">
      <c r="A198" s="61" t="str" cm="1">
        <f t="array" ref="A198">IFERROR(INDEX(_xlfn._xlws.FILTER(Maestro_Equipos!$A$4:$A$242,Maestro_Equipos!$A$4:$A$242&lt;&gt;""),ROWS($A$4:A198)),"")</f>
        <v>VD-45</v>
      </c>
      <c r="B198" s="61" t="str">
        <f>IFERROR(_xlfn.XLOOKUP($A198,Maestro_Equipos!$A$4:$A$242,Maestro_Equipos!$B$4:$B$242,""),"")</f>
        <v>Minibus</v>
      </c>
      <c r="C198" s="61" t="str">
        <f>IFERROR(_xlfn.XLOOKUP($A198,Maestro_Equipos!$A$4:$A$242,Maestro_Equipos!$C$4:$C$242,""),"")</f>
        <v>Vehículos Livianos</v>
      </c>
      <c r="D198" s="61" t="str">
        <f>IFERROR(VLOOKUP($A195,Maestro_Equipos!$A$4:$Z$242,9,FALSE),"")</f>
        <v>KM</v>
      </c>
      <c r="E198" s="61">
        <f>IFERROR(IF($D198="KM",_xlfn.XLOOKUP($A198,Maestro_Equipos!$A:$A,Maestro_Equipos!$N:$N,""),_xlfn.XLOOKUP($A198,Maestro_Equipos!$A:$A,Maestro_Equipos!$M:$M,"")),"")</f>
        <v>413622</v>
      </c>
      <c r="F198" s="61">
        <f>IFERROR(_xlfn.XLOOKUP($A198,Maestro_Equipos!$A:$A,Maestro_Equipos!$R:$R,"")+_xlfn.XLOOKUP($A198,Maestro_Equipos!$A:$A,Maestro_Equipos!$J:$J,""),"")</f>
        <v>314925</v>
      </c>
      <c r="G198" s="61">
        <f>IFERROR(_xlfn.XLOOKUP($A198,Maestro_Equipos!$A:$A,Maestro_Equipos!$K:$K,""),"")</f>
        <v>131.80000000000001</v>
      </c>
      <c r="H198" s="61">
        <f>IFERROR(IF(OR($E198="",$F198="",$G198="",$G198&lt;=0),"",ROUND(($F198-$E198)/$G198,0)),"")</f>
        <v>-749</v>
      </c>
      <c r="I198" s="62">
        <f ca="1">IFERROR(IF($H198="","",TODAY()+$H198),"")</f>
        <v>45491</v>
      </c>
      <c r="J198" s="63" t="str">
        <f>IFERROR(INDEX(Maestro_Equipos!$V$4:$V$242,MATCH($A198,Maestro_Equipos!$A$4:$A$242,0)),"")</f>
        <v>Taller</v>
      </c>
      <c r="K198" s="64">
        <f>IFERROR(
   SUMIFS(Mantenciones!$I:$I,Mantenciones!$B:$B,$A198)
 + SUMIFS('Compras PM'!$F:$F,'Compras PM'!$C:$C,$A198),0)</f>
        <v>0</v>
      </c>
      <c r="L198" s="65" t="str">
        <f>IF($J198="Fuera de Servicio","NO PROGRAMAR",IF($H198="","SIN DATOS",IF($H198&lt;=0,"VENCIDA",IF($H198&lt;=7,"CRÍTICA",IF($H198&lt;=15,"ALTA",IF($H198&lt;=30,"MEDIA","BAJA"))))))</f>
        <v>VENCIDA</v>
      </c>
      <c r="M198" s="66" cm="1">
        <f t="array" ref="M198">IFERROR(_xlfn.AGGREGATE(14,6,Mantenciones!$A$3:$A$9916/(Mantenciones!$B$3:$B$9916=$A198),1),"")</f>
        <v>45215</v>
      </c>
      <c r="N198" s="67" t="str" cm="1">
        <f t="array" ref="N198">IFERROR(_xlfn.AGGREGATE(14,6,'Compras PM'!$A$4:$A$10029/('Compras PM'!$C$4:$C$10029=$A198),1),"")</f>
        <v/>
      </c>
      <c r="O198" s="67" t="str">
        <f>IFERROR(VLOOKUP($A198,Maestro_Equipos!$A$4:$AG$242,27,FALSE()),"")</f>
        <v/>
      </c>
      <c r="P198" s="68" t="str">
        <f ca="1">IFERROR(IF($N198="","",IF(OR($M198="",$M198&lt;$N198),TODAY()-$N198,$M198-$N198)),"")</f>
        <v/>
      </c>
      <c r="Q198" s="68" t="str">
        <f ca="1">IFERROR(IF($O198="","",IF(OR($M198="",$M198&lt;$O198),TODAY()-$O198,$M198-$O198)),"")</f>
        <v/>
      </c>
      <c r="R198" s="65" t="str">
        <f>IF($O198="","SIN SALIDA",IF(OR($M198="",$M198&lt;$O198),"PENDIENTE","REALIZADA"))</f>
        <v>SIN SALIDA</v>
      </c>
      <c r="S198" s="69" t="str">
        <f>IFERROR(VLOOKUP($A198,Maestro_Equipos!$A$4:$AG$242,33,FALSE()),"")</f>
        <v>Monitorear próximo vencimiento</v>
      </c>
    </row>
    <row r="199" spans="1:19" ht="15.75" customHeight="1">
      <c r="A199" t="str" cm="1">
        <f t="array" ref="A199">IFERROR(INDEX(_xlfn._xlws.FILTER(Maestro_Equipos!$A$4:$A$242,Maestro_Equipos!$A$4:$A$242&lt;&gt;""),ROWS($A$4:A199)),"")</f>
        <v>VD-57</v>
      </c>
      <c r="B199" t="str">
        <f>IFERROR(_xlfn.XLOOKUP($A199,Maestro_Equipos!$A$4:$A$242,Maestro_Equipos!$B$4:$B$242,""),"")</f>
        <v>Camioneta</v>
      </c>
      <c r="C199" t="str">
        <f>IFERROR(_xlfn.XLOOKUP($A199,Maestro_Equipos!$A$4:$A$242,Maestro_Equipos!$C$4:$C$242,""),"")</f>
        <v>Vehículos Livianos</v>
      </c>
      <c r="D199" t="str">
        <f>IFERROR(VLOOKUP($A196,Maestro_Equipos!$A$4:$Z$242,9,FALSE),"")</f>
        <v>KM</v>
      </c>
      <c r="E199">
        <f>IFERROR(IF($D199="KM",_xlfn.XLOOKUP($A199,Maestro_Equipos!$A:$A,Maestro_Equipos!$N:$N,""),_xlfn.XLOOKUP($A199,Maestro_Equipos!$A:$A,Maestro_Equipos!$M:$M,"")),"")</f>
        <v>113489</v>
      </c>
      <c r="F199" t="str">
        <f>IFERROR(_xlfn.XLOOKUP($A199,Maestro_Equipos!$A:$A,Maestro_Equipos!$R:$R,"")+_xlfn.XLOOKUP($A199,Maestro_Equipos!$A:$A,Maestro_Equipos!$J:$J,""),"")</f>
        <v/>
      </c>
      <c r="G199">
        <f>IFERROR(_xlfn.XLOOKUP($A199,Maestro_Equipos!$A:$A,Maestro_Equipos!$K:$K,""),"")</f>
        <v>0</v>
      </c>
      <c r="H199" t="str">
        <f>IFERROR(IF(OR($E199="",$F199="",$G199="",$G199&lt;=0),"",ROUND(($F199-$E199)/$G199,0)),"")</f>
        <v/>
      </c>
      <c r="I199" s="71" t="str">
        <f ca="1">IFERROR(IF($H199="","",TODAY()+$H199),"")</f>
        <v/>
      </c>
      <c r="J199" s="5" t="str">
        <f>IFERROR(INDEX(Maestro_Equipos!$V$4:$V$242,MATCH($A199,Maestro_Equipos!$A$4:$A$242,0)),"")</f>
        <v>Fuera de Servicio</v>
      </c>
      <c r="K199" s="35">
        <f>IFERROR(
   SUMIFS(Mantenciones!$I:$I,Mantenciones!$B:$B,$A199)
 + SUMIFS('Compras PM'!$F:$F,'Compras PM'!$C:$C,$A199),0)</f>
        <v>0</v>
      </c>
      <c r="L199" s="28" t="str">
        <f>IF($J199="Fuera de Servicio","NO PROGRAMAR",IF($H199="","SIN DATOS",IF($H199&lt;=0,"VENCIDA",IF($H199&lt;=7,"CRÍTICA",IF($H199&lt;=15,"ALTA",IF($H199&lt;=30,"MEDIA","BAJA"))))))</f>
        <v>NO PROGRAMAR</v>
      </c>
      <c r="M199" s="53" cm="1">
        <f t="array" ref="M199">IFERROR(_xlfn.AGGREGATE(14,6,Mantenciones!$A$3:$A$9916/(Mantenciones!$B$3:$B$9916=$A199),1),"")</f>
        <v>45240</v>
      </c>
      <c r="N199" s="29" t="str" cm="1">
        <f t="array" ref="N199">IFERROR(_xlfn.AGGREGATE(14,6,'Compras PM'!$A$4:$A$10029/('Compras PM'!$C$4:$C$10029=$A199),1),"")</f>
        <v/>
      </c>
      <c r="O199" s="29" t="str">
        <f>IFERROR(VLOOKUP($A199,Maestro_Equipos!$A$4:$AG$242,27,FALSE()),"")</f>
        <v/>
      </c>
      <c r="P199" s="30" t="str">
        <f ca="1">IFERROR(IF($N199="","",IF(OR($M199="",$M199&lt;$N199),TODAY()-$N199,$M199-$N199)),"")</f>
        <v/>
      </c>
      <c r="Q199" s="30" t="str">
        <f ca="1">IFERROR(IF($O199="","",IF(OR($M199="",$M199&lt;$O199),TODAY()-$O199,$M199-$O199)),"")</f>
        <v/>
      </c>
      <c r="R199" s="28" t="str">
        <f>IF($O199="","SIN SALIDA",IF(OR($M199="",$M199&lt;$O199),"PENDIENTE","REALIZADA"))</f>
        <v>SIN SALIDA</v>
      </c>
      <c r="S199" s="31" t="str">
        <f>IFERROR(VLOOKUP($A199,Maestro_Equipos!$A$4:$AG$242,33,FALSE()),"")</f>
        <v>No programar compra</v>
      </c>
    </row>
    <row r="200" spans="1:19" ht="15.75" customHeight="1">
      <c r="A200" t="str" cm="1">
        <f t="array" ref="A200">IFERROR(INDEX(_xlfn._xlws.FILTER(Maestro_Equipos!$A$4:$A$242,Maestro_Equipos!$A$4:$A$242&lt;&gt;""),ROWS($A$4:A200)),"")</f>
        <v>VD-58</v>
      </c>
      <c r="B200" t="str">
        <f>IFERROR(_xlfn.XLOOKUP($A200,Maestro_Equipos!$A$4:$A$242,Maestro_Equipos!$B$4:$B$242,""),"")</f>
        <v>Camioneta</v>
      </c>
      <c r="C200" t="str">
        <f>IFERROR(_xlfn.XLOOKUP($A200,Maestro_Equipos!$A$4:$A$242,Maestro_Equipos!$C$4:$C$242,""),"")</f>
        <v>Vehículos Livianos</v>
      </c>
      <c r="D200" t="str">
        <f>IFERROR(VLOOKUP($A197,Maestro_Equipos!$A$4:$Z$242,9,FALSE),"")</f>
        <v>KM</v>
      </c>
      <c r="E200">
        <f>IFERROR(IF($D200="KM",_xlfn.XLOOKUP($A200,Maestro_Equipos!$A:$A,Maestro_Equipos!$N:$N,""),_xlfn.XLOOKUP($A200,Maestro_Equipos!$A:$A,Maestro_Equipos!$M:$M,"")),"")</f>
        <v>169260</v>
      </c>
      <c r="F200">
        <f>IFERROR(_xlfn.XLOOKUP($A200,Maestro_Equipos!$A:$A,Maestro_Equipos!$R:$R,"")+_xlfn.XLOOKUP($A200,Maestro_Equipos!$A:$A,Maestro_Equipos!$J:$J,""),"")</f>
        <v>184260</v>
      </c>
      <c r="G200">
        <f>IFERROR(_xlfn.XLOOKUP($A200,Maestro_Equipos!$A:$A,Maestro_Equipos!$K:$K,""),"")</f>
        <v>156.69999999999999</v>
      </c>
      <c r="H200">
        <f>IFERROR(IF(OR($E200="",$F200="",$G200="",$G200&lt;=0),"",ROUND(($F200-$E200)/$G200,0)),"")</f>
        <v>96</v>
      </c>
      <c r="I200" s="71">
        <f ca="1">IFERROR(IF($H200="","",TODAY()+$H200),"")</f>
        <v>46336</v>
      </c>
      <c r="J200" s="5" t="str">
        <f>IFERROR(INDEX(Maestro_Equipos!$V$4:$V$242,MATCH($A200,Maestro_Equipos!$A$4:$A$242,0)),"")</f>
        <v>Operativo</v>
      </c>
      <c r="K200" s="35">
        <f>IFERROR(
   SUMIFS(Mantenciones!$I:$I,Mantenciones!$B:$B,$A200)
 + SUMIFS('Compras PM'!$F:$F,'Compras PM'!$C:$C,$A200),0)</f>
        <v>0</v>
      </c>
      <c r="L200" s="28" t="str">
        <f>IF($J200="Fuera de Servicio","NO PROGRAMAR",IF($H200="","SIN DATOS",IF($H200&lt;=0,"VENCIDA",IF($H200&lt;=7,"CRÍTICA",IF($H200&lt;=15,"ALTA",IF($H200&lt;=30,"MEDIA","BAJA"))))))</f>
        <v>BAJA</v>
      </c>
      <c r="M200" s="53" cm="1">
        <f t="array" ref="M200">IFERROR(_xlfn.AGGREGATE(14,6,Mantenciones!$A$3:$A$9916/(Mantenciones!$B$3:$B$9916=$A200),1),"")</f>
        <v>46147</v>
      </c>
      <c r="N200" s="29" t="str" cm="1">
        <f t="array" ref="N200">IFERROR(_xlfn.AGGREGATE(14,6,'Compras PM'!$A$4:$A$10029/('Compras PM'!$C$4:$C$10029=$A200),1),"")</f>
        <v/>
      </c>
      <c r="O200" s="29" t="str">
        <f>IFERROR(VLOOKUP($A200,Maestro_Equipos!$A$4:$AG$242,27,FALSE()),"")</f>
        <v/>
      </c>
      <c r="P200" s="30" t="str">
        <f ca="1">IFERROR(IF($N200="","",IF(OR($M200="",$M200&lt;$N200),TODAY()-$N200,$M200-$N200)),"")</f>
        <v/>
      </c>
      <c r="Q200" s="30" t="str">
        <f ca="1">IFERROR(IF($O200="","",IF(OR($M200="",$M200&lt;$O200),TODAY()-$O200,$M200-$O200)),"")</f>
        <v/>
      </c>
      <c r="R200" s="28" t="str">
        <f>IF($O200="","SIN SALIDA",IF(OR($M200="",$M200&lt;$O200),"PENDIENTE","REALIZADA"))</f>
        <v>SIN SALIDA</v>
      </c>
      <c r="S200" s="31" t="str">
        <f>IFERROR(VLOOKUP($A200,Maestro_Equipos!$A$4:$AG$242,33,FALSE()),"")</f>
        <v>Monitorear próximo vencimiento</v>
      </c>
    </row>
    <row r="201" spans="1:19" ht="15.75" customHeight="1">
      <c r="A201" t="str" cm="1">
        <f t="array" ref="A201">IFERROR(INDEX(_xlfn._xlws.FILTER(Maestro_Equipos!$A$4:$A$242,Maestro_Equipos!$A$4:$A$242&lt;&gt;""),ROWS($A$4:A201)),"")</f>
        <v>VD-59</v>
      </c>
      <c r="B201" t="str">
        <f>IFERROR(_xlfn.XLOOKUP($A201,Maestro_Equipos!$A$4:$A$242,Maestro_Equipos!$B$4:$B$242,""),"")</f>
        <v>Camioneta</v>
      </c>
      <c r="C201" t="str">
        <f>IFERROR(_xlfn.XLOOKUP($A201,Maestro_Equipos!$A$4:$A$242,Maestro_Equipos!$C$4:$C$242,""),"")</f>
        <v>Vehículos Livianos</v>
      </c>
      <c r="D201" t="str">
        <f>IFERROR(VLOOKUP($A198,Maestro_Equipos!$A$4:$Z$242,9,FALSE),"")</f>
        <v>KM</v>
      </c>
      <c r="E201">
        <f>IFERROR(IF($D201="KM",_xlfn.XLOOKUP($A201,Maestro_Equipos!$A:$A,Maestro_Equipos!$N:$N,""),_xlfn.XLOOKUP($A201,Maestro_Equipos!$A:$A,Maestro_Equipos!$M:$M,"")),"")</f>
        <v>0</v>
      </c>
      <c r="F201">
        <f>IFERROR(_xlfn.XLOOKUP($A201,Maestro_Equipos!$A:$A,Maestro_Equipos!$R:$R,"")+_xlfn.XLOOKUP($A201,Maestro_Equipos!$A:$A,Maestro_Equipos!$J:$J,""),"")</f>
        <v>76575</v>
      </c>
      <c r="G201">
        <f>IFERROR(_xlfn.XLOOKUP($A201,Maestro_Equipos!$A:$A,Maestro_Equipos!$K:$K,""),"")</f>
        <v>0</v>
      </c>
      <c r="H201" t="str">
        <f>IFERROR(IF(OR($E201="",$F201="",$G201="",$G201&lt;=0),"",ROUND(($F201-$E201)/$G201,0)),"")</f>
        <v/>
      </c>
      <c r="I201" s="71" t="str">
        <f ca="1">IFERROR(IF($H201="","",TODAY()+$H201),"")</f>
        <v/>
      </c>
      <c r="J201" s="5" t="str">
        <f>IFERROR(INDEX(Maestro_Equipos!$V$4:$V$242,MATCH($A201,Maestro_Equipos!$A$4:$A$242,0)),"")</f>
        <v>Fuera de Servicio</v>
      </c>
      <c r="K201" s="35">
        <f>IFERROR(
   SUMIFS(Mantenciones!$I:$I,Mantenciones!$B:$B,$A201)
 + SUMIFS('Compras PM'!$F:$F,'Compras PM'!$C:$C,$A201),0)</f>
        <v>0</v>
      </c>
      <c r="L201" s="28" t="str">
        <f>IF($J201="Fuera de Servicio","NO PROGRAMAR",IF($H201="","SIN DATOS",IF($H201&lt;=0,"VENCIDA",IF($H201&lt;=7,"CRÍTICA",IF($H201&lt;=15,"ALTA",IF($H201&lt;=30,"MEDIA","BAJA"))))))</f>
        <v>NO PROGRAMAR</v>
      </c>
      <c r="M201" s="53" cm="1">
        <f t="array" ref="M201">IFERROR(_xlfn.AGGREGATE(14,6,Mantenciones!$A$3:$A$9916/(Mantenciones!$B$3:$B$9916=$A201),1),"")</f>
        <v>45237</v>
      </c>
      <c r="N201" s="29" t="str" cm="1">
        <f t="array" ref="N201">IFERROR(_xlfn.AGGREGATE(14,6,'Compras PM'!$A$4:$A$10029/('Compras PM'!$C$4:$C$10029=$A201),1),"")</f>
        <v/>
      </c>
      <c r="O201" s="29" t="str">
        <f>IFERROR(VLOOKUP($A201,Maestro_Equipos!$A$4:$AG$242,27,FALSE()),"")</f>
        <v/>
      </c>
      <c r="P201" s="30" t="str">
        <f ca="1">IFERROR(IF($N201="","",IF(OR($M201="",$M201&lt;$N201),TODAY()-$N201,$M201-$N201)),"")</f>
        <v/>
      </c>
      <c r="Q201" s="30" t="str">
        <f ca="1">IFERROR(IF($O201="","",IF(OR($M201="",$M201&lt;$O201),TODAY()-$O201,$M201-$O201)),"")</f>
        <v/>
      </c>
      <c r="R201" s="28" t="str">
        <f>IF($O201="","SIN SALIDA",IF(OR($M201="",$M201&lt;$O201),"PENDIENTE","REALIZADA"))</f>
        <v>SIN SALIDA</v>
      </c>
      <c r="S201" s="31" t="str">
        <f>IFERROR(VLOOKUP($A201,Maestro_Equipos!$A$4:$AG$242,33,FALSE()),"")</f>
        <v>No programar compra</v>
      </c>
    </row>
    <row r="202" spans="1:19" ht="15.75" customHeight="1">
      <c r="A202" s="61" t="str" cm="1">
        <f t="array" ref="A202">IFERROR(INDEX(_xlfn._xlws.FILTER(Maestro_Equipos!$A$4:$A$242,Maestro_Equipos!$A$4:$A$242&lt;&gt;""),ROWS($A$4:A202)),"")</f>
        <v>VD-60</v>
      </c>
      <c r="B202" s="61" t="str">
        <f>IFERROR(_xlfn.XLOOKUP($A202,Maestro_Equipos!$A$4:$A$242,Maestro_Equipos!$B$4:$B$242,""),"")</f>
        <v>Camioneta</v>
      </c>
      <c r="C202" s="61" t="str">
        <f>IFERROR(_xlfn.XLOOKUP($A202,Maestro_Equipos!$A$4:$A$242,Maestro_Equipos!$C$4:$C$242,""),"")</f>
        <v>Vehículos Livianos</v>
      </c>
      <c r="D202" s="61" t="str">
        <f>IFERROR(VLOOKUP($A199,Maestro_Equipos!$A$4:$Z$242,9,FALSE),"")</f>
        <v>KM</v>
      </c>
      <c r="E202" s="61">
        <f>IFERROR(IF($D202="KM",_xlfn.XLOOKUP($A202,Maestro_Equipos!$A:$A,Maestro_Equipos!$N:$N,""),_xlfn.XLOOKUP($A202,Maestro_Equipos!$A:$A,Maestro_Equipos!$M:$M,"")),"")</f>
        <v>158014</v>
      </c>
      <c r="F202" s="61">
        <f>IFERROR(_xlfn.XLOOKUP($A202,Maestro_Equipos!$A:$A,Maestro_Equipos!$R:$R,"")+_xlfn.XLOOKUP($A202,Maestro_Equipos!$A:$A,Maestro_Equipos!$J:$J,""),"")</f>
        <v>173018</v>
      </c>
      <c r="G202" s="61">
        <f>IFERROR(_xlfn.XLOOKUP($A202,Maestro_Equipos!$A:$A,Maestro_Equipos!$K:$K,""),"")</f>
        <v>168.2</v>
      </c>
      <c r="H202" s="61">
        <f>IFERROR(IF(OR($E202="",$F202="",$G202="",$G202&lt;=0),"",ROUND(($F202-$E202)/$G202,0)),"")</f>
        <v>89</v>
      </c>
      <c r="I202" s="62">
        <f ca="1">IFERROR(IF($H202="","",TODAY()+$H202),"")</f>
        <v>46329</v>
      </c>
      <c r="J202" s="63" t="str">
        <f>IFERROR(INDEX(Maestro_Equipos!$V$4:$V$242,MATCH($A202,Maestro_Equipos!$A$4:$A$242,0)),"")</f>
        <v>Operativo</v>
      </c>
      <c r="K202" s="64">
        <f>IFERROR(
   SUMIFS(Mantenciones!$I:$I,Mantenciones!$B:$B,$A202)
 + SUMIFS('Compras PM'!$F:$F,'Compras PM'!$C:$C,$A202),0)</f>
        <v>0</v>
      </c>
      <c r="L202" s="65" t="str">
        <f>IF($J202="Fuera de Servicio","NO PROGRAMAR",IF($H202="","SIN DATOS",IF($H202&lt;=0,"VENCIDA",IF($H202&lt;=7,"CRÍTICA",IF($H202&lt;=15,"ALTA",IF($H202&lt;=30,"MEDIA","BAJA"))))))</f>
        <v>BAJA</v>
      </c>
      <c r="M202" s="66" cm="1">
        <f t="array" ref="M202">IFERROR(_xlfn.AGGREGATE(14,6,Mantenciones!$A$3:$A$9916/(Mantenciones!$B$3:$B$9916=$A202),1),"")</f>
        <v>46141</v>
      </c>
      <c r="N202" s="67" t="str" cm="1">
        <f t="array" ref="N202">IFERROR(_xlfn.AGGREGATE(14,6,'Compras PM'!$A$4:$A$10029/('Compras PM'!$C$4:$C$10029=$A202),1),"")</f>
        <v/>
      </c>
      <c r="O202" s="67">
        <f>IFERROR(VLOOKUP($A202,Maestro_Equipos!$A$4:$AG$242,27,FALSE()),"")</f>
        <v>46073</v>
      </c>
      <c r="P202" s="68" t="str">
        <f ca="1">IFERROR(IF($N202="","",IF(OR($M202="",$M202&lt;$N202),TODAY()-$N202,$M202-$N202)),"")</f>
        <v/>
      </c>
      <c r="Q202" s="68">
        <f ca="1">IFERROR(IF($O202="","",IF(OR($M202="",$M202&lt;$O202),TODAY()-$O202,$M202-$O202)),"")</f>
        <v>68</v>
      </c>
      <c r="R202" s="65" t="str">
        <f>IF($O202="","SIN SALIDA",IF(OR($M202="",$M202&lt;$O202),"PENDIENTE","REALIZADA"))</f>
        <v>REALIZADA</v>
      </c>
      <c r="S202" s="69" t="str">
        <f>IFERROR(VLOOKUP($A202,Maestro_Equipos!$A$4:$AG$242,33,FALSE()),"")</f>
        <v>Monitorear próximo vencimiento</v>
      </c>
    </row>
    <row r="203" spans="1:19" ht="15.75" customHeight="1">
      <c r="A203" t="str" cm="1">
        <f t="array" ref="A203">IFERROR(INDEX(_xlfn._xlws.FILTER(Maestro_Equipos!$A$4:$A$242,Maestro_Equipos!$A$4:$A$242&lt;&gt;""),ROWS($A$4:A203)),"")</f>
        <v>VD-62</v>
      </c>
      <c r="B203" t="str">
        <f>IFERROR(_xlfn.XLOOKUP($A203,Maestro_Equipos!$A$4:$A$242,Maestro_Equipos!$B$4:$B$242,""),"")</f>
        <v>Camioneta</v>
      </c>
      <c r="C203" t="str">
        <f>IFERROR(_xlfn.XLOOKUP($A203,Maestro_Equipos!$A$4:$A$242,Maestro_Equipos!$C$4:$C$242,""),"")</f>
        <v>Vehículos Livianos</v>
      </c>
      <c r="D203" t="str">
        <f>IFERROR(_xlfn.XLOOKUP($A203,Maestro_Equipos!$A:$A,Maestro_Equipos!$I:$I,""),"")</f>
        <v>KM</v>
      </c>
      <c r="E203">
        <f>IFERROR(IF($D203="KM",_xlfn.XLOOKUP($A203,Maestro_Equipos!$A:$A,Maestro_Equipos!$N:$N,""),_xlfn.XLOOKUP($A203,Maestro_Equipos!$A:$A,Maestro_Equipos!$M:$M,"")),"")</f>
        <v>0</v>
      </c>
      <c r="F203" t="str">
        <f>IFERROR(_xlfn.XLOOKUP($A203,Maestro_Equipos!$A:$A,Maestro_Equipos!$R:$R,"")+_xlfn.XLOOKUP($A203,Maestro_Equipos!$A:$A,Maestro_Equipos!$J:$J,""),"")</f>
        <v/>
      </c>
      <c r="G203">
        <f>IFERROR(_xlfn.XLOOKUP($A203,Maestro_Equipos!$A:$A,Maestro_Equipos!$K:$K,""),"")</f>
        <v>0</v>
      </c>
      <c r="H203" t="str">
        <f>IFERROR(IF(OR($E203="",$F203="",$G203="",$G203&lt;=0),"",ROUND(($F203-$E203)/$G203,0)),"")</f>
        <v/>
      </c>
      <c r="I203" s="71" t="str">
        <f ca="1">IFERROR(IF($H203="","",TODAY()+$H203),"")</f>
        <v/>
      </c>
      <c r="J203" s="5" t="str">
        <f>IFERROR(INDEX(Maestro_Equipos!$V$4:$V$242,MATCH($A203,Maestro_Equipos!$A$4:$A$242,0)),"")</f>
        <v>Fuera de Servicio</v>
      </c>
      <c r="K203" s="35">
        <f>IFERROR(
   SUMIFS(Mantenciones!$I:$I,Mantenciones!$B:$B,$A203)
 + SUMIFS('Compras PM'!$F:$F,'Compras PM'!$C:$C,$A203),0)</f>
        <v>0</v>
      </c>
      <c r="L203" s="28" t="str">
        <f>IF($J203="Fuera de Servicio","NO PROGRAMAR",IF($H203="","SIN DATOS",IF($H203&lt;=0,"VENCIDA",IF($H203&lt;=7,"CRÍTICA",IF($H203&lt;=15,"ALTA",IF($H203&lt;=30,"MEDIA","BAJA"))))))</f>
        <v>NO PROGRAMAR</v>
      </c>
      <c r="M203" s="53" cm="1">
        <f t="array" ref="M203">IFERROR(_xlfn.AGGREGATE(14,6,Mantenciones!$A$3:$A$9916/(Mantenciones!$B$3:$B$9916=$A203),1),"")</f>
        <v>44831</v>
      </c>
      <c r="N203" s="29" t="str" cm="1">
        <f t="array" ref="N203">IFERROR(_xlfn.AGGREGATE(14,6,'Compras PM'!$A$4:$A$10029/('Compras PM'!$C$4:$C$10029=$A203),1),"")</f>
        <v/>
      </c>
      <c r="O203" s="29" t="str">
        <f>IFERROR(VLOOKUP($A203,Maestro_Equipos!$A$4:$AG$242,27,FALSE()),"")</f>
        <v/>
      </c>
      <c r="P203" s="30" t="str">
        <f ca="1">IFERROR(IF($N203="","",IF(OR($M203="",$M203&lt;$N203),TODAY()-$N203,$M203-$N203)),"")</f>
        <v/>
      </c>
      <c r="Q203" s="30" t="str">
        <f ca="1">IFERROR(IF($O203="","",IF(OR($M203="",$M203&lt;$O203),TODAY()-$O203,$M203-$O203)),"")</f>
        <v/>
      </c>
      <c r="R203" s="28" t="str">
        <f>IF($O203="","SIN SALIDA",IF(OR($M203="",$M203&lt;$O203),"PENDIENTE","REALIZADA"))</f>
        <v>SIN SALIDA</v>
      </c>
      <c r="S203" s="31" t="str">
        <f>IFERROR(VLOOKUP($A203,Maestro_Equipos!$A$4:$AG$242,33,FALSE()),"")</f>
        <v>No programar compra</v>
      </c>
    </row>
    <row r="204" spans="1:19" ht="15.75" customHeight="1">
      <c r="A204" t="str" cm="1">
        <f t="array" ref="A204">IFERROR(INDEX(_xlfn._xlws.FILTER(Maestro_Equipos!$A$4:$A$242,Maestro_Equipos!$A$4:$A$242&lt;&gt;""),ROWS($A$4:A204)),"")</f>
        <v>VD-63</v>
      </c>
      <c r="B204" t="str">
        <f>IFERROR(_xlfn.XLOOKUP($A204,Maestro_Equipos!$A$4:$A$242,Maestro_Equipos!$B$4:$B$242,""),"")</f>
        <v>Camioneta</v>
      </c>
      <c r="C204" t="str">
        <f>IFERROR(_xlfn.XLOOKUP($A204,Maestro_Equipos!$A$4:$A$242,Maestro_Equipos!$C$4:$C$242,""),"")</f>
        <v>Vehículos Livianos</v>
      </c>
      <c r="D204" t="str">
        <f>IFERROR(_xlfn.XLOOKUP($A204,Maestro_Equipos!$A:$A,Maestro_Equipos!$I:$I,""),"")</f>
        <v>KM</v>
      </c>
      <c r="E204">
        <f>IFERROR(IF($D204="KM",_xlfn.XLOOKUP($A204,Maestro_Equipos!$A:$A,Maestro_Equipos!$N:$N,""),_xlfn.XLOOKUP($A204,Maestro_Equipos!$A:$A,Maestro_Equipos!$M:$M,"")),"")</f>
        <v>188442</v>
      </c>
      <c r="F204">
        <f>IFERROR(_xlfn.XLOOKUP($A204,Maestro_Equipos!$A:$A,Maestro_Equipos!$R:$R,"")+_xlfn.XLOOKUP($A204,Maestro_Equipos!$A:$A,Maestro_Equipos!$J:$J,""),"")</f>
        <v>134559</v>
      </c>
      <c r="G204">
        <f>IFERROR(_xlfn.XLOOKUP($A204,Maestro_Equipos!$A:$A,Maestro_Equipos!$K:$K,""),"")</f>
        <v>21.6</v>
      </c>
      <c r="H204">
        <f>IFERROR(IF(OR($E204="",$F204="",$G204="",$G204&lt;=0),"",ROUND(($F204-$E204)/$G204,0)),"")</f>
        <v>-2495</v>
      </c>
      <c r="I204" s="71">
        <f ca="1">IFERROR(IF($H204="","",TODAY()+$H204),"")</f>
        <v>43745</v>
      </c>
      <c r="J204" s="5" t="str">
        <f>IFERROR(INDEX(Maestro_Equipos!$V$4:$V$242,MATCH($A204,Maestro_Equipos!$A$4:$A$242,0)),"")</f>
        <v>Operativo</v>
      </c>
      <c r="K204" s="35">
        <f>IFERROR(
   SUMIFS(Mantenciones!$I:$I,Mantenciones!$B:$B,$A204)
 + SUMIFS('Compras PM'!$F:$F,'Compras PM'!$C:$C,$A204),0)</f>
        <v>0</v>
      </c>
      <c r="L204" s="28" t="str">
        <f>IF($J204="Fuera de Servicio","NO PROGRAMAR",IF($H204="","SIN DATOS",IF($H204&lt;=0,"VENCIDA",IF($H204&lt;=7,"CRÍTICA",IF($H204&lt;=15,"ALTA",IF($H204&lt;=30,"MEDIA","BAJA"))))))</f>
        <v>VENCIDA</v>
      </c>
      <c r="M204" s="53" cm="1">
        <f t="array" ref="M204">IFERROR(_xlfn.AGGREGATE(14,6,Mantenciones!$A$3:$A$9916/(Mantenciones!$B$3:$B$9916=$A204),1),"")</f>
        <v>45219</v>
      </c>
      <c r="N204" s="29" t="str" cm="1">
        <f t="array" ref="N204">IFERROR(_xlfn.AGGREGATE(14,6,'Compras PM'!$A$4:$A$10029/('Compras PM'!$C$4:$C$10029=$A204),1),"")</f>
        <v/>
      </c>
      <c r="O204" s="29">
        <f>IFERROR(VLOOKUP($A204,Maestro_Equipos!$A$4:$AG$242,27,FALSE()),"")</f>
        <v>46118</v>
      </c>
      <c r="P204" s="30" t="str">
        <f ca="1">IFERROR(IF($N204="","",IF(OR($M204="",$M204&lt;$N204),TODAY()-$N204,$M204-$N204)),"")</f>
        <v/>
      </c>
      <c r="Q204" s="30">
        <f ca="1">IFERROR(IF($O204="","",IF(OR($M204="",$M204&lt;$O204),TODAY()-$O204,$M204-$O204)),"")</f>
        <v>122</v>
      </c>
      <c r="R204" s="28" t="str">
        <f>IF($O204="","SIN SALIDA",IF(OR($M204="",$M204&lt;$O204),"PENDIENTE","REALIZADA"))</f>
        <v>PENDIENTE</v>
      </c>
      <c r="S204" s="31" t="str">
        <f>IFERROR(VLOOKUP($A204,Maestro_Equipos!$A$4:$AG$242,33,FALSE()),"")</f>
        <v>Monitorear próximo vencimiento</v>
      </c>
    </row>
    <row r="205" spans="1:19" ht="15.75" customHeight="1">
      <c r="A205" t="str" cm="1">
        <f t="array" ref="A205">IFERROR(INDEX(_xlfn._xlws.FILTER(Maestro_Equipos!$A$4:$A$242,Maestro_Equipos!$A$4:$A$242&lt;&gt;""),ROWS($A$4:A205)),"")</f>
        <v>VD-64</v>
      </c>
      <c r="B205" t="str">
        <f>IFERROR(_xlfn.XLOOKUP($A205,Maestro_Equipos!$A$4:$A$242,Maestro_Equipos!$B$4:$B$242,""),"")</f>
        <v>Camioneta</v>
      </c>
      <c r="C205" t="str">
        <f>IFERROR(_xlfn.XLOOKUP($A205,Maestro_Equipos!$A$4:$A$242,Maestro_Equipos!$C$4:$C$242,""),"")</f>
        <v>Vehículos Livianos</v>
      </c>
      <c r="D205" t="str">
        <f>IFERROR(_xlfn.XLOOKUP($A205,Maestro_Equipos!$A:$A,Maestro_Equipos!$I:$I,""),"")</f>
        <v>KM</v>
      </c>
      <c r="E205">
        <f>IFERROR(IF($D205="KM",_xlfn.XLOOKUP($A205,Maestro_Equipos!$A:$A,Maestro_Equipos!$N:$N,""),_xlfn.XLOOKUP($A205,Maestro_Equipos!$A:$A,Maestro_Equipos!$M:$M,"")),"")</f>
        <v>242494</v>
      </c>
      <c r="F205">
        <f>IFERROR(_xlfn.XLOOKUP($A205,Maestro_Equipos!$A:$A,Maestro_Equipos!$R:$R,"")+_xlfn.XLOOKUP($A205,Maestro_Equipos!$A:$A,Maestro_Equipos!$J:$J,""),"")</f>
        <v>251448</v>
      </c>
      <c r="G205">
        <f>IFERROR(_xlfn.XLOOKUP($A205,Maestro_Equipos!$A:$A,Maestro_Equipos!$K:$K,""),"")</f>
        <v>93.6</v>
      </c>
      <c r="H205">
        <f>IFERROR(IF(OR($E205="",$F205="",$G205="",$G205&lt;=0),"",ROUND(($F205-$E205)/$G205,0)),"")</f>
        <v>96</v>
      </c>
      <c r="I205" s="71">
        <f ca="1">IFERROR(IF($H205="","",TODAY()+$H205),"")</f>
        <v>46336</v>
      </c>
      <c r="J205" s="5" t="str">
        <f>IFERROR(INDEX(Maestro_Equipos!$V$4:$V$242,MATCH($A205,Maestro_Equipos!$A$4:$A$242,0)),"")</f>
        <v>Fuera de Servicio</v>
      </c>
      <c r="K205" s="35">
        <f>IFERROR(
   SUMIFS(Mantenciones!$I:$I,Mantenciones!$B:$B,$A205)
 + SUMIFS('Compras PM'!$F:$F,'Compras PM'!$C:$C,$A205),0)</f>
        <v>0</v>
      </c>
      <c r="L205" s="28" t="str">
        <f>IF($J205="Fuera de Servicio","NO PROGRAMAR",IF($H205="","SIN DATOS",IF($H205&lt;=0,"VENCIDA",IF($H205&lt;=7,"CRÍTICA",IF($H205&lt;=15,"ALTA",IF($H205&lt;=30,"MEDIA","BAJA"))))))</f>
        <v>NO PROGRAMAR</v>
      </c>
      <c r="M205" s="53" cm="1">
        <f t="array" ref="M205">IFERROR(_xlfn.AGGREGATE(14,6,Mantenciones!$A$3:$A$9916/(Mantenciones!$B$3:$B$9916=$A205),1),"")</f>
        <v>46099</v>
      </c>
      <c r="N205" s="29" t="str" cm="1">
        <f t="array" ref="N205">IFERROR(_xlfn.AGGREGATE(14,6,'Compras PM'!$A$4:$A$10029/('Compras PM'!$C$4:$C$10029=$A205),1),"")</f>
        <v/>
      </c>
      <c r="O205" s="29" t="str">
        <f>IFERROR(VLOOKUP($A205,Maestro_Equipos!$A$4:$AG$242,27,FALSE()),"")</f>
        <v/>
      </c>
      <c r="P205" s="30" t="str">
        <f ca="1">IFERROR(IF($N205="","",IF(OR($M205="",$M205&lt;$N205),TODAY()-$N205,$M205-$N205)),"")</f>
        <v/>
      </c>
      <c r="Q205" s="30" t="str">
        <f ca="1">IFERROR(IF($O205="","",IF(OR($M205="",$M205&lt;$O205),TODAY()-$O205,$M205-$O205)),"")</f>
        <v/>
      </c>
      <c r="R205" s="28" t="str">
        <f>IF($O205="","SIN SALIDA",IF(OR($M205="",$M205&lt;$O205),"PENDIENTE","REALIZADA"))</f>
        <v>SIN SALIDA</v>
      </c>
      <c r="S205" s="31" t="str">
        <f>IFERROR(VLOOKUP($A205,Maestro_Equipos!$A$4:$AG$242,33,FALSE()),"")</f>
        <v>No programar compra</v>
      </c>
    </row>
    <row r="206" spans="1:19" ht="15.75" customHeight="1">
      <c r="A206" t="str" cm="1">
        <f t="array" ref="A206">IFERROR(INDEX(_xlfn._xlws.FILTER(Maestro_Equipos!$A$4:$A$242,Maestro_Equipos!$A$4:$A$242&lt;&gt;""),ROWS($A$4:A206)),"")</f>
        <v>VD-65</v>
      </c>
      <c r="B206" t="str">
        <f>IFERROR(_xlfn.XLOOKUP($A206,Maestro_Equipos!$A$4:$A$242,Maestro_Equipos!$B$4:$B$242,""),"")</f>
        <v>Camioneta</v>
      </c>
      <c r="C206" t="str">
        <f>IFERROR(_xlfn.XLOOKUP($A206,Maestro_Equipos!$A$4:$A$242,Maestro_Equipos!$C$4:$C$242,""),"")</f>
        <v>Vehículos Livianos</v>
      </c>
      <c r="D206" t="str">
        <f>IFERROR(_xlfn.XLOOKUP($A206,Maestro_Equipos!$A:$A,Maestro_Equipos!$I:$I,""),"")</f>
        <v>KM</v>
      </c>
      <c r="E206">
        <f>IFERROR(IF($D206="KM",_xlfn.XLOOKUP($A206,Maestro_Equipos!$A:$A,Maestro_Equipos!$N:$N,""),_xlfn.XLOOKUP($A206,Maestro_Equipos!$A:$A,Maestro_Equipos!$M:$M,"")),"")</f>
        <v>0</v>
      </c>
      <c r="F206">
        <f>IFERROR(_xlfn.XLOOKUP($A206,Maestro_Equipos!$A:$A,Maestro_Equipos!$R:$R,"")+_xlfn.XLOOKUP($A206,Maestro_Equipos!$A:$A,Maestro_Equipos!$J:$J,""),"")</f>
        <v>41593</v>
      </c>
      <c r="G206">
        <f>IFERROR(_xlfn.XLOOKUP($A206,Maestro_Equipos!$A:$A,Maestro_Equipos!$K:$K,""),"")</f>
        <v>0</v>
      </c>
      <c r="H206" t="str">
        <f>IFERROR(IF(OR($E206="",$F206="",$G206="",$G206&lt;=0),"",ROUND(($F206-$E206)/$G206,0)),"")</f>
        <v/>
      </c>
      <c r="I206" s="71" t="str">
        <f ca="1">IFERROR(IF($H206="","",TODAY()+$H206),"")</f>
        <v/>
      </c>
      <c r="J206" s="5" t="str">
        <f>IFERROR(INDEX(Maestro_Equipos!$V$4:$V$242,MATCH($A206,Maestro_Equipos!$A$4:$A$242,0)),"")</f>
        <v>Fuera de Servicio</v>
      </c>
      <c r="K206" s="35">
        <f>IFERROR(
   SUMIFS(Mantenciones!$I:$I,Mantenciones!$B:$B,$A206)
 + SUMIFS('Compras PM'!$F:$F,'Compras PM'!$C:$C,$A206),0)</f>
        <v>0</v>
      </c>
      <c r="L206" s="28" t="str">
        <f>IF($J206="Fuera de Servicio","NO PROGRAMAR",IF($H206="","SIN DATOS",IF($H206&lt;=0,"VENCIDA",IF($H206&lt;=7,"CRÍTICA",IF($H206&lt;=15,"ALTA",IF($H206&lt;=30,"MEDIA","BAJA"))))))</f>
        <v>NO PROGRAMAR</v>
      </c>
      <c r="M206" s="53" cm="1">
        <f t="array" ref="M206">IFERROR(_xlfn.AGGREGATE(14,6,Mantenciones!$A$3:$A$9916/(Mantenciones!$B$3:$B$9916=$A206),1),"")</f>
        <v>45202</v>
      </c>
      <c r="N206" s="29" t="str" cm="1">
        <f t="array" ref="N206">IFERROR(_xlfn.AGGREGATE(14,6,'Compras PM'!$A$4:$A$10029/('Compras PM'!$C$4:$C$10029=$A206),1),"")</f>
        <v/>
      </c>
      <c r="O206" s="29" t="str">
        <f>IFERROR(VLOOKUP($A206,Maestro_Equipos!$A$4:$AG$242,27,FALSE()),"")</f>
        <v/>
      </c>
      <c r="P206" s="30" t="str">
        <f ca="1">IFERROR(IF($N206="","",IF(OR($M206="",$M206&lt;$N206),TODAY()-$N206,$M206-$N206)),"")</f>
        <v/>
      </c>
      <c r="Q206" s="30" t="str">
        <f ca="1">IFERROR(IF($O206="","",IF(OR($M206="",$M206&lt;$O206),TODAY()-$O206,$M206-$O206)),"")</f>
        <v/>
      </c>
      <c r="R206" s="28" t="str">
        <f>IF($O206="","SIN SALIDA",IF(OR($M206="",$M206&lt;$O206),"PENDIENTE","REALIZADA"))</f>
        <v>SIN SALIDA</v>
      </c>
      <c r="S206" s="31" t="str">
        <f>IFERROR(VLOOKUP($A206,Maestro_Equipos!$A$4:$AG$242,33,FALSE()),"")</f>
        <v>No programar compra</v>
      </c>
    </row>
    <row r="207" spans="1:19" ht="15.75" customHeight="1">
      <c r="A207" t="str" cm="1">
        <f t="array" ref="A207">IFERROR(INDEX(_xlfn._xlws.FILTER(Maestro_Equipos!$A$4:$A$242,Maestro_Equipos!$A$4:$A$242&lt;&gt;""),ROWS($A$4:A207)),"")</f>
        <v>VD-67</v>
      </c>
      <c r="B207" t="str">
        <f>IFERROR(_xlfn.XLOOKUP($A207,Maestro_Equipos!$A$4:$A$242,Maestro_Equipos!$B$4:$B$242,""),"")</f>
        <v>Camioneta</v>
      </c>
      <c r="C207" t="str">
        <f>IFERROR(_xlfn.XLOOKUP($A207,Maestro_Equipos!$A$4:$A$242,Maestro_Equipos!$C$4:$C$242,""),"")</f>
        <v>Vehículos Livianos</v>
      </c>
      <c r="D207" t="str">
        <f>IFERROR(_xlfn.XLOOKUP($A207,Maestro_Equipos!$A:$A,Maestro_Equipos!$I:$I,""),"")</f>
        <v>KM</v>
      </c>
      <c r="E207">
        <f>IFERROR(IF($D207="KM",_xlfn.XLOOKUP($A207,Maestro_Equipos!$A:$A,Maestro_Equipos!$N:$N,""),_xlfn.XLOOKUP($A207,Maestro_Equipos!$A:$A,Maestro_Equipos!$M:$M,"")),"")</f>
        <v>227541</v>
      </c>
      <c r="F207">
        <f>IFERROR(_xlfn.XLOOKUP($A207,Maestro_Equipos!$A:$A,Maestro_Equipos!$R:$R,"")+_xlfn.XLOOKUP($A207,Maestro_Equipos!$A:$A,Maestro_Equipos!$J:$J,""),"")</f>
        <v>67744</v>
      </c>
      <c r="G207">
        <f>IFERROR(_xlfn.XLOOKUP($A207,Maestro_Equipos!$A:$A,Maestro_Equipos!$K:$K,""),"")</f>
        <v>134.5</v>
      </c>
      <c r="H207">
        <f>IFERROR(IF(OR($E207="",$F207="",$G207="",$G207&lt;=0),"",ROUND(($F207-$E207)/$G207,0)),"")</f>
        <v>-1188</v>
      </c>
      <c r="I207" s="71">
        <f ca="1">IFERROR(IF($H207="","",TODAY()+$H207),"")</f>
        <v>45052</v>
      </c>
      <c r="J207" s="5" t="str">
        <f>IFERROR(INDEX(Maestro_Equipos!$V$4:$V$242,MATCH($A207,Maestro_Equipos!$A$4:$A$242,0)),"")</f>
        <v>Fuera de Servicio</v>
      </c>
      <c r="K207" s="35">
        <f>IFERROR(
   SUMIFS(Mantenciones!$I:$I,Mantenciones!$B:$B,$A207)
 + SUMIFS('Compras PM'!$F:$F,'Compras PM'!$C:$C,$A207),0)</f>
        <v>0</v>
      </c>
      <c r="L207" s="28" t="str">
        <f>IF($J207="Fuera de Servicio","NO PROGRAMAR",IF($H207="","SIN DATOS",IF($H207&lt;=0,"VENCIDA",IF($H207&lt;=7,"CRÍTICA",IF($H207&lt;=15,"ALTA",IF($H207&lt;=30,"MEDIA","BAJA"))))))</f>
        <v>NO PROGRAMAR</v>
      </c>
      <c r="M207" s="53" cm="1">
        <f t="array" ref="M207">IFERROR(_xlfn.AGGREGATE(14,6,Mantenciones!$A$3:$A$9916/(Mantenciones!$B$3:$B$9916=$A207),1),"")</f>
        <v>44898</v>
      </c>
      <c r="N207" s="29" t="str" cm="1">
        <f t="array" ref="N207">IFERROR(_xlfn.AGGREGATE(14,6,'Compras PM'!$A$4:$A$10029/('Compras PM'!$C$4:$C$10029=$A207),1),"")</f>
        <v/>
      </c>
      <c r="O207" s="29" t="str">
        <f>IFERROR(VLOOKUP($A207,Maestro_Equipos!$A$4:$AG$242,27,FALSE()),"")</f>
        <v/>
      </c>
      <c r="P207" s="30" t="str">
        <f ca="1">IFERROR(IF($N207="","",IF(OR($M207="",$M207&lt;$N207),TODAY()-$N207,$M207-$N207)),"")</f>
        <v/>
      </c>
      <c r="Q207" s="30" t="str">
        <f ca="1">IFERROR(IF($O207="","",IF(OR($M207="",$M207&lt;$O207),TODAY()-$O207,$M207-$O207)),"")</f>
        <v/>
      </c>
      <c r="R207" s="28" t="str">
        <f>IF($O207="","SIN SALIDA",IF(OR($M207="",$M207&lt;$O207),"PENDIENTE","REALIZADA"))</f>
        <v>SIN SALIDA</v>
      </c>
      <c r="S207" s="31" t="str">
        <f>IFERROR(VLOOKUP($A207,Maestro_Equipos!$A$4:$AG$242,33,FALSE()),"")</f>
        <v>No programar compra</v>
      </c>
    </row>
    <row r="208" spans="1:19" ht="15.75" customHeight="1">
      <c r="A208" t="str" cm="1">
        <f t="array" ref="A208">IFERROR(INDEX(_xlfn._xlws.FILTER(Maestro_Equipos!$A$4:$A$242,Maestro_Equipos!$A$4:$A$242&lt;&gt;""),ROWS($A$4:A208)),"")</f>
        <v>VD-68</v>
      </c>
      <c r="B208" t="str">
        <f>IFERROR(_xlfn.XLOOKUP($A208,Maestro_Equipos!$A$4:$A$242,Maestro_Equipos!$B$4:$B$242,""),"")</f>
        <v>Camioneta</v>
      </c>
      <c r="C208" t="str">
        <f>IFERROR(_xlfn.XLOOKUP($A208,Maestro_Equipos!$A$4:$A$242,Maestro_Equipos!$C$4:$C$242,""),"")</f>
        <v>Vehículos Livianos</v>
      </c>
      <c r="D208" t="str">
        <f>IFERROR(_xlfn.XLOOKUP($A208,Maestro_Equipos!$A:$A,Maestro_Equipos!$I:$I,""),"")</f>
        <v>KM</v>
      </c>
      <c r="E208">
        <f>IFERROR(IF($D208="KM",_xlfn.XLOOKUP($A208,Maestro_Equipos!$A:$A,Maestro_Equipos!$N:$N,""),_xlfn.XLOOKUP($A208,Maestro_Equipos!$A:$A,Maestro_Equipos!$M:$M,"")),"")</f>
        <v>0</v>
      </c>
      <c r="F208" t="str">
        <f>IFERROR(_xlfn.XLOOKUP($A208,Maestro_Equipos!$A:$A,Maestro_Equipos!$R:$R,"")+_xlfn.XLOOKUP($A208,Maestro_Equipos!$A:$A,Maestro_Equipos!$J:$J,""),"")</f>
        <v/>
      </c>
      <c r="G208">
        <f>IFERROR(_xlfn.XLOOKUP($A208,Maestro_Equipos!$A:$A,Maestro_Equipos!$K:$K,""),"")</f>
        <v>0</v>
      </c>
      <c r="H208" t="str">
        <f>IFERROR(IF(OR($E208="",$F208="",$G208="",$G208&lt;=0),"",ROUND(($F208-$E208)/$G208,0)),"")</f>
        <v/>
      </c>
      <c r="I208" s="71" t="str">
        <f ca="1">IFERROR(IF($H208="","",TODAY()+$H208),"")</f>
        <v/>
      </c>
      <c r="J208" s="5" t="str">
        <f>IFERROR(INDEX(Maestro_Equipos!$V$4:$V$242,MATCH($A208,Maestro_Equipos!$A$4:$A$242,0)),"")</f>
        <v>Fuera de Servicio</v>
      </c>
      <c r="K208" s="35">
        <f>IFERROR(
   SUMIFS(Mantenciones!$I:$I,Mantenciones!$B:$B,$A208)
 + SUMIFS('Compras PM'!$F:$F,'Compras PM'!$C:$C,$A208),0)</f>
        <v>0</v>
      </c>
      <c r="L208" s="28" t="str">
        <f>IF($J208="Fuera de Servicio","NO PROGRAMAR",IF($H208="","SIN DATOS",IF($H208&lt;=0,"VENCIDA",IF($H208&lt;=7,"CRÍTICA",IF($H208&lt;=15,"ALTA",IF($H208&lt;=30,"MEDIA","BAJA"))))))</f>
        <v>NO PROGRAMAR</v>
      </c>
      <c r="M208" s="53" cm="1">
        <f t="array" ref="M208">IFERROR(_xlfn.AGGREGATE(14,6,Mantenciones!$A$3:$A$9916/(Mantenciones!$B$3:$B$9916=$A208),1),"")</f>
        <v>44719</v>
      </c>
      <c r="N208" s="29" t="str" cm="1">
        <f t="array" ref="N208">IFERROR(_xlfn.AGGREGATE(14,6,'Compras PM'!$A$4:$A$10029/('Compras PM'!$C$4:$C$10029=$A208),1),"")</f>
        <v/>
      </c>
      <c r="O208" s="29" t="str">
        <f>IFERROR(VLOOKUP($A208,Maestro_Equipos!$A$4:$AG$242,27,FALSE()),"")</f>
        <v/>
      </c>
      <c r="P208" s="30" t="str">
        <f ca="1">IFERROR(IF($N208="","",IF(OR($M208="",$M208&lt;$N208),TODAY()-$N208,$M208-$N208)),"")</f>
        <v/>
      </c>
      <c r="Q208" s="30" t="str">
        <f ca="1">IFERROR(IF($O208="","",IF(OR($M208="",$M208&lt;$O208),TODAY()-$O208,$M208-$O208)),"")</f>
        <v/>
      </c>
      <c r="R208" s="28" t="str">
        <f>IF($O208="","SIN SALIDA",IF(OR($M208="",$M208&lt;$O208),"PENDIENTE","REALIZADA"))</f>
        <v>SIN SALIDA</v>
      </c>
      <c r="S208" s="31" t="str">
        <f>IFERROR(VLOOKUP($A208,Maestro_Equipos!$A$4:$AG$242,33,FALSE()),"")</f>
        <v>No programar compra</v>
      </c>
    </row>
    <row r="209" spans="1:19" ht="15.75" customHeight="1">
      <c r="A209" t="str" cm="1">
        <f t="array" ref="A209">IFERROR(INDEX(_xlfn._xlws.FILTER(Maestro_Equipos!$A$4:$A$242,Maestro_Equipos!$A$4:$A$242&lt;&gt;""),ROWS($A$4:A209)),"")</f>
        <v>VD-69</v>
      </c>
      <c r="B209" t="str">
        <f>IFERROR(_xlfn.XLOOKUP($A209,Maestro_Equipos!$A$4:$A$242,Maestro_Equipos!$B$4:$B$242,""),"")</f>
        <v>Camioneta</v>
      </c>
      <c r="C209" t="str">
        <f>IFERROR(_xlfn.XLOOKUP($A209,Maestro_Equipos!$A$4:$A$242,Maestro_Equipos!$C$4:$C$242,""),"")</f>
        <v>Vehículos Livianos</v>
      </c>
      <c r="D209" t="str">
        <f>IFERROR(_xlfn.XLOOKUP($A209,Maestro_Equipos!$A:$A,Maestro_Equipos!$I:$I,""),"")</f>
        <v>KM</v>
      </c>
      <c r="E209">
        <f>IFERROR(IF($D209="KM",_xlfn.XLOOKUP($A209,Maestro_Equipos!$A:$A,Maestro_Equipos!$N:$N,""),_xlfn.XLOOKUP($A209,Maestro_Equipos!$A:$A,Maestro_Equipos!$M:$M,"")),"")</f>
        <v>147597</v>
      </c>
      <c r="F209">
        <f>IFERROR(_xlfn.XLOOKUP($A209,Maestro_Equipos!$A:$A,Maestro_Equipos!$R:$R,"")+_xlfn.XLOOKUP($A209,Maestro_Equipos!$A:$A,Maestro_Equipos!$J:$J,""),"")</f>
        <v>112182</v>
      </c>
      <c r="G209">
        <f>IFERROR(_xlfn.XLOOKUP($A209,Maestro_Equipos!$A:$A,Maestro_Equipos!$K:$K,""),"")</f>
        <v>164.5</v>
      </c>
      <c r="H209">
        <f>IFERROR(IF(OR($E209="",$F209="",$G209="",$G209&lt;=0),"",ROUND(($F209-$E209)/$G209,0)),"")</f>
        <v>-215</v>
      </c>
      <c r="I209" s="71">
        <f ca="1">IFERROR(IF($H209="","",TODAY()+$H209),"")</f>
        <v>46025</v>
      </c>
      <c r="J209" s="5" t="str">
        <f>IFERROR(INDEX(Maestro_Equipos!$V$4:$V$242,MATCH($A209,Maestro_Equipos!$A$4:$A$242,0)),"")</f>
        <v>Fuera de Servicio</v>
      </c>
      <c r="K209" s="35">
        <f>IFERROR(
   SUMIFS(Mantenciones!$I:$I,Mantenciones!$B:$B,$A209)
 + SUMIFS('Compras PM'!$F:$F,'Compras PM'!$C:$C,$A209),0)</f>
        <v>0</v>
      </c>
      <c r="L209" s="28" t="str">
        <f>IF($J209="Fuera de Servicio","NO PROGRAMAR",IF($H209="","SIN DATOS",IF($H209&lt;=0,"VENCIDA",IF($H209&lt;=7,"CRÍTICA",IF($H209&lt;=15,"ALTA",IF($H209&lt;=30,"MEDIA","BAJA"))))))</f>
        <v>NO PROGRAMAR</v>
      </c>
      <c r="M209" s="53" cm="1">
        <f t="array" ref="M209">IFERROR(_xlfn.AGGREGATE(14,6,Mantenciones!$A$3:$A$9916/(Mantenciones!$B$3:$B$9916=$A209),1),"")</f>
        <v>45234</v>
      </c>
      <c r="N209" s="29" t="str" cm="1">
        <f t="array" ref="N209">IFERROR(_xlfn.AGGREGATE(14,6,'Compras PM'!$A$4:$A$10029/('Compras PM'!$C$4:$C$10029=$A209),1),"")</f>
        <v/>
      </c>
      <c r="O209" s="29" t="str">
        <f>IFERROR(VLOOKUP($A209,Maestro_Equipos!$A$4:$AG$242,27,FALSE()),"")</f>
        <v/>
      </c>
      <c r="P209" s="30" t="str">
        <f ca="1">IFERROR(IF($N209="","",IF(OR($M209="",$M209&lt;$N209),TODAY()-$N209,$M209-$N209)),"")</f>
        <v/>
      </c>
      <c r="Q209" s="30" t="str">
        <f ca="1">IFERROR(IF($O209="","",IF(OR($M209="",$M209&lt;$O209),TODAY()-$O209,$M209-$O209)),"")</f>
        <v/>
      </c>
      <c r="R209" s="28" t="str">
        <f>IF($O209="","SIN SALIDA",IF(OR($M209="",$M209&lt;$O209),"PENDIENTE","REALIZADA"))</f>
        <v>SIN SALIDA</v>
      </c>
      <c r="S209" s="31" t="str">
        <f>IFERROR(VLOOKUP($A209,Maestro_Equipos!$A$4:$AG$242,33,FALSE()),"")</f>
        <v>No programar compra</v>
      </c>
    </row>
    <row r="210" spans="1:19" ht="15.75" customHeight="1">
      <c r="A210" t="str" cm="1">
        <f t="array" ref="A210">IFERROR(INDEX(_xlfn._xlws.FILTER(Maestro_Equipos!$A$4:$A$242,Maestro_Equipos!$A$4:$A$242&lt;&gt;""),ROWS($A$4:A210)),"")</f>
        <v>VD-70</v>
      </c>
      <c r="B210" t="str">
        <f>IFERROR(_xlfn.XLOOKUP($A210,Maestro_Equipos!$A$4:$A$242,Maestro_Equipos!$B$4:$B$242,""),"")</f>
        <v>Furgon</v>
      </c>
      <c r="C210" t="str">
        <f>IFERROR(_xlfn.XLOOKUP($A210,Maestro_Equipos!$A$4:$A$242,Maestro_Equipos!$C$4:$C$242,""),"")</f>
        <v>Vehículos Livianos</v>
      </c>
      <c r="D210" t="str">
        <f>IFERROR(_xlfn.XLOOKUP($A210,Maestro_Equipos!$A:$A,Maestro_Equipos!$I:$I,""),"")</f>
        <v>KM</v>
      </c>
      <c r="E210">
        <f>IFERROR(IF($D210="KM",_xlfn.XLOOKUP($A210,Maestro_Equipos!$A:$A,Maestro_Equipos!$N:$N,""),_xlfn.XLOOKUP($A210,Maestro_Equipos!$A:$A,Maestro_Equipos!$M:$M,"")),"")</f>
        <v>0</v>
      </c>
      <c r="F210">
        <f>IFERROR(_xlfn.XLOOKUP($A210,Maestro_Equipos!$A:$A,Maestro_Equipos!$R:$R,"")+_xlfn.XLOOKUP($A210,Maestro_Equipos!$A:$A,Maestro_Equipos!$J:$J,""),"")</f>
        <v>410774</v>
      </c>
      <c r="G210">
        <f>IFERROR(_xlfn.XLOOKUP($A210,Maestro_Equipos!$A:$A,Maestro_Equipos!$K:$K,""),"")</f>
        <v>0</v>
      </c>
      <c r="H210" t="str">
        <f>IFERROR(IF(OR($E210="",$F210="",$G210="",$G210&lt;=0),"",ROUND(($F210-$E210)/$G210,0)),"")</f>
        <v/>
      </c>
      <c r="I210" s="71" t="str">
        <f ca="1">IFERROR(IF($H210="","",TODAY()+$H210),"")</f>
        <v/>
      </c>
      <c r="J210" s="5" t="str">
        <f>IFERROR(INDEX(Maestro_Equipos!$V$4:$V$242,MATCH($A210,Maestro_Equipos!$A$4:$A$242,0)),"")</f>
        <v>Fuera de Servicio</v>
      </c>
      <c r="K210" s="35">
        <f>IFERROR(
   SUMIFS(Mantenciones!$I:$I,Mantenciones!$B:$B,$A210)
 + SUMIFS('Compras PM'!$F:$F,'Compras PM'!$C:$C,$A210),0)</f>
        <v>0</v>
      </c>
      <c r="L210" s="28" t="str">
        <f>IF($J210="Fuera de Servicio","NO PROGRAMAR",IF($H210="","SIN DATOS",IF($H210&lt;=0,"VENCIDA",IF($H210&lt;=7,"CRÍTICA",IF($H210&lt;=15,"ALTA",IF($H210&lt;=30,"MEDIA","BAJA"))))))</f>
        <v>NO PROGRAMAR</v>
      </c>
      <c r="M210" s="53" cm="1">
        <f t="array" ref="M210">IFERROR(_xlfn.AGGREGATE(14,6,Mantenciones!$A$3:$A$9916/(Mantenciones!$B$3:$B$9916=$A210),1),"")</f>
        <v>45258</v>
      </c>
      <c r="N210" s="29" t="str" cm="1">
        <f t="array" ref="N210">IFERROR(_xlfn.AGGREGATE(14,6,'Compras PM'!$A$4:$A$10029/('Compras PM'!$C$4:$C$10029=$A210),1),"")</f>
        <v/>
      </c>
      <c r="O210" s="29" t="str">
        <f>IFERROR(VLOOKUP($A210,Maestro_Equipos!$A$4:$AG$242,27,FALSE()),"")</f>
        <v/>
      </c>
      <c r="P210" s="30" t="str">
        <f ca="1">IFERROR(IF($N210="","",IF(OR($M210="",$M210&lt;$N210),TODAY()-$N210,$M210-$N210)),"")</f>
        <v/>
      </c>
      <c r="Q210" s="30" t="str">
        <f ca="1">IFERROR(IF($O210="","",IF(OR($M210="",$M210&lt;$O210),TODAY()-$O210,$M210-$O210)),"")</f>
        <v/>
      </c>
      <c r="R210" s="28" t="str">
        <f>IF($O210="","SIN SALIDA",IF(OR($M210="",$M210&lt;$O210),"PENDIENTE","REALIZADA"))</f>
        <v>SIN SALIDA</v>
      </c>
      <c r="S210" s="31" t="str">
        <f>IFERROR(VLOOKUP($A210,Maestro_Equipos!$A$4:$AG$242,33,FALSE()),"")</f>
        <v>No programar compra</v>
      </c>
    </row>
    <row r="211" spans="1:19" ht="15.75" customHeight="1">
      <c r="A211" t="str" cm="1">
        <f t="array" ref="A211">IFERROR(INDEX(_xlfn._xlws.FILTER(Maestro_Equipos!$A$4:$A$242,Maestro_Equipos!$A$4:$A$242&lt;&gt;""),ROWS($A$4:A211)),"")</f>
        <v>VD-71</v>
      </c>
      <c r="B211" t="str">
        <f>IFERROR(_xlfn.XLOOKUP($A211,Maestro_Equipos!$A$4:$A$242,Maestro_Equipos!$B$4:$B$242,""),"")</f>
        <v>Furgon</v>
      </c>
      <c r="C211" t="str">
        <f>IFERROR(_xlfn.XLOOKUP($A211,Maestro_Equipos!$A$4:$A$242,Maestro_Equipos!$C$4:$C$242,""),"")</f>
        <v>Vehículos Livianos</v>
      </c>
      <c r="D211" t="str">
        <f>IFERROR(_xlfn.XLOOKUP($A211,Maestro_Equipos!$A:$A,Maestro_Equipos!$I:$I,""),"")</f>
        <v>KM</v>
      </c>
      <c r="E211">
        <f>IFERROR(IF($D211="KM",_xlfn.XLOOKUP($A211,Maestro_Equipos!$A:$A,Maestro_Equipos!$N:$N,""),_xlfn.XLOOKUP($A211,Maestro_Equipos!$A:$A,Maestro_Equipos!$M:$M,"")),"")</f>
        <v>118036</v>
      </c>
      <c r="F211">
        <f>IFERROR(_xlfn.XLOOKUP($A211,Maestro_Equipos!$A:$A,Maestro_Equipos!$R:$R,"")+_xlfn.XLOOKUP($A211,Maestro_Equipos!$A:$A,Maestro_Equipos!$J:$J,""),"")</f>
        <v>146600</v>
      </c>
      <c r="G211">
        <f>IFERROR(_xlfn.XLOOKUP($A211,Maestro_Equipos!$A:$A,Maestro_Equipos!$K:$K,""),"")</f>
        <v>0</v>
      </c>
      <c r="H211" t="str">
        <f>IFERROR(IF(OR($E211="",$F211="",$G211="",$G211&lt;=0),"",ROUND(($F211-$E211)/$G211,0)),"")</f>
        <v/>
      </c>
      <c r="I211" s="71" t="str">
        <f ca="1">IFERROR(IF($H211="","",TODAY()+$H211),"")</f>
        <v/>
      </c>
      <c r="J211" s="5" t="str">
        <f>IFERROR(INDEX(Maestro_Equipos!$V$4:$V$242,MATCH($A211,Maestro_Equipos!$A$4:$A$242,0)),"")</f>
        <v>Fuera de Servicio</v>
      </c>
      <c r="K211" s="35">
        <f>IFERROR(
   SUMIFS(Mantenciones!$I:$I,Mantenciones!$B:$B,$A211)
 + SUMIFS('Compras PM'!$F:$F,'Compras PM'!$C:$C,$A211),0)</f>
        <v>0</v>
      </c>
      <c r="L211" s="28" t="str">
        <f>IF($J211="Fuera de Servicio","NO PROGRAMAR",IF($H211="","SIN DATOS",IF($H211&lt;=0,"VENCIDA",IF($H211&lt;=7,"CRÍTICA",IF($H211&lt;=15,"ALTA",IF($H211&lt;=30,"MEDIA","BAJA"))))))</f>
        <v>NO PROGRAMAR</v>
      </c>
      <c r="M211" s="53" cm="1">
        <f t="array" ref="M211">IFERROR(_xlfn.AGGREGATE(14,6,Mantenciones!$A$3:$A$9916/(Mantenciones!$B$3:$B$9916=$A211),1),"")</f>
        <v>45243</v>
      </c>
      <c r="N211" s="29" t="str" cm="1">
        <f t="array" ref="N211">IFERROR(_xlfn.AGGREGATE(14,6,'Compras PM'!$A$4:$A$10029/('Compras PM'!$C$4:$C$10029=$A211),1),"")</f>
        <v/>
      </c>
      <c r="O211" s="29" t="str">
        <f>IFERROR(VLOOKUP($A211,Maestro_Equipos!$A$4:$AG$242,27,FALSE()),"")</f>
        <v/>
      </c>
      <c r="P211" s="30" t="str">
        <f ca="1">IFERROR(IF($N211="","",IF(OR($M211="",$M211&lt;$N211),TODAY()-$N211,$M211-$N211)),"")</f>
        <v/>
      </c>
      <c r="Q211" s="30" t="str">
        <f ca="1">IFERROR(IF($O211="","",IF(OR($M211="",$M211&lt;$O211),TODAY()-$O211,$M211-$O211)),"")</f>
        <v/>
      </c>
      <c r="R211" s="28" t="str">
        <f>IF($O211="","SIN SALIDA",IF(OR($M211="",$M211&lt;$O211),"PENDIENTE","REALIZADA"))</f>
        <v>SIN SALIDA</v>
      </c>
      <c r="S211" s="31" t="str">
        <f>IFERROR(VLOOKUP($A211,Maestro_Equipos!$A$4:$AG$242,33,FALSE()),"")</f>
        <v>No programar compra</v>
      </c>
    </row>
    <row r="212" spans="1:19" ht="15.75" customHeight="1">
      <c r="A212" t="str" cm="1">
        <f t="array" ref="A212">IFERROR(INDEX(_xlfn._xlws.FILTER(Maestro_Equipos!$A$4:$A$242,Maestro_Equipos!$A$4:$A$242&lt;&gt;""),ROWS($A$4:A212)),"")</f>
        <v>VD-73</v>
      </c>
      <c r="B212" t="str">
        <f>IFERROR(_xlfn.XLOOKUP($A212,Maestro_Equipos!$A$4:$A$242,Maestro_Equipos!$B$4:$B$242,""),"")</f>
        <v>Furgon</v>
      </c>
      <c r="C212" t="str">
        <f>IFERROR(_xlfn.XLOOKUP($A212,Maestro_Equipos!$A$4:$A$242,Maestro_Equipos!$C$4:$C$242,""),"")</f>
        <v>Vehículos Livianos</v>
      </c>
      <c r="D212" t="str">
        <f>IFERROR(_xlfn.XLOOKUP($A212,Maestro_Equipos!$A:$A,Maestro_Equipos!$I:$I,""),"")</f>
        <v>KM</v>
      </c>
      <c r="E212">
        <f>IFERROR(IF($D212="KM",_xlfn.XLOOKUP($A212,Maestro_Equipos!$A:$A,Maestro_Equipos!$N:$N,""),_xlfn.XLOOKUP($A212,Maestro_Equipos!$A:$A,Maestro_Equipos!$M:$M,"")),"")</f>
        <v>0</v>
      </c>
      <c r="F212" t="str">
        <f>IFERROR(_xlfn.XLOOKUP($A212,Maestro_Equipos!$A:$A,Maestro_Equipos!$R:$R,"")+_xlfn.XLOOKUP($A212,Maestro_Equipos!$A:$A,Maestro_Equipos!$J:$J,""),"")</f>
        <v/>
      </c>
      <c r="G212">
        <f>IFERROR(_xlfn.XLOOKUP($A212,Maestro_Equipos!$A:$A,Maestro_Equipos!$K:$K,""),"")</f>
        <v>0</v>
      </c>
      <c r="H212" t="str">
        <f>IFERROR(IF(OR($E212="",$F212="",$G212="",$G212&lt;=0),"",ROUND(($F212-$E212)/$G212,0)),"")</f>
        <v/>
      </c>
      <c r="I212" s="71" t="str">
        <f ca="1">IFERROR(IF($H212="","",TODAY()+$H212),"")</f>
        <v/>
      </c>
      <c r="J212" s="5" t="str">
        <f>IFERROR(INDEX(Maestro_Equipos!$V$4:$V$242,MATCH($A212,Maestro_Equipos!$A$4:$A$242,0)),"")</f>
        <v>Fuera de Servicio</v>
      </c>
      <c r="K212" s="35">
        <f>IFERROR(
   SUMIFS(Mantenciones!$I:$I,Mantenciones!$B:$B,$A212)
 + SUMIFS('Compras PM'!$F:$F,'Compras PM'!$C:$C,$A212),0)</f>
        <v>0</v>
      </c>
      <c r="L212" s="28" t="str">
        <f>IF($J212="Fuera de Servicio","NO PROGRAMAR",IF($H212="","SIN DATOS",IF($H212&lt;=0,"VENCIDA",IF($H212&lt;=7,"CRÍTICA",IF($H212&lt;=15,"ALTA",IF($H212&lt;=30,"MEDIA","BAJA"))))))</f>
        <v>NO PROGRAMAR</v>
      </c>
      <c r="M212" s="53" cm="1">
        <f t="array" ref="M212">IFERROR(_xlfn.AGGREGATE(14,6,Mantenciones!$A$3:$A$9916/(Mantenciones!$B$3:$B$9916=$A212),1),"")</f>
        <v>44907</v>
      </c>
      <c r="N212" s="29" t="str" cm="1">
        <f t="array" ref="N212">IFERROR(_xlfn.AGGREGATE(14,6,'Compras PM'!$A$4:$A$10029/('Compras PM'!$C$4:$C$10029=$A212),1),"")</f>
        <v/>
      </c>
      <c r="O212" s="29" t="str">
        <f>IFERROR(VLOOKUP($A212,Maestro_Equipos!$A$4:$AG$242,27,FALSE()),"")</f>
        <v/>
      </c>
      <c r="P212" s="30" t="str">
        <f ca="1">IFERROR(IF($N212="","",IF(OR($M212="",$M212&lt;$N212),TODAY()-$N212,$M212-$N212)),"")</f>
        <v/>
      </c>
      <c r="Q212" s="30" t="str">
        <f ca="1">IFERROR(IF($O212="","",IF(OR($M212="",$M212&lt;$O212),TODAY()-$O212,$M212-$O212)),"")</f>
        <v/>
      </c>
      <c r="R212" s="28" t="str">
        <f>IF($O212="","SIN SALIDA",IF(OR($M212="",$M212&lt;$O212),"PENDIENTE","REALIZADA"))</f>
        <v>SIN SALIDA</v>
      </c>
      <c r="S212" s="31" t="str">
        <f>IFERROR(VLOOKUP($A212,Maestro_Equipos!$A$4:$AG$242,33,FALSE()),"")</f>
        <v>No programar compra</v>
      </c>
    </row>
    <row r="213" spans="1:19" ht="15.75" customHeight="1">
      <c r="A213" t="str" cm="1">
        <f t="array" ref="A213">IFERROR(INDEX(_xlfn._xlws.FILTER(Maestro_Equipos!$A$4:$A$242,Maestro_Equipos!$A$4:$A$242&lt;&gt;""),ROWS($A$4:A213)),"")</f>
        <v>VD-74</v>
      </c>
      <c r="B213" t="str">
        <f>IFERROR(_xlfn.XLOOKUP($A213,Maestro_Equipos!$A$4:$A$242,Maestro_Equipos!$B$4:$B$242,""),"")</f>
        <v>Camioneta</v>
      </c>
      <c r="C213" t="str">
        <f>IFERROR(_xlfn.XLOOKUP($A213,Maestro_Equipos!$A$4:$A$242,Maestro_Equipos!$C$4:$C$242,""),"")</f>
        <v>Vehículos Livianos</v>
      </c>
      <c r="D213" t="str">
        <f>IFERROR(VLOOKUP($A210,Maestro_Equipos!$A$4:$Z$242,9,FALSE),"")</f>
        <v>KM</v>
      </c>
      <c r="E213">
        <f>IFERROR(IF($D213="KM",_xlfn.XLOOKUP($A213,Maestro_Equipos!$A:$A,Maestro_Equipos!$N:$N,""),_xlfn.XLOOKUP($A213,Maestro_Equipos!$A:$A,Maestro_Equipos!$M:$M,"")),"")</f>
        <v>0</v>
      </c>
      <c r="F213" t="str">
        <f>IFERROR(_xlfn.XLOOKUP($A213,Maestro_Equipos!$A:$A,Maestro_Equipos!$R:$R,"")+_xlfn.XLOOKUP($A213,Maestro_Equipos!$A:$A,Maestro_Equipos!$J:$J,""),"")</f>
        <v/>
      </c>
      <c r="G213">
        <f>IFERROR(_xlfn.XLOOKUP($A213,Maestro_Equipos!$A:$A,Maestro_Equipos!$K:$K,""),"")</f>
        <v>0</v>
      </c>
      <c r="H213" t="str">
        <f>IFERROR(IF(OR($E213="",$F213="",$G213="",$G213&lt;=0),"",ROUND(($F213-$E213)/$G213,0)),"")</f>
        <v/>
      </c>
      <c r="I213" s="71" t="str">
        <f ca="1">IFERROR(IF($H213="","",TODAY()+$H213),"")</f>
        <v/>
      </c>
      <c r="J213" s="5" t="str">
        <f>IFERROR(INDEX(Maestro_Equipos!$V$4:$V$242,MATCH($A213,Maestro_Equipos!$A$4:$A$242,0)),"")</f>
        <v>Fuera de Servicio</v>
      </c>
      <c r="K213" s="35">
        <f>IFERROR(
   SUMIFS(Mantenciones!$I:$I,Mantenciones!$B:$B,$A213)
 + SUMIFS('Compras PM'!$F:$F,'Compras PM'!$C:$C,$A213),0)</f>
        <v>0</v>
      </c>
      <c r="L213" s="28" t="str">
        <f>IF($J213="Fuera de Servicio","NO PROGRAMAR",IF($H213="","SIN DATOS",IF($H213&lt;=0,"VENCIDA",IF($H213&lt;=7,"CRÍTICA",IF($H213&lt;=15,"ALTA",IF($H213&lt;=30,"MEDIA","BAJA"))))))</f>
        <v>NO PROGRAMAR</v>
      </c>
      <c r="M213" s="53" t="str" cm="1">
        <f t="array" ref="M213">IFERROR(_xlfn.AGGREGATE(14,6,Mantenciones!$A$3:$A$9916/(Mantenciones!$B$3:$B$9916=$A213),1),"")</f>
        <v/>
      </c>
      <c r="N213" s="29" t="str" cm="1">
        <f t="array" ref="N213">IFERROR(_xlfn.AGGREGATE(14,6,'Compras PM'!$A$4:$A$10029/('Compras PM'!$C$4:$C$10029=$A213),1),"")</f>
        <v/>
      </c>
      <c r="O213" s="29" t="str">
        <f>IFERROR(VLOOKUP($A213,Maestro_Equipos!$A$4:$AG$242,27,FALSE()),"")</f>
        <v/>
      </c>
      <c r="P213" s="30" t="str">
        <f ca="1">IFERROR(IF($N213="","",IF(OR($M213="",$M213&lt;$N213),TODAY()-$N213,$M213-$N213)),"")</f>
        <v/>
      </c>
      <c r="Q213" s="30" t="str">
        <f ca="1">IFERROR(IF($O213="","",IF(OR($M213="",$M213&lt;$O213),TODAY()-$O213,$M213-$O213)),"")</f>
        <v/>
      </c>
      <c r="R213" s="28" t="str">
        <f>IF($O213="","SIN SALIDA",IF(OR($M213="",$M213&lt;$O213),"PENDIENTE","REALIZADA"))</f>
        <v>SIN SALIDA</v>
      </c>
      <c r="S213" s="31" t="str">
        <f>IFERROR(VLOOKUP($A213,Maestro_Equipos!$A$4:$AG$242,33,FALSE()),"")</f>
        <v>No programar compra</v>
      </c>
    </row>
    <row r="214" spans="1:19" ht="15.75" customHeight="1">
      <c r="A214" t="str" cm="1">
        <f t="array" ref="A214">IFERROR(INDEX(_xlfn._xlws.FILTER(Maestro_Equipos!$A$4:$A$242,Maestro_Equipos!$A$4:$A$242&lt;&gt;""),ROWS($A$4:A214)),"")</f>
        <v>VD-75</v>
      </c>
      <c r="B214" t="str">
        <f>IFERROR(_xlfn.XLOOKUP($A214,Maestro_Equipos!$A$4:$A$242,Maestro_Equipos!$B$4:$B$242,""),"")</f>
        <v>Camioneta</v>
      </c>
      <c r="C214" t="str">
        <f>IFERROR(_xlfn.XLOOKUP($A214,Maestro_Equipos!$A$4:$A$242,Maestro_Equipos!$C$4:$C$242,""),"")</f>
        <v>Vehículos Livianos</v>
      </c>
      <c r="D214" t="str">
        <f>IFERROR(_xlfn.XLOOKUP($A214,Maestro_Equipos!$A:$A,Maestro_Equipos!$I:$I,""),"")</f>
        <v>KM</v>
      </c>
      <c r="E214">
        <f>IFERROR(IF($D214="KM",_xlfn.XLOOKUP($A214,Maestro_Equipos!$A:$A,Maestro_Equipos!$N:$N,""),_xlfn.XLOOKUP($A214,Maestro_Equipos!$A:$A,Maestro_Equipos!$M:$M,"")),"")</f>
        <v>137077</v>
      </c>
      <c r="F214">
        <f>IFERROR(_xlfn.XLOOKUP($A214,Maestro_Equipos!$A:$A,Maestro_Equipos!$R:$R,"")+_xlfn.XLOOKUP($A214,Maestro_Equipos!$A:$A,Maestro_Equipos!$J:$J,""),"")</f>
        <v>185002</v>
      </c>
      <c r="G214">
        <f>IFERROR(_xlfn.XLOOKUP($A214,Maestro_Equipos!$A:$A,Maestro_Equipos!$K:$K,""),"")</f>
        <v>123.2</v>
      </c>
      <c r="H214">
        <f>IFERROR(IF(OR($E214="",$F214="",$G214="",$G214&lt;=0),"",ROUND(($F214-$E214)/$G214,0)),"")</f>
        <v>389</v>
      </c>
      <c r="I214" s="71">
        <f ca="1">IFERROR(IF($H214="","",TODAY()+$H214),"")</f>
        <v>46629</v>
      </c>
      <c r="J214" s="5" t="str">
        <f>IFERROR(INDEX(Maestro_Equipos!$V$4:$V$242,MATCH($A214,Maestro_Equipos!$A$4:$A$242,0)),"")</f>
        <v>Fuera de Servicio</v>
      </c>
      <c r="K214" s="35">
        <f>IFERROR(
   SUMIFS(Mantenciones!$I:$I,Mantenciones!$B:$B,$A214)
 + SUMIFS('Compras PM'!$F:$F,'Compras PM'!$C:$C,$A214),0)</f>
        <v>0</v>
      </c>
      <c r="L214" s="28" t="str">
        <f>IF($J214="Fuera de Servicio","NO PROGRAMAR",IF($H214="","SIN DATOS",IF($H214&lt;=0,"VENCIDA",IF($H214&lt;=7,"CRÍTICA",IF($H214&lt;=15,"ALTA",IF($H214&lt;=30,"MEDIA","BAJA"))))))</f>
        <v>NO PROGRAMAR</v>
      </c>
      <c r="M214" s="53" cm="1">
        <f t="array" ref="M214">IFERROR(_xlfn.AGGREGATE(14,6,Mantenciones!$A$3:$A$9916/(Mantenciones!$B$3:$B$9916=$A214),1),"")</f>
        <v>46129</v>
      </c>
      <c r="N214" s="29" t="str" cm="1">
        <f t="array" ref="N214">IFERROR(_xlfn.AGGREGATE(14,6,'Compras PM'!$A$4:$A$10029/('Compras PM'!$C$4:$C$10029=$A214),1),"")</f>
        <v/>
      </c>
      <c r="O214" s="29" t="str">
        <f>IFERROR(VLOOKUP($A214,Maestro_Equipos!$A$4:$AG$242,27,FALSE()),"")</f>
        <v/>
      </c>
      <c r="P214" s="30" t="str">
        <f ca="1">IFERROR(IF($N214="","",IF(OR($M214="",$M214&lt;$N214),TODAY()-$N214,$M214-$N214)),"")</f>
        <v/>
      </c>
      <c r="Q214" s="30" t="str">
        <f ca="1">IFERROR(IF($O214="","",IF(OR($M214="",$M214&lt;$O214),TODAY()-$O214,$M214-$O214)),"")</f>
        <v/>
      </c>
      <c r="R214" s="28" t="str">
        <f>IF($O214="","SIN SALIDA",IF(OR($M214="",$M214&lt;$O214),"PENDIENTE","REALIZADA"))</f>
        <v>SIN SALIDA</v>
      </c>
      <c r="S214" s="31" t="str">
        <f>IFERROR(VLOOKUP($A214,Maestro_Equipos!$A$4:$AG$242,33,FALSE()),"")</f>
        <v>No programar compra</v>
      </c>
    </row>
    <row r="215" spans="1:19" ht="15.75" customHeight="1">
      <c r="A215" s="61" t="str" cm="1">
        <f t="array" ref="A215">IFERROR(INDEX(_xlfn._xlws.FILTER(Maestro_Equipos!$A$4:$A$242,Maestro_Equipos!$A$4:$A$242&lt;&gt;""),ROWS($A$4:A215)),"")</f>
        <v>VD-76</v>
      </c>
      <c r="B215" s="61" t="str">
        <f>IFERROR(_xlfn.XLOOKUP($A215,Maestro_Equipos!$A$4:$A$242,Maestro_Equipos!$B$4:$B$242,""),"")</f>
        <v>Camioneta</v>
      </c>
      <c r="C215" s="61" t="str">
        <f>IFERROR(_xlfn.XLOOKUP($A215,Maestro_Equipos!$A$4:$A$242,Maestro_Equipos!$C$4:$C$242,""),"")</f>
        <v>Vehículos Livianos</v>
      </c>
      <c r="D215" s="61" t="str">
        <f>IFERROR(VLOOKUP($A212,Maestro_Equipos!$A$4:$Z$242,9,FALSE),"")</f>
        <v>KM</v>
      </c>
      <c r="E215" s="61">
        <f>IFERROR(IF($D215="KM",_xlfn.XLOOKUP($A215,Maestro_Equipos!$A:$A,Maestro_Equipos!$N:$N,""),_xlfn.XLOOKUP($A215,Maestro_Equipos!$A:$A,Maestro_Equipos!$M:$M,"")),"")</f>
        <v>170476</v>
      </c>
      <c r="F215" s="61">
        <f>IFERROR(_xlfn.XLOOKUP($A215,Maestro_Equipos!$A:$A,Maestro_Equipos!$R:$R,"")+_xlfn.XLOOKUP($A215,Maestro_Equipos!$A:$A,Maestro_Equipos!$J:$J,""),"")</f>
        <v>172018</v>
      </c>
      <c r="G215" s="61">
        <f>IFERROR(_xlfn.XLOOKUP($A215,Maestro_Equipos!$A:$A,Maestro_Equipos!$K:$K,""),"")</f>
        <v>96.8</v>
      </c>
      <c r="H215" s="61">
        <f>IFERROR(IF(OR($E215="",$F215="",$G215="",$G215&lt;=0),"",ROUND(($F215-$E215)/$G215,0)),"")</f>
        <v>16</v>
      </c>
      <c r="I215" s="62">
        <f ca="1">IFERROR(IF($H215="","",TODAY()+$H215),"")</f>
        <v>46256</v>
      </c>
      <c r="J215" s="63" t="str">
        <f>IFERROR(INDEX(Maestro_Equipos!$V$4:$V$242,MATCH($A215,Maestro_Equipos!$A$4:$A$242,0)),"")</f>
        <v>Operativo</v>
      </c>
      <c r="K215" s="64">
        <f>IFERROR(
   SUMIFS(Mantenciones!$I:$I,Mantenciones!$B:$B,$A215)
 + SUMIFS('Compras PM'!$F:$F,'Compras PM'!$C:$C,$A215),0)</f>
        <v>55701.27</v>
      </c>
      <c r="L215" s="65" t="str">
        <f>IF($J215="Fuera de Servicio","NO PROGRAMAR",IF($H215="","SIN DATOS",IF($H215&lt;=0,"VENCIDA",IF($H215&lt;=7,"CRÍTICA",IF($H215&lt;=15,"ALTA",IF($H215&lt;=30,"MEDIA","BAJA"))))))</f>
        <v>MEDIA</v>
      </c>
      <c r="M215" s="66" cm="1">
        <f t="array" ref="M215">IFERROR(_xlfn.AGGREGATE(14,6,Mantenciones!$A$3:$A$9916/(Mantenciones!$B$3:$B$9916=$A215),1),"")</f>
        <v>46036</v>
      </c>
      <c r="N215" s="67" cm="1">
        <f t="array" ref="N215">IFERROR(_xlfn.AGGREGATE(14,6,'Compras PM'!$A$4:$A$10029/('Compras PM'!$C$4:$C$10029=$A215),1),"")</f>
        <v>46162.551531979203</v>
      </c>
      <c r="O215" s="67">
        <f>IFERROR(VLOOKUP($A215,Maestro_Equipos!$A$4:$AG$242,27,FALSE()),"")</f>
        <v>46129</v>
      </c>
      <c r="P215" s="68">
        <f ca="1">IFERROR(IF($N215="","",IF(OR($M215="",$M215&lt;$N215),TODAY()-$N215,$M215-$N215)),"")</f>
        <v>77.448468020797009</v>
      </c>
      <c r="Q215" s="68">
        <f ca="1">IFERROR(IF($O215="","",IF(OR($M215="",$M215&lt;$O215),TODAY()-$O215,$M215-$O215)),"")</f>
        <v>111</v>
      </c>
      <c r="R215" s="65" t="str">
        <f>IF($O215="","SIN SALIDA",IF(OR($M215="",$M215&lt;$O215),"PENDIENTE","REALIZADA"))</f>
        <v>PENDIENTE</v>
      </c>
      <c r="S215" s="69" t="str">
        <f>IFERROR(VLOOKUP($A215,Maestro_Equipos!$A$4:$AG$242,33,FALSE()),"")</f>
        <v>Monitorear próximo vencimiento</v>
      </c>
    </row>
    <row r="216" spans="1:19" ht="15.75" customHeight="1">
      <c r="A216" t="str" cm="1">
        <f t="array" ref="A216">IFERROR(INDEX(_xlfn._xlws.FILTER(Maestro_Equipos!$A$4:$A$242,Maestro_Equipos!$A$4:$A$242&lt;&gt;""),ROWS($A$4:A216)),"")</f>
        <v>VD-77</v>
      </c>
      <c r="B216" t="str">
        <f>IFERROR(_xlfn.XLOOKUP($A216,Maestro_Equipos!$A$4:$A$242,Maestro_Equipos!$B$4:$B$242,""),"")</f>
        <v>Camioneta</v>
      </c>
      <c r="C216" t="str">
        <f>IFERROR(_xlfn.XLOOKUP($A216,Maestro_Equipos!$A$4:$A$242,Maestro_Equipos!$C$4:$C$242,""),"")</f>
        <v>Vehículos Livianos</v>
      </c>
      <c r="D216" t="str">
        <f>IFERROR(_xlfn.XLOOKUP($A216,Maestro_Equipos!$A:$A,Maestro_Equipos!$I:$I,""),"")</f>
        <v>KM</v>
      </c>
      <c r="E216">
        <f>IFERROR(IF($D216="KM",_xlfn.XLOOKUP($A216,Maestro_Equipos!$A:$A,Maestro_Equipos!$N:$N,""),_xlfn.XLOOKUP($A216,Maestro_Equipos!$A:$A,Maestro_Equipos!$M:$M,"")),"")</f>
        <v>148370</v>
      </c>
      <c r="F216">
        <f>IFERROR(_xlfn.XLOOKUP($A216,Maestro_Equipos!$A:$A,Maestro_Equipos!$R:$R,"")+_xlfn.XLOOKUP($A216,Maestro_Equipos!$A:$A,Maestro_Equipos!$J:$J,""),"")</f>
        <v>167161</v>
      </c>
      <c r="G216">
        <f>IFERROR(_xlfn.XLOOKUP($A216,Maestro_Equipos!$A:$A,Maestro_Equipos!$K:$K,""),"")</f>
        <v>184.7</v>
      </c>
      <c r="H216">
        <f>IFERROR(IF(OR($E216="",$F216="",$G216="",$G216&lt;=0),"",ROUND(($F216-$E216)/$G216,0)),"")</f>
        <v>102</v>
      </c>
      <c r="I216" s="71">
        <f ca="1">IFERROR(IF($H216="","",TODAY()+$H216),"")</f>
        <v>46342</v>
      </c>
      <c r="J216" s="5" t="str">
        <f>IFERROR(INDEX(Maestro_Equipos!$V$4:$V$242,MATCH($A216,Maestro_Equipos!$A$4:$A$242,0)),"")</f>
        <v>Operativo</v>
      </c>
      <c r="K216" s="35">
        <f>IFERROR(
   SUMIFS(Mantenciones!$I:$I,Mantenciones!$B:$B,$A216)
 + SUMIFS('Compras PM'!$F:$F,'Compras PM'!$C:$C,$A216),0)</f>
        <v>95301.276500000007</v>
      </c>
      <c r="L216" s="28" t="str">
        <f>IF($J216="Fuera de Servicio","NO PROGRAMAR",IF($H216="","SIN DATOS",IF($H216&lt;=0,"VENCIDA",IF($H216&lt;=7,"CRÍTICA",IF($H216&lt;=15,"ALTA",IF($H216&lt;=30,"MEDIA","BAJA"))))))</f>
        <v>BAJA</v>
      </c>
      <c r="M216" s="53" cm="1">
        <f t="array" ref="M216">IFERROR(_xlfn.AGGREGATE(14,6,Mantenciones!$A$3:$A$9916/(Mantenciones!$B$3:$B$9916=$A216),1),"")</f>
        <v>46188</v>
      </c>
      <c r="N216" s="29" cm="1">
        <f t="array" ref="N216">IFERROR(_xlfn.AGGREGATE(14,6,'Compras PM'!$A$4:$A$10029/('Compras PM'!$C$4:$C$10029=$A216),1),"")</f>
        <v>46162.551531979203</v>
      </c>
      <c r="O216" s="29">
        <f>IFERROR(VLOOKUP($A216,Maestro_Equipos!$A$4:$AG$242,27,FALSE()),"")</f>
        <v>46118</v>
      </c>
      <c r="P216" s="30">
        <f ca="1">IFERROR(IF($N216="","",IF(OR($M216="",$M216&lt;$N216),TODAY()-$N216,$M216-$N216)),"")</f>
        <v>25.448468020797009</v>
      </c>
      <c r="Q216" s="30">
        <f ca="1">IFERROR(IF($O216="","",IF(OR($M216="",$M216&lt;$O216),TODAY()-$O216,$M216-$O216)),"")</f>
        <v>70</v>
      </c>
      <c r="R216" s="28" t="str">
        <f>IF($O216="","SIN SALIDA",IF(OR($M216="",$M216&lt;$O216),"PENDIENTE","REALIZADA"))</f>
        <v>REALIZADA</v>
      </c>
      <c r="S216" s="31" t="str">
        <f>IFERROR(VLOOKUP($A216,Maestro_Equipos!$A$4:$AG$242,33,FALSE()),"")</f>
        <v>Monitorear próximo vencimiento</v>
      </c>
    </row>
    <row r="217" spans="1:19" ht="15.75" customHeight="1">
      <c r="A217" t="str" cm="1">
        <f t="array" ref="A217">IFERROR(INDEX(_xlfn._xlws.FILTER(Maestro_Equipos!$A$4:$A$242,Maestro_Equipos!$A$4:$A$242&lt;&gt;""),ROWS($A$4:A217)),"")</f>
        <v>VD-78</v>
      </c>
      <c r="B217" t="str">
        <f>IFERROR(_xlfn.XLOOKUP($A217,Maestro_Equipos!$A$4:$A$242,Maestro_Equipos!$B$4:$B$242,""),"")</f>
        <v>Camioneta</v>
      </c>
      <c r="C217" t="str">
        <f>IFERROR(_xlfn.XLOOKUP($A217,Maestro_Equipos!$A$4:$A$242,Maestro_Equipos!$C$4:$C$242,""),"")</f>
        <v>Vehículos Livianos</v>
      </c>
      <c r="D217" t="str">
        <f>IFERROR(_xlfn.XLOOKUP($A217,Maestro_Equipos!$A:$A,Maestro_Equipos!$I:$I,""),"")</f>
        <v>KM</v>
      </c>
      <c r="E217">
        <f>IFERROR(IF($D217="KM",_xlfn.XLOOKUP($A217,Maestro_Equipos!$A:$A,Maestro_Equipos!$N:$N,""),_xlfn.XLOOKUP($A217,Maestro_Equipos!$A:$A,Maestro_Equipos!$M:$M,"")),"")</f>
        <v>150214</v>
      </c>
      <c r="F217">
        <f>IFERROR(_xlfn.XLOOKUP($A217,Maestro_Equipos!$A:$A,Maestro_Equipos!$R:$R,"")+_xlfn.XLOOKUP($A217,Maestro_Equipos!$A:$A,Maestro_Equipos!$J:$J,""),"")</f>
        <v>173877</v>
      </c>
      <c r="G217">
        <f>IFERROR(_xlfn.XLOOKUP($A217,Maestro_Equipos!$A:$A,Maestro_Equipos!$K:$K,""),"")</f>
        <v>96.8</v>
      </c>
      <c r="H217">
        <f>IFERROR(IF(OR($E217="",$F217="",$G217="",$G217&lt;=0),"",ROUND(($F217-$E217)/$G217,0)),"")</f>
        <v>244</v>
      </c>
      <c r="I217" s="71">
        <f ca="1">IFERROR(IF($H217="","",TODAY()+$H217),"")</f>
        <v>46484</v>
      </c>
      <c r="J217" s="5" t="str">
        <f>IFERROR(INDEX(Maestro_Equipos!$V$4:$V$242,MATCH($A217,Maestro_Equipos!$A$4:$A$242,0)),"")</f>
        <v>Operativo</v>
      </c>
      <c r="K217" s="35">
        <f>IFERROR(
   SUMIFS(Mantenciones!$I:$I,Mantenciones!$B:$B,$A217)
 + SUMIFS('Compras PM'!$F:$F,'Compras PM'!$C:$C,$A217),0)</f>
        <v>76501.239999999991</v>
      </c>
      <c r="L217" s="28" t="str">
        <f>IF($J217="Fuera de Servicio","NO PROGRAMAR",IF($H217="","SIN DATOS",IF($H217&lt;=0,"VENCIDA",IF($H217&lt;=7,"CRÍTICA",IF($H217&lt;=15,"ALTA",IF($H217&lt;=30,"MEDIA","BAJA"))))))</f>
        <v>BAJA</v>
      </c>
      <c r="M217" s="53" cm="1">
        <f t="array" ref="M217">IFERROR(_xlfn.AGGREGATE(14,6,Mantenciones!$A$3:$A$9916/(Mantenciones!$B$3:$B$9916=$A217),1),"")</f>
        <v>46195</v>
      </c>
      <c r="N217" s="29" cm="1">
        <f t="array" ref="N217">IFERROR(_xlfn.AGGREGATE(14,6,'Compras PM'!$A$4:$A$10029/('Compras PM'!$C$4:$C$10029=$A217),1),"")</f>
        <v>46162.551531979203</v>
      </c>
      <c r="O217" s="29" t="str">
        <f>IFERROR(VLOOKUP($A217,Maestro_Equipos!$A$4:$AG$242,27,FALSE()),"")</f>
        <v/>
      </c>
      <c r="P217" s="30">
        <f ca="1">IFERROR(IF($N217="","",IF(OR($M217="",$M217&lt;$N217),TODAY()-$N217,$M217-$N217)),"")</f>
        <v>32.448468020797009</v>
      </c>
      <c r="Q217" s="30" t="str">
        <f ca="1">IFERROR(IF($O217="","",IF(OR($M217="",$M217&lt;$O217),TODAY()-$O217,$M217-$O217)),"")</f>
        <v/>
      </c>
      <c r="R217" s="28" t="str">
        <f>IF($O217="","SIN SALIDA",IF(OR($M217="",$M217&lt;$O217),"PENDIENTE","REALIZADA"))</f>
        <v>SIN SALIDA</v>
      </c>
      <c r="S217" s="31" t="str">
        <f>IFERROR(VLOOKUP($A217,Maestro_Equipos!$A$4:$AG$242,33,FALSE()),"")</f>
        <v>Hacer seguimiento al taller y cerrar report</v>
      </c>
    </row>
    <row r="218" spans="1:19" ht="15.75" customHeight="1">
      <c r="A218" t="str" cm="1">
        <f t="array" ref="A218">IFERROR(INDEX(_xlfn._xlws.FILTER(Maestro_Equipos!$A$4:$A$242,Maestro_Equipos!$A$4:$A$242&lt;&gt;""),ROWS($A$4:A218)),"")</f>
        <v>VD-79</v>
      </c>
      <c r="B218" t="str">
        <f>IFERROR(_xlfn.XLOOKUP($A218,Maestro_Equipos!$A$4:$A$242,Maestro_Equipos!$B$4:$B$242,""),"")</f>
        <v>Camioneta</v>
      </c>
      <c r="C218" t="str">
        <f>IFERROR(_xlfn.XLOOKUP($A218,Maestro_Equipos!$A$4:$A$242,Maestro_Equipos!$C$4:$C$242,""),"")</f>
        <v>Vehículos Livianos</v>
      </c>
      <c r="D218" t="str">
        <f>IFERROR(_xlfn.XLOOKUP($A218,Maestro_Equipos!$A:$A,Maestro_Equipos!$I:$I,""),"")</f>
        <v>KM</v>
      </c>
      <c r="E218">
        <f>IFERROR(IF($D218="KM",_xlfn.XLOOKUP($A218,Maestro_Equipos!$A:$A,Maestro_Equipos!$N:$N,""),_xlfn.XLOOKUP($A218,Maestro_Equipos!$A:$A,Maestro_Equipos!$M:$M,"")),"")</f>
        <v>147132</v>
      </c>
      <c r="F218" t="str">
        <f>IFERROR(_xlfn.XLOOKUP($A218,Maestro_Equipos!$A:$A,Maestro_Equipos!$R:$R,"")+_xlfn.XLOOKUP($A218,Maestro_Equipos!$A:$A,Maestro_Equipos!$J:$J,""),"")</f>
        <v/>
      </c>
      <c r="G218">
        <f>IFERROR(_xlfn.XLOOKUP($A218,Maestro_Equipos!$A:$A,Maestro_Equipos!$K:$K,""),"")</f>
        <v>82.8</v>
      </c>
      <c r="H218" t="str">
        <f>IFERROR(IF(OR($E218="",$F218="",$G218="",$G218&lt;=0),"",ROUND(($F218-$E218)/$G218,0)),"")</f>
        <v/>
      </c>
      <c r="I218" s="71" t="str">
        <f ca="1">IFERROR(IF($H218="","",TODAY()+$H218),"")</f>
        <v/>
      </c>
      <c r="J218" s="5" t="str">
        <f>IFERROR(INDEX(Maestro_Equipos!$V$4:$V$242,MATCH($A218,Maestro_Equipos!$A$4:$A$242,0)),"")</f>
        <v>Operativo</v>
      </c>
      <c r="K218" s="35">
        <f>IFERROR(
   SUMIFS(Mantenciones!$I:$I,Mantenciones!$B:$B,$A218)
 + SUMIFS('Compras PM'!$F:$F,'Compras PM'!$C:$C,$A218),0)</f>
        <v>20799.97</v>
      </c>
      <c r="L218" s="28" t="str">
        <f>IF($J218="Fuera de Servicio","NO PROGRAMAR",IF($H218="","SIN DATOS",IF($H218&lt;=0,"VENCIDA",IF($H218&lt;=7,"CRÍTICA",IF($H218&lt;=15,"ALTA",IF($H218&lt;=30,"MEDIA","BAJA"))))))</f>
        <v>SIN DATOS</v>
      </c>
      <c r="M218" s="53" t="str" cm="1">
        <f t="array" ref="M218">IFERROR(_xlfn.AGGREGATE(14,6,Mantenciones!$A$3:$A$9916/(Mantenciones!$B$3:$B$9916=$A218),1),"")</f>
        <v/>
      </c>
      <c r="N218" s="29" cm="1">
        <f t="array" ref="N218">IFERROR(_xlfn.AGGREGATE(14,6,'Compras PM'!$A$4:$A$10029/('Compras PM'!$C$4:$C$10029=$A218),1),"")</f>
        <v>46162</v>
      </c>
      <c r="O218" s="29">
        <f>IFERROR(VLOOKUP($A218,Maestro_Equipos!$A$4:$AG$242,27,FALSE()),"")</f>
        <v>46132</v>
      </c>
      <c r="P218" s="30">
        <f ca="1">IFERROR(IF($N218="","",IF(OR($M218="",$M218&lt;$N218),TODAY()-$N218,$M218-$N218)),"")</f>
        <v>78</v>
      </c>
      <c r="Q218" s="30">
        <f ca="1">IFERROR(IF($O218="","",IF(OR($M218="",$M218&lt;$O218),TODAY()-$O218,$M218-$O218)),"")</f>
        <v>108</v>
      </c>
      <c r="R218" s="28" t="str">
        <f>IF($O218="","SIN SALIDA",IF(OR($M218="",$M218&lt;$O218),"PENDIENTE","REALIZADA"))</f>
        <v>PENDIENTE</v>
      </c>
      <c r="S218" s="31" t="str">
        <f>IFERROR(VLOOKUP($A218,Maestro_Equipos!$A$4:$AG$242,33,FALSE()),"")</f>
        <v>Monitorear próximo vencimiento</v>
      </c>
    </row>
    <row r="219" spans="1:19" ht="15.75" customHeight="1">
      <c r="A219" t="str" cm="1">
        <f t="array" ref="A219">IFERROR(INDEX(_xlfn._xlws.FILTER(Maestro_Equipos!$A$4:$A$242,Maestro_Equipos!$A$4:$A$242&lt;&gt;""),ROWS($A$4:A219)),"")</f>
        <v>VD-80</v>
      </c>
      <c r="B219" t="str">
        <f>IFERROR(_xlfn.XLOOKUP($A219,Maestro_Equipos!$A$4:$A$242,Maestro_Equipos!$B$4:$B$242,""),"")</f>
        <v>Furgon</v>
      </c>
      <c r="C219" t="str">
        <f>IFERROR(_xlfn.XLOOKUP($A219,Maestro_Equipos!$A$4:$A$242,Maestro_Equipos!$C$4:$C$242,""),"")</f>
        <v>Vehículos Livianos</v>
      </c>
      <c r="D219" t="str">
        <f>IFERROR(_xlfn.XLOOKUP($A219,Maestro_Equipos!$A:$A,Maestro_Equipos!$I:$I,""),"")</f>
        <v>KM</v>
      </c>
      <c r="E219">
        <f>IFERROR(IF($D219="KM",_xlfn.XLOOKUP($A219,Maestro_Equipos!$A:$A,Maestro_Equipos!$N:$N,""),_xlfn.XLOOKUP($A219,Maestro_Equipos!$A:$A,Maestro_Equipos!$M:$M,"")),"")</f>
        <v>0</v>
      </c>
      <c r="F219" t="str">
        <f>IFERROR(_xlfn.XLOOKUP($A219,Maestro_Equipos!$A:$A,Maestro_Equipos!$R:$R,"")+_xlfn.XLOOKUP($A219,Maestro_Equipos!$A:$A,Maestro_Equipos!$J:$J,""),"")</f>
        <v/>
      </c>
      <c r="G219">
        <f>IFERROR(_xlfn.XLOOKUP($A219,Maestro_Equipos!$A:$A,Maestro_Equipos!$K:$K,""),"")</f>
        <v>0</v>
      </c>
      <c r="H219" t="str">
        <f>IFERROR(IF(OR($E219="",$F219="",$G219="",$G219&lt;=0),"",ROUND(($F219-$E219)/$G219,0)),"")</f>
        <v/>
      </c>
      <c r="I219" s="71" t="str">
        <f ca="1">IFERROR(IF($H219="","",TODAY()+$H219),"")</f>
        <v/>
      </c>
      <c r="J219" s="5" t="str">
        <f>IFERROR(INDEX(Maestro_Equipos!$V$4:$V$242,MATCH($A219,Maestro_Equipos!$A$4:$A$242,0)),"")</f>
        <v>Fuera de Servicio</v>
      </c>
      <c r="K219" s="35">
        <f>IFERROR(
   SUMIFS(Mantenciones!$I:$I,Mantenciones!$B:$B,$A219)
 + SUMIFS('Compras PM'!$F:$F,'Compras PM'!$C:$C,$A219),0)</f>
        <v>0</v>
      </c>
      <c r="L219" s="28" t="str">
        <f>IF($J219="Fuera de Servicio","NO PROGRAMAR",IF($H219="","SIN DATOS",IF($H219&lt;=0,"VENCIDA",IF($H219&lt;=7,"CRÍTICA",IF($H219&lt;=15,"ALTA",IF($H219&lt;=30,"MEDIA","BAJA"))))))</f>
        <v>NO PROGRAMAR</v>
      </c>
      <c r="M219" s="53" t="str" cm="1">
        <f t="array" ref="M219">IFERROR(_xlfn.AGGREGATE(14,6,Mantenciones!$A$3:$A$9916/(Mantenciones!$B$3:$B$9916=$A219),1),"")</f>
        <v/>
      </c>
      <c r="N219" s="29" t="str" cm="1">
        <f t="array" ref="N219">IFERROR(_xlfn.AGGREGATE(14,6,'Compras PM'!$A$4:$A$10029/('Compras PM'!$C$4:$C$10029=$A219),1),"")</f>
        <v/>
      </c>
      <c r="O219" s="29" t="str">
        <f>IFERROR(VLOOKUP($A219,Maestro_Equipos!$A$4:$AG$242,27,FALSE()),"")</f>
        <v/>
      </c>
      <c r="P219" s="30" t="str">
        <f ca="1">IFERROR(IF($N219="","",IF(OR($M219="",$M219&lt;$N219),TODAY()-$N219,$M219-$N219)),"")</f>
        <v/>
      </c>
      <c r="Q219" s="30" t="str">
        <f ca="1">IFERROR(IF($O219="","",IF(OR($M219="",$M219&lt;$O219),TODAY()-$O219,$M219-$O219)),"")</f>
        <v/>
      </c>
      <c r="R219" s="28" t="str">
        <f>IF($O219="","SIN SALIDA",IF(OR($M219="",$M219&lt;$O219),"PENDIENTE","REALIZADA"))</f>
        <v>SIN SALIDA</v>
      </c>
      <c r="S219" s="31" t="str">
        <f>IFERROR(VLOOKUP($A219,Maestro_Equipos!$A$4:$AG$242,33,FALSE()),"")</f>
        <v>No programar compra</v>
      </c>
    </row>
    <row r="220" spans="1:19" ht="15.75" customHeight="1">
      <c r="A220" t="str" cm="1">
        <f t="array" ref="A220">IFERROR(INDEX(_xlfn._xlws.FILTER(Maestro_Equipos!$A$4:$A$242,Maestro_Equipos!$A$4:$A$242&lt;&gt;""),ROWS($A$4:A220)),"")</f>
        <v>VD-81</v>
      </c>
      <c r="B220" t="str">
        <f>IFERROR(_xlfn.XLOOKUP($A220,Maestro_Equipos!$A$4:$A$242,Maestro_Equipos!$B$4:$B$242,""),"")</f>
        <v>Furgon</v>
      </c>
      <c r="C220" t="str">
        <f>IFERROR(_xlfn.XLOOKUP($A220,Maestro_Equipos!$A$4:$A$242,Maestro_Equipos!$C$4:$C$242,""),"")</f>
        <v>Vehículos Livianos</v>
      </c>
      <c r="D220" t="str">
        <f>IFERROR(_xlfn.XLOOKUP($A220,Maestro_Equipos!$A:$A,Maestro_Equipos!$I:$I,""),"")</f>
        <v>KM</v>
      </c>
      <c r="E220">
        <f>IFERROR(IF($D220="KM",_xlfn.XLOOKUP($A220,Maestro_Equipos!$A:$A,Maestro_Equipos!$N:$N,""),_xlfn.XLOOKUP($A220,Maestro_Equipos!$A:$A,Maestro_Equipos!$M:$M,"")),"")</f>
        <v>0</v>
      </c>
      <c r="F220">
        <f>IFERROR(_xlfn.XLOOKUP($A220,Maestro_Equipos!$A:$A,Maestro_Equipos!$R:$R,"")+_xlfn.XLOOKUP($A220,Maestro_Equipos!$A:$A,Maestro_Equipos!$J:$J,""),"")</f>
        <v>205629</v>
      </c>
      <c r="G220">
        <f>IFERROR(_xlfn.XLOOKUP($A220,Maestro_Equipos!$A:$A,Maestro_Equipos!$K:$K,""),"")</f>
        <v>0</v>
      </c>
      <c r="H220" t="str">
        <f>IFERROR(IF(OR($E220="",$F220="",$G220="",$G220&lt;=0),"",ROUND(($F220-$E220)/$G220,0)),"")</f>
        <v/>
      </c>
      <c r="I220" s="71" t="str">
        <f ca="1">IFERROR(IF($H220="","",TODAY()+$H220),"")</f>
        <v/>
      </c>
      <c r="J220" s="5" t="str">
        <f>IFERROR(INDEX(Maestro_Equipos!$V$4:$V$242,MATCH($A220,Maestro_Equipos!$A$4:$A$242,0)),"")</f>
        <v>Fuera de Servicio</v>
      </c>
      <c r="K220" s="35">
        <f>IFERROR(
   SUMIFS(Mantenciones!$I:$I,Mantenciones!$B:$B,$A220)
 + SUMIFS('Compras PM'!$F:$F,'Compras PM'!$C:$C,$A220),0)</f>
        <v>0</v>
      </c>
      <c r="L220" s="28" t="str">
        <f>IF($J220="Fuera de Servicio","NO PROGRAMAR",IF($H220="","SIN DATOS",IF($H220&lt;=0,"VENCIDA",IF($H220&lt;=7,"CRÍTICA",IF($H220&lt;=15,"ALTA",IF($H220&lt;=30,"MEDIA","BAJA"))))))</f>
        <v>NO PROGRAMAR</v>
      </c>
      <c r="M220" s="53" cm="1">
        <f t="array" ref="M220">IFERROR(_xlfn.AGGREGATE(14,6,Mantenciones!$A$3:$A$9916/(Mantenciones!$B$3:$B$9916=$A220),1),"")</f>
        <v>45232</v>
      </c>
      <c r="N220" s="29" t="str" cm="1">
        <f t="array" ref="N220">IFERROR(_xlfn.AGGREGATE(14,6,'Compras PM'!$A$4:$A$10029/('Compras PM'!$C$4:$C$10029=$A220),1),"")</f>
        <v/>
      </c>
      <c r="O220" s="29" t="str">
        <f>IFERROR(VLOOKUP($A220,Maestro_Equipos!$A$4:$AG$242,27,FALSE()),"")</f>
        <v/>
      </c>
      <c r="P220" s="30" t="str">
        <f ca="1">IFERROR(IF($N220="","",IF(OR($M220="",$M220&lt;$N220),TODAY()-$N220,$M220-$N220)),"")</f>
        <v/>
      </c>
      <c r="Q220" s="30" t="str">
        <f ca="1">IFERROR(IF($O220="","",IF(OR($M220="",$M220&lt;$O220),TODAY()-$O220,$M220-$O220)),"")</f>
        <v/>
      </c>
      <c r="R220" s="28" t="str">
        <f>IF($O220="","SIN SALIDA",IF(OR($M220="",$M220&lt;$O220),"PENDIENTE","REALIZADA"))</f>
        <v>SIN SALIDA</v>
      </c>
      <c r="S220" s="31" t="str">
        <f>IFERROR(VLOOKUP($A220,Maestro_Equipos!$A$4:$AG$242,33,FALSE()),"")</f>
        <v>No programar compra</v>
      </c>
    </row>
    <row r="221" spans="1:19" ht="15.75" customHeight="1">
      <c r="A221" t="str" cm="1">
        <f t="array" ref="A221">IFERROR(INDEX(_xlfn._xlws.FILTER(Maestro_Equipos!$A$4:$A$242,Maestro_Equipos!$A$4:$A$242&lt;&gt;""),ROWS($A$4:A221)),"")</f>
        <v>VD-82</v>
      </c>
      <c r="B221" t="str">
        <f>IFERROR(_xlfn.XLOOKUP($A221,Maestro_Equipos!$A$4:$A$242,Maestro_Equipos!$B$4:$B$242,""),"")</f>
        <v>Camioneta</v>
      </c>
      <c r="C221" t="str">
        <f>IFERROR(_xlfn.XLOOKUP($A221,Maestro_Equipos!$A$4:$A$242,Maestro_Equipos!$C$4:$C$242,""),"")</f>
        <v>Vehículos Livianos</v>
      </c>
      <c r="D221" t="str">
        <f>IFERROR(_xlfn.XLOOKUP($A221,Maestro_Equipos!$A:$A,Maestro_Equipos!$I:$I,""),"")</f>
        <v>KM</v>
      </c>
      <c r="E221">
        <f>IFERROR(IF($D221="KM",_xlfn.XLOOKUP($A221,Maestro_Equipos!$A:$A,Maestro_Equipos!$N:$N,""),_xlfn.XLOOKUP($A221,Maestro_Equipos!$A:$A,Maestro_Equipos!$M:$M,"")),"")</f>
        <v>153679</v>
      </c>
      <c r="F221">
        <f>IFERROR(_xlfn.XLOOKUP($A221,Maestro_Equipos!$A:$A,Maestro_Equipos!$R:$R,"")+_xlfn.XLOOKUP($A221,Maestro_Equipos!$A:$A,Maestro_Equipos!$J:$J,""),"")</f>
        <v>339561</v>
      </c>
      <c r="G221">
        <f>IFERROR(_xlfn.XLOOKUP($A221,Maestro_Equipos!$A:$A,Maestro_Equipos!$K:$K,""),"")</f>
        <v>0</v>
      </c>
      <c r="H221" t="str">
        <f>IFERROR(IF(OR($E221="",$F221="",$G221="",$G221&lt;=0),"",ROUND(($F221-$E221)/$G221,0)),"")</f>
        <v/>
      </c>
      <c r="I221" s="71" t="str">
        <f ca="1">IFERROR(IF($H221="","",TODAY()+$H221),"")</f>
        <v/>
      </c>
      <c r="J221" s="5" t="str">
        <f>IFERROR(INDEX(Maestro_Equipos!$V$4:$V$242,MATCH($A221,Maestro_Equipos!$A$4:$A$242,0)),"")</f>
        <v>Operativo</v>
      </c>
      <c r="K221" s="35">
        <f>IFERROR(
   SUMIFS(Mantenciones!$I:$I,Mantenciones!$B:$B,$A221)
 + SUMIFS('Compras PM'!$F:$F,'Compras PM'!$C:$C,$A221),0)</f>
        <v>28399.98</v>
      </c>
      <c r="L221" s="28" t="str">
        <f>IF($J221="Fuera de Servicio","NO PROGRAMAR",IF($H221="","SIN DATOS",IF($H221&lt;=0,"VENCIDA",IF($H221&lt;=7,"CRÍTICA",IF($H221&lt;=15,"ALTA",IF($H221&lt;=30,"MEDIA","BAJA"))))))</f>
        <v>SIN DATOS</v>
      </c>
      <c r="M221" s="53" cm="1">
        <f t="array" ref="M221">IFERROR(_xlfn.AGGREGATE(14,6,Mantenciones!$A$3:$A$9916/(Mantenciones!$B$3:$B$9916=$A221),1),"")</f>
        <v>46189</v>
      </c>
      <c r="N221" s="29" cm="1">
        <f t="array" ref="N221">IFERROR(_xlfn.AGGREGATE(14,6,'Compras PM'!$A$4:$A$10029/('Compras PM'!$C$4:$C$10029=$A221),1),"")</f>
        <v>46191</v>
      </c>
      <c r="O221" s="29" t="str">
        <f>IFERROR(VLOOKUP($A221,Maestro_Equipos!$A$4:$AG$242,27,FALSE()),"")</f>
        <v/>
      </c>
      <c r="P221" s="30">
        <f ca="1">IFERROR(IF($N221="","",IF(OR($M221="",$M221&lt;$N221),TODAY()-$N221,$M221-$N221)),"")</f>
        <v>49</v>
      </c>
      <c r="Q221" s="30" t="str">
        <f ca="1">IFERROR(IF($O221="","",IF(OR($M221="",$M221&lt;$O221),TODAY()-$O221,$M221-$O221)),"")</f>
        <v/>
      </c>
      <c r="R221" s="28" t="str">
        <f>IF($O221="","SIN SALIDA",IF(OR($M221="",$M221&lt;$O221),"PENDIENTE","REALIZADA"))</f>
        <v>SIN SALIDA</v>
      </c>
      <c r="S221" s="31" t="str">
        <f>IFERROR(VLOOKUP($A221,Maestro_Equipos!$A$4:$AG$242,33,FALSE()),"")</f>
        <v>Hacer seguimiento al taller y cerrar report</v>
      </c>
    </row>
    <row r="222" spans="1:19" ht="15.75" customHeight="1">
      <c r="A222" t="str" cm="1">
        <f t="array" ref="A222">IFERROR(INDEX(_xlfn._xlws.FILTER(Maestro_Equipos!$A$4:$A$242,Maestro_Equipos!$A$4:$A$242&lt;&gt;""),ROWS($A$4:A222)),"")</f>
        <v>VD-83</v>
      </c>
      <c r="B222" t="str">
        <f>IFERROR(_xlfn.XLOOKUP($A222,Maestro_Equipos!$A$4:$A$242,Maestro_Equipos!$B$4:$B$242,""),"")</f>
        <v>Furgon</v>
      </c>
      <c r="C222" t="str">
        <f>IFERROR(_xlfn.XLOOKUP($A222,Maestro_Equipos!$A$4:$A$242,Maestro_Equipos!$C$4:$C$242,""),"")</f>
        <v>Vehículos Livianos</v>
      </c>
      <c r="D222" t="str">
        <f>IFERROR(_xlfn.XLOOKUP($A222,Maestro_Equipos!$A:$A,Maestro_Equipos!$I:$I,""),"")</f>
        <v>KM</v>
      </c>
      <c r="E222">
        <f>IFERROR(IF($D222="KM",_xlfn.XLOOKUP($A222,Maestro_Equipos!$A:$A,Maestro_Equipos!$N:$N,""),_xlfn.XLOOKUP($A222,Maestro_Equipos!$A:$A,Maestro_Equipos!$M:$M,"")),"")</f>
        <v>0</v>
      </c>
      <c r="F222" t="str">
        <f>IFERROR(_xlfn.XLOOKUP($A222,Maestro_Equipos!$A:$A,Maestro_Equipos!$R:$R,"")+_xlfn.XLOOKUP($A222,Maestro_Equipos!$A:$A,Maestro_Equipos!$J:$J,""),"")</f>
        <v/>
      </c>
      <c r="G222">
        <f>IFERROR(_xlfn.XLOOKUP($A222,Maestro_Equipos!$A:$A,Maestro_Equipos!$K:$K,""),"")</f>
        <v>0</v>
      </c>
      <c r="H222" t="str">
        <f>IFERROR(IF(OR($E222="",$F222="",$G222="",$G222&lt;=0),"",ROUND(($F222-$E222)/$G222,0)),"")</f>
        <v/>
      </c>
      <c r="I222" s="71" t="str">
        <f ca="1">IFERROR(IF($H222="","",TODAY()+$H222),"")</f>
        <v/>
      </c>
      <c r="J222" s="5" t="str">
        <f>IFERROR(INDEX(Maestro_Equipos!$V$4:$V$242,MATCH($A222,Maestro_Equipos!$A$4:$A$242,0)),"")</f>
        <v>Fuera de Servicio</v>
      </c>
      <c r="K222" s="35">
        <f>IFERROR(
   SUMIFS(Mantenciones!$I:$I,Mantenciones!$B:$B,$A222)
 + SUMIFS('Compras PM'!$F:$F,'Compras PM'!$C:$C,$A222),0)</f>
        <v>0</v>
      </c>
      <c r="L222" s="28" t="str">
        <f>IF($J222="Fuera de Servicio","NO PROGRAMAR",IF($H222="","SIN DATOS",IF($H222&lt;=0,"VENCIDA",IF($H222&lt;=7,"CRÍTICA",IF($H222&lt;=15,"ALTA",IF($H222&lt;=30,"MEDIA","BAJA"))))))</f>
        <v>NO PROGRAMAR</v>
      </c>
      <c r="M222" s="53" cm="1">
        <f t="array" ref="M222">IFERROR(_xlfn.AGGREGATE(14,6,Mantenciones!$A$3:$A$9916/(Mantenciones!$B$3:$B$9916=$A222),1),"")</f>
        <v>45058</v>
      </c>
      <c r="N222" s="29" t="str" cm="1">
        <f t="array" ref="N222">IFERROR(_xlfn.AGGREGATE(14,6,'Compras PM'!$A$4:$A$10029/('Compras PM'!$C$4:$C$10029=$A222),1),"")</f>
        <v/>
      </c>
      <c r="O222" s="29" t="str">
        <f>IFERROR(VLOOKUP($A222,Maestro_Equipos!$A$4:$AG$242,27,FALSE()),"")</f>
        <v/>
      </c>
      <c r="P222" s="30" t="str">
        <f ca="1">IFERROR(IF($N222="","",IF(OR($M222="",$M222&lt;$N222),TODAY()-$N222,$M222-$N222)),"")</f>
        <v/>
      </c>
      <c r="Q222" s="30" t="str">
        <f ca="1">IFERROR(IF($O222="","",IF(OR($M222="",$M222&lt;$O222),TODAY()-$O222,$M222-$O222)),"")</f>
        <v/>
      </c>
      <c r="R222" s="28" t="str">
        <f>IF($O222="","SIN SALIDA",IF(OR($M222="",$M222&lt;$O222),"PENDIENTE","REALIZADA"))</f>
        <v>SIN SALIDA</v>
      </c>
      <c r="S222" s="31" t="str">
        <f>IFERROR(VLOOKUP($A222,Maestro_Equipos!$A$4:$AG$242,33,FALSE()),"")</f>
        <v>No programar compra</v>
      </c>
    </row>
    <row r="223" spans="1:19" ht="15.75" customHeight="1">
      <c r="A223" t="str" cm="1">
        <f t="array" ref="A223">IFERROR(INDEX(_xlfn._xlws.FILTER(Maestro_Equipos!$A$4:$A$242,Maestro_Equipos!$A$4:$A$242&lt;&gt;""),ROWS($A$4:A223)),"")</f>
        <v>VD-84</v>
      </c>
      <c r="B223" t="str">
        <f>IFERROR(_xlfn.XLOOKUP($A223,Maestro_Equipos!$A$4:$A$242,Maestro_Equipos!$B$4:$B$242,""),"")</f>
        <v>Furgon</v>
      </c>
      <c r="C223" t="str">
        <f>IFERROR(_xlfn.XLOOKUP($A223,Maestro_Equipos!$A$4:$A$242,Maestro_Equipos!$C$4:$C$242,""),"")</f>
        <v>Vehículos Livianos</v>
      </c>
      <c r="D223" t="str">
        <f>IFERROR(_xlfn.XLOOKUP($A223,Maestro_Equipos!$A:$A,Maestro_Equipos!$I:$I,""),"")</f>
        <v>KM</v>
      </c>
      <c r="E223">
        <f>IFERROR(IF($D223="KM",_xlfn.XLOOKUP($A223,Maestro_Equipos!$A:$A,Maestro_Equipos!$N:$N,""),_xlfn.XLOOKUP($A223,Maestro_Equipos!$A:$A,Maestro_Equipos!$M:$M,"")),"")</f>
        <v>309808</v>
      </c>
      <c r="F223">
        <f>IFERROR(_xlfn.XLOOKUP($A223,Maestro_Equipos!$A:$A,Maestro_Equipos!$R:$R,"")+_xlfn.XLOOKUP($A223,Maestro_Equipos!$A:$A,Maestro_Equipos!$J:$J,""),"")</f>
        <v>325000</v>
      </c>
      <c r="G223">
        <f>IFERROR(_xlfn.XLOOKUP($A223,Maestro_Equipos!$A:$A,Maestro_Equipos!$K:$K,""),"")</f>
        <v>110.8</v>
      </c>
      <c r="H223">
        <f>IFERROR(IF(OR($E223="",$F223="",$G223="",$G223&lt;=0),"",ROUND(($F223-$E223)/$G223,0)),"")</f>
        <v>137</v>
      </c>
      <c r="I223" s="71">
        <f ca="1">IFERROR(IF($H223="","",TODAY()+$H223),"")</f>
        <v>46377</v>
      </c>
      <c r="J223" s="5" t="str">
        <f>IFERROR(INDEX(Maestro_Equipos!$V$4:$V$242,MATCH($A223,Maestro_Equipos!$A$4:$A$242,0)),"")</f>
        <v>Operativo</v>
      </c>
      <c r="K223" s="35">
        <f>IFERROR(
   SUMIFS(Mantenciones!$I:$I,Mantenciones!$B:$B,$A223)
 + SUMIFS('Compras PM'!$F:$F,'Compras PM'!$C:$C,$A223),0)</f>
        <v>59699.586799999997</v>
      </c>
      <c r="L223" s="28" t="str">
        <f>IF($J223="Fuera de Servicio","NO PROGRAMAR",IF($H223="","SIN DATOS",IF($H223&lt;=0,"VENCIDA",IF($H223&lt;=7,"CRÍTICA",IF($H223&lt;=15,"ALTA",IF($H223&lt;=30,"MEDIA","BAJA"))))))</f>
        <v>BAJA</v>
      </c>
      <c r="M223" s="53" cm="1">
        <f t="array" ref="M223">IFERROR(_xlfn.AGGREGATE(14,6,Mantenciones!$A$3:$A$9916/(Mantenciones!$B$3:$B$9916=$A223),1),"")</f>
        <v>46219</v>
      </c>
      <c r="N223" s="29" cm="1">
        <f t="array" ref="N223">IFERROR(_xlfn.AGGREGATE(14,6,'Compras PM'!$A$4:$A$10029/('Compras PM'!$C$4:$C$10029=$A223),1),"")</f>
        <v>46162.427425000002</v>
      </c>
      <c r="O223" s="29">
        <f>IFERROR(VLOOKUP($A223,Maestro_Equipos!$A$4:$AG$242,27,FALSE()),"")</f>
        <v>46118</v>
      </c>
      <c r="P223" s="30">
        <f ca="1">IFERROR(IF($N223="","",IF(OR($M223="",$M223&lt;$N223),TODAY()-$N223,$M223-$N223)),"")</f>
        <v>56.572574999998324</v>
      </c>
      <c r="Q223" s="30">
        <f ca="1">IFERROR(IF($O223="","",IF(OR($M223="",$M223&lt;$O223),TODAY()-$O223,$M223-$O223)),"")</f>
        <v>101</v>
      </c>
      <c r="R223" s="28" t="str">
        <f>IF($O223="","SIN SALIDA",IF(OR($M223="",$M223&lt;$O223),"PENDIENTE","REALIZADA"))</f>
        <v>REALIZADA</v>
      </c>
      <c r="S223" s="31" t="str">
        <f>IFERROR(VLOOKUP($A223,Maestro_Equipos!$A$4:$AG$242,33,FALSE()),"")</f>
        <v>Monitorear próximo vencimiento</v>
      </c>
    </row>
    <row r="224" spans="1:19" ht="15.75" customHeight="1">
      <c r="A224" t="str" cm="1">
        <f t="array" ref="A224">IFERROR(INDEX(_xlfn._xlws.FILTER(Maestro_Equipos!$A$4:$A$242,Maestro_Equipos!$A$4:$A$242&lt;&gt;""),ROWS($A$4:A224)),"")</f>
        <v>VD-85</v>
      </c>
      <c r="B224" t="str">
        <f>IFERROR(_xlfn.XLOOKUP($A224,Maestro_Equipos!$A$4:$A$242,Maestro_Equipos!$B$4:$B$242,""),"")</f>
        <v>Furgon</v>
      </c>
      <c r="C224" t="str">
        <f>IFERROR(_xlfn.XLOOKUP($A224,Maestro_Equipos!$A$4:$A$242,Maestro_Equipos!$C$4:$C$242,""),"")</f>
        <v>Vehículos Livianos</v>
      </c>
      <c r="D224" t="str">
        <f>IFERROR(_xlfn.XLOOKUP($A224,Maestro_Equipos!$A:$A,Maestro_Equipos!$I:$I,""),"")</f>
        <v>KM</v>
      </c>
      <c r="E224">
        <f>IFERROR(IF($D224="KM",_xlfn.XLOOKUP($A224,Maestro_Equipos!$A:$A,Maestro_Equipos!$N:$N,""),_xlfn.XLOOKUP($A224,Maestro_Equipos!$A:$A,Maestro_Equipos!$M:$M,"")),"")</f>
        <v>266420</v>
      </c>
      <c r="F224">
        <f>IFERROR(_xlfn.XLOOKUP($A224,Maestro_Equipos!$A:$A,Maestro_Equipos!$R:$R,"")+_xlfn.XLOOKUP($A224,Maestro_Equipos!$A:$A,Maestro_Equipos!$J:$J,""),"")</f>
        <v>316311</v>
      </c>
      <c r="G224">
        <f>IFERROR(_xlfn.XLOOKUP($A224,Maestro_Equipos!$A:$A,Maestro_Equipos!$K:$K,""),"")</f>
        <v>99.1</v>
      </c>
      <c r="H224">
        <f>IFERROR(IF(OR($E224="",$F224="",$G224="",$G224&lt;=0),"",ROUND(($F224-$E224)/$G224,0)),"")</f>
        <v>503</v>
      </c>
      <c r="I224" s="71">
        <f ca="1">IFERROR(IF($H224="","",TODAY()+$H224),"")</f>
        <v>46743</v>
      </c>
      <c r="J224" s="5" t="str">
        <f>IFERROR(INDEX(Maestro_Equipos!$V$4:$V$242,MATCH($A224,Maestro_Equipos!$A$4:$A$242,0)),"")</f>
        <v>Operativo</v>
      </c>
      <c r="K224" s="35">
        <f>IFERROR(
   SUMIFS(Mantenciones!$I:$I,Mantenciones!$B:$B,$A224)
 + SUMIFS('Compras PM'!$F:$F,'Compras PM'!$C:$C,$A224),0)</f>
        <v>0</v>
      </c>
      <c r="L224" s="28" t="str">
        <f>IF($J224="Fuera de Servicio","NO PROGRAMAR",IF($H224="","SIN DATOS",IF($H224&lt;=0,"VENCIDA",IF($H224&lt;=7,"CRÍTICA",IF($H224&lt;=15,"ALTA",IF($H224&lt;=30,"MEDIA","BAJA"))))))</f>
        <v>BAJA</v>
      </c>
      <c r="M224" s="53" cm="1">
        <f t="array" ref="M224">IFERROR(_xlfn.AGGREGATE(14,6,Mantenciones!$A$3:$A$9916/(Mantenciones!$B$3:$B$9916=$A224),1),"")</f>
        <v>46124</v>
      </c>
      <c r="N224" s="29" t="str" cm="1">
        <f t="array" ref="N224">IFERROR(_xlfn.AGGREGATE(14,6,'Compras PM'!$A$4:$A$10029/('Compras PM'!$C$4:$C$10029=$A224),1),"")</f>
        <v/>
      </c>
      <c r="O224" s="29">
        <f>IFERROR(VLOOKUP($A224,Maestro_Equipos!$A$4:$AG$242,27,FALSE()),"")</f>
        <v>46119</v>
      </c>
      <c r="P224" s="30" t="str">
        <f ca="1">IFERROR(IF($N224="","",IF(OR($M224="",$M224&lt;$N224),TODAY()-$N224,$M224-$N224)),"")</f>
        <v/>
      </c>
      <c r="Q224" s="30">
        <f ca="1">IFERROR(IF($O224="","",IF(OR($M224="",$M224&lt;$O224),TODAY()-$O224,$M224-$O224)),"")</f>
        <v>5</v>
      </c>
      <c r="R224" s="28" t="str">
        <f>IF($O224="","SIN SALIDA",IF(OR($M224="",$M224&lt;$O224),"PENDIENTE","REALIZADA"))</f>
        <v>REALIZADA</v>
      </c>
      <c r="S224" s="31" t="str">
        <f>IFERROR(VLOOKUP($A224,Maestro_Equipos!$A$4:$AG$242,33,FALSE()),"")</f>
        <v>Monitorear próximo vencimiento</v>
      </c>
    </row>
    <row r="225" spans="1:19" ht="15.75" customHeight="1">
      <c r="A225" t="str" cm="1">
        <f t="array" ref="A225">IFERROR(INDEX(_xlfn._xlws.FILTER(Maestro_Equipos!$A$4:$A$242,Maestro_Equipos!$A$4:$A$242&lt;&gt;""),ROWS($A$4:A225)),"")</f>
        <v>VD-86</v>
      </c>
      <c r="B225" t="str">
        <f>IFERROR(_xlfn.XLOOKUP($A225,Maestro_Equipos!$A$4:$A$242,Maestro_Equipos!$B$4:$B$242,""),"")</f>
        <v>Furgon</v>
      </c>
      <c r="C225" t="str">
        <f>IFERROR(_xlfn.XLOOKUP($A225,Maestro_Equipos!$A$4:$A$242,Maestro_Equipos!$C$4:$C$242,""),"")</f>
        <v>Vehículos Livianos</v>
      </c>
      <c r="D225" t="str">
        <f>IFERROR(_xlfn.XLOOKUP($A225,Maestro_Equipos!$A:$A,Maestro_Equipos!$I:$I,""),"")</f>
        <v>KM</v>
      </c>
      <c r="E225">
        <f>IFERROR(IF($D225="KM",_xlfn.XLOOKUP($A225,Maestro_Equipos!$A:$A,Maestro_Equipos!$N:$N,""),_xlfn.XLOOKUP($A225,Maestro_Equipos!$A:$A,Maestro_Equipos!$M:$M,"")),"")</f>
        <v>263620</v>
      </c>
      <c r="F225" t="str">
        <f>IFERROR(_xlfn.XLOOKUP($A225,Maestro_Equipos!$A:$A,Maestro_Equipos!$R:$R,"")+_xlfn.XLOOKUP($A225,Maestro_Equipos!$A:$A,Maestro_Equipos!$J:$J,""),"")</f>
        <v/>
      </c>
      <c r="G225">
        <f>IFERROR(_xlfn.XLOOKUP($A225,Maestro_Equipos!$A:$A,Maestro_Equipos!$K:$K,""),"")</f>
        <v>0</v>
      </c>
      <c r="H225" t="str">
        <f>IFERROR(IF(OR($E225="",$F225="",$G225="",$G225&lt;=0),"",ROUND(($F225-$E225)/$G225,0)),"")</f>
        <v/>
      </c>
      <c r="I225" s="71" t="str">
        <f ca="1">IFERROR(IF($H225="","",TODAY()+$H225),"")</f>
        <v/>
      </c>
      <c r="J225" s="5" t="str">
        <f>IFERROR(INDEX(Maestro_Equipos!$V$4:$V$242,MATCH($A225,Maestro_Equipos!$A$4:$A$242,0)),"")</f>
        <v>Fuera de Servicio</v>
      </c>
      <c r="K225" s="35">
        <f>IFERROR(
   SUMIFS(Mantenciones!$I:$I,Mantenciones!$B:$B,$A225)
 + SUMIFS('Compras PM'!$F:$F,'Compras PM'!$C:$C,$A225),0)</f>
        <v>0</v>
      </c>
      <c r="L225" s="28" t="str">
        <f>IF($J225="Fuera de Servicio","NO PROGRAMAR",IF($H225="","SIN DATOS",IF($H225&lt;=0,"VENCIDA",IF($H225&lt;=7,"CRÍTICA",IF($H225&lt;=15,"ALTA",IF($H225&lt;=30,"MEDIA","BAJA"))))))</f>
        <v>NO PROGRAMAR</v>
      </c>
      <c r="M225" s="53" t="str" cm="1">
        <f t="array" ref="M225">IFERROR(_xlfn.AGGREGATE(14,6,Mantenciones!$A$3:$A$9916/(Mantenciones!$B$3:$B$9916=$A225),1),"")</f>
        <v/>
      </c>
      <c r="N225" s="29" t="str" cm="1">
        <f t="array" ref="N225">IFERROR(_xlfn.AGGREGATE(14,6,'Compras PM'!$A$4:$A$10029/('Compras PM'!$C$4:$C$10029=$A225),1),"")</f>
        <v/>
      </c>
      <c r="O225" s="29" t="str">
        <f>IFERROR(VLOOKUP($A225,Maestro_Equipos!$A$4:$AG$242,27,FALSE()),"")</f>
        <v/>
      </c>
      <c r="P225" s="30" t="str">
        <f ca="1">IFERROR(IF($N225="","",IF(OR($M225="",$M225&lt;$N225),TODAY()-$N225,$M225-$N225)),"")</f>
        <v/>
      </c>
      <c r="Q225" s="30" t="str">
        <f ca="1">IFERROR(IF($O225="","",IF(OR($M225="",$M225&lt;$O225),TODAY()-$O225,$M225-$O225)),"")</f>
        <v/>
      </c>
      <c r="R225" s="28" t="str">
        <f>IF($O225="","SIN SALIDA",IF(OR($M225="",$M225&lt;$O225),"PENDIENTE","REALIZADA"))</f>
        <v>SIN SALIDA</v>
      </c>
      <c r="S225" s="31" t="str">
        <f>IFERROR(VLOOKUP($A225,Maestro_Equipos!$A$4:$AG$242,33,FALSE()),"")</f>
        <v>No programar compra</v>
      </c>
    </row>
    <row r="226" spans="1:19" ht="15.75" customHeight="1">
      <c r="A226" t="str" cm="1">
        <f t="array" ref="A226">IFERROR(INDEX(_xlfn._xlws.FILTER(Maestro_Equipos!$A$4:$A$242,Maestro_Equipos!$A$4:$A$242&lt;&gt;""),ROWS($A$4:A226)),"")</f>
        <v>VD-87</v>
      </c>
      <c r="B226" t="str">
        <f>IFERROR(_xlfn.XLOOKUP($A226,Maestro_Equipos!$A$4:$A$242,Maestro_Equipos!$B$4:$B$242,""),"")</f>
        <v>Camioneta</v>
      </c>
      <c r="C226" t="str">
        <f>IFERROR(_xlfn.XLOOKUP($A226,Maestro_Equipos!$A$4:$A$242,Maestro_Equipos!$C$4:$C$242,""),"")</f>
        <v>Vehículos Livianos</v>
      </c>
      <c r="D226" t="str">
        <f>IFERROR(VLOOKUP($A223,Maestro_Equipos!$A$4:$Z$242,9,FALSE),"")</f>
        <v>KM</v>
      </c>
      <c r="E226">
        <f>IFERROR(IF($D226="KM",_xlfn.XLOOKUP($A226,Maestro_Equipos!$A:$A,Maestro_Equipos!$N:$N,""),_xlfn.XLOOKUP($A226,Maestro_Equipos!$A:$A,Maestro_Equipos!$M:$M,"")),"")</f>
        <v>155441</v>
      </c>
      <c r="F226">
        <f>IFERROR(_xlfn.XLOOKUP($A226,Maestro_Equipos!$A:$A,Maestro_Equipos!$R:$R,"")+_xlfn.XLOOKUP($A226,Maestro_Equipos!$A:$A,Maestro_Equipos!$J:$J,""),"")</f>
        <v>171473</v>
      </c>
      <c r="G226">
        <f>IFERROR(_xlfn.XLOOKUP($A226,Maestro_Equipos!$A:$A,Maestro_Equipos!$K:$K,""),"")</f>
        <v>119.3</v>
      </c>
      <c r="H226">
        <f>IFERROR(IF(OR($E226="",$F226="",$G226="",$G226&lt;=0),"",ROUND(($F226-$E226)/$G226,0)),"")</f>
        <v>134</v>
      </c>
      <c r="I226" s="71">
        <f ca="1">IFERROR(IF($H226="","",TODAY()+$H226),"")</f>
        <v>46374</v>
      </c>
      <c r="J226" s="5" t="str">
        <f>IFERROR(INDEX(Maestro_Equipos!$V$4:$V$242,MATCH($A226,Maestro_Equipos!$A$4:$A$242,0)),"")</f>
        <v>Operativo</v>
      </c>
      <c r="K226" s="35">
        <f>IFERROR(
   SUMIFS(Mantenciones!$I:$I,Mantenciones!$B:$B,$A226)
 + SUMIFS('Compras PM'!$F:$F,'Compras PM'!$C:$C,$A226),0)</f>
        <v>45691.97</v>
      </c>
      <c r="L226" s="28" t="str">
        <f>IF($J226="Fuera de Servicio","NO PROGRAMAR",IF($H226="","SIN DATOS",IF($H226&lt;=0,"VENCIDA",IF($H226&lt;=7,"CRÍTICA",IF($H226&lt;=15,"ALTA",IF($H226&lt;=30,"MEDIA","BAJA"))))))</f>
        <v>BAJA</v>
      </c>
      <c r="M226" s="53" cm="1">
        <f t="array" ref="M226">IFERROR(_xlfn.AGGREGATE(14,6,Mantenciones!$A$3:$A$9916/(Mantenciones!$B$3:$B$9916=$A226),1),"")</f>
        <v>46133</v>
      </c>
      <c r="N226" s="29" cm="1">
        <f t="array" ref="N226">IFERROR(_xlfn.AGGREGATE(14,6,'Compras PM'!$A$4:$A$10029/('Compras PM'!$C$4:$C$10029=$A226),1),"")</f>
        <v>46127</v>
      </c>
      <c r="O226" s="29">
        <f>IFERROR(VLOOKUP($A226,Maestro_Equipos!$A$4:$AG$242,27,FALSE()),"")</f>
        <v>46133</v>
      </c>
      <c r="P226" s="30">
        <f ca="1">IFERROR(IF($N226="","",IF(OR($M226="",$M226&lt;$N226),TODAY()-$N226,$M226-$N226)),"")</f>
        <v>6</v>
      </c>
      <c r="Q226" s="30">
        <f ca="1">IFERROR(IF($O226="","",IF(OR($M226="",$M226&lt;$O226),TODAY()-$O226,$M226-$O226)),"")</f>
        <v>0</v>
      </c>
      <c r="R226" s="28" t="str">
        <f>IF($O226="","SIN SALIDA",IF(OR($M226="",$M226&lt;$O226),"PENDIENTE","REALIZADA"))</f>
        <v>REALIZADA</v>
      </c>
      <c r="S226" s="31" t="str">
        <f>IFERROR(VLOOKUP($A226,Maestro_Equipos!$A$4:$AG$242,33,FALSE()),"")</f>
        <v>Monitorear próximo vencimiento</v>
      </c>
    </row>
    <row r="227" spans="1:19" ht="15.75" customHeight="1">
      <c r="A227" t="str" cm="1">
        <f t="array" ref="A227">IFERROR(INDEX(_xlfn._xlws.FILTER(Maestro_Equipos!$A$4:$A$242,Maestro_Equipos!$A$4:$A$242&lt;&gt;""),ROWS($A$4:A227)),"")</f>
        <v>VD-88</v>
      </c>
      <c r="B227" t="str">
        <f>IFERROR(_xlfn.XLOOKUP($A227,Maestro_Equipos!$A$4:$A$242,Maestro_Equipos!$B$4:$B$242,""),"")</f>
        <v>Camioneta</v>
      </c>
      <c r="C227" t="str">
        <f>IFERROR(_xlfn.XLOOKUP($A227,Maestro_Equipos!$A$4:$A$242,Maestro_Equipos!$C$4:$C$242,""),"")</f>
        <v>Vehículos Livianos</v>
      </c>
      <c r="D227" t="str">
        <f>IFERROR(_xlfn.XLOOKUP($A227,Maestro_Equipos!$A:$A,Maestro_Equipos!$I:$I,""),"")</f>
        <v>KM</v>
      </c>
      <c r="E227">
        <f>IFERROR(IF($D227="KM",_xlfn.XLOOKUP($A227,Maestro_Equipos!$A:$A,Maestro_Equipos!$N:$N,""),_xlfn.XLOOKUP($A227,Maestro_Equipos!$A:$A,Maestro_Equipos!$M:$M,"")),"")</f>
        <v>132860</v>
      </c>
      <c r="F227">
        <f>IFERROR(_xlfn.XLOOKUP($A227,Maestro_Equipos!$A:$A,Maestro_Equipos!$R:$R,"")+_xlfn.XLOOKUP($A227,Maestro_Equipos!$A:$A,Maestro_Equipos!$J:$J,""),"")</f>
        <v>149647</v>
      </c>
      <c r="G227">
        <f>IFERROR(_xlfn.XLOOKUP($A227,Maestro_Equipos!$A:$A,Maestro_Equipos!$K:$K,""),"")</f>
        <v>92.7</v>
      </c>
      <c r="H227">
        <f>IFERROR(IF(OR($E227="",$F227="",$G227="",$G227&lt;=0),"",ROUND(($F227-$E227)/$G227,0)),"")</f>
        <v>181</v>
      </c>
      <c r="I227" s="71">
        <f ca="1">IFERROR(IF($H227="","",TODAY()+$H227),"")</f>
        <v>46421</v>
      </c>
      <c r="J227" s="5" t="str">
        <f>IFERROR(INDEX(Maestro_Equipos!$V$4:$V$242,MATCH($A227,Maestro_Equipos!$A$4:$A$242,0)),"")</f>
        <v>Operativo</v>
      </c>
      <c r="K227" s="35">
        <f>IFERROR(
   SUMIFS(Mantenciones!$I:$I,Mantenciones!$B:$B,$A227)
 + SUMIFS('Compras PM'!$F:$F,'Compras PM'!$C:$C,$A227),0)</f>
        <v>45691.97</v>
      </c>
      <c r="L227" s="28" t="str">
        <f>IF($J227="Fuera de Servicio","NO PROGRAMAR",IF($H227="","SIN DATOS",IF($H227&lt;=0,"VENCIDA",IF($H227&lt;=7,"CRÍTICA",IF($H227&lt;=15,"ALTA",IF($H227&lt;=30,"MEDIA","BAJA"))))))</f>
        <v>BAJA</v>
      </c>
      <c r="M227" s="53" cm="1">
        <f t="array" ref="M227">IFERROR(_xlfn.AGGREGATE(14,6,Mantenciones!$A$3:$A$9916/(Mantenciones!$B$3:$B$9916=$A227),1),"")</f>
        <v>46203</v>
      </c>
      <c r="N227" s="29" cm="1">
        <f t="array" ref="N227">IFERROR(_xlfn.AGGREGATE(14,6,'Compras PM'!$A$4:$A$10029/('Compras PM'!$C$4:$C$10029=$A227),1),"")</f>
        <v>46127</v>
      </c>
      <c r="O227" s="29">
        <f>IFERROR(VLOOKUP($A227,Maestro_Equipos!$A$4:$AG$242,27,FALSE()),"")</f>
        <v>46083</v>
      </c>
      <c r="P227" s="30">
        <f ca="1">IFERROR(IF($N227="","",IF(OR($M227="",$M227&lt;$N227),TODAY()-$N227,$M227-$N227)),"")</f>
        <v>76</v>
      </c>
      <c r="Q227" s="30">
        <f ca="1">IFERROR(IF($O227="","",IF(OR($M227="",$M227&lt;$O227),TODAY()-$O227,$M227-$O227)),"")</f>
        <v>120</v>
      </c>
      <c r="R227" s="28" t="str">
        <f>IF($O227="","SIN SALIDA",IF(OR($M227="",$M227&lt;$O227),"PENDIENTE","REALIZADA"))</f>
        <v>REALIZADA</v>
      </c>
      <c r="S227" s="31" t="str">
        <f>IFERROR(VLOOKUP($A227,Maestro_Equipos!$A$4:$AG$242,33,FALSE()),"")</f>
        <v>Monitorear próximo vencimiento</v>
      </c>
    </row>
    <row r="228" spans="1:19" ht="15.75" customHeight="1">
      <c r="A228" t="str" cm="1">
        <f t="array" ref="A228">IFERROR(INDEX(_xlfn._xlws.FILTER(Maestro_Equipos!$A$4:$A$242,Maestro_Equipos!$A$4:$A$242&lt;&gt;""),ROWS($A$4:A228)),"")</f>
        <v>VD-89</v>
      </c>
      <c r="B228" t="str">
        <f>IFERROR(_xlfn.XLOOKUP($A228,Maestro_Equipos!$A$4:$A$242,Maestro_Equipos!$B$4:$B$242,""),"")</f>
        <v>Camioneta</v>
      </c>
      <c r="C228" t="str">
        <f>IFERROR(_xlfn.XLOOKUP($A228,Maestro_Equipos!$A$4:$A$242,Maestro_Equipos!$C$4:$C$242,""),"")</f>
        <v>Vehículos Livianos</v>
      </c>
      <c r="D228" t="str">
        <f>IFERROR(_xlfn.XLOOKUP($A228,Maestro_Equipos!$A:$A,Maestro_Equipos!$I:$I,""),"")</f>
        <v>KM</v>
      </c>
      <c r="E228">
        <f>IFERROR(IF($D228="KM",_xlfn.XLOOKUP($A228,Maestro_Equipos!$A:$A,Maestro_Equipos!$N:$N,""),_xlfn.XLOOKUP($A228,Maestro_Equipos!$A:$A,Maestro_Equipos!$M:$M,"")),"")</f>
        <v>108975</v>
      </c>
      <c r="F228" t="str">
        <f>IFERROR(_xlfn.XLOOKUP($A228,Maestro_Equipos!$A:$A,Maestro_Equipos!$R:$R,"")+_xlfn.XLOOKUP($A228,Maestro_Equipos!$A:$A,Maestro_Equipos!$J:$J,""),"")</f>
        <v/>
      </c>
      <c r="G228">
        <f>IFERROR(_xlfn.XLOOKUP($A228,Maestro_Equipos!$A:$A,Maestro_Equipos!$K:$K,""),"")</f>
        <v>167.7</v>
      </c>
      <c r="H228" t="str">
        <f>IFERROR(IF(OR($E228="",$F228="",$G228="",$G228&lt;=0),"",ROUND(($F228-$E228)/$G228,0)),"")</f>
        <v/>
      </c>
      <c r="I228" s="71" t="str">
        <f ca="1">IFERROR(IF($H228="","",TODAY()+$H228),"")</f>
        <v/>
      </c>
      <c r="J228" s="5" t="str">
        <f>IFERROR(INDEX(Maestro_Equipos!$V$4:$V$242,MATCH($A228,Maestro_Equipos!$A$4:$A$242,0)),"")</f>
        <v>Operativo</v>
      </c>
      <c r="K228" s="35">
        <f>IFERROR(
   SUMIFS(Mantenciones!$I:$I,Mantenciones!$B:$B,$A228)
 + SUMIFS('Compras PM'!$F:$F,'Compras PM'!$C:$C,$A228),0)</f>
        <v>357721.87</v>
      </c>
      <c r="L228" s="28" t="str">
        <f>IF($J228="Fuera de Servicio","NO PROGRAMAR",IF($H228="","SIN DATOS",IF($H228&lt;=0,"VENCIDA",IF($H228&lt;=7,"CRÍTICA",IF($H228&lt;=15,"ALTA",IF($H228&lt;=30,"MEDIA","BAJA"))))))</f>
        <v>SIN DATOS</v>
      </c>
      <c r="M228" s="53" t="str" cm="1">
        <f t="array" ref="M228">IFERROR(_xlfn.AGGREGATE(14,6,Mantenciones!$A$3:$A$9916/(Mantenciones!$B$3:$B$9916=$A228),1),"")</f>
        <v/>
      </c>
      <c r="N228" s="29" cm="1">
        <f t="array" ref="N228">IFERROR(_xlfn.AGGREGATE(14,6,'Compras PM'!$A$4:$A$10029/('Compras PM'!$C$4:$C$10029=$A228),1),"")</f>
        <v>46127</v>
      </c>
      <c r="O228" s="29" t="str">
        <f>IFERROR(VLOOKUP($A228,Maestro_Equipos!$A$4:$AG$242,27,FALSE()),"")</f>
        <v/>
      </c>
      <c r="P228" s="30">
        <f ca="1">IFERROR(IF($N228="","",IF(OR($M228="",$M228&lt;$N228),TODAY()-$N228,$M228-$N228)),"")</f>
        <v>113</v>
      </c>
      <c r="Q228" s="30" t="str">
        <f ca="1">IFERROR(IF($O228="","",IF(OR($M228="",$M228&lt;$O228),TODAY()-$O228,$M228-$O228)),"")</f>
        <v/>
      </c>
      <c r="R228" s="28" t="str">
        <f>IF($O228="","SIN SALIDA",IF(OR($M228="",$M228&lt;$O228),"PENDIENTE","REALIZADA"))</f>
        <v>SIN SALIDA</v>
      </c>
      <c r="S228" s="31" t="str">
        <f>IFERROR(VLOOKUP($A228,Maestro_Equipos!$A$4:$AG$242,33,FALSE()),"")</f>
        <v>Hacer seguimiento al taller y cerrar report</v>
      </c>
    </row>
    <row r="229" spans="1:19" ht="15.75" customHeight="1">
      <c r="A229" t="str" cm="1">
        <f t="array" ref="A229">IFERROR(INDEX(_xlfn._xlws.FILTER(Maestro_Equipos!$A$4:$A$242,Maestro_Equipos!$A$4:$A$242&lt;&gt;""),ROWS($A$4:A229)),"")</f>
        <v>VD-90</v>
      </c>
      <c r="B229" t="str">
        <f>IFERROR(_xlfn.XLOOKUP($A229,Maestro_Equipos!$A$4:$A$242,Maestro_Equipos!$B$4:$B$242,""),"")</f>
        <v>Camioneta</v>
      </c>
      <c r="C229" t="str">
        <f>IFERROR(_xlfn.XLOOKUP($A229,Maestro_Equipos!$A$4:$A$242,Maestro_Equipos!$C$4:$C$242,""),"")</f>
        <v>Vehículos Livianos</v>
      </c>
      <c r="D229" t="str">
        <f>IFERROR(_xlfn.XLOOKUP($A229,Maestro_Equipos!$A:$A,Maestro_Equipos!$I:$I,""),"")</f>
        <v>KM</v>
      </c>
      <c r="E229">
        <f>IFERROR(IF($D229="KM",_xlfn.XLOOKUP($A229,Maestro_Equipos!$A:$A,Maestro_Equipos!$N:$N,""),_xlfn.XLOOKUP($A229,Maestro_Equipos!$A:$A,Maestro_Equipos!$M:$M,"")),"")</f>
        <v>139007</v>
      </c>
      <c r="F229">
        <f>IFERROR(_xlfn.XLOOKUP($A229,Maestro_Equipos!$A:$A,Maestro_Equipos!$R:$R,"")+_xlfn.XLOOKUP($A229,Maestro_Equipos!$A:$A,Maestro_Equipos!$J:$J,""),"")</f>
        <v>148477</v>
      </c>
      <c r="G229">
        <f>IFERROR(_xlfn.XLOOKUP($A229,Maestro_Equipos!$A:$A,Maestro_Equipos!$K:$K,""),"")</f>
        <v>114.3</v>
      </c>
      <c r="H229">
        <f>IFERROR(IF(OR($E229="",$F229="",$G229="",$G229&lt;=0),"",ROUND(($F229-$E229)/$G229,0)),"")</f>
        <v>83</v>
      </c>
      <c r="I229" s="71">
        <f ca="1">IFERROR(IF($H229="","",TODAY()+$H229),"")</f>
        <v>46323</v>
      </c>
      <c r="J229" s="5" t="str">
        <f>IFERROR(INDEX(Maestro_Equipos!$V$4:$V$242,MATCH($A229,Maestro_Equipos!$A$4:$A$242,0)),"")</f>
        <v>Operativo</v>
      </c>
      <c r="K229" s="35">
        <f>IFERROR(
   SUMIFS(Mantenciones!$I:$I,Mantenciones!$B:$B,$A229)
 + SUMIFS('Compras PM'!$F:$F,'Compras PM'!$C:$C,$A229),0)</f>
        <v>45691.97</v>
      </c>
      <c r="L229" s="28" t="str">
        <f>IF($J229="Fuera de Servicio","NO PROGRAMAR",IF($H229="","SIN DATOS",IF($H229&lt;=0,"VENCIDA",IF($H229&lt;=7,"CRÍTICA",IF($H229&lt;=15,"ALTA",IF($H229&lt;=30,"MEDIA","BAJA"))))))</f>
        <v>BAJA</v>
      </c>
      <c r="M229" s="53" cm="1">
        <f t="array" ref="M229">IFERROR(_xlfn.AGGREGATE(14,6,Mantenciones!$A$3:$A$9916/(Mantenciones!$B$3:$B$9916=$A229),1),"")</f>
        <v>46125</v>
      </c>
      <c r="N229" s="29" cm="1">
        <f t="array" ref="N229">IFERROR(_xlfn.AGGREGATE(14,6,'Compras PM'!$A$4:$A$10029/('Compras PM'!$C$4:$C$10029=$A229),1),"")</f>
        <v>46127</v>
      </c>
      <c r="O229" s="29">
        <f>IFERROR(VLOOKUP($A229,Maestro_Equipos!$A$4:$AG$242,27,FALSE()),"")</f>
        <v>46125</v>
      </c>
      <c r="P229" s="30">
        <f ca="1">IFERROR(IF($N229="","",IF(OR($M229="",$M229&lt;$N229),TODAY()-$N229,$M229-$N229)),"")</f>
        <v>113</v>
      </c>
      <c r="Q229" s="30">
        <f ca="1">IFERROR(IF($O229="","",IF(OR($M229="",$M229&lt;$O229),TODAY()-$O229,$M229-$O229)),"")</f>
        <v>0</v>
      </c>
      <c r="R229" s="28" t="str">
        <f>IF($O229="","SIN SALIDA",IF(OR($M229="",$M229&lt;$O229),"PENDIENTE","REALIZADA"))</f>
        <v>REALIZADA</v>
      </c>
      <c r="S229" s="31" t="str">
        <f>IFERROR(VLOOKUP($A229,Maestro_Equipos!$A$4:$AG$242,33,FALSE()),"")</f>
        <v>Monitorear próximo vencimiento</v>
      </c>
    </row>
    <row r="230" spans="1:19" ht="15.75" customHeight="1">
      <c r="A230" t="str" cm="1">
        <f t="array" ref="A230">IFERROR(INDEX(_xlfn._xlws.FILTER(Maestro_Equipos!$A$4:$A$242,Maestro_Equipos!$A$4:$A$242&lt;&gt;""),ROWS($A$4:A230)),"")</f>
        <v>VD-91</v>
      </c>
      <c r="B230" t="str">
        <f>IFERROR(_xlfn.XLOOKUP($A230,Maestro_Equipos!$A$4:$A$242,Maestro_Equipos!$B$4:$B$242,""),"")</f>
        <v>Camioneta</v>
      </c>
      <c r="C230" t="str">
        <f>IFERROR(_xlfn.XLOOKUP($A230,Maestro_Equipos!$A$4:$A$242,Maestro_Equipos!$C$4:$C$242,""),"")</f>
        <v>Vehículos Livianos</v>
      </c>
      <c r="D230" t="str">
        <f>IFERROR(_xlfn.XLOOKUP($A230,Maestro_Equipos!$A:$A,Maestro_Equipos!$I:$I,""),"")</f>
        <v>KM</v>
      </c>
      <c r="E230">
        <f>IFERROR(IF($D230="KM",_xlfn.XLOOKUP($A230,Maestro_Equipos!$A:$A,Maestro_Equipos!$N:$N,""),_xlfn.XLOOKUP($A230,Maestro_Equipos!$A:$A,Maestro_Equipos!$M:$M,"")),"")</f>
        <v>114573</v>
      </c>
      <c r="F230">
        <f>IFERROR(_xlfn.XLOOKUP($A230,Maestro_Equipos!$A:$A,Maestro_Equipos!$R:$R,"")+_xlfn.XLOOKUP($A230,Maestro_Equipos!$A:$A,Maestro_Equipos!$J:$J,""),"")</f>
        <v>135039</v>
      </c>
      <c r="G230">
        <f>IFERROR(_xlfn.XLOOKUP($A230,Maestro_Equipos!$A:$A,Maestro_Equipos!$K:$K,""),"")</f>
        <v>75.900000000000006</v>
      </c>
      <c r="H230">
        <f>IFERROR(IF(OR($E230="",$F230="",$G230="",$G230&lt;=0),"",ROUND(($F230-$E230)/$G230,0)),"")</f>
        <v>270</v>
      </c>
      <c r="I230" s="71">
        <f ca="1">IFERROR(IF($H230="","",TODAY()+$H230),"")</f>
        <v>46510</v>
      </c>
      <c r="J230" s="5" t="str">
        <f>IFERROR(INDEX(Maestro_Equipos!$V$4:$V$242,MATCH($A230,Maestro_Equipos!$A$4:$A$242,0)),"")</f>
        <v>Operativo</v>
      </c>
      <c r="K230" s="35">
        <f>IFERROR(
   SUMIFS(Mantenciones!$I:$I,Mantenciones!$B:$B,$A230)
 + SUMIFS('Compras PM'!$F:$F,'Compras PM'!$C:$C,$A230),0)</f>
        <v>45691.97</v>
      </c>
      <c r="L230" s="28" t="str">
        <f>IF($J230="Fuera de Servicio","NO PROGRAMAR",IF($H230="","SIN DATOS",IF($H230&lt;=0,"VENCIDA",IF($H230&lt;=7,"CRÍTICA",IF($H230&lt;=15,"ALTA",IF($H230&lt;=30,"MEDIA","BAJA"))))))</f>
        <v>BAJA</v>
      </c>
      <c r="M230" s="53" cm="1">
        <f t="array" ref="M230">IFERROR(_xlfn.AGGREGATE(14,6,Mantenciones!$A$3:$A$9916/(Mantenciones!$B$3:$B$9916=$A230),1),"")</f>
        <v>46183</v>
      </c>
      <c r="N230" s="29" cm="1">
        <f t="array" ref="N230">IFERROR(_xlfn.AGGREGATE(14,6,'Compras PM'!$A$4:$A$10029/('Compras PM'!$C$4:$C$10029=$A230),1),"")</f>
        <v>46127</v>
      </c>
      <c r="O230" s="29" t="str">
        <f>IFERROR(VLOOKUP($A230,Maestro_Equipos!$A$4:$AG$242,27,FALSE()),"")</f>
        <v/>
      </c>
      <c r="P230" s="30">
        <f ca="1">IFERROR(IF($N230="","",IF(OR($M230="",$M230&lt;$N230),TODAY()-$N230,$M230-$N230)),"")</f>
        <v>56</v>
      </c>
      <c r="Q230" s="30" t="str">
        <f ca="1">IFERROR(IF($O230="","",IF(OR($M230="",$M230&lt;$O230),TODAY()-$O230,$M230-$O230)),"")</f>
        <v/>
      </c>
      <c r="R230" s="28" t="str">
        <f>IF($O230="","SIN SALIDA",IF(OR($M230="",$M230&lt;$O230),"PENDIENTE","REALIZADA"))</f>
        <v>SIN SALIDA</v>
      </c>
      <c r="S230" s="31" t="str">
        <f>IFERROR(VLOOKUP($A230,Maestro_Equipos!$A$4:$AG$242,33,FALSE()),"")</f>
        <v>Hacer seguimiento al taller y cerrar report</v>
      </c>
    </row>
    <row r="231" spans="1:19" ht="15.75" customHeight="1">
      <c r="A231" t="str" cm="1">
        <f t="array" ref="A231">IFERROR(INDEX(_xlfn._xlws.FILTER(Maestro_Equipos!$A$4:$A$242,Maestro_Equipos!$A$4:$A$242&lt;&gt;""),ROWS($A$4:A231)),"")</f>
        <v>VD-92</v>
      </c>
      <c r="B231" t="str">
        <f>IFERROR(_xlfn.XLOOKUP($A231,Maestro_Equipos!$A$4:$A$242,Maestro_Equipos!$B$4:$B$242,""),"")</f>
        <v>Camioneta</v>
      </c>
      <c r="C231" t="str">
        <f>IFERROR(_xlfn.XLOOKUP($A231,Maestro_Equipos!$A$4:$A$242,Maestro_Equipos!$C$4:$C$242,""),"")</f>
        <v>Vehículos Livianos</v>
      </c>
      <c r="D231" t="str">
        <f>IFERROR(_xlfn.XLOOKUP($A231,Maestro_Equipos!$A:$A,Maestro_Equipos!$I:$I,""),"")</f>
        <v>KM</v>
      </c>
      <c r="E231">
        <f>IFERROR(IF($D231="KM",_xlfn.XLOOKUP($A231,Maestro_Equipos!$A:$A,Maestro_Equipos!$N:$N,""),_xlfn.XLOOKUP($A231,Maestro_Equipos!$A:$A,Maestro_Equipos!$M:$M,"")),"")</f>
        <v>95862</v>
      </c>
      <c r="F231">
        <f>IFERROR(_xlfn.XLOOKUP($A231,Maestro_Equipos!$A:$A,Maestro_Equipos!$R:$R,"")+_xlfn.XLOOKUP($A231,Maestro_Equipos!$A:$A,Maestro_Equipos!$J:$J,""),"")</f>
        <v>113151</v>
      </c>
      <c r="G231">
        <f>IFERROR(_xlfn.XLOOKUP($A231,Maestro_Equipos!$A:$A,Maestro_Equipos!$K:$K,""),"")</f>
        <v>158.6</v>
      </c>
      <c r="H231">
        <f>IFERROR(IF(OR($E231="",$F231="",$G231="",$G231&lt;=0),"",ROUND(($F231-$E231)/$G231,0)),"")</f>
        <v>109</v>
      </c>
      <c r="I231" s="71">
        <f ca="1">IFERROR(IF($H231="","",TODAY()+$H231),"")</f>
        <v>46349</v>
      </c>
      <c r="J231" s="5" t="str">
        <f>IFERROR(INDEX(Maestro_Equipos!$V$4:$V$242,MATCH($A231,Maestro_Equipos!$A$4:$A$242,0)),"")</f>
        <v>Operativo</v>
      </c>
      <c r="K231" s="35">
        <f>IFERROR(
   SUMIFS(Mantenciones!$I:$I,Mantenciones!$B:$B,$A231)
 + SUMIFS('Compras PM'!$F:$F,'Compras PM'!$C:$C,$A231),0)</f>
        <v>45691.97</v>
      </c>
      <c r="L231" s="28" t="str">
        <f>IF($J231="Fuera de Servicio","NO PROGRAMAR",IF($H231="","SIN DATOS",IF($H231&lt;=0,"VENCIDA",IF($H231&lt;=7,"CRÍTICA",IF($H231&lt;=15,"ALTA",IF($H231&lt;=30,"MEDIA","BAJA"))))))</f>
        <v>BAJA</v>
      </c>
      <c r="M231" s="53" cm="1">
        <f t="array" ref="M231">IFERROR(_xlfn.AGGREGATE(14,6,Mantenciones!$A$3:$A$9916/(Mantenciones!$B$3:$B$9916=$A231),1),"")</f>
        <v>46126</v>
      </c>
      <c r="N231" s="29" cm="1">
        <f t="array" ref="N231">IFERROR(_xlfn.AGGREGATE(14,6,'Compras PM'!$A$4:$A$10029/('Compras PM'!$C$4:$C$10029=$A231),1),"")</f>
        <v>46127</v>
      </c>
      <c r="O231" s="29">
        <f>IFERROR(VLOOKUP($A231,Maestro_Equipos!$A$4:$AG$242,27,FALSE()),"")</f>
        <v>46126</v>
      </c>
      <c r="P231" s="30">
        <f ca="1">IFERROR(IF($N231="","",IF(OR($M231="",$M231&lt;$N231),TODAY()-$N231,$M231-$N231)),"")</f>
        <v>113</v>
      </c>
      <c r="Q231" s="30">
        <f ca="1">IFERROR(IF($O231="","",IF(OR($M231="",$M231&lt;$O231),TODAY()-$O231,$M231-$O231)),"")</f>
        <v>0</v>
      </c>
      <c r="R231" s="28" t="str">
        <f>IF($O231="","SIN SALIDA",IF(OR($M231="",$M231&lt;$O231),"PENDIENTE","REALIZADA"))</f>
        <v>REALIZADA</v>
      </c>
      <c r="S231" s="31" t="str">
        <f>IFERROR(VLOOKUP($A231,Maestro_Equipos!$A$4:$AG$242,33,FALSE()),"")</f>
        <v>Monitorear próximo vencimiento</v>
      </c>
    </row>
    <row r="232" spans="1:19" ht="15.75" customHeight="1">
      <c r="A232" t="str" cm="1">
        <f t="array" ref="A232">IFERROR(INDEX(_xlfn._xlws.FILTER(Maestro_Equipos!$A$4:$A$242,Maestro_Equipos!$A$4:$A$242&lt;&gt;""),ROWS($A$4:A232)),"")</f>
        <v>VD-93</v>
      </c>
      <c r="B232" t="str">
        <f>IFERROR(_xlfn.XLOOKUP($A232,Maestro_Equipos!$A$4:$A$242,Maestro_Equipos!$B$4:$B$242,""),"")</f>
        <v>Camioneta</v>
      </c>
      <c r="C232" t="str">
        <f>IFERROR(_xlfn.XLOOKUP($A232,Maestro_Equipos!$A$4:$A$242,Maestro_Equipos!$C$4:$C$242,""),"")</f>
        <v>Vehículos Livianos</v>
      </c>
      <c r="D232" t="str">
        <f>IFERROR(_xlfn.XLOOKUP($A232,Maestro_Equipos!$A:$A,Maestro_Equipos!$I:$I,""),"")</f>
        <v>KM</v>
      </c>
      <c r="E232">
        <f>IFERROR(IF($D232="KM",_xlfn.XLOOKUP($A232,Maestro_Equipos!$A:$A,Maestro_Equipos!$N:$N,""),_xlfn.XLOOKUP($A232,Maestro_Equipos!$A:$A,Maestro_Equipos!$M:$M,"")),"")</f>
        <v>119726</v>
      </c>
      <c r="F232" t="str">
        <f>IFERROR(_xlfn.XLOOKUP($A232,Maestro_Equipos!$A:$A,Maestro_Equipos!$R:$R,"")+_xlfn.XLOOKUP($A232,Maestro_Equipos!$A:$A,Maestro_Equipos!$J:$J,""),"")</f>
        <v/>
      </c>
      <c r="G232">
        <f>IFERROR(_xlfn.XLOOKUP($A232,Maestro_Equipos!$A:$A,Maestro_Equipos!$K:$K,""),"")</f>
        <v>113.6</v>
      </c>
      <c r="H232" t="str">
        <f>IFERROR(IF(OR($E232="",$F232="",$G232="",$G232&lt;=0),"",ROUND(($F232-$E232)/$G232,0)),"")</f>
        <v/>
      </c>
      <c r="I232" s="71" t="str">
        <f ca="1">IFERROR(IF($H232="","",TODAY()+$H232),"")</f>
        <v/>
      </c>
      <c r="J232" s="5" t="str">
        <f>IFERROR(INDEX(Maestro_Equipos!$V$4:$V$242,MATCH($A232,Maestro_Equipos!$A$4:$A$242,0)),"")</f>
        <v>Operativo</v>
      </c>
      <c r="K232" s="35">
        <f>IFERROR(
   SUMIFS(Mantenciones!$I:$I,Mantenciones!$B:$B,$A232)
 + SUMIFS('Compras PM'!$F:$F,'Compras PM'!$C:$C,$A232),0)</f>
        <v>45691.97</v>
      </c>
      <c r="L232" s="28" t="str">
        <f>IF($J232="Fuera de Servicio","NO PROGRAMAR",IF($H232="","SIN DATOS",IF($H232&lt;=0,"VENCIDA",IF($H232&lt;=7,"CRÍTICA",IF($H232&lt;=15,"ALTA",IF($H232&lt;=30,"MEDIA","BAJA"))))))</f>
        <v>SIN DATOS</v>
      </c>
      <c r="M232" s="53" t="str" cm="1">
        <f t="array" ref="M232">IFERROR(_xlfn.AGGREGATE(14,6,Mantenciones!$A$3:$A$9916/(Mantenciones!$B$3:$B$9916=$A232),1),"")</f>
        <v/>
      </c>
      <c r="N232" s="29" cm="1">
        <f t="array" ref="N232">IFERROR(_xlfn.AGGREGATE(14,6,'Compras PM'!$A$4:$A$10029/('Compras PM'!$C$4:$C$10029=$A232),1),"")</f>
        <v>46127</v>
      </c>
      <c r="O232" s="29" t="str">
        <f>IFERROR(VLOOKUP($A232,Maestro_Equipos!$A$4:$AG$242,27,FALSE()),"")</f>
        <v/>
      </c>
      <c r="P232" s="30">
        <f ca="1">IFERROR(IF($N232="","",IF(OR($M232="",$M232&lt;$N232),TODAY()-$N232,$M232-$N232)),"")</f>
        <v>113</v>
      </c>
      <c r="Q232" s="30" t="str">
        <f ca="1">IFERROR(IF($O232="","",IF(OR($M232="",$M232&lt;$O232),TODAY()-$O232,$M232-$O232)),"")</f>
        <v/>
      </c>
      <c r="R232" s="28" t="str">
        <f>IF($O232="","SIN SALIDA",IF(OR($M232="",$M232&lt;$O232),"PENDIENTE","REALIZADA"))</f>
        <v>SIN SALIDA</v>
      </c>
      <c r="S232" s="31" t="str">
        <f>IFERROR(VLOOKUP($A232,Maestro_Equipos!$A$4:$AG$242,33,FALSE()),"")</f>
        <v>Hacer seguimiento al taller y cerrar report</v>
      </c>
    </row>
    <row r="233" spans="1:19" ht="15.75" customHeight="1">
      <c r="A233" t="str" cm="1">
        <f t="array" ref="A233">IFERROR(INDEX(_xlfn._xlws.FILTER(Maestro_Equipos!$A$4:$A$242,Maestro_Equipos!$A$4:$A$242&lt;&gt;""),ROWS($A$4:A233)),"")</f>
        <v>VD-94</v>
      </c>
      <c r="B233" t="str">
        <f>IFERROR(_xlfn.XLOOKUP($A233,Maestro_Equipos!$A$4:$A$242,Maestro_Equipos!$B$4:$B$242,""),"")</f>
        <v>Camioneta</v>
      </c>
      <c r="C233" t="str">
        <f>IFERROR(_xlfn.XLOOKUP($A233,Maestro_Equipos!$A$4:$A$242,Maestro_Equipos!$C$4:$C$242,""),"")</f>
        <v>Vehículos Livianos</v>
      </c>
      <c r="D233" t="str">
        <f>IFERROR(_xlfn.XLOOKUP($A233,Maestro_Equipos!$A:$A,Maestro_Equipos!$I:$I,""),"")</f>
        <v>KM</v>
      </c>
      <c r="E233">
        <f>IFERROR(IF($D233="KM",_xlfn.XLOOKUP($A233,Maestro_Equipos!$A:$A,Maestro_Equipos!$N:$N,""),_xlfn.XLOOKUP($A233,Maestro_Equipos!$A:$A,Maestro_Equipos!$M:$M,"")),"")</f>
        <v>102342</v>
      </c>
      <c r="F233">
        <f>IFERROR(_xlfn.XLOOKUP($A233,Maestro_Equipos!$A:$A,Maestro_Equipos!$R:$R,"")+_xlfn.XLOOKUP($A233,Maestro_Equipos!$A:$A,Maestro_Equipos!$J:$J,""),"")</f>
        <v>118809</v>
      </c>
      <c r="G233">
        <f>IFERROR(_xlfn.XLOOKUP($A233,Maestro_Equipos!$A:$A,Maestro_Equipos!$K:$K,""),"")</f>
        <v>102.3</v>
      </c>
      <c r="H233">
        <f>IFERROR(IF(OR($E233="",$F233="",$G233="",$G233&lt;=0),"",ROUND(($F233-$E233)/$G233,0)),"")</f>
        <v>161</v>
      </c>
      <c r="I233" s="71">
        <f ca="1">IFERROR(IF($H233="","",TODAY()+$H233),"")</f>
        <v>46401</v>
      </c>
      <c r="J233" s="5" t="str">
        <f>IFERROR(INDEX(Maestro_Equipos!$V$4:$V$242,MATCH($A233,Maestro_Equipos!$A$4:$A$242,0)),"")</f>
        <v>Operativo</v>
      </c>
      <c r="K233" s="35">
        <f>IFERROR(
   SUMIFS(Mantenciones!$I:$I,Mantenciones!$B:$B,$A233)
 + SUMIFS('Compras PM'!$F:$F,'Compras PM'!$C:$C,$A233),0)</f>
        <v>45691.97</v>
      </c>
      <c r="L233" s="28" t="str">
        <f>IF($J233="Fuera de Servicio","NO PROGRAMAR",IF($H233="","SIN DATOS",IF($H233&lt;=0,"VENCIDA",IF($H233&lt;=7,"CRÍTICA",IF($H233&lt;=15,"ALTA",IF($H233&lt;=30,"MEDIA","BAJA"))))))</f>
        <v>BAJA</v>
      </c>
      <c r="M233" s="53" cm="1">
        <f t="array" ref="M233">IFERROR(_xlfn.AGGREGATE(14,6,Mantenciones!$A$3:$A$9916/(Mantenciones!$B$3:$B$9916=$A233),1),"")</f>
        <v>46188</v>
      </c>
      <c r="N233" s="29" cm="1">
        <f t="array" ref="N233">IFERROR(_xlfn.AGGREGATE(14,6,'Compras PM'!$A$4:$A$10029/('Compras PM'!$C$4:$C$10029=$A233),1),"")</f>
        <v>46127</v>
      </c>
      <c r="O233" s="29">
        <f>IFERROR(VLOOKUP($A233,Maestro_Equipos!$A$4:$AG$242,27,FALSE()),"")</f>
        <v>46101</v>
      </c>
      <c r="P233" s="30">
        <f ca="1">IFERROR(IF($N233="","",IF(OR($M233="",$M233&lt;$N233),TODAY()-$N233,$M233-$N233)),"")</f>
        <v>61</v>
      </c>
      <c r="Q233" s="30">
        <f ca="1">IFERROR(IF($O233="","",IF(OR($M233="",$M233&lt;$O233),TODAY()-$O233,$M233-$O233)),"")</f>
        <v>87</v>
      </c>
      <c r="R233" s="28" t="str">
        <f>IF($O233="","SIN SALIDA",IF(OR($M233="",$M233&lt;$O233),"PENDIENTE","REALIZADA"))</f>
        <v>REALIZADA</v>
      </c>
      <c r="S233" s="31" t="str">
        <f>IFERROR(VLOOKUP($A233,Maestro_Equipos!$A$4:$AG$242,33,FALSE()),"")</f>
        <v>Monitorear próximo vencimiento</v>
      </c>
    </row>
    <row r="234" spans="1:19" ht="15.75" customHeight="1">
      <c r="A234" t="str" cm="1">
        <f t="array" ref="A234">IFERROR(INDEX(_xlfn._xlws.FILTER(Maestro_Equipos!$A$4:$A$242,Maestro_Equipos!$A$4:$A$242&lt;&gt;""),ROWS($A$4:A234)),"")</f>
        <v>VD-95</v>
      </c>
      <c r="B234" t="str">
        <f>IFERROR(_xlfn.XLOOKUP($A234,Maestro_Equipos!$A$4:$A$242,Maestro_Equipos!$B$4:$B$242,""),"")</f>
        <v>Camioneta</v>
      </c>
      <c r="C234" t="str">
        <f>IFERROR(_xlfn.XLOOKUP($A234,Maestro_Equipos!$A$4:$A$242,Maestro_Equipos!$C$4:$C$242,""),"")</f>
        <v>Vehículos Livianos</v>
      </c>
      <c r="D234" t="str">
        <f>IFERROR(_xlfn.XLOOKUP($A234,Maestro_Equipos!$A:$A,Maestro_Equipos!$I:$I,""),"")</f>
        <v>KM</v>
      </c>
      <c r="E234">
        <f>IFERROR(IF($D234="KM",_xlfn.XLOOKUP($A234,Maestro_Equipos!$A:$A,Maestro_Equipos!$N:$N,""),_xlfn.XLOOKUP($A234,Maestro_Equipos!$A:$A,Maestro_Equipos!$M:$M,"")),"")</f>
        <v>158673</v>
      </c>
      <c r="F234">
        <f>IFERROR(_xlfn.XLOOKUP($A234,Maestro_Equipos!$A:$A,Maestro_Equipos!$R:$R,"")+_xlfn.XLOOKUP($A234,Maestro_Equipos!$A:$A,Maestro_Equipos!$J:$J,""),"")</f>
        <v>174017</v>
      </c>
      <c r="G234">
        <f>IFERROR(_xlfn.XLOOKUP($A234,Maestro_Equipos!$A:$A,Maestro_Equipos!$K:$K,""),"")</f>
        <v>151.9</v>
      </c>
      <c r="H234">
        <f>IFERROR(IF(OR($E234="",$F234="",$G234="",$G234&lt;=0),"",ROUND(($F234-$E234)/$G234,0)),"")</f>
        <v>101</v>
      </c>
      <c r="I234" s="71">
        <f ca="1">IFERROR(IF($H234="","",TODAY()+$H234),"")</f>
        <v>46341</v>
      </c>
      <c r="J234" s="5" t="str">
        <f>IFERROR(INDEX(Maestro_Equipos!$V$4:$V$242,MATCH($A234,Maestro_Equipos!$A$4:$A$242,0)),"")</f>
        <v>Operativo</v>
      </c>
      <c r="K234" s="35">
        <f>IFERROR(
   SUMIFS(Mantenciones!$I:$I,Mantenciones!$B:$B,$A234)
 + SUMIFS('Compras PM'!$F:$F,'Compras PM'!$C:$C,$A234),0)</f>
        <v>45691.97</v>
      </c>
      <c r="L234" s="28" t="str">
        <f>IF($J234="Fuera de Servicio","NO PROGRAMAR",IF($H234="","SIN DATOS",IF($H234&lt;=0,"VENCIDA",IF($H234&lt;=7,"CRÍTICA",IF($H234&lt;=15,"ALTA",IF($H234&lt;=30,"MEDIA","BAJA"))))))</f>
        <v>BAJA</v>
      </c>
      <c r="M234" s="53" cm="1">
        <f t="array" ref="M234">IFERROR(_xlfn.AGGREGATE(14,6,Mantenciones!$A$3:$A$9916/(Mantenciones!$B$3:$B$9916=$A234),1),"")</f>
        <v>46181</v>
      </c>
      <c r="N234" s="29" cm="1">
        <f t="array" ref="N234">IFERROR(_xlfn.AGGREGATE(14,6,'Compras PM'!$A$4:$A$10029/('Compras PM'!$C$4:$C$10029=$A234),1),"")</f>
        <v>46127</v>
      </c>
      <c r="O234" s="29">
        <f>IFERROR(VLOOKUP($A234,Maestro_Equipos!$A$4:$AG$242,27,FALSE()),"")</f>
        <v>46181</v>
      </c>
      <c r="P234" s="30">
        <f ca="1">IFERROR(IF($N234="","",IF(OR($M234="",$M234&lt;$N234),TODAY()-$N234,$M234-$N234)),"")</f>
        <v>54</v>
      </c>
      <c r="Q234" s="30">
        <f ca="1">IFERROR(IF($O234="","",IF(OR($M234="",$M234&lt;$O234),TODAY()-$O234,$M234-$O234)),"")</f>
        <v>0</v>
      </c>
      <c r="R234" s="28" t="str">
        <f>IF($O234="","SIN SALIDA",IF(OR($M234="",$M234&lt;$O234),"PENDIENTE","REALIZADA"))</f>
        <v>REALIZADA</v>
      </c>
      <c r="S234" s="31" t="str">
        <f>IFERROR(VLOOKUP($A234,Maestro_Equipos!$A$4:$AG$242,33,FALSE()),"")</f>
        <v>Monitorear próximo vencimiento</v>
      </c>
    </row>
    <row r="235" spans="1:19" ht="15.75" customHeight="1">
      <c r="A235" t="str" cm="1">
        <f t="array" ref="A235">IFERROR(INDEX(_xlfn._xlws.FILTER(Maestro_Equipos!$A$4:$A$242,Maestro_Equipos!$A$4:$A$242&lt;&gt;""),ROWS($A$4:A235)),"")</f>
        <v>VD-96</v>
      </c>
      <c r="B235" t="str">
        <f>IFERROR(_xlfn.XLOOKUP($A235,Maestro_Equipos!$A$4:$A$242,Maestro_Equipos!$B$4:$B$242,""),"")</f>
        <v>Camioneta</v>
      </c>
      <c r="C235" t="str">
        <f>IFERROR(_xlfn.XLOOKUP($A235,Maestro_Equipos!$A$4:$A$242,Maestro_Equipos!$C$4:$C$242,""),"")</f>
        <v>Vehículos Livianos</v>
      </c>
      <c r="D235" t="str">
        <f>IFERROR(_xlfn.XLOOKUP($A235,Maestro_Equipos!$A:$A,Maestro_Equipos!$I:$I,""),"")</f>
        <v>KM</v>
      </c>
      <c r="E235">
        <f>IFERROR(IF($D235="KM",_xlfn.XLOOKUP($A235,Maestro_Equipos!$A:$A,Maestro_Equipos!$N:$N,""),_xlfn.XLOOKUP($A235,Maestro_Equipos!$A:$A,Maestro_Equipos!$M:$M,"")),"")</f>
        <v>139746</v>
      </c>
      <c r="F235">
        <f>IFERROR(_xlfn.XLOOKUP($A235,Maestro_Equipos!$A:$A,Maestro_Equipos!$R:$R,"")+_xlfn.XLOOKUP($A235,Maestro_Equipos!$A:$A,Maestro_Equipos!$J:$J,""),"")</f>
        <v>154746</v>
      </c>
      <c r="G235">
        <f>IFERROR(_xlfn.XLOOKUP($A235,Maestro_Equipos!$A:$A,Maestro_Equipos!$K:$K,""),"")</f>
        <v>263.8</v>
      </c>
      <c r="H235">
        <f>IFERROR(IF(OR($E235="",$F235="",$G235="",$G235&lt;=0),"",ROUND(($F235-$E235)/$G235,0)),"")</f>
        <v>57</v>
      </c>
      <c r="I235" s="71">
        <f ca="1">IFERROR(IF($H235="","",TODAY()+$H235),"")</f>
        <v>46297</v>
      </c>
      <c r="J235" s="5" t="str">
        <f>IFERROR(INDEX(Maestro_Equipos!$V$4:$V$242,MATCH($A235,Maestro_Equipos!$A$4:$A$242,0)),"")</f>
        <v>Operativo</v>
      </c>
      <c r="K235" s="35">
        <f>IFERROR(
   SUMIFS(Mantenciones!$I:$I,Mantenciones!$B:$B,$A235)
 + SUMIFS('Compras PM'!$F:$F,'Compras PM'!$C:$C,$A235),0)</f>
        <v>45691.97</v>
      </c>
      <c r="L235" s="28" t="str">
        <f>IF($J235="Fuera de Servicio","NO PROGRAMAR",IF($H235="","SIN DATOS",IF($H235&lt;=0,"VENCIDA",IF($H235&lt;=7,"CRÍTICA",IF($H235&lt;=15,"ALTA",IF($H235&lt;=30,"MEDIA","BAJA"))))))</f>
        <v>BAJA</v>
      </c>
      <c r="M235" s="53" cm="1">
        <f t="array" ref="M235">IFERROR(_xlfn.AGGREGATE(14,6,Mantenciones!$A$3:$A$9916/(Mantenciones!$B$3:$B$9916=$A235),1),"")</f>
        <v>46174</v>
      </c>
      <c r="N235" s="29" cm="1">
        <f t="array" ref="N235">IFERROR(_xlfn.AGGREGATE(14,6,'Compras PM'!$A$4:$A$10029/('Compras PM'!$C$4:$C$10029=$A235),1),"")</f>
        <v>46127</v>
      </c>
      <c r="O235" s="29">
        <f>IFERROR(VLOOKUP($A235,Maestro_Equipos!$A$4:$AG$242,27,FALSE()),"")</f>
        <v>46174</v>
      </c>
      <c r="P235" s="30">
        <f ca="1">IFERROR(IF($N235="","",IF(OR($M235="",$M235&lt;$N235),TODAY()-$N235,$M235-$N235)),"")</f>
        <v>47</v>
      </c>
      <c r="Q235" s="30">
        <f ca="1">IFERROR(IF($O235="","",IF(OR($M235="",$M235&lt;$O235),TODAY()-$O235,$M235-$O235)),"")</f>
        <v>0</v>
      </c>
      <c r="R235" s="28" t="str">
        <f>IF($O235="","SIN SALIDA",IF(OR($M235="",$M235&lt;$O235),"PENDIENTE","REALIZADA"))</f>
        <v>REALIZADA</v>
      </c>
      <c r="S235" s="31" t="str">
        <f>IFERROR(VLOOKUP($A235,Maestro_Equipos!$A$4:$AG$242,33,FALSE()),"")</f>
        <v>Monitorear próximo vencimiento</v>
      </c>
    </row>
    <row r="236" spans="1:19" ht="15.75" customHeight="1">
      <c r="A236" t="str" cm="1">
        <f t="array" ref="A236">IFERROR(INDEX(_xlfn._xlws.FILTER(Maestro_Equipos!$A$4:$A$242,Maestro_Equipos!$A$4:$A$242&lt;&gt;""),ROWS($A$4:A236)),"")</f>
        <v>VD-97</v>
      </c>
      <c r="B236" t="str">
        <f>IFERROR(_xlfn.XLOOKUP($A236,Maestro_Equipos!$A$4:$A$242,Maestro_Equipos!$B$4:$B$242,""),"")</f>
        <v>Camioneta</v>
      </c>
      <c r="C236" t="str">
        <f>IFERROR(_xlfn.XLOOKUP($A236,Maestro_Equipos!$A$4:$A$242,Maestro_Equipos!$C$4:$C$242,""),"")</f>
        <v>Vehículos Livianos</v>
      </c>
      <c r="D236" t="str">
        <f>IFERROR(_xlfn.XLOOKUP($A236,Maestro_Equipos!$A:$A,Maestro_Equipos!$I:$I,""),"")</f>
        <v>KM</v>
      </c>
      <c r="E236">
        <f>IFERROR(IF($D236="KM",_xlfn.XLOOKUP($A236,Maestro_Equipos!$A:$A,Maestro_Equipos!$N:$N,""),_xlfn.XLOOKUP($A236,Maestro_Equipos!$A:$A,Maestro_Equipos!$M:$M,"")),"")</f>
        <v>112051</v>
      </c>
      <c r="F236">
        <f>IFERROR(_xlfn.XLOOKUP($A236,Maestro_Equipos!$A:$A,Maestro_Equipos!$R:$R,"")+_xlfn.XLOOKUP($A236,Maestro_Equipos!$A:$A,Maestro_Equipos!$J:$J,""),"")</f>
        <v>120602</v>
      </c>
      <c r="G236">
        <f>IFERROR(_xlfn.XLOOKUP($A236,Maestro_Equipos!$A:$A,Maestro_Equipos!$K:$K,""),"")</f>
        <v>215.5</v>
      </c>
      <c r="H236">
        <f>IFERROR(IF(OR($E236="",$F236="",$G236="",$G236&lt;=0),"",ROUND(($F236-$E236)/$G236,0)),"")</f>
        <v>40</v>
      </c>
      <c r="I236" s="71">
        <f ca="1">IFERROR(IF($H236="","",TODAY()+$H236),"")</f>
        <v>46280</v>
      </c>
      <c r="J236" s="5" t="str">
        <f>IFERROR(INDEX(Maestro_Equipos!$V$4:$V$242,MATCH($A236,Maestro_Equipos!$A$4:$A$242,0)),"")</f>
        <v>Operativo</v>
      </c>
      <c r="K236" s="35">
        <f>IFERROR(
   SUMIFS(Mantenciones!$I:$I,Mantenciones!$B:$B,$A236)
 + SUMIFS('Compras PM'!$F:$F,'Compras PM'!$C:$C,$A236),0)</f>
        <v>668977.53</v>
      </c>
      <c r="L236" s="28" t="str">
        <f>IF($J236="Fuera de Servicio","NO PROGRAMAR",IF($H236="","SIN DATOS",IF($H236&lt;=0,"VENCIDA",IF($H236&lt;=7,"CRÍTICA",IF($H236&lt;=15,"ALTA",IF($H236&lt;=30,"MEDIA","BAJA"))))))</f>
        <v>BAJA</v>
      </c>
      <c r="M236" s="53" cm="1">
        <f t="array" ref="M236">IFERROR(_xlfn.AGGREGATE(14,6,Mantenciones!$A$3:$A$9916/(Mantenciones!$B$3:$B$9916=$A236),1),"")</f>
        <v>46099</v>
      </c>
      <c r="N236" s="29" cm="1">
        <f t="array" ref="N236">IFERROR(_xlfn.AGGREGATE(14,6,'Compras PM'!$A$4:$A$10029/('Compras PM'!$C$4:$C$10029=$A236),1),"")</f>
        <v>46100</v>
      </c>
      <c r="O236" s="29">
        <f>IFERROR(VLOOKUP($A236,Maestro_Equipos!$A$4:$AG$242,27,FALSE()),"")</f>
        <v>46162</v>
      </c>
      <c r="P236" s="30">
        <f ca="1">IFERROR(IF($N236="","",IF(OR($M236="",$M236&lt;$N236),TODAY()-$N236,$M236-$N236)),"")</f>
        <v>140</v>
      </c>
      <c r="Q236" s="30">
        <f ca="1">IFERROR(IF($O236="","",IF(OR($M236="",$M236&lt;$O236),TODAY()-$O236,$M236-$O236)),"")</f>
        <v>78</v>
      </c>
      <c r="R236" s="28" t="str">
        <f>IF($O236="","SIN SALIDA",IF(OR($M236="",$M236&lt;$O236),"PENDIENTE","REALIZADA"))</f>
        <v>PENDIENTE</v>
      </c>
      <c r="S236" s="31" t="str">
        <f>IFERROR(VLOOKUP($A236,Maestro_Equipos!$A$4:$AG$242,33,FALSE()),"")</f>
        <v>Monitorear próximo vencimiento</v>
      </c>
    </row>
    <row r="237" spans="1:19" ht="15.75" customHeight="1">
      <c r="A237" t="str" cm="1">
        <f t="array" ref="A237">IFERROR(INDEX(_xlfn._xlws.FILTER(Maestro_Equipos!$A$4:$A$242,Maestro_Equipos!$A$4:$A$242&lt;&gt;""),ROWS($A$4:A237)),"")</f>
        <v>VD-98</v>
      </c>
      <c r="B237" t="str">
        <f>IFERROR(_xlfn.XLOOKUP($A237,Maestro_Equipos!$A$4:$A$242,Maestro_Equipos!$B$4:$B$242,""),"")</f>
        <v>Camioneta</v>
      </c>
      <c r="C237" t="str">
        <f>IFERROR(_xlfn.XLOOKUP($A237,Maestro_Equipos!$A$4:$A$242,Maestro_Equipos!$C$4:$C$242,""),"")</f>
        <v>Vehículos Livianos</v>
      </c>
      <c r="D237" t="str">
        <f>IFERROR(_xlfn.XLOOKUP($A237,Maestro_Equipos!$A:$A,Maestro_Equipos!$I:$I,""),"")</f>
        <v>KM</v>
      </c>
      <c r="E237">
        <f>IFERROR(IF($D237="KM",_xlfn.XLOOKUP($A237,Maestro_Equipos!$A:$A,Maestro_Equipos!$N:$N,""),_xlfn.XLOOKUP($A237,Maestro_Equipos!$A:$A,Maestro_Equipos!$M:$M,"")),"")</f>
        <v>105907</v>
      </c>
      <c r="F237" t="str">
        <f>IFERROR(_xlfn.XLOOKUP($A237,Maestro_Equipos!$A:$A,Maestro_Equipos!$R:$R,"")+_xlfn.XLOOKUP($A237,Maestro_Equipos!$A:$A,Maestro_Equipos!$J:$J,""),"")</f>
        <v/>
      </c>
      <c r="G237">
        <f>IFERROR(_xlfn.XLOOKUP($A237,Maestro_Equipos!$A:$A,Maestro_Equipos!$K:$K,""),"")</f>
        <v>320.3</v>
      </c>
      <c r="H237" t="str">
        <f>IFERROR(IF(OR($E237="",$F237="",$G237="",$G237&lt;=0),"",ROUND(($F237-$E237)/$G237,0)),"")</f>
        <v/>
      </c>
      <c r="I237" s="71" t="str">
        <f ca="1">IFERROR(IF($H237="","",TODAY()+$H237),"")</f>
        <v/>
      </c>
      <c r="J237" s="5" t="str">
        <f>IFERROR(INDEX(Maestro_Equipos!$V$4:$V$242,MATCH($A237,Maestro_Equipos!$A$4:$A$242,0)),"")</f>
        <v>Fuera de Servicio</v>
      </c>
      <c r="K237" s="35">
        <f>IFERROR(
   SUMIFS(Mantenciones!$I:$I,Mantenciones!$B:$B,$A237)
 + SUMIFS('Compras PM'!$F:$F,'Compras PM'!$C:$C,$A237),0)</f>
        <v>0</v>
      </c>
      <c r="L237" s="28" t="str">
        <f>IF($J237="Fuera de Servicio","NO PROGRAMAR",IF($H237="","SIN DATOS",IF($H237&lt;=0,"VENCIDA",IF($H237&lt;=7,"CRÍTICA",IF($H237&lt;=15,"ALTA",IF($H237&lt;=30,"MEDIA","BAJA"))))))</f>
        <v>NO PROGRAMAR</v>
      </c>
      <c r="M237" s="53" t="str" cm="1">
        <f t="array" ref="M237">IFERROR(_xlfn.AGGREGATE(14,6,Mantenciones!$A$3:$A$9916/(Mantenciones!$B$3:$B$9916=$A237),1),"")</f>
        <v/>
      </c>
      <c r="N237" s="29" t="str" cm="1">
        <f t="array" ref="N237">IFERROR(_xlfn.AGGREGATE(14,6,'Compras PM'!$A$4:$A$10029/('Compras PM'!$C$4:$C$10029=$A237),1),"")</f>
        <v/>
      </c>
      <c r="O237" s="29" t="str">
        <f>IFERROR(VLOOKUP($A237,Maestro_Equipos!$A$4:$AG$242,27,FALSE()),"")</f>
        <v/>
      </c>
      <c r="P237" s="30" t="str">
        <f ca="1">IFERROR(IF($N237="","",IF(OR($M237="",$M237&lt;$N237),TODAY()-$N237,$M237-$N237)),"")</f>
        <v/>
      </c>
      <c r="Q237" s="30" t="str">
        <f ca="1">IFERROR(IF($O237="","",IF(OR($M237="",$M237&lt;$O237),TODAY()-$O237,$M237-$O237)),"")</f>
        <v/>
      </c>
      <c r="R237" s="28" t="str">
        <f>IF($O237="","SIN SALIDA",IF(OR($M237="",$M237&lt;$O237),"PENDIENTE","REALIZADA"))</f>
        <v>SIN SALIDA</v>
      </c>
      <c r="S237" s="31" t="str">
        <f>IFERROR(VLOOKUP($A237,Maestro_Equipos!$A$4:$AG$242,33,FALSE()),"")</f>
        <v>No programar compra</v>
      </c>
    </row>
    <row r="238" spans="1:19" ht="15.75" customHeight="1">
      <c r="A238" t="str" cm="1">
        <f t="array" ref="A238">IFERROR(INDEX(_xlfn._xlws.FILTER(Maestro_Equipos!$A$4:$A$242,Maestro_Equipos!$A$4:$A$242&lt;&gt;""),ROWS($A$4:A238)),"")</f>
        <v>VD-99</v>
      </c>
      <c r="B238" t="str">
        <f>IFERROR(_xlfn.XLOOKUP($A238,Maestro_Equipos!$A$4:$A$242,Maestro_Equipos!$B$4:$B$242,""),"")</f>
        <v>Camioneta</v>
      </c>
      <c r="C238" t="str">
        <f>IFERROR(_xlfn.XLOOKUP($A238,Maestro_Equipos!$A$4:$A$242,Maestro_Equipos!$C$4:$C$242,""),"")</f>
        <v>Vehículos Livianos</v>
      </c>
      <c r="D238" t="str">
        <f>IFERROR(_xlfn.XLOOKUP($A238,Maestro_Equipos!$A:$A,Maestro_Equipos!$I:$I,""),"")</f>
        <v>KM</v>
      </c>
      <c r="E238">
        <f>IFERROR(IF($D238="KM",_xlfn.XLOOKUP($A238,Maestro_Equipos!$A:$A,Maestro_Equipos!$N:$N,""),_xlfn.XLOOKUP($A238,Maestro_Equipos!$A:$A,Maestro_Equipos!$M:$M,"")),"")</f>
        <v>96800</v>
      </c>
      <c r="F238">
        <f>IFERROR(_xlfn.XLOOKUP($A238,Maestro_Equipos!$A:$A,Maestro_Equipos!$R:$R,"")+_xlfn.XLOOKUP($A238,Maestro_Equipos!$A:$A,Maestro_Equipos!$J:$J,""),"")</f>
        <v>113889</v>
      </c>
      <c r="G238">
        <f>IFERROR(_xlfn.XLOOKUP($A238,Maestro_Equipos!$A:$A,Maestro_Equipos!$K:$K,""),"")</f>
        <v>59.1</v>
      </c>
      <c r="H238">
        <f>IFERROR(IF(OR($E238="",$F238="",$G238="",$G238&lt;=0),"",ROUND(($F238-$E238)/$G238,0)),"")</f>
        <v>289</v>
      </c>
      <c r="I238" s="71">
        <f ca="1">IFERROR(IF($H238="","",TODAY()+$H238),"")</f>
        <v>46529</v>
      </c>
      <c r="J238" s="5" t="str">
        <f>IFERROR(INDEX(Maestro_Equipos!$V$4:$V$242,MATCH($A238,Maestro_Equipos!$A$4:$A$242,0)),"")</f>
        <v>Fuera de Servicio</v>
      </c>
      <c r="K238" s="35">
        <f>IFERROR(
   SUMIFS(Mantenciones!$I:$I,Mantenciones!$B:$B,$A238)
 + SUMIFS('Compras PM'!$F:$F,'Compras PM'!$C:$C,$A238),0)</f>
        <v>0</v>
      </c>
      <c r="L238" s="28" t="str">
        <f>IF($J238="Fuera de Servicio","NO PROGRAMAR",IF($H238="","SIN DATOS",IF($H238&lt;=0,"VENCIDA",IF($H238&lt;=7,"CRÍTICA",IF($H238&lt;=15,"ALTA",IF($H238&lt;=30,"MEDIA","BAJA"))))))</f>
        <v>NO PROGRAMAR</v>
      </c>
      <c r="M238" s="53" cm="1">
        <f t="array" ref="M238">IFERROR(_xlfn.AGGREGATE(14,6,Mantenciones!$A$3:$A$9916/(Mantenciones!$B$3:$B$9916=$A238),1),"")</f>
        <v>46161</v>
      </c>
      <c r="N238" s="29" t="str" cm="1">
        <f t="array" ref="N238">IFERROR(_xlfn.AGGREGATE(14,6,'Compras PM'!$A$4:$A$10029/('Compras PM'!$C$4:$C$10029=$A238),1),"")</f>
        <v/>
      </c>
      <c r="O238" s="29">
        <f>IFERROR(VLOOKUP($A238,Maestro_Equipos!$A$4:$AG$242,27,FALSE()),"")</f>
        <v>46160</v>
      </c>
      <c r="P238" s="30" t="str">
        <f ca="1">IFERROR(IF($N238="","",IF(OR($M238="",$M238&lt;$N238),TODAY()-$N238,$M238-$N238)),"")</f>
        <v/>
      </c>
      <c r="Q238" s="30">
        <f ca="1">IFERROR(IF($O238="","",IF(OR($M238="",$M238&lt;$O238),TODAY()-$O238,$M238-$O238)),"")</f>
        <v>1</v>
      </c>
      <c r="R238" s="28" t="str">
        <f>IF($O238="","SIN SALIDA",IF(OR($M238="",$M238&lt;$O238),"PENDIENTE","REALIZADA"))</f>
        <v>REALIZADA</v>
      </c>
      <c r="S238" s="31" t="str">
        <f>IFERROR(VLOOKUP($A238,Maestro_Equipos!$A$4:$AG$242,33,FALSE()),"")</f>
        <v>No programar compra</v>
      </c>
    </row>
    <row r="239" spans="1:19" ht="15.75" customHeight="1">
      <c r="A239" t="str" cm="1">
        <f t="array" ref="A239">IFERROR(INDEX(_xlfn._xlws.FILTER(Maestro_Equipos!$A$4:$A$242,Maestro_Equipos!$A$4:$A$242&lt;&gt;""),ROWS($A$4:A239)),"")</f>
        <v>WED-05</v>
      </c>
      <c r="B239" t="str">
        <f>IFERROR(_xlfn.XLOOKUP($A239,Maestro_Equipos!$A$4:$A$242,Maestro_Equipos!$B$4:$B$242,""),"")</f>
        <v>Semiremolque</v>
      </c>
      <c r="C239" t="str">
        <f>IFERROR(_xlfn.XLOOKUP($A239,Maestro_Equipos!$A$4:$A$242,Maestro_Equipos!$C$4:$C$242,""),"")</f>
        <v>Maquinaria Pesada</v>
      </c>
      <c r="D239" t="str">
        <f>IFERROR(_xlfn.XLOOKUP($A239,Maestro_Equipos!$A:$A,Maestro_Equipos!$I:$I,""),"")</f>
        <v>HORAS</v>
      </c>
      <c r="E239">
        <f>IFERROR(IF($D239="KM",_xlfn.XLOOKUP($A239,Maestro_Equipos!$A:$A,Maestro_Equipos!$N:$N,""),_xlfn.XLOOKUP($A239,Maestro_Equipos!$A:$A,Maestro_Equipos!$M:$M,"")),"")</f>
        <v>0</v>
      </c>
      <c r="F239" t="str">
        <f>IFERROR(_xlfn.XLOOKUP($A239,Maestro_Equipos!$A:$A,Maestro_Equipos!$R:$R,"")+_xlfn.XLOOKUP($A239,Maestro_Equipos!$A:$A,Maestro_Equipos!$J:$J,""),"")</f>
        <v/>
      </c>
      <c r="G239">
        <f>IFERROR(_xlfn.XLOOKUP($A239,Maestro_Equipos!$A:$A,Maestro_Equipos!$K:$K,""),"")</f>
        <v>0</v>
      </c>
      <c r="H239" t="str">
        <f>IFERROR(IF(OR($E239="",$F239="",$G239="",$G239&lt;=0),"",ROUND(($F239-$E239)/$G239,0)),"")</f>
        <v/>
      </c>
      <c r="I239" s="71" t="str">
        <f ca="1">IFERROR(IF($H239="","",TODAY()+$H239),"")</f>
        <v/>
      </c>
      <c r="J239" s="5" t="str">
        <f>IFERROR(INDEX(Maestro_Equipos!$V$4:$V$242,MATCH($A239,Maestro_Equipos!$A$4:$A$242,0)),"")</f>
        <v>Operativo</v>
      </c>
      <c r="K239" s="35">
        <f>IFERROR(
   SUMIFS(Mantenciones!$I:$I,Mantenciones!$B:$B,$A239)
 + SUMIFS('Compras PM'!$F:$F,'Compras PM'!$C:$C,$A239),0)</f>
        <v>0</v>
      </c>
      <c r="L239" s="28" t="str">
        <f>IF($J239="Fuera de Servicio","NO PROGRAMAR",IF($H239="","SIN DATOS",IF($H239&lt;=0,"VENCIDA",IF($H239&lt;=7,"CRÍTICA",IF($H239&lt;=15,"ALTA",IF($H239&lt;=30,"MEDIA","BAJA"))))))</f>
        <v>SIN DATOS</v>
      </c>
      <c r="M239" s="53" t="str" cm="1">
        <f t="array" ref="M239">IFERROR(_xlfn.AGGREGATE(14,6,Mantenciones!$A$3:$A$9916/(Mantenciones!$B$3:$B$9916=$A239),1),"")</f>
        <v/>
      </c>
      <c r="N239" s="29" t="str" cm="1">
        <f t="array" ref="N239">IFERROR(_xlfn.AGGREGATE(14,6,'Compras PM'!$A$4:$A$10029/('Compras PM'!$C$4:$C$10029=$A239),1),"")</f>
        <v/>
      </c>
      <c r="O239" s="29" t="str">
        <f>IFERROR(VLOOKUP($A239,Maestro_Equipos!$A$4:$AG$242,27,FALSE()),"")</f>
        <v/>
      </c>
      <c r="P239" s="30" t="str">
        <f ca="1">IFERROR(IF($N239="","",IF(OR($M239="",$M239&lt;$N239),TODAY()-$N239,$M239-$N239)),"")</f>
        <v/>
      </c>
      <c r="Q239" s="30" t="str">
        <f ca="1">IFERROR(IF($O239="","",IF(OR($M239="",$M239&lt;$O239),TODAY()-$O239,$M239-$O239)),"")</f>
        <v/>
      </c>
      <c r="R239" s="28" t="str">
        <f>IF($O239="","SIN SALIDA",IF(OR($M239="",$M239&lt;$O239),"PENDIENTE","REALIZADA"))</f>
        <v>SIN SALIDA</v>
      </c>
      <c r="S239" s="31" t="str">
        <f>IFERROR(VLOOKUP($A239,Maestro_Equipos!$A$4:$AG$242,33,FALSE()),"")</f>
        <v>Monitorear próximo vencimiento</v>
      </c>
    </row>
    <row r="240" spans="1:19" ht="15.75" customHeight="1">
      <c r="A240" s="61" t="str" cm="1">
        <f t="array" ref="A240">IFERROR(INDEX(_xlfn._xlws.FILTER(Maestro_Equipos!$A$4:$A$242,Maestro_Equipos!$A$4:$A$242&lt;&gt;""),ROWS($A$4:A240)),"")</f>
        <v>WED-06</v>
      </c>
      <c r="B240" s="61" t="str">
        <f>IFERROR(_xlfn.XLOOKUP($A240,Maestro_Equipos!$A$4:$A$242,Maestro_Equipos!$B$4:$B$242,""),"")</f>
        <v>Semiremolque</v>
      </c>
      <c r="C240" s="61" t="str">
        <f>IFERROR(_xlfn.XLOOKUP($A240,Maestro_Equipos!$A$4:$A$242,Maestro_Equipos!$C$4:$C$242,""),"")</f>
        <v>Maquinaria Pesada</v>
      </c>
      <c r="D240" s="61" t="str">
        <f>IFERROR(VLOOKUP($A237,Maestro_Equipos!$A$4:$Z$242,9,FALSE),"")</f>
        <v>KM</v>
      </c>
      <c r="E240" s="61">
        <f>IFERROR(IF($D240="KM",_xlfn.XLOOKUP($A240,Maestro_Equipos!$A:$A,Maestro_Equipos!$N:$N,""),_xlfn.XLOOKUP($A240,Maestro_Equipos!$A:$A,Maestro_Equipos!$M:$M,"")),"")</f>
        <v>0</v>
      </c>
      <c r="F240" s="61" t="str">
        <f>IFERROR(_xlfn.XLOOKUP($A240,Maestro_Equipos!$A:$A,Maestro_Equipos!$R:$R,"")+_xlfn.XLOOKUP($A240,Maestro_Equipos!$A:$A,Maestro_Equipos!$J:$J,""),"")</f>
        <v/>
      </c>
      <c r="G240" s="61">
        <f>IFERROR(_xlfn.XLOOKUP($A240,Maestro_Equipos!$A:$A,Maestro_Equipos!$K:$K,""),"")</f>
        <v>0</v>
      </c>
      <c r="H240" s="61" t="str">
        <f>IFERROR(IF(OR($E240="",$F240="",$G240="",$G240&lt;=0),"",ROUND(($F240-$E240)/$G240,0)),"")</f>
        <v/>
      </c>
      <c r="I240" s="62" t="str">
        <f ca="1">IFERROR(IF($H240="","",TODAY()+$H240),"")</f>
        <v/>
      </c>
      <c r="J240" s="63" t="str">
        <f>IFERROR(INDEX(Maestro_Equipos!$V$4:$V$242,MATCH($A240,Maestro_Equipos!$A$4:$A$242,0)),"")</f>
        <v>Operativo</v>
      </c>
      <c r="K240" s="64">
        <f>IFERROR(
   SUMIFS(Mantenciones!$I:$I,Mantenciones!$B:$B,$A240)
 + SUMIFS('Compras PM'!$F:$F,'Compras PM'!$C:$C,$A240),0)</f>
        <v>0</v>
      </c>
      <c r="L240" s="65" t="str">
        <f>IF($J240="Fuera de Servicio","NO PROGRAMAR",IF($H240="","SIN DATOS",IF($H240&lt;=0,"VENCIDA",IF($H240&lt;=7,"CRÍTICA",IF($H240&lt;=15,"ALTA",IF($H240&lt;=30,"MEDIA","BAJA"))))))</f>
        <v>SIN DATOS</v>
      </c>
      <c r="M240" s="66" t="str" cm="1">
        <f t="array" ref="M240">IFERROR(_xlfn.AGGREGATE(14,6,Mantenciones!$A$3:$A$9916/(Mantenciones!$B$3:$B$9916=$A240),1),"")</f>
        <v/>
      </c>
      <c r="N240" s="67" t="str" cm="1">
        <f t="array" ref="N240">IFERROR(_xlfn.AGGREGATE(14,6,'Compras PM'!$A$4:$A$10029/('Compras PM'!$C$4:$C$10029=$A240),1),"")</f>
        <v/>
      </c>
      <c r="O240" s="67" t="str">
        <f>IFERROR(VLOOKUP($A240,Maestro_Equipos!$A$4:$AG$242,27,FALSE()),"")</f>
        <v/>
      </c>
      <c r="P240" s="68" t="str">
        <f ca="1">IFERROR(IF($N240="","",IF(OR($M240="",$M240&lt;$N240),TODAY()-$N240,$M240-$N240)),"")</f>
        <v/>
      </c>
      <c r="Q240" s="68" t="str">
        <f ca="1">IFERROR(IF($O240="","",IF(OR($M240="",$M240&lt;$O240),TODAY()-$O240,$M240-$O240)),"")</f>
        <v/>
      </c>
      <c r="R240" s="65" t="str">
        <f>IF($O240="","SIN SALIDA",IF(OR($M240="",$M240&lt;$O240),"PENDIENTE","REALIZADA"))</f>
        <v>SIN SALIDA</v>
      </c>
      <c r="S240" s="69" t="str">
        <f>IFERROR(VLOOKUP($A240,Maestro_Equipos!$A$4:$AG$242,33,FALSE()),"")</f>
        <v>Monitorear próximo vencimiento</v>
      </c>
    </row>
    <row r="241" spans="1:19" ht="15.75" customHeight="1">
      <c r="A241" t="str" cm="1">
        <f t="array" ref="A241">IFERROR(INDEX(_xlfn._xlws.FILTER(Maestro_Equipos!$A$4:$A$242,Maestro_Equipos!$A$4:$A$242&lt;&gt;""),ROWS($A$4:A241)),"")</f>
        <v>WED-07</v>
      </c>
      <c r="B241" t="str">
        <f>IFERROR(_xlfn.XLOOKUP($A241,Maestro_Equipos!$A$4:$A$242,Maestro_Equipos!$B$4:$B$242,""),"")</f>
        <v>Semiremolque</v>
      </c>
      <c r="C241" t="str">
        <f>IFERROR(_xlfn.XLOOKUP($A241,Maestro_Equipos!$A$4:$A$242,Maestro_Equipos!$C$4:$C$242,""),"")</f>
        <v>Maquinaria Pesada</v>
      </c>
      <c r="D241" t="str">
        <f>IFERROR(_xlfn.XLOOKUP($A241,Maestro_Equipos!$A:$A,Maestro_Equipos!$I:$I,""),"")</f>
        <v>HORAS</v>
      </c>
      <c r="E241">
        <f>IFERROR(IF($D241="KM",_xlfn.XLOOKUP($A241,Maestro_Equipos!$A:$A,Maestro_Equipos!$N:$N,""),_xlfn.XLOOKUP($A241,Maestro_Equipos!$A:$A,Maestro_Equipos!$M:$M,"")),"")</f>
        <v>0</v>
      </c>
      <c r="F241" t="str">
        <f>IFERROR(_xlfn.XLOOKUP($A241,Maestro_Equipos!$A:$A,Maestro_Equipos!$R:$R,"")+_xlfn.XLOOKUP($A241,Maestro_Equipos!$A:$A,Maestro_Equipos!$J:$J,""),"")</f>
        <v/>
      </c>
      <c r="G241">
        <f>IFERROR(_xlfn.XLOOKUP($A241,Maestro_Equipos!$A:$A,Maestro_Equipos!$K:$K,""),"")</f>
        <v>0</v>
      </c>
      <c r="H241" t="str">
        <f>IFERROR(IF(OR($E241="",$F241="",$G241="",$G241&lt;=0),"",ROUND(($F241-$E241)/$G241,0)),"")</f>
        <v/>
      </c>
      <c r="I241" s="71" t="str">
        <f ca="1">IFERROR(IF($H241="","",TODAY()+$H241),"")</f>
        <v/>
      </c>
      <c r="J241" s="5" t="str">
        <f>IFERROR(INDEX(Maestro_Equipos!$V$4:$V$242,MATCH($A241,Maestro_Equipos!$A$4:$A$242,0)),"")</f>
        <v>Operativo</v>
      </c>
      <c r="K241" s="35">
        <f>IFERROR(
   SUMIFS(Mantenciones!$I:$I,Mantenciones!$B:$B,$A241)
 + SUMIFS('Compras PM'!$F:$F,'Compras PM'!$C:$C,$A241),0)</f>
        <v>0</v>
      </c>
      <c r="L241" s="28" t="str">
        <f>IF($J241="Fuera de Servicio","NO PROGRAMAR",IF($H241="","SIN DATOS",IF($H241&lt;=0,"VENCIDA",IF($H241&lt;=7,"CRÍTICA",IF($H241&lt;=15,"ALTA",IF($H241&lt;=30,"MEDIA","BAJA"))))))</f>
        <v>SIN DATOS</v>
      </c>
      <c r="M241" s="53" t="str" cm="1">
        <f t="array" ref="M241">IFERROR(_xlfn.AGGREGATE(14,6,Mantenciones!$A$3:$A$9916/(Mantenciones!$B$3:$B$9916=$A241),1),"")</f>
        <v/>
      </c>
      <c r="N241" s="29" t="str" cm="1">
        <f t="array" ref="N241">IFERROR(_xlfn.AGGREGATE(14,6,'Compras PM'!$A$4:$A$10029/('Compras PM'!$C$4:$C$10029=$A241),1),"")</f>
        <v/>
      </c>
      <c r="O241" s="29" t="str">
        <f>IFERROR(VLOOKUP($A241,Maestro_Equipos!$A$4:$AG$242,27,FALSE()),"")</f>
        <v/>
      </c>
      <c r="P241" s="30" t="str">
        <f ca="1">IFERROR(IF($N241="","",IF(OR($M241="",$M241&lt;$N241),TODAY()-$N241,$M241-$N241)),"")</f>
        <v/>
      </c>
      <c r="Q241" s="30" t="str">
        <f ca="1">IFERROR(IF($O241="","",IF(OR($M241="",$M241&lt;$O241),TODAY()-$O241,$M241-$O241)),"")</f>
        <v/>
      </c>
      <c r="R241" s="28" t="str">
        <f>IF($O241="","SIN SALIDA",IF(OR($M241="",$M241&lt;$O241),"PENDIENTE","REALIZADA"))</f>
        <v>SIN SALIDA</v>
      </c>
      <c r="S241" s="31" t="str">
        <f>IFERROR(VLOOKUP($A241,Maestro_Equipos!$A$4:$AG$242,33,FALSE()),"")</f>
        <v>Monitorear próximo vencimiento</v>
      </c>
    </row>
    <row r="242" spans="1:19" ht="15.75" customHeight="1">
      <c r="A242" t="str" cm="1">
        <f t="array" ref="A242">IFERROR(INDEX(_xlfn._xlws.FILTER(Maestro_Equipos!$A$4:$A$242,Maestro_Equipos!$A$4:$A$242&lt;&gt;""),ROWS($A$4:A242)),"")</f>
        <v>WED-08</v>
      </c>
      <c r="B242" t="str">
        <f>IFERROR(_xlfn.XLOOKUP($A242,Maestro_Equipos!$A$4:$A$242,Maestro_Equipos!$B$4:$B$242,""),"")</f>
        <v>Semiremolque</v>
      </c>
      <c r="C242" t="str">
        <f>IFERROR(_xlfn.XLOOKUP($A242,Maestro_Equipos!$A$4:$A$242,Maestro_Equipos!$C$4:$C$242,""),"")</f>
        <v>Maquinaria Pesada</v>
      </c>
      <c r="D242" t="str">
        <f>IFERROR(_xlfn.XLOOKUP($A242,Maestro_Equipos!$A:$A,Maestro_Equipos!$I:$I,""),"")</f>
        <v>HORAS</v>
      </c>
      <c r="E242">
        <f>IFERROR(IF($D242="KM",_xlfn.XLOOKUP($A242,Maestro_Equipos!$A:$A,Maestro_Equipos!$N:$N,""),_xlfn.XLOOKUP($A242,Maestro_Equipos!$A:$A,Maestro_Equipos!$M:$M,"")),"")</f>
        <v>0</v>
      </c>
      <c r="F242" t="str">
        <f>IFERROR(_xlfn.XLOOKUP($A242,Maestro_Equipos!$A:$A,Maestro_Equipos!$R:$R,"")+_xlfn.XLOOKUP($A242,Maestro_Equipos!$A:$A,Maestro_Equipos!$J:$J,""),"")</f>
        <v/>
      </c>
      <c r="G242">
        <f>IFERROR(_xlfn.XLOOKUP($A242,Maestro_Equipos!$A:$A,Maestro_Equipos!$K:$K,""),"")</f>
        <v>0</v>
      </c>
      <c r="H242" t="str">
        <f>IFERROR(IF(OR($E242="",$F242="",$G242="",$G242&lt;=0),"",ROUND(($F242-$E242)/$G242,0)),"")</f>
        <v/>
      </c>
      <c r="I242" s="71" t="str">
        <f ca="1">IFERROR(IF($H242="","",TODAY()+$H242),"")</f>
        <v/>
      </c>
      <c r="J242" s="5" t="str">
        <f>IFERROR(INDEX(Maestro_Equipos!$V$4:$V$242,MATCH($A242,Maestro_Equipos!$A$4:$A$242,0)),"")</f>
        <v>Operativo</v>
      </c>
      <c r="K242" s="35">
        <f>IFERROR(
   SUMIFS(Mantenciones!$I:$I,Mantenciones!$B:$B,$A242)
 + SUMIFS('Compras PM'!$F:$F,'Compras PM'!$C:$C,$A242),0)</f>
        <v>0</v>
      </c>
      <c r="L242" s="28" t="str">
        <f>IF($J242="Fuera de Servicio","NO PROGRAMAR",IF($H242="","SIN DATOS",IF($H242&lt;=0,"VENCIDA",IF($H242&lt;=7,"CRÍTICA",IF($H242&lt;=15,"ALTA",IF($H242&lt;=30,"MEDIA","BAJA"))))))</f>
        <v>SIN DATOS</v>
      </c>
      <c r="M242" s="53" t="str" cm="1">
        <f t="array" ref="M242">IFERROR(_xlfn.AGGREGATE(14,6,Mantenciones!$A$3:$A$9916/(Mantenciones!$B$3:$B$9916=$A242),1),"")</f>
        <v/>
      </c>
      <c r="N242" s="29" t="str" cm="1">
        <f t="array" ref="N242">IFERROR(_xlfn.AGGREGATE(14,6,'Compras PM'!$A$4:$A$10029/('Compras PM'!$C$4:$C$10029=$A242),1),"")</f>
        <v/>
      </c>
      <c r="O242" s="29" t="str">
        <f>IFERROR(VLOOKUP($A242,Maestro_Equipos!$A$4:$AG$242,27,FALSE()),"")</f>
        <v/>
      </c>
      <c r="P242" s="30" t="str">
        <f ca="1">IFERROR(IF($N242="","",IF(OR($M242="",$M242&lt;$N242),TODAY()-$N242,$M242-$N242)),"")</f>
        <v/>
      </c>
      <c r="Q242" s="30" t="str">
        <f ca="1">IFERROR(IF($O242="","",IF(OR($M242="",$M242&lt;$O242),TODAY()-$O242,$M242-$O242)),"")</f>
        <v/>
      </c>
      <c r="R242" s="28" t="str">
        <f>IF($O242="","SIN SALIDA",IF(OR($M242="",$M242&lt;$O242),"PENDIENTE","REALIZADA"))</f>
        <v>SIN SALIDA</v>
      </c>
      <c r="S242" s="31" t="str">
        <f>IFERROR(VLOOKUP($A242,Maestro_Equipos!$A$4:$AG$242,33,FALSE()),"")</f>
        <v>Monitorear próximo vencimiento</v>
      </c>
    </row>
    <row r="243" spans="1:19" ht="15.75" hidden="1" customHeight="1">
      <c r="A243" t="str" cm="1">
        <f t="array" ref="A243">IFERROR(INDEX(_xlfn._xlws.FILTER(Maestro_Equipos!$A$4:$A$242,Maestro_Equipos!$A$4:$A$242&lt;&gt;""),ROWS($A$4:A243)),"")</f>
        <v/>
      </c>
      <c r="B243" t="str">
        <f>IFERROR(_xlfn.XLOOKUP($A243,Maestro_Equipos!$A$4:$A$242,Maestro_Equipos!$B$4:$B$242,""),"")</f>
        <v/>
      </c>
      <c r="C243" t="str">
        <f>IFERROR(_xlfn.XLOOKUP($A243,Maestro_Equipos!$A$4:$A$242,Maestro_Equipos!$C$4:$C$242,""),"")</f>
        <v/>
      </c>
      <c r="D243" t="str">
        <f>IFERROR(_xlfn.XLOOKUP($A243,Maestro_Equipos!$A:$A,Maestro_Equipos!$I:$I,""),"")</f>
        <v/>
      </c>
      <c r="E243" t="str">
        <f>IFERROR(IF($D243="KM",_xlfn.XLOOKUP($A243,Maestro_Equipos!$A:$A,Maestro_Equipos!$N:$N,""),_xlfn.XLOOKUP($A243,Maestro_Equipos!$A:$A,Maestro_Equipos!$M:$M,"")),"")</f>
        <v/>
      </c>
      <c r="F243" t="str">
        <f>IFERROR(_xlfn.XLOOKUP($A243,Maestro_Equipos!$A:$A,Maestro_Equipos!$R:$R,"")+_xlfn.XLOOKUP($A243,Maestro_Equipos!$A:$A,Maestro_Equipos!$J:$J,""),"")</f>
        <v/>
      </c>
      <c r="G243" t="str">
        <f>IFERROR(_xlfn.XLOOKUP($A243,Maestro_Equipos!$A:$A,Maestro_Equipos!$K:$K,""),"")</f>
        <v/>
      </c>
      <c r="H243" t="str">
        <f t="shared" ref="H196:H245" si="0">IFERROR(IF(OR($E243="",$F243="",$G243="",$G243&lt;=0),"",ROUND(($F243-$E243)/$G243,0)),"")</f>
        <v/>
      </c>
      <c r="I243" s="71" t="str">
        <f t="shared" ref="I196:I245" ca="1" si="1">IFERROR(IF($H243="","",TODAY()+$H243),"")</f>
        <v/>
      </c>
      <c r="J243" s="5" t="str">
        <f>IFERROR(INDEX(Maestro_Equipos!$V$4:$V$242,MATCH($A243,Maestro_Equipos!$A$4:$A$242,0)),"")</f>
        <v/>
      </c>
      <c r="K243" s="35">
        <f>IFERROR(
   SUMIFS(Mantenciones!$I:$I,Mantenciones!$B:$B,$A243)
 + SUMIFS('Compras PM'!$F:$F,'Compras PM'!$C:$C,$A243),0)</f>
        <v>0</v>
      </c>
      <c r="L243" s="28" t="str">
        <f t="shared" ref="L196:L245" si="2">IF($J243="Fuera de Servicio","NO PROGRAMAR",IF($H243="","SIN DATOS",IF($H243&lt;=0,"VENCIDA",IF($H243&lt;=7,"CRÍTICA",IF($H243&lt;=15,"ALTA",IF($H243&lt;=30,"MEDIA","BAJA"))))))</f>
        <v>SIN DATOS</v>
      </c>
      <c r="M243" s="53" cm="1">
        <f t="array" ref="M243">IFERROR(_xlfn.AGGREGATE(14,6,Mantenciones!$A$3:$A$9916/(Mantenciones!$B$3:$B$9916=$A243),1),"")</f>
        <v>0</v>
      </c>
      <c r="N243" s="29" cm="1">
        <f t="array" ref="N243">IFERROR(_xlfn.AGGREGATE(14,6,'Compras PM'!$A$4:$A$10029/('Compras PM'!$C$4:$C$10029=$A243),1),"")</f>
        <v>0</v>
      </c>
      <c r="O243" s="29" t="str">
        <f>IFERROR(VLOOKUP($A243,Maestro_Equipos!$A$4:$AG$242,27,FALSE()),"")</f>
        <v/>
      </c>
      <c r="P243" s="30">
        <f t="shared" ref="P196:P245" ca="1" si="3">IFERROR(IF($N243="","",IF(OR($M243="",$M243&lt;$N243),TODAY()-$N243,$M243-$N243)),"")</f>
        <v>0</v>
      </c>
      <c r="Q243" s="30" t="str">
        <f t="shared" ref="Q196:Q245" ca="1" si="4">IFERROR(IF($O243="","",IF(OR($M243="",$M243&lt;$O243),TODAY()-$O243,$M243-$O243)),"")</f>
        <v/>
      </c>
      <c r="R243" s="28" t="str">
        <f t="shared" ref="R196:R245" si="5">IF($O243="","SIN SALIDA",IF(OR($M243="",$M243&lt;$O243),"PENDIENTE","REALIZADA"))</f>
        <v>SIN SALIDA</v>
      </c>
      <c r="S243" s="31" t="str">
        <f>IFERROR(VLOOKUP($A243,Maestro_Equipos!$A$4:$AG$242,33,FALSE()),"")</f>
        <v/>
      </c>
    </row>
    <row r="244" spans="1:19" ht="15.75" hidden="1" customHeight="1">
      <c r="A244" t="str" cm="1">
        <f t="array" ref="A244">IFERROR(INDEX(_xlfn._xlws.FILTER(Maestro_Equipos!$A$4:$A$242,Maestro_Equipos!$A$4:$A$242&lt;&gt;""),ROWS($A$4:A244)),"")</f>
        <v/>
      </c>
      <c r="B244" t="str">
        <f>IFERROR(_xlfn.XLOOKUP($A244,Maestro_Equipos!$A$4:$A$242,Maestro_Equipos!$B$4:$B$242,""),"")</f>
        <v/>
      </c>
      <c r="C244" t="str">
        <f>IFERROR(_xlfn.XLOOKUP($A244,Maestro_Equipos!$A$4:$A$242,Maestro_Equipos!$C$4:$C$242,""),"")</f>
        <v/>
      </c>
      <c r="D244" t="str">
        <f>IFERROR(_xlfn.XLOOKUP($A244,Maestro_Equipos!$A:$A,Maestro_Equipos!$I:$I,""),"")</f>
        <v/>
      </c>
      <c r="E244" t="str">
        <f>IFERROR(IF($D244="KM",_xlfn.XLOOKUP($A244,Maestro_Equipos!$A:$A,Maestro_Equipos!$N:$N,""),_xlfn.XLOOKUP($A244,Maestro_Equipos!$A:$A,Maestro_Equipos!$M:$M,"")),"")</f>
        <v/>
      </c>
      <c r="F244" t="str">
        <f>IFERROR(_xlfn.XLOOKUP($A244,Maestro_Equipos!$A:$A,Maestro_Equipos!$R:$R,"")+_xlfn.XLOOKUP($A244,Maestro_Equipos!$A:$A,Maestro_Equipos!$J:$J,""),"")</f>
        <v/>
      </c>
      <c r="G244" t="str">
        <f>IFERROR(_xlfn.XLOOKUP($A244,Maestro_Equipos!$A:$A,Maestro_Equipos!$K:$K,""),"")</f>
        <v/>
      </c>
      <c r="H244" t="str">
        <f t="shared" si="0"/>
        <v/>
      </c>
      <c r="I244" s="71" t="str">
        <f t="shared" ca="1" si="1"/>
        <v/>
      </c>
      <c r="J244" s="5" t="str">
        <f>IFERROR(INDEX(Maestro_Equipos!$V$4:$V$242,MATCH($A244,Maestro_Equipos!$A$4:$A$242,0)),"")</f>
        <v/>
      </c>
      <c r="K244" s="35">
        <f>IFERROR(
   SUMIFS(Mantenciones!$I:$I,Mantenciones!$B:$B,$A244)
 + SUMIFS('Compras PM'!$F:$F,'Compras PM'!$C:$C,$A244),0)</f>
        <v>0</v>
      </c>
      <c r="L244" s="28" t="str">
        <f t="shared" si="2"/>
        <v>SIN DATOS</v>
      </c>
      <c r="M244" s="53" cm="1">
        <f t="array" ref="M244">IFERROR(_xlfn.AGGREGATE(14,6,Mantenciones!$A$3:$A$9916/(Mantenciones!$B$3:$B$9916=$A244),1),"")</f>
        <v>0</v>
      </c>
      <c r="N244" s="29" cm="1">
        <f t="array" ref="N244">IFERROR(_xlfn.AGGREGATE(14,6,'Compras PM'!$A$4:$A$10029/('Compras PM'!$C$4:$C$10029=$A244),1),"")</f>
        <v>0</v>
      </c>
      <c r="O244" s="29" t="str">
        <f>IFERROR(VLOOKUP($A244,Maestro_Equipos!$A$4:$AG$242,27,FALSE()),"")</f>
        <v/>
      </c>
      <c r="P244" s="30">
        <f t="shared" ca="1" si="3"/>
        <v>0</v>
      </c>
      <c r="Q244" s="30" t="str">
        <f t="shared" ca="1" si="4"/>
        <v/>
      </c>
      <c r="R244" s="28" t="str">
        <f t="shared" si="5"/>
        <v>SIN SALIDA</v>
      </c>
      <c r="S244" s="31" t="str">
        <f>IFERROR(VLOOKUP($A244,Maestro_Equipos!$A$4:$AG$242,33,FALSE()),"")</f>
        <v/>
      </c>
    </row>
    <row r="245" spans="1:19" ht="15.75" hidden="1" customHeight="1">
      <c r="A245" t="str" cm="1">
        <f t="array" ref="A245">IFERROR(INDEX(_xlfn._xlws.FILTER(Maestro_Equipos!$A$4:$A$242,Maestro_Equipos!$A$4:$A$242&lt;&gt;""),ROWS($A$4:A245)),"")</f>
        <v/>
      </c>
      <c r="B245" t="str">
        <f>IFERROR(_xlfn.XLOOKUP($A245,Maestro_Equipos!$A$4:$A$242,Maestro_Equipos!$B$4:$B$242,""),"")</f>
        <v/>
      </c>
      <c r="C245" t="str">
        <f>IFERROR(_xlfn.XLOOKUP($A245,Maestro_Equipos!$A$4:$A$242,Maestro_Equipos!$C$4:$C$242,""),"")</f>
        <v/>
      </c>
      <c r="D245" t="str">
        <f>IFERROR(_xlfn.XLOOKUP($A245,Maestro_Equipos!$A:$A,Maestro_Equipos!$I:$I,""),"")</f>
        <v/>
      </c>
      <c r="E245" t="str">
        <f>IFERROR(IF($D245="KM",_xlfn.XLOOKUP($A245,Maestro_Equipos!$A:$A,Maestro_Equipos!$N:$N,""),_xlfn.XLOOKUP($A245,Maestro_Equipos!$A:$A,Maestro_Equipos!$M:$M,"")),"")</f>
        <v/>
      </c>
      <c r="F245" t="str">
        <f>IFERROR(_xlfn.XLOOKUP($A245,Maestro_Equipos!$A:$A,Maestro_Equipos!$R:$R,"")+_xlfn.XLOOKUP($A245,Maestro_Equipos!$A:$A,Maestro_Equipos!$J:$J,""),"")</f>
        <v/>
      </c>
      <c r="G245" t="str">
        <f>IFERROR(_xlfn.XLOOKUP($A245,Maestro_Equipos!$A:$A,Maestro_Equipos!$K:$K,""),"")</f>
        <v/>
      </c>
      <c r="H245" t="str">
        <f t="shared" si="0"/>
        <v/>
      </c>
      <c r="I245" s="71" t="str">
        <f t="shared" ca="1" si="1"/>
        <v/>
      </c>
      <c r="J245" s="5" t="str">
        <f>IFERROR(INDEX(Maestro_Equipos!$V$4:$V$242,MATCH($A245,Maestro_Equipos!$A$4:$A$242,0)),"")</f>
        <v/>
      </c>
      <c r="K245" s="35">
        <f>IFERROR(
   SUMIFS(Mantenciones!$I:$I,Mantenciones!$B:$B,$A245)
 + SUMIFS('Compras PM'!$F:$F,'Compras PM'!$C:$C,$A245),0)</f>
        <v>0</v>
      </c>
      <c r="L245" s="28" t="str">
        <f t="shared" si="2"/>
        <v>SIN DATOS</v>
      </c>
      <c r="M245" s="53" cm="1">
        <f t="array" ref="M245">IFERROR(_xlfn.AGGREGATE(14,6,Mantenciones!$A$3:$A$9916/(Mantenciones!$B$3:$B$9916=$A245),1),"")</f>
        <v>0</v>
      </c>
      <c r="N245" s="29" cm="1">
        <f t="array" ref="N245">IFERROR(_xlfn.AGGREGATE(14,6,'Compras PM'!$A$4:$A$10029/('Compras PM'!$C$4:$C$10029=$A245),1),"")</f>
        <v>0</v>
      </c>
      <c r="O245" s="29" t="str">
        <f>IFERROR(VLOOKUP($A245,Maestro_Equipos!$A$4:$AG$242,27,FALSE()),"")</f>
        <v/>
      </c>
      <c r="P245" s="30">
        <f t="shared" ca="1" si="3"/>
        <v>0</v>
      </c>
      <c r="Q245" s="30" t="str">
        <f t="shared" ca="1" si="4"/>
        <v/>
      </c>
      <c r="R245" s="28" t="str">
        <f t="shared" si="5"/>
        <v>SIN SALIDA</v>
      </c>
      <c r="S245" s="31" t="str">
        <f>IFERROR(VLOOKUP($A245,Maestro_Equipos!$A$4:$AG$242,33,FALSE()),"")</f>
        <v/>
      </c>
    </row>
    <row r="246" spans="1:19" ht="15.75" hidden="1" customHeight="1">
      <c r="A246" t="str" cm="1">
        <f t="array" ref="A246">IFERROR(INDEX(_xlfn._xlws.FILTER(Maestro_Equipos!$A$4:$A$242,Maestro_Equipos!$A$4:$A$242&lt;&gt;""),ROWS($A$4:A246)),"")</f>
        <v/>
      </c>
      <c r="B246" t="str">
        <f>IFERROR(_xlfn.XLOOKUP($A246,Maestro_Equipos!$A$4:$A$242,Maestro_Equipos!$B$4:$B$242,""),"")</f>
        <v/>
      </c>
      <c r="C246" t="str">
        <f>IFERROR(_xlfn.XLOOKUP($A246,Maestro_Equipos!$A$4:$A$242,Maestro_Equipos!$C$4:$C$242,""),"")</f>
        <v/>
      </c>
      <c r="D246" t="str">
        <f>IFERROR(VLOOKUP($A243,Maestro_Equipos!$A$4:$Z$242,9,FALSE),"")</f>
        <v/>
      </c>
      <c r="E246" t="str">
        <f>IFERROR(IF($D246="KM",_xlfn.XLOOKUP($A246,Maestro_Equipos!$A:$A,Maestro_Equipos!$N:$N,""),_xlfn.XLOOKUP($A246,Maestro_Equipos!$A:$A,Maestro_Equipos!$M:$M,"")),"")</f>
        <v/>
      </c>
      <c r="F246" t="str">
        <f>IFERROR(_xlfn.XLOOKUP($A246,Maestro_Equipos!$A:$A,Maestro_Equipos!$R:$R,"")+_xlfn.XLOOKUP($A246,Maestro_Equipos!$A:$A,Maestro_Equipos!$J:$J,""),"")</f>
        <v/>
      </c>
      <c r="G246" t="str">
        <f>IFERROR(_xlfn.XLOOKUP($A246,Maestro_Equipos!$A:$A,Maestro_Equipos!$K:$K,""),"")</f>
        <v/>
      </c>
      <c r="H246" t="str">
        <f t="shared" ref="H246:H247" si="6">IFERROR(IF(OR($E246="",$F246="",$G246="",$G246&lt;=0),"",ROUND(($F246-$E246)/$G246,0)),"")</f>
        <v/>
      </c>
      <c r="I246" s="71" t="str">
        <f t="shared" ref="I246:I247" ca="1" si="7">IFERROR(IF($H246="","",TODAY()+$H246),"")</f>
        <v/>
      </c>
      <c r="J246" s="5" t="str">
        <f>IFERROR(INDEX(Maestro_Equipos!$V$4:$V$242,MATCH($A246,Maestro_Equipos!$A$4:$A$242,0)),"")</f>
        <v/>
      </c>
      <c r="K246" s="35">
        <f>IFERROR(
   SUMIFS(Mantenciones!$I:$I,Mantenciones!$B:$B,$A246)
 + SUMIFS('Compras PM'!$F:$F,'Compras PM'!$C:$C,$A246),0)</f>
        <v>0</v>
      </c>
      <c r="L246" s="28" t="str">
        <f t="shared" ref="L246:L247" si="8">IF($J246="Fuera de Servicio","NO PROGRAMAR",IF($H246="","SIN DATOS",IF($H246&lt;=0,"VENCIDA",IF($H246&lt;=7,"CRÍTICA",IF($H246&lt;=15,"ALTA",IF($H246&lt;=30,"MEDIA","BAJA"))))))</f>
        <v>SIN DATOS</v>
      </c>
      <c r="M246" s="53" cm="1">
        <f t="array" ref="M246">IFERROR(_xlfn.AGGREGATE(14,6,Mantenciones!$A$3:$A$9916/(Mantenciones!$B$3:$B$9916=$A246),1),"")</f>
        <v>0</v>
      </c>
      <c r="N246" s="29" cm="1">
        <f t="array" ref="N246">IFERROR(_xlfn.AGGREGATE(14,6,'Compras PM'!$A$4:$A$10029/('Compras PM'!$C$4:$C$10029=$A246),1),"")</f>
        <v>0</v>
      </c>
      <c r="O246" s="29" t="str">
        <f>IFERROR(VLOOKUP($A246,Maestro_Equipos!$A$4:$AG$242,27,FALSE()),"")</f>
        <v/>
      </c>
      <c r="P246" s="30">
        <f t="shared" ref="P246:P247" ca="1" si="9">IFERROR(IF($N246="","",IF(OR($M246="",$M246&lt;$N246),TODAY()-$N246,$M246-$N246)),"")</f>
        <v>0</v>
      </c>
      <c r="Q246" s="30" t="str">
        <f t="shared" ref="Q246:Q247" ca="1" si="10">IFERROR(IF($O246="","",IF(OR($M246="",$M246&lt;$O246),TODAY()-$O246,$M246-$O246)),"")</f>
        <v/>
      </c>
      <c r="R246" s="28" t="str">
        <f t="shared" ref="R246:R247" si="11">IF($O246="","SIN SALIDA",IF(OR($M246="",$M246&lt;$O246),"PENDIENTE","REALIZADA"))</f>
        <v>SIN SALIDA</v>
      </c>
      <c r="S246" s="31" t="str">
        <f>IFERROR(VLOOKUP($A246,Maestro_Equipos!$A$4:$AG$242,33,FALSE()),"")</f>
        <v/>
      </c>
    </row>
    <row r="247" spans="1:19" ht="15.75" hidden="1" customHeight="1">
      <c r="A247" t="str" cm="1">
        <f t="array" ref="A247">IFERROR(INDEX(_xlfn._xlws.FILTER(Maestro_Equipos!$A$4:$A$242,Maestro_Equipos!$A$4:$A$242&lt;&gt;""),ROWS($A$4:A247)),"")</f>
        <v/>
      </c>
      <c r="B247" t="str">
        <f>IFERROR(_xlfn.XLOOKUP($A247,Maestro_Equipos!$A$4:$A$242,Maestro_Equipos!$B$4:$B$242,""),"")</f>
        <v/>
      </c>
      <c r="C247" t="str">
        <f>IFERROR(_xlfn.XLOOKUP($A247,Maestro_Equipos!$A$4:$A$242,Maestro_Equipos!$C$4:$C$242,""),"")</f>
        <v/>
      </c>
      <c r="D247" t="str">
        <f>IFERROR(VLOOKUP($A244,Maestro_Equipos!$A$4:$Z$242,9,FALSE),"")</f>
        <v/>
      </c>
      <c r="E247" t="str">
        <f>IFERROR(IF($D247="KM",_xlfn.XLOOKUP($A247,Maestro_Equipos!$A:$A,Maestro_Equipos!$N:$N,""),_xlfn.XLOOKUP($A247,Maestro_Equipos!$A:$A,Maestro_Equipos!$M:$M,"")),"")</f>
        <v/>
      </c>
      <c r="F247" t="str">
        <f>IFERROR(_xlfn.XLOOKUP($A247,Maestro_Equipos!$A:$A,Maestro_Equipos!$R:$R,"")+_xlfn.XLOOKUP($A247,Maestro_Equipos!$A:$A,Maestro_Equipos!$J:$J,""),"")</f>
        <v/>
      </c>
      <c r="G247" t="str">
        <f>IFERROR(_xlfn.XLOOKUP($A247,Maestro_Equipos!$A:$A,Maestro_Equipos!$K:$K,""),"")</f>
        <v/>
      </c>
      <c r="H247" t="str">
        <f t="shared" si="6"/>
        <v/>
      </c>
      <c r="I247" s="71" t="str">
        <f t="shared" ca="1" si="7"/>
        <v/>
      </c>
      <c r="J247" s="5" t="str">
        <f>IFERROR(INDEX(Maestro_Equipos!$V$4:$V$242,MATCH($A247,Maestro_Equipos!$A$4:$A$242,0)),"")</f>
        <v/>
      </c>
      <c r="K247" s="35">
        <f>IFERROR(
   SUMIFS(Mantenciones!$I:$I,Mantenciones!$B:$B,$A247)
 + SUMIFS('Compras PM'!$F:$F,'Compras PM'!$C:$C,$A247),0)</f>
        <v>0</v>
      </c>
      <c r="L247" s="28" t="str">
        <f t="shared" si="8"/>
        <v>SIN DATOS</v>
      </c>
      <c r="M247" s="53" cm="1">
        <f t="array" ref="M247">IFERROR(_xlfn.AGGREGATE(14,6,Mantenciones!$A$3:$A$9916/(Mantenciones!$B$3:$B$9916=$A247),1),"")</f>
        <v>0</v>
      </c>
      <c r="N247" s="29" cm="1">
        <f t="array" ref="N247">IFERROR(_xlfn.AGGREGATE(14,6,'Compras PM'!$A$4:$A$10029/('Compras PM'!$C$4:$C$10029=$A247),1),"")</f>
        <v>0</v>
      </c>
      <c r="O247" s="29" t="str">
        <f>IFERROR(VLOOKUP($A247,Maestro_Equipos!$A$4:$AG$242,27,FALSE()),"")</f>
        <v/>
      </c>
      <c r="P247" s="30">
        <f t="shared" ca="1" si="9"/>
        <v>0</v>
      </c>
      <c r="Q247" s="30" t="str">
        <f t="shared" ca="1" si="10"/>
        <v/>
      </c>
      <c r="R247" s="28" t="str">
        <f t="shared" si="11"/>
        <v>SIN SALIDA</v>
      </c>
      <c r="S247" s="31" t="str">
        <f>IFERROR(VLOOKUP($A247,Maestro_Equipos!$A$4:$AG$242,33,FALSE()),"")</f>
        <v/>
      </c>
    </row>
  </sheetData>
  <mergeCells count="2">
    <mergeCell ref="A1:S1"/>
    <mergeCell ref="A2:S2"/>
  </mergeCells>
  <conditionalFormatting sqref="A1:A244 A248:A1048567">
    <cfRule type="expression" dxfId="14" priority="2">
      <formula>$W4="AL DÍA"</formula>
    </cfRule>
  </conditionalFormatting>
  <conditionalFormatting sqref="A245:A247">
    <cfRule type="expression" dxfId="13" priority="13">
      <formula>#REF!="AL DÍA"</formula>
    </cfRule>
  </conditionalFormatting>
  <conditionalFormatting sqref="A1048568:A1048576">
    <cfRule type="expression" dxfId="12" priority="11">
      <formula>$W1="AL DÍA"</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G247"/>
  <sheetViews>
    <sheetView zoomScaleNormal="100" workbookViewId="0">
      <pane ySplit="3" topLeftCell="A4" activePane="bottomLeft" state="frozen"/>
      <selection pane="bottomLeft" activeCell="A287" sqref="A287:XFD287"/>
      <selection activeCell="A287" sqref="A287:XFD287"/>
    </sheetView>
  </sheetViews>
  <sheetFormatPr defaultColWidth="9.140625" defaultRowHeight="15" customHeight="1"/>
  <cols>
    <col min="1" max="1" width="12" customWidth="1"/>
    <col min="2" max="2" width="15" customWidth="1"/>
    <col min="3" max="3" width="17.85546875" customWidth="1"/>
    <col min="4" max="4" width="16.85546875" customWidth="1"/>
    <col min="5" max="5" width="16.42578125" customWidth="1"/>
    <col min="6" max="6" width="18.140625" customWidth="1"/>
    <col min="7" max="7" width="14" customWidth="1"/>
  </cols>
  <sheetData>
    <row r="3" spans="1:7" ht="15" customHeight="1">
      <c r="A3" s="14" t="s">
        <v>1</v>
      </c>
      <c r="B3" s="14" t="s">
        <v>2</v>
      </c>
      <c r="C3" s="14" t="s">
        <v>1352</v>
      </c>
      <c r="D3" s="14" t="s">
        <v>1440</v>
      </c>
      <c r="E3" s="14" t="s">
        <v>1439</v>
      </c>
      <c r="F3" s="14" t="s">
        <v>753</v>
      </c>
      <c r="G3" s="14" t="s">
        <v>1447</v>
      </c>
    </row>
    <row r="4" spans="1:7">
      <c r="A4" t="str">
        <f>Plan_Mantenciones!A135</f>
        <v>MD-80</v>
      </c>
      <c r="B4" t="str">
        <f>Plan_Mantenciones!B135</f>
        <v>Retroexcavadora</v>
      </c>
      <c r="C4" t="str">
        <f>Plan_Mantenciones!C135</f>
        <v>Maquinaria Pesada</v>
      </c>
      <c r="D4" s="11">
        <f ca="1">Plan_Mantenciones!I135</f>
        <v>46154</v>
      </c>
      <c r="E4">
        <f>Plan_Mantenciones!H135</f>
        <v>-86</v>
      </c>
      <c r="F4" t="str">
        <f>Plan_Mantenciones!J135</f>
        <v>Operativo</v>
      </c>
      <c r="G4" t="str">
        <f>IF(AND(ISNUMBER(E4),E4&gt;=0,E4&lt;=90),"Sí","No")</f>
        <v>No</v>
      </c>
    </row>
    <row r="5" spans="1:7">
      <c r="A5" t="str">
        <f>Plan_Mantenciones!A115</f>
        <v>MD-56</v>
      </c>
      <c r="B5" t="str">
        <f>Plan_Mantenciones!B115</f>
        <v>Motoniveladora</v>
      </c>
      <c r="C5" t="str">
        <f>Plan_Mantenciones!C115</f>
        <v>Maquinaria Pesada</v>
      </c>
      <c r="D5" s="11">
        <f ca="1">Plan_Mantenciones!I115</f>
        <v>46304</v>
      </c>
      <c r="E5">
        <f>Plan_Mantenciones!H115</f>
        <v>64</v>
      </c>
      <c r="F5" t="str">
        <f>Plan_Mantenciones!J115</f>
        <v>Operativo</v>
      </c>
      <c r="G5" t="str">
        <f>IF(AND(ISNUMBER(E5),E5&gt;=0,E5&lt;=90),"Sí","No")</f>
        <v>Sí</v>
      </c>
    </row>
    <row r="6" spans="1:7">
      <c r="A6" t="str">
        <f>Plan_Mantenciones!A68</f>
        <v>ED-52</v>
      </c>
      <c r="B6" t="str">
        <f>Plan_Mantenciones!B68</f>
        <v>Barredora</v>
      </c>
      <c r="C6" t="str">
        <f>Plan_Mantenciones!C68</f>
        <v>Maquinaria Pesada</v>
      </c>
      <c r="D6" s="11">
        <f ca="1">Plan_Mantenciones!I68</f>
        <v>46435</v>
      </c>
      <c r="E6">
        <f>Plan_Mantenciones!H68</f>
        <v>195</v>
      </c>
      <c r="F6" t="str">
        <f>Plan_Mantenciones!J68</f>
        <v>Operativo</v>
      </c>
      <c r="G6" t="str">
        <f>IF(AND(ISNUMBER(E6),E6&gt;=0,E6&lt;=90),"Sí","No")</f>
        <v>No</v>
      </c>
    </row>
    <row r="7" spans="1:7">
      <c r="A7" t="str">
        <f>Plan_Mantenciones!A197</f>
        <v>VD-38</v>
      </c>
      <c r="B7" t="str">
        <f>Plan_Mantenciones!B197</f>
        <v>Minibus</v>
      </c>
      <c r="C7" t="str">
        <f>Plan_Mantenciones!C197</f>
        <v>Vehículos Livianos</v>
      </c>
      <c r="D7" s="11">
        <f ca="1">Plan_Mantenciones!I197</f>
        <v>50393</v>
      </c>
      <c r="E7">
        <f>Plan_Mantenciones!H197</f>
        <v>4153</v>
      </c>
      <c r="F7" t="str">
        <f>Plan_Mantenciones!J197</f>
        <v>Operativo</v>
      </c>
      <c r="G7" t="str">
        <f>IF(AND(ISNUMBER(E7),E7&gt;=0,E7&lt;=90),"Sí","No")</f>
        <v>No</v>
      </c>
    </row>
    <row r="8" spans="1:7">
      <c r="A8" t="str">
        <f>Plan_Mantenciones!A49</f>
        <v>CD-69</v>
      </c>
      <c r="B8" t="str">
        <f>Plan_Mantenciones!B49</f>
        <v>Tracto Camión</v>
      </c>
      <c r="C8" t="str">
        <f>Plan_Mantenciones!C49</f>
        <v>Camiones de Ruta</v>
      </c>
      <c r="D8" s="11">
        <f ca="1">Plan_Mantenciones!I49</f>
        <v>46245</v>
      </c>
      <c r="E8">
        <f>Plan_Mantenciones!H49</f>
        <v>5</v>
      </c>
      <c r="F8" t="str">
        <f>Plan_Mantenciones!J49</f>
        <v>Operativo</v>
      </c>
      <c r="G8" t="str">
        <f>IF(AND(ISNUMBER(E8),E8&gt;=0,E8&lt;=90),"Sí","No")</f>
        <v>Sí</v>
      </c>
    </row>
    <row r="9" spans="1:7">
      <c r="A9" t="str">
        <f>Plan_Mantenciones!A174</f>
        <v>VD-121</v>
      </c>
      <c r="B9" t="str">
        <f>Plan_Mantenciones!B174</f>
        <v>Furgon</v>
      </c>
      <c r="C9" t="str">
        <f>Plan_Mantenciones!C174</f>
        <v>Vehículos Livianos</v>
      </c>
      <c r="D9" s="11">
        <f ca="1">Plan_Mantenciones!I174</f>
        <v>46248</v>
      </c>
      <c r="E9">
        <f>Plan_Mantenciones!H174</f>
        <v>8</v>
      </c>
      <c r="F9" t="str">
        <f>Plan_Mantenciones!J174</f>
        <v>Operativo</v>
      </c>
      <c r="G9" t="str">
        <f>IF(AND(ISNUMBER(E9),E9&gt;=0,E9&lt;=90),"Sí","No")</f>
        <v>Sí</v>
      </c>
    </row>
    <row r="10" spans="1:7">
      <c r="A10" t="str">
        <f>Plan_Mantenciones!A102</f>
        <v>MD-39</v>
      </c>
      <c r="B10" t="str">
        <f>Plan_Mantenciones!B102</f>
        <v>Motoniveladora</v>
      </c>
      <c r="C10" t="str">
        <f>Plan_Mantenciones!C102</f>
        <v>Maquinaria Pesada</v>
      </c>
      <c r="D10" s="11">
        <f ca="1">Plan_Mantenciones!I102</f>
        <v>46454</v>
      </c>
      <c r="E10">
        <f>Plan_Mantenciones!H102</f>
        <v>214</v>
      </c>
      <c r="F10" t="str">
        <f>Plan_Mantenciones!J102</f>
        <v>Operativo</v>
      </c>
      <c r="G10" t="str">
        <f>IF(AND(ISNUMBER(E10),E10&gt;=0,E10&lt;=90),"Sí","No")</f>
        <v>No</v>
      </c>
    </row>
    <row r="11" spans="1:7">
      <c r="A11" t="str">
        <f>Plan_Mantenciones!A163</f>
        <v>VD-110</v>
      </c>
      <c r="B11" t="str">
        <f>Plan_Mantenciones!B163</f>
        <v>Camioneta</v>
      </c>
      <c r="C11" t="str">
        <f>Plan_Mantenciones!C163</f>
        <v>Vehículos Livianos</v>
      </c>
      <c r="D11" s="11">
        <f ca="1">Plan_Mantenciones!I163</f>
        <v>46251</v>
      </c>
      <c r="E11">
        <f>Plan_Mantenciones!H163</f>
        <v>11</v>
      </c>
      <c r="F11" t="str">
        <f>Plan_Mantenciones!J163</f>
        <v>Operativo</v>
      </c>
      <c r="G11" t="str">
        <f>IF(AND(ISNUMBER(E11),E11&gt;=0,E11&lt;=90),"Sí","No")</f>
        <v>Sí</v>
      </c>
    </row>
    <row r="12" spans="1:7">
      <c r="A12" t="str">
        <f>Plan_Mantenciones!A96</f>
        <v>MD-26</v>
      </c>
      <c r="B12" t="str">
        <f>Plan_Mantenciones!B96</f>
        <v>Motoniveladora</v>
      </c>
      <c r="C12" t="str">
        <f>Plan_Mantenciones!C96</f>
        <v>Maquinaria Pesada</v>
      </c>
      <c r="D12" s="11">
        <f ca="1">Plan_Mantenciones!I96</f>
        <v>46251</v>
      </c>
      <c r="E12">
        <f>Plan_Mantenciones!H96</f>
        <v>11</v>
      </c>
      <c r="F12" t="str">
        <f>Plan_Mantenciones!J96</f>
        <v>Operativo</v>
      </c>
      <c r="G12" t="str">
        <f>IF(AND(ISNUMBER(E12),E12&gt;=0,E12&lt;=90),"Sí","No")</f>
        <v>Sí</v>
      </c>
    </row>
    <row r="13" spans="1:7">
      <c r="A13" t="str">
        <f>Plan_Mantenciones!A169</f>
        <v>VD-116</v>
      </c>
      <c r="B13" t="str">
        <f>Plan_Mantenciones!B169</f>
        <v>Furgon</v>
      </c>
      <c r="C13" t="str">
        <f>Plan_Mantenciones!C169</f>
        <v>Vehículos Livianos</v>
      </c>
      <c r="D13" s="11">
        <f ca="1">Plan_Mantenciones!I169</f>
        <v>46251</v>
      </c>
      <c r="E13">
        <f>Plan_Mantenciones!H169</f>
        <v>11</v>
      </c>
      <c r="F13" t="str">
        <f>Plan_Mantenciones!J169</f>
        <v>Operativo</v>
      </c>
      <c r="G13" t="str">
        <f>IF(AND(ISNUMBER(E13),E13&gt;=0,E13&lt;=90),"Sí","No")</f>
        <v>Sí</v>
      </c>
    </row>
    <row r="14" spans="1:7">
      <c r="A14" t="str">
        <f>Plan_Mantenciones!A114</f>
        <v>MD-55</v>
      </c>
      <c r="B14" t="str">
        <f>Plan_Mantenciones!B114</f>
        <v>Rodillo</v>
      </c>
      <c r="C14" t="str">
        <f>Plan_Mantenciones!C114</f>
        <v>Maquinaria Pesada</v>
      </c>
      <c r="D14" s="11">
        <f ca="1">Plan_Mantenciones!I114</f>
        <v>46254</v>
      </c>
      <c r="E14">
        <f>Plan_Mantenciones!H114</f>
        <v>14</v>
      </c>
      <c r="F14" t="str">
        <f>Plan_Mantenciones!J114</f>
        <v>Operativo</v>
      </c>
      <c r="G14" t="str">
        <f>IF(AND(ISNUMBER(E14),E14&gt;=0,E14&lt;=90),"Sí","No")</f>
        <v>Sí</v>
      </c>
    </row>
    <row r="15" spans="1:7">
      <c r="A15" t="str">
        <f>Plan_Mantenciones!A215</f>
        <v>VD-76</v>
      </c>
      <c r="B15" t="str">
        <f>Plan_Mantenciones!B215</f>
        <v>Camioneta</v>
      </c>
      <c r="C15" t="str">
        <f>Plan_Mantenciones!C215</f>
        <v>Vehículos Livianos</v>
      </c>
      <c r="D15" s="11">
        <f ca="1">Plan_Mantenciones!I215</f>
        <v>46256</v>
      </c>
      <c r="E15">
        <f>Plan_Mantenciones!H215</f>
        <v>16</v>
      </c>
      <c r="F15" t="str">
        <f>Plan_Mantenciones!J215</f>
        <v>Operativo</v>
      </c>
      <c r="G15" t="str">
        <f>IF(AND(ISNUMBER(E15),E15&gt;=0,E15&lt;=90),"Sí","No")</f>
        <v>Sí</v>
      </c>
    </row>
    <row r="16" spans="1:7">
      <c r="A16" t="str">
        <f>Plan_Mantenciones!A137</f>
        <v>MD-82</v>
      </c>
      <c r="B16" t="str">
        <f>Plan_Mantenciones!B137</f>
        <v>Excavadora</v>
      </c>
      <c r="C16" t="str">
        <f>Plan_Mantenciones!C137</f>
        <v>Maquinaria Pesada</v>
      </c>
      <c r="D16" s="11">
        <f ca="1">Plan_Mantenciones!I137</f>
        <v>46260</v>
      </c>
      <c r="E16">
        <f>Plan_Mantenciones!H137</f>
        <v>20</v>
      </c>
      <c r="F16" t="str">
        <f>Plan_Mantenciones!J137</f>
        <v>Operativo</v>
      </c>
      <c r="G16" t="str">
        <f>IF(AND(ISNUMBER(E16),E16&gt;=0,E16&lt;=90),"Sí","No")</f>
        <v>Sí</v>
      </c>
    </row>
    <row r="17" spans="1:7">
      <c r="A17" t="str">
        <f>Plan_Mantenciones!A147</f>
        <v>MD-93</v>
      </c>
      <c r="B17" t="str">
        <f>Plan_Mantenciones!B147</f>
        <v>Retroexcavadora</v>
      </c>
      <c r="C17" t="str">
        <f>Plan_Mantenciones!C147</f>
        <v>Maquinaria Pesada</v>
      </c>
      <c r="D17" s="11">
        <f ca="1">Plan_Mantenciones!I147</f>
        <v>46266</v>
      </c>
      <c r="E17">
        <f>Plan_Mantenciones!H147</f>
        <v>26</v>
      </c>
      <c r="F17" t="str">
        <f>Plan_Mantenciones!J147</f>
        <v>Operativo</v>
      </c>
      <c r="G17" t="str">
        <f>IF(AND(ISNUMBER(E17),E17&gt;=0,E17&lt;=90),"Sí","No")</f>
        <v>Sí</v>
      </c>
    </row>
    <row r="18" spans="1:7">
      <c r="A18" t="str">
        <f>Plan_Mantenciones!A173</f>
        <v>VD-120</v>
      </c>
      <c r="B18" t="str">
        <f>Plan_Mantenciones!B173</f>
        <v>Furgon</v>
      </c>
      <c r="C18" t="str">
        <f>Plan_Mantenciones!C173</f>
        <v>Vehículos Livianos</v>
      </c>
      <c r="D18" s="11">
        <f ca="1">Plan_Mantenciones!I173</f>
        <v>46268</v>
      </c>
      <c r="E18">
        <f>Plan_Mantenciones!H173</f>
        <v>28</v>
      </c>
      <c r="F18" t="str">
        <f>Plan_Mantenciones!J173</f>
        <v>Operativo</v>
      </c>
      <c r="G18" t="str">
        <f>IF(AND(ISNUMBER(E18),E18&gt;=0,E18&lt;=90),"Sí","No")</f>
        <v>Sí</v>
      </c>
    </row>
    <row r="19" spans="1:7">
      <c r="A19" t="str">
        <f>Plan_Mantenciones!A91</f>
        <v>MD-107</v>
      </c>
      <c r="B19" t="str">
        <f>Plan_Mantenciones!B91</f>
        <v>Cargador Frontal</v>
      </c>
      <c r="C19" t="str">
        <f>Plan_Mantenciones!C91</f>
        <v>Maquinaria Pesada</v>
      </c>
      <c r="D19" s="11">
        <f ca="1">Plan_Mantenciones!I91</f>
        <v>46270</v>
      </c>
      <c r="E19">
        <f>Plan_Mantenciones!H91</f>
        <v>30</v>
      </c>
      <c r="F19" t="str">
        <f>Plan_Mantenciones!J91</f>
        <v>Operativo</v>
      </c>
      <c r="G19" t="str">
        <f>IF(AND(ISNUMBER(E19),E19&gt;=0,E19&lt;=90),"Sí","No")</f>
        <v>Sí</v>
      </c>
    </row>
    <row r="20" spans="1:7">
      <c r="A20" t="str">
        <f>Plan_Mantenciones!A83</f>
        <v>EQP-7</v>
      </c>
      <c r="B20" t="str">
        <f>Plan_Mantenciones!B83</f>
        <v>Planta aridos</v>
      </c>
      <c r="C20" t="str">
        <f>Plan_Mantenciones!C83</f>
        <v>Maquinaria Pesada</v>
      </c>
      <c r="D20" s="11">
        <f ca="1">Plan_Mantenciones!I83</f>
        <v>46435</v>
      </c>
      <c r="E20">
        <f>Plan_Mantenciones!H83</f>
        <v>195</v>
      </c>
      <c r="F20" t="str">
        <f>Plan_Mantenciones!J83</f>
        <v>Operativo</v>
      </c>
      <c r="G20" t="str">
        <f>IF(AND(ISNUMBER(E20),E20&gt;=0,E20&lt;=90),"Sí","No")</f>
        <v>No</v>
      </c>
    </row>
    <row r="21" spans="1:7">
      <c r="A21" t="str">
        <f>Plan_Mantenciones!A168</f>
        <v>VD-115</v>
      </c>
      <c r="B21" t="str">
        <f>Plan_Mantenciones!B168</f>
        <v>Furgon</v>
      </c>
      <c r="C21" t="str">
        <f>Plan_Mantenciones!C168</f>
        <v>Vehículos Livianos</v>
      </c>
      <c r="D21" s="11">
        <f ca="1">Plan_Mantenciones!I168</f>
        <v>46327</v>
      </c>
      <c r="E21">
        <f>Plan_Mantenciones!H168</f>
        <v>87</v>
      </c>
      <c r="F21" t="str">
        <f>Plan_Mantenciones!J168</f>
        <v>Operativo</v>
      </c>
      <c r="G21" t="str">
        <f>IF(AND(ISNUMBER(E21),E21&gt;=0,E21&lt;=90),"Sí","No")</f>
        <v>Sí</v>
      </c>
    </row>
    <row r="22" spans="1:7">
      <c r="A22" t="str">
        <f>Plan_Mantenciones!A138</f>
        <v>MD-83</v>
      </c>
      <c r="B22" t="str">
        <f>Plan_Mantenciones!B138</f>
        <v>Excavadora</v>
      </c>
      <c r="C22" t="str">
        <f>Plan_Mantenciones!C138</f>
        <v>Maquinaria Pesada</v>
      </c>
      <c r="D22" s="11">
        <f ca="1">Plan_Mantenciones!I138</f>
        <v>46273</v>
      </c>
      <c r="E22">
        <f>Plan_Mantenciones!H138</f>
        <v>33</v>
      </c>
      <c r="F22" t="str">
        <f>Plan_Mantenciones!J138</f>
        <v>Operativo</v>
      </c>
      <c r="G22" t="str">
        <f>IF(AND(ISNUMBER(E22),E22&gt;=0,E22&lt;=90),"Sí","No")</f>
        <v>Sí</v>
      </c>
    </row>
    <row r="23" spans="1:7">
      <c r="A23" t="str">
        <f>Plan_Mantenciones!A97</f>
        <v>MD-28</v>
      </c>
      <c r="B23" t="str">
        <f>Plan_Mantenciones!B97</f>
        <v>Excavadora</v>
      </c>
      <c r="C23" t="str">
        <f>Plan_Mantenciones!C97</f>
        <v>Maquinaria Pesada</v>
      </c>
      <c r="D23" s="11">
        <f ca="1">Plan_Mantenciones!I97</f>
        <v>46275</v>
      </c>
      <c r="E23">
        <f>Plan_Mantenciones!H97</f>
        <v>35</v>
      </c>
      <c r="F23" t="str">
        <f>Plan_Mantenciones!J97</f>
        <v>Operativo</v>
      </c>
      <c r="G23" t="str">
        <f>IF(AND(ISNUMBER(E23),E23&gt;=0,E23&lt;=90),"Sí","No")</f>
        <v>Sí</v>
      </c>
    </row>
    <row r="24" spans="1:7">
      <c r="A24" t="str">
        <f>Plan_Mantenciones!A178</f>
        <v>VD-125</v>
      </c>
      <c r="B24" t="str">
        <f>Plan_Mantenciones!B178</f>
        <v>Camioneta</v>
      </c>
      <c r="C24" t="str">
        <f>Plan_Mantenciones!C178</f>
        <v>Vehículos Livianos</v>
      </c>
      <c r="D24" s="11">
        <f ca="1">Plan_Mantenciones!I178</f>
        <v>46278</v>
      </c>
      <c r="E24">
        <f>Plan_Mantenciones!H178</f>
        <v>38</v>
      </c>
      <c r="F24" t="str">
        <f>Plan_Mantenciones!J178</f>
        <v>Operativo</v>
      </c>
      <c r="G24" t="str">
        <f>IF(AND(ISNUMBER(E24),E24&gt;=0,E24&lt;=90),"Sí","No")</f>
        <v>Sí</v>
      </c>
    </row>
    <row r="25" spans="1:7">
      <c r="A25" t="str">
        <f>Plan_Mantenciones!A17</f>
        <v>CD-114</v>
      </c>
      <c r="B25" t="str">
        <f>Plan_Mantenciones!B17</f>
        <v>Camión Imprimador</v>
      </c>
      <c r="C25" t="str">
        <f>Plan_Mantenciones!C17</f>
        <v>Camiones de Ruta</v>
      </c>
      <c r="D25" s="11">
        <f ca="1">Plan_Mantenciones!I17</f>
        <v>46279</v>
      </c>
      <c r="E25">
        <f>Plan_Mantenciones!H17</f>
        <v>39</v>
      </c>
      <c r="F25" t="str">
        <f>Plan_Mantenciones!J17</f>
        <v>Operativo</v>
      </c>
      <c r="G25" t="str">
        <f>IF(AND(ISNUMBER(E25),E25&gt;=0,E25&lt;=90),"Sí","No")</f>
        <v>Sí</v>
      </c>
    </row>
    <row r="26" spans="1:7">
      <c r="A26" t="str">
        <f>Plan_Mantenciones!A236</f>
        <v>VD-97</v>
      </c>
      <c r="B26" t="str">
        <f>Plan_Mantenciones!B236</f>
        <v>Camioneta</v>
      </c>
      <c r="C26" t="str">
        <f>Plan_Mantenciones!C236</f>
        <v>Vehículos Livianos</v>
      </c>
      <c r="D26" s="11">
        <f ca="1">Plan_Mantenciones!I236</f>
        <v>46280</v>
      </c>
      <c r="E26">
        <f>Plan_Mantenciones!H236</f>
        <v>40</v>
      </c>
      <c r="F26" t="str">
        <f>Plan_Mantenciones!J236</f>
        <v>Operativo</v>
      </c>
      <c r="G26" t="str">
        <f>IF(AND(ISNUMBER(E26),E26&gt;=0,E26&lt;=90),"Sí","No")</f>
        <v>Sí</v>
      </c>
    </row>
    <row r="27" spans="1:7">
      <c r="A27" t="str">
        <f>Plan_Mantenciones!A139</f>
        <v>MD-84</v>
      </c>
      <c r="B27" t="str">
        <f>Plan_Mantenciones!B139</f>
        <v>Excavadora</v>
      </c>
      <c r="C27" t="str">
        <f>Plan_Mantenciones!C139</f>
        <v>Maquinaria Pesada</v>
      </c>
      <c r="D27" s="11">
        <f ca="1">Plan_Mantenciones!I139</f>
        <v>46284</v>
      </c>
      <c r="E27">
        <f>Plan_Mantenciones!H139</f>
        <v>44</v>
      </c>
      <c r="F27" t="str">
        <f>Plan_Mantenciones!J139</f>
        <v>Operativo</v>
      </c>
      <c r="G27" t="str">
        <f>IF(AND(ISNUMBER(E27),E27&gt;=0,E27&lt;=90),"Sí","No")</f>
        <v>Sí</v>
      </c>
    </row>
    <row r="28" spans="1:7">
      <c r="A28" t="str">
        <f>Plan_Mantenciones!A162</f>
        <v>VD-109</v>
      </c>
      <c r="B28" t="str">
        <f>Plan_Mantenciones!B162</f>
        <v>Camioneta</v>
      </c>
      <c r="C28" t="str">
        <f>Plan_Mantenciones!C162</f>
        <v>Vehículos Livianos</v>
      </c>
      <c r="D28" s="11">
        <f ca="1">Plan_Mantenciones!I162</f>
        <v>46285</v>
      </c>
      <c r="E28">
        <f>Plan_Mantenciones!H162</f>
        <v>45</v>
      </c>
      <c r="F28" t="str">
        <f>Plan_Mantenciones!J162</f>
        <v>Operativo</v>
      </c>
      <c r="G28" t="str">
        <f>IF(AND(ISNUMBER(E28),E28&gt;=0,E28&lt;=90),"Sí","No")</f>
        <v>Sí</v>
      </c>
    </row>
    <row r="29" spans="1:7">
      <c r="A29" t="str">
        <f>Plan_Mantenciones!A86</f>
        <v>MD-101</v>
      </c>
      <c r="B29" t="str">
        <f>Plan_Mantenciones!B86</f>
        <v>Motoniveladora</v>
      </c>
      <c r="C29" t="str">
        <f>Plan_Mantenciones!C86</f>
        <v>Maquinaria Pesada</v>
      </c>
      <c r="D29" s="11">
        <f ca="1">Plan_Mantenciones!I86</f>
        <v>46288</v>
      </c>
      <c r="E29">
        <f>Plan_Mantenciones!H86</f>
        <v>48</v>
      </c>
      <c r="F29" t="str">
        <f>Plan_Mantenciones!J86</f>
        <v>Operativo</v>
      </c>
      <c r="G29" t="str">
        <f>IF(AND(ISNUMBER(E29),E29&gt;=0,E29&lt;=90),"Sí","No")</f>
        <v>Sí</v>
      </c>
    </row>
    <row r="30" spans="1:7">
      <c r="A30" t="str">
        <f>Plan_Mantenciones!A160</f>
        <v>VD-107</v>
      </c>
      <c r="B30" t="str">
        <f>Plan_Mantenciones!B160</f>
        <v>Camioneta</v>
      </c>
      <c r="C30" t="str">
        <f>Plan_Mantenciones!C160</f>
        <v>Vehículos Livianos</v>
      </c>
      <c r="D30" s="11">
        <f ca="1">Plan_Mantenciones!I160</f>
        <v>46409</v>
      </c>
      <c r="E30">
        <f>Plan_Mantenciones!H160</f>
        <v>169</v>
      </c>
      <c r="F30" t="str">
        <f>Plan_Mantenciones!J160</f>
        <v>Operativo</v>
      </c>
      <c r="G30" t="str">
        <f>IF(AND(ISNUMBER(E30),E30&gt;=0,E30&lt;=90),"Sí","No")</f>
        <v>No</v>
      </c>
    </row>
    <row r="31" spans="1:7">
      <c r="A31" t="str">
        <f>Plan_Mantenciones!A88</f>
        <v>MD-103</v>
      </c>
      <c r="B31" t="str">
        <f>Plan_Mantenciones!B88</f>
        <v>Rodillo</v>
      </c>
      <c r="C31" t="str">
        <f>Plan_Mantenciones!C88</f>
        <v>Maquinaria Pesada</v>
      </c>
      <c r="D31" s="11">
        <f ca="1">Plan_Mantenciones!I88</f>
        <v>46294</v>
      </c>
      <c r="E31">
        <f>Plan_Mantenciones!H88</f>
        <v>54</v>
      </c>
      <c r="F31" t="str">
        <f>Plan_Mantenciones!J88</f>
        <v>Operativo</v>
      </c>
      <c r="G31" t="str">
        <f>IF(AND(ISNUMBER(E31),E31&gt;=0,E31&lt;=90),"Sí","No")</f>
        <v>Sí</v>
      </c>
    </row>
    <row r="32" spans="1:7">
      <c r="A32" t="str">
        <f>Plan_Mantenciones!A85</f>
        <v>MD-100</v>
      </c>
      <c r="B32" t="str">
        <f>Plan_Mantenciones!B85</f>
        <v>Excavadora</v>
      </c>
      <c r="C32" t="str">
        <f>Plan_Mantenciones!C85</f>
        <v>Maquinaria Pesada</v>
      </c>
      <c r="D32" s="11">
        <f ca="1">Plan_Mantenciones!I85</f>
        <v>46295</v>
      </c>
      <c r="E32">
        <f>Plan_Mantenciones!H85</f>
        <v>55</v>
      </c>
      <c r="F32" t="str">
        <f>Plan_Mantenciones!J85</f>
        <v>Operativo</v>
      </c>
      <c r="G32" t="str">
        <f>IF(AND(ISNUMBER(E32),E32&gt;=0,E32&lt;=90),"Sí","No")</f>
        <v>Sí</v>
      </c>
    </row>
    <row r="33" spans="1:7">
      <c r="A33" t="str">
        <f>Plan_Mantenciones!A75</f>
        <v>EQP-11</v>
      </c>
      <c r="B33" t="str">
        <f>Plan_Mantenciones!B75</f>
        <v>Planta Aridos seleccionadora</v>
      </c>
      <c r="C33" t="str">
        <f>Plan_Mantenciones!C75</f>
        <v>Maquinaria Pesada</v>
      </c>
      <c r="D33" s="11">
        <f ca="1">Plan_Mantenciones!I75</f>
        <v>46296</v>
      </c>
      <c r="E33">
        <f>Plan_Mantenciones!H75</f>
        <v>56</v>
      </c>
      <c r="F33" t="str">
        <f>Plan_Mantenciones!J75</f>
        <v>Operativo</v>
      </c>
      <c r="G33" t="str">
        <f>IF(AND(ISNUMBER(E33),E33&gt;=0,E33&lt;=90),"Sí","No")</f>
        <v>Sí</v>
      </c>
    </row>
    <row r="34" spans="1:7">
      <c r="A34" t="str">
        <f>Plan_Mantenciones!A235</f>
        <v>VD-96</v>
      </c>
      <c r="B34" t="str">
        <f>Plan_Mantenciones!B235</f>
        <v>Camioneta</v>
      </c>
      <c r="C34" t="str">
        <f>Plan_Mantenciones!C235</f>
        <v>Vehículos Livianos</v>
      </c>
      <c r="D34" s="11">
        <f ca="1">Plan_Mantenciones!I235</f>
        <v>46297</v>
      </c>
      <c r="E34">
        <f>Plan_Mantenciones!H235</f>
        <v>57</v>
      </c>
      <c r="F34" t="str">
        <f>Plan_Mantenciones!J235</f>
        <v>Operativo</v>
      </c>
      <c r="G34" t="str">
        <f>IF(AND(ISNUMBER(E34),E34&gt;=0,E34&lt;=90),"Sí","No")</f>
        <v>Sí</v>
      </c>
    </row>
    <row r="35" spans="1:7">
      <c r="A35" t="str">
        <f>Plan_Mantenciones!A183</f>
        <v>VD-130</v>
      </c>
      <c r="B35" t="str">
        <f>Plan_Mantenciones!B183</f>
        <v>Camioneta</v>
      </c>
      <c r="C35" t="str">
        <f>Plan_Mantenciones!C183</f>
        <v>Vehículos Livianos</v>
      </c>
      <c r="D35" s="11">
        <f ca="1">Plan_Mantenciones!I183</f>
        <v>46298</v>
      </c>
      <c r="E35">
        <f>Plan_Mantenciones!H183</f>
        <v>58</v>
      </c>
      <c r="F35" t="str">
        <f>Plan_Mantenciones!J183</f>
        <v>Operativo</v>
      </c>
      <c r="G35" t="str">
        <f>IF(AND(ISNUMBER(E35),E35&gt;=0,E35&lt;=90),"Sí","No")</f>
        <v>Sí</v>
      </c>
    </row>
    <row r="36" spans="1:7">
      <c r="A36" t="str">
        <f>Plan_Mantenciones!A223</f>
        <v>VD-84</v>
      </c>
      <c r="B36" t="str">
        <f>Plan_Mantenciones!B223</f>
        <v>Furgon</v>
      </c>
      <c r="C36" t="str">
        <f>Plan_Mantenciones!C223</f>
        <v>Vehículos Livianos</v>
      </c>
      <c r="D36" s="11">
        <f ca="1">Plan_Mantenciones!I223</f>
        <v>46377</v>
      </c>
      <c r="E36">
        <f>Plan_Mantenciones!H223</f>
        <v>137</v>
      </c>
      <c r="F36" t="str">
        <f>Plan_Mantenciones!J223</f>
        <v>Operativo</v>
      </c>
      <c r="G36" t="str">
        <f>IF(AND(ISNUMBER(E36),E36&gt;=0,E36&lt;=90),"Sí","No")</f>
        <v>No</v>
      </c>
    </row>
    <row r="37" spans="1:7">
      <c r="A37" t="str">
        <f>Plan_Mantenciones!A81</f>
        <v>EQP-18</v>
      </c>
      <c r="B37" t="str">
        <f>Plan_Mantenciones!B81</f>
        <v>Planta aridos</v>
      </c>
      <c r="C37" t="str">
        <f>Plan_Mantenciones!C81</f>
        <v>Maquinaria Pesada</v>
      </c>
      <c r="D37" s="11">
        <f ca="1">Plan_Mantenciones!I81</f>
        <v>46299</v>
      </c>
      <c r="E37">
        <f>Plan_Mantenciones!H81</f>
        <v>59</v>
      </c>
      <c r="F37" t="str">
        <f>Plan_Mantenciones!J81</f>
        <v>Operativo</v>
      </c>
      <c r="G37" t="str">
        <f>IF(AND(ISNUMBER(E37),E37&gt;=0,E37&lt;=90),"Sí","No")</f>
        <v>Sí</v>
      </c>
    </row>
    <row r="38" spans="1:7">
      <c r="A38" t="str">
        <f>Plan_Mantenciones!A180</f>
        <v>VD-127</v>
      </c>
      <c r="B38" t="str">
        <f>Plan_Mantenciones!B180</f>
        <v>Camioneta</v>
      </c>
      <c r="C38" t="str">
        <f>Plan_Mantenciones!C180</f>
        <v>Vehículos Livianos</v>
      </c>
      <c r="D38" s="11">
        <f ca="1">Plan_Mantenciones!I180</f>
        <v>46423</v>
      </c>
      <c r="E38">
        <f>Plan_Mantenciones!H180</f>
        <v>183</v>
      </c>
      <c r="F38" t="str">
        <f>Plan_Mantenciones!J180</f>
        <v>Operativo</v>
      </c>
      <c r="G38" t="str">
        <f>IF(AND(ISNUMBER(E38),E38&gt;=0,E38&lt;=90),"Sí","No")</f>
        <v>No</v>
      </c>
    </row>
    <row r="39" spans="1:7">
      <c r="A39" t="str">
        <f>Plan_Mantenciones!A5</f>
        <v>CD-102</v>
      </c>
      <c r="B39" t="str">
        <f>Plan_Mantenciones!B5</f>
        <v>Camión Tolva</v>
      </c>
      <c r="C39" t="str">
        <f>Plan_Mantenciones!C5</f>
        <v>Camiones de Ruta</v>
      </c>
      <c r="D39" s="11">
        <f ca="1">Plan_Mantenciones!I5</f>
        <v>46442</v>
      </c>
      <c r="E39">
        <f>Plan_Mantenciones!H5</f>
        <v>202</v>
      </c>
      <c r="F39" t="str">
        <f>Plan_Mantenciones!J5</f>
        <v>Operativo</v>
      </c>
      <c r="G39" t="str">
        <f>IF(AND(ISNUMBER(E39),E39&gt;=0,E39&lt;=90),"Sí","No")</f>
        <v>No</v>
      </c>
    </row>
    <row r="40" spans="1:7">
      <c r="A40" t="str">
        <f>Plan_Mantenciones!A161</f>
        <v>VD-108</v>
      </c>
      <c r="B40" t="str">
        <f>Plan_Mantenciones!B161</f>
        <v>Camioneta</v>
      </c>
      <c r="C40" t="str">
        <f>Plan_Mantenciones!C161</f>
        <v>Vehículos Livianos</v>
      </c>
      <c r="D40" s="11">
        <f ca="1">Plan_Mantenciones!I161</f>
        <v>46300</v>
      </c>
      <c r="E40">
        <f>Plan_Mantenciones!H161</f>
        <v>60</v>
      </c>
      <c r="F40" t="str">
        <f>Plan_Mantenciones!J161</f>
        <v>Taller</v>
      </c>
      <c r="G40" t="str">
        <f>IF(AND(ISNUMBER(E40),E40&gt;=0,E40&lt;=90),"Sí","No")</f>
        <v>Sí</v>
      </c>
    </row>
    <row r="41" spans="1:7">
      <c r="A41" t="str">
        <f>Plan_Mantenciones!A106</f>
        <v>MD-45</v>
      </c>
      <c r="B41" t="str">
        <f>Plan_Mantenciones!B106</f>
        <v>Cargador Frontal</v>
      </c>
      <c r="C41" t="str">
        <f>Plan_Mantenciones!C106</f>
        <v>Maquinaria Pesada</v>
      </c>
      <c r="D41" s="11">
        <f ca="1">Plan_Mantenciones!I106</f>
        <v>46304</v>
      </c>
      <c r="E41">
        <f>Plan_Mantenciones!H106</f>
        <v>64</v>
      </c>
      <c r="F41" t="str">
        <f>Plan_Mantenciones!J106</f>
        <v>Operativo</v>
      </c>
      <c r="G41" t="str">
        <f>IF(AND(ISNUMBER(E41),E41&gt;=0,E41&lt;=90),"Sí","No")</f>
        <v>Sí</v>
      </c>
    </row>
    <row r="42" spans="1:7">
      <c r="A42" t="str">
        <f>Plan_Mantenciones!A134</f>
        <v>MD-79</v>
      </c>
      <c r="B42" t="str">
        <f>Plan_Mantenciones!B134</f>
        <v>Motoniveladora</v>
      </c>
      <c r="C42" t="str">
        <f>Plan_Mantenciones!C134</f>
        <v>Maquinaria Pesada</v>
      </c>
      <c r="D42" s="11">
        <f ca="1">Plan_Mantenciones!I134</f>
        <v>46304</v>
      </c>
      <c r="E42">
        <f>Plan_Mantenciones!H134</f>
        <v>64</v>
      </c>
      <c r="F42" t="str">
        <f>Plan_Mantenciones!J134</f>
        <v>Operativo</v>
      </c>
      <c r="G42" t="str">
        <f>IF(AND(ISNUMBER(E42),E42&gt;=0,E42&lt;=90),"Sí","No")</f>
        <v>Sí</v>
      </c>
    </row>
    <row r="43" spans="1:7">
      <c r="A43" t="str">
        <f>Plan_Mantenciones!A164</f>
        <v>VD-111</v>
      </c>
      <c r="B43" t="str">
        <f>Plan_Mantenciones!B164</f>
        <v>Camioneta</v>
      </c>
      <c r="C43" t="str">
        <f>Plan_Mantenciones!C164</f>
        <v>Vehículos Livianos</v>
      </c>
      <c r="D43" s="11">
        <f ca="1">Plan_Mantenciones!I164</f>
        <v>46305</v>
      </c>
      <c r="E43">
        <f>Plan_Mantenciones!H164</f>
        <v>65</v>
      </c>
      <c r="F43" t="str">
        <f>Plan_Mantenciones!J164</f>
        <v>Operativo</v>
      </c>
      <c r="G43" t="str">
        <f>IF(AND(ISNUMBER(E43),E43&gt;=0,E43&lt;=90),"Sí","No")</f>
        <v>Sí</v>
      </c>
    </row>
    <row r="44" spans="1:7">
      <c r="A44" t="str">
        <f>Plan_Mantenciones!A94</f>
        <v>MD-110</v>
      </c>
      <c r="B44" t="str">
        <f>Plan_Mantenciones!B94</f>
        <v>Motoniveladora</v>
      </c>
      <c r="C44" t="str">
        <f>Plan_Mantenciones!C94</f>
        <v>Maquinaria Pesada</v>
      </c>
      <c r="D44" s="11">
        <f ca="1">Plan_Mantenciones!I94</f>
        <v>46305</v>
      </c>
      <c r="E44">
        <f>Plan_Mantenciones!H94</f>
        <v>65</v>
      </c>
      <c r="F44" t="str">
        <f>Plan_Mantenciones!J94</f>
        <v>Operativo</v>
      </c>
      <c r="G44" t="str">
        <f>IF(AND(ISNUMBER(E44),E44&gt;=0,E44&lt;=90),"Sí","No")</f>
        <v>Sí</v>
      </c>
    </row>
    <row r="45" spans="1:7">
      <c r="A45" t="str">
        <f>Plan_Mantenciones!A95</f>
        <v>MD-25</v>
      </c>
      <c r="B45" t="str">
        <f>Plan_Mantenciones!B95</f>
        <v>Motoniveladora</v>
      </c>
      <c r="C45" t="str">
        <f>Plan_Mantenciones!C95</f>
        <v>Maquinaria Pesada</v>
      </c>
      <c r="D45" s="11">
        <f ca="1">Plan_Mantenciones!I95</f>
        <v>46306</v>
      </c>
      <c r="E45">
        <f>Plan_Mantenciones!H95</f>
        <v>66</v>
      </c>
      <c r="F45" t="str">
        <f>Plan_Mantenciones!J95</f>
        <v>Operativo</v>
      </c>
      <c r="G45" t="str">
        <f>IF(AND(ISNUMBER(E45),E45&gt;=0,E45&lt;=90),"Sí","No")</f>
        <v>Sí</v>
      </c>
    </row>
    <row r="46" spans="1:7">
      <c r="A46" t="str">
        <f>Plan_Mantenciones!A131</f>
        <v>MD-76</v>
      </c>
      <c r="B46" t="str">
        <f>Plan_Mantenciones!B131</f>
        <v>Retroexcavadora</v>
      </c>
      <c r="C46" t="str">
        <f>Plan_Mantenciones!C131</f>
        <v>Maquinaria Pesada</v>
      </c>
      <c r="D46" s="11">
        <f ca="1">Plan_Mantenciones!I131</f>
        <v>46307</v>
      </c>
      <c r="E46">
        <f>Plan_Mantenciones!H131</f>
        <v>67</v>
      </c>
      <c r="F46" t="str">
        <f>Plan_Mantenciones!J131</f>
        <v>Operativo</v>
      </c>
      <c r="G46" t="str">
        <f>IF(AND(ISNUMBER(E46),E46&gt;=0,E46&lt;=90),"Sí","No")</f>
        <v>Sí</v>
      </c>
    </row>
    <row r="47" spans="1:7">
      <c r="A47" t="str">
        <f>Plan_Mantenciones!A8</f>
        <v>CD-105</v>
      </c>
      <c r="B47" t="str">
        <f>Plan_Mantenciones!B8</f>
        <v>Camión Tolva</v>
      </c>
      <c r="C47" t="str">
        <f>Plan_Mantenciones!C8</f>
        <v>Camiones de Ruta</v>
      </c>
      <c r="D47" s="11">
        <f ca="1">Plan_Mantenciones!I8</f>
        <v>46307</v>
      </c>
      <c r="E47">
        <f>Plan_Mantenciones!H8</f>
        <v>67</v>
      </c>
      <c r="F47" t="str">
        <f>Plan_Mantenciones!J8</f>
        <v>Operativo</v>
      </c>
      <c r="G47" t="str">
        <f>IF(AND(ISNUMBER(E47),E47&gt;=0,E47&lt;=90),"Sí","No")</f>
        <v>Sí</v>
      </c>
    </row>
    <row r="48" spans="1:7">
      <c r="A48" t="str">
        <f>Plan_Mantenciones!A187</f>
        <v>VD-134</v>
      </c>
      <c r="B48" t="str">
        <f>Plan_Mantenciones!B187</f>
        <v>Camioneta</v>
      </c>
      <c r="C48" t="str">
        <f>Plan_Mantenciones!C187</f>
        <v>Vehículos Livianos</v>
      </c>
      <c r="D48" s="11">
        <f ca="1">Plan_Mantenciones!I187</f>
        <v>46307</v>
      </c>
      <c r="E48">
        <f>Plan_Mantenciones!H187</f>
        <v>67</v>
      </c>
      <c r="F48" t="str">
        <f>Plan_Mantenciones!J187</f>
        <v>Operativo</v>
      </c>
      <c r="G48" t="str">
        <f>IF(AND(ISNUMBER(E48),E48&gt;=0,E48&lt;=90),"Sí","No")</f>
        <v>Sí</v>
      </c>
    </row>
    <row r="49" spans="1:7">
      <c r="A49" t="str">
        <f>Plan_Mantenciones!A185</f>
        <v>VD-132</v>
      </c>
      <c r="B49" t="str">
        <f>Plan_Mantenciones!B185</f>
        <v>Camioneta</v>
      </c>
      <c r="C49" t="str">
        <f>Plan_Mantenciones!C185</f>
        <v>Vehículos Livianos</v>
      </c>
      <c r="D49" s="11">
        <f ca="1">Plan_Mantenciones!I185</f>
        <v>46308</v>
      </c>
      <c r="E49">
        <f>Plan_Mantenciones!H185</f>
        <v>68</v>
      </c>
      <c r="F49" t="str">
        <f>Plan_Mantenciones!J185</f>
        <v>Operativo</v>
      </c>
      <c r="G49" t="str">
        <f>IF(AND(ISNUMBER(E49),E49&gt;=0,E49&lt;=90),"Sí","No")</f>
        <v>Sí</v>
      </c>
    </row>
    <row r="50" spans="1:7">
      <c r="A50" t="str">
        <f>Plan_Mantenciones!A153</f>
        <v>MD-99</v>
      </c>
      <c r="B50" t="str">
        <f>Plan_Mantenciones!B153</f>
        <v>Excavadora</v>
      </c>
      <c r="C50" t="str">
        <f>Plan_Mantenciones!C153</f>
        <v>Maquinaria Pesada</v>
      </c>
      <c r="D50" s="11">
        <f ca="1">Plan_Mantenciones!I153</f>
        <v>46310</v>
      </c>
      <c r="E50">
        <f>Plan_Mantenciones!H153</f>
        <v>70</v>
      </c>
      <c r="F50" t="str">
        <f>Plan_Mantenciones!J153</f>
        <v>Operativo</v>
      </c>
      <c r="G50" t="str">
        <f>IF(AND(ISNUMBER(E50),E50&gt;=0,E50&lt;=90),"Sí","No")</f>
        <v>Sí</v>
      </c>
    </row>
    <row r="51" spans="1:7">
      <c r="A51" t="str">
        <f>Plan_Mantenciones!A148</f>
        <v>MD-94</v>
      </c>
      <c r="B51" t="str">
        <f>Plan_Mantenciones!B148</f>
        <v>Retroexcavadora</v>
      </c>
      <c r="C51" t="str">
        <f>Plan_Mantenciones!C148</f>
        <v>Maquinaria Pesada</v>
      </c>
      <c r="D51" s="11">
        <f ca="1">Plan_Mantenciones!I148</f>
        <v>46314</v>
      </c>
      <c r="E51">
        <f>Plan_Mantenciones!H148</f>
        <v>74</v>
      </c>
      <c r="F51" t="str">
        <f>Plan_Mantenciones!J148</f>
        <v>Operativo</v>
      </c>
      <c r="G51" t="str">
        <f>IF(AND(ISNUMBER(E51),E51&gt;=0,E51&lt;=90),"Sí","No")</f>
        <v>Sí</v>
      </c>
    </row>
    <row r="52" spans="1:7">
      <c r="A52" t="str">
        <f>Plan_Mantenciones!A87</f>
        <v>MD-102</v>
      </c>
      <c r="B52" t="str">
        <f>Plan_Mantenciones!B87</f>
        <v>Rodillo</v>
      </c>
      <c r="C52" t="str">
        <f>Plan_Mantenciones!C87</f>
        <v>Maquinaria Pesada</v>
      </c>
      <c r="D52" s="11">
        <f ca="1">Plan_Mantenciones!I87</f>
        <v>46318</v>
      </c>
      <c r="E52">
        <f>Plan_Mantenciones!H87</f>
        <v>78</v>
      </c>
      <c r="F52" t="str">
        <f>Plan_Mantenciones!J87</f>
        <v>Operativo</v>
      </c>
      <c r="G52" t="str">
        <f>IF(AND(ISNUMBER(E52),E52&gt;=0,E52&lt;=90),"Sí","No")</f>
        <v>Sí</v>
      </c>
    </row>
    <row r="53" spans="1:7">
      <c r="A53" t="str">
        <f>Plan_Mantenciones!A172</f>
        <v>VD-119</v>
      </c>
      <c r="B53" t="str">
        <f>Plan_Mantenciones!B172</f>
        <v>Furgon</v>
      </c>
      <c r="C53" t="str">
        <f>Plan_Mantenciones!C172</f>
        <v>Vehículos Livianos</v>
      </c>
      <c r="D53" s="11">
        <f ca="1">Plan_Mantenciones!I172</f>
        <v>46319</v>
      </c>
      <c r="E53">
        <f>Plan_Mantenciones!H172</f>
        <v>79</v>
      </c>
      <c r="F53" t="str">
        <f>Plan_Mantenciones!J172</f>
        <v>Operativo</v>
      </c>
      <c r="G53" t="str">
        <f>IF(AND(ISNUMBER(E53),E53&gt;=0,E53&lt;=90),"Sí","No")</f>
        <v>Sí</v>
      </c>
    </row>
    <row r="54" spans="1:7">
      <c r="A54" t="str">
        <f>Plan_Mantenciones!A165</f>
        <v>VD-112</v>
      </c>
      <c r="B54" t="str">
        <f>Plan_Mantenciones!B165</f>
        <v>Camioneta</v>
      </c>
      <c r="C54" t="str">
        <f>Plan_Mantenciones!C165</f>
        <v>Vehículos Livianos</v>
      </c>
      <c r="D54" s="11">
        <f ca="1">Plan_Mantenciones!I165</f>
        <v>46319</v>
      </c>
      <c r="E54">
        <f>Plan_Mantenciones!H165</f>
        <v>79</v>
      </c>
      <c r="F54" t="str">
        <f>Plan_Mantenciones!J165</f>
        <v>Operativo</v>
      </c>
      <c r="G54" t="str">
        <f>IF(AND(ISNUMBER(E54),E54&gt;=0,E54&lt;=90),"Sí","No")</f>
        <v>Sí</v>
      </c>
    </row>
    <row r="55" spans="1:7">
      <c r="A55" t="str">
        <f>Plan_Mantenciones!A167</f>
        <v>VD-114</v>
      </c>
      <c r="B55" t="str">
        <f>Plan_Mantenciones!B167</f>
        <v>Camioneta</v>
      </c>
      <c r="C55" t="str">
        <f>Plan_Mantenciones!C167</f>
        <v>Vehículos Livianos</v>
      </c>
      <c r="D55" s="11">
        <f ca="1">Plan_Mantenciones!I167</f>
        <v>46362</v>
      </c>
      <c r="E55">
        <f>Plan_Mantenciones!H167</f>
        <v>122</v>
      </c>
      <c r="F55" t="str">
        <f>Plan_Mantenciones!J167</f>
        <v>Operativo</v>
      </c>
      <c r="G55" t="str">
        <f>IF(AND(ISNUMBER(E55),E55&gt;=0,E55&lt;=90),"Sí","No")</f>
        <v>No</v>
      </c>
    </row>
    <row r="56" spans="1:7">
      <c r="A56" t="str">
        <f>Plan_Mantenciones!A128</f>
        <v>MD-73</v>
      </c>
      <c r="B56" t="str">
        <f>Plan_Mantenciones!B128</f>
        <v>Motoniveladora</v>
      </c>
      <c r="C56" t="str">
        <f>Plan_Mantenciones!C128</f>
        <v>Maquinaria Pesada</v>
      </c>
      <c r="D56" s="11">
        <f ca="1">Plan_Mantenciones!I128</f>
        <v>46320</v>
      </c>
      <c r="E56">
        <f>Plan_Mantenciones!H128</f>
        <v>80</v>
      </c>
      <c r="F56" t="str">
        <f>Plan_Mantenciones!J128</f>
        <v>Operativo</v>
      </c>
      <c r="G56" t="str">
        <f>IF(AND(ISNUMBER(E56),E56&gt;=0,E56&lt;=90),"Sí","No")</f>
        <v>Sí</v>
      </c>
    </row>
    <row r="57" spans="1:7">
      <c r="A57" t="str">
        <f>Plan_Mantenciones!A69</f>
        <v>ED-61</v>
      </c>
      <c r="B57" t="str">
        <f>Plan_Mantenciones!B69</f>
        <v>Gravilladora</v>
      </c>
      <c r="C57" t="str">
        <f>Plan_Mantenciones!C69</f>
        <v>Maquinaria Pesada</v>
      </c>
      <c r="D57" s="11">
        <f ca="1">Plan_Mantenciones!I69</f>
        <v>46321</v>
      </c>
      <c r="E57">
        <f>Plan_Mantenciones!H69</f>
        <v>81</v>
      </c>
      <c r="F57" t="str">
        <f>Plan_Mantenciones!J69</f>
        <v>Operativo</v>
      </c>
      <c r="G57" t="str">
        <f>IF(AND(ISNUMBER(E57),E57&gt;=0,E57&lt;=90),"Sí","No")</f>
        <v>Sí</v>
      </c>
    </row>
    <row r="58" spans="1:7">
      <c r="A58" t="str">
        <f>Plan_Mantenciones!A123</f>
        <v>MD-67</v>
      </c>
      <c r="B58" t="str">
        <f>Plan_Mantenciones!B123</f>
        <v>Rodillo</v>
      </c>
      <c r="C58" t="str">
        <f>Plan_Mantenciones!C123</f>
        <v>Maquinaria Pesada</v>
      </c>
      <c r="D58" s="11">
        <f ca="1">Plan_Mantenciones!I123</f>
        <v>46321</v>
      </c>
      <c r="E58">
        <f>Plan_Mantenciones!H123</f>
        <v>81</v>
      </c>
      <c r="F58" t="str">
        <f>Plan_Mantenciones!J123</f>
        <v>Operativo</v>
      </c>
      <c r="G58" t="str">
        <f>IF(AND(ISNUMBER(E58),E58&gt;=0,E58&lt;=90),"Sí","No")</f>
        <v>Sí</v>
      </c>
    </row>
    <row r="59" spans="1:7">
      <c r="A59" t="str">
        <f>Plan_Mantenciones!A156</f>
        <v>VD-102</v>
      </c>
      <c r="B59" t="str">
        <f>Plan_Mantenciones!B156</f>
        <v>Camioneta</v>
      </c>
      <c r="C59" t="str">
        <f>Plan_Mantenciones!C156</f>
        <v>Vehículos Livianos</v>
      </c>
      <c r="D59" s="11">
        <f ca="1">Plan_Mantenciones!I156</f>
        <v>46322</v>
      </c>
      <c r="E59">
        <f>Plan_Mantenciones!H156</f>
        <v>82</v>
      </c>
      <c r="F59" t="str">
        <f>Plan_Mantenciones!J156</f>
        <v>Taller</v>
      </c>
      <c r="G59" t="str">
        <f>IF(AND(ISNUMBER(E59),E59&gt;=0,E59&lt;=90),"Sí","No")</f>
        <v>Sí</v>
      </c>
    </row>
    <row r="60" spans="1:7">
      <c r="A60" t="str">
        <f>Plan_Mantenciones!A229</f>
        <v>VD-90</v>
      </c>
      <c r="B60" t="str">
        <f>Plan_Mantenciones!B229</f>
        <v>Camioneta</v>
      </c>
      <c r="C60" t="str">
        <f>Plan_Mantenciones!C229</f>
        <v>Vehículos Livianos</v>
      </c>
      <c r="D60" s="11">
        <f ca="1">Plan_Mantenciones!I229</f>
        <v>46323</v>
      </c>
      <c r="E60">
        <f>Plan_Mantenciones!H229</f>
        <v>83</v>
      </c>
      <c r="F60" t="str">
        <f>Plan_Mantenciones!J229</f>
        <v>Operativo</v>
      </c>
      <c r="G60" t="str">
        <f>IF(AND(ISNUMBER(E60),E60&gt;=0,E60&lt;=90),"Sí","No")</f>
        <v>Sí</v>
      </c>
    </row>
    <row r="61" spans="1:7">
      <c r="A61" t="str">
        <f>Plan_Mantenciones!A191</f>
        <v>VD-138</v>
      </c>
      <c r="B61" t="str">
        <f>Plan_Mantenciones!B191</f>
        <v>Camioneta</v>
      </c>
      <c r="C61" t="str">
        <f>Plan_Mantenciones!C191</f>
        <v>Vehículos Livianos</v>
      </c>
      <c r="D61" s="11">
        <f ca="1">Plan_Mantenciones!I191</f>
        <v>46324</v>
      </c>
      <c r="E61">
        <f>Plan_Mantenciones!H191</f>
        <v>84</v>
      </c>
      <c r="F61" t="str">
        <f>Plan_Mantenciones!J191</f>
        <v>Operativo</v>
      </c>
      <c r="G61" t="str">
        <f>IF(AND(ISNUMBER(E61),E61&gt;=0,E61&lt;=90),"Sí","No")</f>
        <v>Sí</v>
      </c>
    </row>
    <row r="62" spans="1:7">
      <c r="A62" t="str">
        <f>Plan_Mantenciones!A150</f>
        <v>MD-96</v>
      </c>
      <c r="B62" t="str">
        <f>Plan_Mantenciones!B150</f>
        <v>Retroexcavadora</v>
      </c>
      <c r="C62" t="str">
        <f>Plan_Mantenciones!C150</f>
        <v>Maquinaria Pesada</v>
      </c>
      <c r="D62" s="11">
        <f ca="1">Plan_Mantenciones!I150</f>
        <v>46324</v>
      </c>
      <c r="E62">
        <f>Plan_Mantenciones!H150</f>
        <v>84</v>
      </c>
      <c r="F62" t="str">
        <f>Plan_Mantenciones!J150</f>
        <v>Operativo</v>
      </c>
      <c r="G62" t="str">
        <f>IF(AND(ISNUMBER(E62),E62&gt;=0,E62&lt;=90),"Sí","No")</f>
        <v>Sí</v>
      </c>
    </row>
    <row r="63" spans="1:7">
      <c r="A63" t="str">
        <f>Plan_Mantenciones!A43</f>
        <v>CD-140</v>
      </c>
      <c r="B63" t="str">
        <f>Plan_Mantenciones!B43</f>
        <v>Camion Plano</v>
      </c>
      <c r="C63" t="str">
        <f>Plan_Mantenciones!C43</f>
        <v>Maquinaria Pesada</v>
      </c>
      <c r="D63" s="11">
        <f ca="1">Plan_Mantenciones!I43</f>
        <v>46327</v>
      </c>
      <c r="E63">
        <f>Plan_Mantenciones!H43</f>
        <v>87</v>
      </c>
      <c r="F63" t="str">
        <f>Plan_Mantenciones!J43</f>
        <v>Operativo</v>
      </c>
      <c r="G63" t="str">
        <f>IF(AND(ISNUMBER(E63),E63&gt;=0,E63&lt;=90),"Sí","No")</f>
        <v>Sí</v>
      </c>
    </row>
    <row r="64" spans="1:7">
      <c r="A64" t="str">
        <f>Plan_Mantenciones!A202</f>
        <v>VD-60</v>
      </c>
      <c r="B64" t="str">
        <f>Plan_Mantenciones!B202</f>
        <v>Camioneta</v>
      </c>
      <c r="C64" t="str">
        <f>Plan_Mantenciones!C202</f>
        <v>Vehículos Livianos</v>
      </c>
      <c r="D64" s="11">
        <f ca="1">Plan_Mantenciones!I202</f>
        <v>46329</v>
      </c>
      <c r="E64">
        <f>Plan_Mantenciones!H202</f>
        <v>89</v>
      </c>
      <c r="F64" t="str">
        <f>Plan_Mantenciones!J202</f>
        <v>Operativo</v>
      </c>
      <c r="G64" t="str">
        <f>IF(AND(ISNUMBER(E64),E64&gt;=0,E64&lt;=90),"Sí","No")</f>
        <v>Sí</v>
      </c>
    </row>
    <row r="65" spans="1:7">
      <c r="A65" t="str">
        <f>Plan_Mantenciones!A143</f>
        <v>MD-89</v>
      </c>
      <c r="B65" t="str">
        <f>Plan_Mantenciones!B143</f>
        <v>Motoniveladora</v>
      </c>
      <c r="C65" t="str">
        <f>Plan_Mantenciones!C143</f>
        <v>Maquinaria Pesada</v>
      </c>
      <c r="D65" s="11">
        <f ca="1">Plan_Mantenciones!I143</f>
        <v>46333</v>
      </c>
      <c r="E65">
        <f>Plan_Mantenciones!H143</f>
        <v>93</v>
      </c>
      <c r="F65" t="str">
        <f>Plan_Mantenciones!J143</f>
        <v>Operativo</v>
      </c>
      <c r="G65" t="str">
        <f>IF(AND(ISNUMBER(E65),E65&gt;=0,E65&lt;=90),"Sí","No")</f>
        <v>No</v>
      </c>
    </row>
    <row r="66" spans="1:7">
      <c r="A66" t="str">
        <f>Plan_Mantenciones!A149</f>
        <v>MD-95</v>
      </c>
      <c r="B66" t="str">
        <f>Plan_Mantenciones!B149</f>
        <v>Retroexcavadora</v>
      </c>
      <c r="C66" t="str">
        <f>Plan_Mantenciones!C149</f>
        <v>Maquinaria Pesada</v>
      </c>
      <c r="D66" s="11">
        <f ca="1">Plan_Mantenciones!I149</f>
        <v>46334</v>
      </c>
      <c r="E66">
        <f>Plan_Mantenciones!H149</f>
        <v>94</v>
      </c>
      <c r="F66" t="str">
        <f>Plan_Mantenciones!J149</f>
        <v>Operativo</v>
      </c>
      <c r="G66" t="str">
        <f>IF(AND(ISNUMBER(E66),E66&gt;=0,E66&lt;=90),"Sí","No")</f>
        <v>No</v>
      </c>
    </row>
    <row r="67" spans="1:7">
      <c r="A67" t="str">
        <f>Plan_Mantenciones!A205</f>
        <v>VD-64</v>
      </c>
      <c r="B67" t="str">
        <f>Plan_Mantenciones!B205</f>
        <v>Camioneta</v>
      </c>
      <c r="C67" t="str">
        <f>Plan_Mantenciones!C205</f>
        <v>Vehículos Livianos</v>
      </c>
      <c r="D67" s="11">
        <f ca="1">Plan_Mantenciones!I205</f>
        <v>46336</v>
      </c>
      <c r="E67">
        <f>Plan_Mantenciones!H205</f>
        <v>96</v>
      </c>
      <c r="F67" t="str">
        <f>Plan_Mantenciones!J205</f>
        <v>Fuera de Servicio</v>
      </c>
      <c r="G67" t="str">
        <f>IF(AND(ISNUMBER(E67),E67&gt;=0,E67&lt;=90),"Sí","No")</f>
        <v>No</v>
      </c>
    </row>
    <row r="68" spans="1:7">
      <c r="A68" t="str">
        <f>Plan_Mantenciones!A200</f>
        <v>VD-58</v>
      </c>
      <c r="B68" t="str">
        <f>Plan_Mantenciones!B200</f>
        <v>Camioneta</v>
      </c>
      <c r="C68" t="str">
        <f>Plan_Mantenciones!C200</f>
        <v>Vehículos Livianos</v>
      </c>
      <c r="D68" s="11">
        <f ca="1">Plan_Mantenciones!I200</f>
        <v>46336</v>
      </c>
      <c r="E68">
        <f>Plan_Mantenciones!H200</f>
        <v>96</v>
      </c>
      <c r="F68" t="str">
        <f>Plan_Mantenciones!J200</f>
        <v>Operativo</v>
      </c>
      <c r="G68" t="str">
        <f>IF(AND(ISNUMBER(E68),E68&gt;=0,E68&lt;=90),"Sí","No")</f>
        <v>No</v>
      </c>
    </row>
    <row r="69" spans="1:7">
      <c r="A69" t="str">
        <f>Plan_Mantenciones!A234</f>
        <v>VD-95</v>
      </c>
      <c r="B69" t="str">
        <f>Plan_Mantenciones!B234</f>
        <v>Camioneta</v>
      </c>
      <c r="C69" t="str">
        <f>Plan_Mantenciones!C234</f>
        <v>Vehículos Livianos</v>
      </c>
      <c r="D69" s="11">
        <f ca="1">Plan_Mantenciones!I234</f>
        <v>46341</v>
      </c>
      <c r="E69">
        <f>Plan_Mantenciones!H234</f>
        <v>101</v>
      </c>
      <c r="F69" t="str">
        <f>Plan_Mantenciones!J234</f>
        <v>Operativo</v>
      </c>
      <c r="G69" t="str">
        <f>IF(AND(ISNUMBER(E69),E69&gt;=0,E69&lt;=90),"Sí","No")</f>
        <v>No</v>
      </c>
    </row>
    <row r="70" spans="1:7">
      <c r="A70" t="str">
        <f>Plan_Mantenciones!A177</f>
        <v>VD-124</v>
      </c>
      <c r="B70" t="str">
        <f>Plan_Mantenciones!B177</f>
        <v>Furgon</v>
      </c>
      <c r="C70" t="str">
        <f>Plan_Mantenciones!C177</f>
        <v>Vehículos Livianos</v>
      </c>
      <c r="D70" s="11">
        <f ca="1">Plan_Mantenciones!I177</f>
        <v>46341</v>
      </c>
      <c r="E70">
        <f>Plan_Mantenciones!H177</f>
        <v>101</v>
      </c>
      <c r="F70" t="str">
        <f>Plan_Mantenciones!J177</f>
        <v>Operativo</v>
      </c>
      <c r="G70" t="str">
        <f>IF(AND(ISNUMBER(E70),E70&gt;=0,E70&lt;=90),"Sí","No")</f>
        <v>No</v>
      </c>
    </row>
    <row r="71" spans="1:7">
      <c r="A71" t="str">
        <f>Plan_Mantenciones!A171</f>
        <v>VD-118</v>
      </c>
      <c r="B71" t="str">
        <f>Plan_Mantenciones!B171</f>
        <v>Furgon</v>
      </c>
      <c r="C71" t="str">
        <f>Plan_Mantenciones!C171</f>
        <v>Vehículos Livianos</v>
      </c>
      <c r="D71" s="11">
        <f ca="1">Plan_Mantenciones!I171</f>
        <v>46341</v>
      </c>
      <c r="E71">
        <f>Plan_Mantenciones!H171</f>
        <v>101</v>
      </c>
      <c r="F71" t="str">
        <f>Plan_Mantenciones!J171</f>
        <v>Operativo</v>
      </c>
      <c r="G71" t="str">
        <f>IF(AND(ISNUMBER(E71),E71&gt;=0,E71&lt;=90),"Sí","No")</f>
        <v>No</v>
      </c>
    </row>
    <row r="72" spans="1:7">
      <c r="A72" t="str">
        <f>Plan_Mantenciones!A216</f>
        <v>VD-77</v>
      </c>
      <c r="B72" t="str">
        <f>Plan_Mantenciones!B216</f>
        <v>Camioneta</v>
      </c>
      <c r="C72" t="str">
        <f>Plan_Mantenciones!C216</f>
        <v>Vehículos Livianos</v>
      </c>
      <c r="D72" s="11">
        <f ca="1">Plan_Mantenciones!I216</f>
        <v>46342</v>
      </c>
      <c r="E72">
        <f>Plan_Mantenciones!H216</f>
        <v>102</v>
      </c>
      <c r="F72" t="str">
        <f>Plan_Mantenciones!J216</f>
        <v>Operativo</v>
      </c>
      <c r="G72" t="str">
        <f>IF(AND(ISNUMBER(E72),E72&gt;=0,E72&lt;=90),"Sí","No")</f>
        <v>No</v>
      </c>
    </row>
    <row r="73" spans="1:7">
      <c r="A73" t="str">
        <f>Plan_Mantenciones!A181</f>
        <v>VD-128</v>
      </c>
      <c r="B73" t="str">
        <f>Plan_Mantenciones!B181</f>
        <v>Camioneta</v>
      </c>
      <c r="C73" t="str">
        <f>Plan_Mantenciones!C181</f>
        <v>Vehículos Livianos</v>
      </c>
      <c r="D73" s="11">
        <f ca="1">Plan_Mantenciones!I181</f>
        <v>46343</v>
      </c>
      <c r="E73">
        <f>Plan_Mantenciones!H181</f>
        <v>103</v>
      </c>
      <c r="F73" t="str">
        <f>Plan_Mantenciones!J181</f>
        <v>Operativo</v>
      </c>
      <c r="G73" t="str">
        <f>IF(AND(ISNUMBER(E73),E73&gt;=0,E73&lt;=90),"Sí","No")</f>
        <v>No</v>
      </c>
    </row>
    <row r="74" spans="1:7">
      <c r="A74" t="str">
        <f>Plan_Mantenciones!A62</f>
        <v>CD-94</v>
      </c>
      <c r="B74" t="str">
        <f>Plan_Mantenciones!B62</f>
        <v>Camión Tolva</v>
      </c>
      <c r="C74" t="str">
        <f>Plan_Mantenciones!C62</f>
        <v>Camiones de Ruta</v>
      </c>
      <c r="D74" s="11">
        <f ca="1">Plan_Mantenciones!I62</f>
        <v>46345</v>
      </c>
      <c r="E74">
        <f>Plan_Mantenciones!H62</f>
        <v>105</v>
      </c>
      <c r="F74" t="str">
        <f>Plan_Mantenciones!J62</f>
        <v>Operativo</v>
      </c>
      <c r="G74" t="str">
        <f>IF(AND(ISNUMBER(E74),E74&gt;=0,E74&lt;=90),"Sí","No")</f>
        <v>No</v>
      </c>
    </row>
    <row r="75" spans="1:7">
      <c r="A75" t="str">
        <f>Plan_Mantenciones!A79</f>
        <v>EQP-16</v>
      </c>
      <c r="B75" t="str">
        <f>Plan_Mantenciones!B79</f>
        <v>Planta aridos</v>
      </c>
      <c r="C75" t="str">
        <f>Plan_Mantenciones!C79</f>
        <v>Maquinaria Pesada</v>
      </c>
      <c r="D75" s="11">
        <f ca="1">Plan_Mantenciones!I79</f>
        <v>46347</v>
      </c>
      <c r="E75">
        <f>Plan_Mantenciones!H79</f>
        <v>107</v>
      </c>
      <c r="F75" t="str">
        <f>Plan_Mantenciones!J79</f>
        <v>Operativo</v>
      </c>
      <c r="G75" t="str">
        <f>IF(AND(ISNUMBER(E75),E75&gt;=0,E75&lt;=90),"Sí","No")</f>
        <v>No</v>
      </c>
    </row>
    <row r="76" spans="1:7">
      <c r="A76" t="str">
        <f>Plan_Mantenciones!A73</f>
        <v>ED-73</v>
      </c>
      <c r="B76" t="str">
        <f>Plan_Mantenciones!B73</f>
        <v>Gravilladora</v>
      </c>
      <c r="C76" t="str">
        <f>Plan_Mantenciones!C73</f>
        <v>Maquinaria Pesada</v>
      </c>
      <c r="D76" s="11">
        <f ca="1">Plan_Mantenciones!I73</f>
        <v>46347</v>
      </c>
      <c r="E76">
        <f>Plan_Mantenciones!H73</f>
        <v>107</v>
      </c>
      <c r="F76" t="str">
        <f>Plan_Mantenciones!J73</f>
        <v>Taller</v>
      </c>
      <c r="G76" t="str">
        <f>IF(AND(ISNUMBER(E76),E76&gt;=0,E76&lt;=90),"Sí","No")</f>
        <v>No</v>
      </c>
    </row>
    <row r="77" spans="1:7">
      <c r="A77" t="str">
        <f>Plan_Mantenciones!A25</f>
        <v>CD-122</v>
      </c>
      <c r="B77" t="str">
        <f>Plan_Mantenciones!B25</f>
        <v>Camión Tolva</v>
      </c>
      <c r="C77" t="str">
        <f>Plan_Mantenciones!C25</f>
        <v>Camiones de Ruta</v>
      </c>
      <c r="D77" s="11">
        <f ca="1">Plan_Mantenciones!I25</f>
        <v>46348</v>
      </c>
      <c r="E77">
        <f>Plan_Mantenciones!H25</f>
        <v>108</v>
      </c>
      <c r="F77" t="str">
        <f>Plan_Mantenciones!J25</f>
        <v>Operativo</v>
      </c>
      <c r="G77" t="str">
        <f>IF(AND(ISNUMBER(E77),E77&gt;=0,E77&lt;=90),"Sí","No")</f>
        <v>No</v>
      </c>
    </row>
    <row r="78" spans="1:7">
      <c r="A78" t="str">
        <f>Plan_Mantenciones!A231</f>
        <v>VD-92</v>
      </c>
      <c r="B78" t="str">
        <f>Plan_Mantenciones!B231</f>
        <v>Camioneta</v>
      </c>
      <c r="C78" t="str">
        <f>Plan_Mantenciones!C231</f>
        <v>Vehículos Livianos</v>
      </c>
      <c r="D78" s="11">
        <f ca="1">Plan_Mantenciones!I231</f>
        <v>46349</v>
      </c>
      <c r="E78">
        <f>Plan_Mantenciones!H231</f>
        <v>109</v>
      </c>
      <c r="F78" t="str">
        <f>Plan_Mantenciones!J231</f>
        <v>Operativo</v>
      </c>
      <c r="G78" t="str">
        <f>IF(AND(ISNUMBER(E78),E78&gt;=0,E78&lt;=90),"Sí","No")</f>
        <v>No</v>
      </c>
    </row>
    <row r="79" spans="1:7">
      <c r="A79" t="str">
        <f>Plan_Mantenciones!A192</f>
        <v>VD-139</v>
      </c>
      <c r="B79" t="str">
        <f>Plan_Mantenciones!B192</f>
        <v>Camioneta</v>
      </c>
      <c r="C79" t="str">
        <f>Plan_Mantenciones!C192</f>
        <v>Vehículos Livianos</v>
      </c>
      <c r="D79" s="11">
        <f ca="1">Plan_Mantenciones!I192</f>
        <v>46353</v>
      </c>
      <c r="E79">
        <f>Plan_Mantenciones!H192</f>
        <v>113</v>
      </c>
      <c r="F79" t="str">
        <f>Plan_Mantenciones!J192</f>
        <v>Operativo</v>
      </c>
      <c r="G79" t="str">
        <f>IF(AND(ISNUMBER(E79),E79&gt;=0,E79&lt;=90),"Sí","No")</f>
        <v>No</v>
      </c>
    </row>
    <row r="80" spans="1:7">
      <c r="A80" t="str">
        <f>Plan_Mantenciones!A170</f>
        <v>VD-117</v>
      </c>
      <c r="B80" t="str">
        <f>Plan_Mantenciones!B170</f>
        <v>Furgon</v>
      </c>
      <c r="C80" t="str">
        <f>Plan_Mantenciones!C170</f>
        <v>Vehículos Livianos</v>
      </c>
      <c r="D80" s="11">
        <f ca="1">Plan_Mantenciones!I170</f>
        <v>46353</v>
      </c>
      <c r="E80">
        <f>Plan_Mantenciones!H170</f>
        <v>113</v>
      </c>
      <c r="F80" t="str">
        <f>Plan_Mantenciones!J170</f>
        <v>Operativo</v>
      </c>
      <c r="G80" t="str">
        <f>IF(AND(ISNUMBER(E80),E80&gt;=0,E80&lt;=90),"Sí","No")</f>
        <v>No</v>
      </c>
    </row>
    <row r="81" spans="1:7">
      <c r="A81" t="str">
        <f>Plan_Mantenciones!A155</f>
        <v>VD-101</v>
      </c>
      <c r="B81" t="str">
        <f>Plan_Mantenciones!B155</f>
        <v>Camioneta</v>
      </c>
      <c r="C81" t="str">
        <f>Plan_Mantenciones!C155</f>
        <v>Vehículos Livianos</v>
      </c>
      <c r="D81" s="11">
        <f ca="1">Plan_Mantenciones!I155</f>
        <v>46354</v>
      </c>
      <c r="E81">
        <f>Plan_Mantenciones!H155</f>
        <v>114</v>
      </c>
      <c r="F81" t="str">
        <f>Plan_Mantenciones!J155</f>
        <v>Operativo</v>
      </c>
      <c r="G81" t="str">
        <f>IF(AND(ISNUMBER(E81),E81&gt;=0,E81&lt;=90),"Sí","No")</f>
        <v>No</v>
      </c>
    </row>
    <row r="82" spans="1:7">
      <c r="A82" t="str">
        <f>Plan_Mantenciones!A56</f>
        <v>CD-88</v>
      </c>
      <c r="B82" t="str">
        <f>Plan_Mantenciones!B56</f>
        <v>Camión Tolva</v>
      </c>
      <c r="C82" t="str">
        <f>Plan_Mantenciones!C56</f>
        <v>Camiones de Ruta</v>
      </c>
      <c r="D82" s="11">
        <f ca="1">Plan_Mantenciones!I56</f>
        <v>46790</v>
      </c>
      <c r="E82">
        <f>Plan_Mantenciones!H56</f>
        <v>550</v>
      </c>
      <c r="F82" t="str">
        <f>Plan_Mantenciones!J56</f>
        <v>Operativo</v>
      </c>
      <c r="G82" t="str">
        <f>IF(AND(ISNUMBER(E82),E82&gt;=0,E82&lt;=90),"Sí","No")</f>
        <v>No</v>
      </c>
    </row>
    <row r="83" spans="1:7">
      <c r="A83" t="str">
        <f>Plan_Mantenciones!A57</f>
        <v>CD-89</v>
      </c>
      <c r="B83" t="str">
        <f>Plan_Mantenciones!B57</f>
        <v>Camión Tolva</v>
      </c>
      <c r="C83" t="str">
        <f>Plan_Mantenciones!C57</f>
        <v>Camiones de Ruta</v>
      </c>
      <c r="D83" s="11">
        <f ca="1">Plan_Mantenciones!I57</f>
        <v>46359</v>
      </c>
      <c r="E83">
        <f>Plan_Mantenciones!H57</f>
        <v>119</v>
      </c>
      <c r="F83" t="str">
        <f>Plan_Mantenciones!J57</f>
        <v>Operativo</v>
      </c>
      <c r="G83" t="str">
        <f>IF(AND(ISNUMBER(E83),E83&gt;=0,E83&lt;=90),"Sí","No")</f>
        <v>No</v>
      </c>
    </row>
    <row r="84" spans="1:7">
      <c r="A84" t="str">
        <f>Plan_Mantenciones!A175</f>
        <v>VD-122</v>
      </c>
      <c r="B84" t="str">
        <f>Plan_Mantenciones!B175</f>
        <v>Furgon</v>
      </c>
      <c r="C84" t="str">
        <f>Plan_Mantenciones!C175</f>
        <v>Vehículos Livianos</v>
      </c>
      <c r="D84" s="11">
        <f ca="1">Plan_Mantenciones!I175</f>
        <v>46362</v>
      </c>
      <c r="E84">
        <f>Plan_Mantenciones!H175</f>
        <v>122</v>
      </c>
      <c r="F84" t="str">
        <f>Plan_Mantenciones!J175</f>
        <v>Operativo</v>
      </c>
      <c r="G84" t="str">
        <f>IF(AND(ISNUMBER(E84),E84&gt;=0,E84&lt;=90),"Sí","No")</f>
        <v>No</v>
      </c>
    </row>
    <row r="85" spans="1:7">
      <c r="A85" t="str">
        <f>Plan_Mantenciones!A65</f>
        <v>CD-98</v>
      </c>
      <c r="B85" t="str">
        <f>Plan_Mantenciones!B65</f>
        <v>Camión Plano</v>
      </c>
      <c r="C85" t="str">
        <f>Plan_Mantenciones!C65</f>
        <v>Camiones de Ruta</v>
      </c>
      <c r="D85" s="11">
        <f ca="1">Plan_Mantenciones!I65</f>
        <v>46363</v>
      </c>
      <c r="E85">
        <f>Plan_Mantenciones!H65</f>
        <v>123</v>
      </c>
      <c r="F85" t="str">
        <f>Plan_Mantenciones!J65</f>
        <v>Operativo</v>
      </c>
      <c r="G85" t="str">
        <f>IF(AND(ISNUMBER(E85),E85&gt;=0,E85&lt;=90),"Sí","No")</f>
        <v>No</v>
      </c>
    </row>
    <row r="86" spans="1:7">
      <c r="A86" t="str">
        <f>Plan_Mantenciones!A12</f>
        <v>CD-109</v>
      </c>
      <c r="B86" t="str">
        <f>Plan_Mantenciones!B12</f>
        <v>Camión Plano</v>
      </c>
      <c r="C86" t="str">
        <f>Plan_Mantenciones!C12</f>
        <v>Camiones de Ruta</v>
      </c>
      <c r="D86" s="11">
        <f ca="1">Plan_Mantenciones!I12</f>
        <v>51187</v>
      </c>
      <c r="E86">
        <f>Plan_Mantenciones!H12</f>
        <v>4947</v>
      </c>
      <c r="F86" t="str">
        <f>Plan_Mantenciones!J12</f>
        <v>Operativo</v>
      </c>
      <c r="G86" t="str">
        <f>IF(AND(ISNUMBER(E86),E86&gt;=0,E86&lt;=90),"Sí","No")</f>
        <v>No</v>
      </c>
    </row>
    <row r="87" spans="1:7">
      <c r="A87" t="str">
        <f>Plan_Mantenciones!A182</f>
        <v>VD-129</v>
      </c>
      <c r="B87" t="str">
        <f>Plan_Mantenciones!B182</f>
        <v>Camioneta</v>
      </c>
      <c r="C87" t="str">
        <f>Plan_Mantenciones!C182</f>
        <v>Vehículos Livianos</v>
      </c>
      <c r="D87" s="11">
        <f ca="1">Plan_Mantenciones!I182</f>
        <v>46365</v>
      </c>
      <c r="E87">
        <f>Plan_Mantenciones!H182</f>
        <v>125</v>
      </c>
      <c r="F87" t="str">
        <f>Plan_Mantenciones!J182</f>
        <v>Operativo</v>
      </c>
      <c r="G87" t="str">
        <f>IF(AND(ISNUMBER(E87),E87&gt;=0,E87&lt;=90),"Sí","No")</f>
        <v>No</v>
      </c>
    </row>
    <row r="88" spans="1:7">
      <c r="A88" t="str">
        <f>Plan_Mantenciones!A24</f>
        <v>CD-121</v>
      </c>
      <c r="B88" t="str">
        <f>Plan_Mantenciones!B24</f>
        <v>Camión Tolva</v>
      </c>
      <c r="C88" t="str">
        <f>Plan_Mantenciones!C24</f>
        <v>Camiones de Ruta</v>
      </c>
      <c r="D88" s="11">
        <f ca="1">Plan_Mantenciones!I24</f>
        <v>46374</v>
      </c>
      <c r="E88">
        <f>Plan_Mantenciones!H24</f>
        <v>134</v>
      </c>
      <c r="F88" t="str">
        <f>Plan_Mantenciones!J24</f>
        <v>Operativo</v>
      </c>
      <c r="G88" t="str">
        <f>IF(AND(ISNUMBER(E88),E88&gt;=0,E88&lt;=90),"Sí","No")</f>
        <v>No</v>
      </c>
    </row>
    <row r="89" spans="1:7">
      <c r="A89" t="str">
        <f>Plan_Mantenciones!A226</f>
        <v>VD-87</v>
      </c>
      <c r="B89" t="str">
        <f>Plan_Mantenciones!B226</f>
        <v>Camioneta</v>
      </c>
      <c r="C89" t="str">
        <f>Plan_Mantenciones!C226</f>
        <v>Vehículos Livianos</v>
      </c>
      <c r="D89" s="11">
        <f ca="1">Plan_Mantenciones!I226</f>
        <v>46374</v>
      </c>
      <c r="E89">
        <f>Plan_Mantenciones!H226</f>
        <v>134</v>
      </c>
      <c r="F89" t="str">
        <f>Plan_Mantenciones!J226</f>
        <v>Operativo</v>
      </c>
      <c r="G89" t="str">
        <f>IF(AND(ISNUMBER(E89),E89&gt;=0,E89&lt;=90),"Sí","No")</f>
        <v>No</v>
      </c>
    </row>
    <row r="90" spans="1:7">
      <c r="A90" t="str">
        <f>Plan_Mantenciones!A179</f>
        <v>VD-126</v>
      </c>
      <c r="B90" t="str">
        <f>Plan_Mantenciones!B179</f>
        <v>Camioneta</v>
      </c>
      <c r="C90" t="str">
        <f>Plan_Mantenciones!C179</f>
        <v>Vehículos Livianos</v>
      </c>
      <c r="D90" s="11">
        <f ca="1">Plan_Mantenciones!I179</f>
        <v>46375</v>
      </c>
      <c r="E90">
        <f>Plan_Mantenciones!H179</f>
        <v>135</v>
      </c>
      <c r="F90" t="str">
        <f>Plan_Mantenciones!J179</f>
        <v>Operativo</v>
      </c>
      <c r="G90" t="str">
        <f>IF(AND(ISNUMBER(E90),E90&gt;=0,E90&lt;=90),"Sí","No")</f>
        <v>No</v>
      </c>
    </row>
    <row r="91" spans="1:7">
      <c r="A91" t="str">
        <f>Plan_Mantenciones!A109</f>
        <v>MD-49</v>
      </c>
      <c r="B91" t="str">
        <f>Plan_Mantenciones!B109</f>
        <v>Retroexcavadora</v>
      </c>
      <c r="C91" t="str">
        <f>Plan_Mantenciones!C109</f>
        <v>Maquinaria Pesada</v>
      </c>
      <c r="D91" s="11">
        <f ca="1">Plan_Mantenciones!I109</f>
        <v>53089</v>
      </c>
      <c r="E91">
        <f>Plan_Mantenciones!H109</f>
        <v>6849</v>
      </c>
      <c r="F91" t="str">
        <f>Plan_Mantenciones!J109</f>
        <v>Operativo</v>
      </c>
      <c r="G91" t="str">
        <f>IF(AND(ISNUMBER(E91),E91&gt;=0,E91&lt;=90),"Sí","No")</f>
        <v>No</v>
      </c>
    </row>
    <row r="92" spans="1:7">
      <c r="A92" t="str">
        <f>Plan_Mantenciones!A184</f>
        <v>VD-131</v>
      </c>
      <c r="B92" t="str">
        <f>Plan_Mantenciones!B184</f>
        <v>Camioneta</v>
      </c>
      <c r="C92" t="str">
        <f>Plan_Mantenciones!C184</f>
        <v>Vehículos Livianos</v>
      </c>
      <c r="D92" s="11">
        <f ca="1">Plan_Mantenciones!I184</f>
        <v>46382</v>
      </c>
      <c r="E92">
        <f>Plan_Mantenciones!H184</f>
        <v>142</v>
      </c>
      <c r="F92" t="str">
        <f>Plan_Mantenciones!J184</f>
        <v>Operativo</v>
      </c>
      <c r="G92" t="str">
        <f>IF(AND(ISNUMBER(E92),E92&gt;=0,E92&lt;=90),"Sí","No")</f>
        <v>No</v>
      </c>
    </row>
    <row r="93" spans="1:7">
      <c r="A93" t="str">
        <f>Plan_Mantenciones!A142</f>
        <v>MD-88</v>
      </c>
      <c r="B93" t="str">
        <f>Plan_Mantenciones!B142</f>
        <v>Excavadora</v>
      </c>
      <c r="C93" t="str">
        <f>Plan_Mantenciones!C142</f>
        <v>Maquinaria Pesada</v>
      </c>
      <c r="D93" s="11">
        <f ca="1">Plan_Mantenciones!I142</f>
        <v>46383</v>
      </c>
      <c r="E93">
        <f>Plan_Mantenciones!H142</f>
        <v>143</v>
      </c>
      <c r="F93" t="str">
        <f>Plan_Mantenciones!J142</f>
        <v>Operativo</v>
      </c>
      <c r="G93" t="str">
        <f>IF(AND(ISNUMBER(E93),E93&gt;=0,E93&lt;=90),"Sí","No")</f>
        <v>No</v>
      </c>
    </row>
    <row r="94" spans="1:7">
      <c r="A94" t="str">
        <f>Plan_Mantenciones!A10</f>
        <v>CD-107</v>
      </c>
      <c r="B94" t="str">
        <f>Plan_Mantenciones!B10</f>
        <v>Camión Tolva</v>
      </c>
      <c r="C94" t="str">
        <f>Plan_Mantenciones!C10</f>
        <v>Camiones de Ruta</v>
      </c>
      <c r="D94" s="11">
        <f ca="1">Plan_Mantenciones!I10</f>
        <v>46385</v>
      </c>
      <c r="E94">
        <f>Plan_Mantenciones!H10</f>
        <v>145</v>
      </c>
      <c r="F94" t="str">
        <f>Plan_Mantenciones!J10</f>
        <v>Operativo</v>
      </c>
      <c r="G94" t="str">
        <f>IF(AND(ISNUMBER(E94),E94&gt;=0,E94&lt;=90),"Sí","No")</f>
        <v>No</v>
      </c>
    </row>
    <row r="95" spans="1:7">
      <c r="A95" t="str">
        <f>Plan_Mantenciones!A193</f>
        <v>VD-140</v>
      </c>
      <c r="B95" t="str">
        <f>Plan_Mantenciones!B193</f>
        <v>Camioneta</v>
      </c>
      <c r="C95" t="str">
        <f>Plan_Mantenciones!C193</f>
        <v>Vehículos Livianos</v>
      </c>
      <c r="D95" s="11">
        <f ca="1">Plan_Mantenciones!I193</f>
        <v>46396</v>
      </c>
      <c r="E95">
        <f>Plan_Mantenciones!H193</f>
        <v>156</v>
      </c>
      <c r="F95" t="str">
        <f>Plan_Mantenciones!J193</f>
        <v>Operativo</v>
      </c>
      <c r="G95" t="str">
        <f>IF(AND(ISNUMBER(E95),E95&gt;=0,E95&lt;=90),"Sí","No")</f>
        <v>No</v>
      </c>
    </row>
    <row r="96" spans="1:7">
      <c r="A96" t="str">
        <f>Plan_Mantenciones!A233</f>
        <v>VD-94</v>
      </c>
      <c r="B96" t="str">
        <f>Plan_Mantenciones!B233</f>
        <v>Camioneta</v>
      </c>
      <c r="C96" t="str">
        <f>Plan_Mantenciones!C233</f>
        <v>Vehículos Livianos</v>
      </c>
      <c r="D96" s="11">
        <f ca="1">Plan_Mantenciones!I233</f>
        <v>46401</v>
      </c>
      <c r="E96">
        <f>Plan_Mantenciones!H233</f>
        <v>161</v>
      </c>
      <c r="F96" t="str">
        <f>Plan_Mantenciones!J233</f>
        <v>Operativo</v>
      </c>
      <c r="G96" t="str">
        <f>IF(AND(ISNUMBER(E96),E96&gt;=0,E96&lt;=90),"Sí","No")</f>
        <v>No</v>
      </c>
    </row>
    <row r="97" spans="1:7">
      <c r="A97" t="str">
        <f>Plan_Mantenciones!A119</f>
        <v>MD-61</v>
      </c>
      <c r="B97" t="str">
        <f>Plan_Mantenciones!B119</f>
        <v>Excavadora</v>
      </c>
      <c r="C97" t="str">
        <f>Plan_Mantenciones!C119</f>
        <v>Maquinaria Pesada</v>
      </c>
      <c r="D97" s="11">
        <f ca="1">Plan_Mantenciones!I119</f>
        <v>46403</v>
      </c>
      <c r="E97">
        <f>Plan_Mantenciones!H119</f>
        <v>163</v>
      </c>
      <c r="F97" t="str">
        <f>Plan_Mantenciones!J119</f>
        <v>Operativo</v>
      </c>
      <c r="G97" t="str">
        <f>IF(AND(ISNUMBER(E97),E97&gt;=0,E97&lt;=90),"Sí","No")</f>
        <v>No</v>
      </c>
    </row>
    <row r="98" spans="1:7">
      <c r="A98" t="str">
        <f>Plan_Mantenciones!A46</f>
        <v>CD-51</v>
      </c>
      <c r="B98" t="str">
        <f>Plan_Mantenciones!B46</f>
        <v>Camión Combustible</v>
      </c>
      <c r="C98" t="str">
        <f>Plan_Mantenciones!C46</f>
        <v>Camiones de Ruta</v>
      </c>
      <c r="D98" s="11">
        <f ca="1">Plan_Mantenciones!I46</f>
        <v>46403</v>
      </c>
      <c r="E98">
        <f>Plan_Mantenciones!H46</f>
        <v>163</v>
      </c>
      <c r="F98" t="str">
        <f>Plan_Mantenciones!J46</f>
        <v>Operativo</v>
      </c>
      <c r="G98" t="str">
        <f>IF(AND(ISNUMBER(E98),E98&gt;=0,E98&lt;=90),"Sí","No")</f>
        <v>No</v>
      </c>
    </row>
    <row r="99" spans="1:7">
      <c r="A99" t="str">
        <f>Plan_Mantenciones!A124</f>
        <v>MD-68</v>
      </c>
      <c r="B99" t="str">
        <f>Plan_Mantenciones!B124</f>
        <v>Rodillo</v>
      </c>
      <c r="C99" t="str">
        <f>Plan_Mantenciones!C124</f>
        <v>Maquinaria Pesada</v>
      </c>
      <c r="D99" s="11">
        <f ca="1">Plan_Mantenciones!I124</f>
        <v>46416</v>
      </c>
      <c r="E99">
        <f>Plan_Mantenciones!H124</f>
        <v>176</v>
      </c>
      <c r="F99" t="str">
        <f>Plan_Mantenciones!J124</f>
        <v>Operativo</v>
      </c>
      <c r="G99" t="str">
        <f>IF(AND(ISNUMBER(E99),E99&gt;=0,E99&lt;=90),"Sí","No")</f>
        <v>No</v>
      </c>
    </row>
    <row r="100" spans="1:7">
      <c r="A100" t="str">
        <f>Plan_Mantenciones!A189</f>
        <v>VD-136</v>
      </c>
      <c r="B100" t="str">
        <f>Plan_Mantenciones!B189</f>
        <v>Camioneta</v>
      </c>
      <c r="C100" t="str">
        <f>Plan_Mantenciones!C189</f>
        <v>Vehículos Livianos</v>
      </c>
      <c r="D100" s="11">
        <f ca="1">Plan_Mantenciones!I189</f>
        <v>46479</v>
      </c>
      <c r="E100">
        <f>Plan_Mantenciones!H189</f>
        <v>239</v>
      </c>
      <c r="F100" t="str">
        <f>Plan_Mantenciones!J189</f>
        <v>Operativo</v>
      </c>
      <c r="G100" t="str">
        <f>IF(AND(ISNUMBER(E100),E100&gt;=0,E100&lt;=90),"Sí","No")</f>
        <v>No</v>
      </c>
    </row>
    <row r="101" spans="1:7">
      <c r="A101" t="str">
        <f>Plan_Mantenciones!A227</f>
        <v>VD-88</v>
      </c>
      <c r="B101" t="str">
        <f>Plan_Mantenciones!B227</f>
        <v>Camioneta</v>
      </c>
      <c r="C101" t="str">
        <f>Plan_Mantenciones!C227</f>
        <v>Vehículos Livianos</v>
      </c>
      <c r="D101" s="11">
        <f ca="1">Plan_Mantenciones!I227</f>
        <v>46421</v>
      </c>
      <c r="E101">
        <f>Plan_Mantenciones!H227</f>
        <v>181</v>
      </c>
      <c r="F101" t="str">
        <f>Plan_Mantenciones!J227</f>
        <v>Operativo</v>
      </c>
      <c r="G101" t="str">
        <f>IF(AND(ISNUMBER(E101),E101&gt;=0,E101&lt;=90),"Sí","No")</f>
        <v>No</v>
      </c>
    </row>
    <row r="102" spans="1:7">
      <c r="A102" t="str">
        <f>Plan_Mantenciones!A176</f>
        <v>VD-123</v>
      </c>
      <c r="B102" t="str">
        <f>Plan_Mantenciones!B176</f>
        <v>Furgon</v>
      </c>
      <c r="C102" t="str">
        <f>Plan_Mantenciones!C176</f>
        <v>Vehículos Livianos</v>
      </c>
      <c r="D102" s="11">
        <f ca="1">Plan_Mantenciones!I176</f>
        <v>46427</v>
      </c>
      <c r="E102">
        <f>Plan_Mantenciones!H176</f>
        <v>187</v>
      </c>
      <c r="F102" t="str">
        <f>Plan_Mantenciones!J176</f>
        <v>Operativo</v>
      </c>
      <c r="G102" t="str">
        <f>IF(AND(ISNUMBER(E102),E102&gt;=0,E102&lt;=90),"Sí","No")</f>
        <v>No</v>
      </c>
    </row>
    <row r="103" spans="1:7">
      <c r="A103" t="str">
        <f>Plan_Mantenciones!A127</f>
        <v>MD-72</v>
      </c>
      <c r="B103" t="str">
        <f>Plan_Mantenciones!B127</f>
        <v>Retroexcavadora</v>
      </c>
      <c r="C103" t="str">
        <f>Plan_Mantenciones!C127</f>
        <v>Maquinaria Pesada</v>
      </c>
      <c r="D103" s="11">
        <f ca="1">Plan_Mantenciones!I127</f>
        <v>46431</v>
      </c>
      <c r="E103">
        <f>Plan_Mantenciones!H127</f>
        <v>191</v>
      </c>
      <c r="F103" t="str">
        <f>Plan_Mantenciones!J127</f>
        <v>Taller</v>
      </c>
      <c r="G103" t="str">
        <f>IF(AND(ISNUMBER(E103),E103&gt;=0,E103&lt;=90),"Sí","No")</f>
        <v>No</v>
      </c>
    </row>
    <row r="104" spans="1:7">
      <c r="A104" t="str">
        <f>Plan_Mantenciones!A107</f>
        <v>MD-46</v>
      </c>
      <c r="B104" t="str">
        <f>Plan_Mantenciones!B107</f>
        <v>Excavadora</v>
      </c>
      <c r="C104" t="str">
        <f>Plan_Mantenciones!C107</f>
        <v>Maquinaria Pesada</v>
      </c>
      <c r="D104" s="11">
        <f ca="1">Plan_Mantenciones!I107</f>
        <v>46446</v>
      </c>
      <c r="E104">
        <f>Plan_Mantenciones!H107</f>
        <v>206</v>
      </c>
      <c r="F104" t="str">
        <f>Plan_Mantenciones!J107</f>
        <v>Operativo</v>
      </c>
      <c r="G104" t="str">
        <f>IF(AND(ISNUMBER(E104),E104&gt;=0,E104&lt;=90),"Sí","No")</f>
        <v>No</v>
      </c>
    </row>
    <row r="105" spans="1:7">
      <c r="A105" t="str">
        <f>Plan_Mantenciones!A9</f>
        <v>CD-106</v>
      </c>
      <c r="B105" t="str">
        <f>Plan_Mantenciones!B9</f>
        <v>Camión Tolva</v>
      </c>
      <c r="C105" t="str">
        <f>Plan_Mantenciones!C9</f>
        <v>Camiones de Ruta</v>
      </c>
      <c r="D105" s="11">
        <f ca="1">Plan_Mantenciones!I9</f>
        <v>46455</v>
      </c>
      <c r="E105">
        <f>Plan_Mantenciones!H9</f>
        <v>215</v>
      </c>
      <c r="F105" t="str">
        <f>Plan_Mantenciones!J9</f>
        <v>Operativo</v>
      </c>
      <c r="G105" t="str">
        <f>IF(AND(ISNUMBER(E105),E105&gt;=0,E105&lt;=90),"Sí","No")</f>
        <v>No</v>
      </c>
    </row>
    <row r="106" spans="1:7">
      <c r="A106" t="str">
        <f>Plan_Mantenciones!A116</f>
        <v>MD-57</v>
      </c>
      <c r="B106" t="str">
        <f>Plan_Mantenciones!B116</f>
        <v>Excavadora</v>
      </c>
      <c r="C106" t="str">
        <f>Plan_Mantenciones!C116</f>
        <v>Maquinaria Pesada</v>
      </c>
      <c r="D106" s="11">
        <f ca="1">Plan_Mantenciones!I116</f>
        <v>46473</v>
      </c>
      <c r="E106">
        <f>Plan_Mantenciones!H116</f>
        <v>233</v>
      </c>
      <c r="F106" t="str">
        <f>Plan_Mantenciones!J116</f>
        <v>Operativo</v>
      </c>
      <c r="G106" t="str">
        <f>IF(AND(ISNUMBER(E106),E106&gt;=0,E106&lt;=90),"Sí","No")</f>
        <v>No</v>
      </c>
    </row>
    <row r="107" spans="1:7">
      <c r="A107" t="str">
        <f>Plan_Mantenciones!A217</f>
        <v>VD-78</v>
      </c>
      <c r="B107" t="str">
        <f>Plan_Mantenciones!B217</f>
        <v>Camioneta</v>
      </c>
      <c r="C107" t="str">
        <f>Plan_Mantenciones!C217</f>
        <v>Vehículos Livianos</v>
      </c>
      <c r="D107" s="11">
        <f ca="1">Plan_Mantenciones!I217</f>
        <v>46484</v>
      </c>
      <c r="E107">
        <f>Plan_Mantenciones!H217</f>
        <v>244</v>
      </c>
      <c r="F107" t="str">
        <f>Plan_Mantenciones!J217</f>
        <v>Operativo</v>
      </c>
      <c r="G107" t="str">
        <f>IF(AND(ISNUMBER(E107),E107&gt;=0,E107&lt;=90),"Sí","No")</f>
        <v>No</v>
      </c>
    </row>
    <row r="108" spans="1:7">
      <c r="A108" t="str">
        <f>Plan_Mantenciones!A39</f>
        <v>CD-136</v>
      </c>
      <c r="B108" t="str">
        <f>Plan_Mantenciones!B39</f>
        <v>Camión Combustible</v>
      </c>
      <c r="C108" t="str">
        <f>Plan_Mantenciones!C39</f>
        <v>Camiones de Ruta</v>
      </c>
      <c r="D108" s="11">
        <f ca="1">Plan_Mantenciones!I39</f>
        <v>46509</v>
      </c>
      <c r="E108">
        <f>Plan_Mantenciones!H39</f>
        <v>269</v>
      </c>
      <c r="F108" t="str">
        <f>Plan_Mantenciones!J39</f>
        <v>Operativo</v>
      </c>
      <c r="G108" t="str">
        <f>IF(AND(ISNUMBER(E108),E108&gt;=0,E108&lt;=90),"Sí","No")</f>
        <v>No</v>
      </c>
    </row>
    <row r="109" spans="1:7">
      <c r="A109" t="str">
        <f>Plan_Mantenciones!A230</f>
        <v>VD-91</v>
      </c>
      <c r="B109" t="str">
        <f>Plan_Mantenciones!B230</f>
        <v>Camioneta</v>
      </c>
      <c r="C109" t="str">
        <f>Plan_Mantenciones!C230</f>
        <v>Vehículos Livianos</v>
      </c>
      <c r="D109" s="11">
        <f ca="1">Plan_Mantenciones!I230</f>
        <v>46510</v>
      </c>
      <c r="E109">
        <f>Plan_Mantenciones!H230</f>
        <v>270</v>
      </c>
      <c r="F109" t="str">
        <f>Plan_Mantenciones!J230</f>
        <v>Operativo</v>
      </c>
      <c r="G109" t="str">
        <f>IF(AND(ISNUMBER(E109),E109&gt;=0,E109&lt;=90),"Sí","No")</f>
        <v>No</v>
      </c>
    </row>
    <row r="110" spans="1:7">
      <c r="A110" t="str">
        <f>Plan_Mantenciones!A154</f>
        <v>VD-100</v>
      </c>
      <c r="B110" t="str">
        <f>Plan_Mantenciones!B154</f>
        <v>Camioneta</v>
      </c>
      <c r="C110" t="str">
        <f>Plan_Mantenciones!C154</f>
        <v>Vehículos Livianos</v>
      </c>
      <c r="D110" s="11">
        <f ca="1">Plan_Mantenciones!I154</f>
        <v>46513</v>
      </c>
      <c r="E110">
        <f>Plan_Mantenciones!H154</f>
        <v>273</v>
      </c>
      <c r="F110" t="str">
        <f>Plan_Mantenciones!J154</f>
        <v>Operativo</v>
      </c>
      <c r="G110" t="str">
        <f>IF(AND(ISNUMBER(E110),E110&gt;=0,E110&lt;=90),"Sí","No")</f>
        <v>No</v>
      </c>
    </row>
    <row r="111" spans="1:7">
      <c r="A111" t="str">
        <f>Plan_Mantenciones!A125</f>
        <v>MD-70</v>
      </c>
      <c r="B111" t="str">
        <f>Plan_Mantenciones!B125</f>
        <v>Excavadora con Ruedas</v>
      </c>
      <c r="C111" t="str">
        <f>Plan_Mantenciones!C125</f>
        <v>Maquinaria Pesada</v>
      </c>
      <c r="D111" s="11">
        <f ca="1">Plan_Mantenciones!I125</f>
        <v>46820</v>
      </c>
      <c r="E111">
        <f>Plan_Mantenciones!H125</f>
        <v>580</v>
      </c>
      <c r="F111" t="str">
        <f>Plan_Mantenciones!J125</f>
        <v>Operativo</v>
      </c>
      <c r="G111" t="str">
        <f>IF(AND(ISNUMBER(E111),E111&gt;=0,E111&lt;=90),"Sí","No")</f>
        <v>No</v>
      </c>
    </row>
    <row r="112" spans="1:7">
      <c r="A112" t="str">
        <f>Plan_Mantenciones!A4</f>
        <v>CD-100</v>
      </c>
      <c r="B112" t="str">
        <f>Plan_Mantenciones!B4</f>
        <v>Camión Slurry</v>
      </c>
      <c r="C112" t="str">
        <f>Plan_Mantenciones!C4</f>
        <v>Camiones de Ruta</v>
      </c>
      <c r="D112" s="11">
        <f ca="1">Plan_Mantenciones!I4</f>
        <v>46520</v>
      </c>
      <c r="E112">
        <f>Plan_Mantenciones!H4</f>
        <v>280</v>
      </c>
      <c r="F112" t="str">
        <f>Plan_Mantenciones!J4</f>
        <v>Operativo</v>
      </c>
      <c r="G112" t="str">
        <f>IF(AND(ISNUMBER(E112),E112&gt;=0,E112&lt;=90),"Sí","No")</f>
        <v>No</v>
      </c>
    </row>
    <row r="113" spans="1:7">
      <c r="A113" t="str">
        <f>Plan_Mantenciones!A238</f>
        <v>VD-99</v>
      </c>
      <c r="B113" t="str">
        <f>Plan_Mantenciones!B238</f>
        <v>Camioneta</v>
      </c>
      <c r="C113" t="str">
        <f>Plan_Mantenciones!C238</f>
        <v>Vehículos Livianos</v>
      </c>
      <c r="D113" s="11">
        <f ca="1">Plan_Mantenciones!I238</f>
        <v>46529</v>
      </c>
      <c r="E113">
        <f>Plan_Mantenciones!H238</f>
        <v>289</v>
      </c>
      <c r="F113" t="str">
        <f>Plan_Mantenciones!J238</f>
        <v>Fuera de Servicio</v>
      </c>
      <c r="G113" t="str">
        <f>IF(AND(ISNUMBER(E113),E113&gt;=0,E113&lt;=90),"Sí","No")</f>
        <v>No</v>
      </c>
    </row>
    <row r="114" spans="1:7">
      <c r="A114" t="str">
        <f>Plan_Mantenciones!A23</f>
        <v>CD-120</v>
      </c>
      <c r="B114" t="str">
        <f>Plan_Mantenciones!B23</f>
        <v>Camión Tolva</v>
      </c>
      <c r="C114" t="str">
        <f>Plan_Mantenciones!C23</f>
        <v>Camiones de Ruta</v>
      </c>
      <c r="D114" s="11">
        <f ca="1">Plan_Mantenciones!I23</f>
        <v>46534</v>
      </c>
      <c r="E114">
        <f>Plan_Mantenciones!H23</f>
        <v>294</v>
      </c>
      <c r="F114" t="str">
        <f>Plan_Mantenciones!J23</f>
        <v>Operativo</v>
      </c>
      <c r="G114" t="str">
        <f>IF(AND(ISNUMBER(E114),E114&gt;=0,E114&lt;=90),"Sí","No")</f>
        <v>No</v>
      </c>
    </row>
    <row r="115" spans="1:7">
      <c r="A115" t="str">
        <f>Plan_Mantenciones!A188</f>
        <v>VD-135</v>
      </c>
      <c r="B115" t="str">
        <f>Plan_Mantenciones!B188</f>
        <v>Camioneta</v>
      </c>
      <c r="C115" t="str">
        <f>Plan_Mantenciones!C188</f>
        <v>Vehículos Livianos</v>
      </c>
      <c r="D115" s="11">
        <f ca="1">Plan_Mantenciones!I188</f>
        <v>46553</v>
      </c>
      <c r="E115">
        <f>Plan_Mantenciones!H188</f>
        <v>313</v>
      </c>
      <c r="F115" t="str">
        <f>Plan_Mantenciones!J188</f>
        <v>Operativo</v>
      </c>
      <c r="G115" t="str">
        <f>IF(AND(ISNUMBER(E115),E115&gt;=0,E115&lt;=90),"Sí","No")</f>
        <v>No</v>
      </c>
    </row>
    <row r="116" spans="1:7">
      <c r="A116" t="str">
        <f>Plan_Mantenciones!A140</f>
        <v>MD-85</v>
      </c>
      <c r="B116" t="str">
        <f>Plan_Mantenciones!B140</f>
        <v>Motoniveladora</v>
      </c>
      <c r="C116" t="str">
        <f>Plan_Mantenciones!C140</f>
        <v>Maquinaria Pesada</v>
      </c>
      <c r="D116" s="11">
        <f ca="1">Plan_Mantenciones!I140</f>
        <v>46561</v>
      </c>
      <c r="E116">
        <f>Plan_Mantenciones!H140</f>
        <v>321</v>
      </c>
      <c r="F116" t="str">
        <f>Plan_Mantenciones!J140</f>
        <v>Operativo</v>
      </c>
      <c r="G116" t="str">
        <f>IF(AND(ISNUMBER(E116),E116&gt;=0,E116&lt;=90),"Sí","No")</f>
        <v>No</v>
      </c>
    </row>
    <row r="117" spans="1:7">
      <c r="A117" t="str">
        <f>Plan_Mantenciones!A214</f>
        <v>VD-75</v>
      </c>
      <c r="B117" t="str">
        <f>Plan_Mantenciones!B214</f>
        <v>Camioneta</v>
      </c>
      <c r="C117" t="str">
        <f>Plan_Mantenciones!C214</f>
        <v>Vehículos Livianos</v>
      </c>
      <c r="D117" s="11">
        <f ca="1">Plan_Mantenciones!I214</f>
        <v>46629</v>
      </c>
      <c r="E117">
        <f>Plan_Mantenciones!H214</f>
        <v>389</v>
      </c>
      <c r="F117" t="str">
        <f>Plan_Mantenciones!J214</f>
        <v>Fuera de Servicio</v>
      </c>
      <c r="G117" t="str">
        <f>IF(AND(ISNUMBER(E117),E117&gt;=0,E117&lt;=90),"Sí","No")</f>
        <v>No</v>
      </c>
    </row>
    <row r="118" spans="1:7">
      <c r="A118" t="str">
        <f>Plan_Mantenciones!A224</f>
        <v>VD-85</v>
      </c>
      <c r="B118" t="str">
        <f>Plan_Mantenciones!B224</f>
        <v>Furgon</v>
      </c>
      <c r="C118" t="str">
        <f>Plan_Mantenciones!C224</f>
        <v>Vehículos Livianos</v>
      </c>
      <c r="D118" s="11">
        <f ca="1">Plan_Mantenciones!I224</f>
        <v>46743</v>
      </c>
      <c r="E118">
        <f>Plan_Mantenciones!H224</f>
        <v>503</v>
      </c>
      <c r="F118" t="str">
        <f>Plan_Mantenciones!J224</f>
        <v>Operativo</v>
      </c>
      <c r="G118" t="str">
        <f>IF(AND(ISNUMBER(E118),E118&gt;=0,E118&lt;=90),"Sí","No")</f>
        <v>No</v>
      </c>
    </row>
    <row r="119" spans="1:7">
      <c r="A119" t="str">
        <f>Plan_Mantenciones!A113</f>
        <v>MD-53</v>
      </c>
      <c r="B119" t="str">
        <f>Plan_Mantenciones!B113</f>
        <v>Rodillo Doble Tambor</v>
      </c>
      <c r="C119" t="str">
        <f>Plan_Mantenciones!C113</f>
        <v>Maquinaria Pesada</v>
      </c>
      <c r="D119" s="11">
        <f ca="1">Plan_Mantenciones!I113</f>
        <v>46824</v>
      </c>
      <c r="E119">
        <f>Plan_Mantenciones!H113</f>
        <v>584</v>
      </c>
      <c r="F119" t="str">
        <f>Plan_Mantenciones!J113</f>
        <v>Operativo</v>
      </c>
      <c r="G119" t="str">
        <f>IF(AND(ISNUMBER(E119),E119&gt;=0,E119&lt;=90),"Sí","No")</f>
        <v>No</v>
      </c>
    </row>
    <row r="120" spans="1:7">
      <c r="A120" t="str">
        <f>Plan_Mantenciones!A130</f>
        <v>MD-75</v>
      </c>
      <c r="B120" t="str">
        <f>Plan_Mantenciones!B130</f>
        <v>Retroexcavadora</v>
      </c>
      <c r="C120" t="str">
        <f>Plan_Mantenciones!C130</f>
        <v>Maquinaria Pesada</v>
      </c>
      <c r="D120" s="11">
        <f ca="1">Plan_Mantenciones!I130</f>
        <v>49373</v>
      </c>
      <c r="E120">
        <f>Plan_Mantenciones!H130</f>
        <v>3133</v>
      </c>
      <c r="F120" t="str">
        <f>Plan_Mantenciones!J130</f>
        <v>Operativo</v>
      </c>
      <c r="G120" t="str">
        <f>IF(AND(ISNUMBER(E120),E120&gt;=0,E120&lt;=90),"Sí","No")</f>
        <v>No</v>
      </c>
    </row>
    <row r="121" spans="1:7">
      <c r="A121" t="str">
        <f>Plan_Mantenciones!A151</f>
        <v>MD-97</v>
      </c>
      <c r="B121" t="str">
        <f>Plan_Mantenciones!B151</f>
        <v>Rodillo Neumaticos</v>
      </c>
      <c r="C121" t="str">
        <f>Plan_Mantenciones!C151</f>
        <v>Maquinaria Pesada</v>
      </c>
      <c r="D121" s="11">
        <f ca="1">Plan_Mantenciones!I151</f>
        <v>46864</v>
      </c>
      <c r="E121">
        <f>Plan_Mantenciones!H151</f>
        <v>624</v>
      </c>
      <c r="F121" t="str">
        <f>Plan_Mantenciones!J151</f>
        <v>Operativo</v>
      </c>
      <c r="G121" t="str">
        <f>IF(AND(ISNUMBER(E121),E121&gt;=0,E121&lt;=90),"Sí","No")</f>
        <v>No</v>
      </c>
    </row>
    <row r="122" spans="1:7">
      <c r="A122" t="str">
        <f>Plan_Mantenciones!A89</f>
        <v>MD-104</v>
      </c>
      <c r="B122" t="str">
        <f>Plan_Mantenciones!B89</f>
        <v>Excavadora</v>
      </c>
      <c r="C122" t="str">
        <f>Plan_Mantenciones!C89</f>
        <v>Maquinaria Pesada</v>
      </c>
      <c r="D122" s="11">
        <f ca="1">Plan_Mantenciones!I89</f>
        <v>47030</v>
      </c>
      <c r="E122">
        <f>Plan_Mantenciones!H89</f>
        <v>790</v>
      </c>
      <c r="F122" t="str">
        <f>Plan_Mantenciones!J89</f>
        <v>Operativo</v>
      </c>
      <c r="G122" t="str">
        <f>IF(AND(ISNUMBER(E122),E122&gt;=0,E122&lt;=90),"Sí","No")</f>
        <v>No</v>
      </c>
    </row>
    <row r="123" spans="1:7">
      <c r="A123" t="str">
        <f>Plan_Mantenciones!A186</f>
        <v>VD-133</v>
      </c>
      <c r="B123" t="str">
        <f>Plan_Mantenciones!B186</f>
        <v>Camioneta</v>
      </c>
      <c r="C123" t="str">
        <f>Plan_Mantenciones!C186</f>
        <v>Vehículos Livianos</v>
      </c>
      <c r="D123" s="11">
        <f ca="1">Plan_Mantenciones!I186</f>
        <v>47083</v>
      </c>
      <c r="E123">
        <f>Plan_Mantenciones!H186</f>
        <v>843</v>
      </c>
      <c r="F123" t="str">
        <f>Plan_Mantenciones!J186</f>
        <v>Operativo</v>
      </c>
      <c r="G123" t="str">
        <f>IF(AND(ISNUMBER(E123),E123&gt;=0,E123&lt;=90),"Sí","No")</f>
        <v>No</v>
      </c>
    </row>
    <row r="124" spans="1:7">
      <c r="A124" t="str">
        <f>Plan_Mantenciones!A111</f>
        <v>MD-51</v>
      </c>
      <c r="B124" t="str">
        <f>Plan_Mantenciones!B111</f>
        <v>Rodillo de Neumaticos</v>
      </c>
      <c r="C124" t="str">
        <f>Plan_Mantenciones!C111</f>
        <v>Maquinaria Pesada</v>
      </c>
      <c r="D124" s="11">
        <f ca="1">Plan_Mantenciones!I111</f>
        <v>47490</v>
      </c>
      <c r="E124">
        <f>Plan_Mantenciones!H111</f>
        <v>1250</v>
      </c>
      <c r="F124" t="str">
        <f>Plan_Mantenciones!J111</f>
        <v>Operativo</v>
      </c>
      <c r="G124" t="str">
        <f>IF(AND(ISNUMBER(E124),E124&gt;=0,E124&lt;=90),"Sí","No")</f>
        <v>No</v>
      </c>
    </row>
    <row r="125" spans="1:7">
      <c r="A125" t="str">
        <f>Plan_Mantenciones!A190</f>
        <v>VD-137</v>
      </c>
      <c r="B125" t="str">
        <f>Plan_Mantenciones!B190</f>
        <v>Camioneta</v>
      </c>
      <c r="C125" t="str">
        <f>Plan_Mantenciones!C190</f>
        <v>Vehículos Livianos</v>
      </c>
      <c r="D125" s="11">
        <f ca="1">Plan_Mantenciones!I190</f>
        <v>47563</v>
      </c>
      <c r="E125">
        <f>Plan_Mantenciones!H190</f>
        <v>1323</v>
      </c>
      <c r="F125" t="str">
        <f>Plan_Mantenciones!J190</f>
        <v>Operativo</v>
      </c>
      <c r="G125" t="str">
        <f>IF(AND(ISNUMBER(E125),E125&gt;=0,E125&lt;=90),"Sí","No")</f>
        <v>No</v>
      </c>
    </row>
    <row r="126" spans="1:7">
      <c r="A126" t="str">
        <f>Plan_Mantenciones!A120</f>
        <v>MD-62</v>
      </c>
      <c r="B126" t="str">
        <f>Plan_Mantenciones!B120</f>
        <v>Excavadora con Ruedas</v>
      </c>
      <c r="C126" t="str">
        <f>Plan_Mantenciones!C120</f>
        <v>Maquinaria Pesada</v>
      </c>
      <c r="D126" s="11">
        <f ca="1">Plan_Mantenciones!I120</f>
        <v>51252</v>
      </c>
      <c r="E126">
        <f>Plan_Mantenciones!H120</f>
        <v>5012</v>
      </c>
      <c r="F126" t="str">
        <f>Plan_Mantenciones!J120</f>
        <v>Operativo</v>
      </c>
      <c r="G126" t="str">
        <f>IF(AND(ISNUMBER(E126),E126&gt;=0,E126&lt;=90),"Sí","No")</f>
        <v>No</v>
      </c>
    </row>
    <row r="127" spans="1:7">
      <c r="A127" t="str">
        <f>Plan_Mantenciones!A44</f>
        <v>CD-141</v>
      </c>
      <c r="B127" t="str">
        <f>Plan_Mantenciones!B44</f>
        <v>Camion Mixer</v>
      </c>
      <c r="C127" t="str">
        <f>Plan_Mantenciones!C44</f>
        <v>Maquinaria Pesada</v>
      </c>
      <c r="D127" s="11">
        <f ca="1">Plan_Mantenciones!I44</f>
        <v>68371</v>
      </c>
      <c r="E127">
        <f>Plan_Mantenciones!H44</f>
        <v>22131</v>
      </c>
      <c r="F127" t="str">
        <f>Plan_Mantenciones!J44</f>
        <v>Operativo</v>
      </c>
      <c r="G127" t="str">
        <f>IF(AND(ISNUMBER(E127),E127&gt;=0,E127&lt;=90),"Sí","No")</f>
        <v>No</v>
      </c>
    </row>
    <row r="128" spans="1:7">
      <c r="A128" t="str">
        <f>Plan_Mantenciones!A35</f>
        <v>CD-132</v>
      </c>
      <c r="B128" t="str">
        <f>Plan_Mantenciones!B35</f>
        <v>Camión Tolva</v>
      </c>
      <c r="C128" t="str">
        <f>Plan_Mantenciones!C35</f>
        <v>Camiones de Ruta</v>
      </c>
      <c r="D128" s="11">
        <f ca="1">Plan_Mantenciones!I35</f>
        <v>71815</v>
      </c>
      <c r="E128">
        <f>Plan_Mantenciones!H35</f>
        <v>25575</v>
      </c>
      <c r="F128" t="str">
        <f>Plan_Mantenciones!J35</f>
        <v>Operativo</v>
      </c>
      <c r="G128" t="str">
        <f>IF(AND(ISNUMBER(E128),E128&gt;=0,E128&lt;=90),"Sí","No")</f>
        <v>No</v>
      </c>
    </row>
    <row r="129" spans="1:7">
      <c r="A129" t="str">
        <f>Plan_Mantenciones!A45</f>
        <v>CD-142</v>
      </c>
      <c r="B129" t="str">
        <f>Plan_Mantenciones!B45</f>
        <v>Camion Mixer</v>
      </c>
      <c r="C129" t="str">
        <f>Plan_Mantenciones!C45</f>
        <v>Maquinaria Pesada</v>
      </c>
      <c r="D129" s="11">
        <f ca="1">Plan_Mantenciones!I45</f>
        <v>149399</v>
      </c>
      <c r="E129">
        <f>Plan_Mantenciones!H45</f>
        <v>103159</v>
      </c>
      <c r="F129" t="str">
        <f>Plan_Mantenciones!J45</f>
        <v>Operativo</v>
      </c>
      <c r="G129" t="str">
        <f>IF(AND(ISNUMBER(E129),E129&gt;=0,E129&lt;=90),"Sí","No")</f>
        <v>No</v>
      </c>
    </row>
    <row r="130" spans="1:7">
      <c r="A130" t="str">
        <f>Plan_Mantenciones!A93</f>
        <v>MD-109</v>
      </c>
      <c r="B130" t="str">
        <f>Plan_Mantenciones!B93</f>
        <v>Motoniveladora</v>
      </c>
      <c r="C130" t="str">
        <f>Plan_Mantenciones!C93</f>
        <v>Maquinaria Pesada</v>
      </c>
      <c r="D130" s="11">
        <f ca="1">Plan_Mantenciones!I93</f>
        <v>159011</v>
      </c>
      <c r="E130">
        <f>Plan_Mantenciones!H93</f>
        <v>112771</v>
      </c>
      <c r="F130" t="str">
        <f>Plan_Mantenciones!J93</f>
        <v>Operativo</v>
      </c>
      <c r="G130" t="str">
        <f>IF(AND(ISNUMBER(E130),E130&gt;=0,E130&lt;=90),"Sí","No")</f>
        <v>No</v>
      </c>
    </row>
    <row r="131" spans="1:7">
      <c r="A131" t="str">
        <f>Plan_Mantenciones!A22</f>
        <v>CD-119</v>
      </c>
      <c r="B131" t="str">
        <f>Plan_Mantenciones!B22</f>
        <v>Camión Combustible</v>
      </c>
      <c r="C131" t="str">
        <f>Plan_Mantenciones!C22</f>
        <v>Camiones de Ruta</v>
      </c>
      <c r="D131" s="11">
        <f ca="1">Plan_Mantenciones!I22</f>
        <v>367922</v>
      </c>
      <c r="E131">
        <f>Plan_Mantenciones!H22</f>
        <v>321682</v>
      </c>
      <c r="F131" t="str">
        <f>Plan_Mantenciones!J22</f>
        <v>Operativo</v>
      </c>
      <c r="G131" t="str">
        <f>IF(AND(ISNUMBER(E131),E131&gt;=0,E131&lt;=90),"Sí","No")</f>
        <v>No</v>
      </c>
    </row>
    <row r="132" spans="1:7">
      <c r="A132" t="str">
        <f>Plan_Mantenciones!A105</f>
        <v>MD-43</v>
      </c>
      <c r="B132" t="str">
        <f>Plan_Mantenciones!B105</f>
        <v>Excavadora</v>
      </c>
      <c r="C132" t="str">
        <f>Plan_Mantenciones!C105</f>
        <v>Maquinaria Pesada</v>
      </c>
      <c r="D132" s="11" t="str">
        <f ca="1">Plan_Mantenciones!I105</f>
        <v/>
      </c>
      <c r="E132" t="str">
        <f>Plan_Mantenciones!H105</f>
        <v/>
      </c>
      <c r="F132" t="str">
        <f>Plan_Mantenciones!J105</f>
        <v>Taller</v>
      </c>
      <c r="G132" t="str">
        <f>IF(AND(ISNUMBER(E132),E132&gt;=0,E132&lt;=90),"Sí","No")</f>
        <v>No</v>
      </c>
    </row>
    <row r="133" spans="1:7">
      <c r="A133" t="str">
        <f>Plan_Mantenciones!A36</f>
        <v>CD-133</v>
      </c>
      <c r="B133" t="str">
        <f>Plan_Mantenciones!B36</f>
        <v>Camión Plano</v>
      </c>
      <c r="C133" t="str">
        <f>Plan_Mantenciones!C36</f>
        <v>Camiones de Ruta</v>
      </c>
      <c r="D133" s="11" t="str">
        <f ca="1">Plan_Mantenciones!I36</f>
        <v/>
      </c>
      <c r="E133" t="str">
        <f>Plan_Mantenciones!H36</f>
        <v/>
      </c>
      <c r="F133" t="str">
        <f>Plan_Mantenciones!J36</f>
        <v>Fuera de Servicio</v>
      </c>
      <c r="G133" t="str">
        <f>IF(AND(ISNUMBER(E133),E133&gt;=0,E133&lt;=90),"Sí","No")</f>
        <v>No</v>
      </c>
    </row>
    <row r="134" spans="1:7">
      <c r="A134" t="str">
        <f>Plan_Mantenciones!A195</f>
        <v>VD-142</v>
      </c>
      <c r="B134" t="str">
        <f>Plan_Mantenciones!B195</f>
        <v>Camioneta</v>
      </c>
      <c r="C134" t="str">
        <f>Plan_Mantenciones!C195</f>
        <v>Vehículos Livianos</v>
      </c>
      <c r="D134" s="11" t="str">
        <f ca="1">Plan_Mantenciones!I195</f>
        <v/>
      </c>
      <c r="E134" t="str">
        <f>Plan_Mantenciones!H195</f>
        <v/>
      </c>
      <c r="F134" t="str">
        <f>Plan_Mantenciones!J195</f>
        <v>Operativo</v>
      </c>
      <c r="G134" t="str">
        <f>IF(AND(ISNUMBER(E134),E134&gt;=0,E134&lt;=90),"Sí","No")</f>
        <v>No</v>
      </c>
    </row>
    <row r="135" spans="1:7">
      <c r="A135" t="str">
        <f>Plan_Mantenciones!A152</f>
        <v>MD-98</v>
      </c>
      <c r="B135" t="str">
        <f>Plan_Mantenciones!B152</f>
        <v>Rodillo Neumaticos</v>
      </c>
      <c r="C135" t="str">
        <f>Plan_Mantenciones!C152</f>
        <v>Maquinaria Pesada</v>
      </c>
      <c r="D135" s="11" t="str">
        <f ca="1">Plan_Mantenciones!I152</f>
        <v/>
      </c>
      <c r="E135" t="str">
        <f>Plan_Mantenciones!H152</f>
        <v/>
      </c>
      <c r="F135" t="str">
        <f>Plan_Mantenciones!J152</f>
        <v>Operativo</v>
      </c>
      <c r="G135" t="str">
        <f>IF(AND(ISNUMBER(E135),E135&gt;=0,E135&lt;=90),"Sí","No")</f>
        <v>No</v>
      </c>
    </row>
    <row r="136" spans="1:7">
      <c r="A136" t="str">
        <f>Plan_Mantenciones!A31</f>
        <v>CD-128</v>
      </c>
      <c r="B136" t="str">
        <f>Plan_Mantenciones!B31</f>
        <v>Camión slurry</v>
      </c>
      <c r="C136" t="str">
        <f>Plan_Mantenciones!C31</f>
        <v>Camiones de Ruta</v>
      </c>
      <c r="D136" s="11" t="str">
        <f ca="1">Plan_Mantenciones!I31</f>
        <v/>
      </c>
      <c r="E136" t="str">
        <f>Plan_Mantenciones!H31</f>
        <v/>
      </c>
      <c r="F136" t="str">
        <f>Plan_Mantenciones!J31</f>
        <v>Operativo</v>
      </c>
      <c r="G136" t="str">
        <f>IF(AND(ISNUMBER(E136),E136&gt;=0,E136&lt;=90),"Sí","No")</f>
        <v>No</v>
      </c>
    </row>
    <row r="137" spans="1:7">
      <c r="A137" t="str">
        <f>Plan_Mantenciones!A42</f>
        <v>CD-139</v>
      </c>
      <c r="B137" t="str">
        <f>Plan_Mantenciones!B42</f>
        <v>Camion Plano</v>
      </c>
      <c r="C137" t="str">
        <f>Plan_Mantenciones!C42</f>
        <v>Maquinaria Pesada</v>
      </c>
      <c r="D137" s="11" t="str">
        <f ca="1">Plan_Mantenciones!I42</f>
        <v/>
      </c>
      <c r="E137" t="str">
        <f>Plan_Mantenciones!H42</f>
        <v/>
      </c>
      <c r="F137" t="str">
        <f>Plan_Mantenciones!J42</f>
        <v>Fuera de Servicio</v>
      </c>
      <c r="G137" t="str">
        <f>IF(AND(ISNUMBER(E137),E137&gt;=0,E137&lt;=90),"Sí","No")</f>
        <v>No</v>
      </c>
    </row>
    <row r="138" spans="1:7">
      <c r="A138" t="str">
        <f>Plan_Mantenciones!A101</f>
        <v>MD-38</v>
      </c>
      <c r="B138" t="str">
        <f>Plan_Mantenciones!B101</f>
        <v>Rodillo</v>
      </c>
      <c r="C138" t="str">
        <f>Plan_Mantenciones!C101</f>
        <v>Maquinaria Pesada</v>
      </c>
      <c r="D138" s="11" t="str">
        <f ca="1">Plan_Mantenciones!I101</f>
        <v/>
      </c>
      <c r="E138" t="str">
        <f>Plan_Mantenciones!H101</f>
        <v/>
      </c>
      <c r="F138" t="str">
        <f>Plan_Mantenciones!J101</f>
        <v>Operativo</v>
      </c>
      <c r="G138" t="str">
        <f>IF(AND(ISNUMBER(E138),E138&gt;=0,E138&lt;=90),"Sí","No")</f>
        <v>No</v>
      </c>
    </row>
    <row r="139" spans="1:7">
      <c r="A139" t="str">
        <f>Plan_Mantenciones!A51</f>
        <v>CD-73</v>
      </c>
      <c r="B139" t="str">
        <f>Plan_Mantenciones!B51</f>
        <v>Camión Aljibe</v>
      </c>
      <c r="C139" t="str">
        <f>Plan_Mantenciones!C51</f>
        <v>Camiones de Ruta</v>
      </c>
      <c r="D139" s="11" t="str">
        <f ca="1">Plan_Mantenciones!I51</f>
        <v/>
      </c>
      <c r="E139" t="str">
        <f>Plan_Mantenciones!H51</f>
        <v/>
      </c>
      <c r="F139" t="str">
        <f>Plan_Mantenciones!J51</f>
        <v>Operativo</v>
      </c>
      <c r="G139" t="str">
        <f>IF(AND(ISNUMBER(E139),E139&gt;=0,E139&lt;=90),"Sí","No")</f>
        <v>No</v>
      </c>
    </row>
    <row r="140" spans="1:7">
      <c r="A140" t="str">
        <f>Plan_Mantenciones!A18</f>
        <v>CD-115</v>
      </c>
      <c r="B140" t="str">
        <f>Plan_Mantenciones!B18</f>
        <v>Tracto Camión</v>
      </c>
      <c r="C140" t="str">
        <f>Plan_Mantenciones!C18</f>
        <v>Camiones de Ruta</v>
      </c>
      <c r="D140" s="11">
        <f ca="1">Plan_Mantenciones!I18</f>
        <v>46258</v>
      </c>
      <c r="E140">
        <f>Plan_Mantenciones!H18</f>
        <v>18</v>
      </c>
      <c r="F140" t="str">
        <f>Plan_Mantenciones!J18</f>
        <v>Taller</v>
      </c>
      <c r="G140" t="str">
        <f>IF(AND(ISNUMBER(E140),E140&gt;=0,E140&lt;=90),"Sí","No")</f>
        <v>Sí</v>
      </c>
    </row>
    <row r="141" spans="1:7">
      <c r="A141" t="str">
        <f>Plan_Mantenciones!A84</f>
        <v>EQP-9</v>
      </c>
      <c r="B141" t="str">
        <f>Plan_Mantenciones!B84</f>
        <v>Planta aridos</v>
      </c>
      <c r="C141" t="str">
        <f>Plan_Mantenciones!C84</f>
        <v>Maquinaria Pesada</v>
      </c>
      <c r="D141" s="11" t="str">
        <f ca="1">Plan_Mantenciones!I84</f>
        <v/>
      </c>
      <c r="E141" t="str">
        <f>Plan_Mantenciones!H84</f>
        <v/>
      </c>
      <c r="F141" t="str">
        <f>Plan_Mantenciones!J84</f>
        <v>Fuera de Servicio</v>
      </c>
      <c r="G141" t="str">
        <f>IF(AND(ISNUMBER(E141),E141&gt;=0,E141&lt;=90),"Sí","No")</f>
        <v>No</v>
      </c>
    </row>
    <row r="142" spans="1:7">
      <c r="A142" t="str">
        <f>Plan_Mantenciones!A34</f>
        <v>CD-131</v>
      </c>
      <c r="B142" t="str">
        <f>Plan_Mantenciones!B34</f>
        <v>Camión Tolva</v>
      </c>
      <c r="C142" t="str">
        <f>Plan_Mantenciones!C34</f>
        <v>Camiones de Ruta</v>
      </c>
      <c r="D142" s="11" t="str">
        <f ca="1">Plan_Mantenciones!I34</f>
        <v/>
      </c>
      <c r="E142" t="str">
        <f>Plan_Mantenciones!H34</f>
        <v/>
      </c>
      <c r="F142" t="str">
        <f>Plan_Mantenciones!J34</f>
        <v>Fuera de Servicio</v>
      </c>
      <c r="G142" t="str">
        <f>IF(AND(ISNUMBER(E142),E142&gt;=0,E142&lt;=90),"Sí","No")</f>
        <v>No</v>
      </c>
    </row>
    <row r="143" spans="1:7">
      <c r="A143" t="str">
        <f>Plan_Mantenciones!A159</f>
        <v>VD-106</v>
      </c>
      <c r="B143" t="str">
        <f>Plan_Mantenciones!B159</f>
        <v>Camioneta</v>
      </c>
      <c r="C143" t="str">
        <f>Plan_Mantenciones!C159</f>
        <v>Vehículos Livianos</v>
      </c>
      <c r="D143" s="11" t="str">
        <f ca="1">Plan_Mantenciones!I159</f>
        <v/>
      </c>
      <c r="E143" t="str">
        <f>Plan_Mantenciones!H159</f>
        <v/>
      </c>
      <c r="F143" t="str">
        <f>Plan_Mantenciones!J159</f>
        <v>Fuera de Servicio</v>
      </c>
      <c r="G143" t="str">
        <f>IF(AND(ISNUMBER(E143),E143&gt;=0,E143&lt;=90),"Sí","No")</f>
        <v>No</v>
      </c>
    </row>
    <row r="144" spans="1:7">
      <c r="A144" t="str">
        <f>Plan_Mantenciones!A76</f>
        <v>EQP-13</v>
      </c>
      <c r="B144" t="str">
        <f>Plan_Mantenciones!B76</f>
        <v>Planta aridos</v>
      </c>
      <c r="C144" t="str">
        <f>Plan_Mantenciones!C76</f>
        <v>Maquinaria Pesada</v>
      </c>
      <c r="D144" s="11" t="str">
        <f ca="1">Plan_Mantenciones!I76</f>
        <v/>
      </c>
      <c r="E144" t="str">
        <f>Plan_Mantenciones!H76</f>
        <v/>
      </c>
      <c r="F144" t="str">
        <f>Plan_Mantenciones!J76</f>
        <v>Fuera de Servicio</v>
      </c>
      <c r="G144" t="str">
        <f>IF(AND(ISNUMBER(E144),E144&gt;=0,E144&lt;=90),"Sí","No")</f>
        <v>No</v>
      </c>
    </row>
    <row r="145" spans="1:7">
      <c r="A145" t="str">
        <f>Plan_Mantenciones!A47</f>
        <v>CD-57</v>
      </c>
      <c r="B145" t="str">
        <f>Plan_Mantenciones!B47</f>
        <v>Camión Plano</v>
      </c>
      <c r="C145" t="str">
        <f>Plan_Mantenciones!C47</f>
        <v>Camiones de Ruta</v>
      </c>
      <c r="D145" s="11" t="str">
        <f ca="1">Plan_Mantenciones!I47</f>
        <v/>
      </c>
      <c r="E145" t="str">
        <f>Plan_Mantenciones!H47</f>
        <v/>
      </c>
      <c r="F145" t="str">
        <f>Plan_Mantenciones!J47</f>
        <v>Fuera de Servicio</v>
      </c>
      <c r="G145" t="str">
        <f>IF(AND(ISNUMBER(E145),E145&gt;=0,E145&lt;=90),"Sí","No")</f>
        <v>No</v>
      </c>
    </row>
    <row r="146" spans="1:7">
      <c r="A146" t="str">
        <f>Plan_Mantenciones!A59</f>
        <v>CD-91</v>
      </c>
      <c r="B146" t="str">
        <f>Plan_Mantenciones!B59</f>
        <v>Camión Tolva</v>
      </c>
      <c r="C146" t="str">
        <f>Plan_Mantenciones!C59</f>
        <v>Camiones de Ruta</v>
      </c>
      <c r="D146" s="11" t="str">
        <f ca="1">Plan_Mantenciones!I59</f>
        <v/>
      </c>
      <c r="E146" t="str">
        <f>Plan_Mantenciones!H59</f>
        <v/>
      </c>
      <c r="F146" t="str">
        <f>Plan_Mantenciones!J59</f>
        <v>Fuera de Servicio</v>
      </c>
      <c r="G146" t="str">
        <f>IF(AND(ISNUMBER(E146),E146&gt;=0,E146&lt;=90),"Sí","No")</f>
        <v>No</v>
      </c>
    </row>
    <row r="147" spans="1:7">
      <c r="A147" t="str">
        <f>Plan_Mantenciones!A21</f>
        <v>CD-118</v>
      </c>
      <c r="B147" t="str">
        <f>Plan_Mantenciones!B21</f>
        <v>Camión Plano</v>
      </c>
      <c r="C147" t="str">
        <f>Plan_Mantenciones!C21</f>
        <v>Camiones de Ruta</v>
      </c>
      <c r="D147" s="11" t="str">
        <f ca="1">Plan_Mantenciones!I21</f>
        <v/>
      </c>
      <c r="E147" t="str">
        <f>Plan_Mantenciones!H21</f>
        <v/>
      </c>
      <c r="F147" t="str">
        <f>Plan_Mantenciones!J21</f>
        <v>Operativo</v>
      </c>
      <c r="G147" t="str">
        <f>IF(AND(ISNUMBER(E147),E147&gt;=0,E147&lt;=90),"Sí","No")</f>
        <v>No</v>
      </c>
    </row>
    <row r="148" spans="1:7">
      <c r="A148" t="str">
        <f>Plan_Mantenciones!A166</f>
        <v>VD-113</v>
      </c>
      <c r="B148" t="str">
        <f>Plan_Mantenciones!B166</f>
        <v>Camioneta</v>
      </c>
      <c r="C148" t="str">
        <f>Plan_Mantenciones!C166</f>
        <v>Vehículos Livianos</v>
      </c>
      <c r="D148" s="11" t="str">
        <f ca="1">Plan_Mantenciones!I166</f>
        <v/>
      </c>
      <c r="E148" t="str">
        <f>Plan_Mantenciones!H166</f>
        <v/>
      </c>
      <c r="F148" t="str">
        <f>Plan_Mantenciones!J166</f>
        <v>Operativo</v>
      </c>
      <c r="G148" t="str">
        <f>IF(AND(ISNUMBER(E148),E148&gt;=0,E148&lt;=90),"Sí","No")</f>
        <v>No</v>
      </c>
    </row>
    <row r="149" spans="1:7">
      <c r="A149" t="str">
        <f>Plan_Mantenciones!A144</f>
        <v>MD-90</v>
      </c>
      <c r="B149" t="str">
        <f>Plan_Mantenciones!B144</f>
        <v>Excavadora</v>
      </c>
      <c r="C149" t="str">
        <f>Plan_Mantenciones!C144</f>
        <v>Maquinaria Pesada</v>
      </c>
      <c r="D149" s="11" t="str">
        <f ca="1">Plan_Mantenciones!I144</f>
        <v/>
      </c>
      <c r="E149" t="str">
        <f>Plan_Mantenciones!H144</f>
        <v/>
      </c>
      <c r="F149" t="str">
        <f>Plan_Mantenciones!J144</f>
        <v>Taller</v>
      </c>
      <c r="G149" t="str">
        <f>IF(AND(ISNUMBER(E149),E149&gt;=0,E149&lt;=90),"Sí","No")</f>
        <v>No</v>
      </c>
    </row>
    <row r="150" spans="1:7">
      <c r="A150" t="str">
        <f>Plan_Mantenciones!A38</f>
        <v>CD-135</v>
      </c>
      <c r="B150" t="str">
        <f>Plan_Mantenciones!B38</f>
        <v>Camión Plano</v>
      </c>
      <c r="C150" t="str">
        <f>Plan_Mantenciones!C38</f>
        <v>Camiones de Ruta</v>
      </c>
      <c r="D150" s="11" t="str">
        <f ca="1">Plan_Mantenciones!I38</f>
        <v/>
      </c>
      <c r="E150" t="str">
        <f>Plan_Mantenciones!H38</f>
        <v/>
      </c>
      <c r="F150" t="str">
        <f>Plan_Mantenciones!J38</f>
        <v>Fuera de Servicio</v>
      </c>
      <c r="G150" t="str">
        <f>IF(AND(ISNUMBER(E150),E150&gt;=0,E150&lt;=90),"Sí","No")</f>
        <v>No</v>
      </c>
    </row>
    <row r="151" spans="1:7">
      <c r="A151" t="str">
        <f>Plan_Mantenciones!A145</f>
        <v>MD-91</v>
      </c>
      <c r="B151" t="str">
        <f>Plan_Mantenciones!B145</f>
        <v>Motoniveladora</v>
      </c>
      <c r="C151" t="str">
        <f>Plan_Mantenciones!C145</f>
        <v>Maquinaria Pesada</v>
      </c>
      <c r="D151" s="11" t="str">
        <f ca="1">Plan_Mantenciones!I145</f>
        <v/>
      </c>
      <c r="E151" t="str">
        <f>Plan_Mantenciones!H145</f>
        <v/>
      </c>
      <c r="F151" t="str">
        <f>Plan_Mantenciones!J145</f>
        <v>Taller</v>
      </c>
      <c r="G151" t="str">
        <f>IF(AND(ISNUMBER(E151),E151&gt;=0,E151&lt;=90),"Sí","No")</f>
        <v>No</v>
      </c>
    </row>
    <row r="152" spans="1:7">
      <c r="A152" t="str">
        <f>Plan_Mantenciones!A146</f>
        <v>MD-92</v>
      </c>
      <c r="B152" t="str">
        <f>Plan_Mantenciones!B146</f>
        <v>Cargador Frontal</v>
      </c>
      <c r="C152" t="str">
        <f>Plan_Mantenciones!C146</f>
        <v>Maquinaria Pesada</v>
      </c>
      <c r="D152" s="11" t="str">
        <f ca="1">Plan_Mantenciones!I146</f>
        <v/>
      </c>
      <c r="E152" t="str">
        <f>Plan_Mantenciones!H146</f>
        <v/>
      </c>
      <c r="F152" t="str">
        <f>Plan_Mantenciones!J146</f>
        <v>Fuera de Servicio</v>
      </c>
      <c r="G152" t="str">
        <f>IF(AND(ISNUMBER(E152),E152&gt;=0,E152&lt;=90),"Sí","No")</f>
        <v>No</v>
      </c>
    </row>
    <row r="153" spans="1:7">
      <c r="A153" t="str">
        <f>Plan_Mantenciones!A77</f>
        <v>EQP-14</v>
      </c>
      <c r="B153" t="str">
        <f>Plan_Mantenciones!B77</f>
        <v>Planta aridos</v>
      </c>
      <c r="C153" t="str">
        <f>Plan_Mantenciones!C77</f>
        <v>Maquinaria Pesada</v>
      </c>
      <c r="D153" s="11" t="str">
        <f ca="1">Plan_Mantenciones!I77</f>
        <v/>
      </c>
      <c r="E153" t="str">
        <f>Plan_Mantenciones!H77</f>
        <v/>
      </c>
      <c r="F153" t="str">
        <f>Plan_Mantenciones!J77</f>
        <v>Fuera de Servicio</v>
      </c>
      <c r="G153" t="str">
        <f>IF(AND(ISNUMBER(E153),E153&gt;=0,E153&lt;=90),"Sí","No")</f>
        <v>No</v>
      </c>
    </row>
    <row r="154" spans="1:7">
      <c r="A154" t="str">
        <f>Plan_Mantenciones!A90</f>
        <v>MD-105</v>
      </c>
      <c r="B154" t="str">
        <f>Plan_Mantenciones!B90</f>
        <v>Cargador Frontal</v>
      </c>
      <c r="C154" t="str">
        <f>Plan_Mantenciones!C90</f>
        <v>Maquinaria Pesada</v>
      </c>
      <c r="D154" s="11" t="str">
        <f ca="1">Plan_Mantenciones!I90</f>
        <v/>
      </c>
      <c r="E154" t="str">
        <f>Plan_Mantenciones!H90</f>
        <v/>
      </c>
      <c r="F154" t="str">
        <f>Plan_Mantenciones!J90</f>
        <v>Operativo</v>
      </c>
      <c r="G154" t="str">
        <f>IF(AND(ISNUMBER(E154),E154&gt;=0,E154&lt;=90),"Sí","No")</f>
        <v>No</v>
      </c>
    </row>
    <row r="155" spans="1:7">
      <c r="A155" t="str">
        <f>Plan_Mantenciones!A141</f>
        <v>MD-87</v>
      </c>
      <c r="B155" t="str">
        <f>Plan_Mantenciones!B141</f>
        <v>Excavadora</v>
      </c>
      <c r="C155" t="str">
        <f>Plan_Mantenciones!C141</f>
        <v>Maquinaria Pesada</v>
      </c>
      <c r="D155" s="11" t="str">
        <f ca="1">Plan_Mantenciones!I141</f>
        <v/>
      </c>
      <c r="E155" t="str">
        <f>Plan_Mantenciones!H141</f>
        <v/>
      </c>
      <c r="F155" t="str">
        <f>Plan_Mantenciones!J141</f>
        <v>Operativo</v>
      </c>
      <c r="G155" t="str">
        <f>IF(AND(ISNUMBER(E155),E155&gt;=0,E155&lt;=90),"Sí","No")</f>
        <v>No</v>
      </c>
    </row>
    <row r="156" spans="1:7">
      <c r="A156" t="str">
        <f>Plan_Mantenciones!A136</f>
        <v>MD-81</v>
      </c>
      <c r="B156" t="str">
        <f>Plan_Mantenciones!B136</f>
        <v>Pavimentadora de encofrado deslizante</v>
      </c>
      <c r="C156" t="str">
        <f>Plan_Mantenciones!C136</f>
        <v>Maquinaria Pesada</v>
      </c>
      <c r="D156" s="11" t="str">
        <f ca="1">Plan_Mantenciones!I136</f>
        <v/>
      </c>
      <c r="E156" t="str">
        <f>Plan_Mantenciones!H136</f>
        <v/>
      </c>
      <c r="F156" t="str">
        <f>Plan_Mantenciones!J136</f>
        <v>Fuera de Servicio</v>
      </c>
      <c r="G156" t="str">
        <f>IF(AND(ISNUMBER(E156),E156&gt;=0,E156&lt;=90),"Sí","No")</f>
        <v>No</v>
      </c>
    </row>
    <row r="157" spans="1:7">
      <c r="A157" t="str">
        <f>Plan_Mantenciones!A126</f>
        <v>MD-71</v>
      </c>
      <c r="B157" t="str">
        <f>Plan_Mantenciones!B126</f>
        <v>Retroexcavadora</v>
      </c>
      <c r="C157" t="str">
        <f>Plan_Mantenciones!C126</f>
        <v>Maquinaria Pesada</v>
      </c>
      <c r="D157" s="11" t="str">
        <f ca="1">Plan_Mantenciones!I126</f>
        <v/>
      </c>
      <c r="E157" t="str">
        <f>Plan_Mantenciones!H126</f>
        <v/>
      </c>
      <c r="F157" t="str">
        <f>Plan_Mantenciones!J126</f>
        <v>Taller</v>
      </c>
      <c r="G157" t="str">
        <f>IF(AND(ISNUMBER(E157),E157&gt;=0,E157&lt;=90),"Sí","No")</f>
        <v>No</v>
      </c>
    </row>
    <row r="158" spans="1:7">
      <c r="A158" t="str">
        <f>Plan_Mantenciones!A133</f>
        <v>MD-78</v>
      </c>
      <c r="B158" t="str">
        <f>Plan_Mantenciones!B133</f>
        <v>Extendedora</v>
      </c>
      <c r="C158" t="str">
        <f>Plan_Mantenciones!C133</f>
        <v>Maquinaria Pesada</v>
      </c>
      <c r="D158" s="11" t="str">
        <f ca="1">Plan_Mantenciones!I133</f>
        <v/>
      </c>
      <c r="E158" t="str">
        <f>Plan_Mantenciones!H133</f>
        <v/>
      </c>
      <c r="F158" t="str">
        <f>Plan_Mantenciones!J133</f>
        <v>Fuera de Servicio</v>
      </c>
      <c r="G158" t="str">
        <f>IF(AND(ISNUMBER(E158),E158&gt;=0,E158&lt;=90),"Sí","No")</f>
        <v>No</v>
      </c>
    </row>
    <row r="159" spans="1:7">
      <c r="A159" t="str">
        <f>Plan_Mantenciones!A110</f>
        <v>MD-50</v>
      </c>
      <c r="B159" t="str">
        <f>Plan_Mantenciones!B110</f>
        <v>Retroexcavadora</v>
      </c>
      <c r="C159" t="str">
        <f>Plan_Mantenciones!C110</f>
        <v>Maquinaria Pesada</v>
      </c>
      <c r="D159" s="11" t="str">
        <f ca="1">Plan_Mantenciones!I110</f>
        <v/>
      </c>
      <c r="E159" t="str">
        <f>Plan_Mantenciones!H110</f>
        <v/>
      </c>
      <c r="F159" t="str">
        <f>Plan_Mantenciones!J110</f>
        <v>Fuera de Servicio</v>
      </c>
      <c r="G159" t="str">
        <f>IF(AND(ISNUMBER(E159),E159&gt;=0,E159&lt;=90),"Sí","No")</f>
        <v>No</v>
      </c>
    </row>
    <row r="160" spans="1:7">
      <c r="A160" t="str">
        <f>Plan_Mantenciones!A132</f>
        <v>MD-77</v>
      </c>
      <c r="B160" t="str">
        <f>Plan_Mantenciones!B132</f>
        <v>Motoniveladora</v>
      </c>
      <c r="C160" t="str">
        <f>Plan_Mantenciones!C132</f>
        <v>Maquinaria Pesada</v>
      </c>
      <c r="D160" s="11" t="str">
        <f ca="1">Plan_Mantenciones!I132</f>
        <v/>
      </c>
      <c r="E160" t="str">
        <f>Plan_Mantenciones!H132</f>
        <v/>
      </c>
      <c r="F160" t="str">
        <f>Plan_Mantenciones!J132</f>
        <v>Fuera de Servicio</v>
      </c>
      <c r="G160" t="str">
        <f>IF(AND(ISNUMBER(E160),E160&gt;=0,E160&lt;=90),"Sí","No")</f>
        <v>No</v>
      </c>
    </row>
    <row r="161" spans="1:7">
      <c r="A161" t="str">
        <f>Plan_Mantenciones!A92</f>
        <v>MD-108</v>
      </c>
      <c r="B161" t="str">
        <f>Plan_Mantenciones!B92</f>
        <v>Rodillo de Neumaticos</v>
      </c>
      <c r="C161" t="str">
        <f>Plan_Mantenciones!C92</f>
        <v>Maquinaria Pesada</v>
      </c>
      <c r="D161" s="11" t="str">
        <f ca="1">Plan_Mantenciones!I92</f>
        <v/>
      </c>
      <c r="E161" t="str">
        <f>Plan_Mantenciones!H92</f>
        <v/>
      </c>
      <c r="F161" t="str">
        <f>Plan_Mantenciones!J92</f>
        <v>Operativo</v>
      </c>
      <c r="G161" t="str">
        <f>IF(AND(ISNUMBER(E161),E161&gt;=0,E161&lt;=90),"Sí","No")</f>
        <v>No</v>
      </c>
    </row>
    <row r="162" spans="1:7">
      <c r="A162" t="str">
        <f>Plan_Mantenciones!A112</f>
        <v>MD-52</v>
      </c>
      <c r="B162" t="str">
        <f>Plan_Mantenciones!B112</f>
        <v>Rodillo Doble Tambor</v>
      </c>
      <c r="C162" t="str">
        <f>Plan_Mantenciones!C112</f>
        <v>Maquinaria Pesada</v>
      </c>
      <c r="D162" s="11" t="str">
        <f ca="1">Plan_Mantenciones!I112</f>
        <v/>
      </c>
      <c r="E162" t="str">
        <f>Plan_Mantenciones!H112</f>
        <v/>
      </c>
      <c r="F162" t="str">
        <f>Plan_Mantenciones!J112</f>
        <v>Operativo</v>
      </c>
      <c r="G162" t="str">
        <f>IF(AND(ISNUMBER(E162),E162&gt;=0,E162&lt;=90),"Sí","No")</f>
        <v>No</v>
      </c>
    </row>
    <row r="163" spans="1:7">
      <c r="A163" t="str">
        <f>Plan_Mantenciones!A129</f>
        <v>MD-74</v>
      </c>
      <c r="B163" t="str">
        <f>Plan_Mantenciones!B129</f>
        <v>Excavadora</v>
      </c>
      <c r="C163" t="str">
        <f>Plan_Mantenciones!C129</f>
        <v>Maquinaria Pesada</v>
      </c>
      <c r="D163" s="11" t="str">
        <f ca="1">Plan_Mantenciones!I129</f>
        <v/>
      </c>
      <c r="E163" t="str">
        <f>Plan_Mantenciones!H129</f>
        <v/>
      </c>
      <c r="F163" t="str">
        <f>Plan_Mantenciones!J129</f>
        <v>Operativo</v>
      </c>
      <c r="G163" t="str">
        <f>IF(AND(ISNUMBER(E163),E163&gt;=0,E163&lt;=90),"Sí","No")</f>
        <v>No</v>
      </c>
    </row>
    <row r="164" spans="1:7">
      <c r="A164" t="str">
        <f>Plan_Mantenciones!A158</f>
        <v>VD-105</v>
      </c>
      <c r="B164" t="str">
        <f>Plan_Mantenciones!B158</f>
        <v>Camioneta</v>
      </c>
      <c r="C164" t="str">
        <f>Plan_Mantenciones!C158</f>
        <v>Vehículos Livianos</v>
      </c>
      <c r="D164" s="11" t="str">
        <f ca="1">Plan_Mantenciones!I158</f>
        <v/>
      </c>
      <c r="E164" t="str">
        <f>Plan_Mantenciones!H158</f>
        <v/>
      </c>
      <c r="F164" t="str">
        <f>Plan_Mantenciones!J158</f>
        <v>Fuera de Servicio</v>
      </c>
      <c r="G164" t="str">
        <f>IF(AND(ISNUMBER(E164),E164&gt;=0,E164&lt;=90),"Sí","No")</f>
        <v>No</v>
      </c>
    </row>
    <row r="165" spans="1:7">
      <c r="A165" t="str">
        <f>Plan_Mantenciones!A118</f>
        <v>MD-59</v>
      </c>
      <c r="B165" t="str">
        <f>Plan_Mantenciones!B118</f>
        <v>Cargador Frontal</v>
      </c>
      <c r="C165" t="str">
        <f>Plan_Mantenciones!C118</f>
        <v>Maquinaria Pesada</v>
      </c>
      <c r="D165" s="11" t="str">
        <f ca="1">Plan_Mantenciones!I118</f>
        <v/>
      </c>
      <c r="E165" t="str">
        <f>Plan_Mantenciones!H118</f>
        <v/>
      </c>
      <c r="F165" t="str">
        <f>Plan_Mantenciones!J118</f>
        <v>Operativo</v>
      </c>
      <c r="G165" t="str">
        <f>IF(AND(ISNUMBER(E165),E165&gt;=0,E165&lt;=90),"Sí","No")</f>
        <v>No</v>
      </c>
    </row>
    <row r="166" spans="1:7">
      <c r="A166" t="str">
        <f>Plan_Mantenciones!A37</f>
        <v>CD-134</v>
      </c>
      <c r="B166" t="str">
        <f>Plan_Mantenciones!B37</f>
        <v>Camión Plano</v>
      </c>
      <c r="C166" t="str">
        <f>Plan_Mantenciones!C37</f>
        <v>Camiones de Ruta</v>
      </c>
      <c r="D166" s="11" t="str">
        <f ca="1">Plan_Mantenciones!I37</f>
        <v/>
      </c>
      <c r="E166" t="str">
        <f>Plan_Mantenciones!H37</f>
        <v/>
      </c>
      <c r="F166" t="str">
        <f>Plan_Mantenciones!J37</f>
        <v>Taller</v>
      </c>
      <c r="G166" t="str">
        <f>IF(AND(ISNUMBER(E166),E166&gt;=0,E166&lt;=90),"Sí","No")</f>
        <v>No</v>
      </c>
    </row>
    <row r="167" spans="1:7">
      <c r="A167" t="str">
        <f>Plan_Mantenciones!A117</f>
        <v>MD-58</v>
      </c>
      <c r="B167" t="str">
        <f>Plan_Mantenciones!B117</f>
        <v>Rodillo de Neumaticos</v>
      </c>
      <c r="C167" t="str">
        <f>Plan_Mantenciones!C117</f>
        <v>Maquinaria Pesada</v>
      </c>
      <c r="D167" s="11" t="str">
        <f ca="1">Plan_Mantenciones!I117</f>
        <v/>
      </c>
      <c r="E167" t="str">
        <f>Plan_Mantenciones!H117</f>
        <v/>
      </c>
      <c r="F167" t="str">
        <f>Plan_Mantenciones!J117</f>
        <v>Operativo</v>
      </c>
      <c r="G167" t="str">
        <f>IF(AND(ISNUMBER(E167),E167&gt;=0,E167&lt;=90),"Sí","No")</f>
        <v>No</v>
      </c>
    </row>
    <row r="168" spans="1:7">
      <c r="A168" t="str">
        <f>Plan_Mantenciones!A157</f>
        <v>VD-103</v>
      </c>
      <c r="B168" t="str">
        <f>Plan_Mantenciones!B157</f>
        <v>Camioneta</v>
      </c>
      <c r="C168" t="str">
        <f>Plan_Mantenciones!C157</f>
        <v>Vehículos Livianos</v>
      </c>
      <c r="D168" s="11" t="str">
        <f ca="1">Plan_Mantenciones!I157</f>
        <v/>
      </c>
      <c r="E168" t="str">
        <f>Plan_Mantenciones!H157</f>
        <v/>
      </c>
      <c r="F168" t="str">
        <f>Plan_Mantenciones!J157</f>
        <v>Operativo</v>
      </c>
      <c r="G168" t="str">
        <f>IF(AND(ISNUMBER(E168),E168&gt;=0,E168&lt;=90),"Sí","No")</f>
        <v>No</v>
      </c>
    </row>
    <row r="169" spans="1:7">
      <c r="A169" t="str">
        <f>Plan_Mantenciones!A58</f>
        <v>CD-90</v>
      </c>
      <c r="B169" t="str">
        <f>Plan_Mantenciones!B58</f>
        <v>Camión Tolva</v>
      </c>
      <c r="C169" t="str">
        <f>Plan_Mantenciones!C58</f>
        <v>Camiones de Ruta</v>
      </c>
      <c r="D169" s="11" t="str">
        <f ca="1">Plan_Mantenciones!I58</f>
        <v/>
      </c>
      <c r="E169" t="str">
        <f>Plan_Mantenciones!H58</f>
        <v/>
      </c>
      <c r="F169" t="str">
        <f>Plan_Mantenciones!J58</f>
        <v>Operativo</v>
      </c>
      <c r="G169" t="str">
        <f>IF(AND(ISNUMBER(E169),E169&gt;=0,E169&lt;=90),"Sí","No")</f>
        <v>No</v>
      </c>
    </row>
    <row r="170" spans="1:7">
      <c r="A170" t="str">
        <f>Plan_Mantenciones!A122</f>
        <v>MD-65</v>
      </c>
      <c r="B170" t="str">
        <f>Plan_Mantenciones!B122</f>
        <v>Cargador Frontal</v>
      </c>
      <c r="C170" t="str">
        <f>Plan_Mantenciones!C122</f>
        <v>Maquinaria Pesada</v>
      </c>
      <c r="D170" s="11">
        <f ca="1">Plan_Mantenciones!I122</f>
        <v>45336</v>
      </c>
      <c r="E170">
        <f>Plan_Mantenciones!H122</f>
        <v>-904</v>
      </c>
      <c r="F170" t="str">
        <f>Plan_Mantenciones!J122</f>
        <v>Operativo</v>
      </c>
      <c r="G170" t="str">
        <f>IF(AND(ISNUMBER(E170),E170&gt;=0,E170&lt;=90),"Sí","No")</f>
        <v>No</v>
      </c>
    </row>
    <row r="171" spans="1:7">
      <c r="A171" t="str">
        <f>Plan_Mantenciones!A121</f>
        <v>MD-64</v>
      </c>
      <c r="B171" t="str">
        <f>Plan_Mantenciones!B121</f>
        <v>Retroexcavadora</v>
      </c>
      <c r="C171" t="str">
        <f>Plan_Mantenciones!C121</f>
        <v>Maquinaria Pesada</v>
      </c>
      <c r="D171" s="11" t="str">
        <f ca="1">Plan_Mantenciones!I121</f>
        <v/>
      </c>
      <c r="E171" t="str">
        <f>Plan_Mantenciones!H121</f>
        <v/>
      </c>
      <c r="F171" t="str">
        <f>Plan_Mantenciones!J121</f>
        <v>Operativo</v>
      </c>
      <c r="G171" t="str">
        <f>IF(AND(ISNUMBER(E171),E171&gt;=0,E171&lt;=90),"Sí","No")</f>
        <v>No</v>
      </c>
    </row>
    <row r="172" spans="1:7">
      <c r="A172" t="str">
        <f>Plan_Mantenciones!A242</f>
        <v>WED-08</v>
      </c>
      <c r="B172" t="str">
        <f>Plan_Mantenciones!B242</f>
        <v>Semiremolque</v>
      </c>
      <c r="C172" t="str">
        <f>Plan_Mantenciones!C242</f>
        <v>Maquinaria Pesada</v>
      </c>
      <c r="D172" s="11" t="str">
        <f ca="1">Plan_Mantenciones!I242</f>
        <v/>
      </c>
      <c r="E172" t="str">
        <f>Plan_Mantenciones!H242</f>
        <v/>
      </c>
      <c r="F172" t="str">
        <f>Plan_Mantenciones!J242</f>
        <v>Operativo</v>
      </c>
      <c r="G172" t="str">
        <f>IF(AND(ISNUMBER(E172),E172&gt;=0,E172&lt;=90),"Sí","No")</f>
        <v>No</v>
      </c>
    </row>
    <row r="173" spans="1:7">
      <c r="A173" t="str">
        <f>Plan_Mantenciones!A50</f>
        <v>CD-71</v>
      </c>
      <c r="B173" t="str">
        <f>Plan_Mantenciones!B50</f>
        <v>Camión Aljibe</v>
      </c>
      <c r="C173" t="str">
        <f>Plan_Mantenciones!C50</f>
        <v>Camiones de Ruta</v>
      </c>
      <c r="D173" s="11" t="str">
        <f ca="1">Plan_Mantenciones!I50</f>
        <v/>
      </c>
      <c r="E173" t="str">
        <f>Plan_Mantenciones!H50</f>
        <v/>
      </c>
      <c r="F173" t="str">
        <f>Plan_Mantenciones!J50</f>
        <v>Operativo</v>
      </c>
      <c r="G173" t="str">
        <f>IF(AND(ISNUMBER(E173),E173&gt;=0,E173&lt;=90),"Sí","No")</f>
        <v>No</v>
      </c>
    </row>
    <row r="174" spans="1:7">
      <c r="A174" t="str">
        <f>Plan_Mantenciones!A239</f>
        <v>WED-05</v>
      </c>
      <c r="B174" t="str">
        <f>Plan_Mantenciones!B239</f>
        <v>Semiremolque</v>
      </c>
      <c r="C174" t="str">
        <f>Plan_Mantenciones!C239</f>
        <v>Maquinaria Pesada</v>
      </c>
      <c r="D174" s="11" t="str">
        <f ca="1">Plan_Mantenciones!I239</f>
        <v/>
      </c>
      <c r="E174" t="str">
        <f>Plan_Mantenciones!H239</f>
        <v/>
      </c>
      <c r="F174" t="str">
        <f>Plan_Mantenciones!J239</f>
        <v>Operativo</v>
      </c>
      <c r="G174" t="str">
        <f>IF(AND(ISNUMBER(E174),E174&gt;=0,E174&lt;=90),"Sí","No")</f>
        <v>No</v>
      </c>
    </row>
    <row r="175" spans="1:7">
      <c r="A175" t="str">
        <f>Plan_Mantenciones!A13</f>
        <v>CD-110</v>
      </c>
      <c r="B175" t="str">
        <f>Plan_Mantenciones!B13</f>
        <v>Camión Plano</v>
      </c>
      <c r="C175" t="str">
        <f>Plan_Mantenciones!C13</f>
        <v>Camiones de Ruta</v>
      </c>
      <c r="D175" s="11" t="str">
        <f ca="1">Plan_Mantenciones!I13</f>
        <v/>
      </c>
      <c r="E175" t="str">
        <f>Plan_Mantenciones!H13</f>
        <v/>
      </c>
      <c r="F175" t="str">
        <f>Plan_Mantenciones!J13</f>
        <v>Operativo</v>
      </c>
      <c r="G175" t="str">
        <f>IF(AND(ISNUMBER(E175),E175&gt;=0,E175&lt;=90),"Sí","No")</f>
        <v>No</v>
      </c>
    </row>
    <row r="176" spans="1:7">
      <c r="A176" t="str">
        <f>Plan_Mantenciones!A108</f>
        <v>MD-47</v>
      </c>
      <c r="B176" t="str">
        <f>Plan_Mantenciones!B108</f>
        <v>Excavadora</v>
      </c>
      <c r="C176" t="str">
        <f>Plan_Mantenciones!C108</f>
        <v>Maquinaria Pesada</v>
      </c>
      <c r="D176" s="11" t="str">
        <f ca="1">Plan_Mantenciones!I108</f>
        <v/>
      </c>
      <c r="E176" t="str">
        <f>Plan_Mantenciones!H108</f>
        <v/>
      </c>
      <c r="F176" t="str">
        <f>Plan_Mantenciones!J108</f>
        <v>Operativo</v>
      </c>
      <c r="G176" t="str">
        <f>IF(AND(ISNUMBER(E176),E176&gt;=0,E176&lt;=90),"Sí","No")</f>
        <v>No</v>
      </c>
    </row>
    <row r="177" spans="1:7">
      <c r="A177" t="str">
        <f>Plan_Mantenciones!A41</f>
        <v>CD-138</v>
      </c>
      <c r="B177" t="str">
        <f>Plan_Mantenciones!B41</f>
        <v>Camion Imprimador</v>
      </c>
      <c r="C177" t="str">
        <f>Plan_Mantenciones!C41</f>
        <v>Maquinaria Pesada</v>
      </c>
      <c r="D177" s="11" t="str">
        <f ca="1">Plan_Mantenciones!I41</f>
        <v/>
      </c>
      <c r="E177" t="str">
        <f>Plan_Mantenciones!H41</f>
        <v/>
      </c>
      <c r="F177" t="str">
        <f>Plan_Mantenciones!J41</f>
        <v>Operativo</v>
      </c>
      <c r="G177" t="str">
        <f>IF(AND(ISNUMBER(E177),E177&gt;=0,E177&lt;=90),"Sí","No")</f>
        <v>No</v>
      </c>
    </row>
    <row r="178" spans="1:7">
      <c r="A178" t="str">
        <f>Plan_Mantenciones!A104</f>
        <v>MD-42</v>
      </c>
      <c r="B178" t="str">
        <f>Plan_Mantenciones!B104</f>
        <v>Cargador Frontal</v>
      </c>
      <c r="C178" t="str">
        <f>Plan_Mantenciones!C104</f>
        <v>Maquinaria Pesada</v>
      </c>
      <c r="D178" s="11" t="str">
        <f ca="1">Plan_Mantenciones!I104</f>
        <v/>
      </c>
      <c r="E178" t="str">
        <f>Plan_Mantenciones!H104</f>
        <v/>
      </c>
      <c r="F178" t="str">
        <f>Plan_Mantenciones!J104</f>
        <v>Taller</v>
      </c>
      <c r="G178" t="str">
        <f>IF(AND(ISNUMBER(E178),E178&gt;=0,E178&lt;=90),"Sí","No")</f>
        <v>No</v>
      </c>
    </row>
    <row r="179" spans="1:7">
      <c r="A179" t="str">
        <f>Plan_Mantenciones!A103</f>
        <v>MD-41</v>
      </c>
      <c r="B179" t="str">
        <f>Plan_Mantenciones!B103</f>
        <v>Rodillo</v>
      </c>
      <c r="C179" t="str">
        <f>Plan_Mantenciones!C103</f>
        <v>Maquinaria Pesada</v>
      </c>
      <c r="D179" s="11">
        <f ca="1">Plan_Mantenciones!I103</f>
        <v>45409</v>
      </c>
      <c r="E179">
        <f>Plan_Mantenciones!H103</f>
        <v>-831</v>
      </c>
      <c r="F179" t="str">
        <f>Plan_Mantenciones!J103</f>
        <v>Operativo</v>
      </c>
      <c r="G179" t="str">
        <f>IF(AND(ISNUMBER(E179),E179&gt;=0,E179&lt;=90),"Sí","No")</f>
        <v>No</v>
      </c>
    </row>
    <row r="180" spans="1:7">
      <c r="A180" t="str">
        <f>Plan_Mantenciones!A29</f>
        <v>CD-126</v>
      </c>
      <c r="B180" t="str">
        <f>Plan_Mantenciones!B29</f>
        <v>Camión Maxus</v>
      </c>
      <c r="C180" t="str">
        <f>Plan_Mantenciones!C29</f>
        <v>Camiones de Ruta</v>
      </c>
      <c r="D180" s="11" t="str">
        <f ca="1">Plan_Mantenciones!I29</f>
        <v/>
      </c>
      <c r="E180" t="str">
        <f>Plan_Mantenciones!H29</f>
        <v/>
      </c>
      <c r="F180" t="str">
        <f>Plan_Mantenciones!J29</f>
        <v>Operativo</v>
      </c>
      <c r="G180" t="str">
        <f>IF(AND(ISNUMBER(E180),E180&gt;=0,E180&lt;=90),"Sí","No")</f>
        <v>No</v>
      </c>
    </row>
    <row r="181" spans="1:7">
      <c r="A181" t="str">
        <f>Plan_Mantenciones!A74</f>
        <v>EQP-10</v>
      </c>
      <c r="B181" t="str">
        <f>Plan_Mantenciones!B74</f>
        <v>Planta aridos</v>
      </c>
      <c r="C181" t="str">
        <f>Plan_Mantenciones!C74</f>
        <v>Maquinaria Pesada</v>
      </c>
      <c r="D181" s="11" t="str">
        <f ca="1">Plan_Mantenciones!I74</f>
        <v/>
      </c>
      <c r="E181" t="str">
        <f>Plan_Mantenciones!H74</f>
        <v/>
      </c>
      <c r="F181" t="str">
        <f>Plan_Mantenciones!J74</f>
        <v>Operativo</v>
      </c>
      <c r="G181" t="str">
        <f>IF(AND(ISNUMBER(E181),E181&gt;=0,E181&lt;=90),"Sí","No")</f>
        <v>No</v>
      </c>
    </row>
    <row r="182" spans="1:7">
      <c r="A182" t="str">
        <f>Plan_Mantenciones!A98</f>
        <v>MD-33</v>
      </c>
      <c r="B182" t="str">
        <f>Plan_Mantenciones!B98</f>
        <v>Excavadora</v>
      </c>
      <c r="C182" t="str">
        <f>Plan_Mantenciones!C98</f>
        <v>Maquinaria Pesada</v>
      </c>
      <c r="D182" s="11" t="str">
        <f ca="1">Plan_Mantenciones!I98</f>
        <v/>
      </c>
      <c r="E182" t="str">
        <f>Plan_Mantenciones!H98</f>
        <v/>
      </c>
      <c r="F182" t="str">
        <f>Plan_Mantenciones!J98</f>
        <v>Taller</v>
      </c>
      <c r="G182" t="str">
        <f>IF(AND(ISNUMBER(E182),E182&gt;=0,E182&lt;=90),"Sí","No")</f>
        <v>No</v>
      </c>
    </row>
    <row r="183" spans="1:7">
      <c r="A183" t="str">
        <f>Plan_Mantenciones!A99</f>
        <v>MD-36</v>
      </c>
      <c r="B183" t="str">
        <f>Plan_Mantenciones!B99</f>
        <v>Cargador Frontal</v>
      </c>
      <c r="C183" t="str">
        <f>Plan_Mantenciones!C99</f>
        <v>Maquinaria Pesada</v>
      </c>
      <c r="D183" s="11">
        <f ca="1">Plan_Mantenciones!I99</f>
        <v>42297</v>
      </c>
      <c r="E183">
        <f>Plan_Mantenciones!H99</f>
        <v>-3943</v>
      </c>
      <c r="F183" t="str">
        <f>Plan_Mantenciones!J99</f>
        <v>Taller</v>
      </c>
      <c r="G183" t="str">
        <f>IF(AND(ISNUMBER(E183),E183&gt;=0,E183&lt;=90),"Sí","No")</f>
        <v>No</v>
      </c>
    </row>
    <row r="184" spans="1:7">
      <c r="A184" t="str">
        <f>Plan_Mantenciones!A20</f>
        <v>CD-117</v>
      </c>
      <c r="B184" t="str">
        <f>Plan_Mantenciones!B20</f>
        <v>Camión Slurry</v>
      </c>
      <c r="C184" t="str">
        <f>Plan_Mantenciones!C20</f>
        <v>Camiones de Ruta</v>
      </c>
      <c r="D184" s="11" t="str">
        <f ca="1">Plan_Mantenciones!I20</f>
        <v/>
      </c>
      <c r="E184" t="str">
        <f>Plan_Mantenciones!H20</f>
        <v/>
      </c>
      <c r="F184" t="str">
        <f>Plan_Mantenciones!J20</f>
        <v>Fuera de Servicio</v>
      </c>
      <c r="G184" t="str">
        <f>IF(AND(ISNUMBER(E184),E184&gt;=0,E184&lt;=90),"Sí","No")</f>
        <v>No</v>
      </c>
    </row>
    <row r="185" spans="1:7">
      <c r="A185" t="str">
        <f>Plan_Mantenciones!A54</f>
        <v>CD-86</v>
      </c>
      <c r="B185" t="str">
        <f>Plan_Mantenciones!B54</f>
        <v>Camión Aljibe</v>
      </c>
      <c r="C185" t="str">
        <f>Plan_Mantenciones!C54</f>
        <v>Camiones de Ruta</v>
      </c>
      <c r="D185" s="11">
        <f ca="1">Plan_Mantenciones!I54</f>
        <v>46301</v>
      </c>
      <c r="E185">
        <f>Plan_Mantenciones!H54</f>
        <v>61</v>
      </c>
      <c r="F185" t="str">
        <f>Plan_Mantenciones!J54</f>
        <v>Operativo</v>
      </c>
      <c r="G185" t="str">
        <f>IF(AND(ISNUMBER(E185),E185&gt;=0,E185&lt;=90),"Sí","No")</f>
        <v>Sí</v>
      </c>
    </row>
    <row r="186" spans="1:7">
      <c r="A186" t="str">
        <f>Plan_Mantenciones!A30</f>
        <v>CD-127</v>
      </c>
      <c r="B186" t="str">
        <f>Plan_Mantenciones!B30</f>
        <v>Camión Pluma</v>
      </c>
      <c r="C186" t="str">
        <f>Plan_Mantenciones!C30</f>
        <v>Camiones de Ruta</v>
      </c>
      <c r="D186" s="11" t="str">
        <f ca="1">Plan_Mantenciones!I30</f>
        <v/>
      </c>
      <c r="E186" t="str">
        <f>Plan_Mantenciones!H30</f>
        <v/>
      </c>
      <c r="F186" t="str">
        <f>Plan_Mantenciones!J30</f>
        <v>Operativo</v>
      </c>
      <c r="G186" t="str">
        <f>IF(AND(ISNUMBER(E186),E186&gt;=0,E186&lt;=90),"Sí","No")</f>
        <v>No</v>
      </c>
    </row>
    <row r="187" spans="1:7">
      <c r="A187" t="str">
        <f>Plan_Mantenciones!A61</f>
        <v>CD-93</v>
      </c>
      <c r="B187" t="str">
        <f>Plan_Mantenciones!B61</f>
        <v>Camión Plano</v>
      </c>
      <c r="C187" t="str">
        <f>Plan_Mantenciones!C61</f>
        <v>Camiones de Ruta</v>
      </c>
      <c r="D187" s="11" t="str">
        <f ca="1">Plan_Mantenciones!I61</f>
        <v/>
      </c>
      <c r="E187" t="str">
        <f>Plan_Mantenciones!H61</f>
        <v/>
      </c>
      <c r="F187" t="str">
        <f>Plan_Mantenciones!J61</f>
        <v>Fuera de Servicio</v>
      </c>
      <c r="G187" t="str">
        <f>IF(AND(ISNUMBER(E187),E187&gt;=0,E187&lt;=90),"Sí","No")</f>
        <v>No</v>
      </c>
    </row>
    <row r="188" spans="1:7">
      <c r="A188" t="str">
        <f>Plan_Mantenciones!A27</f>
        <v>CD-124</v>
      </c>
      <c r="B188" t="str">
        <f>Plan_Mantenciones!B27</f>
        <v>Camión Tolva</v>
      </c>
      <c r="C188" t="str">
        <f>Plan_Mantenciones!C27</f>
        <v>Camiones de Ruta</v>
      </c>
      <c r="D188" s="11" t="str">
        <f ca="1">Plan_Mantenciones!I27</f>
        <v/>
      </c>
      <c r="E188" t="str">
        <f>Plan_Mantenciones!H27</f>
        <v/>
      </c>
      <c r="F188" t="str">
        <f>Plan_Mantenciones!J27</f>
        <v>Fuera de Servicio</v>
      </c>
      <c r="G188" t="str">
        <f>IF(AND(ISNUMBER(E188),E188&gt;=0,E188&lt;=90),"Sí","No")</f>
        <v>No</v>
      </c>
    </row>
    <row r="189" spans="1:7">
      <c r="A189" t="str">
        <f>Plan_Mantenciones!A15</f>
        <v>CD-112</v>
      </c>
      <c r="B189" t="str">
        <f>Plan_Mantenciones!B15</f>
        <v>Camión Pintura</v>
      </c>
      <c r="C189" t="str">
        <f>Plan_Mantenciones!C15</f>
        <v>Camiones de Ruta</v>
      </c>
      <c r="D189" s="11" t="str">
        <f ca="1">Plan_Mantenciones!I15</f>
        <v/>
      </c>
      <c r="E189" t="str">
        <f>Plan_Mantenciones!H15</f>
        <v/>
      </c>
      <c r="F189" t="str">
        <f>Plan_Mantenciones!J15</f>
        <v>Fuera de Servicio</v>
      </c>
      <c r="G189" t="str">
        <f>IF(AND(ISNUMBER(E189),E189&gt;=0,E189&lt;=90),"Sí","No")</f>
        <v>No</v>
      </c>
    </row>
    <row r="190" spans="1:7">
      <c r="A190" t="str">
        <f>Plan_Mantenciones!A52</f>
        <v>CD-74</v>
      </c>
      <c r="B190" t="str">
        <f>Plan_Mantenciones!B52</f>
        <v>Tracto Camión</v>
      </c>
      <c r="C190" t="str">
        <f>Plan_Mantenciones!C52</f>
        <v>Camiones de Ruta</v>
      </c>
      <c r="D190" s="11" t="str">
        <f ca="1">Plan_Mantenciones!I52</f>
        <v/>
      </c>
      <c r="E190" t="str">
        <f>Plan_Mantenciones!H52</f>
        <v/>
      </c>
      <c r="F190" t="str">
        <f>Plan_Mantenciones!J52</f>
        <v>Fuera de Servicio</v>
      </c>
      <c r="G190" t="str">
        <f>IF(AND(ISNUMBER(E190),E190&gt;=0,E190&lt;=90),"Sí","No")</f>
        <v>No</v>
      </c>
    </row>
    <row r="191" spans="1:7">
      <c r="A191" t="str">
        <f>Plan_Mantenciones!A78</f>
        <v>EQP-15</v>
      </c>
      <c r="B191" t="str">
        <f>Plan_Mantenciones!B78</f>
        <v>Planta Aridos seleccionadora</v>
      </c>
      <c r="C191" t="str">
        <f>Plan_Mantenciones!C78</f>
        <v>Maquinaria Pesada</v>
      </c>
      <c r="D191" s="11" t="str">
        <f ca="1">Plan_Mantenciones!I78</f>
        <v/>
      </c>
      <c r="E191" t="str">
        <f>Plan_Mantenciones!H78</f>
        <v/>
      </c>
      <c r="F191" t="str">
        <f>Plan_Mantenciones!J78</f>
        <v>Fuera de Servicio</v>
      </c>
      <c r="G191" t="str">
        <f>IF(AND(ISNUMBER(E191),E191&gt;=0,E191&lt;=90),"Sí","No")</f>
        <v>No</v>
      </c>
    </row>
    <row r="192" spans="1:7">
      <c r="A192" t="str">
        <f>Plan_Mantenciones!A201</f>
        <v>VD-59</v>
      </c>
      <c r="B192" t="str">
        <f>Plan_Mantenciones!B201</f>
        <v>Camioneta</v>
      </c>
      <c r="C192" t="str">
        <f>Plan_Mantenciones!C201</f>
        <v>Vehículos Livianos</v>
      </c>
      <c r="D192" s="11" t="str">
        <f ca="1">Plan_Mantenciones!I201</f>
        <v/>
      </c>
      <c r="E192" t="str">
        <f>Plan_Mantenciones!H201</f>
        <v/>
      </c>
      <c r="F192" t="str">
        <f>Plan_Mantenciones!J201</f>
        <v>Fuera de Servicio</v>
      </c>
      <c r="G192" t="str">
        <f>IF(AND(ISNUMBER(E192),E192&gt;=0,E192&lt;=90),"Sí","No")</f>
        <v>No</v>
      </c>
    </row>
    <row r="193" spans="1:7">
      <c r="A193" t="str">
        <f>Plan_Mantenciones!A228</f>
        <v>VD-89</v>
      </c>
      <c r="B193" t="str">
        <f>Plan_Mantenciones!B228</f>
        <v>Camioneta</v>
      </c>
      <c r="C193" t="str">
        <f>Plan_Mantenciones!C228</f>
        <v>Vehículos Livianos</v>
      </c>
      <c r="D193" s="11" t="str">
        <f ca="1">Plan_Mantenciones!I228</f>
        <v/>
      </c>
      <c r="E193" t="str">
        <f>Plan_Mantenciones!H228</f>
        <v/>
      </c>
      <c r="F193" t="str">
        <f>Plan_Mantenciones!J228</f>
        <v>Operativo</v>
      </c>
      <c r="G193" t="str">
        <f>IF(AND(ISNUMBER(E193),E193&gt;=0,E193&lt;=90),"Sí","No")</f>
        <v>No</v>
      </c>
    </row>
    <row r="194" spans="1:7">
      <c r="A194" t="str">
        <f>Plan_Mantenciones!A70</f>
        <v>ED-63</v>
      </c>
      <c r="B194" t="str">
        <f>Plan_Mantenciones!B70</f>
        <v>Barredora</v>
      </c>
      <c r="C194" t="str">
        <f>Plan_Mantenciones!C70</f>
        <v>Maquinaria Pesada</v>
      </c>
      <c r="D194" s="11" t="str">
        <f ca="1">Plan_Mantenciones!I70</f>
        <v/>
      </c>
      <c r="E194" t="str">
        <f>Plan_Mantenciones!H70</f>
        <v/>
      </c>
      <c r="F194" t="str">
        <f>Plan_Mantenciones!J70</f>
        <v>Operativo</v>
      </c>
      <c r="G194" t="str">
        <f>IF(AND(ISNUMBER(E194),E194&gt;=0,E194&lt;=90),"Sí","No")</f>
        <v>No</v>
      </c>
    </row>
    <row r="195" spans="1:7">
      <c r="A195" t="str">
        <f>Plan_Mantenciones!A14</f>
        <v>CD-111</v>
      </c>
      <c r="B195" t="str">
        <f>Plan_Mantenciones!B14</f>
        <v>Camión Plano</v>
      </c>
      <c r="C195" t="str">
        <f>Plan_Mantenciones!C14</f>
        <v>Camiones de Ruta</v>
      </c>
      <c r="D195" s="11" t="str">
        <f ca="1">Plan_Mantenciones!I14</f>
        <v/>
      </c>
      <c r="E195" t="str">
        <f>Plan_Mantenciones!H14</f>
        <v/>
      </c>
      <c r="F195" t="str">
        <f>Plan_Mantenciones!J14</f>
        <v>Fuera de Servicio</v>
      </c>
      <c r="G195" t="str">
        <f>IF(AND(ISNUMBER(E195),E195&gt;=0,E195&lt;=90),"Sí","No")</f>
        <v>No</v>
      </c>
    </row>
    <row r="196" spans="1:7">
      <c r="A196" t="str">
        <f>Plan_Mantenciones!A60</f>
        <v>CD-92</v>
      </c>
      <c r="B196" t="str">
        <f>Plan_Mantenciones!B60</f>
        <v>Camión Combustible</v>
      </c>
      <c r="C196" t="str">
        <f>Plan_Mantenciones!C60</f>
        <v>Camiones de Ruta</v>
      </c>
      <c r="D196" s="11" t="str">
        <f ca="1">Plan_Mantenciones!I60</f>
        <v/>
      </c>
      <c r="E196" t="str">
        <f>Plan_Mantenciones!H60</f>
        <v/>
      </c>
      <c r="F196" t="str">
        <f>Plan_Mantenciones!J60</f>
        <v>Fuera de Servicio</v>
      </c>
      <c r="G196" t="str">
        <f>IF(AND(ISNUMBER(E196),E196&gt;=0,E196&lt;=90),"Sí","No")</f>
        <v>No</v>
      </c>
    </row>
    <row r="197" spans="1:7">
      <c r="A197" t="str">
        <f>Plan_Mantenciones!A53</f>
        <v>CD-80</v>
      </c>
      <c r="B197" t="str">
        <f>Plan_Mantenciones!B53</f>
        <v>Camión Pluma</v>
      </c>
      <c r="C197" t="str">
        <f>Plan_Mantenciones!C53</f>
        <v>Camiones de Ruta</v>
      </c>
      <c r="D197" s="11">
        <f ca="1">Plan_Mantenciones!I53</f>
        <v>48870</v>
      </c>
      <c r="E197">
        <f>Plan_Mantenciones!H53</f>
        <v>2630</v>
      </c>
      <c r="F197" t="str">
        <f>Plan_Mantenciones!J53</f>
        <v>Fuera de Servicio</v>
      </c>
      <c r="G197" t="str">
        <f>IF(AND(ISNUMBER(E197),E197&gt;=0,E197&lt;=90),"Sí","No")</f>
        <v>No</v>
      </c>
    </row>
    <row r="198" spans="1:7">
      <c r="A198" t="str">
        <f>Plan_Mantenciones!A40</f>
        <v>CD-137</v>
      </c>
      <c r="B198" t="str">
        <f>Plan_Mantenciones!B40</f>
        <v>Tracto Camión</v>
      </c>
      <c r="C198" t="str">
        <f>Plan_Mantenciones!C40</f>
        <v>Camiones de Ruta</v>
      </c>
      <c r="D198" s="11" t="str">
        <f ca="1">Plan_Mantenciones!I40</f>
        <v/>
      </c>
      <c r="E198" t="str">
        <f>Plan_Mantenciones!H40</f>
        <v/>
      </c>
      <c r="F198" t="str">
        <f>Plan_Mantenciones!J40</f>
        <v>Operativo</v>
      </c>
      <c r="G198" t="str">
        <f>IF(AND(ISNUMBER(E198),E198&gt;=0,E198&lt;=90),"Sí","No")</f>
        <v>No</v>
      </c>
    </row>
    <row r="199" spans="1:7">
      <c r="A199" t="str">
        <f>Plan_Mantenciones!A221</f>
        <v>VD-82</v>
      </c>
      <c r="B199" t="str">
        <f>Plan_Mantenciones!B221</f>
        <v>Camioneta</v>
      </c>
      <c r="C199" t="str">
        <f>Plan_Mantenciones!C221</f>
        <v>Vehículos Livianos</v>
      </c>
      <c r="D199" s="11" t="str">
        <f ca="1">Plan_Mantenciones!I221</f>
        <v/>
      </c>
      <c r="E199" t="str">
        <f>Plan_Mantenciones!H221</f>
        <v/>
      </c>
      <c r="F199" t="str">
        <f>Plan_Mantenciones!J221</f>
        <v>Operativo</v>
      </c>
      <c r="G199" t="str">
        <f>IF(AND(ISNUMBER(E199),E199&gt;=0,E199&lt;=90),"Sí","No")</f>
        <v>No</v>
      </c>
    </row>
    <row r="200" spans="1:7">
      <c r="A200" t="str">
        <f>Plan_Mantenciones!A240</f>
        <v>WED-06</v>
      </c>
      <c r="B200" t="str">
        <f>Plan_Mantenciones!B240</f>
        <v>Semiremolque</v>
      </c>
      <c r="C200" t="str">
        <f>Plan_Mantenciones!C240</f>
        <v>Maquinaria Pesada</v>
      </c>
      <c r="D200" s="11" t="str">
        <f ca="1">Plan_Mantenciones!I240</f>
        <v/>
      </c>
      <c r="E200" t="str">
        <f>Plan_Mantenciones!H240</f>
        <v/>
      </c>
      <c r="F200" t="str">
        <f>Plan_Mantenciones!J240</f>
        <v>Operativo</v>
      </c>
      <c r="G200" t="str">
        <f>IF(AND(ISNUMBER(E200),E200&gt;=0,E200&lt;=90),"Sí","No")</f>
        <v>No</v>
      </c>
    </row>
    <row r="201" spans="1:7">
      <c r="A201" t="str">
        <f>Plan_Mantenciones!A72</f>
        <v>ED-67</v>
      </c>
      <c r="B201" t="str">
        <f>Plan_Mantenciones!B72</f>
        <v>Imprimador</v>
      </c>
      <c r="C201" t="str">
        <f>Plan_Mantenciones!C72</f>
        <v>Maquinaria Pesada</v>
      </c>
      <c r="D201" s="11" t="str">
        <f ca="1">Plan_Mantenciones!I72</f>
        <v/>
      </c>
      <c r="E201" t="str">
        <f>Plan_Mantenciones!H72</f>
        <v/>
      </c>
      <c r="F201" t="str">
        <f>Plan_Mantenciones!J72</f>
        <v>Operativo</v>
      </c>
      <c r="G201" t="str">
        <f>IF(AND(ISNUMBER(E201),E201&gt;=0,E201&lt;=90),"Sí","No")</f>
        <v>No</v>
      </c>
    </row>
    <row r="202" spans="1:7">
      <c r="A202" t="str">
        <f>Plan_Mantenciones!A100</f>
        <v>MD-37</v>
      </c>
      <c r="B202" t="str">
        <f>Plan_Mantenciones!B100</f>
        <v>Cargador Frontal</v>
      </c>
      <c r="C202" t="str">
        <f>Plan_Mantenciones!C100</f>
        <v>Maquinaria Pesada</v>
      </c>
      <c r="D202" s="11" t="str">
        <f ca="1">Plan_Mantenciones!I100</f>
        <v/>
      </c>
      <c r="E202" t="str">
        <f>Plan_Mantenciones!H100</f>
        <v/>
      </c>
      <c r="F202" t="str">
        <f>Plan_Mantenciones!J100</f>
        <v>Operativo</v>
      </c>
      <c r="G202" t="str">
        <f>IF(AND(ISNUMBER(E202),E202&gt;=0,E202&lt;=90),"Sí","No")</f>
        <v>No</v>
      </c>
    </row>
    <row r="203" spans="1:7">
      <c r="A203" t="str">
        <f>Plan_Mantenciones!A194</f>
        <v>VD-141</v>
      </c>
      <c r="B203" t="str">
        <f>Plan_Mantenciones!B194</f>
        <v>Camioneta</v>
      </c>
      <c r="C203" t="str">
        <f>Plan_Mantenciones!C194</f>
        <v>Vehículos Livianos</v>
      </c>
      <c r="D203" s="11" t="str">
        <f ca="1">Plan_Mantenciones!I194</f>
        <v/>
      </c>
      <c r="E203" t="str">
        <f>Plan_Mantenciones!H194</f>
        <v/>
      </c>
      <c r="F203" t="str">
        <f>Plan_Mantenciones!J194</f>
        <v>Operativo</v>
      </c>
      <c r="G203" t="str">
        <f>IF(AND(ISNUMBER(E203),E203&gt;=0,E203&lt;=90),"Sí","No")</f>
        <v>No</v>
      </c>
    </row>
    <row r="204" spans="1:7">
      <c r="A204" t="str">
        <f>Plan_Mantenciones!A66</f>
        <v>CD-99</v>
      </c>
      <c r="B204" t="str">
        <f>Plan_Mantenciones!B66</f>
        <v>Camión Aljibe</v>
      </c>
      <c r="C204" t="str">
        <f>Plan_Mantenciones!C66</f>
        <v>Camiones de Ruta</v>
      </c>
      <c r="D204" s="11" t="str">
        <f ca="1">Plan_Mantenciones!I66</f>
        <v/>
      </c>
      <c r="E204" t="str">
        <f>Plan_Mantenciones!H66</f>
        <v/>
      </c>
      <c r="F204" t="str">
        <f>Plan_Mantenciones!J66</f>
        <v>Fuera de Servicio</v>
      </c>
      <c r="G204" t="str">
        <f>IF(AND(ISNUMBER(E204),E204&gt;=0,E204&lt;=90),"Sí","No")</f>
        <v>No</v>
      </c>
    </row>
    <row r="205" spans="1:7">
      <c r="A205" t="str">
        <f>Plan_Mantenciones!A213</f>
        <v>VD-74</v>
      </c>
      <c r="B205" t="str">
        <f>Plan_Mantenciones!B213</f>
        <v>Camioneta</v>
      </c>
      <c r="C205" t="str">
        <f>Plan_Mantenciones!C213</f>
        <v>Vehículos Livianos</v>
      </c>
      <c r="D205" s="11" t="str">
        <f ca="1">Plan_Mantenciones!I213</f>
        <v/>
      </c>
      <c r="E205" t="str">
        <f>Plan_Mantenciones!H213</f>
        <v/>
      </c>
      <c r="F205" t="str">
        <f>Plan_Mantenciones!J213</f>
        <v>Fuera de Servicio</v>
      </c>
      <c r="G205" t="str">
        <f>IF(AND(ISNUMBER(E205),E205&gt;=0,E205&lt;=90),"Sí","No")</f>
        <v>No</v>
      </c>
    </row>
    <row r="206" spans="1:7">
      <c r="A206" t="str">
        <f>Plan_Mantenciones!A71</f>
        <v>ED-66</v>
      </c>
      <c r="B206" t="str">
        <f>Plan_Mantenciones!B71</f>
        <v>Planta Micropavimento</v>
      </c>
      <c r="C206" t="str">
        <f>Plan_Mantenciones!C71</f>
        <v>Maquinaria Pesada</v>
      </c>
      <c r="D206" s="11" t="str">
        <f ca="1">Plan_Mantenciones!I71</f>
        <v/>
      </c>
      <c r="E206" t="str">
        <f>Plan_Mantenciones!H71</f>
        <v/>
      </c>
      <c r="F206" t="str">
        <f>Plan_Mantenciones!J71</f>
        <v>Operativo</v>
      </c>
      <c r="G206" t="str">
        <f>IF(AND(ISNUMBER(E206),E206&gt;=0,E206&lt;=90),"Sí","No")</f>
        <v>No</v>
      </c>
    </row>
    <row r="207" spans="1:7">
      <c r="A207" t="str">
        <f>Plan_Mantenciones!A82</f>
        <v>EQP-19</v>
      </c>
      <c r="B207" t="str">
        <f>Plan_Mantenciones!B82</f>
        <v>Planta aridos</v>
      </c>
      <c r="C207" t="str">
        <f>Plan_Mantenciones!C82</f>
        <v>Maquinaria Pesada</v>
      </c>
      <c r="D207" s="11" t="str">
        <f ca="1">Plan_Mantenciones!I82</f>
        <v/>
      </c>
      <c r="E207" t="str">
        <f>Plan_Mantenciones!H82</f>
        <v/>
      </c>
      <c r="F207" t="str">
        <f>Plan_Mantenciones!J82</f>
        <v>Operativo</v>
      </c>
      <c r="G207" t="str">
        <f>IF(AND(ISNUMBER(E207),E207&gt;=0,E207&lt;=90),"Sí","No")</f>
        <v>No</v>
      </c>
    </row>
    <row r="208" spans="1:7">
      <c r="A208" t="str">
        <f>Plan_Mantenciones!A11</f>
        <v>CD-108</v>
      </c>
      <c r="B208" t="str">
        <f>Plan_Mantenciones!B11</f>
        <v>Camión Slurry</v>
      </c>
      <c r="C208" t="str">
        <f>Plan_Mantenciones!C11</f>
        <v>Camiones de Ruta</v>
      </c>
      <c r="D208" s="11" t="str">
        <f ca="1">Plan_Mantenciones!I11</f>
        <v/>
      </c>
      <c r="E208" t="str">
        <f>Plan_Mantenciones!H11</f>
        <v/>
      </c>
      <c r="F208" t="str">
        <f>Plan_Mantenciones!J11</f>
        <v>Operativo</v>
      </c>
      <c r="G208" t="str">
        <f>IF(AND(ISNUMBER(E208),E208&gt;=0,E208&lt;=90),"Sí","No")</f>
        <v>No</v>
      </c>
    </row>
    <row r="209" spans="1:7">
      <c r="A209" t="str">
        <f>Plan_Mantenciones!A19</f>
        <v>CD-116</v>
      </c>
      <c r="B209" t="str">
        <f>Plan_Mantenciones!B19</f>
        <v>Camión Plano</v>
      </c>
      <c r="C209" t="str">
        <f>Plan_Mantenciones!C19</f>
        <v>Camiones de Ruta</v>
      </c>
      <c r="D209" s="11" t="str">
        <f ca="1">Plan_Mantenciones!I19</f>
        <v/>
      </c>
      <c r="E209" t="str">
        <f>Plan_Mantenciones!H19</f>
        <v/>
      </c>
      <c r="F209" t="str">
        <f>Plan_Mantenciones!J19</f>
        <v>Operativo</v>
      </c>
      <c r="G209" t="str">
        <f>IF(AND(ISNUMBER(E209),E209&gt;=0,E209&lt;=90),"Sí","No")</f>
        <v>No</v>
      </c>
    </row>
    <row r="210" spans="1:7">
      <c r="A210" t="str">
        <f>Plan_Mantenciones!A55</f>
        <v>CD-87</v>
      </c>
      <c r="B210" t="str">
        <f>Plan_Mantenciones!B55</f>
        <v>Camión Tolva</v>
      </c>
      <c r="C210" t="str">
        <f>Plan_Mantenciones!C55</f>
        <v>Camiones de Ruta</v>
      </c>
      <c r="D210" s="11" t="str">
        <f ca="1">Plan_Mantenciones!I55</f>
        <v/>
      </c>
      <c r="E210" t="str">
        <f>Plan_Mantenciones!H55</f>
        <v/>
      </c>
      <c r="F210" t="str">
        <f>Plan_Mantenciones!J55</f>
        <v>Operativo</v>
      </c>
      <c r="G210" t="str">
        <f>IF(AND(ISNUMBER(E210),E210&gt;=0,E210&lt;=90),"Sí","No")</f>
        <v>No</v>
      </c>
    </row>
    <row r="211" spans="1:7">
      <c r="A211" t="str">
        <f>Plan_Mantenciones!A16</f>
        <v>CD-113</v>
      </c>
      <c r="B211" t="str">
        <f>Plan_Mantenciones!B16</f>
        <v>Camión Imprimador</v>
      </c>
      <c r="C211" t="str">
        <f>Plan_Mantenciones!C16</f>
        <v>Camiones de Ruta</v>
      </c>
      <c r="D211" s="11" t="str">
        <f ca="1">Plan_Mantenciones!I16</f>
        <v/>
      </c>
      <c r="E211" t="str">
        <f>Plan_Mantenciones!H16</f>
        <v/>
      </c>
      <c r="F211" t="str">
        <f>Plan_Mantenciones!J16</f>
        <v>Operativo</v>
      </c>
      <c r="G211" t="str">
        <f>IF(AND(ISNUMBER(E211),E211&gt;=0,E211&lt;=90),"Sí","No")</f>
        <v>No</v>
      </c>
    </row>
    <row r="212" spans="1:7">
      <c r="A212" t="str">
        <f>Plan_Mantenciones!A63</f>
        <v>CD-96</v>
      </c>
      <c r="B212" t="str">
        <f>Plan_Mantenciones!B63</f>
        <v>Camión Aljibe</v>
      </c>
      <c r="C212" t="str">
        <f>Plan_Mantenciones!C63</f>
        <v>Camiones de Ruta</v>
      </c>
      <c r="D212" s="11">
        <f ca="1">Plan_Mantenciones!I63</f>
        <v>71085</v>
      </c>
      <c r="E212">
        <f>Plan_Mantenciones!H63</f>
        <v>24845</v>
      </c>
      <c r="F212" t="str">
        <f>Plan_Mantenciones!J63</f>
        <v>Operativo</v>
      </c>
      <c r="G212" t="str">
        <f>IF(AND(ISNUMBER(E212),E212&gt;=0,E212&lt;=90),"Sí","No")</f>
        <v>No</v>
      </c>
    </row>
    <row r="213" spans="1:7">
      <c r="A213" t="str">
        <f>Plan_Mantenciones!A33</f>
        <v>CD-130</v>
      </c>
      <c r="B213" t="str">
        <f>Plan_Mantenciones!B33</f>
        <v>Camión Tolva</v>
      </c>
      <c r="C213" t="str">
        <f>Plan_Mantenciones!C33</f>
        <v>Camiones de Ruta</v>
      </c>
      <c r="D213" s="11" t="str">
        <f ca="1">Plan_Mantenciones!I33</f>
        <v/>
      </c>
      <c r="E213" t="str">
        <f>Plan_Mantenciones!H33</f>
        <v/>
      </c>
      <c r="F213" t="str">
        <f>Plan_Mantenciones!J33</f>
        <v>Fuera de Servicio</v>
      </c>
      <c r="G213" t="str">
        <f>IF(AND(ISNUMBER(E213),E213&gt;=0,E213&lt;=90),"Sí","No")</f>
        <v>No</v>
      </c>
    </row>
    <row r="214" spans="1:7">
      <c r="A214" t="str">
        <f>Plan_Mantenciones!A64</f>
        <v>CD-97</v>
      </c>
      <c r="B214" t="str">
        <f>Plan_Mantenciones!B64</f>
        <v>Tracto Camión</v>
      </c>
      <c r="C214" t="str">
        <f>Plan_Mantenciones!C64</f>
        <v>Camiones de Ruta</v>
      </c>
      <c r="D214" s="11" t="str">
        <f ca="1">Plan_Mantenciones!I64</f>
        <v/>
      </c>
      <c r="E214" t="str">
        <f>Plan_Mantenciones!H64</f>
        <v/>
      </c>
      <c r="F214" t="str">
        <f>Plan_Mantenciones!J64</f>
        <v>Operativo</v>
      </c>
      <c r="G214" t="str">
        <f>IF(AND(ISNUMBER(E214),E214&gt;=0,E214&lt;=90),"Sí","No")</f>
        <v>No</v>
      </c>
    </row>
    <row r="215" spans="1:7">
      <c r="A215" t="str">
        <f>Plan_Mantenciones!A7</f>
        <v>CD-104</v>
      </c>
      <c r="B215" t="str">
        <f>Plan_Mantenciones!B7</f>
        <v>Camión Tolva</v>
      </c>
      <c r="C215" t="str">
        <f>Plan_Mantenciones!C7</f>
        <v>Camiones de Ruta</v>
      </c>
      <c r="D215" s="11" t="str">
        <f ca="1">Plan_Mantenciones!I7</f>
        <v/>
      </c>
      <c r="E215" t="str">
        <f>Plan_Mantenciones!H7</f>
        <v/>
      </c>
      <c r="F215" t="str">
        <f>Plan_Mantenciones!J7</f>
        <v>Operativo</v>
      </c>
      <c r="G215" t="str">
        <f>IF(AND(ISNUMBER(E215),E215&gt;=0,E215&lt;=90),"Sí","No")</f>
        <v>No</v>
      </c>
    </row>
    <row r="216" spans="1:7">
      <c r="A216" t="str">
        <f>Plan_Mantenciones!A28</f>
        <v>CD-125</v>
      </c>
      <c r="B216" t="str">
        <f>Plan_Mantenciones!B28</f>
        <v>Camión Maxus</v>
      </c>
      <c r="C216" t="str">
        <f>Plan_Mantenciones!C28</f>
        <v>Camiones de Ruta</v>
      </c>
      <c r="D216" s="11" t="str">
        <f ca="1">Plan_Mantenciones!I28</f>
        <v/>
      </c>
      <c r="E216" t="str">
        <f>Plan_Mantenciones!H28</f>
        <v/>
      </c>
      <c r="F216" t="str">
        <f>Plan_Mantenciones!J28</f>
        <v>Operativo</v>
      </c>
      <c r="G216" t="str">
        <f>IF(AND(ISNUMBER(E216),E216&gt;=0,E216&lt;=90),"Sí","No")</f>
        <v>No</v>
      </c>
    </row>
    <row r="217" spans="1:7">
      <c r="A217" t="str">
        <f>Plan_Mantenciones!A26</f>
        <v>CD-123</v>
      </c>
      <c r="B217" t="str">
        <f>Plan_Mantenciones!B26</f>
        <v>Camión Tolva</v>
      </c>
      <c r="C217" t="str">
        <f>Plan_Mantenciones!C26</f>
        <v>Camiones de Ruta</v>
      </c>
      <c r="D217" s="11" t="str">
        <f ca="1">Plan_Mantenciones!I26</f>
        <v/>
      </c>
      <c r="E217" t="str">
        <f>Plan_Mantenciones!H26</f>
        <v/>
      </c>
      <c r="F217" t="str">
        <f>Plan_Mantenciones!J26</f>
        <v>Operativo</v>
      </c>
      <c r="G217" t="str">
        <f>IF(AND(ISNUMBER(E217),E217&gt;=0,E217&lt;=90),"Sí","No")</f>
        <v>No</v>
      </c>
    </row>
    <row r="218" spans="1:7">
      <c r="A218" t="str">
        <f>Plan_Mantenciones!A6</f>
        <v>CD-103</v>
      </c>
      <c r="B218" t="str">
        <f>Plan_Mantenciones!B6</f>
        <v>Camión Tolva</v>
      </c>
      <c r="C218" t="str">
        <f>Plan_Mantenciones!C6</f>
        <v>Camiones de Ruta</v>
      </c>
      <c r="D218" s="11" t="str">
        <f ca="1">Plan_Mantenciones!I6</f>
        <v/>
      </c>
      <c r="E218" t="str">
        <f>Plan_Mantenciones!H6</f>
        <v/>
      </c>
      <c r="F218" t="str">
        <f>Plan_Mantenciones!J6</f>
        <v>Fuera de Servicio</v>
      </c>
      <c r="G218" t="str">
        <f>IF(AND(ISNUMBER(E218),E218&gt;=0,E218&lt;=90),"Sí","No")</f>
        <v>No</v>
      </c>
    </row>
    <row r="219" spans="1:7">
      <c r="A219" t="str">
        <f>Plan_Mantenciones!A32</f>
        <v>CD-129</v>
      </c>
      <c r="B219" t="str">
        <f>Plan_Mantenciones!B32</f>
        <v>Camión Aljibe</v>
      </c>
      <c r="C219" t="str">
        <f>Plan_Mantenciones!C32</f>
        <v>Camiones de Ruta</v>
      </c>
      <c r="D219" s="11" t="str">
        <f ca="1">Plan_Mantenciones!I32</f>
        <v/>
      </c>
      <c r="E219" t="str">
        <f>Plan_Mantenciones!H32</f>
        <v/>
      </c>
      <c r="F219" t="str">
        <f>Plan_Mantenciones!J32</f>
        <v>Fuera de Servicio</v>
      </c>
      <c r="G219" t="str">
        <f>IF(AND(ISNUMBER(E219),E219&gt;=0,E219&lt;=90),"Sí","No")</f>
        <v>No</v>
      </c>
    </row>
    <row r="220" spans="1:7">
      <c r="A220" t="str">
        <f>Plan_Mantenciones!A80</f>
        <v>EQP-17</v>
      </c>
      <c r="B220" t="str">
        <f>Plan_Mantenciones!B80</f>
        <v>Planta Aridos seleccionadora</v>
      </c>
      <c r="C220" t="str">
        <f>Plan_Mantenciones!C80</f>
        <v>Maquinaria Pesada</v>
      </c>
      <c r="D220" s="11" t="str">
        <f ca="1">Plan_Mantenciones!I80</f>
        <v/>
      </c>
      <c r="E220" t="str">
        <f>Plan_Mantenciones!H80</f>
        <v/>
      </c>
      <c r="F220" t="str">
        <f>Plan_Mantenciones!J80</f>
        <v>Fuera de Servicio</v>
      </c>
      <c r="G220" t="str">
        <f>IF(AND(ISNUMBER(E220),E220&gt;=0,E220&lt;=90),"Sí","No")</f>
        <v>No</v>
      </c>
    </row>
    <row r="221" spans="1:7">
      <c r="A221" t="str">
        <f>Plan_Mantenciones!A48</f>
        <v>CD-68</v>
      </c>
      <c r="B221" t="str">
        <f>Plan_Mantenciones!B48</f>
        <v>Camión Aljibe</v>
      </c>
      <c r="C221" t="str">
        <f>Plan_Mantenciones!C48</f>
        <v>Camiones de Ruta</v>
      </c>
      <c r="D221" s="11" t="str">
        <f ca="1">Plan_Mantenciones!I48</f>
        <v/>
      </c>
      <c r="E221" t="str">
        <f>Plan_Mantenciones!H48</f>
        <v/>
      </c>
      <c r="F221" t="str">
        <f>Plan_Mantenciones!J48</f>
        <v>Operativo</v>
      </c>
      <c r="G221" t="str">
        <f>IF(AND(ISNUMBER(E221),E221&gt;=0,E221&lt;=90),"Sí","No")</f>
        <v>No</v>
      </c>
    </row>
    <row r="222" spans="1:7">
      <c r="A222" t="str">
        <f>Plan_Mantenciones!A198</f>
        <v>VD-45</v>
      </c>
      <c r="B222" t="str">
        <f>Plan_Mantenciones!B198</f>
        <v>Minibus</v>
      </c>
      <c r="C222" t="str">
        <f>Plan_Mantenciones!C198</f>
        <v>Vehículos Livianos</v>
      </c>
      <c r="D222" s="11">
        <f ca="1">Plan_Mantenciones!I198</f>
        <v>45491</v>
      </c>
      <c r="E222">
        <f>Plan_Mantenciones!H198</f>
        <v>-749</v>
      </c>
      <c r="F222" t="str">
        <f>Plan_Mantenciones!J198</f>
        <v>Taller</v>
      </c>
      <c r="G222" t="str">
        <f>IF(AND(ISNUMBER(E222),E222&gt;=0,E222&lt;=90),"Sí","No")</f>
        <v>No</v>
      </c>
    </row>
    <row r="223" spans="1:7">
      <c r="A223" t="str">
        <f>Plan_Mantenciones!A199</f>
        <v>VD-57</v>
      </c>
      <c r="B223" t="str">
        <f>Plan_Mantenciones!B199</f>
        <v>Camioneta</v>
      </c>
      <c r="C223" t="str">
        <f>Plan_Mantenciones!C199</f>
        <v>Vehículos Livianos</v>
      </c>
      <c r="D223" s="11" t="str">
        <f ca="1">Plan_Mantenciones!I199</f>
        <v/>
      </c>
      <c r="E223" t="str">
        <f>Plan_Mantenciones!H199</f>
        <v/>
      </c>
      <c r="F223" t="str">
        <f>Plan_Mantenciones!J199</f>
        <v>Fuera de Servicio</v>
      </c>
      <c r="G223" t="str">
        <f>IF(AND(ISNUMBER(E223),E223&gt;=0,E223&lt;=90),"Sí","No")</f>
        <v>No</v>
      </c>
    </row>
    <row r="224" spans="1:7">
      <c r="A224" t="str">
        <f>Plan_Mantenciones!A67</f>
        <v>ED-51</v>
      </c>
      <c r="B224" t="str">
        <f>Plan_Mantenciones!B67</f>
        <v>Gravilladora</v>
      </c>
      <c r="C224" t="str">
        <f>Plan_Mantenciones!C67</f>
        <v>Maquinaria Pesada</v>
      </c>
      <c r="D224" s="11" t="str">
        <f ca="1">Plan_Mantenciones!I67</f>
        <v/>
      </c>
      <c r="E224" t="str">
        <f>Plan_Mantenciones!H67</f>
        <v/>
      </c>
      <c r="F224" t="str">
        <f>Plan_Mantenciones!J67</f>
        <v>Operativo</v>
      </c>
      <c r="G224" t="str">
        <f>IF(AND(ISNUMBER(E224),E224&gt;=0,E224&lt;=90),"Sí","No")</f>
        <v>No</v>
      </c>
    </row>
    <row r="225" spans="1:7">
      <c r="A225" t="str">
        <f>Plan_Mantenciones!A225</f>
        <v>VD-86</v>
      </c>
      <c r="B225" t="str">
        <f>Plan_Mantenciones!B225</f>
        <v>Furgon</v>
      </c>
      <c r="C225" t="str">
        <f>Plan_Mantenciones!C225</f>
        <v>Vehículos Livianos</v>
      </c>
      <c r="D225" s="11" t="str">
        <f ca="1">Plan_Mantenciones!I225</f>
        <v/>
      </c>
      <c r="E225" t="str">
        <f>Plan_Mantenciones!H225</f>
        <v/>
      </c>
      <c r="F225" t="str">
        <f>Plan_Mantenciones!J225</f>
        <v>Fuera de Servicio</v>
      </c>
      <c r="G225" t="str">
        <f>IF(AND(ISNUMBER(E225),E225&gt;=0,E225&lt;=90),"Sí","No")</f>
        <v>No</v>
      </c>
    </row>
    <row r="226" spans="1:7">
      <c r="A226" t="str">
        <f>Plan_Mantenciones!A212</f>
        <v>VD-73</v>
      </c>
      <c r="B226" t="str">
        <f>Plan_Mantenciones!B212</f>
        <v>Furgon</v>
      </c>
      <c r="C226" t="str">
        <f>Plan_Mantenciones!C212</f>
        <v>Vehículos Livianos</v>
      </c>
      <c r="D226" s="11" t="str">
        <f ca="1">Plan_Mantenciones!I212</f>
        <v/>
      </c>
      <c r="E226" t="str">
        <f>Plan_Mantenciones!H212</f>
        <v/>
      </c>
      <c r="F226" t="str">
        <f>Plan_Mantenciones!J212</f>
        <v>Fuera de Servicio</v>
      </c>
      <c r="G226" t="str">
        <f>IF(AND(ISNUMBER(E226),E226&gt;=0,E226&lt;=90),"Sí","No")</f>
        <v>No</v>
      </c>
    </row>
    <row r="227" spans="1:7">
      <c r="A227" t="str">
        <f>Plan_Mantenciones!A243</f>
        <v/>
      </c>
      <c r="B227" t="str">
        <f>Plan_Mantenciones!B243</f>
        <v/>
      </c>
      <c r="C227" t="str">
        <f>Plan_Mantenciones!C243</f>
        <v/>
      </c>
      <c r="D227" s="11" t="str">
        <f ca="1">Plan_Mantenciones!I243</f>
        <v/>
      </c>
      <c r="E227" t="str">
        <f>Plan_Mantenciones!H243</f>
        <v/>
      </c>
      <c r="F227" t="str">
        <f>Plan_Mantenciones!J243</f>
        <v/>
      </c>
      <c r="G227" t="str">
        <f>IF(AND(ISNUMBER(E227),E227&gt;=0,E227&lt;=90),"Sí","No")</f>
        <v>No</v>
      </c>
    </row>
    <row r="228" spans="1:7">
      <c r="A228" t="str">
        <f>Plan_Mantenciones!A203</f>
        <v>VD-62</v>
      </c>
      <c r="B228" t="str">
        <f>Plan_Mantenciones!B203</f>
        <v>Camioneta</v>
      </c>
      <c r="C228" t="str">
        <f>Plan_Mantenciones!C203</f>
        <v>Vehículos Livianos</v>
      </c>
      <c r="D228" s="11" t="str">
        <f ca="1">Plan_Mantenciones!I203</f>
        <v/>
      </c>
      <c r="E228" t="str">
        <f>Plan_Mantenciones!H203</f>
        <v/>
      </c>
      <c r="F228" t="str">
        <f>Plan_Mantenciones!J203</f>
        <v>Fuera de Servicio</v>
      </c>
      <c r="G228" t="str">
        <f>IF(AND(ISNUMBER(E228),E228&gt;=0,E228&lt;=90),"Sí","No")</f>
        <v>No</v>
      </c>
    </row>
    <row r="229" spans="1:7">
      <c r="A229" t="str">
        <f>Plan_Mantenciones!A204</f>
        <v>VD-63</v>
      </c>
      <c r="B229" t="str">
        <f>Plan_Mantenciones!B204</f>
        <v>Camioneta</v>
      </c>
      <c r="C229" t="str">
        <f>Plan_Mantenciones!C204</f>
        <v>Vehículos Livianos</v>
      </c>
      <c r="D229" s="11">
        <f ca="1">Plan_Mantenciones!I204</f>
        <v>43745</v>
      </c>
      <c r="E229">
        <f>Plan_Mantenciones!H204</f>
        <v>-2495</v>
      </c>
      <c r="F229" t="str">
        <f>Plan_Mantenciones!J204</f>
        <v>Operativo</v>
      </c>
      <c r="G229" t="str">
        <f>IF(AND(ISNUMBER(E229),E229&gt;=0,E229&lt;=90),"Sí","No")</f>
        <v>No</v>
      </c>
    </row>
    <row r="230" spans="1:7">
      <c r="A230" t="str">
        <f>Plan_Mantenciones!A207</f>
        <v>VD-67</v>
      </c>
      <c r="B230" t="str">
        <f>Plan_Mantenciones!B207</f>
        <v>Camioneta</v>
      </c>
      <c r="C230" t="str">
        <f>Plan_Mantenciones!C207</f>
        <v>Vehículos Livianos</v>
      </c>
      <c r="D230" s="11">
        <f ca="1">Plan_Mantenciones!I207</f>
        <v>45052</v>
      </c>
      <c r="E230">
        <f>Plan_Mantenciones!H207</f>
        <v>-1188</v>
      </c>
      <c r="F230" t="str">
        <f>Plan_Mantenciones!J207</f>
        <v>Fuera de Servicio</v>
      </c>
      <c r="G230" t="str">
        <f>IF(AND(ISNUMBER(E230),E230&gt;=0,E230&lt;=90),"Sí","No")</f>
        <v>No</v>
      </c>
    </row>
    <row r="231" spans="1:7">
      <c r="A231" t="str">
        <f>Plan_Mantenciones!A241</f>
        <v>WED-07</v>
      </c>
      <c r="B231" t="str">
        <f>Plan_Mantenciones!B241</f>
        <v>Semiremolque</v>
      </c>
      <c r="C231" t="str">
        <f>Plan_Mantenciones!C241</f>
        <v>Maquinaria Pesada</v>
      </c>
      <c r="D231" s="11" t="str">
        <f ca="1">Plan_Mantenciones!I241</f>
        <v/>
      </c>
      <c r="E231" t="str">
        <f>Plan_Mantenciones!H241</f>
        <v/>
      </c>
      <c r="F231" t="str">
        <f>Plan_Mantenciones!J241</f>
        <v>Operativo</v>
      </c>
      <c r="G231" t="str">
        <f>IF(AND(ISNUMBER(E231),E231&gt;=0,E231&lt;=90),"Sí","No")</f>
        <v>No</v>
      </c>
    </row>
    <row r="232" spans="1:7">
      <c r="A232" t="str">
        <f>Plan_Mantenciones!A218</f>
        <v>VD-79</v>
      </c>
      <c r="B232" t="str">
        <f>Plan_Mantenciones!B218</f>
        <v>Camioneta</v>
      </c>
      <c r="C232" t="str">
        <f>Plan_Mantenciones!C218</f>
        <v>Vehículos Livianos</v>
      </c>
      <c r="D232" s="11" t="str">
        <f ca="1">Plan_Mantenciones!I218</f>
        <v/>
      </c>
      <c r="E232" t="str">
        <f>Plan_Mantenciones!H218</f>
        <v/>
      </c>
      <c r="F232" t="str">
        <f>Plan_Mantenciones!J218</f>
        <v>Operativo</v>
      </c>
      <c r="G232" t="str">
        <f>IF(AND(ISNUMBER(E232),E232&gt;=0,E232&lt;=90),"Sí","No")</f>
        <v>No</v>
      </c>
    </row>
    <row r="233" spans="1:7">
      <c r="A233" t="str">
        <f>Plan_Mantenciones!A222</f>
        <v>VD-83</v>
      </c>
      <c r="B233" t="str">
        <f>Plan_Mantenciones!B222</f>
        <v>Furgon</v>
      </c>
      <c r="C233" t="str">
        <f>Plan_Mantenciones!C222</f>
        <v>Vehículos Livianos</v>
      </c>
      <c r="D233" s="11" t="str">
        <f ca="1">Plan_Mantenciones!I222</f>
        <v/>
      </c>
      <c r="E233" t="str">
        <f>Plan_Mantenciones!H222</f>
        <v/>
      </c>
      <c r="F233" t="str">
        <f>Plan_Mantenciones!J222</f>
        <v>Fuera de Servicio</v>
      </c>
      <c r="G233" t="str">
        <f>IF(AND(ISNUMBER(E233),E233&gt;=0,E233&lt;=90),"Sí","No")</f>
        <v>No</v>
      </c>
    </row>
    <row r="234" spans="1:7">
      <c r="A234" t="str">
        <f>Plan_Mantenciones!A209</f>
        <v>VD-69</v>
      </c>
      <c r="B234" t="str">
        <f>Plan_Mantenciones!B209</f>
        <v>Camioneta</v>
      </c>
      <c r="C234" t="str">
        <f>Plan_Mantenciones!C209</f>
        <v>Vehículos Livianos</v>
      </c>
      <c r="D234" s="11">
        <f ca="1">Plan_Mantenciones!I209</f>
        <v>46025</v>
      </c>
      <c r="E234">
        <f>Plan_Mantenciones!H209</f>
        <v>-215</v>
      </c>
      <c r="F234" t="str">
        <f>Plan_Mantenciones!J209</f>
        <v>Fuera de Servicio</v>
      </c>
      <c r="G234" t="str">
        <f>IF(AND(ISNUMBER(E234),E234&gt;=0,E234&lt;=90),"Sí","No")</f>
        <v>No</v>
      </c>
    </row>
    <row r="235" spans="1:7">
      <c r="A235" t="str">
        <f>Plan_Mantenciones!A196</f>
        <v>VD-29</v>
      </c>
      <c r="B235" t="str">
        <f>Plan_Mantenciones!B196</f>
        <v>Minibus</v>
      </c>
      <c r="C235" t="str">
        <f>Plan_Mantenciones!C196</f>
        <v>Vehículos Livianos</v>
      </c>
      <c r="D235" s="11" t="str">
        <f ca="1">Plan_Mantenciones!I196</f>
        <v/>
      </c>
      <c r="E235" t="str">
        <f>Plan_Mantenciones!H196</f>
        <v/>
      </c>
      <c r="F235" t="str">
        <f>Plan_Mantenciones!J196</f>
        <v>Operativo</v>
      </c>
      <c r="G235" t="str">
        <f>IF(AND(ISNUMBER(E235),E235&gt;=0,E235&lt;=90),"Sí","No")</f>
        <v>No</v>
      </c>
    </row>
    <row r="236" spans="1:7">
      <c r="A236" t="str">
        <f>Plan_Mantenciones!A220</f>
        <v>VD-81</v>
      </c>
      <c r="B236" t="str">
        <f>Plan_Mantenciones!B220</f>
        <v>Furgon</v>
      </c>
      <c r="C236" t="str">
        <f>Plan_Mantenciones!C220</f>
        <v>Vehículos Livianos</v>
      </c>
      <c r="D236" s="11" t="str">
        <f ca="1">Plan_Mantenciones!I220</f>
        <v/>
      </c>
      <c r="E236" t="str">
        <f>Plan_Mantenciones!H220</f>
        <v/>
      </c>
      <c r="F236" t="str">
        <f>Plan_Mantenciones!J220</f>
        <v>Fuera de Servicio</v>
      </c>
      <c r="G236" t="str">
        <f>IF(AND(ISNUMBER(E236),E236&gt;=0,E236&lt;=90),"Sí","No")</f>
        <v>No</v>
      </c>
    </row>
    <row r="237" spans="1:7">
      <c r="A237" t="str">
        <f>Plan_Mantenciones!A206</f>
        <v>VD-65</v>
      </c>
      <c r="B237" t="str">
        <f>Plan_Mantenciones!B206</f>
        <v>Camioneta</v>
      </c>
      <c r="C237" t="str">
        <f>Plan_Mantenciones!C206</f>
        <v>Vehículos Livianos</v>
      </c>
      <c r="D237" s="11" t="str">
        <f ca="1">Plan_Mantenciones!I206</f>
        <v/>
      </c>
      <c r="E237" t="str">
        <f>Plan_Mantenciones!H206</f>
        <v/>
      </c>
      <c r="F237" t="str">
        <f>Plan_Mantenciones!J206</f>
        <v>Fuera de Servicio</v>
      </c>
      <c r="G237" t="str">
        <f>IF(AND(ISNUMBER(E237),E237&gt;=0,E237&lt;=90),"Sí","No")</f>
        <v>No</v>
      </c>
    </row>
    <row r="238" spans="1:7">
      <c r="A238" t="str">
        <f>Plan_Mantenciones!A211</f>
        <v>VD-71</v>
      </c>
      <c r="B238" t="str">
        <f>Plan_Mantenciones!B211</f>
        <v>Furgon</v>
      </c>
      <c r="C238" t="str">
        <f>Plan_Mantenciones!C211</f>
        <v>Vehículos Livianos</v>
      </c>
      <c r="D238" s="11" t="str">
        <f ca="1">Plan_Mantenciones!I211</f>
        <v/>
      </c>
      <c r="E238" t="str">
        <f>Plan_Mantenciones!H211</f>
        <v/>
      </c>
      <c r="F238" t="str">
        <f>Plan_Mantenciones!J211</f>
        <v>Fuera de Servicio</v>
      </c>
      <c r="G238" t="str">
        <f>IF(AND(ISNUMBER(E238),E238&gt;=0,E238&lt;=90),"Sí","No")</f>
        <v>No</v>
      </c>
    </row>
    <row r="239" spans="1:7">
      <c r="A239" t="str">
        <f>Plan_Mantenciones!A219</f>
        <v>VD-80</v>
      </c>
      <c r="B239" t="str">
        <f>Plan_Mantenciones!B219</f>
        <v>Furgon</v>
      </c>
      <c r="C239" t="str">
        <f>Plan_Mantenciones!C219</f>
        <v>Vehículos Livianos</v>
      </c>
      <c r="D239" s="11" t="str">
        <f ca="1">Plan_Mantenciones!I219</f>
        <v/>
      </c>
      <c r="E239" t="str">
        <f>Plan_Mantenciones!H219</f>
        <v/>
      </c>
      <c r="F239" t="str">
        <f>Plan_Mantenciones!J219</f>
        <v>Fuera de Servicio</v>
      </c>
      <c r="G239" t="str">
        <f>IF(AND(ISNUMBER(E239),E239&gt;=0,E239&lt;=90),"Sí","No")</f>
        <v>No</v>
      </c>
    </row>
    <row r="240" spans="1:7">
      <c r="A240" t="str">
        <f>Plan_Mantenciones!A232</f>
        <v>VD-93</v>
      </c>
      <c r="B240" t="str">
        <f>Plan_Mantenciones!B232</f>
        <v>Camioneta</v>
      </c>
      <c r="C240" t="str">
        <f>Plan_Mantenciones!C232</f>
        <v>Vehículos Livianos</v>
      </c>
      <c r="D240" s="11" t="str">
        <f ca="1">Plan_Mantenciones!I232</f>
        <v/>
      </c>
      <c r="E240" t="str">
        <f>Plan_Mantenciones!H232</f>
        <v/>
      </c>
      <c r="F240" t="str">
        <f>Plan_Mantenciones!J232</f>
        <v>Operativo</v>
      </c>
      <c r="G240" t="str">
        <f>IF(AND(ISNUMBER(E240),E240&gt;=0,E240&lt;=90),"Sí","No")</f>
        <v>No</v>
      </c>
    </row>
    <row r="241" spans="1:7">
      <c r="A241" t="str">
        <f>Plan_Mantenciones!A208</f>
        <v>VD-68</v>
      </c>
      <c r="B241" t="str">
        <f>Plan_Mantenciones!B208</f>
        <v>Camioneta</v>
      </c>
      <c r="C241" t="str">
        <f>Plan_Mantenciones!C208</f>
        <v>Vehículos Livianos</v>
      </c>
      <c r="D241" s="11" t="str">
        <f ca="1">Plan_Mantenciones!I208</f>
        <v/>
      </c>
      <c r="E241" t="str">
        <f>Plan_Mantenciones!H208</f>
        <v/>
      </c>
      <c r="F241" t="str">
        <f>Plan_Mantenciones!J208</f>
        <v>Fuera de Servicio</v>
      </c>
      <c r="G241" t="str">
        <f>IF(AND(ISNUMBER(E241),E241&gt;=0,E241&lt;=90),"Sí","No")</f>
        <v>No</v>
      </c>
    </row>
    <row r="242" spans="1:7">
      <c r="A242" t="str">
        <f>Plan_Mantenciones!A246</f>
        <v/>
      </c>
      <c r="B242" t="str">
        <f>Plan_Mantenciones!B246</f>
        <v/>
      </c>
      <c r="C242" t="str">
        <f>Plan_Mantenciones!C246</f>
        <v/>
      </c>
      <c r="D242" s="11" t="str">
        <f ca="1">Plan_Mantenciones!I246</f>
        <v/>
      </c>
      <c r="E242" t="str">
        <f>Plan_Mantenciones!H246</f>
        <v/>
      </c>
      <c r="F242" t="str">
        <f>Plan_Mantenciones!J246</f>
        <v/>
      </c>
      <c r="G242" t="str">
        <f>IF(AND(ISNUMBER(E242),E242&gt;=0,E242&lt;=90),"Sí","No")</f>
        <v>No</v>
      </c>
    </row>
    <row r="243" spans="1:7">
      <c r="A243" t="str">
        <f>Plan_Mantenciones!A247</f>
        <v/>
      </c>
      <c r="B243" t="str">
        <f>Plan_Mantenciones!B247</f>
        <v/>
      </c>
      <c r="C243" t="str">
        <f>Plan_Mantenciones!C247</f>
        <v/>
      </c>
      <c r="D243" s="11" t="str">
        <f ca="1">Plan_Mantenciones!I247</f>
        <v/>
      </c>
      <c r="E243" t="str">
        <f>Plan_Mantenciones!H247</f>
        <v/>
      </c>
      <c r="F243" t="str">
        <f>Plan_Mantenciones!J247</f>
        <v/>
      </c>
      <c r="G243" t="str">
        <f>IF(AND(ISNUMBER(E243),E243&gt;=0,E243&lt;=90),"Sí","No")</f>
        <v>No</v>
      </c>
    </row>
    <row r="244" spans="1:7">
      <c r="A244" t="str">
        <f>Plan_Mantenciones!A237</f>
        <v>VD-98</v>
      </c>
      <c r="B244" t="str">
        <f>Plan_Mantenciones!B237</f>
        <v>Camioneta</v>
      </c>
      <c r="C244" t="str">
        <f>Plan_Mantenciones!C237</f>
        <v>Vehículos Livianos</v>
      </c>
      <c r="D244" s="11" t="str">
        <f ca="1">Plan_Mantenciones!I237</f>
        <v/>
      </c>
      <c r="E244" t="str">
        <f>Plan_Mantenciones!H237</f>
        <v/>
      </c>
      <c r="F244" t="str">
        <f>Plan_Mantenciones!J237</f>
        <v>Fuera de Servicio</v>
      </c>
      <c r="G244" t="str">
        <f>IF(AND(ISNUMBER(E244),E244&gt;=0,E244&lt;=90),"Sí","No")</f>
        <v>No</v>
      </c>
    </row>
    <row r="245" spans="1:7">
      <c r="A245" t="str">
        <f>Plan_Mantenciones!A210</f>
        <v>VD-70</v>
      </c>
      <c r="B245" t="str">
        <f>Plan_Mantenciones!B210</f>
        <v>Furgon</v>
      </c>
      <c r="C245" t="str">
        <f>Plan_Mantenciones!C210</f>
        <v>Vehículos Livianos</v>
      </c>
      <c r="D245" s="11" t="str">
        <f ca="1">Plan_Mantenciones!I210</f>
        <v/>
      </c>
      <c r="E245" t="str">
        <f>Plan_Mantenciones!H210</f>
        <v/>
      </c>
      <c r="F245" t="str">
        <f>Plan_Mantenciones!J210</f>
        <v>Fuera de Servicio</v>
      </c>
      <c r="G245" t="str">
        <f>IF(AND(ISNUMBER(E245),E245&gt;=0,E245&lt;=90),"Sí","No")</f>
        <v>No</v>
      </c>
    </row>
    <row r="246" spans="1:7">
      <c r="A246" t="str">
        <f>Plan_Mantenciones!A244</f>
        <v/>
      </c>
      <c r="B246" t="str">
        <f>Plan_Mantenciones!B244</f>
        <v/>
      </c>
      <c r="C246" t="str">
        <f>Plan_Mantenciones!C244</f>
        <v/>
      </c>
      <c r="D246" s="11" t="str">
        <f ca="1">Plan_Mantenciones!I244</f>
        <v/>
      </c>
      <c r="E246" t="str">
        <f>Plan_Mantenciones!H244</f>
        <v/>
      </c>
      <c r="F246" t="str">
        <f>Plan_Mantenciones!J244</f>
        <v/>
      </c>
      <c r="G246" t="str">
        <f>IF(AND(ISNUMBER(E246),E246&gt;=0,E246&lt;=90),"Sí","No")</f>
        <v>No</v>
      </c>
    </row>
    <row r="247" spans="1:7">
      <c r="A247" t="str">
        <f>Plan_Mantenciones!A245</f>
        <v/>
      </c>
      <c r="B247" t="str">
        <f>Plan_Mantenciones!B245</f>
        <v/>
      </c>
      <c r="C247" t="str">
        <f>Plan_Mantenciones!C245</f>
        <v/>
      </c>
      <c r="D247" s="11" t="str">
        <f ca="1">Plan_Mantenciones!I245</f>
        <v/>
      </c>
      <c r="E247" t="str">
        <f>Plan_Mantenciones!H245</f>
        <v/>
      </c>
      <c r="F247" t="str">
        <f>Plan_Mantenciones!J245</f>
        <v/>
      </c>
      <c r="G247" t="str">
        <f>IF(AND(ISNUMBER(E247),E247&gt;=0,E247&lt;=90),"Sí","No")</f>
        <v>No</v>
      </c>
    </row>
  </sheetData>
  <pageMargins left="0.75" right="0.75" top="1" bottom="1"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6"/>
  <sheetViews>
    <sheetView zoomScaleNormal="100" workbookViewId="0">
      <selection activeCell="D17" sqref="D17"/>
    </sheetView>
  </sheetViews>
  <sheetFormatPr defaultColWidth="9.140625" defaultRowHeight="15" customHeight="1"/>
  <cols>
    <col min="1" max="2" width="16" customWidth="1"/>
    <col min="3" max="3" width="16" bestFit="1" customWidth="1"/>
    <col min="4" max="4" width="18" customWidth="1"/>
  </cols>
  <sheetData>
    <row r="1" spans="1:4" ht="18.75" customHeight="1">
      <c r="A1" s="33" t="s">
        <v>1448</v>
      </c>
      <c r="B1" s="34"/>
      <c r="C1" s="34"/>
      <c r="D1" s="34"/>
    </row>
    <row r="2" spans="1:4" ht="15" customHeight="1">
      <c r="A2" s="34"/>
      <c r="B2" s="34"/>
      <c r="C2" s="34"/>
      <c r="D2" s="34"/>
    </row>
    <row r="3" spans="1:4">
      <c r="A3" s="14" t="s">
        <v>1449</v>
      </c>
      <c r="B3" s="14" t="s">
        <v>1450</v>
      </c>
      <c r="C3" s="14" t="s">
        <v>1451</v>
      </c>
      <c r="D3" s="14" t="s">
        <v>1452</v>
      </c>
    </row>
    <row r="4" spans="1:4">
      <c r="A4" s="11">
        <v>46097</v>
      </c>
      <c r="B4" s="11">
        <v>46103</v>
      </c>
      <c r="C4">
        <f ca="1">COUNTIFS(tblPlan90Dias[Fecha Estimada],"&gt;="&amp;A4,tblPlan90Dias[Fecha Estimada],"&lt;="&amp;B4,tblPlan90Dias[En 90 dias],"Sí")</f>
        <v>0</v>
      </c>
      <c r="D4" s="32">
        <f ca="1">SUMIFS(tblPlanMantenciones[Costo Total PM],tblPlanMantenciones[Fecha Estimada],"&gt;="&amp;A4,tblPlanMantenciones[Fecha Estimada],"&lt;="&amp;B4)</f>
        <v>0</v>
      </c>
    </row>
    <row r="5" spans="1:4">
      <c r="A5" s="11">
        <v>46104</v>
      </c>
      <c r="B5" s="11">
        <v>46110</v>
      </c>
      <c r="C5">
        <f ca="1">COUNTIFS(tblPlan90Dias[Fecha Estimada],"&gt;="&amp;A5,tblPlan90Dias[Fecha Estimada],"&lt;="&amp;B5,tblPlan90Dias[En 90 dias],"Sí")</f>
        <v>0</v>
      </c>
      <c r="D5" s="32">
        <f ca="1">SUMIFS(tblPlanMantenciones[Costo Total PM],tblPlanMantenciones[Fecha Estimada],"&gt;="&amp;A5,tblPlanMantenciones[Fecha Estimada],"&lt;="&amp;B5)</f>
        <v>0</v>
      </c>
    </row>
    <row r="6" spans="1:4">
      <c r="A6" s="11">
        <v>46111</v>
      </c>
      <c r="B6" s="11">
        <v>46117</v>
      </c>
      <c r="C6">
        <f ca="1">COUNTIFS(tblPlan90Dias[Fecha Estimada],"&gt;="&amp;A6,tblPlan90Dias[Fecha Estimada],"&lt;="&amp;B6,tblPlan90Dias[En 90 dias],"Sí")</f>
        <v>0</v>
      </c>
      <c r="D6" s="32">
        <f ca="1">SUMIFS(tblPlanMantenciones[Costo Total PM],tblPlanMantenciones[Fecha Estimada],"&gt;="&amp;A6,tblPlanMantenciones[Fecha Estimada],"&lt;="&amp;B6)</f>
        <v>0</v>
      </c>
    </row>
    <row r="7" spans="1:4">
      <c r="A7" s="11">
        <v>46118</v>
      </c>
      <c r="B7" s="11">
        <v>46124</v>
      </c>
      <c r="C7">
        <f ca="1">COUNTIFS(tblPlan90Dias[Fecha Estimada],"&gt;="&amp;A7,tblPlan90Dias[Fecha Estimada],"&lt;="&amp;B7,tblPlan90Dias[En 90 dias],"Sí")</f>
        <v>0</v>
      </c>
      <c r="D7" s="32">
        <f ca="1">SUMIFS(tblPlanMantenciones[Costo Total PM],tblPlanMantenciones[Fecha Estimada],"&gt;="&amp;A7,tblPlanMantenciones[Fecha Estimada],"&lt;="&amp;B7)</f>
        <v>0</v>
      </c>
    </row>
    <row r="8" spans="1:4">
      <c r="A8" s="11">
        <v>46125</v>
      </c>
      <c r="B8" s="11">
        <v>46131</v>
      </c>
      <c r="C8">
        <f ca="1">COUNTIFS(tblPlan90Dias[Fecha Estimada],"&gt;="&amp;A8,tblPlan90Dias[Fecha Estimada],"&lt;="&amp;B8,tblPlan90Dias[En 90 dias],"Sí")</f>
        <v>0</v>
      </c>
      <c r="D8" s="32">
        <f ca="1">SUMIFS(tblPlanMantenciones[Costo Total PM],tblPlanMantenciones[Fecha Estimada],"&gt;="&amp;A8,tblPlanMantenciones[Fecha Estimada],"&lt;="&amp;B8)</f>
        <v>0</v>
      </c>
    </row>
    <row r="9" spans="1:4">
      <c r="A9" s="11">
        <v>46132</v>
      </c>
      <c r="B9" s="11">
        <v>46138</v>
      </c>
      <c r="C9">
        <f ca="1">COUNTIFS(tblPlan90Dias[Fecha Estimada],"&gt;="&amp;A9,tblPlan90Dias[Fecha Estimada],"&lt;="&amp;B9,tblPlan90Dias[En 90 dias],"Sí")</f>
        <v>0</v>
      </c>
      <c r="D9" s="32">
        <f ca="1">SUMIFS(tblPlanMantenciones[Costo Total PM],tblPlanMantenciones[Fecha Estimada],"&gt;="&amp;A9,tblPlanMantenciones[Fecha Estimada],"&lt;="&amp;B9)</f>
        <v>0</v>
      </c>
    </row>
    <row r="10" spans="1:4">
      <c r="A10" s="11">
        <v>46139</v>
      </c>
      <c r="B10" s="11">
        <v>46145</v>
      </c>
      <c r="C10">
        <f ca="1">COUNTIFS(tblPlan90Dias[Fecha Estimada],"&gt;="&amp;A10,tblPlan90Dias[Fecha Estimada],"&lt;="&amp;B10,tblPlan90Dias[En 90 dias],"Sí")</f>
        <v>0</v>
      </c>
      <c r="D10" s="32">
        <f ca="1">SUMIFS(tblPlanMantenciones[Costo Total PM],tblPlanMantenciones[Fecha Estimada],"&gt;="&amp;A10,tblPlanMantenciones[Fecha Estimada],"&lt;="&amp;B10)</f>
        <v>0</v>
      </c>
    </row>
    <row r="11" spans="1:4">
      <c r="A11" s="11">
        <v>46146</v>
      </c>
      <c r="B11" s="11">
        <v>46152</v>
      </c>
      <c r="C11">
        <f ca="1">COUNTIFS(tblPlan90Dias[Fecha Estimada],"&gt;="&amp;A11,tblPlan90Dias[Fecha Estimada],"&lt;="&amp;B11,tblPlan90Dias[En 90 dias],"Sí")</f>
        <v>0</v>
      </c>
      <c r="D11" s="32">
        <f ca="1">SUMIFS(tblPlanMantenciones[Costo Total PM],tblPlanMantenciones[Fecha Estimada],"&gt;="&amp;A11,tblPlanMantenciones[Fecha Estimada],"&lt;="&amp;B11)</f>
        <v>0</v>
      </c>
    </row>
    <row r="12" spans="1:4">
      <c r="A12" s="11">
        <v>46153</v>
      </c>
      <c r="B12" s="11">
        <v>46159</v>
      </c>
      <c r="C12">
        <f ca="1">COUNTIFS(tblPlan90Dias[Fecha Estimada],"&gt;="&amp;A12,tblPlan90Dias[Fecha Estimada],"&lt;="&amp;B12,tblPlan90Dias[En 90 dias],"Sí")</f>
        <v>0</v>
      </c>
      <c r="D12" s="32">
        <f ca="1">SUMIFS(tblPlanMantenciones[Costo Total PM],tblPlanMantenciones[Fecha Estimada],"&gt;="&amp;A12,tblPlanMantenciones[Fecha Estimada],"&lt;="&amp;B12)</f>
        <v>332797.78000000003</v>
      </c>
    </row>
    <row r="13" spans="1:4">
      <c r="A13" s="11">
        <v>46160</v>
      </c>
      <c r="B13" s="11">
        <v>46166</v>
      </c>
      <c r="C13">
        <f ca="1">COUNTIFS(tblPlan90Dias[Fecha Estimada],"&gt;="&amp;A13,tblPlan90Dias[Fecha Estimada],"&lt;="&amp;B13,tblPlan90Dias[En 90 dias],"Sí")</f>
        <v>0</v>
      </c>
      <c r="D13" s="32">
        <f ca="1">SUMIFS(tblPlanMantenciones[Costo Total PM],tblPlanMantenciones[Fecha Estimada],"&gt;="&amp;A13,tblPlanMantenciones[Fecha Estimada],"&lt;="&amp;B13)</f>
        <v>0</v>
      </c>
    </row>
    <row r="14" spans="1:4">
      <c r="A14" s="11">
        <v>46167</v>
      </c>
      <c r="B14" s="11">
        <v>46173</v>
      </c>
      <c r="C14">
        <f ca="1">COUNTIFS(tblPlan90Dias[Fecha Estimada],"&gt;="&amp;A14,tblPlan90Dias[Fecha Estimada],"&lt;="&amp;B14,tblPlan90Dias[En 90 dias],"Sí")</f>
        <v>0</v>
      </c>
      <c r="D14" s="32">
        <f ca="1">SUMIFS(tblPlanMantenciones[Costo Total PM],tblPlanMantenciones[Fecha Estimada],"&gt;="&amp;A14,tblPlanMantenciones[Fecha Estimada],"&lt;="&amp;B14)</f>
        <v>0</v>
      </c>
    </row>
    <row r="15" spans="1:4">
      <c r="A15" s="11">
        <v>46174</v>
      </c>
      <c r="B15" s="11">
        <v>46180</v>
      </c>
      <c r="C15">
        <f ca="1">COUNTIFS(tblPlan90Dias[Fecha Estimada],"&gt;="&amp;A15,tblPlan90Dias[Fecha Estimada],"&lt;="&amp;B15,tblPlan90Dias[En 90 dias],"Sí")</f>
        <v>0</v>
      </c>
      <c r="D15" s="32">
        <f ca="1">SUMIFS(tblPlanMantenciones[Costo Total PM],tblPlanMantenciones[Fecha Estimada],"&gt;="&amp;A15,tblPlanMantenciones[Fecha Estimada],"&lt;="&amp;B15)</f>
        <v>0</v>
      </c>
    </row>
    <row r="16" spans="1:4">
      <c r="A16" s="11">
        <v>46181</v>
      </c>
      <c r="B16" s="11">
        <v>46187</v>
      </c>
      <c r="C16">
        <f ca="1">COUNTIFS(tblPlan90Dias[Fecha Estimada],"&gt;="&amp;A16,tblPlan90Dias[Fecha Estimada],"&lt;="&amp;B16,tblPlan90Dias[En 90 dias],"Sí")</f>
        <v>0</v>
      </c>
      <c r="D16" s="32">
        <f ca="1">SUMIFS(tblPlanMantenciones[Costo Total PM],tblPlanMantenciones[Fecha Estimada],"&gt;="&amp;A16,tblPlanMantenciones[Fecha Estimada],"&lt;="&amp;B16)</f>
        <v>0</v>
      </c>
    </row>
  </sheetData>
  <pageMargins left="0.75" right="0.75" top="1" bottom="1" header="0.511811023622047" footer="0.511811023622047"/>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EC834-9348-4BE3-9840-051D57131F34}">
  <dimension ref="A3:I2030"/>
  <sheetViews>
    <sheetView topLeftCell="A2026" workbookViewId="0">
      <selection activeCell="D2031" sqref="D2031"/>
    </sheetView>
  </sheetViews>
  <sheetFormatPr defaultColWidth="11.42578125" defaultRowHeight="15"/>
  <cols>
    <col min="1" max="1" width="11.42578125" style="71"/>
    <col min="2" max="3" width="16" customWidth="1"/>
    <col min="4" max="4" width="52.5703125" customWidth="1"/>
    <col min="5" max="5" width="18.5703125" style="35" customWidth="1"/>
    <col min="6" max="6" width="20.42578125" style="86" bestFit="1" customWidth="1"/>
    <col min="7" max="7" width="14.85546875" customWidth="1"/>
    <col min="8" max="8" width="15.140625" bestFit="1" customWidth="1"/>
    <col min="9" max="9" width="17.5703125" bestFit="1" customWidth="1"/>
  </cols>
  <sheetData>
    <row r="3" spans="1:9">
      <c r="A3" s="83" t="s">
        <v>669</v>
      </c>
      <c r="B3" s="95" t="s">
        <v>1453</v>
      </c>
      <c r="C3" s="95" t="s">
        <v>1454</v>
      </c>
      <c r="D3" s="95" t="s">
        <v>1455</v>
      </c>
      <c r="E3" s="84" t="s">
        <v>1456</v>
      </c>
      <c r="F3" s="87" t="s">
        <v>747</v>
      </c>
      <c r="G3" s="95" t="s">
        <v>753</v>
      </c>
      <c r="H3" s="95" t="s">
        <v>749</v>
      </c>
      <c r="I3" s="95" t="s">
        <v>751</v>
      </c>
    </row>
    <row r="4" spans="1:9">
      <c r="A4" s="71">
        <v>46170</v>
      </c>
      <c r="B4" t="s">
        <v>408</v>
      </c>
      <c r="D4" t="s">
        <v>1457</v>
      </c>
      <c r="F4" s="81">
        <v>12865</v>
      </c>
      <c r="G4" t="s">
        <v>756</v>
      </c>
      <c r="H4">
        <v>16617</v>
      </c>
    </row>
    <row r="5" spans="1:9">
      <c r="A5" s="71">
        <v>46170</v>
      </c>
      <c r="B5" t="s">
        <v>408</v>
      </c>
      <c r="D5" t="s">
        <v>1458</v>
      </c>
      <c r="F5" s="81">
        <v>12865</v>
      </c>
      <c r="G5" t="s">
        <v>756</v>
      </c>
      <c r="H5">
        <v>16617</v>
      </c>
    </row>
    <row r="6" spans="1:9">
      <c r="A6" s="71">
        <v>46171</v>
      </c>
      <c r="B6" t="s">
        <v>60</v>
      </c>
      <c r="D6" s="50" t="s">
        <v>1459</v>
      </c>
      <c r="F6" s="81">
        <v>80292</v>
      </c>
      <c r="G6" t="s">
        <v>756</v>
      </c>
      <c r="H6">
        <v>17659</v>
      </c>
    </row>
    <row r="7" spans="1:9">
      <c r="A7" s="71">
        <v>46155</v>
      </c>
      <c r="B7" t="s">
        <v>301</v>
      </c>
      <c r="D7" s="50" t="s">
        <v>1460</v>
      </c>
      <c r="F7" s="81">
        <v>8990</v>
      </c>
      <c r="G7" t="s">
        <v>756</v>
      </c>
      <c r="H7">
        <v>17658</v>
      </c>
    </row>
    <row r="8" spans="1:9">
      <c r="A8" s="71">
        <v>46174</v>
      </c>
      <c r="B8" t="s">
        <v>311</v>
      </c>
      <c r="D8" t="s">
        <v>1461</v>
      </c>
      <c r="F8" s="81"/>
      <c r="G8" t="s">
        <v>756</v>
      </c>
      <c r="H8">
        <v>17625</v>
      </c>
    </row>
    <row r="9" spans="1:9">
      <c r="A9" s="71">
        <v>46174</v>
      </c>
      <c r="B9" t="s">
        <v>89</v>
      </c>
      <c r="D9" t="s">
        <v>1462</v>
      </c>
      <c r="F9" s="81">
        <v>3784</v>
      </c>
      <c r="G9" t="s">
        <v>756</v>
      </c>
      <c r="H9">
        <v>17626</v>
      </c>
    </row>
    <row r="10" spans="1:9">
      <c r="A10" s="71">
        <v>46174</v>
      </c>
      <c r="B10" t="s">
        <v>86</v>
      </c>
      <c r="D10" s="50" t="s">
        <v>1463</v>
      </c>
      <c r="F10" s="81">
        <v>3666</v>
      </c>
      <c r="G10" t="s">
        <v>756</v>
      </c>
    </row>
    <row r="11" spans="1:9">
      <c r="A11" s="71">
        <v>46168</v>
      </c>
      <c r="B11" t="s">
        <v>152</v>
      </c>
      <c r="D11" t="s">
        <v>1464</v>
      </c>
      <c r="F11" s="81"/>
      <c r="G11" t="s">
        <v>756</v>
      </c>
      <c r="H11">
        <v>17623</v>
      </c>
    </row>
    <row r="12" spans="1:9">
      <c r="A12" s="71">
        <v>46167</v>
      </c>
      <c r="B12" t="s">
        <v>36</v>
      </c>
      <c r="D12" t="s">
        <v>1465</v>
      </c>
      <c r="F12" s="81"/>
      <c r="G12" t="s">
        <v>756</v>
      </c>
      <c r="H12">
        <v>17622</v>
      </c>
    </row>
    <row r="13" spans="1:9">
      <c r="A13" s="71">
        <v>46155</v>
      </c>
      <c r="B13" t="s">
        <v>211</v>
      </c>
      <c r="D13" t="s">
        <v>1466</v>
      </c>
      <c r="F13" s="81"/>
      <c r="G13" t="s">
        <v>756</v>
      </c>
      <c r="H13">
        <v>17202</v>
      </c>
    </row>
    <row r="14" spans="1:9">
      <c r="A14" s="71">
        <v>46159</v>
      </c>
      <c r="B14" t="s">
        <v>322</v>
      </c>
      <c r="D14" t="s">
        <v>1467</v>
      </c>
      <c r="F14" s="81">
        <v>27811</v>
      </c>
      <c r="G14" t="s">
        <v>756</v>
      </c>
      <c r="H14">
        <v>17618</v>
      </c>
    </row>
    <row r="15" spans="1:9">
      <c r="A15" s="71">
        <v>46162</v>
      </c>
      <c r="B15" t="s">
        <v>356</v>
      </c>
      <c r="D15" t="s">
        <v>1468</v>
      </c>
      <c r="F15" s="81"/>
      <c r="G15" t="s">
        <v>756</v>
      </c>
      <c r="H15">
        <v>17620</v>
      </c>
    </row>
    <row r="16" spans="1:9">
      <c r="A16" s="71">
        <v>46160</v>
      </c>
      <c r="B16" t="s">
        <v>60</v>
      </c>
      <c r="D16" t="s">
        <v>1469</v>
      </c>
      <c r="F16" s="81" t="s">
        <v>1470</v>
      </c>
      <c r="G16" t="s">
        <v>756</v>
      </c>
      <c r="H16">
        <v>17203</v>
      </c>
    </row>
    <row r="17" spans="1:9">
      <c r="A17" s="71">
        <v>46167</v>
      </c>
      <c r="B17" t="s">
        <v>346</v>
      </c>
      <c r="D17" s="50" t="s">
        <v>1471</v>
      </c>
      <c r="F17" s="81"/>
      <c r="G17" t="s">
        <v>756</v>
      </c>
      <c r="H17">
        <v>16613</v>
      </c>
    </row>
    <row r="18" spans="1:9">
      <c r="A18" s="71">
        <v>46161</v>
      </c>
      <c r="B18" t="s">
        <v>152</v>
      </c>
      <c r="D18" t="s">
        <v>1472</v>
      </c>
      <c r="F18" s="81">
        <v>494234</v>
      </c>
      <c r="G18" t="s">
        <v>756</v>
      </c>
      <c r="H18">
        <v>17619</v>
      </c>
    </row>
    <row r="19" spans="1:9">
      <c r="A19" s="71">
        <v>46161</v>
      </c>
      <c r="B19" t="s">
        <v>322</v>
      </c>
      <c r="D19" t="s">
        <v>1473</v>
      </c>
      <c r="F19" s="81"/>
      <c r="G19" t="s">
        <v>756</v>
      </c>
      <c r="H19">
        <v>17206</v>
      </c>
    </row>
    <row r="20" spans="1:9">
      <c r="A20" s="71">
        <v>46160</v>
      </c>
      <c r="B20" t="s">
        <v>390</v>
      </c>
      <c r="D20" s="50" t="s">
        <v>1474</v>
      </c>
      <c r="F20" s="81">
        <v>8035</v>
      </c>
      <c r="G20" t="s">
        <v>756</v>
      </c>
      <c r="H20">
        <v>17204</v>
      </c>
    </row>
    <row r="21" spans="1:9">
      <c r="A21" s="71">
        <v>46154</v>
      </c>
      <c r="B21" t="s">
        <v>408</v>
      </c>
      <c r="D21" t="s">
        <v>1475</v>
      </c>
      <c r="F21" s="81">
        <v>12836</v>
      </c>
      <c r="G21" t="s">
        <v>756</v>
      </c>
      <c r="H21">
        <v>17201</v>
      </c>
    </row>
    <row r="22" spans="1:9">
      <c r="A22" s="71">
        <v>45867</v>
      </c>
      <c r="B22" t="s">
        <v>586</v>
      </c>
      <c r="D22" t="s">
        <v>1476</v>
      </c>
      <c r="F22" s="81"/>
      <c r="G22" t="s">
        <v>756</v>
      </c>
    </row>
    <row r="23" spans="1:9">
      <c r="A23" s="71">
        <v>46135</v>
      </c>
      <c r="B23" t="s">
        <v>169</v>
      </c>
      <c r="D23" s="50" t="s">
        <v>1477</v>
      </c>
      <c r="F23" s="81"/>
      <c r="G23" t="s">
        <v>756</v>
      </c>
      <c r="H23">
        <v>17803</v>
      </c>
    </row>
    <row r="24" spans="1:9">
      <c r="A24" s="71">
        <v>46139</v>
      </c>
      <c r="B24" t="s">
        <v>373</v>
      </c>
      <c r="D24" t="s">
        <v>1478</v>
      </c>
      <c r="F24" s="81">
        <v>4931</v>
      </c>
      <c r="G24" t="s">
        <v>756</v>
      </c>
      <c r="H24">
        <v>17807</v>
      </c>
    </row>
    <row r="25" spans="1:9">
      <c r="A25" s="71">
        <v>46128</v>
      </c>
      <c r="B25" t="s">
        <v>86</v>
      </c>
      <c r="D25" t="s">
        <v>1479</v>
      </c>
      <c r="F25" s="81"/>
      <c r="G25" t="s">
        <v>756</v>
      </c>
      <c r="H25">
        <v>17805</v>
      </c>
      <c r="I25" t="s">
        <v>1325</v>
      </c>
    </row>
    <row r="26" spans="1:9">
      <c r="A26" s="71">
        <v>46155</v>
      </c>
      <c r="B26" t="s">
        <v>644</v>
      </c>
      <c r="D26" t="s">
        <v>1480</v>
      </c>
      <c r="F26" s="81">
        <v>119633</v>
      </c>
      <c r="G26" t="s">
        <v>756</v>
      </c>
      <c r="H26">
        <v>16601</v>
      </c>
      <c r="I26" t="s">
        <v>473</v>
      </c>
    </row>
    <row r="27" spans="1:9">
      <c r="A27" s="71">
        <v>46160</v>
      </c>
      <c r="B27" t="s">
        <v>19</v>
      </c>
      <c r="D27" t="s">
        <v>1481</v>
      </c>
      <c r="F27" s="81">
        <v>10630</v>
      </c>
      <c r="G27" t="s">
        <v>756</v>
      </c>
      <c r="H27">
        <v>16605</v>
      </c>
      <c r="I27" t="s">
        <v>473</v>
      </c>
    </row>
    <row r="28" spans="1:9">
      <c r="A28" s="71">
        <v>46160</v>
      </c>
      <c r="B28" t="s">
        <v>305</v>
      </c>
      <c r="D28" t="s">
        <v>1482</v>
      </c>
      <c r="F28" s="81">
        <v>8880</v>
      </c>
      <c r="G28" t="s">
        <v>756</v>
      </c>
      <c r="H28">
        <v>16606</v>
      </c>
      <c r="I28" t="s">
        <v>473</v>
      </c>
    </row>
    <row r="29" spans="1:9">
      <c r="A29" s="71">
        <v>46157</v>
      </c>
      <c r="B29" t="s">
        <v>305</v>
      </c>
      <c r="D29" t="s">
        <v>1483</v>
      </c>
      <c r="F29" s="81">
        <v>8878</v>
      </c>
      <c r="G29" t="s">
        <v>756</v>
      </c>
      <c r="H29">
        <v>16603</v>
      </c>
      <c r="I29" t="s">
        <v>473</v>
      </c>
    </row>
    <row r="30" spans="1:9">
      <c r="A30" s="71">
        <v>46161</v>
      </c>
      <c r="B30" t="s">
        <v>391</v>
      </c>
      <c r="D30" t="s">
        <v>1484</v>
      </c>
      <c r="F30" s="81">
        <v>17449</v>
      </c>
      <c r="G30" t="s">
        <v>756</v>
      </c>
      <c r="H30">
        <v>16608</v>
      </c>
      <c r="I30" t="s">
        <v>473</v>
      </c>
    </row>
    <row r="31" spans="1:9">
      <c r="A31" s="71">
        <v>46162</v>
      </c>
      <c r="B31" t="s">
        <v>313</v>
      </c>
      <c r="D31" t="s">
        <v>1485</v>
      </c>
      <c r="F31" s="81">
        <v>21539</v>
      </c>
      <c r="G31" t="s">
        <v>756</v>
      </c>
      <c r="H31">
        <v>16609</v>
      </c>
      <c r="I31" t="s">
        <v>473</v>
      </c>
    </row>
    <row r="32" spans="1:9">
      <c r="A32" s="71">
        <v>46149</v>
      </c>
      <c r="B32" t="s">
        <v>647</v>
      </c>
      <c r="D32" t="s">
        <v>1486</v>
      </c>
      <c r="F32" s="81">
        <v>98899</v>
      </c>
      <c r="G32" t="s">
        <v>756</v>
      </c>
      <c r="I32" t="s">
        <v>1487</v>
      </c>
    </row>
    <row r="33" spans="1:9">
      <c r="A33" s="71">
        <v>46094</v>
      </c>
      <c r="B33" t="s">
        <v>167</v>
      </c>
      <c r="D33" t="s">
        <v>1488</v>
      </c>
      <c r="G33" t="s">
        <v>756</v>
      </c>
      <c r="I33" t="s">
        <v>1487</v>
      </c>
    </row>
    <row r="34" spans="1:9">
      <c r="A34" s="71">
        <v>46118</v>
      </c>
      <c r="B34" t="s">
        <v>313</v>
      </c>
      <c r="D34" t="s">
        <v>1489</v>
      </c>
      <c r="G34" t="s">
        <v>756</v>
      </c>
      <c r="H34">
        <v>17164</v>
      </c>
      <c r="I34" t="s">
        <v>473</v>
      </c>
    </row>
    <row r="35" spans="1:9">
      <c r="A35" s="71">
        <v>46164</v>
      </c>
      <c r="B35" t="s">
        <v>352</v>
      </c>
      <c r="D35" t="s">
        <v>1490</v>
      </c>
      <c r="F35" s="86">
        <v>8627</v>
      </c>
      <c r="G35" t="s">
        <v>756</v>
      </c>
      <c r="H35">
        <v>17615</v>
      </c>
      <c r="I35" t="s">
        <v>1491</v>
      </c>
    </row>
    <row r="36" spans="1:9">
      <c r="A36" s="71">
        <v>46129</v>
      </c>
      <c r="B36" t="s">
        <v>36</v>
      </c>
      <c r="D36" t="s">
        <v>1492</v>
      </c>
      <c r="F36" s="86">
        <v>11200</v>
      </c>
      <c r="G36" t="s">
        <v>756</v>
      </c>
      <c r="H36">
        <v>17612</v>
      </c>
      <c r="I36" t="s">
        <v>1491</v>
      </c>
    </row>
    <row r="37" spans="1:9">
      <c r="A37" s="71">
        <v>46126</v>
      </c>
      <c r="B37" t="s">
        <v>136</v>
      </c>
      <c r="D37" t="s">
        <v>1493</v>
      </c>
      <c r="F37" s="86">
        <v>299359</v>
      </c>
      <c r="G37" t="s">
        <v>756</v>
      </c>
      <c r="H37">
        <v>17607</v>
      </c>
      <c r="I37" t="s">
        <v>1491</v>
      </c>
    </row>
    <row r="38" spans="1:9">
      <c r="A38" s="71">
        <v>46128</v>
      </c>
      <c r="B38" t="s">
        <v>498</v>
      </c>
      <c r="D38" t="s">
        <v>1494</v>
      </c>
      <c r="F38" s="86">
        <v>116846</v>
      </c>
      <c r="G38" t="s">
        <v>756</v>
      </c>
      <c r="H38">
        <v>17609</v>
      </c>
      <c r="I38" t="s">
        <v>1491</v>
      </c>
    </row>
    <row r="39" spans="1:9">
      <c r="A39" s="71">
        <v>46128</v>
      </c>
      <c r="B39" t="s">
        <v>620</v>
      </c>
      <c r="D39" t="s">
        <v>1495</v>
      </c>
      <c r="F39" s="86">
        <v>306371</v>
      </c>
      <c r="G39" t="s">
        <v>756</v>
      </c>
      <c r="H39">
        <v>17610</v>
      </c>
      <c r="I39" t="s">
        <v>1491</v>
      </c>
    </row>
    <row r="40" spans="1:9">
      <c r="A40" s="71">
        <v>46132</v>
      </c>
      <c r="B40" t="s">
        <v>322</v>
      </c>
      <c r="D40" t="s">
        <v>1496</v>
      </c>
      <c r="F40" s="86">
        <v>27805</v>
      </c>
      <c r="G40" t="s">
        <v>756</v>
      </c>
      <c r="H40">
        <v>17614</v>
      </c>
      <c r="I40" t="s">
        <v>1491</v>
      </c>
    </row>
    <row r="41" spans="1:9">
      <c r="A41" s="71">
        <v>46135</v>
      </c>
      <c r="B41" t="s">
        <v>434</v>
      </c>
      <c r="D41" t="s">
        <v>1497</v>
      </c>
      <c r="G41" t="s">
        <v>756</v>
      </c>
      <c r="H41">
        <v>17184</v>
      </c>
      <c r="I41" t="s">
        <v>473</v>
      </c>
    </row>
    <row r="42" spans="1:9">
      <c r="A42" s="71">
        <v>46142</v>
      </c>
      <c r="B42" t="s">
        <v>360</v>
      </c>
      <c r="D42" t="s">
        <v>1498</v>
      </c>
      <c r="F42" s="86">
        <v>7157</v>
      </c>
      <c r="G42" t="s">
        <v>756</v>
      </c>
      <c r="H42">
        <v>17189</v>
      </c>
      <c r="I42" t="s">
        <v>473</v>
      </c>
    </row>
    <row r="43" spans="1:9">
      <c r="A43" s="71">
        <v>46135</v>
      </c>
      <c r="B43" t="s">
        <v>305</v>
      </c>
      <c r="D43" t="s">
        <v>1499</v>
      </c>
      <c r="F43" s="86">
        <v>8817</v>
      </c>
      <c r="G43" t="s">
        <v>756</v>
      </c>
      <c r="H43">
        <v>17183</v>
      </c>
      <c r="I43" t="s">
        <v>473</v>
      </c>
    </row>
    <row r="44" spans="1:9">
      <c r="A44" s="71">
        <v>46146</v>
      </c>
      <c r="B44" t="s">
        <v>360</v>
      </c>
      <c r="D44" t="s">
        <v>1500</v>
      </c>
      <c r="F44" s="86">
        <v>7126</v>
      </c>
      <c r="G44" t="s">
        <v>756</v>
      </c>
      <c r="H44">
        <v>17190</v>
      </c>
      <c r="I44" t="s">
        <v>473</v>
      </c>
    </row>
    <row r="45" spans="1:9">
      <c r="A45" s="71">
        <v>46136</v>
      </c>
      <c r="B45" t="s">
        <v>434</v>
      </c>
      <c r="D45" s="85" t="s">
        <v>1501</v>
      </c>
      <c r="F45" s="86">
        <v>18298</v>
      </c>
      <c r="G45" t="s">
        <v>756</v>
      </c>
      <c r="H45">
        <v>17185</v>
      </c>
      <c r="I45" t="s">
        <v>473</v>
      </c>
    </row>
    <row r="46" spans="1:9">
      <c r="A46" s="71">
        <v>46139</v>
      </c>
      <c r="B46" t="s">
        <v>434</v>
      </c>
      <c r="D46" t="s">
        <v>1502</v>
      </c>
      <c r="F46" s="86">
        <v>18298</v>
      </c>
      <c r="G46" t="s">
        <v>756</v>
      </c>
      <c r="H46">
        <v>17186</v>
      </c>
      <c r="I46" t="s">
        <v>473</v>
      </c>
    </row>
    <row r="47" spans="1:9">
      <c r="A47" s="71">
        <v>46117</v>
      </c>
      <c r="B47" t="s">
        <v>408</v>
      </c>
      <c r="D47" t="s">
        <v>1503</v>
      </c>
      <c r="F47" s="86">
        <v>12936</v>
      </c>
      <c r="G47" t="s">
        <v>756</v>
      </c>
      <c r="H47">
        <v>17656</v>
      </c>
      <c r="I47" t="s">
        <v>1339</v>
      </c>
    </row>
    <row r="48" spans="1:9">
      <c r="A48" s="71">
        <v>46136</v>
      </c>
      <c r="B48" t="s">
        <v>356</v>
      </c>
      <c r="D48" t="s">
        <v>1504</v>
      </c>
      <c r="G48" t="s">
        <v>756</v>
      </c>
      <c r="H48">
        <v>17655</v>
      </c>
      <c r="I48" t="s">
        <v>1339</v>
      </c>
    </row>
    <row r="49" spans="1:9">
      <c r="A49" s="71">
        <v>46136</v>
      </c>
      <c r="B49" t="s">
        <v>322</v>
      </c>
      <c r="D49" t="s">
        <v>1505</v>
      </c>
      <c r="F49" s="86">
        <v>27805</v>
      </c>
      <c r="G49" t="s">
        <v>756</v>
      </c>
      <c r="I49" t="s">
        <v>1487</v>
      </c>
    </row>
    <row r="50" spans="1:9">
      <c r="A50" s="71">
        <v>46136</v>
      </c>
      <c r="B50" t="s">
        <v>322</v>
      </c>
      <c r="D50" t="s">
        <v>1506</v>
      </c>
      <c r="F50" s="86">
        <v>27805</v>
      </c>
      <c r="G50" t="s">
        <v>756</v>
      </c>
      <c r="I50" t="s">
        <v>1487</v>
      </c>
    </row>
    <row r="51" spans="1:9">
      <c r="A51" s="71">
        <v>46146</v>
      </c>
      <c r="B51" t="s">
        <v>283</v>
      </c>
      <c r="D51" t="s">
        <v>1507</v>
      </c>
      <c r="G51" t="s">
        <v>756</v>
      </c>
      <c r="I51" t="s">
        <v>1487</v>
      </c>
    </row>
    <row r="52" spans="1:9">
      <c r="A52" s="71">
        <v>46147</v>
      </c>
      <c r="B52" t="s">
        <v>322</v>
      </c>
      <c r="D52" s="50" t="s">
        <v>1508</v>
      </c>
      <c r="F52" s="86">
        <v>27805</v>
      </c>
      <c r="G52" t="s">
        <v>756</v>
      </c>
      <c r="I52" t="s">
        <v>1487</v>
      </c>
    </row>
    <row r="53" spans="1:9">
      <c r="A53" s="71">
        <v>46133</v>
      </c>
      <c r="B53" t="s">
        <v>29</v>
      </c>
      <c r="D53" t="s">
        <v>1509</v>
      </c>
      <c r="F53" s="86">
        <v>10876</v>
      </c>
      <c r="G53" t="s">
        <v>756</v>
      </c>
      <c r="H53">
        <v>17654</v>
      </c>
      <c r="I53" t="s">
        <v>1339</v>
      </c>
    </row>
    <row r="54" spans="1:9">
      <c r="A54" s="71">
        <v>46128</v>
      </c>
      <c r="B54" t="s">
        <v>388</v>
      </c>
      <c r="D54" t="s">
        <v>1510</v>
      </c>
      <c r="F54" s="86">
        <v>13084</v>
      </c>
      <c r="G54" t="s">
        <v>756</v>
      </c>
      <c r="H54">
        <v>17653</v>
      </c>
      <c r="I54" t="s">
        <v>1339</v>
      </c>
    </row>
    <row r="55" spans="1:9">
      <c r="A55" s="71">
        <v>46125</v>
      </c>
      <c r="B55" t="s">
        <v>697</v>
      </c>
      <c r="D55" t="s">
        <v>1511</v>
      </c>
      <c r="F55" s="86">
        <v>15813</v>
      </c>
      <c r="G55" t="s">
        <v>756</v>
      </c>
      <c r="H55">
        <v>17652</v>
      </c>
      <c r="I55" t="s">
        <v>1339</v>
      </c>
    </row>
    <row r="56" spans="1:9">
      <c r="A56" s="71">
        <v>46188</v>
      </c>
      <c r="B56" t="s">
        <v>408</v>
      </c>
      <c r="D56" t="s">
        <v>1512</v>
      </c>
      <c r="G56" t="s">
        <v>756</v>
      </c>
      <c r="H56">
        <v>17802</v>
      </c>
      <c r="I56" t="s">
        <v>1325</v>
      </c>
    </row>
    <row r="57" spans="1:9">
      <c r="A57" s="71">
        <v>46106</v>
      </c>
      <c r="B57" t="s">
        <v>89</v>
      </c>
      <c r="D57" t="s">
        <v>1513</v>
      </c>
      <c r="F57" s="86">
        <v>3532</v>
      </c>
      <c r="G57" t="s">
        <v>756</v>
      </c>
      <c r="H57">
        <v>17308</v>
      </c>
      <c r="I57" t="s">
        <v>806</v>
      </c>
    </row>
    <row r="58" spans="1:9">
      <c r="A58" s="71">
        <v>46105</v>
      </c>
      <c r="B58" t="s">
        <v>136</v>
      </c>
      <c r="D58" t="s">
        <v>1514</v>
      </c>
      <c r="F58" s="86">
        <v>297500</v>
      </c>
      <c r="G58" t="s">
        <v>756</v>
      </c>
      <c r="H58">
        <v>17311</v>
      </c>
      <c r="I58" t="s">
        <v>806</v>
      </c>
    </row>
    <row r="59" spans="1:9">
      <c r="A59" s="71">
        <v>46106</v>
      </c>
      <c r="B59" t="s">
        <v>388</v>
      </c>
      <c r="D59" t="s">
        <v>1515</v>
      </c>
      <c r="F59" s="86">
        <v>13053</v>
      </c>
      <c r="G59" t="s">
        <v>756</v>
      </c>
      <c r="H59">
        <v>17312</v>
      </c>
      <c r="I59" t="s">
        <v>806</v>
      </c>
    </row>
    <row r="60" spans="1:9">
      <c r="A60" s="71">
        <v>46107</v>
      </c>
      <c r="B60" t="s">
        <v>427</v>
      </c>
      <c r="D60" t="s">
        <v>1516</v>
      </c>
      <c r="F60" s="86">
        <v>573</v>
      </c>
      <c r="G60" t="s">
        <v>756</v>
      </c>
      <c r="H60">
        <v>17314</v>
      </c>
      <c r="I60" t="s">
        <v>806</v>
      </c>
    </row>
    <row r="61" spans="1:9">
      <c r="A61" s="71">
        <v>46106</v>
      </c>
      <c r="B61" t="s">
        <v>86</v>
      </c>
      <c r="D61" t="s">
        <v>1513</v>
      </c>
      <c r="F61" s="86">
        <v>3455</v>
      </c>
      <c r="G61" t="s">
        <v>756</v>
      </c>
      <c r="H61">
        <v>17315</v>
      </c>
      <c r="I61" t="s">
        <v>806</v>
      </c>
    </row>
    <row r="62" spans="1:9">
      <c r="A62" s="71">
        <v>46108</v>
      </c>
      <c r="B62" t="s">
        <v>48</v>
      </c>
      <c r="D62" t="s">
        <v>1517</v>
      </c>
      <c r="F62" s="86">
        <v>275716</v>
      </c>
      <c r="G62" t="s">
        <v>756</v>
      </c>
      <c r="H62">
        <v>17316</v>
      </c>
      <c r="I62" t="s">
        <v>806</v>
      </c>
    </row>
    <row r="63" spans="1:9">
      <c r="A63" s="71">
        <v>46108</v>
      </c>
      <c r="B63" t="s">
        <v>641</v>
      </c>
      <c r="D63" t="s">
        <v>1518</v>
      </c>
      <c r="F63" s="86">
        <v>147465</v>
      </c>
      <c r="G63" t="s">
        <v>756</v>
      </c>
      <c r="H63">
        <v>17317</v>
      </c>
      <c r="I63" t="s">
        <v>806</v>
      </c>
    </row>
    <row r="64" spans="1:9">
      <c r="A64" s="71">
        <v>46112</v>
      </c>
      <c r="B64" t="s">
        <v>567</v>
      </c>
      <c r="D64" t="s">
        <v>1519</v>
      </c>
      <c r="F64" s="86">
        <v>562024</v>
      </c>
      <c r="G64" t="s">
        <v>756</v>
      </c>
      <c r="H64">
        <v>17321</v>
      </c>
      <c r="I64" t="s">
        <v>806</v>
      </c>
    </row>
    <row r="65" spans="1:9">
      <c r="A65" s="71">
        <v>46111</v>
      </c>
      <c r="B65" t="s">
        <v>311</v>
      </c>
      <c r="D65" t="s">
        <v>1520</v>
      </c>
      <c r="F65" s="86">
        <v>17019</v>
      </c>
      <c r="G65" t="s">
        <v>756</v>
      </c>
      <c r="H65">
        <v>17320</v>
      </c>
      <c r="I65" t="s">
        <v>806</v>
      </c>
    </row>
    <row r="66" spans="1:9">
      <c r="A66" s="71">
        <v>46112</v>
      </c>
      <c r="B66" t="s">
        <v>641</v>
      </c>
      <c r="D66" t="s">
        <v>1521</v>
      </c>
      <c r="F66" s="86">
        <v>147465</v>
      </c>
      <c r="G66" t="s">
        <v>756</v>
      </c>
      <c r="H66">
        <v>17322</v>
      </c>
      <c r="I66" t="s">
        <v>806</v>
      </c>
    </row>
    <row r="67" spans="1:9">
      <c r="A67" s="71">
        <v>46111</v>
      </c>
      <c r="B67" t="s">
        <v>330</v>
      </c>
      <c r="D67" t="s">
        <v>1522</v>
      </c>
      <c r="F67" s="86">
        <v>8984</v>
      </c>
      <c r="G67" t="s">
        <v>756</v>
      </c>
      <c r="H67">
        <v>17160</v>
      </c>
      <c r="I67" t="s">
        <v>473</v>
      </c>
    </row>
    <row r="68" spans="1:9">
      <c r="A68" s="71">
        <v>46112</v>
      </c>
      <c r="B68" t="s">
        <v>365</v>
      </c>
      <c r="D68" t="s">
        <v>1523</v>
      </c>
      <c r="E68" s="35" t="s">
        <v>1524</v>
      </c>
      <c r="G68" t="s">
        <v>756</v>
      </c>
      <c r="H68">
        <v>17162</v>
      </c>
      <c r="I68" t="s">
        <v>473</v>
      </c>
    </row>
    <row r="69" spans="1:9">
      <c r="A69" s="71">
        <v>46105</v>
      </c>
      <c r="B69" t="s">
        <v>630</v>
      </c>
      <c r="D69" s="85" t="s">
        <v>1516</v>
      </c>
      <c r="F69" s="86">
        <v>10125</v>
      </c>
      <c r="G69" t="s">
        <v>756</v>
      </c>
      <c r="H69">
        <v>17309</v>
      </c>
      <c r="I69" t="s">
        <v>495</v>
      </c>
    </row>
    <row r="70" spans="1:9">
      <c r="A70" s="71">
        <v>46099</v>
      </c>
      <c r="B70" t="s">
        <v>245</v>
      </c>
      <c r="D70" t="s">
        <v>1525</v>
      </c>
      <c r="F70" s="86">
        <v>5164</v>
      </c>
      <c r="G70" t="s">
        <v>756</v>
      </c>
      <c r="H70">
        <v>17301</v>
      </c>
      <c r="I70" t="s">
        <v>806</v>
      </c>
    </row>
    <row r="71" spans="1:9">
      <c r="A71" s="71">
        <v>46099</v>
      </c>
      <c r="B71" t="s">
        <v>697</v>
      </c>
      <c r="D71" t="s">
        <v>1525</v>
      </c>
      <c r="F71" s="86">
        <v>15747</v>
      </c>
      <c r="G71" t="s">
        <v>756</v>
      </c>
      <c r="H71">
        <v>17302</v>
      </c>
      <c r="I71" t="s">
        <v>806</v>
      </c>
    </row>
    <row r="72" spans="1:9">
      <c r="A72" s="71">
        <v>46101</v>
      </c>
      <c r="B72" t="s">
        <v>632</v>
      </c>
      <c r="D72" t="s">
        <v>1526</v>
      </c>
      <c r="F72" s="86">
        <v>12940</v>
      </c>
      <c r="G72" t="s">
        <v>756</v>
      </c>
      <c r="H72">
        <v>17306</v>
      </c>
      <c r="I72" t="s">
        <v>806</v>
      </c>
    </row>
    <row r="73" spans="1:9">
      <c r="A73" s="71">
        <v>46100</v>
      </c>
      <c r="B73" t="s">
        <v>615</v>
      </c>
      <c r="D73" t="s">
        <v>1480</v>
      </c>
      <c r="G73" t="s">
        <v>756</v>
      </c>
      <c r="H73">
        <v>16208</v>
      </c>
      <c r="I73" t="s">
        <v>1335</v>
      </c>
    </row>
    <row r="74" spans="1:9">
      <c r="A74" s="71">
        <v>46113</v>
      </c>
      <c r="B74" t="s">
        <v>96</v>
      </c>
      <c r="D74" t="s">
        <v>1527</v>
      </c>
      <c r="F74" s="86">
        <v>80760</v>
      </c>
      <c r="G74" t="s">
        <v>756</v>
      </c>
      <c r="H74">
        <v>16210</v>
      </c>
      <c r="I74" t="s">
        <v>1335</v>
      </c>
    </row>
    <row r="75" spans="1:9">
      <c r="A75" s="71">
        <v>46095</v>
      </c>
      <c r="B75" t="s">
        <v>371</v>
      </c>
      <c r="D75" t="s">
        <v>1528</v>
      </c>
      <c r="F75" s="86">
        <v>16854</v>
      </c>
      <c r="G75" t="s">
        <v>756</v>
      </c>
      <c r="H75">
        <v>16216</v>
      </c>
      <c r="I75" t="s">
        <v>1335</v>
      </c>
    </row>
    <row r="76" spans="1:9">
      <c r="A76" s="71">
        <v>46095</v>
      </c>
      <c r="B76" t="s">
        <v>173</v>
      </c>
      <c r="D76" t="s">
        <v>1529</v>
      </c>
      <c r="F76" s="86">
        <v>9295</v>
      </c>
      <c r="G76" t="s">
        <v>756</v>
      </c>
      <c r="H76">
        <v>16217</v>
      </c>
      <c r="I76" t="s">
        <v>1335</v>
      </c>
    </row>
    <row r="77" spans="1:9">
      <c r="A77" s="71">
        <v>46095</v>
      </c>
      <c r="B77" t="s">
        <v>411</v>
      </c>
      <c r="D77" t="s">
        <v>1530</v>
      </c>
      <c r="F77" s="86">
        <v>4414</v>
      </c>
      <c r="G77" t="s">
        <v>756</v>
      </c>
      <c r="H77">
        <v>16215</v>
      </c>
      <c r="I77" t="s">
        <v>1335</v>
      </c>
    </row>
    <row r="78" spans="1:9">
      <c r="A78" s="71">
        <v>46094</v>
      </c>
      <c r="B78" t="s">
        <v>362</v>
      </c>
      <c r="D78" t="s">
        <v>1531</v>
      </c>
      <c r="F78" s="86">
        <v>15623</v>
      </c>
      <c r="G78" t="s">
        <v>756</v>
      </c>
      <c r="H78">
        <v>16214</v>
      </c>
      <c r="I78" t="s">
        <v>1335</v>
      </c>
    </row>
    <row r="79" spans="1:9">
      <c r="A79" s="71">
        <v>46094</v>
      </c>
      <c r="B79" t="s">
        <v>417</v>
      </c>
      <c r="D79" t="s">
        <v>1532</v>
      </c>
      <c r="F79" s="86">
        <v>10734</v>
      </c>
      <c r="G79" t="s">
        <v>756</v>
      </c>
      <c r="H79">
        <v>16213</v>
      </c>
      <c r="I79" t="s">
        <v>1335</v>
      </c>
    </row>
    <row r="80" spans="1:9">
      <c r="A80" s="71">
        <v>46093</v>
      </c>
      <c r="B80" t="s">
        <v>171</v>
      </c>
      <c r="D80" t="s">
        <v>1533</v>
      </c>
      <c r="F80" s="86">
        <v>3403</v>
      </c>
      <c r="G80" t="s">
        <v>756</v>
      </c>
      <c r="H80">
        <v>16212</v>
      </c>
      <c r="I80" t="s">
        <v>1335</v>
      </c>
    </row>
    <row r="81" spans="1:9">
      <c r="A81" s="71">
        <v>46107</v>
      </c>
      <c r="B81" t="s">
        <v>608</v>
      </c>
      <c r="D81" t="s">
        <v>1526</v>
      </c>
      <c r="G81" t="s">
        <v>756</v>
      </c>
      <c r="H81">
        <v>16209</v>
      </c>
      <c r="I81" t="s">
        <v>1335</v>
      </c>
    </row>
    <row r="82" spans="1:9">
      <c r="A82" s="71">
        <v>46105</v>
      </c>
      <c r="B82" t="s">
        <v>273</v>
      </c>
      <c r="D82" t="s">
        <v>1534</v>
      </c>
      <c r="F82" s="86">
        <v>5672</v>
      </c>
      <c r="G82" t="s">
        <v>756</v>
      </c>
      <c r="H82">
        <v>15509</v>
      </c>
      <c r="I82" t="s">
        <v>1325</v>
      </c>
    </row>
    <row r="83" spans="1:9">
      <c r="A83" s="71">
        <v>46185</v>
      </c>
      <c r="B83" t="s">
        <v>93</v>
      </c>
      <c r="D83" t="s">
        <v>1535</v>
      </c>
      <c r="F83" s="86">
        <v>105367</v>
      </c>
      <c r="G83" t="s">
        <v>756</v>
      </c>
      <c r="H83">
        <v>17760</v>
      </c>
      <c r="I83" t="s">
        <v>473</v>
      </c>
    </row>
    <row r="84" spans="1:9">
      <c r="A84" s="71">
        <v>46184</v>
      </c>
      <c r="B84" t="s">
        <v>427</v>
      </c>
      <c r="D84" t="s">
        <v>1536</v>
      </c>
      <c r="F84" s="86">
        <v>653</v>
      </c>
      <c r="G84" t="s">
        <v>756</v>
      </c>
      <c r="H84">
        <v>17759</v>
      </c>
      <c r="I84" t="s">
        <v>473</v>
      </c>
    </row>
    <row r="85" spans="1:9">
      <c r="A85" s="71">
        <v>46184</v>
      </c>
      <c r="B85" t="s">
        <v>93</v>
      </c>
      <c r="D85" t="s">
        <v>1537</v>
      </c>
      <c r="F85" s="86">
        <v>105367</v>
      </c>
      <c r="G85" t="s">
        <v>756</v>
      </c>
      <c r="H85">
        <v>17757</v>
      </c>
      <c r="I85" t="s">
        <v>473</v>
      </c>
    </row>
    <row r="86" spans="1:9">
      <c r="A86" s="71">
        <v>46182</v>
      </c>
      <c r="B86" t="s">
        <v>390</v>
      </c>
      <c r="D86" t="s">
        <v>1538</v>
      </c>
      <c r="F86" s="86">
        <v>8096</v>
      </c>
      <c r="G86" t="s">
        <v>756</v>
      </c>
      <c r="H86">
        <v>17755</v>
      </c>
      <c r="I86" t="s">
        <v>473</v>
      </c>
    </row>
    <row r="87" spans="1:9">
      <c r="A87" s="71">
        <v>46178</v>
      </c>
      <c r="B87" t="s">
        <v>281</v>
      </c>
      <c r="D87" t="s">
        <v>1539</v>
      </c>
      <c r="G87" t="s">
        <v>756</v>
      </c>
      <c r="H87">
        <v>15128</v>
      </c>
      <c r="I87" t="s">
        <v>1347</v>
      </c>
    </row>
    <row r="88" spans="1:9">
      <c r="A88" s="71">
        <v>46170</v>
      </c>
      <c r="B88" t="s">
        <v>373</v>
      </c>
      <c r="D88" t="s">
        <v>1540</v>
      </c>
      <c r="F88" s="86">
        <v>4986</v>
      </c>
      <c r="G88" t="s">
        <v>756</v>
      </c>
      <c r="H88">
        <v>17213</v>
      </c>
      <c r="I88" t="s">
        <v>1339</v>
      </c>
    </row>
    <row r="89" spans="1:9">
      <c r="A89" s="71">
        <v>46169</v>
      </c>
      <c r="B89" t="s">
        <v>211</v>
      </c>
      <c r="D89" t="s">
        <v>1541</v>
      </c>
      <c r="G89" t="s">
        <v>756</v>
      </c>
      <c r="H89">
        <v>17212</v>
      </c>
      <c r="I89" t="s">
        <v>1339</v>
      </c>
    </row>
    <row r="90" spans="1:9">
      <c r="A90" s="71">
        <v>46171</v>
      </c>
      <c r="B90" t="s">
        <v>311</v>
      </c>
      <c r="D90" t="s">
        <v>1542</v>
      </c>
      <c r="G90" t="s">
        <v>756</v>
      </c>
      <c r="H90">
        <v>17211</v>
      </c>
      <c r="I90" t="s">
        <v>495</v>
      </c>
    </row>
    <row r="91" spans="1:9">
      <c r="A91" s="71">
        <v>46178</v>
      </c>
      <c r="B91" t="s">
        <v>60</v>
      </c>
      <c r="D91" t="s">
        <v>1543</v>
      </c>
      <c r="G91" t="s">
        <v>756</v>
      </c>
      <c r="H91">
        <v>17753</v>
      </c>
      <c r="I91" t="s">
        <v>473</v>
      </c>
    </row>
    <row r="92" spans="1:9">
      <c r="A92" s="71">
        <v>46154</v>
      </c>
      <c r="B92" t="s">
        <v>423</v>
      </c>
      <c r="D92" t="s">
        <v>1544</v>
      </c>
      <c r="F92" s="86">
        <v>5825</v>
      </c>
      <c r="G92" t="s">
        <v>756</v>
      </c>
      <c r="H92">
        <v>17199</v>
      </c>
      <c r="I92" t="s">
        <v>473</v>
      </c>
    </row>
    <row r="93" spans="1:9">
      <c r="A93" s="71">
        <v>46177</v>
      </c>
      <c r="B93" t="s">
        <v>388</v>
      </c>
      <c r="D93" t="s">
        <v>1545</v>
      </c>
      <c r="F93" s="86">
        <v>13243</v>
      </c>
      <c r="G93" t="s">
        <v>756</v>
      </c>
      <c r="H93">
        <v>17751</v>
      </c>
      <c r="I93" t="s">
        <v>473</v>
      </c>
    </row>
    <row r="94" spans="1:9">
      <c r="A94" s="71">
        <v>46182</v>
      </c>
      <c r="B94" t="s">
        <v>117</v>
      </c>
      <c r="D94" t="s">
        <v>1546</v>
      </c>
      <c r="F94" s="86">
        <v>2117</v>
      </c>
      <c r="G94" t="s">
        <v>756</v>
      </c>
      <c r="H94">
        <v>17220</v>
      </c>
      <c r="I94" t="s">
        <v>495</v>
      </c>
    </row>
    <row r="95" spans="1:9">
      <c r="A95" s="71">
        <v>46168</v>
      </c>
      <c r="B95" t="s">
        <v>434</v>
      </c>
      <c r="D95" t="s">
        <v>1547</v>
      </c>
      <c r="G95" t="s">
        <v>756</v>
      </c>
      <c r="H95">
        <v>17218</v>
      </c>
      <c r="I95" t="s">
        <v>1339</v>
      </c>
    </row>
    <row r="96" spans="1:9">
      <c r="A96" s="71">
        <v>46181</v>
      </c>
      <c r="B96" t="s">
        <v>373</v>
      </c>
      <c r="D96" t="s">
        <v>1548</v>
      </c>
      <c r="F96" s="86">
        <v>5014</v>
      </c>
      <c r="G96" t="s">
        <v>756</v>
      </c>
      <c r="H96">
        <v>17217</v>
      </c>
      <c r="I96" t="s">
        <v>1339</v>
      </c>
    </row>
    <row r="97" spans="1:9">
      <c r="A97" s="71">
        <v>45533</v>
      </c>
      <c r="B97" t="s">
        <v>311</v>
      </c>
      <c r="D97" t="s">
        <v>1549</v>
      </c>
    </row>
    <row r="98" spans="1:9">
      <c r="A98" s="71">
        <v>45359</v>
      </c>
      <c r="B98" t="s">
        <v>311</v>
      </c>
      <c r="D98" t="s">
        <v>1550</v>
      </c>
      <c r="G98" t="s">
        <v>756</v>
      </c>
      <c r="I98" t="s">
        <v>1381</v>
      </c>
    </row>
    <row r="99" spans="1:9">
      <c r="A99" s="71">
        <v>45296</v>
      </c>
      <c r="B99" t="s">
        <v>311</v>
      </c>
      <c r="D99" t="s">
        <v>1551</v>
      </c>
      <c r="F99" s="86">
        <v>14467</v>
      </c>
      <c r="G99" t="s">
        <v>756</v>
      </c>
      <c r="H99">
        <v>11049</v>
      </c>
      <c r="I99" t="s">
        <v>1330</v>
      </c>
    </row>
    <row r="100" spans="1:9">
      <c r="A100" s="71">
        <v>46187</v>
      </c>
      <c r="B100" t="s">
        <v>311</v>
      </c>
      <c r="D100" t="s">
        <v>1552</v>
      </c>
      <c r="G100" t="s">
        <v>756</v>
      </c>
      <c r="I100" t="s">
        <v>1381</v>
      </c>
    </row>
    <row r="101" spans="1:9">
      <c r="A101" s="71">
        <v>45279</v>
      </c>
      <c r="B101" t="s">
        <v>313</v>
      </c>
      <c r="D101" t="s">
        <v>1553</v>
      </c>
      <c r="F101" s="86">
        <v>19916</v>
      </c>
      <c r="G101" t="s">
        <v>756</v>
      </c>
      <c r="I101" t="s">
        <v>1339</v>
      </c>
    </row>
    <row r="102" spans="1:9">
      <c r="A102" s="71">
        <v>45175</v>
      </c>
      <c r="B102" t="s">
        <v>313</v>
      </c>
      <c r="D102" t="s">
        <v>1554</v>
      </c>
      <c r="F102" s="86">
        <v>19686</v>
      </c>
      <c r="G102" t="s">
        <v>756</v>
      </c>
      <c r="H102">
        <v>10982</v>
      </c>
      <c r="I102" t="s">
        <v>1339</v>
      </c>
    </row>
    <row r="103" spans="1:9">
      <c r="A103" s="71">
        <v>45545</v>
      </c>
      <c r="B103" t="s">
        <v>313</v>
      </c>
      <c r="D103" t="s">
        <v>1555</v>
      </c>
      <c r="F103" s="86">
        <v>20610</v>
      </c>
      <c r="G103" t="s">
        <v>756</v>
      </c>
      <c r="I103" t="s">
        <v>806</v>
      </c>
    </row>
    <row r="104" spans="1:9">
      <c r="A104" s="71">
        <v>45547</v>
      </c>
      <c r="B104" t="s">
        <v>313</v>
      </c>
      <c r="D104" t="s">
        <v>1556</v>
      </c>
      <c r="G104" t="s">
        <v>756</v>
      </c>
      <c r="I104" t="s">
        <v>806</v>
      </c>
    </row>
    <row r="105" spans="1:9">
      <c r="A105" s="71">
        <v>45350</v>
      </c>
      <c r="B105" t="s">
        <v>313</v>
      </c>
      <c r="D105" t="s">
        <v>1556</v>
      </c>
      <c r="F105" s="86">
        <v>20130</v>
      </c>
      <c r="G105" t="s">
        <v>756</v>
      </c>
      <c r="I105" t="s">
        <v>806</v>
      </c>
    </row>
    <row r="106" spans="1:9">
      <c r="A106" s="71">
        <v>45867</v>
      </c>
      <c r="B106" t="s">
        <v>586</v>
      </c>
      <c r="D106" t="s">
        <v>1557</v>
      </c>
      <c r="F106" s="86">
        <v>162230</v>
      </c>
      <c r="G106" t="s">
        <v>756</v>
      </c>
      <c r="H106">
        <v>15082</v>
      </c>
      <c r="I106" t="s">
        <v>473</v>
      </c>
    </row>
    <row r="107" spans="1:9">
      <c r="A107" s="71">
        <v>46139</v>
      </c>
      <c r="B107" t="s">
        <v>330</v>
      </c>
      <c r="D107" t="s">
        <v>1558</v>
      </c>
      <c r="F107" s="86">
        <v>9005</v>
      </c>
      <c r="G107" t="s">
        <v>756</v>
      </c>
      <c r="H107">
        <v>16225</v>
      </c>
      <c r="I107" t="s">
        <v>1335</v>
      </c>
    </row>
    <row r="108" spans="1:9">
      <c r="A108" s="71">
        <v>46141</v>
      </c>
      <c r="B108" t="s">
        <v>183</v>
      </c>
      <c r="D108" t="s">
        <v>1559</v>
      </c>
      <c r="F108" s="86">
        <v>3231</v>
      </c>
      <c r="G108" t="s">
        <v>756</v>
      </c>
      <c r="H108">
        <v>16252</v>
      </c>
      <c r="I108" t="s">
        <v>1560</v>
      </c>
    </row>
    <row r="109" spans="1:9">
      <c r="A109" s="71">
        <v>46141</v>
      </c>
      <c r="B109" t="s">
        <v>141</v>
      </c>
      <c r="D109" t="s">
        <v>1561</v>
      </c>
      <c r="F109" s="86">
        <v>1888</v>
      </c>
      <c r="G109" t="s">
        <v>756</v>
      </c>
      <c r="H109">
        <v>16253</v>
      </c>
      <c r="I109" t="s">
        <v>1560</v>
      </c>
    </row>
    <row r="110" spans="1:9">
      <c r="A110" s="71">
        <v>46171</v>
      </c>
      <c r="B110" t="s">
        <v>390</v>
      </c>
      <c r="D110" t="s">
        <v>1562</v>
      </c>
      <c r="F110" s="86">
        <v>8069</v>
      </c>
      <c r="G110" t="s">
        <v>756</v>
      </c>
      <c r="H110">
        <v>17210</v>
      </c>
      <c r="I110" t="s">
        <v>495</v>
      </c>
    </row>
    <row r="111" spans="1:9">
      <c r="A111" s="71">
        <v>46183</v>
      </c>
      <c r="B111" t="s">
        <v>60</v>
      </c>
      <c r="D111" t="s">
        <v>1563</v>
      </c>
      <c r="F111" s="86" t="s">
        <v>1470</v>
      </c>
      <c r="G111" t="s">
        <v>756</v>
      </c>
      <c r="H111">
        <v>17221</v>
      </c>
      <c r="I111" t="s">
        <v>1339</v>
      </c>
    </row>
    <row r="112" spans="1:9">
      <c r="A112" s="71">
        <v>46183</v>
      </c>
      <c r="B112" t="s">
        <v>211</v>
      </c>
      <c r="D112" t="s">
        <v>1564</v>
      </c>
      <c r="F112" s="86">
        <v>54</v>
      </c>
      <c r="G112" t="s">
        <v>756</v>
      </c>
      <c r="H112">
        <v>17222</v>
      </c>
      <c r="I112" t="s">
        <v>1339</v>
      </c>
    </row>
    <row r="113" spans="1:9">
      <c r="A113" s="71">
        <v>46185</v>
      </c>
      <c r="B113" t="s">
        <v>373</v>
      </c>
      <c r="D113" t="s">
        <v>1565</v>
      </c>
      <c r="F113" s="86">
        <v>5022</v>
      </c>
      <c r="G113" t="s">
        <v>756</v>
      </c>
      <c r="H113">
        <v>17223</v>
      </c>
      <c r="I113" t="s">
        <v>1339</v>
      </c>
    </row>
    <row r="114" spans="1:9">
      <c r="A114" s="71">
        <v>46190</v>
      </c>
      <c r="B114" t="s">
        <v>35</v>
      </c>
      <c r="D114" t="s">
        <v>1566</v>
      </c>
      <c r="F114" s="86">
        <v>8543</v>
      </c>
      <c r="G114" t="s">
        <v>756</v>
      </c>
      <c r="H114">
        <v>17227</v>
      </c>
      <c r="I114" t="s">
        <v>1339</v>
      </c>
    </row>
    <row r="115" spans="1:9">
      <c r="A115" s="71">
        <v>46111</v>
      </c>
      <c r="B115" t="s">
        <v>563</v>
      </c>
      <c r="D115" t="s">
        <v>1567</v>
      </c>
      <c r="G115" t="s">
        <v>756</v>
      </c>
      <c r="H115">
        <v>17319</v>
      </c>
      <c r="I115" t="s">
        <v>806</v>
      </c>
    </row>
    <row r="116" spans="1:9">
      <c r="A116" s="71">
        <v>46141</v>
      </c>
      <c r="B116" t="s">
        <v>138</v>
      </c>
      <c r="D116" t="s">
        <v>1568</v>
      </c>
      <c r="G116" t="s">
        <v>756</v>
      </c>
      <c r="H116">
        <v>16254</v>
      </c>
      <c r="I116" t="s">
        <v>1560</v>
      </c>
    </row>
    <row r="117" spans="1:9">
      <c r="A117" s="71">
        <v>46146</v>
      </c>
      <c r="B117" t="s">
        <v>32</v>
      </c>
      <c r="D117" t="s">
        <v>1569</v>
      </c>
      <c r="F117" s="86">
        <v>10821</v>
      </c>
      <c r="G117" t="s">
        <v>756</v>
      </c>
      <c r="H117">
        <v>16255</v>
      </c>
      <c r="I117" t="s">
        <v>1560</v>
      </c>
    </row>
    <row r="118" spans="1:9">
      <c r="A118" s="71">
        <v>43839</v>
      </c>
      <c r="B118" t="s">
        <v>1570</v>
      </c>
      <c r="D118" t="s">
        <v>1571</v>
      </c>
      <c r="F118" s="86">
        <v>92702</v>
      </c>
      <c r="G118" t="s">
        <v>756</v>
      </c>
      <c r="H118">
        <v>3787</v>
      </c>
      <c r="I118" t="s">
        <v>1487</v>
      </c>
    </row>
    <row r="119" spans="1:9">
      <c r="A119" s="71">
        <v>43850</v>
      </c>
      <c r="B119" t="s">
        <v>779</v>
      </c>
      <c r="D119" t="s">
        <v>1572</v>
      </c>
      <c r="F119" s="86">
        <v>145491</v>
      </c>
      <c r="G119" t="s">
        <v>756</v>
      </c>
      <c r="H119">
        <v>2394</v>
      </c>
      <c r="I119" t="s">
        <v>1487</v>
      </c>
    </row>
    <row r="120" spans="1:9">
      <c r="A120" s="71">
        <v>43858</v>
      </c>
      <c r="B120" t="s">
        <v>1573</v>
      </c>
      <c r="D120" t="s">
        <v>1574</v>
      </c>
      <c r="G120" t="s">
        <v>756</v>
      </c>
      <c r="H120">
        <v>2868</v>
      </c>
      <c r="I120" t="s">
        <v>1381</v>
      </c>
    </row>
    <row r="121" spans="1:9">
      <c r="A121" s="71">
        <v>43860</v>
      </c>
      <c r="B121" t="s">
        <v>779</v>
      </c>
      <c r="D121" t="s">
        <v>1575</v>
      </c>
      <c r="F121" s="86">
        <v>143913</v>
      </c>
      <c r="G121" t="s">
        <v>756</v>
      </c>
      <c r="H121">
        <v>2866</v>
      </c>
      <c r="I121" t="s">
        <v>1381</v>
      </c>
    </row>
    <row r="122" spans="1:9">
      <c r="A122" s="71">
        <v>43860</v>
      </c>
      <c r="B122" t="s">
        <v>692</v>
      </c>
      <c r="D122" t="s">
        <v>1576</v>
      </c>
      <c r="F122" s="86">
        <v>250</v>
      </c>
      <c r="G122" t="s">
        <v>756</v>
      </c>
      <c r="H122">
        <v>2751</v>
      </c>
      <c r="I122" t="s">
        <v>1341</v>
      </c>
    </row>
    <row r="123" spans="1:9">
      <c r="A123" s="71">
        <v>43861</v>
      </c>
      <c r="B123" t="s">
        <v>779</v>
      </c>
      <c r="D123" t="s">
        <v>1577</v>
      </c>
      <c r="F123" s="86">
        <v>143913</v>
      </c>
      <c r="G123" t="s">
        <v>756</v>
      </c>
      <c r="H123">
        <v>2865</v>
      </c>
      <c r="I123" t="s">
        <v>1381</v>
      </c>
    </row>
    <row r="124" spans="1:9">
      <c r="A124" s="71">
        <v>43861</v>
      </c>
      <c r="B124" t="s">
        <v>692</v>
      </c>
      <c r="D124" t="s">
        <v>1578</v>
      </c>
      <c r="F124" s="86">
        <v>141521</v>
      </c>
      <c r="G124" t="s">
        <v>756</v>
      </c>
      <c r="H124">
        <v>2760</v>
      </c>
      <c r="I124" t="s">
        <v>1341</v>
      </c>
    </row>
    <row r="125" spans="1:9">
      <c r="A125" s="71">
        <v>43862</v>
      </c>
      <c r="B125" t="s">
        <v>779</v>
      </c>
      <c r="D125" t="s">
        <v>1579</v>
      </c>
      <c r="F125" s="86">
        <v>143484</v>
      </c>
      <c r="G125" t="s">
        <v>756</v>
      </c>
      <c r="H125">
        <v>3794</v>
      </c>
      <c r="I125" t="s">
        <v>1487</v>
      </c>
    </row>
    <row r="126" spans="1:9">
      <c r="A126" s="71">
        <v>43864</v>
      </c>
      <c r="B126" t="s">
        <v>143</v>
      </c>
      <c r="D126" t="s">
        <v>1580</v>
      </c>
      <c r="F126" s="86">
        <v>536927</v>
      </c>
      <c r="G126" t="s">
        <v>756</v>
      </c>
      <c r="H126">
        <v>2763</v>
      </c>
      <c r="I126" t="s">
        <v>1341</v>
      </c>
    </row>
    <row r="127" spans="1:9">
      <c r="A127" s="71">
        <v>43865</v>
      </c>
      <c r="B127" t="s">
        <v>1573</v>
      </c>
      <c r="D127" t="s">
        <v>1581</v>
      </c>
      <c r="G127" t="s">
        <v>756</v>
      </c>
      <c r="H127">
        <v>2864</v>
      </c>
      <c r="I127" t="s">
        <v>1381</v>
      </c>
    </row>
    <row r="128" spans="1:9">
      <c r="A128" s="71">
        <v>43865</v>
      </c>
      <c r="B128" t="s">
        <v>143</v>
      </c>
      <c r="D128" t="s">
        <v>1582</v>
      </c>
      <c r="F128" s="86">
        <v>536927</v>
      </c>
      <c r="G128" t="s">
        <v>756</v>
      </c>
      <c r="H128">
        <v>2762</v>
      </c>
      <c r="I128" t="s">
        <v>1341</v>
      </c>
    </row>
    <row r="129" spans="1:9">
      <c r="A129" s="71">
        <v>43867</v>
      </c>
      <c r="B129" t="s">
        <v>1573</v>
      </c>
      <c r="D129" t="s">
        <v>1583</v>
      </c>
      <c r="G129" t="s">
        <v>756</v>
      </c>
      <c r="H129">
        <v>2862</v>
      </c>
      <c r="I129" t="s">
        <v>1381</v>
      </c>
    </row>
    <row r="130" spans="1:9">
      <c r="A130" s="71">
        <v>43868</v>
      </c>
      <c r="B130" t="s">
        <v>1573</v>
      </c>
      <c r="D130" t="s">
        <v>1584</v>
      </c>
      <c r="G130" t="s">
        <v>756</v>
      </c>
      <c r="H130">
        <v>2861</v>
      </c>
      <c r="I130" t="s">
        <v>1381</v>
      </c>
    </row>
    <row r="131" spans="1:9">
      <c r="A131" s="71">
        <v>43871</v>
      </c>
      <c r="B131" t="s">
        <v>779</v>
      </c>
      <c r="D131" t="s">
        <v>1585</v>
      </c>
      <c r="F131" s="86">
        <v>143913</v>
      </c>
      <c r="G131" t="s">
        <v>756</v>
      </c>
      <c r="H131">
        <v>2860</v>
      </c>
      <c r="I131" t="s">
        <v>1381</v>
      </c>
    </row>
    <row r="132" spans="1:9">
      <c r="A132" s="71">
        <v>43873</v>
      </c>
      <c r="B132" t="s">
        <v>779</v>
      </c>
      <c r="D132" t="s">
        <v>1586</v>
      </c>
      <c r="F132" s="86">
        <v>143913</v>
      </c>
      <c r="G132" t="s">
        <v>756</v>
      </c>
      <c r="H132">
        <v>2858</v>
      </c>
      <c r="I132" t="s">
        <v>1381</v>
      </c>
    </row>
    <row r="133" spans="1:9">
      <c r="A133" s="71">
        <v>43875</v>
      </c>
      <c r="B133" t="s">
        <v>688</v>
      </c>
      <c r="D133" t="s">
        <v>1587</v>
      </c>
      <c r="F133" s="86">
        <v>165185</v>
      </c>
      <c r="G133" t="s">
        <v>756</v>
      </c>
      <c r="H133">
        <v>2857</v>
      </c>
      <c r="I133" t="s">
        <v>1381</v>
      </c>
    </row>
    <row r="134" spans="1:9">
      <c r="A134" s="71">
        <v>43880</v>
      </c>
      <c r="B134" t="s">
        <v>779</v>
      </c>
      <c r="D134" t="s">
        <v>1588</v>
      </c>
      <c r="F134" s="86">
        <v>163742</v>
      </c>
      <c r="G134" t="s">
        <v>756</v>
      </c>
      <c r="H134">
        <v>3722</v>
      </c>
      <c r="I134" t="s">
        <v>1589</v>
      </c>
    </row>
    <row r="135" spans="1:9">
      <c r="A135" s="71">
        <v>43880</v>
      </c>
      <c r="B135" t="s">
        <v>688</v>
      </c>
      <c r="D135" t="s">
        <v>1590</v>
      </c>
      <c r="F135" s="86">
        <v>165185</v>
      </c>
      <c r="G135" t="s">
        <v>756</v>
      </c>
      <c r="H135">
        <v>2856</v>
      </c>
      <c r="I135" t="s">
        <v>1381</v>
      </c>
    </row>
    <row r="136" spans="1:9">
      <c r="A136" s="71">
        <v>43886</v>
      </c>
      <c r="B136" t="s">
        <v>688</v>
      </c>
      <c r="D136" t="s">
        <v>1591</v>
      </c>
      <c r="F136" s="86">
        <v>165185</v>
      </c>
      <c r="G136" t="s">
        <v>756</v>
      </c>
      <c r="H136">
        <v>2855</v>
      </c>
      <c r="I136" t="s">
        <v>1381</v>
      </c>
    </row>
    <row r="137" spans="1:9">
      <c r="A137" s="71">
        <v>43886</v>
      </c>
      <c r="B137" t="s">
        <v>1592</v>
      </c>
      <c r="D137" t="s">
        <v>1593</v>
      </c>
      <c r="F137" s="86">
        <v>6401</v>
      </c>
      <c r="G137" t="s">
        <v>756</v>
      </c>
      <c r="H137">
        <v>2817</v>
      </c>
      <c r="I137" t="s">
        <v>1594</v>
      </c>
    </row>
    <row r="138" spans="1:9">
      <c r="A138" s="71">
        <v>43887</v>
      </c>
      <c r="B138" t="s">
        <v>1570</v>
      </c>
      <c r="D138" t="s">
        <v>1595</v>
      </c>
      <c r="F138" s="86">
        <v>9842</v>
      </c>
      <c r="G138" t="s">
        <v>756</v>
      </c>
      <c r="H138">
        <v>2007</v>
      </c>
      <c r="I138" t="s">
        <v>1596</v>
      </c>
    </row>
    <row r="139" spans="1:9">
      <c r="A139" s="71">
        <v>43888</v>
      </c>
      <c r="B139" t="s">
        <v>683</v>
      </c>
      <c r="D139" t="s">
        <v>1597</v>
      </c>
      <c r="F139" s="86">
        <v>6435</v>
      </c>
      <c r="G139" t="s">
        <v>756</v>
      </c>
      <c r="H139">
        <v>2821</v>
      </c>
      <c r="I139" t="s">
        <v>1598</v>
      </c>
    </row>
    <row r="140" spans="1:9">
      <c r="A140" s="71">
        <v>43888</v>
      </c>
      <c r="B140" t="s">
        <v>162</v>
      </c>
      <c r="D140" t="s">
        <v>1599</v>
      </c>
      <c r="G140" t="s">
        <v>756</v>
      </c>
      <c r="H140">
        <v>2876</v>
      </c>
      <c r="I140" t="s">
        <v>1381</v>
      </c>
    </row>
    <row r="141" spans="1:9">
      <c r="A141" s="71">
        <v>43891</v>
      </c>
      <c r="B141" t="s">
        <v>1570</v>
      </c>
      <c r="D141" t="s">
        <v>1600</v>
      </c>
      <c r="G141" t="s">
        <v>756</v>
      </c>
      <c r="H141">
        <v>3259</v>
      </c>
      <c r="I141" t="s">
        <v>1381</v>
      </c>
    </row>
    <row r="142" spans="1:9">
      <c r="A142" s="71">
        <v>43893</v>
      </c>
      <c r="B142" t="s">
        <v>688</v>
      </c>
      <c r="D142" t="s">
        <v>1601</v>
      </c>
      <c r="G142" t="s">
        <v>756</v>
      </c>
      <c r="H142">
        <v>2879</v>
      </c>
      <c r="I142" t="s">
        <v>1381</v>
      </c>
    </row>
    <row r="143" spans="1:9">
      <c r="A143" s="71">
        <v>43893</v>
      </c>
      <c r="B143" t="s">
        <v>1602</v>
      </c>
      <c r="D143" t="s">
        <v>1603</v>
      </c>
      <c r="G143" t="s">
        <v>756</v>
      </c>
      <c r="H143">
        <v>2886</v>
      </c>
      <c r="I143" t="s">
        <v>1381</v>
      </c>
    </row>
    <row r="144" spans="1:9">
      <c r="A144" s="71">
        <v>43893</v>
      </c>
      <c r="B144" t="s">
        <v>362</v>
      </c>
      <c r="D144" t="s">
        <v>1604</v>
      </c>
      <c r="G144" t="s">
        <v>756</v>
      </c>
      <c r="H144">
        <v>2880</v>
      </c>
      <c r="I144" t="s">
        <v>1381</v>
      </c>
    </row>
    <row r="145" spans="1:9">
      <c r="A145" s="71">
        <v>43894</v>
      </c>
      <c r="B145" t="s">
        <v>779</v>
      </c>
      <c r="D145" t="s">
        <v>1605</v>
      </c>
      <c r="G145" t="s">
        <v>756</v>
      </c>
      <c r="H145">
        <v>2882</v>
      </c>
      <c r="I145" t="s">
        <v>1381</v>
      </c>
    </row>
    <row r="146" spans="1:9">
      <c r="A146" s="71">
        <v>43894</v>
      </c>
      <c r="B146" t="s">
        <v>688</v>
      </c>
      <c r="D146" t="s">
        <v>1606</v>
      </c>
      <c r="G146" t="s">
        <v>756</v>
      </c>
      <c r="H146">
        <v>2881</v>
      </c>
      <c r="I146" t="s">
        <v>1381</v>
      </c>
    </row>
    <row r="147" spans="1:9">
      <c r="A147" s="71">
        <v>43895</v>
      </c>
      <c r="B147" t="s">
        <v>688</v>
      </c>
      <c r="D147" t="s">
        <v>1607</v>
      </c>
      <c r="G147" t="s">
        <v>756</v>
      </c>
      <c r="H147">
        <v>2884</v>
      </c>
      <c r="I147" t="s">
        <v>1598</v>
      </c>
    </row>
    <row r="148" spans="1:9">
      <c r="A148" s="71">
        <v>43896</v>
      </c>
      <c r="B148" t="s">
        <v>692</v>
      </c>
      <c r="D148" t="s">
        <v>1608</v>
      </c>
      <c r="F148" s="86">
        <v>26448</v>
      </c>
      <c r="G148" t="s">
        <v>756</v>
      </c>
      <c r="H148">
        <v>2783</v>
      </c>
      <c r="I148" t="s">
        <v>1341</v>
      </c>
    </row>
    <row r="149" spans="1:9">
      <c r="A149" s="71">
        <v>43897</v>
      </c>
      <c r="B149" t="s">
        <v>1609</v>
      </c>
      <c r="D149" t="s">
        <v>1610</v>
      </c>
      <c r="F149" s="86">
        <v>16868</v>
      </c>
      <c r="G149" t="s">
        <v>756</v>
      </c>
      <c r="H149">
        <v>2355</v>
      </c>
      <c r="I149" t="s">
        <v>1487</v>
      </c>
    </row>
    <row r="150" spans="1:9">
      <c r="A150" s="71">
        <v>43899</v>
      </c>
      <c r="B150" t="s">
        <v>692</v>
      </c>
      <c r="D150" t="s">
        <v>1611</v>
      </c>
      <c r="F150" s="86">
        <v>26448</v>
      </c>
      <c r="G150" t="s">
        <v>756</v>
      </c>
      <c r="H150">
        <v>2784</v>
      </c>
      <c r="I150" t="s">
        <v>1341</v>
      </c>
    </row>
    <row r="151" spans="1:9">
      <c r="A151" s="71">
        <v>43900</v>
      </c>
      <c r="B151" t="s">
        <v>185</v>
      </c>
      <c r="D151" t="s">
        <v>1612</v>
      </c>
      <c r="G151" t="s">
        <v>756</v>
      </c>
      <c r="H151">
        <v>2888</v>
      </c>
      <c r="I151" t="s">
        <v>1381</v>
      </c>
    </row>
    <row r="152" spans="1:9">
      <c r="A152" s="71">
        <v>43900</v>
      </c>
      <c r="B152" t="s">
        <v>1602</v>
      </c>
      <c r="D152" t="s">
        <v>1613</v>
      </c>
      <c r="G152" t="s">
        <v>756</v>
      </c>
      <c r="H152">
        <v>2887</v>
      </c>
      <c r="I152" t="s">
        <v>1381</v>
      </c>
    </row>
    <row r="153" spans="1:9">
      <c r="A153" s="71">
        <v>43902</v>
      </c>
      <c r="B153" t="s">
        <v>567</v>
      </c>
      <c r="D153" t="s">
        <v>1614</v>
      </c>
      <c r="G153" t="s">
        <v>756</v>
      </c>
      <c r="I153" t="s">
        <v>1598</v>
      </c>
    </row>
    <row r="154" spans="1:9">
      <c r="A154" s="71">
        <v>43902</v>
      </c>
      <c r="B154" t="s">
        <v>1602</v>
      </c>
      <c r="D154" t="s">
        <v>1615</v>
      </c>
      <c r="G154" t="s">
        <v>756</v>
      </c>
      <c r="H154">
        <v>2891</v>
      </c>
      <c r="I154" t="s">
        <v>1381</v>
      </c>
    </row>
    <row r="155" spans="1:9">
      <c r="A155" s="71">
        <v>43906</v>
      </c>
      <c r="B155" t="s">
        <v>1573</v>
      </c>
      <c r="D155" t="s">
        <v>1616</v>
      </c>
      <c r="G155" t="s">
        <v>756</v>
      </c>
      <c r="H155">
        <v>2893</v>
      </c>
      <c r="I155" t="s">
        <v>1381</v>
      </c>
    </row>
    <row r="156" spans="1:9">
      <c r="A156" s="71">
        <v>43907</v>
      </c>
      <c r="B156" t="s">
        <v>1570</v>
      </c>
      <c r="D156" t="s">
        <v>1617</v>
      </c>
      <c r="G156" t="s">
        <v>756</v>
      </c>
      <c r="H156">
        <v>2895</v>
      </c>
      <c r="I156" t="s">
        <v>1381</v>
      </c>
    </row>
    <row r="157" spans="1:9">
      <c r="A157" s="71">
        <v>43907</v>
      </c>
      <c r="B157" t="s">
        <v>1573</v>
      </c>
      <c r="D157" t="s">
        <v>1618</v>
      </c>
      <c r="G157" t="s">
        <v>756</v>
      </c>
      <c r="H157">
        <v>2894</v>
      </c>
      <c r="I157" t="s">
        <v>1381</v>
      </c>
    </row>
    <row r="158" spans="1:9">
      <c r="A158" s="71">
        <v>43908</v>
      </c>
      <c r="B158" t="s">
        <v>1573</v>
      </c>
      <c r="D158" t="s">
        <v>1619</v>
      </c>
      <c r="G158" t="s">
        <v>756</v>
      </c>
      <c r="H158">
        <v>2896</v>
      </c>
      <c r="I158" t="s">
        <v>1381</v>
      </c>
    </row>
    <row r="159" spans="1:9">
      <c r="A159" s="71">
        <v>43909</v>
      </c>
      <c r="B159" t="s">
        <v>146</v>
      </c>
      <c r="D159" t="s">
        <v>1620</v>
      </c>
      <c r="G159" t="s">
        <v>756</v>
      </c>
      <c r="H159">
        <v>2357</v>
      </c>
      <c r="I159" t="s">
        <v>1487</v>
      </c>
    </row>
    <row r="160" spans="1:9">
      <c r="A160" s="71">
        <v>43910</v>
      </c>
      <c r="B160" t="s">
        <v>163</v>
      </c>
      <c r="D160" t="s">
        <v>1621</v>
      </c>
      <c r="F160" s="86">
        <v>4380</v>
      </c>
      <c r="G160" t="s">
        <v>756</v>
      </c>
      <c r="H160">
        <v>2798</v>
      </c>
      <c r="I160" t="s">
        <v>1341</v>
      </c>
    </row>
    <row r="161" spans="1:9">
      <c r="A161" s="71">
        <v>43913</v>
      </c>
      <c r="B161" t="s">
        <v>1573</v>
      </c>
      <c r="D161" t="s">
        <v>1622</v>
      </c>
      <c r="G161" t="s">
        <v>756</v>
      </c>
      <c r="H161">
        <v>2900</v>
      </c>
      <c r="I161" t="s">
        <v>1381</v>
      </c>
    </row>
    <row r="162" spans="1:9">
      <c r="A162" s="71">
        <v>43913</v>
      </c>
      <c r="B162" t="s">
        <v>162</v>
      </c>
      <c r="D162" t="s">
        <v>1623</v>
      </c>
      <c r="G162" t="s">
        <v>756</v>
      </c>
      <c r="H162">
        <v>3251</v>
      </c>
      <c r="I162" t="s">
        <v>1381</v>
      </c>
    </row>
    <row r="163" spans="1:9">
      <c r="A163" s="71">
        <v>43915</v>
      </c>
      <c r="B163" t="s">
        <v>1573</v>
      </c>
      <c r="D163" t="s">
        <v>1624</v>
      </c>
      <c r="G163" t="s">
        <v>756</v>
      </c>
      <c r="H163">
        <v>3254</v>
      </c>
      <c r="I163" t="s">
        <v>1381</v>
      </c>
    </row>
    <row r="164" spans="1:9">
      <c r="A164" s="71">
        <v>43917</v>
      </c>
      <c r="B164" t="s">
        <v>1573</v>
      </c>
      <c r="D164" t="s">
        <v>1625</v>
      </c>
      <c r="G164" t="s">
        <v>756</v>
      </c>
      <c r="H164">
        <v>3256</v>
      </c>
      <c r="I164" t="s">
        <v>1381</v>
      </c>
    </row>
    <row r="165" spans="1:9">
      <c r="A165" s="71">
        <v>43920</v>
      </c>
      <c r="B165" t="s">
        <v>1573</v>
      </c>
      <c r="D165" t="s">
        <v>1626</v>
      </c>
      <c r="G165" t="s">
        <v>756</v>
      </c>
      <c r="H165">
        <v>3258</v>
      </c>
      <c r="I165" t="s">
        <v>1381</v>
      </c>
    </row>
    <row r="166" spans="1:9">
      <c r="A166" s="71">
        <v>43921</v>
      </c>
      <c r="B166" t="s">
        <v>1573</v>
      </c>
      <c r="D166" t="s">
        <v>1627</v>
      </c>
      <c r="G166" t="s">
        <v>756</v>
      </c>
      <c r="H166">
        <v>3257</v>
      </c>
      <c r="I166" t="s">
        <v>1381</v>
      </c>
    </row>
    <row r="167" spans="1:9">
      <c r="A167" s="71">
        <v>43921</v>
      </c>
      <c r="B167" t="s">
        <v>1573</v>
      </c>
      <c r="D167" t="s">
        <v>1628</v>
      </c>
      <c r="G167" t="s">
        <v>756</v>
      </c>
      <c r="H167">
        <v>3257</v>
      </c>
      <c r="I167" t="s">
        <v>1381</v>
      </c>
    </row>
    <row r="168" spans="1:9">
      <c r="A168" s="71">
        <v>43923</v>
      </c>
      <c r="B168" t="s">
        <v>1570</v>
      </c>
      <c r="D168" t="s">
        <v>1629</v>
      </c>
      <c r="G168" t="s">
        <v>756</v>
      </c>
      <c r="H168">
        <v>3260</v>
      </c>
      <c r="I168" t="s">
        <v>1381</v>
      </c>
    </row>
    <row r="169" spans="1:9">
      <c r="A169" s="71">
        <v>43926</v>
      </c>
      <c r="B169" t="s">
        <v>1630</v>
      </c>
      <c r="D169" t="s">
        <v>1631</v>
      </c>
      <c r="F169" s="86">
        <v>10372</v>
      </c>
      <c r="G169" t="s">
        <v>756</v>
      </c>
      <c r="H169">
        <v>2363</v>
      </c>
      <c r="I169" t="s">
        <v>1596</v>
      </c>
    </row>
    <row r="170" spans="1:9">
      <c r="A170" s="71">
        <v>43927</v>
      </c>
      <c r="B170" t="s">
        <v>157</v>
      </c>
      <c r="D170" t="s">
        <v>1632</v>
      </c>
      <c r="G170" t="s">
        <v>756</v>
      </c>
      <c r="H170">
        <v>3262</v>
      </c>
      <c r="I170" t="s">
        <v>1381</v>
      </c>
    </row>
    <row r="171" spans="1:9">
      <c r="A171" s="71">
        <v>43928</v>
      </c>
      <c r="B171" t="s">
        <v>318</v>
      </c>
      <c r="D171" t="s">
        <v>1633</v>
      </c>
      <c r="G171" t="s">
        <v>756</v>
      </c>
      <c r="H171">
        <v>3261</v>
      </c>
      <c r="I171" t="s">
        <v>1381</v>
      </c>
    </row>
    <row r="172" spans="1:9">
      <c r="A172" s="71">
        <v>43934</v>
      </c>
      <c r="B172" t="s">
        <v>183</v>
      </c>
      <c r="D172" t="s">
        <v>1634</v>
      </c>
      <c r="G172" t="s">
        <v>756</v>
      </c>
      <c r="H172">
        <v>3265</v>
      </c>
      <c r="I172" t="s">
        <v>1381</v>
      </c>
    </row>
    <row r="173" spans="1:9">
      <c r="A173" s="71">
        <v>43935</v>
      </c>
      <c r="B173" t="s">
        <v>1635</v>
      </c>
      <c r="D173" t="s">
        <v>1636</v>
      </c>
      <c r="G173" t="s">
        <v>756</v>
      </c>
      <c r="H173">
        <v>3266</v>
      </c>
      <c r="I173" t="s">
        <v>1381</v>
      </c>
    </row>
    <row r="174" spans="1:9">
      <c r="A174" s="71">
        <v>43938</v>
      </c>
      <c r="B174" t="s">
        <v>338</v>
      </c>
      <c r="D174" t="s">
        <v>1637</v>
      </c>
      <c r="F174" s="86">
        <v>21320</v>
      </c>
      <c r="G174" t="s">
        <v>756</v>
      </c>
      <c r="H174">
        <v>2359</v>
      </c>
      <c r="I174" t="s">
        <v>1487</v>
      </c>
    </row>
    <row r="175" spans="1:9">
      <c r="A175" s="71">
        <v>43939</v>
      </c>
      <c r="B175" t="s">
        <v>342</v>
      </c>
      <c r="D175" t="s">
        <v>1638</v>
      </c>
      <c r="F175" s="86">
        <v>10504</v>
      </c>
      <c r="G175" t="s">
        <v>756</v>
      </c>
      <c r="H175">
        <v>2461</v>
      </c>
      <c r="I175" t="s">
        <v>1341</v>
      </c>
    </row>
    <row r="176" spans="1:9">
      <c r="A176" s="71">
        <v>43941</v>
      </c>
      <c r="B176" t="s">
        <v>185</v>
      </c>
      <c r="D176" t="s">
        <v>1639</v>
      </c>
      <c r="G176" t="s">
        <v>756</v>
      </c>
      <c r="H176">
        <v>3268</v>
      </c>
      <c r="I176" t="s">
        <v>1381</v>
      </c>
    </row>
    <row r="177" spans="1:9">
      <c r="A177" s="71">
        <v>43943</v>
      </c>
      <c r="B177" t="s">
        <v>1602</v>
      </c>
      <c r="D177" t="s">
        <v>1640</v>
      </c>
      <c r="G177" t="s">
        <v>756</v>
      </c>
      <c r="H177">
        <v>2370</v>
      </c>
      <c r="I177" t="s">
        <v>1381</v>
      </c>
    </row>
    <row r="178" spans="1:9">
      <c r="A178" s="71">
        <v>43948</v>
      </c>
      <c r="B178" t="s">
        <v>1602</v>
      </c>
      <c r="D178" t="s">
        <v>1641</v>
      </c>
      <c r="G178" t="s">
        <v>756</v>
      </c>
      <c r="H178">
        <v>3274</v>
      </c>
      <c r="I178" t="s">
        <v>1381</v>
      </c>
    </row>
    <row r="179" spans="1:9">
      <c r="A179" s="71">
        <v>43950</v>
      </c>
      <c r="B179" t="s">
        <v>324</v>
      </c>
      <c r="D179" t="s">
        <v>1642</v>
      </c>
      <c r="F179" s="86">
        <v>11306</v>
      </c>
      <c r="G179" t="s">
        <v>756</v>
      </c>
      <c r="H179">
        <v>3275</v>
      </c>
      <c r="I179" t="s">
        <v>1381</v>
      </c>
    </row>
    <row r="180" spans="1:9">
      <c r="A180" s="71">
        <v>43951</v>
      </c>
      <c r="B180" t="s">
        <v>260</v>
      </c>
      <c r="D180" t="s">
        <v>1643</v>
      </c>
      <c r="F180" s="86">
        <v>5542</v>
      </c>
      <c r="G180" t="s">
        <v>756</v>
      </c>
      <c r="H180">
        <v>2470</v>
      </c>
      <c r="I180" t="s">
        <v>1594</v>
      </c>
    </row>
    <row r="181" spans="1:9">
      <c r="A181" s="71">
        <v>43955</v>
      </c>
      <c r="B181" t="s">
        <v>1570</v>
      </c>
      <c r="D181" t="s">
        <v>1644</v>
      </c>
      <c r="G181" t="s">
        <v>756</v>
      </c>
      <c r="I181" t="s">
        <v>1598</v>
      </c>
    </row>
    <row r="182" spans="1:9">
      <c r="A182" s="71">
        <v>43956</v>
      </c>
      <c r="B182" t="s">
        <v>1570</v>
      </c>
      <c r="D182" t="s">
        <v>1645</v>
      </c>
      <c r="G182" t="s">
        <v>756</v>
      </c>
      <c r="H182">
        <v>3277</v>
      </c>
      <c r="I182" t="s">
        <v>1381</v>
      </c>
    </row>
    <row r="183" spans="1:9">
      <c r="A183" s="71">
        <v>43956</v>
      </c>
      <c r="B183" t="s">
        <v>334</v>
      </c>
      <c r="D183" t="s">
        <v>1646</v>
      </c>
      <c r="F183" s="86">
        <v>16614</v>
      </c>
      <c r="G183" t="s">
        <v>756</v>
      </c>
      <c r="H183">
        <v>2467</v>
      </c>
      <c r="I183" t="s">
        <v>1594</v>
      </c>
    </row>
    <row r="184" spans="1:9">
      <c r="A184" s="71">
        <v>43957</v>
      </c>
      <c r="B184" t="s">
        <v>322</v>
      </c>
      <c r="D184" t="s">
        <v>1647</v>
      </c>
      <c r="G184" t="s">
        <v>756</v>
      </c>
      <c r="I184" t="s">
        <v>1598</v>
      </c>
    </row>
    <row r="185" spans="1:9">
      <c r="A185" s="71">
        <v>43957</v>
      </c>
      <c r="B185" t="s">
        <v>334</v>
      </c>
      <c r="D185" t="s">
        <v>1648</v>
      </c>
      <c r="F185" s="86">
        <v>16615</v>
      </c>
      <c r="G185" t="s">
        <v>756</v>
      </c>
      <c r="H185">
        <v>2468</v>
      </c>
      <c r="I185" t="s">
        <v>1594</v>
      </c>
    </row>
    <row r="186" spans="1:9">
      <c r="A186" s="71">
        <v>43957</v>
      </c>
      <c r="B186" t="s">
        <v>330</v>
      </c>
      <c r="D186" t="s">
        <v>1649</v>
      </c>
      <c r="F186" s="86">
        <v>12606</v>
      </c>
      <c r="G186" t="s">
        <v>756</v>
      </c>
      <c r="H186">
        <v>2472</v>
      </c>
      <c r="I186" t="s">
        <v>1594</v>
      </c>
    </row>
    <row r="187" spans="1:9">
      <c r="A187" s="71">
        <v>43958</v>
      </c>
      <c r="B187" t="s">
        <v>334</v>
      </c>
      <c r="D187" t="s">
        <v>1650</v>
      </c>
      <c r="F187" s="86">
        <v>16616</v>
      </c>
      <c r="G187" t="s">
        <v>756</v>
      </c>
      <c r="H187">
        <v>2476</v>
      </c>
      <c r="I187" t="s">
        <v>1594</v>
      </c>
    </row>
    <row r="188" spans="1:9">
      <c r="A188" s="71">
        <v>43959</v>
      </c>
      <c r="B188" t="s">
        <v>334</v>
      </c>
      <c r="D188" t="s">
        <v>1651</v>
      </c>
      <c r="F188" s="86">
        <v>16616</v>
      </c>
      <c r="G188" t="s">
        <v>756</v>
      </c>
      <c r="H188">
        <v>2475</v>
      </c>
      <c r="I188" t="s">
        <v>1594</v>
      </c>
    </row>
    <row r="189" spans="1:9">
      <c r="A189" s="71">
        <v>43959</v>
      </c>
      <c r="B189" t="s">
        <v>260</v>
      </c>
      <c r="D189" t="s">
        <v>1652</v>
      </c>
      <c r="F189" s="86">
        <v>5546</v>
      </c>
      <c r="G189" t="s">
        <v>756</v>
      </c>
      <c r="H189">
        <v>2474</v>
      </c>
      <c r="I189" t="s">
        <v>1594</v>
      </c>
    </row>
    <row r="190" spans="1:9">
      <c r="A190" s="71">
        <v>43959</v>
      </c>
      <c r="B190" t="s">
        <v>330</v>
      </c>
      <c r="D190" t="s">
        <v>1653</v>
      </c>
      <c r="F190" s="86">
        <v>12606</v>
      </c>
      <c r="G190" t="s">
        <v>756</v>
      </c>
      <c r="H190">
        <v>2473</v>
      </c>
      <c r="I190" t="s">
        <v>1594</v>
      </c>
    </row>
    <row r="191" spans="1:9">
      <c r="A191" s="71">
        <v>43960</v>
      </c>
      <c r="B191" t="s">
        <v>260</v>
      </c>
      <c r="D191" t="s">
        <v>1654</v>
      </c>
      <c r="F191" s="86">
        <v>5546</v>
      </c>
      <c r="G191" t="s">
        <v>756</v>
      </c>
      <c r="H191">
        <v>2479</v>
      </c>
      <c r="I191" t="s">
        <v>1594</v>
      </c>
    </row>
    <row r="192" spans="1:9">
      <c r="A192" s="71">
        <v>43962</v>
      </c>
      <c r="B192" t="s">
        <v>1573</v>
      </c>
      <c r="D192" t="s">
        <v>1655</v>
      </c>
      <c r="F192" s="86">
        <v>1109</v>
      </c>
      <c r="G192" t="s">
        <v>756</v>
      </c>
      <c r="H192">
        <v>2364</v>
      </c>
      <c r="I192" t="s">
        <v>1487</v>
      </c>
    </row>
    <row r="193" spans="1:9">
      <c r="A193" s="71">
        <v>43965</v>
      </c>
      <c r="B193" t="s">
        <v>695</v>
      </c>
      <c r="D193" t="s">
        <v>1656</v>
      </c>
      <c r="G193" t="s">
        <v>756</v>
      </c>
      <c r="H193">
        <v>2108</v>
      </c>
      <c r="I193" t="s">
        <v>1657</v>
      </c>
    </row>
    <row r="194" spans="1:9">
      <c r="A194" s="71">
        <v>43966</v>
      </c>
      <c r="B194" t="s">
        <v>143</v>
      </c>
      <c r="D194" t="s">
        <v>1658</v>
      </c>
      <c r="G194" t="s">
        <v>756</v>
      </c>
      <c r="I194" t="s">
        <v>1598</v>
      </c>
    </row>
    <row r="195" spans="1:9">
      <c r="A195" s="71">
        <v>43966</v>
      </c>
      <c r="B195" t="s">
        <v>143</v>
      </c>
      <c r="D195" t="s">
        <v>1659</v>
      </c>
      <c r="G195" t="s">
        <v>756</v>
      </c>
      <c r="H195">
        <v>3280.1</v>
      </c>
      <c r="I195" t="s">
        <v>1381</v>
      </c>
    </row>
    <row r="196" spans="1:9">
      <c r="A196" s="71">
        <v>43966</v>
      </c>
      <c r="B196" t="s">
        <v>176</v>
      </c>
      <c r="D196" t="s">
        <v>1660</v>
      </c>
      <c r="G196" t="s">
        <v>756</v>
      </c>
      <c r="H196">
        <v>2365</v>
      </c>
      <c r="I196" t="s">
        <v>1487</v>
      </c>
    </row>
    <row r="197" spans="1:9">
      <c r="A197" s="71">
        <v>43969</v>
      </c>
      <c r="B197" t="s">
        <v>334</v>
      </c>
      <c r="D197" t="s">
        <v>1661</v>
      </c>
      <c r="F197" s="86">
        <v>16668</v>
      </c>
      <c r="G197" t="s">
        <v>756</v>
      </c>
      <c r="H197">
        <v>2831</v>
      </c>
      <c r="I197" t="s">
        <v>1594</v>
      </c>
    </row>
    <row r="198" spans="1:9">
      <c r="A198" s="71">
        <v>43969</v>
      </c>
      <c r="B198" t="s">
        <v>1602</v>
      </c>
      <c r="D198" t="s">
        <v>1662</v>
      </c>
      <c r="G198" t="s">
        <v>756</v>
      </c>
      <c r="H198">
        <v>3281</v>
      </c>
      <c r="I198" t="s">
        <v>1381</v>
      </c>
    </row>
    <row r="199" spans="1:9">
      <c r="A199" s="71">
        <v>43969</v>
      </c>
      <c r="B199" t="s">
        <v>152</v>
      </c>
      <c r="D199" t="s">
        <v>1663</v>
      </c>
      <c r="F199" s="86">
        <v>3132</v>
      </c>
      <c r="G199" t="s">
        <v>756</v>
      </c>
      <c r="H199">
        <v>2829</v>
      </c>
      <c r="I199" t="s">
        <v>1594</v>
      </c>
    </row>
    <row r="200" spans="1:9">
      <c r="A200" s="71">
        <v>43971</v>
      </c>
      <c r="B200" t="s">
        <v>691</v>
      </c>
      <c r="D200" t="s">
        <v>1664</v>
      </c>
      <c r="F200" s="86">
        <v>1621</v>
      </c>
      <c r="G200" t="s">
        <v>756</v>
      </c>
      <c r="H200">
        <v>2830</v>
      </c>
      <c r="I200" t="s">
        <v>1594</v>
      </c>
    </row>
    <row r="201" spans="1:9">
      <c r="A201" s="71">
        <v>43976</v>
      </c>
      <c r="B201" t="s">
        <v>776</v>
      </c>
      <c r="D201" t="s">
        <v>1665</v>
      </c>
      <c r="G201" t="s">
        <v>756</v>
      </c>
      <c r="H201">
        <v>2012</v>
      </c>
      <c r="I201" t="s">
        <v>1596</v>
      </c>
    </row>
    <row r="202" spans="1:9">
      <c r="A202" s="71">
        <v>43977</v>
      </c>
      <c r="B202" t="s">
        <v>1573</v>
      </c>
      <c r="D202" t="s">
        <v>1666</v>
      </c>
      <c r="F202" s="86">
        <v>11518</v>
      </c>
      <c r="G202" t="s">
        <v>756</v>
      </c>
      <c r="H202">
        <v>2484</v>
      </c>
      <c r="I202" t="s">
        <v>1341</v>
      </c>
    </row>
    <row r="203" spans="1:9">
      <c r="A203" s="71">
        <v>43978</v>
      </c>
      <c r="B203" t="s">
        <v>776</v>
      </c>
      <c r="D203" t="s">
        <v>1667</v>
      </c>
      <c r="F203" s="86">
        <v>6436</v>
      </c>
      <c r="G203" t="s">
        <v>756</v>
      </c>
      <c r="H203">
        <v>2837</v>
      </c>
      <c r="I203" t="s">
        <v>1594</v>
      </c>
    </row>
    <row r="204" spans="1:9">
      <c r="A204" s="71">
        <v>43979</v>
      </c>
      <c r="B204" t="s">
        <v>146</v>
      </c>
      <c r="D204" t="s">
        <v>1668</v>
      </c>
      <c r="G204" t="s">
        <v>756</v>
      </c>
      <c r="H204">
        <v>3283</v>
      </c>
      <c r="I204" t="s">
        <v>1381</v>
      </c>
    </row>
    <row r="205" spans="1:9">
      <c r="A205" s="71">
        <v>43980</v>
      </c>
      <c r="B205" t="s">
        <v>334</v>
      </c>
      <c r="D205" t="s">
        <v>1669</v>
      </c>
      <c r="F205" s="86">
        <v>16692</v>
      </c>
      <c r="G205" t="s">
        <v>756</v>
      </c>
      <c r="H205">
        <v>3284</v>
      </c>
      <c r="I205" t="s">
        <v>1381</v>
      </c>
    </row>
    <row r="206" spans="1:9">
      <c r="A206" s="71">
        <v>43983</v>
      </c>
      <c r="B206" t="s">
        <v>1592</v>
      </c>
      <c r="D206" t="s">
        <v>1670</v>
      </c>
      <c r="F206" s="86">
        <v>2015</v>
      </c>
      <c r="G206" t="s">
        <v>756</v>
      </c>
      <c r="H206">
        <v>2015</v>
      </c>
      <c r="I206" t="s">
        <v>1596</v>
      </c>
    </row>
    <row r="207" spans="1:9">
      <c r="A207" s="71">
        <v>43983</v>
      </c>
      <c r="B207" t="s">
        <v>775</v>
      </c>
      <c r="D207" t="s">
        <v>1671</v>
      </c>
      <c r="F207" s="86">
        <v>6380</v>
      </c>
      <c r="G207" t="s">
        <v>756</v>
      </c>
      <c r="H207">
        <v>2013</v>
      </c>
      <c r="I207" t="s">
        <v>1596</v>
      </c>
    </row>
    <row r="208" spans="1:9">
      <c r="A208" s="71">
        <v>43985</v>
      </c>
      <c r="B208" t="s">
        <v>1672</v>
      </c>
      <c r="D208" t="s">
        <v>1673</v>
      </c>
      <c r="G208" t="s">
        <v>756</v>
      </c>
      <c r="H208">
        <v>3287</v>
      </c>
      <c r="I208" t="s">
        <v>1381</v>
      </c>
    </row>
    <row r="209" spans="1:9">
      <c r="A209" s="71">
        <v>43986</v>
      </c>
      <c r="B209" t="s">
        <v>334</v>
      </c>
      <c r="D209" t="s">
        <v>1674</v>
      </c>
      <c r="F209" s="86">
        <v>26993</v>
      </c>
      <c r="G209" t="s">
        <v>756</v>
      </c>
      <c r="H209">
        <v>3289</v>
      </c>
      <c r="I209" t="s">
        <v>1381</v>
      </c>
    </row>
    <row r="210" spans="1:9">
      <c r="A210" s="71">
        <v>43986</v>
      </c>
      <c r="B210" t="s">
        <v>143</v>
      </c>
      <c r="D210" t="s">
        <v>1675</v>
      </c>
      <c r="F210" s="86">
        <v>163169</v>
      </c>
      <c r="G210" t="s">
        <v>756</v>
      </c>
      <c r="H210">
        <v>3288</v>
      </c>
      <c r="I210" t="s">
        <v>1381</v>
      </c>
    </row>
    <row r="211" spans="1:9">
      <c r="A211" s="71">
        <v>43987</v>
      </c>
      <c r="B211" t="s">
        <v>1672</v>
      </c>
      <c r="D211" t="s">
        <v>1676</v>
      </c>
      <c r="G211" t="s">
        <v>756</v>
      </c>
      <c r="H211">
        <v>3290</v>
      </c>
      <c r="I211" t="s">
        <v>1381</v>
      </c>
    </row>
    <row r="212" spans="1:9">
      <c r="A212" s="71">
        <v>43987</v>
      </c>
      <c r="B212" t="s">
        <v>1677</v>
      </c>
      <c r="D212" t="s">
        <v>1678</v>
      </c>
      <c r="G212" t="s">
        <v>756</v>
      </c>
      <c r="H212">
        <v>2843</v>
      </c>
      <c r="I212" t="s">
        <v>1594</v>
      </c>
    </row>
    <row r="213" spans="1:9">
      <c r="A213" s="71">
        <v>43991</v>
      </c>
      <c r="B213" t="s">
        <v>183</v>
      </c>
      <c r="D213" t="s">
        <v>1679</v>
      </c>
      <c r="G213" t="s">
        <v>756</v>
      </c>
      <c r="H213">
        <v>2843.1</v>
      </c>
      <c r="I213" t="s">
        <v>1594</v>
      </c>
    </row>
    <row r="214" spans="1:9">
      <c r="A214" s="71">
        <v>43991</v>
      </c>
      <c r="B214" t="s">
        <v>324</v>
      </c>
      <c r="D214" t="s">
        <v>1680</v>
      </c>
      <c r="F214" s="86">
        <v>11451</v>
      </c>
      <c r="G214" t="s">
        <v>756</v>
      </c>
      <c r="H214">
        <v>2842</v>
      </c>
      <c r="I214" t="s">
        <v>1594</v>
      </c>
    </row>
    <row r="215" spans="1:9">
      <c r="A215" s="71">
        <v>43993</v>
      </c>
      <c r="B215" t="s">
        <v>800</v>
      </c>
      <c r="D215" t="s">
        <v>1681</v>
      </c>
      <c r="F215" s="86">
        <v>3640</v>
      </c>
      <c r="G215" t="s">
        <v>756</v>
      </c>
      <c r="H215">
        <v>2846</v>
      </c>
      <c r="I215" t="s">
        <v>1594</v>
      </c>
    </row>
    <row r="216" spans="1:9">
      <c r="A216" s="71">
        <v>43993</v>
      </c>
      <c r="B216" t="s">
        <v>1592</v>
      </c>
      <c r="D216" t="s">
        <v>1682</v>
      </c>
      <c r="F216" s="86">
        <v>6910</v>
      </c>
      <c r="G216" t="s">
        <v>756</v>
      </c>
      <c r="H216">
        <v>2844</v>
      </c>
      <c r="I216" t="s">
        <v>1594</v>
      </c>
    </row>
    <row r="217" spans="1:9">
      <c r="A217" s="71">
        <v>43994</v>
      </c>
      <c r="B217" t="s">
        <v>324</v>
      </c>
      <c r="D217" t="s">
        <v>1683</v>
      </c>
      <c r="F217" s="86">
        <v>11470</v>
      </c>
      <c r="G217" t="s">
        <v>756</v>
      </c>
      <c r="H217">
        <v>2847</v>
      </c>
      <c r="I217" t="s">
        <v>1594</v>
      </c>
    </row>
    <row r="218" spans="1:9">
      <c r="A218" s="71">
        <v>43997</v>
      </c>
      <c r="B218" t="s">
        <v>703</v>
      </c>
      <c r="D218" t="s">
        <v>1684</v>
      </c>
      <c r="F218" s="86">
        <v>10554</v>
      </c>
      <c r="G218" t="s">
        <v>756</v>
      </c>
      <c r="H218">
        <v>3419.1</v>
      </c>
      <c r="I218" t="s">
        <v>1341</v>
      </c>
    </row>
    <row r="219" spans="1:9">
      <c r="A219" s="71">
        <v>43997</v>
      </c>
      <c r="B219" t="s">
        <v>1685</v>
      </c>
      <c r="D219" t="s">
        <v>1686</v>
      </c>
      <c r="G219" t="s">
        <v>756</v>
      </c>
      <c r="H219">
        <v>3292</v>
      </c>
      <c r="I219" t="s">
        <v>1381</v>
      </c>
    </row>
    <row r="220" spans="1:9">
      <c r="A220" s="71">
        <v>43998</v>
      </c>
      <c r="B220" t="s">
        <v>776</v>
      </c>
      <c r="D220" t="s">
        <v>1687</v>
      </c>
      <c r="F220" s="86">
        <v>6540</v>
      </c>
      <c r="G220" t="s">
        <v>756</v>
      </c>
      <c r="H220">
        <v>2850</v>
      </c>
      <c r="I220" t="s">
        <v>1594</v>
      </c>
    </row>
    <row r="221" spans="1:9">
      <c r="A221" s="71">
        <v>43999</v>
      </c>
      <c r="B221" t="s">
        <v>185</v>
      </c>
      <c r="D221" t="s">
        <v>1688</v>
      </c>
      <c r="G221" t="s">
        <v>756</v>
      </c>
      <c r="H221">
        <v>3293</v>
      </c>
      <c r="I221" t="s">
        <v>1381</v>
      </c>
    </row>
    <row r="222" spans="1:9">
      <c r="A222" s="71">
        <v>43999</v>
      </c>
      <c r="B222" t="s">
        <v>1635</v>
      </c>
      <c r="D222" t="s">
        <v>1689</v>
      </c>
      <c r="G222" t="s">
        <v>756</v>
      </c>
      <c r="H222">
        <v>2367</v>
      </c>
      <c r="I222" t="s">
        <v>1487</v>
      </c>
    </row>
    <row r="223" spans="1:9">
      <c r="A223" s="71">
        <v>43999</v>
      </c>
      <c r="B223" t="s">
        <v>685</v>
      </c>
      <c r="D223" t="s">
        <v>1690</v>
      </c>
      <c r="F223" s="86">
        <v>6577</v>
      </c>
      <c r="G223" t="s">
        <v>756</v>
      </c>
      <c r="H223">
        <v>2204</v>
      </c>
      <c r="I223" t="s">
        <v>1594</v>
      </c>
    </row>
    <row r="224" spans="1:9">
      <c r="A224" s="71">
        <v>43999</v>
      </c>
      <c r="B224" t="s">
        <v>1592</v>
      </c>
      <c r="D224" t="s">
        <v>1691</v>
      </c>
      <c r="F224" s="86">
        <v>6939</v>
      </c>
      <c r="G224" t="s">
        <v>756</v>
      </c>
      <c r="H224">
        <v>2203</v>
      </c>
      <c r="I224" t="s">
        <v>1594</v>
      </c>
    </row>
    <row r="225" spans="1:9">
      <c r="A225" s="71">
        <v>44000</v>
      </c>
      <c r="B225" t="s">
        <v>1685</v>
      </c>
      <c r="D225" t="s">
        <v>1692</v>
      </c>
      <c r="G225" t="s">
        <v>756</v>
      </c>
      <c r="H225">
        <v>3294</v>
      </c>
      <c r="I225" t="s">
        <v>1381</v>
      </c>
    </row>
    <row r="226" spans="1:9">
      <c r="A226" s="71">
        <v>44000</v>
      </c>
      <c r="B226" t="s">
        <v>342</v>
      </c>
      <c r="D226" t="s">
        <v>1693</v>
      </c>
      <c r="G226" t="s">
        <v>756</v>
      </c>
      <c r="I226" t="s">
        <v>1694</v>
      </c>
    </row>
    <row r="227" spans="1:9">
      <c r="A227" s="71">
        <v>44002</v>
      </c>
      <c r="B227" t="s">
        <v>180</v>
      </c>
      <c r="D227" t="s">
        <v>1695</v>
      </c>
      <c r="G227" t="s">
        <v>756</v>
      </c>
      <c r="H227">
        <v>2369</v>
      </c>
      <c r="I227" t="s">
        <v>1487</v>
      </c>
    </row>
    <row r="228" spans="1:9">
      <c r="A228" s="71">
        <v>44004</v>
      </c>
      <c r="B228" t="s">
        <v>185</v>
      </c>
      <c r="D228" t="s">
        <v>1696</v>
      </c>
      <c r="G228" t="s">
        <v>756</v>
      </c>
      <c r="H228">
        <v>3296</v>
      </c>
      <c r="I228" t="s">
        <v>1381</v>
      </c>
    </row>
    <row r="229" spans="1:9">
      <c r="A229" s="71">
        <v>44004</v>
      </c>
      <c r="B229" t="s">
        <v>1573</v>
      </c>
      <c r="D229" t="s">
        <v>1697</v>
      </c>
      <c r="F229" s="86">
        <v>1270</v>
      </c>
      <c r="G229" t="s">
        <v>756</v>
      </c>
      <c r="H229">
        <v>3295</v>
      </c>
      <c r="I229" t="s">
        <v>1381</v>
      </c>
    </row>
    <row r="230" spans="1:9">
      <c r="A230" s="71">
        <v>44004</v>
      </c>
      <c r="B230" t="s">
        <v>786</v>
      </c>
      <c r="D230" t="s">
        <v>1698</v>
      </c>
      <c r="G230" t="s">
        <v>756</v>
      </c>
      <c r="H230">
        <v>2252</v>
      </c>
      <c r="I230" t="s">
        <v>1594</v>
      </c>
    </row>
    <row r="231" spans="1:9">
      <c r="A231" s="71">
        <v>44005</v>
      </c>
      <c r="B231" t="s">
        <v>1573</v>
      </c>
      <c r="D231" t="s">
        <v>1699</v>
      </c>
      <c r="G231" t="s">
        <v>756</v>
      </c>
      <c r="H231">
        <v>3298</v>
      </c>
      <c r="I231" t="s">
        <v>1381</v>
      </c>
    </row>
    <row r="232" spans="1:9">
      <c r="A232" s="71">
        <v>44005</v>
      </c>
      <c r="B232" t="s">
        <v>1592</v>
      </c>
      <c r="D232" t="s">
        <v>1700</v>
      </c>
      <c r="F232" s="86">
        <v>6342</v>
      </c>
      <c r="G232" t="s">
        <v>756</v>
      </c>
      <c r="H232">
        <v>2209</v>
      </c>
      <c r="I232" t="s">
        <v>1594</v>
      </c>
    </row>
    <row r="233" spans="1:9">
      <c r="A233" s="71">
        <v>44006</v>
      </c>
      <c r="B233" t="s">
        <v>1573</v>
      </c>
      <c r="D233" t="s">
        <v>1701</v>
      </c>
      <c r="G233" t="s">
        <v>756</v>
      </c>
      <c r="H233">
        <v>3299</v>
      </c>
      <c r="I233" t="s">
        <v>1381</v>
      </c>
    </row>
    <row r="234" spans="1:9">
      <c r="A234" s="71">
        <v>44007</v>
      </c>
      <c r="B234" t="s">
        <v>185</v>
      </c>
      <c r="D234" t="s">
        <v>1702</v>
      </c>
      <c r="G234" t="s">
        <v>756</v>
      </c>
      <c r="H234">
        <v>3401</v>
      </c>
      <c r="I234" t="s">
        <v>1381</v>
      </c>
    </row>
    <row r="235" spans="1:9">
      <c r="A235" s="71">
        <v>44012</v>
      </c>
      <c r="B235" t="s">
        <v>1573</v>
      </c>
      <c r="D235" t="s">
        <v>1703</v>
      </c>
      <c r="G235" t="s">
        <v>756</v>
      </c>
      <c r="H235">
        <v>3403</v>
      </c>
      <c r="I235" t="s">
        <v>1381</v>
      </c>
    </row>
    <row r="236" spans="1:9">
      <c r="A236" s="71">
        <v>44012</v>
      </c>
      <c r="B236" t="s">
        <v>775</v>
      </c>
      <c r="D236" t="s">
        <v>1704</v>
      </c>
      <c r="G236" t="s">
        <v>756</v>
      </c>
      <c r="H236">
        <v>3402</v>
      </c>
      <c r="I236" t="s">
        <v>1381</v>
      </c>
    </row>
    <row r="237" spans="1:9">
      <c r="A237" s="71">
        <v>44013</v>
      </c>
      <c r="B237" t="s">
        <v>1573</v>
      </c>
      <c r="D237" t="s">
        <v>1705</v>
      </c>
      <c r="G237" t="s">
        <v>756</v>
      </c>
      <c r="H237">
        <v>3405</v>
      </c>
      <c r="I237" t="s">
        <v>1381</v>
      </c>
    </row>
    <row r="238" spans="1:9">
      <c r="A238" s="71">
        <v>44013</v>
      </c>
      <c r="B238" t="s">
        <v>1570</v>
      </c>
      <c r="D238" t="s">
        <v>1706</v>
      </c>
      <c r="F238" s="86">
        <v>10246</v>
      </c>
      <c r="G238" t="s">
        <v>756</v>
      </c>
      <c r="H238">
        <v>2439</v>
      </c>
      <c r="I238" t="s">
        <v>1330</v>
      </c>
    </row>
    <row r="239" spans="1:9">
      <c r="A239" s="71">
        <v>44013</v>
      </c>
      <c r="B239" t="s">
        <v>688</v>
      </c>
      <c r="D239" t="s">
        <v>1707</v>
      </c>
      <c r="F239" s="86">
        <v>6314</v>
      </c>
      <c r="G239" t="s">
        <v>756</v>
      </c>
      <c r="H239">
        <v>2437</v>
      </c>
      <c r="I239" t="s">
        <v>1330</v>
      </c>
    </row>
    <row r="240" spans="1:9">
      <c r="A240" s="71">
        <v>44013</v>
      </c>
      <c r="B240" t="s">
        <v>162</v>
      </c>
      <c r="D240" t="s">
        <v>1708</v>
      </c>
      <c r="G240" t="s">
        <v>756</v>
      </c>
      <c r="H240">
        <v>2440</v>
      </c>
      <c r="I240" t="s">
        <v>1330</v>
      </c>
    </row>
    <row r="241" spans="1:9" ht="30.75">
      <c r="A241" s="71">
        <v>44015</v>
      </c>
      <c r="B241" t="s">
        <v>175</v>
      </c>
      <c r="D241" t="s">
        <v>1709</v>
      </c>
      <c r="G241" t="s">
        <v>756</v>
      </c>
      <c r="H241" s="50" t="s">
        <v>1710</v>
      </c>
      <c r="I241" t="s">
        <v>1596</v>
      </c>
    </row>
    <row r="242" spans="1:9">
      <c r="A242" s="71">
        <v>44015</v>
      </c>
      <c r="B242" t="s">
        <v>692</v>
      </c>
      <c r="D242" t="s">
        <v>1711</v>
      </c>
      <c r="G242" t="s">
        <v>756</v>
      </c>
      <c r="H242">
        <v>3411</v>
      </c>
      <c r="I242" t="s">
        <v>1381</v>
      </c>
    </row>
    <row r="243" spans="1:9">
      <c r="A243" s="71">
        <v>44018</v>
      </c>
      <c r="B243" t="s">
        <v>691</v>
      </c>
      <c r="D243" t="s">
        <v>1712</v>
      </c>
      <c r="G243" t="s">
        <v>756</v>
      </c>
      <c r="H243">
        <v>2029</v>
      </c>
      <c r="I243" t="s">
        <v>1596</v>
      </c>
    </row>
    <row r="244" spans="1:9">
      <c r="A244" s="71">
        <v>44019</v>
      </c>
      <c r="B244" t="s">
        <v>1570</v>
      </c>
      <c r="D244" t="s">
        <v>1713</v>
      </c>
      <c r="G244" t="s">
        <v>756</v>
      </c>
      <c r="H244">
        <v>2120.1</v>
      </c>
      <c r="I244" t="s">
        <v>1347</v>
      </c>
    </row>
    <row r="245" spans="1:9">
      <c r="A245" s="71">
        <v>44019</v>
      </c>
      <c r="B245" t="s">
        <v>1570</v>
      </c>
      <c r="D245" t="s">
        <v>1714</v>
      </c>
      <c r="G245" t="s">
        <v>756</v>
      </c>
      <c r="H245">
        <v>2043</v>
      </c>
      <c r="I245" t="s">
        <v>1596</v>
      </c>
    </row>
    <row r="246" spans="1:9">
      <c r="A246" s="71">
        <v>44026</v>
      </c>
      <c r="B246" t="s">
        <v>1573</v>
      </c>
      <c r="D246" t="s">
        <v>1715</v>
      </c>
      <c r="F246" s="86">
        <v>4816</v>
      </c>
      <c r="G246" t="s">
        <v>756</v>
      </c>
      <c r="H246">
        <v>2391</v>
      </c>
      <c r="I246" t="s">
        <v>1487</v>
      </c>
    </row>
    <row r="247" spans="1:9">
      <c r="A247" s="71">
        <v>44027</v>
      </c>
      <c r="B247" t="s">
        <v>775</v>
      </c>
      <c r="D247" t="s">
        <v>1716</v>
      </c>
      <c r="G247" t="s">
        <v>756</v>
      </c>
      <c r="H247">
        <v>3429.1</v>
      </c>
      <c r="I247" t="s">
        <v>1381</v>
      </c>
    </row>
    <row r="248" spans="1:9">
      <c r="A248" s="71">
        <v>44027</v>
      </c>
      <c r="B248" t="s">
        <v>313</v>
      </c>
      <c r="D248" t="s">
        <v>1717</v>
      </c>
      <c r="F248" s="86">
        <v>17026</v>
      </c>
      <c r="G248" t="s">
        <v>756</v>
      </c>
      <c r="H248">
        <v>2392</v>
      </c>
      <c r="I248" t="s">
        <v>1487</v>
      </c>
    </row>
    <row r="249" spans="1:9">
      <c r="A249" s="71">
        <v>44029</v>
      </c>
      <c r="B249" t="s">
        <v>1592</v>
      </c>
      <c r="D249" t="s">
        <v>1718</v>
      </c>
      <c r="G249" t="s">
        <v>756</v>
      </c>
      <c r="H249">
        <v>3430.1</v>
      </c>
      <c r="I249" t="s">
        <v>1381</v>
      </c>
    </row>
    <row r="250" spans="1:9">
      <c r="A250" s="71">
        <v>44029</v>
      </c>
      <c r="B250" t="s">
        <v>779</v>
      </c>
      <c r="D250" t="s">
        <v>1719</v>
      </c>
      <c r="G250" t="s">
        <v>756</v>
      </c>
      <c r="H250">
        <v>2042</v>
      </c>
      <c r="I250" t="s">
        <v>1596</v>
      </c>
    </row>
    <row r="251" spans="1:9">
      <c r="A251" s="71">
        <v>44030</v>
      </c>
      <c r="B251" t="s">
        <v>160</v>
      </c>
      <c r="D251" t="s">
        <v>1720</v>
      </c>
      <c r="G251" t="s">
        <v>756</v>
      </c>
      <c r="H251">
        <v>2395</v>
      </c>
      <c r="I251" t="s">
        <v>1487</v>
      </c>
    </row>
    <row r="252" spans="1:9">
      <c r="A252" s="71">
        <v>44032</v>
      </c>
      <c r="B252" t="s">
        <v>1570</v>
      </c>
      <c r="D252" t="s">
        <v>1721</v>
      </c>
      <c r="G252" t="s">
        <v>756</v>
      </c>
      <c r="H252">
        <v>2398</v>
      </c>
      <c r="I252" t="s">
        <v>1347</v>
      </c>
    </row>
    <row r="253" spans="1:9">
      <c r="A253" s="71">
        <v>44033</v>
      </c>
      <c r="B253" t="s">
        <v>775</v>
      </c>
      <c r="D253" t="s">
        <v>1722</v>
      </c>
      <c r="G253" t="s">
        <v>756</v>
      </c>
      <c r="H253">
        <v>3434</v>
      </c>
      <c r="I253" t="s">
        <v>1381</v>
      </c>
    </row>
    <row r="254" spans="1:9">
      <c r="A254" s="71">
        <v>44035</v>
      </c>
      <c r="B254" t="s">
        <v>691</v>
      </c>
      <c r="D254" t="s">
        <v>1723</v>
      </c>
      <c r="G254" t="s">
        <v>756</v>
      </c>
      <c r="H254">
        <v>3439</v>
      </c>
      <c r="I254" t="s">
        <v>1381</v>
      </c>
    </row>
    <row r="255" spans="1:9">
      <c r="A255" s="71">
        <v>44035</v>
      </c>
      <c r="B255" t="s">
        <v>775</v>
      </c>
      <c r="D255" t="s">
        <v>1724</v>
      </c>
      <c r="G255" t="s">
        <v>756</v>
      </c>
      <c r="H255">
        <v>3437</v>
      </c>
      <c r="I255" t="s">
        <v>1381</v>
      </c>
    </row>
    <row r="256" spans="1:9">
      <c r="A256" s="71">
        <v>44035</v>
      </c>
      <c r="B256" t="s">
        <v>1592</v>
      </c>
      <c r="D256" t="s">
        <v>1725</v>
      </c>
      <c r="F256" s="86">
        <v>7067</v>
      </c>
      <c r="G256" t="s">
        <v>756</v>
      </c>
      <c r="H256">
        <v>3310</v>
      </c>
      <c r="I256" t="s">
        <v>1594</v>
      </c>
    </row>
    <row r="257" spans="1:9">
      <c r="A257" s="71">
        <v>44035</v>
      </c>
      <c r="B257" t="s">
        <v>1570</v>
      </c>
      <c r="D257" t="s">
        <v>1726</v>
      </c>
      <c r="F257" s="86">
        <v>10279</v>
      </c>
      <c r="G257" t="s">
        <v>756</v>
      </c>
      <c r="H257">
        <v>2044</v>
      </c>
      <c r="I257" t="s">
        <v>1596</v>
      </c>
    </row>
    <row r="258" spans="1:9">
      <c r="A258" s="71">
        <v>44039</v>
      </c>
      <c r="B258" t="s">
        <v>171</v>
      </c>
      <c r="D258" t="s">
        <v>1727</v>
      </c>
      <c r="F258" s="86">
        <v>1266</v>
      </c>
      <c r="G258" t="s">
        <v>756</v>
      </c>
      <c r="H258">
        <v>3514</v>
      </c>
      <c r="I258" t="s">
        <v>1347</v>
      </c>
    </row>
    <row r="259" spans="1:9">
      <c r="A259" s="71">
        <v>44039</v>
      </c>
      <c r="B259" t="s">
        <v>775</v>
      </c>
      <c r="D259" t="s">
        <v>1728</v>
      </c>
      <c r="G259" t="s">
        <v>756</v>
      </c>
      <c r="H259">
        <v>3445</v>
      </c>
      <c r="I259" t="s">
        <v>1381</v>
      </c>
    </row>
    <row r="260" spans="1:9">
      <c r="A260" s="71">
        <v>44041</v>
      </c>
      <c r="B260" t="s">
        <v>683</v>
      </c>
      <c r="D260" t="s">
        <v>1729</v>
      </c>
      <c r="G260" t="s">
        <v>756</v>
      </c>
      <c r="H260">
        <v>3450</v>
      </c>
      <c r="I260" t="s">
        <v>1381</v>
      </c>
    </row>
    <row r="261" spans="1:9">
      <c r="A261" s="71">
        <v>44041</v>
      </c>
      <c r="B261" t="s">
        <v>691</v>
      </c>
      <c r="D261" t="s">
        <v>1730</v>
      </c>
      <c r="G261" t="s">
        <v>756</v>
      </c>
      <c r="H261">
        <v>3449</v>
      </c>
      <c r="I261" t="s">
        <v>1381</v>
      </c>
    </row>
    <row r="262" spans="1:9">
      <c r="A262" s="71">
        <v>44041</v>
      </c>
      <c r="B262" t="s">
        <v>800</v>
      </c>
      <c r="D262" t="s">
        <v>1731</v>
      </c>
      <c r="G262" t="s">
        <v>756</v>
      </c>
      <c r="H262">
        <v>2504</v>
      </c>
      <c r="I262" t="s">
        <v>1487</v>
      </c>
    </row>
    <row r="263" spans="1:9">
      <c r="A263" s="71">
        <v>44044</v>
      </c>
      <c r="B263" t="s">
        <v>778</v>
      </c>
      <c r="D263" t="s">
        <v>1732</v>
      </c>
      <c r="G263" t="s">
        <v>756</v>
      </c>
      <c r="H263">
        <v>2509</v>
      </c>
      <c r="I263" t="s">
        <v>1487</v>
      </c>
    </row>
    <row r="264" spans="1:9">
      <c r="A264" s="71">
        <v>44047</v>
      </c>
      <c r="B264" t="s">
        <v>1630</v>
      </c>
      <c r="D264" t="s">
        <v>1733</v>
      </c>
      <c r="G264" t="s">
        <v>756</v>
      </c>
      <c r="H264">
        <v>2514</v>
      </c>
      <c r="I264" t="s">
        <v>1487</v>
      </c>
    </row>
    <row r="265" spans="1:9">
      <c r="A265" s="71">
        <v>44048</v>
      </c>
      <c r="B265" t="s">
        <v>167</v>
      </c>
      <c r="D265" t="s">
        <v>1734</v>
      </c>
      <c r="F265" s="86">
        <v>1253</v>
      </c>
      <c r="G265" t="s">
        <v>756</v>
      </c>
      <c r="H265">
        <v>2048</v>
      </c>
      <c r="I265" t="s">
        <v>1596</v>
      </c>
    </row>
    <row r="266" spans="1:9">
      <c r="A266" s="71">
        <v>44049</v>
      </c>
      <c r="B266" t="s">
        <v>779</v>
      </c>
      <c r="D266" t="s">
        <v>1735</v>
      </c>
      <c r="G266" t="s">
        <v>756</v>
      </c>
      <c r="H266">
        <v>2564</v>
      </c>
      <c r="I266" t="s">
        <v>1381</v>
      </c>
    </row>
    <row r="267" spans="1:9">
      <c r="A267" s="71">
        <v>44050</v>
      </c>
      <c r="B267" t="s">
        <v>691</v>
      </c>
      <c r="D267" t="s">
        <v>1736</v>
      </c>
      <c r="G267" t="s">
        <v>756</v>
      </c>
      <c r="H267">
        <v>2565</v>
      </c>
      <c r="I267" t="s">
        <v>1381</v>
      </c>
    </row>
    <row r="268" spans="1:9">
      <c r="A268" s="71">
        <v>44053</v>
      </c>
      <c r="B268" t="s">
        <v>773</v>
      </c>
      <c r="D268" t="s">
        <v>1737</v>
      </c>
      <c r="G268" t="s">
        <v>756</v>
      </c>
      <c r="H268">
        <v>2567</v>
      </c>
      <c r="I268" t="s">
        <v>1381</v>
      </c>
    </row>
    <row r="269" spans="1:9">
      <c r="A269" s="71">
        <v>44055</v>
      </c>
      <c r="B269" t="s">
        <v>167</v>
      </c>
      <c r="D269" t="s">
        <v>1738</v>
      </c>
      <c r="F269" s="86">
        <v>1284</v>
      </c>
      <c r="G269" t="s">
        <v>756</v>
      </c>
      <c r="H269">
        <v>3531</v>
      </c>
      <c r="I269" t="s">
        <v>1347</v>
      </c>
    </row>
    <row r="270" spans="1:9">
      <c r="A270" s="71">
        <v>44055</v>
      </c>
      <c r="B270" t="s">
        <v>169</v>
      </c>
      <c r="D270" t="s">
        <v>1739</v>
      </c>
      <c r="F270" s="86">
        <v>1330</v>
      </c>
      <c r="G270" t="s">
        <v>756</v>
      </c>
      <c r="H270">
        <v>3532</v>
      </c>
      <c r="I270" t="s">
        <v>1347</v>
      </c>
    </row>
    <row r="271" spans="1:9">
      <c r="A271" s="71">
        <v>44055</v>
      </c>
      <c r="B271" t="s">
        <v>176</v>
      </c>
      <c r="D271" t="s">
        <v>1740</v>
      </c>
      <c r="G271" t="s">
        <v>756</v>
      </c>
      <c r="H271">
        <v>2525</v>
      </c>
      <c r="I271" t="s">
        <v>1487</v>
      </c>
    </row>
    <row r="272" spans="1:9">
      <c r="A272" s="71">
        <v>44056</v>
      </c>
      <c r="B272" t="s">
        <v>775</v>
      </c>
      <c r="D272" t="s">
        <v>1741</v>
      </c>
      <c r="G272" t="s">
        <v>756</v>
      </c>
      <c r="H272">
        <v>2526</v>
      </c>
      <c r="I272" t="s">
        <v>1487</v>
      </c>
    </row>
    <row r="273" spans="1:9">
      <c r="A273" s="71">
        <v>44057</v>
      </c>
      <c r="B273" t="s">
        <v>163</v>
      </c>
      <c r="D273" t="s">
        <v>1742</v>
      </c>
      <c r="G273" t="s">
        <v>756</v>
      </c>
      <c r="H273">
        <v>2527</v>
      </c>
      <c r="I273" t="s">
        <v>1487</v>
      </c>
    </row>
    <row r="274" spans="1:9">
      <c r="A274" s="71">
        <v>44060</v>
      </c>
      <c r="B274" t="s">
        <v>775</v>
      </c>
      <c r="D274" t="s">
        <v>1743</v>
      </c>
      <c r="G274" t="s">
        <v>756</v>
      </c>
      <c r="H274">
        <v>2529</v>
      </c>
      <c r="I274" t="s">
        <v>1657</v>
      </c>
    </row>
    <row r="275" spans="1:9">
      <c r="A275" s="71">
        <v>44062</v>
      </c>
      <c r="B275" t="s">
        <v>150</v>
      </c>
      <c r="D275" t="s">
        <v>1744</v>
      </c>
      <c r="G275" t="s">
        <v>756</v>
      </c>
      <c r="H275">
        <v>2531</v>
      </c>
      <c r="I275" t="s">
        <v>1487</v>
      </c>
    </row>
    <row r="276" spans="1:9">
      <c r="A276" s="71">
        <v>44064</v>
      </c>
      <c r="B276" t="s">
        <v>775</v>
      </c>
      <c r="D276" t="s">
        <v>1745</v>
      </c>
      <c r="G276" t="s">
        <v>756</v>
      </c>
      <c r="H276">
        <v>2573</v>
      </c>
      <c r="I276" t="s">
        <v>1381</v>
      </c>
    </row>
    <row r="277" spans="1:9">
      <c r="A277" s="71">
        <v>44067</v>
      </c>
      <c r="B277" t="s">
        <v>176</v>
      </c>
      <c r="D277" t="s">
        <v>1746</v>
      </c>
      <c r="G277" t="s">
        <v>756</v>
      </c>
      <c r="H277">
        <v>2574</v>
      </c>
      <c r="I277" t="s">
        <v>1381</v>
      </c>
    </row>
    <row r="278" spans="1:9">
      <c r="A278" s="71">
        <v>44068</v>
      </c>
      <c r="B278" t="s">
        <v>178</v>
      </c>
      <c r="D278" t="s">
        <v>1747</v>
      </c>
      <c r="G278" t="s">
        <v>756</v>
      </c>
      <c r="H278">
        <v>3802</v>
      </c>
      <c r="I278" t="s">
        <v>1347</v>
      </c>
    </row>
    <row r="279" spans="1:9">
      <c r="A279" s="71">
        <v>44068</v>
      </c>
      <c r="B279" t="s">
        <v>167</v>
      </c>
      <c r="D279" t="s">
        <v>1748</v>
      </c>
      <c r="G279" t="s">
        <v>756</v>
      </c>
      <c r="H279">
        <v>3801</v>
      </c>
      <c r="I279" t="s">
        <v>1347</v>
      </c>
    </row>
    <row r="280" spans="1:9">
      <c r="A280" s="71">
        <v>44070</v>
      </c>
      <c r="B280" t="s">
        <v>180</v>
      </c>
      <c r="D280" t="s">
        <v>1749</v>
      </c>
      <c r="G280" t="s">
        <v>756</v>
      </c>
      <c r="H280">
        <v>2579</v>
      </c>
      <c r="I280" t="s">
        <v>1381</v>
      </c>
    </row>
    <row r="281" spans="1:9">
      <c r="A281" s="71">
        <v>44070</v>
      </c>
      <c r="B281" t="s">
        <v>692</v>
      </c>
      <c r="D281" t="s">
        <v>1750</v>
      </c>
      <c r="G281" t="s">
        <v>756</v>
      </c>
      <c r="H281">
        <v>2578</v>
      </c>
      <c r="I281" t="s">
        <v>1381</v>
      </c>
    </row>
    <row r="282" spans="1:9">
      <c r="A282" s="71">
        <v>44070</v>
      </c>
      <c r="B282" t="s">
        <v>1573</v>
      </c>
      <c r="D282" t="s">
        <v>1751</v>
      </c>
      <c r="F282" s="86">
        <v>2541</v>
      </c>
      <c r="G282" t="s">
        <v>756</v>
      </c>
      <c r="H282">
        <v>2541</v>
      </c>
      <c r="I282" t="s">
        <v>1487</v>
      </c>
    </row>
    <row r="283" spans="1:9">
      <c r="A283" s="71">
        <v>44071</v>
      </c>
      <c r="B283" t="s">
        <v>221</v>
      </c>
      <c r="D283" t="s">
        <v>1752</v>
      </c>
      <c r="G283" t="s">
        <v>756</v>
      </c>
      <c r="I283" t="s">
        <v>1596</v>
      </c>
    </row>
    <row r="284" spans="1:9">
      <c r="A284" s="71">
        <v>44075</v>
      </c>
      <c r="B284" t="s">
        <v>692</v>
      </c>
      <c r="D284" t="s">
        <v>1753</v>
      </c>
      <c r="G284" t="s">
        <v>756</v>
      </c>
      <c r="H284">
        <v>2545</v>
      </c>
      <c r="I284" t="s">
        <v>1487</v>
      </c>
    </row>
    <row r="285" spans="1:9">
      <c r="A285" s="71">
        <v>44075</v>
      </c>
      <c r="B285" t="s">
        <v>162</v>
      </c>
      <c r="D285" t="s">
        <v>1754</v>
      </c>
      <c r="G285" t="s">
        <v>756</v>
      </c>
      <c r="H285">
        <v>2582</v>
      </c>
      <c r="I285" t="s">
        <v>1381</v>
      </c>
    </row>
    <row r="286" spans="1:9">
      <c r="A286" s="71">
        <v>44076</v>
      </c>
      <c r="B286" t="s">
        <v>683</v>
      </c>
      <c r="D286" t="s">
        <v>1755</v>
      </c>
      <c r="G286" t="s">
        <v>756</v>
      </c>
      <c r="H286">
        <v>3673</v>
      </c>
      <c r="I286" t="s">
        <v>1756</v>
      </c>
    </row>
    <row r="287" spans="1:9">
      <c r="A287" s="71">
        <v>44076</v>
      </c>
      <c r="B287" t="s">
        <v>1757</v>
      </c>
      <c r="D287" t="s">
        <v>1758</v>
      </c>
      <c r="G287" t="s">
        <v>756</v>
      </c>
      <c r="H287">
        <v>3672</v>
      </c>
      <c r="I287" t="s">
        <v>1756</v>
      </c>
    </row>
    <row r="288" spans="1:9">
      <c r="A288" s="71">
        <v>44076</v>
      </c>
      <c r="B288" t="s">
        <v>183</v>
      </c>
      <c r="D288" t="s">
        <v>1759</v>
      </c>
      <c r="G288" t="s">
        <v>756</v>
      </c>
      <c r="H288">
        <v>2583</v>
      </c>
      <c r="I288" t="s">
        <v>1381</v>
      </c>
    </row>
    <row r="289" spans="1:9">
      <c r="A289" s="71">
        <v>44077</v>
      </c>
      <c r="B289" t="s">
        <v>1573</v>
      </c>
      <c r="D289" t="s">
        <v>1760</v>
      </c>
      <c r="F289" s="86">
        <v>1271</v>
      </c>
      <c r="G289" t="s">
        <v>756</v>
      </c>
      <c r="H289">
        <v>2584</v>
      </c>
      <c r="I289" t="s">
        <v>1381</v>
      </c>
    </row>
    <row r="290" spans="1:9">
      <c r="A290" s="71">
        <v>44077</v>
      </c>
      <c r="B290" t="s">
        <v>318</v>
      </c>
      <c r="D290" t="s">
        <v>1761</v>
      </c>
      <c r="F290" s="86">
        <v>9208</v>
      </c>
      <c r="G290" t="s">
        <v>756</v>
      </c>
      <c r="H290">
        <v>2550</v>
      </c>
      <c r="I290" t="s">
        <v>1657</v>
      </c>
    </row>
    <row r="291" spans="1:9">
      <c r="A291" s="71">
        <v>44078</v>
      </c>
      <c r="B291" t="s">
        <v>1570</v>
      </c>
      <c r="D291" t="s">
        <v>1762</v>
      </c>
      <c r="G291" t="s">
        <v>756</v>
      </c>
      <c r="H291">
        <v>2585</v>
      </c>
      <c r="I291" t="s">
        <v>1381</v>
      </c>
    </row>
    <row r="292" spans="1:9">
      <c r="A292" s="71">
        <v>44082</v>
      </c>
      <c r="B292" t="s">
        <v>176</v>
      </c>
      <c r="D292" t="s">
        <v>1763</v>
      </c>
      <c r="F292" s="86">
        <v>2406</v>
      </c>
      <c r="G292" t="s">
        <v>756</v>
      </c>
      <c r="H292">
        <v>2586</v>
      </c>
      <c r="I292" t="s">
        <v>1381</v>
      </c>
    </row>
    <row r="293" spans="1:9">
      <c r="A293" s="71">
        <v>44082</v>
      </c>
      <c r="B293" t="s">
        <v>683</v>
      </c>
      <c r="D293" t="s">
        <v>1764</v>
      </c>
      <c r="G293" t="s">
        <v>756</v>
      </c>
      <c r="H293">
        <v>2522</v>
      </c>
      <c r="I293" t="s">
        <v>1657</v>
      </c>
    </row>
    <row r="294" spans="1:9">
      <c r="A294" s="71">
        <v>44083</v>
      </c>
      <c r="B294" t="s">
        <v>1757</v>
      </c>
      <c r="D294" t="s">
        <v>1765</v>
      </c>
      <c r="G294" t="s">
        <v>756</v>
      </c>
      <c r="H294">
        <v>3693</v>
      </c>
      <c r="I294" t="s">
        <v>1756</v>
      </c>
    </row>
    <row r="295" spans="1:9">
      <c r="A295" s="71">
        <v>44083</v>
      </c>
      <c r="B295" t="s">
        <v>1630</v>
      </c>
      <c r="D295" t="s">
        <v>1766</v>
      </c>
      <c r="F295" s="86">
        <v>9234</v>
      </c>
      <c r="G295" t="s">
        <v>756</v>
      </c>
      <c r="H295">
        <v>3335</v>
      </c>
      <c r="I295" t="s">
        <v>1598</v>
      </c>
    </row>
    <row r="296" spans="1:9">
      <c r="A296" s="71">
        <v>44083</v>
      </c>
      <c r="B296" t="s">
        <v>146</v>
      </c>
      <c r="D296" t="s">
        <v>1767</v>
      </c>
      <c r="G296" t="s">
        <v>756</v>
      </c>
      <c r="H296">
        <v>2405</v>
      </c>
      <c r="I296" t="s">
        <v>1347</v>
      </c>
    </row>
    <row r="297" spans="1:9">
      <c r="A297" s="71">
        <v>44084</v>
      </c>
      <c r="B297" t="s">
        <v>163</v>
      </c>
      <c r="D297" t="s">
        <v>1768</v>
      </c>
      <c r="F297" s="86">
        <v>4672</v>
      </c>
      <c r="G297" t="s">
        <v>756</v>
      </c>
      <c r="H297">
        <v>3336</v>
      </c>
      <c r="I297" t="s">
        <v>1598</v>
      </c>
    </row>
    <row r="298" spans="1:9">
      <c r="A298" s="71">
        <v>44084</v>
      </c>
      <c r="B298" t="s">
        <v>176</v>
      </c>
      <c r="D298" t="s">
        <v>1769</v>
      </c>
      <c r="F298" s="86">
        <v>2406</v>
      </c>
      <c r="G298" t="s">
        <v>756</v>
      </c>
      <c r="H298">
        <v>2587</v>
      </c>
      <c r="I298" t="s">
        <v>1381</v>
      </c>
    </row>
    <row r="299" spans="1:9">
      <c r="A299" s="71">
        <v>44085</v>
      </c>
      <c r="B299" t="s">
        <v>688</v>
      </c>
      <c r="D299" t="s">
        <v>1770</v>
      </c>
      <c r="G299" t="s">
        <v>756</v>
      </c>
      <c r="H299">
        <v>2407</v>
      </c>
      <c r="I299" t="s">
        <v>1339</v>
      </c>
    </row>
    <row r="300" spans="1:9">
      <c r="A300" s="71">
        <v>44088</v>
      </c>
      <c r="B300" t="s">
        <v>176</v>
      </c>
      <c r="D300" t="s">
        <v>1771</v>
      </c>
      <c r="F300" s="86">
        <v>2406</v>
      </c>
      <c r="G300" t="s">
        <v>756</v>
      </c>
      <c r="H300">
        <v>2589</v>
      </c>
      <c r="I300" t="s">
        <v>1381</v>
      </c>
    </row>
    <row r="301" spans="1:9">
      <c r="A301" s="71">
        <v>44089</v>
      </c>
      <c r="B301" t="s">
        <v>178</v>
      </c>
      <c r="D301" t="s">
        <v>1772</v>
      </c>
      <c r="G301" t="s">
        <v>756</v>
      </c>
      <c r="H301">
        <v>2590</v>
      </c>
      <c r="I301" t="s">
        <v>1381</v>
      </c>
    </row>
    <row r="302" spans="1:9">
      <c r="A302" s="71">
        <v>44090</v>
      </c>
      <c r="B302" t="s">
        <v>176</v>
      </c>
      <c r="D302" t="s">
        <v>1773</v>
      </c>
      <c r="F302" s="86">
        <v>2406</v>
      </c>
      <c r="G302" t="s">
        <v>756</v>
      </c>
      <c r="H302" s="71">
        <v>44090</v>
      </c>
      <c r="I302" t="s">
        <v>1381</v>
      </c>
    </row>
    <row r="303" spans="1:9">
      <c r="A303" s="71">
        <v>44090</v>
      </c>
      <c r="B303" t="s">
        <v>162</v>
      </c>
      <c r="D303" t="s">
        <v>1774</v>
      </c>
      <c r="G303" t="s">
        <v>756</v>
      </c>
      <c r="H303">
        <v>2408</v>
      </c>
      <c r="I303" t="s">
        <v>1339</v>
      </c>
    </row>
    <row r="304" spans="1:9">
      <c r="A304" s="71">
        <v>44091</v>
      </c>
      <c r="B304" t="s">
        <v>178</v>
      </c>
      <c r="D304" t="s">
        <v>1775</v>
      </c>
      <c r="G304" t="s">
        <v>756</v>
      </c>
      <c r="H304">
        <v>2592</v>
      </c>
      <c r="I304" t="s">
        <v>1381</v>
      </c>
    </row>
    <row r="305" spans="1:9">
      <c r="A305" s="71">
        <v>44095</v>
      </c>
      <c r="B305" t="s">
        <v>160</v>
      </c>
      <c r="D305" t="s">
        <v>1776</v>
      </c>
      <c r="G305" t="s">
        <v>756</v>
      </c>
      <c r="H305">
        <v>3724</v>
      </c>
      <c r="I305" t="s">
        <v>1589</v>
      </c>
    </row>
    <row r="306" spans="1:9">
      <c r="A306" s="71">
        <v>44095</v>
      </c>
      <c r="B306" t="s">
        <v>1777</v>
      </c>
      <c r="D306" t="s">
        <v>1778</v>
      </c>
      <c r="G306" t="s">
        <v>756</v>
      </c>
      <c r="H306">
        <v>2410</v>
      </c>
      <c r="I306" t="s">
        <v>1339</v>
      </c>
    </row>
    <row r="307" spans="1:9">
      <c r="A307" s="71">
        <v>44097</v>
      </c>
      <c r="B307" t="s">
        <v>173</v>
      </c>
      <c r="D307" t="s">
        <v>1779</v>
      </c>
      <c r="F307" s="86">
        <v>1668</v>
      </c>
      <c r="G307" t="s">
        <v>756</v>
      </c>
      <c r="H307">
        <v>3804</v>
      </c>
      <c r="I307" t="s">
        <v>1347</v>
      </c>
    </row>
    <row r="308" spans="1:9">
      <c r="A308" s="71">
        <v>44097</v>
      </c>
      <c r="B308" t="s">
        <v>171</v>
      </c>
      <c r="D308" t="s">
        <v>1780</v>
      </c>
      <c r="F308" s="86">
        <v>1565</v>
      </c>
      <c r="G308" t="s">
        <v>756</v>
      </c>
      <c r="H308">
        <v>3803</v>
      </c>
      <c r="I308" t="s">
        <v>1347</v>
      </c>
    </row>
    <row r="309" spans="1:9">
      <c r="A309" s="71">
        <v>44097</v>
      </c>
      <c r="B309" t="s">
        <v>692</v>
      </c>
      <c r="D309" t="s">
        <v>1781</v>
      </c>
      <c r="F309" s="86">
        <v>3448</v>
      </c>
      <c r="G309" t="s">
        <v>756</v>
      </c>
      <c r="H309">
        <v>2411</v>
      </c>
      <c r="I309" t="s">
        <v>1339</v>
      </c>
    </row>
    <row r="310" spans="1:9">
      <c r="A310" s="71">
        <v>44099</v>
      </c>
      <c r="B310" t="s">
        <v>169</v>
      </c>
      <c r="D310" t="s">
        <v>1782</v>
      </c>
      <c r="F310" s="86">
        <v>1574</v>
      </c>
      <c r="G310" t="s">
        <v>756</v>
      </c>
      <c r="H310">
        <v>3805</v>
      </c>
      <c r="I310" t="s">
        <v>1347</v>
      </c>
    </row>
    <row r="311" spans="1:9">
      <c r="A311" s="71">
        <v>44103</v>
      </c>
      <c r="B311" t="s">
        <v>175</v>
      </c>
      <c r="D311" t="s">
        <v>1783</v>
      </c>
      <c r="F311" s="86">
        <v>1684</v>
      </c>
      <c r="G311" t="s">
        <v>756</v>
      </c>
      <c r="H311">
        <v>3807</v>
      </c>
      <c r="I311" t="s">
        <v>1347</v>
      </c>
    </row>
    <row r="312" spans="1:9">
      <c r="A312" s="71">
        <v>44109</v>
      </c>
      <c r="B312" t="s">
        <v>649</v>
      </c>
      <c r="D312" t="s">
        <v>1784</v>
      </c>
      <c r="G312" t="s">
        <v>756</v>
      </c>
      <c r="I312" t="s">
        <v>1598</v>
      </c>
    </row>
    <row r="313" spans="1:9">
      <c r="A313" s="71">
        <v>44109</v>
      </c>
      <c r="B313" t="s">
        <v>185</v>
      </c>
      <c r="D313" t="s">
        <v>1785</v>
      </c>
      <c r="G313" t="s">
        <v>756</v>
      </c>
      <c r="H313">
        <v>10283</v>
      </c>
      <c r="I313" t="s">
        <v>1487</v>
      </c>
    </row>
    <row r="314" spans="1:9">
      <c r="A314" s="71">
        <v>44110</v>
      </c>
      <c r="B314" t="s">
        <v>1630</v>
      </c>
      <c r="D314" t="s">
        <v>1786</v>
      </c>
      <c r="F314" s="86">
        <v>9369</v>
      </c>
      <c r="G314" t="s">
        <v>756</v>
      </c>
      <c r="H314">
        <v>2595</v>
      </c>
      <c r="I314" t="s">
        <v>1381</v>
      </c>
    </row>
    <row r="315" spans="1:9">
      <c r="A315" s="71">
        <v>44117</v>
      </c>
      <c r="B315" t="s">
        <v>162</v>
      </c>
      <c r="D315" t="s">
        <v>1787</v>
      </c>
      <c r="G315" t="s">
        <v>756</v>
      </c>
      <c r="H315">
        <v>2598</v>
      </c>
      <c r="I315" t="s">
        <v>1381</v>
      </c>
    </row>
    <row r="316" spans="1:9">
      <c r="A316" s="71">
        <v>44118</v>
      </c>
      <c r="B316" t="s">
        <v>183</v>
      </c>
      <c r="D316" t="s">
        <v>1788</v>
      </c>
      <c r="G316" t="s">
        <v>756</v>
      </c>
      <c r="H316">
        <v>2422</v>
      </c>
      <c r="I316" t="s">
        <v>1339</v>
      </c>
    </row>
    <row r="317" spans="1:9">
      <c r="A317" s="71">
        <v>44123</v>
      </c>
      <c r="B317" t="s">
        <v>159</v>
      </c>
      <c r="D317" t="s">
        <v>1789</v>
      </c>
      <c r="F317" s="86">
        <v>7313</v>
      </c>
      <c r="G317" t="s">
        <v>756</v>
      </c>
      <c r="H317">
        <v>2599</v>
      </c>
      <c r="I317" t="s">
        <v>1381</v>
      </c>
    </row>
    <row r="318" spans="1:9">
      <c r="A318" s="71">
        <v>44124</v>
      </c>
      <c r="B318" t="s">
        <v>183</v>
      </c>
      <c r="D318" t="s">
        <v>1790</v>
      </c>
      <c r="G318" t="s">
        <v>756</v>
      </c>
      <c r="H318">
        <v>2426.1</v>
      </c>
      <c r="I318" t="s">
        <v>1339</v>
      </c>
    </row>
    <row r="319" spans="1:9">
      <c r="A319" s="71">
        <v>44124</v>
      </c>
      <c r="B319" t="s">
        <v>1630</v>
      </c>
      <c r="D319" t="s">
        <v>1791</v>
      </c>
      <c r="F319" s="86">
        <v>9394</v>
      </c>
      <c r="G319" t="s">
        <v>756</v>
      </c>
      <c r="H319">
        <v>2425</v>
      </c>
      <c r="I319" t="s">
        <v>1339</v>
      </c>
    </row>
    <row r="320" spans="1:9">
      <c r="A320" s="71">
        <v>44126</v>
      </c>
      <c r="B320" t="s">
        <v>150</v>
      </c>
      <c r="D320" t="s">
        <v>1792</v>
      </c>
      <c r="F320" s="86">
        <v>7436</v>
      </c>
      <c r="G320" t="s">
        <v>756</v>
      </c>
      <c r="H320">
        <v>2600</v>
      </c>
      <c r="I320" t="s">
        <v>1381</v>
      </c>
    </row>
    <row r="321" spans="1:9">
      <c r="A321" s="71">
        <v>44130</v>
      </c>
      <c r="B321" t="s">
        <v>324</v>
      </c>
      <c r="D321" t="s">
        <v>1793</v>
      </c>
      <c r="F321" s="86">
        <v>11775</v>
      </c>
      <c r="G321" t="s">
        <v>756</v>
      </c>
      <c r="H321">
        <v>4101</v>
      </c>
      <c r="I321" t="s">
        <v>1794</v>
      </c>
    </row>
    <row r="322" spans="1:9">
      <c r="A322" s="71">
        <v>44130</v>
      </c>
      <c r="B322" t="s">
        <v>1570</v>
      </c>
      <c r="D322" t="s">
        <v>1795</v>
      </c>
      <c r="G322" t="s">
        <v>756</v>
      </c>
      <c r="H322">
        <v>4051</v>
      </c>
      <c r="I322" t="s">
        <v>1381</v>
      </c>
    </row>
    <row r="323" spans="1:9">
      <c r="A323" s="71">
        <v>44131</v>
      </c>
      <c r="B323" t="s">
        <v>159</v>
      </c>
      <c r="D323" t="s">
        <v>1796</v>
      </c>
      <c r="F323" s="86">
        <v>7318</v>
      </c>
      <c r="G323" t="s">
        <v>756</v>
      </c>
      <c r="H323">
        <v>4052</v>
      </c>
      <c r="I323" t="s">
        <v>1381</v>
      </c>
    </row>
    <row r="324" spans="1:9">
      <c r="A324" s="71">
        <v>44133</v>
      </c>
      <c r="B324" t="s">
        <v>150</v>
      </c>
      <c r="D324" t="s">
        <v>1797</v>
      </c>
      <c r="F324" s="86">
        <v>7438</v>
      </c>
      <c r="G324" t="s">
        <v>756</v>
      </c>
      <c r="H324">
        <v>4053</v>
      </c>
      <c r="I324" t="s">
        <v>1487</v>
      </c>
    </row>
    <row r="325" spans="1:9">
      <c r="A325" s="71">
        <v>44134</v>
      </c>
      <c r="B325" t="s">
        <v>175</v>
      </c>
      <c r="D325" t="s">
        <v>1798</v>
      </c>
      <c r="F325" s="86">
        <v>1823</v>
      </c>
      <c r="G325" t="s">
        <v>756</v>
      </c>
      <c r="H325">
        <v>3814</v>
      </c>
      <c r="I325" t="s">
        <v>1347</v>
      </c>
    </row>
    <row r="326" spans="1:9">
      <c r="A326" s="71">
        <v>44137</v>
      </c>
      <c r="B326" t="s">
        <v>1570</v>
      </c>
      <c r="D326" t="s">
        <v>1799</v>
      </c>
      <c r="G326" t="s">
        <v>756</v>
      </c>
      <c r="H326">
        <v>4102</v>
      </c>
      <c r="I326" t="s">
        <v>1794</v>
      </c>
    </row>
    <row r="327" spans="1:9">
      <c r="A327" s="71">
        <v>44137</v>
      </c>
      <c r="B327" t="s">
        <v>180</v>
      </c>
      <c r="D327" t="s">
        <v>1800</v>
      </c>
      <c r="G327" t="s">
        <v>756</v>
      </c>
      <c r="H327">
        <v>4055</v>
      </c>
      <c r="I327" t="s">
        <v>1381</v>
      </c>
    </row>
    <row r="328" spans="1:9" ht="30.75">
      <c r="A328" s="71">
        <v>44137</v>
      </c>
      <c r="B328" t="s">
        <v>1570</v>
      </c>
      <c r="D328" s="50" t="s">
        <v>1801</v>
      </c>
      <c r="G328" t="s">
        <v>756</v>
      </c>
      <c r="H328">
        <v>3815</v>
      </c>
      <c r="I328" t="s">
        <v>1347</v>
      </c>
    </row>
    <row r="329" spans="1:9">
      <c r="A329" s="71">
        <v>44137</v>
      </c>
      <c r="B329" t="s">
        <v>160</v>
      </c>
      <c r="D329" t="s">
        <v>1802</v>
      </c>
      <c r="G329" t="s">
        <v>756</v>
      </c>
      <c r="H329">
        <v>2656</v>
      </c>
      <c r="I329" t="s">
        <v>1589</v>
      </c>
    </row>
    <row r="330" spans="1:9">
      <c r="A330" s="71">
        <v>44138</v>
      </c>
      <c r="B330" t="s">
        <v>150</v>
      </c>
      <c r="D330" t="s">
        <v>1803</v>
      </c>
      <c r="F330" s="86">
        <v>7442</v>
      </c>
      <c r="G330" t="s">
        <v>756</v>
      </c>
      <c r="H330">
        <v>2429</v>
      </c>
      <c r="I330" t="s">
        <v>1339</v>
      </c>
    </row>
    <row r="331" spans="1:9">
      <c r="A331" s="71">
        <v>44139</v>
      </c>
      <c r="B331" t="s">
        <v>162</v>
      </c>
      <c r="D331" t="s">
        <v>1804</v>
      </c>
      <c r="G331" t="s">
        <v>756</v>
      </c>
      <c r="H331">
        <v>3601</v>
      </c>
      <c r="I331" t="s">
        <v>1330</v>
      </c>
    </row>
    <row r="332" spans="1:9">
      <c r="A332" s="71">
        <v>44141</v>
      </c>
      <c r="B332" t="s">
        <v>167</v>
      </c>
      <c r="D332" t="s">
        <v>1805</v>
      </c>
      <c r="F332" s="86">
        <v>1639</v>
      </c>
      <c r="G332" t="s">
        <v>756</v>
      </c>
      <c r="H332">
        <v>3816</v>
      </c>
      <c r="I332" t="s">
        <v>1347</v>
      </c>
    </row>
    <row r="333" spans="1:9">
      <c r="A333" s="71">
        <v>44146</v>
      </c>
      <c r="B333" t="s">
        <v>159</v>
      </c>
      <c r="D333" t="s">
        <v>1806</v>
      </c>
      <c r="F333" s="86">
        <v>7369</v>
      </c>
      <c r="G333" t="s">
        <v>756</v>
      </c>
      <c r="H333">
        <v>4058</v>
      </c>
      <c r="I333" t="s">
        <v>1381</v>
      </c>
    </row>
    <row r="334" spans="1:9">
      <c r="A334" s="71">
        <v>44146</v>
      </c>
      <c r="B334" t="s">
        <v>1573</v>
      </c>
      <c r="D334" t="s">
        <v>1807</v>
      </c>
      <c r="F334" s="86">
        <v>1489</v>
      </c>
      <c r="G334" t="s">
        <v>756</v>
      </c>
      <c r="H334">
        <v>2435</v>
      </c>
      <c r="I334" t="s">
        <v>1339</v>
      </c>
    </row>
    <row r="335" spans="1:9">
      <c r="A335" s="71">
        <v>44146</v>
      </c>
      <c r="B335" t="s">
        <v>311</v>
      </c>
      <c r="D335" t="s">
        <v>1808</v>
      </c>
      <c r="F335" s="86">
        <v>11528</v>
      </c>
      <c r="G335" t="s">
        <v>756</v>
      </c>
      <c r="H335">
        <v>4059</v>
      </c>
      <c r="I335" t="s">
        <v>1381</v>
      </c>
    </row>
    <row r="336" spans="1:9">
      <c r="A336" s="71">
        <v>44147</v>
      </c>
      <c r="B336" t="s">
        <v>159</v>
      </c>
      <c r="D336" t="s">
        <v>1809</v>
      </c>
      <c r="G336" t="s">
        <v>756</v>
      </c>
      <c r="H336">
        <v>4062</v>
      </c>
      <c r="I336" t="s">
        <v>1381</v>
      </c>
    </row>
    <row r="337" spans="1:9">
      <c r="A337" s="71">
        <v>44147</v>
      </c>
      <c r="B337" t="s">
        <v>173</v>
      </c>
      <c r="D337" t="s">
        <v>1810</v>
      </c>
      <c r="F337" s="86">
        <v>1900</v>
      </c>
      <c r="G337" t="s">
        <v>756</v>
      </c>
      <c r="H337">
        <v>4061</v>
      </c>
      <c r="I337" t="s">
        <v>1347</v>
      </c>
    </row>
    <row r="338" spans="1:9">
      <c r="A338" s="71">
        <v>44147</v>
      </c>
      <c r="B338" t="s">
        <v>311</v>
      </c>
      <c r="D338" t="s">
        <v>1811</v>
      </c>
      <c r="F338" s="86">
        <v>11528</v>
      </c>
      <c r="G338" t="s">
        <v>756</v>
      </c>
      <c r="H338">
        <v>4060</v>
      </c>
      <c r="I338" t="s">
        <v>1381</v>
      </c>
    </row>
    <row r="339" spans="1:9">
      <c r="A339" s="71">
        <v>44148</v>
      </c>
      <c r="B339" t="s">
        <v>159</v>
      </c>
      <c r="D339" t="s">
        <v>1812</v>
      </c>
      <c r="F339" s="86">
        <v>7369</v>
      </c>
      <c r="G339" t="s">
        <v>756</v>
      </c>
      <c r="H339">
        <v>4063</v>
      </c>
      <c r="I339" t="s">
        <v>1381</v>
      </c>
    </row>
    <row r="340" spans="1:9">
      <c r="A340" s="71">
        <v>44148</v>
      </c>
      <c r="B340" t="s">
        <v>1630</v>
      </c>
      <c r="D340" t="s">
        <v>1813</v>
      </c>
      <c r="F340" s="86">
        <v>9510</v>
      </c>
      <c r="G340" t="s">
        <v>756</v>
      </c>
      <c r="H340">
        <v>2438</v>
      </c>
      <c r="I340" t="s">
        <v>1339</v>
      </c>
    </row>
    <row r="341" spans="1:9">
      <c r="A341" s="71">
        <v>44155</v>
      </c>
      <c r="B341" t="s">
        <v>163</v>
      </c>
      <c r="D341" t="s">
        <v>1814</v>
      </c>
      <c r="G341" t="s">
        <v>756</v>
      </c>
      <c r="H341">
        <v>4251</v>
      </c>
      <c r="I341" t="s">
        <v>1381</v>
      </c>
    </row>
    <row r="342" spans="1:9">
      <c r="A342" s="71">
        <v>44155</v>
      </c>
      <c r="B342" t="s">
        <v>159</v>
      </c>
      <c r="D342" t="s">
        <v>1815</v>
      </c>
      <c r="G342" t="s">
        <v>756</v>
      </c>
      <c r="H342">
        <v>4107</v>
      </c>
      <c r="I342" t="s">
        <v>1794</v>
      </c>
    </row>
    <row r="343" spans="1:9">
      <c r="A343" s="71">
        <v>44155</v>
      </c>
      <c r="B343" t="s">
        <v>369</v>
      </c>
      <c r="D343" t="s">
        <v>1816</v>
      </c>
      <c r="F343" s="86">
        <v>8357</v>
      </c>
      <c r="G343" t="s">
        <v>756</v>
      </c>
      <c r="H343">
        <v>2661</v>
      </c>
      <c r="I343" t="s">
        <v>1487</v>
      </c>
    </row>
    <row r="344" spans="1:9">
      <c r="A344" s="71">
        <v>44159</v>
      </c>
      <c r="B344" t="s">
        <v>143</v>
      </c>
      <c r="D344" t="s">
        <v>1817</v>
      </c>
      <c r="G344" t="s">
        <v>756</v>
      </c>
      <c r="H344">
        <v>3818</v>
      </c>
      <c r="I344" t="s">
        <v>1347</v>
      </c>
    </row>
    <row r="345" spans="1:9">
      <c r="A345" s="71">
        <v>44159</v>
      </c>
      <c r="B345" t="s">
        <v>183</v>
      </c>
      <c r="D345" t="s">
        <v>1818</v>
      </c>
      <c r="G345" t="s">
        <v>756</v>
      </c>
      <c r="H345">
        <v>2444</v>
      </c>
      <c r="I345" t="s">
        <v>1339</v>
      </c>
    </row>
    <row r="346" spans="1:9">
      <c r="A346" s="71">
        <v>44162</v>
      </c>
      <c r="B346" t="s">
        <v>19</v>
      </c>
      <c r="D346" t="s">
        <v>1819</v>
      </c>
      <c r="G346" t="s">
        <v>756</v>
      </c>
      <c r="H346">
        <v>3743.1</v>
      </c>
      <c r="I346" t="s">
        <v>1589</v>
      </c>
    </row>
    <row r="347" spans="1:9">
      <c r="A347" s="71">
        <v>44162</v>
      </c>
      <c r="B347" t="s">
        <v>183</v>
      </c>
      <c r="D347" t="s">
        <v>1820</v>
      </c>
      <c r="G347" t="s">
        <v>756</v>
      </c>
      <c r="H347">
        <v>2445</v>
      </c>
      <c r="I347" t="s">
        <v>1339</v>
      </c>
    </row>
    <row r="348" spans="1:9">
      <c r="A348" s="71">
        <v>44166</v>
      </c>
      <c r="B348" t="s">
        <v>777</v>
      </c>
      <c r="D348" t="s">
        <v>1821</v>
      </c>
      <c r="G348" t="s">
        <v>756</v>
      </c>
      <c r="I348" t="s">
        <v>1822</v>
      </c>
    </row>
    <row r="349" spans="1:9">
      <c r="A349" s="71">
        <v>44166</v>
      </c>
      <c r="B349" t="s">
        <v>1573</v>
      </c>
      <c r="D349" t="s">
        <v>1823</v>
      </c>
      <c r="F349" s="86">
        <v>1119</v>
      </c>
      <c r="G349" t="s">
        <v>756</v>
      </c>
      <c r="H349">
        <v>3613</v>
      </c>
      <c r="I349" t="s">
        <v>1330</v>
      </c>
    </row>
    <row r="350" spans="1:9" ht="45.75">
      <c r="A350" s="71">
        <v>44167</v>
      </c>
      <c r="B350" t="s">
        <v>1570</v>
      </c>
      <c r="D350" s="50" t="s">
        <v>1824</v>
      </c>
      <c r="G350" t="s">
        <v>756</v>
      </c>
      <c r="H350">
        <v>4081</v>
      </c>
      <c r="I350" t="s">
        <v>1381</v>
      </c>
    </row>
    <row r="351" spans="1:9">
      <c r="A351" s="71">
        <v>44168</v>
      </c>
      <c r="B351" t="s">
        <v>1630</v>
      </c>
      <c r="D351" t="s">
        <v>1825</v>
      </c>
      <c r="G351" t="s">
        <v>756</v>
      </c>
      <c r="H351">
        <v>4082</v>
      </c>
      <c r="I351" t="s">
        <v>1381</v>
      </c>
    </row>
    <row r="352" spans="1:9">
      <c r="A352" s="71">
        <v>44168</v>
      </c>
      <c r="B352" t="s">
        <v>180</v>
      </c>
      <c r="D352" t="s">
        <v>1826</v>
      </c>
      <c r="F352" s="86">
        <v>2492</v>
      </c>
      <c r="G352" t="s">
        <v>756</v>
      </c>
      <c r="H352">
        <v>3539</v>
      </c>
      <c r="I352" t="s">
        <v>1598</v>
      </c>
    </row>
    <row r="353" spans="1:9">
      <c r="A353" s="71">
        <v>44169</v>
      </c>
      <c r="B353" t="s">
        <v>1570</v>
      </c>
      <c r="D353" t="s">
        <v>1827</v>
      </c>
      <c r="G353" t="s">
        <v>756</v>
      </c>
      <c r="H353">
        <v>4083</v>
      </c>
      <c r="I353" t="s">
        <v>1381</v>
      </c>
    </row>
    <row r="354" spans="1:9">
      <c r="A354" s="71">
        <v>44174</v>
      </c>
      <c r="B354" t="s">
        <v>1630</v>
      </c>
      <c r="D354" t="s">
        <v>1828</v>
      </c>
      <c r="G354" t="s">
        <v>756</v>
      </c>
      <c r="H354">
        <v>4084</v>
      </c>
      <c r="I354" t="s">
        <v>1381</v>
      </c>
    </row>
    <row r="355" spans="1:9">
      <c r="A355" s="71">
        <v>44174</v>
      </c>
      <c r="B355" t="s">
        <v>362</v>
      </c>
      <c r="D355" t="s">
        <v>1829</v>
      </c>
      <c r="F355" s="86">
        <v>9121</v>
      </c>
      <c r="G355" t="s">
        <v>756</v>
      </c>
      <c r="H355">
        <v>3749</v>
      </c>
      <c r="I355" t="s">
        <v>1589</v>
      </c>
    </row>
    <row r="356" spans="1:9">
      <c r="A356" s="71">
        <v>44179</v>
      </c>
      <c r="B356" t="s">
        <v>150</v>
      </c>
      <c r="D356" t="s">
        <v>1830</v>
      </c>
      <c r="G356" t="s">
        <v>756</v>
      </c>
      <c r="H356">
        <v>4087</v>
      </c>
      <c r="I356" t="s">
        <v>1381</v>
      </c>
    </row>
    <row r="357" spans="1:9">
      <c r="A357" s="71">
        <v>44180</v>
      </c>
      <c r="B357" t="s">
        <v>777</v>
      </c>
      <c r="D357" t="s">
        <v>1831</v>
      </c>
      <c r="G357" t="s">
        <v>756</v>
      </c>
      <c r="H357">
        <v>4088</v>
      </c>
      <c r="I357" t="s">
        <v>1381</v>
      </c>
    </row>
    <row r="358" spans="1:9">
      <c r="A358" s="71">
        <v>44180</v>
      </c>
      <c r="B358" t="s">
        <v>188</v>
      </c>
      <c r="D358" t="s">
        <v>1832</v>
      </c>
      <c r="F358" s="86">
        <v>1293</v>
      </c>
      <c r="G358" t="s">
        <v>756</v>
      </c>
      <c r="H358">
        <v>3618</v>
      </c>
      <c r="I358" t="s">
        <v>1339</v>
      </c>
    </row>
    <row r="359" spans="1:9">
      <c r="A359" s="71">
        <v>44182</v>
      </c>
      <c r="B359" t="s">
        <v>1630</v>
      </c>
      <c r="D359" t="s">
        <v>1833</v>
      </c>
      <c r="G359" t="s">
        <v>756</v>
      </c>
      <c r="H359">
        <v>4091</v>
      </c>
      <c r="I359" t="s">
        <v>1381</v>
      </c>
    </row>
    <row r="360" spans="1:9">
      <c r="A360" s="71">
        <v>44186</v>
      </c>
      <c r="B360" t="s">
        <v>178</v>
      </c>
      <c r="D360" t="s">
        <v>1834</v>
      </c>
      <c r="G360" t="s">
        <v>756</v>
      </c>
      <c r="H360">
        <v>4093</v>
      </c>
      <c r="I360" t="s">
        <v>1381</v>
      </c>
    </row>
    <row r="361" spans="1:9">
      <c r="A361" s="71">
        <v>44187</v>
      </c>
      <c r="B361" t="s">
        <v>1573</v>
      </c>
      <c r="D361" t="s">
        <v>1835</v>
      </c>
      <c r="G361" t="s">
        <v>756</v>
      </c>
      <c r="H361">
        <v>4094</v>
      </c>
      <c r="I361" t="s">
        <v>1381</v>
      </c>
    </row>
    <row r="362" spans="1:9">
      <c r="A362" s="71">
        <v>44195</v>
      </c>
      <c r="B362" t="s">
        <v>188</v>
      </c>
      <c r="D362" t="s">
        <v>1836</v>
      </c>
      <c r="G362" t="s">
        <v>756</v>
      </c>
      <c r="H362">
        <v>2676</v>
      </c>
      <c r="I362" t="s">
        <v>1487</v>
      </c>
    </row>
    <row r="363" spans="1:9">
      <c r="A363" s="71">
        <v>44200</v>
      </c>
      <c r="B363" t="s">
        <v>1573</v>
      </c>
      <c r="D363" t="s">
        <v>1837</v>
      </c>
      <c r="G363" t="s">
        <v>756</v>
      </c>
      <c r="H363">
        <v>4098</v>
      </c>
      <c r="I363" t="s">
        <v>1381</v>
      </c>
    </row>
    <row r="364" spans="1:9">
      <c r="A364" s="71">
        <v>44200</v>
      </c>
      <c r="B364" t="s">
        <v>178</v>
      </c>
      <c r="D364" t="s">
        <v>1838</v>
      </c>
      <c r="G364" t="s">
        <v>756</v>
      </c>
      <c r="H364">
        <v>4097</v>
      </c>
      <c r="I364" t="s">
        <v>1381</v>
      </c>
    </row>
    <row r="365" spans="1:9">
      <c r="A365" s="71">
        <v>44201</v>
      </c>
      <c r="B365" t="s">
        <v>171</v>
      </c>
      <c r="D365" t="s">
        <v>1839</v>
      </c>
      <c r="F365" s="86">
        <v>1998</v>
      </c>
      <c r="G365" t="s">
        <v>756</v>
      </c>
      <c r="H365">
        <v>3828</v>
      </c>
      <c r="I365" t="s">
        <v>1347</v>
      </c>
    </row>
    <row r="366" spans="1:9">
      <c r="A366" s="71">
        <v>44201</v>
      </c>
      <c r="B366" t="s">
        <v>173</v>
      </c>
      <c r="D366" t="s">
        <v>1840</v>
      </c>
      <c r="F366" s="86">
        <v>2143</v>
      </c>
      <c r="G366" t="s">
        <v>756</v>
      </c>
      <c r="H366">
        <v>3827</v>
      </c>
      <c r="I366" t="s">
        <v>1347</v>
      </c>
    </row>
    <row r="367" spans="1:9">
      <c r="A367" s="71">
        <v>44202</v>
      </c>
      <c r="B367" t="s">
        <v>781</v>
      </c>
      <c r="D367" t="s">
        <v>1841</v>
      </c>
      <c r="G367" t="s">
        <v>756</v>
      </c>
      <c r="H367">
        <v>7520</v>
      </c>
      <c r="I367" t="s">
        <v>1756</v>
      </c>
    </row>
    <row r="368" spans="1:9">
      <c r="A368" s="71">
        <v>44202</v>
      </c>
      <c r="B368" t="s">
        <v>1573</v>
      </c>
      <c r="D368" t="s">
        <v>1842</v>
      </c>
      <c r="G368" t="s">
        <v>756</v>
      </c>
      <c r="H368">
        <v>4099</v>
      </c>
      <c r="I368" t="s">
        <v>1381</v>
      </c>
    </row>
    <row r="369" spans="1:9">
      <c r="A369" s="71">
        <v>44203</v>
      </c>
      <c r="B369" t="s">
        <v>781</v>
      </c>
      <c r="D369" t="s">
        <v>1843</v>
      </c>
      <c r="G369" t="s">
        <v>756</v>
      </c>
      <c r="H369">
        <v>7521</v>
      </c>
      <c r="I369" t="s">
        <v>1756</v>
      </c>
    </row>
    <row r="370" spans="1:9">
      <c r="A370" s="71">
        <v>44205</v>
      </c>
      <c r="B370" t="s">
        <v>311</v>
      </c>
      <c r="D370" t="s">
        <v>1844</v>
      </c>
      <c r="F370" s="86">
        <v>11792</v>
      </c>
      <c r="G370" t="s">
        <v>756</v>
      </c>
      <c r="H370">
        <v>2683</v>
      </c>
      <c r="I370" t="s">
        <v>1487</v>
      </c>
    </row>
    <row r="371" spans="1:9">
      <c r="A371" s="71">
        <v>44207</v>
      </c>
      <c r="B371" t="s">
        <v>703</v>
      </c>
      <c r="D371" t="s">
        <v>1845</v>
      </c>
      <c r="G371" t="s">
        <v>756</v>
      </c>
      <c r="H371">
        <v>4252</v>
      </c>
      <c r="I371" t="s">
        <v>1381</v>
      </c>
    </row>
    <row r="372" spans="1:9">
      <c r="A372" s="71">
        <v>44207</v>
      </c>
      <c r="B372" t="s">
        <v>167</v>
      </c>
      <c r="D372" t="s">
        <v>1846</v>
      </c>
      <c r="F372" s="86">
        <v>1927</v>
      </c>
      <c r="G372" t="s">
        <v>756</v>
      </c>
      <c r="H372">
        <v>3830</v>
      </c>
      <c r="I372" t="s">
        <v>1347</v>
      </c>
    </row>
    <row r="373" spans="1:9">
      <c r="A373" s="71">
        <v>44207</v>
      </c>
      <c r="B373" t="s">
        <v>163</v>
      </c>
      <c r="D373" t="s">
        <v>1847</v>
      </c>
      <c r="F373" s="86">
        <v>5123</v>
      </c>
      <c r="G373" t="s">
        <v>756</v>
      </c>
      <c r="H373">
        <v>3624</v>
      </c>
      <c r="I373" t="s">
        <v>1330</v>
      </c>
    </row>
    <row r="374" spans="1:9">
      <c r="A374" s="71">
        <v>44208</v>
      </c>
      <c r="B374" t="s">
        <v>25</v>
      </c>
      <c r="D374" t="s">
        <v>1848</v>
      </c>
      <c r="G374" t="s">
        <v>756</v>
      </c>
      <c r="H374">
        <v>7338</v>
      </c>
      <c r="I374" t="s">
        <v>1589</v>
      </c>
    </row>
    <row r="375" spans="1:9">
      <c r="A375" s="71">
        <v>44208</v>
      </c>
      <c r="B375" t="s">
        <v>1630</v>
      </c>
      <c r="D375" t="s">
        <v>1849</v>
      </c>
      <c r="F375" s="86">
        <v>9643</v>
      </c>
      <c r="G375" t="s">
        <v>756</v>
      </c>
      <c r="H375">
        <v>3622</v>
      </c>
      <c r="I375" t="s">
        <v>1657</v>
      </c>
    </row>
    <row r="376" spans="1:9">
      <c r="A376" s="71">
        <v>44208</v>
      </c>
      <c r="B376" t="s">
        <v>169</v>
      </c>
      <c r="D376" t="s">
        <v>1850</v>
      </c>
      <c r="G376" t="s">
        <v>756</v>
      </c>
      <c r="H376">
        <v>3831</v>
      </c>
      <c r="I376" t="s">
        <v>1347</v>
      </c>
    </row>
    <row r="377" spans="1:9">
      <c r="A377" s="71">
        <v>44208</v>
      </c>
      <c r="B377" t="s">
        <v>1570</v>
      </c>
      <c r="D377" t="s">
        <v>1851</v>
      </c>
      <c r="G377" t="s">
        <v>756</v>
      </c>
      <c r="H377">
        <v>2686</v>
      </c>
      <c r="I377" t="s">
        <v>1487</v>
      </c>
    </row>
    <row r="378" spans="1:9">
      <c r="A378" s="71">
        <v>44209</v>
      </c>
      <c r="B378" t="s">
        <v>1573</v>
      </c>
      <c r="D378" t="s">
        <v>1852</v>
      </c>
      <c r="G378" t="s">
        <v>756</v>
      </c>
      <c r="H378">
        <v>4253</v>
      </c>
      <c r="I378" t="s">
        <v>1381</v>
      </c>
    </row>
    <row r="379" spans="1:9">
      <c r="A379" s="71">
        <v>44209</v>
      </c>
      <c r="B379" t="s">
        <v>183</v>
      </c>
      <c r="D379" t="s">
        <v>1853</v>
      </c>
      <c r="F379" s="86">
        <v>1209</v>
      </c>
      <c r="G379" t="s">
        <v>756</v>
      </c>
      <c r="H379">
        <v>3631</v>
      </c>
      <c r="I379" t="s">
        <v>1657</v>
      </c>
    </row>
    <row r="380" spans="1:9">
      <c r="A380" s="71">
        <v>44210</v>
      </c>
      <c r="B380" t="s">
        <v>163</v>
      </c>
      <c r="D380" t="s">
        <v>1854</v>
      </c>
      <c r="G380" t="s">
        <v>756</v>
      </c>
      <c r="H380">
        <v>2954</v>
      </c>
      <c r="I380" t="s">
        <v>1855</v>
      </c>
    </row>
    <row r="381" spans="1:9">
      <c r="A381" s="71">
        <v>44211</v>
      </c>
      <c r="B381" t="s">
        <v>12</v>
      </c>
      <c r="D381" t="s">
        <v>1856</v>
      </c>
      <c r="F381" s="86">
        <v>732</v>
      </c>
      <c r="G381" t="s">
        <v>756</v>
      </c>
      <c r="H381">
        <v>2953</v>
      </c>
      <c r="I381" t="s">
        <v>1855</v>
      </c>
    </row>
    <row r="382" spans="1:9">
      <c r="A382" s="71">
        <v>44214</v>
      </c>
      <c r="B382" t="s">
        <v>688</v>
      </c>
      <c r="D382" t="s">
        <v>1857</v>
      </c>
      <c r="G382" t="s">
        <v>756</v>
      </c>
      <c r="H382">
        <v>4256</v>
      </c>
      <c r="I382" t="s">
        <v>1381</v>
      </c>
    </row>
    <row r="383" spans="1:9">
      <c r="A383" s="71">
        <v>44215</v>
      </c>
      <c r="B383" t="s">
        <v>169</v>
      </c>
      <c r="D383" t="s">
        <v>1858</v>
      </c>
      <c r="F383" s="86">
        <v>2069</v>
      </c>
      <c r="G383" t="s">
        <v>756</v>
      </c>
      <c r="H383">
        <v>3832</v>
      </c>
      <c r="I383" t="s">
        <v>1347</v>
      </c>
    </row>
    <row r="384" spans="1:9">
      <c r="A384" s="71">
        <v>44215</v>
      </c>
      <c r="B384" t="s">
        <v>159</v>
      </c>
      <c r="D384" t="s">
        <v>1859</v>
      </c>
      <c r="G384" t="s">
        <v>756</v>
      </c>
      <c r="H384">
        <v>2958</v>
      </c>
      <c r="I384" t="s">
        <v>1855</v>
      </c>
    </row>
    <row r="385" spans="1:9">
      <c r="A385" s="71">
        <v>44215</v>
      </c>
      <c r="B385" t="s">
        <v>692</v>
      </c>
      <c r="D385" t="s">
        <v>1860</v>
      </c>
      <c r="G385" t="s">
        <v>756</v>
      </c>
      <c r="H385">
        <v>2903</v>
      </c>
      <c r="I385" t="s">
        <v>1657</v>
      </c>
    </row>
    <row r="386" spans="1:9">
      <c r="A386" s="71">
        <v>44215</v>
      </c>
      <c r="B386" t="s">
        <v>159</v>
      </c>
      <c r="D386" t="s">
        <v>1861</v>
      </c>
      <c r="G386" t="s">
        <v>756</v>
      </c>
      <c r="H386">
        <v>2687</v>
      </c>
      <c r="I386" t="s">
        <v>1487</v>
      </c>
    </row>
    <row r="387" spans="1:9">
      <c r="A387" s="71">
        <v>44217</v>
      </c>
      <c r="B387" t="s">
        <v>157</v>
      </c>
      <c r="D387" t="s">
        <v>1862</v>
      </c>
      <c r="F387" s="86">
        <v>11432</v>
      </c>
      <c r="G387" t="s">
        <v>756</v>
      </c>
      <c r="H387">
        <v>3741</v>
      </c>
      <c r="I387" t="s">
        <v>1589</v>
      </c>
    </row>
    <row r="388" spans="1:9">
      <c r="A388" s="71">
        <v>44218</v>
      </c>
      <c r="B388" t="s">
        <v>157</v>
      </c>
      <c r="D388" t="s">
        <v>1863</v>
      </c>
      <c r="F388" s="86">
        <v>11432</v>
      </c>
      <c r="G388" t="s">
        <v>756</v>
      </c>
      <c r="H388">
        <v>4266</v>
      </c>
      <c r="I388" t="s">
        <v>1381</v>
      </c>
    </row>
    <row r="389" spans="1:9">
      <c r="A389" s="71">
        <v>44221</v>
      </c>
      <c r="B389" t="s">
        <v>777</v>
      </c>
      <c r="D389" t="s">
        <v>1864</v>
      </c>
      <c r="G389" t="s">
        <v>756</v>
      </c>
      <c r="H389">
        <v>4269</v>
      </c>
      <c r="I389" t="s">
        <v>1381</v>
      </c>
    </row>
    <row r="390" spans="1:9">
      <c r="A390" s="71">
        <v>44222</v>
      </c>
      <c r="B390" t="s">
        <v>1630</v>
      </c>
      <c r="D390" t="s">
        <v>1865</v>
      </c>
      <c r="F390" s="86">
        <v>9671</v>
      </c>
      <c r="G390" t="s">
        <v>756</v>
      </c>
      <c r="H390">
        <v>4303</v>
      </c>
      <c r="I390" t="s">
        <v>1339</v>
      </c>
    </row>
    <row r="391" spans="1:9">
      <c r="A391" s="71">
        <v>44222</v>
      </c>
      <c r="B391" t="s">
        <v>777</v>
      </c>
      <c r="D391" t="s">
        <v>1866</v>
      </c>
      <c r="G391" t="s">
        <v>756</v>
      </c>
      <c r="H391">
        <v>4271</v>
      </c>
      <c r="I391" t="s">
        <v>1381</v>
      </c>
    </row>
    <row r="392" spans="1:9">
      <c r="A392" s="71">
        <v>44223</v>
      </c>
      <c r="B392" t="s">
        <v>171</v>
      </c>
      <c r="D392" t="s">
        <v>1867</v>
      </c>
      <c r="F392" s="86">
        <v>2046</v>
      </c>
      <c r="G392" t="s">
        <v>756</v>
      </c>
      <c r="H392" t="s">
        <v>1868</v>
      </c>
      <c r="I392" t="s">
        <v>1347</v>
      </c>
    </row>
    <row r="393" spans="1:9">
      <c r="A393" s="71">
        <v>44223</v>
      </c>
      <c r="B393" t="s">
        <v>777</v>
      </c>
      <c r="D393" t="s">
        <v>1869</v>
      </c>
      <c r="G393" t="s">
        <v>756</v>
      </c>
      <c r="H393">
        <v>4273</v>
      </c>
      <c r="I393" t="s">
        <v>1381</v>
      </c>
    </row>
    <row r="394" spans="1:9">
      <c r="A394" s="71">
        <v>44223</v>
      </c>
      <c r="B394" t="s">
        <v>180</v>
      </c>
      <c r="D394" t="s">
        <v>1870</v>
      </c>
      <c r="F394" s="86">
        <v>2761</v>
      </c>
      <c r="G394" t="s">
        <v>756</v>
      </c>
      <c r="H394">
        <v>3842</v>
      </c>
      <c r="I394" t="s">
        <v>1347</v>
      </c>
    </row>
    <row r="395" spans="1:9">
      <c r="A395" s="71">
        <v>44223</v>
      </c>
      <c r="B395" t="s">
        <v>173</v>
      </c>
      <c r="D395" t="s">
        <v>1871</v>
      </c>
      <c r="F395" s="86">
        <v>2259</v>
      </c>
      <c r="G395" t="s">
        <v>756</v>
      </c>
      <c r="H395">
        <v>3841</v>
      </c>
      <c r="I395" t="s">
        <v>1347</v>
      </c>
    </row>
    <row r="396" spans="1:9">
      <c r="A396" s="71">
        <v>44223</v>
      </c>
      <c r="B396" t="s">
        <v>163</v>
      </c>
      <c r="D396" t="s">
        <v>1872</v>
      </c>
      <c r="F396" s="86">
        <v>5178</v>
      </c>
      <c r="G396" t="s">
        <v>756</v>
      </c>
      <c r="H396">
        <v>3839.1</v>
      </c>
      <c r="I396" t="s">
        <v>1347</v>
      </c>
    </row>
    <row r="397" spans="1:9">
      <c r="A397" s="71">
        <v>44224</v>
      </c>
      <c r="B397" t="s">
        <v>171</v>
      </c>
      <c r="D397" t="s">
        <v>1873</v>
      </c>
      <c r="F397" s="86">
        <v>2096</v>
      </c>
      <c r="G397" t="s">
        <v>756</v>
      </c>
      <c r="H397">
        <v>3843.1</v>
      </c>
      <c r="I397" t="s">
        <v>1347</v>
      </c>
    </row>
    <row r="398" spans="1:9">
      <c r="A398" s="71">
        <v>44224</v>
      </c>
      <c r="B398" t="s">
        <v>391</v>
      </c>
      <c r="D398" t="s">
        <v>1874</v>
      </c>
      <c r="F398" s="86">
        <v>14793</v>
      </c>
      <c r="G398" t="s">
        <v>756</v>
      </c>
      <c r="H398">
        <v>3250</v>
      </c>
      <c r="I398" t="s">
        <v>1339</v>
      </c>
    </row>
    <row r="399" spans="1:9">
      <c r="A399" s="71">
        <v>44228</v>
      </c>
      <c r="B399" t="s">
        <v>365</v>
      </c>
      <c r="D399" t="s">
        <v>1875</v>
      </c>
      <c r="G399" t="s">
        <v>756</v>
      </c>
      <c r="H399">
        <v>6524</v>
      </c>
      <c r="I399" t="s">
        <v>1487</v>
      </c>
    </row>
    <row r="400" spans="1:9">
      <c r="A400" s="71">
        <v>44228</v>
      </c>
      <c r="B400" t="s">
        <v>710</v>
      </c>
      <c r="D400" t="s">
        <v>1876</v>
      </c>
      <c r="F400" s="86">
        <v>16199</v>
      </c>
      <c r="G400" t="s">
        <v>756</v>
      </c>
      <c r="H400">
        <v>4310</v>
      </c>
      <c r="I400" t="s">
        <v>1339</v>
      </c>
    </row>
    <row r="401" spans="1:9">
      <c r="A401" s="71">
        <v>44228</v>
      </c>
      <c r="B401" t="s">
        <v>777</v>
      </c>
      <c r="D401" t="s">
        <v>1877</v>
      </c>
      <c r="F401" s="86">
        <v>4172</v>
      </c>
      <c r="G401" t="s">
        <v>756</v>
      </c>
      <c r="H401">
        <v>4308</v>
      </c>
      <c r="I401" t="s">
        <v>1339</v>
      </c>
    </row>
    <row r="402" spans="1:9">
      <c r="A402" s="71">
        <v>44228</v>
      </c>
      <c r="B402" t="s">
        <v>324</v>
      </c>
      <c r="D402" t="s">
        <v>1878</v>
      </c>
      <c r="F402" s="86">
        <v>11744</v>
      </c>
      <c r="G402" t="s">
        <v>756</v>
      </c>
      <c r="H402">
        <v>4307</v>
      </c>
      <c r="I402" t="s">
        <v>1339</v>
      </c>
    </row>
    <row r="403" spans="1:9">
      <c r="A403" s="71">
        <v>44228</v>
      </c>
      <c r="B403" t="s">
        <v>176</v>
      </c>
      <c r="D403" t="s">
        <v>1879</v>
      </c>
      <c r="G403" t="s">
        <v>756</v>
      </c>
      <c r="H403">
        <v>4279</v>
      </c>
      <c r="I403" t="s">
        <v>1381</v>
      </c>
    </row>
    <row r="404" spans="1:9">
      <c r="A404" s="71">
        <v>44228</v>
      </c>
      <c r="B404" t="s">
        <v>1630</v>
      </c>
      <c r="D404" t="s">
        <v>1880</v>
      </c>
      <c r="G404" t="s">
        <v>756</v>
      </c>
      <c r="H404">
        <v>4278</v>
      </c>
      <c r="I404" t="s">
        <v>1381</v>
      </c>
    </row>
    <row r="405" spans="1:9">
      <c r="A405" s="71">
        <v>44228</v>
      </c>
      <c r="B405" t="s">
        <v>688</v>
      </c>
      <c r="D405" t="s">
        <v>1881</v>
      </c>
      <c r="G405" t="s">
        <v>756</v>
      </c>
      <c r="H405">
        <v>2690</v>
      </c>
      <c r="I405" t="s">
        <v>1487</v>
      </c>
    </row>
    <row r="406" spans="1:9">
      <c r="A406" s="71">
        <v>44229</v>
      </c>
      <c r="B406" t="s">
        <v>336</v>
      </c>
      <c r="D406" t="s">
        <v>1882</v>
      </c>
      <c r="F406" s="86">
        <v>7573</v>
      </c>
      <c r="G406" t="s">
        <v>756</v>
      </c>
      <c r="H406">
        <v>4280</v>
      </c>
      <c r="I406" t="s">
        <v>1381</v>
      </c>
    </row>
    <row r="407" spans="1:9">
      <c r="A407" s="71">
        <v>44231</v>
      </c>
      <c r="B407" t="s">
        <v>786</v>
      </c>
      <c r="D407" t="s">
        <v>1883</v>
      </c>
      <c r="G407" t="s">
        <v>756</v>
      </c>
      <c r="H407">
        <v>3118</v>
      </c>
      <c r="I407" t="s">
        <v>1341</v>
      </c>
    </row>
    <row r="408" spans="1:9">
      <c r="A408" s="71">
        <v>44232</v>
      </c>
      <c r="B408" t="s">
        <v>1630</v>
      </c>
      <c r="D408" t="s">
        <v>1884</v>
      </c>
      <c r="G408" t="s">
        <v>756</v>
      </c>
      <c r="H408">
        <v>4281</v>
      </c>
      <c r="I408" t="s">
        <v>1381</v>
      </c>
    </row>
    <row r="409" spans="1:9">
      <c r="A409" s="71">
        <v>44232</v>
      </c>
      <c r="B409" t="s">
        <v>176</v>
      </c>
      <c r="D409" t="s">
        <v>1885</v>
      </c>
      <c r="G409" t="s">
        <v>756</v>
      </c>
      <c r="H409">
        <v>4232</v>
      </c>
      <c r="I409" t="s">
        <v>1756</v>
      </c>
    </row>
    <row r="410" spans="1:9">
      <c r="A410" s="71">
        <v>44232</v>
      </c>
      <c r="B410" t="s">
        <v>371</v>
      </c>
      <c r="D410" t="s">
        <v>1886</v>
      </c>
      <c r="F410" s="86">
        <v>12219</v>
      </c>
      <c r="G410" t="s">
        <v>756</v>
      </c>
      <c r="H410">
        <v>4309</v>
      </c>
      <c r="I410" t="s">
        <v>1657</v>
      </c>
    </row>
    <row r="411" spans="1:9" ht="45.75">
      <c r="A411" s="71">
        <v>44234</v>
      </c>
      <c r="B411" t="s">
        <v>330</v>
      </c>
      <c r="D411" s="50" t="s">
        <v>1887</v>
      </c>
      <c r="G411" t="s">
        <v>756</v>
      </c>
      <c r="H411">
        <v>3001</v>
      </c>
      <c r="I411" t="s">
        <v>1487</v>
      </c>
    </row>
    <row r="412" spans="1:9">
      <c r="A412" s="71">
        <v>44235</v>
      </c>
      <c r="B412" t="s">
        <v>1630</v>
      </c>
      <c r="D412" t="s">
        <v>1888</v>
      </c>
      <c r="F412" s="86">
        <v>9681</v>
      </c>
      <c r="G412" t="s">
        <v>756</v>
      </c>
      <c r="H412">
        <v>4283</v>
      </c>
      <c r="I412" t="s">
        <v>1381</v>
      </c>
    </row>
    <row r="413" spans="1:9">
      <c r="A413" s="71">
        <v>44235</v>
      </c>
      <c r="B413" t="s">
        <v>362</v>
      </c>
      <c r="D413" t="s">
        <v>1889</v>
      </c>
      <c r="G413" t="s">
        <v>756</v>
      </c>
      <c r="H413">
        <v>2698</v>
      </c>
      <c r="I413" t="s">
        <v>1657</v>
      </c>
    </row>
    <row r="414" spans="1:9">
      <c r="A414" s="71">
        <v>44236</v>
      </c>
      <c r="B414" t="s">
        <v>183</v>
      </c>
      <c r="D414" t="s">
        <v>1890</v>
      </c>
      <c r="G414" t="s">
        <v>756</v>
      </c>
      <c r="H414">
        <v>4236</v>
      </c>
      <c r="I414" t="s">
        <v>1756</v>
      </c>
    </row>
    <row r="415" spans="1:9">
      <c r="A415" s="71">
        <v>44236</v>
      </c>
      <c r="B415" t="s">
        <v>260</v>
      </c>
      <c r="D415" t="s">
        <v>1891</v>
      </c>
      <c r="G415" t="s">
        <v>756</v>
      </c>
      <c r="H415">
        <v>2699</v>
      </c>
      <c r="I415" t="s">
        <v>1487</v>
      </c>
    </row>
    <row r="416" spans="1:9">
      <c r="A416" s="71">
        <v>44237</v>
      </c>
      <c r="B416" t="s">
        <v>333</v>
      </c>
      <c r="D416" t="s">
        <v>1892</v>
      </c>
      <c r="G416" t="s">
        <v>756</v>
      </c>
      <c r="H416">
        <v>4285</v>
      </c>
      <c r="I416" t="s">
        <v>1381</v>
      </c>
    </row>
    <row r="417" spans="1:9">
      <c r="A417" s="71">
        <v>44237</v>
      </c>
      <c r="B417" t="s">
        <v>1630</v>
      </c>
      <c r="D417" t="s">
        <v>1893</v>
      </c>
      <c r="G417" t="s">
        <v>756</v>
      </c>
      <c r="H417">
        <v>4284</v>
      </c>
      <c r="I417" t="s">
        <v>1381</v>
      </c>
    </row>
    <row r="418" spans="1:9">
      <c r="A418" s="71">
        <v>44237</v>
      </c>
      <c r="B418" t="s">
        <v>1573</v>
      </c>
      <c r="D418" t="s">
        <v>1894</v>
      </c>
      <c r="F418" s="86">
        <v>1669</v>
      </c>
      <c r="G418" t="s">
        <v>756</v>
      </c>
      <c r="H418">
        <v>4237</v>
      </c>
      <c r="I418" t="s">
        <v>1756</v>
      </c>
    </row>
    <row r="419" spans="1:9">
      <c r="A419" s="71">
        <v>44237</v>
      </c>
      <c r="B419" t="s">
        <v>311</v>
      </c>
      <c r="D419" t="s">
        <v>1895</v>
      </c>
      <c r="G419" t="s">
        <v>756</v>
      </c>
      <c r="H419">
        <v>2700</v>
      </c>
      <c r="I419" t="s">
        <v>1487</v>
      </c>
    </row>
    <row r="420" spans="1:9">
      <c r="A420" s="71">
        <v>44238</v>
      </c>
      <c r="B420" t="s">
        <v>703</v>
      </c>
      <c r="D420" t="s">
        <v>1896</v>
      </c>
      <c r="F420" s="86">
        <v>11249</v>
      </c>
      <c r="G420" t="s">
        <v>756</v>
      </c>
      <c r="H420">
        <v>4286</v>
      </c>
      <c r="I420" t="s">
        <v>1381</v>
      </c>
    </row>
    <row r="421" spans="1:9">
      <c r="A421" s="71">
        <v>44239</v>
      </c>
      <c r="B421" t="s">
        <v>12</v>
      </c>
      <c r="D421" t="s">
        <v>1897</v>
      </c>
      <c r="F421" s="86">
        <v>732</v>
      </c>
      <c r="G421" t="s">
        <v>756</v>
      </c>
      <c r="H421">
        <v>4289</v>
      </c>
      <c r="I421" t="s">
        <v>1381</v>
      </c>
    </row>
    <row r="422" spans="1:9">
      <c r="A422" s="71">
        <v>44239</v>
      </c>
      <c r="B422" t="s">
        <v>1630</v>
      </c>
      <c r="D422" t="s">
        <v>1898</v>
      </c>
      <c r="G422" t="s">
        <v>756</v>
      </c>
      <c r="H422">
        <v>4288</v>
      </c>
      <c r="I422" t="s">
        <v>1381</v>
      </c>
    </row>
    <row r="423" spans="1:9">
      <c r="A423" s="71">
        <v>44240</v>
      </c>
      <c r="B423" t="s">
        <v>35</v>
      </c>
      <c r="D423" t="s">
        <v>1899</v>
      </c>
      <c r="F423" s="86">
        <v>3712</v>
      </c>
      <c r="G423" t="s">
        <v>756</v>
      </c>
      <c r="H423">
        <v>4312</v>
      </c>
      <c r="I423" t="s">
        <v>1339</v>
      </c>
    </row>
    <row r="424" spans="1:9">
      <c r="A424" s="71">
        <v>44240</v>
      </c>
      <c r="B424" t="s">
        <v>336</v>
      </c>
      <c r="D424" t="s">
        <v>1900</v>
      </c>
      <c r="G424" t="s">
        <v>756</v>
      </c>
      <c r="H424">
        <v>4351</v>
      </c>
      <c r="I424" t="s">
        <v>1657</v>
      </c>
    </row>
    <row r="425" spans="1:9">
      <c r="A425" s="71">
        <v>44241</v>
      </c>
      <c r="B425" t="s">
        <v>688</v>
      </c>
      <c r="D425" t="s">
        <v>1901</v>
      </c>
      <c r="G425" t="s">
        <v>756</v>
      </c>
      <c r="H425">
        <v>4254</v>
      </c>
      <c r="I425" t="s">
        <v>1381</v>
      </c>
    </row>
    <row r="426" spans="1:9">
      <c r="A426" s="71">
        <v>44241</v>
      </c>
      <c r="B426" t="s">
        <v>35</v>
      </c>
      <c r="D426" t="s">
        <v>1902</v>
      </c>
      <c r="F426" s="86">
        <v>3236</v>
      </c>
      <c r="G426" t="s">
        <v>756</v>
      </c>
      <c r="H426">
        <v>4238</v>
      </c>
      <c r="I426" t="s">
        <v>1756</v>
      </c>
    </row>
    <row r="427" spans="1:9">
      <c r="A427" s="71">
        <v>44242</v>
      </c>
      <c r="B427" t="s">
        <v>779</v>
      </c>
      <c r="D427" t="s">
        <v>1903</v>
      </c>
      <c r="G427" t="s">
        <v>756</v>
      </c>
      <c r="H427">
        <v>4292</v>
      </c>
      <c r="I427" t="s">
        <v>1381</v>
      </c>
    </row>
    <row r="428" spans="1:9">
      <c r="A428" s="71">
        <v>44242</v>
      </c>
      <c r="B428" t="s">
        <v>159</v>
      </c>
      <c r="D428" t="s">
        <v>1904</v>
      </c>
      <c r="F428" s="86">
        <v>7671</v>
      </c>
      <c r="G428" t="s">
        <v>756</v>
      </c>
      <c r="H428">
        <v>3457</v>
      </c>
      <c r="I428" t="s">
        <v>1905</v>
      </c>
    </row>
    <row r="429" spans="1:9">
      <c r="A429" s="71">
        <v>44242</v>
      </c>
      <c r="B429" t="s">
        <v>373</v>
      </c>
      <c r="D429" t="s">
        <v>1906</v>
      </c>
      <c r="G429" t="s">
        <v>756</v>
      </c>
      <c r="H429">
        <v>3158</v>
      </c>
      <c r="I429" t="s">
        <v>1487</v>
      </c>
    </row>
    <row r="430" spans="1:9">
      <c r="A430" s="71">
        <v>44243</v>
      </c>
      <c r="B430" t="s">
        <v>259</v>
      </c>
      <c r="D430" t="s">
        <v>1907</v>
      </c>
      <c r="F430" s="86">
        <v>17516</v>
      </c>
      <c r="G430" t="s">
        <v>756</v>
      </c>
      <c r="H430">
        <v>4353</v>
      </c>
      <c r="I430" t="s">
        <v>1487</v>
      </c>
    </row>
    <row r="431" spans="1:9">
      <c r="A431" s="71">
        <v>44243</v>
      </c>
      <c r="B431" t="s">
        <v>159</v>
      </c>
      <c r="D431" t="s">
        <v>1908</v>
      </c>
      <c r="F431" s="86">
        <v>7671</v>
      </c>
      <c r="G431" t="s">
        <v>756</v>
      </c>
      <c r="H431">
        <v>3051</v>
      </c>
      <c r="I431" t="s">
        <v>1347</v>
      </c>
    </row>
    <row r="432" spans="1:9">
      <c r="A432" s="71">
        <v>44244</v>
      </c>
      <c r="B432" t="s">
        <v>338</v>
      </c>
      <c r="D432" t="s">
        <v>1909</v>
      </c>
      <c r="F432" s="86">
        <v>22065</v>
      </c>
      <c r="G432" t="s">
        <v>756</v>
      </c>
      <c r="H432">
        <v>4293</v>
      </c>
      <c r="I432" t="s">
        <v>1381</v>
      </c>
    </row>
    <row r="433" spans="1:9">
      <c r="A433" s="71">
        <v>44245</v>
      </c>
      <c r="B433" t="s">
        <v>313</v>
      </c>
      <c r="D433" t="s">
        <v>1910</v>
      </c>
      <c r="F433" s="86">
        <v>18064</v>
      </c>
      <c r="G433" t="s">
        <v>756</v>
      </c>
      <c r="H433">
        <v>4294</v>
      </c>
      <c r="I433" t="s">
        <v>1381</v>
      </c>
    </row>
    <row r="434" spans="1:9">
      <c r="A434" s="71">
        <v>44245</v>
      </c>
      <c r="B434" t="s">
        <v>36</v>
      </c>
      <c r="D434" t="s">
        <v>1911</v>
      </c>
      <c r="F434" s="86">
        <v>3462</v>
      </c>
      <c r="G434" t="s">
        <v>756</v>
      </c>
      <c r="H434">
        <v>4313</v>
      </c>
      <c r="I434" t="s">
        <v>1339</v>
      </c>
    </row>
    <row r="435" spans="1:9">
      <c r="A435" s="71">
        <v>44245</v>
      </c>
      <c r="B435" t="s">
        <v>171</v>
      </c>
      <c r="D435" t="s">
        <v>1912</v>
      </c>
      <c r="F435" s="86">
        <v>2191</v>
      </c>
      <c r="G435" t="s">
        <v>756</v>
      </c>
      <c r="H435">
        <v>3053</v>
      </c>
      <c r="I435" t="s">
        <v>1347</v>
      </c>
    </row>
    <row r="436" spans="1:9">
      <c r="A436" s="71">
        <v>44246</v>
      </c>
      <c r="B436" t="s">
        <v>1630</v>
      </c>
      <c r="D436" t="s">
        <v>1913</v>
      </c>
      <c r="F436" s="86">
        <v>9681</v>
      </c>
      <c r="G436" t="s">
        <v>756</v>
      </c>
      <c r="H436">
        <v>4296</v>
      </c>
      <c r="I436" t="s">
        <v>1381</v>
      </c>
    </row>
    <row r="437" spans="1:9">
      <c r="A437" s="71">
        <v>44246</v>
      </c>
      <c r="B437" t="s">
        <v>334</v>
      </c>
      <c r="D437" t="s">
        <v>1914</v>
      </c>
      <c r="F437" s="86">
        <v>17395</v>
      </c>
      <c r="G437" t="s">
        <v>756</v>
      </c>
      <c r="H437">
        <v>4354</v>
      </c>
      <c r="I437" t="s">
        <v>1487</v>
      </c>
    </row>
    <row r="438" spans="1:9">
      <c r="A438" s="71">
        <v>44246</v>
      </c>
      <c r="B438" t="s">
        <v>712</v>
      </c>
      <c r="D438" t="s">
        <v>1915</v>
      </c>
      <c r="F438" s="86">
        <v>11710</v>
      </c>
      <c r="G438" t="s">
        <v>756</v>
      </c>
      <c r="H438">
        <v>3055</v>
      </c>
      <c r="I438" t="s">
        <v>1347</v>
      </c>
    </row>
    <row r="439" spans="1:9">
      <c r="A439" s="71">
        <v>44247</v>
      </c>
      <c r="B439" t="s">
        <v>230</v>
      </c>
      <c r="D439" t="s">
        <v>1916</v>
      </c>
      <c r="F439" s="86">
        <v>7543</v>
      </c>
      <c r="G439" t="s">
        <v>756</v>
      </c>
      <c r="H439">
        <v>4316</v>
      </c>
      <c r="I439" t="s">
        <v>1339</v>
      </c>
    </row>
    <row r="440" spans="1:9">
      <c r="A440" s="71">
        <v>44249</v>
      </c>
      <c r="B440" t="s">
        <v>712</v>
      </c>
      <c r="D440" t="s">
        <v>1917</v>
      </c>
      <c r="F440" s="86">
        <v>11701</v>
      </c>
      <c r="G440" t="s">
        <v>756</v>
      </c>
      <c r="H440">
        <v>4242</v>
      </c>
      <c r="I440" t="s">
        <v>1756</v>
      </c>
    </row>
    <row r="441" spans="1:9">
      <c r="A441" s="71">
        <v>44250</v>
      </c>
      <c r="B441" t="s">
        <v>712</v>
      </c>
      <c r="D441" t="s">
        <v>1918</v>
      </c>
      <c r="G441" t="s">
        <v>756</v>
      </c>
      <c r="H441">
        <v>4356</v>
      </c>
      <c r="I441" t="s">
        <v>1487</v>
      </c>
    </row>
    <row r="442" spans="1:9">
      <c r="A442" s="71">
        <v>44250</v>
      </c>
      <c r="B442" t="s">
        <v>39</v>
      </c>
      <c r="D442" t="s">
        <v>1919</v>
      </c>
      <c r="G442" t="s">
        <v>756</v>
      </c>
      <c r="H442">
        <v>4299</v>
      </c>
      <c r="I442" t="s">
        <v>1381</v>
      </c>
    </row>
    <row r="443" spans="1:9">
      <c r="A443" s="71">
        <v>44250</v>
      </c>
      <c r="B443" t="s">
        <v>12</v>
      </c>
      <c r="D443" t="s">
        <v>1920</v>
      </c>
      <c r="F443" s="86">
        <v>732</v>
      </c>
      <c r="G443" t="s">
        <v>756</v>
      </c>
      <c r="H443">
        <v>4298</v>
      </c>
      <c r="I443" t="s">
        <v>1381</v>
      </c>
    </row>
    <row r="444" spans="1:9">
      <c r="A444" s="71">
        <v>44250</v>
      </c>
      <c r="B444" t="s">
        <v>334</v>
      </c>
      <c r="D444" t="s">
        <v>1921</v>
      </c>
      <c r="F444" s="86">
        <v>17395</v>
      </c>
      <c r="G444" t="s">
        <v>756</v>
      </c>
      <c r="H444">
        <v>4355</v>
      </c>
      <c r="I444" t="s">
        <v>1487</v>
      </c>
    </row>
    <row r="445" spans="1:9">
      <c r="A445" s="71">
        <v>44250</v>
      </c>
      <c r="B445" t="s">
        <v>150</v>
      </c>
      <c r="D445" t="s">
        <v>1922</v>
      </c>
      <c r="G445" t="s">
        <v>756</v>
      </c>
      <c r="H445">
        <v>3058</v>
      </c>
      <c r="I445" t="s">
        <v>1347</v>
      </c>
    </row>
    <row r="446" spans="1:9">
      <c r="A446" s="71">
        <v>44250</v>
      </c>
      <c r="B446" t="s">
        <v>150</v>
      </c>
      <c r="D446" t="s">
        <v>1923</v>
      </c>
      <c r="G446" t="s">
        <v>756</v>
      </c>
      <c r="H446">
        <v>3057</v>
      </c>
      <c r="I446" t="s">
        <v>1347</v>
      </c>
    </row>
    <row r="447" spans="1:9">
      <c r="A447" s="71">
        <v>44250</v>
      </c>
      <c r="B447" t="s">
        <v>1924</v>
      </c>
      <c r="D447" t="s">
        <v>1925</v>
      </c>
      <c r="G447" t="s">
        <v>756</v>
      </c>
      <c r="H447">
        <v>3129</v>
      </c>
      <c r="I447" t="s">
        <v>1341</v>
      </c>
    </row>
    <row r="448" spans="1:9">
      <c r="A448" s="71">
        <v>44250</v>
      </c>
      <c r="B448" t="s">
        <v>173</v>
      </c>
      <c r="D448" t="s">
        <v>1926</v>
      </c>
      <c r="F448" s="86">
        <v>2388</v>
      </c>
      <c r="G448" t="s">
        <v>756</v>
      </c>
      <c r="H448">
        <v>3059</v>
      </c>
      <c r="I448" t="s">
        <v>1347</v>
      </c>
    </row>
    <row r="449" spans="1:9">
      <c r="A449" s="71">
        <v>44250</v>
      </c>
      <c r="B449" t="s">
        <v>781</v>
      </c>
      <c r="D449" t="s">
        <v>1927</v>
      </c>
      <c r="F449" s="86">
        <v>13374</v>
      </c>
      <c r="G449" t="s">
        <v>756</v>
      </c>
      <c r="H449">
        <v>3056</v>
      </c>
      <c r="I449" t="s">
        <v>1347</v>
      </c>
    </row>
    <row r="450" spans="1:9">
      <c r="A450" s="71">
        <v>44251</v>
      </c>
      <c r="B450" t="s">
        <v>1570</v>
      </c>
      <c r="D450" t="s">
        <v>1928</v>
      </c>
      <c r="G450" t="s">
        <v>756</v>
      </c>
      <c r="H450">
        <v>4357</v>
      </c>
      <c r="I450" t="s">
        <v>1487</v>
      </c>
    </row>
    <row r="451" spans="1:9">
      <c r="A451" s="71">
        <v>44251</v>
      </c>
      <c r="B451" t="s">
        <v>373</v>
      </c>
      <c r="D451" t="s">
        <v>1929</v>
      </c>
      <c r="G451" t="s">
        <v>756</v>
      </c>
      <c r="H451">
        <v>4297</v>
      </c>
      <c r="I451" t="s">
        <v>1381</v>
      </c>
    </row>
    <row r="452" spans="1:9">
      <c r="A452" s="71">
        <v>44251</v>
      </c>
      <c r="B452" t="s">
        <v>157</v>
      </c>
      <c r="D452" t="s">
        <v>1930</v>
      </c>
      <c r="G452" t="s">
        <v>756</v>
      </c>
      <c r="H452">
        <v>4244</v>
      </c>
      <c r="I452" t="s">
        <v>1756</v>
      </c>
    </row>
    <row r="453" spans="1:9">
      <c r="A453" s="71">
        <v>44252</v>
      </c>
      <c r="B453" t="s">
        <v>25</v>
      </c>
      <c r="D453" t="s">
        <v>1931</v>
      </c>
      <c r="G453" t="s">
        <v>756</v>
      </c>
      <c r="H453">
        <v>4247</v>
      </c>
      <c r="I453" t="s">
        <v>1756</v>
      </c>
    </row>
    <row r="454" spans="1:9">
      <c r="A454" s="71">
        <v>44252</v>
      </c>
      <c r="B454" t="s">
        <v>167</v>
      </c>
      <c r="D454" t="s">
        <v>1932</v>
      </c>
      <c r="F454" s="86">
        <v>2150</v>
      </c>
      <c r="G454" t="s">
        <v>756</v>
      </c>
      <c r="H454">
        <v>3061</v>
      </c>
      <c r="I454" t="s">
        <v>1347</v>
      </c>
    </row>
    <row r="455" spans="1:9">
      <c r="A455" s="71">
        <v>44252</v>
      </c>
      <c r="B455" t="s">
        <v>169</v>
      </c>
      <c r="D455" t="s">
        <v>1933</v>
      </c>
      <c r="F455" s="86">
        <v>2244</v>
      </c>
      <c r="G455" t="s">
        <v>756</v>
      </c>
      <c r="H455">
        <v>3060</v>
      </c>
      <c r="I455" t="s">
        <v>1347</v>
      </c>
    </row>
    <row r="456" spans="1:9">
      <c r="A456" s="71">
        <v>44252</v>
      </c>
      <c r="B456" t="s">
        <v>32</v>
      </c>
      <c r="D456" t="s">
        <v>1934</v>
      </c>
      <c r="G456" t="s">
        <v>756</v>
      </c>
      <c r="H456">
        <v>4246</v>
      </c>
      <c r="I456" t="s">
        <v>1756</v>
      </c>
    </row>
    <row r="457" spans="1:9">
      <c r="A457" s="71">
        <v>44253</v>
      </c>
      <c r="B457" t="s">
        <v>778</v>
      </c>
      <c r="D457" t="s">
        <v>1935</v>
      </c>
      <c r="F457" s="86">
        <v>7836</v>
      </c>
      <c r="G457" t="s">
        <v>756</v>
      </c>
      <c r="H457">
        <v>4248</v>
      </c>
      <c r="I457" t="s">
        <v>1756</v>
      </c>
    </row>
    <row r="458" spans="1:9">
      <c r="A458" s="71">
        <v>44253</v>
      </c>
      <c r="B458" t="s">
        <v>36</v>
      </c>
      <c r="D458" t="s">
        <v>1936</v>
      </c>
      <c r="F458" s="86">
        <v>3495</v>
      </c>
      <c r="G458" t="s">
        <v>756</v>
      </c>
      <c r="H458">
        <v>4249</v>
      </c>
      <c r="I458" t="s">
        <v>1756</v>
      </c>
    </row>
    <row r="459" spans="1:9">
      <c r="A459" s="71">
        <v>44254</v>
      </c>
      <c r="B459" t="s">
        <v>311</v>
      </c>
      <c r="D459" t="s">
        <v>1937</v>
      </c>
      <c r="G459" t="s">
        <v>756</v>
      </c>
      <c r="H459">
        <v>4358</v>
      </c>
      <c r="I459" t="s">
        <v>1487</v>
      </c>
    </row>
    <row r="460" spans="1:9">
      <c r="A460" s="71">
        <v>44257</v>
      </c>
      <c r="B460" t="s">
        <v>692</v>
      </c>
      <c r="D460" t="s">
        <v>1938</v>
      </c>
      <c r="G460" t="s">
        <v>756</v>
      </c>
      <c r="H460">
        <v>4360</v>
      </c>
      <c r="I460" t="s">
        <v>1487</v>
      </c>
    </row>
    <row r="461" spans="1:9">
      <c r="A461" s="71">
        <v>44258</v>
      </c>
      <c r="B461" t="s">
        <v>185</v>
      </c>
      <c r="D461" t="s">
        <v>1939</v>
      </c>
      <c r="G461" t="s">
        <v>756</v>
      </c>
      <c r="H461">
        <v>4404</v>
      </c>
      <c r="I461" t="s">
        <v>1756</v>
      </c>
    </row>
    <row r="462" spans="1:9">
      <c r="A462" s="71">
        <v>44258</v>
      </c>
      <c r="B462" t="s">
        <v>39</v>
      </c>
      <c r="D462" t="s">
        <v>1940</v>
      </c>
      <c r="G462" t="s">
        <v>756</v>
      </c>
      <c r="H462">
        <v>3906</v>
      </c>
      <c r="I462" t="s">
        <v>1381</v>
      </c>
    </row>
    <row r="463" spans="1:9">
      <c r="A463" s="71">
        <v>44259</v>
      </c>
      <c r="B463" t="s">
        <v>1924</v>
      </c>
      <c r="D463" t="s">
        <v>1941</v>
      </c>
      <c r="G463" t="s">
        <v>756</v>
      </c>
      <c r="H463">
        <v>3135</v>
      </c>
      <c r="I463" t="s">
        <v>1341</v>
      </c>
    </row>
    <row r="464" spans="1:9">
      <c r="A464" s="71">
        <v>44260</v>
      </c>
      <c r="B464" t="s">
        <v>712</v>
      </c>
      <c r="D464" t="s">
        <v>1942</v>
      </c>
      <c r="F464" s="86">
        <v>11752</v>
      </c>
      <c r="G464" t="s">
        <v>756</v>
      </c>
      <c r="H464">
        <v>4362</v>
      </c>
      <c r="I464" t="s">
        <v>1487</v>
      </c>
    </row>
    <row r="465" spans="1:9">
      <c r="A465" s="71">
        <v>44260</v>
      </c>
      <c r="B465" t="s">
        <v>39</v>
      </c>
      <c r="D465" t="s">
        <v>1943</v>
      </c>
      <c r="G465" t="s">
        <v>756</v>
      </c>
      <c r="H465">
        <v>3907</v>
      </c>
      <c r="I465" t="s">
        <v>1381</v>
      </c>
    </row>
    <row r="466" spans="1:9">
      <c r="A466" s="71">
        <v>44260</v>
      </c>
      <c r="B466" t="s">
        <v>371</v>
      </c>
      <c r="D466" t="s">
        <v>1944</v>
      </c>
      <c r="F466" s="86">
        <v>16824</v>
      </c>
      <c r="G466" t="s">
        <v>756</v>
      </c>
      <c r="H466">
        <v>3908</v>
      </c>
      <c r="I466" t="s">
        <v>1381</v>
      </c>
    </row>
    <row r="467" spans="1:9">
      <c r="A467" s="71">
        <v>44261</v>
      </c>
      <c r="B467" t="s">
        <v>373</v>
      </c>
      <c r="D467" t="s">
        <v>1945</v>
      </c>
      <c r="G467" t="s">
        <v>756</v>
      </c>
      <c r="H467">
        <v>4363</v>
      </c>
      <c r="I467" t="s">
        <v>1487</v>
      </c>
    </row>
    <row r="468" spans="1:9">
      <c r="A468" s="71">
        <v>44278</v>
      </c>
      <c r="B468" t="s">
        <v>351</v>
      </c>
      <c r="D468" t="s">
        <v>1946</v>
      </c>
      <c r="F468" s="86">
        <v>4535</v>
      </c>
      <c r="G468" t="s">
        <v>756</v>
      </c>
      <c r="H468">
        <v>4328</v>
      </c>
      <c r="I468" t="s">
        <v>1487</v>
      </c>
    </row>
    <row r="469" spans="1:9">
      <c r="A469" s="71">
        <v>44280</v>
      </c>
      <c r="B469" t="s">
        <v>157</v>
      </c>
      <c r="D469" t="s">
        <v>1947</v>
      </c>
      <c r="F469" s="86">
        <v>11607</v>
      </c>
      <c r="G469" t="s">
        <v>756</v>
      </c>
      <c r="H469">
        <v>3868</v>
      </c>
      <c r="I469" t="s">
        <v>1330</v>
      </c>
    </row>
    <row r="470" spans="1:9">
      <c r="A470" s="71">
        <v>44280</v>
      </c>
      <c r="B470" t="s">
        <v>342</v>
      </c>
      <c r="D470" t="s">
        <v>1948</v>
      </c>
      <c r="F470" s="86">
        <v>11401</v>
      </c>
      <c r="G470" t="s">
        <v>756</v>
      </c>
      <c r="H470">
        <v>4330</v>
      </c>
      <c r="I470" t="s">
        <v>1339</v>
      </c>
    </row>
    <row r="471" spans="1:9" ht="30.75">
      <c r="A471" s="71">
        <v>44281</v>
      </c>
      <c r="B471" t="s">
        <v>1630</v>
      </c>
      <c r="D471" s="50" t="s">
        <v>1949</v>
      </c>
      <c r="F471" s="86">
        <v>9790</v>
      </c>
      <c r="G471" t="s">
        <v>756</v>
      </c>
      <c r="H471">
        <v>3870</v>
      </c>
      <c r="I471" t="s">
        <v>1330</v>
      </c>
    </row>
    <row r="472" spans="1:9">
      <c r="A472" s="71">
        <v>44281</v>
      </c>
      <c r="B472" t="s">
        <v>351</v>
      </c>
      <c r="D472" t="s">
        <v>1950</v>
      </c>
      <c r="F472" s="86">
        <v>3869</v>
      </c>
      <c r="G472" t="s">
        <v>756</v>
      </c>
      <c r="H472">
        <v>3869</v>
      </c>
      <c r="I472" t="s">
        <v>1330</v>
      </c>
    </row>
    <row r="473" spans="1:9">
      <c r="A473" s="71">
        <v>44285</v>
      </c>
      <c r="B473" t="s">
        <v>1924</v>
      </c>
      <c r="D473" t="s">
        <v>1951</v>
      </c>
      <c r="G473" t="s">
        <v>756</v>
      </c>
      <c r="H473">
        <v>2605</v>
      </c>
      <c r="I473" t="s">
        <v>1341</v>
      </c>
    </row>
    <row r="474" spans="1:9">
      <c r="A474" s="71">
        <v>44291</v>
      </c>
      <c r="B474" t="s">
        <v>259</v>
      </c>
      <c r="D474" t="s">
        <v>1952</v>
      </c>
      <c r="F474" s="86">
        <v>17765</v>
      </c>
      <c r="G474" t="s">
        <v>756</v>
      </c>
      <c r="H474">
        <v>3875</v>
      </c>
      <c r="I474" t="s">
        <v>1330</v>
      </c>
    </row>
    <row r="475" spans="1:9">
      <c r="A475" s="71">
        <v>44291</v>
      </c>
      <c r="B475" t="s">
        <v>336</v>
      </c>
      <c r="D475" t="s">
        <v>1953</v>
      </c>
      <c r="F475" s="86">
        <v>7622</v>
      </c>
      <c r="G475" t="s">
        <v>756</v>
      </c>
      <c r="H475">
        <v>3873</v>
      </c>
      <c r="I475" t="s">
        <v>1330</v>
      </c>
    </row>
    <row r="476" spans="1:9">
      <c r="A476" s="71">
        <v>44292</v>
      </c>
      <c r="B476" t="s">
        <v>259</v>
      </c>
      <c r="D476" t="s">
        <v>1954</v>
      </c>
      <c r="F476" s="86">
        <v>17765</v>
      </c>
      <c r="G476" t="s">
        <v>756</v>
      </c>
      <c r="H476">
        <v>3876</v>
      </c>
      <c r="I476" t="s">
        <v>1330</v>
      </c>
    </row>
    <row r="477" spans="1:9">
      <c r="A477" s="71">
        <v>44293</v>
      </c>
      <c r="B477" t="s">
        <v>259</v>
      </c>
      <c r="D477" t="s">
        <v>1955</v>
      </c>
      <c r="F477" s="86">
        <v>17765</v>
      </c>
      <c r="G477" t="s">
        <v>756</v>
      </c>
      <c r="H477">
        <v>3877</v>
      </c>
      <c r="I477" t="s">
        <v>1330</v>
      </c>
    </row>
    <row r="478" spans="1:9">
      <c r="A478" s="71">
        <v>44293</v>
      </c>
      <c r="B478" t="s">
        <v>230</v>
      </c>
      <c r="D478" t="s">
        <v>1956</v>
      </c>
      <c r="F478" s="86">
        <v>3683</v>
      </c>
      <c r="G478" t="s">
        <v>756</v>
      </c>
      <c r="H478">
        <v>3872</v>
      </c>
      <c r="I478" t="s">
        <v>1330</v>
      </c>
    </row>
    <row r="479" spans="1:9">
      <c r="A479" s="71">
        <v>44293</v>
      </c>
      <c r="B479" t="s">
        <v>169</v>
      </c>
      <c r="D479" t="s">
        <v>1957</v>
      </c>
      <c r="F479" s="86">
        <v>2488</v>
      </c>
      <c r="G479" t="s">
        <v>756</v>
      </c>
      <c r="H479">
        <v>4334</v>
      </c>
      <c r="I479" t="s">
        <v>1339</v>
      </c>
    </row>
    <row r="480" spans="1:9">
      <c r="A480" s="71">
        <v>44294</v>
      </c>
      <c r="B480" t="s">
        <v>150</v>
      </c>
      <c r="D480" t="s">
        <v>1958</v>
      </c>
      <c r="G480" t="s">
        <v>756</v>
      </c>
      <c r="H480">
        <v>3878</v>
      </c>
      <c r="I480" t="s">
        <v>1330</v>
      </c>
    </row>
    <row r="481" spans="1:9">
      <c r="A481" s="71">
        <v>44294</v>
      </c>
      <c r="B481" t="s">
        <v>12</v>
      </c>
      <c r="D481" t="s">
        <v>1959</v>
      </c>
      <c r="F481" s="86">
        <v>732</v>
      </c>
      <c r="G481" t="s">
        <v>756</v>
      </c>
      <c r="H481">
        <v>3879</v>
      </c>
      <c r="I481" t="s">
        <v>1330</v>
      </c>
    </row>
    <row r="482" spans="1:9">
      <c r="A482" s="71">
        <v>44295</v>
      </c>
      <c r="B482" t="s">
        <v>150</v>
      </c>
      <c r="D482" t="s">
        <v>1960</v>
      </c>
      <c r="G482" t="s">
        <v>756</v>
      </c>
      <c r="H482">
        <v>3944</v>
      </c>
      <c r="I482" t="s">
        <v>1381</v>
      </c>
    </row>
    <row r="483" spans="1:9">
      <c r="A483" s="71">
        <v>44295</v>
      </c>
      <c r="B483" t="s">
        <v>230</v>
      </c>
      <c r="D483" t="s">
        <v>1961</v>
      </c>
      <c r="G483" t="s">
        <v>756</v>
      </c>
      <c r="H483">
        <v>3943</v>
      </c>
      <c r="I483" t="s">
        <v>1381</v>
      </c>
    </row>
    <row r="484" spans="1:9">
      <c r="A484" s="71">
        <v>44295</v>
      </c>
      <c r="B484" t="s">
        <v>362</v>
      </c>
      <c r="D484" t="s">
        <v>1962</v>
      </c>
      <c r="F484" s="86">
        <v>10587</v>
      </c>
      <c r="G484" t="s">
        <v>756</v>
      </c>
      <c r="H484">
        <v>3880</v>
      </c>
      <c r="I484" t="s">
        <v>1330</v>
      </c>
    </row>
    <row r="485" spans="1:9">
      <c r="A485" s="71">
        <v>44298</v>
      </c>
      <c r="B485" t="s">
        <v>1963</v>
      </c>
      <c r="G485" t="s">
        <v>756</v>
      </c>
      <c r="I485" t="s">
        <v>1756</v>
      </c>
    </row>
    <row r="486" spans="1:9">
      <c r="A486" s="71">
        <v>44298</v>
      </c>
      <c r="B486" t="s">
        <v>42</v>
      </c>
      <c r="D486" t="s">
        <v>1964</v>
      </c>
      <c r="G486" t="s">
        <v>756</v>
      </c>
      <c r="H486">
        <v>4439</v>
      </c>
      <c r="I486" t="s">
        <v>1560</v>
      </c>
    </row>
    <row r="487" spans="1:9">
      <c r="A487" s="71">
        <v>44298</v>
      </c>
      <c r="B487" t="s">
        <v>150</v>
      </c>
      <c r="D487" t="s">
        <v>1965</v>
      </c>
      <c r="G487" t="s">
        <v>756</v>
      </c>
      <c r="H487">
        <v>3946</v>
      </c>
      <c r="I487" t="s">
        <v>1381</v>
      </c>
    </row>
    <row r="488" spans="1:9">
      <c r="A488" s="71">
        <v>44298</v>
      </c>
      <c r="B488" t="s">
        <v>1963</v>
      </c>
      <c r="D488" t="s">
        <v>1966</v>
      </c>
      <c r="G488" t="s">
        <v>756</v>
      </c>
      <c r="H488">
        <v>3945</v>
      </c>
      <c r="I488" t="s">
        <v>1381</v>
      </c>
    </row>
    <row r="489" spans="1:9">
      <c r="A489" s="71">
        <v>44298</v>
      </c>
      <c r="B489" t="s">
        <v>12</v>
      </c>
      <c r="D489" t="s">
        <v>1967</v>
      </c>
      <c r="F489" s="86">
        <v>746</v>
      </c>
      <c r="G489" t="s">
        <v>756</v>
      </c>
      <c r="H489">
        <v>3881</v>
      </c>
      <c r="I489" t="s">
        <v>1330</v>
      </c>
    </row>
    <row r="490" spans="1:9">
      <c r="A490" s="71">
        <v>44299</v>
      </c>
      <c r="B490" t="s">
        <v>159</v>
      </c>
      <c r="G490" t="s">
        <v>756</v>
      </c>
      <c r="H490" t="s">
        <v>785</v>
      </c>
      <c r="I490" t="s">
        <v>1822</v>
      </c>
    </row>
    <row r="491" spans="1:9">
      <c r="A491" s="71">
        <v>44299</v>
      </c>
      <c r="B491" t="s">
        <v>159</v>
      </c>
      <c r="D491" t="s">
        <v>1968</v>
      </c>
      <c r="G491" t="s">
        <v>756</v>
      </c>
      <c r="H491">
        <v>4371</v>
      </c>
      <c r="I491" t="s">
        <v>1487</v>
      </c>
    </row>
    <row r="492" spans="1:9">
      <c r="A492" s="71">
        <v>44299</v>
      </c>
      <c r="B492" t="s">
        <v>1969</v>
      </c>
      <c r="D492" t="s">
        <v>1970</v>
      </c>
      <c r="F492" s="86">
        <v>4260</v>
      </c>
      <c r="G492" t="s">
        <v>756</v>
      </c>
      <c r="H492">
        <v>3947</v>
      </c>
      <c r="I492" t="s">
        <v>1381</v>
      </c>
    </row>
    <row r="493" spans="1:9">
      <c r="A493" s="71">
        <v>44299</v>
      </c>
      <c r="B493" t="s">
        <v>342</v>
      </c>
      <c r="D493" t="s">
        <v>1971</v>
      </c>
      <c r="F493" s="86">
        <v>11439</v>
      </c>
      <c r="G493" t="s">
        <v>756</v>
      </c>
      <c r="H493">
        <v>4338</v>
      </c>
      <c r="I493" t="s">
        <v>1339</v>
      </c>
    </row>
    <row r="494" spans="1:9">
      <c r="A494" s="71">
        <v>44299</v>
      </c>
      <c r="B494" t="s">
        <v>143</v>
      </c>
      <c r="D494" t="s">
        <v>1972</v>
      </c>
      <c r="G494" t="s">
        <v>756</v>
      </c>
      <c r="H494">
        <v>2606</v>
      </c>
      <c r="I494" t="s">
        <v>1341</v>
      </c>
    </row>
    <row r="495" spans="1:9">
      <c r="A495" s="71">
        <v>44300</v>
      </c>
      <c r="B495" t="s">
        <v>39</v>
      </c>
      <c r="D495" t="s">
        <v>1973</v>
      </c>
      <c r="G495" t="s">
        <v>756</v>
      </c>
      <c r="H495">
        <v>3884</v>
      </c>
      <c r="I495" t="s">
        <v>1330</v>
      </c>
    </row>
    <row r="496" spans="1:9">
      <c r="A496" s="71">
        <v>44300</v>
      </c>
      <c r="B496" t="s">
        <v>362</v>
      </c>
      <c r="D496" t="s">
        <v>1974</v>
      </c>
      <c r="G496" t="s">
        <v>756</v>
      </c>
      <c r="H496">
        <v>4372</v>
      </c>
      <c r="I496" t="s">
        <v>1487</v>
      </c>
    </row>
    <row r="497" spans="1:9">
      <c r="A497" s="71">
        <v>44300</v>
      </c>
      <c r="B497" t="s">
        <v>789</v>
      </c>
      <c r="D497" t="s">
        <v>1975</v>
      </c>
      <c r="G497" t="s">
        <v>756</v>
      </c>
      <c r="H497">
        <v>2608</v>
      </c>
      <c r="I497" t="s">
        <v>1341</v>
      </c>
    </row>
    <row r="498" spans="1:9">
      <c r="A498" s="71">
        <v>44301</v>
      </c>
      <c r="B498" t="s">
        <v>173</v>
      </c>
      <c r="D498" t="s">
        <v>1976</v>
      </c>
      <c r="G498" t="s">
        <v>756</v>
      </c>
      <c r="H498" t="s">
        <v>785</v>
      </c>
      <c r="I498" t="s">
        <v>1822</v>
      </c>
    </row>
    <row r="499" spans="1:9">
      <c r="A499" s="71">
        <v>44301</v>
      </c>
      <c r="B499" t="s">
        <v>180</v>
      </c>
      <c r="G499" t="s">
        <v>756</v>
      </c>
      <c r="H499" t="s">
        <v>785</v>
      </c>
      <c r="I499" t="s">
        <v>1822</v>
      </c>
    </row>
    <row r="500" spans="1:9">
      <c r="A500" s="71">
        <v>44301</v>
      </c>
      <c r="B500" t="s">
        <v>150</v>
      </c>
      <c r="D500" t="s">
        <v>1977</v>
      </c>
      <c r="F500" s="86">
        <v>7790</v>
      </c>
      <c r="G500" t="s">
        <v>756</v>
      </c>
      <c r="H500">
        <v>3949</v>
      </c>
      <c r="I500" t="s">
        <v>1381</v>
      </c>
    </row>
    <row r="501" spans="1:9">
      <c r="A501" s="71">
        <v>44301</v>
      </c>
      <c r="B501" t="s">
        <v>169</v>
      </c>
      <c r="D501" t="s">
        <v>1976</v>
      </c>
      <c r="G501" t="s">
        <v>756</v>
      </c>
      <c r="H501" t="s">
        <v>785</v>
      </c>
      <c r="I501" t="s">
        <v>1822</v>
      </c>
    </row>
    <row r="502" spans="1:9">
      <c r="A502" s="71">
        <v>44302</v>
      </c>
      <c r="B502" t="s">
        <v>150</v>
      </c>
      <c r="D502" t="s">
        <v>1978</v>
      </c>
      <c r="F502" s="86">
        <v>7794</v>
      </c>
      <c r="G502" t="s">
        <v>756</v>
      </c>
      <c r="H502">
        <v>3950</v>
      </c>
      <c r="I502" t="s">
        <v>1381</v>
      </c>
    </row>
    <row r="503" spans="1:9">
      <c r="A503" s="71">
        <v>44302</v>
      </c>
      <c r="B503" t="s">
        <v>230</v>
      </c>
      <c r="D503" t="s">
        <v>1979</v>
      </c>
      <c r="F503" s="86">
        <v>7720</v>
      </c>
      <c r="G503" t="s">
        <v>756</v>
      </c>
      <c r="H503">
        <v>3885</v>
      </c>
      <c r="I503" t="s">
        <v>1330</v>
      </c>
    </row>
    <row r="504" spans="1:9">
      <c r="A504" s="71">
        <v>44303</v>
      </c>
      <c r="B504" t="s">
        <v>1969</v>
      </c>
      <c r="D504" t="s">
        <v>1980</v>
      </c>
      <c r="F504" s="86">
        <v>4270</v>
      </c>
      <c r="G504" t="s">
        <v>756</v>
      </c>
      <c r="H504">
        <v>4341</v>
      </c>
      <c r="I504" t="s">
        <v>1339</v>
      </c>
    </row>
    <row r="505" spans="1:9">
      <c r="A505" s="71">
        <v>44303</v>
      </c>
      <c r="B505" t="s">
        <v>230</v>
      </c>
      <c r="D505" t="s">
        <v>1981</v>
      </c>
      <c r="F505" s="86">
        <v>7720</v>
      </c>
      <c r="G505" t="s">
        <v>756</v>
      </c>
      <c r="H505">
        <v>3886</v>
      </c>
      <c r="I505" t="s">
        <v>1330</v>
      </c>
    </row>
    <row r="506" spans="1:9">
      <c r="A506" s="71">
        <v>44305</v>
      </c>
      <c r="B506" t="s">
        <v>176</v>
      </c>
      <c r="D506" t="s">
        <v>1982</v>
      </c>
      <c r="G506" t="s">
        <v>756</v>
      </c>
      <c r="H506">
        <v>4445</v>
      </c>
      <c r="I506" t="s">
        <v>1756</v>
      </c>
    </row>
    <row r="507" spans="1:9">
      <c r="A507" s="71">
        <v>44305</v>
      </c>
      <c r="B507" t="s">
        <v>780</v>
      </c>
      <c r="D507" t="s">
        <v>1983</v>
      </c>
      <c r="G507" t="s">
        <v>756</v>
      </c>
      <c r="H507">
        <v>4444</v>
      </c>
      <c r="I507" t="s">
        <v>1756</v>
      </c>
    </row>
    <row r="508" spans="1:9" ht="60.75">
      <c r="A508" s="71">
        <v>44305</v>
      </c>
      <c r="B508" t="s">
        <v>1757</v>
      </c>
      <c r="D508" s="50" t="s">
        <v>1984</v>
      </c>
      <c r="G508" t="s">
        <v>756</v>
      </c>
      <c r="H508">
        <v>3951</v>
      </c>
      <c r="I508" t="s">
        <v>1381</v>
      </c>
    </row>
    <row r="509" spans="1:9">
      <c r="A509" s="71">
        <v>44305</v>
      </c>
      <c r="B509" t="s">
        <v>230</v>
      </c>
      <c r="D509" t="s">
        <v>1985</v>
      </c>
      <c r="F509" s="86">
        <v>7721</v>
      </c>
      <c r="G509" t="s">
        <v>756</v>
      </c>
      <c r="H509">
        <v>3887</v>
      </c>
      <c r="I509" t="s">
        <v>1330</v>
      </c>
    </row>
    <row r="510" spans="1:9">
      <c r="A510" s="71">
        <v>44306</v>
      </c>
      <c r="B510" t="s">
        <v>191</v>
      </c>
      <c r="D510" t="s">
        <v>1986</v>
      </c>
      <c r="G510" t="s">
        <v>756</v>
      </c>
      <c r="H510">
        <v>3953</v>
      </c>
      <c r="I510" t="s">
        <v>1381</v>
      </c>
    </row>
    <row r="511" spans="1:9">
      <c r="A511" s="71">
        <v>44307</v>
      </c>
      <c r="B511" t="s">
        <v>150</v>
      </c>
      <c r="D511" t="s">
        <v>1987</v>
      </c>
      <c r="G511" t="s">
        <v>756</v>
      </c>
      <c r="H511">
        <v>4446</v>
      </c>
      <c r="I511" t="s">
        <v>1756</v>
      </c>
    </row>
    <row r="512" spans="1:9">
      <c r="A512" s="71">
        <v>44307</v>
      </c>
      <c r="B512" t="s">
        <v>362</v>
      </c>
      <c r="D512" t="s">
        <v>1988</v>
      </c>
      <c r="G512" t="s">
        <v>756</v>
      </c>
      <c r="H512">
        <v>3956</v>
      </c>
      <c r="I512" t="s">
        <v>1381</v>
      </c>
    </row>
    <row r="513" spans="1:9">
      <c r="A513" s="71">
        <v>44307</v>
      </c>
      <c r="B513" t="s">
        <v>191</v>
      </c>
      <c r="D513" t="s">
        <v>1986</v>
      </c>
      <c r="G513" t="s">
        <v>756</v>
      </c>
      <c r="H513">
        <v>3955</v>
      </c>
      <c r="I513" t="s">
        <v>1381</v>
      </c>
    </row>
    <row r="514" spans="1:9">
      <c r="A514" s="71">
        <v>44308</v>
      </c>
      <c r="B514" t="s">
        <v>710</v>
      </c>
      <c r="D514" t="s">
        <v>1989</v>
      </c>
      <c r="F514" s="86">
        <v>12140</v>
      </c>
      <c r="G514" t="s">
        <v>756</v>
      </c>
      <c r="H514">
        <v>4447</v>
      </c>
      <c r="I514" t="s">
        <v>1756</v>
      </c>
    </row>
    <row r="515" spans="1:9">
      <c r="A515" s="71">
        <v>44308</v>
      </c>
      <c r="B515" t="s">
        <v>191</v>
      </c>
      <c r="D515" t="s">
        <v>1990</v>
      </c>
      <c r="G515" t="s">
        <v>756</v>
      </c>
      <c r="H515">
        <v>3957</v>
      </c>
      <c r="I515" t="s">
        <v>1381</v>
      </c>
    </row>
    <row r="516" spans="1:9">
      <c r="A516" s="71">
        <v>44308</v>
      </c>
      <c r="B516" t="s">
        <v>342</v>
      </c>
      <c r="D516" t="s">
        <v>1991</v>
      </c>
      <c r="F516" s="86">
        <v>11439</v>
      </c>
      <c r="G516" t="s">
        <v>756</v>
      </c>
      <c r="H516">
        <v>4342</v>
      </c>
      <c r="I516" t="s">
        <v>1657</v>
      </c>
    </row>
    <row r="517" spans="1:9">
      <c r="A517" s="71">
        <v>44309</v>
      </c>
      <c r="B517" t="s">
        <v>322</v>
      </c>
      <c r="D517" t="s">
        <v>1992</v>
      </c>
      <c r="G517" t="s">
        <v>756</v>
      </c>
      <c r="H517">
        <v>3958</v>
      </c>
      <c r="I517" t="s">
        <v>1589</v>
      </c>
    </row>
    <row r="518" spans="1:9">
      <c r="A518" s="71">
        <v>44309</v>
      </c>
      <c r="B518" t="s">
        <v>789</v>
      </c>
      <c r="D518" t="s">
        <v>1993</v>
      </c>
      <c r="G518" t="s">
        <v>756</v>
      </c>
      <c r="H518">
        <v>2612</v>
      </c>
      <c r="I518" t="s">
        <v>1341</v>
      </c>
    </row>
    <row r="519" spans="1:9">
      <c r="A519" s="71">
        <v>44312</v>
      </c>
      <c r="B519" t="s">
        <v>39</v>
      </c>
      <c r="D519" t="s">
        <v>1994</v>
      </c>
      <c r="G519" t="s">
        <v>756</v>
      </c>
      <c r="H519">
        <v>4376</v>
      </c>
      <c r="I519" t="s">
        <v>1657</v>
      </c>
    </row>
    <row r="520" spans="1:9">
      <c r="A520" s="71">
        <v>44312</v>
      </c>
      <c r="B520" t="s">
        <v>322</v>
      </c>
      <c r="D520" t="s">
        <v>1995</v>
      </c>
      <c r="G520" t="s">
        <v>756</v>
      </c>
      <c r="H520">
        <v>3959</v>
      </c>
      <c r="I520" t="s">
        <v>1589</v>
      </c>
    </row>
    <row r="521" spans="1:9">
      <c r="A521" s="71">
        <v>44312</v>
      </c>
      <c r="B521" t="s">
        <v>196</v>
      </c>
      <c r="D521" t="s">
        <v>1996</v>
      </c>
      <c r="F521" s="86">
        <v>324</v>
      </c>
      <c r="G521" t="s">
        <v>756</v>
      </c>
      <c r="H521">
        <v>3891</v>
      </c>
      <c r="I521" t="s">
        <v>1330</v>
      </c>
    </row>
    <row r="522" spans="1:9">
      <c r="A522" s="71">
        <v>44313</v>
      </c>
      <c r="B522" t="s">
        <v>334</v>
      </c>
      <c r="D522" t="s">
        <v>1997</v>
      </c>
      <c r="G522" t="s">
        <v>756</v>
      </c>
      <c r="H522">
        <v>3960</v>
      </c>
      <c r="I522" t="s">
        <v>1381</v>
      </c>
    </row>
    <row r="523" spans="1:9">
      <c r="A523" s="71">
        <v>44313</v>
      </c>
      <c r="B523" t="s">
        <v>159</v>
      </c>
      <c r="D523" t="s">
        <v>1998</v>
      </c>
      <c r="G523" t="s">
        <v>756</v>
      </c>
      <c r="H523">
        <v>3961</v>
      </c>
      <c r="I523" t="s">
        <v>1381</v>
      </c>
    </row>
    <row r="524" spans="1:9" ht="30.75">
      <c r="A524" s="71">
        <v>44314</v>
      </c>
      <c r="B524" t="s">
        <v>334</v>
      </c>
      <c r="D524" s="50" t="s">
        <v>1999</v>
      </c>
      <c r="G524" t="s">
        <v>756</v>
      </c>
      <c r="H524">
        <v>3965</v>
      </c>
      <c r="I524" t="s">
        <v>1381</v>
      </c>
    </row>
    <row r="525" spans="1:9">
      <c r="A525" s="71">
        <v>44314</v>
      </c>
      <c r="B525" t="s">
        <v>259</v>
      </c>
      <c r="D525" t="s">
        <v>2000</v>
      </c>
      <c r="F525" s="86">
        <v>17868</v>
      </c>
      <c r="G525" t="s">
        <v>756</v>
      </c>
      <c r="H525">
        <v>3895</v>
      </c>
      <c r="I525" t="s">
        <v>1330</v>
      </c>
    </row>
    <row r="526" spans="1:9">
      <c r="A526" s="71">
        <v>44316</v>
      </c>
      <c r="B526" t="s">
        <v>1573</v>
      </c>
      <c r="D526" t="s">
        <v>2001</v>
      </c>
      <c r="F526" s="86">
        <v>1681</v>
      </c>
      <c r="G526" t="s">
        <v>756</v>
      </c>
      <c r="H526">
        <v>3896</v>
      </c>
      <c r="I526" t="s">
        <v>1330</v>
      </c>
    </row>
    <row r="527" spans="1:9">
      <c r="A527" s="71">
        <v>44319</v>
      </c>
      <c r="B527" t="s">
        <v>369</v>
      </c>
      <c r="D527" t="s">
        <v>2002</v>
      </c>
      <c r="F527" s="86">
        <v>9126</v>
      </c>
      <c r="G527" t="s">
        <v>756</v>
      </c>
      <c r="H527">
        <v>3897</v>
      </c>
      <c r="I527" t="s">
        <v>1330</v>
      </c>
    </row>
    <row r="528" spans="1:9">
      <c r="A528" s="71">
        <v>44321</v>
      </c>
      <c r="B528" t="s">
        <v>1969</v>
      </c>
      <c r="D528" t="s">
        <v>2003</v>
      </c>
      <c r="F528" s="86">
        <v>4326</v>
      </c>
      <c r="G528" t="s">
        <v>756</v>
      </c>
      <c r="H528">
        <v>3898</v>
      </c>
      <c r="I528" t="s">
        <v>1339</v>
      </c>
    </row>
    <row r="529" spans="1:9">
      <c r="A529" s="71">
        <v>44323</v>
      </c>
      <c r="B529" t="s">
        <v>188</v>
      </c>
      <c r="D529" t="s">
        <v>2004</v>
      </c>
      <c r="G529" t="s">
        <v>756</v>
      </c>
      <c r="H529">
        <v>4349</v>
      </c>
      <c r="I529" t="s">
        <v>1339</v>
      </c>
    </row>
    <row r="530" spans="1:9">
      <c r="A530" s="71">
        <v>44323</v>
      </c>
      <c r="B530" t="s">
        <v>180</v>
      </c>
      <c r="D530" t="s">
        <v>2005</v>
      </c>
      <c r="F530" s="86">
        <v>3165</v>
      </c>
      <c r="G530" t="s">
        <v>756</v>
      </c>
      <c r="H530">
        <v>4348</v>
      </c>
      <c r="I530" t="s">
        <v>1339</v>
      </c>
    </row>
    <row r="531" spans="1:9">
      <c r="A531" s="71">
        <v>44323</v>
      </c>
      <c r="B531" t="s">
        <v>313</v>
      </c>
      <c r="D531" t="s">
        <v>2006</v>
      </c>
      <c r="F531" s="86">
        <v>18392</v>
      </c>
      <c r="G531" t="s">
        <v>756</v>
      </c>
      <c r="H531">
        <v>3900</v>
      </c>
      <c r="I531" t="s">
        <v>1339</v>
      </c>
    </row>
    <row r="532" spans="1:9">
      <c r="A532" s="71">
        <v>44323</v>
      </c>
      <c r="B532" t="s">
        <v>183</v>
      </c>
      <c r="D532" t="s">
        <v>2007</v>
      </c>
      <c r="F532" s="86">
        <v>6</v>
      </c>
      <c r="G532" t="s">
        <v>756</v>
      </c>
      <c r="H532">
        <v>3899</v>
      </c>
      <c r="I532" t="s">
        <v>1330</v>
      </c>
    </row>
    <row r="533" spans="1:9">
      <c r="A533" s="71">
        <v>44326</v>
      </c>
      <c r="B533" t="s">
        <v>322</v>
      </c>
      <c r="D533" t="s">
        <v>2008</v>
      </c>
      <c r="F533" s="86">
        <v>23433</v>
      </c>
      <c r="G533" t="s">
        <v>756</v>
      </c>
      <c r="H533">
        <v>3553</v>
      </c>
      <c r="I533" t="s">
        <v>1330</v>
      </c>
    </row>
    <row r="534" spans="1:9">
      <c r="A534" s="71">
        <v>44326</v>
      </c>
      <c r="B534" t="s">
        <v>42</v>
      </c>
      <c r="D534" t="s">
        <v>2009</v>
      </c>
      <c r="G534" t="s">
        <v>756</v>
      </c>
      <c r="H534">
        <v>3461</v>
      </c>
      <c r="I534" t="s">
        <v>1560</v>
      </c>
    </row>
    <row r="535" spans="1:9">
      <c r="A535" s="71">
        <v>44327</v>
      </c>
      <c r="B535" t="s">
        <v>322</v>
      </c>
      <c r="D535" t="s">
        <v>2010</v>
      </c>
      <c r="F535" s="86">
        <v>23433</v>
      </c>
      <c r="G535" t="s">
        <v>756</v>
      </c>
      <c r="H535">
        <v>3153</v>
      </c>
      <c r="I535" t="s">
        <v>1598</v>
      </c>
    </row>
    <row r="536" spans="1:9">
      <c r="A536" s="71">
        <v>44329</v>
      </c>
      <c r="B536" t="s">
        <v>313</v>
      </c>
      <c r="D536" t="s">
        <v>2011</v>
      </c>
      <c r="F536" s="86">
        <v>18422</v>
      </c>
      <c r="G536" t="s">
        <v>756</v>
      </c>
      <c r="H536" t="s">
        <v>2012</v>
      </c>
      <c r="I536" t="s">
        <v>1339</v>
      </c>
    </row>
    <row r="537" spans="1:9">
      <c r="A537" s="71">
        <v>44329</v>
      </c>
      <c r="B537" t="s">
        <v>773</v>
      </c>
      <c r="D537" t="s">
        <v>2013</v>
      </c>
      <c r="G537" t="s">
        <v>756</v>
      </c>
      <c r="H537">
        <v>3966</v>
      </c>
      <c r="I537" t="s">
        <v>1381</v>
      </c>
    </row>
    <row r="538" spans="1:9">
      <c r="A538" s="71">
        <v>44331</v>
      </c>
      <c r="B538" t="s">
        <v>656</v>
      </c>
      <c r="D538" t="s">
        <v>2014</v>
      </c>
      <c r="G538" t="s">
        <v>756</v>
      </c>
      <c r="H538" t="s">
        <v>785</v>
      </c>
      <c r="I538" t="s">
        <v>1822</v>
      </c>
    </row>
    <row r="539" spans="1:9">
      <c r="A539" s="71">
        <v>44331</v>
      </c>
      <c r="B539" t="s">
        <v>783</v>
      </c>
      <c r="D539" t="s">
        <v>2015</v>
      </c>
      <c r="G539" t="s">
        <v>756</v>
      </c>
      <c r="H539">
        <v>2619</v>
      </c>
      <c r="I539" t="s">
        <v>1341</v>
      </c>
    </row>
    <row r="540" spans="1:9">
      <c r="A540" s="71">
        <v>44334</v>
      </c>
      <c r="B540" t="s">
        <v>377</v>
      </c>
      <c r="D540" t="s">
        <v>2016</v>
      </c>
      <c r="F540" s="86">
        <v>6004</v>
      </c>
      <c r="G540" t="s">
        <v>756</v>
      </c>
      <c r="H540">
        <v>4377</v>
      </c>
      <c r="I540" t="s">
        <v>1487</v>
      </c>
    </row>
    <row r="541" spans="1:9">
      <c r="A541" s="71">
        <v>44334</v>
      </c>
      <c r="B541" t="s">
        <v>704</v>
      </c>
      <c r="D541" t="s">
        <v>2017</v>
      </c>
      <c r="F541" s="86">
        <v>2547</v>
      </c>
      <c r="G541" t="s">
        <v>756</v>
      </c>
      <c r="H541">
        <v>3559</v>
      </c>
      <c r="I541" t="s">
        <v>1330</v>
      </c>
    </row>
    <row r="542" spans="1:9">
      <c r="A542" s="71">
        <v>44334</v>
      </c>
      <c r="B542" t="s">
        <v>146</v>
      </c>
      <c r="D542" t="s">
        <v>2018</v>
      </c>
      <c r="G542" t="s">
        <v>756</v>
      </c>
      <c r="H542">
        <v>2622</v>
      </c>
      <c r="I542" t="s">
        <v>1341</v>
      </c>
    </row>
    <row r="543" spans="1:9">
      <c r="A543" s="71">
        <v>44335</v>
      </c>
      <c r="B543" t="s">
        <v>188</v>
      </c>
      <c r="D543" t="s">
        <v>2019</v>
      </c>
      <c r="F543" s="86">
        <v>7863</v>
      </c>
      <c r="G543" t="s">
        <v>756</v>
      </c>
      <c r="H543" t="s">
        <v>2020</v>
      </c>
      <c r="I543" t="s">
        <v>1339</v>
      </c>
    </row>
    <row r="544" spans="1:9">
      <c r="A544" s="71">
        <v>44336</v>
      </c>
      <c r="B544" t="s">
        <v>704</v>
      </c>
      <c r="D544" t="s">
        <v>2021</v>
      </c>
      <c r="F544" s="86">
        <v>2550</v>
      </c>
      <c r="G544" t="s">
        <v>756</v>
      </c>
      <c r="H544">
        <v>3563</v>
      </c>
      <c r="I544" t="s">
        <v>1330</v>
      </c>
    </row>
    <row r="545" spans="1:9">
      <c r="A545" s="71">
        <v>44340</v>
      </c>
      <c r="B545" t="s">
        <v>773</v>
      </c>
      <c r="D545" t="s">
        <v>2022</v>
      </c>
      <c r="G545" t="s">
        <v>756</v>
      </c>
      <c r="H545">
        <v>4378</v>
      </c>
      <c r="I545" t="s">
        <v>1487</v>
      </c>
    </row>
    <row r="546" spans="1:9">
      <c r="A546" s="71">
        <v>44340</v>
      </c>
      <c r="B546" t="s">
        <v>703</v>
      </c>
      <c r="D546" t="s">
        <v>2023</v>
      </c>
      <c r="G546" t="s">
        <v>756</v>
      </c>
      <c r="H546">
        <v>3462</v>
      </c>
      <c r="I546" t="s">
        <v>1330</v>
      </c>
    </row>
    <row r="547" spans="1:9">
      <c r="A547" s="71">
        <v>44341</v>
      </c>
      <c r="B547" t="s">
        <v>360</v>
      </c>
      <c r="D547" t="s">
        <v>2024</v>
      </c>
      <c r="G547" t="s">
        <v>756</v>
      </c>
      <c r="H547">
        <v>3978</v>
      </c>
      <c r="I547" t="s">
        <v>1756</v>
      </c>
    </row>
    <row r="548" spans="1:9">
      <c r="A548" s="71">
        <v>44341</v>
      </c>
      <c r="B548" t="s">
        <v>330</v>
      </c>
      <c r="D548" t="s">
        <v>2025</v>
      </c>
      <c r="F548" s="86">
        <v>5070</v>
      </c>
      <c r="G548" t="s">
        <v>756</v>
      </c>
      <c r="H548">
        <v>3566</v>
      </c>
      <c r="I548" t="s">
        <v>1330</v>
      </c>
    </row>
    <row r="549" spans="1:9">
      <c r="A549" s="71">
        <v>44342</v>
      </c>
      <c r="B549" t="s">
        <v>160</v>
      </c>
      <c r="D549" t="s">
        <v>2026</v>
      </c>
      <c r="G549" t="s">
        <v>756</v>
      </c>
      <c r="H549">
        <v>4379</v>
      </c>
      <c r="I549" t="s">
        <v>1487</v>
      </c>
    </row>
    <row r="550" spans="1:9">
      <c r="A550" s="71">
        <v>44342</v>
      </c>
      <c r="B550" t="s">
        <v>691</v>
      </c>
      <c r="D550" t="s">
        <v>2027</v>
      </c>
      <c r="G550" t="s">
        <v>756</v>
      </c>
      <c r="H550">
        <v>3980</v>
      </c>
      <c r="I550" t="s">
        <v>1756</v>
      </c>
    </row>
    <row r="551" spans="1:9">
      <c r="A551" s="71">
        <v>44342</v>
      </c>
      <c r="B551" t="s">
        <v>230</v>
      </c>
      <c r="D551" t="s">
        <v>2028</v>
      </c>
      <c r="F551" s="86">
        <v>7864</v>
      </c>
      <c r="G551" t="s">
        <v>756</v>
      </c>
      <c r="H551">
        <v>3567</v>
      </c>
      <c r="I551" t="s">
        <v>1330</v>
      </c>
    </row>
    <row r="552" spans="1:9">
      <c r="A552" s="71">
        <v>44343</v>
      </c>
      <c r="B552" t="s">
        <v>773</v>
      </c>
      <c r="D552" t="s">
        <v>2029</v>
      </c>
      <c r="G552" t="s">
        <v>756</v>
      </c>
      <c r="H552">
        <v>4382</v>
      </c>
      <c r="I552" t="s">
        <v>1487</v>
      </c>
    </row>
    <row r="553" spans="1:9">
      <c r="A553" s="71">
        <v>44343</v>
      </c>
      <c r="B553" t="s">
        <v>778</v>
      </c>
      <c r="D553" t="s">
        <v>2030</v>
      </c>
      <c r="G553" t="s">
        <v>756</v>
      </c>
      <c r="H553">
        <v>4381</v>
      </c>
      <c r="I553" t="s">
        <v>1487</v>
      </c>
    </row>
    <row r="554" spans="1:9">
      <c r="A554" s="71">
        <v>44343</v>
      </c>
      <c r="B554" t="s">
        <v>146</v>
      </c>
      <c r="D554" t="s">
        <v>2031</v>
      </c>
      <c r="G554" t="s">
        <v>756</v>
      </c>
      <c r="H554">
        <v>3355</v>
      </c>
      <c r="I554" t="s">
        <v>1756</v>
      </c>
    </row>
    <row r="555" spans="1:9">
      <c r="A555" s="71">
        <v>44343</v>
      </c>
      <c r="B555" t="s">
        <v>260</v>
      </c>
      <c r="D555" t="s">
        <v>2032</v>
      </c>
      <c r="F555" s="86">
        <v>7864</v>
      </c>
      <c r="G555" t="s">
        <v>756</v>
      </c>
      <c r="H555">
        <v>3211</v>
      </c>
      <c r="I555" t="s">
        <v>1339</v>
      </c>
    </row>
    <row r="556" spans="1:9">
      <c r="A556" s="71">
        <v>44344</v>
      </c>
      <c r="B556" t="s">
        <v>330</v>
      </c>
      <c r="D556" t="s">
        <v>2033</v>
      </c>
      <c r="G556" t="s">
        <v>756</v>
      </c>
      <c r="H556" s="89">
        <v>46170</v>
      </c>
      <c r="I556" t="s">
        <v>1855</v>
      </c>
    </row>
    <row r="557" spans="1:9">
      <c r="A557" s="71">
        <v>44344</v>
      </c>
      <c r="B557" t="s">
        <v>773</v>
      </c>
      <c r="D557" t="s">
        <v>2034</v>
      </c>
      <c r="G557" t="s">
        <v>756</v>
      </c>
      <c r="H557">
        <v>4383</v>
      </c>
      <c r="I557" t="s">
        <v>1487</v>
      </c>
    </row>
    <row r="558" spans="1:9">
      <c r="A558" s="71">
        <v>44344</v>
      </c>
      <c r="B558" t="s">
        <v>175</v>
      </c>
      <c r="D558" t="s">
        <v>2035</v>
      </c>
      <c r="F558" s="86">
        <v>3138</v>
      </c>
      <c r="G558" t="s">
        <v>756</v>
      </c>
      <c r="H558">
        <v>3216</v>
      </c>
      <c r="I558" t="s">
        <v>1339</v>
      </c>
    </row>
    <row r="559" spans="1:9">
      <c r="A559" s="71">
        <v>44345</v>
      </c>
      <c r="B559" t="s">
        <v>710</v>
      </c>
      <c r="D559" t="s">
        <v>2036</v>
      </c>
      <c r="G559" t="s">
        <v>756</v>
      </c>
      <c r="H559">
        <v>4384</v>
      </c>
      <c r="I559" t="s">
        <v>1487</v>
      </c>
    </row>
    <row r="560" spans="1:9">
      <c r="A560" s="71">
        <v>44347</v>
      </c>
      <c r="B560" t="s">
        <v>773</v>
      </c>
      <c r="D560" t="s">
        <v>2037</v>
      </c>
      <c r="G560" t="s">
        <v>756</v>
      </c>
      <c r="H560">
        <v>4385</v>
      </c>
      <c r="I560" t="s">
        <v>1347</v>
      </c>
    </row>
    <row r="561" spans="1:9">
      <c r="A561" s="71">
        <v>44347</v>
      </c>
      <c r="B561" t="s">
        <v>330</v>
      </c>
      <c r="D561" t="s">
        <v>2038</v>
      </c>
      <c r="G561" t="s">
        <v>756</v>
      </c>
      <c r="H561">
        <v>3987</v>
      </c>
      <c r="I561" t="s">
        <v>1855</v>
      </c>
    </row>
    <row r="562" spans="1:9">
      <c r="A562" s="71">
        <v>44348</v>
      </c>
      <c r="B562" t="s">
        <v>369</v>
      </c>
      <c r="D562" t="s">
        <v>2039</v>
      </c>
      <c r="F562" s="86">
        <v>9211</v>
      </c>
      <c r="G562" t="s">
        <v>756</v>
      </c>
      <c r="H562">
        <v>3575</v>
      </c>
      <c r="I562" t="s">
        <v>1487</v>
      </c>
    </row>
    <row r="563" spans="1:9">
      <c r="A563" s="71">
        <v>44348</v>
      </c>
      <c r="B563" t="s">
        <v>191</v>
      </c>
      <c r="D563" t="s">
        <v>2040</v>
      </c>
      <c r="G563" t="s">
        <v>756</v>
      </c>
      <c r="H563">
        <v>3357</v>
      </c>
      <c r="I563" t="s">
        <v>1756</v>
      </c>
    </row>
    <row r="564" spans="1:9">
      <c r="A564" s="71">
        <v>44348</v>
      </c>
      <c r="B564" t="s">
        <v>563</v>
      </c>
      <c r="D564" t="s">
        <v>2041</v>
      </c>
      <c r="G564" t="s">
        <v>756</v>
      </c>
      <c r="H564">
        <v>3356</v>
      </c>
      <c r="I564" t="s">
        <v>1756</v>
      </c>
    </row>
    <row r="565" spans="1:9">
      <c r="A565" s="71">
        <v>44349</v>
      </c>
      <c r="B565" t="s">
        <v>369</v>
      </c>
      <c r="D565" t="s">
        <v>2042</v>
      </c>
      <c r="F565" s="86">
        <v>9216</v>
      </c>
      <c r="G565" t="s">
        <v>756</v>
      </c>
      <c r="H565">
        <v>3576</v>
      </c>
      <c r="I565" t="s">
        <v>1487</v>
      </c>
    </row>
    <row r="566" spans="1:9">
      <c r="A566" s="71">
        <v>44349</v>
      </c>
      <c r="B566" t="s">
        <v>373</v>
      </c>
      <c r="D566" t="s">
        <v>2043</v>
      </c>
      <c r="F566" s="86">
        <v>2137</v>
      </c>
      <c r="G566" t="s">
        <v>756</v>
      </c>
      <c r="H566">
        <v>3358</v>
      </c>
      <c r="I566" t="s">
        <v>1756</v>
      </c>
    </row>
    <row r="567" spans="1:9">
      <c r="A567" s="71">
        <v>44350</v>
      </c>
      <c r="B567" t="s">
        <v>712</v>
      </c>
      <c r="D567" t="s">
        <v>2044</v>
      </c>
      <c r="F567" s="86">
        <v>12105</v>
      </c>
      <c r="G567" t="s">
        <v>756</v>
      </c>
      <c r="H567">
        <v>3998</v>
      </c>
      <c r="I567" t="s">
        <v>1855</v>
      </c>
    </row>
    <row r="568" spans="1:9">
      <c r="A568" s="71">
        <v>44350</v>
      </c>
      <c r="B568" t="s">
        <v>687</v>
      </c>
      <c r="D568" t="s">
        <v>2045</v>
      </c>
      <c r="F568" s="86">
        <v>7419</v>
      </c>
      <c r="G568" t="s">
        <v>756</v>
      </c>
      <c r="H568">
        <v>3360</v>
      </c>
      <c r="I568" t="s">
        <v>1756</v>
      </c>
    </row>
    <row r="569" spans="1:9">
      <c r="A569" s="71">
        <v>44350</v>
      </c>
      <c r="B569" t="s">
        <v>778</v>
      </c>
      <c r="G569" t="s">
        <v>756</v>
      </c>
      <c r="I569" t="s">
        <v>1598</v>
      </c>
    </row>
    <row r="570" spans="1:9">
      <c r="A570" s="71">
        <v>44351</v>
      </c>
      <c r="B570" t="s">
        <v>2046</v>
      </c>
      <c r="D570" t="s">
        <v>2047</v>
      </c>
      <c r="G570" t="s">
        <v>756</v>
      </c>
      <c r="H570">
        <v>4388</v>
      </c>
      <c r="I570" t="s">
        <v>1487</v>
      </c>
    </row>
    <row r="571" spans="1:9">
      <c r="A571" s="71">
        <v>44351</v>
      </c>
      <c r="B571" t="s">
        <v>19</v>
      </c>
      <c r="D571" t="s">
        <v>2048</v>
      </c>
      <c r="F571" s="86">
        <v>4055</v>
      </c>
      <c r="G571" t="s">
        <v>756</v>
      </c>
      <c r="H571">
        <v>4000</v>
      </c>
      <c r="I571" t="s">
        <v>1855</v>
      </c>
    </row>
    <row r="572" spans="1:9">
      <c r="A572" s="71">
        <v>44351</v>
      </c>
      <c r="B572" t="s">
        <v>19</v>
      </c>
      <c r="D572" t="s">
        <v>2049</v>
      </c>
      <c r="F572" s="86">
        <v>4056</v>
      </c>
      <c r="G572" t="s">
        <v>756</v>
      </c>
      <c r="H572">
        <v>3361</v>
      </c>
      <c r="I572" t="s">
        <v>1756</v>
      </c>
    </row>
    <row r="573" spans="1:9">
      <c r="A573" s="71">
        <v>44353</v>
      </c>
      <c r="B573" t="s">
        <v>346</v>
      </c>
      <c r="D573" t="s">
        <v>2050</v>
      </c>
      <c r="F573" s="86">
        <v>6530</v>
      </c>
      <c r="G573" t="s">
        <v>756</v>
      </c>
      <c r="H573">
        <v>3578</v>
      </c>
      <c r="I573" t="s">
        <v>1330</v>
      </c>
    </row>
    <row r="574" spans="1:9">
      <c r="A574" s="71">
        <v>44353</v>
      </c>
      <c r="B574" t="s">
        <v>12</v>
      </c>
      <c r="D574" t="s">
        <v>2051</v>
      </c>
      <c r="G574" t="s">
        <v>756</v>
      </c>
      <c r="H574">
        <v>3359</v>
      </c>
      <c r="I574" t="s">
        <v>1756</v>
      </c>
    </row>
    <row r="575" spans="1:9">
      <c r="A575" s="71">
        <v>44354</v>
      </c>
      <c r="B575" t="s">
        <v>1757</v>
      </c>
      <c r="D575" t="s">
        <v>2052</v>
      </c>
      <c r="G575" t="s">
        <v>756</v>
      </c>
      <c r="H575">
        <v>4391</v>
      </c>
      <c r="I575" t="s">
        <v>1487</v>
      </c>
    </row>
    <row r="576" spans="1:9">
      <c r="A576" s="71">
        <v>44354</v>
      </c>
      <c r="B576" t="s">
        <v>687</v>
      </c>
      <c r="D576" t="s">
        <v>2053</v>
      </c>
      <c r="G576" t="s">
        <v>756</v>
      </c>
      <c r="H576">
        <v>4390</v>
      </c>
      <c r="I576" t="s">
        <v>1487</v>
      </c>
    </row>
    <row r="577" spans="1:9">
      <c r="A577" s="71">
        <v>44354</v>
      </c>
      <c r="B577" t="s">
        <v>311</v>
      </c>
      <c r="D577" t="s">
        <v>2054</v>
      </c>
      <c r="F577" s="86">
        <v>12276</v>
      </c>
      <c r="G577" t="s">
        <v>756</v>
      </c>
      <c r="H577">
        <v>2306</v>
      </c>
      <c r="I577" t="s">
        <v>1756</v>
      </c>
    </row>
    <row r="578" spans="1:9">
      <c r="A578" s="71">
        <v>44354</v>
      </c>
      <c r="B578" t="s">
        <v>333</v>
      </c>
      <c r="D578" t="s">
        <v>2055</v>
      </c>
      <c r="G578" t="s">
        <v>756</v>
      </c>
      <c r="H578">
        <v>2301</v>
      </c>
      <c r="I578" t="s">
        <v>1756</v>
      </c>
    </row>
    <row r="579" spans="1:9">
      <c r="A579" s="71">
        <v>44355</v>
      </c>
      <c r="B579" t="s">
        <v>169</v>
      </c>
      <c r="D579" t="s">
        <v>2056</v>
      </c>
      <c r="F579" s="86">
        <v>2754</v>
      </c>
      <c r="G579" t="s">
        <v>756</v>
      </c>
      <c r="H579">
        <v>3365</v>
      </c>
      <c r="I579" t="s">
        <v>1756</v>
      </c>
    </row>
    <row r="580" spans="1:9">
      <c r="A580" s="71">
        <v>44355</v>
      </c>
      <c r="B580" t="s">
        <v>377</v>
      </c>
      <c r="D580" t="s">
        <v>2057</v>
      </c>
      <c r="F580" s="86">
        <v>6005</v>
      </c>
      <c r="G580" t="s">
        <v>756</v>
      </c>
      <c r="H580">
        <v>4392</v>
      </c>
      <c r="I580" t="s">
        <v>1487</v>
      </c>
    </row>
    <row r="581" spans="1:9">
      <c r="A581" s="71">
        <v>44355</v>
      </c>
      <c r="B581" t="s">
        <v>35</v>
      </c>
      <c r="D581" t="s">
        <v>2058</v>
      </c>
      <c r="F581" s="86">
        <v>3648</v>
      </c>
      <c r="G581" t="s">
        <v>756</v>
      </c>
      <c r="H581">
        <v>3367</v>
      </c>
      <c r="I581" t="s">
        <v>1756</v>
      </c>
    </row>
    <row r="582" spans="1:9">
      <c r="A582" s="71">
        <v>44355</v>
      </c>
      <c r="B582" t="s">
        <v>35</v>
      </c>
      <c r="D582" t="s">
        <v>2059</v>
      </c>
      <c r="G582" t="s">
        <v>756</v>
      </c>
      <c r="H582">
        <v>2309</v>
      </c>
      <c r="I582" t="s">
        <v>1381</v>
      </c>
    </row>
    <row r="583" spans="1:9">
      <c r="A583" s="71">
        <v>44355</v>
      </c>
      <c r="B583" t="s">
        <v>800</v>
      </c>
      <c r="D583" t="s">
        <v>2060</v>
      </c>
      <c r="G583" t="s">
        <v>756</v>
      </c>
      <c r="H583">
        <v>2308</v>
      </c>
      <c r="I583" t="s">
        <v>1756</v>
      </c>
    </row>
    <row r="584" spans="1:9">
      <c r="A584" s="71">
        <v>44356</v>
      </c>
      <c r="B584" t="s">
        <v>377</v>
      </c>
      <c r="D584" t="s">
        <v>2061</v>
      </c>
      <c r="F584" s="86">
        <v>6005</v>
      </c>
      <c r="G584" t="s">
        <v>756</v>
      </c>
      <c r="H584">
        <v>4393</v>
      </c>
      <c r="I584" t="s">
        <v>1487</v>
      </c>
    </row>
    <row r="585" spans="1:9">
      <c r="A585" s="71">
        <v>44356</v>
      </c>
      <c r="B585" t="s">
        <v>162</v>
      </c>
      <c r="D585" t="s">
        <v>2062</v>
      </c>
      <c r="G585" t="s">
        <v>756</v>
      </c>
      <c r="H585">
        <v>3581</v>
      </c>
      <c r="I585" t="s">
        <v>1330</v>
      </c>
    </row>
    <row r="586" spans="1:9">
      <c r="A586" s="71">
        <v>44356</v>
      </c>
      <c r="B586" t="s">
        <v>712</v>
      </c>
      <c r="D586" t="s">
        <v>2063</v>
      </c>
      <c r="F586" s="86">
        <v>12132</v>
      </c>
      <c r="G586" t="s">
        <v>756</v>
      </c>
      <c r="H586">
        <v>3222</v>
      </c>
      <c r="I586" t="s">
        <v>1339</v>
      </c>
    </row>
    <row r="587" spans="1:9">
      <c r="A587" s="71">
        <v>44356</v>
      </c>
      <c r="B587" t="s">
        <v>25</v>
      </c>
      <c r="D587" t="s">
        <v>2064</v>
      </c>
      <c r="G587" t="s">
        <v>756</v>
      </c>
      <c r="H587">
        <v>2315</v>
      </c>
      <c r="I587" t="s">
        <v>1756</v>
      </c>
    </row>
    <row r="588" spans="1:9">
      <c r="A588" s="71">
        <v>44356</v>
      </c>
      <c r="B588" t="s">
        <v>773</v>
      </c>
      <c r="D588" t="s">
        <v>2065</v>
      </c>
      <c r="G588" t="s">
        <v>756</v>
      </c>
      <c r="H588">
        <v>2314</v>
      </c>
      <c r="I588" t="s">
        <v>1381</v>
      </c>
    </row>
    <row r="589" spans="1:9">
      <c r="A589" s="71">
        <v>44357</v>
      </c>
      <c r="B589" t="s">
        <v>377</v>
      </c>
      <c r="D589" t="s">
        <v>2066</v>
      </c>
      <c r="G589" t="s">
        <v>756</v>
      </c>
      <c r="H589">
        <v>4394</v>
      </c>
      <c r="I589" t="s">
        <v>1487</v>
      </c>
    </row>
    <row r="590" spans="1:9">
      <c r="A590" s="71">
        <v>44357</v>
      </c>
      <c r="B590" t="s">
        <v>176</v>
      </c>
      <c r="D590" t="s">
        <v>2067</v>
      </c>
      <c r="G590" t="s">
        <v>756</v>
      </c>
      <c r="H590">
        <v>3582</v>
      </c>
      <c r="I590" t="s">
        <v>1330</v>
      </c>
    </row>
    <row r="591" spans="1:9">
      <c r="A591" s="71">
        <v>44357</v>
      </c>
      <c r="B591" t="s">
        <v>25</v>
      </c>
      <c r="D591" t="s">
        <v>2068</v>
      </c>
      <c r="F591" s="86">
        <v>2691</v>
      </c>
      <c r="G591" t="s">
        <v>756</v>
      </c>
      <c r="H591">
        <v>3370</v>
      </c>
      <c r="I591" t="s">
        <v>1756</v>
      </c>
    </row>
    <row r="592" spans="1:9">
      <c r="A592" s="71">
        <v>44357</v>
      </c>
      <c r="B592" t="s">
        <v>712</v>
      </c>
      <c r="D592" t="s">
        <v>2069</v>
      </c>
      <c r="F592" s="86">
        <v>12123</v>
      </c>
      <c r="G592" t="s">
        <v>756</v>
      </c>
      <c r="H592">
        <v>3223</v>
      </c>
      <c r="I592" t="s">
        <v>1339</v>
      </c>
    </row>
    <row r="593" spans="1:9">
      <c r="A593" s="71">
        <v>44358</v>
      </c>
      <c r="B593" t="s">
        <v>373</v>
      </c>
      <c r="D593" t="s">
        <v>2070</v>
      </c>
      <c r="F593" s="86">
        <v>2165</v>
      </c>
      <c r="G593" t="s">
        <v>756</v>
      </c>
      <c r="H593" t="s">
        <v>2071</v>
      </c>
      <c r="I593" t="s">
        <v>1756</v>
      </c>
    </row>
    <row r="594" spans="1:9">
      <c r="A594" s="71">
        <v>44358</v>
      </c>
      <c r="B594" t="s">
        <v>664</v>
      </c>
      <c r="D594" t="s">
        <v>2072</v>
      </c>
      <c r="G594" t="s">
        <v>756</v>
      </c>
      <c r="H594">
        <v>4396</v>
      </c>
      <c r="I594" t="s">
        <v>1487</v>
      </c>
    </row>
    <row r="595" spans="1:9">
      <c r="A595" s="71">
        <v>44358</v>
      </c>
      <c r="B595" t="s">
        <v>1685</v>
      </c>
      <c r="D595" t="s">
        <v>2073</v>
      </c>
      <c r="G595" t="s">
        <v>756</v>
      </c>
      <c r="H595">
        <v>3371</v>
      </c>
      <c r="I595" t="s">
        <v>1756</v>
      </c>
    </row>
    <row r="596" spans="1:9">
      <c r="A596" s="71">
        <v>44358</v>
      </c>
      <c r="B596" t="s">
        <v>712</v>
      </c>
      <c r="D596" t="s">
        <v>2074</v>
      </c>
      <c r="F596" s="86">
        <v>12123</v>
      </c>
      <c r="G596" t="s">
        <v>756</v>
      </c>
      <c r="H596">
        <v>3224</v>
      </c>
      <c r="I596" t="s">
        <v>1339</v>
      </c>
    </row>
    <row r="597" spans="1:9">
      <c r="A597" s="71">
        <v>44358</v>
      </c>
      <c r="B597" t="s">
        <v>311</v>
      </c>
      <c r="D597" t="s">
        <v>2075</v>
      </c>
      <c r="F597" s="86">
        <v>12303</v>
      </c>
      <c r="G597" t="s">
        <v>756</v>
      </c>
      <c r="H597">
        <v>3225</v>
      </c>
      <c r="I597" t="s">
        <v>1339</v>
      </c>
    </row>
    <row r="598" spans="1:9">
      <c r="A598" s="71">
        <v>44359</v>
      </c>
      <c r="B598" t="s">
        <v>180</v>
      </c>
      <c r="D598" t="s">
        <v>2076</v>
      </c>
      <c r="G598" t="s">
        <v>756</v>
      </c>
      <c r="H598">
        <v>4397</v>
      </c>
      <c r="I598" t="s">
        <v>1487</v>
      </c>
    </row>
    <row r="599" spans="1:9">
      <c r="A599" s="71">
        <v>44361</v>
      </c>
      <c r="B599" t="s">
        <v>778</v>
      </c>
      <c r="D599" t="s">
        <v>2077</v>
      </c>
      <c r="G599" t="s">
        <v>756</v>
      </c>
      <c r="H599">
        <v>4399</v>
      </c>
      <c r="I599" t="s">
        <v>1487</v>
      </c>
    </row>
    <row r="600" spans="1:9">
      <c r="A600" s="71">
        <v>44361</v>
      </c>
      <c r="B600" t="s">
        <v>784</v>
      </c>
      <c r="D600" t="s">
        <v>2078</v>
      </c>
      <c r="G600" t="s">
        <v>756</v>
      </c>
      <c r="H600">
        <v>2633</v>
      </c>
      <c r="I600" t="s">
        <v>1341</v>
      </c>
    </row>
    <row r="601" spans="1:9">
      <c r="A601" s="71">
        <v>44362</v>
      </c>
      <c r="B601" t="s">
        <v>239</v>
      </c>
      <c r="D601" t="s">
        <v>2079</v>
      </c>
      <c r="G601" t="s">
        <v>756</v>
      </c>
      <c r="H601">
        <v>4400</v>
      </c>
      <c r="I601" t="s">
        <v>1487</v>
      </c>
    </row>
    <row r="602" spans="1:9">
      <c r="A602" s="71">
        <v>44362</v>
      </c>
      <c r="B602" t="s">
        <v>162</v>
      </c>
      <c r="D602" t="s">
        <v>2080</v>
      </c>
      <c r="F602" s="86">
        <v>7841</v>
      </c>
      <c r="G602" t="s">
        <v>756</v>
      </c>
      <c r="H602">
        <v>3378</v>
      </c>
      <c r="I602" t="s">
        <v>1381</v>
      </c>
    </row>
    <row r="603" spans="1:9">
      <c r="A603" s="71">
        <v>44362</v>
      </c>
      <c r="B603" t="s">
        <v>162</v>
      </c>
      <c r="D603" t="s">
        <v>2081</v>
      </c>
      <c r="G603" t="s">
        <v>756</v>
      </c>
      <c r="H603">
        <v>2331</v>
      </c>
      <c r="I603" t="s">
        <v>1381</v>
      </c>
    </row>
    <row r="604" spans="1:9">
      <c r="A604" s="71">
        <v>44362</v>
      </c>
      <c r="B604" t="s">
        <v>377</v>
      </c>
      <c r="D604" t="s">
        <v>2082</v>
      </c>
      <c r="G604" t="s">
        <v>756</v>
      </c>
      <c r="H604">
        <v>3377</v>
      </c>
      <c r="I604" t="s">
        <v>1381</v>
      </c>
    </row>
    <row r="605" spans="1:9">
      <c r="A605" s="71">
        <v>44362</v>
      </c>
      <c r="B605" t="s">
        <v>567</v>
      </c>
      <c r="D605" t="s">
        <v>2083</v>
      </c>
      <c r="G605" t="s">
        <v>756</v>
      </c>
      <c r="H605">
        <v>2636</v>
      </c>
      <c r="I605" t="s">
        <v>1341</v>
      </c>
    </row>
    <row r="606" spans="1:9">
      <c r="A606" s="71">
        <v>44362</v>
      </c>
      <c r="B606" t="s">
        <v>784</v>
      </c>
      <c r="D606" t="s">
        <v>2084</v>
      </c>
      <c r="G606" t="s">
        <v>756</v>
      </c>
      <c r="H606">
        <v>2634</v>
      </c>
      <c r="I606" t="s">
        <v>1341</v>
      </c>
    </row>
    <row r="607" spans="1:9">
      <c r="A607" s="71">
        <v>44362</v>
      </c>
      <c r="B607" t="s">
        <v>377</v>
      </c>
      <c r="D607" t="s">
        <v>2085</v>
      </c>
      <c r="G607" t="s">
        <v>756</v>
      </c>
      <c r="H607">
        <v>2330</v>
      </c>
      <c r="I607" t="s">
        <v>1756</v>
      </c>
    </row>
    <row r="608" spans="1:9">
      <c r="A608" s="71">
        <v>44362</v>
      </c>
      <c r="B608" t="s">
        <v>324</v>
      </c>
      <c r="D608" t="s">
        <v>2086</v>
      </c>
      <c r="G608" t="s">
        <v>756</v>
      </c>
      <c r="H608">
        <v>2329</v>
      </c>
      <c r="I608" t="s">
        <v>1381</v>
      </c>
    </row>
    <row r="609" spans="1:9">
      <c r="A609" s="71">
        <v>44363</v>
      </c>
      <c r="B609" t="s">
        <v>710</v>
      </c>
      <c r="D609" t="s">
        <v>2087</v>
      </c>
      <c r="F609" s="86">
        <v>16441</v>
      </c>
      <c r="G609" t="s">
        <v>756</v>
      </c>
      <c r="H609">
        <v>3226</v>
      </c>
      <c r="I609" t="s">
        <v>1339</v>
      </c>
    </row>
    <row r="610" spans="1:9">
      <c r="A610" s="71">
        <v>44363</v>
      </c>
      <c r="B610" t="s">
        <v>710</v>
      </c>
      <c r="D610" t="s">
        <v>2088</v>
      </c>
      <c r="G610" t="s">
        <v>756</v>
      </c>
      <c r="H610">
        <v>2335</v>
      </c>
      <c r="I610" t="s">
        <v>1756</v>
      </c>
    </row>
    <row r="611" spans="1:9">
      <c r="A611" s="71">
        <v>44363</v>
      </c>
      <c r="B611" t="s">
        <v>330</v>
      </c>
      <c r="D611" t="s">
        <v>2089</v>
      </c>
      <c r="G611" t="s">
        <v>756</v>
      </c>
      <c r="H611">
        <v>2333</v>
      </c>
      <c r="I611" t="s">
        <v>1756</v>
      </c>
    </row>
    <row r="612" spans="1:9">
      <c r="A612" s="71">
        <v>44363</v>
      </c>
      <c r="B612" t="s">
        <v>333</v>
      </c>
      <c r="D612" t="s">
        <v>2090</v>
      </c>
      <c r="G612" t="s">
        <v>756</v>
      </c>
      <c r="H612">
        <v>2332.1</v>
      </c>
      <c r="I612" t="s">
        <v>1756</v>
      </c>
    </row>
    <row r="613" spans="1:9">
      <c r="A613" s="71">
        <v>44364</v>
      </c>
      <c r="B613" t="s">
        <v>330</v>
      </c>
      <c r="D613" t="s">
        <v>2091</v>
      </c>
      <c r="G613" t="s">
        <v>756</v>
      </c>
      <c r="H613">
        <v>3156</v>
      </c>
      <c r="I613" t="s">
        <v>1756</v>
      </c>
    </row>
    <row r="614" spans="1:9">
      <c r="A614" s="71">
        <v>44364</v>
      </c>
      <c r="B614" t="s">
        <v>330</v>
      </c>
      <c r="D614" t="s">
        <v>2092</v>
      </c>
      <c r="G614" t="s">
        <v>756</v>
      </c>
      <c r="H614">
        <v>2344</v>
      </c>
      <c r="I614" t="s">
        <v>1756</v>
      </c>
    </row>
    <row r="615" spans="1:9">
      <c r="A615" s="71">
        <v>44364</v>
      </c>
      <c r="B615" t="s">
        <v>710</v>
      </c>
      <c r="D615" t="s">
        <v>2093</v>
      </c>
      <c r="G615" t="s">
        <v>756</v>
      </c>
      <c r="H615">
        <v>2336</v>
      </c>
      <c r="I615" t="s">
        <v>1756</v>
      </c>
    </row>
    <row r="616" spans="1:9">
      <c r="A616" s="71">
        <v>44365</v>
      </c>
      <c r="B616" t="s">
        <v>346</v>
      </c>
      <c r="D616" t="s">
        <v>2094</v>
      </c>
      <c r="F616" s="86">
        <v>6576</v>
      </c>
      <c r="G616" t="s">
        <v>756</v>
      </c>
      <c r="H616">
        <v>3400</v>
      </c>
      <c r="I616" t="s">
        <v>1756</v>
      </c>
    </row>
    <row r="617" spans="1:9">
      <c r="A617" s="71">
        <v>44365</v>
      </c>
      <c r="B617" t="s">
        <v>146</v>
      </c>
      <c r="D617" t="s">
        <v>2095</v>
      </c>
      <c r="G617" t="s">
        <v>756</v>
      </c>
      <c r="H617">
        <v>3383</v>
      </c>
      <c r="I617" t="s">
        <v>1756</v>
      </c>
    </row>
    <row r="618" spans="1:9">
      <c r="A618" s="71">
        <v>44365</v>
      </c>
      <c r="B618" t="s">
        <v>704</v>
      </c>
      <c r="D618" t="s">
        <v>2096</v>
      </c>
      <c r="F618" s="86">
        <v>2621</v>
      </c>
      <c r="G618" t="s">
        <v>756</v>
      </c>
      <c r="H618">
        <v>3382</v>
      </c>
      <c r="I618" t="s">
        <v>1756</v>
      </c>
    </row>
    <row r="619" spans="1:9">
      <c r="A619" s="71">
        <v>44365</v>
      </c>
      <c r="B619" t="s">
        <v>373</v>
      </c>
      <c r="D619" t="s">
        <v>2097</v>
      </c>
      <c r="G619" t="s">
        <v>756</v>
      </c>
      <c r="H619">
        <v>2345</v>
      </c>
      <c r="I619" t="s">
        <v>1756</v>
      </c>
    </row>
    <row r="620" spans="1:9">
      <c r="A620" s="71">
        <v>44366</v>
      </c>
      <c r="B620" t="s">
        <v>311</v>
      </c>
      <c r="D620" t="s">
        <v>2098</v>
      </c>
      <c r="F620" s="86">
        <v>12340</v>
      </c>
      <c r="G620" t="s">
        <v>756</v>
      </c>
      <c r="H620">
        <v>3228</v>
      </c>
      <c r="I620" t="s">
        <v>1598</v>
      </c>
    </row>
    <row r="621" spans="1:9">
      <c r="A621" s="71">
        <v>44369</v>
      </c>
      <c r="B621" t="s">
        <v>330</v>
      </c>
      <c r="D621" t="s">
        <v>2099</v>
      </c>
      <c r="G621" t="s">
        <v>756</v>
      </c>
      <c r="H621">
        <v>3384</v>
      </c>
      <c r="I621" t="s">
        <v>1756</v>
      </c>
    </row>
    <row r="622" spans="1:9">
      <c r="A622" s="71">
        <v>44369</v>
      </c>
      <c r="B622" t="s">
        <v>330</v>
      </c>
      <c r="D622" t="s">
        <v>2100</v>
      </c>
      <c r="F622" s="86">
        <v>5155</v>
      </c>
      <c r="G622" t="s">
        <v>756</v>
      </c>
      <c r="H622">
        <v>2348</v>
      </c>
      <c r="I622" t="s">
        <v>1756</v>
      </c>
    </row>
    <row r="623" spans="1:9">
      <c r="A623" s="71">
        <v>44369</v>
      </c>
      <c r="B623" t="s">
        <v>239</v>
      </c>
      <c r="D623" t="s">
        <v>2101</v>
      </c>
      <c r="G623" t="s">
        <v>756</v>
      </c>
      <c r="H623">
        <v>7.1</v>
      </c>
      <c r="I623" t="s">
        <v>1347</v>
      </c>
    </row>
    <row r="624" spans="1:9">
      <c r="A624" s="71">
        <v>44370</v>
      </c>
      <c r="B624" t="s">
        <v>373</v>
      </c>
      <c r="D624" t="s">
        <v>2102</v>
      </c>
      <c r="G624" t="s">
        <v>756</v>
      </c>
      <c r="H624" t="s">
        <v>2103</v>
      </c>
      <c r="I624" t="s">
        <v>1756</v>
      </c>
    </row>
    <row r="625" spans="1:9">
      <c r="A625" s="71">
        <v>44370</v>
      </c>
      <c r="B625" t="s">
        <v>32</v>
      </c>
      <c r="D625" t="s">
        <v>2104</v>
      </c>
      <c r="F625" s="86">
        <v>3994</v>
      </c>
      <c r="G625" t="s">
        <v>756</v>
      </c>
      <c r="H625" t="s">
        <v>2105</v>
      </c>
      <c r="I625" t="s">
        <v>1855</v>
      </c>
    </row>
    <row r="626" spans="1:9">
      <c r="A626" s="71">
        <v>44370</v>
      </c>
      <c r="B626" t="s">
        <v>152</v>
      </c>
      <c r="D626" t="s">
        <v>2106</v>
      </c>
      <c r="G626" t="s">
        <v>756</v>
      </c>
      <c r="H626">
        <v>2104</v>
      </c>
      <c r="I626" t="s">
        <v>1381</v>
      </c>
    </row>
    <row r="627" spans="1:9">
      <c r="A627" s="71">
        <v>44370</v>
      </c>
      <c r="B627" t="s">
        <v>239</v>
      </c>
      <c r="D627" t="s">
        <v>2107</v>
      </c>
      <c r="G627" t="s">
        <v>756</v>
      </c>
      <c r="H627">
        <v>6</v>
      </c>
      <c r="I627" t="s">
        <v>1487</v>
      </c>
    </row>
    <row r="628" spans="1:9">
      <c r="A628" s="71">
        <v>44372</v>
      </c>
      <c r="B628" t="s">
        <v>703</v>
      </c>
      <c r="D628" t="s">
        <v>2108</v>
      </c>
      <c r="F628" s="86">
        <v>11761</v>
      </c>
      <c r="G628" t="s">
        <v>756</v>
      </c>
      <c r="H628">
        <v>3392</v>
      </c>
      <c r="I628" t="s">
        <v>1756</v>
      </c>
    </row>
    <row r="629" spans="1:9">
      <c r="A629" s="71">
        <v>44372</v>
      </c>
      <c r="B629" t="s">
        <v>691</v>
      </c>
      <c r="D629" t="s">
        <v>2109</v>
      </c>
      <c r="G629" t="s">
        <v>756</v>
      </c>
      <c r="H629">
        <v>2123.1</v>
      </c>
      <c r="I629" t="s">
        <v>1756</v>
      </c>
    </row>
    <row r="630" spans="1:9">
      <c r="A630" s="71">
        <v>44372</v>
      </c>
      <c r="B630" t="s">
        <v>163</v>
      </c>
      <c r="D630" t="s">
        <v>2110</v>
      </c>
      <c r="G630" t="s">
        <v>756</v>
      </c>
      <c r="H630">
        <v>2115.1</v>
      </c>
      <c r="I630" t="s">
        <v>1381</v>
      </c>
    </row>
    <row r="631" spans="1:9">
      <c r="A631" s="71">
        <v>44373</v>
      </c>
      <c r="B631" t="s">
        <v>781</v>
      </c>
      <c r="D631" t="s">
        <v>2111</v>
      </c>
      <c r="G631" t="s">
        <v>756</v>
      </c>
      <c r="H631">
        <v>3394</v>
      </c>
      <c r="I631" t="s">
        <v>1756</v>
      </c>
    </row>
    <row r="632" spans="1:9">
      <c r="A632" s="71">
        <v>44373</v>
      </c>
      <c r="B632" t="s">
        <v>691</v>
      </c>
      <c r="D632" t="s">
        <v>2112</v>
      </c>
      <c r="F632" s="86">
        <v>3207</v>
      </c>
      <c r="G632" t="s">
        <v>756</v>
      </c>
      <c r="H632">
        <v>3229</v>
      </c>
      <c r="I632" t="s">
        <v>1339</v>
      </c>
    </row>
    <row r="633" spans="1:9">
      <c r="A633" s="71">
        <v>44376</v>
      </c>
      <c r="B633" t="s">
        <v>39</v>
      </c>
      <c r="D633" t="s">
        <v>2113</v>
      </c>
      <c r="F633" s="86">
        <v>39</v>
      </c>
      <c r="G633" t="s">
        <v>756</v>
      </c>
      <c r="H633">
        <v>3584</v>
      </c>
      <c r="I633" t="s">
        <v>1330</v>
      </c>
    </row>
    <row r="634" spans="1:9">
      <c r="A634" s="71">
        <v>44376</v>
      </c>
      <c r="B634" t="s">
        <v>710</v>
      </c>
      <c r="D634" t="s">
        <v>2114</v>
      </c>
      <c r="G634" t="s">
        <v>756</v>
      </c>
      <c r="H634">
        <v>3395</v>
      </c>
      <c r="I634" t="s">
        <v>1756</v>
      </c>
    </row>
    <row r="635" spans="1:9">
      <c r="A635" s="71">
        <v>44376</v>
      </c>
      <c r="B635" t="s">
        <v>563</v>
      </c>
      <c r="D635" t="s">
        <v>2115</v>
      </c>
      <c r="G635" t="s">
        <v>756</v>
      </c>
      <c r="H635">
        <v>2641</v>
      </c>
      <c r="I635" t="s">
        <v>1341</v>
      </c>
    </row>
    <row r="636" spans="1:9">
      <c r="A636" s="71">
        <v>44376</v>
      </c>
      <c r="B636" t="s">
        <v>163</v>
      </c>
      <c r="D636" t="s">
        <v>2116</v>
      </c>
      <c r="G636" t="s">
        <v>756</v>
      </c>
      <c r="H636">
        <v>2116</v>
      </c>
      <c r="I636" t="s">
        <v>1381</v>
      </c>
    </row>
    <row r="637" spans="1:9">
      <c r="A637" s="71">
        <v>44377</v>
      </c>
      <c r="B637" t="s">
        <v>39</v>
      </c>
      <c r="D637" t="s">
        <v>2117</v>
      </c>
      <c r="F637" s="86">
        <v>40</v>
      </c>
      <c r="G637" t="s">
        <v>756</v>
      </c>
      <c r="H637">
        <v>3585</v>
      </c>
      <c r="I637" t="s">
        <v>1330</v>
      </c>
    </row>
    <row r="638" spans="1:9">
      <c r="A638" s="71">
        <v>44377</v>
      </c>
      <c r="B638" t="s">
        <v>783</v>
      </c>
      <c r="D638" t="s">
        <v>2118</v>
      </c>
      <c r="G638" t="s">
        <v>756</v>
      </c>
      <c r="H638">
        <v>2642</v>
      </c>
      <c r="I638" t="s">
        <v>1341</v>
      </c>
    </row>
    <row r="639" spans="1:9">
      <c r="A639" s="71">
        <v>44377</v>
      </c>
      <c r="B639" t="s">
        <v>687</v>
      </c>
      <c r="D639" t="s">
        <v>2119</v>
      </c>
      <c r="G639" t="s">
        <v>756</v>
      </c>
      <c r="H639">
        <v>2124.1</v>
      </c>
      <c r="I639" t="s">
        <v>1381</v>
      </c>
    </row>
    <row r="640" spans="1:9">
      <c r="A640" s="71">
        <v>44377</v>
      </c>
      <c r="B640" t="s">
        <v>687</v>
      </c>
      <c r="D640" t="s">
        <v>2119</v>
      </c>
      <c r="G640" t="s">
        <v>756</v>
      </c>
      <c r="H640">
        <v>2124</v>
      </c>
      <c r="I640" t="s">
        <v>1756</v>
      </c>
    </row>
    <row r="641" spans="1:9">
      <c r="A641" s="71">
        <v>44377</v>
      </c>
      <c r="B641" t="s">
        <v>773</v>
      </c>
      <c r="D641" t="s">
        <v>2120</v>
      </c>
      <c r="G641" t="s">
        <v>756</v>
      </c>
      <c r="H641">
        <v>2123</v>
      </c>
      <c r="I641" t="s">
        <v>1381</v>
      </c>
    </row>
    <row r="642" spans="1:9">
      <c r="A642" s="71">
        <v>44377</v>
      </c>
      <c r="B642" t="s">
        <v>780</v>
      </c>
      <c r="D642" t="s">
        <v>2121</v>
      </c>
      <c r="G642" t="s">
        <v>756</v>
      </c>
      <c r="H642">
        <v>8.1</v>
      </c>
      <c r="I642" t="s">
        <v>1487</v>
      </c>
    </row>
    <row r="643" spans="1:9">
      <c r="A643" s="71">
        <v>44378</v>
      </c>
      <c r="B643" t="s">
        <v>180</v>
      </c>
      <c r="D643" t="s">
        <v>2122</v>
      </c>
      <c r="F643" s="86">
        <v>3355</v>
      </c>
      <c r="G643" t="s">
        <v>756</v>
      </c>
      <c r="H643">
        <v>3398</v>
      </c>
      <c r="I643" t="s">
        <v>1756</v>
      </c>
    </row>
    <row r="644" spans="1:9">
      <c r="A644" s="71">
        <v>44378</v>
      </c>
      <c r="B644" t="s">
        <v>704</v>
      </c>
      <c r="D644" t="s">
        <v>2123</v>
      </c>
      <c r="F644" s="86">
        <v>2621</v>
      </c>
      <c r="G644" t="s">
        <v>756</v>
      </c>
      <c r="H644">
        <v>3397</v>
      </c>
      <c r="I644" t="s">
        <v>1756</v>
      </c>
    </row>
    <row r="645" spans="1:9">
      <c r="A645" s="71">
        <v>44378</v>
      </c>
      <c r="B645" t="s">
        <v>157</v>
      </c>
      <c r="D645" t="s">
        <v>2124</v>
      </c>
      <c r="G645" t="s">
        <v>756</v>
      </c>
      <c r="H645">
        <v>2128</v>
      </c>
      <c r="I645" t="s">
        <v>1381</v>
      </c>
    </row>
    <row r="646" spans="1:9">
      <c r="A646" s="71">
        <v>44379</v>
      </c>
      <c r="B646" t="s">
        <v>307</v>
      </c>
      <c r="D646" t="s">
        <v>2125</v>
      </c>
      <c r="F646" s="86">
        <v>11912</v>
      </c>
      <c r="G646" t="s">
        <v>756</v>
      </c>
      <c r="H646">
        <v>3399</v>
      </c>
      <c r="I646" t="s">
        <v>1756</v>
      </c>
    </row>
    <row r="647" spans="1:9">
      <c r="A647" s="71">
        <v>44379</v>
      </c>
      <c r="B647" t="s">
        <v>800</v>
      </c>
      <c r="D647" t="s">
        <v>2126</v>
      </c>
      <c r="G647" t="s">
        <v>756</v>
      </c>
      <c r="H647">
        <v>2134</v>
      </c>
      <c r="I647" t="s">
        <v>1381</v>
      </c>
    </row>
    <row r="648" spans="1:9">
      <c r="A648" s="71">
        <v>44382</v>
      </c>
      <c r="B648" t="s">
        <v>1777</v>
      </c>
      <c r="D648" t="s">
        <v>2127</v>
      </c>
      <c r="G648" t="s">
        <v>756</v>
      </c>
      <c r="H648">
        <v>2644</v>
      </c>
      <c r="I648" t="s">
        <v>1341</v>
      </c>
    </row>
    <row r="649" spans="1:9">
      <c r="A649" s="71">
        <v>44382</v>
      </c>
      <c r="B649" t="s">
        <v>373</v>
      </c>
      <c r="D649" t="s">
        <v>2128</v>
      </c>
      <c r="G649" t="s">
        <v>756</v>
      </c>
      <c r="H649">
        <v>2136</v>
      </c>
      <c r="I649" t="s">
        <v>1756</v>
      </c>
    </row>
    <row r="650" spans="1:9">
      <c r="A650" s="71">
        <v>44384</v>
      </c>
      <c r="B650" t="s">
        <v>162</v>
      </c>
      <c r="D650" t="s">
        <v>2129</v>
      </c>
      <c r="G650" t="s">
        <v>756</v>
      </c>
      <c r="H650">
        <v>1</v>
      </c>
      <c r="I650" t="s">
        <v>1756</v>
      </c>
    </row>
    <row r="651" spans="1:9">
      <c r="A651" s="71">
        <v>44384</v>
      </c>
      <c r="B651" t="s">
        <v>800</v>
      </c>
      <c r="D651" t="s">
        <v>2130</v>
      </c>
      <c r="F651" s="86">
        <v>5162</v>
      </c>
      <c r="G651" t="s">
        <v>756</v>
      </c>
      <c r="H651">
        <v>2149</v>
      </c>
      <c r="I651" t="s">
        <v>1560</v>
      </c>
    </row>
    <row r="652" spans="1:9">
      <c r="A652" s="71">
        <v>44385</v>
      </c>
      <c r="B652" t="s">
        <v>710</v>
      </c>
      <c r="D652" t="s">
        <v>2131</v>
      </c>
      <c r="F652" s="86">
        <v>16431</v>
      </c>
      <c r="G652" t="s">
        <v>756</v>
      </c>
      <c r="H652">
        <v>3590</v>
      </c>
      <c r="I652" t="s">
        <v>1330</v>
      </c>
    </row>
    <row r="653" spans="1:9">
      <c r="A653" s="71">
        <v>44385</v>
      </c>
      <c r="B653" t="s">
        <v>783</v>
      </c>
      <c r="D653" t="s">
        <v>2132</v>
      </c>
      <c r="F653" s="86">
        <v>111645</v>
      </c>
      <c r="G653" t="s">
        <v>756</v>
      </c>
      <c r="H653">
        <v>3069</v>
      </c>
      <c r="I653" t="s">
        <v>1347</v>
      </c>
    </row>
    <row r="654" spans="1:9">
      <c r="A654" s="71">
        <v>44386</v>
      </c>
      <c r="B654" t="s">
        <v>36</v>
      </c>
      <c r="D654" t="s">
        <v>2133</v>
      </c>
      <c r="G654" t="s">
        <v>756</v>
      </c>
      <c r="H654">
        <v>6807</v>
      </c>
      <c r="I654" t="s">
        <v>1381</v>
      </c>
    </row>
    <row r="655" spans="1:9">
      <c r="A655" s="71">
        <v>44389</v>
      </c>
      <c r="B655" t="s">
        <v>330</v>
      </c>
      <c r="D655" t="s">
        <v>2134</v>
      </c>
      <c r="G655" t="s">
        <v>756</v>
      </c>
      <c r="H655">
        <v>6811</v>
      </c>
      <c r="I655" t="s">
        <v>1756</v>
      </c>
    </row>
    <row r="656" spans="1:9">
      <c r="A656" s="71">
        <v>44389</v>
      </c>
      <c r="B656" t="s">
        <v>328</v>
      </c>
      <c r="D656" t="s">
        <v>2135</v>
      </c>
      <c r="G656" t="s">
        <v>756</v>
      </c>
      <c r="H656">
        <v>6810</v>
      </c>
      <c r="I656" t="s">
        <v>1756</v>
      </c>
    </row>
    <row r="657" spans="1:9">
      <c r="A657" s="71">
        <v>44389</v>
      </c>
      <c r="B657" t="s">
        <v>710</v>
      </c>
      <c r="D657" t="s">
        <v>2136</v>
      </c>
      <c r="F657" s="86">
        <v>16503</v>
      </c>
      <c r="G657" t="s">
        <v>756</v>
      </c>
      <c r="H657">
        <v>3591</v>
      </c>
      <c r="I657" t="s">
        <v>1330</v>
      </c>
    </row>
    <row r="658" spans="1:9">
      <c r="A658" s="71">
        <v>44392</v>
      </c>
      <c r="B658" t="s">
        <v>563</v>
      </c>
      <c r="D658" t="s">
        <v>2137</v>
      </c>
      <c r="G658" t="s">
        <v>756</v>
      </c>
      <c r="H658">
        <v>6827</v>
      </c>
      <c r="I658" t="s">
        <v>1381</v>
      </c>
    </row>
    <row r="659" spans="1:9">
      <c r="A659" s="71">
        <v>44392</v>
      </c>
      <c r="B659" t="s">
        <v>163</v>
      </c>
      <c r="D659" t="s">
        <v>2138</v>
      </c>
      <c r="G659" t="s">
        <v>756</v>
      </c>
      <c r="H659">
        <v>6826</v>
      </c>
      <c r="I659" t="s">
        <v>1381</v>
      </c>
    </row>
    <row r="660" spans="1:9">
      <c r="A660" s="71">
        <v>44397</v>
      </c>
      <c r="B660" t="s">
        <v>328</v>
      </c>
      <c r="D660" t="s">
        <v>2139</v>
      </c>
      <c r="G660" t="s">
        <v>756</v>
      </c>
      <c r="H660">
        <v>6834</v>
      </c>
      <c r="I660" t="s">
        <v>1756</v>
      </c>
    </row>
    <row r="661" spans="1:9">
      <c r="A661" s="71">
        <v>44397</v>
      </c>
      <c r="B661" t="s">
        <v>157</v>
      </c>
      <c r="D661" t="s">
        <v>2140</v>
      </c>
      <c r="F661" s="86">
        <v>11756</v>
      </c>
      <c r="G661" t="s">
        <v>756</v>
      </c>
      <c r="H661">
        <v>2174</v>
      </c>
      <c r="I661" t="s">
        <v>1756</v>
      </c>
    </row>
    <row r="662" spans="1:9">
      <c r="A662" s="71">
        <v>44397</v>
      </c>
      <c r="B662" t="s">
        <v>328</v>
      </c>
      <c r="D662" t="s">
        <v>2141</v>
      </c>
      <c r="F662" s="86">
        <v>7206</v>
      </c>
      <c r="G662" t="s">
        <v>756</v>
      </c>
      <c r="H662">
        <v>2173</v>
      </c>
      <c r="I662" t="s">
        <v>1756</v>
      </c>
    </row>
    <row r="663" spans="1:9">
      <c r="A663" s="71">
        <v>44398</v>
      </c>
      <c r="B663" t="s">
        <v>39</v>
      </c>
      <c r="D663" t="s">
        <v>2142</v>
      </c>
      <c r="G663" t="s">
        <v>756</v>
      </c>
      <c r="H663">
        <v>6840</v>
      </c>
      <c r="I663" t="s">
        <v>1381</v>
      </c>
    </row>
    <row r="664" spans="1:9">
      <c r="A664" s="71">
        <v>44398</v>
      </c>
      <c r="B664" t="s">
        <v>39</v>
      </c>
      <c r="D664" t="s">
        <v>2143</v>
      </c>
      <c r="G664" t="s">
        <v>756</v>
      </c>
      <c r="H664">
        <v>2175</v>
      </c>
      <c r="I664" t="s">
        <v>1756</v>
      </c>
    </row>
    <row r="665" spans="1:9">
      <c r="A665" s="71">
        <v>44399</v>
      </c>
      <c r="B665" t="s">
        <v>39</v>
      </c>
      <c r="D665" t="s">
        <v>2144</v>
      </c>
      <c r="G665" t="s">
        <v>756</v>
      </c>
      <c r="H665">
        <v>6842</v>
      </c>
      <c r="I665" t="s">
        <v>1381</v>
      </c>
    </row>
    <row r="666" spans="1:9">
      <c r="A666" s="71">
        <v>44399</v>
      </c>
      <c r="B666" t="s">
        <v>12</v>
      </c>
      <c r="D666" t="s">
        <v>2145</v>
      </c>
      <c r="G666" t="s">
        <v>756</v>
      </c>
      <c r="H666">
        <v>6841</v>
      </c>
      <c r="I666" t="s">
        <v>1381</v>
      </c>
    </row>
    <row r="667" spans="1:9">
      <c r="A667" s="71">
        <v>44399</v>
      </c>
      <c r="B667" t="s">
        <v>39</v>
      </c>
      <c r="D667" t="s">
        <v>2146</v>
      </c>
      <c r="G667" t="s">
        <v>756</v>
      </c>
      <c r="H667">
        <v>2176</v>
      </c>
      <c r="I667" t="s">
        <v>1756</v>
      </c>
    </row>
    <row r="668" spans="1:9">
      <c r="A668" s="71">
        <v>44400</v>
      </c>
      <c r="B668" t="s">
        <v>351</v>
      </c>
      <c r="D668" t="s">
        <v>2147</v>
      </c>
      <c r="F668" s="86">
        <v>4951</v>
      </c>
      <c r="G668" t="s">
        <v>756</v>
      </c>
      <c r="H668">
        <v>6501</v>
      </c>
      <c r="I668" t="s">
        <v>1487</v>
      </c>
    </row>
    <row r="669" spans="1:9">
      <c r="A669" s="71">
        <v>44403</v>
      </c>
      <c r="B669" t="s">
        <v>373</v>
      </c>
      <c r="D669" t="s">
        <v>2148</v>
      </c>
      <c r="G669" t="s">
        <v>756</v>
      </c>
      <c r="H669">
        <v>6847</v>
      </c>
      <c r="I669" t="s">
        <v>1756</v>
      </c>
    </row>
    <row r="670" spans="1:9">
      <c r="A670" s="71">
        <v>44403</v>
      </c>
      <c r="B670" t="s">
        <v>162</v>
      </c>
      <c r="D670" t="s">
        <v>2149</v>
      </c>
      <c r="F670" s="86">
        <v>8029</v>
      </c>
      <c r="G670" t="s">
        <v>756</v>
      </c>
      <c r="H670">
        <v>2178</v>
      </c>
      <c r="I670" t="s">
        <v>1756</v>
      </c>
    </row>
    <row r="671" spans="1:9">
      <c r="A671" s="71">
        <v>44404</v>
      </c>
      <c r="B671" t="s">
        <v>176</v>
      </c>
      <c r="D671" t="s">
        <v>2150</v>
      </c>
      <c r="F671" s="86">
        <v>2600</v>
      </c>
      <c r="G671" t="s">
        <v>756</v>
      </c>
      <c r="H671">
        <v>6601</v>
      </c>
      <c r="I671" t="s">
        <v>1341</v>
      </c>
    </row>
    <row r="672" spans="1:9">
      <c r="A672" s="71">
        <v>44404</v>
      </c>
      <c r="B672" t="s">
        <v>346</v>
      </c>
      <c r="D672" t="s">
        <v>2151</v>
      </c>
      <c r="F672" s="86">
        <v>6685</v>
      </c>
      <c r="G672" t="s">
        <v>756</v>
      </c>
      <c r="H672">
        <v>2180</v>
      </c>
      <c r="I672" t="s">
        <v>1756</v>
      </c>
    </row>
    <row r="673" spans="1:9">
      <c r="A673" s="71">
        <v>44404</v>
      </c>
      <c r="B673" t="s">
        <v>704</v>
      </c>
      <c r="D673" t="s">
        <v>2152</v>
      </c>
      <c r="F673" s="86">
        <v>2633</v>
      </c>
      <c r="G673" t="s">
        <v>756</v>
      </c>
      <c r="H673">
        <v>2179</v>
      </c>
      <c r="I673" t="s">
        <v>1598</v>
      </c>
    </row>
    <row r="674" spans="1:9">
      <c r="A674" s="71">
        <v>44405</v>
      </c>
      <c r="B674" t="s">
        <v>691</v>
      </c>
      <c r="D674" t="s">
        <v>2153</v>
      </c>
      <c r="G674" t="s">
        <v>756</v>
      </c>
      <c r="H674">
        <v>6669</v>
      </c>
      <c r="I674" t="s">
        <v>1381</v>
      </c>
    </row>
    <row r="675" spans="1:9">
      <c r="A675" s="71">
        <v>44405</v>
      </c>
      <c r="B675" t="s">
        <v>152</v>
      </c>
      <c r="D675" t="s">
        <v>2154</v>
      </c>
      <c r="G675" t="s">
        <v>756</v>
      </c>
      <c r="H675">
        <v>6665</v>
      </c>
      <c r="I675" t="s">
        <v>1381</v>
      </c>
    </row>
    <row r="676" spans="1:9">
      <c r="A676" s="71">
        <v>44405</v>
      </c>
      <c r="B676" t="s">
        <v>176</v>
      </c>
      <c r="D676" t="s">
        <v>2155</v>
      </c>
      <c r="F676" s="86">
        <v>2600</v>
      </c>
      <c r="G676" t="s">
        <v>756</v>
      </c>
      <c r="H676">
        <v>6602</v>
      </c>
      <c r="I676" t="s">
        <v>1341</v>
      </c>
    </row>
    <row r="677" spans="1:9">
      <c r="A677" s="71">
        <v>44405</v>
      </c>
      <c r="B677" t="s">
        <v>365</v>
      </c>
      <c r="D677" t="s">
        <v>2156</v>
      </c>
      <c r="G677" t="s">
        <v>756</v>
      </c>
      <c r="H677">
        <v>6503</v>
      </c>
      <c r="I677" t="s">
        <v>1487</v>
      </c>
    </row>
    <row r="678" spans="1:9">
      <c r="A678" s="71">
        <v>44405</v>
      </c>
      <c r="B678" t="s">
        <v>39</v>
      </c>
      <c r="D678" t="s">
        <v>2157</v>
      </c>
      <c r="F678" s="86">
        <v>117</v>
      </c>
      <c r="G678" t="s">
        <v>756</v>
      </c>
      <c r="H678">
        <v>3596</v>
      </c>
      <c r="I678" t="s">
        <v>1330</v>
      </c>
    </row>
    <row r="679" spans="1:9">
      <c r="A679" s="71">
        <v>44406</v>
      </c>
      <c r="B679" t="s">
        <v>330</v>
      </c>
      <c r="D679" t="s">
        <v>2158</v>
      </c>
      <c r="F679" s="86">
        <v>8295</v>
      </c>
      <c r="G679" t="s">
        <v>756</v>
      </c>
      <c r="H679">
        <v>6674</v>
      </c>
      <c r="I679" t="s">
        <v>1756</v>
      </c>
    </row>
    <row r="680" spans="1:9">
      <c r="A680" s="71">
        <v>44406</v>
      </c>
      <c r="B680" t="s">
        <v>781</v>
      </c>
      <c r="D680" t="s">
        <v>2159</v>
      </c>
      <c r="F680" s="86">
        <v>13802</v>
      </c>
      <c r="G680" t="s">
        <v>756</v>
      </c>
      <c r="H680">
        <v>3070</v>
      </c>
      <c r="I680" t="s">
        <v>1347</v>
      </c>
    </row>
    <row r="681" spans="1:9">
      <c r="A681" s="71">
        <v>44406</v>
      </c>
      <c r="B681" t="s">
        <v>704</v>
      </c>
      <c r="D681" t="s">
        <v>2160</v>
      </c>
      <c r="F681" s="86">
        <v>2641</v>
      </c>
      <c r="G681" t="s">
        <v>756</v>
      </c>
      <c r="H681">
        <v>2181</v>
      </c>
      <c r="I681" t="s">
        <v>1756</v>
      </c>
    </row>
    <row r="682" spans="1:9">
      <c r="A682" s="71">
        <v>44407</v>
      </c>
      <c r="B682" t="s">
        <v>773</v>
      </c>
      <c r="D682" t="s">
        <v>2161</v>
      </c>
      <c r="G682" t="s">
        <v>756</v>
      </c>
      <c r="H682">
        <v>6678</v>
      </c>
      <c r="I682" t="s">
        <v>1381</v>
      </c>
    </row>
    <row r="683" spans="1:9">
      <c r="A683" s="71">
        <v>44407</v>
      </c>
      <c r="B683" t="s">
        <v>152</v>
      </c>
      <c r="D683" t="s">
        <v>2162</v>
      </c>
      <c r="G683" t="s">
        <v>756</v>
      </c>
      <c r="H683">
        <v>6677</v>
      </c>
      <c r="I683" t="s">
        <v>1381</v>
      </c>
    </row>
    <row r="684" spans="1:9">
      <c r="A684" s="71">
        <v>44407</v>
      </c>
      <c r="B684" t="s">
        <v>163</v>
      </c>
      <c r="D684" t="s">
        <v>2163</v>
      </c>
      <c r="F684" s="86">
        <v>5377</v>
      </c>
      <c r="G684" t="s">
        <v>756</v>
      </c>
      <c r="H684">
        <v>3593</v>
      </c>
      <c r="I684" t="s">
        <v>1330</v>
      </c>
    </row>
    <row r="685" spans="1:9">
      <c r="A685" s="71">
        <v>44407</v>
      </c>
      <c r="B685" t="s">
        <v>178</v>
      </c>
      <c r="D685" t="s">
        <v>2164</v>
      </c>
      <c r="F685" s="86">
        <v>672</v>
      </c>
      <c r="G685" t="s">
        <v>756</v>
      </c>
      <c r="H685">
        <v>3592</v>
      </c>
      <c r="I685" t="s">
        <v>1330</v>
      </c>
    </row>
    <row r="686" spans="1:9">
      <c r="A686" s="71">
        <v>44410</v>
      </c>
      <c r="B686" t="s">
        <v>157</v>
      </c>
      <c r="D686" t="s">
        <v>2165</v>
      </c>
      <c r="G686" t="s">
        <v>756</v>
      </c>
      <c r="H686">
        <v>2183</v>
      </c>
      <c r="I686" t="s">
        <v>1756</v>
      </c>
    </row>
    <row r="687" spans="1:9">
      <c r="A687" s="71">
        <v>44410</v>
      </c>
      <c r="B687" t="s">
        <v>178</v>
      </c>
      <c r="D687" t="s">
        <v>2166</v>
      </c>
      <c r="G687" t="s">
        <v>756</v>
      </c>
      <c r="H687">
        <v>2182</v>
      </c>
      <c r="I687" t="s">
        <v>1756</v>
      </c>
    </row>
    <row r="688" spans="1:9">
      <c r="A688" s="71">
        <v>44411</v>
      </c>
      <c r="B688" t="s">
        <v>152</v>
      </c>
      <c r="D688" t="s">
        <v>2167</v>
      </c>
      <c r="G688" t="s">
        <v>756</v>
      </c>
      <c r="H688">
        <v>6506</v>
      </c>
      <c r="I688" t="s">
        <v>1487</v>
      </c>
    </row>
    <row r="689" spans="1:9">
      <c r="A689" s="71">
        <v>44411</v>
      </c>
      <c r="B689" t="s">
        <v>365</v>
      </c>
      <c r="D689" t="s">
        <v>2168</v>
      </c>
      <c r="G689" t="s">
        <v>756</v>
      </c>
      <c r="H689">
        <v>6505</v>
      </c>
      <c r="I689" t="s">
        <v>1487</v>
      </c>
    </row>
    <row r="690" spans="1:9">
      <c r="A690" s="71">
        <v>44412</v>
      </c>
      <c r="B690" t="s">
        <v>324</v>
      </c>
      <c r="D690" t="s">
        <v>2169</v>
      </c>
      <c r="G690" t="s">
        <v>756</v>
      </c>
      <c r="I690" t="s">
        <v>1756</v>
      </c>
    </row>
    <row r="691" spans="1:9">
      <c r="A691" s="71">
        <v>44412</v>
      </c>
      <c r="B691" t="s">
        <v>703</v>
      </c>
      <c r="D691" t="s">
        <v>2170</v>
      </c>
      <c r="F691" s="86">
        <v>11861</v>
      </c>
      <c r="G691" t="s">
        <v>756</v>
      </c>
      <c r="H691">
        <v>6507</v>
      </c>
      <c r="I691" t="s">
        <v>1487</v>
      </c>
    </row>
    <row r="692" spans="1:9">
      <c r="A692" s="71">
        <v>44414</v>
      </c>
      <c r="B692" t="s">
        <v>162</v>
      </c>
      <c r="D692" t="s">
        <v>2171</v>
      </c>
      <c r="F692" s="86">
        <v>8108</v>
      </c>
      <c r="G692" t="s">
        <v>756</v>
      </c>
      <c r="H692">
        <v>2189</v>
      </c>
      <c r="I692" t="s">
        <v>1756</v>
      </c>
    </row>
    <row r="693" spans="1:9">
      <c r="A693" s="71">
        <v>44414</v>
      </c>
      <c r="B693" t="s">
        <v>786</v>
      </c>
      <c r="D693" t="s">
        <v>2172</v>
      </c>
      <c r="G693" t="s">
        <v>756</v>
      </c>
      <c r="H693">
        <v>6612</v>
      </c>
      <c r="I693" t="s">
        <v>1341</v>
      </c>
    </row>
    <row r="694" spans="1:9">
      <c r="A694" s="71">
        <v>44414</v>
      </c>
      <c r="B694" t="s">
        <v>567</v>
      </c>
      <c r="D694" t="s">
        <v>2173</v>
      </c>
      <c r="G694" t="s">
        <v>756</v>
      </c>
      <c r="H694">
        <v>6610</v>
      </c>
      <c r="I694" t="s">
        <v>1341</v>
      </c>
    </row>
    <row r="695" spans="1:9">
      <c r="A695" s="71">
        <v>44415</v>
      </c>
      <c r="B695" t="s">
        <v>351</v>
      </c>
      <c r="D695" t="s">
        <v>2174</v>
      </c>
      <c r="F695" s="86">
        <v>4951</v>
      </c>
      <c r="G695" t="s">
        <v>756</v>
      </c>
      <c r="H695">
        <v>6508</v>
      </c>
      <c r="I695" t="s">
        <v>1487</v>
      </c>
    </row>
    <row r="696" spans="1:9">
      <c r="A696" s="71">
        <v>44417</v>
      </c>
      <c r="B696" t="s">
        <v>178</v>
      </c>
      <c r="D696" t="s">
        <v>2175</v>
      </c>
      <c r="G696" t="s">
        <v>756</v>
      </c>
      <c r="H696">
        <v>6858</v>
      </c>
      <c r="I696" t="s">
        <v>1381</v>
      </c>
    </row>
    <row r="697" spans="1:9">
      <c r="A697" s="71">
        <v>44417</v>
      </c>
      <c r="B697" t="s">
        <v>328</v>
      </c>
      <c r="D697" t="s">
        <v>2176</v>
      </c>
      <c r="F697" s="86">
        <v>7236</v>
      </c>
      <c r="G697" t="s">
        <v>756</v>
      </c>
      <c r="H697">
        <v>6856</v>
      </c>
      <c r="I697" t="s">
        <v>1756</v>
      </c>
    </row>
    <row r="698" spans="1:9">
      <c r="A698" s="71">
        <v>44417</v>
      </c>
      <c r="B698" t="s">
        <v>19</v>
      </c>
      <c r="D698" t="s">
        <v>2177</v>
      </c>
      <c r="F698" s="86">
        <v>4152</v>
      </c>
      <c r="G698" t="s">
        <v>756</v>
      </c>
      <c r="H698">
        <v>6753</v>
      </c>
      <c r="I698" t="s">
        <v>1347</v>
      </c>
    </row>
    <row r="699" spans="1:9">
      <c r="A699" s="71">
        <v>44417</v>
      </c>
      <c r="B699" t="s">
        <v>689</v>
      </c>
      <c r="D699" t="s">
        <v>2178</v>
      </c>
      <c r="G699" t="s">
        <v>756</v>
      </c>
      <c r="H699">
        <v>2192</v>
      </c>
      <c r="I699" t="s">
        <v>1756</v>
      </c>
    </row>
    <row r="700" spans="1:9">
      <c r="A700" s="71">
        <v>44417</v>
      </c>
      <c r="B700" t="s">
        <v>196</v>
      </c>
      <c r="D700" t="s">
        <v>2179</v>
      </c>
      <c r="G700" t="s">
        <v>756</v>
      </c>
      <c r="H700">
        <v>2191</v>
      </c>
      <c r="I700" t="s">
        <v>1756</v>
      </c>
    </row>
    <row r="701" spans="1:9">
      <c r="A701" s="71">
        <v>44418</v>
      </c>
      <c r="B701" t="s">
        <v>328</v>
      </c>
      <c r="D701" t="s">
        <v>2180</v>
      </c>
      <c r="F701" s="86">
        <v>7236</v>
      </c>
      <c r="G701" t="s">
        <v>756</v>
      </c>
      <c r="H701">
        <v>6864</v>
      </c>
      <c r="I701" t="s">
        <v>1756</v>
      </c>
    </row>
    <row r="702" spans="1:9">
      <c r="A702" s="71">
        <v>44418</v>
      </c>
      <c r="B702" t="s">
        <v>183</v>
      </c>
      <c r="D702" t="s">
        <v>2181</v>
      </c>
      <c r="F702" s="86">
        <v>32176</v>
      </c>
      <c r="G702" t="s">
        <v>756</v>
      </c>
      <c r="H702">
        <v>2193</v>
      </c>
      <c r="I702" t="s">
        <v>1756</v>
      </c>
    </row>
    <row r="703" spans="1:9">
      <c r="A703" s="71">
        <v>44419</v>
      </c>
      <c r="B703" t="s">
        <v>351</v>
      </c>
      <c r="D703" t="s">
        <v>2182</v>
      </c>
      <c r="F703" s="86">
        <v>5030</v>
      </c>
      <c r="G703" t="s">
        <v>756</v>
      </c>
      <c r="H703">
        <v>6869</v>
      </c>
      <c r="I703" t="s">
        <v>1756</v>
      </c>
    </row>
    <row r="704" spans="1:9">
      <c r="A704" s="71">
        <v>44419</v>
      </c>
      <c r="B704" t="s">
        <v>373</v>
      </c>
      <c r="D704" t="s">
        <v>2183</v>
      </c>
      <c r="G704" t="s">
        <v>756</v>
      </c>
      <c r="H704">
        <v>6868</v>
      </c>
      <c r="I704" t="s">
        <v>1756</v>
      </c>
    </row>
    <row r="705" spans="1:9">
      <c r="A705" s="71">
        <v>44420</v>
      </c>
      <c r="B705" t="s">
        <v>157</v>
      </c>
      <c r="D705" t="s">
        <v>2184</v>
      </c>
      <c r="G705" t="s">
        <v>756</v>
      </c>
      <c r="H705">
        <v>6871</v>
      </c>
      <c r="I705" t="s">
        <v>1381</v>
      </c>
    </row>
    <row r="706" spans="1:9">
      <c r="A706" s="71">
        <v>44420</v>
      </c>
      <c r="B706" t="s">
        <v>373</v>
      </c>
      <c r="D706" t="s">
        <v>2185</v>
      </c>
      <c r="F706" s="86">
        <v>2342</v>
      </c>
      <c r="G706" t="s">
        <v>756</v>
      </c>
      <c r="H706">
        <v>6870</v>
      </c>
      <c r="I706" t="s">
        <v>1756</v>
      </c>
    </row>
    <row r="707" spans="1:9">
      <c r="A707" s="71">
        <v>44420</v>
      </c>
      <c r="B707" t="s">
        <v>336</v>
      </c>
      <c r="D707" t="s">
        <v>2186</v>
      </c>
      <c r="F707" s="86">
        <v>8481</v>
      </c>
      <c r="G707" t="s">
        <v>756</v>
      </c>
      <c r="H707">
        <v>2197</v>
      </c>
      <c r="I707" t="s">
        <v>1756</v>
      </c>
    </row>
    <row r="708" spans="1:9">
      <c r="A708" s="71">
        <v>44420</v>
      </c>
      <c r="B708" t="s">
        <v>29</v>
      </c>
      <c r="D708" t="s">
        <v>2187</v>
      </c>
      <c r="F708" s="86">
        <v>3928</v>
      </c>
      <c r="G708" t="s">
        <v>756</v>
      </c>
      <c r="H708">
        <v>6706</v>
      </c>
      <c r="I708" t="s">
        <v>1657</v>
      </c>
    </row>
    <row r="709" spans="1:9">
      <c r="A709" s="71">
        <v>44420</v>
      </c>
      <c r="B709" t="s">
        <v>178</v>
      </c>
      <c r="D709" t="s">
        <v>2188</v>
      </c>
      <c r="F709" s="86">
        <v>682</v>
      </c>
      <c r="G709" t="s">
        <v>756</v>
      </c>
      <c r="H709">
        <v>3600</v>
      </c>
      <c r="I709" t="s">
        <v>1330</v>
      </c>
    </row>
    <row r="710" spans="1:9">
      <c r="A710" s="71">
        <v>44420</v>
      </c>
      <c r="B710" t="s">
        <v>39</v>
      </c>
      <c r="D710" t="s">
        <v>2189</v>
      </c>
      <c r="F710" s="86">
        <v>169</v>
      </c>
      <c r="G710" t="s">
        <v>756</v>
      </c>
      <c r="H710">
        <v>3599</v>
      </c>
      <c r="I710" t="s">
        <v>1330</v>
      </c>
    </row>
    <row r="711" spans="1:9">
      <c r="A711" s="71">
        <v>44420</v>
      </c>
      <c r="B711" t="s">
        <v>25</v>
      </c>
      <c r="D711" t="s">
        <v>2190</v>
      </c>
      <c r="G711" t="s">
        <v>756</v>
      </c>
      <c r="H711">
        <v>2195</v>
      </c>
      <c r="I711" t="s">
        <v>1756</v>
      </c>
    </row>
    <row r="712" spans="1:9">
      <c r="A712" s="71">
        <v>44421</v>
      </c>
      <c r="B712" t="s">
        <v>157</v>
      </c>
      <c r="D712" t="s">
        <v>2191</v>
      </c>
      <c r="G712" t="s">
        <v>756</v>
      </c>
      <c r="H712">
        <v>6875</v>
      </c>
      <c r="I712" t="s">
        <v>1381</v>
      </c>
    </row>
    <row r="713" spans="1:9">
      <c r="A713" s="71">
        <v>44421</v>
      </c>
      <c r="B713" t="s">
        <v>712</v>
      </c>
      <c r="D713" t="s">
        <v>2192</v>
      </c>
      <c r="G713" t="s">
        <v>756</v>
      </c>
      <c r="H713">
        <v>2199</v>
      </c>
      <c r="I713" t="s">
        <v>1756</v>
      </c>
    </row>
    <row r="714" spans="1:9">
      <c r="A714" s="71">
        <v>44421</v>
      </c>
      <c r="B714" t="s">
        <v>322</v>
      </c>
      <c r="D714" t="s">
        <v>2193</v>
      </c>
      <c r="F714" s="86">
        <v>23806</v>
      </c>
      <c r="G714" t="s">
        <v>756</v>
      </c>
      <c r="H714">
        <v>2198</v>
      </c>
      <c r="I714" t="s">
        <v>1756</v>
      </c>
    </row>
    <row r="715" spans="1:9">
      <c r="A715" s="71">
        <v>44422</v>
      </c>
      <c r="B715" t="s">
        <v>322</v>
      </c>
      <c r="D715" t="s">
        <v>2194</v>
      </c>
      <c r="F715" s="86">
        <v>23806</v>
      </c>
      <c r="G715" t="s">
        <v>756</v>
      </c>
      <c r="H715">
        <v>2200</v>
      </c>
      <c r="I715" t="s">
        <v>1756</v>
      </c>
    </row>
    <row r="716" spans="1:9">
      <c r="A716" s="71">
        <v>44423</v>
      </c>
      <c r="B716" t="s">
        <v>777</v>
      </c>
      <c r="D716" t="s">
        <v>2195</v>
      </c>
      <c r="G716" t="s">
        <v>756</v>
      </c>
      <c r="H716">
        <v>6988</v>
      </c>
      <c r="I716" t="s">
        <v>1381</v>
      </c>
    </row>
    <row r="717" spans="1:9">
      <c r="A717" s="71">
        <v>44424</v>
      </c>
      <c r="B717" t="s">
        <v>712</v>
      </c>
      <c r="D717" t="s">
        <v>2196</v>
      </c>
      <c r="F717" s="86">
        <v>12400</v>
      </c>
      <c r="G717" t="s">
        <v>756</v>
      </c>
      <c r="H717">
        <v>6879</v>
      </c>
      <c r="I717" t="s">
        <v>1756</v>
      </c>
    </row>
    <row r="718" spans="1:9">
      <c r="A718" s="71">
        <v>44424</v>
      </c>
      <c r="B718" t="s">
        <v>157</v>
      </c>
      <c r="D718" t="s">
        <v>2197</v>
      </c>
      <c r="G718" t="s">
        <v>756</v>
      </c>
      <c r="H718">
        <v>6878</v>
      </c>
      <c r="I718" t="s">
        <v>1381</v>
      </c>
    </row>
    <row r="719" spans="1:9">
      <c r="A719" s="71">
        <v>44424</v>
      </c>
      <c r="B719" t="s">
        <v>322</v>
      </c>
      <c r="D719" t="s">
        <v>2198</v>
      </c>
      <c r="F719" s="86">
        <v>23806</v>
      </c>
      <c r="G719" t="s">
        <v>756</v>
      </c>
      <c r="H719">
        <v>3459</v>
      </c>
      <c r="I719" t="s">
        <v>1756</v>
      </c>
    </row>
    <row r="720" spans="1:9">
      <c r="A720" s="71">
        <v>44424</v>
      </c>
      <c r="B720" t="s">
        <v>781</v>
      </c>
      <c r="D720" t="s">
        <v>2199</v>
      </c>
      <c r="F720" s="86">
        <v>13715</v>
      </c>
      <c r="G720" t="s">
        <v>756</v>
      </c>
      <c r="H720">
        <v>3157</v>
      </c>
      <c r="I720" t="s">
        <v>1589</v>
      </c>
    </row>
    <row r="721" spans="1:9">
      <c r="A721" s="71">
        <v>44425</v>
      </c>
      <c r="B721" t="s">
        <v>712</v>
      </c>
      <c r="D721" t="s">
        <v>2200</v>
      </c>
      <c r="F721" s="86">
        <v>12400</v>
      </c>
      <c r="G721" t="s">
        <v>756</v>
      </c>
      <c r="H721">
        <v>6882</v>
      </c>
      <c r="I721" t="s">
        <v>1756</v>
      </c>
    </row>
    <row r="722" spans="1:9">
      <c r="A722" s="71">
        <v>44426</v>
      </c>
      <c r="B722" t="s">
        <v>704</v>
      </c>
      <c r="D722" t="s">
        <v>2201</v>
      </c>
      <c r="F722" s="86">
        <v>2447</v>
      </c>
      <c r="G722" t="s">
        <v>756</v>
      </c>
      <c r="H722">
        <v>68832.100000000006</v>
      </c>
      <c r="I722" t="s">
        <v>1756</v>
      </c>
    </row>
    <row r="723" spans="1:9">
      <c r="A723" s="71">
        <v>44426</v>
      </c>
      <c r="B723" t="s">
        <v>351</v>
      </c>
      <c r="D723" t="s">
        <v>2202</v>
      </c>
      <c r="F723" s="86">
        <v>5054</v>
      </c>
      <c r="G723" t="s">
        <v>756</v>
      </c>
      <c r="H723">
        <v>3466</v>
      </c>
      <c r="I723" t="s">
        <v>1756</v>
      </c>
    </row>
    <row r="724" spans="1:9">
      <c r="A724" s="71">
        <v>44427</v>
      </c>
      <c r="B724" t="s">
        <v>162</v>
      </c>
      <c r="D724" t="s">
        <v>2203</v>
      </c>
      <c r="G724" t="s">
        <v>756</v>
      </c>
      <c r="H724">
        <v>6509</v>
      </c>
      <c r="I724" t="s">
        <v>1487</v>
      </c>
    </row>
    <row r="725" spans="1:9">
      <c r="A725" s="71">
        <v>44427</v>
      </c>
      <c r="B725" t="s">
        <v>773</v>
      </c>
      <c r="D725" t="s">
        <v>2204</v>
      </c>
      <c r="F725" s="86">
        <v>8203</v>
      </c>
      <c r="G725" t="s">
        <v>756</v>
      </c>
      <c r="H725">
        <v>6891</v>
      </c>
      <c r="I725" t="s">
        <v>1381</v>
      </c>
    </row>
    <row r="726" spans="1:9">
      <c r="A726" s="71">
        <v>44427</v>
      </c>
      <c r="B726" t="s">
        <v>773</v>
      </c>
      <c r="D726" t="s">
        <v>2205</v>
      </c>
      <c r="F726" s="86">
        <v>8203</v>
      </c>
      <c r="G726" t="s">
        <v>756</v>
      </c>
      <c r="H726">
        <v>3467</v>
      </c>
      <c r="I726" t="s">
        <v>1381</v>
      </c>
    </row>
    <row r="727" spans="1:9">
      <c r="A727" s="71">
        <v>44432</v>
      </c>
      <c r="B727" t="s">
        <v>334</v>
      </c>
      <c r="D727" t="s">
        <v>2206</v>
      </c>
      <c r="G727" t="s">
        <v>756</v>
      </c>
      <c r="H727">
        <v>6515</v>
      </c>
      <c r="I727" t="s">
        <v>1487</v>
      </c>
    </row>
    <row r="728" spans="1:9">
      <c r="A728" s="71">
        <v>44433</v>
      </c>
      <c r="B728" t="s">
        <v>157</v>
      </c>
      <c r="D728" t="s">
        <v>2207</v>
      </c>
      <c r="G728" t="s">
        <v>756</v>
      </c>
      <c r="H728">
        <v>6907</v>
      </c>
      <c r="I728" t="s">
        <v>1756</v>
      </c>
    </row>
    <row r="729" spans="1:9">
      <c r="A729" s="71">
        <v>44433</v>
      </c>
      <c r="B729" t="s">
        <v>143</v>
      </c>
      <c r="D729" t="s">
        <v>2208</v>
      </c>
      <c r="G729" t="s">
        <v>756</v>
      </c>
      <c r="H729">
        <v>6906</v>
      </c>
      <c r="I729" t="s">
        <v>1381</v>
      </c>
    </row>
    <row r="730" spans="1:9">
      <c r="A730" s="71">
        <v>44433</v>
      </c>
      <c r="B730" t="s">
        <v>19</v>
      </c>
      <c r="D730" t="s">
        <v>2209</v>
      </c>
      <c r="G730" t="s">
        <v>756</v>
      </c>
      <c r="H730">
        <v>6519</v>
      </c>
      <c r="I730" t="s">
        <v>1487</v>
      </c>
    </row>
    <row r="731" spans="1:9">
      <c r="A731" s="71">
        <v>44433</v>
      </c>
      <c r="B731" t="s">
        <v>143</v>
      </c>
      <c r="D731" t="s">
        <v>2210</v>
      </c>
      <c r="G731" t="s">
        <v>756</v>
      </c>
      <c r="H731">
        <v>3482</v>
      </c>
      <c r="I731" t="s">
        <v>1756</v>
      </c>
    </row>
    <row r="732" spans="1:9">
      <c r="A732" s="71">
        <v>44434</v>
      </c>
      <c r="B732" t="s">
        <v>175</v>
      </c>
      <c r="D732" t="s">
        <v>2211</v>
      </c>
      <c r="F732" s="86">
        <v>3264</v>
      </c>
      <c r="G732" t="s">
        <v>756</v>
      </c>
      <c r="H732">
        <v>6759</v>
      </c>
      <c r="I732" t="s">
        <v>1347</v>
      </c>
    </row>
    <row r="733" spans="1:9">
      <c r="A733" s="71">
        <v>44434</v>
      </c>
      <c r="B733" t="s">
        <v>12</v>
      </c>
      <c r="D733" t="s">
        <v>2212</v>
      </c>
      <c r="F733" s="86">
        <v>1118</v>
      </c>
      <c r="G733" t="s">
        <v>756</v>
      </c>
      <c r="H733">
        <v>6520</v>
      </c>
      <c r="I733" t="s">
        <v>1487</v>
      </c>
    </row>
    <row r="734" spans="1:9">
      <c r="A734" s="71">
        <v>44434</v>
      </c>
      <c r="B734" t="s">
        <v>360</v>
      </c>
      <c r="D734" t="s">
        <v>2213</v>
      </c>
      <c r="F734" s="86">
        <v>3942</v>
      </c>
      <c r="G734" t="s">
        <v>756</v>
      </c>
      <c r="H734">
        <v>3486</v>
      </c>
      <c r="I734" t="s">
        <v>1756</v>
      </c>
    </row>
    <row r="735" spans="1:9">
      <c r="A735" s="71">
        <v>44434</v>
      </c>
      <c r="B735" t="s">
        <v>690</v>
      </c>
      <c r="D735" t="s">
        <v>2214</v>
      </c>
      <c r="F735" s="86">
        <v>3374</v>
      </c>
      <c r="G735" t="s">
        <v>756</v>
      </c>
      <c r="H735">
        <v>3485</v>
      </c>
      <c r="I735" t="s">
        <v>1756</v>
      </c>
    </row>
    <row r="736" spans="1:9">
      <c r="A736" s="71">
        <v>44435</v>
      </c>
      <c r="B736" t="s">
        <v>19</v>
      </c>
      <c r="D736" t="s">
        <v>2215</v>
      </c>
      <c r="F736" s="86">
        <v>4347</v>
      </c>
      <c r="G736" t="s">
        <v>756</v>
      </c>
      <c r="H736">
        <v>6761</v>
      </c>
      <c r="I736" t="s">
        <v>1347</v>
      </c>
    </row>
    <row r="737" spans="1:9">
      <c r="A737" s="71">
        <v>44436</v>
      </c>
      <c r="B737" t="s">
        <v>32</v>
      </c>
      <c r="D737" t="s">
        <v>2216</v>
      </c>
      <c r="F737" s="86">
        <v>2941</v>
      </c>
      <c r="G737" t="s">
        <v>756</v>
      </c>
      <c r="H737">
        <v>6760</v>
      </c>
      <c r="I737" t="s">
        <v>1347</v>
      </c>
    </row>
    <row r="738" spans="1:9">
      <c r="A738" s="71">
        <v>44436</v>
      </c>
      <c r="B738" t="s">
        <v>185</v>
      </c>
      <c r="D738" t="s">
        <v>2217</v>
      </c>
      <c r="G738" t="s">
        <v>756</v>
      </c>
      <c r="H738">
        <v>6522</v>
      </c>
      <c r="I738" t="s">
        <v>1487</v>
      </c>
    </row>
    <row r="739" spans="1:9">
      <c r="A739" s="71">
        <v>44438</v>
      </c>
      <c r="B739" t="s">
        <v>35</v>
      </c>
      <c r="D739" t="s">
        <v>2218</v>
      </c>
      <c r="F739" s="86">
        <v>3978</v>
      </c>
      <c r="G739" t="s">
        <v>756</v>
      </c>
      <c r="H739">
        <v>6925</v>
      </c>
      <c r="I739" t="s">
        <v>1381</v>
      </c>
    </row>
    <row r="740" spans="1:9">
      <c r="A740" s="71">
        <v>44438</v>
      </c>
      <c r="B740" t="s">
        <v>175</v>
      </c>
      <c r="D740" t="s">
        <v>2219</v>
      </c>
      <c r="F740" s="86">
        <v>3283</v>
      </c>
      <c r="G740" t="s">
        <v>756</v>
      </c>
      <c r="H740">
        <v>3493</v>
      </c>
      <c r="I740" t="s">
        <v>1756</v>
      </c>
    </row>
    <row r="741" spans="1:9">
      <c r="A741" s="71">
        <v>44439</v>
      </c>
      <c r="B741" t="s">
        <v>29</v>
      </c>
      <c r="D741" t="s">
        <v>2220</v>
      </c>
      <c r="F741" s="86">
        <v>4493</v>
      </c>
      <c r="G741" t="s">
        <v>756</v>
      </c>
      <c r="H741">
        <v>6926</v>
      </c>
      <c r="I741" t="s">
        <v>1381</v>
      </c>
    </row>
    <row r="742" spans="1:9">
      <c r="A742" s="71">
        <v>44439</v>
      </c>
      <c r="B742" t="s">
        <v>12</v>
      </c>
      <c r="D742" t="s">
        <v>2221</v>
      </c>
      <c r="F742" s="86">
        <v>1142</v>
      </c>
      <c r="G742" t="s">
        <v>756</v>
      </c>
      <c r="H742">
        <v>4451</v>
      </c>
      <c r="I742" t="s">
        <v>1756</v>
      </c>
    </row>
    <row r="743" spans="1:9">
      <c r="A743" s="71">
        <v>44440</v>
      </c>
      <c r="B743" t="s">
        <v>180</v>
      </c>
      <c r="D743" t="s">
        <v>2222</v>
      </c>
      <c r="G743" t="s">
        <v>756</v>
      </c>
      <c r="H743">
        <v>6539</v>
      </c>
      <c r="I743" t="s">
        <v>1487</v>
      </c>
    </row>
    <row r="744" spans="1:9">
      <c r="A744" s="71">
        <v>44440</v>
      </c>
      <c r="B744" t="s">
        <v>2223</v>
      </c>
      <c r="D744" t="s">
        <v>2224</v>
      </c>
      <c r="F744" s="86">
        <v>5467</v>
      </c>
      <c r="G744" t="s">
        <v>756</v>
      </c>
      <c r="H744">
        <v>6538</v>
      </c>
      <c r="I744" t="s">
        <v>1589</v>
      </c>
    </row>
    <row r="745" spans="1:9">
      <c r="A745" s="71">
        <v>44440</v>
      </c>
      <c r="B745" t="s">
        <v>351</v>
      </c>
      <c r="D745" t="s">
        <v>2225</v>
      </c>
      <c r="F745" s="86">
        <v>5104</v>
      </c>
      <c r="G745" t="s">
        <v>756</v>
      </c>
      <c r="H745">
        <v>4452</v>
      </c>
      <c r="I745" t="s">
        <v>1756</v>
      </c>
    </row>
    <row r="746" spans="1:9">
      <c r="A746" s="71">
        <v>44441</v>
      </c>
      <c r="B746" t="s">
        <v>143</v>
      </c>
      <c r="D746" t="s">
        <v>2226</v>
      </c>
      <c r="G746" t="s">
        <v>756</v>
      </c>
      <c r="H746">
        <v>6941</v>
      </c>
      <c r="I746" t="s">
        <v>1381</v>
      </c>
    </row>
    <row r="747" spans="1:9">
      <c r="A747" s="71">
        <v>44441</v>
      </c>
      <c r="B747" t="s">
        <v>12</v>
      </c>
      <c r="D747" t="s">
        <v>2227</v>
      </c>
      <c r="F747" s="86">
        <v>1164</v>
      </c>
      <c r="G747" t="s">
        <v>756</v>
      </c>
      <c r="H747">
        <v>6937</v>
      </c>
      <c r="I747" t="s">
        <v>1381</v>
      </c>
    </row>
    <row r="748" spans="1:9">
      <c r="A748" s="71">
        <v>44441</v>
      </c>
      <c r="B748" t="s">
        <v>185</v>
      </c>
      <c r="D748" t="s">
        <v>2228</v>
      </c>
      <c r="F748" s="86">
        <v>32046</v>
      </c>
      <c r="G748" t="s">
        <v>756</v>
      </c>
      <c r="H748">
        <v>4455</v>
      </c>
      <c r="I748" t="s">
        <v>1756</v>
      </c>
    </row>
    <row r="749" spans="1:9">
      <c r="A749" s="71">
        <v>44442</v>
      </c>
      <c r="B749" t="s">
        <v>330</v>
      </c>
      <c r="D749" t="s">
        <v>2229</v>
      </c>
      <c r="F749" s="86">
        <v>5411</v>
      </c>
      <c r="G749" t="s">
        <v>756</v>
      </c>
      <c r="H749">
        <v>6942</v>
      </c>
      <c r="I749" t="s">
        <v>1756</v>
      </c>
    </row>
    <row r="750" spans="1:9">
      <c r="A750" s="71">
        <v>44442</v>
      </c>
      <c r="B750" t="s">
        <v>330</v>
      </c>
      <c r="D750" t="s">
        <v>2230</v>
      </c>
      <c r="F750" s="86">
        <v>5411</v>
      </c>
      <c r="G750" t="s">
        <v>756</v>
      </c>
      <c r="H750">
        <v>4457</v>
      </c>
      <c r="I750" t="s">
        <v>1756</v>
      </c>
    </row>
    <row r="751" spans="1:9">
      <c r="A751" s="71">
        <v>44443</v>
      </c>
      <c r="B751" t="s">
        <v>39</v>
      </c>
      <c r="D751" t="s">
        <v>2231</v>
      </c>
      <c r="G751" t="s">
        <v>756</v>
      </c>
      <c r="H751">
        <v>6541</v>
      </c>
      <c r="I751" t="s">
        <v>1487</v>
      </c>
    </row>
    <row r="752" spans="1:9">
      <c r="A752" s="71">
        <v>44444</v>
      </c>
      <c r="B752" t="s">
        <v>330</v>
      </c>
      <c r="D752" t="s">
        <v>2232</v>
      </c>
      <c r="F752" s="86">
        <v>5470</v>
      </c>
      <c r="G752" t="s">
        <v>756</v>
      </c>
      <c r="H752">
        <v>6542</v>
      </c>
      <c r="I752" t="s">
        <v>1487</v>
      </c>
    </row>
    <row r="753" spans="1:9">
      <c r="A753" s="71">
        <v>44445</v>
      </c>
      <c r="B753" t="s">
        <v>330</v>
      </c>
      <c r="D753" t="s">
        <v>2233</v>
      </c>
      <c r="F753" s="86">
        <v>5421</v>
      </c>
      <c r="G753" t="s">
        <v>756</v>
      </c>
      <c r="H753">
        <v>6527</v>
      </c>
      <c r="I753" t="s">
        <v>1905</v>
      </c>
    </row>
    <row r="754" spans="1:9">
      <c r="A754" s="71">
        <v>44446</v>
      </c>
      <c r="B754" t="s">
        <v>152</v>
      </c>
      <c r="D754" t="s">
        <v>2234</v>
      </c>
      <c r="G754" t="s">
        <v>756</v>
      </c>
      <c r="H754">
        <v>6954</v>
      </c>
      <c r="I754" t="s">
        <v>1381</v>
      </c>
    </row>
    <row r="755" spans="1:9">
      <c r="A755" s="71">
        <v>44446</v>
      </c>
      <c r="B755" t="s">
        <v>2223</v>
      </c>
      <c r="D755" t="s">
        <v>2235</v>
      </c>
      <c r="F755" s="86">
        <v>5467</v>
      </c>
      <c r="G755" t="s">
        <v>756</v>
      </c>
      <c r="H755">
        <v>6543</v>
      </c>
      <c r="I755" t="s">
        <v>1487</v>
      </c>
    </row>
    <row r="756" spans="1:9">
      <c r="A756" s="71">
        <v>44446</v>
      </c>
      <c r="B756" t="s">
        <v>188</v>
      </c>
      <c r="D756" t="s">
        <v>2236</v>
      </c>
      <c r="F756" s="86">
        <v>248778</v>
      </c>
      <c r="G756" t="s">
        <v>756</v>
      </c>
      <c r="H756">
        <v>2054</v>
      </c>
      <c r="I756" t="s">
        <v>1330</v>
      </c>
    </row>
    <row r="757" spans="1:9">
      <c r="A757" s="71">
        <v>44447</v>
      </c>
      <c r="B757" t="s">
        <v>351</v>
      </c>
      <c r="D757" t="s">
        <v>2237</v>
      </c>
      <c r="F757" s="86">
        <v>5124</v>
      </c>
      <c r="G757" t="s">
        <v>756</v>
      </c>
      <c r="H757">
        <v>6959</v>
      </c>
      <c r="I757" t="s">
        <v>1756</v>
      </c>
    </row>
    <row r="758" spans="1:9">
      <c r="A758" s="71">
        <v>44447</v>
      </c>
      <c r="B758" t="s">
        <v>773</v>
      </c>
      <c r="D758" t="s">
        <v>2238</v>
      </c>
      <c r="G758" t="s">
        <v>756</v>
      </c>
      <c r="H758">
        <v>6956</v>
      </c>
      <c r="I758" t="s">
        <v>1381</v>
      </c>
    </row>
    <row r="759" spans="1:9">
      <c r="A759" s="71">
        <v>44448</v>
      </c>
      <c r="B759" t="s">
        <v>330</v>
      </c>
      <c r="D759" t="s">
        <v>2239</v>
      </c>
      <c r="F759" s="86">
        <v>5421</v>
      </c>
      <c r="G759" t="s">
        <v>756</v>
      </c>
      <c r="H759">
        <v>6528</v>
      </c>
      <c r="I759" t="s">
        <v>1905</v>
      </c>
    </row>
    <row r="760" spans="1:9">
      <c r="A760" s="71">
        <v>44448</v>
      </c>
      <c r="B760" t="s">
        <v>311</v>
      </c>
      <c r="D760" t="s">
        <v>2240</v>
      </c>
      <c r="F760" s="86">
        <v>12545</v>
      </c>
      <c r="G760" t="s">
        <v>756</v>
      </c>
      <c r="H760">
        <v>6529</v>
      </c>
      <c r="I760" t="s">
        <v>1487</v>
      </c>
    </row>
    <row r="761" spans="1:9">
      <c r="A761" s="71">
        <v>44449</v>
      </c>
      <c r="B761" t="s">
        <v>773</v>
      </c>
      <c r="D761" t="s">
        <v>2241</v>
      </c>
      <c r="G761" t="s">
        <v>756</v>
      </c>
      <c r="H761">
        <v>6974</v>
      </c>
      <c r="I761" t="s">
        <v>1381</v>
      </c>
    </row>
    <row r="762" spans="1:9">
      <c r="A762" s="71">
        <v>44449</v>
      </c>
      <c r="B762" t="s">
        <v>773</v>
      </c>
      <c r="D762" t="s">
        <v>2241</v>
      </c>
      <c r="G762" t="s">
        <v>756</v>
      </c>
      <c r="H762">
        <v>6974</v>
      </c>
      <c r="I762" t="s">
        <v>1756</v>
      </c>
    </row>
    <row r="763" spans="1:9">
      <c r="A763" s="71">
        <v>44452</v>
      </c>
      <c r="B763" t="s">
        <v>373</v>
      </c>
      <c r="D763" t="s">
        <v>2242</v>
      </c>
      <c r="F763" s="86">
        <v>2415</v>
      </c>
      <c r="G763" t="s">
        <v>756</v>
      </c>
      <c r="H763">
        <v>6531</v>
      </c>
      <c r="I763" t="s">
        <v>1487</v>
      </c>
    </row>
    <row r="764" spans="1:9">
      <c r="A764" s="71">
        <v>44453</v>
      </c>
      <c r="B764" t="s">
        <v>333</v>
      </c>
      <c r="D764" t="s">
        <v>2243</v>
      </c>
      <c r="G764" t="s">
        <v>756</v>
      </c>
      <c r="I764" t="s">
        <v>1756</v>
      </c>
    </row>
    <row r="765" spans="1:9">
      <c r="A765" s="71">
        <v>44454</v>
      </c>
      <c r="B765" t="s">
        <v>42</v>
      </c>
      <c r="D765" t="s">
        <v>2244</v>
      </c>
      <c r="G765" t="s">
        <v>756</v>
      </c>
      <c r="H765">
        <v>6989</v>
      </c>
      <c r="I765" t="s">
        <v>1381</v>
      </c>
    </row>
    <row r="766" spans="1:9">
      <c r="A766" s="71">
        <v>44454</v>
      </c>
      <c r="B766" t="s">
        <v>687</v>
      </c>
      <c r="D766" t="s">
        <v>2245</v>
      </c>
      <c r="F766" s="86">
        <v>7755</v>
      </c>
      <c r="G766" t="s">
        <v>756</v>
      </c>
      <c r="H766">
        <v>4473</v>
      </c>
      <c r="I766" t="s">
        <v>1756</v>
      </c>
    </row>
    <row r="767" spans="1:9">
      <c r="A767" s="71">
        <v>44455</v>
      </c>
      <c r="B767" t="s">
        <v>389</v>
      </c>
      <c r="D767" t="s">
        <v>2246</v>
      </c>
      <c r="F767" s="86">
        <v>2026</v>
      </c>
      <c r="G767" t="s">
        <v>756</v>
      </c>
      <c r="H767" t="s">
        <v>2247</v>
      </c>
      <c r="I767" t="s">
        <v>1756</v>
      </c>
    </row>
    <row r="768" spans="1:9">
      <c r="A768" s="71">
        <v>44455</v>
      </c>
      <c r="B768" t="s">
        <v>39</v>
      </c>
      <c r="D768" t="s">
        <v>2248</v>
      </c>
      <c r="G768" t="s">
        <v>756</v>
      </c>
      <c r="H768">
        <v>7065</v>
      </c>
      <c r="I768" t="s">
        <v>1596</v>
      </c>
    </row>
    <row r="769" spans="1:9">
      <c r="A769" s="71">
        <v>44459</v>
      </c>
      <c r="B769" t="s">
        <v>773</v>
      </c>
      <c r="D769" t="s">
        <v>2249</v>
      </c>
      <c r="G769" t="s">
        <v>756</v>
      </c>
      <c r="H769">
        <v>6991</v>
      </c>
      <c r="I769" t="s">
        <v>1381</v>
      </c>
    </row>
    <row r="770" spans="1:9">
      <c r="A770" s="71">
        <v>44459</v>
      </c>
      <c r="B770" t="s">
        <v>773</v>
      </c>
      <c r="D770" t="s">
        <v>2249</v>
      </c>
      <c r="G770" t="s">
        <v>756</v>
      </c>
      <c r="H770">
        <v>6991</v>
      </c>
      <c r="I770" t="s">
        <v>1381</v>
      </c>
    </row>
    <row r="771" spans="1:9">
      <c r="A771" s="71">
        <v>44460</v>
      </c>
      <c r="B771" t="s">
        <v>773</v>
      </c>
      <c r="D771" t="s">
        <v>2250</v>
      </c>
      <c r="G771" t="s">
        <v>756</v>
      </c>
      <c r="H771">
        <v>6993</v>
      </c>
      <c r="I771" t="s">
        <v>1381</v>
      </c>
    </row>
    <row r="772" spans="1:9">
      <c r="A772" s="71">
        <v>44460</v>
      </c>
      <c r="B772" t="s">
        <v>773</v>
      </c>
      <c r="D772" t="s">
        <v>2250</v>
      </c>
      <c r="G772" t="s">
        <v>756</v>
      </c>
      <c r="H772">
        <v>6993</v>
      </c>
      <c r="I772" t="s">
        <v>1381</v>
      </c>
    </row>
    <row r="773" spans="1:9">
      <c r="A773" s="71">
        <v>44460</v>
      </c>
      <c r="B773" t="s">
        <v>160</v>
      </c>
      <c r="D773" t="s">
        <v>2251</v>
      </c>
      <c r="G773" t="s">
        <v>756</v>
      </c>
      <c r="H773">
        <v>6992</v>
      </c>
      <c r="I773" t="s">
        <v>1381</v>
      </c>
    </row>
    <row r="774" spans="1:9">
      <c r="A774" s="71">
        <v>44460</v>
      </c>
      <c r="B774" t="s">
        <v>160</v>
      </c>
      <c r="D774" t="s">
        <v>2251</v>
      </c>
      <c r="G774" t="s">
        <v>756</v>
      </c>
      <c r="H774">
        <v>6992</v>
      </c>
      <c r="I774" t="s">
        <v>1381</v>
      </c>
    </row>
    <row r="775" spans="1:9">
      <c r="A775" s="71">
        <v>44460</v>
      </c>
      <c r="B775" t="s">
        <v>42</v>
      </c>
      <c r="D775" t="s">
        <v>2252</v>
      </c>
      <c r="G775" t="s">
        <v>756</v>
      </c>
      <c r="H775">
        <v>6623</v>
      </c>
      <c r="I775" t="s">
        <v>1341</v>
      </c>
    </row>
    <row r="776" spans="1:9">
      <c r="A776" s="71">
        <v>44461</v>
      </c>
      <c r="B776" t="s">
        <v>35</v>
      </c>
      <c r="D776" t="s">
        <v>2253</v>
      </c>
      <c r="F776" s="86">
        <v>4084</v>
      </c>
      <c r="G776" t="s">
        <v>756</v>
      </c>
      <c r="H776">
        <v>6766</v>
      </c>
      <c r="I776" t="s">
        <v>1347</v>
      </c>
    </row>
    <row r="777" spans="1:9">
      <c r="A777" s="71">
        <v>44461</v>
      </c>
      <c r="B777" t="s">
        <v>365</v>
      </c>
      <c r="D777" t="s">
        <v>2254</v>
      </c>
      <c r="F777" s="86">
        <v>9659</v>
      </c>
      <c r="G777" t="s">
        <v>756</v>
      </c>
      <c r="H777">
        <v>6532</v>
      </c>
      <c r="I777" t="s">
        <v>1487</v>
      </c>
    </row>
    <row r="778" spans="1:9">
      <c r="A778" s="71">
        <v>44461</v>
      </c>
      <c r="B778" t="s">
        <v>712</v>
      </c>
      <c r="D778" t="s">
        <v>2255</v>
      </c>
      <c r="F778" s="86">
        <v>12552</v>
      </c>
      <c r="G778" t="s">
        <v>756</v>
      </c>
      <c r="H778">
        <v>4481</v>
      </c>
      <c r="I778" t="s">
        <v>1756</v>
      </c>
    </row>
    <row r="779" spans="1:9">
      <c r="A779" s="71">
        <v>44462</v>
      </c>
      <c r="B779" t="s">
        <v>160</v>
      </c>
      <c r="D779" t="s">
        <v>2256</v>
      </c>
      <c r="G779" t="s">
        <v>756</v>
      </c>
      <c r="H779">
        <v>6997</v>
      </c>
      <c r="I779" t="s">
        <v>1381</v>
      </c>
    </row>
    <row r="780" spans="1:9">
      <c r="A780" s="71">
        <v>44462</v>
      </c>
      <c r="B780" t="s">
        <v>160</v>
      </c>
      <c r="D780" t="s">
        <v>2256</v>
      </c>
      <c r="G780" t="s">
        <v>756</v>
      </c>
      <c r="H780">
        <v>6997</v>
      </c>
      <c r="I780" t="s">
        <v>1381</v>
      </c>
    </row>
    <row r="781" spans="1:9">
      <c r="A781" s="71">
        <v>44463</v>
      </c>
      <c r="B781" t="s">
        <v>163</v>
      </c>
      <c r="D781" t="s">
        <v>2257</v>
      </c>
      <c r="G781" t="s">
        <v>756</v>
      </c>
      <c r="H781">
        <v>7000</v>
      </c>
      <c r="I781" t="s">
        <v>1381</v>
      </c>
    </row>
    <row r="782" spans="1:9">
      <c r="A782" s="71">
        <v>44463</v>
      </c>
      <c r="B782" t="s">
        <v>163</v>
      </c>
      <c r="D782" t="s">
        <v>2257</v>
      </c>
      <c r="G782" t="s">
        <v>756</v>
      </c>
      <c r="H782">
        <v>7000</v>
      </c>
      <c r="I782" t="s">
        <v>1381</v>
      </c>
    </row>
    <row r="783" spans="1:9">
      <c r="A783" s="71">
        <v>44466</v>
      </c>
      <c r="B783" t="s">
        <v>160</v>
      </c>
      <c r="D783" t="s">
        <v>2258</v>
      </c>
      <c r="G783" t="s">
        <v>756</v>
      </c>
      <c r="H783">
        <v>6533</v>
      </c>
      <c r="I783" t="s">
        <v>1487</v>
      </c>
    </row>
    <row r="784" spans="1:9">
      <c r="A784" s="71">
        <v>44467</v>
      </c>
      <c r="B784" t="s">
        <v>150</v>
      </c>
      <c r="D784" t="s">
        <v>2259</v>
      </c>
      <c r="G784" t="s">
        <v>756</v>
      </c>
      <c r="H784">
        <v>6771</v>
      </c>
      <c r="I784" t="s">
        <v>1347</v>
      </c>
    </row>
    <row r="785" spans="1:9">
      <c r="A785" s="71">
        <v>44467</v>
      </c>
      <c r="B785" t="s">
        <v>171</v>
      </c>
      <c r="D785" t="s">
        <v>2260</v>
      </c>
      <c r="F785" s="86">
        <v>2961</v>
      </c>
      <c r="G785" t="s">
        <v>756</v>
      </c>
      <c r="H785">
        <v>6770</v>
      </c>
      <c r="I785" t="s">
        <v>1347</v>
      </c>
    </row>
    <row r="786" spans="1:9">
      <c r="A786" s="71">
        <v>44467</v>
      </c>
      <c r="B786" t="s">
        <v>42</v>
      </c>
      <c r="D786" t="s">
        <v>2261</v>
      </c>
      <c r="G786" t="s">
        <v>756</v>
      </c>
      <c r="H786">
        <v>6625</v>
      </c>
      <c r="I786" t="s">
        <v>1347</v>
      </c>
    </row>
    <row r="787" spans="1:9">
      <c r="A787" s="71">
        <v>44467</v>
      </c>
      <c r="B787" t="s">
        <v>2223</v>
      </c>
      <c r="D787" t="s">
        <v>2262</v>
      </c>
      <c r="G787" t="s">
        <v>756</v>
      </c>
      <c r="H787">
        <v>6535</v>
      </c>
      <c r="I787" t="s">
        <v>1487</v>
      </c>
    </row>
    <row r="788" spans="1:9">
      <c r="A788" s="71">
        <v>44467</v>
      </c>
      <c r="B788" t="s">
        <v>689</v>
      </c>
      <c r="D788" t="s">
        <v>2263</v>
      </c>
      <c r="F788" s="86">
        <v>3314</v>
      </c>
      <c r="G788" t="s">
        <v>756</v>
      </c>
      <c r="H788">
        <v>4485</v>
      </c>
      <c r="I788" t="s">
        <v>1756</v>
      </c>
    </row>
    <row r="789" spans="1:9">
      <c r="A789" s="71">
        <v>44468</v>
      </c>
      <c r="B789" t="s">
        <v>160</v>
      </c>
      <c r="D789" t="s">
        <v>2264</v>
      </c>
      <c r="G789" t="s">
        <v>756</v>
      </c>
      <c r="H789">
        <v>6536</v>
      </c>
      <c r="I789" t="s">
        <v>1487</v>
      </c>
    </row>
    <row r="790" spans="1:9">
      <c r="A790" s="71">
        <v>44469</v>
      </c>
      <c r="B790" t="s">
        <v>2223</v>
      </c>
      <c r="D790" t="s">
        <v>2265</v>
      </c>
      <c r="F790" s="86">
        <v>5467</v>
      </c>
      <c r="G790" t="s">
        <v>756</v>
      </c>
      <c r="H790">
        <v>6537</v>
      </c>
      <c r="I790" t="s">
        <v>1487</v>
      </c>
    </row>
    <row r="791" spans="1:9">
      <c r="A791" s="71">
        <v>44470</v>
      </c>
      <c r="B791" t="s">
        <v>351</v>
      </c>
      <c r="D791" t="s">
        <v>2266</v>
      </c>
      <c r="F791" s="86">
        <v>5198</v>
      </c>
      <c r="G791" t="s">
        <v>756</v>
      </c>
      <c r="H791">
        <v>7023</v>
      </c>
      <c r="I791" t="s">
        <v>1756</v>
      </c>
    </row>
    <row r="792" spans="1:9">
      <c r="A792" s="71">
        <v>44470</v>
      </c>
      <c r="B792" t="s">
        <v>12</v>
      </c>
      <c r="D792" t="s">
        <v>2267</v>
      </c>
      <c r="F792" s="86">
        <v>1320</v>
      </c>
      <c r="G792" t="s">
        <v>756</v>
      </c>
      <c r="H792">
        <v>4491</v>
      </c>
      <c r="I792" t="s">
        <v>1756</v>
      </c>
    </row>
    <row r="793" spans="1:9">
      <c r="A793" s="71">
        <v>44470</v>
      </c>
      <c r="B793" t="s">
        <v>351</v>
      </c>
      <c r="D793" t="s">
        <v>2268</v>
      </c>
      <c r="F793" s="86">
        <v>5198</v>
      </c>
      <c r="G793" t="s">
        <v>756</v>
      </c>
      <c r="H793">
        <v>4490</v>
      </c>
      <c r="I793" t="s">
        <v>1381</v>
      </c>
    </row>
    <row r="794" spans="1:9">
      <c r="A794" s="71">
        <v>44471</v>
      </c>
      <c r="B794" t="s">
        <v>12</v>
      </c>
      <c r="D794" t="s">
        <v>2269</v>
      </c>
      <c r="G794" t="s">
        <v>756</v>
      </c>
      <c r="H794">
        <v>7054</v>
      </c>
      <c r="I794" t="s">
        <v>1596</v>
      </c>
    </row>
    <row r="795" spans="1:9">
      <c r="A795" s="71">
        <v>44473</v>
      </c>
      <c r="B795" t="s">
        <v>12</v>
      </c>
      <c r="D795" t="s">
        <v>2270</v>
      </c>
      <c r="G795" t="s">
        <v>756</v>
      </c>
      <c r="H795">
        <v>7055</v>
      </c>
      <c r="I795" t="s">
        <v>1596</v>
      </c>
    </row>
    <row r="796" spans="1:9">
      <c r="A796" s="71">
        <v>44473</v>
      </c>
      <c r="B796" t="s">
        <v>239</v>
      </c>
      <c r="D796" t="s">
        <v>2271</v>
      </c>
      <c r="G796" t="s">
        <v>756</v>
      </c>
      <c r="H796">
        <v>7027</v>
      </c>
      <c r="I796" t="s">
        <v>1381</v>
      </c>
    </row>
    <row r="797" spans="1:9">
      <c r="A797" s="71">
        <v>44473</v>
      </c>
      <c r="B797" t="s">
        <v>239</v>
      </c>
      <c r="D797" t="s">
        <v>2272</v>
      </c>
      <c r="G797" t="s">
        <v>756</v>
      </c>
      <c r="H797">
        <v>7027</v>
      </c>
      <c r="I797" t="s">
        <v>1381</v>
      </c>
    </row>
    <row r="798" spans="1:9">
      <c r="A798" s="71">
        <v>44474</v>
      </c>
      <c r="B798" t="s">
        <v>19</v>
      </c>
      <c r="D798" t="s">
        <v>2273</v>
      </c>
      <c r="F798" s="86">
        <v>4456</v>
      </c>
      <c r="G798" t="s">
        <v>756</v>
      </c>
      <c r="H798">
        <v>7102</v>
      </c>
      <c r="I798" t="s">
        <v>1347</v>
      </c>
    </row>
    <row r="799" spans="1:9">
      <c r="A799" s="71">
        <v>44474</v>
      </c>
      <c r="B799" t="s">
        <v>150</v>
      </c>
      <c r="D799" t="s">
        <v>2259</v>
      </c>
      <c r="G799" t="s">
        <v>756</v>
      </c>
      <c r="H799">
        <v>7101</v>
      </c>
      <c r="I799" t="s">
        <v>1347</v>
      </c>
    </row>
    <row r="800" spans="1:9">
      <c r="A800" s="71">
        <v>44474</v>
      </c>
      <c r="B800" t="s">
        <v>180</v>
      </c>
      <c r="D800" t="s">
        <v>2274</v>
      </c>
      <c r="G800" t="s">
        <v>756</v>
      </c>
      <c r="H800">
        <v>7057</v>
      </c>
      <c r="I800" t="s">
        <v>1596</v>
      </c>
    </row>
    <row r="801" spans="1:9">
      <c r="A801" s="71">
        <v>44474</v>
      </c>
      <c r="B801" t="s">
        <v>180</v>
      </c>
      <c r="D801" t="s">
        <v>2274</v>
      </c>
      <c r="G801" t="s">
        <v>756</v>
      </c>
      <c r="H801">
        <v>7057</v>
      </c>
      <c r="I801" t="s">
        <v>1596</v>
      </c>
    </row>
    <row r="802" spans="1:9">
      <c r="A802" s="71">
        <v>44474</v>
      </c>
      <c r="B802" t="s">
        <v>12</v>
      </c>
      <c r="D802" t="s">
        <v>2275</v>
      </c>
      <c r="G802" t="s">
        <v>756</v>
      </c>
      <c r="H802">
        <v>7056</v>
      </c>
      <c r="I802" t="s">
        <v>1596</v>
      </c>
    </row>
    <row r="803" spans="1:9">
      <c r="A803" s="71">
        <v>44474</v>
      </c>
      <c r="B803" t="s">
        <v>150</v>
      </c>
      <c r="D803" t="s">
        <v>2259</v>
      </c>
      <c r="G803" t="s">
        <v>756</v>
      </c>
      <c r="H803">
        <v>7101</v>
      </c>
      <c r="I803" t="s">
        <v>1347</v>
      </c>
    </row>
    <row r="804" spans="1:9">
      <c r="A804" s="71">
        <v>44474</v>
      </c>
      <c r="B804" t="s">
        <v>39</v>
      </c>
      <c r="D804" t="s">
        <v>2276</v>
      </c>
      <c r="F804" s="86">
        <v>240</v>
      </c>
      <c r="G804" t="s">
        <v>756</v>
      </c>
      <c r="H804">
        <v>2061</v>
      </c>
      <c r="I804" t="s">
        <v>1330</v>
      </c>
    </row>
    <row r="805" spans="1:9">
      <c r="A805" s="71">
        <v>44475</v>
      </c>
      <c r="B805" t="s">
        <v>25</v>
      </c>
      <c r="D805" t="s">
        <v>2277</v>
      </c>
      <c r="G805" t="s">
        <v>756</v>
      </c>
      <c r="H805">
        <v>7104</v>
      </c>
      <c r="I805" t="s">
        <v>1347</v>
      </c>
    </row>
    <row r="806" spans="1:9">
      <c r="A806" s="71">
        <v>44475</v>
      </c>
      <c r="B806" t="s">
        <v>150</v>
      </c>
      <c r="D806" t="s">
        <v>2278</v>
      </c>
      <c r="G806" t="s">
        <v>756</v>
      </c>
      <c r="H806">
        <v>2062</v>
      </c>
      <c r="I806" t="s">
        <v>1330</v>
      </c>
    </row>
    <row r="807" spans="1:9">
      <c r="A807" s="71">
        <v>44475</v>
      </c>
      <c r="B807" t="s">
        <v>710</v>
      </c>
      <c r="D807" t="s">
        <v>2279</v>
      </c>
      <c r="F807" s="86">
        <v>16724</v>
      </c>
      <c r="G807" t="s">
        <v>756</v>
      </c>
      <c r="H807">
        <v>7036</v>
      </c>
      <c r="I807" t="s">
        <v>1756</v>
      </c>
    </row>
    <row r="808" spans="1:9">
      <c r="A808" s="71">
        <v>44475</v>
      </c>
      <c r="B808" t="s">
        <v>373</v>
      </c>
      <c r="D808" t="s">
        <v>2280</v>
      </c>
      <c r="F808" s="86">
        <v>2456</v>
      </c>
      <c r="G808" t="s">
        <v>756</v>
      </c>
      <c r="H808">
        <v>7035</v>
      </c>
      <c r="I808" t="s">
        <v>1381</v>
      </c>
    </row>
    <row r="809" spans="1:9">
      <c r="A809" s="71">
        <v>44475</v>
      </c>
      <c r="B809" t="s">
        <v>710</v>
      </c>
      <c r="D809" t="s">
        <v>2281</v>
      </c>
      <c r="F809" s="86">
        <v>16724</v>
      </c>
      <c r="G809" t="s">
        <v>756</v>
      </c>
      <c r="H809">
        <v>4495</v>
      </c>
      <c r="I809" t="s">
        <v>1756</v>
      </c>
    </row>
    <row r="810" spans="1:9">
      <c r="A810" s="71">
        <v>44475</v>
      </c>
      <c r="B810" t="s">
        <v>373</v>
      </c>
      <c r="D810" t="s">
        <v>2282</v>
      </c>
      <c r="F810" s="86">
        <v>2456</v>
      </c>
      <c r="G810" t="s">
        <v>756</v>
      </c>
      <c r="H810">
        <v>4494</v>
      </c>
      <c r="I810" t="s">
        <v>1756</v>
      </c>
    </row>
    <row r="811" spans="1:9">
      <c r="A811" s="71">
        <v>44476</v>
      </c>
      <c r="B811" t="s">
        <v>324</v>
      </c>
      <c r="D811" t="s">
        <v>2283</v>
      </c>
      <c r="F811" s="86">
        <v>12403</v>
      </c>
      <c r="G811" t="s">
        <v>756</v>
      </c>
      <c r="H811">
        <v>7038</v>
      </c>
      <c r="I811" t="s">
        <v>1756</v>
      </c>
    </row>
    <row r="812" spans="1:9">
      <c r="A812" s="71">
        <v>44476</v>
      </c>
      <c r="B812" t="s">
        <v>346</v>
      </c>
      <c r="D812" t="s">
        <v>2284</v>
      </c>
      <c r="F812" s="86">
        <v>6846</v>
      </c>
      <c r="G812" t="s">
        <v>756</v>
      </c>
      <c r="H812">
        <v>4497</v>
      </c>
      <c r="I812" t="s">
        <v>1756</v>
      </c>
    </row>
    <row r="813" spans="1:9">
      <c r="A813" s="71">
        <v>44476</v>
      </c>
      <c r="B813" t="s">
        <v>159</v>
      </c>
      <c r="D813" t="s">
        <v>2285</v>
      </c>
      <c r="F813" s="86">
        <v>7908</v>
      </c>
      <c r="G813" t="s">
        <v>756</v>
      </c>
      <c r="H813">
        <v>4496</v>
      </c>
      <c r="I813" t="s">
        <v>1756</v>
      </c>
    </row>
    <row r="814" spans="1:9">
      <c r="A814" s="71">
        <v>44476</v>
      </c>
      <c r="B814" t="s">
        <v>330</v>
      </c>
      <c r="D814" t="s">
        <v>2286</v>
      </c>
      <c r="F814" s="86">
        <v>5473</v>
      </c>
      <c r="G814" t="s">
        <v>756</v>
      </c>
      <c r="H814">
        <v>2059</v>
      </c>
      <c r="I814" t="s">
        <v>1330</v>
      </c>
    </row>
    <row r="815" spans="1:9">
      <c r="A815" s="71">
        <v>44477</v>
      </c>
      <c r="B815" t="s">
        <v>389</v>
      </c>
      <c r="D815" t="s">
        <v>2287</v>
      </c>
      <c r="F815" s="86">
        <v>4096</v>
      </c>
      <c r="G815" t="s">
        <v>756</v>
      </c>
      <c r="H815">
        <v>7083</v>
      </c>
      <c r="I815" t="s">
        <v>1596</v>
      </c>
    </row>
    <row r="816" spans="1:9">
      <c r="A816" s="71">
        <v>44477</v>
      </c>
      <c r="B816" t="s">
        <v>2223</v>
      </c>
      <c r="D816" t="s">
        <v>2288</v>
      </c>
      <c r="G816" t="s">
        <v>756</v>
      </c>
      <c r="H816">
        <v>7060</v>
      </c>
      <c r="I816" t="s">
        <v>1596</v>
      </c>
    </row>
    <row r="817" spans="1:9">
      <c r="A817" s="71">
        <v>44477</v>
      </c>
      <c r="B817" t="s">
        <v>191</v>
      </c>
      <c r="D817" t="s">
        <v>2289</v>
      </c>
      <c r="G817" t="s">
        <v>756</v>
      </c>
      <c r="H817">
        <v>6545</v>
      </c>
      <c r="I817" t="s">
        <v>1487</v>
      </c>
    </row>
    <row r="818" spans="1:9">
      <c r="A818" s="71">
        <v>44477</v>
      </c>
      <c r="B818" t="s">
        <v>180</v>
      </c>
      <c r="D818" t="s">
        <v>2290</v>
      </c>
      <c r="G818" t="s">
        <v>756</v>
      </c>
      <c r="H818">
        <v>6544</v>
      </c>
      <c r="I818" t="s">
        <v>1487</v>
      </c>
    </row>
    <row r="819" spans="1:9">
      <c r="A819" s="71">
        <v>44477</v>
      </c>
      <c r="B819" t="s">
        <v>188</v>
      </c>
      <c r="D819" t="s">
        <v>2291</v>
      </c>
      <c r="G819" t="s">
        <v>756</v>
      </c>
      <c r="H819">
        <v>4499</v>
      </c>
      <c r="I819" t="s">
        <v>1756</v>
      </c>
    </row>
    <row r="820" spans="1:9">
      <c r="A820" s="71">
        <v>44477</v>
      </c>
      <c r="B820" t="s">
        <v>346</v>
      </c>
      <c r="D820" t="s">
        <v>2292</v>
      </c>
      <c r="F820" s="86">
        <v>6850</v>
      </c>
      <c r="G820" t="s">
        <v>756</v>
      </c>
      <c r="H820">
        <v>4498</v>
      </c>
      <c r="I820" t="s">
        <v>1756</v>
      </c>
    </row>
    <row r="821" spans="1:9">
      <c r="A821" s="71">
        <v>44478</v>
      </c>
      <c r="B821" t="s">
        <v>365</v>
      </c>
      <c r="D821" t="s">
        <v>2293</v>
      </c>
      <c r="F821" s="86">
        <v>96633</v>
      </c>
      <c r="G821" t="s">
        <v>756</v>
      </c>
      <c r="H821">
        <v>7201</v>
      </c>
      <c r="I821" t="s">
        <v>473</v>
      </c>
    </row>
    <row r="822" spans="1:9">
      <c r="A822" s="71">
        <v>44478</v>
      </c>
      <c r="B822" t="s">
        <v>2223</v>
      </c>
      <c r="D822" t="s">
        <v>2294</v>
      </c>
      <c r="G822" t="s">
        <v>756</v>
      </c>
      <c r="H822">
        <v>7053</v>
      </c>
      <c r="I822" t="s">
        <v>1596</v>
      </c>
    </row>
    <row r="823" spans="1:9">
      <c r="A823" s="71">
        <v>44480</v>
      </c>
      <c r="B823" t="s">
        <v>377</v>
      </c>
      <c r="D823" t="s">
        <v>2295</v>
      </c>
      <c r="F823" s="86">
        <v>6427</v>
      </c>
      <c r="G823" t="s">
        <v>756</v>
      </c>
      <c r="H823">
        <v>7362</v>
      </c>
      <c r="I823" t="s">
        <v>473</v>
      </c>
    </row>
    <row r="824" spans="1:9">
      <c r="A824" s="71">
        <v>44480</v>
      </c>
      <c r="B824" t="s">
        <v>346</v>
      </c>
      <c r="D824" t="s">
        <v>2296</v>
      </c>
      <c r="F824" s="86">
        <v>6906</v>
      </c>
      <c r="G824" t="s">
        <v>756</v>
      </c>
      <c r="H824">
        <v>7292</v>
      </c>
      <c r="I824" t="s">
        <v>1598</v>
      </c>
    </row>
    <row r="825" spans="1:9">
      <c r="A825" s="71">
        <v>44481</v>
      </c>
      <c r="B825" t="s">
        <v>383</v>
      </c>
      <c r="D825" t="s">
        <v>2297</v>
      </c>
      <c r="F825" s="86">
        <v>1052</v>
      </c>
      <c r="G825" t="s">
        <v>756</v>
      </c>
      <c r="H825">
        <v>7251</v>
      </c>
      <c r="I825" t="s">
        <v>1756</v>
      </c>
    </row>
    <row r="826" spans="1:9">
      <c r="A826" s="71">
        <v>44481</v>
      </c>
      <c r="B826" t="s">
        <v>365</v>
      </c>
      <c r="D826" t="s">
        <v>2298</v>
      </c>
      <c r="F826" s="86">
        <v>96633</v>
      </c>
      <c r="G826" t="s">
        <v>756</v>
      </c>
      <c r="H826">
        <v>7202</v>
      </c>
      <c r="I826" t="s">
        <v>473</v>
      </c>
    </row>
    <row r="827" spans="1:9">
      <c r="A827" s="71">
        <v>44481</v>
      </c>
      <c r="B827" t="s">
        <v>39</v>
      </c>
      <c r="D827" t="s">
        <v>2299</v>
      </c>
      <c r="G827" t="s">
        <v>756</v>
      </c>
      <c r="H827">
        <v>6547</v>
      </c>
      <c r="I827" t="s">
        <v>1347</v>
      </c>
    </row>
    <row r="828" spans="1:9">
      <c r="A828" s="71">
        <v>44481</v>
      </c>
      <c r="B828" t="s">
        <v>180</v>
      </c>
      <c r="D828" t="s">
        <v>2300</v>
      </c>
      <c r="G828" t="s">
        <v>756</v>
      </c>
      <c r="H828">
        <v>6546</v>
      </c>
      <c r="I828" t="s">
        <v>1487</v>
      </c>
    </row>
    <row r="829" spans="1:9">
      <c r="A829" s="71">
        <v>44482</v>
      </c>
      <c r="B829" t="s">
        <v>160</v>
      </c>
      <c r="D829" t="s">
        <v>2301</v>
      </c>
      <c r="G829" t="s">
        <v>756</v>
      </c>
      <c r="H829">
        <v>7253</v>
      </c>
      <c r="I829" t="s">
        <v>1756</v>
      </c>
    </row>
    <row r="830" spans="1:9">
      <c r="A830" s="71">
        <v>44482</v>
      </c>
      <c r="B830" t="s">
        <v>191</v>
      </c>
      <c r="D830" t="s">
        <v>2302</v>
      </c>
      <c r="G830" t="s">
        <v>756</v>
      </c>
      <c r="H830">
        <v>6718</v>
      </c>
      <c r="I830" t="s">
        <v>1657</v>
      </c>
    </row>
    <row r="831" spans="1:9">
      <c r="A831" s="71">
        <v>44482</v>
      </c>
      <c r="B831" t="s">
        <v>1609</v>
      </c>
      <c r="D831" t="s">
        <v>2303</v>
      </c>
      <c r="G831" t="s">
        <v>756</v>
      </c>
      <c r="H831">
        <v>6716</v>
      </c>
      <c r="I831" t="s">
        <v>1657</v>
      </c>
    </row>
    <row r="832" spans="1:9">
      <c r="A832" s="71">
        <v>44482</v>
      </c>
      <c r="B832" t="s">
        <v>567</v>
      </c>
      <c r="D832" t="s">
        <v>2304</v>
      </c>
      <c r="G832" t="s">
        <v>756</v>
      </c>
      <c r="H832">
        <v>6626</v>
      </c>
      <c r="I832" t="s">
        <v>1341</v>
      </c>
    </row>
    <row r="833" spans="1:9">
      <c r="A833" s="71">
        <v>44482</v>
      </c>
      <c r="B833" t="s">
        <v>39</v>
      </c>
      <c r="D833" t="s">
        <v>2305</v>
      </c>
      <c r="G833" t="s">
        <v>756</v>
      </c>
      <c r="H833">
        <v>6548</v>
      </c>
      <c r="I833" t="s">
        <v>1487</v>
      </c>
    </row>
    <row r="834" spans="1:9">
      <c r="A834" s="71">
        <v>44483</v>
      </c>
      <c r="B834" t="s">
        <v>169</v>
      </c>
      <c r="D834" t="s">
        <v>2306</v>
      </c>
      <c r="F834" s="86">
        <v>3212</v>
      </c>
      <c r="G834" t="s">
        <v>756</v>
      </c>
      <c r="H834">
        <v>7062</v>
      </c>
      <c r="I834" t="s">
        <v>1596</v>
      </c>
    </row>
    <row r="835" spans="1:9">
      <c r="A835" s="71">
        <v>44483</v>
      </c>
      <c r="B835" t="s">
        <v>188</v>
      </c>
      <c r="D835" t="s">
        <v>2307</v>
      </c>
      <c r="G835" t="s">
        <v>756</v>
      </c>
      <c r="H835">
        <v>7255</v>
      </c>
      <c r="I835" t="s">
        <v>1756</v>
      </c>
    </row>
    <row r="836" spans="1:9">
      <c r="A836" s="71">
        <v>44483</v>
      </c>
      <c r="B836" t="s">
        <v>150</v>
      </c>
      <c r="D836" t="s">
        <v>2308</v>
      </c>
      <c r="G836" t="s">
        <v>756</v>
      </c>
      <c r="H836">
        <v>7204</v>
      </c>
      <c r="I836" t="s">
        <v>473</v>
      </c>
    </row>
    <row r="837" spans="1:9">
      <c r="A837" s="71">
        <v>44483</v>
      </c>
      <c r="B837" t="s">
        <v>162</v>
      </c>
      <c r="D837" t="s">
        <v>2309</v>
      </c>
      <c r="G837" t="s">
        <v>756</v>
      </c>
      <c r="H837">
        <v>6549</v>
      </c>
      <c r="I837" t="s">
        <v>1487</v>
      </c>
    </row>
    <row r="838" spans="1:9">
      <c r="A838" s="71">
        <v>44483</v>
      </c>
      <c r="B838" t="s">
        <v>169</v>
      </c>
      <c r="D838" t="s">
        <v>2306</v>
      </c>
      <c r="F838" s="86">
        <v>3212</v>
      </c>
      <c r="G838" t="s">
        <v>756</v>
      </c>
      <c r="H838">
        <v>7062</v>
      </c>
      <c r="I838" t="s">
        <v>1596</v>
      </c>
    </row>
    <row r="839" spans="1:9">
      <c r="A839" s="71">
        <v>44484</v>
      </c>
      <c r="B839" t="s">
        <v>383</v>
      </c>
      <c r="D839" t="s">
        <v>2310</v>
      </c>
      <c r="G839" t="s">
        <v>756</v>
      </c>
      <c r="H839">
        <v>7063</v>
      </c>
      <c r="I839" t="s">
        <v>1596</v>
      </c>
    </row>
    <row r="840" spans="1:9">
      <c r="A840" s="71">
        <v>44484</v>
      </c>
      <c r="B840" t="s">
        <v>712</v>
      </c>
      <c r="D840" t="s">
        <v>2311</v>
      </c>
      <c r="F840" s="86">
        <v>12648</v>
      </c>
      <c r="G840" t="s">
        <v>756</v>
      </c>
      <c r="H840">
        <v>6721</v>
      </c>
      <c r="I840" t="s">
        <v>1598</v>
      </c>
    </row>
    <row r="841" spans="1:9">
      <c r="A841" s="71">
        <v>44484</v>
      </c>
      <c r="B841" t="s">
        <v>369</v>
      </c>
      <c r="D841" t="s">
        <v>2312</v>
      </c>
      <c r="F841" s="86">
        <v>9654</v>
      </c>
      <c r="G841" t="s">
        <v>756</v>
      </c>
      <c r="H841">
        <v>6720</v>
      </c>
      <c r="I841" t="s">
        <v>1657</v>
      </c>
    </row>
    <row r="842" spans="1:9">
      <c r="A842" s="71">
        <v>44484</v>
      </c>
      <c r="B842" t="s">
        <v>143</v>
      </c>
      <c r="D842" t="s">
        <v>2313</v>
      </c>
      <c r="G842" t="s">
        <v>756</v>
      </c>
      <c r="H842">
        <v>6627</v>
      </c>
      <c r="I842" t="s">
        <v>1341</v>
      </c>
    </row>
    <row r="843" spans="1:9">
      <c r="A843" s="71">
        <v>44485</v>
      </c>
      <c r="B843" t="s">
        <v>162</v>
      </c>
      <c r="D843" t="s">
        <v>2314</v>
      </c>
      <c r="G843" t="s">
        <v>756</v>
      </c>
      <c r="H843">
        <v>7064</v>
      </c>
      <c r="I843" t="s">
        <v>1596</v>
      </c>
    </row>
    <row r="844" spans="1:9">
      <c r="A844" s="71">
        <v>44485</v>
      </c>
      <c r="B844" t="s">
        <v>162</v>
      </c>
      <c r="D844" t="s">
        <v>2314</v>
      </c>
      <c r="G844" t="s">
        <v>756</v>
      </c>
      <c r="H844">
        <v>7064</v>
      </c>
      <c r="I844" t="s">
        <v>1596</v>
      </c>
    </row>
    <row r="845" spans="1:9">
      <c r="A845" s="71">
        <v>44487</v>
      </c>
      <c r="B845" t="s">
        <v>710</v>
      </c>
      <c r="D845" t="s">
        <v>2315</v>
      </c>
      <c r="F845" s="86">
        <v>16724</v>
      </c>
      <c r="G845" t="s">
        <v>756</v>
      </c>
      <c r="H845">
        <v>7256</v>
      </c>
      <c r="I845" t="s">
        <v>1756</v>
      </c>
    </row>
    <row r="846" spans="1:9">
      <c r="A846" s="71">
        <v>44487</v>
      </c>
      <c r="B846" t="s">
        <v>782</v>
      </c>
      <c r="D846" t="s">
        <v>2316</v>
      </c>
      <c r="F846" s="86">
        <v>13329</v>
      </c>
      <c r="G846" t="s">
        <v>756</v>
      </c>
      <c r="H846">
        <v>7207</v>
      </c>
      <c r="I846" t="s">
        <v>473</v>
      </c>
    </row>
    <row r="847" spans="1:9">
      <c r="A847" s="71">
        <v>44487</v>
      </c>
      <c r="B847" t="s">
        <v>703</v>
      </c>
      <c r="D847" t="s">
        <v>2317</v>
      </c>
      <c r="F847" s="86">
        <v>10064</v>
      </c>
      <c r="G847" t="s">
        <v>756</v>
      </c>
      <c r="H847">
        <v>7205</v>
      </c>
      <c r="I847" t="s">
        <v>473</v>
      </c>
    </row>
    <row r="848" spans="1:9">
      <c r="A848" s="71">
        <v>44487</v>
      </c>
      <c r="B848" t="s">
        <v>710</v>
      </c>
      <c r="D848" t="s">
        <v>2318</v>
      </c>
      <c r="F848" s="86">
        <v>16725</v>
      </c>
      <c r="G848" t="s">
        <v>756</v>
      </c>
      <c r="H848">
        <v>7154</v>
      </c>
      <c r="I848" t="s">
        <v>1756</v>
      </c>
    </row>
    <row r="849" spans="1:9">
      <c r="A849" s="71">
        <v>44487</v>
      </c>
      <c r="B849" t="s">
        <v>162</v>
      </c>
      <c r="D849" t="s">
        <v>2319</v>
      </c>
      <c r="G849" t="s">
        <v>756</v>
      </c>
      <c r="H849">
        <v>7066</v>
      </c>
      <c r="I849" t="s">
        <v>1596</v>
      </c>
    </row>
    <row r="850" spans="1:9">
      <c r="A850" s="71">
        <v>44487</v>
      </c>
      <c r="B850" t="s">
        <v>162</v>
      </c>
      <c r="D850" t="s">
        <v>2319</v>
      </c>
      <c r="G850" t="s">
        <v>756</v>
      </c>
      <c r="H850">
        <v>7066</v>
      </c>
      <c r="I850" t="s">
        <v>1596</v>
      </c>
    </row>
    <row r="851" spans="1:9">
      <c r="A851" s="71">
        <v>44487</v>
      </c>
      <c r="B851" t="s">
        <v>710</v>
      </c>
      <c r="D851" t="s">
        <v>2320</v>
      </c>
      <c r="F851" s="86">
        <v>16724</v>
      </c>
      <c r="G851" t="s">
        <v>756</v>
      </c>
      <c r="H851">
        <v>7049</v>
      </c>
      <c r="I851" t="s">
        <v>1756</v>
      </c>
    </row>
    <row r="852" spans="1:9">
      <c r="A852" s="71">
        <v>44487</v>
      </c>
      <c r="B852" t="s">
        <v>712</v>
      </c>
      <c r="D852" t="s">
        <v>2321</v>
      </c>
      <c r="F852" s="86">
        <v>12648</v>
      </c>
      <c r="G852" t="s">
        <v>756</v>
      </c>
      <c r="H852">
        <v>6723</v>
      </c>
      <c r="I852" t="s">
        <v>1657</v>
      </c>
    </row>
    <row r="853" spans="1:9">
      <c r="A853" s="71">
        <v>44487</v>
      </c>
      <c r="B853" t="s">
        <v>330</v>
      </c>
      <c r="D853" t="s">
        <v>2322</v>
      </c>
      <c r="F853" s="86">
        <v>5474</v>
      </c>
      <c r="G853" t="s">
        <v>756</v>
      </c>
      <c r="H853">
        <v>2063</v>
      </c>
      <c r="I853" t="s">
        <v>1598</v>
      </c>
    </row>
    <row r="854" spans="1:9">
      <c r="A854" s="71">
        <v>44488</v>
      </c>
      <c r="B854" t="s">
        <v>318</v>
      </c>
      <c r="D854" t="s">
        <v>2323</v>
      </c>
      <c r="G854" t="s">
        <v>756</v>
      </c>
      <c r="H854">
        <v>6550</v>
      </c>
      <c r="I854" t="s">
        <v>1598</v>
      </c>
    </row>
    <row r="855" spans="1:9">
      <c r="A855" s="71">
        <v>44489</v>
      </c>
      <c r="B855" t="s">
        <v>307</v>
      </c>
      <c r="D855" t="s">
        <v>2324</v>
      </c>
      <c r="F855" s="86">
        <v>12171</v>
      </c>
      <c r="G855" t="s">
        <v>756</v>
      </c>
      <c r="H855">
        <v>7260</v>
      </c>
      <c r="I855" t="s">
        <v>1756</v>
      </c>
    </row>
    <row r="856" spans="1:9">
      <c r="A856" s="71">
        <v>44489</v>
      </c>
      <c r="B856" t="s">
        <v>388</v>
      </c>
      <c r="D856" t="s">
        <v>2325</v>
      </c>
      <c r="F856" s="86">
        <v>9843</v>
      </c>
      <c r="G856" t="s">
        <v>756</v>
      </c>
      <c r="H856">
        <v>7259</v>
      </c>
      <c r="I856" t="s">
        <v>1756</v>
      </c>
    </row>
    <row r="857" spans="1:9">
      <c r="A857" s="71">
        <v>44489</v>
      </c>
      <c r="B857" t="s">
        <v>307</v>
      </c>
      <c r="D857" t="s">
        <v>2326</v>
      </c>
      <c r="G857" t="s">
        <v>756</v>
      </c>
      <c r="H857">
        <v>7159</v>
      </c>
      <c r="I857" t="s">
        <v>1756</v>
      </c>
    </row>
    <row r="858" spans="1:9">
      <c r="A858" s="71">
        <v>44489</v>
      </c>
      <c r="B858" t="s">
        <v>567</v>
      </c>
      <c r="D858" t="s">
        <v>2327</v>
      </c>
      <c r="G858" t="s">
        <v>756</v>
      </c>
      <c r="H858">
        <v>6631</v>
      </c>
      <c r="I858" t="s">
        <v>1341</v>
      </c>
    </row>
    <row r="859" spans="1:9">
      <c r="A859" s="71">
        <v>44490</v>
      </c>
      <c r="B859" t="s">
        <v>163</v>
      </c>
      <c r="D859" t="s">
        <v>2328</v>
      </c>
      <c r="F859" s="86">
        <v>4375</v>
      </c>
      <c r="G859" t="s">
        <v>756</v>
      </c>
      <c r="H859">
        <v>7301</v>
      </c>
      <c r="I859" t="s">
        <v>1487</v>
      </c>
    </row>
    <row r="860" spans="1:9">
      <c r="A860" s="71">
        <v>44490</v>
      </c>
      <c r="B860" t="s">
        <v>388</v>
      </c>
      <c r="D860" t="s">
        <v>2329</v>
      </c>
      <c r="F860" s="86">
        <v>9846</v>
      </c>
      <c r="G860" t="s">
        <v>756</v>
      </c>
      <c r="H860">
        <v>7265</v>
      </c>
      <c r="I860" t="s">
        <v>1756</v>
      </c>
    </row>
    <row r="861" spans="1:9">
      <c r="A861" s="71">
        <v>44490</v>
      </c>
      <c r="B861" t="s">
        <v>346</v>
      </c>
      <c r="D861" t="s">
        <v>2330</v>
      </c>
      <c r="F861" s="86">
        <v>6892</v>
      </c>
      <c r="G861" t="s">
        <v>756</v>
      </c>
      <c r="H861">
        <v>7264</v>
      </c>
      <c r="I861" t="s">
        <v>1756</v>
      </c>
    </row>
    <row r="862" spans="1:9">
      <c r="A862" s="71">
        <v>44490</v>
      </c>
      <c r="B862" t="s">
        <v>388</v>
      </c>
      <c r="D862" t="s">
        <v>2331</v>
      </c>
      <c r="F862" s="86">
        <v>9846</v>
      </c>
      <c r="G862" t="s">
        <v>756</v>
      </c>
      <c r="H862">
        <v>7165</v>
      </c>
      <c r="I862" t="s">
        <v>1381</v>
      </c>
    </row>
    <row r="863" spans="1:9">
      <c r="A863" s="71">
        <v>44490</v>
      </c>
      <c r="B863" t="s">
        <v>36</v>
      </c>
      <c r="D863" t="s">
        <v>2332</v>
      </c>
      <c r="F863" s="86">
        <v>4466</v>
      </c>
      <c r="G863" t="s">
        <v>756</v>
      </c>
      <c r="H863">
        <v>6779</v>
      </c>
      <c r="I863" t="s">
        <v>1347</v>
      </c>
    </row>
    <row r="864" spans="1:9">
      <c r="A864" s="71">
        <v>44490</v>
      </c>
      <c r="B864" t="s">
        <v>191</v>
      </c>
      <c r="D864" t="s">
        <v>2333</v>
      </c>
      <c r="G864" t="s">
        <v>756</v>
      </c>
      <c r="H864">
        <v>2065</v>
      </c>
      <c r="I864" t="s">
        <v>1330</v>
      </c>
    </row>
    <row r="865" spans="1:9">
      <c r="A865" s="71">
        <v>44491</v>
      </c>
      <c r="B865" t="s">
        <v>163</v>
      </c>
      <c r="D865" t="s">
        <v>2334</v>
      </c>
      <c r="F865" s="86">
        <v>4433</v>
      </c>
      <c r="G865" t="s">
        <v>756</v>
      </c>
      <c r="H865">
        <v>7304</v>
      </c>
      <c r="I865" t="s">
        <v>1487</v>
      </c>
    </row>
    <row r="866" spans="1:9">
      <c r="A866" s="71">
        <v>44491</v>
      </c>
      <c r="B866" t="s">
        <v>318</v>
      </c>
      <c r="D866" t="s">
        <v>2335</v>
      </c>
      <c r="G866" t="s">
        <v>756</v>
      </c>
      <c r="H866">
        <v>7303</v>
      </c>
      <c r="I866" t="s">
        <v>1598</v>
      </c>
    </row>
    <row r="867" spans="1:9">
      <c r="A867" s="71">
        <v>44491</v>
      </c>
      <c r="B867" t="s">
        <v>318</v>
      </c>
      <c r="D867" t="s">
        <v>2336</v>
      </c>
      <c r="G867" t="s">
        <v>756</v>
      </c>
      <c r="H867">
        <v>7302</v>
      </c>
      <c r="I867" t="s">
        <v>1598</v>
      </c>
    </row>
    <row r="868" spans="1:9">
      <c r="A868" s="71">
        <v>44491</v>
      </c>
      <c r="B868" t="s">
        <v>188</v>
      </c>
      <c r="D868" t="s">
        <v>2337</v>
      </c>
      <c r="G868" t="s">
        <v>756</v>
      </c>
      <c r="H868">
        <v>7267</v>
      </c>
      <c r="I868" t="s">
        <v>1756</v>
      </c>
    </row>
    <row r="869" spans="1:9">
      <c r="A869" s="71">
        <v>44491</v>
      </c>
      <c r="B869" t="s">
        <v>373</v>
      </c>
      <c r="D869" t="s">
        <v>2338</v>
      </c>
      <c r="F869" s="86">
        <v>2516</v>
      </c>
      <c r="G869" t="s">
        <v>756</v>
      </c>
      <c r="H869">
        <v>7266</v>
      </c>
      <c r="I869" t="s">
        <v>1756</v>
      </c>
    </row>
    <row r="870" spans="1:9">
      <c r="A870" s="71">
        <v>44491</v>
      </c>
      <c r="B870" t="s">
        <v>162</v>
      </c>
      <c r="D870" t="s">
        <v>2339</v>
      </c>
      <c r="G870" t="s">
        <v>756</v>
      </c>
      <c r="H870">
        <v>7071</v>
      </c>
      <c r="I870" t="s">
        <v>1596</v>
      </c>
    </row>
    <row r="871" spans="1:9">
      <c r="A871" s="71">
        <v>44491</v>
      </c>
      <c r="B871" t="s">
        <v>162</v>
      </c>
      <c r="D871" t="s">
        <v>2339</v>
      </c>
      <c r="G871" t="s">
        <v>756</v>
      </c>
      <c r="H871">
        <v>7071</v>
      </c>
      <c r="I871" t="s">
        <v>1596</v>
      </c>
    </row>
    <row r="872" spans="1:9">
      <c r="A872" s="71">
        <v>44494</v>
      </c>
      <c r="B872" t="s">
        <v>32</v>
      </c>
      <c r="D872" t="s">
        <v>2340</v>
      </c>
      <c r="F872" s="86">
        <v>4436</v>
      </c>
      <c r="G872" t="s">
        <v>756</v>
      </c>
      <c r="H872">
        <v>7073</v>
      </c>
      <c r="I872" t="s">
        <v>1596</v>
      </c>
    </row>
    <row r="873" spans="1:9">
      <c r="A873" s="71">
        <v>44494</v>
      </c>
      <c r="B873" t="s">
        <v>42</v>
      </c>
      <c r="D873" t="s">
        <v>2341</v>
      </c>
      <c r="G873" t="s">
        <v>756</v>
      </c>
      <c r="H873">
        <v>7268</v>
      </c>
      <c r="I873" t="s">
        <v>1756</v>
      </c>
    </row>
    <row r="874" spans="1:9">
      <c r="A874" s="71">
        <v>44494</v>
      </c>
      <c r="B874" t="s">
        <v>42</v>
      </c>
      <c r="D874" t="s">
        <v>2342</v>
      </c>
      <c r="G874" t="s">
        <v>756</v>
      </c>
      <c r="H874">
        <v>7172</v>
      </c>
      <c r="I874" t="s">
        <v>1381</v>
      </c>
    </row>
    <row r="875" spans="1:9">
      <c r="A875" s="71">
        <v>44494</v>
      </c>
      <c r="B875" t="s">
        <v>19</v>
      </c>
      <c r="D875" t="s">
        <v>2343</v>
      </c>
      <c r="F875" s="86">
        <v>4539</v>
      </c>
      <c r="G875" t="s">
        <v>756</v>
      </c>
      <c r="H875">
        <v>7074</v>
      </c>
      <c r="I875" t="s">
        <v>1596</v>
      </c>
    </row>
    <row r="876" spans="1:9">
      <c r="A876" s="71">
        <v>44494</v>
      </c>
      <c r="B876" t="s">
        <v>29</v>
      </c>
      <c r="D876" t="s">
        <v>2344</v>
      </c>
      <c r="F876" s="86">
        <v>4705</v>
      </c>
      <c r="G876" t="s">
        <v>756</v>
      </c>
      <c r="H876">
        <v>7072</v>
      </c>
      <c r="I876" t="s">
        <v>1596</v>
      </c>
    </row>
    <row r="877" spans="1:9">
      <c r="A877" s="71">
        <v>44495</v>
      </c>
      <c r="B877" t="s">
        <v>183</v>
      </c>
      <c r="D877" t="s">
        <v>2345</v>
      </c>
      <c r="F877" s="86">
        <v>34396</v>
      </c>
      <c r="G877" t="s">
        <v>756</v>
      </c>
      <c r="H877">
        <v>7270</v>
      </c>
      <c r="I877" t="s">
        <v>1756</v>
      </c>
    </row>
    <row r="878" spans="1:9">
      <c r="A878" s="71">
        <v>44495</v>
      </c>
      <c r="B878" t="s">
        <v>687</v>
      </c>
      <c r="D878" t="s">
        <v>2346</v>
      </c>
      <c r="F878" s="86">
        <v>7876</v>
      </c>
      <c r="G878" t="s">
        <v>756</v>
      </c>
      <c r="H878">
        <v>7177</v>
      </c>
      <c r="I878" t="s">
        <v>1381</v>
      </c>
    </row>
    <row r="879" spans="1:9">
      <c r="A879" s="71">
        <v>44495</v>
      </c>
      <c r="B879" t="s">
        <v>687</v>
      </c>
      <c r="D879" t="s">
        <v>2346</v>
      </c>
      <c r="F879" s="86">
        <v>7876</v>
      </c>
      <c r="G879" t="s">
        <v>756</v>
      </c>
      <c r="H879">
        <v>7177</v>
      </c>
      <c r="I879" t="s">
        <v>1756</v>
      </c>
    </row>
    <row r="880" spans="1:9">
      <c r="A880" s="71">
        <v>44495</v>
      </c>
      <c r="B880" t="s">
        <v>48</v>
      </c>
      <c r="D880" t="s">
        <v>2347</v>
      </c>
      <c r="G880" t="s">
        <v>756</v>
      </c>
      <c r="H880">
        <v>7075</v>
      </c>
      <c r="I880" t="s">
        <v>1598</v>
      </c>
    </row>
    <row r="881" spans="1:9">
      <c r="A881" s="71">
        <v>44496</v>
      </c>
      <c r="B881" t="s">
        <v>162</v>
      </c>
      <c r="D881" t="s">
        <v>2348</v>
      </c>
      <c r="F881" s="86">
        <v>8521</v>
      </c>
      <c r="G881" t="s">
        <v>756</v>
      </c>
      <c r="H881">
        <v>7274</v>
      </c>
      <c r="I881" t="s">
        <v>1756</v>
      </c>
    </row>
    <row r="882" spans="1:9">
      <c r="A882" s="71">
        <v>44496</v>
      </c>
      <c r="B882" t="s">
        <v>162</v>
      </c>
      <c r="D882" t="s">
        <v>2349</v>
      </c>
      <c r="G882" t="s">
        <v>756</v>
      </c>
      <c r="H882">
        <v>7183</v>
      </c>
      <c r="I882" t="s">
        <v>1381</v>
      </c>
    </row>
    <row r="883" spans="1:9">
      <c r="A883" s="71">
        <v>44496</v>
      </c>
      <c r="B883" t="s">
        <v>324</v>
      </c>
      <c r="D883" t="s">
        <v>2350</v>
      </c>
      <c r="F883" s="86">
        <v>12360</v>
      </c>
      <c r="G883" t="s">
        <v>756</v>
      </c>
      <c r="H883">
        <v>7272</v>
      </c>
      <c r="I883" t="s">
        <v>1756</v>
      </c>
    </row>
    <row r="884" spans="1:9">
      <c r="A884" s="71">
        <v>44496</v>
      </c>
      <c r="B884" t="s">
        <v>162</v>
      </c>
      <c r="D884" t="s">
        <v>2349</v>
      </c>
      <c r="G884" t="s">
        <v>756</v>
      </c>
      <c r="H884">
        <v>7183</v>
      </c>
      <c r="I884" t="s">
        <v>1381</v>
      </c>
    </row>
    <row r="885" spans="1:9">
      <c r="A885" s="71">
        <v>44496</v>
      </c>
      <c r="B885" t="s">
        <v>383</v>
      </c>
      <c r="D885" t="s">
        <v>2351</v>
      </c>
      <c r="F885" s="86">
        <v>1086</v>
      </c>
      <c r="G885" t="s">
        <v>756</v>
      </c>
      <c r="H885">
        <v>7182</v>
      </c>
      <c r="I885" t="s">
        <v>1339</v>
      </c>
    </row>
    <row r="886" spans="1:9">
      <c r="A886" s="71">
        <v>44496</v>
      </c>
      <c r="B886" t="s">
        <v>324</v>
      </c>
      <c r="D886" t="s">
        <v>2352</v>
      </c>
      <c r="F886" s="86">
        <v>12360</v>
      </c>
      <c r="G886" t="s">
        <v>756</v>
      </c>
      <c r="H886">
        <v>7178</v>
      </c>
      <c r="I886" t="s">
        <v>1756</v>
      </c>
    </row>
    <row r="887" spans="1:9">
      <c r="A887" s="71">
        <v>44496</v>
      </c>
      <c r="B887" t="s">
        <v>365</v>
      </c>
      <c r="D887" t="s">
        <v>2353</v>
      </c>
      <c r="G887" t="s">
        <v>756</v>
      </c>
      <c r="H887">
        <v>7076</v>
      </c>
      <c r="I887" t="s">
        <v>1596</v>
      </c>
    </row>
    <row r="888" spans="1:9">
      <c r="A888" s="71">
        <v>44497</v>
      </c>
      <c r="B888" t="s">
        <v>342</v>
      </c>
      <c r="D888" t="s">
        <v>2354</v>
      </c>
      <c r="F888" s="86">
        <v>12106</v>
      </c>
      <c r="G888" t="s">
        <v>756</v>
      </c>
      <c r="H888">
        <v>7352</v>
      </c>
      <c r="I888" t="s">
        <v>473</v>
      </c>
    </row>
    <row r="889" spans="1:9">
      <c r="A889" s="71">
        <v>44497</v>
      </c>
      <c r="B889" t="s">
        <v>146</v>
      </c>
      <c r="D889" t="s">
        <v>2355</v>
      </c>
      <c r="G889" t="s">
        <v>756</v>
      </c>
      <c r="H889">
        <v>7305</v>
      </c>
      <c r="I889" t="s">
        <v>1487</v>
      </c>
    </row>
    <row r="890" spans="1:9">
      <c r="A890" s="71">
        <v>44497</v>
      </c>
      <c r="B890" t="s">
        <v>338</v>
      </c>
      <c r="D890" t="s">
        <v>2356</v>
      </c>
      <c r="F890" s="86">
        <v>22893</v>
      </c>
      <c r="G890" t="s">
        <v>756</v>
      </c>
      <c r="H890">
        <v>7276</v>
      </c>
      <c r="I890" t="s">
        <v>1756</v>
      </c>
    </row>
    <row r="891" spans="1:9">
      <c r="A891" s="71">
        <v>44497</v>
      </c>
      <c r="B891" t="s">
        <v>773</v>
      </c>
      <c r="D891" t="s">
        <v>2357</v>
      </c>
      <c r="F891" s="86">
        <v>8502</v>
      </c>
      <c r="G891" t="s">
        <v>756</v>
      </c>
      <c r="H891">
        <v>7275</v>
      </c>
      <c r="I891" t="s">
        <v>1756</v>
      </c>
    </row>
    <row r="892" spans="1:9">
      <c r="A892" s="71">
        <v>44497</v>
      </c>
      <c r="B892" t="s">
        <v>338</v>
      </c>
      <c r="D892" t="s">
        <v>2358</v>
      </c>
      <c r="G892" t="s">
        <v>756</v>
      </c>
      <c r="H892">
        <v>7188</v>
      </c>
      <c r="I892" t="s">
        <v>1756</v>
      </c>
    </row>
    <row r="893" spans="1:9">
      <c r="A893" s="71">
        <v>44497</v>
      </c>
      <c r="B893" t="s">
        <v>346</v>
      </c>
      <c r="D893" t="s">
        <v>2359</v>
      </c>
      <c r="G893" t="s">
        <v>756</v>
      </c>
      <c r="H893">
        <v>7187</v>
      </c>
      <c r="I893" t="s">
        <v>1756</v>
      </c>
    </row>
    <row r="894" spans="1:9">
      <c r="A894" s="71">
        <v>44497</v>
      </c>
      <c r="B894" t="s">
        <v>307</v>
      </c>
      <c r="D894" t="s">
        <v>2360</v>
      </c>
      <c r="F894" s="86">
        <v>12216</v>
      </c>
      <c r="G894" t="s">
        <v>756</v>
      </c>
      <c r="H894">
        <v>7186</v>
      </c>
      <c r="I894" t="s">
        <v>1756</v>
      </c>
    </row>
    <row r="895" spans="1:9">
      <c r="A895" s="71">
        <v>44498</v>
      </c>
      <c r="B895" t="s">
        <v>334</v>
      </c>
      <c r="D895" t="s">
        <v>2361</v>
      </c>
      <c r="F895" s="86">
        <v>18167</v>
      </c>
      <c r="G895" t="s">
        <v>756</v>
      </c>
      <c r="H895">
        <v>7277</v>
      </c>
      <c r="I895" t="s">
        <v>1756</v>
      </c>
    </row>
    <row r="896" spans="1:9">
      <c r="A896" s="71">
        <v>44498</v>
      </c>
      <c r="B896" t="s">
        <v>167</v>
      </c>
      <c r="D896" t="s">
        <v>2362</v>
      </c>
      <c r="F896" s="86">
        <v>3137</v>
      </c>
      <c r="G896" t="s">
        <v>756</v>
      </c>
      <c r="H896">
        <v>7278</v>
      </c>
      <c r="I896" t="s">
        <v>1756</v>
      </c>
    </row>
    <row r="897" spans="1:9">
      <c r="A897" s="71">
        <v>44498</v>
      </c>
      <c r="B897" t="s">
        <v>167</v>
      </c>
      <c r="D897" t="s">
        <v>2363</v>
      </c>
      <c r="F897" s="86">
        <v>3137</v>
      </c>
      <c r="G897" t="s">
        <v>756</v>
      </c>
      <c r="H897">
        <v>7191</v>
      </c>
      <c r="I897" t="s">
        <v>1381</v>
      </c>
    </row>
    <row r="898" spans="1:9">
      <c r="A898" s="71">
        <v>44498</v>
      </c>
      <c r="B898" t="s">
        <v>167</v>
      </c>
      <c r="D898" t="s">
        <v>2363</v>
      </c>
      <c r="F898" s="86">
        <v>3137</v>
      </c>
      <c r="G898" t="s">
        <v>756</v>
      </c>
      <c r="H898">
        <v>7191</v>
      </c>
      <c r="I898" t="s">
        <v>1381</v>
      </c>
    </row>
    <row r="899" spans="1:9">
      <c r="A899" s="71">
        <v>44498</v>
      </c>
      <c r="B899" t="s">
        <v>311</v>
      </c>
      <c r="D899" t="s">
        <v>2364</v>
      </c>
      <c r="F899" s="86">
        <v>12690</v>
      </c>
      <c r="G899" t="s">
        <v>756</v>
      </c>
      <c r="H899">
        <v>7306</v>
      </c>
      <c r="I899" t="s">
        <v>1598</v>
      </c>
    </row>
    <row r="900" spans="1:9">
      <c r="A900" s="71">
        <v>44498</v>
      </c>
      <c r="B900" t="s">
        <v>351</v>
      </c>
      <c r="D900" t="s">
        <v>2365</v>
      </c>
      <c r="G900" t="s">
        <v>756</v>
      </c>
      <c r="H900">
        <v>7080</v>
      </c>
      <c r="I900" t="s">
        <v>1330</v>
      </c>
    </row>
    <row r="901" spans="1:9">
      <c r="A901" s="71">
        <v>44498</v>
      </c>
      <c r="B901" t="s">
        <v>368</v>
      </c>
      <c r="D901" t="s">
        <v>2366</v>
      </c>
      <c r="G901" t="s">
        <v>756</v>
      </c>
      <c r="H901">
        <v>7354</v>
      </c>
      <c r="I901" t="s">
        <v>473</v>
      </c>
    </row>
    <row r="902" spans="1:9">
      <c r="A902" s="71">
        <v>44502</v>
      </c>
      <c r="B902" t="s">
        <v>336</v>
      </c>
      <c r="D902" t="s">
        <v>2367</v>
      </c>
      <c r="F902" s="86">
        <v>8667</v>
      </c>
      <c r="G902" t="s">
        <v>756</v>
      </c>
      <c r="H902">
        <v>3159</v>
      </c>
      <c r="I902" t="s">
        <v>1589</v>
      </c>
    </row>
    <row r="903" spans="1:9">
      <c r="A903" s="71">
        <v>44502</v>
      </c>
      <c r="B903" t="s">
        <v>42</v>
      </c>
      <c r="D903" t="s">
        <v>2368</v>
      </c>
      <c r="G903" t="s">
        <v>756</v>
      </c>
      <c r="H903">
        <v>7192</v>
      </c>
      <c r="I903" t="s">
        <v>1381</v>
      </c>
    </row>
    <row r="904" spans="1:9">
      <c r="A904" s="71">
        <v>44502</v>
      </c>
      <c r="B904" t="s">
        <v>691</v>
      </c>
      <c r="D904" t="s">
        <v>2369</v>
      </c>
      <c r="F904" s="86">
        <v>3749</v>
      </c>
      <c r="G904" t="s">
        <v>756</v>
      </c>
      <c r="H904">
        <v>7105</v>
      </c>
      <c r="I904" t="s">
        <v>1598</v>
      </c>
    </row>
    <row r="905" spans="1:9">
      <c r="A905" s="71">
        <v>44502</v>
      </c>
      <c r="B905" t="s">
        <v>691</v>
      </c>
      <c r="D905" t="s">
        <v>2369</v>
      </c>
      <c r="F905" s="86">
        <v>3749</v>
      </c>
      <c r="G905" t="s">
        <v>756</v>
      </c>
      <c r="H905">
        <v>7105</v>
      </c>
      <c r="I905" t="s">
        <v>1598</v>
      </c>
    </row>
    <row r="906" spans="1:9">
      <c r="A906" s="71">
        <v>44503</v>
      </c>
      <c r="B906" t="s">
        <v>2223</v>
      </c>
      <c r="D906" t="s">
        <v>2370</v>
      </c>
      <c r="F906" s="86">
        <v>6446</v>
      </c>
      <c r="G906" t="s">
        <v>756</v>
      </c>
      <c r="H906">
        <v>7321</v>
      </c>
      <c r="I906" t="s">
        <v>1487</v>
      </c>
    </row>
    <row r="907" spans="1:9">
      <c r="A907" s="71">
        <v>44503</v>
      </c>
      <c r="B907" t="s">
        <v>163</v>
      </c>
      <c r="D907" t="s">
        <v>2371</v>
      </c>
      <c r="F907" s="86">
        <v>5602</v>
      </c>
      <c r="G907" t="s">
        <v>756</v>
      </c>
      <c r="H907">
        <v>7281</v>
      </c>
      <c r="I907" t="s">
        <v>1756</v>
      </c>
    </row>
    <row r="908" spans="1:9">
      <c r="A908" s="71">
        <v>44503</v>
      </c>
      <c r="B908" t="s">
        <v>773</v>
      </c>
      <c r="D908" t="s">
        <v>2372</v>
      </c>
      <c r="G908" t="s">
        <v>756</v>
      </c>
      <c r="H908">
        <v>7194</v>
      </c>
      <c r="I908" t="s">
        <v>1381</v>
      </c>
    </row>
    <row r="909" spans="1:9">
      <c r="A909" s="71">
        <v>44503</v>
      </c>
      <c r="B909" t="s">
        <v>773</v>
      </c>
      <c r="D909" t="s">
        <v>2372</v>
      </c>
      <c r="G909" t="s">
        <v>756</v>
      </c>
      <c r="H909">
        <v>7194</v>
      </c>
      <c r="I909" t="s">
        <v>1756</v>
      </c>
    </row>
    <row r="910" spans="1:9">
      <c r="A910" s="71">
        <v>44503</v>
      </c>
      <c r="B910" t="s">
        <v>163</v>
      </c>
      <c r="D910" t="s">
        <v>2373</v>
      </c>
      <c r="G910" t="s">
        <v>756</v>
      </c>
      <c r="H910">
        <v>7193</v>
      </c>
      <c r="I910" t="s">
        <v>1381</v>
      </c>
    </row>
    <row r="911" spans="1:9">
      <c r="A911" s="71">
        <v>44503</v>
      </c>
      <c r="B911" t="s">
        <v>163</v>
      </c>
      <c r="D911" t="s">
        <v>2373</v>
      </c>
      <c r="G911" t="s">
        <v>756</v>
      </c>
      <c r="H911">
        <v>7193</v>
      </c>
      <c r="I911" t="s">
        <v>1381</v>
      </c>
    </row>
    <row r="912" spans="1:9">
      <c r="A912" s="71">
        <v>44504</v>
      </c>
      <c r="B912" t="s">
        <v>389</v>
      </c>
      <c r="D912" t="s">
        <v>2374</v>
      </c>
      <c r="F912" s="86">
        <v>5757</v>
      </c>
      <c r="G912" t="s">
        <v>756</v>
      </c>
      <c r="H912">
        <v>7357</v>
      </c>
      <c r="I912" t="s">
        <v>473</v>
      </c>
    </row>
    <row r="913" spans="1:9">
      <c r="A913" s="71">
        <v>44504</v>
      </c>
      <c r="B913" t="s">
        <v>338</v>
      </c>
      <c r="D913" t="s">
        <v>2375</v>
      </c>
      <c r="F913" s="86">
        <v>22893</v>
      </c>
      <c r="G913" t="s">
        <v>756</v>
      </c>
      <c r="H913">
        <v>7282</v>
      </c>
      <c r="I913" t="s">
        <v>1756</v>
      </c>
    </row>
    <row r="914" spans="1:9">
      <c r="A914" s="71">
        <v>44504</v>
      </c>
      <c r="B914" t="s">
        <v>383</v>
      </c>
      <c r="D914" t="s">
        <v>2376</v>
      </c>
      <c r="F914" s="86">
        <v>1130</v>
      </c>
      <c r="G914" t="s">
        <v>756</v>
      </c>
      <c r="H914">
        <v>7197</v>
      </c>
      <c r="I914" t="s">
        <v>1657</v>
      </c>
    </row>
    <row r="915" spans="1:9">
      <c r="A915" s="71">
        <v>44504</v>
      </c>
      <c r="B915" t="s">
        <v>346</v>
      </c>
      <c r="D915" t="s">
        <v>2377</v>
      </c>
      <c r="G915" t="s">
        <v>756</v>
      </c>
      <c r="H915">
        <v>7196</v>
      </c>
      <c r="I915" t="s">
        <v>1756</v>
      </c>
    </row>
    <row r="916" spans="1:9">
      <c r="A916" s="71">
        <v>44504</v>
      </c>
      <c r="B916" t="s">
        <v>338</v>
      </c>
      <c r="D916" t="s">
        <v>2378</v>
      </c>
      <c r="F916" s="86">
        <v>22892</v>
      </c>
      <c r="G916" t="s">
        <v>756</v>
      </c>
      <c r="H916">
        <v>7195</v>
      </c>
      <c r="I916" t="s">
        <v>1756</v>
      </c>
    </row>
    <row r="917" spans="1:9">
      <c r="A917" s="71">
        <v>44505</v>
      </c>
      <c r="B917" t="s">
        <v>690</v>
      </c>
      <c r="D917" t="s">
        <v>2379</v>
      </c>
      <c r="G917" t="s">
        <v>756</v>
      </c>
      <c r="H917">
        <v>7451</v>
      </c>
      <c r="I917" t="s">
        <v>1381</v>
      </c>
    </row>
    <row r="918" spans="1:9">
      <c r="A918" s="71">
        <v>44506</v>
      </c>
      <c r="B918" t="s">
        <v>389</v>
      </c>
      <c r="D918" t="s">
        <v>2380</v>
      </c>
      <c r="F918" s="86">
        <v>4090</v>
      </c>
      <c r="G918" t="s">
        <v>756</v>
      </c>
      <c r="H918">
        <v>7358</v>
      </c>
      <c r="I918" t="s">
        <v>473</v>
      </c>
    </row>
    <row r="919" spans="1:9">
      <c r="A919" s="71">
        <v>44508</v>
      </c>
      <c r="B919" t="s">
        <v>383</v>
      </c>
      <c r="D919" t="s">
        <v>2381</v>
      </c>
      <c r="F919" s="86">
        <v>1115</v>
      </c>
      <c r="G919" t="s">
        <v>756</v>
      </c>
      <c r="H919">
        <v>7452</v>
      </c>
      <c r="I919" t="s">
        <v>1756</v>
      </c>
    </row>
    <row r="920" spans="1:9">
      <c r="A920" s="71">
        <v>44508</v>
      </c>
      <c r="B920" t="s">
        <v>390</v>
      </c>
      <c r="D920" t="s">
        <v>2382</v>
      </c>
      <c r="F920" s="86">
        <v>5757</v>
      </c>
      <c r="G920" t="s">
        <v>756</v>
      </c>
      <c r="H920">
        <v>7359</v>
      </c>
      <c r="I920" t="s">
        <v>473</v>
      </c>
    </row>
    <row r="921" spans="1:9">
      <c r="A921" s="71">
        <v>44508</v>
      </c>
      <c r="B921" t="s">
        <v>362</v>
      </c>
      <c r="D921" t="s">
        <v>2383</v>
      </c>
      <c r="F921" s="86">
        <v>10845</v>
      </c>
      <c r="G921" t="s">
        <v>756</v>
      </c>
      <c r="H921">
        <v>6728</v>
      </c>
      <c r="I921" t="s">
        <v>1657</v>
      </c>
    </row>
    <row r="922" spans="1:9">
      <c r="A922" s="71">
        <v>44508</v>
      </c>
      <c r="B922" t="s">
        <v>2384</v>
      </c>
      <c r="D922" t="s">
        <v>2385</v>
      </c>
      <c r="G922" t="s">
        <v>756</v>
      </c>
      <c r="H922">
        <v>7311</v>
      </c>
      <c r="I922" t="s">
        <v>1487</v>
      </c>
    </row>
    <row r="923" spans="1:9">
      <c r="A923" s="71">
        <v>44508</v>
      </c>
      <c r="B923" t="s">
        <v>390</v>
      </c>
      <c r="D923" t="s">
        <v>2386</v>
      </c>
      <c r="F923" s="86">
        <v>5757</v>
      </c>
      <c r="G923" t="s">
        <v>756</v>
      </c>
      <c r="H923">
        <v>7084</v>
      </c>
      <c r="I923" t="s">
        <v>1598</v>
      </c>
    </row>
    <row r="924" spans="1:9">
      <c r="A924" s="71">
        <v>44508</v>
      </c>
      <c r="B924" t="s">
        <v>390</v>
      </c>
      <c r="D924" t="s">
        <v>2386</v>
      </c>
      <c r="F924" s="86">
        <v>5757</v>
      </c>
      <c r="G924" t="s">
        <v>756</v>
      </c>
      <c r="H924">
        <v>7084</v>
      </c>
      <c r="I924" t="s">
        <v>1596</v>
      </c>
    </row>
    <row r="925" spans="1:9">
      <c r="A925" s="71">
        <v>44508</v>
      </c>
      <c r="B925" t="s">
        <v>157</v>
      </c>
      <c r="D925" t="s">
        <v>2387</v>
      </c>
      <c r="G925" t="s">
        <v>756</v>
      </c>
      <c r="H925">
        <v>6730</v>
      </c>
      <c r="I925" t="s">
        <v>1657</v>
      </c>
    </row>
    <row r="926" spans="1:9">
      <c r="A926" s="71">
        <v>44509</v>
      </c>
      <c r="B926" t="s">
        <v>163</v>
      </c>
      <c r="D926" t="s">
        <v>2388</v>
      </c>
      <c r="G926" t="s">
        <v>756</v>
      </c>
      <c r="H926">
        <v>7456</v>
      </c>
      <c r="I926" t="s">
        <v>1381</v>
      </c>
    </row>
    <row r="927" spans="1:9">
      <c r="A927" s="71">
        <v>44509</v>
      </c>
      <c r="B927" t="s">
        <v>690</v>
      </c>
      <c r="D927" t="s">
        <v>2389</v>
      </c>
      <c r="G927" t="s">
        <v>756</v>
      </c>
      <c r="H927">
        <v>7455</v>
      </c>
      <c r="I927" t="s">
        <v>1381</v>
      </c>
    </row>
    <row r="928" spans="1:9">
      <c r="A928" s="71">
        <v>44509</v>
      </c>
      <c r="B928" t="s">
        <v>346</v>
      </c>
      <c r="D928" t="s">
        <v>2390</v>
      </c>
      <c r="F928" s="86">
        <v>6898</v>
      </c>
      <c r="G928" t="s">
        <v>756</v>
      </c>
      <c r="H928">
        <v>7287</v>
      </c>
      <c r="I928" t="s">
        <v>1756</v>
      </c>
    </row>
    <row r="929" spans="1:9">
      <c r="A929" s="71">
        <v>44509</v>
      </c>
      <c r="B929" t="s">
        <v>383</v>
      </c>
      <c r="D929" t="s">
        <v>2391</v>
      </c>
      <c r="F929" s="86">
        <v>1111</v>
      </c>
      <c r="G929" t="s">
        <v>756</v>
      </c>
      <c r="H929">
        <v>7286</v>
      </c>
      <c r="I929" t="s">
        <v>1756</v>
      </c>
    </row>
    <row r="930" spans="1:9">
      <c r="A930" s="71">
        <v>44510</v>
      </c>
      <c r="B930" t="s">
        <v>163</v>
      </c>
      <c r="D930" t="s">
        <v>2392</v>
      </c>
      <c r="G930" t="s">
        <v>756</v>
      </c>
      <c r="H930">
        <v>7468</v>
      </c>
      <c r="I930" t="s">
        <v>1381</v>
      </c>
    </row>
    <row r="931" spans="1:9">
      <c r="A931" s="71">
        <v>44510</v>
      </c>
      <c r="B931" t="s">
        <v>773</v>
      </c>
      <c r="D931" t="s">
        <v>2393</v>
      </c>
      <c r="G931" t="s">
        <v>756</v>
      </c>
      <c r="H931">
        <v>7467</v>
      </c>
      <c r="I931" t="s">
        <v>1381</v>
      </c>
    </row>
    <row r="932" spans="1:9">
      <c r="A932" s="71">
        <v>44510</v>
      </c>
      <c r="B932" t="s">
        <v>377</v>
      </c>
      <c r="D932" t="s">
        <v>2394</v>
      </c>
      <c r="F932" s="86">
        <v>6420</v>
      </c>
      <c r="G932" t="s">
        <v>756</v>
      </c>
      <c r="H932">
        <v>7361</v>
      </c>
      <c r="I932" t="s">
        <v>473</v>
      </c>
    </row>
    <row r="933" spans="1:9">
      <c r="A933" s="71">
        <v>44510</v>
      </c>
      <c r="B933" t="s">
        <v>569</v>
      </c>
      <c r="D933" t="s">
        <v>2395</v>
      </c>
      <c r="G933" t="s">
        <v>756</v>
      </c>
      <c r="H933">
        <v>7289</v>
      </c>
      <c r="I933" t="s">
        <v>1756</v>
      </c>
    </row>
    <row r="934" spans="1:9">
      <c r="A934" s="71">
        <v>44510</v>
      </c>
      <c r="B934" t="s">
        <v>39</v>
      </c>
      <c r="D934" t="s">
        <v>2396</v>
      </c>
      <c r="F934" s="86">
        <v>1016</v>
      </c>
      <c r="G934" t="s">
        <v>756</v>
      </c>
      <c r="H934">
        <v>7087</v>
      </c>
      <c r="I934" t="s">
        <v>1596</v>
      </c>
    </row>
    <row r="935" spans="1:9">
      <c r="A935" s="71">
        <v>44510</v>
      </c>
      <c r="B935" t="s">
        <v>368</v>
      </c>
      <c r="D935" t="s">
        <v>2397</v>
      </c>
      <c r="F935" s="86">
        <v>2026</v>
      </c>
      <c r="G935" t="s">
        <v>756</v>
      </c>
      <c r="H935">
        <v>7086</v>
      </c>
      <c r="I935" t="s">
        <v>1596</v>
      </c>
    </row>
    <row r="936" spans="1:9">
      <c r="A936" s="71">
        <v>44511</v>
      </c>
      <c r="B936" t="s">
        <v>324</v>
      </c>
      <c r="D936" t="s">
        <v>2398</v>
      </c>
      <c r="G936" t="s">
        <v>756</v>
      </c>
      <c r="H936">
        <v>7470</v>
      </c>
      <c r="I936" t="s">
        <v>1756</v>
      </c>
    </row>
    <row r="937" spans="1:9">
      <c r="A937" s="71">
        <v>44511</v>
      </c>
      <c r="B937" t="s">
        <v>346</v>
      </c>
      <c r="D937" t="s">
        <v>2399</v>
      </c>
      <c r="F937" s="86">
        <v>6906</v>
      </c>
      <c r="G937" t="s">
        <v>756</v>
      </c>
      <c r="H937">
        <v>7469</v>
      </c>
      <c r="I937" t="s">
        <v>1756</v>
      </c>
    </row>
    <row r="938" spans="1:9">
      <c r="A938" s="71">
        <v>44511</v>
      </c>
      <c r="B938" t="s">
        <v>318</v>
      </c>
      <c r="D938" t="s">
        <v>2400</v>
      </c>
      <c r="G938" t="s">
        <v>756</v>
      </c>
      <c r="H938">
        <v>7309</v>
      </c>
      <c r="I938" t="s">
        <v>1487</v>
      </c>
    </row>
    <row r="939" spans="1:9">
      <c r="A939" s="71">
        <v>44511</v>
      </c>
      <c r="B939" t="s">
        <v>324</v>
      </c>
      <c r="D939" t="s">
        <v>2401</v>
      </c>
      <c r="F939" s="86">
        <v>12551</v>
      </c>
      <c r="G939" t="s">
        <v>756</v>
      </c>
      <c r="H939">
        <v>7293</v>
      </c>
      <c r="I939" t="s">
        <v>1756</v>
      </c>
    </row>
    <row r="940" spans="1:9">
      <c r="A940" s="71">
        <v>44511</v>
      </c>
      <c r="B940" t="s">
        <v>712</v>
      </c>
      <c r="D940" t="s">
        <v>2402</v>
      </c>
      <c r="F940" s="86">
        <v>12712</v>
      </c>
      <c r="G940" t="s">
        <v>756</v>
      </c>
      <c r="H940">
        <v>7291</v>
      </c>
      <c r="I940" t="s">
        <v>1756</v>
      </c>
    </row>
    <row r="941" spans="1:9">
      <c r="A941" s="71">
        <v>44511</v>
      </c>
      <c r="B941" t="s">
        <v>311</v>
      </c>
      <c r="D941" t="s">
        <v>2403</v>
      </c>
      <c r="G941" t="s">
        <v>756</v>
      </c>
      <c r="H941">
        <v>7471</v>
      </c>
      <c r="I941" t="s">
        <v>1756</v>
      </c>
    </row>
    <row r="942" spans="1:9">
      <c r="A942" s="71">
        <v>44511</v>
      </c>
      <c r="B942" t="s">
        <v>781</v>
      </c>
      <c r="D942" t="s">
        <v>2404</v>
      </c>
      <c r="G942" t="s">
        <v>756</v>
      </c>
      <c r="H942">
        <v>7089</v>
      </c>
      <c r="I942" t="s">
        <v>1596</v>
      </c>
    </row>
    <row r="943" spans="1:9">
      <c r="A943" s="71">
        <v>44512</v>
      </c>
      <c r="B943" t="s">
        <v>183</v>
      </c>
      <c r="D943" t="s">
        <v>2405</v>
      </c>
      <c r="G943" t="s">
        <v>756</v>
      </c>
      <c r="H943">
        <v>7476</v>
      </c>
      <c r="I943" t="s">
        <v>1381</v>
      </c>
    </row>
    <row r="944" spans="1:9">
      <c r="A944" s="71">
        <v>44512</v>
      </c>
      <c r="B944" t="s">
        <v>569</v>
      </c>
      <c r="D944" t="s">
        <v>2406</v>
      </c>
      <c r="G944" t="s">
        <v>756</v>
      </c>
      <c r="H944">
        <v>7475</v>
      </c>
      <c r="I944" t="s">
        <v>1381</v>
      </c>
    </row>
    <row r="945" spans="1:9">
      <c r="A945" s="71">
        <v>44512</v>
      </c>
      <c r="B945" t="s">
        <v>377</v>
      </c>
      <c r="D945" t="s">
        <v>2407</v>
      </c>
      <c r="F945" s="86">
        <v>6477</v>
      </c>
      <c r="G945" t="s">
        <v>756</v>
      </c>
      <c r="H945">
        <v>7363</v>
      </c>
      <c r="I945" t="s">
        <v>473</v>
      </c>
    </row>
    <row r="946" spans="1:9">
      <c r="A946" s="71">
        <v>44512</v>
      </c>
      <c r="B946" t="s">
        <v>2384</v>
      </c>
      <c r="D946" t="s">
        <v>2408</v>
      </c>
      <c r="G946" t="s">
        <v>756</v>
      </c>
      <c r="H946">
        <v>7313</v>
      </c>
      <c r="I946" t="s">
        <v>1487</v>
      </c>
    </row>
    <row r="947" spans="1:9">
      <c r="A947" s="71">
        <v>44512</v>
      </c>
      <c r="B947" t="s">
        <v>2384</v>
      </c>
      <c r="D947" t="s">
        <v>2409</v>
      </c>
      <c r="G947" t="s">
        <v>756</v>
      </c>
      <c r="H947">
        <v>7090</v>
      </c>
      <c r="I947" t="s">
        <v>1596</v>
      </c>
    </row>
    <row r="948" spans="1:9">
      <c r="A948" s="71">
        <v>44512</v>
      </c>
      <c r="B948" t="s">
        <v>2384</v>
      </c>
      <c r="D948" t="s">
        <v>2409</v>
      </c>
      <c r="G948" t="s">
        <v>756</v>
      </c>
      <c r="H948">
        <v>7090</v>
      </c>
      <c r="I948" t="s">
        <v>1596</v>
      </c>
    </row>
    <row r="949" spans="1:9">
      <c r="A949" s="71">
        <v>44512</v>
      </c>
      <c r="B949" t="s">
        <v>377</v>
      </c>
      <c r="D949" t="s">
        <v>2410</v>
      </c>
      <c r="F949" s="86">
        <v>15865</v>
      </c>
      <c r="G949" t="s">
        <v>756</v>
      </c>
      <c r="H949">
        <v>7088</v>
      </c>
      <c r="I949" t="s">
        <v>1596</v>
      </c>
    </row>
    <row r="950" spans="1:9">
      <c r="A950" s="71">
        <v>44512</v>
      </c>
      <c r="B950" t="s">
        <v>377</v>
      </c>
      <c r="D950" t="s">
        <v>2410</v>
      </c>
      <c r="F950" s="86">
        <v>15865</v>
      </c>
      <c r="G950" t="s">
        <v>756</v>
      </c>
      <c r="H950">
        <v>7088</v>
      </c>
      <c r="I950" t="s">
        <v>1596</v>
      </c>
    </row>
    <row r="951" spans="1:9">
      <c r="A951" s="71">
        <v>44515</v>
      </c>
      <c r="B951" t="s">
        <v>311</v>
      </c>
      <c r="D951" t="s">
        <v>2411</v>
      </c>
      <c r="F951" s="86">
        <v>12704</v>
      </c>
      <c r="G951" t="s">
        <v>756</v>
      </c>
      <c r="H951">
        <v>7478</v>
      </c>
      <c r="I951" t="s">
        <v>1756</v>
      </c>
    </row>
    <row r="952" spans="1:9">
      <c r="A952" s="71">
        <v>44515</v>
      </c>
      <c r="B952" t="s">
        <v>311</v>
      </c>
      <c r="D952" t="s">
        <v>2412</v>
      </c>
      <c r="F952" s="86">
        <v>12704</v>
      </c>
      <c r="G952" t="s">
        <v>756</v>
      </c>
      <c r="H952">
        <v>7296</v>
      </c>
      <c r="I952" t="s">
        <v>1756</v>
      </c>
    </row>
    <row r="953" spans="1:9">
      <c r="A953" s="71">
        <v>44515</v>
      </c>
      <c r="B953" t="s">
        <v>171</v>
      </c>
      <c r="D953" t="s">
        <v>2413</v>
      </c>
      <c r="F953" s="86">
        <v>3191</v>
      </c>
      <c r="G953" t="s">
        <v>756</v>
      </c>
      <c r="H953">
        <v>7294</v>
      </c>
      <c r="I953" t="s">
        <v>1756</v>
      </c>
    </row>
    <row r="954" spans="1:9">
      <c r="A954" s="71">
        <v>44516</v>
      </c>
      <c r="B954" t="s">
        <v>389</v>
      </c>
      <c r="D954" t="s">
        <v>2414</v>
      </c>
      <c r="F954" s="86">
        <v>4096</v>
      </c>
      <c r="G954" t="s">
        <v>756</v>
      </c>
      <c r="H954">
        <v>7481</v>
      </c>
      <c r="I954" t="s">
        <v>1756</v>
      </c>
    </row>
    <row r="955" spans="1:9">
      <c r="A955" s="71">
        <v>44516</v>
      </c>
      <c r="B955" t="s">
        <v>389</v>
      </c>
      <c r="D955" t="s">
        <v>2415</v>
      </c>
      <c r="F955" s="86">
        <v>4096</v>
      </c>
      <c r="G955" t="s">
        <v>756</v>
      </c>
      <c r="H955">
        <v>7297</v>
      </c>
      <c r="I955" t="s">
        <v>1756</v>
      </c>
    </row>
    <row r="956" spans="1:9">
      <c r="A956" s="71">
        <v>44518</v>
      </c>
      <c r="B956" t="s">
        <v>159</v>
      </c>
      <c r="D956" t="s">
        <v>2416</v>
      </c>
      <c r="F956" s="86">
        <v>8066</v>
      </c>
      <c r="G956" t="s">
        <v>756</v>
      </c>
      <c r="H956">
        <v>7493</v>
      </c>
      <c r="I956" t="s">
        <v>1381</v>
      </c>
    </row>
    <row r="957" spans="1:9">
      <c r="A957" s="71">
        <v>44518</v>
      </c>
      <c r="B957" t="s">
        <v>311</v>
      </c>
      <c r="D957" t="s">
        <v>2417</v>
      </c>
      <c r="F957" s="86">
        <v>12713</v>
      </c>
      <c r="G957" t="s">
        <v>756</v>
      </c>
      <c r="H957">
        <v>7492</v>
      </c>
      <c r="I957" t="s">
        <v>1756</v>
      </c>
    </row>
    <row r="958" spans="1:9">
      <c r="A958" s="71">
        <v>44518</v>
      </c>
      <c r="B958" t="s">
        <v>311</v>
      </c>
      <c r="D958" t="s">
        <v>2418</v>
      </c>
      <c r="F958" s="86">
        <v>2068</v>
      </c>
      <c r="G958" t="s">
        <v>756</v>
      </c>
      <c r="H958">
        <v>2068</v>
      </c>
      <c r="I958" t="s">
        <v>1330</v>
      </c>
    </row>
    <row r="959" spans="1:9">
      <c r="A959" s="71">
        <v>44518</v>
      </c>
      <c r="B959" t="s">
        <v>159</v>
      </c>
      <c r="D959" t="s">
        <v>2419</v>
      </c>
      <c r="F959" s="86">
        <v>8066</v>
      </c>
      <c r="G959" t="s">
        <v>756</v>
      </c>
      <c r="H959">
        <v>7403</v>
      </c>
      <c r="I959" t="s">
        <v>1756</v>
      </c>
    </row>
    <row r="960" spans="1:9">
      <c r="A960" s="71">
        <v>44518</v>
      </c>
      <c r="B960" t="s">
        <v>704</v>
      </c>
      <c r="D960" t="s">
        <v>2420</v>
      </c>
      <c r="F960" s="86">
        <v>2743</v>
      </c>
      <c r="G960" t="s">
        <v>756</v>
      </c>
      <c r="H960">
        <v>7402</v>
      </c>
      <c r="I960" t="s">
        <v>1598</v>
      </c>
    </row>
    <row r="961" spans="1:9">
      <c r="A961" s="71">
        <v>44519</v>
      </c>
      <c r="B961" t="s">
        <v>690</v>
      </c>
      <c r="D961" t="s">
        <v>2421</v>
      </c>
      <c r="G961" t="s">
        <v>756</v>
      </c>
      <c r="H961">
        <v>7495</v>
      </c>
      <c r="I961" t="s">
        <v>1381</v>
      </c>
    </row>
    <row r="962" spans="1:9">
      <c r="A962" s="71">
        <v>44519</v>
      </c>
      <c r="B962" t="s">
        <v>704</v>
      </c>
      <c r="D962" t="s">
        <v>2422</v>
      </c>
      <c r="F962" s="86">
        <v>2743</v>
      </c>
      <c r="G962" t="s">
        <v>756</v>
      </c>
      <c r="H962">
        <v>7404</v>
      </c>
      <c r="I962" t="s">
        <v>1756</v>
      </c>
    </row>
    <row r="963" spans="1:9">
      <c r="A963" s="71">
        <v>44520</v>
      </c>
      <c r="B963" t="s">
        <v>352</v>
      </c>
      <c r="D963" t="s">
        <v>2423</v>
      </c>
      <c r="F963" s="86">
        <v>811</v>
      </c>
      <c r="G963" t="s">
        <v>756</v>
      </c>
      <c r="H963">
        <v>7079</v>
      </c>
      <c r="I963" t="s">
        <v>1596</v>
      </c>
    </row>
    <row r="964" spans="1:9">
      <c r="A964" s="71">
        <v>44522</v>
      </c>
      <c r="B964" t="s">
        <v>712</v>
      </c>
      <c r="F964" s="86">
        <v>12719</v>
      </c>
      <c r="G964" t="s">
        <v>756</v>
      </c>
      <c r="H964">
        <v>7405</v>
      </c>
      <c r="I964" t="s">
        <v>1756</v>
      </c>
    </row>
    <row r="965" spans="1:9">
      <c r="A965" s="71">
        <v>44522</v>
      </c>
      <c r="B965" t="s">
        <v>163</v>
      </c>
      <c r="D965" t="s">
        <v>2424</v>
      </c>
      <c r="F965" s="86">
        <v>5621</v>
      </c>
      <c r="G965" t="s">
        <v>756</v>
      </c>
      <c r="H965">
        <v>7314</v>
      </c>
      <c r="I965" t="s">
        <v>1487</v>
      </c>
    </row>
    <row r="966" spans="1:9">
      <c r="A966" s="71">
        <v>44522</v>
      </c>
      <c r="B966" t="s">
        <v>35</v>
      </c>
      <c r="D966" t="s">
        <v>2425</v>
      </c>
      <c r="F966" s="86">
        <v>4341</v>
      </c>
      <c r="G966" t="s">
        <v>756</v>
      </c>
      <c r="H966">
        <v>7107</v>
      </c>
      <c r="I966" t="s">
        <v>1347</v>
      </c>
    </row>
    <row r="967" spans="1:9">
      <c r="A967" s="71">
        <v>44522</v>
      </c>
      <c r="B967" t="s">
        <v>19</v>
      </c>
      <c r="D967" t="s">
        <v>2426</v>
      </c>
      <c r="F967" s="86">
        <v>4644</v>
      </c>
      <c r="G967" t="s">
        <v>756</v>
      </c>
      <c r="H967">
        <v>7106</v>
      </c>
      <c r="I967" t="s">
        <v>1347</v>
      </c>
    </row>
    <row r="968" spans="1:9">
      <c r="A968" s="71">
        <v>44522</v>
      </c>
      <c r="B968" t="s">
        <v>563</v>
      </c>
      <c r="D968" t="s">
        <v>2427</v>
      </c>
      <c r="G968" t="s">
        <v>756</v>
      </c>
      <c r="H968">
        <v>6635</v>
      </c>
      <c r="I968" t="s">
        <v>1341</v>
      </c>
    </row>
    <row r="969" spans="1:9">
      <c r="A969" s="71">
        <v>44523</v>
      </c>
      <c r="B969" t="s">
        <v>362</v>
      </c>
      <c r="D969" t="s">
        <v>2428</v>
      </c>
      <c r="F969" s="86">
        <v>10886</v>
      </c>
      <c r="G969" t="s">
        <v>756</v>
      </c>
      <c r="H969">
        <v>2070</v>
      </c>
      <c r="I969" t="s">
        <v>1330</v>
      </c>
    </row>
    <row r="970" spans="1:9">
      <c r="A970" s="71">
        <v>44523</v>
      </c>
      <c r="B970" t="s">
        <v>389</v>
      </c>
      <c r="D970" t="s">
        <v>2429</v>
      </c>
      <c r="F970" s="86">
        <v>4135</v>
      </c>
      <c r="G970" t="s">
        <v>756</v>
      </c>
      <c r="H970">
        <v>7554</v>
      </c>
      <c r="I970" t="s">
        <v>1381</v>
      </c>
    </row>
    <row r="971" spans="1:9">
      <c r="A971" s="71">
        <v>44523</v>
      </c>
      <c r="B971" t="s">
        <v>336</v>
      </c>
      <c r="D971" t="s">
        <v>2430</v>
      </c>
      <c r="F971" s="86">
        <v>8725</v>
      </c>
      <c r="G971" t="s">
        <v>756</v>
      </c>
      <c r="H971">
        <v>7407</v>
      </c>
      <c r="I971" t="s">
        <v>1756</v>
      </c>
    </row>
    <row r="972" spans="1:9">
      <c r="A972" s="71">
        <v>44523</v>
      </c>
      <c r="B972" t="s">
        <v>389</v>
      </c>
      <c r="D972" t="s">
        <v>2431</v>
      </c>
      <c r="F972" s="86">
        <v>4135</v>
      </c>
      <c r="G972" t="s">
        <v>756</v>
      </c>
      <c r="H972">
        <v>7408</v>
      </c>
      <c r="I972" t="s">
        <v>1756</v>
      </c>
    </row>
    <row r="973" spans="1:9">
      <c r="A973" s="71">
        <v>44523</v>
      </c>
      <c r="B973" t="s">
        <v>188</v>
      </c>
      <c r="D973" t="s">
        <v>2432</v>
      </c>
      <c r="G973" t="s">
        <v>756</v>
      </c>
      <c r="H973">
        <v>7406</v>
      </c>
      <c r="I973" t="s">
        <v>1756</v>
      </c>
    </row>
    <row r="974" spans="1:9">
      <c r="A974" s="71">
        <v>44523</v>
      </c>
      <c r="B974" t="s">
        <v>2223</v>
      </c>
      <c r="D974" t="s">
        <v>2433</v>
      </c>
      <c r="G974" t="s">
        <v>756</v>
      </c>
      <c r="H974">
        <v>7315</v>
      </c>
      <c r="I974" t="s">
        <v>1487</v>
      </c>
    </row>
    <row r="975" spans="1:9">
      <c r="A975" s="71">
        <v>44524</v>
      </c>
      <c r="B975" t="s">
        <v>183</v>
      </c>
      <c r="D975" t="s">
        <v>2434</v>
      </c>
      <c r="F975" s="86">
        <v>35647</v>
      </c>
      <c r="G975" t="s">
        <v>756</v>
      </c>
      <c r="H975">
        <v>7558</v>
      </c>
      <c r="I975" t="s">
        <v>1381</v>
      </c>
    </row>
    <row r="976" spans="1:9">
      <c r="A976" s="71">
        <v>44524</v>
      </c>
      <c r="B976" t="s">
        <v>338</v>
      </c>
      <c r="D976" t="s">
        <v>2435</v>
      </c>
      <c r="F976" s="86">
        <v>22973</v>
      </c>
      <c r="G976" t="s">
        <v>756</v>
      </c>
      <c r="H976">
        <v>7556</v>
      </c>
      <c r="I976" t="s">
        <v>1381</v>
      </c>
    </row>
    <row r="977" spans="1:9">
      <c r="A977" s="71">
        <v>44524</v>
      </c>
      <c r="B977" t="s">
        <v>183</v>
      </c>
      <c r="D977" t="s">
        <v>2436</v>
      </c>
      <c r="F977" s="86">
        <v>35647</v>
      </c>
      <c r="G977" t="s">
        <v>756</v>
      </c>
      <c r="H977">
        <v>7411</v>
      </c>
      <c r="I977" t="s">
        <v>1756</v>
      </c>
    </row>
    <row r="978" spans="1:9">
      <c r="A978" s="71">
        <v>44524</v>
      </c>
      <c r="B978" t="s">
        <v>781</v>
      </c>
      <c r="D978" t="s">
        <v>2437</v>
      </c>
      <c r="F978" s="86">
        <v>14272</v>
      </c>
      <c r="G978" t="s">
        <v>756</v>
      </c>
      <c r="H978">
        <v>7110</v>
      </c>
      <c r="I978" t="s">
        <v>1347</v>
      </c>
    </row>
    <row r="979" spans="1:9">
      <c r="A979" s="71">
        <v>44525</v>
      </c>
      <c r="B979" t="s">
        <v>800</v>
      </c>
      <c r="D979" t="s">
        <v>2438</v>
      </c>
      <c r="F979" s="86">
        <v>5726</v>
      </c>
      <c r="G979" t="s">
        <v>756</v>
      </c>
      <c r="H979">
        <v>7562</v>
      </c>
      <c r="I979" t="s">
        <v>1381</v>
      </c>
    </row>
    <row r="980" spans="1:9">
      <c r="A980" s="71">
        <v>44525</v>
      </c>
      <c r="B980" t="s">
        <v>773</v>
      </c>
      <c r="D980" t="s">
        <v>2439</v>
      </c>
      <c r="G980" t="s">
        <v>756</v>
      </c>
      <c r="H980">
        <v>7561</v>
      </c>
      <c r="I980" t="s">
        <v>1381</v>
      </c>
    </row>
    <row r="981" spans="1:9">
      <c r="A981" s="71">
        <v>44525</v>
      </c>
      <c r="B981" t="s">
        <v>163</v>
      </c>
      <c r="D981" t="s">
        <v>2440</v>
      </c>
      <c r="G981" t="s">
        <v>756</v>
      </c>
      <c r="H981">
        <v>7560</v>
      </c>
      <c r="I981" t="s">
        <v>1381</v>
      </c>
    </row>
    <row r="982" spans="1:9">
      <c r="A982" s="71">
        <v>44525</v>
      </c>
      <c r="B982" t="s">
        <v>42</v>
      </c>
      <c r="D982" t="s">
        <v>2441</v>
      </c>
      <c r="G982" t="s">
        <v>756</v>
      </c>
      <c r="H982">
        <v>7559</v>
      </c>
      <c r="I982" t="s">
        <v>1381</v>
      </c>
    </row>
    <row r="983" spans="1:9">
      <c r="A983" s="71">
        <v>44525</v>
      </c>
      <c r="B983" t="s">
        <v>2442</v>
      </c>
      <c r="D983" t="s">
        <v>2443</v>
      </c>
      <c r="G983" t="s">
        <v>756</v>
      </c>
      <c r="H983">
        <v>7415</v>
      </c>
      <c r="I983" t="s">
        <v>1756</v>
      </c>
    </row>
    <row r="984" spans="1:9">
      <c r="A984" s="71">
        <v>44525</v>
      </c>
      <c r="B984" t="s">
        <v>163</v>
      </c>
      <c r="D984" t="s">
        <v>2444</v>
      </c>
      <c r="F984" s="86">
        <v>5637</v>
      </c>
      <c r="G984" t="s">
        <v>756</v>
      </c>
      <c r="H984">
        <v>7414</v>
      </c>
      <c r="I984" t="s">
        <v>1756</v>
      </c>
    </row>
    <row r="985" spans="1:9">
      <c r="A985" s="71">
        <v>44525</v>
      </c>
      <c r="B985" t="s">
        <v>1757</v>
      </c>
      <c r="D985" t="s">
        <v>2445</v>
      </c>
      <c r="G985" t="s">
        <v>756</v>
      </c>
      <c r="H985">
        <v>7413</v>
      </c>
      <c r="I985" t="s">
        <v>1756</v>
      </c>
    </row>
    <row r="986" spans="1:9">
      <c r="A986" s="71">
        <v>44525</v>
      </c>
      <c r="B986" t="s">
        <v>29</v>
      </c>
      <c r="D986" t="s">
        <v>2446</v>
      </c>
      <c r="F986" s="86">
        <v>4848</v>
      </c>
      <c r="G986" t="s">
        <v>756</v>
      </c>
      <c r="H986">
        <v>7112</v>
      </c>
      <c r="I986" t="s">
        <v>1347</v>
      </c>
    </row>
    <row r="987" spans="1:9">
      <c r="A987" s="71">
        <v>44526</v>
      </c>
      <c r="B987" t="s">
        <v>687</v>
      </c>
      <c r="D987" t="s">
        <v>2447</v>
      </c>
      <c r="F987" s="86">
        <v>7388</v>
      </c>
      <c r="G987" t="s">
        <v>756</v>
      </c>
      <c r="H987">
        <v>7566</v>
      </c>
      <c r="I987" t="s">
        <v>1381</v>
      </c>
    </row>
    <row r="988" spans="1:9">
      <c r="A988" s="71">
        <v>44526</v>
      </c>
      <c r="B988" t="s">
        <v>336</v>
      </c>
      <c r="D988" t="s">
        <v>2448</v>
      </c>
      <c r="F988" s="86">
        <v>8731</v>
      </c>
      <c r="G988" t="s">
        <v>756</v>
      </c>
      <c r="H988">
        <v>7416</v>
      </c>
      <c r="I988" t="s">
        <v>1756</v>
      </c>
    </row>
    <row r="989" spans="1:9">
      <c r="A989" s="71">
        <v>44526</v>
      </c>
      <c r="B989" t="s">
        <v>160</v>
      </c>
      <c r="D989" t="s">
        <v>2449</v>
      </c>
      <c r="G989" t="s">
        <v>756</v>
      </c>
      <c r="H989">
        <v>7418</v>
      </c>
      <c r="I989" t="s">
        <v>1756</v>
      </c>
    </row>
    <row r="990" spans="1:9">
      <c r="A990" s="71">
        <v>44526</v>
      </c>
      <c r="B990" t="s">
        <v>230</v>
      </c>
      <c r="D990" t="s">
        <v>2450</v>
      </c>
      <c r="F990" s="86">
        <v>8217</v>
      </c>
      <c r="G990" t="s">
        <v>756</v>
      </c>
      <c r="H990">
        <v>7417</v>
      </c>
      <c r="I990" t="s">
        <v>1756</v>
      </c>
    </row>
    <row r="991" spans="1:9">
      <c r="A991" s="71">
        <v>44526</v>
      </c>
      <c r="B991" t="s">
        <v>390</v>
      </c>
      <c r="D991" t="s">
        <v>2451</v>
      </c>
      <c r="F991" s="86">
        <v>5758</v>
      </c>
      <c r="G991" t="s">
        <v>756</v>
      </c>
      <c r="H991">
        <v>7364</v>
      </c>
      <c r="I991" t="s">
        <v>473</v>
      </c>
    </row>
    <row r="992" spans="1:9">
      <c r="A992" s="71">
        <v>44527</v>
      </c>
      <c r="B992" t="s">
        <v>2223</v>
      </c>
      <c r="D992" t="s">
        <v>2452</v>
      </c>
      <c r="F992" s="86">
        <v>6446</v>
      </c>
      <c r="G992" t="s">
        <v>756</v>
      </c>
      <c r="H992">
        <v>7318</v>
      </c>
      <c r="I992" t="s">
        <v>1487</v>
      </c>
    </row>
    <row r="993" spans="1:9">
      <c r="A993" s="71">
        <v>44529</v>
      </c>
      <c r="B993" t="s">
        <v>334</v>
      </c>
      <c r="D993" t="s">
        <v>2453</v>
      </c>
      <c r="F993" s="86">
        <v>18244</v>
      </c>
      <c r="G993" t="s">
        <v>756</v>
      </c>
      <c r="H993">
        <v>7569</v>
      </c>
      <c r="I993" t="s">
        <v>1381</v>
      </c>
    </row>
    <row r="994" spans="1:9">
      <c r="A994" s="71">
        <v>44529</v>
      </c>
      <c r="B994" t="s">
        <v>336</v>
      </c>
      <c r="D994" t="s">
        <v>2454</v>
      </c>
      <c r="F994" s="86">
        <v>8731</v>
      </c>
      <c r="G994" t="s">
        <v>756</v>
      </c>
      <c r="H994">
        <v>7421</v>
      </c>
      <c r="I994" t="s">
        <v>1756</v>
      </c>
    </row>
    <row r="995" spans="1:9">
      <c r="A995" s="71">
        <v>44529</v>
      </c>
      <c r="B995" t="s">
        <v>230</v>
      </c>
      <c r="D995" t="s">
        <v>2455</v>
      </c>
      <c r="G995" t="s">
        <v>756</v>
      </c>
      <c r="H995">
        <v>7571</v>
      </c>
      <c r="I995" t="s">
        <v>1381</v>
      </c>
    </row>
    <row r="996" spans="1:9">
      <c r="A996" s="71">
        <v>44529</v>
      </c>
      <c r="B996" t="s">
        <v>324</v>
      </c>
      <c r="D996" t="s">
        <v>2456</v>
      </c>
      <c r="F996" s="86">
        <v>12610</v>
      </c>
      <c r="G996" t="s">
        <v>756</v>
      </c>
      <c r="H996">
        <v>7420</v>
      </c>
      <c r="I996" t="s">
        <v>1381</v>
      </c>
    </row>
    <row r="997" spans="1:9">
      <c r="A997" s="71">
        <v>44529</v>
      </c>
      <c r="B997" t="s">
        <v>230</v>
      </c>
      <c r="D997" t="s">
        <v>2457</v>
      </c>
      <c r="F997" s="86">
        <v>8218</v>
      </c>
      <c r="G997" t="s">
        <v>756</v>
      </c>
      <c r="H997">
        <v>7419</v>
      </c>
      <c r="I997" t="s">
        <v>1756</v>
      </c>
    </row>
    <row r="998" spans="1:9">
      <c r="A998" s="71">
        <v>44529</v>
      </c>
      <c r="B998" t="s">
        <v>391</v>
      </c>
      <c r="D998" t="s">
        <v>2458</v>
      </c>
      <c r="G998" t="s">
        <v>756</v>
      </c>
      <c r="H998">
        <v>7320</v>
      </c>
      <c r="I998" t="s">
        <v>1487</v>
      </c>
    </row>
    <row r="999" spans="1:9">
      <c r="A999" s="71">
        <v>44530</v>
      </c>
      <c r="B999" t="s">
        <v>338</v>
      </c>
      <c r="D999" t="s">
        <v>2459</v>
      </c>
      <c r="F999" s="86">
        <v>22974</v>
      </c>
      <c r="G999" t="s">
        <v>756</v>
      </c>
      <c r="H999">
        <v>7573</v>
      </c>
      <c r="I999" t="s">
        <v>1381</v>
      </c>
    </row>
    <row r="1000" spans="1:9">
      <c r="A1000" s="71">
        <v>44530</v>
      </c>
      <c r="B1000" t="s">
        <v>346</v>
      </c>
      <c r="D1000" t="s">
        <v>2460</v>
      </c>
      <c r="F1000" s="86">
        <v>6978</v>
      </c>
      <c r="G1000" t="s">
        <v>756</v>
      </c>
      <c r="H1000">
        <v>7423</v>
      </c>
      <c r="I1000" t="s">
        <v>1756</v>
      </c>
    </row>
    <row r="1001" spans="1:9">
      <c r="A1001" s="71">
        <v>44531</v>
      </c>
      <c r="B1001" t="s">
        <v>311</v>
      </c>
      <c r="D1001" t="s">
        <v>2461</v>
      </c>
      <c r="F1001" s="86">
        <v>12760</v>
      </c>
      <c r="G1001" t="s">
        <v>756</v>
      </c>
      <c r="H1001">
        <v>7426</v>
      </c>
      <c r="I1001" t="s">
        <v>1381</v>
      </c>
    </row>
    <row r="1002" spans="1:9">
      <c r="A1002" s="71">
        <v>44531</v>
      </c>
      <c r="B1002" t="s">
        <v>159</v>
      </c>
      <c r="D1002" t="s">
        <v>2462</v>
      </c>
      <c r="F1002" s="86">
        <v>8114</v>
      </c>
      <c r="G1002" t="s">
        <v>756</v>
      </c>
      <c r="H1002">
        <v>7424</v>
      </c>
      <c r="I1002" t="s">
        <v>1756</v>
      </c>
    </row>
    <row r="1003" spans="1:9">
      <c r="A1003" s="71">
        <v>44531</v>
      </c>
      <c r="B1003" t="s">
        <v>365</v>
      </c>
      <c r="D1003" t="s">
        <v>2463</v>
      </c>
      <c r="F1003" s="86">
        <v>9798</v>
      </c>
      <c r="G1003" t="s">
        <v>756</v>
      </c>
      <c r="H1003">
        <v>7367</v>
      </c>
      <c r="I1003" t="s">
        <v>473</v>
      </c>
    </row>
    <row r="1004" spans="1:9">
      <c r="A1004" s="71">
        <v>44533</v>
      </c>
      <c r="B1004" t="s">
        <v>12</v>
      </c>
      <c r="D1004" t="s">
        <v>2464</v>
      </c>
      <c r="F1004" s="86">
        <v>1679</v>
      </c>
      <c r="G1004" t="s">
        <v>756</v>
      </c>
      <c r="H1004">
        <v>7322</v>
      </c>
      <c r="I1004" t="s">
        <v>1487</v>
      </c>
    </row>
    <row r="1005" spans="1:9">
      <c r="A1005" s="71">
        <v>44534</v>
      </c>
      <c r="B1005" t="s">
        <v>235</v>
      </c>
      <c r="D1005" t="s">
        <v>2465</v>
      </c>
      <c r="F1005" s="86" t="s">
        <v>2466</v>
      </c>
      <c r="G1005" t="s">
        <v>756</v>
      </c>
      <c r="H1005">
        <v>7210</v>
      </c>
      <c r="I1005" t="s">
        <v>473</v>
      </c>
    </row>
    <row r="1006" spans="1:9">
      <c r="A1006" s="71">
        <v>44536</v>
      </c>
      <c r="B1006" t="s">
        <v>230</v>
      </c>
      <c r="D1006" t="s">
        <v>2467</v>
      </c>
      <c r="F1006" s="86">
        <v>6878</v>
      </c>
      <c r="G1006" t="s">
        <v>756</v>
      </c>
      <c r="H1006">
        <v>7430</v>
      </c>
      <c r="I1006" t="s">
        <v>1756</v>
      </c>
    </row>
    <row r="1007" spans="1:9">
      <c r="A1007" s="71">
        <v>44536</v>
      </c>
      <c r="B1007" t="s">
        <v>183</v>
      </c>
      <c r="D1007" t="s">
        <v>2468</v>
      </c>
      <c r="F1007" s="86">
        <v>36040</v>
      </c>
      <c r="G1007" t="s">
        <v>756</v>
      </c>
      <c r="H1007">
        <v>7429</v>
      </c>
      <c r="I1007" t="s">
        <v>1756</v>
      </c>
    </row>
    <row r="1008" spans="1:9">
      <c r="A1008" s="71">
        <v>44536</v>
      </c>
      <c r="B1008" t="s">
        <v>697</v>
      </c>
      <c r="D1008" t="s">
        <v>2469</v>
      </c>
      <c r="G1008" t="s">
        <v>756</v>
      </c>
      <c r="H1008">
        <v>7323</v>
      </c>
      <c r="I1008" t="s">
        <v>1487</v>
      </c>
    </row>
    <row r="1009" spans="1:9">
      <c r="A1009" s="71">
        <v>44537</v>
      </c>
      <c r="B1009" t="s">
        <v>346</v>
      </c>
      <c r="D1009" t="s">
        <v>2470</v>
      </c>
      <c r="G1009" t="s">
        <v>756</v>
      </c>
      <c r="H1009">
        <v>7588</v>
      </c>
      <c r="I1009" t="s">
        <v>1381</v>
      </c>
    </row>
    <row r="1010" spans="1:9">
      <c r="A1010" s="71">
        <v>44537</v>
      </c>
      <c r="B1010" t="s">
        <v>159</v>
      </c>
      <c r="D1010" t="s">
        <v>2471</v>
      </c>
      <c r="F1010" s="86">
        <v>8139</v>
      </c>
      <c r="G1010" t="s">
        <v>756</v>
      </c>
      <c r="H1010">
        <v>7435</v>
      </c>
      <c r="I1010" t="s">
        <v>1756</v>
      </c>
    </row>
    <row r="1011" spans="1:9">
      <c r="A1011" s="71">
        <v>44537</v>
      </c>
      <c r="B1011" t="s">
        <v>346</v>
      </c>
      <c r="D1011" t="s">
        <v>2472</v>
      </c>
      <c r="F1011" s="86">
        <v>6987</v>
      </c>
      <c r="G1011" t="s">
        <v>756</v>
      </c>
      <c r="H1011">
        <v>7434</v>
      </c>
      <c r="I1011" t="s">
        <v>1756</v>
      </c>
    </row>
    <row r="1012" spans="1:9">
      <c r="A1012" s="71">
        <v>44537</v>
      </c>
      <c r="B1012" t="s">
        <v>183</v>
      </c>
      <c r="D1012" t="s">
        <v>2473</v>
      </c>
      <c r="F1012" s="86">
        <v>36107</v>
      </c>
      <c r="G1012" t="s">
        <v>756</v>
      </c>
      <c r="H1012">
        <v>7433</v>
      </c>
      <c r="I1012" t="s">
        <v>1756</v>
      </c>
    </row>
    <row r="1013" spans="1:9">
      <c r="A1013" s="71">
        <v>44538</v>
      </c>
      <c r="B1013" t="s">
        <v>687</v>
      </c>
      <c r="D1013" t="s">
        <v>2474</v>
      </c>
      <c r="G1013" t="s">
        <v>756</v>
      </c>
      <c r="H1013">
        <v>7595</v>
      </c>
      <c r="I1013" t="s">
        <v>1381</v>
      </c>
    </row>
    <row r="1014" spans="1:9">
      <c r="A1014" s="71">
        <v>44538</v>
      </c>
      <c r="B1014" t="s">
        <v>188</v>
      </c>
      <c r="D1014" t="s">
        <v>2475</v>
      </c>
      <c r="G1014" t="s">
        <v>756</v>
      </c>
      <c r="H1014">
        <v>7594</v>
      </c>
      <c r="I1014" t="s">
        <v>1381</v>
      </c>
    </row>
    <row r="1015" spans="1:9">
      <c r="A1015" s="71">
        <v>44538</v>
      </c>
      <c r="B1015" t="s">
        <v>188</v>
      </c>
      <c r="D1015" t="s">
        <v>2476</v>
      </c>
      <c r="G1015" t="s">
        <v>756</v>
      </c>
      <c r="H1015">
        <v>7438</v>
      </c>
      <c r="I1015" t="s">
        <v>1756</v>
      </c>
    </row>
    <row r="1016" spans="1:9">
      <c r="A1016" s="71">
        <v>44539</v>
      </c>
      <c r="B1016" t="s">
        <v>230</v>
      </c>
      <c r="D1016" t="s">
        <v>2477</v>
      </c>
      <c r="G1016" t="s">
        <v>756</v>
      </c>
      <c r="H1016">
        <v>7596</v>
      </c>
      <c r="I1016" t="s">
        <v>1381</v>
      </c>
    </row>
    <row r="1017" spans="1:9">
      <c r="A1017" s="71">
        <v>44539</v>
      </c>
      <c r="B1017" t="s">
        <v>371</v>
      </c>
      <c r="D1017" t="s">
        <v>2478</v>
      </c>
      <c r="G1017" t="s">
        <v>756</v>
      </c>
      <c r="H1017">
        <v>7440</v>
      </c>
      <c r="I1017" t="s">
        <v>1756</v>
      </c>
    </row>
    <row r="1018" spans="1:9">
      <c r="A1018" s="71">
        <v>44539</v>
      </c>
      <c r="B1018" t="s">
        <v>230</v>
      </c>
      <c r="D1018" t="s">
        <v>2479</v>
      </c>
      <c r="F1018" s="86">
        <v>6894</v>
      </c>
      <c r="G1018" t="s">
        <v>756</v>
      </c>
      <c r="H1018">
        <v>7439</v>
      </c>
      <c r="I1018" t="s">
        <v>1756</v>
      </c>
    </row>
    <row r="1019" spans="1:9">
      <c r="A1019" s="71">
        <v>44539</v>
      </c>
      <c r="B1019" t="s">
        <v>377</v>
      </c>
      <c r="D1019" t="s">
        <v>2480</v>
      </c>
      <c r="F1019" s="86">
        <v>5995</v>
      </c>
      <c r="G1019" t="s">
        <v>756</v>
      </c>
      <c r="H1019">
        <v>7209</v>
      </c>
      <c r="I1019" t="s">
        <v>473</v>
      </c>
    </row>
    <row r="1020" spans="1:9">
      <c r="A1020" s="71">
        <v>44539</v>
      </c>
      <c r="B1020" t="s">
        <v>191</v>
      </c>
      <c r="D1020" t="s">
        <v>2481</v>
      </c>
      <c r="G1020" t="s">
        <v>756</v>
      </c>
      <c r="H1020">
        <v>7208</v>
      </c>
      <c r="I1020" t="s">
        <v>473</v>
      </c>
    </row>
    <row r="1021" spans="1:9">
      <c r="A1021" s="71">
        <v>44539</v>
      </c>
      <c r="B1021" t="s">
        <v>567</v>
      </c>
      <c r="D1021" t="s">
        <v>2482</v>
      </c>
      <c r="G1021" t="s">
        <v>756</v>
      </c>
      <c r="H1021">
        <v>6642</v>
      </c>
      <c r="I1021" t="s">
        <v>1341</v>
      </c>
    </row>
    <row r="1022" spans="1:9">
      <c r="A1022" s="71">
        <v>44540</v>
      </c>
      <c r="B1022" t="s">
        <v>389</v>
      </c>
      <c r="D1022" t="s">
        <v>2483</v>
      </c>
      <c r="G1022" t="s">
        <v>756</v>
      </c>
      <c r="H1022">
        <v>7652</v>
      </c>
      <c r="I1022" t="s">
        <v>1381</v>
      </c>
    </row>
    <row r="1023" spans="1:9">
      <c r="A1023" s="71">
        <v>44540</v>
      </c>
      <c r="B1023" t="s">
        <v>389</v>
      </c>
      <c r="D1023" t="s">
        <v>2484</v>
      </c>
      <c r="F1023" s="86">
        <v>4191</v>
      </c>
      <c r="G1023" t="s">
        <v>756</v>
      </c>
      <c r="H1023">
        <v>7441</v>
      </c>
      <c r="I1023" t="s">
        <v>1756</v>
      </c>
    </row>
    <row r="1024" spans="1:9">
      <c r="A1024" s="71">
        <v>44540</v>
      </c>
      <c r="B1024" t="s">
        <v>12</v>
      </c>
      <c r="D1024" t="s">
        <v>2485</v>
      </c>
      <c r="F1024" s="86">
        <v>1679</v>
      </c>
      <c r="G1024" t="s">
        <v>756</v>
      </c>
      <c r="H1024">
        <v>7324</v>
      </c>
      <c r="I1024" t="s">
        <v>1487</v>
      </c>
    </row>
    <row r="1025" spans="1:9">
      <c r="A1025" s="71">
        <v>44543</v>
      </c>
      <c r="B1025" t="s">
        <v>180</v>
      </c>
      <c r="D1025" t="s">
        <v>2486</v>
      </c>
      <c r="G1025" t="s">
        <v>756</v>
      </c>
      <c r="H1025">
        <v>7654</v>
      </c>
      <c r="I1025" t="s">
        <v>1381</v>
      </c>
    </row>
    <row r="1026" spans="1:9">
      <c r="A1026" s="71">
        <v>44543</v>
      </c>
      <c r="B1026" t="s">
        <v>180</v>
      </c>
      <c r="D1026" t="s">
        <v>2487</v>
      </c>
      <c r="F1026" s="86">
        <v>4041</v>
      </c>
      <c r="G1026" t="s">
        <v>756</v>
      </c>
      <c r="H1026">
        <v>7443</v>
      </c>
      <c r="I1026" t="s">
        <v>1756</v>
      </c>
    </row>
    <row r="1027" spans="1:9">
      <c r="A1027" s="71">
        <v>44543</v>
      </c>
      <c r="B1027" t="s">
        <v>2223</v>
      </c>
      <c r="D1027" t="s">
        <v>2488</v>
      </c>
      <c r="F1027" s="86">
        <v>6446</v>
      </c>
      <c r="G1027" t="s">
        <v>756</v>
      </c>
      <c r="H1027">
        <v>7326</v>
      </c>
      <c r="I1027" t="s">
        <v>1487</v>
      </c>
    </row>
    <row r="1028" spans="1:9">
      <c r="A1028" s="71">
        <v>44543</v>
      </c>
      <c r="B1028" t="s">
        <v>48</v>
      </c>
      <c r="D1028" t="s">
        <v>2489</v>
      </c>
      <c r="G1028" t="s">
        <v>756</v>
      </c>
      <c r="H1028">
        <v>6643</v>
      </c>
      <c r="I1028" t="s">
        <v>1341</v>
      </c>
    </row>
    <row r="1029" spans="1:9">
      <c r="A1029" s="71">
        <v>44544</v>
      </c>
      <c r="B1029" t="s">
        <v>773</v>
      </c>
      <c r="D1029" t="s">
        <v>2490</v>
      </c>
      <c r="G1029" t="s">
        <v>756</v>
      </c>
      <c r="H1029">
        <v>7658</v>
      </c>
      <c r="I1029" t="s">
        <v>1381</v>
      </c>
    </row>
    <row r="1030" spans="1:9">
      <c r="A1030" s="71">
        <v>44544</v>
      </c>
      <c r="B1030" t="s">
        <v>2442</v>
      </c>
      <c r="D1030" t="s">
        <v>2491</v>
      </c>
      <c r="G1030" t="s">
        <v>756</v>
      </c>
      <c r="H1030">
        <v>7445</v>
      </c>
      <c r="I1030" t="s">
        <v>1756</v>
      </c>
    </row>
    <row r="1031" spans="1:9">
      <c r="A1031" s="71">
        <v>44545</v>
      </c>
      <c r="B1031" t="s">
        <v>687</v>
      </c>
      <c r="D1031" t="s">
        <v>2492</v>
      </c>
      <c r="G1031" t="s">
        <v>756</v>
      </c>
      <c r="H1031">
        <v>7664</v>
      </c>
      <c r="I1031" t="s">
        <v>1381</v>
      </c>
    </row>
    <row r="1032" spans="1:9">
      <c r="A1032" s="71">
        <v>44545</v>
      </c>
      <c r="B1032" t="s">
        <v>690</v>
      </c>
      <c r="D1032" t="s">
        <v>2493</v>
      </c>
      <c r="G1032" t="s">
        <v>756</v>
      </c>
      <c r="H1032">
        <v>7663</v>
      </c>
      <c r="I1032" t="s">
        <v>1381</v>
      </c>
    </row>
    <row r="1033" spans="1:9">
      <c r="A1033" s="71">
        <v>44545</v>
      </c>
      <c r="B1033" t="s">
        <v>800</v>
      </c>
      <c r="D1033" t="s">
        <v>2494</v>
      </c>
      <c r="G1033" t="s">
        <v>756</v>
      </c>
      <c r="H1033">
        <v>7660</v>
      </c>
      <c r="I1033" t="s">
        <v>1381</v>
      </c>
    </row>
    <row r="1034" spans="1:9">
      <c r="A1034" s="71">
        <v>44545</v>
      </c>
      <c r="B1034" t="s">
        <v>311</v>
      </c>
      <c r="D1034" t="s">
        <v>2495</v>
      </c>
      <c r="F1034" s="86">
        <v>12830</v>
      </c>
      <c r="G1034" t="s">
        <v>756</v>
      </c>
      <c r="H1034">
        <v>7662</v>
      </c>
      <c r="I1034" t="s">
        <v>1381</v>
      </c>
    </row>
    <row r="1035" spans="1:9">
      <c r="A1035" s="71">
        <v>44545</v>
      </c>
      <c r="B1035" t="s">
        <v>2496</v>
      </c>
      <c r="D1035" t="s">
        <v>2497</v>
      </c>
      <c r="G1035" t="s">
        <v>756</v>
      </c>
      <c r="H1035">
        <v>7447</v>
      </c>
      <c r="I1035" t="s">
        <v>1756</v>
      </c>
    </row>
    <row r="1036" spans="1:9">
      <c r="A1036" s="71">
        <v>44545</v>
      </c>
      <c r="B1036" t="s">
        <v>2498</v>
      </c>
      <c r="G1036" t="s">
        <v>756</v>
      </c>
      <c r="H1036">
        <v>7446</v>
      </c>
      <c r="I1036" t="s">
        <v>1756</v>
      </c>
    </row>
    <row r="1037" spans="1:9">
      <c r="A1037" s="71">
        <v>44545</v>
      </c>
      <c r="B1037" t="s">
        <v>385</v>
      </c>
      <c r="D1037" t="s">
        <v>2499</v>
      </c>
      <c r="G1037" t="s">
        <v>756</v>
      </c>
      <c r="H1037">
        <v>7203</v>
      </c>
      <c r="I1037" t="s">
        <v>1598</v>
      </c>
    </row>
    <row r="1038" spans="1:9">
      <c r="A1038" s="71">
        <v>44546</v>
      </c>
      <c r="B1038" t="s">
        <v>712</v>
      </c>
      <c r="D1038" t="s">
        <v>2500</v>
      </c>
      <c r="F1038" s="86">
        <v>12783</v>
      </c>
      <c r="G1038" t="s">
        <v>756</v>
      </c>
      <c r="H1038">
        <v>7669</v>
      </c>
      <c r="I1038" t="s">
        <v>1381</v>
      </c>
    </row>
    <row r="1039" spans="1:9">
      <c r="A1039" s="71">
        <v>44546</v>
      </c>
      <c r="B1039" t="s">
        <v>346</v>
      </c>
      <c r="D1039" t="s">
        <v>2501</v>
      </c>
      <c r="G1039" t="s">
        <v>756</v>
      </c>
      <c r="H1039">
        <v>7665</v>
      </c>
      <c r="I1039" t="s">
        <v>1381</v>
      </c>
    </row>
    <row r="1040" spans="1:9">
      <c r="A1040" s="71">
        <v>44546</v>
      </c>
      <c r="B1040" t="s">
        <v>399</v>
      </c>
      <c r="D1040" t="s">
        <v>2502</v>
      </c>
      <c r="F1040" s="86">
        <v>14668</v>
      </c>
      <c r="G1040" t="s">
        <v>756</v>
      </c>
      <c r="H1040">
        <v>7327</v>
      </c>
      <c r="I1040" t="s">
        <v>1487</v>
      </c>
    </row>
    <row r="1041" spans="1:9">
      <c r="A1041" s="71">
        <v>44547</v>
      </c>
      <c r="B1041" t="s">
        <v>346</v>
      </c>
      <c r="D1041" t="s">
        <v>2503</v>
      </c>
      <c r="F1041" s="86">
        <v>6989</v>
      </c>
      <c r="G1041" t="s">
        <v>756</v>
      </c>
      <c r="H1041">
        <v>7670</v>
      </c>
      <c r="I1041" t="s">
        <v>1381</v>
      </c>
    </row>
    <row r="1042" spans="1:9">
      <c r="A1042" s="71">
        <v>44547</v>
      </c>
      <c r="B1042" t="s">
        <v>346</v>
      </c>
      <c r="D1042" t="s">
        <v>2504</v>
      </c>
      <c r="F1042" s="86">
        <v>6989</v>
      </c>
      <c r="G1042" t="s">
        <v>756</v>
      </c>
      <c r="H1042">
        <v>7450</v>
      </c>
      <c r="I1042" t="s">
        <v>1756</v>
      </c>
    </row>
    <row r="1043" spans="1:9">
      <c r="A1043" s="71">
        <v>44547</v>
      </c>
      <c r="B1043" t="s">
        <v>390</v>
      </c>
      <c r="D1043" t="s">
        <v>2505</v>
      </c>
      <c r="F1043" s="86">
        <v>5792</v>
      </c>
      <c r="G1043" t="s">
        <v>756</v>
      </c>
      <c r="H1043">
        <v>7328</v>
      </c>
      <c r="I1043" t="s">
        <v>1487</v>
      </c>
    </row>
    <row r="1044" spans="1:9">
      <c r="A1044" s="71">
        <v>44550</v>
      </c>
      <c r="B1044" t="s">
        <v>2498</v>
      </c>
      <c r="D1044" t="s">
        <v>2506</v>
      </c>
      <c r="G1044" t="s">
        <v>756</v>
      </c>
      <c r="H1044">
        <v>7678</v>
      </c>
      <c r="I1044" t="s">
        <v>1381</v>
      </c>
    </row>
    <row r="1045" spans="1:9">
      <c r="A1045" s="71">
        <v>44550</v>
      </c>
      <c r="B1045" t="s">
        <v>163</v>
      </c>
      <c r="D1045" t="s">
        <v>2507</v>
      </c>
      <c r="G1045" t="s">
        <v>756</v>
      </c>
      <c r="H1045">
        <v>7671</v>
      </c>
      <c r="I1045" t="s">
        <v>1381</v>
      </c>
    </row>
    <row r="1046" spans="1:9">
      <c r="A1046" s="71">
        <v>44551</v>
      </c>
      <c r="B1046" t="s">
        <v>307</v>
      </c>
      <c r="D1046" t="s">
        <v>2508</v>
      </c>
      <c r="F1046" s="86">
        <v>12449</v>
      </c>
      <c r="G1046" t="s">
        <v>756</v>
      </c>
      <c r="H1046">
        <v>7677</v>
      </c>
      <c r="I1046" t="s">
        <v>1381</v>
      </c>
    </row>
    <row r="1047" spans="1:9">
      <c r="A1047" s="71">
        <v>44551</v>
      </c>
      <c r="B1047" t="s">
        <v>230</v>
      </c>
      <c r="D1047" t="s">
        <v>2509</v>
      </c>
      <c r="G1047" t="s">
        <v>756</v>
      </c>
      <c r="H1047">
        <v>7676</v>
      </c>
      <c r="I1047" t="s">
        <v>1381</v>
      </c>
    </row>
    <row r="1048" spans="1:9">
      <c r="A1048" s="71">
        <v>44551</v>
      </c>
      <c r="B1048" t="s">
        <v>230</v>
      </c>
      <c r="D1048" t="s">
        <v>2467</v>
      </c>
      <c r="F1048" s="86">
        <v>8311</v>
      </c>
      <c r="G1048" t="s">
        <v>756</v>
      </c>
      <c r="H1048">
        <v>7505</v>
      </c>
      <c r="I1048" t="s">
        <v>1756</v>
      </c>
    </row>
    <row r="1049" spans="1:9">
      <c r="A1049" s="71">
        <v>44551</v>
      </c>
      <c r="B1049" t="s">
        <v>369</v>
      </c>
      <c r="D1049" t="s">
        <v>2510</v>
      </c>
      <c r="F1049" s="86">
        <v>9924</v>
      </c>
      <c r="G1049" t="s">
        <v>756</v>
      </c>
      <c r="H1049">
        <v>7329</v>
      </c>
      <c r="I1049" t="s">
        <v>1487</v>
      </c>
    </row>
    <row r="1050" spans="1:9">
      <c r="A1050" s="71">
        <v>44552</v>
      </c>
      <c r="B1050" t="s">
        <v>691</v>
      </c>
      <c r="D1050" t="s">
        <v>2511</v>
      </c>
      <c r="G1050" t="s">
        <v>756</v>
      </c>
      <c r="H1050">
        <v>7682</v>
      </c>
      <c r="I1050" t="s">
        <v>1381</v>
      </c>
    </row>
    <row r="1051" spans="1:9">
      <c r="A1051" s="71">
        <v>44552</v>
      </c>
      <c r="B1051" t="s">
        <v>2384</v>
      </c>
      <c r="D1051" t="s">
        <v>2512</v>
      </c>
      <c r="G1051" t="s">
        <v>756</v>
      </c>
      <c r="H1051">
        <v>7681</v>
      </c>
      <c r="I1051" t="s">
        <v>1381</v>
      </c>
    </row>
    <row r="1052" spans="1:9">
      <c r="A1052" s="71">
        <v>44552</v>
      </c>
      <c r="B1052" t="s">
        <v>313</v>
      </c>
      <c r="D1052" t="s">
        <v>2513</v>
      </c>
      <c r="F1052" s="86">
        <v>19306</v>
      </c>
      <c r="G1052" t="s">
        <v>756</v>
      </c>
      <c r="H1052">
        <v>7680</v>
      </c>
      <c r="I1052" t="s">
        <v>1381</v>
      </c>
    </row>
    <row r="1053" spans="1:9">
      <c r="A1053" s="71">
        <v>44552</v>
      </c>
      <c r="B1053" t="s">
        <v>307</v>
      </c>
      <c r="D1053" t="s">
        <v>2514</v>
      </c>
      <c r="F1053" s="86">
        <v>12451</v>
      </c>
      <c r="G1053" t="s">
        <v>756</v>
      </c>
      <c r="H1053">
        <v>7679</v>
      </c>
      <c r="I1053" t="s">
        <v>1381</v>
      </c>
    </row>
    <row r="1054" spans="1:9">
      <c r="A1054" s="71">
        <v>44552</v>
      </c>
      <c r="B1054" t="s">
        <v>687</v>
      </c>
      <c r="D1054" t="s">
        <v>2515</v>
      </c>
      <c r="F1054" s="86">
        <v>8116</v>
      </c>
      <c r="G1054" t="s">
        <v>756</v>
      </c>
      <c r="H1054">
        <v>7507</v>
      </c>
      <c r="I1054" t="s">
        <v>1756</v>
      </c>
    </row>
    <row r="1055" spans="1:9">
      <c r="A1055" s="71">
        <v>44552</v>
      </c>
      <c r="B1055" t="s">
        <v>159</v>
      </c>
      <c r="D1055" t="s">
        <v>2516</v>
      </c>
      <c r="F1055" s="86">
        <v>8184</v>
      </c>
      <c r="G1055" t="s">
        <v>756</v>
      </c>
      <c r="H1055">
        <v>7506</v>
      </c>
      <c r="I1055" t="s">
        <v>1756</v>
      </c>
    </row>
    <row r="1056" spans="1:9">
      <c r="A1056" s="71">
        <v>44553</v>
      </c>
      <c r="B1056" t="s">
        <v>697</v>
      </c>
      <c r="D1056" t="s">
        <v>2517</v>
      </c>
      <c r="G1056" t="s">
        <v>756</v>
      </c>
      <c r="H1056">
        <v>7330</v>
      </c>
      <c r="I1056" t="s">
        <v>1487</v>
      </c>
    </row>
    <row r="1057" spans="1:9">
      <c r="A1057" s="71">
        <v>44553</v>
      </c>
      <c r="B1057" t="s">
        <v>176</v>
      </c>
      <c r="D1057" t="s">
        <v>2518</v>
      </c>
      <c r="G1057" t="s">
        <v>756</v>
      </c>
      <c r="H1057">
        <v>6648</v>
      </c>
      <c r="I1057" t="s">
        <v>1341</v>
      </c>
    </row>
    <row r="1058" spans="1:9">
      <c r="A1058" s="71">
        <v>44554</v>
      </c>
      <c r="B1058" t="s">
        <v>774</v>
      </c>
      <c r="D1058" t="s">
        <v>2519</v>
      </c>
      <c r="F1058" s="86">
        <v>18058</v>
      </c>
      <c r="G1058" t="s">
        <v>756</v>
      </c>
      <c r="H1058">
        <v>3595</v>
      </c>
      <c r="I1058" t="s">
        <v>1330</v>
      </c>
    </row>
    <row r="1059" spans="1:9">
      <c r="A1059" s="71">
        <v>44557</v>
      </c>
      <c r="B1059" t="s">
        <v>42</v>
      </c>
      <c r="D1059" t="s">
        <v>2520</v>
      </c>
      <c r="G1059" t="s">
        <v>756</v>
      </c>
      <c r="H1059">
        <v>7509</v>
      </c>
      <c r="I1059" t="s">
        <v>1756</v>
      </c>
    </row>
    <row r="1060" spans="1:9">
      <c r="A1060" s="71">
        <v>44558</v>
      </c>
      <c r="B1060" t="s">
        <v>159</v>
      </c>
      <c r="D1060" t="s">
        <v>2521</v>
      </c>
      <c r="G1060" t="s">
        <v>756</v>
      </c>
      <c r="H1060">
        <v>7688</v>
      </c>
      <c r="I1060" t="s">
        <v>1756</v>
      </c>
    </row>
    <row r="1061" spans="1:9">
      <c r="A1061" s="71">
        <v>44558</v>
      </c>
      <c r="B1061" t="s">
        <v>163</v>
      </c>
      <c r="D1061" t="s">
        <v>2522</v>
      </c>
      <c r="F1061" s="86">
        <v>5771</v>
      </c>
      <c r="G1061" t="s">
        <v>756</v>
      </c>
      <c r="H1061">
        <v>7686</v>
      </c>
      <c r="I1061" t="s">
        <v>1381</v>
      </c>
    </row>
    <row r="1062" spans="1:9">
      <c r="A1062" s="71">
        <v>44558</v>
      </c>
      <c r="B1062" t="s">
        <v>163</v>
      </c>
      <c r="D1062" t="s">
        <v>2523</v>
      </c>
      <c r="F1062" s="86">
        <v>5771</v>
      </c>
      <c r="G1062" t="s">
        <v>756</v>
      </c>
      <c r="H1062">
        <v>7510</v>
      </c>
      <c r="I1062" t="s">
        <v>1756</v>
      </c>
    </row>
    <row r="1063" spans="1:9">
      <c r="A1063" s="71">
        <v>44559</v>
      </c>
      <c r="B1063" t="s">
        <v>180</v>
      </c>
      <c r="D1063" t="s">
        <v>2524</v>
      </c>
      <c r="F1063" s="86">
        <v>4106</v>
      </c>
      <c r="G1063" t="s">
        <v>756</v>
      </c>
      <c r="H1063">
        <v>7690</v>
      </c>
      <c r="I1063" t="s">
        <v>1381</v>
      </c>
    </row>
    <row r="1064" spans="1:9">
      <c r="A1064" s="71">
        <v>44559</v>
      </c>
      <c r="B1064" t="s">
        <v>1963</v>
      </c>
      <c r="D1064" t="s">
        <v>2525</v>
      </c>
      <c r="G1064" t="s">
        <v>756</v>
      </c>
      <c r="H1064">
        <v>7513</v>
      </c>
      <c r="I1064" t="s">
        <v>1756</v>
      </c>
    </row>
    <row r="1065" spans="1:9">
      <c r="A1065" s="71">
        <v>44560</v>
      </c>
      <c r="B1065" t="s">
        <v>1963</v>
      </c>
      <c r="D1065" t="s">
        <v>2526</v>
      </c>
      <c r="G1065" t="s">
        <v>756</v>
      </c>
      <c r="H1065">
        <v>7514</v>
      </c>
      <c r="I1065" t="s">
        <v>1756</v>
      </c>
    </row>
    <row r="1066" spans="1:9">
      <c r="A1066" s="71">
        <v>44560</v>
      </c>
      <c r="B1066" t="s">
        <v>356</v>
      </c>
      <c r="D1066" t="s">
        <v>2527</v>
      </c>
      <c r="G1066" t="s">
        <v>756</v>
      </c>
      <c r="H1066">
        <v>7331</v>
      </c>
      <c r="I1066" t="s">
        <v>1487</v>
      </c>
    </row>
    <row r="1067" spans="1:9">
      <c r="A1067" s="71">
        <v>44564</v>
      </c>
      <c r="B1067" t="s">
        <v>710</v>
      </c>
      <c r="D1067" t="s">
        <v>2528</v>
      </c>
      <c r="F1067" s="86">
        <v>16938</v>
      </c>
      <c r="G1067" t="s">
        <v>756</v>
      </c>
      <c r="H1067">
        <v>7701</v>
      </c>
      <c r="I1067" t="s">
        <v>1381</v>
      </c>
    </row>
    <row r="1068" spans="1:9">
      <c r="A1068" s="71">
        <v>44564</v>
      </c>
      <c r="B1068" t="s">
        <v>185</v>
      </c>
      <c r="D1068" t="s">
        <v>2529</v>
      </c>
      <c r="G1068" t="s">
        <v>756</v>
      </c>
      <c r="H1068">
        <v>7515</v>
      </c>
      <c r="I1068" t="s">
        <v>1756</v>
      </c>
    </row>
    <row r="1069" spans="1:9">
      <c r="A1069" s="71">
        <v>44564</v>
      </c>
      <c r="B1069" t="s">
        <v>12</v>
      </c>
      <c r="D1069" t="s">
        <v>2530</v>
      </c>
      <c r="F1069" s="86">
        <v>1783</v>
      </c>
      <c r="G1069" t="s">
        <v>756</v>
      </c>
      <c r="H1069">
        <v>7333</v>
      </c>
      <c r="I1069" t="s">
        <v>1487</v>
      </c>
    </row>
    <row r="1070" spans="1:9">
      <c r="A1070" s="71">
        <v>44564</v>
      </c>
      <c r="B1070" t="s">
        <v>330</v>
      </c>
      <c r="D1070" t="s">
        <v>2531</v>
      </c>
      <c r="F1070" s="86">
        <v>5694</v>
      </c>
      <c r="G1070" t="s">
        <v>756</v>
      </c>
      <c r="H1070">
        <v>7332</v>
      </c>
      <c r="I1070" t="s">
        <v>1598</v>
      </c>
    </row>
    <row r="1071" spans="1:9">
      <c r="A1071" s="71">
        <v>44565</v>
      </c>
      <c r="B1071" t="s">
        <v>687</v>
      </c>
      <c r="D1071" t="s">
        <v>2532</v>
      </c>
      <c r="F1071" s="86">
        <v>8151</v>
      </c>
      <c r="G1071" t="s">
        <v>756</v>
      </c>
      <c r="H1071">
        <v>7704</v>
      </c>
      <c r="I1071" t="s">
        <v>1381</v>
      </c>
    </row>
    <row r="1072" spans="1:9">
      <c r="A1072" s="71">
        <v>44565</v>
      </c>
      <c r="B1072" t="s">
        <v>373</v>
      </c>
      <c r="D1072" t="s">
        <v>2533</v>
      </c>
      <c r="F1072" s="86">
        <v>2584</v>
      </c>
      <c r="G1072" t="s">
        <v>756</v>
      </c>
      <c r="H1072">
        <v>7518</v>
      </c>
      <c r="I1072" t="s">
        <v>1756</v>
      </c>
    </row>
    <row r="1073" spans="1:9">
      <c r="A1073" s="71">
        <v>44565</v>
      </c>
      <c r="B1073" t="s">
        <v>1963</v>
      </c>
      <c r="D1073" t="s">
        <v>2534</v>
      </c>
      <c r="G1073" t="s">
        <v>756</v>
      </c>
      <c r="H1073">
        <v>7516</v>
      </c>
      <c r="I1073" t="s">
        <v>1756</v>
      </c>
    </row>
    <row r="1074" spans="1:9">
      <c r="A1074" s="71">
        <v>44565</v>
      </c>
      <c r="B1074" t="s">
        <v>368</v>
      </c>
      <c r="D1074" t="s">
        <v>2535</v>
      </c>
      <c r="F1074" s="86">
        <v>2062</v>
      </c>
      <c r="G1074" t="s">
        <v>756</v>
      </c>
      <c r="H1074">
        <v>7517</v>
      </c>
      <c r="I1074" t="s">
        <v>1756</v>
      </c>
    </row>
    <row r="1075" spans="1:9">
      <c r="A1075" s="71">
        <v>44565</v>
      </c>
      <c r="B1075" t="s">
        <v>2223</v>
      </c>
      <c r="D1075" t="s">
        <v>2536</v>
      </c>
      <c r="F1075" s="86">
        <v>6449</v>
      </c>
      <c r="G1075" t="s">
        <v>756</v>
      </c>
      <c r="H1075">
        <v>7334</v>
      </c>
      <c r="I1075" t="s">
        <v>1487</v>
      </c>
    </row>
    <row r="1076" spans="1:9">
      <c r="A1076" s="71">
        <v>44565</v>
      </c>
      <c r="B1076" t="s">
        <v>365</v>
      </c>
      <c r="D1076" t="s">
        <v>2537</v>
      </c>
      <c r="F1076" s="86">
        <v>9908</v>
      </c>
      <c r="G1076" t="s">
        <v>756</v>
      </c>
      <c r="H1076">
        <v>3230.1</v>
      </c>
      <c r="I1076" t="s">
        <v>1339</v>
      </c>
    </row>
    <row r="1077" spans="1:9">
      <c r="A1077" s="71">
        <v>44565</v>
      </c>
      <c r="B1077" t="s">
        <v>365</v>
      </c>
      <c r="D1077" t="s">
        <v>2537</v>
      </c>
      <c r="F1077" s="86">
        <v>9908</v>
      </c>
      <c r="G1077" t="s">
        <v>756</v>
      </c>
      <c r="H1077">
        <v>3230</v>
      </c>
      <c r="I1077" t="s">
        <v>1339</v>
      </c>
    </row>
    <row r="1078" spans="1:9">
      <c r="A1078" s="71">
        <v>44566</v>
      </c>
      <c r="B1078" t="s">
        <v>712</v>
      </c>
      <c r="D1078" t="s">
        <v>2538</v>
      </c>
      <c r="G1078" t="s">
        <v>756</v>
      </c>
      <c r="H1078">
        <v>7707</v>
      </c>
      <c r="I1078" t="s">
        <v>1381</v>
      </c>
    </row>
    <row r="1079" spans="1:9">
      <c r="A1079" s="71">
        <v>44566</v>
      </c>
      <c r="B1079" t="s">
        <v>1963</v>
      </c>
      <c r="D1079" t="s">
        <v>2539</v>
      </c>
      <c r="G1079" t="s">
        <v>756</v>
      </c>
      <c r="H1079">
        <v>7519</v>
      </c>
      <c r="I1079" t="s">
        <v>1756</v>
      </c>
    </row>
    <row r="1080" spans="1:9">
      <c r="A1080" s="71">
        <v>44566</v>
      </c>
      <c r="B1080" t="s">
        <v>391</v>
      </c>
      <c r="D1080" t="s">
        <v>2540</v>
      </c>
      <c r="G1080" t="s">
        <v>756</v>
      </c>
      <c r="H1080">
        <v>3231</v>
      </c>
      <c r="I1080" t="s">
        <v>1339</v>
      </c>
    </row>
    <row r="1081" spans="1:9">
      <c r="A1081" s="71">
        <v>44566</v>
      </c>
      <c r="B1081" t="s">
        <v>777</v>
      </c>
      <c r="D1081" t="s">
        <v>2541</v>
      </c>
      <c r="F1081" s="86">
        <v>4785</v>
      </c>
      <c r="G1081" t="s">
        <v>756</v>
      </c>
      <c r="H1081">
        <v>3232</v>
      </c>
      <c r="I1081" t="s">
        <v>1339</v>
      </c>
    </row>
    <row r="1082" spans="1:9">
      <c r="A1082" s="71">
        <v>44567</v>
      </c>
      <c r="B1082" t="s">
        <v>352</v>
      </c>
      <c r="D1082" t="s">
        <v>2542</v>
      </c>
      <c r="F1082" s="86">
        <v>8106</v>
      </c>
      <c r="G1082" t="s">
        <v>756</v>
      </c>
      <c r="H1082">
        <v>7336</v>
      </c>
      <c r="I1082" t="s">
        <v>1487</v>
      </c>
    </row>
    <row r="1083" spans="1:9">
      <c r="A1083" s="71">
        <v>44568</v>
      </c>
      <c r="B1083" t="s">
        <v>160</v>
      </c>
      <c r="D1083" t="s">
        <v>2543</v>
      </c>
      <c r="G1083" t="s">
        <v>756</v>
      </c>
      <c r="H1083">
        <v>3234</v>
      </c>
      <c r="I1083" t="s">
        <v>1339</v>
      </c>
    </row>
    <row r="1084" spans="1:9">
      <c r="A1084" s="71">
        <v>44571</v>
      </c>
      <c r="B1084" t="s">
        <v>362</v>
      </c>
      <c r="D1084" t="s">
        <v>2544</v>
      </c>
      <c r="F1084" s="86">
        <v>11040</v>
      </c>
      <c r="G1084" t="s">
        <v>756</v>
      </c>
      <c r="H1084">
        <v>3235</v>
      </c>
      <c r="I1084" t="s">
        <v>1339</v>
      </c>
    </row>
    <row r="1085" spans="1:9">
      <c r="A1085" s="71">
        <v>44571</v>
      </c>
      <c r="B1085" t="s">
        <v>35</v>
      </c>
      <c r="D1085" t="s">
        <v>2545</v>
      </c>
      <c r="F1085" s="86">
        <v>4567</v>
      </c>
      <c r="G1085" t="s">
        <v>756</v>
      </c>
      <c r="H1085">
        <v>7522</v>
      </c>
      <c r="I1085" t="s">
        <v>1756</v>
      </c>
    </row>
    <row r="1086" spans="1:9">
      <c r="A1086" s="71">
        <v>44572</v>
      </c>
      <c r="B1086" t="s">
        <v>328</v>
      </c>
      <c r="D1086" t="s">
        <v>2546</v>
      </c>
      <c r="F1086" s="86">
        <v>7270</v>
      </c>
      <c r="G1086" t="s">
        <v>756</v>
      </c>
      <c r="H1086">
        <v>7524</v>
      </c>
      <c r="I1086" t="s">
        <v>1756</v>
      </c>
    </row>
    <row r="1087" spans="1:9">
      <c r="A1087" s="71">
        <v>44572</v>
      </c>
      <c r="B1087" t="s">
        <v>35</v>
      </c>
      <c r="D1087" t="s">
        <v>2547</v>
      </c>
      <c r="F1087" s="86">
        <v>4571</v>
      </c>
      <c r="G1087" t="s">
        <v>756</v>
      </c>
      <c r="H1087">
        <v>7523</v>
      </c>
      <c r="I1087" t="s">
        <v>1756</v>
      </c>
    </row>
    <row r="1088" spans="1:9">
      <c r="A1088" s="71">
        <v>44572</v>
      </c>
      <c r="B1088" t="s">
        <v>202</v>
      </c>
      <c r="D1088" t="s">
        <v>2548</v>
      </c>
      <c r="F1088" s="86">
        <v>875</v>
      </c>
      <c r="G1088" t="s">
        <v>756</v>
      </c>
      <c r="H1088">
        <v>3237</v>
      </c>
      <c r="I1088" t="s">
        <v>1598</v>
      </c>
    </row>
    <row r="1089" spans="1:9">
      <c r="A1089" s="71">
        <v>44572</v>
      </c>
      <c r="B1089" t="s">
        <v>365</v>
      </c>
      <c r="D1089" t="s">
        <v>2549</v>
      </c>
      <c r="G1089" t="s">
        <v>756</v>
      </c>
      <c r="H1089">
        <v>3236</v>
      </c>
      <c r="I1089" t="s">
        <v>1339</v>
      </c>
    </row>
    <row r="1090" spans="1:9">
      <c r="A1090" s="71">
        <v>44573</v>
      </c>
      <c r="B1090" t="s">
        <v>146</v>
      </c>
      <c r="D1090" t="s">
        <v>2550</v>
      </c>
      <c r="G1090" t="s">
        <v>756</v>
      </c>
      <c r="H1090">
        <v>7525</v>
      </c>
      <c r="I1090" t="s">
        <v>1756</v>
      </c>
    </row>
    <row r="1091" spans="1:9">
      <c r="A1091" s="71">
        <v>44573</v>
      </c>
      <c r="B1091" t="s">
        <v>36</v>
      </c>
      <c r="D1091" t="s">
        <v>2551</v>
      </c>
      <c r="G1091" t="s">
        <v>756</v>
      </c>
      <c r="H1091">
        <v>7340</v>
      </c>
      <c r="I1091" t="s">
        <v>1487</v>
      </c>
    </row>
    <row r="1092" spans="1:9">
      <c r="A1092" s="71">
        <v>44575</v>
      </c>
      <c r="B1092" t="s">
        <v>710</v>
      </c>
      <c r="D1092" t="s">
        <v>2552</v>
      </c>
      <c r="G1092" t="s">
        <v>756</v>
      </c>
      <c r="H1092">
        <v>7530</v>
      </c>
      <c r="I1092" t="s">
        <v>1756</v>
      </c>
    </row>
    <row r="1093" spans="1:9">
      <c r="A1093" s="71">
        <v>44575</v>
      </c>
      <c r="B1093" t="s">
        <v>35</v>
      </c>
      <c r="D1093" t="s">
        <v>2553</v>
      </c>
      <c r="F1093" s="86">
        <v>4589</v>
      </c>
      <c r="G1093" t="s">
        <v>756</v>
      </c>
      <c r="H1093">
        <v>7529</v>
      </c>
      <c r="I1093" t="s">
        <v>1756</v>
      </c>
    </row>
    <row r="1094" spans="1:9">
      <c r="A1094" s="71">
        <v>44575</v>
      </c>
      <c r="B1094" t="s">
        <v>185</v>
      </c>
      <c r="D1094" t="s">
        <v>2554</v>
      </c>
      <c r="G1094" t="s">
        <v>756</v>
      </c>
      <c r="H1094">
        <v>7343</v>
      </c>
      <c r="I1094" t="s">
        <v>1487</v>
      </c>
    </row>
    <row r="1095" spans="1:9">
      <c r="A1095" s="71">
        <v>44575</v>
      </c>
      <c r="B1095" t="s">
        <v>710</v>
      </c>
      <c r="D1095" t="s">
        <v>2555</v>
      </c>
      <c r="G1095" t="s">
        <v>756</v>
      </c>
      <c r="H1095">
        <v>3240</v>
      </c>
      <c r="I1095" t="s">
        <v>1339</v>
      </c>
    </row>
    <row r="1096" spans="1:9">
      <c r="A1096" s="71">
        <v>44579</v>
      </c>
      <c r="B1096" t="s">
        <v>157</v>
      </c>
      <c r="D1096" t="s">
        <v>2556</v>
      </c>
      <c r="G1096" t="s">
        <v>756</v>
      </c>
      <c r="H1096">
        <v>7532</v>
      </c>
      <c r="I1096" t="s">
        <v>1756</v>
      </c>
    </row>
    <row r="1097" spans="1:9">
      <c r="A1097" s="71">
        <v>44580</v>
      </c>
      <c r="B1097" t="s">
        <v>371</v>
      </c>
      <c r="D1097" t="s">
        <v>2557</v>
      </c>
      <c r="F1097" s="86">
        <v>13651</v>
      </c>
      <c r="G1097" t="s">
        <v>756</v>
      </c>
      <c r="H1097">
        <v>3244</v>
      </c>
      <c r="I1097" t="s">
        <v>1339</v>
      </c>
    </row>
    <row r="1098" spans="1:9">
      <c r="A1098" s="71">
        <v>44580</v>
      </c>
      <c r="B1098" t="s">
        <v>389</v>
      </c>
      <c r="D1098" t="s">
        <v>2558</v>
      </c>
      <c r="F1098" s="86">
        <v>4312</v>
      </c>
      <c r="G1098" t="s">
        <v>756</v>
      </c>
      <c r="H1098">
        <v>7535</v>
      </c>
      <c r="I1098" t="s">
        <v>1756</v>
      </c>
    </row>
    <row r="1099" spans="1:9">
      <c r="A1099" s="71">
        <v>44580</v>
      </c>
      <c r="B1099" t="s">
        <v>385</v>
      </c>
      <c r="D1099" t="s">
        <v>2559</v>
      </c>
      <c r="F1099" s="86">
        <v>1392</v>
      </c>
      <c r="G1099" t="s">
        <v>756</v>
      </c>
      <c r="H1099">
        <v>7534</v>
      </c>
      <c r="I1099" t="s">
        <v>1756</v>
      </c>
    </row>
    <row r="1100" spans="1:9">
      <c r="A1100" s="71">
        <v>44580</v>
      </c>
      <c r="B1100" t="s">
        <v>25</v>
      </c>
      <c r="D1100" t="s">
        <v>2560</v>
      </c>
      <c r="G1100" t="s">
        <v>756</v>
      </c>
      <c r="H1100">
        <v>7342</v>
      </c>
      <c r="I1100" t="s">
        <v>1487</v>
      </c>
    </row>
    <row r="1101" spans="1:9">
      <c r="A1101" s="71">
        <v>44580</v>
      </c>
      <c r="B1101" t="s">
        <v>175</v>
      </c>
      <c r="D1101" t="s">
        <v>2561</v>
      </c>
      <c r="F1101" s="86">
        <v>3923</v>
      </c>
      <c r="G1101" t="s">
        <v>756</v>
      </c>
      <c r="H1101">
        <v>3245</v>
      </c>
      <c r="I1101" t="s">
        <v>1339</v>
      </c>
    </row>
    <row r="1102" spans="1:9">
      <c r="A1102" s="71">
        <v>44581</v>
      </c>
      <c r="B1102" t="s">
        <v>338</v>
      </c>
      <c r="D1102" t="s">
        <v>2562</v>
      </c>
      <c r="F1102" s="86">
        <v>23210</v>
      </c>
      <c r="G1102" t="s">
        <v>756</v>
      </c>
      <c r="H1102">
        <v>3247</v>
      </c>
      <c r="I1102" t="s">
        <v>1339</v>
      </c>
    </row>
    <row r="1103" spans="1:9">
      <c r="A1103" s="71">
        <v>44581</v>
      </c>
      <c r="B1103" t="s">
        <v>183</v>
      </c>
      <c r="D1103" t="s">
        <v>2563</v>
      </c>
      <c r="F1103" s="86">
        <v>37604</v>
      </c>
      <c r="G1103" t="s">
        <v>756</v>
      </c>
      <c r="H1103">
        <v>3246</v>
      </c>
      <c r="I1103" t="s">
        <v>1339</v>
      </c>
    </row>
    <row r="1104" spans="1:9">
      <c r="A1104" s="71">
        <v>44581</v>
      </c>
      <c r="B1104" t="s">
        <v>176</v>
      </c>
      <c r="D1104" t="s">
        <v>2564</v>
      </c>
      <c r="F1104" s="86">
        <v>3545</v>
      </c>
      <c r="G1104" t="s">
        <v>756</v>
      </c>
      <c r="H1104">
        <v>3009</v>
      </c>
      <c r="I1104" t="s">
        <v>1487</v>
      </c>
    </row>
    <row r="1105" spans="1:9">
      <c r="A1105" s="71">
        <v>44585</v>
      </c>
      <c r="B1105" t="s">
        <v>311</v>
      </c>
      <c r="D1105" t="s">
        <v>2565</v>
      </c>
      <c r="F1105" s="86">
        <v>12947</v>
      </c>
      <c r="G1105" t="s">
        <v>756</v>
      </c>
      <c r="H1105">
        <v>7537</v>
      </c>
      <c r="I1105" t="s">
        <v>1487</v>
      </c>
    </row>
    <row r="1106" spans="1:9">
      <c r="A1106" s="71">
        <v>44586</v>
      </c>
      <c r="B1106" t="s">
        <v>157</v>
      </c>
      <c r="D1106" t="s">
        <v>2566</v>
      </c>
      <c r="F1106" s="86">
        <v>12133</v>
      </c>
      <c r="G1106" t="s">
        <v>756</v>
      </c>
      <c r="H1106">
        <v>7541</v>
      </c>
      <c r="I1106" t="s">
        <v>1756</v>
      </c>
    </row>
    <row r="1107" spans="1:9">
      <c r="A1107" s="71">
        <v>44586</v>
      </c>
      <c r="B1107" t="s">
        <v>2567</v>
      </c>
      <c r="D1107" t="s">
        <v>2568</v>
      </c>
      <c r="F1107" s="86">
        <v>34061</v>
      </c>
      <c r="G1107" t="s">
        <v>756</v>
      </c>
      <c r="H1107">
        <v>7345</v>
      </c>
      <c r="I1107" t="s">
        <v>1487</v>
      </c>
    </row>
    <row r="1108" spans="1:9">
      <c r="A1108" s="71">
        <v>44587</v>
      </c>
      <c r="B1108" t="s">
        <v>173</v>
      </c>
      <c r="D1108" t="s">
        <v>2569</v>
      </c>
      <c r="F1108" s="86">
        <v>3661</v>
      </c>
      <c r="G1108" t="s">
        <v>756</v>
      </c>
      <c r="H1108">
        <v>7542</v>
      </c>
      <c r="I1108" t="s">
        <v>1756</v>
      </c>
    </row>
    <row r="1109" spans="1:9">
      <c r="A1109" s="71">
        <v>44587</v>
      </c>
      <c r="B1109" t="s">
        <v>697</v>
      </c>
      <c r="D1109" t="s">
        <v>2570</v>
      </c>
      <c r="G1109" t="s">
        <v>756</v>
      </c>
      <c r="H1109">
        <v>7346</v>
      </c>
      <c r="I1109" t="s">
        <v>1487</v>
      </c>
    </row>
    <row r="1110" spans="1:9">
      <c r="A1110" s="71">
        <v>44588</v>
      </c>
      <c r="B1110" t="s">
        <v>362</v>
      </c>
      <c r="D1110" t="s">
        <v>2571</v>
      </c>
      <c r="G1110" t="s">
        <v>756</v>
      </c>
      <c r="H1110">
        <v>7348</v>
      </c>
      <c r="I1110" t="s">
        <v>1487</v>
      </c>
    </row>
    <row r="1111" spans="1:9">
      <c r="A1111" s="71">
        <v>44588</v>
      </c>
      <c r="B1111" t="s">
        <v>388</v>
      </c>
      <c r="D1111" t="s">
        <v>2572</v>
      </c>
      <c r="F1111" s="86">
        <v>10122</v>
      </c>
      <c r="G1111" t="s">
        <v>756</v>
      </c>
      <c r="H1111">
        <v>7545</v>
      </c>
      <c r="I1111" t="s">
        <v>1756</v>
      </c>
    </row>
    <row r="1112" spans="1:9">
      <c r="A1112" s="71">
        <v>44588</v>
      </c>
      <c r="B1112" t="s">
        <v>389</v>
      </c>
      <c r="D1112" t="s">
        <v>2573</v>
      </c>
      <c r="F1112" s="86">
        <v>4314</v>
      </c>
      <c r="G1112" t="s">
        <v>756</v>
      </c>
      <c r="H1112">
        <v>7544</v>
      </c>
      <c r="I1112" t="s">
        <v>1756</v>
      </c>
    </row>
    <row r="1113" spans="1:9">
      <c r="A1113" s="71">
        <v>44588</v>
      </c>
      <c r="B1113" t="s">
        <v>318</v>
      </c>
      <c r="D1113" t="s">
        <v>2574</v>
      </c>
      <c r="G1113" t="s">
        <v>756</v>
      </c>
      <c r="H1113">
        <v>7347</v>
      </c>
      <c r="I1113" t="s">
        <v>1487</v>
      </c>
    </row>
    <row r="1114" spans="1:9">
      <c r="A1114" s="71">
        <v>44588</v>
      </c>
      <c r="B1114" t="s">
        <v>710</v>
      </c>
      <c r="D1114" t="s">
        <v>2575</v>
      </c>
      <c r="F1114" s="86">
        <v>16941</v>
      </c>
      <c r="G1114" t="s">
        <v>756</v>
      </c>
      <c r="H1114">
        <v>3249</v>
      </c>
      <c r="I1114" t="s">
        <v>1339</v>
      </c>
    </row>
    <row r="1115" spans="1:9">
      <c r="A1115" s="71">
        <v>44588</v>
      </c>
      <c r="B1115" t="s">
        <v>188</v>
      </c>
      <c r="D1115" t="s">
        <v>2576</v>
      </c>
      <c r="F1115" s="86">
        <v>8296</v>
      </c>
      <c r="G1115" t="s">
        <v>756</v>
      </c>
      <c r="H1115">
        <v>3014</v>
      </c>
      <c r="I1115" t="s">
        <v>1341</v>
      </c>
    </row>
    <row r="1116" spans="1:9">
      <c r="A1116" s="71">
        <v>44592</v>
      </c>
      <c r="B1116" t="s">
        <v>311</v>
      </c>
      <c r="D1116" t="s">
        <v>2577</v>
      </c>
      <c r="F1116" s="86">
        <v>12967</v>
      </c>
      <c r="G1116" t="s">
        <v>756</v>
      </c>
      <c r="H1116">
        <v>7546</v>
      </c>
      <c r="I1116" t="s">
        <v>1756</v>
      </c>
    </row>
    <row r="1117" spans="1:9">
      <c r="A1117" s="71">
        <v>44592</v>
      </c>
      <c r="B1117" t="s">
        <v>383</v>
      </c>
      <c r="D1117" t="s">
        <v>2578</v>
      </c>
      <c r="F1117" s="86">
        <v>1265</v>
      </c>
      <c r="G1117" t="s">
        <v>756</v>
      </c>
      <c r="H1117">
        <v>7547</v>
      </c>
      <c r="I1117" t="s">
        <v>1756</v>
      </c>
    </row>
    <row r="1118" spans="1:9">
      <c r="A1118" s="71">
        <v>44592</v>
      </c>
      <c r="B1118" t="s">
        <v>185</v>
      </c>
      <c r="D1118" t="s">
        <v>2579</v>
      </c>
      <c r="F1118" s="86">
        <v>32500</v>
      </c>
      <c r="G1118" t="s">
        <v>756</v>
      </c>
      <c r="H1118">
        <v>7349</v>
      </c>
      <c r="I1118" t="s">
        <v>1487</v>
      </c>
    </row>
    <row r="1119" spans="1:9">
      <c r="A1119" s="71">
        <v>44593</v>
      </c>
      <c r="B1119" t="s">
        <v>359</v>
      </c>
      <c r="D1119" t="s">
        <v>2580</v>
      </c>
      <c r="F1119" s="86">
        <v>7900</v>
      </c>
      <c r="G1119" t="s">
        <v>756</v>
      </c>
      <c r="H1119">
        <v>8218</v>
      </c>
      <c r="I1119" t="s">
        <v>1589</v>
      </c>
    </row>
    <row r="1120" spans="1:9">
      <c r="A1120" s="71">
        <v>44593</v>
      </c>
      <c r="B1120" t="s">
        <v>369</v>
      </c>
      <c r="D1120" t="s">
        <v>2581</v>
      </c>
      <c r="G1120" t="s">
        <v>756</v>
      </c>
      <c r="H1120">
        <v>7801</v>
      </c>
      <c r="I1120" t="s">
        <v>1487</v>
      </c>
    </row>
    <row r="1121" spans="1:9">
      <c r="A1121" s="71">
        <v>44593</v>
      </c>
      <c r="B1121" t="s">
        <v>146</v>
      </c>
      <c r="D1121" t="s">
        <v>2582</v>
      </c>
      <c r="G1121" t="s">
        <v>756</v>
      </c>
      <c r="H1121">
        <v>7738</v>
      </c>
      <c r="I1121" t="s">
        <v>1381</v>
      </c>
    </row>
    <row r="1122" spans="1:9">
      <c r="A1122" s="71">
        <v>44593</v>
      </c>
      <c r="B1122" t="s">
        <v>712</v>
      </c>
      <c r="D1122" t="s">
        <v>2583</v>
      </c>
      <c r="F1122" s="86">
        <v>12913</v>
      </c>
      <c r="G1122" t="s">
        <v>756</v>
      </c>
      <c r="H1122">
        <v>7548</v>
      </c>
      <c r="I1122" t="s">
        <v>1756</v>
      </c>
    </row>
    <row r="1123" spans="1:9">
      <c r="A1123" s="71">
        <v>44594</v>
      </c>
      <c r="B1123" t="s">
        <v>157</v>
      </c>
      <c r="D1123" t="s">
        <v>2584</v>
      </c>
      <c r="F1123" s="86">
        <v>12175</v>
      </c>
      <c r="G1123" t="s">
        <v>756</v>
      </c>
      <c r="H1123">
        <v>7903</v>
      </c>
      <c r="I1123" t="s">
        <v>1756</v>
      </c>
    </row>
    <row r="1124" spans="1:9">
      <c r="A1124" s="71">
        <v>44594</v>
      </c>
      <c r="B1124" t="s">
        <v>385</v>
      </c>
      <c r="D1124" t="s">
        <v>2585</v>
      </c>
      <c r="F1124" s="86">
        <v>1417</v>
      </c>
      <c r="G1124" t="s">
        <v>756</v>
      </c>
      <c r="H1124">
        <v>7902</v>
      </c>
      <c r="I1124" t="s">
        <v>1756</v>
      </c>
    </row>
    <row r="1125" spans="1:9">
      <c r="A1125" s="71">
        <v>44594</v>
      </c>
      <c r="B1125" t="s">
        <v>185</v>
      </c>
      <c r="D1125" t="s">
        <v>2586</v>
      </c>
      <c r="G1125" t="s">
        <v>756</v>
      </c>
      <c r="H1125">
        <v>7802</v>
      </c>
      <c r="I1125" t="s">
        <v>1487</v>
      </c>
    </row>
    <row r="1126" spans="1:9">
      <c r="A1126" s="71">
        <v>44594</v>
      </c>
      <c r="B1126" t="s">
        <v>691</v>
      </c>
      <c r="D1126" t="s">
        <v>2587</v>
      </c>
      <c r="G1126" t="s">
        <v>756</v>
      </c>
      <c r="H1126">
        <v>7740</v>
      </c>
      <c r="I1126" t="s">
        <v>1381</v>
      </c>
    </row>
    <row r="1127" spans="1:9">
      <c r="A1127" s="71">
        <v>44595</v>
      </c>
      <c r="B1127" t="s">
        <v>371</v>
      </c>
      <c r="D1127" t="s">
        <v>2588</v>
      </c>
      <c r="F1127" s="86">
        <v>13707</v>
      </c>
      <c r="G1127" t="s">
        <v>756</v>
      </c>
      <c r="H1127">
        <v>7907</v>
      </c>
      <c r="I1127" t="s">
        <v>1756</v>
      </c>
    </row>
    <row r="1128" spans="1:9">
      <c r="A1128" s="71">
        <v>44595</v>
      </c>
      <c r="B1128" t="s">
        <v>338</v>
      </c>
      <c r="D1128" t="s">
        <v>2589</v>
      </c>
      <c r="F1128" s="86">
        <v>23255</v>
      </c>
      <c r="G1128" t="s">
        <v>756</v>
      </c>
      <c r="H1128">
        <v>7906</v>
      </c>
      <c r="I1128" t="s">
        <v>1756</v>
      </c>
    </row>
    <row r="1129" spans="1:9">
      <c r="A1129" s="71">
        <v>44595</v>
      </c>
      <c r="B1129" t="s">
        <v>19</v>
      </c>
      <c r="D1129" t="s">
        <v>2590</v>
      </c>
      <c r="F1129" s="86">
        <v>5021</v>
      </c>
      <c r="G1129" t="s">
        <v>756</v>
      </c>
      <c r="H1129">
        <v>7905</v>
      </c>
      <c r="I1129" t="s">
        <v>1756</v>
      </c>
    </row>
    <row r="1130" spans="1:9">
      <c r="A1130" s="71">
        <v>44595</v>
      </c>
      <c r="B1130" t="s">
        <v>185</v>
      </c>
      <c r="D1130" t="s">
        <v>2591</v>
      </c>
      <c r="G1130" t="s">
        <v>756</v>
      </c>
      <c r="H1130">
        <v>7803</v>
      </c>
      <c r="I1130" t="s">
        <v>1487</v>
      </c>
    </row>
    <row r="1131" spans="1:9">
      <c r="A1131" s="71">
        <v>44595</v>
      </c>
      <c r="B1131" t="s">
        <v>800</v>
      </c>
      <c r="D1131" t="s">
        <v>2592</v>
      </c>
      <c r="G1131" t="s">
        <v>756</v>
      </c>
      <c r="H1131">
        <v>7742</v>
      </c>
      <c r="I1131" t="s">
        <v>1381</v>
      </c>
    </row>
    <row r="1132" spans="1:9">
      <c r="A1132" s="71">
        <v>44595</v>
      </c>
      <c r="B1132" t="s">
        <v>691</v>
      </c>
      <c r="D1132" t="s">
        <v>2593</v>
      </c>
      <c r="G1132" t="s">
        <v>756</v>
      </c>
      <c r="H1132">
        <v>7741</v>
      </c>
      <c r="I1132" t="s">
        <v>1381</v>
      </c>
    </row>
    <row r="1133" spans="1:9">
      <c r="A1133" s="71">
        <v>44595</v>
      </c>
      <c r="B1133" t="s">
        <v>334</v>
      </c>
      <c r="D1133" t="s">
        <v>2594</v>
      </c>
      <c r="G1133" t="s">
        <v>756</v>
      </c>
      <c r="H1133">
        <v>7744</v>
      </c>
      <c r="I1133" t="s">
        <v>1381</v>
      </c>
    </row>
    <row r="1134" spans="1:9">
      <c r="A1134" s="71">
        <v>44596</v>
      </c>
      <c r="B1134" t="s">
        <v>2496</v>
      </c>
      <c r="D1134" t="s">
        <v>2595</v>
      </c>
      <c r="G1134" t="s">
        <v>756</v>
      </c>
      <c r="H1134">
        <v>7911</v>
      </c>
      <c r="I1134" t="s">
        <v>1756</v>
      </c>
    </row>
    <row r="1135" spans="1:9">
      <c r="A1135" s="71">
        <v>44596</v>
      </c>
      <c r="B1135" t="s">
        <v>157</v>
      </c>
      <c r="D1135" t="s">
        <v>2596</v>
      </c>
      <c r="F1135" s="86">
        <v>12175</v>
      </c>
      <c r="G1135" t="s">
        <v>756</v>
      </c>
      <c r="H1135">
        <v>7910</v>
      </c>
      <c r="I1135" t="s">
        <v>1756</v>
      </c>
    </row>
    <row r="1136" spans="1:9">
      <c r="A1136" s="71">
        <v>44596</v>
      </c>
      <c r="B1136" t="s">
        <v>385</v>
      </c>
      <c r="D1136" t="s">
        <v>2596</v>
      </c>
      <c r="F1136" s="86">
        <v>1417</v>
      </c>
      <c r="G1136" t="s">
        <v>756</v>
      </c>
      <c r="H1136">
        <v>7909</v>
      </c>
      <c r="I1136" t="s">
        <v>1756</v>
      </c>
    </row>
    <row r="1137" spans="1:9">
      <c r="A1137" s="71">
        <v>44600</v>
      </c>
      <c r="B1137" t="s">
        <v>690</v>
      </c>
      <c r="D1137" t="s">
        <v>2597</v>
      </c>
      <c r="G1137" t="s">
        <v>756</v>
      </c>
      <c r="H1137">
        <v>7747</v>
      </c>
      <c r="I1137" t="s">
        <v>1381</v>
      </c>
    </row>
    <row r="1138" spans="1:9">
      <c r="A1138" s="71">
        <v>44600</v>
      </c>
      <c r="B1138" t="s">
        <v>150</v>
      </c>
      <c r="D1138" t="s">
        <v>2598</v>
      </c>
      <c r="G1138" t="s">
        <v>756</v>
      </c>
      <c r="H1138">
        <v>7805</v>
      </c>
      <c r="I1138" t="s">
        <v>1487</v>
      </c>
    </row>
    <row r="1139" spans="1:9">
      <c r="A1139" s="71">
        <v>44601</v>
      </c>
      <c r="B1139" t="s">
        <v>159</v>
      </c>
      <c r="D1139" t="s">
        <v>2599</v>
      </c>
      <c r="G1139" t="s">
        <v>756</v>
      </c>
      <c r="H1139">
        <v>7750</v>
      </c>
      <c r="I1139" t="s">
        <v>1381</v>
      </c>
    </row>
    <row r="1140" spans="1:9">
      <c r="A1140" s="71">
        <v>44602</v>
      </c>
      <c r="B1140" t="s">
        <v>389</v>
      </c>
      <c r="D1140" t="s">
        <v>2600</v>
      </c>
      <c r="F1140" s="86">
        <v>4318</v>
      </c>
      <c r="G1140" t="s">
        <v>756</v>
      </c>
      <c r="H1140">
        <v>7806</v>
      </c>
      <c r="I1140" t="s">
        <v>1487</v>
      </c>
    </row>
    <row r="1141" spans="1:9">
      <c r="A1141" s="71">
        <v>44602</v>
      </c>
      <c r="B1141" t="s">
        <v>338</v>
      </c>
      <c r="D1141" t="s">
        <v>2601</v>
      </c>
      <c r="F1141" s="86">
        <v>23264</v>
      </c>
      <c r="G1141" t="s">
        <v>756</v>
      </c>
      <c r="H1141">
        <v>7614</v>
      </c>
      <c r="I1141" t="s">
        <v>1381</v>
      </c>
    </row>
    <row r="1142" spans="1:9">
      <c r="A1142" s="71">
        <v>44603</v>
      </c>
      <c r="B1142" t="s">
        <v>32</v>
      </c>
      <c r="D1142" t="s">
        <v>2602</v>
      </c>
      <c r="G1142" t="s">
        <v>756</v>
      </c>
      <c r="H1142">
        <v>7620</v>
      </c>
      <c r="I1142" t="s">
        <v>1381</v>
      </c>
    </row>
    <row r="1143" spans="1:9">
      <c r="A1143" s="71">
        <v>44603</v>
      </c>
      <c r="B1143" t="s">
        <v>176</v>
      </c>
      <c r="D1143" t="s">
        <v>2603</v>
      </c>
      <c r="G1143" t="s">
        <v>756</v>
      </c>
      <c r="H1143">
        <v>7621</v>
      </c>
      <c r="I1143" t="s">
        <v>1381</v>
      </c>
    </row>
    <row r="1144" spans="1:9">
      <c r="A1144" s="71">
        <v>44603</v>
      </c>
      <c r="B1144" t="s">
        <v>159</v>
      </c>
      <c r="D1144" t="s">
        <v>2604</v>
      </c>
      <c r="G1144" t="s">
        <v>756</v>
      </c>
      <c r="H1144">
        <v>7619</v>
      </c>
      <c r="I1144" t="s">
        <v>1381</v>
      </c>
    </row>
    <row r="1145" spans="1:9">
      <c r="A1145" s="71">
        <v>44604</v>
      </c>
      <c r="B1145" t="s">
        <v>176</v>
      </c>
      <c r="D1145" t="s">
        <v>2605</v>
      </c>
      <c r="G1145" t="s">
        <v>756</v>
      </c>
      <c r="H1145">
        <v>7807</v>
      </c>
      <c r="I1145" t="s">
        <v>1487</v>
      </c>
    </row>
    <row r="1146" spans="1:9">
      <c r="A1146" s="71">
        <v>44606</v>
      </c>
      <c r="B1146" t="s">
        <v>150</v>
      </c>
      <c r="D1146" t="s">
        <v>2606</v>
      </c>
      <c r="G1146" t="s">
        <v>756</v>
      </c>
      <c r="H1146">
        <v>7808</v>
      </c>
      <c r="I1146" t="s">
        <v>1487</v>
      </c>
    </row>
    <row r="1147" spans="1:9">
      <c r="A1147" s="71">
        <v>44606</v>
      </c>
      <c r="B1147" t="s">
        <v>687</v>
      </c>
      <c r="D1147" t="s">
        <v>2607</v>
      </c>
      <c r="G1147" t="s">
        <v>756</v>
      </c>
      <c r="H1147">
        <v>7623</v>
      </c>
      <c r="I1147" t="s">
        <v>1381</v>
      </c>
    </row>
    <row r="1148" spans="1:9">
      <c r="A1148" s="71">
        <v>44606</v>
      </c>
      <c r="B1148" t="s">
        <v>159</v>
      </c>
      <c r="D1148" t="s">
        <v>2608</v>
      </c>
      <c r="G1148" t="s">
        <v>756</v>
      </c>
      <c r="H1148">
        <v>7622</v>
      </c>
      <c r="I1148" t="s">
        <v>1381</v>
      </c>
    </row>
    <row r="1149" spans="1:9">
      <c r="A1149" s="71">
        <v>44607</v>
      </c>
      <c r="B1149" t="s">
        <v>691</v>
      </c>
      <c r="D1149" t="s">
        <v>2609</v>
      </c>
      <c r="G1149" t="s">
        <v>756</v>
      </c>
      <c r="H1149">
        <v>7626</v>
      </c>
      <c r="I1149" t="s">
        <v>1381</v>
      </c>
    </row>
    <row r="1150" spans="1:9">
      <c r="A1150" s="71">
        <v>44608</v>
      </c>
      <c r="B1150" t="s">
        <v>687</v>
      </c>
      <c r="D1150" t="s">
        <v>2610</v>
      </c>
      <c r="G1150" t="s">
        <v>756</v>
      </c>
      <c r="H1150">
        <v>7627</v>
      </c>
      <c r="I1150" t="s">
        <v>1381</v>
      </c>
    </row>
    <row r="1151" spans="1:9">
      <c r="A1151" s="71">
        <v>44609</v>
      </c>
      <c r="B1151" t="s">
        <v>159</v>
      </c>
      <c r="D1151" t="s">
        <v>2611</v>
      </c>
      <c r="G1151" t="s">
        <v>756</v>
      </c>
      <c r="H1151">
        <v>7634</v>
      </c>
      <c r="I1151" t="s">
        <v>1381</v>
      </c>
    </row>
    <row r="1152" spans="1:9">
      <c r="A1152" s="71">
        <v>44610</v>
      </c>
      <c r="B1152" t="s">
        <v>160</v>
      </c>
      <c r="D1152" t="s">
        <v>2612</v>
      </c>
      <c r="G1152" t="s">
        <v>756</v>
      </c>
      <c r="H1152">
        <v>7810</v>
      </c>
      <c r="I1152" t="s">
        <v>1487</v>
      </c>
    </row>
    <row r="1153" spans="1:9">
      <c r="A1153" s="71">
        <v>44610</v>
      </c>
      <c r="B1153" t="s">
        <v>690</v>
      </c>
      <c r="D1153" t="s">
        <v>2613</v>
      </c>
      <c r="F1153" s="86">
        <v>4055</v>
      </c>
      <c r="G1153" t="s">
        <v>756</v>
      </c>
      <c r="H1153">
        <v>7636</v>
      </c>
      <c r="I1153" t="s">
        <v>1381</v>
      </c>
    </row>
    <row r="1154" spans="1:9">
      <c r="A1154" s="71">
        <v>44612</v>
      </c>
      <c r="B1154" t="s">
        <v>160</v>
      </c>
      <c r="D1154" t="s">
        <v>2614</v>
      </c>
      <c r="G1154" t="s">
        <v>756</v>
      </c>
      <c r="H1154">
        <v>7048</v>
      </c>
      <c r="I1154" t="s">
        <v>1381</v>
      </c>
    </row>
    <row r="1155" spans="1:9">
      <c r="A1155" s="71">
        <v>44613</v>
      </c>
      <c r="B1155" t="s">
        <v>32</v>
      </c>
      <c r="D1155" t="s">
        <v>2615</v>
      </c>
      <c r="G1155" t="s">
        <v>756</v>
      </c>
      <c r="H1155">
        <v>7813</v>
      </c>
      <c r="I1155" t="s">
        <v>1487</v>
      </c>
    </row>
    <row r="1156" spans="1:9">
      <c r="A1156" s="71">
        <v>44613</v>
      </c>
      <c r="B1156" t="s">
        <v>169</v>
      </c>
      <c r="D1156" t="s">
        <v>2616</v>
      </c>
      <c r="G1156" t="s">
        <v>756</v>
      </c>
      <c r="H1156">
        <v>7853</v>
      </c>
      <c r="I1156" t="s">
        <v>1381</v>
      </c>
    </row>
    <row r="1157" spans="1:9">
      <c r="A1157" s="71">
        <v>44613</v>
      </c>
      <c r="B1157" t="s">
        <v>42</v>
      </c>
      <c r="D1157" t="s">
        <v>2617</v>
      </c>
      <c r="G1157" t="s">
        <v>756</v>
      </c>
      <c r="H1157">
        <v>7852</v>
      </c>
      <c r="I1157" t="s">
        <v>1381</v>
      </c>
    </row>
    <row r="1158" spans="1:9">
      <c r="A1158" s="71">
        <v>44613</v>
      </c>
      <c r="B1158" t="s">
        <v>159</v>
      </c>
      <c r="D1158" t="s">
        <v>2618</v>
      </c>
      <c r="G1158" t="s">
        <v>756</v>
      </c>
      <c r="H1158">
        <v>7851</v>
      </c>
      <c r="I1158" t="s">
        <v>1381</v>
      </c>
    </row>
    <row r="1159" spans="1:9">
      <c r="A1159" s="71">
        <v>44613</v>
      </c>
      <c r="B1159" t="s">
        <v>150</v>
      </c>
      <c r="D1159" t="s">
        <v>2619</v>
      </c>
      <c r="G1159" t="s">
        <v>756</v>
      </c>
      <c r="H1159">
        <v>7812</v>
      </c>
      <c r="I1159" t="s">
        <v>1487</v>
      </c>
    </row>
    <row r="1160" spans="1:9">
      <c r="A1160" s="71">
        <v>44614</v>
      </c>
      <c r="B1160" t="s">
        <v>313</v>
      </c>
      <c r="D1160" t="s">
        <v>2620</v>
      </c>
      <c r="F1160" s="86">
        <v>19505</v>
      </c>
      <c r="G1160" t="s">
        <v>756</v>
      </c>
      <c r="H1160">
        <v>7855</v>
      </c>
      <c r="I1160" t="s">
        <v>1381</v>
      </c>
    </row>
    <row r="1161" spans="1:9">
      <c r="A1161" s="71">
        <v>44614</v>
      </c>
      <c r="B1161" t="s">
        <v>322</v>
      </c>
      <c r="D1161" t="s">
        <v>2621</v>
      </c>
      <c r="F1161" s="86">
        <v>24387</v>
      </c>
      <c r="G1161" t="s">
        <v>756</v>
      </c>
      <c r="H1161">
        <v>7814</v>
      </c>
      <c r="I1161" t="s">
        <v>1487</v>
      </c>
    </row>
    <row r="1162" spans="1:9">
      <c r="A1162" s="71">
        <v>44614</v>
      </c>
      <c r="B1162" t="s">
        <v>389</v>
      </c>
      <c r="D1162" t="s">
        <v>2622</v>
      </c>
      <c r="G1162" t="s">
        <v>756</v>
      </c>
      <c r="H1162">
        <v>3154</v>
      </c>
      <c r="I1162" t="s">
        <v>1589</v>
      </c>
    </row>
    <row r="1163" spans="1:9">
      <c r="A1163" s="71">
        <v>44615</v>
      </c>
      <c r="B1163" t="s">
        <v>311</v>
      </c>
      <c r="D1163" t="s">
        <v>2623</v>
      </c>
      <c r="F1163" s="86">
        <v>13045</v>
      </c>
      <c r="G1163" t="s">
        <v>756</v>
      </c>
      <c r="H1163">
        <v>7857</v>
      </c>
      <c r="I1163" t="s">
        <v>1381</v>
      </c>
    </row>
    <row r="1164" spans="1:9">
      <c r="A1164" s="71">
        <v>44615</v>
      </c>
      <c r="B1164" t="s">
        <v>2223</v>
      </c>
      <c r="D1164" t="s">
        <v>2624</v>
      </c>
      <c r="G1164" t="s">
        <v>756</v>
      </c>
      <c r="H1164">
        <v>7063</v>
      </c>
      <c r="I1164" t="s">
        <v>1596</v>
      </c>
    </row>
    <row r="1165" spans="1:9">
      <c r="A1165" s="71">
        <v>44616</v>
      </c>
      <c r="B1165" t="s">
        <v>169</v>
      </c>
      <c r="D1165" t="s">
        <v>2625</v>
      </c>
      <c r="F1165" s="86">
        <v>3767</v>
      </c>
      <c r="G1165" t="s">
        <v>756</v>
      </c>
      <c r="H1165">
        <v>7913</v>
      </c>
      <c r="I1165" t="s">
        <v>1756</v>
      </c>
    </row>
    <row r="1166" spans="1:9">
      <c r="A1166" s="71">
        <v>44616</v>
      </c>
      <c r="B1166" t="s">
        <v>334</v>
      </c>
      <c r="D1166" t="s">
        <v>2626</v>
      </c>
      <c r="F1166" s="86">
        <v>18509</v>
      </c>
      <c r="G1166" t="s">
        <v>756</v>
      </c>
      <c r="H1166">
        <v>7912</v>
      </c>
      <c r="I1166" t="s">
        <v>1756</v>
      </c>
    </row>
    <row r="1167" spans="1:9">
      <c r="A1167" s="71">
        <v>44616</v>
      </c>
      <c r="B1167" t="s">
        <v>369</v>
      </c>
      <c r="D1167" t="s">
        <v>2627</v>
      </c>
      <c r="G1167" t="s">
        <v>756</v>
      </c>
      <c r="H1167">
        <v>7816</v>
      </c>
      <c r="I1167" t="s">
        <v>1381</v>
      </c>
    </row>
    <row r="1168" spans="1:9">
      <c r="A1168" s="71">
        <v>44617</v>
      </c>
      <c r="B1168" t="s">
        <v>313</v>
      </c>
      <c r="D1168" t="s">
        <v>2628</v>
      </c>
      <c r="F1168" s="86">
        <v>19505</v>
      </c>
      <c r="G1168" t="s">
        <v>756</v>
      </c>
      <c r="H1168">
        <v>7914</v>
      </c>
      <c r="I1168" t="s">
        <v>1756</v>
      </c>
    </row>
    <row r="1169" spans="1:9">
      <c r="A1169" s="71">
        <v>44617</v>
      </c>
      <c r="B1169" t="s">
        <v>35</v>
      </c>
      <c r="D1169" t="s">
        <v>2629</v>
      </c>
      <c r="G1169" t="s">
        <v>756</v>
      </c>
      <c r="H1169">
        <v>7817</v>
      </c>
      <c r="I1169" t="s">
        <v>1487</v>
      </c>
    </row>
    <row r="1170" spans="1:9">
      <c r="A1170" s="71">
        <v>44617</v>
      </c>
      <c r="B1170" t="s">
        <v>311</v>
      </c>
      <c r="D1170" t="s">
        <v>2630</v>
      </c>
      <c r="G1170" t="s">
        <v>756</v>
      </c>
      <c r="H1170">
        <v>7865</v>
      </c>
      <c r="I1170" t="s">
        <v>1381</v>
      </c>
    </row>
    <row r="1171" spans="1:9">
      <c r="A1171" s="71">
        <v>44620</v>
      </c>
      <c r="B1171" t="s">
        <v>42</v>
      </c>
      <c r="D1171" t="s">
        <v>2631</v>
      </c>
      <c r="G1171" t="s">
        <v>756</v>
      </c>
      <c r="H1171">
        <v>7637</v>
      </c>
      <c r="I1171" t="s">
        <v>1381</v>
      </c>
    </row>
    <row r="1172" spans="1:9">
      <c r="A1172" s="71">
        <v>44621</v>
      </c>
      <c r="B1172" t="s">
        <v>591</v>
      </c>
      <c r="D1172" t="s">
        <v>2632</v>
      </c>
      <c r="G1172" t="s">
        <v>756</v>
      </c>
      <c r="H1172">
        <v>7916</v>
      </c>
      <c r="I1172" t="s">
        <v>1756</v>
      </c>
    </row>
    <row r="1173" spans="1:9">
      <c r="A1173" s="71">
        <v>44622</v>
      </c>
      <c r="B1173" t="s">
        <v>334</v>
      </c>
      <c r="D1173" t="s">
        <v>2633</v>
      </c>
      <c r="F1173" s="86">
        <v>18517</v>
      </c>
      <c r="G1173" t="s">
        <v>756</v>
      </c>
      <c r="H1173">
        <v>7917</v>
      </c>
      <c r="I1173" t="s">
        <v>1756</v>
      </c>
    </row>
    <row r="1174" spans="1:9">
      <c r="A1174" s="71">
        <v>44622</v>
      </c>
      <c r="B1174" t="s">
        <v>389</v>
      </c>
      <c r="D1174" t="s">
        <v>2634</v>
      </c>
      <c r="G1174" t="s">
        <v>756</v>
      </c>
      <c r="H1174">
        <v>7474</v>
      </c>
      <c r="I1174" t="s">
        <v>1756</v>
      </c>
    </row>
    <row r="1175" spans="1:9">
      <c r="A1175" s="71">
        <v>44623</v>
      </c>
      <c r="B1175" t="s">
        <v>716</v>
      </c>
      <c r="D1175" t="s">
        <v>2635</v>
      </c>
      <c r="G1175" t="s">
        <v>756</v>
      </c>
      <c r="H1175">
        <v>7921</v>
      </c>
      <c r="I1175" t="s">
        <v>1756</v>
      </c>
    </row>
    <row r="1176" spans="1:9">
      <c r="A1176" s="71">
        <v>44623</v>
      </c>
      <c r="B1176" t="s">
        <v>169</v>
      </c>
      <c r="D1176" t="s">
        <v>2636</v>
      </c>
      <c r="F1176" s="86">
        <v>3796</v>
      </c>
      <c r="G1176" t="s">
        <v>756</v>
      </c>
      <c r="H1176">
        <v>7920</v>
      </c>
      <c r="I1176" t="s">
        <v>1756</v>
      </c>
    </row>
    <row r="1177" spans="1:9">
      <c r="A1177" s="71">
        <v>44623</v>
      </c>
      <c r="B1177" t="s">
        <v>687</v>
      </c>
      <c r="D1177" t="s">
        <v>2637</v>
      </c>
      <c r="F1177" s="86">
        <v>8440</v>
      </c>
      <c r="G1177" t="s">
        <v>756</v>
      </c>
      <c r="H1177">
        <v>7919</v>
      </c>
      <c r="I1177" t="s">
        <v>1756</v>
      </c>
    </row>
    <row r="1178" spans="1:9">
      <c r="A1178" s="71">
        <v>44623</v>
      </c>
      <c r="B1178" t="s">
        <v>687</v>
      </c>
      <c r="D1178" t="s">
        <v>2638</v>
      </c>
      <c r="G1178" t="s">
        <v>756</v>
      </c>
      <c r="H1178">
        <v>7918</v>
      </c>
      <c r="I1178" t="s">
        <v>1756</v>
      </c>
    </row>
    <row r="1179" spans="1:9">
      <c r="A1179" s="71">
        <v>44623</v>
      </c>
      <c r="B1179" t="s">
        <v>311</v>
      </c>
      <c r="D1179" t="s">
        <v>2639</v>
      </c>
      <c r="F1179" s="86">
        <v>13076</v>
      </c>
      <c r="G1179" t="s">
        <v>756</v>
      </c>
      <c r="H1179">
        <v>7647</v>
      </c>
      <c r="I1179" t="s">
        <v>1381</v>
      </c>
    </row>
    <row r="1180" spans="1:9">
      <c r="A1180" s="71">
        <v>44623</v>
      </c>
      <c r="B1180" t="s">
        <v>716</v>
      </c>
      <c r="D1180" t="s">
        <v>2640</v>
      </c>
      <c r="G1180" t="s">
        <v>756</v>
      </c>
      <c r="H1180">
        <v>7648</v>
      </c>
      <c r="I1180" t="s">
        <v>1381</v>
      </c>
    </row>
    <row r="1181" spans="1:9">
      <c r="A1181" s="71">
        <v>44624</v>
      </c>
      <c r="B1181" t="s">
        <v>175</v>
      </c>
      <c r="D1181" t="s">
        <v>2641</v>
      </c>
      <c r="F1181" s="86">
        <v>4109</v>
      </c>
      <c r="G1181" t="s">
        <v>756</v>
      </c>
      <c r="H1181">
        <v>7922</v>
      </c>
      <c r="I1181" t="s">
        <v>1756</v>
      </c>
    </row>
    <row r="1182" spans="1:9">
      <c r="A1182" s="71">
        <v>44624</v>
      </c>
      <c r="B1182" t="s">
        <v>691</v>
      </c>
      <c r="D1182" t="s">
        <v>2642</v>
      </c>
      <c r="G1182" t="s">
        <v>756</v>
      </c>
      <c r="H1182">
        <v>7649</v>
      </c>
      <c r="I1182" t="s">
        <v>1381</v>
      </c>
    </row>
    <row r="1183" spans="1:9">
      <c r="A1183" s="71">
        <v>44627</v>
      </c>
      <c r="B1183" t="s">
        <v>385</v>
      </c>
      <c r="D1183" t="s">
        <v>2643</v>
      </c>
      <c r="F1183" s="86">
        <v>1459</v>
      </c>
      <c r="G1183" t="s">
        <v>756</v>
      </c>
      <c r="H1183">
        <v>7923</v>
      </c>
      <c r="I1183" t="s">
        <v>1756</v>
      </c>
    </row>
    <row r="1184" spans="1:9">
      <c r="A1184" s="71">
        <v>44627</v>
      </c>
      <c r="B1184" t="s">
        <v>159</v>
      </c>
      <c r="D1184" t="s">
        <v>2644</v>
      </c>
      <c r="G1184" t="s">
        <v>756</v>
      </c>
      <c r="H1184">
        <v>7868</v>
      </c>
      <c r="I1184" t="s">
        <v>1381</v>
      </c>
    </row>
    <row r="1185" spans="1:9">
      <c r="A1185" s="71">
        <v>44628</v>
      </c>
      <c r="B1185" t="s">
        <v>691</v>
      </c>
      <c r="D1185" t="s">
        <v>2645</v>
      </c>
      <c r="F1185" s="86">
        <v>4339</v>
      </c>
      <c r="G1185" t="s">
        <v>756</v>
      </c>
      <c r="H1185">
        <v>7924</v>
      </c>
      <c r="I1185" t="s">
        <v>1756</v>
      </c>
    </row>
    <row r="1186" spans="1:9">
      <c r="A1186" s="71">
        <v>44628</v>
      </c>
      <c r="B1186" t="s">
        <v>712</v>
      </c>
      <c r="D1186" t="s">
        <v>2646</v>
      </c>
      <c r="G1186" t="s">
        <v>756</v>
      </c>
      <c r="H1186">
        <v>7870</v>
      </c>
      <c r="I1186" t="s">
        <v>1381</v>
      </c>
    </row>
    <row r="1187" spans="1:9">
      <c r="A1187" s="71">
        <v>44628</v>
      </c>
      <c r="B1187" t="s">
        <v>12</v>
      </c>
      <c r="D1187" t="s">
        <v>2647</v>
      </c>
      <c r="F1187" s="86">
        <v>2065</v>
      </c>
      <c r="G1187" t="s">
        <v>756</v>
      </c>
      <c r="H1187">
        <v>7818</v>
      </c>
      <c r="I1187" t="s">
        <v>1487</v>
      </c>
    </row>
    <row r="1188" spans="1:9">
      <c r="A1188" s="71">
        <v>44628</v>
      </c>
      <c r="B1188" t="s">
        <v>178</v>
      </c>
      <c r="D1188" t="s">
        <v>2648</v>
      </c>
      <c r="F1188" s="86">
        <v>1227</v>
      </c>
      <c r="G1188" t="s">
        <v>756</v>
      </c>
      <c r="H1188">
        <v>3029</v>
      </c>
      <c r="I1188" t="s">
        <v>1341</v>
      </c>
    </row>
    <row r="1189" spans="1:9">
      <c r="A1189" s="71">
        <v>44628</v>
      </c>
      <c r="B1189" t="s">
        <v>1630</v>
      </c>
      <c r="D1189" t="s">
        <v>2649</v>
      </c>
      <c r="F1189" s="86">
        <v>8983</v>
      </c>
      <c r="G1189" t="s">
        <v>756</v>
      </c>
      <c r="H1189">
        <v>2400</v>
      </c>
      <c r="I1189" t="s">
        <v>1596</v>
      </c>
    </row>
    <row r="1190" spans="1:9">
      <c r="A1190" s="71">
        <v>44628</v>
      </c>
      <c r="B1190" t="s">
        <v>369</v>
      </c>
      <c r="D1190" t="s">
        <v>2650</v>
      </c>
      <c r="F1190" s="86">
        <v>9935</v>
      </c>
      <c r="G1190" t="s">
        <v>756</v>
      </c>
      <c r="I1190" t="s">
        <v>1487</v>
      </c>
    </row>
    <row r="1191" spans="1:9">
      <c r="A1191" s="71">
        <v>44629</v>
      </c>
      <c r="B1191" t="s">
        <v>2498</v>
      </c>
      <c r="D1191" t="s">
        <v>2651</v>
      </c>
      <c r="G1191" t="s">
        <v>756</v>
      </c>
      <c r="H1191">
        <v>7925</v>
      </c>
      <c r="I1191" t="s">
        <v>1756</v>
      </c>
    </row>
    <row r="1192" spans="1:9">
      <c r="A1192" s="71">
        <v>44629</v>
      </c>
      <c r="B1192" t="s">
        <v>191</v>
      </c>
      <c r="D1192" t="s">
        <v>2652</v>
      </c>
      <c r="G1192" t="s">
        <v>756</v>
      </c>
      <c r="H1192">
        <v>7872</v>
      </c>
      <c r="I1192" t="s">
        <v>1381</v>
      </c>
    </row>
    <row r="1193" spans="1:9">
      <c r="A1193" s="71">
        <v>44629</v>
      </c>
      <c r="B1193" t="s">
        <v>311</v>
      </c>
      <c r="D1193" t="s">
        <v>2653</v>
      </c>
      <c r="G1193" t="s">
        <v>756</v>
      </c>
      <c r="H1193">
        <v>7876</v>
      </c>
      <c r="I1193" t="s">
        <v>1381</v>
      </c>
    </row>
    <row r="1194" spans="1:9">
      <c r="A1194" s="71">
        <v>44629</v>
      </c>
      <c r="B1194" t="s">
        <v>163</v>
      </c>
      <c r="D1194" t="s">
        <v>2654</v>
      </c>
      <c r="G1194" t="s">
        <v>756</v>
      </c>
      <c r="H1194">
        <v>7820</v>
      </c>
      <c r="I1194" t="s">
        <v>1487</v>
      </c>
    </row>
    <row r="1195" spans="1:9">
      <c r="A1195" s="71">
        <v>44629</v>
      </c>
      <c r="B1195" t="s">
        <v>12</v>
      </c>
      <c r="D1195" t="s">
        <v>2655</v>
      </c>
      <c r="F1195" s="86">
        <v>2073</v>
      </c>
      <c r="G1195" t="s">
        <v>756</v>
      </c>
      <c r="H1195">
        <v>7819</v>
      </c>
      <c r="I1195" t="s">
        <v>1487</v>
      </c>
    </row>
    <row r="1196" spans="1:9">
      <c r="A1196" s="71">
        <v>44630</v>
      </c>
      <c r="B1196" t="s">
        <v>159</v>
      </c>
      <c r="D1196" t="s">
        <v>2656</v>
      </c>
      <c r="F1196" s="86">
        <v>8500</v>
      </c>
      <c r="G1196" t="s">
        <v>756</v>
      </c>
      <c r="H1196">
        <v>7927</v>
      </c>
      <c r="I1196" t="s">
        <v>1756</v>
      </c>
    </row>
    <row r="1197" spans="1:9">
      <c r="A1197" s="71">
        <v>44630</v>
      </c>
      <c r="B1197" t="s">
        <v>2657</v>
      </c>
      <c r="D1197" t="s">
        <v>2658</v>
      </c>
      <c r="G1197" t="s">
        <v>756</v>
      </c>
      <c r="H1197">
        <v>7926</v>
      </c>
      <c r="I1197" t="s">
        <v>1756</v>
      </c>
    </row>
    <row r="1198" spans="1:9">
      <c r="A1198" s="71">
        <v>44630</v>
      </c>
      <c r="B1198" t="s">
        <v>697</v>
      </c>
      <c r="D1198" t="s">
        <v>2659</v>
      </c>
      <c r="G1198" t="s">
        <v>756</v>
      </c>
      <c r="H1198">
        <v>7821</v>
      </c>
      <c r="I1198" t="s">
        <v>1598</v>
      </c>
    </row>
    <row r="1199" spans="1:9">
      <c r="A1199" s="71">
        <v>44631</v>
      </c>
      <c r="B1199" t="s">
        <v>656</v>
      </c>
      <c r="D1199" t="s">
        <v>2660</v>
      </c>
      <c r="G1199" t="s">
        <v>756</v>
      </c>
      <c r="H1199">
        <v>7928</v>
      </c>
      <c r="I1199" t="s">
        <v>1756</v>
      </c>
    </row>
    <row r="1200" spans="1:9">
      <c r="A1200" s="71">
        <v>44631</v>
      </c>
      <c r="B1200" t="s">
        <v>390</v>
      </c>
      <c r="D1200" t="s">
        <v>2661</v>
      </c>
      <c r="F1200" s="86">
        <v>5793</v>
      </c>
      <c r="G1200" t="s">
        <v>756</v>
      </c>
      <c r="H1200">
        <v>7822</v>
      </c>
      <c r="I1200" t="s">
        <v>1487</v>
      </c>
    </row>
    <row r="1201" spans="1:9">
      <c r="A1201" s="71">
        <v>44632</v>
      </c>
      <c r="B1201" t="s">
        <v>160</v>
      </c>
      <c r="D1201" t="s">
        <v>2614</v>
      </c>
      <c r="G1201" t="s">
        <v>756</v>
      </c>
      <c r="H1201">
        <v>7048</v>
      </c>
      <c r="I1201" t="s">
        <v>1381</v>
      </c>
    </row>
    <row r="1202" spans="1:9">
      <c r="A1202" s="71">
        <v>44634</v>
      </c>
      <c r="B1202" t="s">
        <v>169</v>
      </c>
      <c r="D1202" t="s">
        <v>2662</v>
      </c>
      <c r="G1202" t="s">
        <v>756</v>
      </c>
      <c r="H1202">
        <v>7883</v>
      </c>
      <c r="I1202" t="s">
        <v>1381</v>
      </c>
    </row>
    <row r="1203" spans="1:9">
      <c r="A1203" s="71">
        <v>44634</v>
      </c>
      <c r="B1203" t="s">
        <v>2663</v>
      </c>
      <c r="D1203" t="s">
        <v>2664</v>
      </c>
      <c r="F1203" s="86">
        <v>7443</v>
      </c>
      <c r="G1203" t="s">
        <v>756</v>
      </c>
      <c r="H1203">
        <v>7929</v>
      </c>
      <c r="I1203" t="s">
        <v>1756</v>
      </c>
    </row>
    <row r="1204" spans="1:9">
      <c r="A1204" s="71">
        <v>44634</v>
      </c>
      <c r="B1204" t="s">
        <v>716</v>
      </c>
      <c r="D1204" t="s">
        <v>2665</v>
      </c>
      <c r="G1204" t="s">
        <v>756</v>
      </c>
      <c r="H1204">
        <v>3031</v>
      </c>
      <c r="I1204" t="s">
        <v>1341</v>
      </c>
    </row>
    <row r="1205" spans="1:9">
      <c r="A1205" s="71">
        <v>44635</v>
      </c>
      <c r="B1205" t="s">
        <v>160</v>
      </c>
      <c r="D1205" t="s">
        <v>2614</v>
      </c>
      <c r="G1205" t="s">
        <v>756</v>
      </c>
      <c r="H1205">
        <v>7048</v>
      </c>
      <c r="I1205" t="s">
        <v>1756</v>
      </c>
    </row>
    <row r="1206" spans="1:9">
      <c r="A1206" s="71">
        <v>44636</v>
      </c>
      <c r="B1206" t="s">
        <v>2496</v>
      </c>
      <c r="D1206" t="s">
        <v>2666</v>
      </c>
      <c r="G1206" t="s">
        <v>756</v>
      </c>
      <c r="H1206">
        <v>7931</v>
      </c>
      <c r="I1206" t="s">
        <v>1756</v>
      </c>
    </row>
    <row r="1207" spans="1:9">
      <c r="A1207" s="71">
        <v>44636</v>
      </c>
      <c r="B1207" t="s">
        <v>313</v>
      </c>
      <c r="D1207" t="s">
        <v>2667</v>
      </c>
      <c r="F1207" s="86">
        <v>19527</v>
      </c>
      <c r="G1207" t="s">
        <v>756</v>
      </c>
      <c r="H1207">
        <v>7930</v>
      </c>
      <c r="I1207" t="s">
        <v>1756</v>
      </c>
    </row>
    <row r="1208" spans="1:9">
      <c r="A1208" s="71">
        <v>44636</v>
      </c>
      <c r="B1208" t="s">
        <v>390</v>
      </c>
      <c r="D1208" t="s">
        <v>2668</v>
      </c>
      <c r="F1208" s="86">
        <v>5764</v>
      </c>
      <c r="G1208" t="s">
        <v>756</v>
      </c>
      <c r="H1208">
        <v>7368</v>
      </c>
      <c r="I1208" t="s">
        <v>473</v>
      </c>
    </row>
    <row r="1209" spans="1:9">
      <c r="A1209" s="71">
        <v>44637</v>
      </c>
      <c r="B1209" t="s">
        <v>334</v>
      </c>
      <c r="D1209" t="s">
        <v>2669</v>
      </c>
      <c r="F1209" s="86">
        <v>18537</v>
      </c>
      <c r="G1209" t="s">
        <v>756</v>
      </c>
      <c r="H1209">
        <v>7933</v>
      </c>
      <c r="I1209" t="s">
        <v>1756</v>
      </c>
    </row>
    <row r="1210" spans="1:9">
      <c r="A1210" s="71">
        <v>44637</v>
      </c>
      <c r="B1210" t="s">
        <v>313</v>
      </c>
      <c r="D1210" t="s">
        <v>2670</v>
      </c>
      <c r="F1210" s="86">
        <v>19527</v>
      </c>
      <c r="G1210" t="s">
        <v>756</v>
      </c>
      <c r="H1210">
        <v>7932</v>
      </c>
      <c r="I1210" t="s">
        <v>1756</v>
      </c>
    </row>
    <row r="1211" spans="1:9">
      <c r="A1211" s="71">
        <v>44637</v>
      </c>
      <c r="B1211" t="s">
        <v>687</v>
      </c>
      <c r="D1211" t="s">
        <v>2671</v>
      </c>
      <c r="F1211" s="86">
        <v>8522</v>
      </c>
      <c r="G1211" t="s">
        <v>756</v>
      </c>
      <c r="H1211">
        <v>7898</v>
      </c>
      <c r="I1211" t="s">
        <v>1381</v>
      </c>
    </row>
    <row r="1212" spans="1:9">
      <c r="A1212" s="71">
        <v>44638</v>
      </c>
      <c r="B1212" t="s">
        <v>697</v>
      </c>
      <c r="D1212" t="s">
        <v>2672</v>
      </c>
      <c r="G1212" t="s">
        <v>756</v>
      </c>
      <c r="H1212">
        <v>7827</v>
      </c>
      <c r="I1212" t="s">
        <v>1487</v>
      </c>
    </row>
    <row r="1213" spans="1:9">
      <c r="A1213" s="71">
        <v>44639</v>
      </c>
      <c r="B1213" t="s">
        <v>351</v>
      </c>
      <c r="D1213" t="s">
        <v>2673</v>
      </c>
      <c r="F1213" s="86">
        <v>5300</v>
      </c>
      <c r="G1213" t="s">
        <v>756</v>
      </c>
      <c r="H1213">
        <v>7355</v>
      </c>
      <c r="I1213" t="s">
        <v>473</v>
      </c>
    </row>
    <row r="1214" spans="1:9">
      <c r="A1214" s="71">
        <v>44641</v>
      </c>
      <c r="B1214" t="s">
        <v>385</v>
      </c>
      <c r="D1214" t="s">
        <v>2674</v>
      </c>
      <c r="G1214" t="s">
        <v>756</v>
      </c>
      <c r="H1214">
        <v>7954</v>
      </c>
      <c r="I1214" t="s">
        <v>1381</v>
      </c>
    </row>
    <row r="1215" spans="1:9">
      <c r="A1215" s="71">
        <v>44642</v>
      </c>
      <c r="B1215" t="s">
        <v>159</v>
      </c>
      <c r="D1215" t="s">
        <v>2675</v>
      </c>
      <c r="F1215" s="86">
        <v>8541</v>
      </c>
      <c r="G1215" t="s">
        <v>756</v>
      </c>
      <c r="H1215">
        <v>7955</v>
      </c>
      <c r="I1215" t="s">
        <v>1381</v>
      </c>
    </row>
    <row r="1216" spans="1:9">
      <c r="A1216" s="71">
        <v>44642</v>
      </c>
      <c r="B1216" t="s">
        <v>183</v>
      </c>
      <c r="D1216" t="s">
        <v>2676</v>
      </c>
      <c r="F1216" s="86">
        <v>39920</v>
      </c>
      <c r="G1216" t="s">
        <v>756</v>
      </c>
      <c r="H1216">
        <v>7940</v>
      </c>
      <c r="I1216" t="s">
        <v>1756</v>
      </c>
    </row>
    <row r="1217" spans="1:9">
      <c r="A1217" s="71">
        <v>44642</v>
      </c>
      <c r="B1217" t="s">
        <v>330</v>
      </c>
      <c r="D1217" t="s">
        <v>2677</v>
      </c>
      <c r="F1217" s="86">
        <v>5907</v>
      </c>
      <c r="G1217" t="s">
        <v>756</v>
      </c>
      <c r="H1217">
        <v>7935</v>
      </c>
      <c r="I1217" t="s">
        <v>1756</v>
      </c>
    </row>
    <row r="1218" spans="1:9">
      <c r="A1218" s="71">
        <v>44642</v>
      </c>
      <c r="B1218" t="s">
        <v>712</v>
      </c>
      <c r="D1218" t="s">
        <v>2678</v>
      </c>
      <c r="F1218" s="86">
        <v>13061</v>
      </c>
      <c r="G1218" t="s">
        <v>756</v>
      </c>
      <c r="H1218">
        <v>7934</v>
      </c>
      <c r="I1218" t="s">
        <v>1756</v>
      </c>
    </row>
    <row r="1219" spans="1:9">
      <c r="A1219" s="71">
        <v>44642</v>
      </c>
      <c r="B1219" t="s">
        <v>369</v>
      </c>
      <c r="D1219" t="s">
        <v>2679</v>
      </c>
      <c r="G1219" t="s">
        <v>756</v>
      </c>
      <c r="H1219">
        <v>7830</v>
      </c>
      <c r="I1219" t="s">
        <v>1487</v>
      </c>
    </row>
    <row r="1220" spans="1:9">
      <c r="A1220" s="71">
        <v>44642</v>
      </c>
      <c r="B1220" t="s">
        <v>313</v>
      </c>
      <c r="D1220" t="s">
        <v>2680</v>
      </c>
      <c r="F1220" s="86">
        <v>19532</v>
      </c>
      <c r="G1220" t="s">
        <v>756</v>
      </c>
      <c r="H1220">
        <v>7828</v>
      </c>
      <c r="I1220" t="s">
        <v>1487</v>
      </c>
    </row>
    <row r="1221" spans="1:9">
      <c r="A1221" s="71">
        <v>44643</v>
      </c>
      <c r="B1221" t="s">
        <v>183</v>
      </c>
      <c r="D1221" t="s">
        <v>2681</v>
      </c>
      <c r="G1221" t="s">
        <v>756</v>
      </c>
      <c r="H1221">
        <v>7960</v>
      </c>
      <c r="I1221" t="s">
        <v>1381</v>
      </c>
    </row>
    <row r="1222" spans="1:9">
      <c r="A1222" s="71">
        <v>44643</v>
      </c>
      <c r="B1222" t="s">
        <v>687</v>
      </c>
      <c r="D1222" t="s">
        <v>2682</v>
      </c>
      <c r="F1222" s="86">
        <v>8549</v>
      </c>
      <c r="G1222" t="s">
        <v>756</v>
      </c>
      <c r="H1222">
        <v>7937</v>
      </c>
      <c r="I1222" t="s">
        <v>1756</v>
      </c>
    </row>
    <row r="1223" spans="1:9">
      <c r="A1223" s="71">
        <v>44643</v>
      </c>
      <c r="B1223" t="s">
        <v>176</v>
      </c>
      <c r="D1223" t="s">
        <v>2683</v>
      </c>
      <c r="F1223" s="86">
        <v>3915</v>
      </c>
      <c r="G1223" t="s">
        <v>756</v>
      </c>
      <c r="H1223">
        <v>7936</v>
      </c>
      <c r="I1223" t="s">
        <v>1756</v>
      </c>
    </row>
    <row r="1224" spans="1:9">
      <c r="A1224" s="71">
        <v>44643</v>
      </c>
      <c r="B1224" t="s">
        <v>313</v>
      </c>
      <c r="D1224" t="s">
        <v>2684</v>
      </c>
      <c r="G1224" t="s">
        <v>756</v>
      </c>
      <c r="H1224">
        <v>7831</v>
      </c>
      <c r="I1224" t="s">
        <v>1487</v>
      </c>
    </row>
    <row r="1225" spans="1:9">
      <c r="A1225" s="71">
        <v>44643</v>
      </c>
      <c r="B1225" t="s">
        <v>188</v>
      </c>
      <c r="D1225" t="s">
        <v>2685</v>
      </c>
      <c r="F1225" s="86">
        <v>8296</v>
      </c>
      <c r="G1225" t="s">
        <v>756</v>
      </c>
      <c r="H1225">
        <v>3038</v>
      </c>
      <c r="I1225" t="s">
        <v>1341</v>
      </c>
    </row>
    <row r="1226" spans="1:9">
      <c r="A1226" s="71">
        <v>44644</v>
      </c>
      <c r="B1226" t="s">
        <v>336</v>
      </c>
      <c r="D1226" t="s">
        <v>2686</v>
      </c>
      <c r="F1226" s="86">
        <v>8938</v>
      </c>
      <c r="G1226" t="s">
        <v>756</v>
      </c>
      <c r="H1226">
        <v>7938</v>
      </c>
      <c r="I1226" t="s">
        <v>1756</v>
      </c>
    </row>
    <row r="1227" spans="1:9">
      <c r="A1227" s="71">
        <v>44644</v>
      </c>
      <c r="B1227" t="s">
        <v>800</v>
      </c>
      <c r="D1227" t="s">
        <v>2687</v>
      </c>
      <c r="F1227" s="86">
        <v>6202</v>
      </c>
      <c r="G1227" t="s">
        <v>756</v>
      </c>
      <c r="H1227">
        <v>7962</v>
      </c>
      <c r="I1227" t="s">
        <v>1381</v>
      </c>
    </row>
    <row r="1228" spans="1:9">
      <c r="A1228" s="71">
        <v>44644</v>
      </c>
      <c r="B1228" t="s">
        <v>159</v>
      </c>
      <c r="D1228" t="s">
        <v>2688</v>
      </c>
      <c r="G1228" t="s">
        <v>756</v>
      </c>
      <c r="H1228">
        <v>7961</v>
      </c>
      <c r="I1228" t="s">
        <v>1381</v>
      </c>
    </row>
    <row r="1229" spans="1:9">
      <c r="A1229" s="71">
        <v>44644</v>
      </c>
      <c r="B1229" t="s">
        <v>383</v>
      </c>
      <c r="D1229" t="s">
        <v>2689</v>
      </c>
      <c r="F1229" s="86">
        <v>1378</v>
      </c>
      <c r="G1229" t="s">
        <v>756</v>
      </c>
      <c r="H1229">
        <v>7939</v>
      </c>
      <c r="I1229" t="s">
        <v>1756</v>
      </c>
    </row>
    <row r="1230" spans="1:9">
      <c r="A1230" s="71">
        <v>44645</v>
      </c>
      <c r="B1230" t="s">
        <v>39</v>
      </c>
      <c r="D1230" t="s">
        <v>2690</v>
      </c>
      <c r="G1230" t="s">
        <v>756</v>
      </c>
      <c r="H1230">
        <v>7833</v>
      </c>
      <c r="I1230" t="s">
        <v>1487</v>
      </c>
    </row>
    <row r="1231" spans="1:9">
      <c r="A1231" s="71">
        <v>44646</v>
      </c>
      <c r="B1231" t="s">
        <v>39</v>
      </c>
      <c r="D1231" t="s">
        <v>2691</v>
      </c>
      <c r="G1231" t="s">
        <v>756</v>
      </c>
      <c r="H1231">
        <v>7834</v>
      </c>
      <c r="I1231" t="s">
        <v>1487</v>
      </c>
    </row>
    <row r="1232" spans="1:9">
      <c r="A1232" s="71">
        <v>44648</v>
      </c>
      <c r="B1232" t="s">
        <v>336</v>
      </c>
      <c r="D1232" t="s">
        <v>2692</v>
      </c>
      <c r="F1232" s="86">
        <v>8942</v>
      </c>
      <c r="G1232" t="s">
        <v>756</v>
      </c>
      <c r="H1232">
        <v>7963</v>
      </c>
      <c r="I1232" t="s">
        <v>1381</v>
      </c>
    </row>
    <row r="1233" spans="1:9">
      <c r="A1233" s="71">
        <v>44648</v>
      </c>
      <c r="B1233" t="s">
        <v>336</v>
      </c>
      <c r="D1233" t="s">
        <v>2693</v>
      </c>
      <c r="F1233" s="86">
        <v>8942</v>
      </c>
      <c r="G1233" t="s">
        <v>756</v>
      </c>
      <c r="H1233">
        <v>7941</v>
      </c>
      <c r="I1233" t="s">
        <v>1756</v>
      </c>
    </row>
    <row r="1234" spans="1:9">
      <c r="A1234" s="71">
        <v>44648</v>
      </c>
      <c r="B1234" t="s">
        <v>159</v>
      </c>
      <c r="D1234" t="s">
        <v>2694</v>
      </c>
      <c r="F1234" s="86">
        <v>8544</v>
      </c>
      <c r="G1234" t="s">
        <v>756</v>
      </c>
      <c r="H1234">
        <v>7942</v>
      </c>
      <c r="I1234" t="s">
        <v>1756</v>
      </c>
    </row>
    <row r="1235" spans="1:9">
      <c r="A1235" s="71">
        <v>44648</v>
      </c>
      <c r="B1235" t="s">
        <v>48</v>
      </c>
      <c r="D1235" t="s">
        <v>2695</v>
      </c>
      <c r="G1235" t="s">
        <v>756</v>
      </c>
      <c r="H1235">
        <v>3039</v>
      </c>
      <c r="I1235" t="s">
        <v>1341</v>
      </c>
    </row>
    <row r="1236" spans="1:9">
      <c r="A1236" s="71">
        <v>44649</v>
      </c>
      <c r="B1236" t="s">
        <v>159</v>
      </c>
      <c r="D1236" t="s">
        <v>2696</v>
      </c>
      <c r="F1236" s="86">
        <v>8546</v>
      </c>
      <c r="G1236" t="s">
        <v>756</v>
      </c>
      <c r="H1236">
        <v>7943</v>
      </c>
      <c r="I1236" t="s">
        <v>1756</v>
      </c>
    </row>
    <row r="1237" spans="1:9">
      <c r="A1237" s="71">
        <v>44651</v>
      </c>
      <c r="B1237" t="s">
        <v>1757</v>
      </c>
      <c r="D1237" t="s">
        <v>2697</v>
      </c>
      <c r="G1237" t="s">
        <v>756</v>
      </c>
      <c r="H1237">
        <v>7947</v>
      </c>
      <c r="I1237" t="s">
        <v>1756</v>
      </c>
    </row>
    <row r="1238" spans="1:9">
      <c r="A1238" s="71">
        <v>44652</v>
      </c>
      <c r="B1238" t="s">
        <v>42</v>
      </c>
      <c r="D1238" t="s">
        <v>2698</v>
      </c>
      <c r="F1238" s="86">
        <v>90959</v>
      </c>
      <c r="G1238" t="s">
        <v>756</v>
      </c>
      <c r="H1238">
        <v>7981</v>
      </c>
      <c r="I1238" t="s">
        <v>1381</v>
      </c>
    </row>
    <row r="1239" spans="1:9">
      <c r="A1239" s="71">
        <v>44652</v>
      </c>
      <c r="B1239" t="s">
        <v>330</v>
      </c>
      <c r="D1239" t="s">
        <v>2699</v>
      </c>
      <c r="F1239" s="86">
        <v>5941</v>
      </c>
      <c r="G1239" t="s">
        <v>756</v>
      </c>
      <c r="H1239">
        <v>7948</v>
      </c>
      <c r="I1239" t="s">
        <v>1756</v>
      </c>
    </row>
    <row r="1240" spans="1:9">
      <c r="A1240" s="71">
        <v>44655</v>
      </c>
      <c r="B1240" t="s">
        <v>389</v>
      </c>
      <c r="D1240" t="s">
        <v>2700</v>
      </c>
      <c r="F1240" s="86">
        <v>4320</v>
      </c>
      <c r="G1240" t="s">
        <v>756</v>
      </c>
      <c r="H1240">
        <v>7837</v>
      </c>
      <c r="I1240" t="s">
        <v>1487</v>
      </c>
    </row>
    <row r="1241" spans="1:9">
      <c r="A1241" s="71">
        <v>44656</v>
      </c>
      <c r="B1241" t="s">
        <v>388</v>
      </c>
      <c r="D1241" t="s">
        <v>2701</v>
      </c>
      <c r="F1241" s="86">
        <v>10315</v>
      </c>
      <c r="G1241" t="s">
        <v>756</v>
      </c>
      <c r="H1241">
        <v>8152</v>
      </c>
      <c r="I1241" t="s">
        <v>1756</v>
      </c>
    </row>
    <row r="1242" spans="1:9">
      <c r="A1242" s="71">
        <v>44656</v>
      </c>
      <c r="B1242" t="s">
        <v>390</v>
      </c>
      <c r="D1242" t="s">
        <v>2702</v>
      </c>
      <c r="F1242" s="86">
        <v>5852</v>
      </c>
      <c r="G1242" t="s">
        <v>756</v>
      </c>
      <c r="H1242">
        <v>8151</v>
      </c>
      <c r="I1242" t="s">
        <v>1756</v>
      </c>
    </row>
    <row r="1243" spans="1:9">
      <c r="A1243" s="71">
        <v>44656</v>
      </c>
      <c r="B1243" t="s">
        <v>330</v>
      </c>
      <c r="D1243" t="s">
        <v>2703</v>
      </c>
      <c r="F1243" s="86">
        <v>5951</v>
      </c>
      <c r="G1243" t="s">
        <v>756</v>
      </c>
      <c r="H1243">
        <v>7987</v>
      </c>
      <c r="I1243" t="s">
        <v>1381</v>
      </c>
    </row>
    <row r="1244" spans="1:9">
      <c r="A1244" s="71">
        <v>44656</v>
      </c>
      <c r="B1244" t="s">
        <v>351</v>
      </c>
      <c r="D1244" t="s">
        <v>2704</v>
      </c>
      <c r="F1244" s="86">
        <v>5917</v>
      </c>
      <c r="G1244" t="s">
        <v>756</v>
      </c>
      <c r="H1244">
        <v>7839</v>
      </c>
      <c r="I1244" t="s">
        <v>1487</v>
      </c>
    </row>
    <row r="1245" spans="1:9">
      <c r="A1245" s="71">
        <v>44656</v>
      </c>
      <c r="B1245" t="s">
        <v>163</v>
      </c>
      <c r="D1245" t="s">
        <v>2705</v>
      </c>
      <c r="G1245" t="s">
        <v>756</v>
      </c>
      <c r="H1245">
        <v>7838</v>
      </c>
      <c r="I1245" t="s">
        <v>1487</v>
      </c>
    </row>
    <row r="1246" spans="1:9">
      <c r="A1246" s="71">
        <v>44657</v>
      </c>
      <c r="B1246" t="s">
        <v>690</v>
      </c>
      <c r="D1246" t="s">
        <v>2706</v>
      </c>
      <c r="G1246" t="s">
        <v>756</v>
      </c>
      <c r="H1246">
        <v>8552</v>
      </c>
      <c r="I1246" t="s">
        <v>1381</v>
      </c>
    </row>
    <row r="1247" spans="1:9">
      <c r="A1247" s="71">
        <v>44657</v>
      </c>
      <c r="B1247" t="s">
        <v>346</v>
      </c>
      <c r="D1247" t="s">
        <v>2707</v>
      </c>
      <c r="F1247" s="86">
        <v>7295</v>
      </c>
      <c r="G1247" t="s">
        <v>756</v>
      </c>
      <c r="H1247">
        <v>8153</v>
      </c>
      <c r="I1247" t="s">
        <v>1756</v>
      </c>
    </row>
    <row r="1248" spans="1:9">
      <c r="A1248" s="71">
        <v>44657</v>
      </c>
      <c r="B1248" t="s">
        <v>690</v>
      </c>
      <c r="D1248" t="s">
        <v>2708</v>
      </c>
      <c r="F1248" s="86">
        <v>4318</v>
      </c>
      <c r="G1248" t="s">
        <v>756</v>
      </c>
      <c r="H1248">
        <v>7991</v>
      </c>
      <c r="I1248" t="s">
        <v>1381</v>
      </c>
    </row>
    <row r="1249" spans="1:9">
      <c r="A1249" s="71">
        <v>44657</v>
      </c>
      <c r="B1249" t="s">
        <v>163</v>
      </c>
      <c r="D1249" t="s">
        <v>2709</v>
      </c>
      <c r="G1249" t="s">
        <v>756</v>
      </c>
      <c r="H1249">
        <v>7840</v>
      </c>
      <c r="I1249" t="s">
        <v>1487</v>
      </c>
    </row>
    <row r="1250" spans="1:9">
      <c r="A1250" s="71">
        <v>44658</v>
      </c>
      <c r="B1250" t="s">
        <v>230</v>
      </c>
      <c r="D1250" t="s">
        <v>2710</v>
      </c>
      <c r="F1250" s="86">
        <v>8461</v>
      </c>
      <c r="G1250" t="s">
        <v>756</v>
      </c>
      <c r="H1250">
        <v>8155</v>
      </c>
      <c r="I1250" t="s">
        <v>1756</v>
      </c>
    </row>
    <row r="1251" spans="1:9">
      <c r="A1251" s="71">
        <v>44661</v>
      </c>
      <c r="B1251" t="s">
        <v>160</v>
      </c>
      <c r="D1251" t="s">
        <v>2711</v>
      </c>
      <c r="F1251" s="86">
        <v>8307</v>
      </c>
      <c r="G1251" t="s">
        <v>756</v>
      </c>
      <c r="H1251">
        <v>8307</v>
      </c>
      <c r="I1251" t="s">
        <v>1487</v>
      </c>
    </row>
    <row r="1252" spans="1:9">
      <c r="A1252" s="71">
        <v>44661</v>
      </c>
      <c r="B1252" t="s">
        <v>185</v>
      </c>
      <c r="D1252" t="s">
        <v>2712</v>
      </c>
      <c r="G1252" t="s">
        <v>756</v>
      </c>
      <c r="H1252">
        <v>7842</v>
      </c>
      <c r="I1252" t="s">
        <v>1487</v>
      </c>
    </row>
    <row r="1253" spans="1:9">
      <c r="A1253" s="71">
        <v>44662</v>
      </c>
      <c r="B1253" t="s">
        <v>687</v>
      </c>
      <c r="D1253" t="s">
        <v>2713</v>
      </c>
      <c r="F1253" s="86">
        <v>8606</v>
      </c>
      <c r="G1253" t="s">
        <v>756</v>
      </c>
      <c r="H1253">
        <v>8156</v>
      </c>
      <c r="I1253" t="s">
        <v>1756</v>
      </c>
    </row>
    <row r="1254" spans="1:9">
      <c r="A1254" s="71">
        <v>44662</v>
      </c>
      <c r="B1254" t="s">
        <v>689</v>
      </c>
      <c r="D1254" t="s">
        <v>2714</v>
      </c>
      <c r="G1254" t="s">
        <v>756</v>
      </c>
      <c r="H1254">
        <v>7843</v>
      </c>
      <c r="I1254" t="s">
        <v>1487</v>
      </c>
    </row>
    <row r="1255" spans="1:9">
      <c r="A1255" s="71">
        <v>44663</v>
      </c>
      <c r="B1255" t="s">
        <v>32</v>
      </c>
      <c r="D1255" t="s">
        <v>2715</v>
      </c>
      <c r="F1255" s="86">
        <v>5140</v>
      </c>
      <c r="G1255" t="s">
        <v>756</v>
      </c>
      <c r="H1255">
        <v>8157</v>
      </c>
      <c r="I1255" t="s">
        <v>1756</v>
      </c>
    </row>
    <row r="1256" spans="1:9">
      <c r="A1256" s="71">
        <v>44663</v>
      </c>
      <c r="B1256" t="s">
        <v>150</v>
      </c>
      <c r="D1256" t="s">
        <v>2716</v>
      </c>
      <c r="G1256" t="s">
        <v>756</v>
      </c>
      <c r="I1256" t="s">
        <v>1381</v>
      </c>
    </row>
    <row r="1257" spans="1:9">
      <c r="A1257" s="71">
        <v>44663</v>
      </c>
      <c r="B1257" t="s">
        <v>163</v>
      </c>
      <c r="D1257" t="s">
        <v>2717</v>
      </c>
      <c r="G1257" t="s">
        <v>756</v>
      </c>
      <c r="H1257">
        <v>7844</v>
      </c>
      <c r="I1257" t="s">
        <v>1487</v>
      </c>
    </row>
    <row r="1258" spans="1:9">
      <c r="A1258" s="71">
        <v>44664</v>
      </c>
      <c r="B1258" t="s">
        <v>385</v>
      </c>
      <c r="D1258" t="s">
        <v>2718</v>
      </c>
      <c r="F1258" s="86">
        <v>1485</v>
      </c>
      <c r="G1258" t="s">
        <v>756</v>
      </c>
      <c r="H1258">
        <v>8010</v>
      </c>
      <c r="I1258" t="s">
        <v>1381</v>
      </c>
    </row>
    <row r="1259" spans="1:9">
      <c r="A1259" s="71">
        <v>44664</v>
      </c>
      <c r="B1259" t="s">
        <v>390</v>
      </c>
      <c r="D1259" t="s">
        <v>2719</v>
      </c>
      <c r="F1259" s="86">
        <v>5890</v>
      </c>
      <c r="G1259" t="s">
        <v>756</v>
      </c>
      <c r="H1259">
        <v>8009</v>
      </c>
      <c r="I1259" t="s">
        <v>1381</v>
      </c>
    </row>
    <row r="1260" spans="1:9">
      <c r="A1260" s="71">
        <v>44664</v>
      </c>
      <c r="B1260" t="s">
        <v>19</v>
      </c>
      <c r="D1260" t="s">
        <v>2720</v>
      </c>
      <c r="F1260" s="86">
        <v>5358</v>
      </c>
      <c r="G1260" t="s">
        <v>756</v>
      </c>
      <c r="H1260">
        <v>8008</v>
      </c>
      <c r="I1260" t="s">
        <v>1381</v>
      </c>
    </row>
    <row r="1261" spans="1:9">
      <c r="A1261" s="71">
        <v>44664</v>
      </c>
      <c r="B1261" t="s">
        <v>318</v>
      </c>
      <c r="D1261" t="s">
        <v>2721</v>
      </c>
      <c r="G1261" t="s">
        <v>756</v>
      </c>
      <c r="H1261">
        <v>7845</v>
      </c>
      <c r="I1261" t="s">
        <v>1487</v>
      </c>
    </row>
    <row r="1262" spans="1:9">
      <c r="A1262" s="71">
        <v>44669</v>
      </c>
      <c r="B1262" t="s">
        <v>2657</v>
      </c>
      <c r="D1262" t="s">
        <v>2722</v>
      </c>
      <c r="G1262" t="s">
        <v>756</v>
      </c>
      <c r="H1262">
        <v>8159</v>
      </c>
      <c r="I1262" t="s">
        <v>1756</v>
      </c>
    </row>
    <row r="1263" spans="1:9">
      <c r="A1263" s="71">
        <v>44669</v>
      </c>
      <c r="B1263" t="s">
        <v>185</v>
      </c>
      <c r="D1263" t="s">
        <v>2723</v>
      </c>
      <c r="G1263" t="s">
        <v>756</v>
      </c>
      <c r="H1263">
        <v>7846</v>
      </c>
      <c r="I1263" t="s">
        <v>1487</v>
      </c>
    </row>
    <row r="1264" spans="1:9">
      <c r="A1264" s="71">
        <v>44670</v>
      </c>
      <c r="B1264" t="s">
        <v>342</v>
      </c>
      <c r="D1264" t="s">
        <v>2724</v>
      </c>
      <c r="G1264" t="s">
        <v>756</v>
      </c>
      <c r="H1264">
        <v>8202</v>
      </c>
      <c r="I1264" t="s">
        <v>1339</v>
      </c>
    </row>
    <row r="1265" spans="1:9">
      <c r="A1265" s="71">
        <v>44670</v>
      </c>
      <c r="B1265" t="s">
        <v>369</v>
      </c>
      <c r="D1265" t="s">
        <v>2725</v>
      </c>
      <c r="F1265" s="86">
        <v>9935</v>
      </c>
      <c r="G1265" t="s">
        <v>756</v>
      </c>
      <c r="H1265">
        <v>8316</v>
      </c>
      <c r="I1265" t="s">
        <v>1598</v>
      </c>
    </row>
    <row r="1266" spans="1:9">
      <c r="A1266" s="71">
        <v>44670</v>
      </c>
      <c r="B1266" t="s">
        <v>346</v>
      </c>
      <c r="D1266" t="s">
        <v>2726</v>
      </c>
      <c r="G1266" t="s">
        <v>756</v>
      </c>
      <c r="H1266">
        <v>8160</v>
      </c>
      <c r="I1266" t="s">
        <v>1756</v>
      </c>
    </row>
    <row r="1267" spans="1:9">
      <c r="A1267" s="71">
        <v>44670</v>
      </c>
      <c r="B1267" t="s">
        <v>2567</v>
      </c>
      <c r="D1267" t="s">
        <v>2727</v>
      </c>
      <c r="G1267" t="s">
        <v>756</v>
      </c>
      <c r="H1267">
        <v>7847</v>
      </c>
      <c r="I1267" t="s">
        <v>1487</v>
      </c>
    </row>
    <row r="1268" spans="1:9">
      <c r="A1268" s="71">
        <v>44671</v>
      </c>
      <c r="B1268" t="s">
        <v>710</v>
      </c>
      <c r="D1268" t="s">
        <v>2728</v>
      </c>
      <c r="F1268" s="86">
        <v>17070</v>
      </c>
      <c r="G1268" t="s">
        <v>756</v>
      </c>
      <c r="H1268">
        <v>8203</v>
      </c>
      <c r="I1268" t="s">
        <v>1339</v>
      </c>
    </row>
    <row r="1269" spans="1:9">
      <c r="A1269" s="71">
        <v>44671</v>
      </c>
      <c r="B1269" t="s">
        <v>359</v>
      </c>
      <c r="D1269" t="s">
        <v>2729</v>
      </c>
      <c r="G1269" t="s">
        <v>756</v>
      </c>
      <c r="H1269">
        <v>7848</v>
      </c>
      <c r="I1269" t="s">
        <v>1487</v>
      </c>
    </row>
    <row r="1270" spans="1:9">
      <c r="A1270" s="71">
        <v>44672</v>
      </c>
      <c r="B1270" t="s">
        <v>157</v>
      </c>
      <c r="D1270" t="s">
        <v>2730</v>
      </c>
      <c r="F1270" s="86">
        <v>12378</v>
      </c>
      <c r="G1270" t="s">
        <v>756</v>
      </c>
      <c r="H1270">
        <v>8260</v>
      </c>
      <c r="I1270" t="s">
        <v>1381</v>
      </c>
    </row>
    <row r="1271" spans="1:9">
      <c r="A1271" s="71">
        <v>44672</v>
      </c>
      <c r="B1271" t="s">
        <v>346</v>
      </c>
      <c r="D1271" t="s">
        <v>2731</v>
      </c>
      <c r="F1271" s="86">
        <v>7302</v>
      </c>
      <c r="G1271" t="s">
        <v>756</v>
      </c>
      <c r="H1271">
        <v>8102</v>
      </c>
      <c r="I1271" t="s">
        <v>1756</v>
      </c>
    </row>
    <row r="1272" spans="1:9">
      <c r="A1272" s="71">
        <v>44672</v>
      </c>
      <c r="B1272" t="s">
        <v>2732</v>
      </c>
      <c r="D1272" t="s">
        <v>2733</v>
      </c>
      <c r="F1272" s="86">
        <v>333556</v>
      </c>
      <c r="G1272" t="s">
        <v>756</v>
      </c>
      <c r="H1272">
        <v>7849</v>
      </c>
      <c r="I1272" t="s">
        <v>1339</v>
      </c>
    </row>
    <row r="1273" spans="1:9">
      <c r="A1273" s="71">
        <v>44673</v>
      </c>
      <c r="B1273" t="s">
        <v>180</v>
      </c>
      <c r="D1273" t="s">
        <v>2734</v>
      </c>
      <c r="F1273" s="86">
        <v>4604</v>
      </c>
      <c r="G1273" t="s">
        <v>756</v>
      </c>
      <c r="H1273">
        <v>8162</v>
      </c>
      <c r="I1273" t="s">
        <v>1756</v>
      </c>
    </row>
    <row r="1274" spans="1:9">
      <c r="A1274" s="71">
        <v>44675</v>
      </c>
      <c r="B1274" t="s">
        <v>365</v>
      </c>
      <c r="D1274" t="s">
        <v>2735</v>
      </c>
      <c r="G1274" t="s">
        <v>756</v>
      </c>
      <c r="H1274">
        <v>8214</v>
      </c>
      <c r="I1274" t="s">
        <v>1589</v>
      </c>
    </row>
    <row r="1275" spans="1:9">
      <c r="A1275" s="71">
        <v>44676</v>
      </c>
      <c r="B1275" t="s">
        <v>691</v>
      </c>
      <c r="D1275" t="s">
        <v>2736</v>
      </c>
      <c r="F1275" s="86">
        <v>4551</v>
      </c>
      <c r="G1275" t="s">
        <v>756</v>
      </c>
      <c r="H1275">
        <v>8264</v>
      </c>
      <c r="I1275" t="s">
        <v>1381</v>
      </c>
    </row>
    <row r="1276" spans="1:9">
      <c r="A1276" s="71">
        <v>44676</v>
      </c>
      <c r="B1276" t="s">
        <v>162</v>
      </c>
      <c r="D1276" t="s">
        <v>2737</v>
      </c>
      <c r="G1276" t="s">
        <v>756</v>
      </c>
      <c r="H1276">
        <v>8301</v>
      </c>
      <c r="I1276" t="s">
        <v>1487</v>
      </c>
    </row>
    <row r="1277" spans="1:9">
      <c r="A1277" s="71">
        <v>44676</v>
      </c>
      <c r="B1277" t="s">
        <v>2657</v>
      </c>
      <c r="D1277" t="s">
        <v>2738</v>
      </c>
      <c r="G1277" t="s">
        <v>756</v>
      </c>
      <c r="H1277">
        <v>8164</v>
      </c>
      <c r="I1277" t="s">
        <v>1756</v>
      </c>
    </row>
    <row r="1278" spans="1:9">
      <c r="A1278" s="71">
        <v>44676</v>
      </c>
      <c r="B1278" t="s">
        <v>687</v>
      </c>
      <c r="D1278" t="s">
        <v>2739</v>
      </c>
      <c r="F1278" s="86">
        <v>8656</v>
      </c>
      <c r="G1278" t="s">
        <v>756</v>
      </c>
      <c r="H1278">
        <v>8163</v>
      </c>
      <c r="I1278" t="s">
        <v>1756</v>
      </c>
    </row>
    <row r="1279" spans="1:9">
      <c r="A1279" s="71">
        <v>44677</v>
      </c>
      <c r="B1279" t="s">
        <v>385</v>
      </c>
      <c r="F1279" s="86">
        <v>1491</v>
      </c>
      <c r="G1279" t="s">
        <v>756</v>
      </c>
      <c r="H1279">
        <v>8166.1</v>
      </c>
      <c r="I1279" t="s">
        <v>1756</v>
      </c>
    </row>
    <row r="1280" spans="1:9">
      <c r="A1280" s="71">
        <v>44677</v>
      </c>
      <c r="B1280" t="s">
        <v>385</v>
      </c>
      <c r="D1280" t="s">
        <v>2740</v>
      </c>
      <c r="F1280" s="86">
        <v>1491</v>
      </c>
      <c r="G1280" t="s">
        <v>756</v>
      </c>
      <c r="H1280">
        <v>8166</v>
      </c>
      <c r="I1280" t="s">
        <v>1756</v>
      </c>
    </row>
    <row r="1281" spans="1:9">
      <c r="A1281" s="71">
        <v>44677</v>
      </c>
      <c r="B1281" t="s">
        <v>180</v>
      </c>
      <c r="D1281" t="s">
        <v>2741</v>
      </c>
      <c r="F1281" s="86">
        <v>4604</v>
      </c>
      <c r="G1281" t="s">
        <v>756</v>
      </c>
      <c r="H1281">
        <v>8165</v>
      </c>
      <c r="I1281" t="s">
        <v>1756</v>
      </c>
    </row>
    <row r="1282" spans="1:9">
      <c r="A1282" s="71">
        <v>44677</v>
      </c>
      <c r="B1282" t="s">
        <v>368</v>
      </c>
      <c r="D1282" t="s">
        <v>2742</v>
      </c>
      <c r="F1282" s="86">
        <v>2062</v>
      </c>
      <c r="G1282" t="s">
        <v>756</v>
      </c>
      <c r="H1282">
        <v>8302</v>
      </c>
      <c r="I1282" t="s">
        <v>1487</v>
      </c>
    </row>
    <row r="1283" spans="1:9">
      <c r="A1283" s="71">
        <v>44678</v>
      </c>
      <c r="B1283" t="s">
        <v>697</v>
      </c>
      <c r="D1283" t="s">
        <v>2743</v>
      </c>
      <c r="G1283" t="s">
        <v>756</v>
      </c>
      <c r="H1283">
        <v>8303</v>
      </c>
      <c r="I1283" t="s">
        <v>1487</v>
      </c>
    </row>
    <row r="1284" spans="1:9">
      <c r="A1284" s="71">
        <v>44678</v>
      </c>
      <c r="B1284" t="s">
        <v>388</v>
      </c>
      <c r="D1284" t="s">
        <v>2744</v>
      </c>
      <c r="F1284" s="86">
        <v>10407</v>
      </c>
      <c r="G1284" t="s">
        <v>756</v>
      </c>
      <c r="H1284">
        <v>8167</v>
      </c>
      <c r="I1284" t="s">
        <v>1756</v>
      </c>
    </row>
    <row r="1285" spans="1:9">
      <c r="A1285" s="71">
        <v>44679</v>
      </c>
      <c r="B1285" t="s">
        <v>697</v>
      </c>
      <c r="D1285" t="s">
        <v>2745</v>
      </c>
      <c r="G1285" t="s">
        <v>756</v>
      </c>
      <c r="H1285">
        <v>8304</v>
      </c>
      <c r="I1285" t="s">
        <v>1487</v>
      </c>
    </row>
    <row r="1286" spans="1:9">
      <c r="A1286" s="71">
        <v>44679</v>
      </c>
      <c r="B1286" t="s">
        <v>2496</v>
      </c>
      <c r="D1286" t="s">
        <v>2746</v>
      </c>
      <c r="G1286" t="s">
        <v>756</v>
      </c>
      <c r="H1286">
        <v>8170</v>
      </c>
      <c r="I1286" t="s">
        <v>1756</v>
      </c>
    </row>
    <row r="1287" spans="1:9">
      <c r="A1287" s="71">
        <v>44679</v>
      </c>
      <c r="B1287" t="s">
        <v>180</v>
      </c>
      <c r="D1287" t="s">
        <v>2747</v>
      </c>
      <c r="F1287" s="86">
        <v>4604</v>
      </c>
      <c r="G1287" t="s">
        <v>756</v>
      </c>
      <c r="H1287">
        <v>8169</v>
      </c>
      <c r="I1287" t="s">
        <v>1756</v>
      </c>
    </row>
    <row r="1288" spans="1:9">
      <c r="A1288" s="71">
        <v>44680</v>
      </c>
      <c r="B1288" t="s">
        <v>19</v>
      </c>
      <c r="D1288" t="s">
        <v>2748</v>
      </c>
      <c r="G1288" t="s">
        <v>756</v>
      </c>
      <c r="H1288">
        <v>8306</v>
      </c>
      <c r="I1288" t="s">
        <v>1487</v>
      </c>
    </row>
    <row r="1289" spans="1:9">
      <c r="A1289" s="71">
        <v>44680</v>
      </c>
      <c r="B1289" t="s">
        <v>697</v>
      </c>
      <c r="D1289" t="s">
        <v>2749</v>
      </c>
      <c r="G1289" t="s">
        <v>756</v>
      </c>
      <c r="H1289">
        <v>8305</v>
      </c>
      <c r="I1289" t="s">
        <v>1487</v>
      </c>
    </row>
    <row r="1290" spans="1:9">
      <c r="A1290" s="71">
        <v>44680</v>
      </c>
      <c r="B1290" t="s">
        <v>383</v>
      </c>
      <c r="D1290" t="s">
        <v>2750</v>
      </c>
      <c r="F1290" s="86">
        <v>1423</v>
      </c>
      <c r="G1290" t="s">
        <v>756</v>
      </c>
      <c r="H1290">
        <v>8281</v>
      </c>
      <c r="I1290" t="s">
        <v>1381</v>
      </c>
    </row>
    <row r="1291" spans="1:9">
      <c r="A1291" s="71">
        <v>44683</v>
      </c>
      <c r="B1291" t="s">
        <v>159</v>
      </c>
      <c r="D1291" t="s">
        <v>2751</v>
      </c>
      <c r="F1291" s="86">
        <v>8633</v>
      </c>
      <c r="G1291" t="s">
        <v>756</v>
      </c>
      <c r="H1291">
        <v>8171</v>
      </c>
      <c r="I1291" t="s">
        <v>1756</v>
      </c>
    </row>
    <row r="1292" spans="1:9">
      <c r="A1292" s="71">
        <v>44683</v>
      </c>
      <c r="B1292" t="s">
        <v>188</v>
      </c>
      <c r="D1292" t="s">
        <v>2752</v>
      </c>
      <c r="F1292" s="86">
        <v>8328</v>
      </c>
      <c r="G1292" t="s">
        <v>756</v>
      </c>
      <c r="H1292">
        <v>8016</v>
      </c>
      <c r="I1292" t="s">
        <v>1381</v>
      </c>
    </row>
    <row r="1293" spans="1:9">
      <c r="A1293" s="71">
        <v>44684</v>
      </c>
      <c r="B1293" t="s">
        <v>360</v>
      </c>
      <c r="D1293" t="s">
        <v>2753</v>
      </c>
      <c r="F1293" s="86">
        <v>4439</v>
      </c>
      <c r="G1293" t="s">
        <v>756</v>
      </c>
      <c r="H1293">
        <v>8173</v>
      </c>
      <c r="I1293" t="s">
        <v>1756</v>
      </c>
    </row>
    <row r="1294" spans="1:9">
      <c r="A1294" s="71">
        <v>44684</v>
      </c>
      <c r="B1294" t="s">
        <v>159</v>
      </c>
      <c r="D1294" t="s">
        <v>2754</v>
      </c>
      <c r="F1294" s="86">
        <v>8633</v>
      </c>
      <c r="G1294" t="s">
        <v>756</v>
      </c>
      <c r="H1294">
        <v>8172</v>
      </c>
      <c r="I1294" t="s">
        <v>1756</v>
      </c>
    </row>
    <row r="1295" spans="1:9">
      <c r="A1295" s="71">
        <v>44684</v>
      </c>
      <c r="B1295" t="s">
        <v>712</v>
      </c>
      <c r="D1295" t="s">
        <v>2755</v>
      </c>
      <c r="F1295" s="86">
        <v>9086</v>
      </c>
      <c r="G1295" t="s">
        <v>756</v>
      </c>
      <c r="H1295">
        <v>8018</v>
      </c>
      <c r="I1295" t="s">
        <v>1381</v>
      </c>
    </row>
    <row r="1296" spans="1:9">
      <c r="A1296" s="71">
        <v>44685</v>
      </c>
      <c r="B1296" t="s">
        <v>690</v>
      </c>
      <c r="D1296" t="s">
        <v>2756</v>
      </c>
      <c r="G1296" t="s">
        <v>756</v>
      </c>
      <c r="H1296">
        <v>8175</v>
      </c>
      <c r="I1296" t="s">
        <v>1756</v>
      </c>
    </row>
    <row r="1297" spans="1:9">
      <c r="A1297" s="71">
        <v>44686</v>
      </c>
      <c r="B1297" t="s">
        <v>2657</v>
      </c>
      <c r="D1297" t="s">
        <v>2757</v>
      </c>
      <c r="G1297" t="s">
        <v>756</v>
      </c>
      <c r="H1297">
        <v>8179</v>
      </c>
      <c r="I1297" t="s">
        <v>1756</v>
      </c>
    </row>
    <row r="1298" spans="1:9">
      <c r="A1298" s="71">
        <v>44686</v>
      </c>
      <c r="B1298" t="s">
        <v>2496</v>
      </c>
      <c r="D1298" t="s">
        <v>2758</v>
      </c>
      <c r="G1298" t="s">
        <v>756</v>
      </c>
      <c r="H1298">
        <v>8177</v>
      </c>
      <c r="I1298" t="s">
        <v>1756</v>
      </c>
    </row>
    <row r="1299" spans="1:9">
      <c r="A1299" s="71">
        <v>44686</v>
      </c>
      <c r="B1299" t="s">
        <v>180</v>
      </c>
      <c r="D1299" t="s">
        <v>2759</v>
      </c>
      <c r="F1299" s="86">
        <v>4604</v>
      </c>
      <c r="G1299" t="s">
        <v>756</v>
      </c>
      <c r="H1299">
        <v>8176</v>
      </c>
      <c r="I1299" t="s">
        <v>1756</v>
      </c>
    </row>
    <row r="1300" spans="1:9">
      <c r="A1300" s="71">
        <v>44690</v>
      </c>
      <c r="B1300" t="s">
        <v>42</v>
      </c>
      <c r="D1300" t="s">
        <v>2760</v>
      </c>
      <c r="F1300" s="86">
        <v>95065</v>
      </c>
      <c r="G1300" t="s">
        <v>756</v>
      </c>
      <c r="H1300">
        <v>8284</v>
      </c>
      <c r="I1300" t="s">
        <v>1381</v>
      </c>
    </row>
    <row r="1301" spans="1:9">
      <c r="A1301" s="71">
        <v>44690</v>
      </c>
      <c r="B1301" t="s">
        <v>259</v>
      </c>
      <c r="D1301" t="s">
        <v>2761</v>
      </c>
      <c r="F1301" s="86" t="s">
        <v>1524</v>
      </c>
      <c r="G1301" t="s">
        <v>756</v>
      </c>
      <c r="H1301">
        <v>2073.1</v>
      </c>
      <c r="I1301" t="s">
        <v>1381</v>
      </c>
    </row>
    <row r="1302" spans="1:9">
      <c r="A1302" s="71">
        <v>44690</v>
      </c>
      <c r="B1302" t="s">
        <v>259</v>
      </c>
      <c r="D1302" t="s">
        <v>2762</v>
      </c>
      <c r="F1302" s="86">
        <v>18353</v>
      </c>
      <c r="G1302" t="s">
        <v>756</v>
      </c>
      <c r="H1302">
        <v>2073</v>
      </c>
      <c r="I1302" t="s">
        <v>1330</v>
      </c>
    </row>
    <row r="1303" spans="1:9">
      <c r="A1303" s="71">
        <v>44691</v>
      </c>
      <c r="B1303" t="s">
        <v>42</v>
      </c>
      <c r="D1303" t="s">
        <v>2763</v>
      </c>
      <c r="F1303" s="86">
        <v>95165</v>
      </c>
      <c r="G1303" t="s">
        <v>756</v>
      </c>
      <c r="H1303">
        <v>8285</v>
      </c>
      <c r="I1303" t="s">
        <v>1381</v>
      </c>
    </row>
    <row r="1304" spans="1:9">
      <c r="A1304" s="71">
        <v>44691</v>
      </c>
      <c r="B1304" t="s">
        <v>42</v>
      </c>
      <c r="D1304" t="s">
        <v>2764</v>
      </c>
      <c r="G1304" t="s">
        <v>756</v>
      </c>
      <c r="H1304">
        <v>8181</v>
      </c>
      <c r="I1304" t="s">
        <v>1756</v>
      </c>
    </row>
    <row r="1305" spans="1:9">
      <c r="A1305" s="71">
        <v>44692</v>
      </c>
      <c r="B1305" t="s">
        <v>712</v>
      </c>
      <c r="D1305" t="s">
        <v>2765</v>
      </c>
      <c r="F1305" s="86">
        <v>13227</v>
      </c>
      <c r="G1305" t="s">
        <v>756</v>
      </c>
      <c r="H1305">
        <v>8183</v>
      </c>
      <c r="I1305" t="s">
        <v>1756</v>
      </c>
    </row>
    <row r="1306" spans="1:9">
      <c r="A1306" s="71">
        <v>44693</v>
      </c>
      <c r="B1306" t="s">
        <v>689</v>
      </c>
      <c r="D1306" t="s">
        <v>2766</v>
      </c>
      <c r="F1306" s="86">
        <v>4421</v>
      </c>
      <c r="G1306" t="s">
        <v>756</v>
      </c>
      <c r="H1306">
        <v>8185</v>
      </c>
      <c r="I1306" t="s">
        <v>1756</v>
      </c>
    </row>
    <row r="1307" spans="1:9">
      <c r="A1307" s="71">
        <v>44693</v>
      </c>
      <c r="B1307" t="s">
        <v>567</v>
      </c>
      <c r="D1307" t="s">
        <v>2767</v>
      </c>
      <c r="F1307" s="86">
        <v>397853</v>
      </c>
      <c r="G1307" t="s">
        <v>756</v>
      </c>
      <c r="H1307">
        <v>8184</v>
      </c>
      <c r="I1307" t="s">
        <v>1756</v>
      </c>
    </row>
    <row r="1308" spans="1:9">
      <c r="A1308" s="71">
        <v>44694</v>
      </c>
      <c r="B1308" t="s">
        <v>167</v>
      </c>
      <c r="D1308" t="s">
        <v>2768</v>
      </c>
      <c r="F1308" s="86">
        <v>84573</v>
      </c>
      <c r="G1308" t="s">
        <v>756</v>
      </c>
      <c r="H1308">
        <v>8310</v>
      </c>
      <c r="I1308" t="s">
        <v>1487</v>
      </c>
    </row>
    <row r="1309" spans="1:9">
      <c r="A1309" s="71">
        <v>44697</v>
      </c>
      <c r="B1309" t="s">
        <v>334</v>
      </c>
      <c r="D1309" t="s">
        <v>2769</v>
      </c>
      <c r="F1309" s="86">
        <v>18781</v>
      </c>
      <c r="G1309" t="s">
        <v>756</v>
      </c>
      <c r="H1309">
        <v>8293</v>
      </c>
      <c r="I1309" t="s">
        <v>1381</v>
      </c>
    </row>
    <row r="1310" spans="1:9">
      <c r="A1310" s="71">
        <v>44697</v>
      </c>
      <c r="B1310" t="s">
        <v>2770</v>
      </c>
      <c r="D1310" t="s">
        <v>2771</v>
      </c>
      <c r="F1310" s="86">
        <v>19643</v>
      </c>
      <c r="G1310" t="s">
        <v>756</v>
      </c>
      <c r="H1310">
        <v>8308</v>
      </c>
      <c r="I1310" t="s">
        <v>1487</v>
      </c>
    </row>
    <row r="1311" spans="1:9">
      <c r="A1311" s="71">
        <v>44698</v>
      </c>
      <c r="B1311" t="s">
        <v>385</v>
      </c>
      <c r="D1311" t="s">
        <v>2772</v>
      </c>
      <c r="F1311" s="86">
        <v>1511</v>
      </c>
      <c r="G1311" t="s">
        <v>756</v>
      </c>
      <c r="H1311">
        <v>8182</v>
      </c>
      <c r="I1311" t="s">
        <v>1756</v>
      </c>
    </row>
    <row r="1312" spans="1:9">
      <c r="A1312" s="71">
        <v>44699</v>
      </c>
      <c r="B1312" t="s">
        <v>359</v>
      </c>
      <c r="D1312" t="s">
        <v>2773</v>
      </c>
      <c r="G1312" t="s">
        <v>756</v>
      </c>
      <c r="H1312">
        <v>8309</v>
      </c>
      <c r="I1312" t="s">
        <v>1487</v>
      </c>
    </row>
    <row r="1313" spans="1:9">
      <c r="A1313" s="71">
        <v>44700</v>
      </c>
      <c r="B1313" t="s">
        <v>330</v>
      </c>
      <c r="D1313" t="s">
        <v>2774</v>
      </c>
      <c r="F1313" s="86">
        <v>6063</v>
      </c>
      <c r="G1313" t="s">
        <v>756</v>
      </c>
      <c r="H1313">
        <v>8594</v>
      </c>
      <c r="I1313" t="s">
        <v>1381</v>
      </c>
    </row>
    <row r="1314" spans="1:9">
      <c r="A1314" s="71">
        <v>44701</v>
      </c>
      <c r="B1314" t="s">
        <v>390</v>
      </c>
      <c r="D1314" t="s">
        <v>2775</v>
      </c>
      <c r="F1314" s="86">
        <v>6070</v>
      </c>
      <c r="G1314" t="s">
        <v>756</v>
      </c>
      <c r="H1314">
        <v>8599</v>
      </c>
      <c r="I1314" t="s">
        <v>1381</v>
      </c>
    </row>
    <row r="1315" spans="1:9">
      <c r="A1315" s="71">
        <v>44701</v>
      </c>
      <c r="B1315" t="s">
        <v>567</v>
      </c>
      <c r="G1315" t="s">
        <v>756</v>
      </c>
      <c r="H1315">
        <v>8184.1</v>
      </c>
      <c r="I1315" t="s">
        <v>1598</v>
      </c>
    </row>
    <row r="1316" spans="1:9">
      <c r="A1316" s="71">
        <v>44705</v>
      </c>
      <c r="B1316" t="s">
        <v>2657</v>
      </c>
      <c r="D1316" t="s">
        <v>2776</v>
      </c>
      <c r="G1316" t="s">
        <v>756</v>
      </c>
      <c r="H1316">
        <v>8180</v>
      </c>
      <c r="I1316" t="s">
        <v>1756</v>
      </c>
    </row>
    <row r="1317" spans="1:9">
      <c r="A1317" s="71">
        <v>44706</v>
      </c>
      <c r="B1317" t="s">
        <v>330</v>
      </c>
      <c r="D1317" t="s">
        <v>2777</v>
      </c>
      <c r="F1317" s="86">
        <v>6151</v>
      </c>
      <c r="G1317" t="s">
        <v>756</v>
      </c>
      <c r="H1317">
        <v>8614</v>
      </c>
      <c r="I1317" t="s">
        <v>1756</v>
      </c>
    </row>
    <row r="1318" spans="1:9">
      <c r="A1318" s="71">
        <v>44718</v>
      </c>
      <c r="B1318" t="s">
        <v>239</v>
      </c>
      <c r="D1318" t="s">
        <v>2778</v>
      </c>
      <c r="G1318" t="s">
        <v>756</v>
      </c>
      <c r="H1318">
        <v>8906</v>
      </c>
      <c r="I1318" t="s">
        <v>2779</v>
      </c>
    </row>
    <row r="1319" spans="1:9">
      <c r="A1319" s="71">
        <v>44718</v>
      </c>
      <c r="B1319" t="s">
        <v>152</v>
      </c>
      <c r="D1319" t="s">
        <v>2780</v>
      </c>
      <c r="F1319" s="86">
        <v>6100</v>
      </c>
      <c r="G1319" t="s">
        <v>756</v>
      </c>
      <c r="H1319">
        <v>8224</v>
      </c>
      <c r="I1319" t="s">
        <v>2779</v>
      </c>
    </row>
    <row r="1320" spans="1:9">
      <c r="A1320" s="71">
        <v>44720</v>
      </c>
      <c r="B1320" t="s">
        <v>176</v>
      </c>
      <c r="D1320" t="s">
        <v>2781</v>
      </c>
      <c r="G1320" t="s">
        <v>756</v>
      </c>
      <c r="H1320">
        <v>8700</v>
      </c>
      <c r="I1320" t="s">
        <v>1381</v>
      </c>
    </row>
    <row r="1321" spans="1:9">
      <c r="A1321" s="71">
        <v>44720</v>
      </c>
      <c r="B1321" t="s">
        <v>176</v>
      </c>
      <c r="D1321" t="s">
        <v>2782</v>
      </c>
      <c r="F1321" s="86">
        <v>4458</v>
      </c>
      <c r="G1321" t="s">
        <v>756</v>
      </c>
      <c r="H1321">
        <v>8606</v>
      </c>
      <c r="I1321" t="s">
        <v>1756</v>
      </c>
    </row>
    <row r="1322" spans="1:9">
      <c r="A1322" s="71">
        <v>44720</v>
      </c>
      <c r="B1322" t="s">
        <v>351</v>
      </c>
      <c r="D1322" t="s">
        <v>2783</v>
      </c>
      <c r="F1322" s="86">
        <v>6134</v>
      </c>
      <c r="G1322" t="s">
        <v>756</v>
      </c>
      <c r="H1322">
        <v>8313</v>
      </c>
      <c r="I1322" t="s">
        <v>1487</v>
      </c>
    </row>
    <row r="1323" spans="1:9">
      <c r="A1323" s="71">
        <v>44721</v>
      </c>
      <c r="B1323" t="s">
        <v>176</v>
      </c>
      <c r="D1323" t="s">
        <v>2784</v>
      </c>
      <c r="G1323" t="s">
        <v>756</v>
      </c>
      <c r="H1323">
        <v>8701</v>
      </c>
      <c r="I1323" t="s">
        <v>1381</v>
      </c>
    </row>
    <row r="1324" spans="1:9">
      <c r="A1324" s="71">
        <v>44721</v>
      </c>
      <c r="B1324" t="s">
        <v>146</v>
      </c>
      <c r="D1324" t="s">
        <v>2785</v>
      </c>
      <c r="G1324" t="s">
        <v>756</v>
      </c>
      <c r="H1324">
        <v>8608</v>
      </c>
      <c r="I1324" t="s">
        <v>1756</v>
      </c>
    </row>
    <row r="1325" spans="1:9">
      <c r="A1325" s="71">
        <v>44721</v>
      </c>
      <c r="B1325" t="s">
        <v>159</v>
      </c>
      <c r="D1325" t="s">
        <v>2786</v>
      </c>
      <c r="F1325" s="86">
        <v>8712</v>
      </c>
      <c r="G1325" t="s">
        <v>756</v>
      </c>
      <c r="H1325">
        <v>8607</v>
      </c>
      <c r="I1325" t="s">
        <v>1756</v>
      </c>
    </row>
    <row r="1326" spans="1:9">
      <c r="A1326" s="71">
        <v>44725</v>
      </c>
      <c r="B1326" t="s">
        <v>330</v>
      </c>
      <c r="D1326" t="s">
        <v>2787</v>
      </c>
      <c r="G1326" t="s">
        <v>756</v>
      </c>
      <c r="H1326">
        <v>8707</v>
      </c>
      <c r="I1326" t="s">
        <v>1381</v>
      </c>
    </row>
    <row r="1327" spans="1:9">
      <c r="A1327" s="71">
        <v>44725</v>
      </c>
      <c r="B1327" t="s">
        <v>188</v>
      </c>
      <c r="D1327" t="s">
        <v>2788</v>
      </c>
      <c r="G1327" t="s">
        <v>756</v>
      </c>
      <c r="H1327">
        <v>8611</v>
      </c>
      <c r="I1327" t="s">
        <v>1756</v>
      </c>
    </row>
    <row r="1328" spans="1:9">
      <c r="A1328" s="71">
        <v>44726</v>
      </c>
      <c r="B1328" t="s">
        <v>185</v>
      </c>
      <c r="D1328" t="s">
        <v>2789</v>
      </c>
      <c r="G1328" t="s">
        <v>756</v>
      </c>
      <c r="H1328">
        <v>8710</v>
      </c>
      <c r="I1328" t="s">
        <v>1381</v>
      </c>
    </row>
    <row r="1329" spans="1:9">
      <c r="A1329" s="71">
        <v>44726</v>
      </c>
      <c r="B1329" t="s">
        <v>176</v>
      </c>
      <c r="D1329" t="s">
        <v>2790</v>
      </c>
      <c r="G1329" t="s">
        <v>756</v>
      </c>
      <c r="H1329">
        <v>8507</v>
      </c>
      <c r="I1329" t="s">
        <v>1341</v>
      </c>
    </row>
    <row r="1330" spans="1:9">
      <c r="A1330" s="71">
        <v>44727</v>
      </c>
      <c r="B1330" t="s">
        <v>42</v>
      </c>
      <c r="D1330" t="s">
        <v>2791</v>
      </c>
      <c r="G1330" t="s">
        <v>756</v>
      </c>
      <c r="H1330">
        <v>8712</v>
      </c>
      <c r="I1330" t="s">
        <v>1381</v>
      </c>
    </row>
    <row r="1331" spans="1:9">
      <c r="A1331" s="71">
        <v>44727</v>
      </c>
      <c r="B1331" t="s">
        <v>185</v>
      </c>
      <c r="D1331" t="s">
        <v>2792</v>
      </c>
      <c r="G1331" t="s">
        <v>756</v>
      </c>
      <c r="H1331">
        <v>8711</v>
      </c>
      <c r="I1331" t="s">
        <v>1381</v>
      </c>
    </row>
    <row r="1332" spans="1:9">
      <c r="A1332" s="71">
        <v>44727</v>
      </c>
      <c r="B1332" t="s">
        <v>146</v>
      </c>
      <c r="D1332" t="s">
        <v>2793</v>
      </c>
      <c r="F1332" s="86">
        <v>202772</v>
      </c>
      <c r="G1332" t="s">
        <v>756</v>
      </c>
      <c r="H1332">
        <v>8613</v>
      </c>
      <c r="I1332" t="s">
        <v>1756</v>
      </c>
    </row>
    <row r="1333" spans="1:9">
      <c r="A1333" s="71">
        <v>44728</v>
      </c>
      <c r="B1333" t="s">
        <v>185</v>
      </c>
      <c r="D1333" t="s">
        <v>2794</v>
      </c>
      <c r="G1333" t="s">
        <v>756</v>
      </c>
      <c r="H1333">
        <v>8713</v>
      </c>
      <c r="I1333" t="s">
        <v>1381</v>
      </c>
    </row>
    <row r="1334" spans="1:9">
      <c r="A1334" s="71">
        <v>44729</v>
      </c>
      <c r="B1334" t="s">
        <v>42</v>
      </c>
      <c r="D1334" t="s">
        <v>2795</v>
      </c>
      <c r="G1334" t="s">
        <v>756</v>
      </c>
      <c r="H1334">
        <v>8716</v>
      </c>
      <c r="I1334" t="s">
        <v>1381</v>
      </c>
    </row>
    <row r="1335" spans="1:9">
      <c r="A1335" s="71">
        <v>44729</v>
      </c>
      <c r="B1335" t="s">
        <v>712</v>
      </c>
      <c r="D1335" t="s">
        <v>2796</v>
      </c>
      <c r="F1335" s="86">
        <v>2155</v>
      </c>
      <c r="G1335" t="s">
        <v>756</v>
      </c>
      <c r="H1335">
        <v>3227</v>
      </c>
      <c r="I1335" t="s">
        <v>1339</v>
      </c>
    </row>
    <row r="1336" spans="1:9">
      <c r="A1336" s="71">
        <v>44732</v>
      </c>
      <c r="B1336" t="s">
        <v>2797</v>
      </c>
      <c r="D1336" t="s">
        <v>2798</v>
      </c>
      <c r="G1336" t="s">
        <v>756</v>
      </c>
      <c r="H1336">
        <v>8508</v>
      </c>
      <c r="I1336" t="s">
        <v>1341</v>
      </c>
    </row>
    <row r="1337" spans="1:9">
      <c r="A1337" s="71">
        <v>44735</v>
      </c>
      <c r="B1337" t="s">
        <v>330</v>
      </c>
      <c r="D1337" t="s">
        <v>2799</v>
      </c>
      <c r="F1337" s="86">
        <v>6163</v>
      </c>
      <c r="G1337" t="s">
        <v>756</v>
      </c>
      <c r="H1337">
        <v>8721</v>
      </c>
      <c r="I1337" t="s">
        <v>1381</v>
      </c>
    </row>
    <row r="1338" spans="1:9">
      <c r="A1338" s="71">
        <v>44735</v>
      </c>
      <c r="B1338" t="s">
        <v>569</v>
      </c>
      <c r="D1338" t="s">
        <v>2800</v>
      </c>
      <c r="F1338" s="86">
        <v>192691</v>
      </c>
      <c r="G1338" t="s">
        <v>756</v>
      </c>
      <c r="H1338">
        <v>8511</v>
      </c>
      <c r="I1338" t="s">
        <v>1341</v>
      </c>
    </row>
    <row r="1339" spans="1:9">
      <c r="A1339" s="71">
        <v>44736</v>
      </c>
      <c r="B1339" t="s">
        <v>334</v>
      </c>
      <c r="D1339" t="s">
        <v>2801</v>
      </c>
      <c r="F1339" s="86">
        <v>18076</v>
      </c>
      <c r="G1339" t="s">
        <v>756</v>
      </c>
      <c r="H1339">
        <v>8722</v>
      </c>
      <c r="I1339" t="s">
        <v>1381</v>
      </c>
    </row>
    <row r="1340" spans="1:9">
      <c r="A1340" s="71">
        <v>44737</v>
      </c>
      <c r="B1340" t="s">
        <v>25</v>
      </c>
      <c r="D1340" t="s">
        <v>2802</v>
      </c>
      <c r="F1340" s="86">
        <v>4198</v>
      </c>
      <c r="G1340" t="s">
        <v>756</v>
      </c>
      <c r="H1340">
        <v>8728</v>
      </c>
      <c r="I1340" t="s">
        <v>1381</v>
      </c>
    </row>
    <row r="1341" spans="1:9">
      <c r="A1341" s="71">
        <v>44740</v>
      </c>
      <c r="B1341" t="s">
        <v>712</v>
      </c>
      <c r="D1341" t="s">
        <v>2803</v>
      </c>
      <c r="F1341" s="86">
        <v>13426</v>
      </c>
      <c r="G1341" t="s">
        <v>756</v>
      </c>
      <c r="H1341">
        <v>8731</v>
      </c>
      <c r="I1341" t="s">
        <v>1381</v>
      </c>
    </row>
    <row r="1342" spans="1:9">
      <c r="A1342" s="71">
        <v>44741</v>
      </c>
      <c r="B1342" t="s">
        <v>32</v>
      </c>
      <c r="D1342" t="s">
        <v>2804</v>
      </c>
      <c r="G1342" t="s">
        <v>756</v>
      </c>
      <c r="H1342">
        <v>8314</v>
      </c>
      <c r="I1342" t="s">
        <v>1487</v>
      </c>
    </row>
    <row r="1343" spans="1:9">
      <c r="A1343" s="71">
        <v>44741</v>
      </c>
      <c r="B1343" t="s">
        <v>377</v>
      </c>
      <c r="D1343" t="s">
        <v>2805</v>
      </c>
      <c r="F1343" s="86">
        <v>6172</v>
      </c>
      <c r="G1343" t="s">
        <v>756</v>
      </c>
      <c r="H1343">
        <v>8733</v>
      </c>
      <c r="I1343" t="s">
        <v>1381</v>
      </c>
    </row>
    <row r="1344" spans="1:9">
      <c r="A1344" s="71">
        <v>44742</v>
      </c>
      <c r="B1344" t="s">
        <v>330</v>
      </c>
      <c r="D1344" t="s">
        <v>2806</v>
      </c>
      <c r="F1344" s="86">
        <v>6175</v>
      </c>
      <c r="G1344" t="s">
        <v>756</v>
      </c>
      <c r="H1344">
        <v>8738</v>
      </c>
      <c r="I1344" t="s">
        <v>1381</v>
      </c>
    </row>
    <row r="1345" spans="1:9">
      <c r="A1345" s="71">
        <v>44742</v>
      </c>
      <c r="B1345" t="s">
        <v>383</v>
      </c>
      <c r="D1345" t="s">
        <v>2807</v>
      </c>
      <c r="F1345" s="86">
        <v>1480</v>
      </c>
      <c r="G1345" t="s">
        <v>756</v>
      </c>
      <c r="H1345">
        <v>8737</v>
      </c>
      <c r="I1345" t="s">
        <v>1381</v>
      </c>
    </row>
    <row r="1346" spans="1:9">
      <c r="A1346" s="71">
        <v>44743</v>
      </c>
      <c r="B1346" t="s">
        <v>330</v>
      </c>
      <c r="D1346" t="s">
        <v>2808</v>
      </c>
      <c r="F1346" s="86">
        <v>6139</v>
      </c>
      <c r="G1346" t="s">
        <v>756</v>
      </c>
      <c r="H1346">
        <v>8741</v>
      </c>
      <c r="I1346" t="s">
        <v>1381</v>
      </c>
    </row>
    <row r="1347" spans="1:9">
      <c r="A1347" s="71">
        <v>44746</v>
      </c>
      <c r="B1347" t="s">
        <v>162</v>
      </c>
      <c r="D1347" t="s">
        <v>2809</v>
      </c>
      <c r="G1347" t="s">
        <v>756</v>
      </c>
      <c r="H1347">
        <v>8903</v>
      </c>
      <c r="I1347" t="s">
        <v>2779</v>
      </c>
    </row>
    <row r="1348" spans="1:9">
      <c r="A1348" s="71">
        <v>44747</v>
      </c>
      <c r="B1348" t="s">
        <v>32</v>
      </c>
      <c r="D1348" t="s">
        <v>2810</v>
      </c>
      <c r="G1348" t="s">
        <v>756</v>
      </c>
      <c r="H1348">
        <v>8744</v>
      </c>
      <c r="I1348" t="s">
        <v>1381</v>
      </c>
    </row>
    <row r="1349" spans="1:9">
      <c r="A1349" s="71">
        <v>44747</v>
      </c>
      <c r="B1349" t="s">
        <v>202</v>
      </c>
      <c r="D1349" t="s">
        <v>2811</v>
      </c>
      <c r="F1349" s="86">
        <v>1078</v>
      </c>
      <c r="G1349" t="s">
        <v>756</v>
      </c>
      <c r="H1349">
        <v>8905</v>
      </c>
      <c r="I1349" t="s">
        <v>2779</v>
      </c>
    </row>
    <row r="1350" spans="1:9">
      <c r="A1350" s="71">
        <v>44748</v>
      </c>
      <c r="B1350" t="s">
        <v>25</v>
      </c>
      <c r="D1350" t="s">
        <v>2812</v>
      </c>
      <c r="G1350" t="s">
        <v>756</v>
      </c>
      <c r="H1350">
        <v>8952</v>
      </c>
      <c r="I1350" t="s">
        <v>1381</v>
      </c>
    </row>
    <row r="1351" spans="1:9">
      <c r="A1351" s="71">
        <v>44749</v>
      </c>
      <c r="B1351" t="s">
        <v>389</v>
      </c>
      <c r="D1351" t="s">
        <v>2813</v>
      </c>
      <c r="F1351" s="86">
        <v>4495</v>
      </c>
      <c r="G1351" t="s">
        <v>756</v>
      </c>
      <c r="H1351">
        <v>8995.1</v>
      </c>
      <c r="I1351" t="s">
        <v>2779</v>
      </c>
    </row>
    <row r="1352" spans="1:9">
      <c r="A1352" s="71">
        <v>44749</v>
      </c>
      <c r="B1352" t="s">
        <v>180</v>
      </c>
      <c r="D1352" t="s">
        <v>2814</v>
      </c>
      <c r="G1352" t="s">
        <v>756</v>
      </c>
      <c r="H1352">
        <v>8956</v>
      </c>
      <c r="I1352" t="s">
        <v>1381</v>
      </c>
    </row>
    <row r="1353" spans="1:9">
      <c r="A1353" s="71">
        <v>44749</v>
      </c>
      <c r="B1353" t="s">
        <v>336</v>
      </c>
      <c r="D1353" t="s">
        <v>2815</v>
      </c>
      <c r="G1353" t="s">
        <v>756</v>
      </c>
      <c r="H1353">
        <v>8904</v>
      </c>
      <c r="I1353" t="s">
        <v>2779</v>
      </c>
    </row>
    <row r="1354" spans="1:9">
      <c r="A1354" s="71">
        <v>44749</v>
      </c>
      <c r="B1354" t="s">
        <v>391</v>
      </c>
      <c r="D1354" t="s">
        <v>2816</v>
      </c>
      <c r="F1354" s="86">
        <v>15671</v>
      </c>
      <c r="G1354" t="s">
        <v>756</v>
      </c>
      <c r="H1354">
        <v>7795</v>
      </c>
      <c r="I1354" t="s">
        <v>1339</v>
      </c>
    </row>
    <row r="1355" spans="1:9">
      <c r="A1355" s="71">
        <v>44749</v>
      </c>
      <c r="B1355" t="s">
        <v>391</v>
      </c>
      <c r="D1355" t="s">
        <v>2817</v>
      </c>
      <c r="F1355" s="86">
        <v>15671</v>
      </c>
      <c r="G1355" t="s">
        <v>756</v>
      </c>
      <c r="H1355">
        <v>7794</v>
      </c>
      <c r="I1355" t="s">
        <v>1339</v>
      </c>
    </row>
    <row r="1356" spans="1:9">
      <c r="A1356" s="71">
        <v>44750</v>
      </c>
      <c r="B1356" t="s">
        <v>338</v>
      </c>
      <c r="D1356" t="s">
        <v>2818</v>
      </c>
      <c r="F1356" s="86">
        <v>23408</v>
      </c>
      <c r="G1356" t="s">
        <v>756</v>
      </c>
      <c r="H1356">
        <v>8901</v>
      </c>
      <c r="I1356" t="s">
        <v>2779</v>
      </c>
    </row>
    <row r="1357" spans="1:9">
      <c r="A1357" s="71">
        <v>44752</v>
      </c>
      <c r="B1357" t="s">
        <v>690</v>
      </c>
      <c r="D1357" t="s">
        <v>2819</v>
      </c>
      <c r="F1357" s="86">
        <v>4729</v>
      </c>
      <c r="G1357" t="s">
        <v>756</v>
      </c>
      <c r="H1357">
        <v>8985</v>
      </c>
      <c r="I1357" t="s">
        <v>1381</v>
      </c>
    </row>
    <row r="1358" spans="1:9">
      <c r="A1358" s="71">
        <v>44753</v>
      </c>
      <c r="B1358" t="s">
        <v>389</v>
      </c>
      <c r="D1358" t="s">
        <v>2820</v>
      </c>
      <c r="F1358" s="86">
        <v>4496</v>
      </c>
      <c r="G1358" t="s">
        <v>756</v>
      </c>
      <c r="H1358" t="s">
        <v>2105</v>
      </c>
      <c r="I1358" t="s">
        <v>2779</v>
      </c>
    </row>
    <row r="1359" spans="1:9">
      <c r="A1359" s="71">
        <v>44754</v>
      </c>
      <c r="B1359" t="s">
        <v>146</v>
      </c>
      <c r="D1359" t="s">
        <v>2821</v>
      </c>
      <c r="F1359" s="86">
        <v>204676</v>
      </c>
      <c r="G1359" t="s">
        <v>756</v>
      </c>
      <c r="H1359">
        <v>8969</v>
      </c>
      <c r="I1359" t="s">
        <v>1381</v>
      </c>
    </row>
    <row r="1360" spans="1:9">
      <c r="A1360" s="71">
        <v>44754</v>
      </c>
      <c r="B1360" t="s">
        <v>311</v>
      </c>
      <c r="D1360" t="s">
        <v>2822</v>
      </c>
      <c r="F1360" s="86">
        <v>13345</v>
      </c>
      <c r="G1360" t="s">
        <v>756</v>
      </c>
      <c r="H1360">
        <v>7796</v>
      </c>
      <c r="I1360" t="s">
        <v>1339</v>
      </c>
    </row>
    <row r="1361" spans="1:9">
      <c r="A1361" s="71">
        <v>44755</v>
      </c>
      <c r="B1361" t="s">
        <v>171</v>
      </c>
      <c r="D1361" t="s">
        <v>2823</v>
      </c>
      <c r="F1361" s="86">
        <v>4277</v>
      </c>
      <c r="G1361" t="s">
        <v>756</v>
      </c>
      <c r="H1361">
        <v>8912</v>
      </c>
      <c r="I1361" t="s">
        <v>2779</v>
      </c>
    </row>
    <row r="1362" spans="1:9">
      <c r="A1362" s="71">
        <v>44755</v>
      </c>
      <c r="B1362" t="s">
        <v>185</v>
      </c>
      <c r="D1362" t="s">
        <v>2824</v>
      </c>
      <c r="G1362" t="s">
        <v>756</v>
      </c>
      <c r="H1362">
        <v>8908</v>
      </c>
      <c r="I1362" t="s">
        <v>2779</v>
      </c>
    </row>
    <row r="1363" spans="1:9">
      <c r="A1363" s="71">
        <v>44756</v>
      </c>
      <c r="B1363" t="s">
        <v>146</v>
      </c>
      <c r="D1363" t="s">
        <v>2825</v>
      </c>
      <c r="G1363" t="s">
        <v>756</v>
      </c>
      <c r="H1363">
        <v>8977</v>
      </c>
      <c r="I1363" t="s">
        <v>1381</v>
      </c>
    </row>
    <row r="1364" spans="1:9">
      <c r="A1364" s="71">
        <v>44756</v>
      </c>
      <c r="B1364" t="s">
        <v>259</v>
      </c>
      <c r="D1364" t="s">
        <v>2826</v>
      </c>
      <c r="F1364" s="86">
        <v>11876</v>
      </c>
      <c r="G1364" t="s">
        <v>756</v>
      </c>
      <c r="H1364">
        <v>8974</v>
      </c>
      <c r="I1364" t="s">
        <v>1381</v>
      </c>
    </row>
    <row r="1365" spans="1:9">
      <c r="A1365" s="71">
        <v>44757</v>
      </c>
      <c r="B1365" t="s">
        <v>42</v>
      </c>
      <c r="D1365" t="s">
        <v>2827</v>
      </c>
      <c r="G1365" t="s">
        <v>756</v>
      </c>
      <c r="H1365">
        <v>8978</v>
      </c>
      <c r="I1365" t="s">
        <v>1381</v>
      </c>
    </row>
    <row r="1366" spans="1:9">
      <c r="A1366" s="71">
        <v>44757</v>
      </c>
      <c r="B1366" t="s">
        <v>371</v>
      </c>
      <c r="D1366" t="s">
        <v>2828</v>
      </c>
      <c r="F1366" s="86">
        <v>17229</v>
      </c>
      <c r="G1366" t="s">
        <v>756</v>
      </c>
      <c r="H1366">
        <v>17229</v>
      </c>
      <c r="I1366" t="s">
        <v>1339</v>
      </c>
    </row>
    <row r="1367" spans="1:9">
      <c r="A1367" s="71">
        <v>44760</v>
      </c>
      <c r="B1367" t="s">
        <v>341</v>
      </c>
      <c r="D1367" t="s">
        <v>2829</v>
      </c>
      <c r="F1367" s="86">
        <v>6624</v>
      </c>
      <c r="G1367" t="s">
        <v>756</v>
      </c>
      <c r="H1367">
        <v>8981</v>
      </c>
      <c r="I1367" t="s">
        <v>1381</v>
      </c>
    </row>
    <row r="1368" spans="1:9">
      <c r="A1368" s="71">
        <v>44760</v>
      </c>
      <c r="B1368" t="s">
        <v>29</v>
      </c>
      <c r="D1368" t="s">
        <v>2830</v>
      </c>
      <c r="F1368" s="86">
        <v>5881</v>
      </c>
      <c r="G1368" t="s">
        <v>756</v>
      </c>
      <c r="H1368">
        <v>8615</v>
      </c>
      <c r="I1368" t="s">
        <v>1756</v>
      </c>
    </row>
    <row r="1369" spans="1:9">
      <c r="A1369" s="71">
        <v>44760</v>
      </c>
      <c r="B1369" t="s">
        <v>360</v>
      </c>
      <c r="D1369" t="s">
        <v>2831</v>
      </c>
      <c r="F1369" s="86">
        <v>4680</v>
      </c>
      <c r="G1369" t="s">
        <v>756</v>
      </c>
      <c r="H1369">
        <v>8616</v>
      </c>
      <c r="I1369" t="s">
        <v>1756</v>
      </c>
    </row>
    <row r="1370" spans="1:9">
      <c r="A1370" s="71">
        <v>44761</v>
      </c>
      <c r="B1370" t="s">
        <v>690</v>
      </c>
      <c r="D1370" t="s">
        <v>2832</v>
      </c>
      <c r="F1370" s="86">
        <v>4729</v>
      </c>
      <c r="G1370" t="s">
        <v>756</v>
      </c>
      <c r="H1370">
        <v>8984</v>
      </c>
      <c r="I1370" t="s">
        <v>1381</v>
      </c>
    </row>
    <row r="1371" spans="1:9">
      <c r="A1371" s="71">
        <v>44761</v>
      </c>
      <c r="B1371" t="s">
        <v>29</v>
      </c>
      <c r="F1371" s="86">
        <v>5861</v>
      </c>
      <c r="G1371" t="s">
        <v>756</v>
      </c>
      <c r="H1371">
        <v>8617</v>
      </c>
      <c r="I1371" t="s">
        <v>1756</v>
      </c>
    </row>
    <row r="1372" spans="1:9">
      <c r="A1372" s="71">
        <v>44761</v>
      </c>
      <c r="B1372" t="s">
        <v>157</v>
      </c>
      <c r="D1372" t="s">
        <v>2833</v>
      </c>
      <c r="F1372" s="86">
        <v>12447</v>
      </c>
      <c r="G1372" t="s">
        <v>756</v>
      </c>
      <c r="H1372">
        <v>8619</v>
      </c>
      <c r="I1372" t="s">
        <v>1756</v>
      </c>
    </row>
    <row r="1373" spans="1:9">
      <c r="A1373" s="71">
        <v>44761</v>
      </c>
      <c r="B1373" t="s">
        <v>385</v>
      </c>
      <c r="D1373" t="s">
        <v>2834</v>
      </c>
      <c r="F1373" s="86">
        <v>1565</v>
      </c>
      <c r="G1373" t="s">
        <v>756</v>
      </c>
      <c r="H1373">
        <v>8618</v>
      </c>
      <c r="I1373" t="s">
        <v>1756</v>
      </c>
    </row>
    <row r="1374" spans="1:9">
      <c r="A1374" s="71">
        <v>44762</v>
      </c>
      <c r="B1374" t="s">
        <v>334</v>
      </c>
      <c r="D1374" t="s">
        <v>2835</v>
      </c>
      <c r="F1374" s="86">
        <v>19147</v>
      </c>
      <c r="G1374" t="s">
        <v>756</v>
      </c>
      <c r="H1374">
        <v>8620</v>
      </c>
      <c r="I1374" t="s">
        <v>1756</v>
      </c>
    </row>
    <row r="1375" spans="1:9">
      <c r="A1375" s="71">
        <v>44763</v>
      </c>
      <c r="B1375" t="s">
        <v>690</v>
      </c>
      <c r="D1375" t="s">
        <v>2836</v>
      </c>
      <c r="G1375" t="s">
        <v>756</v>
      </c>
      <c r="H1375">
        <v>8992</v>
      </c>
      <c r="I1375" t="s">
        <v>1381</v>
      </c>
    </row>
    <row r="1376" spans="1:9">
      <c r="A1376" s="71">
        <v>44763</v>
      </c>
      <c r="B1376" t="s">
        <v>689</v>
      </c>
      <c r="D1376" t="s">
        <v>2837</v>
      </c>
      <c r="F1376" s="86">
        <v>4761</v>
      </c>
      <c r="G1376" t="s">
        <v>756</v>
      </c>
      <c r="H1376">
        <v>8622</v>
      </c>
      <c r="I1376" t="s">
        <v>1756</v>
      </c>
    </row>
    <row r="1377" spans="1:9">
      <c r="A1377" s="71">
        <v>44763</v>
      </c>
      <c r="B1377" t="s">
        <v>385</v>
      </c>
      <c r="F1377" s="86">
        <v>1565</v>
      </c>
      <c r="G1377" t="s">
        <v>756</v>
      </c>
      <c r="H1377">
        <v>8621</v>
      </c>
      <c r="I1377" t="s">
        <v>1756</v>
      </c>
    </row>
    <row r="1378" spans="1:9">
      <c r="A1378" s="71">
        <v>44767</v>
      </c>
      <c r="B1378" t="s">
        <v>800</v>
      </c>
      <c r="D1378" t="s">
        <v>2838</v>
      </c>
      <c r="G1378" t="s">
        <v>756</v>
      </c>
      <c r="H1378">
        <v>8999</v>
      </c>
      <c r="I1378" t="s">
        <v>1381</v>
      </c>
    </row>
    <row r="1379" spans="1:9">
      <c r="A1379" s="71">
        <v>44767</v>
      </c>
      <c r="B1379" t="s">
        <v>691</v>
      </c>
      <c r="D1379" t="s">
        <v>2839</v>
      </c>
      <c r="G1379" t="s">
        <v>756</v>
      </c>
      <c r="H1379">
        <v>8998</v>
      </c>
      <c r="I1379" t="s">
        <v>1381</v>
      </c>
    </row>
    <row r="1380" spans="1:9">
      <c r="A1380" s="71">
        <v>44767</v>
      </c>
      <c r="B1380" t="s">
        <v>390</v>
      </c>
      <c r="D1380" t="s">
        <v>2840</v>
      </c>
      <c r="F1380" s="86">
        <v>6216</v>
      </c>
      <c r="G1380" t="s">
        <v>756</v>
      </c>
      <c r="H1380">
        <v>8911</v>
      </c>
      <c r="I1380" t="s">
        <v>2779</v>
      </c>
    </row>
    <row r="1381" spans="1:9">
      <c r="A1381" s="71">
        <v>44768</v>
      </c>
      <c r="B1381" t="s">
        <v>175</v>
      </c>
      <c r="D1381" t="s">
        <v>2841</v>
      </c>
      <c r="F1381" s="86">
        <v>4654</v>
      </c>
      <c r="G1381" t="s">
        <v>756</v>
      </c>
      <c r="H1381">
        <v>7799</v>
      </c>
      <c r="I1381" t="s">
        <v>1339</v>
      </c>
    </row>
    <row r="1382" spans="1:9">
      <c r="A1382" s="71">
        <v>44770</v>
      </c>
      <c r="B1382" t="s">
        <v>390</v>
      </c>
      <c r="D1382" t="s">
        <v>2842</v>
      </c>
      <c r="F1382" s="86">
        <v>6216</v>
      </c>
      <c r="G1382" t="s">
        <v>756</v>
      </c>
      <c r="H1382">
        <v>8913</v>
      </c>
      <c r="I1382" t="s">
        <v>2779</v>
      </c>
    </row>
    <row r="1383" spans="1:9">
      <c r="A1383" s="71">
        <v>44771</v>
      </c>
      <c r="B1383" t="s">
        <v>2843</v>
      </c>
      <c r="D1383" t="s">
        <v>2844</v>
      </c>
      <c r="G1383" t="s">
        <v>756</v>
      </c>
      <c r="H1383">
        <v>8629</v>
      </c>
      <c r="I1383" t="s">
        <v>1756</v>
      </c>
    </row>
    <row r="1384" spans="1:9">
      <c r="A1384" s="71">
        <v>44774</v>
      </c>
      <c r="B1384" t="s">
        <v>336</v>
      </c>
      <c r="D1384" t="s">
        <v>2845</v>
      </c>
      <c r="F1384" s="86">
        <v>9340</v>
      </c>
      <c r="G1384" t="s">
        <v>756</v>
      </c>
      <c r="H1384">
        <v>8630</v>
      </c>
      <c r="I1384" t="s">
        <v>1756</v>
      </c>
    </row>
    <row r="1385" spans="1:9">
      <c r="A1385" s="71">
        <v>44774</v>
      </c>
      <c r="B1385" t="s">
        <v>334</v>
      </c>
      <c r="D1385" t="s">
        <v>2846</v>
      </c>
      <c r="F1385" s="86">
        <v>19253</v>
      </c>
      <c r="G1385" t="s">
        <v>756</v>
      </c>
      <c r="H1385">
        <v>8632</v>
      </c>
      <c r="I1385" t="s">
        <v>1756</v>
      </c>
    </row>
    <row r="1386" spans="1:9">
      <c r="A1386" s="71">
        <v>44774</v>
      </c>
      <c r="B1386" t="s">
        <v>176</v>
      </c>
      <c r="D1386" t="s">
        <v>2847</v>
      </c>
      <c r="F1386" s="86">
        <v>4467</v>
      </c>
      <c r="G1386" t="s">
        <v>756</v>
      </c>
      <c r="I1386" t="s">
        <v>1341</v>
      </c>
    </row>
    <row r="1387" spans="1:9">
      <c r="A1387" s="71">
        <v>44775</v>
      </c>
      <c r="B1387" t="s">
        <v>334</v>
      </c>
      <c r="D1387" t="s">
        <v>2848</v>
      </c>
      <c r="F1387" s="86">
        <v>19253</v>
      </c>
      <c r="G1387" t="s">
        <v>756</v>
      </c>
      <c r="H1387">
        <v>8633</v>
      </c>
      <c r="I1387" t="s">
        <v>1756</v>
      </c>
    </row>
    <row r="1388" spans="1:9">
      <c r="A1388" s="71">
        <v>44775</v>
      </c>
      <c r="B1388" t="s">
        <v>188</v>
      </c>
      <c r="D1388" t="s">
        <v>2849</v>
      </c>
      <c r="G1388" t="s">
        <v>756</v>
      </c>
      <c r="H1388">
        <v>8831</v>
      </c>
      <c r="I1388" t="s">
        <v>1381</v>
      </c>
    </row>
    <row r="1389" spans="1:9">
      <c r="A1389" s="71">
        <v>44776</v>
      </c>
      <c r="B1389" t="s">
        <v>330</v>
      </c>
      <c r="D1389" t="s">
        <v>2850</v>
      </c>
      <c r="F1389" s="86">
        <v>6284</v>
      </c>
      <c r="G1389" t="s">
        <v>756</v>
      </c>
      <c r="H1389">
        <v>8637</v>
      </c>
      <c r="I1389" t="s">
        <v>1756</v>
      </c>
    </row>
    <row r="1390" spans="1:9">
      <c r="A1390" s="71">
        <v>44776</v>
      </c>
      <c r="B1390" t="s">
        <v>185</v>
      </c>
      <c r="D1390" t="s">
        <v>2851</v>
      </c>
      <c r="G1390" t="s">
        <v>756</v>
      </c>
      <c r="H1390">
        <v>8241</v>
      </c>
      <c r="I1390" t="s">
        <v>1347</v>
      </c>
    </row>
    <row r="1391" spans="1:9">
      <c r="A1391" s="71">
        <v>44777</v>
      </c>
      <c r="B1391" t="s">
        <v>362</v>
      </c>
      <c r="D1391" t="s">
        <v>2852</v>
      </c>
      <c r="F1391" s="86">
        <v>11600</v>
      </c>
      <c r="G1391" t="s">
        <v>756</v>
      </c>
      <c r="H1391">
        <v>8639</v>
      </c>
      <c r="I1391" t="s">
        <v>1756</v>
      </c>
    </row>
    <row r="1392" spans="1:9">
      <c r="A1392" s="71">
        <v>44778</v>
      </c>
      <c r="B1392" t="s">
        <v>157</v>
      </c>
      <c r="D1392" t="s">
        <v>2853</v>
      </c>
      <c r="G1392" t="s">
        <v>756</v>
      </c>
      <c r="H1392">
        <v>8845</v>
      </c>
      <c r="I1392" t="s">
        <v>1381</v>
      </c>
    </row>
    <row r="1393" spans="1:9">
      <c r="A1393" s="71">
        <v>44781</v>
      </c>
      <c r="B1393" t="s">
        <v>42</v>
      </c>
      <c r="D1393" t="s">
        <v>2854</v>
      </c>
      <c r="G1393" t="s">
        <v>756</v>
      </c>
      <c r="H1393">
        <v>8850</v>
      </c>
      <c r="I1393" t="s">
        <v>1381</v>
      </c>
    </row>
    <row r="1394" spans="1:9">
      <c r="A1394" s="71">
        <v>44781</v>
      </c>
      <c r="B1394" t="s">
        <v>569</v>
      </c>
      <c r="D1394" t="s">
        <v>2855</v>
      </c>
      <c r="G1394" t="s">
        <v>756</v>
      </c>
      <c r="H1394">
        <v>8641</v>
      </c>
      <c r="I1394" t="s">
        <v>1756</v>
      </c>
    </row>
    <row r="1395" spans="1:9">
      <c r="A1395" s="71">
        <v>44782</v>
      </c>
      <c r="B1395" t="s">
        <v>336</v>
      </c>
      <c r="D1395" t="s">
        <v>2856</v>
      </c>
      <c r="G1395" t="s">
        <v>756</v>
      </c>
      <c r="H1395">
        <v>9052</v>
      </c>
      <c r="I1395" t="s">
        <v>1381</v>
      </c>
    </row>
    <row r="1396" spans="1:9">
      <c r="A1396" s="71">
        <v>44783</v>
      </c>
      <c r="B1396" t="s">
        <v>65</v>
      </c>
      <c r="D1396" t="s">
        <v>2857</v>
      </c>
      <c r="G1396" t="s">
        <v>756</v>
      </c>
      <c r="H1396">
        <v>11437</v>
      </c>
      <c r="I1396" t="s">
        <v>2779</v>
      </c>
    </row>
    <row r="1397" spans="1:9">
      <c r="A1397" s="71">
        <v>44783</v>
      </c>
      <c r="B1397" t="s">
        <v>362</v>
      </c>
      <c r="D1397" t="s">
        <v>2858</v>
      </c>
      <c r="F1397" s="86">
        <v>11620</v>
      </c>
      <c r="G1397" t="s">
        <v>756</v>
      </c>
      <c r="H1397">
        <v>9056</v>
      </c>
      <c r="I1397" t="s">
        <v>1381</v>
      </c>
    </row>
    <row r="1398" spans="1:9">
      <c r="A1398" s="71">
        <v>44784</v>
      </c>
      <c r="B1398" t="s">
        <v>2859</v>
      </c>
      <c r="D1398" t="s">
        <v>2860</v>
      </c>
      <c r="G1398" t="s">
        <v>756</v>
      </c>
      <c r="H1398">
        <v>8647</v>
      </c>
      <c r="I1398" t="s">
        <v>1756</v>
      </c>
    </row>
    <row r="1399" spans="1:9">
      <c r="A1399" s="71">
        <v>44789</v>
      </c>
      <c r="B1399" t="s">
        <v>48</v>
      </c>
      <c r="D1399" t="s">
        <v>2861</v>
      </c>
      <c r="G1399" t="s">
        <v>756</v>
      </c>
      <c r="H1399">
        <v>8526</v>
      </c>
      <c r="I1399" t="s">
        <v>1341</v>
      </c>
    </row>
    <row r="1400" spans="1:9">
      <c r="A1400" s="71">
        <v>44790</v>
      </c>
      <c r="B1400" t="s">
        <v>330</v>
      </c>
      <c r="D1400" t="s">
        <v>2862</v>
      </c>
      <c r="F1400" s="86">
        <v>6301</v>
      </c>
      <c r="G1400" t="s">
        <v>756</v>
      </c>
      <c r="H1400">
        <v>9077</v>
      </c>
      <c r="I1400" t="s">
        <v>1381</v>
      </c>
    </row>
    <row r="1401" spans="1:9">
      <c r="A1401" s="71">
        <v>44790</v>
      </c>
      <c r="B1401" t="s">
        <v>157</v>
      </c>
      <c r="D1401" t="s">
        <v>2863</v>
      </c>
      <c r="F1401" s="89">
        <v>46087</v>
      </c>
      <c r="G1401" t="s">
        <v>756</v>
      </c>
      <c r="H1401">
        <v>8753</v>
      </c>
      <c r="I1401" t="s">
        <v>1756</v>
      </c>
    </row>
    <row r="1402" spans="1:9">
      <c r="A1402" s="71">
        <v>44790</v>
      </c>
      <c r="B1402" t="s">
        <v>146</v>
      </c>
      <c r="D1402" t="s">
        <v>2864</v>
      </c>
      <c r="G1402" t="s">
        <v>756</v>
      </c>
      <c r="H1402">
        <v>8752</v>
      </c>
      <c r="I1402" t="s">
        <v>1756</v>
      </c>
    </row>
    <row r="1403" spans="1:9">
      <c r="A1403" s="71">
        <v>44791</v>
      </c>
      <c r="B1403" t="s">
        <v>390</v>
      </c>
      <c r="D1403" t="s">
        <v>2865</v>
      </c>
      <c r="F1403" s="86">
        <v>6261</v>
      </c>
      <c r="G1403" t="s">
        <v>756</v>
      </c>
      <c r="H1403">
        <v>8755</v>
      </c>
      <c r="I1403" t="s">
        <v>1756</v>
      </c>
    </row>
    <row r="1404" spans="1:9">
      <c r="A1404" s="71">
        <v>44791</v>
      </c>
      <c r="B1404" t="s">
        <v>591</v>
      </c>
      <c r="D1404" t="s">
        <v>2866</v>
      </c>
      <c r="G1404" t="s">
        <v>756</v>
      </c>
      <c r="H1404">
        <v>8754</v>
      </c>
      <c r="I1404" t="s">
        <v>1756</v>
      </c>
    </row>
    <row r="1405" spans="1:9">
      <c r="A1405" s="71">
        <v>44792</v>
      </c>
      <c r="B1405" t="s">
        <v>188</v>
      </c>
      <c r="D1405" t="s">
        <v>2867</v>
      </c>
      <c r="G1405" t="s">
        <v>756</v>
      </c>
      <c r="H1405">
        <v>8757</v>
      </c>
      <c r="I1405" t="s">
        <v>1756</v>
      </c>
    </row>
    <row r="1406" spans="1:9">
      <c r="A1406" s="71">
        <v>44792</v>
      </c>
      <c r="B1406" t="s">
        <v>390</v>
      </c>
      <c r="D1406" t="s">
        <v>2731</v>
      </c>
      <c r="F1406" s="86">
        <v>6261</v>
      </c>
      <c r="G1406" t="s">
        <v>756</v>
      </c>
      <c r="H1406">
        <v>8756</v>
      </c>
      <c r="I1406" t="s">
        <v>1756</v>
      </c>
    </row>
    <row r="1407" spans="1:9">
      <c r="A1407" s="71">
        <v>44795</v>
      </c>
      <c r="B1407" t="s">
        <v>691</v>
      </c>
      <c r="D1407" t="s">
        <v>2868</v>
      </c>
      <c r="G1407" t="s">
        <v>756</v>
      </c>
      <c r="H1407">
        <v>9108</v>
      </c>
      <c r="I1407" t="s">
        <v>1381</v>
      </c>
    </row>
    <row r="1408" spans="1:9">
      <c r="A1408" s="71">
        <v>44795</v>
      </c>
      <c r="B1408" t="s">
        <v>25</v>
      </c>
      <c r="D1408" t="s">
        <v>2869</v>
      </c>
      <c r="F1408" s="86">
        <v>4445</v>
      </c>
      <c r="G1408" t="s">
        <v>756</v>
      </c>
      <c r="H1408">
        <v>8759</v>
      </c>
      <c r="I1408" t="s">
        <v>1756</v>
      </c>
    </row>
    <row r="1409" spans="1:9">
      <c r="A1409" s="71">
        <v>44795</v>
      </c>
      <c r="B1409" t="s">
        <v>369</v>
      </c>
      <c r="D1409" t="s">
        <v>2870</v>
      </c>
      <c r="F1409" s="86">
        <v>10289</v>
      </c>
      <c r="G1409" t="s">
        <v>756</v>
      </c>
      <c r="H1409">
        <v>8758</v>
      </c>
      <c r="I1409" t="s">
        <v>1756</v>
      </c>
    </row>
    <row r="1410" spans="1:9">
      <c r="A1410" s="71">
        <v>44796</v>
      </c>
      <c r="B1410" t="s">
        <v>25</v>
      </c>
      <c r="D1410" t="s">
        <v>2871</v>
      </c>
      <c r="F1410" s="86">
        <v>4450</v>
      </c>
      <c r="G1410" t="s">
        <v>756</v>
      </c>
      <c r="H1410">
        <v>8761</v>
      </c>
      <c r="I1410" t="s">
        <v>1756</v>
      </c>
    </row>
    <row r="1411" spans="1:9">
      <c r="A1411" s="71">
        <v>44796</v>
      </c>
      <c r="B1411" t="s">
        <v>365</v>
      </c>
      <c r="D1411" t="s">
        <v>2872</v>
      </c>
      <c r="F1411" s="86">
        <v>10772</v>
      </c>
      <c r="G1411" t="s">
        <v>756</v>
      </c>
      <c r="H1411">
        <v>8760</v>
      </c>
      <c r="I1411" t="s">
        <v>1756</v>
      </c>
    </row>
    <row r="1412" spans="1:9">
      <c r="A1412" s="71">
        <v>44797</v>
      </c>
      <c r="B1412" t="s">
        <v>185</v>
      </c>
      <c r="D1412" t="s">
        <v>2873</v>
      </c>
      <c r="G1412" t="s">
        <v>756</v>
      </c>
      <c r="H1412" t="s">
        <v>791</v>
      </c>
      <c r="I1412" t="s">
        <v>1822</v>
      </c>
    </row>
    <row r="1413" spans="1:9">
      <c r="A1413" s="71">
        <v>44797</v>
      </c>
      <c r="B1413" t="s">
        <v>2874</v>
      </c>
      <c r="D1413" t="s">
        <v>2875</v>
      </c>
      <c r="G1413" t="s">
        <v>756</v>
      </c>
      <c r="H1413">
        <v>8762</v>
      </c>
      <c r="I1413" t="s">
        <v>1756</v>
      </c>
    </row>
    <row r="1414" spans="1:9">
      <c r="A1414" s="71">
        <v>44798</v>
      </c>
      <c r="B1414" t="s">
        <v>691</v>
      </c>
      <c r="D1414" t="s">
        <v>2876</v>
      </c>
      <c r="G1414" t="s">
        <v>756</v>
      </c>
      <c r="H1414">
        <v>9123</v>
      </c>
      <c r="I1414" t="s">
        <v>1381</v>
      </c>
    </row>
    <row r="1415" spans="1:9">
      <c r="A1415" s="71">
        <v>44798</v>
      </c>
      <c r="B1415" t="s">
        <v>383</v>
      </c>
      <c r="D1415" t="s">
        <v>2877</v>
      </c>
      <c r="F1415" s="86">
        <v>1596</v>
      </c>
      <c r="G1415" t="s">
        <v>756</v>
      </c>
      <c r="H1415">
        <v>8766</v>
      </c>
      <c r="I1415" t="s">
        <v>1756</v>
      </c>
    </row>
    <row r="1416" spans="1:9">
      <c r="A1416" s="71">
        <v>44802</v>
      </c>
      <c r="B1416" t="s">
        <v>42</v>
      </c>
      <c r="D1416" t="s">
        <v>2878</v>
      </c>
      <c r="G1416" t="s">
        <v>756</v>
      </c>
      <c r="H1416">
        <v>9132</v>
      </c>
      <c r="I1416" t="s">
        <v>1381</v>
      </c>
    </row>
    <row r="1417" spans="1:9">
      <c r="A1417" s="71">
        <v>44802</v>
      </c>
      <c r="B1417" t="s">
        <v>800</v>
      </c>
      <c r="D1417" t="s">
        <v>2879</v>
      </c>
      <c r="G1417" t="s">
        <v>756</v>
      </c>
      <c r="H1417">
        <v>9127</v>
      </c>
      <c r="I1417" t="s">
        <v>1381</v>
      </c>
    </row>
    <row r="1418" spans="1:9">
      <c r="A1418" s="71">
        <v>44803</v>
      </c>
      <c r="B1418" t="s">
        <v>334</v>
      </c>
      <c r="D1418" t="s">
        <v>2880</v>
      </c>
      <c r="F1418" s="86">
        <v>19430</v>
      </c>
      <c r="G1418" t="s">
        <v>756</v>
      </c>
      <c r="H1418">
        <v>9128</v>
      </c>
      <c r="I1418" t="s">
        <v>1756</v>
      </c>
    </row>
    <row r="1419" spans="1:9">
      <c r="A1419" s="71">
        <v>44803</v>
      </c>
      <c r="B1419" t="s">
        <v>180</v>
      </c>
      <c r="D1419" t="s">
        <v>2881</v>
      </c>
      <c r="F1419" s="86">
        <v>4970</v>
      </c>
      <c r="G1419" t="s">
        <v>756</v>
      </c>
      <c r="H1419">
        <v>7800</v>
      </c>
      <c r="I1419" t="s">
        <v>1339</v>
      </c>
    </row>
    <row r="1420" spans="1:9">
      <c r="A1420" s="71">
        <v>44804</v>
      </c>
      <c r="B1420" t="s">
        <v>800</v>
      </c>
      <c r="D1420" t="s">
        <v>2882</v>
      </c>
      <c r="G1420" t="s">
        <v>756</v>
      </c>
      <c r="H1420">
        <v>9129</v>
      </c>
      <c r="I1420" t="s">
        <v>1381</v>
      </c>
    </row>
    <row r="1421" spans="1:9">
      <c r="A1421" s="71">
        <v>44805</v>
      </c>
      <c r="B1421" t="s">
        <v>800</v>
      </c>
      <c r="D1421" t="s">
        <v>2883</v>
      </c>
      <c r="G1421" t="s">
        <v>756</v>
      </c>
      <c r="H1421">
        <v>9130</v>
      </c>
      <c r="I1421" t="s">
        <v>1381</v>
      </c>
    </row>
    <row r="1422" spans="1:9">
      <c r="A1422" s="71">
        <v>44806</v>
      </c>
      <c r="B1422" t="s">
        <v>318</v>
      </c>
      <c r="D1422" t="s">
        <v>2884</v>
      </c>
      <c r="F1422" s="86">
        <v>9529</v>
      </c>
      <c r="G1422" t="s">
        <v>756</v>
      </c>
      <c r="H1422">
        <v>9303</v>
      </c>
      <c r="I1422" t="s">
        <v>1339</v>
      </c>
    </row>
    <row r="1423" spans="1:9">
      <c r="A1423" s="71">
        <v>44809</v>
      </c>
      <c r="B1423" t="s">
        <v>180</v>
      </c>
      <c r="D1423" t="s">
        <v>2885</v>
      </c>
      <c r="G1423" t="s">
        <v>756</v>
      </c>
      <c r="H1423">
        <v>9086</v>
      </c>
      <c r="I1423" t="s">
        <v>1381</v>
      </c>
    </row>
    <row r="1424" spans="1:9">
      <c r="A1424" s="71">
        <v>44810</v>
      </c>
      <c r="B1424" t="s">
        <v>42</v>
      </c>
      <c r="D1424" t="s">
        <v>2886</v>
      </c>
      <c r="G1424" t="s">
        <v>756</v>
      </c>
      <c r="H1424">
        <v>9087</v>
      </c>
      <c r="I1424" t="s">
        <v>1381</v>
      </c>
    </row>
    <row r="1425" spans="1:9">
      <c r="A1425" s="71">
        <v>44813</v>
      </c>
      <c r="B1425" t="s">
        <v>334</v>
      </c>
      <c r="D1425" t="s">
        <v>2887</v>
      </c>
      <c r="F1425" s="86">
        <v>19497</v>
      </c>
      <c r="G1425" t="s">
        <v>756</v>
      </c>
      <c r="H1425">
        <v>9093</v>
      </c>
      <c r="I1425" t="s">
        <v>1381</v>
      </c>
    </row>
    <row r="1426" spans="1:9">
      <c r="A1426" s="71">
        <v>44813</v>
      </c>
      <c r="B1426" t="s">
        <v>328</v>
      </c>
      <c r="D1426" t="s">
        <v>2888</v>
      </c>
      <c r="F1426" s="86">
        <v>76954</v>
      </c>
      <c r="G1426" t="s">
        <v>756</v>
      </c>
      <c r="H1426">
        <v>11010</v>
      </c>
      <c r="I1426" t="s">
        <v>1330</v>
      </c>
    </row>
    <row r="1427" spans="1:9">
      <c r="A1427" s="71">
        <v>44813</v>
      </c>
      <c r="B1427" t="s">
        <v>689</v>
      </c>
      <c r="D1427" t="s">
        <v>2889</v>
      </c>
      <c r="F1427" s="86" t="s">
        <v>2890</v>
      </c>
      <c r="G1427" t="s">
        <v>756</v>
      </c>
      <c r="H1427">
        <v>9094</v>
      </c>
      <c r="I1427" t="s">
        <v>1381</v>
      </c>
    </row>
    <row r="1428" spans="1:9">
      <c r="A1428" s="71">
        <v>44813</v>
      </c>
      <c r="B1428" t="s">
        <v>48</v>
      </c>
      <c r="D1428" t="s">
        <v>2891</v>
      </c>
      <c r="G1428" t="s">
        <v>756</v>
      </c>
      <c r="H1428">
        <v>7085</v>
      </c>
      <c r="I1428" t="s">
        <v>1598</v>
      </c>
    </row>
    <row r="1429" spans="1:9">
      <c r="A1429" s="71">
        <v>44817</v>
      </c>
      <c r="B1429" t="s">
        <v>391</v>
      </c>
      <c r="D1429" t="s">
        <v>2892</v>
      </c>
      <c r="F1429" s="86">
        <v>15775</v>
      </c>
      <c r="G1429" t="s">
        <v>756</v>
      </c>
      <c r="H1429">
        <v>9306</v>
      </c>
      <c r="I1429" t="s">
        <v>1339</v>
      </c>
    </row>
    <row r="1430" spans="1:9">
      <c r="A1430" s="71">
        <v>44823</v>
      </c>
      <c r="B1430" t="s">
        <v>318</v>
      </c>
      <c r="D1430" t="s">
        <v>2893</v>
      </c>
      <c r="F1430" s="86">
        <v>9501</v>
      </c>
      <c r="G1430" t="s">
        <v>756</v>
      </c>
      <c r="H1430">
        <v>9302</v>
      </c>
      <c r="I1430" t="s">
        <v>1339</v>
      </c>
    </row>
    <row r="1431" spans="1:9">
      <c r="A1431" s="71">
        <v>44826</v>
      </c>
      <c r="B1431" t="s">
        <v>341</v>
      </c>
      <c r="D1431" t="s">
        <v>2894</v>
      </c>
      <c r="F1431" s="86">
        <v>7072</v>
      </c>
      <c r="G1431" t="s">
        <v>756</v>
      </c>
      <c r="H1431">
        <v>9312</v>
      </c>
      <c r="I1431" t="s">
        <v>1339</v>
      </c>
    </row>
    <row r="1432" spans="1:9">
      <c r="A1432" s="71">
        <v>44845</v>
      </c>
      <c r="B1432" t="s">
        <v>2895</v>
      </c>
      <c r="D1432" t="s">
        <v>2896</v>
      </c>
      <c r="F1432" s="86">
        <v>4792</v>
      </c>
      <c r="G1432" t="s">
        <v>756</v>
      </c>
      <c r="H1432">
        <v>7379</v>
      </c>
      <c r="I1432" t="s">
        <v>2779</v>
      </c>
    </row>
    <row r="1433" spans="1:9">
      <c r="A1433" s="71">
        <v>44846</v>
      </c>
      <c r="B1433" t="s">
        <v>368</v>
      </c>
      <c r="D1433" t="s">
        <v>2897</v>
      </c>
      <c r="F1433" s="86">
        <v>2064</v>
      </c>
      <c r="G1433" t="s">
        <v>756</v>
      </c>
      <c r="H1433">
        <v>2064</v>
      </c>
      <c r="I1433" t="s">
        <v>1596</v>
      </c>
    </row>
    <row r="1434" spans="1:9">
      <c r="A1434" s="71">
        <v>44852</v>
      </c>
      <c r="B1434" t="s">
        <v>60</v>
      </c>
      <c r="D1434" t="s">
        <v>2898</v>
      </c>
      <c r="G1434" t="s">
        <v>756</v>
      </c>
      <c r="H1434">
        <v>9322</v>
      </c>
      <c r="I1434" t="s">
        <v>1339</v>
      </c>
    </row>
    <row r="1435" spans="1:9">
      <c r="A1435" s="71">
        <v>44855</v>
      </c>
      <c r="B1435" t="s">
        <v>39</v>
      </c>
      <c r="D1435" t="s">
        <v>2899</v>
      </c>
      <c r="F1435" s="86">
        <v>10458</v>
      </c>
      <c r="G1435" t="s">
        <v>756</v>
      </c>
      <c r="H1435">
        <v>9354</v>
      </c>
      <c r="I1435" t="s">
        <v>1596</v>
      </c>
    </row>
    <row r="1436" spans="1:9">
      <c r="A1436" s="71">
        <v>44858</v>
      </c>
      <c r="B1436" t="s">
        <v>359</v>
      </c>
      <c r="D1436" t="s">
        <v>2900</v>
      </c>
      <c r="F1436" s="86">
        <v>7427</v>
      </c>
      <c r="G1436" t="s">
        <v>756</v>
      </c>
      <c r="H1436">
        <v>9355</v>
      </c>
      <c r="I1436" t="s">
        <v>1596</v>
      </c>
    </row>
    <row r="1437" spans="1:9">
      <c r="A1437" s="71">
        <v>44862</v>
      </c>
      <c r="B1437" t="s">
        <v>352</v>
      </c>
      <c r="D1437" t="s">
        <v>2901</v>
      </c>
      <c r="F1437" s="86">
        <v>8255</v>
      </c>
      <c r="G1437" t="s">
        <v>756</v>
      </c>
      <c r="H1437">
        <v>9326</v>
      </c>
      <c r="I1437" t="s">
        <v>1339</v>
      </c>
    </row>
    <row r="1438" spans="1:9">
      <c r="A1438" s="71">
        <v>44869</v>
      </c>
      <c r="B1438" t="s">
        <v>171</v>
      </c>
      <c r="D1438" t="s">
        <v>2902</v>
      </c>
      <c r="G1438" t="s">
        <v>756</v>
      </c>
      <c r="I1438" t="s">
        <v>1822</v>
      </c>
    </row>
    <row r="1439" spans="1:9">
      <c r="A1439" s="71">
        <v>44872</v>
      </c>
      <c r="B1439" t="s">
        <v>362</v>
      </c>
      <c r="D1439" t="s">
        <v>2903</v>
      </c>
      <c r="F1439" s="86">
        <v>11905</v>
      </c>
      <c r="G1439" t="s">
        <v>756</v>
      </c>
      <c r="H1439">
        <v>9328</v>
      </c>
      <c r="I1439" t="s">
        <v>1339</v>
      </c>
    </row>
    <row r="1440" spans="1:9">
      <c r="A1440" s="71">
        <v>44874</v>
      </c>
      <c r="B1440" t="s">
        <v>39</v>
      </c>
      <c r="D1440" t="s">
        <v>2904</v>
      </c>
      <c r="G1440" t="s">
        <v>756</v>
      </c>
      <c r="H1440">
        <v>9329</v>
      </c>
      <c r="I1440" t="s">
        <v>1339</v>
      </c>
    </row>
    <row r="1441" spans="1:9">
      <c r="A1441" s="71">
        <v>44881</v>
      </c>
      <c r="B1441" t="s">
        <v>330</v>
      </c>
      <c r="D1441" t="s">
        <v>2905</v>
      </c>
      <c r="F1441" s="86">
        <v>6315</v>
      </c>
      <c r="G1441" t="s">
        <v>756</v>
      </c>
      <c r="H1441">
        <v>9333</v>
      </c>
      <c r="I1441" t="s">
        <v>1339</v>
      </c>
    </row>
    <row r="1442" spans="1:9">
      <c r="A1442" s="71">
        <v>44888</v>
      </c>
      <c r="B1442" t="s">
        <v>12</v>
      </c>
      <c r="D1442" t="s">
        <v>2906</v>
      </c>
      <c r="F1442" s="86">
        <v>2472</v>
      </c>
      <c r="G1442" t="s">
        <v>756</v>
      </c>
      <c r="H1442">
        <v>7380</v>
      </c>
      <c r="I1442" t="s">
        <v>1341</v>
      </c>
    </row>
    <row r="1443" spans="1:9">
      <c r="A1443" s="71">
        <v>44892</v>
      </c>
      <c r="B1443" t="s">
        <v>313</v>
      </c>
      <c r="D1443" t="s">
        <v>2907</v>
      </c>
      <c r="F1443" s="86">
        <v>19862</v>
      </c>
      <c r="G1443" t="s">
        <v>756</v>
      </c>
      <c r="H1443">
        <v>10289</v>
      </c>
      <c r="I1443" t="s">
        <v>1487</v>
      </c>
    </row>
    <row r="1444" spans="1:9">
      <c r="A1444" s="71">
        <v>44893</v>
      </c>
      <c r="B1444" t="s">
        <v>48</v>
      </c>
      <c r="D1444" t="s">
        <v>2908</v>
      </c>
      <c r="G1444" t="s">
        <v>756</v>
      </c>
      <c r="H1444">
        <v>9332</v>
      </c>
      <c r="I1444" t="s">
        <v>1339</v>
      </c>
    </row>
    <row r="1445" spans="1:9">
      <c r="A1445" s="71">
        <v>44893</v>
      </c>
      <c r="B1445" t="s">
        <v>373</v>
      </c>
      <c r="D1445" t="s">
        <v>2909</v>
      </c>
      <c r="F1445" s="86">
        <v>2981</v>
      </c>
      <c r="G1445" t="s">
        <v>756</v>
      </c>
      <c r="H1445">
        <v>9331</v>
      </c>
      <c r="I1445" t="s">
        <v>1339</v>
      </c>
    </row>
    <row r="1446" spans="1:9">
      <c r="A1446" s="71">
        <v>44904</v>
      </c>
      <c r="B1446" t="s">
        <v>389</v>
      </c>
      <c r="D1446" t="s">
        <v>2910</v>
      </c>
      <c r="G1446" t="s">
        <v>756</v>
      </c>
      <c r="I1446" t="s">
        <v>2779</v>
      </c>
    </row>
    <row r="1447" spans="1:9">
      <c r="A1447" s="71">
        <v>44929</v>
      </c>
      <c r="B1447" t="s">
        <v>191</v>
      </c>
      <c r="D1447" t="s">
        <v>2911</v>
      </c>
      <c r="G1447" t="s">
        <v>756</v>
      </c>
      <c r="H1447">
        <v>10240</v>
      </c>
      <c r="I1447" t="s">
        <v>2779</v>
      </c>
    </row>
    <row r="1448" spans="1:9">
      <c r="A1448" s="71">
        <v>44935</v>
      </c>
      <c r="B1448" t="s">
        <v>2223</v>
      </c>
      <c r="D1448" t="s">
        <v>2912</v>
      </c>
      <c r="F1448" s="86">
        <v>44935</v>
      </c>
      <c r="G1448" t="s">
        <v>756</v>
      </c>
      <c r="H1448">
        <v>9951</v>
      </c>
      <c r="I1448" t="s">
        <v>2779</v>
      </c>
    </row>
    <row r="1449" spans="1:9">
      <c r="A1449" s="71">
        <v>44936</v>
      </c>
      <c r="B1449" t="s">
        <v>368</v>
      </c>
      <c r="D1449" t="s">
        <v>2913</v>
      </c>
      <c r="G1449" t="s">
        <v>756</v>
      </c>
      <c r="H1449">
        <v>9952</v>
      </c>
      <c r="I1449" t="s">
        <v>1596</v>
      </c>
    </row>
    <row r="1450" spans="1:9">
      <c r="A1450" s="71">
        <v>44939</v>
      </c>
      <c r="B1450" t="s">
        <v>163</v>
      </c>
      <c r="D1450" t="s">
        <v>2914</v>
      </c>
      <c r="G1450" t="s">
        <v>756</v>
      </c>
      <c r="H1450">
        <v>9956</v>
      </c>
      <c r="I1450" t="s">
        <v>1596</v>
      </c>
    </row>
    <row r="1451" spans="1:9">
      <c r="A1451" s="71">
        <v>44943</v>
      </c>
      <c r="B1451" t="s">
        <v>311</v>
      </c>
      <c r="D1451" t="s">
        <v>2915</v>
      </c>
      <c r="G1451" t="s">
        <v>756</v>
      </c>
      <c r="H1451">
        <v>9959</v>
      </c>
      <c r="I1451" t="s">
        <v>1596</v>
      </c>
    </row>
    <row r="1452" spans="1:9">
      <c r="A1452" s="71">
        <v>44945</v>
      </c>
      <c r="B1452" t="s">
        <v>163</v>
      </c>
      <c r="D1452" t="s">
        <v>2916</v>
      </c>
      <c r="G1452" t="s">
        <v>756</v>
      </c>
      <c r="H1452">
        <v>9961</v>
      </c>
      <c r="I1452" t="s">
        <v>1596</v>
      </c>
    </row>
    <row r="1453" spans="1:9">
      <c r="A1453" s="71">
        <v>44956</v>
      </c>
      <c r="B1453" t="s">
        <v>162</v>
      </c>
      <c r="D1453" t="s">
        <v>2917</v>
      </c>
      <c r="G1453" t="s">
        <v>756</v>
      </c>
      <c r="H1453">
        <v>10231</v>
      </c>
      <c r="I1453" t="s">
        <v>2779</v>
      </c>
    </row>
    <row r="1454" spans="1:9">
      <c r="A1454" s="71">
        <v>44957</v>
      </c>
      <c r="B1454" t="s">
        <v>159</v>
      </c>
      <c r="D1454" t="s">
        <v>2918</v>
      </c>
      <c r="G1454" t="s">
        <v>756</v>
      </c>
      <c r="H1454">
        <v>10233</v>
      </c>
      <c r="I1454" t="s">
        <v>1330</v>
      </c>
    </row>
    <row r="1455" spans="1:9">
      <c r="A1455" s="71">
        <v>44957</v>
      </c>
      <c r="B1455" t="s">
        <v>336</v>
      </c>
      <c r="D1455" t="s">
        <v>2919</v>
      </c>
      <c r="F1455" s="86">
        <v>9743</v>
      </c>
      <c r="G1455" t="s">
        <v>756</v>
      </c>
      <c r="H1455">
        <v>8350</v>
      </c>
      <c r="I1455" t="s">
        <v>1487</v>
      </c>
    </row>
    <row r="1456" spans="1:9">
      <c r="A1456" s="71">
        <v>44963</v>
      </c>
      <c r="B1456" t="s">
        <v>336</v>
      </c>
      <c r="D1456" t="s">
        <v>2920</v>
      </c>
      <c r="G1456" t="s">
        <v>756</v>
      </c>
      <c r="H1456">
        <v>10244</v>
      </c>
      <c r="I1456" t="s">
        <v>2779</v>
      </c>
    </row>
    <row r="1457" spans="1:9">
      <c r="A1457" s="71">
        <v>44963</v>
      </c>
      <c r="B1457" t="s">
        <v>12</v>
      </c>
      <c r="D1457" t="s">
        <v>2921</v>
      </c>
      <c r="F1457" s="86">
        <v>3220</v>
      </c>
      <c r="G1457" t="s">
        <v>756</v>
      </c>
      <c r="H1457">
        <v>10243</v>
      </c>
      <c r="I1457" t="s">
        <v>2779</v>
      </c>
    </row>
    <row r="1458" spans="1:9">
      <c r="A1458" s="71">
        <v>44963</v>
      </c>
      <c r="B1458" t="s">
        <v>691</v>
      </c>
      <c r="D1458" t="s">
        <v>2922</v>
      </c>
      <c r="G1458" t="s">
        <v>756</v>
      </c>
      <c r="H1458">
        <v>9582</v>
      </c>
      <c r="I1458" t="s">
        <v>1381</v>
      </c>
    </row>
    <row r="1459" spans="1:9">
      <c r="A1459" s="71">
        <v>44964</v>
      </c>
      <c r="B1459" t="s">
        <v>159</v>
      </c>
      <c r="D1459" t="s">
        <v>2923</v>
      </c>
      <c r="G1459" t="s">
        <v>756</v>
      </c>
      <c r="H1459">
        <v>9583</v>
      </c>
      <c r="I1459" t="s">
        <v>1381</v>
      </c>
    </row>
    <row r="1460" spans="1:9">
      <c r="A1460" s="71">
        <v>44964</v>
      </c>
      <c r="B1460" t="s">
        <v>373</v>
      </c>
      <c r="D1460" t="s">
        <v>2924</v>
      </c>
      <c r="F1460" s="86">
        <v>3199.7</v>
      </c>
      <c r="G1460" t="s">
        <v>756</v>
      </c>
      <c r="H1460">
        <v>10242</v>
      </c>
      <c r="I1460" t="s">
        <v>1487</v>
      </c>
    </row>
    <row r="1461" spans="1:9">
      <c r="A1461" s="71">
        <v>44964</v>
      </c>
      <c r="B1461" t="s">
        <v>42</v>
      </c>
      <c r="D1461" t="s">
        <v>2925</v>
      </c>
      <c r="G1461" t="s">
        <v>756</v>
      </c>
      <c r="H1461">
        <v>9584</v>
      </c>
      <c r="I1461" t="s">
        <v>1381</v>
      </c>
    </row>
    <row r="1462" spans="1:9">
      <c r="A1462" s="71">
        <v>44965</v>
      </c>
      <c r="B1462" t="s">
        <v>330</v>
      </c>
      <c r="D1462" t="s">
        <v>2926</v>
      </c>
      <c r="F1462" s="86">
        <v>6328</v>
      </c>
      <c r="G1462" t="s">
        <v>756</v>
      </c>
      <c r="H1462">
        <v>10252</v>
      </c>
      <c r="I1462" t="s">
        <v>1487</v>
      </c>
    </row>
    <row r="1463" spans="1:9">
      <c r="A1463" s="71">
        <v>44965</v>
      </c>
      <c r="B1463" t="s">
        <v>191</v>
      </c>
      <c r="D1463" t="s">
        <v>2927</v>
      </c>
      <c r="G1463" t="s">
        <v>756</v>
      </c>
      <c r="H1463">
        <v>9586</v>
      </c>
      <c r="I1463" t="s">
        <v>1381</v>
      </c>
    </row>
    <row r="1464" spans="1:9">
      <c r="A1464" s="71">
        <v>44965</v>
      </c>
      <c r="B1464" t="s">
        <v>390</v>
      </c>
      <c r="D1464" t="s">
        <v>2928</v>
      </c>
      <c r="G1464" t="s">
        <v>756</v>
      </c>
      <c r="H1464">
        <v>9585</v>
      </c>
      <c r="I1464" t="s">
        <v>1381</v>
      </c>
    </row>
    <row r="1465" spans="1:9">
      <c r="A1465" s="71">
        <v>44966</v>
      </c>
      <c r="B1465" t="s">
        <v>351</v>
      </c>
      <c r="D1465" t="s">
        <v>2929</v>
      </c>
      <c r="G1465" t="s">
        <v>756</v>
      </c>
      <c r="H1465">
        <v>10249</v>
      </c>
      <c r="I1465" t="s">
        <v>2779</v>
      </c>
    </row>
    <row r="1466" spans="1:9">
      <c r="A1466" s="71">
        <v>44966</v>
      </c>
      <c r="B1466" t="s">
        <v>12</v>
      </c>
      <c r="D1466" t="s">
        <v>2930</v>
      </c>
      <c r="F1466" s="86">
        <v>3226</v>
      </c>
      <c r="G1466" t="s">
        <v>756</v>
      </c>
      <c r="H1466">
        <v>10248</v>
      </c>
      <c r="I1466" t="s">
        <v>2779</v>
      </c>
    </row>
    <row r="1467" spans="1:9">
      <c r="A1467" s="71">
        <v>44966</v>
      </c>
      <c r="B1467" t="s">
        <v>12</v>
      </c>
      <c r="D1467" t="s">
        <v>2931</v>
      </c>
      <c r="F1467" s="86">
        <v>3225</v>
      </c>
      <c r="G1467" t="s">
        <v>756</v>
      </c>
      <c r="H1467">
        <v>10246</v>
      </c>
      <c r="I1467" t="s">
        <v>2779</v>
      </c>
    </row>
    <row r="1468" spans="1:9">
      <c r="A1468" s="71">
        <v>44966</v>
      </c>
      <c r="B1468" t="s">
        <v>12</v>
      </c>
      <c r="D1468" t="s">
        <v>2932</v>
      </c>
      <c r="F1468" s="86">
        <v>3226</v>
      </c>
      <c r="G1468" t="s">
        <v>756</v>
      </c>
      <c r="H1468">
        <v>10241</v>
      </c>
      <c r="I1468" t="s">
        <v>2779</v>
      </c>
    </row>
    <row r="1469" spans="1:9">
      <c r="A1469" s="71">
        <v>44966</v>
      </c>
      <c r="B1469" t="s">
        <v>191</v>
      </c>
      <c r="D1469" t="s">
        <v>2933</v>
      </c>
      <c r="F1469" s="86">
        <v>124965</v>
      </c>
      <c r="G1469" t="s">
        <v>756</v>
      </c>
      <c r="H1469">
        <v>9588</v>
      </c>
      <c r="I1469" t="s">
        <v>1381</v>
      </c>
    </row>
    <row r="1470" spans="1:9">
      <c r="A1470" s="71">
        <v>44970</v>
      </c>
      <c r="B1470" t="s">
        <v>25</v>
      </c>
      <c r="D1470" t="s">
        <v>2934</v>
      </c>
      <c r="G1470" t="s">
        <v>756</v>
      </c>
      <c r="H1470">
        <v>10254</v>
      </c>
      <c r="I1470" t="s">
        <v>1487</v>
      </c>
    </row>
    <row r="1471" spans="1:9">
      <c r="A1471" s="71">
        <v>44970</v>
      </c>
      <c r="B1471" t="s">
        <v>146</v>
      </c>
      <c r="D1471" t="s">
        <v>2935</v>
      </c>
      <c r="G1471" t="s">
        <v>756</v>
      </c>
      <c r="H1471">
        <v>9594</v>
      </c>
      <c r="I1471" t="s">
        <v>1381</v>
      </c>
    </row>
    <row r="1472" spans="1:9">
      <c r="A1472" s="71">
        <v>44971</v>
      </c>
      <c r="B1472" t="s">
        <v>162</v>
      </c>
      <c r="D1472" t="s">
        <v>2936</v>
      </c>
      <c r="G1472" t="s">
        <v>756</v>
      </c>
      <c r="H1472">
        <v>10350</v>
      </c>
      <c r="I1472" t="s">
        <v>2779</v>
      </c>
    </row>
    <row r="1473" spans="1:9">
      <c r="A1473" s="71">
        <v>44971</v>
      </c>
      <c r="B1473" t="s">
        <v>159</v>
      </c>
      <c r="D1473" t="s">
        <v>2937</v>
      </c>
      <c r="G1473" t="s">
        <v>756</v>
      </c>
      <c r="H1473">
        <v>9597</v>
      </c>
      <c r="I1473" t="s">
        <v>1381</v>
      </c>
    </row>
    <row r="1474" spans="1:9">
      <c r="A1474" s="71">
        <v>44971</v>
      </c>
      <c r="B1474" t="s">
        <v>39</v>
      </c>
      <c r="D1474" t="s">
        <v>2938</v>
      </c>
      <c r="G1474" t="s">
        <v>756</v>
      </c>
      <c r="H1474">
        <v>9595</v>
      </c>
      <c r="I1474" t="s">
        <v>1381</v>
      </c>
    </row>
    <row r="1475" spans="1:9">
      <c r="A1475" s="71">
        <v>44971</v>
      </c>
      <c r="B1475" t="s">
        <v>29</v>
      </c>
      <c r="D1475" t="s">
        <v>2939</v>
      </c>
      <c r="G1475" t="s">
        <v>756</v>
      </c>
      <c r="H1475">
        <v>13355</v>
      </c>
      <c r="I1475" t="s">
        <v>2779</v>
      </c>
    </row>
    <row r="1476" spans="1:9">
      <c r="A1476" s="71">
        <v>44972</v>
      </c>
      <c r="B1476" t="s">
        <v>362</v>
      </c>
      <c r="D1476" t="s">
        <v>2940</v>
      </c>
      <c r="G1476" t="s">
        <v>756</v>
      </c>
      <c r="H1476">
        <v>9600</v>
      </c>
      <c r="I1476" t="s">
        <v>1381</v>
      </c>
    </row>
    <row r="1477" spans="1:9">
      <c r="A1477" s="71">
        <v>44972</v>
      </c>
      <c r="B1477" t="s">
        <v>35</v>
      </c>
      <c r="D1477" t="s">
        <v>2941</v>
      </c>
      <c r="G1477" t="s">
        <v>756</v>
      </c>
      <c r="H1477">
        <v>10255</v>
      </c>
      <c r="I1477" t="s">
        <v>1487</v>
      </c>
    </row>
    <row r="1478" spans="1:9">
      <c r="A1478" s="71">
        <v>44972</v>
      </c>
      <c r="B1478" t="s">
        <v>146</v>
      </c>
      <c r="D1478" t="s">
        <v>2942</v>
      </c>
      <c r="G1478" t="s">
        <v>756</v>
      </c>
      <c r="H1478">
        <v>9599</v>
      </c>
      <c r="I1478" t="s">
        <v>1381</v>
      </c>
    </row>
    <row r="1479" spans="1:9">
      <c r="A1479" s="71">
        <v>44973</v>
      </c>
      <c r="B1479" t="s">
        <v>351</v>
      </c>
      <c r="D1479" t="s">
        <v>2943</v>
      </c>
      <c r="F1479" s="86">
        <v>7049</v>
      </c>
      <c r="G1479" t="s">
        <v>756</v>
      </c>
      <c r="H1479">
        <v>10356</v>
      </c>
      <c r="I1479" t="s">
        <v>2779</v>
      </c>
    </row>
    <row r="1480" spans="1:9">
      <c r="A1480" s="71">
        <v>44973</v>
      </c>
      <c r="B1480" t="s">
        <v>42</v>
      </c>
      <c r="D1480" t="s">
        <v>2944</v>
      </c>
      <c r="G1480" t="s">
        <v>756</v>
      </c>
      <c r="H1480">
        <v>10103</v>
      </c>
      <c r="I1480" t="s">
        <v>1381</v>
      </c>
    </row>
    <row r="1481" spans="1:9">
      <c r="A1481" s="71">
        <v>44973</v>
      </c>
      <c r="B1481" t="s">
        <v>163</v>
      </c>
      <c r="D1481" t="s">
        <v>2945</v>
      </c>
      <c r="G1481" t="s">
        <v>756</v>
      </c>
      <c r="H1481">
        <v>10101</v>
      </c>
      <c r="I1481" t="s">
        <v>1381</v>
      </c>
    </row>
    <row r="1482" spans="1:9">
      <c r="A1482" s="71">
        <v>44974</v>
      </c>
      <c r="B1482" t="s">
        <v>188</v>
      </c>
      <c r="D1482" t="s">
        <v>2946</v>
      </c>
      <c r="G1482" t="s">
        <v>756</v>
      </c>
      <c r="H1482">
        <v>10105</v>
      </c>
      <c r="I1482" t="s">
        <v>1381</v>
      </c>
    </row>
    <row r="1483" spans="1:9">
      <c r="A1483" s="71">
        <v>44977</v>
      </c>
      <c r="B1483" t="s">
        <v>162</v>
      </c>
      <c r="D1483" t="s">
        <v>2947</v>
      </c>
      <c r="G1483" t="s">
        <v>756</v>
      </c>
      <c r="H1483">
        <v>10357</v>
      </c>
      <c r="I1483" t="s">
        <v>2779</v>
      </c>
    </row>
    <row r="1484" spans="1:9">
      <c r="A1484" s="71">
        <v>44977</v>
      </c>
      <c r="B1484" t="s">
        <v>359</v>
      </c>
      <c r="D1484" t="s">
        <v>2948</v>
      </c>
      <c r="G1484" t="s">
        <v>756</v>
      </c>
      <c r="H1484">
        <v>10106</v>
      </c>
      <c r="I1484" t="s">
        <v>1381</v>
      </c>
    </row>
    <row r="1485" spans="1:9">
      <c r="A1485" s="71">
        <v>44978</v>
      </c>
      <c r="B1485" t="s">
        <v>25</v>
      </c>
      <c r="D1485" t="s">
        <v>2949</v>
      </c>
      <c r="F1485" s="86">
        <v>6599</v>
      </c>
      <c r="G1485" t="s">
        <v>756</v>
      </c>
      <c r="H1485">
        <v>10358</v>
      </c>
      <c r="I1485" t="s">
        <v>2779</v>
      </c>
    </row>
    <row r="1486" spans="1:9">
      <c r="A1486" s="71">
        <v>44979</v>
      </c>
      <c r="B1486" t="s">
        <v>25</v>
      </c>
      <c r="D1486" t="s">
        <v>2950</v>
      </c>
      <c r="G1486" t="s">
        <v>756</v>
      </c>
      <c r="H1486">
        <v>10360</v>
      </c>
      <c r="I1486" t="s">
        <v>2779</v>
      </c>
    </row>
    <row r="1487" spans="1:9">
      <c r="A1487" s="71">
        <v>44979</v>
      </c>
      <c r="B1487" t="s">
        <v>25</v>
      </c>
      <c r="D1487" t="s">
        <v>2951</v>
      </c>
      <c r="G1487" t="s">
        <v>756</v>
      </c>
      <c r="H1487">
        <v>10359</v>
      </c>
      <c r="I1487" t="s">
        <v>2779</v>
      </c>
    </row>
    <row r="1488" spans="1:9">
      <c r="A1488" s="71">
        <v>44979</v>
      </c>
      <c r="B1488" t="s">
        <v>377</v>
      </c>
      <c r="D1488" t="s">
        <v>2952</v>
      </c>
      <c r="F1488" s="86">
        <v>7770</v>
      </c>
      <c r="G1488" t="s">
        <v>756</v>
      </c>
      <c r="H1488">
        <v>10111</v>
      </c>
      <c r="I1488" t="s">
        <v>1381</v>
      </c>
    </row>
    <row r="1489" spans="1:9">
      <c r="A1489" s="71">
        <v>44980</v>
      </c>
      <c r="B1489" t="s">
        <v>396</v>
      </c>
      <c r="D1489" t="s">
        <v>2953</v>
      </c>
      <c r="F1489" s="86">
        <v>5588</v>
      </c>
      <c r="G1489" t="s">
        <v>756</v>
      </c>
      <c r="H1489">
        <v>10113</v>
      </c>
      <c r="I1489" t="s">
        <v>1381</v>
      </c>
    </row>
    <row r="1490" spans="1:9">
      <c r="A1490" s="71">
        <v>44980</v>
      </c>
      <c r="B1490" t="s">
        <v>567</v>
      </c>
      <c r="D1490" t="s">
        <v>2954</v>
      </c>
      <c r="G1490" t="s">
        <v>756</v>
      </c>
      <c r="H1490">
        <v>10114</v>
      </c>
      <c r="I1490" t="s">
        <v>1381</v>
      </c>
    </row>
    <row r="1491" spans="1:9">
      <c r="A1491" s="71">
        <v>44981</v>
      </c>
      <c r="B1491" t="s">
        <v>371</v>
      </c>
      <c r="D1491" t="s">
        <v>2955</v>
      </c>
      <c r="F1491" s="86">
        <v>14579</v>
      </c>
      <c r="G1491" t="s">
        <v>756</v>
      </c>
      <c r="H1491">
        <v>10361</v>
      </c>
      <c r="I1491" t="s">
        <v>2779</v>
      </c>
    </row>
    <row r="1492" spans="1:9">
      <c r="A1492" s="71">
        <v>44985</v>
      </c>
      <c r="B1492" t="s">
        <v>346</v>
      </c>
      <c r="D1492" t="s">
        <v>2956</v>
      </c>
      <c r="F1492" s="86">
        <v>176</v>
      </c>
      <c r="G1492" t="s">
        <v>756</v>
      </c>
      <c r="H1492">
        <v>10124</v>
      </c>
      <c r="I1492" t="s">
        <v>1381</v>
      </c>
    </row>
    <row r="1493" spans="1:9">
      <c r="A1493" s="71">
        <v>44986</v>
      </c>
      <c r="B1493" t="s">
        <v>157</v>
      </c>
      <c r="D1493" t="s">
        <v>2957</v>
      </c>
      <c r="G1493" t="s">
        <v>756</v>
      </c>
      <c r="H1493">
        <v>10126</v>
      </c>
      <c r="I1493" t="s">
        <v>1381</v>
      </c>
    </row>
    <row r="1494" spans="1:9">
      <c r="A1494" s="71">
        <v>44987</v>
      </c>
      <c r="B1494" t="s">
        <v>35</v>
      </c>
      <c r="D1494" t="s">
        <v>2958</v>
      </c>
      <c r="G1494" t="s">
        <v>756</v>
      </c>
      <c r="H1494">
        <v>10258</v>
      </c>
      <c r="I1494" t="s">
        <v>1487</v>
      </c>
    </row>
    <row r="1495" spans="1:9">
      <c r="A1495" s="71">
        <v>44987</v>
      </c>
      <c r="B1495" t="s">
        <v>19</v>
      </c>
      <c r="D1495" t="s">
        <v>2959</v>
      </c>
      <c r="G1495" t="s">
        <v>756</v>
      </c>
      <c r="H1495">
        <v>10257</v>
      </c>
      <c r="I1495" t="s">
        <v>1487</v>
      </c>
    </row>
    <row r="1496" spans="1:9">
      <c r="A1496" s="71">
        <v>44987</v>
      </c>
      <c r="B1496" t="s">
        <v>390</v>
      </c>
      <c r="D1496" t="s">
        <v>2960</v>
      </c>
      <c r="F1496" s="86">
        <v>6640</v>
      </c>
      <c r="G1496" t="s">
        <v>756</v>
      </c>
      <c r="H1496">
        <v>10238</v>
      </c>
      <c r="I1496" t="s">
        <v>1487</v>
      </c>
    </row>
    <row r="1497" spans="1:9">
      <c r="A1497" s="71">
        <v>44987</v>
      </c>
      <c r="B1497" t="s">
        <v>157</v>
      </c>
      <c r="D1497" t="s">
        <v>2961</v>
      </c>
      <c r="F1497" s="86">
        <v>12895</v>
      </c>
      <c r="G1497" t="s">
        <v>756</v>
      </c>
      <c r="H1497">
        <v>10128</v>
      </c>
      <c r="I1497" t="s">
        <v>1381</v>
      </c>
    </row>
    <row r="1498" spans="1:9">
      <c r="A1498" s="71">
        <v>44987</v>
      </c>
      <c r="B1498" t="s">
        <v>391</v>
      </c>
      <c r="D1498" t="s">
        <v>2962</v>
      </c>
      <c r="G1498" t="s">
        <v>756</v>
      </c>
      <c r="H1498">
        <v>10251</v>
      </c>
      <c r="I1498" t="s">
        <v>1487</v>
      </c>
    </row>
    <row r="1499" spans="1:9">
      <c r="A1499" s="71">
        <v>44988</v>
      </c>
      <c r="B1499" t="s">
        <v>318</v>
      </c>
      <c r="D1499" t="s">
        <v>2963</v>
      </c>
      <c r="F1499" s="86">
        <v>8464</v>
      </c>
      <c r="G1499" t="s">
        <v>756</v>
      </c>
      <c r="H1499">
        <v>10367</v>
      </c>
      <c r="I1499" t="s">
        <v>2779</v>
      </c>
    </row>
    <row r="1500" spans="1:9">
      <c r="A1500" s="71">
        <v>44988</v>
      </c>
      <c r="B1500" t="s">
        <v>328</v>
      </c>
      <c r="D1500" t="s">
        <v>2964</v>
      </c>
      <c r="G1500" t="s">
        <v>756</v>
      </c>
      <c r="H1500">
        <v>10130</v>
      </c>
      <c r="I1500" t="s">
        <v>1381</v>
      </c>
    </row>
    <row r="1501" spans="1:9">
      <c r="A1501" s="71">
        <v>44988</v>
      </c>
      <c r="B1501" t="s">
        <v>567</v>
      </c>
      <c r="D1501" t="s">
        <v>2965</v>
      </c>
      <c r="G1501" t="s">
        <v>756</v>
      </c>
      <c r="H1501">
        <v>10131</v>
      </c>
      <c r="I1501" t="s">
        <v>1381</v>
      </c>
    </row>
    <row r="1502" spans="1:9">
      <c r="A1502" s="71">
        <v>44991</v>
      </c>
      <c r="B1502" t="s">
        <v>336</v>
      </c>
      <c r="D1502" t="s">
        <v>2966</v>
      </c>
      <c r="F1502" s="86">
        <v>9744</v>
      </c>
      <c r="G1502" t="s">
        <v>756</v>
      </c>
      <c r="H1502">
        <v>10262</v>
      </c>
      <c r="I1502" t="s">
        <v>1487</v>
      </c>
    </row>
    <row r="1503" spans="1:9">
      <c r="A1503" s="71">
        <v>44991</v>
      </c>
      <c r="B1503" t="s">
        <v>202</v>
      </c>
      <c r="D1503" t="s">
        <v>2967</v>
      </c>
      <c r="G1503" t="s">
        <v>756</v>
      </c>
      <c r="H1503">
        <v>10134</v>
      </c>
      <c r="I1503" t="s">
        <v>1381</v>
      </c>
    </row>
    <row r="1504" spans="1:9">
      <c r="A1504" s="71">
        <v>44991</v>
      </c>
      <c r="B1504" t="s">
        <v>39</v>
      </c>
      <c r="D1504" t="s">
        <v>2968</v>
      </c>
      <c r="G1504" t="s">
        <v>756</v>
      </c>
      <c r="H1504">
        <v>10132</v>
      </c>
      <c r="I1504" t="s">
        <v>1381</v>
      </c>
    </row>
    <row r="1505" spans="1:9">
      <c r="A1505" s="71">
        <v>44992</v>
      </c>
      <c r="B1505" t="s">
        <v>202</v>
      </c>
      <c r="D1505" t="s">
        <v>2969</v>
      </c>
      <c r="G1505" t="s">
        <v>756</v>
      </c>
      <c r="H1505">
        <v>10135</v>
      </c>
      <c r="I1505" t="s">
        <v>1381</v>
      </c>
    </row>
    <row r="1506" spans="1:9">
      <c r="A1506" s="71">
        <v>44993</v>
      </c>
      <c r="B1506" t="s">
        <v>695</v>
      </c>
      <c r="D1506" t="s">
        <v>2970</v>
      </c>
      <c r="F1506" s="86">
        <v>74.3</v>
      </c>
      <c r="G1506" t="s">
        <v>756</v>
      </c>
      <c r="H1506">
        <v>10374</v>
      </c>
      <c r="I1506" t="s">
        <v>2779</v>
      </c>
    </row>
    <row r="1507" spans="1:9">
      <c r="A1507" s="71">
        <v>44994</v>
      </c>
      <c r="B1507" t="s">
        <v>318</v>
      </c>
      <c r="D1507" t="s">
        <v>2971</v>
      </c>
      <c r="F1507" s="86">
        <v>9888</v>
      </c>
      <c r="G1507" t="s">
        <v>756</v>
      </c>
      <c r="H1507">
        <v>19378</v>
      </c>
      <c r="I1507" t="s">
        <v>2779</v>
      </c>
    </row>
    <row r="1508" spans="1:9">
      <c r="A1508" s="71">
        <v>44994</v>
      </c>
      <c r="B1508" t="s">
        <v>377</v>
      </c>
      <c r="D1508" t="s">
        <v>2972</v>
      </c>
      <c r="F1508" s="86">
        <v>7792</v>
      </c>
      <c r="G1508" t="s">
        <v>756</v>
      </c>
      <c r="H1508">
        <v>10261</v>
      </c>
      <c r="I1508" t="s">
        <v>1487</v>
      </c>
    </row>
    <row r="1509" spans="1:9">
      <c r="A1509" s="71">
        <v>44998</v>
      </c>
      <c r="B1509" t="s">
        <v>163</v>
      </c>
      <c r="D1509" t="s">
        <v>2973</v>
      </c>
      <c r="F1509" s="86">
        <v>6376</v>
      </c>
      <c r="G1509" t="s">
        <v>756</v>
      </c>
      <c r="H1509">
        <v>101476</v>
      </c>
      <c r="I1509" t="s">
        <v>1381</v>
      </c>
    </row>
    <row r="1510" spans="1:9">
      <c r="A1510" s="71">
        <v>44998</v>
      </c>
      <c r="B1510" t="s">
        <v>388</v>
      </c>
      <c r="D1510" t="s">
        <v>2974</v>
      </c>
      <c r="G1510" t="s">
        <v>756</v>
      </c>
      <c r="H1510">
        <v>10149</v>
      </c>
      <c r="I1510" t="s">
        <v>1381</v>
      </c>
    </row>
    <row r="1511" spans="1:9">
      <c r="A1511" s="71">
        <v>45000</v>
      </c>
      <c r="B1511" t="s">
        <v>388</v>
      </c>
      <c r="D1511" t="s">
        <v>2975</v>
      </c>
      <c r="G1511" t="s">
        <v>756</v>
      </c>
      <c r="H1511">
        <v>10551</v>
      </c>
      <c r="I1511" t="s">
        <v>1381</v>
      </c>
    </row>
    <row r="1512" spans="1:9">
      <c r="A1512" s="71">
        <v>45002</v>
      </c>
      <c r="B1512" t="s">
        <v>388</v>
      </c>
      <c r="D1512" t="s">
        <v>2976</v>
      </c>
      <c r="F1512" s="86">
        <v>11214</v>
      </c>
      <c r="G1512" t="s">
        <v>756</v>
      </c>
      <c r="H1512">
        <v>10557</v>
      </c>
      <c r="I1512" t="s">
        <v>1381</v>
      </c>
    </row>
    <row r="1513" spans="1:9">
      <c r="A1513" s="71">
        <v>45006</v>
      </c>
      <c r="B1513" t="s">
        <v>388</v>
      </c>
      <c r="D1513" t="s">
        <v>2977</v>
      </c>
      <c r="G1513" t="s">
        <v>756</v>
      </c>
      <c r="H1513">
        <v>10562</v>
      </c>
      <c r="I1513" t="s">
        <v>1381</v>
      </c>
    </row>
    <row r="1514" spans="1:9">
      <c r="A1514" s="71">
        <v>45006</v>
      </c>
      <c r="B1514" t="s">
        <v>596</v>
      </c>
      <c r="D1514" t="s">
        <v>2978</v>
      </c>
      <c r="G1514" t="s">
        <v>756</v>
      </c>
      <c r="H1514">
        <v>10385</v>
      </c>
      <c r="I1514" t="s">
        <v>2779</v>
      </c>
    </row>
    <row r="1515" spans="1:9">
      <c r="A1515" s="71">
        <v>45008</v>
      </c>
      <c r="B1515" t="s">
        <v>146</v>
      </c>
      <c r="D1515" t="s">
        <v>2979</v>
      </c>
      <c r="G1515" t="s">
        <v>756</v>
      </c>
      <c r="H1515">
        <v>10568</v>
      </c>
      <c r="I1515" t="s">
        <v>1381</v>
      </c>
    </row>
    <row r="1516" spans="1:9">
      <c r="A1516" s="71">
        <v>45008</v>
      </c>
      <c r="B1516" t="s">
        <v>12</v>
      </c>
      <c r="D1516" t="s">
        <v>2980</v>
      </c>
      <c r="G1516" t="s">
        <v>756</v>
      </c>
      <c r="I1516" t="s">
        <v>1381</v>
      </c>
    </row>
    <row r="1517" spans="1:9">
      <c r="A1517" s="71">
        <v>45008</v>
      </c>
      <c r="B1517" t="s">
        <v>146</v>
      </c>
      <c r="D1517" t="s">
        <v>2981</v>
      </c>
      <c r="G1517" t="s">
        <v>756</v>
      </c>
      <c r="I1517" t="s">
        <v>1381</v>
      </c>
    </row>
    <row r="1518" spans="1:9">
      <c r="A1518" s="71">
        <v>45008</v>
      </c>
      <c r="B1518" t="s">
        <v>146</v>
      </c>
      <c r="D1518" t="s">
        <v>2982</v>
      </c>
      <c r="G1518" t="s">
        <v>756</v>
      </c>
      <c r="I1518" t="s">
        <v>1381</v>
      </c>
    </row>
    <row r="1519" spans="1:9">
      <c r="A1519" s="71">
        <v>45012</v>
      </c>
      <c r="B1519" t="s">
        <v>388</v>
      </c>
      <c r="D1519" t="s">
        <v>2983</v>
      </c>
      <c r="G1519" t="s">
        <v>756</v>
      </c>
      <c r="H1519">
        <v>10572</v>
      </c>
      <c r="I1519" t="s">
        <v>1381</v>
      </c>
    </row>
    <row r="1520" spans="1:9">
      <c r="A1520" s="71">
        <v>45012</v>
      </c>
      <c r="B1520" t="s">
        <v>567</v>
      </c>
      <c r="D1520" t="s">
        <v>2984</v>
      </c>
      <c r="G1520" t="s">
        <v>756</v>
      </c>
      <c r="H1520">
        <v>10573</v>
      </c>
      <c r="I1520" t="s">
        <v>1381</v>
      </c>
    </row>
    <row r="1521" spans="1:9">
      <c r="A1521" s="71">
        <v>45013</v>
      </c>
      <c r="B1521" t="s">
        <v>143</v>
      </c>
      <c r="D1521" t="s">
        <v>2985</v>
      </c>
      <c r="G1521" t="s">
        <v>756</v>
      </c>
      <c r="H1521">
        <v>10575</v>
      </c>
      <c r="I1521" t="s">
        <v>1381</v>
      </c>
    </row>
    <row r="1522" spans="1:9">
      <c r="A1522" s="71">
        <v>45013</v>
      </c>
      <c r="B1522" t="s">
        <v>373</v>
      </c>
      <c r="D1522" t="s">
        <v>2986</v>
      </c>
      <c r="G1522" t="s">
        <v>756</v>
      </c>
      <c r="H1522">
        <v>10574</v>
      </c>
      <c r="I1522" t="s">
        <v>1381</v>
      </c>
    </row>
    <row r="1523" spans="1:9">
      <c r="A1523" s="71">
        <v>45014</v>
      </c>
      <c r="B1523" t="s">
        <v>143</v>
      </c>
      <c r="D1523" t="s">
        <v>2987</v>
      </c>
      <c r="G1523" t="s">
        <v>756</v>
      </c>
      <c r="H1523">
        <v>10576</v>
      </c>
      <c r="I1523" t="s">
        <v>1381</v>
      </c>
    </row>
    <row r="1524" spans="1:9">
      <c r="A1524" s="71">
        <v>45015</v>
      </c>
      <c r="B1524" t="s">
        <v>368</v>
      </c>
      <c r="D1524" t="s">
        <v>2988</v>
      </c>
      <c r="F1524" s="86">
        <v>2148</v>
      </c>
      <c r="G1524" t="s">
        <v>756</v>
      </c>
      <c r="H1524">
        <v>10578</v>
      </c>
      <c r="I1524" t="s">
        <v>1381</v>
      </c>
    </row>
    <row r="1525" spans="1:9">
      <c r="A1525" s="71">
        <v>45019</v>
      </c>
      <c r="B1525" t="s">
        <v>352</v>
      </c>
      <c r="D1525" t="s">
        <v>2989</v>
      </c>
      <c r="F1525" s="86">
        <v>2282</v>
      </c>
      <c r="G1525" t="s">
        <v>756</v>
      </c>
      <c r="H1525">
        <v>10806</v>
      </c>
      <c r="I1525" t="s">
        <v>1596</v>
      </c>
    </row>
    <row r="1526" spans="1:9">
      <c r="A1526" s="71">
        <v>45019</v>
      </c>
      <c r="B1526" t="s">
        <v>346</v>
      </c>
      <c r="D1526" t="s">
        <v>2990</v>
      </c>
      <c r="F1526" s="86">
        <v>293</v>
      </c>
      <c r="G1526" t="s">
        <v>756</v>
      </c>
      <c r="H1526">
        <v>10801</v>
      </c>
      <c r="I1526" t="s">
        <v>1596</v>
      </c>
    </row>
    <row r="1527" spans="1:9">
      <c r="A1527" s="71">
        <v>45019</v>
      </c>
      <c r="B1527" t="s">
        <v>29</v>
      </c>
      <c r="D1527" t="s">
        <v>2991</v>
      </c>
      <c r="F1527" s="86">
        <v>6772</v>
      </c>
      <c r="G1527" t="s">
        <v>756</v>
      </c>
      <c r="H1527">
        <v>10802</v>
      </c>
      <c r="I1527" t="s">
        <v>1596</v>
      </c>
    </row>
    <row r="1528" spans="1:9">
      <c r="A1528" s="71">
        <v>45020</v>
      </c>
      <c r="B1528" t="s">
        <v>346</v>
      </c>
      <c r="D1528" t="s">
        <v>2992</v>
      </c>
      <c r="F1528" s="86">
        <v>286</v>
      </c>
      <c r="G1528" t="s">
        <v>756</v>
      </c>
      <c r="H1528">
        <v>10808</v>
      </c>
      <c r="I1528" t="s">
        <v>1596</v>
      </c>
    </row>
    <row r="1529" spans="1:9">
      <c r="A1529" s="71">
        <v>45020</v>
      </c>
      <c r="B1529" t="s">
        <v>39</v>
      </c>
      <c r="D1529" t="s">
        <v>2993</v>
      </c>
      <c r="G1529" t="s">
        <v>756</v>
      </c>
      <c r="H1529">
        <v>10807</v>
      </c>
      <c r="I1529" t="s">
        <v>1596</v>
      </c>
    </row>
    <row r="1530" spans="1:9">
      <c r="A1530" s="71">
        <v>45020</v>
      </c>
      <c r="B1530" t="s">
        <v>48</v>
      </c>
      <c r="D1530" t="s">
        <v>2994</v>
      </c>
      <c r="G1530" t="s">
        <v>756</v>
      </c>
      <c r="H1530">
        <v>10804</v>
      </c>
      <c r="I1530" t="s">
        <v>1596</v>
      </c>
    </row>
    <row r="1531" spans="1:9">
      <c r="A1531" s="71">
        <v>45020</v>
      </c>
      <c r="B1531" t="s">
        <v>202</v>
      </c>
      <c r="D1531" t="s">
        <v>2995</v>
      </c>
      <c r="G1531" t="s">
        <v>756</v>
      </c>
      <c r="H1531">
        <v>10803</v>
      </c>
      <c r="I1531" t="s">
        <v>1657</v>
      </c>
    </row>
    <row r="1532" spans="1:9">
      <c r="A1532" s="71">
        <v>45020</v>
      </c>
      <c r="B1532" t="s">
        <v>362</v>
      </c>
      <c r="D1532" t="s">
        <v>2996</v>
      </c>
      <c r="G1532" t="s">
        <v>756</v>
      </c>
      <c r="H1532">
        <v>10587</v>
      </c>
      <c r="I1532" t="s">
        <v>1381</v>
      </c>
    </row>
    <row r="1533" spans="1:9">
      <c r="A1533" s="71">
        <v>45020</v>
      </c>
      <c r="B1533" t="s">
        <v>346</v>
      </c>
      <c r="D1533" t="s">
        <v>2997</v>
      </c>
      <c r="G1533" t="s">
        <v>756</v>
      </c>
      <c r="H1533">
        <v>10591</v>
      </c>
      <c r="I1533" t="s">
        <v>1381</v>
      </c>
    </row>
    <row r="1534" spans="1:9">
      <c r="A1534" s="71">
        <v>45020</v>
      </c>
      <c r="B1534" t="s">
        <v>330</v>
      </c>
      <c r="D1534" t="s">
        <v>2998</v>
      </c>
      <c r="G1534" t="s">
        <v>756</v>
      </c>
      <c r="H1534">
        <v>10590</v>
      </c>
      <c r="I1534" t="s">
        <v>1381</v>
      </c>
    </row>
    <row r="1535" spans="1:9">
      <c r="A1535" s="71">
        <v>45021</v>
      </c>
      <c r="B1535" t="s">
        <v>150</v>
      </c>
      <c r="D1535" t="s">
        <v>2999</v>
      </c>
      <c r="G1535" t="s">
        <v>756</v>
      </c>
      <c r="H1535">
        <v>10810</v>
      </c>
      <c r="I1535" t="s">
        <v>1596</v>
      </c>
    </row>
    <row r="1536" spans="1:9">
      <c r="A1536" s="71">
        <v>45021</v>
      </c>
      <c r="B1536" t="s">
        <v>311</v>
      </c>
      <c r="D1536" t="s">
        <v>3000</v>
      </c>
      <c r="G1536" t="s">
        <v>756</v>
      </c>
      <c r="H1536">
        <v>10594</v>
      </c>
      <c r="I1536" t="s">
        <v>1381</v>
      </c>
    </row>
    <row r="1537" spans="1:9">
      <c r="A1537" s="71">
        <v>45022</v>
      </c>
      <c r="B1537" t="s">
        <v>388</v>
      </c>
      <c r="D1537" t="s">
        <v>3001</v>
      </c>
      <c r="G1537" t="s">
        <v>756</v>
      </c>
      <c r="H1537">
        <v>10595</v>
      </c>
      <c r="I1537" t="s">
        <v>1381</v>
      </c>
    </row>
    <row r="1538" spans="1:9">
      <c r="A1538" s="71">
        <v>45026</v>
      </c>
      <c r="B1538" t="s">
        <v>202</v>
      </c>
      <c r="D1538" t="s">
        <v>3002</v>
      </c>
      <c r="G1538" t="s">
        <v>756</v>
      </c>
      <c r="H1538">
        <v>10813</v>
      </c>
      <c r="I1538" t="s">
        <v>1596</v>
      </c>
    </row>
    <row r="1539" spans="1:9">
      <c r="A1539" s="71">
        <v>45026</v>
      </c>
      <c r="B1539" t="s">
        <v>696</v>
      </c>
      <c r="D1539" t="s">
        <v>3003</v>
      </c>
      <c r="F1539" s="86">
        <v>1179</v>
      </c>
      <c r="G1539" t="s">
        <v>756</v>
      </c>
      <c r="H1539">
        <v>10812</v>
      </c>
      <c r="I1539" t="s">
        <v>1596</v>
      </c>
    </row>
    <row r="1540" spans="1:9">
      <c r="A1540" s="71">
        <v>45026</v>
      </c>
      <c r="B1540" t="s">
        <v>330</v>
      </c>
      <c r="D1540" t="s">
        <v>3003</v>
      </c>
      <c r="F1540" s="86">
        <v>6537</v>
      </c>
      <c r="G1540" t="s">
        <v>756</v>
      </c>
      <c r="H1540">
        <v>10811</v>
      </c>
      <c r="I1540" t="s">
        <v>1596</v>
      </c>
    </row>
    <row r="1541" spans="1:9">
      <c r="A1541" s="71">
        <v>45026</v>
      </c>
      <c r="B1541" t="s">
        <v>19</v>
      </c>
      <c r="D1541" t="s">
        <v>3004</v>
      </c>
      <c r="G1541" t="s">
        <v>756</v>
      </c>
      <c r="I1541" t="s">
        <v>1381</v>
      </c>
    </row>
    <row r="1542" spans="1:9">
      <c r="A1542" s="71">
        <v>45027</v>
      </c>
      <c r="B1542" t="s">
        <v>202</v>
      </c>
      <c r="D1542" t="s">
        <v>3005</v>
      </c>
      <c r="F1542" s="86">
        <v>1179</v>
      </c>
      <c r="G1542" t="s">
        <v>756</v>
      </c>
      <c r="H1542">
        <v>10815</v>
      </c>
      <c r="I1542" t="s">
        <v>1596</v>
      </c>
    </row>
    <row r="1543" spans="1:9">
      <c r="A1543" s="71">
        <v>45028</v>
      </c>
      <c r="B1543" t="s">
        <v>150</v>
      </c>
      <c r="D1543" t="s">
        <v>2716</v>
      </c>
      <c r="G1543" t="s">
        <v>756</v>
      </c>
      <c r="I1543" t="s">
        <v>1381</v>
      </c>
    </row>
    <row r="1544" spans="1:9">
      <c r="A1544" s="71">
        <v>45028</v>
      </c>
      <c r="B1544" t="s">
        <v>388</v>
      </c>
      <c r="D1544" t="s">
        <v>3006</v>
      </c>
      <c r="F1544" s="86">
        <v>11275</v>
      </c>
      <c r="G1544" t="s">
        <v>756</v>
      </c>
      <c r="H1544">
        <v>10821</v>
      </c>
      <c r="I1544" t="s">
        <v>1596</v>
      </c>
    </row>
    <row r="1545" spans="1:9">
      <c r="A1545" s="71">
        <v>45028</v>
      </c>
      <c r="B1545" t="s">
        <v>390</v>
      </c>
      <c r="D1545" t="s">
        <v>3007</v>
      </c>
      <c r="F1545" s="86">
        <v>6845</v>
      </c>
      <c r="G1545" t="s">
        <v>756</v>
      </c>
      <c r="H1545">
        <v>10819</v>
      </c>
      <c r="I1545" t="s">
        <v>1596</v>
      </c>
    </row>
    <row r="1546" spans="1:9">
      <c r="A1546" s="71">
        <v>45028</v>
      </c>
      <c r="B1546" t="s">
        <v>25</v>
      </c>
      <c r="D1546" t="s">
        <v>3008</v>
      </c>
      <c r="F1546" s="86">
        <v>5216</v>
      </c>
      <c r="G1546" t="s">
        <v>756</v>
      </c>
      <c r="H1546">
        <v>10816</v>
      </c>
      <c r="I1546" t="s">
        <v>1596</v>
      </c>
    </row>
    <row r="1547" spans="1:9">
      <c r="A1547" s="71">
        <v>45028</v>
      </c>
      <c r="B1547" t="s">
        <v>580</v>
      </c>
      <c r="D1547" t="s">
        <v>3009</v>
      </c>
      <c r="G1547" t="s">
        <v>756</v>
      </c>
      <c r="H1547">
        <v>10705</v>
      </c>
      <c r="I1547" t="s">
        <v>1381</v>
      </c>
    </row>
    <row r="1548" spans="1:9">
      <c r="A1548" s="71">
        <v>45028</v>
      </c>
      <c r="B1548" t="s">
        <v>567</v>
      </c>
      <c r="D1548" t="s">
        <v>3010</v>
      </c>
      <c r="F1548" s="86">
        <v>452210</v>
      </c>
      <c r="G1548" t="s">
        <v>756</v>
      </c>
      <c r="H1548">
        <v>10820</v>
      </c>
      <c r="I1548" t="s">
        <v>1596</v>
      </c>
    </row>
    <row r="1549" spans="1:9">
      <c r="A1549" s="71">
        <v>45029</v>
      </c>
      <c r="B1549" t="s">
        <v>368</v>
      </c>
      <c r="D1549" t="s">
        <v>3011</v>
      </c>
      <c r="G1549" t="s">
        <v>756</v>
      </c>
      <c r="H1549">
        <v>10882</v>
      </c>
      <c r="I1549" t="s">
        <v>1596</v>
      </c>
    </row>
    <row r="1550" spans="1:9">
      <c r="A1550" s="71">
        <v>45029</v>
      </c>
      <c r="B1550" t="s">
        <v>60</v>
      </c>
      <c r="D1550" t="s">
        <v>3012</v>
      </c>
      <c r="G1550" t="s">
        <v>756</v>
      </c>
      <c r="H1550">
        <v>10823</v>
      </c>
      <c r="I1550" t="s">
        <v>1596</v>
      </c>
    </row>
    <row r="1551" spans="1:9">
      <c r="A1551" s="71">
        <v>45029</v>
      </c>
      <c r="B1551" t="s">
        <v>53</v>
      </c>
      <c r="D1551" t="s">
        <v>3013</v>
      </c>
      <c r="F1551" s="86">
        <v>206</v>
      </c>
      <c r="G1551" t="s">
        <v>756</v>
      </c>
      <c r="H1551">
        <v>10818</v>
      </c>
      <c r="I1551" t="s">
        <v>1596</v>
      </c>
    </row>
    <row r="1552" spans="1:9">
      <c r="A1552" s="71">
        <v>45029</v>
      </c>
      <c r="B1552" t="s">
        <v>351</v>
      </c>
      <c r="D1552" t="s">
        <v>3014</v>
      </c>
      <c r="F1552" s="86">
        <v>7233</v>
      </c>
      <c r="G1552" t="s">
        <v>756</v>
      </c>
      <c r="H1552">
        <v>10817</v>
      </c>
      <c r="I1552" t="s">
        <v>1596</v>
      </c>
    </row>
    <row r="1553" spans="1:9">
      <c r="A1553" s="71">
        <v>45029</v>
      </c>
      <c r="B1553" t="s">
        <v>576</v>
      </c>
      <c r="D1553" t="s">
        <v>3015</v>
      </c>
      <c r="G1553" t="s">
        <v>756</v>
      </c>
      <c r="H1553">
        <v>10710</v>
      </c>
      <c r="I1553" t="s">
        <v>1381</v>
      </c>
    </row>
    <row r="1554" spans="1:9">
      <c r="A1554" s="71">
        <v>45029</v>
      </c>
      <c r="B1554" t="s">
        <v>396</v>
      </c>
      <c r="D1554" t="s">
        <v>3016</v>
      </c>
      <c r="F1554" s="86">
        <v>5817</v>
      </c>
      <c r="G1554" t="s">
        <v>756</v>
      </c>
      <c r="H1554">
        <v>10706</v>
      </c>
      <c r="I1554" t="s">
        <v>1381</v>
      </c>
    </row>
    <row r="1555" spans="1:9">
      <c r="A1555" s="71">
        <v>45030</v>
      </c>
      <c r="B1555" t="s">
        <v>191</v>
      </c>
      <c r="D1555" t="s">
        <v>3017</v>
      </c>
      <c r="G1555" t="s">
        <v>756</v>
      </c>
      <c r="H1555">
        <v>10713</v>
      </c>
      <c r="I1555" t="s">
        <v>1381</v>
      </c>
    </row>
    <row r="1556" spans="1:9">
      <c r="A1556" s="71">
        <v>45030</v>
      </c>
      <c r="B1556" t="s">
        <v>171</v>
      </c>
      <c r="D1556" t="s">
        <v>3018</v>
      </c>
      <c r="G1556" t="s">
        <v>756</v>
      </c>
      <c r="H1556">
        <v>10712</v>
      </c>
      <c r="I1556" t="s">
        <v>1381</v>
      </c>
    </row>
    <row r="1557" spans="1:9">
      <c r="A1557" s="71">
        <v>45033</v>
      </c>
      <c r="B1557" t="s">
        <v>150</v>
      </c>
      <c r="D1557" t="s">
        <v>3019</v>
      </c>
      <c r="G1557" t="s">
        <v>756</v>
      </c>
      <c r="H1557">
        <v>10824</v>
      </c>
      <c r="I1557" t="s">
        <v>1596</v>
      </c>
    </row>
    <row r="1558" spans="1:9">
      <c r="A1558" s="71">
        <v>45033</v>
      </c>
      <c r="B1558" t="s">
        <v>60</v>
      </c>
      <c r="D1558" t="s">
        <v>3020</v>
      </c>
      <c r="G1558" t="s">
        <v>756</v>
      </c>
      <c r="H1558">
        <v>10714</v>
      </c>
      <c r="I1558" t="s">
        <v>1381</v>
      </c>
    </row>
    <row r="1559" spans="1:9">
      <c r="A1559" s="71">
        <v>45033</v>
      </c>
      <c r="B1559" t="s">
        <v>689</v>
      </c>
      <c r="D1559" t="s">
        <v>3021</v>
      </c>
      <c r="G1559" t="s">
        <v>756</v>
      </c>
      <c r="H1559">
        <v>10389</v>
      </c>
      <c r="I1559" t="s">
        <v>2779</v>
      </c>
    </row>
    <row r="1560" spans="1:9">
      <c r="A1560" s="71">
        <v>45034</v>
      </c>
      <c r="B1560" t="s">
        <v>777</v>
      </c>
      <c r="D1560" t="s">
        <v>3022</v>
      </c>
      <c r="F1560" s="86">
        <v>5623</v>
      </c>
      <c r="G1560" t="s">
        <v>756</v>
      </c>
      <c r="H1560">
        <v>10835</v>
      </c>
      <c r="I1560" t="s">
        <v>1596</v>
      </c>
    </row>
    <row r="1561" spans="1:9">
      <c r="A1561" s="71">
        <v>45034</v>
      </c>
      <c r="B1561" t="s">
        <v>777</v>
      </c>
      <c r="D1561" t="s">
        <v>3023</v>
      </c>
      <c r="F1561" s="86">
        <v>5623</v>
      </c>
      <c r="G1561" t="s">
        <v>756</v>
      </c>
      <c r="H1561">
        <v>10825</v>
      </c>
      <c r="I1561" t="s">
        <v>1596</v>
      </c>
    </row>
    <row r="1562" spans="1:9">
      <c r="A1562" s="71">
        <v>45034</v>
      </c>
      <c r="B1562" t="s">
        <v>388</v>
      </c>
      <c r="D1562" t="s">
        <v>3024</v>
      </c>
      <c r="G1562" t="s">
        <v>756</v>
      </c>
      <c r="H1562">
        <v>10718</v>
      </c>
      <c r="I1562" t="s">
        <v>1381</v>
      </c>
    </row>
    <row r="1563" spans="1:9">
      <c r="A1563" s="71">
        <v>45034</v>
      </c>
      <c r="B1563" t="s">
        <v>390</v>
      </c>
      <c r="D1563" t="s">
        <v>3025</v>
      </c>
      <c r="G1563" t="s">
        <v>756</v>
      </c>
      <c r="H1563">
        <v>10717</v>
      </c>
      <c r="I1563" t="s">
        <v>1381</v>
      </c>
    </row>
    <row r="1564" spans="1:9">
      <c r="A1564" s="71">
        <v>45034</v>
      </c>
      <c r="B1564" t="s">
        <v>29</v>
      </c>
      <c r="D1564" t="s">
        <v>3026</v>
      </c>
      <c r="G1564" t="s">
        <v>756</v>
      </c>
      <c r="H1564">
        <v>10259</v>
      </c>
      <c r="I1564" t="s">
        <v>1487</v>
      </c>
    </row>
    <row r="1565" spans="1:9">
      <c r="A1565" s="71">
        <v>45035</v>
      </c>
      <c r="B1565" t="s">
        <v>351</v>
      </c>
      <c r="D1565" t="s">
        <v>3006</v>
      </c>
      <c r="F1565" s="86">
        <v>7211</v>
      </c>
      <c r="G1565" t="s">
        <v>756</v>
      </c>
      <c r="H1565">
        <v>10827</v>
      </c>
      <c r="I1565" t="s">
        <v>1596</v>
      </c>
    </row>
    <row r="1566" spans="1:9">
      <c r="A1566" s="71">
        <v>45035</v>
      </c>
      <c r="B1566" t="s">
        <v>330</v>
      </c>
      <c r="D1566" t="s">
        <v>3027</v>
      </c>
      <c r="F1566" s="86">
        <v>6549</v>
      </c>
      <c r="G1566" t="s">
        <v>756</v>
      </c>
      <c r="H1566">
        <v>10826</v>
      </c>
      <c r="I1566" t="s">
        <v>1596</v>
      </c>
    </row>
    <row r="1567" spans="1:9">
      <c r="A1567" s="71">
        <v>45035</v>
      </c>
      <c r="B1567" t="s">
        <v>390</v>
      </c>
      <c r="D1567" t="s">
        <v>3028</v>
      </c>
      <c r="F1567" s="86">
        <v>345</v>
      </c>
      <c r="G1567" t="s">
        <v>756</v>
      </c>
      <c r="H1567">
        <v>10721</v>
      </c>
      <c r="I1567" t="s">
        <v>1381</v>
      </c>
    </row>
    <row r="1568" spans="1:9">
      <c r="A1568" s="71">
        <v>45036</v>
      </c>
      <c r="B1568" t="s">
        <v>385</v>
      </c>
      <c r="D1568" t="s">
        <v>3029</v>
      </c>
      <c r="G1568" t="s">
        <v>756</v>
      </c>
      <c r="H1568">
        <v>10828</v>
      </c>
      <c r="I1568" t="s">
        <v>1596</v>
      </c>
    </row>
    <row r="1569" spans="1:9">
      <c r="A1569" s="71">
        <v>45036</v>
      </c>
      <c r="B1569" t="s">
        <v>390</v>
      </c>
      <c r="D1569" t="s">
        <v>3030</v>
      </c>
      <c r="F1569" s="86">
        <v>346</v>
      </c>
      <c r="G1569" t="s">
        <v>756</v>
      </c>
      <c r="H1569">
        <v>10725</v>
      </c>
      <c r="I1569" t="s">
        <v>1381</v>
      </c>
    </row>
    <row r="1570" spans="1:9">
      <c r="A1570" s="71">
        <v>45036</v>
      </c>
      <c r="B1570" t="s">
        <v>380</v>
      </c>
      <c r="D1570" t="s">
        <v>3031</v>
      </c>
      <c r="F1570" s="86">
        <v>3996</v>
      </c>
      <c r="G1570" t="s">
        <v>756</v>
      </c>
      <c r="H1570">
        <v>10394</v>
      </c>
      <c r="I1570" t="s">
        <v>2779</v>
      </c>
    </row>
    <row r="1571" spans="1:9">
      <c r="A1571" s="71">
        <v>45037</v>
      </c>
      <c r="B1571" t="s">
        <v>388</v>
      </c>
      <c r="D1571" t="s">
        <v>3032</v>
      </c>
      <c r="F1571" s="86">
        <v>11296</v>
      </c>
      <c r="G1571" t="s">
        <v>756</v>
      </c>
      <c r="H1571">
        <v>10829</v>
      </c>
      <c r="I1571" t="s">
        <v>1596</v>
      </c>
    </row>
    <row r="1572" spans="1:9">
      <c r="A1572" s="71">
        <v>45040</v>
      </c>
      <c r="B1572" t="s">
        <v>399</v>
      </c>
      <c r="D1572" t="s">
        <v>3033</v>
      </c>
      <c r="G1572" t="s">
        <v>756</v>
      </c>
      <c r="H1572">
        <v>11001</v>
      </c>
      <c r="I1572" t="s">
        <v>1330</v>
      </c>
    </row>
    <row r="1573" spans="1:9">
      <c r="A1573" s="71">
        <v>45040</v>
      </c>
      <c r="B1573" t="s">
        <v>689</v>
      </c>
      <c r="D1573" t="s">
        <v>3034</v>
      </c>
      <c r="F1573" s="86">
        <v>5802</v>
      </c>
      <c r="G1573" t="s">
        <v>756</v>
      </c>
      <c r="H1573">
        <v>10830</v>
      </c>
      <c r="I1573" t="s">
        <v>1596</v>
      </c>
    </row>
    <row r="1574" spans="1:9">
      <c r="A1574" s="71">
        <v>45040</v>
      </c>
      <c r="B1574" t="s">
        <v>330</v>
      </c>
      <c r="D1574" t="s">
        <v>3035</v>
      </c>
      <c r="G1574" t="s">
        <v>756</v>
      </c>
      <c r="H1574">
        <v>10753</v>
      </c>
      <c r="I1574" t="s">
        <v>1381</v>
      </c>
    </row>
    <row r="1575" spans="1:9">
      <c r="A1575" s="71">
        <v>45040</v>
      </c>
      <c r="B1575" t="s">
        <v>191</v>
      </c>
      <c r="D1575" t="s">
        <v>3036</v>
      </c>
      <c r="G1575" t="s">
        <v>756</v>
      </c>
      <c r="H1575">
        <v>10752</v>
      </c>
      <c r="I1575" t="s">
        <v>1381</v>
      </c>
    </row>
    <row r="1576" spans="1:9">
      <c r="A1576" s="71">
        <v>45041</v>
      </c>
      <c r="B1576" t="s">
        <v>362</v>
      </c>
      <c r="D1576" t="s">
        <v>3037</v>
      </c>
      <c r="F1576" s="86">
        <v>12426</v>
      </c>
      <c r="G1576" t="s">
        <v>756</v>
      </c>
      <c r="H1576">
        <v>10757</v>
      </c>
      <c r="I1576" t="s">
        <v>1381</v>
      </c>
    </row>
    <row r="1577" spans="1:9">
      <c r="A1577" s="71">
        <v>45041</v>
      </c>
      <c r="B1577" t="s">
        <v>65</v>
      </c>
      <c r="D1577" t="s">
        <v>3038</v>
      </c>
      <c r="G1577" t="s">
        <v>756</v>
      </c>
      <c r="H1577">
        <v>10756</v>
      </c>
      <c r="I1577" t="s">
        <v>1381</v>
      </c>
    </row>
    <row r="1578" spans="1:9">
      <c r="A1578" s="71">
        <v>45042</v>
      </c>
      <c r="B1578" t="s">
        <v>3039</v>
      </c>
      <c r="D1578" t="s">
        <v>3040</v>
      </c>
      <c r="G1578" t="s">
        <v>756</v>
      </c>
      <c r="H1578">
        <v>10833</v>
      </c>
      <c r="I1578" t="s">
        <v>1596</v>
      </c>
    </row>
    <row r="1579" spans="1:9">
      <c r="A1579" s="71">
        <v>45042</v>
      </c>
      <c r="B1579" t="s">
        <v>346</v>
      </c>
      <c r="D1579" t="s">
        <v>3041</v>
      </c>
      <c r="F1579" s="86">
        <v>365</v>
      </c>
      <c r="G1579" t="s">
        <v>756</v>
      </c>
      <c r="H1579">
        <v>10759</v>
      </c>
      <c r="I1579" t="s">
        <v>1381</v>
      </c>
    </row>
    <row r="1580" spans="1:9">
      <c r="A1580" s="71">
        <v>45042</v>
      </c>
      <c r="B1580" t="s">
        <v>311</v>
      </c>
      <c r="D1580" t="s">
        <v>3042</v>
      </c>
      <c r="G1580" t="s">
        <v>756</v>
      </c>
      <c r="H1580">
        <v>10758</v>
      </c>
      <c r="I1580" t="s">
        <v>1381</v>
      </c>
    </row>
    <row r="1581" spans="1:9">
      <c r="A1581" s="71">
        <v>45043</v>
      </c>
      <c r="B1581" t="s">
        <v>373</v>
      </c>
      <c r="D1581" t="s">
        <v>3043</v>
      </c>
      <c r="G1581" t="s">
        <v>756</v>
      </c>
      <c r="H1581">
        <v>10763</v>
      </c>
      <c r="I1581" t="s">
        <v>1381</v>
      </c>
    </row>
    <row r="1582" spans="1:9">
      <c r="A1582" s="71">
        <v>45046</v>
      </c>
      <c r="B1582" t="s">
        <v>346</v>
      </c>
      <c r="D1582" t="s">
        <v>3044</v>
      </c>
      <c r="G1582" t="s">
        <v>756</v>
      </c>
      <c r="H1582">
        <v>10651</v>
      </c>
      <c r="I1582" t="s">
        <v>1381</v>
      </c>
    </row>
    <row r="1583" spans="1:9">
      <c r="A1583" s="71">
        <v>45050</v>
      </c>
      <c r="B1583" t="s">
        <v>162</v>
      </c>
      <c r="D1583" t="s">
        <v>3045</v>
      </c>
      <c r="F1583" s="86">
        <v>3475</v>
      </c>
      <c r="G1583" t="s">
        <v>756</v>
      </c>
      <c r="H1583">
        <v>9345</v>
      </c>
      <c r="I1583" t="s">
        <v>1339</v>
      </c>
    </row>
    <row r="1584" spans="1:9">
      <c r="A1584" s="71">
        <v>45050</v>
      </c>
      <c r="B1584" t="s">
        <v>359</v>
      </c>
      <c r="D1584" t="s">
        <v>3046</v>
      </c>
      <c r="G1584" t="s">
        <v>756</v>
      </c>
      <c r="H1584">
        <v>10658</v>
      </c>
      <c r="I1584" t="s">
        <v>1381</v>
      </c>
    </row>
    <row r="1585" spans="1:9">
      <c r="A1585" s="71">
        <v>45051</v>
      </c>
      <c r="B1585" t="s">
        <v>60</v>
      </c>
      <c r="D1585" t="s">
        <v>3047</v>
      </c>
      <c r="G1585" t="s">
        <v>756</v>
      </c>
      <c r="H1585">
        <v>10662</v>
      </c>
      <c r="I1585" t="s">
        <v>1381</v>
      </c>
    </row>
    <row r="1586" spans="1:9">
      <c r="A1586" s="71">
        <v>45051</v>
      </c>
      <c r="B1586" t="s">
        <v>567</v>
      </c>
      <c r="D1586" t="s">
        <v>3048</v>
      </c>
      <c r="G1586" t="s">
        <v>756</v>
      </c>
      <c r="H1586">
        <v>9883</v>
      </c>
      <c r="I1586" t="s">
        <v>1341</v>
      </c>
    </row>
    <row r="1587" spans="1:9">
      <c r="A1587" s="71">
        <v>45051</v>
      </c>
      <c r="B1587" t="s">
        <v>311</v>
      </c>
      <c r="D1587" t="s">
        <v>3049</v>
      </c>
      <c r="F1587" s="86" t="s">
        <v>734</v>
      </c>
      <c r="G1587" t="s">
        <v>756</v>
      </c>
      <c r="H1587">
        <v>10661</v>
      </c>
      <c r="I1587" t="s">
        <v>1381</v>
      </c>
    </row>
    <row r="1588" spans="1:9">
      <c r="A1588" s="71">
        <v>45052</v>
      </c>
      <c r="B1588" t="s">
        <v>697</v>
      </c>
      <c r="D1588" t="s">
        <v>3050</v>
      </c>
      <c r="F1588" s="86">
        <v>18782</v>
      </c>
      <c r="G1588" t="s">
        <v>756</v>
      </c>
      <c r="H1588">
        <v>11007</v>
      </c>
      <c r="I1588" t="s">
        <v>1330</v>
      </c>
    </row>
    <row r="1589" spans="1:9">
      <c r="A1589" s="71">
        <v>45052</v>
      </c>
      <c r="B1589" t="s">
        <v>74</v>
      </c>
      <c r="D1589" t="s">
        <v>3051</v>
      </c>
      <c r="G1589" t="s">
        <v>756</v>
      </c>
      <c r="H1589">
        <v>10263</v>
      </c>
      <c r="I1589" t="s">
        <v>1487</v>
      </c>
    </row>
    <row r="1590" spans="1:9">
      <c r="A1590" s="71">
        <v>45052</v>
      </c>
      <c r="B1590" t="s">
        <v>697</v>
      </c>
      <c r="D1590" t="s">
        <v>3052</v>
      </c>
      <c r="F1590" s="86">
        <v>18766</v>
      </c>
      <c r="G1590" t="s">
        <v>756</v>
      </c>
      <c r="H1590">
        <v>9344</v>
      </c>
      <c r="I1590" t="s">
        <v>1339</v>
      </c>
    </row>
    <row r="1591" spans="1:9">
      <c r="A1591" s="71">
        <v>45054</v>
      </c>
      <c r="B1591" t="s">
        <v>39</v>
      </c>
      <c r="D1591" t="s">
        <v>3053</v>
      </c>
      <c r="G1591" t="s">
        <v>756</v>
      </c>
      <c r="H1591">
        <v>10664</v>
      </c>
      <c r="I1591" t="s">
        <v>1381</v>
      </c>
    </row>
    <row r="1592" spans="1:9">
      <c r="A1592" s="71">
        <v>45054</v>
      </c>
      <c r="B1592" t="s">
        <v>346</v>
      </c>
      <c r="D1592" t="s">
        <v>3054</v>
      </c>
      <c r="G1592" t="s">
        <v>756</v>
      </c>
      <c r="H1592">
        <v>10663</v>
      </c>
      <c r="I1592" t="s">
        <v>1381</v>
      </c>
    </row>
    <row r="1593" spans="1:9">
      <c r="A1593" s="71">
        <v>45055</v>
      </c>
      <c r="B1593" t="s">
        <v>390</v>
      </c>
      <c r="D1593" t="s">
        <v>3055</v>
      </c>
      <c r="F1593" s="86">
        <v>6934</v>
      </c>
      <c r="G1593" t="s">
        <v>756</v>
      </c>
      <c r="H1593">
        <v>10668</v>
      </c>
      <c r="I1593" t="s">
        <v>1657</v>
      </c>
    </row>
    <row r="1594" spans="1:9">
      <c r="A1594" s="71">
        <v>45055</v>
      </c>
      <c r="B1594" t="s">
        <v>60</v>
      </c>
      <c r="D1594" t="s">
        <v>3056</v>
      </c>
      <c r="G1594" t="s">
        <v>756</v>
      </c>
      <c r="H1594">
        <v>10667</v>
      </c>
      <c r="I1594" t="s">
        <v>1381</v>
      </c>
    </row>
    <row r="1595" spans="1:9">
      <c r="A1595" s="71">
        <v>45055</v>
      </c>
      <c r="B1595" t="s">
        <v>373</v>
      </c>
      <c r="D1595" t="s">
        <v>3057</v>
      </c>
      <c r="F1595" s="86">
        <v>3410</v>
      </c>
      <c r="G1595" t="s">
        <v>756</v>
      </c>
      <c r="H1595">
        <v>9350</v>
      </c>
      <c r="I1595" t="s">
        <v>1339</v>
      </c>
    </row>
    <row r="1596" spans="1:9">
      <c r="A1596" s="71">
        <v>45055</v>
      </c>
      <c r="B1596" t="s">
        <v>60</v>
      </c>
      <c r="D1596" t="s">
        <v>3058</v>
      </c>
      <c r="F1596" s="86">
        <v>61263</v>
      </c>
      <c r="G1596" t="s">
        <v>756</v>
      </c>
      <c r="H1596">
        <v>9349</v>
      </c>
      <c r="I1596" t="s">
        <v>1339</v>
      </c>
    </row>
    <row r="1597" spans="1:9">
      <c r="A1597" s="71">
        <v>45055</v>
      </c>
      <c r="B1597" t="s">
        <v>396</v>
      </c>
      <c r="D1597" t="s">
        <v>3059</v>
      </c>
      <c r="F1597" s="86">
        <v>5944</v>
      </c>
      <c r="G1597" t="s">
        <v>756</v>
      </c>
      <c r="H1597">
        <v>9346</v>
      </c>
      <c r="I1597" t="s">
        <v>1339</v>
      </c>
    </row>
    <row r="1598" spans="1:9">
      <c r="A1598" s="71">
        <v>45056</v>
      </c>
      <c r="B1598" t="s">
        <v>371</v>
      </c>
      <c r="D1598" t="s">
        <v>3060</v>
      </c>
      <c r="F1598" s="86">
        <v>14812</v>
      </c>
      <c r="G1598" t="s">
        <v>756</v>
      </c>
      <c r="H1598">
        <v>11003</v>
      </c>
      <c r="I1598" t="s">
        <v>1330</v>
      </c>
    </row>
    <row r="1599" spans="1:9">
      <c r="A1599" s="71">
        <v>45056</v>
      </c>
      <c r="B1599" t="s">
        <v>239</v>
      </c>
      <c r="D1599" t="s">
        <v>3061</v>
      </c>
      <c r="F1599" s="86">
        <v>12478</v>
      </c>
      <c r="G1599" t="s">
        <v>756</v>
      </c>
      <c r="H1599">
        <v>11002</v>
      </c>
      <c r="I1599" t="s">
        <v>1330</v>
      </c>
    </row>
    <row r="1600" spans="1:9">
      <c r="A1600" s="71">
        <v>45056</v>
      </c>
      <c r="B1600" t="s">
        <v>307</v>
      </c>
      <c r="D1600" t="s">
        <v>3062</v>
      </c>
      <c r="G1600" t="s">
        <v>756</v>
      </c>
      <c r="H1600">
        <v>10670</v>
      </c>
      <c r="I1600" t="s">
        <v>1381</v>
      </c>
    </row>
    <row r="1601" spans="1:9">
      <c r="A1601" s="71">
        <v>45057</v>
      </c>
      <c r="B1601" t="s">
        <v>307</v>
      </c>
      <c r="D1601" t="s">
        <v>3063</v>
      </c>
      <c r="G1601" t="s">
        <v>756</v>
      </c>
      <c r="H1601">
        <v>10671</v>
      </c>
      <c r="I1601" t="s">
        <v>1381</v>
      </c>
    </row>
    <row r="1602" spans="1:9">
      <c r="A1602" s="71">
        <v>45057</v>
      </c>
      <c r="B1602" t="s">
        <v>159</v>
      </c>
      <c r="D1602" t="s">
        <v>3064</v>
      </c>
      <c r="F1602" s="86">
        <v>9202</v>
      </c>
      <c r="G1602" t="s">
        <v>756</v>
      </c>
      <c r="H1602">
        <v>9347</v>
      </c>
      <c r="I1602" t="s">
        <v>1339</v>
      </c>
    </row>
    <row r="1603" spans="1:9">
      <c r="A1603" s="71">
        <v>45058</v>
      </c>
      <c r="B1603" t="s">
        <v>146</v>
      </c>
      <c r="D1603" t="s">
        <v>3065</v>
      </c>
      <c r="G1603" t="s">
        <v>756</v>
      </c>
      <c r="H1603">
        <v>10729</v>
      </c>
      <c r="I1603" t="s">
        <v>1381</v>
      </c>
    </row>
    <row r="1604" spans="1:9">
      <c r="A1604" s="71">
        <v>45058</v>
      </c>
      <c r="B1604" t="s">
        <v>390</v>
      </c>
      <c r="D1604" t="s">
        <v>3066</v>
      </c>
      <c r="G1604" t="s">
        <v>756</v>
      </c>
      <c r="H1604">
        <v>10728</v>
      </c>
      <c r="I1604" t="s">
        <v>1381</v>
      </c>
    </row>
    <row r="1605" spans="1:9">
      <c r="A1605" s="71">
        <v>45060</v>
      </c>
      <c r="B1605" t="s">
        <v>563</v>
      </c>
      <c r="D1605" t="s">
        <v>3067</v>
      </c>
      <c r="G1605" t="s">
        <v>756</v>
      </c>
      <c r="H1605">
        <v>11011</v>
      </c>
      <c r="I1605" t="s">
        <v>1330</v>
      </c>
    </row>
    <row r="1606" spans="1:9">
      <c r="A1606" s="71">
        <v>45060</v>
      </c>
      <c r="B1606" t="s">
        <v>143</v>
      </c>
      <c r="D1606" t="s">
        <v>3068</v>
      </c>
      <c r="G1606" t="s">
        <v>756</v>
      </c>
      <c r="H1606">
        <v>9356</v>
      </c>
      <c r="I1606" t="s">
        <v>1596</v>
      </c>
    </row>
    <row r="1607" spans="1:9">
      <c r="A1607" s="71">
        <v>45061</v>
      </c>
      <c r="B1607" t="s">
        <v>390</v>
      </c>
      <c r="D1607" t="s">
        <v>3069</v>
      </c>
      <c r="F1607" s="86">
        <v>6955</v>
      </c>
      <c r="G1607" t="s">
        <v>756</v>
      </c>
      <c r="H1607">
        <v>10676</v>
      </c>
      <c r="I1607" t="s">
        <v>1657</v>
      </c>
    </row>
    <row r="1608" spans="1:9">
      <c r="A1608" s="71">
        <v>45061</v>
      </c>
      <c r="B1608" t="s">
        <v>346</v>
      </c>
      <c r="D1608" t="s">
        <v>3070</v>
      </c>
      <c r="F1608" s="86">
        <v>390</v>
      </c>
      <c r="G1608" t="s">
        <v>756</v>
      </c>
      <c r="H1608">
        <v>10675</v>
      </c>
      <c r="I1608" t="s">
        <v>1381</v>
      </c>
    </row>
    <row r="1609" spans="1:9">
      <c r="A1609" s="71">
        <v>45062</v>
      </c>
      <c r="B1609" t="s">
        <v>239</v>
      </c>
      <c r="D1609" t="s">
        <v>3071</v>
      </c>
      <c r="F1609" s="86">
        <v>12554</v>
      </c>
      <c r="G1609" t="s">
        <v>756</v>
      </c>
      <c r="H1609">
        <v>11008</v>
      </c>
      <c r="I1609" t="s">
        <v>1330</v>
      </c>
    </row>
    <row r="1610" spans="1:9">
      <c r="A1610" s="71">
        <v>45062</v>
      </c>
      <c r="B1610" t="s">
        <v>743</v>
      </c>
      <c r="D1610" t="s">
        <v>3072</v>
      </c>
      <c r="F1610" s="86">
        <v>1783</v>
      </c>
      <c r="G1610" t="s">
        <v>756</v>
      </c>
      <c r="H1610">
        <v>10680</v>
      </c>
      <c r="I1610" t="s">
        <v>3073</v>
      </c>
    </row>
    <row r="1611" spans="1:9">
      <c r="A1611" s="71">
        <v>45062</v>
      </c>
      <c r="B1611" t="s">
        <v>346</v>
      </c>
      <c r="D1611" t="s">
        <v>3074</v>
      </c>
      <c r="F1611" s="86">
        <v>393</v>
      </c>
      <c r="G1611" t="s">
        <v>756</v>
      </c>
      <c r="H1611">
        <v>10677</v>
      </c>
      <c r="I1611" t="s">
        <v>3073</v>
      </c>
    </row>
    <row r="1612" spans="1:9">
      <c r="A1612" s="71">
        <v>45063</v>
      </c>
      <c r="B1612" t="s">
        <v>362</v>
      </c>
      <c r="D1612" t="s">
        <v>3075</v>
      </c>
      <c r="F1612" s="86">
        <v>12480</v>
      </c>
      <c r="G1612" t="s">
        <v>756</v>
      </c>
      <c r="H1612">
        <v>10270</v>
      </c>
      <c r="I1612" t="s">
        <v>1487</v>
      </c>
    </row>
    <row r="1613" spans="1:9">
      <c r="A1613" s="71">
        <v>45063</v>
      </c>
      <c r="B1613" t="s">
        <v>389</v>
      </c>
      <c r="D1613" t="s">
        <v>3076</v>
      </c>
      <c r="F1613" s="86">
        <v>5088</v>
      </c>
      <c r="G1613" t="s">
        <v>756</v>
      </c>
      <c r="H1613">
        <v>10737</v>
      </c>
      <c r="I1613" t="s">
        <v>1381</v>
      </c>
    </row>
    <row r="1614" spans="1:9">
      <c r="A1614" s="71">
        <v>45064</v>
      </c>
      <c r="B1614" t="s">
        <v>362</v>
      </c>
      <c r="D1614" t="s">
        <v>3077</v>
      </c>
      <c r="F1614" s="86">
        <v>12478</v>
      </c>
      <c r="G1614" t="s">
        <v>756</v>
      </c>
      <c r="H1614">
        <v>10395</v>
      </c>
      <c r="I1614" t="s">
        <v>2779</v>
      </c>
    </row>
    <row r="1615" spans="1:9">
      <c r="A1615" s="71">
        <v>45064</v>
      </c>
      <c r="B1615" t="s">
        <v>362</v>
      </c>
      <c r="D1615" t="s">
        <v>3078</v>
      </c>
      <c r="F1615" s="86">
        <v>12478</v>
      </c>
      <c r="G1615" t="s">
        <v>756</v>
      </c>
      <c r="H1615">
        <v>9365</v>
      </c>
      <c r="I1615" t="s">
        <v>1596</v>
      </c>
    </row>
    <row r="1616" spans="1:9">
      <c r="A1616" s="71">
        <v>45064</v>
      </c>
      <c r="B1616" t="s">
        <v>388</v>
      </c>
      <c r="D1616" t="s">
        <v>3079</v>
      </c>
      <c r="F1616" s="86">
        <v>11370</v>
      </c>
      <c r="G1616" t="s">
        <v>756</v>
      </c>
      <c r="H1616">
        <v>10741</v>
      </c>
      <c r="I1616" t="s">
        <v>1381</v>
      </c>
    </row>
    <row r="1617" spans="1:9">
      <c r="A1617" s="71">
        <v>45064</v>
      </c>
      <c r="B1617" t="s">
        <v>689</v>
      </c>
      <c r="D1617" t="s">
        <v>3080</v>
      </c>
      <c r="G1617" t="s">
        <v>756</v>
      </c>
      <c r="H1617">
        <v>10684</v>
      </c>
      <c r="I1617" t="s">
        <v>1657</v>
      </c>
    </row>
    <row r="1618" spans="1:9">
      <c r="A1618" s="71">
        <v>45065</v>
      </c>
      <c r="B1618" t="s">
        <v>380</v>
      </c>
      <c r="D1618" t="s">
        <v>3081</v>
      </c>
      <c r="F1618" s="86">
        <v>4001</v>
      </c>
      <c r="G1618" t="s">
        <v>756</v>
      </c>
      <c r="H1618">
        <v>10400</v>
      </c>
      <c r="I1618" t="s">
        <v>2779</v>
      </c>
    </row>
    <row r="1619" spans="1:9">
      <c r="A1619" s="71">
        <v>45068</v>
      </c>
      <c r="B1619" t="s">
        <v>689</v>
      </c>
      <c r="D1619" t="s">
        <v>3082</v>
      </c>
      <c r="G1619" t="s">
        <v>756</v>
      </c>
      <c r="H1619">
        <v>10685</v>
      </c>
      <c r="I1619" t="s">
        <v>1657</v>
      </c>
    </row>
    <row r="1620" spans="1:9">
      <c r="A1620" s="71">
        <v>45068</v>
      </c>
      <c r="B1620" t="s">
        <v>36</v>
      </c>
      <c r="D1620" t="s">
        <v>3083</v>
      </c>
      <c r="G1620" t="s">
        <v>756</v>
      </c>
      <c r="H1620">
        <v>10766</v>
      </c>
      <c r="I1620" t="s">
        <v>1381</v>
      </c>
    </row>
    <row r="1621" spans="1:9">
      <c r="A1621" s="71">
        <v>45069</v>
      </c>
      <c r="B1621" t="s">
        <v>697</v>
      </c>
      <c r="D1621" t="s">
        <v>3084</v>
      </c>
      <c r="F1621" s="86">
        <v>12574</v>
      </c>
      <c r="G1621" t="s">
        <v>756</v>
      </c>
      <c r="H1621">
        <v>11009</v>
      </c>
      <c r="I1621" t="s">
        <v>1330</v>
      </c>
    </row>
    <row r="1622" spans="1:9">
      <c r="A1622" s="71">
        <v>45070</v>
      </c>
      <c r="B1622" t="s">
        <v>19</v>
      </c>
      <c r="D1622" t="s">
        <v>3085</v>
      </c>
      <c r="G1622" t="s">
        <v>756</v>
      </c>
      <c r="H1622">
        <v>10768</v>
      </c>
      <c r="I1622" t="s">
        <v>1381</v>
      </c>
    </row>
    <row r="1623" spans="1:9">
      <c r="A1623" s="71">
        <v>45070</v>
      </c>
      <c r="B1623" t="s">
        <v>389</v>
      </c>
      <c r="D1623" t="s">
        <v>3086</v>
      </c>
      <c r="G1623" t="s">
        <v>756</v>
      </c>
      <c r="H1623">
        <v>10767</v>
      </c>
      <c r="I1623" t="s">
        <v>1381</v>
      </c>
    </row>
    <row r="1624" spans="1:9">
      <c r="A1624" s="71">
        <v>45071</v>
      </c>
      <c r="B1624" t="s">
        <v>697</v>
      </c>
      <c r="D1624" t="s">
        <v>3087</v>
      </c>
      <c r="F1624" s="86">
        <v>18799</v>
      </c>
      <c r="G1624" t="s">
        <v>756</v>
      </c>
      <c r="H1624">
        <v>11013</v>
      </c>
      <c r="I1624" t="s">
        <v>1330</v>
      </c>
    </row>
    <row r="1625" spans="1:9">
      <c r="A1625" s="71">
        <v>45071</v>
      </c>
      <c r="B1625" t="s">
        <v>162</v>
      </c>
      <c r="D1625" t="s">
        <v>3088</v>
      </c>
      <c r="G1625" t="s">
        <v>756</v>
      </c>
      <c r="H1625">
        <v>10769</v>
      </c>
      <c r="I1625" t="s">
        <v>2779</v>
      </c>
    </row>
    <row r="1626" spans="1:9">
      <c r="A1626" s="71">
        <v>45072</v>
      </c>
      <c r="B1626" t="s">
        <v>69</v>
      </c>
      <c r="D1626" t="s">
        <v>3089</v>
      </c>
      <c r="G1626" t="s">
        <v>756</v>
      </c>
      <c r="H1626">
        <v>10269</v>
      </c>
      <c r="I1626" t="s">
        <v>1487</v>
      </c>
    </row>
    <row r="1627" spans="1:9">
      <c r="A1627" s="71">
        <v>45072</v>
      </c>
      <c r="B1627" t="s">
        <v>36</v>
      </c>
      <c r="D1627" t="s">
        <v>3090</v>
      </c>
      <c r="G1627" t="s">
        <v>756</v>
      </c>
      <c r="H1627">
        <v>10686</v>
      </c>
      <c r="I1627" t="s">
        <v>1381</v>
      </c>
    </row>
    <row r="1628" spans="1:9">
      <c r="A1628" s="71">
        <v>45074</v>
      </c>
      <c r="B1628" t="s">
        <v>352</v>
      </c>
      <c r="D1628" t="s">
        <v>3091</v>
      </c>
      <c r="F1628" s="86">
        <v>8407</v>
      </c>
      <c r="G1628" t="s">
        <v>756</v>
      </c>
      <c r="H1628">
        <v>8778</v>
      </c>
      <c r="I1628" t="s">
        <v>1381</v>
      </c>
    </row>
    <row r="1629" spans="1:9">
      <c r="A1629" s="71">
        <v>45075</v>
      </c>
      <c r="B1629" t="s">
        <v>2384</v>
      </c>
      <c r="D1629" t="s">
        <v>3092</v>
      </c>
      <c r="G1629" t="s">
        <v>756</v>
      </c>
      <c r="H1629">
        <v>10956</v>
      </c>
      <c r="I1629" t="s">
        <v>1339</v>
      </c>
    </row>
    <row r="1630" spans="1:9">
      <c r="A1630" s="71">
        <v>45075</v>
      </c>
      <c r="B1630" t="s">
        <v>211</v>
      </c>
      <c r="D1630" t="s">
        <v>3093</v>
      </c>
      <c r="G1630" t="s">
        <v>756</v>
      </c>
      <c r="H1630">
        <v>10687</v>
      </c>
      <c r="I1630" t="s">
        <v>1381</v>
      </c>
    </row>
    <row r="1631" spans="1:9">
      <c r="A1631" s="71">
        <v>45076</v>
      </c>
      <c r="B1631" t="s">
        <v>211</v>
      </c>
      <c r="D1631" t="s">
        <v>3094</v>
      </c>
      <c r="G1631" t="s">
        <v>756</v>
      </c>
      <c r="H1631">
        <v>10688</v>
      </c>
      <c r="I1631" t="s">
        <v>1381</v>
      </c>
    </row>
    <row r="1632" spans="1:9">
      <c r="A1632" s="71">
        <v>45077</v>
      </c>
      <c r="B1632" t="s">
        <v>143</v>
      </c>
      <c r="D1632" t="s">
        <v>3095</v>
      </c>
      <c r="G1632" t="s">
        <v>756</v>
      </c>
      <c r="H1632">
        <v>10691</v>
      </c>
      <c r="I1632" t="s">
        <v>1381</v>
      </c>
    </row>
    <row r="1633" spans="1:9">
      <c r="A1633" s="71">
        <v>45078</v>
      </c>
      <c r="B1633" t="s">
        <v>259</v>
      </c>
      <c r="D1633" t="s">
        <v>3096</v>
      </c>
      <c r="F1633" s="86">
        <v>18782</v>
      </c>
      <c r="G1633" t="s">
        <v>756</v>
      </c>
      <c r="H1633">
        <v>11405</v>
      </c>
      <c r="I1633" t="s">
        <v>2779</v>
      </c>
    </row>
    <row r="1634" spans="1:9">
      <c r="A1634" s="71">
        <v>45078</v>
      </c>
      <c r="B1634" t="s">
        <v>373</v>
      </c>
      <c r="D1634" t="s">
        <v>3097</v>
      </c>
      <c r="G1634" t="s">
        <v>756</v>
      </c>
      <c r="H1634">
        <v>10692</v>
      </c>
      <c r="I1634" t="s">
        <v>1381</v>
      </c>
    </row>
    <row r="1635" spans="1:9">
      <c r="A1635" s="71">
        <v>45078</v>
      </c>
      <c r="B1635" t="s">
        <v>19</v>
      </c>
      <c r="D1635" t="s">
        <v>3098</v>
      </c>
      <c r="F1635" s="86">
        <v>6823</v>
      </c>
      <c r="G1635" t="s">
        <v>756</v>
      </c>
      <c r="H1635">
        <v>9371</v>
      </c>
      <c r="I1635" t="s">
        <v>1596</v>
      </c>
    </row>
    <row r="1636" spans="1:9">
      <c r="A1636" s="71">
        <v>45078</v>
      </c>
      <c r="B1636" t="s">
        <v>178</v>
      </c>
      <c r="D1636" t="s">
        <v>3099</v>
      </c>
      <c r="F1636" s="86">
        <v>1413</v>
      </c>
      <c r="G1636" t="s">
        <v>756</v>
      </c>
      <c r="H1636">
        <v>9370</v>
      </c>
      <c r="I1636" t="s">
        <v>1596</v>
      </c>
    </row>
    <row r="1637" spans="1:9">
      <c r="A1637" s="71">
        <v>45079</v>
      </c>
      <c r="B1637" t="s">
        <v>373</v>
      </c>
      <c r="D1637" t="s">
        <v>3100</v>
      </c>
      <c r="G1637" t="s">
        <v>756</v>
      </c>
      <c r="H1637">
        <v>10770</v>
      </c>
      <c r="I1637" t="s">
        <v>1381</v>
      </c>
    </row>
    <row r="1638" spans="1:9">
      <c r="A1638" s="71">
        <v>45082</v>
      </c>
      <c r="B1638" t="s">
        <v>690</v>
      </c>
      <c r="D1638" t="s">
        <v>3101</v>
      </c>
      <c r="G1638" t="s">
        <v>756</v>
      </c>
      <c r="H1638">
        <v>10771</v>
      </c>
      <c r="I1638" t="s">
        <v>1381</v>
      </c>
    </row>
    <row r="1639" spans="1:9">
      <c r="A1639" s="71">
        <v>45082</v>
      </c>
      <c r="B1639" t="s">
        <v>35</v>
      </c>
      <c r="D1639" t="s">
        <v>3102</v>
      </c>
      <c r="F1639" s="86">
        <v>4716</v>
      </c>
      <c r="G1639" t="s">
        <v>756</v>
      </c>
      <c r="H1639">
        <v>9375</v>
      </c>
      <c r="I1639" t="s">
        <v>1596</v>
      </c>
    </row>
    <row r="1640" spans="1:9">
      <c r="A1640" s="71">
        <v>45083</v>
      </c>
      <c r="B1640" t="s">
        <v>307</v>
      </c>
      <c r="D1640" t="s">
        <v>3103</v>
      </c>
      <c r="G1640" t="s">
        <v>756</v>
      </c>
      <c r="H1640">
        <v>10773</v>
      </c>
      <c r="I1640" t="s">
        <v>1381</v>
      </c>
    </row>
    <row r="1641" spans="1:9">
      <c r="A1641" s="71">
        <v>45083</v>
      </c>
      <c r="B1641" t="s">
        <v>167</v>
      </c>
      <c r="D1641" t="s">
        <v>3104</v>
      </c>
      <c r="F1641" s="86">
        <v>5507</v>
      </c>
      <c r="G1641" t="s">
        <v>756</v>
      </c>
      <c r="H1641">
        <v>9376</v>
      </c>
      <c r="I1641" t="s">
        <v>1596</v>
      </c>
    </row>
    <row r="1642" spans="1:9">
      <c r="A1642" s="71">
        <v>45084</v>
      </c>
      <c r="B1642" t="s">
        <v>346</v>
      </c>
      <c r="D1642" t="s">
        <v>3105</v>
      </c>
      <c r="F1642" s="86">
        <v>468</v>
      </c>
      <c r="G1642" t="s">
        <v>756</v>
      </c>
      <c r="H1642">
        <v>11410</v>
      </c>
      <c r="I1642" t="s">
        <v>2779</v>
      </c>
    </row>
    <row r="1643" spans="1:9">
      <c r="A1643" s="71">
        <v>45084</v>
      </c>
      <c r="B1643" t="s">
        <v>185</v>
      </c>
      <c r="D1643" t="s">
        <v>3106</v>
      </c>
      <c r="G1643" t="s">
        <v>756</v>
      </c>
      <c r="H1643">
        <v>10961</v>
      </c>
      <c r="I1643" t="s">
        <v>1339</v>
      </c>
    </row>
    <row r="1644" spans="1:9">
      <c r="A1644" s="71">
        <v>45084</v>
      </c>
      <c r="B1644" t="s">
        <v>167</v>
      </c>
      <c r="D1644" t="s">
        <v>3107</v>
      </c>
      <c r="F1644" s="86">
        <v>9377</v>
      </c>
      <c r="G1644" t="s">
        <v>756</v>
      </c>
      <c r="H1644">
        <v>9377</v>
      </c>
      <c r="I1644" t="s">
        <v>1596</v>
      </c>
    </row>
    <row r="1645" spans="1:9">
      <c r="A1645" s="71">
        <v>45084</v>
      </c>
      <c r="B1645" t="s">
        <v>351</v>
      </c>
      <c r="D1645" t="s">
        <v>3108</v>
      </c>
      <c r="F1645" s="86">
        <v>7301</v>
      </c>
      <c r="G1645" t="s">
        <v>756</v>
      </c>
      <c r="H1645">
        <v>9378</v>
      </c>
      <c r="I1645" t="s">
        <v>1596</v>
      </c>
    </row>
    <row r="1646" spans="1:9">
      <c r="A1646" s="71">
        <v>45084</v>
      </c>
      <c r="B1646" t="s">
        <v>65</v>
      </c>
      <c r="D1646" t="s">
        <v>3109</v>
      </c>
      <c r="F1646" s="86">
        <v>1670</v>
      </c>
      <c r="G1646" t="s">
        <v>756</v>
      </c>
      <c r="H1646">
        <v>9327</v>
      </c>
      <c r="I1646" t="s">
        <v>1339</v>
      </c>
    </row>
    <row r="1647" spans="1:9">
      <c r="A1647" s="71">
        <v>45085</v>
      </c>
      <c r="B1647" t="s">
        <v>36</v>
      </c>
      <c r="D1647" t="s">
        <v>3110</v>
      </c>
      <c r="G1647" t="s">
        <v>756</v>
      </c>
      <c r="H1647">
        <v>10776</v>
      </c>
      <c r="I1647" t="s">
        <v>1381</v>
      </c>
    </row>
    <row r="1648" spans="1:9">
      <c r="A1648" s="71">
        <v>45085</v>
      </c>
      <c r="B1648" t="s">
        <v>176</v>
      </c>
      <c r="D1648" t="s">
        <v>3111</v>
      </c>
      <c r="F1648" s="86">
        <v>4498</v>
      </c>
      <c r="G1648" t="s">
        <v>756</v>
      </c>
      <c r="H1648">
        <v>9380</v>
      </c>
      <c r="I1648" t="s">
        <v>1596</v>
      </c>
    </row>
    <row r="1649" spans="1:9">
      <c r="A1649" s="71">
        <v>45085</v>
      </c>
      <c r="B1649" t="s">
        <v>351</v>
      </c>
      <c r="D1649" t="s">
        <v>3112</v>
      </c>
      <c r="F1649" s="86">
        <v>7301</v>
      </c>
      <c r="G1649" t="s">
        <v>756</v>
      </c>
      <c r="H1649">
        <v>9379</v>
      </c>
      <c r="I1649" t="s">
        <v>1596</v>
      </c>
    </row>
    <row r="1650" spans="1:9">
      <c r="A1650" s="71">
        <v>45086</v>
      </c>
      <c r="B1650" t="s">
        <v>167</v>
      </c>
      <c r="D1650" t="s">
        <v>3113</v>
      </c>
      <c r="F1650" s="86">
        <v>5507</v>
      </c>
      <c r="G1650" t="s">
        <v>756</v>
      </c>
      <c r="H1650">
        <v>9382</v>
      </c>
      <c r="I1650" t="s">
        <v>1596</v>
      </c>
    </row>
    <row r="1651" spans="1:9">
      <c r="A1651" s="71">
        <v>45086</v>
      </c>
      <c r="B1651" t="s">
        <v>176</v>
      </c>
      <c r="D1651" t="s">
        <v>3114</v>
      </c>
      <c r="F1651" s="86">
        <v>4492</v>
      </c>
      <c r="G1651" t="s">
        <v>756</v>
      </c>
      <c r="H1651">
        <v>9381</v>
      </c>
      <c r="I1651" t="s">
        <v>1596</v>
      </c>
    </row>
    <row r="1652" spans="1:9">
      <c r="A1652" s="71">
        <v>45087</v>
      </c>
      <c r="B1652" t="s">
        <v>371</v>
      </c>
      <c r="D1652" t="s">
        <v>3115</v>
      </c>
      <c r="F1652" s="86">
        <v>14822</v>
      </c>
      <c r="G1652" t="s">
        <v>756</v>
      </c>
      <c r="H1652">
        <v>11004</v>
      </c>
      <c r="I1652" t="s">
        <v>1330</v>
      </c>
    </row>
    <row r="1653" spans="1:9">
      <c r="A1653" s="71">
        <v>45087</v>
      </c>
      <c r="B1653" t="s">
        <v>697</v>
      </c>
      <c r="D1653" t="s">
        <v>3116</v>
      </c>
      <c r="F1653" s="86">
        <v>18768</v>
      </c>
      <c r="G1653" t="s">
        <v>756</v>
      </c>
      <c r="H1653">
        <v>11005</v>
      </c>
      <c r="I1653" t="s">
        <v>1330</v>
      </c>
    </row>
    <row r="1654" spans="1:9">
      <c r="A1654" s="71">
        <v>45087</v>
      </c>
      <c r="B1654" t="s">
        <v>608</v>
      </c>
      <c r="D1654" t="s">
        <v>3117</v>
      </c>
      <c r="G1654" t="s">
        <v>756</v>
      </c>
      <c r="H1654">
        <v>10678</v>
      </c>
      <c r="I1654" t="s">
        <v>3073</v>
      </c>
    </row>
    <row r="1655" spans="1:9">
      <c r="A1655" s="71">
        <v>45088</v>
      </c>
      <c r="B1655" t="s">
        <v>180</v>
      </c>
      <c r="D1655" t="s">
        <v>3118</v>
      </c>
      <c r="F1655" s="86">
        <v>5088</v>
      </c>
      <c r="G1655" t="s">
        <v>756</v>
      </c>
      <c r="H1655">
        <v>9351</v>
      </c>
      <c r="I1655" t="s">
        <v>1596</v>
      </c>
    </row>
    <row r="1656" spans="1:9">
      <c r="A1656" s="71">
        <v>45089</v>
      </c>
      <c r="B1656" t="s">
        <v>399</v>
      </c>
      <c r="D1656" t="s">
        <v>3119</v>
      </c>
      <c r="G1656" t="s">
        <v>756</v>
      </c>
      <c r="H1656">
        <v>10779</v>
      </c>
      <c r="I1656" t="s">
        <v>1381</v>
      </c>
    </row>
    <row r="1657" spans="1:9">
      <c r="A1657" s="71">
        <v>45089</v>
      </c>
      <c r="B1657" t="s">
        <v>408</v>
      </c>
      <c r="D1657" t="s">
        <v>3120</v>
      </c>
      <c r="G1657" t="s">
        <v>756</v>
      </c>
      <c r="H1657">
        <v>10271</v>
      </c>
      <c r="I1657" t="s">
        <v>1487</v>
      </c>
    </row>
    <row r="1658" spans="1:9">
      <c r="A1658" s="71">
        <v>45089</v>
      </c>
      <c r="B1658" t="s">
        <v>311</v>
      </c>
      <c r="D1658" t="s">
        <v>3121</v>
      </c>
      <c r="G1658" t="s">
        <v>756</v>
      </c>
      <c r="H1658">
        <v>9383</v>
      </c>
      <c r="I1658" t="s">
        <v>1596</v>
      </c>
    </row>
    <row r="1659" spans="1:9">
      <c r="A1659" s="71">
        <v>45089</v>
      </c>
      <c r="B1659" t="s">
        <v>324</v>
      </c>
      <c r="D1659" t="s">
        <v>3122</v>
      </c>
      <c r="F1659" s="86">
        <v>13560</v>
      </c>
      <c r="G1659" t="s">
        <v>756</v>
      </c>
      <c r="H1659">
        <v>9373</v>
      </c>
      <c r="I1659" t="s">
        <v>1596</v>
      </c>
    </row>
    <row r="1660" spans="1:9">
      <c r="A1660" s="71">
        <v>45090</v>
      </c>
      <c r="B1660" t="s">
        <v>307</v>
      </c>
      <c r="D1660" t="s">
        <v>3123</v>
      </c>
      <c r="G1660" t="s">
        <v>756</v>
      </c>
      <c r="H1660">
        <v>10781</v>
      </c>
      <c r="I1660" t="s">
        <v>1381</v>
      </c>
    </row>
    <row r="1661" spans="1:9">
      <c r="A1661" s="71">
        <v>45090</v>
      </c>
      <c r="B1661" t="s">
        <v>36</v>
      </c>
      <c r="D1661" t="s">
        <v>3124</v>
      </c>
      <c r="G1661" t="s">
        <v>756</v>
      </c>
      <c r="H1661">
        <v>10780</v>
      </c>
      <c r="I1661" t="s">
        <v>1381</v>
      </c>
    </row>
    <row r="1662" spans="1:9">
      <c r="A1662" s="71">
        <v>45090</v>
      </c>
      <c r="B1662" t="s">
        <v>311</v>
      </c>
      <c r="D1662" t="s">
        <v>3125</v>
      </c>
      <c r="G1662" t="s">
        <v>756</v>
      </c>
      <c r="H1662">
        <v>9384</v>
      </c>
      <c r="I1662" t="s">
        <v>1596</v>
      </c>
    </row>
    <row r="1663" spans="1:9">
      <c r="A1663" s="71">
        <v>45091</v>
      </c>
      <c r="B1663" t="s">
        <v>390</v>
      </c>
      <c r="D1663" t="s">
        <v>3126</v>
      </c>
      <c r="F1663" s="86">
        <v>6996</v>
      </c>
      <c r="G1663" t="s">
        <v>756</v>
      </c>
      <c r="H1663">
        <v>10964</v>
      </c>
      <c r="I1663" t="s">
        <v>1339</v>
      </c>
    </row>
    <row r="1664" spans="1:9">
      <c r="A1664" s="71">
        <v>45091</v>
      </c>
      <c r="B1664" t="s">
        <v>399</v>
      </c>
      <c r="D1664" t="s">
        <v>3127</v>
      </c>
      <c r="G1664" t="s">
        <v>756</v>
      </c>
      <c r="H1664">
        <v>10783</v>
      </c>
      <c r="I1664" t="s">
        <v>1381</v>
      </c>
    </row>
    <row r="1665" spans="1:9">
      <c r="A1665" s="71">
        <v>45091</v>
      </c>
      <c r="B1665" t="s">
        <v>36</v>
      </c>
      <c r="D1665" t="s">
        <v>3128</v>
      </c>
      <c r="F1665" s="86">
        <v>6862</v>
      </c>
      <c r="G1665" t="s">
        <v>756</v>
      </c>
      <c r="H1665">
        <v>10782</v>
      </c>
      <c r="I1665" t="s">
        <v>1381</v>
      </c>
    </row>
    <row r="1666" spans="1:9">
      <c r="A1666" s="71">
        <v>45091</v>
      </c>
      <c r="B1666" t="s">
        <v>389</v>
      </c>
      <c r="D1666" t="s">
        <v>3129</v>
      </c>
      <c r="F1666" s="86">
        <v>5214</v>
      </c>
      <c r="G1666" t="s">
        <v>756</v>
      </c>
      <c r="H1666">
        <v>9388</v>
      </c>
      <c r="I1666" t="s">
        <v>1596</v>
      </c>
    </row>
    <row r="1667" spans="1:9">
      <c r="A1667" s="71">
        <v>45091</v>
      </c>
      <c r="B1667" t="s">
        <v>797</v>
      </c>
      <c r="D1667" t="s">
        <v>3130</v>
      </c>
      <c r="G1667" t="s">
        <v>756</v>
      </c>
      <c r="I1667" t="s">
        <v>1596</v>
      </c>
    </row>
    <row r="1668" spans="1:9">
      <c r="A1668" s="71">
        <v>45092</v>
      </c>
      <c r="B1668" t="s">
        <v>346</v>
      </c>
      <c r="D1668" t="s">
        <v>3131</v>
      </c>
      <c r="F1668" s="86">
        <v>469</v>
      </c>
      <c r="G1668" t="s">
        <v>756</v>
      </c>
      <c r="H1668">
        <v>11414</v>
      </c>
      <c r="I1668" t="s">
        <v>2779</v>
      </c>
    </row>
    <row r="1669" spans="1:9">
      <c r="A1669" s="71">
        <v>45092</v>
      </c>
      <c r="B1669" t="s">
        <v>399</v>
      </c>
      <c r="D1669" t="s">
        <v>3132</v>
      </c>
      <c r="G1669" t="s">
        <v>756</v>
      </c>
      <c r="H1669">
        <v>10786</v>
      </c>
      <c r="I1669" t="s">
        <v>1381</v>
      </c>
    </row>
    <row r="1670" spans="1:9">
      <c r="A1670" s="71">
        <v>45092</v>
      </c>
      <c r="B1670" t="s">
        <v>163</v>
      </c>
      <c r="D1670" t="s">
        <v>3133</v>
      </c>
      <c r="F1670" s="86">
        <v>6463</v>
      </c>
      <c r="G1670" t="s">
        <v>756</v>
      </c>
      <c r="H1670">
        <v>9390</v>
      </c>
      <c r="I1670" t="s">
        <v>1596</v>
      </c>
    </row>
    <row r="1671" spans="1:9">
      <c r="A1671" s="71">
        <v>45093</v>
      </c>
      <c r="B1671" t="s">
        <v>563</v>
      </c>
      <c r="D1671" t="s">
        <v>3134</v>
      </c>
      <c r="G1671" t="s">
        <v>756</v>
      </c>
      <c r="H1671">
        <v>11416</v>
      </c>
      <c r="I1671" t="s">
        <v>2779</v>
      </c>
    </row>
    <row r="1672" spans="1:9">
      <c r="A1672" s="71">
        <v>45093</v>
      </c>
      <c r="B1672" t="s">
        <v>369</v>
      </c>
      <c r="D1672" t="s">
        <v>3135</v>
      </c>
      <c r="F1672" s="86">
        <v>10879</v>
      </c>
      <c r="G1672" t="s">
        <v>756</v>
      </c>
      <c r="H1672">
        <v>11415</v>
      </c>
      <c r="I1672" t="s">
        <v>2779</v>
      </c>
    </row>
    <row r="1673" spans="1:9">
      <c r="A1673" s="71">
        <v>45093</v>
      </c>
      <c r="B1673" t="s">
        <v>373</v>
      </c>
      <c r="D1673" t="s">
        <v>3136</v>
      </c>
      <c r="G1673" t="s">
        <v>756</v>
      </c>
      <c r="H1673">
        <v>10959</v>
      </c>
      <c r="I1673" t="s">
        <v>1339</v>
      </c>
    </row>
    <row r="1674" spans="1:9">
      <c r="A1674" s="71">
        <v>45093</v>
      </c>
      <c r="B1674" t="s">
        <v>36</v>
      </c>
      <c r="D1674" t="s">
        <v>3137</v>
      </c>
      <c r="F1674" s="86">
        <v>6901</v>
      </c>
      <c r="G1674" t="s">
        <v>756</v>
      </c>
      <c r="H1674">
        <v>9391</v>
      </c>
      <c r="I1674" t="s">
        <v>1596</v>
      </c>
    </row>
    <row r="1675" spans="1:9">
      <c r="A1675" s="71">
        <v>45096</v>
      </c>
      <c r="B1675" t="s">
        <v>175</v>
      </c>
      <c r="D1675" t="s">
        <v>3138</v>
      </c>
      <c r="G1675" t="s">
        <v>756</v>
      </c>
      <c r="H1675">
        <v>10695</v>
      </c>
      <c r="I1675" t="s">
        <v>1381</v>
      </c>
    </row>
    <row r="1676" spans="1:9">
      <c r="A1676" s="71">
        <v>45096</v>
      </c>
      <c r="B1676" t="s">
        <v>29</v>
      </c>
      <c r="D1676" t="s">
        <v>3139</v>
      </c>
      <c r="G1676" t="s">
        <v>756</v>
      </c>
      <c r="H1676">
        <v>10696</v>
      </c>
      <c r="I1676" t="s">
        <v>1381</v>
      </c>
    </row>
    <row r="1677" spans="1:9">
      <c r="A1677" s="71">
        <v>45096</v>
      </c>
      <c r="B1677" t="s">
        <v>328</v>
      </c>
      <c r="D1677" t="s">
        <v>3140</v>
      </c>
      <c r="F1677" s="86">
        <v>7767</v>
      </c>
      <c r="G1677" t="s">
        <v>756</v>
      </c>
      <c r="H1677">
        <v>9392</v>
      </c>
      <c r="I1677" t="s">
        <v>1596</v>
      </c>
    </row>
    <row r="1678" spans="1:9">
      <c r="A1678" s="71">
        <v>45097</v>
      </c>
      <c r="B1678" t="s">
        <v>239</v>
      </c>
      <c r="D1678" t="s">
        <v>3141</v>
      </c>
      <c r="F1678" s="86">
        <v>12643</v>
      </c>
      <c r="G1678" t="s">
        <v>756</v>
      </c>
      <c r="H1678">
        <v>11019</v>
      </c>
      <c r="I1678" t="s">
        <v>1330</v>
      </c>
    </row>
    <row r="1679" spans="1:9">
      <c r="A1679" s="71">
        <v>45097</v>
      </c>
      <c r="B1679" t="s">
        <v>697</v>
      </c>
      <c r="D1679" t="s">
        <v>3142</v>
      </c>
      <c r="F1679" s="86">
        <v>18807</v>
      </c>
      <c r="G1679" t="s">
        <v>756</v>
      </c>
      <c r="H1679">
        <v>11017</v>
      </c>
      <c r="I1679" t="s">
        <v>1330</v>
      </c>
    </row>
    <row r="1680" spans="1:9">
      <c r="A1680" s="71">
        <v>45097</v>
      </c>
      <c r="B1680" t="s">
        <v>697</v>
      </c>
      <c r="D1680" t="s">
        <v>3143</v>
      </c>
      <c r="F1680" s="86">
        <v>18801</v>
      </c>
      <c r="G1680" t="s">
        <v>756</v>
      </c>
      <c r="H1680">
        <v>11016</v>
      </c>
      <c r="I1680" t="s">
        <v>1330</v>
      </c>
    </row>
    <row r="1681" spans="1:9">
      <c r="A1681" s="71">
        <v>45097</v>
      </c>
      <c r="B1681" t="s">
        <v>143</v>
      </c>
      <c r="D1681" t="s">
        <v>3144</v>
      </c>
      <c r="G1681" t="s">
        <v>756</v>
      </c>
      <c r="H1681">
        <v>10697</v>
      </c>
      <c r="I1681" t="s">
        <v>1381</v>
      </c>
    </row>
    <row r="1682" spans="1:9">
      <c r="A1682" s="71">
        <v>45097</v>
      </c>
      <c r="B1682" t="s">
        <v>29</v>
      </c>
      <c r="D1682" t="s">
        <v>3145</v>
      </c>
      <c r="G1682" t="s">
        <v>756</v>
      </c>
      <c r="H1682">
        <v>10698</v>
      </c>
      <c r="I1682" t="s">
        <v>1381</v>
      </c>
    </row>
    <row r="1683" spans="1:9">
      <c r="A1683" s="71">
        <v>45098</v>
      </c>
      <c r="B1683" t="s">
        <v>143</v>
      </c>
      <c r="D1683" t="s">
        <v>3146</v>
      </c>
      <c r="G1683" t="s">
        <v>756</v>
      </c>
      <c r="H1683">
        <v>10699</v>
      </c>
      <c r="I1683" t="s">
        <v>1381</v>
      </c>
    </row>
    <row r="1684" spans="1:9">
      <c r="A1684" s="71">
        <v>45098</v>
      </c>
      <c r="B1684" t="s">
        <v>29</v>
      </c>
      <c r="D1684" t="s">
        <v>3147</v>
      </c>
      <c r="G1684" t="s">
        <v>756</v>
      </c>
      <c r="H1684">
        <v>10700</v>
      </c>
      <c r="I1684" t="s">
        <v>1381</v>
      </c>
    </row>
    <row r="1685" spans="1:9">
      <c r="A1685" s="71">
        <v>45099</v>
      </c>
      <c r="B1685" t="s">
        <v>396</v>
      </c>
      <c r="D1685" t="s">
        <v>3148</v>
      </c>
      <c r="G1685" t="s">
        <v>756</v>
      </c>
      <c r="H1685">
        <v>10745</v>
      </c>
      <c r="I1685" t="s">
        <v>1381</v>
      </c>
    </row>
    <row r="1686" spans="1:9">
      <c r="A1686" s="71">
        <v>45099</v>
      </c>
      <c r="B1686" t="s">
        <v>48</v>
      </c>
      <c r="D1686" t="s">
        <v>3149</v>
      </c>
      <c r="G1686" t="s">
        <v>756</v>
      </c>
      <c r="H1686">
        <v>9395</v>
      </c>
      <c r="I1686" t="s">
        <v>1596</v>
      </c>
    </row>
    <row r="1687" spans="1:9">
      <c r="A1687" s="71">
        <v>45100</v>
      </c>
      <c r="B1687" t="s">
        <v>48</v>
      </c>
      <c r="D1687" t="s">
        <v>3150</v>
      </c>
      <c r="G1687" t="s">
        <v>756</v>
      </c>
      <c r="H1687">
        <v>9396</v>
      </c>
      <c r="I1687" t="s">
        <v>1596</v>
      </c>
    </row>
    <row r="1688" spans="1:9">
      <c r="A1688" s="71">
        <v>45100</v>
      </c>
      <c r="B1688" t="s">
        <v>48</v>
      </c>
      <c r="D1688" t="s">
        <v>3151</v>
      </c>
      <c r="G1688" t="s">
        <v>756</v>
      </c>
      <c r="I1688" t="s">
        <v>1596</v>
      </c>
    </row>
    <row r="1689" spans="1:9">
      <c r="A1689" s="71">
        <v>45103</v>
      </c>
      <c r="B1689" t="s">
        <v>311</v>
      </c>
      <c r="D1689" t="s">
        <v>3152</v>
      </c>
      <c r="F1689" s="86">
        <v>5</v>
      </c>
      <c r="G1689" t="s">
        <v>756</v>
      </c>
      <c r="H1689">
        <v>9397</v>
      </c>
      <c r="I1689" t="s">
        <v>1596</v>
      </c>
    </row>
    <row r="1690" spans="1:9">
      <c r="A1690" s="71">
        <v>45103</v>
      </c>
      <c r="B1690" t="s">
        <v>65</v>
      </c>
      <c r="D1690" t="s">
        <v>3153</v>
      </c>
      <c r="F1690" s="86">
        <v>1815</v>
      </c>
      <c r="G1690" t="s">
        <v>756</v>
      </c>
      <c r="H1690">
        <v>9339</v>
      </c>
      <c r="I1690" t="s">
        <v>1339</v>
      </c>
    </row>
    <row r="1691" spans="1:9">
      <c r="A1691" s="71">
        <v>45104</v>
      </c>
      <c r="B1691" t="s">
        <v>396</v>
      </c>
      <c r="D1691" t="s">
        <v>3154</v>
      </c>
      <c r="G1691" t="s">
        <v>756</v>
      </c>
      <c r="H1691">
        <v>10746</v>
      </c>
      <c r="I1691" t="s">
        <v>1381</v>
      </c>
    </row>
    <row r="1692" spans="1:9">
      <c r="A1692" s="71">
        <v>45104</v>
      </c>
      <c r="B1692" t="s">
        <v>311</v>
      </c>
      <c r="D1692" t="s">
        <v>3155</v>
      </c>
      <c r="F1692" s="86">
        <v>5</v>
      </c>
      <c r="G1692" t="s">
        <v>756</v>
      </c>
      <c r="I1692" t="s">
        <v>1596</v>
      </c>
    </row>
    <row r="1693" spans="1:9">
      <c r="A1693" s="71">
        <v>45104</v>
      </c>
      <c r="B1693" t="s">
        <v>19</v>
      </c>
      <c r="D1693" t="s">
        <v>3156</v>
      </c>
      <c r="G1693" t="s">
        <v>756</v>
      </c>
      <c r="H1693">
        <v>10275</v>
      </c>
      <c r="I1693" t="s">
        <v>1487</v>
      </c>
    </row>
    <row r="1694" spans="1:9">
      <c r="A1694" s="71">
        <v>45104</v>
      </c>
      <c r="B1694" t="s">
        <v>19</v>
      </c>
      <c r="D1694" t="s">
        <v>3157</v>
      </c>
      <c r="G1694" t="s">
        <v>756</v>
      </c>
      <c r="H1694">
        <v>10272</v>
      </c>
      <c r="I1694" t="s">
        <v>1487</v>
      </c>
    </row>
    <row r="1695" spans="1:9">
      <c r="A1695" s="71">
        <v>45105</v>
      </c>
      <c r="B1695" t="s">
        <v>162</v>
      </c>
      <c r="D1695" t="s">
        <v>3158</v>
      </c>
      <c r="F1695" s="86">
        <v>8496</v>
      </c>
      <c r="G1695" t="s">
        <v>756</v>
      </c>
      <c r="H1695">
        <v>11418</v>
      </c>
      <c r="I1695" t="s">
        <v>2779</v>
      </c>
    </row>
    <row r="1696" spans="1:9">
      <c r="A1696" s="71">
        <v>45105</v>
      </c>
      <c r="B1696" t="s">
        <v>162</v>
      </c>
      <c r="D1696" t="s">
        <v>3159</v>
      </c>
      <c r="G1696" t="s">
        <v>756</v>
      </c>
      <c r="H1696">
        <v>11417</v>
      </c>
      <c r="I1696" t="s">
        <v>2779</v>
      </c>
    </row>
    <row r="1697" spans="1:9">
      <c r="A1697" s="71">
        <v>45105</v>
      </c>
      <c r="B1697" t="s">
        <v>689</v>
      </c>
      <c r="D1697" t="s">
        <v>3160</v>
      </c>
      <c r="F1697" s="86">
        <v>6010</v>
      </c>
      <c r="G1697" t="s">
        <v>756</v>
      </c>
      <c r="H1697">
        <v>10748</v>
      </c>
      <c r="I1697" t="s">
        <v>1381</v>
      </c>
    </row>
    <row r="1698" spans="1:9">
      <c r="A1698" s="71">
        <v>45105</v>
      </c>
      <c r="B1698" t="s">
        <v>311</v>
      </c>
      <c r="D1698" t="s">
        <v>3161</v>
      </c>
      <c r="F1698" s="86">
        <v>4</v>
      </c>
      <c r="G1698" t="s">
        <v>756</v>
      </c>
      <c r="H1698">
        <v>10851</v>
      </c>
      <c r="I1698" t="s">
        <v>1657</v>
      </c>
    </row>
    <row r="1699" spans="1:9">
      <c r="A1699" s="71">
        <v>45105</v>
      </c>
      <c r="B1699" t="s">
        <v>594</v>
      </c>
      <c r="D1699" t="s">
        <v>3162</v>
      </c>
      <c r="G1699" t="s">
        <v>756</v>
      </c>
      <c r="H1699">
        <v>9398</v>
      </c>
      <c r="I1699" t="s">
        <v>1596</v>
      </c>
    </row>
    <row r="1700" spans="1:9">
      <c r="A1700" s="71">
        <v>45105</v>
      </c>
      <c r="B1700" t="s">
        <v>800</v>
      </c>
      <c r="D1700" t="s">
        <v>3163</v>
      </c>
      <c r="G1700" t="s">
        <v>756</v>
      </c>
      <c r="I1700" t="s">
        <v>1596</v>
      </c>
    </row>
    <row r="1701" spans="1:9">
      <c r="A1701" s="71">
        <v>45106</v>
      </c>
      <c r="B1701" t="s">
        <v>324</v>
      </c>
      <c r="D1701" t="s">
        <v>3164</v>
      </c>
      <c r="G1701" t="s">
        <v>756</v>
      </c>
      <c r="H1701">
        <v>10790</v>
      </c>
      <c r="I1701" t="s">
        <v>1381</v>
      </c>
    </row>
    <row r="1702" spans="1:9">
      <c r="A1702" s="71">
        <v>45106</v>
      </c>
      <c r="B1702" t="s">
        <v>584</v>
      </c>
      <c r="D1702" t="s">
        <v>3165</v>
      </c>
      <c r="G1702" t="s">
        <v>756</v>
      </c>
      <c r="H1702">
        <v>10750</v>
      </c>
      <c r="I1702" t="s">
        <v>1381</v>
      </c>
    </row>
    <row r="1703" spans="1:9">
      <c r="A1703" s="71">
        <v>45106</v>
      </c>
      <c r="B1703" t="s">
        <v>29</v>
      </c>
      <c r="D1703" t="s">
        <v>3166</v>
      </c>
      <c r="F1703" s="86">
        <v>7945</v>
      </c>
      <c r="G1703" t="s">
        <v>756</v>
      </c>
      <c r="H1703">
        <v>10749</v>
      </c>
      <c r="I1703" t="s">
        <v>1381</v>
      </c>
    </row>
    <row r="1704" spans="1:9">
      <c r="A1704" s="71">
        <v>45106</v>
      </c>
      <c r="B1704" t="s">
        <v>48</v>
      </c>
      <c r="D1704" t="s">
        <v>3167</v>
      </c>
      <c r="G1704" t="s">
        <v>756</v>
      </c>
      <c r="H1704">
        <v>9399</v>
      </c>
      <c r="I1704" t="s">
        <v>1596</v>
      </c>
    </row>
    <row r="1705" spans="1:9">
      <c r="A1705" s="71">
        <v>45106</v>
      </c>
      <c r="B1705" t="s">
        <v>48</v>
      </c>
      <c r="D1705" t="s">
        <v>3168</v>
      </c>
      <c r="G1705" t="s">
        <v>756</v>
      </c>
      <c r="I1705" t="s">
        <v>1596</v>
      </c>
    </row>
    <row r="1706" spans="1:9">
      <c r="A1706" s="71">
        <v>45107</v>
      </c>
      <c r="B1706" t="s">
        <v>352</v>
      </c>
      <c r="D1706" t="s">
        <v>3169</v>
      </c>
      <c r="G1706" t="s">
        <v>756</v>
      </c>
      <c r="H1706">
        <v>10792</v>
      </c>
      <c r="I1706" t="s">
        <v>1381</v>
      </c>
    </row>
    <row r="1707" spans="1:9">
      <c r="A1707" s="71">
        <v>45107</v>
      </c>
      <c r="B1707" t="s">
        <v>356</v>
      </c>
      <c r="D1707" t="s">
        <v>3170</v>
      </c>
      <c r="G1707" t="s">
        <v>756</v>
      </c>
      <c r="H1707">
        <v>10791</v>
      </c>
      <c r="I1707" t="s">
        <v>1381</v>
      </c>
    </row>
    <row r="1708" spans="1:9">
      <c r="A1708" s="71">
        <v>45107</v>
      </c>
      <c r="B1708" t="s">
        <v>369</v>
      </c>
      <c r="D1708" t="s">
        <v>3171</v>
      </c>
      <c r="F1708" s="86">
        <v>45107</v>
      </c>
      <c r="G1708" t="s">
        <v>756</v>
      </c>
      <c r="H1708">
        <v>10274</v>
      </c>
      <c r="I1708" t="s">
        <v>1487</v>
      </c>
    </row>
    <row r="1709" spans="1:9">
      <c r="A1709" s="71">
        <v>45107</v>
      </c>
      <c r="B1709" t="s">
        <v>390</v>
      </c>
      <c r="D1709" t="s">
        <v>3172</v>
      </c>
      <c r="F1709" s="86">
        <v>7032</v>
      </c>
      <c r="G1709" t="s">
        <v>756</v>
      </c>
      <c r="H1709">
        <v>10273</v>
      </c>
      <c r="I1709" t="s">
        <v>1487</v>
      </c>
    </row>
    <row r="1710" spans="1:9">
      <c r="A1710" s="71">
        <v>45108</v>
      </c>
      <c r="B1710" t="s">
        <v>176</v>
      </c>
      <c r="D1710" t="s">
        <v>3173</v>
      </c>
      <c r="F1710" s="86">
        <v>4500</v>
      </c>
      <c r="G1710" t="s">
        <v>756</v>
      </c>
      <c r="H1710">
        <v>9900</v>
      </c>
      <c r="I1710" t="s">
        <v>1341</v>
      </c>
    </row>
    <row r="1711" spans="1:9">
      <c r="A1711" s="71">
        <v>45109</v>
      </c>
      <c r="B1711" t="s">
        <v>2384</v>
      </c>
      <c r="D1711" t="s">
        <v>3174</v>
      </c>
      <c r="F1711" s="86">
        <v>407615</v>
      </c>
      <c r="G1711" t="s">
        <v>756</v>
      </c>
      <c r="H1711">
        <v>10970</v>
      </c>
      <c r="I1711" t="s">
        <v>1339</v>
      </c>
    </row>
    <row r="1712" spans="1:9">
      <c r="A1712" s="71">
        <v>45110</v>
      </c>
      <c r="B1712" t="s">
        <v>162</v>
      </c>
      <c r="D1712" t="s">
        <v>3175</v>
      </c>
      <c r="F1712" s="86">
        <v>7440</v>
      </c>
      <c r="G1712" t="s">
        <v>756</v>
      </c>
      <c r="H1712">
        <v>8051</v>
      </c>
      <c r="I1712" t="s">
        <v>1596</v>
      </c>
    </row>
    <row r="1713" spans="1:9">
      <c r="A1713" s="71">
        <v>45110</v>
      </c>
      <c r="B1713" t="s">
        <v>380</v>
      </c>
      <c r="D1713" t="s">
        <v>3176</v>
      </c>
      <c r="F1713" s="86">
        <v>4078</v>
      </c>
      <c r="G1713" t="s">
        <v>756</v>
      </c>
      <c r="H1713">
        <v>10969</v>
      </c>
      <c r="I1713" t="s">
        <v>1339</v>
      </c>
    </row>
    <row r="1714" spans="1:9">
      <c r="A1714" s="71">
        <v>45110</v>
      </c>
      <c r="B1714" t="s">
        <v>389</v>
      </c>
      <c r="D1714" t="s">
        <v>3177</v>
      </c>
      <c r="G1714" t="s">
        <v>756</v>
      </c>
      <c r="H1714">
        <v>10793</v>
      </c>
      <c r="I1714" t="s">
        <v>1381</v>
      </c>
    </row>
    <row r="1715" spans="1:9">
      <c r="A1715" s="71">
        <v>45111</v>
      </c>
      <c r="B1715" t="s">
        <v>371</v>
      </c>
      <c r="D1715" t="s">
        <v>3178</v>
      </c>
      <c r="F1715" s="86">
        <v>15080</v>
      </c>
      <c r="G1715" t="s">
        <v>756</v>
      </c>
      <c r="H1715">
        <v>8052</v>
      </c>
      <c r="I1715" t="s">
        <v>1596</v>
      </c>
    </row>
    <row r="1716" spans="1:9">
      <c r="A1716" s="71">
        <v>45111</v>
      </c>
      <c r="B1716" t="s">
        <v>143</v>
      </c>
      <c r="D1716" t="s">
        <v>3179</v>
      </c>
      <c r="G1716" t="s">
        <v>756</v>
      </c>
      <c r="H1716">
        <v>10794</v>
      </c>
      <c r="I1716" t="s">
        <v>1381</v>
      </c>
    </row>
    <row r="1717" spans="1:9">
      <c r="A1717" s="71">
        <v>45112</v>
      </c>
      <c r="B1717" t="s">
        <v>389</v>
      </c>
      <c r="D1717" t="s">
        <v>3180</v>
      </c>
      <c r="G1717" t="s">
        <v>756</v>
      </c>
      <c r="H1717">
        <v>10797</v>
      </c>
      <c r="I1717" t="s">
        <v>1381</v>
      </c>
    </row>
    <row r="1718" spans="1:9">
      <c r="A1718" s="71">
        <v>45112</v>
      </c>
      <c r="B1718" t="s">
        <v>324</v>
      </c>
      <c r="D1718" t="s">
        <v>3181</v>
      </c>
      <c r="F1718" s="86">
        <v>13554</v>
      </c>
      <c r="G1718" t="s">
        <v>756</v>
      </c>
      <c r="H1718">
        <v>10795</v>
      </c>
      <c r="I1718" t="s">
        <v>1381</v>
      </c>
    </row>
    <row r="1719" spans="1:9">
      <c r="A1719" s="71">
        <v>45113</v>
      </c>
      <c r="B1719" t="s">
        <v>389</v>
      </c>
      <c r="D1719" t="s">
        <v>3182</v>
      </c>
      <c r="F1719" s="86">
        <v>5275</v>
      </c>
      <c r="G1719" t="s">
        <v>756</v>
      </c>
      <c r="H1719">
        <v>10798</v>
      </c>
      <c r="I1719" t="s">
        <v>1381</v>
      </c>
    </row>
    <row r="1720" spans="1:9">
      <c r="A1720" s="71">
        <v>45113</v>
      </c>
      <c r="B1720" t="s">
        <v>596</v>
      </c>
      <c r="D1720" t="s">
        <v>3183</v>
      </c>
      <c r="F1720" s="86">
        <v>179709</v>
      </c>
      <c r="G1720" t="s">
        <v>756</v>
      </c>
      <c r="H1720">
        <v>8054</v>
      </c>
      <c r="I1720" t="s">
        <v>1596</v>
      </c>
    </row>
    <row r="1721" spans="1:9">
      <c r="A1721" s="71">
        <v>45114</v>
      </c>
      <c r="B1721" t="s">
        <v>311</v>
      </c>
      <c r="D1721" t="s">
        <v>3184</v>
      </c>
      <c r="F1721" s="86">
        <v>40</v>
      </c>
      <c r="G1721" t="s">
        <v>756</v>
      </c>
      <c r="H1721">
        <v>11421</v>
      </c>
      <c r="I1721" t="s">
        <v>2779</v>
      </c>
    </row>
    <row r="1722" spans="1:9">
      <c r="A1722" s="71">
        <v>45116</v>
      </c>
      <c r="B1722" t="s">
        <v>388</v>
      </c>
      <c r="D1722" t="s">
        <v>3185</v>
      </c>
      <c r="F1722" s="86">
        <v>11390</v>
      </c>
      <c r="G1722" t="s">
        <v>756</v>
      </c>
      <c r="H1722">
        <v>10962</v>
      </c>
      <c r="I1722" t="s">
        <v>1339</v>
      </c>
    </row>
    <row r="1723" spans="1:9">
      <c r="A1723" s="71">
        <v>45117</v>
      </c>
      <c r="B1723" t="s">
        <v>162</v>
      </c>
      <c r="D1723" t="s">
        <v>3186</v>
      </c>
      <c r="F1723" s="86">
        <v>7484</v>
      </c>
      <c r="G1723" t="s">
        <v>756</v>
      </c>
      <c r="H1723">
        <v>8055</v>
      </c>
      <c r="I1723" t="s">
        <v>1596</v>
      </c>
    </row>
    <row r="1724" spans="1:9">
      <c r="A1724" s="71">
        <v>45117</v>
      </c>
      <c r="B1724" t="s">
        <v>408</v>
      </c>
      <c r="D1724" t="s">
        <v>3187</v>
      </c>
      <c r="F1724" s="86">
        <v>9414</v>
      </c>
      <c r="G1724" t="s">
        <v>756</v>
      </c>
      <c r="H1724">
        <v>10276</v>
      </c>
      <c r="I1724" t="s">
        <v>1487</v>
      </c>
    </row>
    <row r="1725" spans="1:9">
      <c r="A1725" s="71">
        <v>45119</v>
      </c>
      <c r="B1725" t="s">
        <v>341</v>
      </c>
      <c r="D1725" t="s">
        <v>3188</v>
      </c>
      <c r="F1725" s="86">
        <v>8065</v>
      </c>
      <c r="G1725" t="s">
        <v>756</v>
      </c>
      <c r="H1725">
        <v>8065.1</v>
      </c>
      <c r="I1725" t="s">
        <v>1487</v>
      </c>
    </row>
    <row r="1726" spans="1:9">
      <c r="A1726" s="71">
        <v>45119</v>
      </c>
      <c r="B1726" t="s">
        <v>143</v>
      </c>
      <c r="D1726" t="s">
        <v>3189</v>
      </c>
      <c r="G1726" t="s">
        <v>756</v>
      </c>
      <c r="H1726">
        <v>8057</v>
      </c>
      <c r="I1726" t="s">
        <v>1596</v>
      </c>
    </row>
    <row r="1727" spans="1:9">
      <c r="A1727" s="71">
        <v>45120</v>
      </c>
      <c r="B1727" t="s">
        <v>318</v>
      </c>
      <c r="D1727" t="s">
        <v>3190</v>
      </c>
      <c r="G1727" t="s">
        <v>756</v>
      </c>
      <c r="H1727">
        <v>10409</v>
      </c>
      <c r="I1727" t="s">
        <v>1381</v>
      </c>
    </row>
    <row r="1728" spans="1:9">
      <c r="A1728" s="71">
        <v>45120</v>
      </c>
      <c r="B1728" t="s">
        <v>396</v>
      </c>
      <c r="D1728" t="s">
        <v>3191</v>
      </c>
      <c r="G1728" t="s">
        <v>756</v>
      </c>
      <c r="H1728">
        <v>10408</v>
      </c>
      <c r="I1728" t="s">
        <v>1381</v>
      </c>
    </row>
    <row r="1729" spans="1:9">
      <c r="A1729" s="71">
        <v>45120</v>
      </c>
      <c r="B1729" t="s">
        <v>341</v>
      </c>
      <c r="D1729" t="s">
        <v>3192</v>
      </c>
      <c r="F1729" s="86">
        <v>8067</v>
      </c>
      <c r="G1729" t="s">
        <v>756</v>
      </c>
      <c r="H1729">
        <v>10279</v>
      </c>
      <c r="I1729" t="s">
        <v>1487</v>
      </c>
    </row>
    <row r="1730" spans="1:9">
      <c r="A1730" s="71">
        <v>45121</v>
      </c>
      <c r="B1730" t="s">
        <v>36</v>
      </c>
      <c r="D1730" t="s">
        <v>3193</v>
      </c>
      <c r="F1730" s="86">
        <v>6949</v>
      </c>
      <c r="G1730" t="s">
        <v>756</v>
      </c>
      <c r="H1730">
        <v>8058</v>
      </c>
      <c r="I1730" t="s">
        <v>1596</v>
      </c>
    </row>
    <row r="1731" spans="1:9">
      <c r="A1731" s="71">
        <v>45121</v>
      </c>
      <c r="B1731" t="s">
        <v>388</v>
      </c>
      <c r="D1731" t="s">
        <v>3194</v>
      </c>
      <c r="G1731" t="s">
        <v>756</v>
      </c>
      <c r="H1731">
        <v>10410</v>
      </c>
      <c r="I1731" t="s">
        <v>1381</v>
      </c>
    </row>
    <row r="1732" spans="1:9">
      <c r="A1732" s="71">
        <v>45124</v>
      </c>
      <c r="B1732" t="s">
        <v>42</v>
      </c>
      <c r="D1732" t="s">
        <v>3195</v>
      </c>
      <c r="G1732" t="s">
        <v>756</v>
      </c>
      <c r="H1732">
        <v>10411</v>
      </c>
      <c r="I1732" t="s">
        <v>1381</v>
      </c>
    </row>
    <row r="1733" spans="1:9">
      <c r="A1733" s="71">
        <v>45124</v>
      </c>
      <c r="B1733" t="s">
        <v>260</v>
      </c>
      <c r="D1733" t="s">
        <v>3196</v>
      </c>
      <c r="G1733" t="s">
        <v>756</v>
      </c>
      <c r="H1733">
        <v>10277</v>
      </c>
      <c r="I1733" t="s">
        <v>1487</v>
      </c>
    </row>
    <row r="1734" spans="1:9">
      <c r="A1734" s="71">
        <v>45124</v>
      </c>
      <c r="B1734" t="s">
        <v>152</v>
      </c>
      <c r="D1734" t="s">
        <v>3197</v>
      </c>
      <c r="F1734" s="86">
        <v>8245</v>
      </c>
      <c r="G1734" t="s">
        <v>756</v>
      </c>
      <c r="H1734">
        <v>8060</v>
      </c>
      <c r="I1734" t="s">
        <v>1596</v>
      </c>
    </row>
    <row r="1735" spans="1:9">
      <c r="A1735" s="71">
        <v>45125</v>
      </c>
      <c r="B1735" t="s">
        <v>396</v>
      </c>
      <c r="D1735" t="s">
        <v>3198</v>
      </c>
      <c r="F1735" s="86">
        <v>6169</v>
      </c>
      <c r="G1735" t="s">
        <v>756</v>
      </c>
      <c r="H1735">
        <v>10413</v>
      </c>
      <c r="I1735" t="s">
        <v>1381</v>
      </c>
    </row>
    <row r="1736" spans="1:9">
      <c r="A1736" s="71">
        <v>45125</v>
      </c>
      <c r="B1736" t="s">
        <v>152</v>
      </c>
      <c r="D1736" t="s">
        <v>3199</v>
      </c>
      <c r="F1736" s="86">
        <v>8245</v>
      </c>
      <c r="G1736" t="s">
        <v>756</v>
      </c>
      <c r="H1736">
        <v>8061</v>
      </c>
      <c r="I1736" t="s">
        <v>1596</v>
      </c>
    </row>
    <row r="1737" spans="1:9">
      <c r="A1737" s="71">
        <v>45126</v>
      </c>
      <c r="B1737" t="s">
        <v>162</v>
      </c>
      <c r="D1737" t="s">
        <v>3200</v>
      </c>
      <c r="G1737" t="s">
        <v>756</v>
      </c>
      <c r="H1737">
        <v>10415</v>
      </c>
      <c r="I1737" t="s">
        <v>1381</v>
      </c>
    </row>
    <row r="1738" spans="1:9">
      <c r="A1738" s="71">
        <v>45127</v>
      </c>
      <c r="B1738" t="s">
        <v>35</v>
      </c>
      <c r="D1738" t="s">
        <v>3201</v>
      </c>
      <c r="G1738" t="s">
        <v>756</v>
      </c>
      <c r="H1738">
        <v>10423</v>
      </c>
      <c r="I1738" t="s">
        <v>1381</v>
      </c>
    </row>
    <row r="1739" spans="1:9">
      <c r="A1739" s="71">
        <v>45127</v>
      </c>
      <c r="B1739" t="s">
        <v>389</v>
      </c>
      <c r="D1739" t="s">
        <v>3202</v>
      </c>
      <c r="G1739" t="s">
        <v>756</v>
      </c>
      <c r="H1739">
        <v>10416</v>
      </c>
      <c r="I1739" t="s">
        <v>1381</v>
      </c>
    </row>
    <row r="1740" spans="1:9">
      <c r="A1740" s="71">
        <v>45128</v>
      </c>
      <c r="B1740" t="s">
        <v>311</v>
      </c>
      <c r="D1740" t="s">
        <v>3203</v>
      </c>
      <c r="F1740" s="86">
        <v>101</v>
      </c>
      <c r="G1740" t="s">
        <v>756</v>
      </c>
      <c r="H1740">
        <v>10419</v>
      </c>
      <c r="I1740" t="s">
        <v>1381</v>
      </c>
    </row>
    <row r="1741" spans="1:9">
      <c r="A1741" s="71">
        <v>45128</v>
      </c>
      <c r="B1741" t="s">
        <v>188</v>
      </c>
      <c r="D1741" t="s">
        <v>3204</v>
      </c>
      <c r="G1741" t="s">
        <v>756</v>
      </c>
      <c r="H1741">
        <v>10421</v>
      </c>
      <c r="I1741" t="s">
        <v>1381</v>
      </c>
    </row>
    <row r="1742" spans="1:9">
      <c r="A1742" s="71">
        <v>45128</v>
      </c>
      <c r="B1742" t="s">
        <v>143</v>
      </c>
      <c r="D1742" t="s">
        <v>3205</v>
      </c>
      <c r="G1742" t="s">
        <v>756</v>
      </c>
      <c r="H1742">
        <v>10418</v>
      </c>
      <c r="I1742" t="s">
        <v>1381</v>
      </c>
    </row>
    <row r="1743" spans="1:9">
      <c r="A1743" s="71">
        <v>45129</v>
      </c>
      <c r="B1743" t="s">
        <v>48</v>
      </c>
      <c r="D1743" t="s">
        <v>3206</v>
      </c>
      <c r="G1743" t="s">
        <v>756</v>
      </c>
      <c r="I1743" t="s">
        <v>1596</v>
      </c>
    </row>
    <row r="1744" spans="1:9">
      <c r="A1744" s="71">
        <v>45132</v>
      </c>
      <c r="B1744" t="s">
        <v>371</v>
      </c>
      <c r="D1744" t="s">
        <v>3207</v>
      </c>
      <c r="F1744" s="86">
        <v>15080</v>
      </c>
      <c r="G1744" t="s">
        <v>756</v>
      </c>
      <c r="H1744">
        <v>8067</v>
      </c>
      <c r="I1744" t="s">
        <v>1596</v>
      </c>
    </row>
    <row r="1745" spans="1:9">
      <c r="A1745" s="71">
        <v>45133</v>
      </c>
      <c r="B1745" t="s">
        <v>391</v>
      </c>
      <c r="D1745" t="s">
        <v>3208</v>
      </c>
      <c r="G1745" t="s">
        <v>756</v>
      </c>
      <c r="H1745">
        <v>10854</v>
      </c>
      <c r="I1745" t="s">
        <v>1657</v>
      </c>
    </row>
    <row r="1746" spans="1:9">
      <c r="A1746" s="71">
        <v>45134</v>
      </c>
      <c r="B1746" t="s">
        <v>162</v>
      </c>
      <c r="D1746" t="s">
        <v>3209</v>
      </c>
      <c r="F1746" s="86">
        <v>10691</v>
      </c>
      <c r="G1746" t="s">
        <v>756</v>
      </c>
      <c r="H1746">
        <v>11428</v>
      </c>
      <c r="I1746" t="s">
        <v>2779</v>
      </c>
    </row>
    <row r="1747" spans="1:9">
      <c r="A1747" s="71">
        <v>45134</v>
      </c>
      <c r="B1747" t="s">
        <v>391</v>
      </c>
      <c r="D1747" t="s">
        <v>3210</v>
      </c>
      <c r="F1747" s="86">
        <v>15039</v>
      </c>
      <c r="G1747" t="s">
        <v>756</v>
      </c>
      <c r="H1747">
        <v>8069</v>
      </c>
      <c r="I1747" t="s">
        <v>1596</v>
      </c>
    </row>
    <row r="1748" spans="1:9">
      <c r="A1748" s="71">
        <v>45134</v>
      </c>
      <c r="B1748" t="s">
        <v>157</v>
      </c>
      <c r="D1748" t="s">
        <v>3211</v>
      </c>
      <c r="G1748" t="s">
        <v>756</v>
      </c>
      <c r="H1748">
        <v>8784</v>
      </c>
      <c r="I1748" t="s">
        <v>3073</v>
      </c>
    </row>
    <row r="1749" spans="1:9">
      <c r="A1749" s="71">
        <v>45134</v>
      </c>
      <c r="B1749" t="s">
        <v>157</v>
      </c>
      <c r="D1749" t="s">
        <v>3212</v>
      </c>
      <c r="G1749" t="s">
        <v>756</v>
      </c>
      <c r="H1749">
        <v>8784</v>
      </c>
      <c r="I1749" t="s">
        <v>3073</v>
      </c>
    </row>
    <row r="1750" spans="1:9">
      <c r="A1750" s="71">
        <v>45135</v>
      </c>
      <c r="B1750" t="s">
        <v>39</v>
      </c>
      <c r="D1750" t="s">
        <v>3213</v>
      </c>
      <c r="F1750" s="86">
        <v>8902</v>
      </c>
      <c r="G1750" t="s">
        <v>756</v>
      </c>
      <c r="H1750">
        <v>11430</v>
      </c>
      <c r="I1750" t="s">
        <v>2779</v>
      </c>
    </row>
    <row r="1751" spans="1:9">
      <c r="A1751" s="71">
        <v>45135</v>
      </c>
      <c r="B1751" t="s">
        <v>324</v>
      </c>
      <c r="D1751" t="s">
        <v>3214</v>
      </c>
      <c r="F1751" s="86">
        <v>13557</v>
      </c>
      <c r="G1751" t="s">
        <v>756</v>
      </c>
      <c r="H1751">
        <v>11429</v>
      </c>
      <c r="I1751" t="s">
        <v>2779</v>
      </c>
    </row>
    <row r="1752" spans="1:9">
      <c r="A1752" s="71">
        <v>45135</v>
      </c>
      <c r="B1752" t="s">
        <v>690</v>
      </c>
      <c r="D1752" t="s">
        <v>3215</v>
      </c>
      <c r="G1752" t="s">
        <v>756</v>
      </c>
      <c r="H1752">
        <v>10422</v>
      </c>
      <c r="I1752" t="s">
        <v>1381</v>
      </c>
    </row>
    <row r="1753" spans="1:9">
      <c r="A1753" s="71">
        <v>45135</v>
      </c>
      <c r="B1753" t="s">
        <v>391</v>
      </c>
      <c r="D1753" t="s">
        <v>3216</v>
      </c>
      <c r="F1753" s="86">
        <v>15039</v>
      </c>
      <c r="G1753" t="s">
        <v>756</v>
      </c>
      <c r="H1753">
        <v>8070</v>
      </c>
      <c r="I1753" t="s">
        <v>1596</v>
      </c>
    </row>
    <row r="1754" spans="1:9">
      <c r="A1754" s="71">
        <v>45138</v>
      </c>
      <c r="B1754" t="s">
        <v>388</v>
      </c>
      <c r="D1754" t="s">
        <v>3217</v>
      </c>
      <c r="G1754" t="s">
        <v>756</v>
      </c>
      <c r="H1754">
        <v>10425</v>
      </c>
      <c r="I1754" t="s">
        <v>1381</v>
      </c>
    </row>
    <row r="1755" spans="1:9">
      <c r="A1755" s="71">
        <v>45139</v>
      </c>
      <c r="B1755" t="s">
        <v>143</v>
      </c>
      <c r="D1755" t="s">
        <v>3218</v>
      </c>
      <c r="G1755" t="s">
        <v>756</v>
      </c>
      <c r="H1755">
        <v>10426</v>
      </c>
      <c r="I1755" t="s">
        <v>1381</v>
      </c>
    </row>
    <row r="1756" spans="1:9">
      <c r="A1756" s="71">
        <v>45140</v>
      </c>
      <c r="B1756" t="s">
        <v>307</v>
      </c>
      <c r="D1756" t="s">
        <v>3219</v>
      </c>
      <c r="F1756" s="86">
        <v>13042</v>
      </c>
      <c r="G1756" t="s">
        <v>756</v>
      </c>
      <c r="H1756">
        <v>11432</v>
      </c>
      <c r="I1756" t="s">
        <v>2779</v>
      </c>
    </row>
    <row r="1757" spans="1:9">
      <c r="A1757" s="71">
        <v>45140</v>
      </c>
      <c r="B1757" t="s">
        <v>32</v>
      </c>
      <c r="D1757" t="s">
        <v>3220</v>
      </c>
      <c r="G1757" t="s">
        <v>756</v>
      </c>
      <c r="H1757">
        <v>10428</v>
      </c>
      <c r="I1757" t="s">
        <v>1381</v>
      </c>
    </row>
    <row r="1758" spans="1:9">
      <c r="A1758" s="71">
        <v>45140</v>
      </c>
      <c r="B1758" t="s">
        <v>388</v>
      </c>
      <c r="D1758" t="s">
        <v>3221</v>
      </c>
      <c r="G1758" t="s">
        <v>756</v>
      </c>
      <c r="H1758">
        <v>10429</v>
      </c>
      <c r="I1758" t="s">
        <v>1381</v>
      </c>
    </row>
    <row r="1759" spans="1:9">
      <c r="A1759" s="71">
        <v>45140</v>
      </c>
      <c r="B1759" t="s">
        <v>25</v>
      </c>
      <c r="D1759" t="s">
        <v>3222</v>
      </c>
      <c r="G1759" t="s">
        <v>756</v>
      </c>
      <c r="H1759">
        <v>10427</v>
      </c>
      <c r="I1759" t="s">
        <v>1381</v>
      </c>
    </row>
    <row r="1760" spans="1:9">
      <c r="A1760" s="71">
        <v>45141</v>
      </c>
      <c r="B1760" t="s">
        <v>390</v>
      </c>
      <c r="D1760" t="s">
        <v>3223</v>
      </c>
      <c r="F1760" s="86">
        <v>6319</v>
      </c>
      <c r="G1760" t="s">
        <v>756</v>
      </c>
      <c r="H1760">
        <v>11023</v>
      </c>
      <c r="I1760" t="s">
        <v>1330</v>
      </c>
    </row>
    <row r="1761" spans="1:9">
      <c r="A1761" s="71">
        <v>45141</v>
      </c>
      <c r="B1761" t="s">
        <v>690</v>
      </c>
      <c r="D1761" t="s">
        <v>3224</v>
      </c>
      <c r="F1761" s="86">
        <v>5696</v>
      </c>
      <c r="G1761" t="s">
        <v>756</v>
      </c>
      <c r="H1761">
        <v>11021</v>
      </c>
      <c r="I1761" t="s">
        <v>1330</v>
      </c>
    </row>
    <row r="1762" spans="1:9">
      <c r="A1762" s="71">
        <v>45141</v>
      </c>
      <c r="B1762" t="s">
        <v>408</v>
      </c>
      <c r="D1762" t="s">
        <v>3225</v>
      </c>
      <c r="G1762" t="s">
        <v>756</v>
      </c>
      <c r="H1762">
        <v>10433</v>
      </c>
      <c r="I1762" t="s">
        <v>1381</v>
      </c>
    </row>
    <row r="1763" spans="1:9">
      <c r="A1763" s="71">
        <v>45141</v>
      </c>
      <c r="B1763" t="s">
        <v>388</v>
      </c>
      <c r="D1763" t="s">
        <v>3226</v>
      </c>
      <c r="F1763" s="86">
        <v>11455</v>
      </c>
      <c r="G1763" t="s">
        <v>756</v>
      </c>
      <c r="H1763">
        <v>10430</v>
      </c>
      <c r="I1763" t="s">
        <v>1381</v>
      </c>
    </row>
    <row r="1764" spans="1:9">
      <c r="A1764" s="71">
        <v>45142</v>
      </c>
      <c r="B1764" t="s">
        <v>65</v>
      </c>
      <c r="D1764" t="s">
        <v>3227</v>
      </c>
      <c r="G1764" t="s">
        <v>756</v>
      </c>
      <c r="H1764">
        <v>11434</v>
      </c>
      <c r="I1764" t="s">
        <v>2779</v>
      </c>
    </row>
    <row r="1765" spans="1:9">
      <c r="A1765" s="71">
        <v>45142</v>
      </c>
      <c r="B1765" t="s">
        <v>29</v>
      </c>
      <c r="D1765" t="s">
        <v>3228</v>
      </c>
      <c r="G1765" t="s">
        <v>756</v>
      </c>
      <c r="H1765">
        <v>10436</v>
      </c>
      <c r="I1765" t="s">
        <v>1347</v>
      </c>
    </row>
    <row r="1766" spans="1:9">
      <c r="A1766" s="71">
        <v>45145</v>
      </c>
      <c r="B1766" t="s">
        <v>65</v>
      </c>
      <c r="D1766" t="s">
        <v>3229</v>
      </c>
      <c r="G1766" t="s">
        <v>756</v>
      </c>
      <c r="H1766">
        <v>11435</v>
      </c>
      <c r="I1766" t="s">
        <v>2779</v>
      </c>
    </row>
    <row r="1767" spans="1:9">
      <c r="A1767" s="71">
        <v>45145</v>
      </c>
      <c r="B1767" t="s">
        <v>29</v>
      </c>
      <c r="D1767" t="s">
        <v>3230</v>
      </c>
      <c r="G1767" t="s">
        <v>756</v>
      </c>
      <c r="H1767">
        <v>8789</v>
      </c>
      <c r="I1767" t="s">
        <v>1381</v>
      </c>
    </row>
    <row r="1768" spans="1:9">
      <c r="A1768" s="71">
        <v>45145</v>
      </c>
      <c r="B1768" t="s">
        <v>690</v>
      </c>
      <c r="D1768" t="s">
        <v>3231</v>
      </c>
      <c r="G1768" t="s">
        <v>756</v>
      </c>
      <c r="H1768">
        <v>10438</v>
      </c>
      <c r="I1768" t="s">
        <v>1381</v>
      </c>
    </row>
    <row r="1769" spans="1:9">
      <c r="A1769" s="71">
        <v>45145</v>
      </c>
      <c r="B1769" t="s">
        <v>689</v>
      </c>
      <c r="D1769" t="s">
        <v>3232</v>
      </c>
      <c r="F1769" s="86">
        <v>6158</v>
      </c>
      <c r="G1769" t="s">
        <v>756</v>
      </c>
      <c r="H1769">
        <v>10437</v>
      </c>
      <c r="I1769" t="s">
        <v>1381</v>
      </c>
    </row>
    <row r="1770" spans="1:9">
      <c r="A1770" s="71">
        <v>45145</v>
      </c>
      <c r="B1770" t="s">
        <v>35</v>
      </c>
      <c r="D1770" t="s">
        <v>3233</v>
      </c>
      <c r="G1770" t="s">
        <v>756</v>
      </c>
      <c r="H1770">
        <v>8791</v>
      </c>
      <c r="I1770" t="s">
        <v>1381</v>
      </c>
    </row>
    <row r="1771" spans="1:9">
      <c r="A1771" s="71">
        <v>45146</v>
      </c>
      <c r="B1771" t="s">
        <v>388</v>
      </c>
      <c r="D1771" t="s">
        <v>3234</v>
      </c>
      <c r="G1771" t="s">
        <v>756</v>
      </c>
      <c r="H1771">
        <v>10439</v>
      </c>
      <c r="I1771" t="s">
        <v>1381</v>
      </c>
    </row>
    <row r="1772" spans="1:9">
      <c r="A1772" s="71">
        <v>45146</v>
      </c>
      <c r="B1772" t="s">
        <v>800</v>
      </c>
      <c r="D1772" t="s">
        <v>3235</v>
      </c>
      <c r="G1772" t="s">
        <v>756</v>
      </c>
      <c r="H1772">
        <v>8078</v>
      </c>
      <c r="I1772" t="s">
        <v>1596</v>
      </c>
    </row>
    <row r="1773" spans="1:9">
      <c r="A1773" s="71">
        <v>45147</v>
      </c>
      <c r="B1773" t="s">
        <v>143</v>
      </c>
      <c r="D1773" t="s">
        <v>3236</v>
      </c>
      <c r="G1773" t="s">
        <v>756</v>
      </c>
      <c r="H1773">
        <v>10445</v>
      </c>
      <c r="I1773" t="s">
        <v>1381</v>
      </c>
    </row>
    <row r="1774" spans="1:9">
      <c r="A1774" s="71">
        <v>45147</v>
      </c>
      <c r="B1774" t="s">
        <v>689</v>
      </c>
      <c r="D1774" t="s">
        <v>3237</v>
      </c>
      <c r="G1774" t="s">
        <v>756</v>
      </c>
      <c r="H1774">
        <v>10444</v>
      </c>
      <c r="I1774" t="s">
        <v>1381</v>
      </c>
    </row>
    <row r="1775" spans="1:9">
      <c r="A1775" s="71">
        <v>45147</v>
      </c>
      <c r="B1775" t="s">
        <v>408</v>
      </c>
      <c r="D1775" t="s">
        <v>3238</v>
      </c>
      <c r="G1775" t="s">
        <v>756</v>
      </c>
      <c r="H1775">
        <v>10442</v>
      </c>
      <c r="I1775" t="s">
        <v>1381</v>
      </c>
    </row>
    <row r="1776" spans="1:9">
      <c r="A1776" s="71">
        <v>45147</v>
      </c>
      <c r="B1776" t="s">
        <v>380</v>
      </c>
      <c r="D1776" t="s">
        <v>3239</v>
      </c>
      <c r="G1776" t="s">
        <v>756</v>
      </c>
      <c r="H1776">
        <v>8080</v>
      </c>
      <c r="I1776" t="s">
        <v>1596</v>
      </c>
    </row>
    <row r="1777" spans="1:9">
      <c r="A1777" s="71">
        <v>45148</v>
      </c>
      <c r="B1777" t="s">
        <v>313</v>
      </c>
      <c r="D1777" t="s">
        <v>3240</v>
      </c>
      <c r="F1777" s="86" t="s">
        <v>1524</v>
      </c>
      <c r="G1777" t="s">
        <v>756</v>
      </c>
      <c r="H1777">
        <v>8081</v>
      </c>
      <c r="I1777" t="s">
        <v>1596</v>
      </c>
    </row>
    <row r="1778" spans="1:9">
      <c r="A1778" s="71">
        <v>45149</v>
      </c>
      <c r="B1778" t="s">
        <v>143</v>
      </c>
      <c r="D1778" t="s">
        <v>3241</v>
      </c>
      <c r="G1778" t="s">
        <v>756</v>
      </c>
      <c r="H1778">
        <v>10608</v>
      </c>
      <c r="I1778" t="s">
        <v>1381</v>
      </c>
    </row>
    <row r="1779" spans="1:9">
      <c r="A1779" s="71">
        <v>45149</v>
      </c>
      <c r="B1779" t="s">
        <v>39</v>
      </c>
      <c r="D1779" t="s">
        <v>3242</v>
      </c>
      <c r="F1779" s="86">
        <v>89745</v>
      </c>
      <c r="G1779" t="s">
        <v>756</v>
      </c>
      <c r="H1779">
        <v>8082</v>
      </c>
      <c r="I1779" t="s">
        <v>1596</v>
      </c>
    </row>
    <row r="1780" spans="1:9">
      <c r="A1780" s="71">
        <v>45152</v>
      </c>
      <c r="B1780" t="s">
        <v>36</v>
      </c>
      <c r="D1780" t="s">
        <v>3243</v>
      </c>
      <c r="G1780" t="s">
        <v>756</v>
      </c>
      <c r="H1780">
        <v>10611</v>
      </c>
      <c r="I1780" t="s">
        <v>1381</v>
      </c>
    </row>
    <row r="1781" spans="1:9">
      <c r="A1781" s="71">
        <v>45152</v>
      </c>
      <c r="B1781" t="s">
        <v>388</v>
      </c>
      <c r="D1781" t="s">
        <v>3244</v>
      </c>
      <c r="G1781" t="s">
        <v>756</v>
      </c>
      <c r="H1781">
        <v>10610</v>
      </c>
      <c r="I1781" t="s">
        <v>1381</v>
      </c>
    </row>
    <row r="1782" spans="1:9">
      <c r="A1782" s="71">
        <v>45153</v>
      </c>
      <c r="B1782" t="s">
        <v>690</v>
      </c>
      <c r="D1782" t="s">
        <v>3245</v>
      </c>
      <c r="G1782" t="s">
        <v>756</v>
      </c>
      <c r="H1782">
        <v>10613</v>
      </c>
      <c r="I1782" t="s">
        <v>1381</v>
      </c>
    </row>
    <row r="1783" spans="1:9">
      <c r="A1783" s="71">
        <v>45155</v>
      </c>
      <c r="B1783" t="s">
        <v>399</v>
      </c>
      <c r="D1783" t="s">
        <v>3246</v>
      </c>
      <c r="F1783" s="86">
        <v>6343</v>
      </c>
      <c r="G1783" t="s">
        <v>756</v>
      </c>
      <c r="H1783">
        <v>8086</v>
      </c>
      <c r="I1783" t="s">
        <v>1596</v>
      </c>
    </row>
    <row r="1784" spans="1:9">
      <c r="A1784" s="71">
        <v>45156</v>
      </c>
      <c r="B1784" t="s">
        <v>230</v>
      </c>
      <c r="D1784" t="s">
        <v>3247</v>
      </c>
      <c r="G1784" t="s">
        <v>756</v>
      </c>
      <c r="H1784">
        <v>11025</v>
      </c>
      <c r="I1784" t="s">
        <v>1330</v>
      </c>
    </row>
    <row r="1785" spans="1:9">
      <c r="A1785" s="71">
        <v>45156</v>
      </c>
      <c r="B1785" t="s">
        <v>399</v>
      </c>
      <c r="D1785" t="s">
        <v>3248</v>
      </c>
      <c r="F1785" s="86">
        <v>6343</v>
      </c>
      <c r="G1785" t="s">
        <v>756</v>
      </c>
      <c r="H1785">
        <v>8087</v>
      </c>
      <c r="I1785" t="s">
        <v>1596</v>
      </c>
    </row>
    <row r="1786" spans="1:9">
      <c r="A1786" s="71">
        <v>45160</v>
      </c>
      <c r="B1786" t="s">
        <v>39</v>
      </c>
      <c r="D1786" t="s">
        <v>3249</v>
      </c>
      <c r="F1786" s="86">
        <v>89745</v>
      </c>
      <c r="G1786" t="s">
        <v>756</v>
      </c>
      <c r="H1786">
        <v>8090</v>
      </c>
      <c r="I1786" t="s">
        <v>1596</v>
      </c>
    </row>
    <row r="1787" spans="1:9">
      <c r="A1787" s="71">
        <v>45162</v>
      </c>
      <c r="B1787" t="s">
        <v>380</v>
      </c>
      <c r="D1787" t="s">
        <v>3250</v>
      </c>
      <c r="F1787" s="86">
        <v>4208</v>
      </c>
      <c r="G1787" t="s">
        <v>756</v>
      </c>
      <c r="H1787">
        <v>11026</v>
      </c>
      <c r="I1787" t="s">
        <v>1330</v>
      </c>
    </row>
    <row r="1788" spans="1:9">
      <c r="A1788" s="71">
        <v>45166</v>
      </c>
      <c r="B1788" t="s">
        <v>576</v>
      </c>
      <c r="D1788" t="s">
        <v>3251</v>
      </c>
      <c r="F1788" s="86">
        <v>132629</v>
      </c>
      <c r="G1788" t="s">
        <v>756</v>
      </c>
      <c r="H1788">
        <v>11368</v>
      </c>
      <c r="I1788" t="s">
        <v>1341</v>
      </c>
    </row>
    <row r="1789" spans="1:9">
      <c r="A1789" s="71">
        <v>45167</v>
      </c>
      <c r="B1789" t="s">
        <v>318</v>
      </c>
      <c r="D1789" t="s">
        <v>3252</v>
      </c>
      <c r="F1789" s="86">
        <v>110159</v>
      </c>
      <c r="G1789" t="s">
        <v>756</v>
      </c>
      <c r="H1789">
        <v>10633</v>
      </c>
      <c r="I1789" t="s">
        <v>1657</v>
      </c>
    </row>
    <row r="1790" spans="1:9">
      <c r="A1790" s="71">
        <v>45168</v>
      </c>
      <c r="B1790" t="s">
        <v>29</v>
      </c>
      <c r="D1790" t="s">
        <v>3253</v>
      </c>
      <c r="G1790" t="s">
        <v>756</v>
      </c>
      <c r="H1790">
        <v>10636</v>
      </c>
      <c r="I1790" t="s">
        <v>3073</v>
      </c>
    </row>
    <row r="1791" spans="1:9">
      <c r="A1791" s="71">
        <v>45168</v>
      </c>
      <c r="B1791" t="s">
        <v>324</v>
      </c>
      <c r="D1791" t="s">
        <v>3254</v>
      </c>
      <c r="F1791" s="86">
        <v>10280</v>
      </c>
      <c r="G1791" t="s">
        <v>756</v>
      </c>
      <c r="H1791">
        <v>10280</v>
      </c>
      <c r="I1791" t="s">
        <v>1487</v>
      </c>
    </row>
    <row r="1792" spans="1:9">
      <c r="A1792" s="71">
        <v>45168</v>
      </c>
      <c r="B1792" t="s">
        <v>60</v>
      </c>
      <c r="D1792" t="s">
        <v>3255</v>
      </c>
      <c r="F1792" s="86">
        <v>62326</v>
      </c>
      <c r="G1792" t="s">
        <v>756</v>
      </c>
      <c r="H1792">
        <v>8097</v>
      </c>
      <c r="I1792" t="s">
        <v>1596</v>
      </c>
    </row>
    <row r="1793" spans="1:9">
      <c r="A1793" s="71">
        <v>45168</v>
      </c>
      <c r="B1793" t="s">
        <v>360</v>
      </c>
      <c r="D1793" t="s">
        <v>3256</v>
      </c>
      <c r="G1793" t="s">
        <v>756</v>
      </c>
      <c r="H1793">
        <v>8096</v>
      </c>
      <c r="I1793" t="s">
        <v>1596</v>
      </c>
    </row>
    <row r="1794" spans="1:9">
      <c r="A1794" s="71">
        <v>45169</v>
      </c>
      <c r="B1794" t="s">
        <v>360</v>
      </c>
      <c r="D1794" t="s">
        <v>3257</v>
      </c>
      <c r="G1794" t="s">
        <v>756</v>
      </c>
      <c r="H1794">
        <v>8098</v>
      </c>
      <c r="I1794" t="s">
        <v>1596</v>
      </c>
    </row>
    <row r="1795" spans="1:9">
      <c r="A1795" s="71">
        <v>45170</v>
      </c>
      <c r="B1795" t="s">
        <v>598</v>
      </c>
      <c r="D1795" t="s">
        <v>3258</v>
      </c>
      <c r="G1795" t="s">
        <v>756</v>
      </c>
      <c r="H1795">
        <v>11375</v>
      </c>
      <c r="I1795" t="s">
        <v>1341</v>
      </c>
    </row>
    <row r="1796" spans="1:9">
      <c r="A1796" s="71">
        <v>45170</v>
      </c>
      <c r="B1796" t="s">
        <v>173</v>
      </c>
      <c r="D1796" t="s">
        <v>3259</v>
      </c>
      <c r="F1796" s="86">
        <v>5749</v>
      </c>
      <c r="G1796" t="s">
        <v>756</v>
      </c>
      <c r="H1796">
        <v>11061</v>
      </c>
      <c r="I1796" t="s">
        <v>1347</v>
      </c>
    </row>
    <row r="1797" spans="1:9">
      <c r="A1797" s="71">
        <v>45174</v>
      </c>
      <c r="B1797" t="s">
        <v>334</v>
      </c>
      <c r="D1797" t="s">
        <v>3260</v>
      </c>
      <c r="F1797" s="86">
        <v>19641</v>
      </c>
      <c r="G1797" t="s">
        <v>756</v>
      </c>
      <c r="H1797">
        <v>10281</v>
      </c>
      <c r="I1797" t="s">
        <v>1487</v>
      </c>
    </row>
    <row r="1798" spans="1:9">
      <c r="A1798" s="71">
        <v>45174</v>
      </c>
      <c r="B1798" t="s">
        <v>591</v>
      </c>
      <c r="D1798" t="s">
        <v>3261</v>
      </c>
      <c r="G1798" t="s">
        <v>756</v>
      </c>
      <c r="H1798">
        <v>11385</v>
      </c>
      <c r="I1798" t="s">
        <v>1341</v>
      </c>
    </row>
    <row r="1799" spans="1:9">
      <c r="A1799" s="71">
        <v>45174</v>
      </c>
      <c r="B1799" t="s">
        <v>260</v>
      </c>
      <c r="D1799" t="s">
        <v>3262</v>
      </c>
      <c r="G1799" t="s">
        <v>756</v>
      </c>
      <c r="H1799">
        <v>8353</v>
      </c>
      <c r="I1799" t="s">
        <v>1381</v>
      </c>
    </row>
    <row r="1800" spans="1:9">
      <c r="A1800" s="71">
        <v>45175</v>
      </c>
      <c r="B1800" t="s">
        <v>593</v>
      </c>
      <c r="D1800" t="s">
        <v>3263</v>
      </c>
      <c r="G1800" t="s">
        <v>756</v>
      </c>
      <c r="H1800">
        <v>11376</v>
      </c>
      <c r="I1800" t="s">
        <v>1341</v>
      </c>
    </row>
    <row r="1801" spans="1:9">
      <c r="A1801" s="71">
        <v>45176</v>
      </c>
      <c r="B1801" t="s">
        <v>593</v>
      </c>
      <c r="D1801" t="s">
        <v>3264</v>
      </c>
      <c r="G1801" t="s">
        <v>756</v>
      </c>
      <c r="H1801">
        <v>11370</v>
      </c>
      <c r="I1801" t="s">
        <v>1341</v>
      </c>
    </row>
    <row r="1802" spans="1:9">
      <c r="A1802" s="71">
        <v>45176</v>
      </c>
      <c r="B1802" t="s">
        <v>341</v>
      </c>
      <c r="D1802" t="s">
        <v>3265</v>
      </c>
      <c r="F1802" s="86">
        <v>8321</v>
      </c>
      <c r="G1802" t="s">
        <v>756</v>
      </c>
      <c r="H1802">
        <v>11206</v>
      </c>
      <c r="I1802" t="s">
        <v>1596</v>
      </c>
    </row>
    <row r="1803" spans="1:9">
      <c r="A1803" s="71">
        <v>45176</v>
      </c>
      <c r="B1803" t="s">
        <v>689</v>
      </c>
      <c r="D1803" t="s">
        <v>3266</v>
      </c>
      <c r="F1803" s="86">
        <v>6285</v>
      </c>
      <c r="G1803" t="s">
        <v>756</v>
      </c>
      <c r="H1803">
        <v>11204</v>
      </c>
      <c r="I1803" t="s">
        <v>1596</v>
      </c>
    </row>
    <row r="1804" spans="1:9">
      <c r="A1804" s="71">
        <v>45176</v>
      </c>
      <c r="B1804" t="s">
        <v>157</v>
      </c>
      <c r="D1804" t="s">
        <v>3267</v>
      </c>
      <c r="F1804" s="86">
        <v>13012</v>
      </c>
      <c r="G1804" t="s">
        <v>756</v>
      </c>
      <c r="H1804">
        <v>11202</v>
      </c>
      <c r="I1804" t="s">
        <v>1596</v>
      </c>
    </row>
    <row r="1805" spans="1:9">
      <c r="A1805" s="71">
        <v>45180</v>
      </c>
      <c r="B1805" t="s">
        <v>211</v>
      </c>
      <c r="D1805" t="s">
        <v>3268</v>
      </c>
      <c r="F1805" s="86">
        <v>206</v>
      </c>
      <c r="G1805" t="s">
        <v>756</v>
      </c>
      <c r="H1805">
        <v>11208</v>
      </c>
      <c r="I1805" t="s">
        <v>1330</v>
      </c>
    </row>
    <row r="1806" spans="1:9">
      <c r="A1806" s="71">
        <v>45181</v>
      </c>
      <c r="B1806" t="s">
        <v>25</v>
      </c>
      <c r="D1806" t="s">
        <v>3269</v>
      </c>
      <c r="G1806" t="s">
        <v>756</v>
      </c>
      <c r="H1806">
        <v>8373</v>
      </c>
      <c r="I1806" t="s">
        <v>1381</v>
      </c>
    </row>
    <row r="1807" spans="1:9">
      <c r="A1807" s="71">
        <v>45182</v>
      </c>
      <c r="B1807" t="s">
        <v>593</v>
      </c>
      <c r="D1807" t="s">
        <v>3270</v>
      </c>
      <c r="G1807" t="s">
        <v>756</v>
      </c>
      <c r="H1807">
        <v>11371</v>
      </c>
      <c r="I1807" t="s">
        <v>1341</v>
      </c>
    </row>
    <row r="1808" spans="1:9">
      <c r="A1808" s="71">
        <v>45182</v>
      </c>
      <c r="B1808" t="s">
        <v>396</v>
      </c>
      <c r="D1808" t="s">
        <v>3271</v>
      </c>
      <c r="G1808" t="s">
        <v>756</v>
      </c>
      <c r="H1808">
        <v>8377</v>
      </c>
      <c r="I1808" t="s">
        <v>1381</v>
      </c>
    </row>
    <row r="1809" spans="1:9">
      <c r="A1809" s="71">
        <v>45189</v>
      </c>
      <c r="B1809" t="s">
        <v>394</v>
      </c>
      <c r="D1809" t="s">
        <v>3272</v>
      </c>
      <c r="F1809" s="86">
        <v>9449</v>
      </c>
      <c r="G1809" t="s">
        <v>756</v>
      </c>
      <c r="H1809">
        <v>11108</v>
      </c>
      <c r="I1809" t="s">
        <v>2779</v>
      </c>
    </row>
    <row r="1810" spans="1:9">
      <c r="A1810" s="71">
        <v>45189</v>
      </c>
      <c r="B1810" t="s">
        <v>380</v>
      </c>
      <c r="D1810" t="s">
        <v>3273</v>
      </c>
      <c r="G1810" t="s">
        <v>756</v>
      </c>
      <c r="H1810">
        <v>10448</v>
      </c>
      <c r="I1810" t="s">
        <v>1381</v>
      </c>
    </row>
    <row r="1811" spans="1:9">
      <c r="A1811" s="71">
        <v>45190</v>
      </c>
      <c r="B1811" t="s">
        <v>380</v>
      </c>
      <c r="D1811" t="s">
        <v>3274</v>
      </c>
      <c r="G1811" t="s">
        <v>756</v>
      </c>
      <c r="H1811">
        <v>10450</v>
      </c>
      <c r="I1811" t="s">
        <v>1381</v>
      </c>
    </row>
    <row r="1812" spans="1:9">
      <c r="A1812" s="71">
        <v>45191</v>
      </c>
      <c r="B1812" t="s">
        <v>388</v>
      </c>
      <c r="D1812" t="s">
        <v>3275</v>
      </c>
      <c r="G1812" t="s">
        <v>756</v>
      </c>
      <c r="H1812">
        <v>8395</v>
      </c>
      <c r="I1812" t="s">
        <v>1381</v>
      </c>
    </row>
    <row r="1813" spans="1:9">
      <c r="A1813" s="71">
        <v>45191</v>
      </c>
      <c r="B1813" t="s">
        <v>19</v>
      </c>
      <c r="D1813" t="s">
        <v>3276</v>
      </c>
      <c r="G1813" t="s">
        <v>756</v>
      </c>
      <c r="H1813">
        <v>8392</v>
      </c>
      <c r="I1813" t="s">
        <v>1381</v>
      </c>
    </row>
    <row r="1814" spans="1:9">
      <c r="A1814" s="71">
        <v>45194</v>
      </c>
      <c r="B1814" t="s">
        <v>369</v>
      </c>
      <c r="D1814" t="s">
        <v>3277</v>
      </c>
      <c r="F1814" s="86">
        <v>10961</v>
      </c>
      <c r="G1814" t="s">
        <v>756</v>
      </c>
      <c r="H1814">
        <v>11219</v>
      </c>
      <c r="I1814" t="s">
        <v>1596</v>
      </c>
    </row>
    <row r="1815" spans="1:9">
      <c r="A1815" s="71">
        <v>45194</v>
      </c>
      <c r="B1815" t="s">
        <v>690</v>
      </c>
      <c r="D1815" t="s">
        <v>3278</v>
      </c>
      <c r="G1815" t="s">
        <v>756</v>
      </c>
      <c r="H1815">
        <v>9001</v>
      </c>
      <c r="I1815" t="s">
        <v>1381</v>
      </c>
    </row>
    <row r="1816" spans="1:9">
      <c r="A1816" s="71">
        <v>45195</v>
      </c>
      <c r="B1816" t="s">
        <v>171</v>
      </c>
      <c r="D1816" t="s">
        <v>3279</v>
      </c>
      <c r="F1816" s="86">
        <v>5403</v>
      </c>
      <c r="G1816" t="s">
        <v>756</v>
      </c>
      <c r="H1816">
        <v>11271</v>
      </c>
      <c r="I1816" t="s">
        <v>1596</v>
      </c>
    </row>
    <row r="1817" spans="1:9">
      <c r="A1817" s="71">
        <v>45195</v>
      </c>
      <c r="B1817" t="s">
        <v>48</v>
      </c>
      <c r="D1817" t="s">
        <v>3280</v>
      </c>
      <c r="G1817" t="s">
        <v>756</v>
      </c>
      <c r="H1817">
        <v>11218</v>
      </c>
      <c r="I1817" t="s">
        <v>1657</v>
      </c>
    </row>
    <row r="1818" spans="1:9">
      <c r="A1818" s="71">
        <v>45196</v>
      </c>
      <c r="B1818" t="s">
        <v>399</v>
      </c>
      <c r="D1818" t="s">
        <v>3281</v>
      </c>
      <c r="F1818" s="86">
        <v>6407</v>
      </c>
      <c r="G1818" t="s">
        <v>756</v>
      </c>
      <c r="H1818">
        <v>11106</v>
      </c>
      <c r="I1818" t="s">
        <v>2779</v>
      </c>
    </row>
    <row r="1819" spans="1:9">
      <c r="A1819" s="71">
        <v>45196</v>
      </c>
      <c r="B1819" t="s">
        <v>2663</v>
      </c>
      <c r="D1819" t="s">
        <v>3282</v>
      </c>
      <c r="F1819" s="86">
        <v>8159</v>
      </c>
      <c r="G1819" t="s">
        <v>756</v>
      </c>
      <c r="H1819">
        <v>10035</v>
      </c>
      <c r="I1819" t="s">
        <v>3073</v>
      </c>
    </row>
    <row r="1820" spans="1:9">
      <c r="A1820" s="71">
        <v>45196</v>
      </c>
      <c r="B1820" t="s">
        <v>408</v>
      </c>
      <c r="D1820" t="s">
        <v>3283</v>
      </c>
      <c r="G1820" t="s">
        <v>756</v>
      </c>
      <c r="H1820">
        <v>9007</v>
      </c>
      <c r="I1820" t="s">
        <v>1381</v>
      </c>
    </row>
    <row r="1821" spans="1:9">
      <c r="A1821" s="71">
        <v>45197</v>
      </c>
      <c r="B1821" t="s">
        <v>178</v>
      </c>
      <c r="D1821" t="s">
        <v>3284</v>
      </c>
      <c r="G1821" t="s">
        <v>756</v>
      </c>
      <c r="H1821">
        <v>11382</v>
      </c>
      <c r="I1821" t="s">
        <v>1341</v>
      </c>
    </row>
    <row r="1822" spans="1:9">
      <c r="A1822" s="71">
        <v>45197</v>
      </c>
      <c r="B1822" t="s">
        <v>659</v>
      </c>
      <c r="D1822" t="s">
        <v>3285</v>
      </c>
      <c r="G1822" t="s">
        <v>756</v>
      </c>
      <c r="H1822">
        <v>11110</v>
      </c>
      <c r="I1822" t="s">
        <v>2779</v>
      </c>
    </row>
    <row r="1823" spans="1:9">
      <c r="A1823" s="71">
        <v>45197</v>
      </c>
      <c r="B1823" t="s">
        <v>390</v>
      </c>
      <c r="D1823" t="s">
        <v>3286</v>
      </c>
      <c r="F1823" s="86">
        <v>7166</v>
      </c>
      <c r="G1823" t="s">
        <v>756</v>
      </c>
      <c r="H1823">
        <v>11109</v>
      </c>
      <c r="I1823" t="s">
        <v>2779</v>
      </c>
    </row>
    <row r="1824" spans="1:9">
      <c r="A1824" s="71">
        <v>45197</v>
      </c>
      <c r="B1824" t="s">
        <v>318</v>
      </c>
      <c r="D1824" t="s">
        <v>3287</v>
      </c>
      <c r="F1824" s="86">
        <v>10307</v>
      </c>
      <c r="G1824" t="s">
        <v>756</v>
      </c>
      <c r="H1824">
        <v>9011</v>
      </c>
      <c r="I1824" t="s">
        <v>1381</v>
      </c>
    </row>
    <row r="1825" spans="1:9">
      <c r="A1825" s="71">
        <v>45197</v>
      </c>
      <c r="B1825" t="s">
        <v>19</v>
      </c>
      <c r="D1825" t="s">
        <v>3288</v>
      </c>
      <c r="G1825" t="s">
        <v>756</v>
      </c>
      <c r="H1825">
        <v>9009</v>
      </c>
      <c r="I1825" t="s">
        <v>1381</v>
      </c>
    </row>
    <row r="1826" spans="1:9">
      <c r="A1826" s="71">
        <v>45197</v>
      </c>
      <c r="B1826" t="s">
        <v>388</v>
      </c>
      <c r="D1826" t="s">
        <v>3289</v>
      </c>
      <c r="G1826" t="s">
        <v>756</v>
      </c>
      <c r="H1826">
        <v>9008</v>
      </c>
      <c r="I1826" t="s">
        <v>1381</v>
      </c>
    </row>
    <row r="1827" spans="1:9">
      <c r="A1827" s="71">
        <v>45198</v>
      </c>
      <c r="B1827" t="s">
        <v>388</v>
      </c>
      <c r="D1827" t="s">
        <v>3290</v>
      </c>
      <c r="G1827" t="s">
        <v>756</v>
      </c>
      <c r="H1827">
        <v>9019</v>
      </c>
      <c r="I1827" t="s">
        <v>1381</v>
      </c>
    </row>
    <row r="1828" spans="1:9">
      <c r="A1828" s="71">
        <v>45198</v>
      </c>
      <c r="B1828" t="s">
        <v>411</v>
      </c>
      <c r="D1828" t="s">
        <v>3291</v>
      </c>
      <c r="F1828" s="86">
        <v>1390</v>
      </c>
      <c r="G1828" t="s">
        <v>756</v>
      </c>
      <c r="H1828">
        <v>9015</v>
      </c>
      <c r="I1828" t="s">
        <v>1381</v>
      </c>
    </row>
    <row r="1829" spans="1:9">
      <c r="A1829" s="71">
        <v>45198</v>
      </c>
      <c r="B1829" t="s">
        <v>388</v>
      </c>
      <c r="D1829" t="s">
        <v>3292</v>
      </c>
      <c r="G1829" t="s">
        <v>756</v>
      </c>
      <c r="H1829">
        <v>9013</v>
      </c>
      <c r="I1829" t="s">
        <v>1381</v>
      </c>
    </row>
    <row r="1830" spans="1:9">
      <c r="A1830" s="71">
        <v>45199</v>
      </c>
      <c r="B1830" t="s">
        <v>408</v>
      </c>
      <c r="D1830" t="s">
        <v>3293</v>
      </c>
      <c r="F1830" s="86">
        <v>9725</v>
      </c>
      <c r="G1830" t="s">
        <v>756</v>
      </c>
      <c r="H1830">
        <v>11113</v>
      </c>
      <c r="I1830" t="s">
        <v>2779</v>
      </c>
    </row>
    <row r="1831" spans="1:9">
      <c r="A1831" s="71">
        <v>45199</v>
      </c>
      <c r="B1831" t="s">
        <v>311</v>
      </c>
      <c r="D1831" t="s">
        <v>3294</v>
      </c>
      <c r="F1831" s="86">
        <v>14231</v>
      </c>
      <c r="G1831" t="s">
        <v>756</v>
      </c>
      <c r="H1831">
        <v>11112</v>
      </c>
      <c r="I1831" t="s">
        <v>2779</v>
      </c>
    </row>
    <row r="1832" spans="1:9">
      <c r="A1832" s="71">
        <v>45202</v>
      </c>
      <c r="B1832" t="s">
        <v>311</v>
      </c>
      <c r="D1832" t="s">
        <v>3295</v>
      </c>
      <c r="G1832" t="s">
        <v>756</v>
      </c>
      <c r="H1832">
        <v>9025</v>
      </c>
      <c r="I1832" t="s">
        <v>1381</v>
      </c>
    </row>
    <row r="1833" spans="1:9">
      <c r="A1833" s="71">
        <v>45202</v>
      </c>
      <c r="B1833" t="s">
        <v>380</v>
      </c>
      <c r="D1833" t="s">
        <v>3296</v>
      </c>
      <c r="G1833" t="s">
        <v>756</v>
      </c>
      <c r="H1833">
        <v>9028</v>
      </c>
      <c r="I1833" t="s">
        <v>1381</v>
      </c>
    </row>
    <row r="1834" spans="1:9">
      <c r="A1834" s="71">
        <v>45203</v>
      </c>
      <c r="B1834" t="s">
        <v>396</v>
      </c>
      <c r="D1834" t="s">
        <v>3297</v>
      </c>
      <c r="F1834" s="86">
        <v>6374</v>
      </c>
      <c r="G1834" t="s">
        <v>756</v>
      </c>
      <c r="H1834">
        <v>9033</v>
      </c>
      <c r="I1834" t="s">
        <v>1381</v>
      </c>
    </row>
    <row r="1835" spans="1:9">
      <c r="A1835" s="71">
        <v>45203</v>
      </c>
      <c r="B1835" t="s">
        <v>330</v>
      </c>
      <c r="D1835" t="s">
        <v>3298</v>
      </c>
      <c r="G1835" t="s">
        <v>756</v>
      </c>
      <c r="H1835">
        <v>9032</v>
      </c>
      <c r="I1835" t="s">
        <v>1381</v>
      </c>
    </row>
    <row r="1836" spans="1:9">
      <c r="A1836" s="71">
        <v>45204</v>
      </c>
      <c r="B1836" t="s">
        <v>196</v>
      </c>
      <c r="D1836" t="s">
        <v>3299</v>
      </c>
      <c r="G1836" t="s">
        <v>756</v>
      </c>
      <c r="H1836">
        <v>9034</v>
      </c>
      <c r="I1836" t="s">
        <v>1381</v>
      </c>
    </row>
    <row r="1837" spans="1:9">
      <c r="A1837" s="71">
        <v>45205</v>
      </c>
      <c r="B1837" t="s">
        <v>369</v>
      </c>
      <c r="D1837" t="s">
        <v>3300</v>
      </c>
      <c r="F1837" s="86">
        <v>10988</v>
      </c>
      <c r="G1837" t="s">
        <v>756</v>
      </c>
      <c r="H1837">
        <v>11220</v>
      </c>
      <c r="I1837" t="s">
        <v>1596</v>
      </c>
    </row>
    <row r="1838" spans="1:9">
      <c r="A1838" s="71">
        <v>45205</v>
      </c>
      <c r="B1838" t="s">
        <v>385</v>
      </c>
      <c r="D1838" t="s">
        <v>3301</v>
      </c>
      <c r="F1838" s="86">
        <v>1754</v>
      </c>
      <c r="G1838" t="s">
        <v>756</v>
      </c>
      <c r="H1838">
        <v>11156</v>
      </c>
      <c r="I1838" t="s">
        <v>473</v>
      </c>
    </row>
    <row r="1839" spans="1:9">
      <c r="A1839" s="71">
        <v>45205</v>
      </c>
      <c r="B1839" t="s">
        <v>2663</v>
      </c>
      <c r="D1839" t="s">
        <v>3302</v>
      </c>
      <c r="F1839" s="86">
        <v>8171</v>
      </c>
      <c r="G1839" t="s">
        <v>756</v>
      </c>
      <c r="H1839">
        <v>10030</v>
      </c>
      <c r="I1839" t="s">
        <v>3073</v>
      </c>
    </row>
    <row r="1840" spans="1:9">
      <c r="A1840" s="71">
        <v>45207</v>
      </c>
      <c r="B1840" t="s">
        <v>176</v>
      </c>
      <c r="D1840" t="s">
        <v>3303</v>
      </c>
      <c r="F1840" s="86">
        <v>4940</v>
      </c>
      <c r="G1840" t="s">
        <v>756</v>
      </c>
      <c r="H1840">
        <v>11221</v>
      </c>
      <c r="I1840" t="s">
        <v>1596</v>
      </c>
    </row>
    <row r="1841" spans="1:9">
      <c r="A1841" s="71">
        <v>45209</v>
      </c>
      <c r="B1841" t="s">
        <v>390</v>
      </c>
      <c r="D1841" t="s">
        <v>3304</v>
      </c>
      <c r="F1841" s="86" t="s">
        <v>3305</v>
      </c>
      <c r="G1841" t="s">
        <v>756</v>
      </c>
      <c r="H1841">
        <v>11253</v>
      </c>
      <c r="I1841" t="s">
        <v>1339</v>
      </c>
    </row>
    <row r="1842" spans="1:9">
      <c r="A1842" s="71">
        <v>45209</v>
      </c>
      <c r="B1842" t="s">
        <v>394</v>
      </c>
      <c r="D1842" t="s">
        <v>3306</v>
      </c>
      <c r="F1842" s="86">
        <v>9465</v>
      </c>
      <c r="G1842" t="s">
        <v>756</v>
      </c>
      <c r="H1842">
        <v>11251</v>
      </c>
      <c r="I1842" t="s">
        <v>1339</v>
      </c>
    </row>
    <row r="1843" spans="1:9">
      <c r="A1843" s="71">
        <v>45209</v>
      </c>
      <c r="B1843" t="s">
        <v>328</v>
      </c>
      <c r="D1843" t="s">
        <v>3307</v>
      </c>
      <c r="F1843" s="86">
        <v>7985</v>
      </c>
      <c r="G1843" t="s">
        <v>756</v>
      </c>
      <c r="H1843">
        <v>11222</v>
      </c>
      <c r="I1843" t="s">
        <v>1596</v>
      </c>
    </row>
    <row r="1844" spans="1:9">
      <c r="A1844" s="71">
        <v>45209</v>
      </c>
      <c r="B1844" t="s">
        <v>32</v>
      </c>
      <c r="D1844" t="s">
        <v>3308</v>
      </c>
      <c r="G1844" t="s">
        <v>756</v>
      </c>
      <c r="H1844">
        <v>10001</v>
      </c>
      <c r="I1844" t="s">
        <v>1381</v>
      </c>
    </row>
    <row r="1845" spans="1:9">
      <c r="A1845" s="71">
        <v>45209</v>
      </c>
      <c r="B1845" t="s">
        <v>341</v>
      </c>
      <c r="D1845" t="s">
        <v>3309</v>
      </c>
      <c r="G1845" t="s">
        <v>756</v>
      </c>
      <c r="H1845">
        <v>10003</v>
      </c>
      <c r="I1845" t="s">
        <v>1381</v>
      </c>
    </row>
    <row r="1846" spans="1:9">
      <c r="A1846" s="71">
        <v>45210</v>
      </c>
      <c r="B1846" t="s">
        <v>202</v>
      </c>
      <c r="D1846" t="s">
        <v>3310</v>
      </c>
      <c r="F1846" s="86">
        <v>1262</v>
      </c>
      <c r="G1846" t="s">
        <v>756</v>
      </c>
      <c r="H1846">
        <v>11223</v>
      </c>
      <c r="I1846" t="s">
        <v>1596</v>
      </c>
    </row>
    <row r="1847" spans="1:9">
      <c r="A1847" s="71">
        <v>45210</v>
      </c>
      <c r="B1847" t="s">
        <v>338</v>
      </c>
      <c r="D1847" t="s">
        <v>3311</v>
      </c>
      <c r="G1847" t="s">
        <v>756</v>
      </c>
      <c r="H1847">
        <v>10011</v>
      </c>
      <c r="I1847" t="s">
        <v>1381</v>
      </c>
    </row>
    <row r="1848" spans="1:9">
      <c r="A1848" s="71">
        <v>45210</v>
      </c>
      <c r="B1848" t="s">
        <v>396</v>
      </c>
      <c r="D1848" t="s">
        <v>3312</v>
      </c>
      <c r="G1848" t="s">
        <v>756</v>
      </c>
      <c r="H1848">
        <v>10008</v>
      </c>
      <c r="I1848" t="s">
        <v>1381</v>
      </c>
    </row>
    <row r="1849" spans="1:9">
      <c r="A1849" s="71">
        <v>45210</v>
      </c>
      <c r="B1849" t="s">
        <v>689</v>
      </c>
      <c r="D1849" t="s">
        <v>3313</v>
      </c>
      <c r="G1849" t="s">
        <v>756</v>
      </c>
      <c r="H1849">
        <v>10006</v>
      </c>
      <c r="I1849" t="s">
        <v>1381</v>
      </c>
    </row>
    <row r="1850" spans="1:9">
      <c r="A1850" s="71">
        <v>45211</v>
      </c>
      <c r="B1850" t="s">
        <v>639</v>
      </c>
      <c r="D1850" t="s">
        <v>3314</v>
      </c>
      <c r="G1850" t="s">
        <v>756</v>
      </c>
      <c r="H1850">
        <v>11225</v>
      </c>
      <c r="I1850" t="s">
        <v>1596</v>
      </c>
    </row>
    <row r="1851" spans="1:9">
      <c r="A1851" s="71">
        <v>45211</v>
      </c>
      <c r="B1851" t="s">
        <v>322</v>
      </c>
      <c r="D1851" t="s">
        <v>3315</v>
      </c>
      <c r="F1851" s="86">
        <v>24237</v>
      </c>
      <c r="G1851" t="s">
        <v>756</v>
      </c>
      <c r="H1851">
        <v>11028</v>
      </c>
      <c r="I1851" t="s">
        <v>1330</v>
      </c>
    </row>
    <row r="1852" spans="1:9">
      <c r="A1852" s="71">
        <v>45211</v>
      </c>
      <c r="B1852" t="s">
        <v>175</v>
      </c>
      <c r="D1852" t="s">
        <v>3316</v>
      </c>
      <c r="F1852" s="86">
        <v>6184</v>
      </c>
      <c r="G1852" t="s">
        <v>756</v>
      </c>
      <c r="H1852">
        <v>10031</v>
      </c>
      <c r="I1852" t="s">
        <v>3073</v>
      </c>
    </row>
    <row r="1853" spans="1:9">
      <c r="A1853" s="71">
        <v>45211</v>
      </c>
      <c r="B1853" t="s">
        <v>396</v>
      </c>
      <c r="D1853" t="s">
        <v>3317</v>
      </c>
      <c r="G1853" t="s">
        <v>756</v>
      </c>
      <c r="H1853">
        <v>10029</v>
      </c>
      <c r="I1853" t="s">
        <v>3073</v>
      </c>
    </row>
    <row r="1854" spans="1:9">
      <c r="A1854" s="71">
        <v>45211</v>
      </c>
      <c r="B1854" t="s">
        <v>25</v>
      </c>
      <c r="D1854" t="s">
        <v>3318</v>
      </c>
      <c r="F1854" s="86">
        <v>5885</v>
      </c>
      <c r="G1854" t="s">
        <v>756</v>
      </c>
      <c r="H1854">
        <v>10024</v>
      </c>
      <c r="I1854" t="s">
        <v>1381</v>
      </c>
    </row>
    <row r="1855" spans="1:9">
      <c r="A1855" s="71">
        <v>45211</v>
      </c>
      <c r="B1855" t="s">
        <v>338</v>
      </c>
      <c r="D1855" t="s">
        <v>3319</v>
      </c>
      <c r="G1855" t="s">
        <v>756</v>
      </c>
      <c r="H1855">
        <v>10017</v>
      </c>
      <c r="I1855" t="s">
        <v>1381</v>
      </c>
    </row>
    <row r="1856" spans="1:9">
      <c r="A1856" s="71">
        <v>45211</v>
      </c>
      <c r="B1856" t="s">
        <v>341</v>
      </c>
      <c r="D1856" t="s">
        <v>3320</v>
      </c>
      <c r="G1856" t="s">
        <v>756</v>
      </c>
      <c r="H1856">
        <v>10016</v>
      </c>
      <c r="I1856" t="s">
        <v>1381</v>
      </c>
    </row>
    <row r="1857" spans="1:9">
      <c r="A1857" s="71">
        <v>45211</v>
      </c>
      <c r="B1857" t="s">
        <v>388</v>
      </c>
      <c r="D1857" t="s">
        <v>3320</v>
      </c>
      <c r="G1857" t="s">
        <v>756</v>
      </c>
      <c r="H1857">
        <v>10015</v>
      </c>
      <c r="I1857" t="s">
        <v>1381</v>
      </c>
    </row>
    <row r="1858" spans="1:9">
      <c r="A1858" s="71">
        <v>45211</v>
      </c>
      <c r="B1858" t="s">
        <v>157</v>
      </c>
      <c r="D1858" t="s">
        <v>3321</v>
      </c>
      <c r="G1858" t="s">
        <v>756</v>
      </c>
      <c r="H1858">
        <v>10012</v>
      </c>
      <c r="I1858" t="s">
        <v>1381</v>
      </c>
    </row>
    <row r="1859" spans="1:9">
      <c r="A1859" s="71">
        <v>45212</v>
      </c>
      <c r="B1859" t="s">
        <v>394</v>
      </c>
      <c r="D1859" t="s">
        <v>3322</v>
      </c>
      <c r="F1859" s="86">
        <v>9468</v>
      </c>
      <c r="G1859" t="s">
        <v>756</v>
      </c>
      <c r="H1859">
        <v>11254</v>
      </c>
      <c r="I1859" t="s">
        <v>1339</v>
      </c>
    </row>
    <row r="1860" spans="1:9">
      <c r="A1860" s="71">
        <v>45212</v>
      </c>
      <c r="B1860" t="s">
        <v>777</v>
      </c>
      <c r="D1860" t="s">
        <v>3323</v>
      </c>
      <c r="G1860" t="s">
        <v>756</v>
      </c>
      <c r="H1860">
        <v>11155</v>
      </c>
      <c r="I1860" t="s">
        <v>473</v>
      </c>
    </row>
    <row r="1861" spans="1:9">
      <c r="A1861" s="71">
        <v>45213</v>
      </c>
      <c r="B1861" t="s">
        <v>318</v>
      </c>
      <c r="D1861" t="s">
        <v>3324</v>
      </c>
      <c r="F1861" s="86">
        <v>10365</v>
      </c>
      <c r="G1861" t="s">
        <v>756</v>
      </c>
      <c r="H1861">
        <v>11157</v>
      </c>
      <c r="I1861" t="s">
        <v>473</v>
      </c>
    </row>
    <row r="1862" spans="1:9">
      <c r="A1862" s="71">
        <v>45215</v>
      </c>
      <c r="B1862" t="s">
        <v>691</v>
      </c>
      <c r="D1862" t="s">
        <v>3325</v>
      </c>
      <c r="F1862" s="86">
        <v>183472</v>
      </c>
      <c r="G1862" t="s">
        <v>756</v>
      </c>
      <c r="H1862">
        <v>11030</v>
      </c>
      <c r="I1862" t="s">
        <v>1330</v>
      </c>
    </row>
    <row r="1863" spans="1:9">
      <c r="A1863" s="71">
        <v>45216</v>
      </c>
      <c r="B1863" t="s">
        <v>394</v>
      </c>
      <c r="D1863" t="s">
        <v>3326</v>
      </c>
      <c r="G1863" t="s">
        <v>756</v>
      </c>
      <c r="H1863">
        <v>11255</v>
      </c>
      <c r="I1863" t="s">
        <v>1339</v>
      </c>
    </row>
    <row r="1864" spans="1:9">
      <c r="A1864" s="71">
        <v>45216</v>
      </c>
      <c r="B1864" t="s">
        <v>159</v>
      </c>
      <c r="D1864" t="s">
        <v>3327</v>
      </c>
      <c r="F1864" s="86">
        <v>9206</v>
      </c>
      <c r="G1864" t="s">
        <v>756</v>
      </c>
      <c r="H1864">
        <v>11226</v>
      </c>
      <c r="I1864" t="s">
        <v>1596</v>
      </c>
    </row>
    <row r="1865" spans="1:9">
      <c r="A1865" s="71">
        <v>45217</v>
      </c>
      <c r="B1865" t="s">
        <v>777</v>
      </c>
      <c r="D1865" t="s">
        <v>3328</v>
      </c>
      <c r="G1865" t="s">
        <v>756</v>
      </c>
      <c r="H1865">
        <v>11257</v>
      </c>
      <c r="I1865" t="s">
        <v>1339</v>
      </c>
    </row>
    <row r="1866" spans="1:9">
      <c r="A1866" s="71">
        <v>45217</v>
      </c>
      <c r="B1866" t="s">
        <v>385</v>
      </c>
      <c r="D1866" t="s">
        <v>3329</v>
      </c>
      <c r="F1866" s="86">
        <v>1755</v>
      </c>
      <c r="G1866" t="s">
        <v>756</v>
      </c>
      <c r="H1866">
        <v>11227</v>
      </c>
      <c r="I1866" t="s">
        <v>1596</v>
      </c>
    </row>
    <row r="1867" spans="1:9">
      <c r="A1867" s="71">
        <v>45217</v>
      </c>
      <c r="B1867" t="s">
        <v>373</v>
      </c>
      <c r="D1867" t="s">
        <v>3330</v>
      </c>
      <c r="F1867" s="86">
        <v>3708</v>
      </c>
      <c r="G1867" t="s">
        <v>756</v>
      </c>
      <c r="H1867">
        <v>11159</v>
      </c>
      <c r="I1867" t="s">
        <v>2779</v>
      </c>
    </row>
    <row r="1868" spans="1:9">
      <c r="A1868" s="71">
        <v>45217</v>
      </c>
      <c r="B1868" t="s">
        <v>659</v>
      </c>
      <c r="D1868" t="s">
        <v>3331</v>
      </c>
      <c r="G1868" t="s">
        <v>756</v>
      </c>
      <c r="H1868">
        <v>11158</v>
      </c>
      <c r="I1868" t="s">
        <v>2779</v>
      </c>
    </row>
    <row r="1869" spans="1:9">
      <c r="A1869" s="71">
        <v>45217</v>
      </c>
      <c r="B1869" t="s">
        <v>159</v>
      </c>
      <c r="D1869" t="s">
        <v>3332</v>
      </c>
      <c r="G1869" t="s">
        <v>756</v>
      </c>
      <c r="H1869">
        <v>11068</v>
      </c>
      <c r="I1869" t="s">
        <v>1347</v>
      </c>
    </row>
    <row r="1870" spans="1:9">
      <c r="A1870" s="71">
        <v>45217</v>
      </c>
      <c r="B1870" t="s">
        <v>176</v>
      </c>
      <c r="D1870" t="s">
        <v>3333</v>
      </c>
      <c r="F1870" s="86">
        <v>5008</v>
      </c>
      <c r="G1870" t="s">
        <v>756</v>
      </c>
      <c r="H1870">
        <v>11067</v>
      </c>
      <c r="I1870" t="s">
        <v>1347</v>
      </c>
    </row>
    <row r="1871" spans="1:9">
      <c r="A1871" s="71">
        <v>45217</v>
      </c>
      <c r="B1871" t="s">
        <v>338</v>
      </c>
      <c r="D1871" t="s">
        <v>3334</v>
      </c>
      <c r="G1871" t="s">
        <v>756</v>
      </c>
      <c r="H1871">
        <v>10038</v>
      </c>
      <c r="I1871" t="s">
        <v>1381</v>
      </c>
    </row>
    <row r="1872" spans="1:9">
      <c r="A1872" s="71">
        <v>45218</v>
      </c>
      <c r="B1872" t="s">
        <v>183</v>
      </c>
      <c r="D1872" t="s">
        <v>3335</v>
      </c>
      <c r="F1872" s="86">
        <v>1823</v>
      </c>
      <c r="G1872" t="s">
        <v>756</v>
      </c>
      <c r="H1872">
        <v>11228</v>
      </c>
      <c r="I1872" t="s">
        <v>1596</v>
      </c>
    </row>
    <row r="1873" spans="1:9">
      <c r="A1873" s="71">
        <v>45218</v>
      </c>
      <c r="B1873" t="s">
        <v>659</v>
      </c>
      <c r="D1873" t="s">
        <v>3336</v>
      </c>
      <c r="G1873" t="s">
        <v>756</v>
      </c>
      <c r="H1873">
        <v>11123</v>
      </c>
      <c r="I1873" t="s">
        <v>2779</v>
      </c>
    </row>
    <row r="1874" spans="1:9">
      <c r="A1874" s="71">
        <v>45218</v>
      </c>
      <c r="B1874" t="s">
        <v>313</v>
      </c>
      <c r="D1874" t="s">
        <v>3337</v>
      </c>
      <c r="F1874" s="86">
        <v>19763</v>
      </c>
      <c r="G1874" t="s">
        <v>756</v>
      </c>
      <c r="H1874">
        <v>11032</v>
      </c>
      <c r="I1874" t="s">
        <v>1330</v>
      </c>
    </row>
    <row r="1875" spans="1:9">
      <c r="A1875" s="71">
        <v>45218</v>
      </c>
      <c r="B1875" t="s">
        <v>567</v>
      </c>
      <c r="D1875" t="s">
        <v>3338</v>
      </c>
      <c r="G1875" t="s">
        <v>756</v>
      </c>
      <c r="H1875">
        <v>11381</v>
      </c>
      <c r="I1875" t="s">
        <v>1341</v>
      </c>
    </row>
    <row r="1876" spans="1:9">
      <c r="A1876" s="71">
        <v>45218</v>
      </c>
      <c r="B1876" t="s">
        <v>391</v>
      </c>
      <c r="D1876" t="s">
        <v>3339</v>
      </c>
      <c r="G1876" t="s">
        <v>756</v>
      </c>
      <c r="H1876">
        <v>10041</v>
      </c>
      <c r="I1876" t="s">
        <v>1381</v>
      </c>
    </row>
    <row r="1877" spans="1:9">
      <c r="A1877" s="71">
        <v>45218</v>
      </c>
      <c r="B1877" t="s">
        <v>35</v>
      </c>
      <c r="D1877" t="s">
        <v>3340</v>
      </c>
      <c r="G1877" t="s">
        <v>756</v>
      </c>
      <c r="H1877">
        <v>10042</v>
      </c>
      <c r="I1877" t="s">
        <v>1381</v>
      </c>
    </row>
    <row r="1878" spans="1:9">
      <c r="A1878" s="71">
        <v>45219</v>
      </c>
      <c r="B1878" t="s">
        <v>391</v>
      </c>
      <c r="D1878" t="s">
        <v>3341</v>
      </c>
      <c r="F1878" s="86">
        <v>43</v>
      </c>
      <c r="G1878" t="s">
        <v>756</v>
      </c>
      <c r="H1878">
        <v>10799</v>
      </c>
      <c r="I1878" t="s">
        <v>3073</v>
      </c>
    </row>
    <row r="1879" spans="1:9">
      <c r="A1879" s="71">
        <v>45219</v>
      </c>
      <c r="B1879" t="s">
        <v>360</v>
      </c>
      <c r="D1879" t="s">
        <v>3342</v>
      </c>
      <c r="G1879" t="s">
        <v>756</v>
      </c>
      <c r="H1879">
        <v>10044</v>
      </c>
      <c r="I1879" t="s">
        <v>1381</v>
      </c>
    </row>
    <row r="1880" spans="1:9">
      <c r="A1880" s="71">
        <v>45220</v>
      </c>
      <c r="B1880" t="s">
        <v>371</v>
      </c>
      <c r="D1880" t="s">
        <v>3343</v>
      </c>
      <c r="G1880" t="s">
        <v>756</v>
      </c>
      <c r="H1880">
        <v>11261</v>
      </c>
      <c r="I1880" t="s">
        <v>1339</v>
      </c>
    </row>
    <row r="1881" spans="1:9">
      <c r="A1881" s="71">
        <v>45220</v>
      </c>
      <c r="B1881" t="s">
        <v>697</v>
      </c>
      <c r="D1881" t="s">
        <v>3344</v>
      </c>
      <c r="F1881" s="86">
        <v>12645</v>
      </c>
      <c r="G1881" t="s">
        <v>756</v>
      </c>
      <c r="H1881">
        <v>11041</v>
      </c>
      <c r="I1881" t="s">
        <v>1330</v>
      </c>
    </row>
    <row r="1882" spans="1:9">
      <c r="A1882" s="71">
        <v>45222</v>
      </c>
      <c r="B1882" t="s">
        <v>169</v>
      </c>
      <c r="D1882" t="s">
        <v>3345</v>
      </c>
      <c r="F1882" s="86">
        <v>6487</v>
      </c>
      <c r="G1882" t="s">
        <v>756</v>
      </c>
      <c r="H1882">
        <v>11160</v>
      </c>
      <c r="I1882" t="s">
        <v>2779</v>
      </c>
    </row>
    <row r="1883" spans="1:9">
      <c r="A1883" s="71">
        <v>45222</v>
      </c>
      <c r="B1883" t="s">
        <v>777</v>
      </c>
      <c r="D1883" t="s">
        <v>3346</v>
      </c>
      <c r="F1883" s="86">
        <v>5741</v>
      </c>
      <c r="G1883" t="s">
        <v>756</v>
      </c>
      <c r="H1883">
        <v>11262</v>
      </c>
      <c r="I1883" t="s">
        <v>1339</v>
      </c>
    </row>
    <row r="1884" spans="1:9">
      <c r="A1884" s="71">
        <v>45222</v>
      </c>
      <c r="B1884" t="s">
        <v>333</v>
      </c>
      <c r="D1884" t="s">
        <v>3347</v>
      </c>
      <c r="F1884" s="86">
        <v>5645</v>
      </c>
      <c r="G1884" t="s">
        <v>756</v>
      </c>
      <c r="H1884">
        <v>11229</v>
      </c>
      <c r="I1884" t="s">
        <v>1596</v>
      </c>
    </row>
    <row r="1885" spans="1:9">
      <c r="A1885" s="71">
        <v>45222</v>
      </c>
      <c r="B1885" t="s">
        <v>69</v>
      </c>
      <c r="D1885" t="s">
        <v>3348</v>
      </c>
      <c r="G1885" t="s">
        <v>756</v>
      </c>
      <c r="H1885">
        <v>11034</v>
      </c>
      <c r="I1885" t="s">
        <v>1330</v>
      </c>
    </row>
    <row r="1886" spans="1:9">
      <c r="A1886" s="71">
        <v>45223</v>
      </c>
      <c r="B1886" t="s">
        <v>318</v>
      </c>
      <c r="D1886" t="s">
        <v>3349</v>
      </c>
      <c r="F1886" s="86">
        <v>10408</v>
      </c>
      <c r="G1886" t="s">
        <v>756</v>
      </c>
      <c r="H1886">
        <v>11263</v>
      </c>
      <c r="I1886" t="s">
        <v>1339</v>
      </c>
    </row>
    <row r="1887" spans="1:9">
      <c r="A1887" s="71">
        <v>45223</v>
      </c>
      <c r="B1887" t="s">
        <v>35</v>
      </c>
      <c r="D1887" t="s">
        <v>3350</v>
      </c>
      <c r="G1887" t="s">
        <v>756</v>
      </c>
      <c r="H1887">
        <v>11124</v>
      </c>
      <c r="I1887" t="s">
        <v>2779</v>
      </c>
    </row>
    <row r="1888" spans="1:9">
      <c r="A1888" s="71">
        <v>45223</v>
      </c>
      <c r="B1888" t="s">
        <v>25</v>
      </c>
      <c r="D1888" t="s">
        <v>3351</v>
      </c>
      <c r="G1888" t="s">
        <v>756</v>
      </c>
      <c r="H1888">
        <v>10457</v>
      </c>
      <c r="I1888" t="s">
        <v>1381</v>
      </c>
    </row>
    <row r="1889" spans="1:9">
      <c r="A1889" s="71">
        <v>45223</v>
      </c>
      <c r="B1889" t="s">
        <v>411</v>
      </c>
      <c r="D1889" t="s">
        <v>3352</v>
      </c>
      <c r="F1889" s="86">
        <v>1479</v>
      </c>
      <c r="G1889" t="s">
        <v>756</v>
      </c>
      <c r="H1889">
        <v>10453</v>
      </c>
      <c r="I1889" t="s">
        <v>1381</v>
      </c>
    </row>
    <row r="1890" spans="1:9">
      <c r="A1890" s="71">
        <v>45224</v>
      </c>
      <c r="B1890" t="s">
        <v>389</v>
      </c>
      <c r="D1890" t="s">
        <v>3353</v>
      </c>
      <c r="F1890" s="86">
        <v>5493</v>
      </c>
      <c r="G1890" t="s">
        <v>756</v>
      </c>
      <c r="H1890">
        <v>11230</v>
      </c>
      <c r="I1890" t="s">
        <v>1596</v>
      </c>
    </row>
    <row r="1891" spans="1:9">
      <c r="A1891" s="71">
        <v>45224</v>
      </c>
      <c r="B1891" t="s">
        <v>35</v>
      </c>
      <c r="D1891" t="s">
        <v>3354</v>
      </c>
      <c r="G1891" t="s">
        <v>756</v>
      </c>
      <c r="H1891">
        <v>11125</v>
      </c>
      <c r="I1891" t="s">
        <v>473</v>
      </c>
    </row>
    <row r="1892" spans="1:9">
      <c r="A1892" s="71">
        <v>45224</v>
      </c>
      <c r="B1892" t="s">
        <v>29</v>
      </c>
      <c r="D1892" t="s">
        <v>3355</v>
      </c>
      <c r="G1892" t="s">
        <v>756</v>
      </c>
      <c r="H1892">
        <v>10460</v>
      </c>
      <c r="I1892" t="s">
        <v>1381</v>
      </c>
    </row>
    <row r="1893" spans="1:9">
      <c r="A1893" s="71">
        <v>45224</v>
      </c>
      <c r="B1893" t="s">
        <v>369</v>
      </c>
      <c r="D1893" t="s">
        <v>3356</v>
      </c>
      <c r="G1893" t="s">
        <v>756</v>
      </c>
      <c r="H1893">
        <v>10458</v>
      </c>
      <c r="I1893" t="s">
        <v>1381</v>
      </c>
    </row>
    <row r="1894" spans="1:9">
      <c r="A1894" s="71">
        <v>45225</v>
      </c>
      <c r="B1894" t="s">
        <v>777</v>
      </c>
      <c r="D1894" t="s">
        <v>3357</v>
      </c>
      <c r="G1894" t="s">
        <v>756</v>
      </c>
      <c r="H1894">
        <v>11161</v>
      </c>
      <c r="I1894" t="s">
        <v>2779</v>
      </c>
    </row>
    <row r="1895" spans="1:9">
      <c r="A1895" s="71">
        <v>45226</v>
      </c>
      <c r="B1895" t="s">
        <v>48</v>
      </c>
      <c r="D1895" t="s">
        <v>3358</v>
      </c>
      <c r="G1895" t="s">
        <v>756</v>
      </c>
      <c r="H1895">
        <v>11076</v>
      </c>
      <c r="I1895" t="s">
        <v>1347</v>
      </c>
    </row>
    <row r="1896" spans="1:9">
      <c r="A1896" s="71">
        <v>45229</v>
      </c>
      <c r="B1896" t="s">
        <v>394</v>
      </c>
      <c r="D1896" t="s">
        <v>3359</v>
      </c>
      <c r="F1896" s="86">
        <v>9535</v>
      </c>
      <c r="G1896" t="s">
        <v>756</v>
      </c>
      <c r="H1896">
        <v>11234</v>
      </c>
      <c r="I1896" t="s">
        <v>1596</v>
      </c>
    </row>
    <row r="1897" spans="1:9">
      <c r="A1897" s="71">
        <v>45229</v>
      </c>
      <c r="B1897" t="s">
        <v>420</v>
      </c>
      <c r="D1897" t="s">
        <v>3360</v>
      </c>
      <c r="F1897" s="86">
        <v>4881</v>
      </c>
      <c r="G1897" t="s">
        <v>756</v>
      </c>
      <c r="H1897">
        <v>11233</v>
      </c>
      <c r="I1897" t="s">
        <v>1596</v>
      </c>
    </row>
    <row r="1898" spans="1:9">
      <c r="A1898" s="71">
        <v>45229</v>
      </c>
      <c r="B1898" t="s">
        <v>313</v>
      </c>
      <c r="D1898" t="s">
        <v>3361</v>
      </c>
      <c r="F1898" s="86">
        <v>19808</v>
      </c>
      <c r="G1898" t="s">
        <v>756</v>
      </c>
      <c r="H1898">
        <v>11232</v>
      </c>
      <c r="I1898" t="s">
        <v>1596</v>
      </c>
    </row>
    <row r="1899" spans="1:9">
      <c r="A1899" s="71">
        <v>45229</v>
      </c>
      <c r="B1899" t="s">
        <v>2498</v>
      </c>
      <c r="D1899" t="s">
        <v>3362</v>
      </c>
      <c r="G1899" t="s">
        <v>756</v>
      </c>
      <c r="H1899">
        <v>11163</v>
      </c>
      <c r="I1899" t="s">
        <v>473</v>
      </c>
    </row>
    <row r="1900" spans="1:9">
      <c r="A1900" s="71">
        <v>45229</v>
      </c>
      <c r="B1900" t="s">
        <v>313</v>
      </c>
      <c r="D1900" t="s">
        <v>3363</v>
      </c>
      <c r="F1900" s="86">
        <v>19898</v>
      </c>
      <c r="G1900" t="s">
        <v>756</v>
      </c>
      <c r="H1900">
        <v>11126</v>
      </c>
      <c r="I1900" t="s">
        <v>2779</v>
      </c>
    </row>
    <row r="1901" spans="1:9">
      <c r="A1901" s="71">
        <v>45229</v>
      </c>
      <c r="B1901" t="s">
        <v>188</v>
      </c>
      <c r="D1901" t="s">
        <v>3364</v>
      </c>
      <c r="G1901" t="s">
        <v>756</v>
      </c>
      <c r="H1901">
        <v>10467</v>
      </c>
      <c r="I1901" t="s">
        <v>1381</v>
      </c>
    </row>
    <row r="1902" spans="1:9">
      <c r="A1902" s="71">
        <v>45229</v>
      </c>
      <c r="B1902" t="s">
        <v>157</v>
      </c>
      <c r="D1902" t="s">
        <v>3365</v>
      </c>
      <c r="G1902" t="s">
        <v>756</v>
      </c>
      <c r="H1902">
        <v>10043</v>
      </c>
      <c r="I1902" t="s">
        <v>1381</v>
      </c>
    </row>
    <row r="1903" spans="1:9">
      <c r="A1903" s="71">
        <v>45230</v>
      </c>
      <c r="B1903" t="s">
        <v>389</v>
      </c>
      <c r="D1903" t="s">
        <v>3366</v>
      </c>
      <c r="G1903" t="s">
        <v>756</v>
      </c>
      <c r="H1903">
        <v>11266</v>
      </c>
      <c r="I1903" t="s">
        <v>1339</v>
      </c>
    </row>
    <row r="1904" spans="1:9">
      <c r="A1904" s="71">
        <v>45230</v>
      </c>
      <c r="B1904" t="s">
        <v>48</v>
      </c>
      <c r="D1904" t="s">
        <v>3367</v>
      </c>
      <c r="G1904" t="s">
        <v>756</v>
      </c>
      <c r="H1904">
        <v>11165</v>
      </c>
      <c r="I1904" t="s">
        <v>473</v>
      </c>
    </row>
    <row r="1905" spans="1:9">
      <c r="A1905" s="71">
        <v>45230</v>
      </c>
      <c r="B1905" t="s">
        <v>411</v>
      </c>
      <c r="D1905" t="s">
        <v>3368</v>
      </c>
      <c r="F1905" s="86">
        <v>1498</v>
      </c>
      <c r="G1905" t="s">
        <v>756</v>
      </c>
      <c r="H1905">
        <v>10468</v>
      </c>
      <c r="I1905" t="s">
        <v>1381</v>
      </c>
    </row>
    <row r="1906" spans="1:9">
      <c r="A1906" s="71">
        <v>45232</v>
      </c>
      <c r="B1906" t="s">
        <v>362</v>
      </c>
      <c r="D1906" t="s">
        <v>3369</v>
      </c>
      <c r="F1906" s="86">
        <v>12902</v>
      </c>
      <c r="G1906" t="s">
        <v>756</v>
      </c>
      <c r="H1906">
        <v>11129</v>
      </c>
      <c r="I1906" t="s">
        <v>2779</v>
      </c>
    </row>
    <row r="1907" spans="1:9">
      <c r="A1907" s="71">
        <v>45232</v>
      </c>
      <c r="B1907" t="s">
        <v>689</v>
      </c>
      <c r="D1907" t="s">
        <v>3370</v>
      </c>
      <c r="G1907" t="s">
        <v>756</v>
      </c>
      <c r="H1907">
        <v>10475</v>
      </c>
      <c r="I1907" t="s">
        <v>1381</v>
      </c>
    </row>
    <row r="1908" spans="1:9">
      <c r="A1908" s="71">
        <v>45233</v>
      </c>
      <c r="B1908" t="s">
        <v>380</v>
      </c>
      <c r="D1908" t="s">
        <v>3371</v>
      </c>
      <c r="G1908" t="s">
        <v>756</v>
      </c>
      <c r="H1908">
        <v>11269</v>
      </c>
      <c r="I1908" t="s">
        <v>1339</v>
      </c>
    </row>
    <row r="1909" spans="1:9">
      <c r="A1909" s="71">
        <v>45233</v>
      </c>
      <c r="B1909" t="s">
        <v>202</v>
      </c>
      <c r="D1909" t="s">
        <v>3372</v>
      </c>
      <c r="F1909" s="86">
        <v>1291</v>
      </c>
      <c r="G1909" t="s">
        <v>756</v>
      </c>
      <c r="H1909">
        <v>11130</v>
      </c>
      <c r="I1909" t="s">
        <v>2779</v>
      </c>
    </row>
    <row r="1910" spans="1:9">
      <c r="A1910" s="71">
        <v>45234</v>
      </c>
      <c r="B1910" t="s">
        <v>25</v>
      </c>
      <c r="D1910" t="s">
        <v>3373</v>
      </c>
      <c r="F1910" s="86">
        <v>5942</v>
      </c>
      <c r="G1910" t="s">
        <v>756</v>
      </c>
      <c r="H1910">
        <v>11166</v>
      </c>
      <c r="I1910" t="s">
        <v>473</v>
      </c>
    </row>
    <row r="1911" spans="1:9">
      <c r="A1911" s="71">
        <v>45235</v>
      </c>
      <c r="B1911" t="s">
        <v>69</v>
      </c>
      <c r="D1911" t="s">
        <v>3374</v>
      </c>
      <c r="G1911" t="s">
        <v>756</v>
      </c>
      <c r="H1911">
        <v>10284</v>
      </c>
      <c r="I1911" t="s">
        <v>1487</v>
      </c>
    </row>
    <row r="1912" spans="1:9">
      <c r="A1912" s="71">
        <v>45236</v>
      </c>
      <c r="B1912" t="s">
        <v>587</v>
      </c>
      <c r="D1912" t="s">
        <v>3375</v>
      </c>
      <c r="G1912" t="s">
        <v>756</v>
      </c>
      <c r="H1912">
        <v>11394</v>
      </c>
      <c r="I1912" t="s">
        <v>1341</v>
      </c>
    </row>
    <row r="1913" spans="1:9">
      <c r="A1913" s="71">
        <v>45236</v>
      </c>
      <c r="B1913" t="s">
        <v>380</v>
      </c>
      <c r="D1913" t="s">
        <v>3376</v>
      </c>
      <c r="G1913" t="s">
        <v>756</v>
      </c>
      <c r="H1913">
        <v>11237</v>
      </c>
      <c r="I1913" t="s">
        <v>1596</v>
      </c>
    </row>
    <row r="1914" spans="1:9">
      <c r="A1914" s="71">
        <v>45236</v>
      </c>
      <c r="B1914" t="s">
        <v>211</v>
      </c>
      <c r="D1914" t="s">
        <v>3377</v>
      </c>
      <c r="F1914" s="86">
        <v>30</v>
      </c>
      <c r="G1914" t="s">
        <v>756</v>
      </c>
      <c r="H1914">
        <v>11236</v>
      </c>
      <c r="I1914" t="s">
        <v>1596</v>
      </c>
    </row>
    <row r="1915" spans="1:9">
      <c r="A1915" s="71">
        <v>45236</v>
      </c>
      <c r="B1915" t="s">
        <v>373</v>
      </c>
      <c r="D1915" t="s">
        <v>3378</v>
      </c>
      <c r="F1915" s="86">
        <v>3716</v>
      </c>
      <c r="G1915" t="s">
        <v>756</v>
      </c>
      <c r="H1915">
        <v>11235</v>
      </c>
      <c r="I1915" t="s">
        <v>1596</v>
      </c>
    </row>
    <row r="1916" spans="1:9">
      <c r="A1916" s="71">
        <v>45236</v>
      </c>
      <c r="B1916" t="s">
        <v>185</v>
      </c>
      <c r="D1916" t="s">
        <v>3379</v>
      </c>
      <c r="G1916" t="s">
        <v>756</v>
      </c>
      <c r="H1916">
        <v>11169</v>
      </c>
      <c r="I1916" t="s">
        <v>473</v>
      </c>
    </row>
    <row r="1917" spans="1:9">
      <c r="A1917" s="71">
        <v>45236</v>
      </c>
      <c r="B1917" t="s">
        <v>25</v>
      </c>
      <c r="D1917" t="s">
        <v>3380</v>
      </c>
      <c r="F1917" s="86">
        <v>5942</v>
      </c>
      <c r="G1917" t="s">
        <v>756</v>
      </c>
      <c r="H1917">
        <v>11167</v>
      </c>
      <c r="I1917" t="s">
        <v>473</v>
      </c>
    </row>
    <row r="1918" spans="1:9">
      <c r="A1918" s="71">
        <v>45237</v>
      </c>
      <c r="B1918" t="s">
        <v>32</v>
      </c>
      <c r="D1918" t="s">
        <v>3381</v>
      </c>
      <c r="G1918" t="s">
        <v>756</v>
      </c>
      <c r="H1918">
        <v>10484</v>
      </c>
      <c r="I1918" t="s">
        <v>1381</v>
      </c>
    </row>
    <row r="1919" spans="1:9">
      <c r="A1919" s="71">
        <v>45237</v>
      </c>
      <c r="B1919" t="s">
        <v>373</v>
      </c>
      <c r="D1919" t="s">
        <v>3382</v>
      </c>
      <c r="F1919" s="86">
        <v>3716</v>
      </c>
      <c r="G1919" t="s">
        <v>756</v>
      </c>
      <c r="H1919">
        <v>11238</v>
      </c>
      <c r="I1919" t="s">
        <v>1596</v>
      </c>
    </row>
    <row r="1920" spans="1:9">
      <c r="A1920" s="71">
        <v>45237</v>
      </c>
      <c r="B1920" t="s">
        <v>69</v>
      </c>
      <c r="D1920" t="s">
        <v>3383</v>
      </c>
      <c r="G1920" t="s">
        <v>756</v>
      </c>
      <c r="H1920">
        <v>11171</v>
      </c>
      <c r="I1920" t="s">
        <v>473</v>
      </c>
    </row>
    <row r="1921" spans="1:9">
      <c r="A1921" s="71">
        <v>45238</v>
      </c>
      <c r="B1921" t="s">
        <v>362</v>
      </c>
      <c r="D1921" t="s">
        <v>3384</v>
      </c>
      <c r="F1921" s="86">
        <v>12992</v>
      </c>
      <c r="G1921" t="s">
        <v>756</v>
      </c>
      <c r="H1921">
        <v>11270</v>
      </c>
      <c r="I1921" t="s">
        <v>1339</v>
      </c>
    </row>
    <row r="1922" spans="1:9">
      <c r="A1922" s="71">
        <v>45238</v>
      </c>
      <c r="B1922" t="s">
        <v>341</v>
      </c>
      <c r="D1922" t="s">
        <v>3385</v>
      </c>
      <c r="G1922" t="s">
        <v>756</v>
      </c>
      <c r="H1922">
        <v>10487</v>
      </c>
      <c r="I1922" t="s">
        <v>1381</v>
      </c>
    </row>
    <row r="1923" spans="1:9">
      <c r="A1923" s="71">
        <v>45239</v>
      </c>
      <c r="B1923" t="s">
        <v>159</v>
      </c>
      <c r="D1923" t="s">
        <v>3386</v>
      </c>
      <c r="F1923" s="86">
        <v>9246</v>
      </c>
      <c r="G1923" t="s">
        <v>756</v>
      </c>
      <c r="H1923">
        <v>11274</v>
      </c>
      <c r="I1923" t="s">
        <v>1339</v>
      </c>
    </row>
    <row r="1924" spans="1:9">
      <c r="A1924" s="71">
        <v>45239</v>
      </c>
      <c r="B1924" t="s">
        <v>573</v>
      </c>
      <c r="D1924" t="s">
        <v>3387</v>
      </c>
      <c r="G1924" t="s">
        <v>756</v>
      </c>
      <c r="H1924">
        <v>11239</v>
      </c>
      <c r="I1924" t="s">
        <v>1596</v>
      </c>
    </row>
    <row r="1925" spans="1:9">
      <c r="A1925" s="71">
        <v>45239</v>
      </c>
      <c r="B1925" t="s">
        <v>188</v>
      </c>
      <c r="D1925" t="s">
        <v>3388</v>
      </c>
      <c r="G1925" t="s">
        <v>756</v>
      </c>
      <c r="H1925">
        <v>10490</v>
      </c>
      <c r="I1925" t="s">
        <v>1381</v>
      </c>
    </row>
    <row r="1926" spans="1:9">
      <c r="A1926" s="71">
        <v>45240</v>
      </c>
      <c r="B1926" t="s">
        <v>36</v>
      </c>
      <c r="D1926" t="s">
        <v>3389</v>
      </c>
      <c r="F1926" s="86">
        <v>7466</v>
      </c>
      <c r="G1926" t="s">
        <v>756</v>
      </c>
      <c r="H1926">
        <v>11072</v>
      </c>
      <c r="I1926" t="s">
        <v>1347</v>
      </c>
    </row>
    <row r="1927" spans="1:9">
      <c r="A1927" s="71">
        <v>45240</v>
      </c>
      <c r="B1927" t="s">
        <v>336</v>
      </c>
      <c r="D1927" t="s">
        <v>3390</v>
      </c>
      <c r="G1927" t="s">
        <v>756</v>
      </c>
      <c r="H1927">
        <v>11240</v>
      </c>
      <c r="I1927" t="s">
        <v>1596</v>
      </c>
    </row>
    <row r="1928" spans="1:9">
      <c r="A1928" s="71">
        <v>45240</v>
      </c>
      <c r="B1928" t="s">
        <v>25</v>
      </c>
      <c r="D1928" t="s">
        <v>3391</v>
      </c>
      <c r="F1928" s="86">
        <v>5942</v>
      </c>
      <c r="G1928" t="s">
        <v>756</v>
      </c>
      <c r="H1928">
        <v>11172</v>
      </c>
      <c r="I1928" t="s">
        <v>473</v>
      </c>
    </row>
    <row r="1929" spans="1:9">
      <c r="A1929" s="71">
        <v>45241</v>
      </c>
      <c r="B1929" t="s">
        <v>162</v>
      </c>
      <c r="D1929" t="s">
        <v>3392</v>
      </c>
      <c r="G1929" t="s">
        <v>756</v>
      </c>
      <c r="H1929">
        <v>11132</v>
      </c>
      <c r="I1929" t="s">
        <v>1341</v>
      </c>
    </row>
    <row r="1930" spans="1:9">
      <c r="A1930" s="71">
        <v>45243</v>
      </c>
      <c r="B1930" t="s">
        <v>328</v>
      </c>
      <c r="D1930" t="s">
        <v>3393</v>
      </c>
      <c r="F1930" s="86">
        <v>8053</v>
      </c>
      <c r="G1930" t="s">
        <v>756</v>
      </c>
      <c r="H1930">
        <v>11276</v>
      </c>
      <c r="I1930" t="s">
        <v>1339</v>
      </c>
    </row>
    <row r="1931" spans="1:9">
      <c r="A1931" s="71">
        <v>45244</v>
      </c>
      <c r="B1931" t="s">
        <v>584</v>
      </c>
      <c r="D1931" t="s">
        <v>3394</v>
      </c>
      <c r="G1931" t="s">
        <v>756</v>
      </c>
      <c r="H1931">
        <v>11279</v>
      </c>
      <c r="I1931" t="s">
        <v>1339</v>
      </c>
    </row>
    <row r="1932" spans="1:9">
      <c r="A1932" s="71">
        <v>45244</v>
      </c>
      <c r="B1932" t="s">
        <v>322</v>
      </c>
      <c r="D1932" t="s">
        <v>3395</v>
      </c>
      <c r="F1932" s="86">
        <v>24988</v>
      </c>
      <c r="G1932" t="s">
        <v>756</v>
      </c>
      <c r="H1932">
        <v>11277</v>
      </c>
      <c r="I1932" t="s">
        <v>1339</v>
      </c>
    </row>
    <row r="1933" spans="1:9">
      <c r="A1933" s="71">
        <v>45244</v>
      </c>
      <c r="B1933" t="s">
        <v>48</v>
      </c>
      <c r="D1933" t="s">
        <v>3396</v>
      </c>
      <c r="G1933" t="s">
        <v>756</v>
      </c>
      <c r="H1933">
        <v>11243</v>
      </c>
      <c r="I1933" t="s">
        <v>1596</v>
      </c>
    </row>
    <row r="1934" spans="1:9">
      <c r="A1934" s="71">
        <v>45244</v>
      </c>
      <c r="B1934" t="s">
        <v>563</v>
      </c>
      <c r="D1934" t="s">
        <v>3396</v>
      </c>
      <c r="F1934" s="86">
        <v>519289</v>
      </c>
      <c r="G1934" t="s">
        <v>756</v>
      </c>
      <c r="H1934">
        <v>11242</v>
      </c>
      <c r="I1934" t="s">
        <v>1596</v>
      </c>
    </row>
    <row r="1935" spans="1:9">
      <c r="A1935" s="71">
        <v>45245</v>
      </c>
      <c r="B1935" t="s">
        <v>39</v>
      </c>
      <c r="D1935" t="s">
        <v>3397</v>
      </c>
      <c r="G1935" t="s">
        <v>756</v>
      </c>
      <c r="H1935">
        <v>11244</v>
      </c>
      <c r="I1935" t="s">
        <v>1596</v>
      </c>
    </row>
    <row r="1936" spans="1:9">
      <c r="A1936" s="71">
        <v>45245</v>
      </c>
      <c r="B1936" t="s">
        <v>29</v>
      </c>
      <c r="D1936" t="s">
        <v>3398</v>
      </c>
      <c r="G1936" t="s">
        <v>756</v>
      </c>
      <c r="H1936">
        <v>10499</v>
      </c>
      <c r="I1936" t="s">
        <v>1381</v>
      </c>
    </row>
    <row r="1937" spans="1:9">
      <c r="A1937" s="71">
        <v>45245</v>
      </c>
      <c r="B1937" t="s">
        <v>318</v>
      </c>
      <c r="D1937" t="s">
        <v>3399</v>
      </c>
      <c r="G1937" t="s">
        <v>756</v>
      </c>
      <c r="H1937">
        <v>10873</v>
      </c>
      <c r="I1937" t="s">
        <v>1347</v>
      </c>
    </row>
    <row r="1938" spans="1:9">
      <c r="A1938" s="71">
        <v>45246</v>
      </c>
      <c r="B1938" t="s">
        <v>336</v>
      </c>
      <c r="D1938" t="s">
        <v>3400</v>
      </c>
      <c r="F1938" s="86">
        <v>9746</v>
      </c>
      <c r="G1938" t="s">
        <v>756</v>
      </c>
      <c r="H1938">
        <v>11246</v>
      </c>
      <c r="I1938" t="s">
        <v>1596</v>
      </c>
    </row>
    <row r="1939" spans="1:9">
      <c r="A1939" s="71">
        <v>45246</v>
      </c>
      <c r="B1939" t="s">
        <v>322</v>
      </c>
      <c r="D1939" t="s">
        <v>3401</v>
      </c>
      <c r="F1939" s="86">
        <v>24511</v>
      </c>
      <c r="G1939" t="s">
        <v>756</v>
      </c>
      <c r="H1939">
        <v>11281</v>
      </c>
      <c r="I1939" t="s">
        <v>1339</v>
      </c>
    </row>
    <row r="1940" spans="1:9">
      <c r="A1940" s="71">
        <v>45246</v>
      </c>
      <c r="B1940" t="s">
        <v>690</v>
      </c>
      <c r="D1940" t="s">
        <v>3402</v>
      </c>
      <c r="F1940" s="86">
        <v>6043</v>
      </c>
      <c r="G1940" t="s">
        <v>756</v>
      </c>
      <c r="H1940">
        <v>11248</v>
      </c>
      <c r="I1940" t="s">
        <v>1596</v>
      </c>
    </row>
    <row r="1941" spans="1:9">
      <c r="A1941" s="71">
        <v>45246</v>
      </c>
      <c r="B1941" t="s">
        <v>48</v>
      </c>
      <c r="D1941" t="s">
        <v>3403</v>
      </c>
      <c r="G1941" t="s">
        <v>756</v>
      </c>
      <c r="H1941">
        <v>11247</v>
      </c>
      <c r="I1941" t="s">
        <v>1596</v>
      </c>
    </row>
    <row r="1942" spans="1:9">
      <c r="A1942" s="71">
        <v>45246</v>
      </c>
      <c r="B1942" t="s">
        <v>171</v>
      </c>
      <c r="D1942" t="s">
        <v>3404</v>
      </c>
      <c r="F1942" s="86">
        <v>1972</v>
      </c>
      <c r="G1942" t="s">
        <v>756</v>
      </c>
      <c r="H1942">
        <v>11174</v>
      </c>
      <c r="I1942" t="s">
        <v>473</v>
      </c>
    </row>
    <row r="1943" spans="1:9">
      <c r="A1943" s="71">
        <v>45246</v>
      </c>
      <c r="B1943" t="s">
        <v>388</v>
      </c>
      <c r="D1943" t="s">
        <v>3405</v>
      </c>
      <c r="G1943" t="s">
        <v>756</v>
      </c>
      <c r="H1943">
        <v>10502</v>
      </c>
      <c r="I1943" t="s">
        <v>1381</v>
      </c>
    </row>
    <row r="1944" spans="1:9">
      <c r="A1944" s="71">
        <v>45247</v>
      </c>
      <c r="B1944" t="s">
        <v>388</v>
      </c>
      <c r="D1944" t="s">
        <v>3406</v>
      </c>
      <c r="G1944" t="s">
        <v>756</v>
      </c>
      <c r="H1944">
        <v>10503</v>
      </c>
      <c r="I1944" t="s">
        <v>1381</v>
      </c>
    </row>
    <row r="1945" spans="1:9">
      <c r="A1945" s="71">
        <v>45248</v>
      </c>
      <c r="B1945" t="s">
        <v>563</v>
      </c>
      <c r="D1945" t="s">
        <v>3407</v>
      </c>
      <c r="G1945" t="s">
        <v>756</v>
      </c>
      <c r="H1945">
        <v>11249</v>
      </c>
      <c r="I1945" t="s">
        <v>1596</v>
      </c>
    </row>
    <row r="1946" spans="1:9">
      <c r="A1946" s="71">
        <v>45248</v>
      </c>
      <c r="B1946" t="s">
        <v>171</v>
      </c>
      <c r="D1946" t="s">
        <v>3408</v>
      </c>
      <c r="F1946" s="86">
        <v>1972</v>
      </c>
      <c r="G1946" t="s">
        <v>756</v>
      </c>
      <c r="H1946">
        <v>11175</v>
      </c>
      <c r="I1946" t="s">
        <v>473</v>
      </c>
    </row>
    <row r="1947" spans="1:9">
      <c r="A1947" s="71">
        <v>45250</v>
      </c>
      <c r="B1947" t="s">
        <v>53</v>
      </c>
      <c r="D1947" t="s">
        <v>3409</v>
      </c>
      <c r="G1947" t="s">
        <v>756</v>
      </c>
      <c r="H1947">
        <v>10286</v>
      </c>
      <c r="I1947" t="s">
        <v>1487</v>
      </c>
    </row>
    <row r="1948" spans="1:9">
      <c r="A1948" s="71">
        <v>45251</v>
      </c>
      <c r="B1948" t="s">
        <v>239</v>
      </c>
      <c r="D1948" t="s">
        <v>3410</v>
      </c>
      <c r="G1948" t="s">
        <v>756</v>
      </c>
      <c r="H1948">
        <v>11284</v>
      </c>
      <c r="I1948" t="s">
        <v>1339</v>
      </c>
    </row>
    <row r="1949" spans="1:9">
      <c r="A1949" s="71">
        <v>45251</v>
      </c>
      <c r="B1949" t="s">
        <v>25</v>
      </c>
      <c r="D1949" t="s">
        <v>3411</v>
      </c>
      <c r="F1949" s="86">
        <v>5942</v>
      </c>
      <c r="G1949" t="s">
        <v>756</v>
      </c>
      <c r="H1949">
        <v>11176</v>
      </c>
      <c r="I1949" t="s">
        <v>473</v>
      </c>
    </row>
    <row r="1950" spans="1:9">
      <c r="A1950" s="71">
        <v>45251</v>
      </c>
      <c r="B1950" t="s">
        <v>311</v>
      </c>
      <c r="D1950" t="s">
        <v>3412</v>
      </c>
      <c r="G1950" t="s">
        <v>756</v>
      </c>
      <c r="H1950">
        <v>10509</v>
      </c>
      <c r="I1950" t="s">
        <v>1381</v>
      </c>
    </row>
    <row r="1951" spans="1:9">
      <c r="A1951" s="71">
        <v>45251</v>
      </c>
      <c r="B1951" t="s">
        <v>239</v>
      </c>
      <c r="D1951" t="s">
        <v>3413</v>
      </c>
      <c r="G1951" t="s">
        <v>756</v>
      </c>
      <c r="H1951">
        <v>10287</v>
      </c>
      <c r="I1951" t="s">
        <v>1487</v>
      </c>
    </row>
    <row r="1952" spans="1:9">
      <c r="A1952" s="71">
        <v>45252</v>
      </c>
      <c r="B1952" t="s">
        <v>371</v>
      </c>
      <c r="D1952" t="s">
        <v>3414</v>
      </c>
      <c r="F1952" s="86">
        <v>15069</v>
      </c>
      <c r="G1952" t="s">
        <v>756</v>
      </c>
      <c r="H1952">
        <v>11285</v>
      </c>
      <c r="I1952" t="s">
        <v>1339</v>
      </c>
    </row>
    <row r="1953" spans="1:9">
      <c r="A1953" s="71">
        <v>45252</v>
      </c>
      <c r="B1953" t="s">
        <v>180</v>
      </c>
      <c r="D1953" t="s">
        <v>3415</v>
      </c>
      <c r="F1953" s="86">
        <v>2471</v>
      </c>
      <c r="G1953" t="s">
        <v>756</v>
      </c>
      <c r="H1953">
        <v>11177</v>
      </c>
      <c r="I1953" t="s">
        <v>1694</v>
      </c>
    </row>
    <row r="1954" spans="1:9">
      <c r="A1954" s="71">
        <v>45252</v>
      </c>
      <c r="B1954" t="s">
        <v>373</v>
      </c>
      <c r="D1954" t="s">
        <v>3416</v>
      </c>
      <c r="F1954" s="86">
        <v>3735</v>
      </c>
      <c r="G1954" t="s">
        <v>756</v>
      </c>
      <c r="H1954">
        <v>11137</v>
      </c>
      <c r="I1954" t="s">
        <v>2779</v>
      </c>
    </row>
    <row r="1955" spans="1:9">
      <c r="A1955" s="71">
        <v>45253</v>
      </c>
      <c r="B1955" t="s">
        <v>391</v>
      </c>
      <c r="D1955" t="s">
        <v>3417</v>
      </c>
      <c r="F1955" s="86">
        <v>77</v>
      </c>
      <c r="G1955" t="s">
        <v>756</v>
      </c>
      <c r="H1955">
        <v>10513</v>
      </c>
      <c r="I1955" t="s">
        <v>1381</v>
      </c>
    </row>
    <row r="1956" spans="1:9">
      <c r="A1956" s="71">
        <v>45254</v>
      </c>
      <c r="B1956" t="s">
        <v>32</v>
      </c>
      <c r="D1956" t="s">
        <v>3418</v>
      </c>
      <c r="G1956" t="s">
        <v>756</v>
      </c>
      <c r="H1956">
        <v>10515</v>
      </c>
      <c r="I1956" t="s">
        <v>1381</v>
      </c>
    </row>
    <row r="1957" spans="1:9">
      <c r="A1957" s="71">
        <v>45254</v>
      </c>
      <c r="B1957" t="s">
        <v>180</v>
      </c>
      <c r="D1957" t="s">
        <v>3419</v>
      </c>
      <c r="F1957" s="86">
        <v>2471</v>
      </c>
      <c r="G1957" t="s">
        <v>756</v>
      </c>
      <c r="H1957">
        <v>11178</v>
      </c>
      <c r="I1957" t="s">
        <v>473</v>
      </c>
    </row>
    <row r="1958" spans="1:9">
      <c r="A1958" s="71">
        <v>45256</v>
      </c>
      <c r="B1958" t="s">
        <v>180</v>
      </c>
      <c r="D1958" t="s">
        <v>3420</v>
      </c>
      <c r="F1958" s="86">
        <v>2471</v>
      </c>
      <c r="G1958" t="s">
        <v>756</v>
      </c>
      <c r="H1958">
        <v>11179</v>
      </c>
      <c r="I1958" t="s">
        <v>473</v>
      </c>
    </row>
    <row r="1959" spans="1:9">
      <c r="A1959" s="71">
        <v>45257</v>
      </c>
      <c r="B1959" t="s">
        <v>157</v>
      </c>
      <c r="D1959" t="s">
        <v>3421</v>
      </c>
      <c r="G1959" t="s">
        <v>756</v>
      </c>
      <c r="H1959">
        <v>10519</v>
      </c>
      <c r="I1959" t="s">
        <v>1381</v>
      </c>
    </row>
    <row r="1960" spans="1:9">
      <c r="A1960" s="71">
        <v>45257</v>
      </c>
      <c r="B1960" t="s">
        <v>408</v>
      </c>
      <c r="D1960" t="s">
        <v>3422</v>
      </c>
      <c r="G1960" t="s">
        <v>756</v>
      </c>
      <c r="H1960">
        <v>10518</v>
      </c>
      <c r="I1960" t="s">
        <v>1381</v>
      </c>
    </row>
    <row r="1961" spans="1:9">
      <c r="A1961" s="71">
        <v>45258</v>
      </c>
      <c r="B1961" t="s">
        <v>373</v>
      </c>
      <c r="D1961" t="s">
        <v>3423</v>
      </c>
      <c r="F1961" s="86">
        <v>3708</v>
      </c>
      <c r="G1961" t="s">
        <v>756</v>
      </c>
      <c r="H1961">
        <v>11162</v>
      </c>
      <c r="I1961" t="s">
        <v>473</v>
      </c>
    </row>
    <row r="1962" spans="1:9">
      <c r="A1962" s="71">
        <v>45258</v>
      </c>
      <c r="B1962" t="s">
        <v>369</v>
      </c>
      <c r="D1962" t="s">
        <v>3424</v>
      </c>
      <c r="F1962" s="86">
        <v>11122</v>
      </c>
      <c r="G1962" t="s">
        <v>756</v>
      </c>
      <c r="H1962">
        <v>11140</v>
      </c>
      <c r="I1962" t="s">
        <v>2779</v>
      </c>
    </row>
    <row r="1963" spans="1:9">
      <c r="A1963" s="71">
        <v>45258</v>
      </c>
      <c r="B1963" t="s">
        <v>318</v>
      </c>
      <c r="D1963" t="s">
        <v>3425</v>
      </c>
      <c r="F1963" s="86">
        <v>10526</v>
      </c>
      <c r="G1963" t="s">
        <v>756</v>
      </c>
      <c r="H1963">
        <v>11139</v>
      </c>
      <c r="I1963" t="s">
        <v>2779</v>
      </c>
    </row>
    <row r="1964" spans="1:9">
      <c r="A1964" s="71">
        <v>45259</v>
      </c>
      <c r="B1964" t="s">
        <v>391</v>
      </c>
      <c r="D1964" t="s">
        <v>3426</v>
      </c>
      <c r="F1964" s="86">
        <v>83</v>
      </c>
      <c r="G1964" t="s">
        <v>756</v>
      </c>
      <c r="H1964">
        <v>10524</v>
      </c>
      <c r="I1964" t="s">
        <v>1381</v>
      </c>
    </row>
    <row r="1965" spans="1:9">
      <c r="A1965" s="71">
        <v>45259</v>
      </c>
      <c r="B1965" t="s">
        <v>313</v>
      </c>
      <c r="D1965" t="s">
        <v>3427</v>
      </c>
      <c r="F1965" s="86">
        <v>19870</v>
      </c>
      <c r="G1965" t="s">
        <v>756</v>
      </c>
      <c r="H1965">
        <v>11290</v>
      </c>
      <c r="I1965" t="s">
        <v>1339</v>
      </c>
    </row>
    <row r="1966" spans="1:9">
      <c r="A1966" s="71">
        <v>45259</v>
      </c>
      <c r="B1966" t="s">
        <v>29</v>
      </c>
      <c r="D1966" t="s">
        <v>3428</v>
      </c>
      <c r="F1966" s="86">
        <v>12490</v>
      </c>
      <c r="G1966" t="s">
        <v>756</v>
      </c>
      <c r="H1966">
        <v>11182</v>
      </c>
      <c r="I1966" t="s">
        <v>2779</v>
      </c>
    </row>
    <row r="1967" spans="1:9">
      <c r="A1967" s="71">
        <v>45259</v>
      </c>
      <c r="B1967" t="s">
        <v>333</v>
      </c>
      <c r="D1967" t="s">
        <v>3429</v>
      </c>
      <c r="F1967" s="86">
        <v>5645</v>
      </c>
      <c r="G1967" t="s">
        <v>756</v>
      </c>
      <c r="H1967">
        <v>11180</v>
      </c>
      <c r="I1967" t="s">
        <v>473</v>
      </c>
    </row>
    <row r="1968" spans="1:9">
      <c r="A1968" s="71">
        <v>45259</v>
      </c>
      <c r="B1968" t="s">
        <v>330</v>
      </c>
      <c r="D1968" t="s">
        <v>3430</v>
      </c>
      <c r="F1968" s="86">
        <v>7088</v>
      </c>
      <c r="G1968" t="s">
        <v>756</v>
      </c>
      <c r="H1968">
        <v>11039</v>
      </c>
      <c r="I1968" t="s">
        <v>1330</v>
      </c>
    </row>
    <row r="1969" spans="1:9">
      <c r="A1969" s="71">
        <v>45259</v>
      </c>
      <c r="B1969" t="s">
        <v>390</v>
      </c>
      <c r="D1969" t="s">
        <v>3431</v>
      </c>
      <c r="F1969" s="86">
        <v>7156</v>
      </c>
      <c r="G1969" t="s">
        <v>756</v>
      </c>
      <c r="H1969">
        <v>10290</v>
      </c>
      <c r="I1969" t="s">
        <v>1487</v>
      </c>
    </row>
    <row r="1970" spans="1:9">
      <c r="A1970" s="71">
        <v>45260</v>
      </c>
      <c r="B1970" t="s">
        <v>336</v>
      </c>
      <c r="D1970" t="s">
        <v>3432</v>
      </c>
      <c r="F1970" s="86">
        <v>9786</v>
      </c>
      <c r="G1970" t="s">
        <v>756</v>
      </c>
      <c r="H1970">
        <v>11292</v>
      </c>
      <c r="I1970" t="s">
        <v>1339</v>
      </c>
    </row>
    <row r="1971" spans="1:9">
      <c r="A1971" s="71">
        <v>45260</v>
      </c>
      <c r="B1971" t="s">
        <v>396</v>
      </c>
      <c r="D1971" t="s">
        <v>3433</v>
      </c>
      <c r="F1971" s="86">
        <v>6416</v>
      </c>
      <c r="G1971" t="s">
        <v>756</v>
      </c>
      <c r="H1971">
        <v>11267</v>
      </c>
      <c r="I1971" t="s">
        <v>1339</v>
      </c>
    </row>
    <row r="1972" spans="1:9">
      <c r="A1972" s="71">
        <v>45260</v>
      </c>
      <c r="B1972" t="s">
        <v>369</v>
      </c>
      <c r="D1972" t="s">
        <v>3434</v>
      </c>
      <c r="G1972" t="s">
        <v>756</v>
      </c>
      <c r="H1972">
        <v>11181</v>
      </c>
      <c r="I1972" t="s">
        <v>473</v>
      </c>
    </row>
    <row r="1973" spans="1:9">
      <c r="A1973" s="71">
        <v>45260</v>
      </c>
      <c r="B1973" t="s">
        <v>388</v>
      </c>
      <c r="D1973" t="s">
        <v>3435</v>
      </c>
      <c r="G1973" t="s">
        <v>756</v>
      </c>
      <c r="H1973">
        <v>10527</v>
      </c>
      <c r="I1973" t="s">
        <v>1381</v>
      </c>
    </row>
    <row r="1974" spans="1:9">
      <c r="A1974" s="71">
        <v>45261</v>
      </c>
      <c r="B1974" t="s">
        <v>318</v>
      </c>
      <c r="D1974" t="s">
        <v>3436</v>
      </c>
      <c r="F1974" s="86">
        <v>10526</v>
      </c>
      <c r="G1974" t="s">
        <v>756</v>
      </c>
      <c r="H1974">
        <v>11141</v>
      </c>
      <c r="I1974" t="s">
        <v>2779</v>
      </c>
    </row>
    <row r="1975" spans="1:9">
      <c r="A1975" s="71">
        <v>45261</v>
      </c>
      <c r="B1975" t="s">
        <v>185</v>
      </c>
      <c r="D1975" t="s">
        <v>3437</v>
      </c>
      <c r="G1975" t="s">
        <v>756</v>
      </c>
      <c r="H1975">
        <v>11037</v>
      </c>
      <c r="I1975" t="s">
        <v>1330</v>
      </c>
    </row>
    <row r="1976" spans="1:9">
      <c r="A1976" s="71">
        <v>45262</v>
      </c>
      <c r="B1976" t="s">
        <v>29</v>
      </c>
      <c r="D1976" t="s">
        <v>3438</v>
      </c>
      <c r="F1976" s="86">
        <v>12490</v>
      </c>
      <c r="G1976" t="s">
        <v>756</v>
      </c>
      <c r="H1976">
        <v>11183</v>
      </c>
      <c r="I1976" t="s">
        <v>473</v>
      </c>
    </row>
    <row r="1977" spans="1:9">
      <c r="A1977" s="71">
        <v>45264</v>
      </c>
      <c r="B1977" t="s">
        <v>371</v>
      </c>
      <c r="D1977" t="s">
        <v>3439</v>
      </c>
      <c r="F1977" s="86">
        <v>15075</v>
      </c>
      <c r="G1977" t="s">
        <v>756</v>
      </c>
      <c r="H1977">
        <v>11293</v>
      </c>
      <c r="I1977" t="s">
        <v>1339</v>
      </c>
    </row>
    <row r="1978" spans="1:9">
      <c r="A1978" s="71">
        <v>45264</v>
      </c>
      <c r="B1978" t="s">
        <v>150</v>
      </c>
      <c r="D1978" t="s">
        <v>3440</v>
      </c>
      <c r="G1978" t="s">
        <v>756</v>
      </c>
      <c r="H1978">
        <v>11143</v>
      </c>
      <c r="I1978" t="s">
        <v>2779</v>
      </c>
    </row>
    <row r="1979" spans="1:9">
      <c r="A1979" s="71">
        <v>45265</v>
      </c>
      <c r="B1979" t="s">
        <v>373</v>
      </c>
      <c r="D1979" t="s">
        <v>3441</v>
      </c>
      <c r="F1979" s="86">
        <v>3748</v>
      </c>
      <c r="G1979" t="s">
        <v>756</v>
      </c>
      <c r="H1979">
        <v>11295</v>
      </c>
      <c r="I1979" t="s">
        <v>1339</v>
      </c>
    </row>
    <row r="1980" spans="1:9">
      <c r="A1980" s="71">
        <v>45265</v>
      </c>
      <c r="B1980" t="s">
        <v>341</v>
      </c>
      <c r="D1980" t="s">
        <v>3442</v>
      </c>
      <c r="F1980" s="86">
        <v>8891</v>
      </c>
      <c r="G1980" t="s">
        <v>756</v>
      </c>
      <c r="H1980">
        <v>11186</v>
      </c>
      <c r="I1980" t="s">
        <v>1657</v>
      </c>
    </row>
    <row r="1981" spans="1:9">
      <c r="A1981" s="71">
        <v>45265</v>
      </c>
      <c r="B1981" t="s">
        <v>74</v>
      </c>
      <c r="D1981" t="s">
        <v>3443</v>
      </c>
      <c r="F1981" s="86">
        <v>4794</v>
      </c>
      <c r="G1981" t="s">
        <v>756</v>
      </c>
      <c r="H1981">
        <v>11185</v>
      </c>
      <c r="I1981" t="s">
        <v>473</v>
      </c>
    </row>
    <row r="1982" spans="1:9">
      <c r="A1982" s="71">
        <v>45266</v>
      </c>
      <c r="B1982" t="s">
        <v>318</v>
      </c>
      <c r="D1982" t="s">
        <v>3444</v>
      </c>
      <c r="F1982" s="86">
        <v>10557</v>
      </c>
      <c r="G1982" t="s">
        <v>756</v>
      </c>
      <c r="H1982">
        <v>11296</v>
      </c>
      <c r="I1982" t="s">
        <v>1339</v>
      </c>
    </row>
    <row r="1983" spans="1:9">
      <c r="A1983" s="71">
        <v>45266</v>
      </c>
      <c r="B1983" t="s">
        <v>369</v>
      </c>
      <c r="D1983" t="s">
        <v>3445</v>
      </c>
      <c r="F1983" s="86">
        <v>11126</v>
      </c>
      <c r="G1983" t="s">
        <v>756</v>
      </c>
      <c r="H1983">
        <v>11146</v>
      </c>
      <c r="I1983" t="s">
        <v>2779</v>
      </c>
    </row>
    <row r="1984" spans="1:9">
      <c r="A1984" s="71">
        <v>45266</v>
      </c>
      <c r="B1984" t="s">
        <v>42</v>
      </c>
      <c r="D1984" t="s">
        <v>3446</v>
      </c>
      <c r="G1984" t="s">
        <v>756</v>
      </c>
      <c r="H1984">
        <v>10536</v>
      </c>
      <c r="I1984" t="s">
        <v>1381</v>
      </c>
    </row>
    <row r="1985" spans="1:9">
      <c r="A1985" s="71">
        <v>45266</v>
      </c>
      <c r="B1985" t="s">
        <v>35</v>
      </c>
      <c r="D1985" t="s">
        <v>3447</v>
      </c>
      <c r="G1985" t="s">
        <v>756</v>
      </c>
      <c r="H1985">
        <v>10291</v>
      </c>
      <c r="I1985" t="s">
        <v>1487</v>
      </c>
    </row>
    <row r="1986" spans="1:9">
      <c r="A1986" s="71">
        <v>45267</v>
      </c>
      <c r="B1986" t="s">
        <v>371</v>
      </c>
      <c r="D1986" t="s">
        <v>3448</v>
      </c>
      <c r="F1986" s="86">
        <v>15077</v>
      </c>
      <c r="G1986" t="s">
        <v>756</v>
      </c>
      <c r="H1986">
        <v>11147</v>
      </c>
      <c r="I1986" t="s">
        <v>1381</v>
      </c>
    </row>
    <row r="1987" spans="1:9">
      <c r="A1987" s="71">
        <v>45267</v>
      </c>
      <c r="B1987" t="s">
        <v>391</v>
      </c>
      <c r="D1987" t="s">
        <v>3449</v>
      </c>
      <c r="F1987" s="86">
        <v>10559</v>
      </c>
      <c r="G1987" t="s">
        <v>756</v>
      </c>
      <c r="H1987">
        <v>11298</v>
      </c>
      <c r="I1987" t="s">
        <v>1339</v>
      </c>
    </row>
    <row r="1988" spans="1:9">
      <c r="A1988" s="71">
        <v>45267</v>
      </c>
      <c r="B1988" t="s">
        <v>19</v>
      </c>
      <c r="D1988" t="s">
        <v>3450</v>
      </c>
      <c r="F1988" s="86">
        <v>7588</v>
      </c>
      <c r="G1988" t="s">
        <v>756</v>
      </c>
      <c r="H1988">
        <v>11299</v>
      </c>
      <c r="I1988" t="s">
        <v>1339</v>
      </c>
    </row>
    <row r="1989" spans="1:9">
      <c r="A1989" s="71">
        <v>45271</v>
      </c>
      <c r="B1989" t="s">
        <v>180</v>
      </c>
      <c r="D1989" t="s">
        <v>3451</v>
      </c>
      <c r="F1989" s="86">
        <v>2471</v>
      </c>
      <c r="G1989" t="s">
        <v>756</v>
      </c>
      <c r="H1989">
        <v>11187</v>
      </c>
      <c r="I1989" t="s">
        <v>1347</v>
      </c>
    </row>
    <row r="1990" spans="1:9">
      <c r="A1990" s="71">
        <v>45272</v>
      </c>
      <c r="B1990" t="s">
        <v>399</v>
      </c>
      <c r="D1990" t="s">
        <v>3452</v>
      </c>
      <c r="G1990" t="s">
        <v>756</v>
      </c>
      <c r="H1990">
        <v>10542</v>
      </c>
      <c r="I1990" t="s">
        <v>1381</v>
      </c>
    </row>
    <row r="1991" spans="1:9">
      <c r="A1991" s="71">
        <v>45273</v>
      </c>
      <c r="B1991" t="s">
        <v>143</v>
      </c>
      <c r="D1991" t="s">
        <v>3453</v>
      </c>
      <c r="G1991" t="s">
        <v>756</v>
      </c>
      <c r="H1991">
        <v>11148</v>
      </c>
      <c r="I1991" t="s">
        <v>2779</v>
      </c>
    </row>
    <row r="1992" spans="1:9">
      <c r="A1992" s="71">
        <v>45273</v>
      </c>
      <c r="B1992" t="s">
        <v>35</v>
      </c>
      <c r="D1992" t="s">
        <v>3454</v>
      </c>
      <c r="G1992" t="s">
        <v>756</v>
      </c>
      <c r="H1992">
        <v>10292</v>
      </c>
      <c r="I1992" t="s">
        <v>1487</v>
      </c>
    </row>
    <row r="1993" spans="1:9">
      <c r="A1993" s="71">
        <v>45273</v>
      </c>
      <c r="B1993" t="s">
        <v>322</v>
      </c>
      <c r="D1993" t="s">
        <v>3311</v>
      </c>
      <c r="G1993" t="s">
        <v>756</v>
      </c>
      <c r="H1993">
        <v>10054</v>
      </c>
      <c r="I1993" t="s">
        <v>1381</v>
      </c>
    </row>
    <row r="1994" spans="1:9">
      <c r="A1994" s="71">
        <v>45274</v>
      </c>
      <c r="B1994" t="s">
        <v>307</v>
      </c>
      <c r="D1994" t="s">
        <v>3455</v>
      </c>
      <c r="G1994" t="s">
        <v>756</v>
      </c>
      <c r="H1994">
        <v>11189</v>
      </c>
      <c r="I1994" t="s">
        <v>473</v>
      </c>
    </row>
    <row r="1995" spans="1:9">
      <c r="A1995" s="71">
        <v>45274</v>
      </c>
      <c r="B1995" t="s">
        <v>373</v>
      </c>
      <c r="D1995" t="s">
        <v>3456</v>
      </c>
      <c r="F1995" s="86">
        <v>3762</v>
      </c>
      <c r="G1995" t="s">
        <v>756</v>
      </c>
      <c r="H1995">
        <v>10058</v>
      </c>
      <c r="I1995" t="s">
        <v>1381</v>
      </c>
    </row>
    <row r="1996" spans="1:9">
      <c r="A1996" s="71">
        <v>45274</v>
      </c>
      <c r="B1996" t="s">
        <v>743</v>
      </c>
      <c r="D1996" t="s">
        <v>3457</v>
      </c>
      <c r="G1996" t="s">
        <v>756</v>
      </c>
      <c r="H1996">
        <v>10056</v>
      </c>
      <c r="I1996" t="s">
        <v>1381</v>
      </c>
    </row>
    <row r="1997" spans="1:9">
      <c r="A1997" s="71">
        <v>45275</v>
      </c>
      <c r="B1997" t="s">
        <v>307</v>
      </c>
      <c r="D1997" t="s">
        <v>3458</v>
      </c>
      <c r="G1997" t="s">
        <v>756</v>
      </c>
      <c r="H1997">
        <v>11188</v>
      </c>
      <c r="I1997" t="s">
        <v>1694</v>
      </c>
    </row>
    <row r="1998" spans="1:9">
      <c r="A1998" s="71">
        <v>45275</v>
      </c>
      <c r="B1998" t="s">
        <v>318</v>
      </c>
      <c r="D1998" t="s">
        <v>3459</v>
      </c>
      <c r="G1998" t="s">
        <v>756</v>
      </c>
      <c r="H1998">
        <v>10060</v>
      </c>
      <c r="I1998" t="s">
        <v>1381</v>
      </c>
    </row>
    <row r="1999" spans="1:9">
      <c r="A1999" s="71">
        <v>45275</v>
      </c>
      <c r="B1999" t="s">
        <v>369</v>
      </c>
      <c r="D1999" t="s">
        <v>3460</v>
      </c>
      <c r="G1999" t="s">
        <v>756</v>
      </c>
      <c r="H1999">
        <v>10059</v>
      </c>
      <c r="I1999" t="s">
        <v>1381</v>
      </c>
    </row>
    <row r="2000" spans="1:9">
      <c r="A2000" s="71">
        <v>45278</v>
      </c>
      <c r="B2000" t="s">
        <v>369</v>
      </c>
      <c r="D2000" t="s">
        <v>3461</v>
      </c>
      <c r="F2000" s="86">
        <v>11155</v>
      </c>
      <c r="G2000" t="s">
        <v>756</v>
      </c>
      <c r="H2000">
        <v>10293</v>
      </c>
      <c r="I2000" t="s">
        <v>1487</v>
      </c>
    </row>
    <row r="2001" spans="1:9">
      <c r="A2001" s="71">
        <v>45278</v>
      </c>
      <c r="B2001" t="s">
        <v>318</v>
      </c>
      <c r="D2001" t="s">
        <v>3462</v>
      </c>
      <c r="G2001" t="s">
        <v>756</v>
      </c>
      <c r="H2001">
        <v>10065</v>
      </c>
      <c r="I2001" t="s">
        <v>1381</v>
      </c>
    </row>
    <row r="2002" spans="1:9">
      <c r="A2002" s="71">
        <v>45279</v>
      </c>
      <c r="B2002" t="s">
        <v>82</v>
      </c>
      <c r="D2002" t="s">
        <v>3463</v>
      </c>
      <c r="F2002" s="86">
        <v>8036</v>
      </c>
      <c r="G2002" t="s">
        <v>756</v>
      </c>
      <c r="H2002">
        <v>11190</v>
      </c>
      <c r="I2002" t="s">
        <v>473</v>
      </c>
    </row>
    <row r="2003" spans="1:9">
      <c r="A2003" s="71">
        <v>45279</v>
      </c>
      <c r="B2003" t="s">
        <v>333</v>
      </c>
      <c r="D2003" t="s">
        <v>3464</v>
      </c>
      <c r="F2003" s="86">
        <v>5645</v>
      </c>
      <c r="G2003" t="s">
        <v>756</v>
      </c>
      <c r="H2003">
        <v>11184</v>
      </c>
      <c r="I2003" t="s">
        <v>473</v>
      </c>
    </row>
    <row r="2004" spans="1:9">
      <c r="A2004" s="71">
        <v>45279</v>
      </c>
      <c r="B2004" t="s">
        <v>82</v>
      </c>
      <c r="D2004" t="s">
        <v>3465</v>
      </c>
      <c r="G2004" t="s">
        <v>756</v>
      </c>
      <c r="H2004">
        <v>10070</v>
      </c>
      <c r="I2004" t="s">
        <v>1381</v>
      </c>
    </row>
    <row r="2005" spans="1:9">
      <c r="A2005" s="71">
        <v>45280</v>
      </c>
      <c r="B2005" t="s">
        <v>318</v>
      </c>
      <c r="D2005" t="s">
        <v>3466</v>
      </c>
      <c r="F2005" s="86">
        <v>10576</v>
      </c>
      <c r="G2005" t="s">
        <v>756</v>
      </c>
      <c r="H2005">
        <v>10576</v>
      </c>
      <c r="I2005" t="s">
        <v>1381</v>
      </c>
    </row>
    <row r="2006" spans="1:9">
      <c r="A2006" s="71">
        <v>45282</v>
      </c>
      <c r="B2006" t="s">
        <v>19</v>
      </c>
      <c r="D2006" t="s">
        <v>3467</v>
      </c>
      <c r="G2006" t="s">
        <v>756</v>
      </c>
      <c r="H2006">
        <v>11193</v>
      </c>
      <c r="I2006" t="s">
        <v>1381</v>
      </c>
    </row>
    <row r="2007" spans="1:9">
      <c r="A2007" s="71">
        <v>46197</v>
      </c>
      <c r="B2007" t="s">
        <v>32</v>
      </c>
      <c r="D2007" t="s">
        <v>3468</v>
      </c>
      <c r="F2007" s="86">
        <v>11042</v>
      </c>
      <c r="G2007" t="s">
        <v>756</v>
      </c>
      <c r="H2007">
        <v>17231</v>
      </c>
      <c r="I2007" t="s">
        <v>495</v>
      </c>
    </row>
    <row r="2008" spans="1:9">
      <c r="A2008" s="71">
        <v>46196</v>
      </c>
      <c r="B2008" t="s">
        <v>305</v>
      </c>
      <c r="D2008" t="s">
        <v>3469</v>
      </c>
      <c r="F2008" s="86">
        <v>8950</v>
      </c>
      <c r="G2008" t="s">
        <v>756</v>
      </c>
      <c r="H2008">
        <v>17230</v>
      </c>
      <c r="I2008" t="s">
        <v>1339</v>
      </c>
    </row>
    <row r="2009" spans="1:9">
      <c r="A2009" s="71">
        <v>46192</v>
      </c>
      <c r="B2009" t="s">
        <v>86</v>
      </c>
      <c r="D2009" t="s">
        <v>3470</v>
      </c>
      <c r="F2009" s="86">
        <v>3708</v>
      </c>
      <c r="G2009" t="s">
        <v>756</v>
      </c>
      <c r="H2009">
        <v>17229</v>
      </c>
      <c r="I2009" t="s">
        <v>1339</v>
      </c>
    </row>
    <row r="2010" spans="1:9">
      <c r="A2010" s="71">
        <v>46198</v>
      </c>
      <c r="B2010" t="s">
        <v>604</v>
      </c>
      <c r="D2010" t="s">
        <v>3471</v>
      </c>
      <c r="G2010" t="s">
        <v>756</v>
      </c>
      <c r="H2010">
        <v>17232</v>
      </c>
      <c r="I2010" t="s">
        <v>495</v>
      </c>
    </row>
    <row r="2011" spans="1:9">
      <c r="A2011" s="71">
        <v>46198</v>
      </c>
      <c r="B2011" t="s">
        <v>644</v>
      </c>
      <c r="D2011" t="s">
        <v>3472</v>
      </c>
      <c r="F2011" s="86">
        <v>125735</v>
      </c>
      <c r="G2011" t="s">
        <v>756</v>
      </c>
      <c r="H2011">
        <v>17770</v>
      </c>
      <c r="I2011" t="s">
        <v>473</v>
      </c>
    </row>
    <row r="2012" spans="1:9">
      <c r="A2012" s="71">
        <v>46203</v>
      </c>
      <c r="B2012" t="s">
        <v>388</v>
      </c>
      <c r="D2012" t="s">
        <v>3473</v>
      </c>
      <c r="F2012" s="86">
        <v>13215</v>
      </c>
      <c r="G2012" t="s">
        <v>756</v>
      </c>
      <c r="H2012">
        <v>17772</v>
      </c>
      <c r="I2012" t="s">
        <v>473</v>
      </c>
    </row>
    <row r="2013" spans="1:9">
      <c r="A2013" s="71">
        <v>46205</v>
      </c>
      <c r="B2013" t="s">
        <v>324</v>
      </c>
      <c r="D2013" t="s">
        <v>3474</v>
      </c>
      <c r="F2013" s="86">
        <v>14116</v>
      </c>
      <c r="G2013" t="s">
        <v>756</v>
      </c>
      <c r="H2013">
        <v>17233</v>
      </c>
      <c r="I2013" t="s">
        <v>1487</v>
      </c>
    </row>
    <row r="2014" spans="1:9">
      <c r="A2014" s="71">
        <v>46271</v>
      </c>
      <c r="B2014" t="s">
        <v>641</v>
      </c>
      <c r="D2014" t="s">
        <v>3475</v>
      </c>
      <c r="F2014" s="86">
        <v>162930</v>
      </c>
      <c r="G2014" t="s">
        <v>756</v>
      </c>
      <c r="H2014">
        <v>17236</v>
      </c>
      <c r="I2014" t="s">
        <v>495</v>
      </c>
    </row>
    <row r="2015" spans="1:9">
      <c r="A2015" s="71">
        <v>46199</v>
      </c>
      <c r="B2015" t="s">
        <v>632</v>
      </c>
      <c r="D2015" t="s">
        <v>3476</v>
      </c>
      <c r="G2015" t="s">
        <v>756</v>
      </c>
      <c r="H2015">
        <v>17234</v>
      </c>
      <c r="I2015" t="s">
        <v>495</v>
      </c>
    </row>
    <row r="2016" spans="1:9">
      <c r="A2016" s="71">
        <v>46189</v>
      </c>
      <c r="B2016" t="s">
        <v>373</v>
      </c>
      <c r="D2016" t="s">
        <v>3477</v>
      </c>
      <c r="G2016" t="s">
        <v>756</v>
      </c>
      <c r="H2016">
        <v>17636</v>
      </c>
      <c r="I2016" t="s">
        <v>3478</v>
      </c>
    </row>
    <row r="2017" spans="1:9">
      <c r="A2017" s="71">
        <v>46218</v>
      </c>
      <c r="B2017" t="s">
        <v>65</v>
      </c>
      <c r="D2017" t="s">
        <v>3479</v>
      </c>
      <c r="G2017" t="s">
        <v>756</v>
      </c>
      <c r="H2017">
        <v>17781</v>
      </c>
      <c r="I2017" t="s">
        <v>473</v>
      </c>
    </row>
    <row r="2018" spans="1:9">
      <c r="A2018" s="71">
        <v>46216</v>
      </c>
      <c r="B2018" t="s">
        <v>389</v>
      </c>
      <c r="D2018" t="s">
        <v>3480</v>
      </c>
      <c r="F2018" s="86">
        <v>6575</v>
      </c>
      <c r="G2018" t="s">
        <v>756</v>
      </c>
      <c r="H2018">
        <v>17779</v>
      </c>
      <c r="I2018" t="s">
        <v>473</v>
      </c>
    </row>
    <row r="2019" spans="1:9">
      <c r="A2019" s="71">
        <v>46191</v>
      </c>
      <c r="B2019" t="s">
        <v>82</v>
      </c>
      <c r="D2019" t="s">
        <v>3481</v>
      </c>
      <c r="F2019" s="86">
        <v>41114</v>
      </c>
      <c r="G2019" t="s">
        <v>756</v>
      </c>
      <c r="H2019">
        <v>17638</v>
      </c>
      <c r="I2019" t="s">
        <v>1491</v>
      </c>
    </row>
    <row r="2020" spans="1:9">
      <c r="A2020" s="71">
        <v>46192</v>
      </c>
      <c r="B2020" t="s">
        <v>82</v>
      </c>
      <c r="D2020" t="s">
        <v>3482</v>
      </c>
      <c r="F2020" s="86">
        <v>41114</v>
      </c>
      <c r="G2020" t="s">
        <v>756</v>
      </c>
      <c r="H2020">
        <v>17639</v>
      </c>
      <c r="I2020" t="s">
        <v>1491</v>
      </c>
    </row>
    <row r="2021" spans="1:9">
      <c r="A2021" s="71">
        <v>46223</v>
      </c>
      <c r="B2021" t="s">
        <v>324</v>
      </c>
      <c r="D2021" t="s">
        <v>3483</v>
      </c>
      <c r="F2021" s="86">
        <v>13954</v>
      </c>
      <c r="G2021" t="s">
        <v>756</v>
      </c>
      <c r="H2021">
        <v>17646</v>
      </c>
      <c r="I2021" t="s">
        <v>1491</v>
      </c>
    </row>
    <row r="2022" spans="1:9">
      <c r="A2022" s="71">
        <v>46204</v>
      </c>
      <c r="B2022" t="s">
        <v>610</v>
      </c>
      <c r="D2022" t="s">
        <v>3484</v>
      </c>
      <c r="F2022" s="86">
        <v>147776</v>
      </c>
      <c r="G2022" t="s">
        <v>756</v>
      </c>
      <c r="H2022">
        <v>17235</v>
      </c>
      <c r="I2022" t="s">
        <v>495</v>
      </c>
    </row>
    <row r="2023" spans="1:9">
      <c r="A2023" s="71">
        <v>46209</v>
      </c>
      <c r="B2023" t="s">
        <v>305</v>
      </c>
      <c r="D2023" t="s">
        <v>3485</v>
      </c>
      <c r="F2023" s="86">
        <v>8970</v>
      </c>
      <c r="G2023" t="s">
        <v>756</v>
      </c>
      <c r="H2023">
        <v>17777</v>
      </c>
      <c r="I2023" t="s">
        <v>473</v>
      </c>
    </row>
    <row r="2024" spans="1:9">
      <c r="A2024" s="71">
        <v>46204</v>
      </c>
      <c r="B2024" t="s">
        <v>388</v>
      </c>
      <c r="D2024" t="s">
        <v>3486</v>
      </c>
      <c r="F2024" s="86">
        <v>13286</v>
      </c>
      <c r="G2024" t="s">
        <v>756</v>
      </c>
      <c r="H2024">
        <v>17774</v>
      </c>
      <c r="I2024" t="s">
        <v>473</v>
      </c>
    </row>
    <row r="2025" spans="1:9">
      <c r="A2025" s="71">
        <v>45904</v>
      </c>
      <c r="B2025" t="s">
        <v>443</v>
      </c>
      <c r="C2025" t="s">
        <v>3487</v>
      </c>
      <c r="D2025" t="s">
        <v>3488</v>
      </c>
      <c r="E2025" s="86">
        <v>69000</v>
      </c>
      <c r="F2025" s="86">
        <v>495</v>
      </c>
      <c r="G2025" t="s">
        <v>756</v>
      </c>
      <c r="I2025" t="s">
        <v>1560</v>
      </c>
    </row>
    <row r="2026" spans="1:9">
      <c r="A2026" s="71">
        <v>45959</v>
      </c>
      <c r="B2026" t="s">
        <v>443</v>
      </c>
      <c r="C2026" t="s">
        <v>3489</v>
      </c>
      <c r="D2026" t="s">
        <v>3490</v>
      </c>
      <c r="E2026" s="86">
        <v>908000</v>
      </c>
      <c r="F2026" s="86">
        <v>507</v>
      </c>
      <c r="G2026" t="s">
        <v>756</v>
      </c>
      <c r="I2026" t="s">
        <v>3491</v>
      </c>
    </row>
    <row r="2027" spans="1:9">
      <c r="A2027" s="71">
        <v>46237</v>
      </c>
      <c r="B2027" t="s">
        <v>443</v>
      </c>
      <c r="C2027" t="s">
        <v>3492</v>
      </c>
      <c r="D2027" t="s">
        <v>3493</v>
      </c>
      <c r="E2027" s="86">
        <v>0</v>
      </c>
      <c r="G2027" t="s">
        <v>3494</v>
      </c>
      <c r="I2027" t="s">
        <v>1560</v>
      </c>
    </row>
    <row r="2028" spans="1:9">
      <c r="A2028" s="71">
        <v>46195</v>
      </c>
      <c r="B2028" t="s">
        <v>542</v>
      </c>
      <c r="C2028" t="s">
        <v>3495</v>
      </c>
      <c r="D2028" t="s">
        <v>3496</v>
      </c>
      <c r="E2028" s="35">
        <v>173999</v>
      </c>
      <c r="F2028" s="86">
        <v>60100</v>
      </c>
      <c r="G2028" t="s">
        <v>756</v>
      </c>
      <c r="I2028" t="s">
        <v>3497</v>
      </c>
    </row>
    <row r="2029" spans="1:9">
      <c r="A2029" s="71">
        <v>46231</v>
      </c>
      <c r="B2029" t="s">
        <v>542</v>
      </c>
      <c r="C2029" t="s">
        <v>3498</v>
      </c>
      <c r="D2029" t="s">
        <v>3499</v>
      </c>
      <c r="F2029" s="86">
        <v>62840</v>
      </c>
      <c r="G2029" t="s">
        <v>3494</v>
      </c>
      <c r="I2029" t="s">
        <v>3491</v>
      </c>
    </row>
    <row r="2030" spans="1:9">
      <c r="A2030" s="71">
        <v>46073</v>
      </c>
      <c r="B2030" t="s">
        <v>542</v>
      </c>
      <c r="C2030" t="s">
        <v>3500</v>
      </c>
      <c r="D2030" t="s">
        <v>3501</v>
      </c>
      <c r="E2030" s="35">
        <v>17837</v>
      </c>
      <c r="G2030" t="s">
        <v>756</v>
      </c>
      <c r="I2030" t="s">
        <v>495</v>
      </c>
    </row>
  </sheetData>
  <phoneticPr fontId="16"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N62"/>
  <sheetViews>
    <sheetView zoomScaleNormal="100" workbookViewId="0">
      <selection activeCell="G19" sqref="G19"/>
    </sheetView>
  </sheetViews>
  <sheetFormatPr defaultColWidth="9.140625" defaultRowHeight="15" customHeight="1"/>
  <cols>
    <col min="1" max="1" width="20.28515625" bestFit="1" customWidth="1"/>
    <col min="2" max="2" width="14" customWidth="1"/>
    <col min="3" max="3" width="7.140625" customWidth="1"/>
    <col min="4" max="5" width="14" customWidth="1"/>
    <col min="6" max="6" width="7.28515625" customWidth="1"/>
    <col min="7" max="8" width="14" customWidth="1"/>
    <col min="9" max="9" width="7.42578125" customWidth="1"/>
    <col min="10" max="11" width="14" customWidth="1"/>
    <col min="12" max="12" width="6" customWidth="1"/>
    <col min="13" max="13" width="16.5703125" customWidth="1"/>
    <col min="14" max="14" width="27.42578125" customWidth="1"/>
  </cols>
  <sheetData>
    <row r="1" spans="1:14">
      <c r="A1" s="99" t="s">
        <v>3502</v>
      </c>
      <c r="B1" s="99"/>
      <c r="C1" s="99"/>
      <c r="D1" s="99"/>
      <c r="E1" s="99"/>
      <c r="F1" s="99"/>
      <c r="G1" s="99"/>
      <c r="H1" s="99"/>
      <c r="I1" s="99"/>
      <c r="J1" s="99"/>
      <c r="K1" s="99"/>
      <c r="L1" s="99"/>
      <c r="M1" s="99"/>
      <c r="N1" s="99"/>
    </row>
    <row r="2" spans="1:14">
      <c r="A2" s="99"/>
      <c r="B2" s="99"/>
      <c r="C2" s="99"/>
      <c r="D2" s="99"/>
      <c r="E2" s="99"/>
      <c r="F2" s="99"/>
      <c r="G2" s="99"/>
      <c r="H2" s="99"/>
      <c r="I2" s="99"/>
      <c r="J2" s="99"/>
      <c r="K2" s="99"/>
      <c r="L2" s="99"/>
      <c r="M2" s="99"/>
      <c r="N2" s="99"/>
    </row>
    <row r="4" spans="1:14">
      <c r="A4" s="104" t="s">
        <v>3503</v>
      </c>
      <c r="B4" s="104"/>
      <c r="D4" s="104" t="s">
        <v>3504</v>
      </c>
      <c r="E4" s="104"/>
      <c r="G4" s="104" t="s">
        <v>3505</v>
      </c>
      <c r="H4" s="104"/>
      <c r="J4" s="104" t="s">
        <v>3506</v>
      </c>
      <c r="K4" s="104"/>
      <c r="M4" s="104" t="s">
        <v>3507</v>
      </c>
      <c r="N4" s="104"/>
    </row>
    <row r="5" spans="1:14" ht="21" customHeight="1">
      <c r="A5" s="105" cm="1">
        <f t="array" ref="A5">SUMPRODUCT(--(Maestro_Equipos!A2:A995&lt;&gt;""))</f>
        <v>240</v>
      </c>
      <c r="B5" s="105"/>
      <c r="D5" s="105" cm="1">
        <f t="array" ref="D5">SUMPRODUCT(--(UPPER(TRIM(Maestro_Equipos!V2:V995))="OPERATIVO"))</f>
        <v>176</v>
      </c>
      <c r="E5" s="105"/>
      <c r="G5" s="105" cm="1">
        <f t="array" ref="G5">SUMPRODUCT(--(ISNUMBER(SEARCH("FUERA DE SERVICIO",UPPER(Maestro_Equipos!V2:V995)))))</f>
        <v>49</v>
      </c>
      <c r="H5" s="105"/>
      <c r="J5" s="105" cm="1">
        <f t="array" ref="J5">SUMPRODUCT(--((UPPER(TRIM(Maestro_Equipos!W2:W995))="ATRASADA")+(UPPER(TRIM(Maestro_Equipos!W2:W995))="ATRASADO")&gt;0))</f>
        <v>2</v>
      </c>
      <c r="K5" s="105"/>
      <c r="M5" s="105">
        <f>COUNTIF(Maestro_Equipos!W:W,"PRÓXIMA")</f>
        <v>1</v>
      </c>
      <c r="N5" s="105"/>
    </row>
    <row r="6" spans="1:14" ht="15" customHeight="1">
      <c r="D6" s="112"/>
      <c r="E6" s="112"/>
      <c r="G6" s="112"/>
      <c r="H6" s="112"/>
    </row>
    <row r="8" spans="1:14">
      <c r="A8" s="104" t="s">
        <v>3508</v>
      </c>
      <c r="B8" s="104"/>
      <c r="D8" s="104" t="s">
        <v>3509</v>
      </c>
      <c r="E8" s="104"/>
      <c r="G8" s="104" t="s">
        <v>3510</v>
      </c>
      <c r="H8" s="104"/>
      <c r="J8" s="104" t="s">
        <v>3511</v>
      </c>
      <c r="K8" s="104"/>
      <c r="M8" s="104" t="s">
        <v>3512</v>
      </c>
      <c r="N8" s="104"/>
    </row>
    <row r="9" spans="1:14" ht="21" customHeight="1">
      <c r="A9" s="105">
        <f>COUNTIF(Maestro_Equipos!AE:AE,"POR RECIBIR")</f>
        <v>0</v>
      </c>
      <c r="B9" s="105"/>
      <c r="D9" s="105">
        <f>COUNTIF(Maestro_Equipos!W:W,"*PROCESO*")</f>
        <v>34</v>
      </c>
      <c r="E9" s="105"/>
      <c r="G9" s="105" cm="1">
        <f t="array" ref="G9">SUMPRODUCT(--(UPPER(TRIM(Maestro_Equipos!W2:W995))="AL DÍA"))</f>
        <v>117</v>
      </c>
      <c r="H9" s="105"/>
      <c r="J9" s="105" cm="1">
        <f t="array" ref="J9">SUMPRODUCT(--(ISNUMBER(SEARCH("TALLER",UPPER(Maestro_Equipos!V2:V995)))))</f>
        <v>14</v>
      </c>
      <c r="K9" s="105"/>
      <c r="M9" s="105">
        <f>COUNTIF(Maestro_Equipos!AD:AD,"PENDIENTE")</f>
        <v>23</v>
      </c>
      <c r="N9" s="105"/>
    </row>
    <row r="12" spans="1:14">
      <c r="A12" s="104" t="s">
        <v>3513</v>
      </c>
      <c r="B12" s="104"/>
      <c r="D12" s="104" t="s">
        <v>3514</v>
      </c>
      <c r="E12" s="104"/>
      <c r="G12" s="104" t="s">
        <v>3515</v>
      </c>
      <c r="H12" s="104"/>
      <c r="J12" s="104" t="s">
        <v>3516</v>
      </c>
      <c r="K12" s="104"/>
      <c r="M12" s="113" t="s">
        <v>3517</v>
      </c>
      <c r="N12" s="113"/>
    </row>
    <row r="13" spans="1:14" ht="21" customHeight="1">
      <c r="A13" s="106">
        <f>IFERROR((COUNTIF(Maestro_Equipos!W:W,"AL DÍA")+COUNTIF(Maestro_Equipos!W:W,"PRÓXIMA")+COUNTIF(Maestro_Equipos!W:W,"EN PROCESO")+COUNTIF(Maestro_Equipos!W:W,"EN TALLER")+COUNTIF(Maestro_Equipos!W:W,"POR RECIBIR"))/COUNTIFS(Maestro_Equipos!A:A,"&lt;&gt;",Maestro_Equipos!V:V,"&lt;&gt;Fuera de Servicio"),0)</f>
        <v>0.97916666666666663</v>
      </c>
      <c r="B13" s="106"/>
      <c r="D13" s="106">
        <f>IFERROR((COUNTIF(Maestro_Equipos!W:W,"AL DÍA")+COUNTIF(Maestro_Equipos!W:W,"PRÓXIMA")+COUNTIF(Maestro_Equipos!W:W,"EN PROCESO")+COUNTIF(Maestro_Equipos!W:W,"EN TALLER")+COUNTIF(Maestro_Equipos!W:W,"POR RECIBIR"))/COUNTIFS(Maestro_Equipos!A:A,"&lt;&gt;",Maestro_Equipos!V:V,"&lt;&gt;Fuera de Servicio"),0)</f>
        <v>0.97916666666666663</v>
      </c>
      <c r="E13" s="106"/>
      <c r="G13" s="107">
        <f>IFERROR(COUNTIFS(Maestro_Equipos!W:W,"ATRASADA")/COUNTIFS(Maestro_Equipos!A:A,"&lt;&gt;",Maestro_Equipos!V:V,"&lt;&gt;Fuera de Servicio"),0)</f>
        <v>1.0416666666666666E-2</v>
      </c>
      <c r="H13" s="107"/>
      <c r="J13" s="108">
        <f>SUM(Maestro_Equipos!$U$4:$U$242)</f>
        <v>57414841.915269956</v>
      </c>
      <c r="K13" s="108"/>
      <c r="M13" s="114">
        <f>IFERROR(COUNTIF(Maestro_Equipos!V:V,"Operativo")/(COUNTIF(Maestro_Equipos!V:V,"Operativo")+COUNTIF(Maestro_Equipos!V:V,"*Taller*")+COUNTIF(Maestro_Equipos!V:V,"*Fuera*")),0)</f>
        <v>0.7364016736401674</v>
      </c>
      <c r="N13" s="114"/>
    </row>
    <row r="16" spans="1:14">
      <c r="A16" s="104" t="s">
        <v>3518</v>
      </c>
      <c r="B16" s="104"/>
      <c r="D16" s="104" t="s">
        <v>3519</v>
      </c>
      <c r="E16" s="104"/>
      <c r="G16" s="104" t="s">
        <v>3520</v>
      </c>
      <c r="H16" s="104"/>
      <c r="J16" s="104" t="s">
        <v>3521</v>
      </c>
      <c r="K16" s="104"/>
      <c r="M16" s="115" t="s">
        <v>3522</v>
      </c>
      <c r="N16" s="115"/>
    </row>
    <row r="17" spans="1:14" ht="21" customHeight="1">
      <c r="A17" s="110">
        <f ca="1">IFERROR(AVERAGEIF(Maestro_Equipos!$AB$4:$AB$242,"&gt;0"),0)</f>
        <v>62.440677966101696</v>
      </c>
      <c r="B17" s="110"/>
      <c r="D17" s="110">
        <f ca="1">IFERROR(AVERAGEIF(Maestro_Equipos!$AC$4:$AC$242,"&gt;0"),0)</f>
        <v>45.759493670886073</v>
      </c>
      <c r="E17" s="110"/>
      <c r="G17" s="111">
        <f>COUNTIFS(
Maestro_Equipos!Q:Q,"Sin datos de mantención registrado",
Maestro_Equipos!V:V,"&lt;&gt;Fuera de Servicio",
Maestro_Equipos!V:V,"&lt;&gt;Taller",
Maestro_Equipos!V:V,"&lt;&gt;En Taller"
)</f>
        <v>26</v>
      </c>
      <c r="H17" s="111"/>
      <c r="J17" s="105">
        <f>COUNTIFS(Maestro_Equipos!W:W,"ATRASADA",Maestro_Equipos!Z:Z,"")
+COUNTIFS(Maestro_Equipos!W:W,"PRÓXIMA",Maestro_Equipos!Z:Z,"")</f>
        <v>2</v>
      </c>
      <c r="K17" s="105"/>
      <c r="M17" s="109">
        <f ca="1">NOW()</f>
        <v>46240.733079398145</v>
      </c>
      <c r="N17" s="109"/>
    </row>
    <row r="19" spans="1:14" ht="15" customHeight="1">
      <c r="A19" s="101" t="s">
        <v>3523</v>
      </c>
      <c r="B19" s="101"/>
    </row>
    <row r="20" spans="1:14" ht="21" customHeight="1">
      <c r="A20" s="102">
        <f ca="1">(A17-D17)</f>
        <v>16.681184295215623</v>
      </c>
      <c r="B20" s="103"/>
    </row>
    <row r="33" spans="1:8">
      <c r="A33" t="s">
        <v>753</v>
      </c>
      <c r="B33" t="s">
        <v>899</v>
      </c>
      <c r="D33" t="s">
        <v>3524</v>
      </c>
      <c r="E33" t="s">
        <v>1451</v>
      </c>
      <c r="G33" t="s">
        <v>3525</v>
      </c>
      <c r="H33" t="s">
        <v>3526</v>
      </c>
    </row>
    <row r="34" spans="1:8">
      <c r="A34" t="s">
        <v>3527</v>
      </c>
      <c r="B34">
        <f>COUNTIFS(Maestro_Equipos!W:W,"AL DÍA",Maestro_Equipos!A:A,"&lt;&gt;")</f>
        <v>117</v>
      </c>
      <c r="D34" t="str">
        <f>TEXT(Planner_Semanal!A4,"dd-mm")</f>
        <v>16-03</v>
      </c>
      <c r="E34">
        <f ca="1">Planner_Semanal!C4</f>
        <v>0</v>
      </c>
      <c r="G34" t="s">
        <v>578</v>
      </c>
      <c r="H34" cm="1">
        <f t="array" ref="H34">IF(TRIM(UPPER(G34))="TALLER",
SUMPRODUCT((ISNUMBER(SEARCH("TALLER",UPPER(Maestro_Equipos!$G$4:$G$1000))))*(TRIM(UPPER(Maestro_Equipos!$V$4:$V$1000))&lt;&gt;"FUERA DE SERVICIO")*(TRIM(UPPER(Maestro_Equipos!$G$4:$G$1000))&lt;&gt;"VENDIDA")),
SUMPRODUCT((TRIM(UPPER(Maestro_Equipos!$G$4:$G$1000))=TRIM(UPPER(G34)))*(TRIM(UPPER(Maestro_Equipos!$V$4:$V$1000))&lt;&gt;"FUERA DE SERVICIO")*(TRIM(UPPER(Maestro_Equipos!$G$4:$G$1000))&lt;&gt;"VENDIDA"))
)</f>
        <v>4</v>
      </c>
    </row>
    <row r="35" spans="1:8">
      <c r="A35" t="s">
        <v>3528</v>
      </c>
      <c r="B35">
        <f>COUNTIF(Maestro_Equipos!$W:$W,A35)</f>
        <v>1</v>
      </c>
      <c r="D35" t="str">
        <f>TEXT(Planner_Semanal!A5,"dd-mm")</f>
        <v>23-03</v>
      </c>
      <c r="E35">
        <f ca="1">Planner_Semanal!C5</f>
        <v>0</v>
      </c>
      <c r="G35" t="s">
        <v>51</v>
      </c>
      <c r="H35" cm="1">
        <f t="array" ref="H35">IF(TRIM(UPPER(G35))="TALLER",
SUMPRODUCT((ISNUMBER(SEARCH("TALLER",UPPER(Maestro_Equipos!$G$4:$G$1000))))*(TRIM(UPPER(Maestro_Equipos!$V$4:$V$1000))&lt;&gt;"FUERA DE SERVICIO")*(TRIM(UPPER(Maestro_Equipos!$G$4:$G$1000))&lt;&gt;"VENDIDA")),
SUMPRODUCT((TRIM(UPPER(Maestro_Equipos!$G$4:$G$1000))=TRIM(UPPER(G35)))*(TRIM(UPPER(Maestro_Equipos!$V$4:$V$1000))&lt;&gt;"FUERA DE SERVICIO")*(TRIM(UPPER(Maestro_Equipos!$G$4:$G$1000))&lt;&gt;"VENDIDA"))
)</f>
        <v>16</v>
      </c>
    </row>
    <row r="36" spans="1:8">
      <c r="A36" t="s">
        <v>3529</v>
      </c>
      <c r="B36">
        <f>COUNTIF(Maestro_Equipos!$W:$W,A36)</f>
        <v>34</v>
      </c>
      <c r="D36" t="str">
        <f>TEXT(Planner_Semanal!A6,"dd-mm")</f>
        <v>30-03</v>
      </c>
      <c r="E36">
        <f ca="1">Planner_Semanal!C6</f>
        <v>0</v>
      </c>
      <c r="G36" t="s">
        <v>327</v>
      </c>
      <c r="H36" cm="1">
        <f t="array" ref="H36">IF(TRIM(UPPER(G36))="TALLER",
SUMPRODUCT((ISNUMBER(SEARCH("TALLER",UPPER(Maestro_Equipos!$G$4:$G$1000))))*(TRIM(UPPER(Maestro_Equipos!$V$4:$V$1000))&lt;&gt;"FUERA DE SERVICIO")*(TRIM(UPPER(Maestro_Equipos!$G$4:$G$1000))&lt;&gt;"VENDIDA")),
SUMPRODUCT((TRIM(UPPER(Maestro_Equipos!$G$4:$G$1000))=TRIM(UPPER(G36)))*(TRIM(UPPER(Maestro_Equipos!$V$4:$V$1000))&lt;&gt;"FUERA DE SERVICIO")*(TRIM(UPPER(Maestro_Equipos!$G$4:$G$1000))&lt;&gt;"VENDIDA"))
)</f>
        <v>5</v>
      </c>
    </row>
    <row r="37" spans="1:8">
      <c r="A37" t="s">
        <v>3530</v>
      </c>
      <c r="B37">
        <f>COUNTIF(Maestro_Equipos!$W:$W,A37)</f>
        <v>22</v>
      </c>
      <c r="D37" t="str">
        <f>TEXT(Planner_Semanal!A7,"dd-mm")</f>
        <v>06-04</v>
      </c>
      <c r="E37">
        <f ca="1">Planner_Semanal!C7</f>
        <v>0</v>
      </c>
      <c r="G37" t="s">
        <v>30</v>
      </c>
      <c r="H37" cm="1">
        <f t="array" ref="H37">IF(TRIM(UPPER(G37))="TALLER",
SUMPRODUCT((ISNUMBER(SEARCH("TALLER",UPPER(Maestro_Equipos!$G$4:$G$1000))))*(TRIM(UPPER(Maestro_Equipos!$V$4:$V$1000))&lt;&gt;"FUERA DE SERVICIO")*(TRIM(UPPER(Maestro_Equipos!$G$4:$G$1000))&lt;&gt;"VENDIDA")),
SUMPRODUCT((TRIM(UPPER(Maestro_Equipos!$G$4:$G$1000))=TRIM(UPPER(G37)))*(TRIM(UPPER(Maestro_Equipos!$V$4:$V$1000))&lt;&gt;"FUERA DE SERVICIO")*(TRIM(UPPER(Maestro_Equipos!$G$4:$G$1000))&lt;&gt;"VENDIDA"))
)</f>
        <v>19</v>
      </c>
    </row>
    <row r="38" spans="1:8">
      <c r="A38" t="s">
        <v>3531</v>
      </c>
      <c r="B38">
        <f>COUNTIF(Maestro_Equipos!$W:$W,A38)</f>
        <v>2</v>
      </c>
      <c r="D38" t="str">
        <f>TEXT(Planner_Semanal!A8,"dd-mm")</f>
        <v>13-04</v>
      </c>
      <c r="E38">
        <f ca="1">Planner_Semanal!C8</f>
        <v>0</v>
      </c>
      <c r="G38" t="s">
        <v>287</v>
      </c>
      <c r="H38" cm="1">
        <f t="array" ref="H38">IF(TRIM(UPPER(G38))="TALLER",
SUMPRODUCT((ISNUMBER(SEARCH("TALLER",UPPER(Maestro_Equipos!$G$4:$G$1000))))*(TRIM(UPPER(Maestro_Equipos!$V$4:$V$1000))&lt;&gt;"FUERA DE SERVICIO")*(TRIM(UPPER(Maestro_Equipos!$G$4:$G$1000))&lt;&gt;"VENDIDA")),
SUMPRODUCT((TRIM(UPPER(Maestro_Equipos!$G$4:$G$1000))=TRIM(UPPER(G38)))*(TRIM(UPPER(Maestro_Equipos!$V$4:$V$1000))&lt;&gt;"FUERA DE SERVICIO")*(TRIM(UPPER(Maestro_Equipos!$G$4:$G$1000))&lt;&gt;"VENDIDA"))
)</f>
        <v>1</v>
      </c>
    </row>
    <row r="39" spans="1:8">
      <c r="A39" t="s">
        <v>3532</v>
      </c>
      <c r="B39">
        <f>COUNTIF(Maestro_Equipos!$W:$W,A39)</f>
        <v>14</v>
      </c>
      <c r="D39" t="str">
        <f>TEXT(Planner_Semanal!A9,"dd-mm")</f>
        <v>20-04</v>
      </c>
      <c r="E39">
        <f ca="1">Planner_Semanal!C9</f>
        <v>0</v>
      </c>
      <c r="G39" t="s">
        <v>206</v>
      </c>
      <c r="H39" cm="1">
        <f t="array" ref="H39">IF(TRIM(UPPER(G39))="TALLER",
SUMPRODUCT((ISNUMBER(SEARCH("TALLER",UPPER(Maestro_Equipos!$G$4:$G$1000))))*(TRIM(UPPER(Maestro_Equipos!$V$4:$V$1000))&lt;&gt;"FUERA DE SERVICIO")*(TRIM(UPPER(Maestro_Equipos!$G$4:$G$1000))&lt;&gt;"VENDIDA")),
SUMPRODUCT((TRIM(UPPER(Maestro_Equipos!$G$4:$G$1000))=TRIM(UPPER(G39)))*(TRIM(UPPER(Maestro_Equipos!$V$4:$V$1000))&lt;&gt;"FUERA DE SERVICIO")*(TRIM(UPPER(Maestro_Equipos!$G$4:$G$1000))&lt;&gt;"VENDIDA"))
)</f>
        <v>2</v>
      </c>
    </row>
    <row r="40" spans="1:8">
      <c r="A40" t="s">
        <v>3533</v>
      </c>
      <c r="B40">
        <f>COUNTIF(Maestro_Equipos!$W:$W,A40)</f>
        <v>49</v>
      </c>
      <c r="D40" t="str">
        <f>TEXT(Planner_Semanal!A10,"dd-mm")</f>
        <v>27-04</v>
      </c>
      <c r="E40">
        <f ca="1">Planner_Semanal!C10</f>
        <v>0</v>
      </c>
      <c r="G40" t="s">
        <v>124</v>
      </c>
      <c r="H40" cm="1">
        <f t="array" ref="H40">IF(TRIM(UPPER(G40))="TALLER",
SUMPRODUCT((ISNUMBER(SEARCH("TALLER",UPPER(Maestro_Equipos!$G$4:$G$1000))))*(TRIM(UPPER(Maestro_Equipos!$V$4:$V$1000))&lt;&gt;"FUERA DE SERVICIO")*(TRIM(UPPER(Maestro_Equipos!$G$4:$G$1000))&lt;&gt;"VENDIDA")),
SUMPRODUCT((TRIM(UPPER(Maestro_Equipos!$G$4:$G$1000))=TRIM(UPPER(G40)))*(TRIM(UPPER(Maestro_Equipos!$V$4:$V$1000))&lt;&gt;"FUERA DE SERVICIO")*(TRIM(UPPER(Maestro_Equipos!$G$4:$G$1000))&lt;&gt;"VENDIDA"))
)</f>
        <v>4</v>
      </c>
    </row>
    <row r="41" spans="1:8">
      <c r="D41" t="str">
        <f>TEXT(Planner_Semanal!A11,"dd-mm")</f>
        <v>04-05</v>
      </c>
      <c r="E41">
        <f ca="1">Planner_Semanal!C11</f>
        <v>0</v>
      </c>
      <c r="G41" t="s">
        <v>481</v>
      </c>
      <c r="H41" cm="1">
        <f t="array" ref="H41">IF(TRIM(UPPER(G41))="TALLER",
SUMPRODUCT((ISNUMBER(SEARCH("TALLER",UPPER(Maestro_Equipos!$G$4:$G$1000))))*(TRIM(UPPER(Maestro_Equipos!$V$4:$V$1000))&lt;&gt;"FUERA DE SERVICIO")*(TRIM(UPPER(Maestro_Equipos!$G$4:$G$1000))&lt;&gt;"VENDIDA")),
SUMPRODUCT((TRIM(UPPER(Maestro_Equipos!$G$4:$G$1000))=TRIM(UPPER(G41)))*(TRIM(UPPER(Maestro_Equipos!$V$4:$V$1000))&lt;&gt;"FUERA DE SERVICIO")*(TRIM(UPPER(Maestro_Equipos!$G$4:$G$1000))&lt;&gt;"VENDIDA"))
)</f>
        <v>7</v>
      </c>
    </row>
    <row r="42" spans="1:8">
      <c r="D42" t="str">
        <f>TEXT(Planner_Semanal!A12,"dd-mm")</f>
        <v>11-05</v>
      </c>
      <c r="E42">
        <f ca="1">Planner_Semanal!C12</f>
        <v>0</v>
      </c>
      <c r="G42" t="s">
        <v>33</v>
      </c>
      <c r="H42" cm="1">
        <f t="array" ref="H42">IF(TRIM(UPPER(G42))="TALLER",
SUMPRODUCT((ISNUMBER(SEARCH("TALLER",UPPER(Maestro_Equipos!$G$4:$G$1000))))*(TRIM(UPPER(Maestro_Equipos!$V$4:$V$1000))&lt;&gt;"FUERA DE SERVICIO")*(TRIM(UPPER(Maestro_Equipos!$G$4:$G$1000))&lt;&gt;"VENDIDA")),
SUMPRODUCT((TRIM(UPPER(Maestro_Equipos!$G$4:$G$1000))=TRIM(UPPER(G42)))*(TRIM(UPPER(Maestro_Equipos!$V$4:$V$1000))&lt;&gt;"FUERA DE SERVICIO")*(TRIM(UPPER(Maestro_Equipos!$G$4:$G$1000))&lt;&gt;"VENDIDA"))
)</f>
        <v>37</v>
      </c>
    </row>
    <row r="43" spans="1:8">
      <c r="D43" t="str">
        <f>TEXT(Planner_Semanal!A13,"dd-mm")</f>
        <v>18-05</v>
      </c>
      <c r="E43">
        <f ca="1">Planner_Semanal!C13</f>
        <v>0</v>
      </c>
      <c r="G43" t="s">
        <v>514</v>
      </c>
      <c r="H43" cm="1">
        <f t="array" ref="H43">IF(TRIM(UPPER(G43))="TALLER",
SUMPRODUCT((ISNUMBER(SEARCH("TALLER",UPPER(Maestro_Equipos!$G$4:$G$1000))))*(TRIM(UPPER(Maestro_Equipos!$V$4:$V$1000))&lt;&gt;"FUERA DE SERVICIO")*(TRIM(UPPER(Maestro_Equipos!$G$4:$G$1000))&lt;&gt;"VENDIDA")),
SUMPRODUCT((TRIM(UPPER(Maestro_Equipos!$G$4:$G$1000))=TRIM(UPPER(G43)))*(TRIM(UPPER(Maestro_Equipos!$V$4:$V$1000))&lt;&gt;"FUERA DE SERVICIO")*(TRIM(UPPER(Maestro_Equipos!$G$4:$G$1000))&lt;&gt;"VENDIDA"))
)</f>
        <v>2</v>
      </c>
    </row>
    <row r="44" spans="1:8">
      <c r="D44" t="str">
        <f>TEXT(Planner_Semanal!A14,"dd-mm")</f>
        <v>25-05</v>
      </c>
      <c r="E44">
        <f ca="1">Planner_Semanal!C14</f>
        <v>0</v>
      </c>
      <c r="G44" t="s">
        <v>63</v>
      </c>
      <c r="H44" cm="1">
        <f t="array" ref="H44">IF(TRIM(UPPER(G44))="TALLER",
SUMPRODUCT((ISNUMBER(SEARCH("TALLER",UPPER(Maestro_Equipos!$G$4:$G$1000))))*(TRIM(UPPER(Maestro_Equipos!$V$4:$V$1000))&lt;&gt;"FUERA DE SERVICIO")*(TRIM(UPPER(Maestro_Equipos!$G$4:$G$1000))&lt;&gt;"VENDIDA")),
SUMPRODUCT((TRIM(UPPER(Maestro_Equipos!$G$4:$G$1000))=TRIM(UPPER(G44)))*(TRIM(UPPER(Maestro_Equipos!$V$4:$V$1000))&lt;&gt;"FUERA DE SERVICIO")*(TRIM(UPPER(Maestro_Equipos!$G$4:$G$1000))&lt;&gt;"VENDIDA"))
)</f>
        <v>12</v>
      </c>
    </row>
    <row r="45" spans="1:8">
      <c r="D45" t="str">
        <f>TEXT(Planner_Semanal!A15,"dd-mm")</f>
        <v>01-06</v>
      </c>
      <c r="E45">
        <f ca="1">Planner_Semanal!C15</f>
        <v>0</v>
      </c>
      <c r="G45" t="s">
        <v>344</v>
      </c>
      <c r="H45" cm="1">
        <f t="array" ref="H45">IF(TRIM(UPPER(G45))="TALLER",
SUMPRODUCT((ISNUMBER(SEARCH("TALLER",UPPER(Maestro_Equipos!$G$4:$G$1000))))*(TRIM(UPPER(Maestro_Equipos!$V$4:$V$1000))&lt;&gt;"FUERA DE SERVICIO")*(TRIM(UPPER(Maestro_Equipos!$G$4:$G$1000))&lt;&gt;"VENDIDA")),
SUMPRODUCT((TRIM(UPPER(Maestro_Equipos!$G$4:$G$1000))=TRIM(UPPER(G45)))*(TRIM(UPPER(Maestro_Equipos!$V$4:$V$1000))&lt;&gt;"FUERA DE SERVICIO")*(TRIM(UPPER(Maestro_Equipos!$G$4:$G$1000))&lt;&gt;"VENDIDA"))
)</f>
        <v>1</v>
      </c>
    </row>
    <row r="46" spans="1:8">
      <c r="D46" t="str">
        <f>TEXT(Planner_Semanal!A16,"dd-mm")</f>
        <v>08-06</v>
      </c>
      <c r="E46">
        <f ca="1">Planner_Semanal!C16</f>
        <v>0</v>
      </c>
      <c r="G46" t="s">
        <v>589</v>
      </c>
      <c r="H46" cm="1">
        <f t="array" ref="H46">IF(TRIM(UPPER(G46))="TALLER",
SUMPRODUCT((ISNUMBER(SEARCH("TALLER",UPPER(Maestro_Equipos!$G$4:$G$1000))))*(TRIM(UPPER(Maestro_Equipos!$V$4:$V$1000))&lt;&gt;"FUERA DE SERVICIO")*(TRIM(UPPER(Maestro_Equipos!$G$4:$G$1000))&lt;&gt;"VENDIDA")),
SUMPRODUCT((TRIM(UPPER(Maestro_Equipos!$G$4:$G$1000))=TRIM(UPPER(G46)))*(TRIM(UPPER(Maestro_Equipos!$V$4:$V$1000))&lt;&gt;"FUERA DE SERVICIO")*(TRIM(UPPER(Maestro_Equipos!$G$4:$G$1000))&lt;&gt;"VENDIDA"))
)</f>
        <v>2</v>
      </c>
    </row>
    <row r="47" spans="1:8" ht="15" customHeight="1">
      <c r="G47" t="s">
        <v>15</v>
      </c>
      <c r="H47" cm="1">
        <f t="array" ref="H47">IF(TRIM(UPPER(G47))="TALLER",
SUMPRODUCT((ISNUMBER(SEARCH("TALLER",UPPER(Maestro_Equipos!$G$4:$G$1000))))*(TRIM(UPPER(Maestro_Equipos!$V$4:$V$1000))&lt;&gt;"FUERA DE SERVICIO")*(TRIM(UPPER(Maestro_Equipos!$G$4:$G$1000))&lt;&gt;"VENDIDA")),
SUMPRODUCT((TRIM(UPPER(Maestro_Equipos!$G$4:$G$1000))=TRIM(UPPER(G47)))*(TRIM(UPPER(Maestro_Equipos!$V$4:$V$1000))&lt;&gt;"FUERA DE SERVICIO")*(TRIM(UPPER(Maestro_Equipos!$G$4:$G$1000))&lt;&gt;"VENDIDA"))
)</f>
        <v>16</v>
      </c>
    </row>
    <row r="48" spans="1:8" ht="15" customHeight="1">
      <c r="G48" t="s">
        <v>23</v>
      </c>
      <c r="H48" cm="1">
        <f t="array" ref="H48">IF(TRIM(UPPER(G48))="TALLER",
SUMPRODUCT((ISNUMBER(SEARCH("TALLER",UPPER(Maestro_Equipos!$G$4:$G$1000))))*(TRIM(UPPER(Maestro_Equipos!$V$4:$V$1000))&lt;&gt;"FUERA DE SERVICIO")*(TRIM(UPPER(Maestro_Equipos!$G$4:$G$1000))&lt;&gt;"VENDIDA")),
SUMPRODUCT((TRIM(UPPER(Maestro_Equipos!$G$4:$G$1000))=TRIM(UPPER(G48)))*(TRIM(UPPER(Maestro_Equipos!$V$4:$V$1000))&lt;&gt;"FUERA DE SERVICIO")*(TRIM(UPPER(Maestro_Equipos!$G$4:$G$1000))&lt;&gt;"VENDIDA"))
)</f>
        <v>9</v>
      </c>
    </row>
    <row r="49" spans="1:8" ht="15" customHeight="1">
      <c r="G49" t="s">
        <v>148</v>
      </c>
      <c r="H49" cm="1">
        <f t="array" ref="H49">IF(TRIM(UPPER(G49))="TALLER",
SUMPRODUCT((ISNUMBER(SEARCH("TALLER",UPPER(Maestro_Equipos!$G$4:$G$1000))))*(TRIM(UPPER(Maestro_Equipos!$V$4:$V$1000))&lt;&gt;"FUERA DE SERVICIO")*(TRIM(UPPER(Maestro_Equipos!$G$4:$G$1000))&lt;&gt;"VENDIDA")),
SUMPRODUCT((TRIM(UPPER(Maestro_Equipos!$G$4:$G$1000))=TRIM(UPPER(G49)))*(TRIM(UPPER(Maestro_Equipos!$V$4:$V$1000))&lt;&gt;"FUERA DE SERVICIO")*(TRIM(UPPER(Maestro_Equipos!$G$4:$G$1000))&lt;&gt;"VENDIDA"))
)</f>
        <v>0</v>
      </c>
    </row>
    <row r="50" spans="1:8" ht="15" customHeight="1">
      <c r="G50" t="s">
        <v>37</v>
      </c>
      <c r="H50" cm="1">
        <f t="array" ref="H50">IF(TRIM(UPPER(G50))="TALLER",
SUMPRODUCT((ISNUMBER(SEARCH("TALLER",UPPER(Maestro_Equipos!$G$4:$G$1000))))*(TRIM(UPPER(Maestro_Equipos!$V$4:$V$1000))&lt;&gt;"FUERA DE SERVICIO")*(TRIM(UPPER(Maestro_Equipos!$G$4:$G$1000))&lt;&gt;"VENDIDA")),
SUMPRODUCT((TRIM(UPPER(Maestro_Equipos!$G$4:$G$1000))=TRIM(UPPER(G50)))*(TRIM(UPPER(Maestro_Equipos!$V$4:$V$1000))&lt;&gt;"FUERA DE SERVICIO")*(TRIM(UPPER(Maestro_Equipos!$G$4:$G$1000))&lt;&gt;"VENDIDA"))
)</f>
        <v>49</v>
      </c>
    </row>
    <row r="51" spans="1:8" ht="15" customHeight="1">
      <c r="A51" t="s">
        <v>3525</v>
      </c>
      <c r="B51" t="s">
        <v>3534</v>
      </c>
      <c r="G51" t="s">
        <v>316</v>
      </c>
      <c r="H51" cm="1">
        <f t="array" ref="H51">IF(TRIM(UPPER(G51))="TALLER",
SUMPRODUCT((ISNUMBER(SEARCH("TALLER",UPPER(Maestro_Equipos!$G$4:$G$1000))))*(TRIM(UPPER(Maestro_Equipos!$V$4:$V$1000))&lt;&gt;"FUERA DE SERVICIO")*(TRIM(UPPER(Maestro_Equipos!$G$4:$G$1000))&lt;&gt;"VENDIDA")),
SUMPRODUCT((TRIM(UPPER(Maestro_Equipos!$G$4:$G$1000))=TRIM(UPPER(G51)))*(TRIM(UPPER(Maestro_Equipos!$V$4:$V$1000))&lt;&gt;"FUERA DE SERVICIO")*(TRIM(UPPER(Maestro_Equipos!$G$4:$G$1000))&lt;&gt;"VENDIDA"))
)</f>
        <v>3</v>
      </c>
    </row>
    <row r="52" spans="1:8" ht="15" customHeight="1">
      <c r="A52" t="str" cm="1">
        <f t="array" ref="A52:A61">_xlfn.UNIQUE(_xlfn._xlws.FILTER(Maestro_Equipos!G4:G995,ISNUMBER(SEARCH("PENDIENT",Maestro_Equipos!AD4:AD995)),""))</f>
        <v>Taller ext</v>
      </c>
      <c r="B52">
        <f>COUNTIFS(Maestro_Equipos!G$4:G$995,A3,Maestro_Equipos!AD$4:AD$995,"*PENDIENTE*")</f>
        <v>0</v>
      </c>
    </row>
    <row r="53" spans="1:8" ht="15" customHeight="1">
      <c r="A53" t="str">
        <v>Taller</v>
      </c>
      <c r="B53">
        <f>COUNTIFS(Maestro_Equipos!G$4:G$995,A4,Maestro_Equipos!AD$4:AD$995,"*PENDIENTE*")</f>
        <v>0</v>
      </c>
    </row>
    <row r="54" spans="1:8" ht="15" customHeight="1">
      <c r="A54" t="str">
        <v>Palmucho</v>
      </c>
      <c r="B54">
        <f>COUNTIFS(Maestro_Equipos!G$4:G$995,A5,Maestro_Equipos!AD$4:AD$995,"*PENDIENTE*")</f>
        <v>0</v>
      </c>
    </row>
    <row r="55" spans="1:8" ht="15" customHeight="1">
      <c r="A55" t="str">
        <v>San Carlos</v>
      </c>
      <c r="B55">
        <f>COUNTIFS(Maestro_Equipos!G$4:G$995,A6,Maestro_Equipos!AD$4:AD$995,"*PENDIENTE*")</f>
        <v>0</v>
      </c>
    </row>
    <row r="56" spans="1:8" ht="15" customHeight="1">
      <c r="A56" t="str">
        <v>Quirihue</v>
      </c>
      <c r="B56">
        <f>COUNTIFS(Maestro_Equipos!G$4:G$995,A7,Maestro_Equipos!AD$4:AD$995,"*PENDIENTE*")</f>
        <v>0</v>
      </c>
    </row>
    <row r="57" spans="1:8" ht="15" customHeight="1">
      <c r="A57" t="str">
        <v>Emergencias Curico</v>
      </c>
      <c r="B57">
        <f>COUNTIFS(Maestro_Equipos!G$4:G$995,A8,Maestro_Equipos!AD$4:AD$995,"*PENDIENTE*")</f>
        <v>0</v>
      </c>
    </row>
    <row r="58" spans="1:8" ht="15" customHeight="1">
      <c r="A58" t="str">
        <v>RETIRO</v>
      </c>
      <c r="B58">
        <f>COUNTIFS(Maestro_Equipos!G$4:G$995,A9,Maestro_Equipos!AD$4:AD$995,"*PENDIENTE*")</f>
        <v>0</v>
      </c>
    </row>
    <row r="59" spans="1:8" ht="15" customHeight="1">
      <c r="A59" t="str">
        <v>Colbun</v>
      </c>
      <c r="B59">
        <f>COUNTIFS(Maestro_Equipos!G$4:G$995,A10,Maestro_Equipos!AD$4:AD$995,"*PENDIENTE*")</f>
        <v>0</v>
      </c>
    </row>
    <row r="60" spans="1:8" ht="15" customHeight="1">
      <c r="A60" t="str">
        <v>Asfalto</v>
      </c>
      <c r="B60">
        <f>COUNTIFS(Maestro_Equipos!G$4:G$995,A11,Maestro_Equipos!AD$4:AD$995,"*PENDIENTE*")</f>
        <v>0</v>
      </c>
    </row>
    <row r="61" spans="1:8" ht="15" customHeight="1">
      <c r="A61" t="str">
        <v>Obras Varias</v>
      </c>
      <c r="B61">
        <f>COUNTIFS(Maestro_Equipos!G$4:G$995,A12,Maestro_Equipos!AD$4:AD$995,"*PENDIENTE*")</f>
        <v>0</v>
      </c>
    </row>
    <row r="62" spans="1:8" ht="15" customHeight="1">
      <c r="B62">
        <f>COUNTIFS(Maestro_Equipos!G$4:G$995,A13,Maestro_Equipos!AD$4:AD$995,"*PENDIENTE*")</f>
        <v>0</v>
      </c>
    </row>
  </sheetData>
  <mergeCells count="45">
    <mergeCell ref="G6:H6"/>
    <mergeCell ref="D6:E6"/>
    <mergeCell ref="M12:N12"/>
    <mergeCell ref="M13:N13"/>
    <mergeCell ref="M16:N16"/>
    <mergeCell ref="J8:K8"/>
    <mergeCell ref="M8:N8"/>
    <mergeCell ref="M17:N17"/>
    <mergeCell ref="A16:B16"/>
    <mergeCell ref="D16:E16"/>
    <mergeCell ref="G16:H16"/>
    <mergeCell ref="J16:K16"/>
    <mergeCell ref="A17:B17"/>
    <mergeCell ref="D17:E17"/>
    <mergeCell ref="G17:H17"/>
    <mergeCell ref="J17:K17"/>
    <mergeCell ref="A12:B12"/>
    <mergeCell ref="D12:E12"/>
    <mergeCell ref="G12:H12"/>
    <mergeCell ref="J12:K12"/>
    <mergeCell ref="A13:B13"/>
    <mergeCell ref="D13:E13"/>
    <mergeCell ref="G13:H13"/>
    <mergeCell ref="J13:K13"/>
    <mergeCell ref="A9:B9"/>
    <mergeCell ref="D9:E9"/>
    <mergeCell ref="G9:H9"/>
    <mergeCell ref="J9:K9"/>
    <mergeCell ref="M9:N9"/>
    <mergeCell ref="A19:B19"/>
    <mergeCell ref="A20:B20"/>
    <mergeCell ref="A1:N2"/>
    <mergeCell ref="A4:B4"/>
    <mergeCell ref="D4:E4"/>
    <mergeCell ref="G4:H4"/>
    <mergeCell ref="J4:K4"/>
    <mergeCell ref="M4:N4"/>
    <mergeCell ref="A5:B5"/>
    <mergeCell ref="D5:E5"/>
    <mergeCell ref="G5:H5"/>
    <mergeCell ref="J5:K5"/>
    <mergeCell ref="M5:N5"/>
    <mergeCell ref="A8:B8"/>
    <mergeCell ref="D8:E8"/>
    <mergeCell ref="G8:H8"/>
  </mergeCells>
  <conditionalFormatting sqref="D6:E6">
    <cfRule type="cellIs" priority="1" operator="between">
      <formula>$A$5</formula>
      <formula>$D$5</formula>
    </cfRule>
  </conditionalFormatting>
  <conditionalFormatting sqref="G6:H6">
    <cfRule type="dataBar" priority="2">
      <dataBar>
        <cfvo type="min"/>
        <cfvo type="max"/>
        <color rgb="FF638EC6"/>
      </dataBar>
      <extLst>
        <ext xmlns:x14="http://schemas.microsoft.com/office/spreadsheetml/2009/9/main" uri="{B025F937-C7B1-47D3-B67F-A62EFF666E3E}">
          <x14:id>{83003689-90EA-4F6E-A1FA-552776EA57CC}</x14:id>
        </ext>
      </extLst>
    </cfRule>
  </conditionalFormatting>
  <pageMargins left="0.75" right="0.75" top="1" bottom="1" header="0.511811023622047" footer="0.511811023622047"/>
  <pageSetup paperSize="9" orientation="portrait" horizontalDpi="300" verticalDpi="300" r:id="rId1"/>
  <drawing r:id="rId2"/>
  <extLst>
    <ext xmlns:x14="http://schemas.microsoft.com/office/spreadsheetml/2009/9/main" uri="{78C0D931-6437-407d-A8EE-F0AAD7539E65}">
      <x14:conditionalFormattings>
        <x14:conditionalFormatting xmlns:xm="http://schemas.microsoft.com/office/excel/2006/main">
          <x14:cfRule type="dataBar" id="{83003689-90EA-4F6E-A1FA-552776EA57CC}">
            <x14:dataBar minLength="0" maxLength="100" border="1" negativeBarBorderColorSameAsPositive="0">
              <x14:cfvo type="autoMin"/>
              <x14:cfvo type="autoMax"/>
              <x14:borderColor rgb="FF638EC6"/>
              <x14:negativeFillColor rgb="FFFF0000"/>
              <x14:negativeBorderColor rgb="FFFF0000"/>
              <x14:axisColor rgb="FF000000"/>
            </x14:dataBar>
          </x14:cfRule>
          <xm:sqref>G6:H6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Manuel Ortiz Ortiz</dc:creator>
  <cp:keywords/>
  <dc:description/>
  <cp:lastModifiedBy/>
  <cp:revision/>
  <dcterms:created xsi:type="dcterms:W3CDTF">2026-03-23T23:54:05Z</dcterms:created>
  <dcterms:modified xsi:type="dcterms:W3CDTF">2026-08-06T21:49:22Z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2026-03-16T17:52:40Z</dcterms:created>
  <dc:creator>Manu Ortiz</dc:creator>
  <dc:description/>
  <cp:keywords>Mantenciones Demotron</cp:keywords>
  <dc:language>en-US</dc:language>
  <cp:lastModifiedBy>Manuel Ortiz Ortiz</cp:lastModifiedBy>
  <dcterms:modified xsi:type="dcterms:W3CDTF">2026-03-23T23:33:50Z</dcterms:modified>
  <cp:revision>0</cp:revision>
  <dc:subject/>
  <dc:title>Mantenciones Demotron</dc:title>
</cp:coreProperties>
</file>