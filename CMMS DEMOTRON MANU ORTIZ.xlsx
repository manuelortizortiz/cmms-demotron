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d.docs.live.net/18769B89B4824173/"/>
    </mc:Choice>
  </mc:AlternateContent>
  <xr:revisionPtr revIDLastSave="2633" documentId="14_{1B04E9C0-1B79-4481-8DF8-317C0E0BDFCB}" xr6:coauthVersionLast="47" xr6:coauthVersionMax="47" xr10:uidLastSave="{2463DF50-A42E-4DE8-B9A7-F82ED1E62DD6}"/>
  <bookViews>
    <workbookView xWindow="-28920" yWindow="-1620" windowWidth="29040" windowHeight="15720" firstSheet="2" activeTab="2"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c r="I46" i="6"/>
  <c r="O46" i="6" a="1"/>
  <c r="O46" i="6"/>
  <c r="I47" i="6"/>
  <c r="I48" i="6"/>
  <c r="O48" i="6" a="1"/>
  <c r="O48" i="6"/>
  <c r="I49" i="6"/>
  <c r="I50" i="6"/>
  <c r="O50" i="6" a="1"/>
  <c r="O50" i="6"/>
  <c r="I51" i="6"/>
  <c r="O51" i="6" a="1"/>
  <c r="O51" i="6"/>
  <c r="I52" i="6"/>
  <c r="O52" i="6" a="1"/>
  <c r="O52" i="6"/>
  <c r="I53" i="6"/>
  <c r="O53" i="6" a="1"/>
  <c r="O53" i="6"/>
  <c r="I54" i="6"/>
  <c r="O54" i="6" a="1"/>
  <c r="O54" i="6"/>
  <c r="I55" i="6"/>
  <c r="I56" i="6"/>
  <c r="O56" i="6" a="1"/>
  <c r="O56" i="6"/>
  <c r="I57" i="6"/>
  <c r="I58" i="6"/>
  <c r="I59" i="6"/>
  <c r="I60" i="6"/>
  <c r="O60" i="6" a="1"/>
  <c r="O60" i="6"/>
  <c r="I61" i="6"/>
  <c r="O61" i="6" a="1"/>
  <c r="O61" i="6"/>
  <c r="I62" i="6"/>
  <c r="I63" i="6"/>
  <c r="I64" i="6"/>
  <c r="O64" i="6" a="1"/>
  <c r="O64" i="6"/>
  <c r="I65" i="6"/>
  <c r="I66" i="6"/>
  <c r="I67" i="6"/>
  <c r="O67" i="6" a="1"/>
  <c r="O67" i="6"/>
  <c r="I68" i="6"/>
  <c r="I69" i="6"/>
  <c r="O69" i="6" a="1"/>
  <c r="O69" i="6"/>
  <c r="I70" i="6"/>
  <c r="O70" i="6" a="1"/>
  <c r="O70" i="6"/>
  <c r="I71" i="6"/>
  <c r="I72" i="6"/>
  <c r="O72" i="6" a="1"/>
  <c r="O72" i="6"/>
  <c r="I73" i="6"/>
  <c r="I74" i="6"/>
  <c r="O74" i="6" a="1"/>
  <c r="O74" i="6"/>
  <c r="I75" i="6"/>
  <c r="O75" i="6" a="1"/>
  <c r="O75" i="6"/>
  <c r="I76" i="6"/>
  <c r="I77" i="6"/>
  <c r="O77" i="6" a="1"/>
  <c r="O77" i="6"/>
  <c r="I78" i="6"/>
  <c r="O78" i="6" a="1"/>
  <c r="O78" i="6"/>
  <c r="I79" i="6"/>
  <c r="I80" i="6"/>
  <c r="I81" i="6"/>
  <c r="I82" i="6"/>
  <c r="O82" i="6" a="1"/>
  <c r="O82" i="6"/>
  <c r="I83" i="6"/>
  <c r="O83" i="6" a="1"/>
  <c r="O83" i="6"/>
  <c r="I84" i="6"/>
  <c r="O84" i="6" a="1"/>
  <c r="O84" i="6"/>
  <c r="I85" i="6"/>
  <c r="O85" i="6" a="1"/>
  <c r="O85" i="6"/>
  <c r="I86" i="6"/>
  <c r="O86" i="6" a="1"/>
  <c r="O86" i="6"/>
  <c r="I87" i="6"/>
  <c r="I88" i="6"/>
  <c r="I89" i="6"/>
  <c r="O89" i="6" a="1"/>
  <c r="O89" i="6"/>
  <c r="I90" i="6"/>
  <c r="I91" i="6"/>
  <c r="O91" i="6" a="1"/>
  <c r="O91" i="6"/>
  <c r="I92" i="6"/>
  <c r="O92" i="6" a="1"/>
  <c r="O92" i="6"/>
  <c r="I93" i="6"/>
  <c r="O93" i="6" a="1"/>
  <c r="O93" i="6"/>
  <c r="I94" i="6"/>
  <c r="I95" i="6"/>
  <c r="I96" i="6"/>
  <c r="O96" i="6" a="1"/>
  <c r="O96" i="6"/>
  <c r="I97" i="6"/>
  <c r="I98" i="6"/>
  <c r="O98" i="6" a="1"/>
  <c r="O98" i="6"/>
  <c r="I99" i="6"/>
  <c r="I100" i="6"/>
  <c r="O100" i="6" a="1"/>
  <c r="O100" i="6"/>
  <c r="I101" i="6"/>
  <c r="O101" i="6" a="1"/>
  <c r="O101" i="6"/>
  <c r="I102" i="6"/>
  <c r="O102" i="6" a="1"/>
  <c r="O102" i="6"/>
  <c r="I103" i="6"/>
  <c r="I104" i="6"/>
  <c r="I105" i="6"/>
  <c r="I106" i="6"/>
  <c r="I107" i="6"/>
  <c r="I108" i="6"/>
  <c r="O108" i="6" a="1"/>
  <c r="O108" i="6"/>
  <c r="I109" i="6"/>
  <c r="O109" i="6" a="1"/>
  <c r="O109" i="6"/>
  <c r="I110" i="6"/>
  <c r="O110" i="6" a="1"/>
  <c r="O110" i="6"/>
  <c r="I111" i="6"/>
  <c r="O111" i="6" a="1"/>
  <c r="O111" i="6"/>
  <c r="I112" i="6"/>
  <c r="O112" i="6" a="1"/>
  <c r="O112" i="6"/>
  <c r="I113" i="6"/>
  <c r="I114" i="6"/>
  <c r="I115" i="6"/>
  <c r="I116" i="6"/>
  <c r="K116" i="6"/>
  <c r="I117" i="6"/>
  <c r="O117" i="6" a="1"/>
  <c r="O117" i="6"/>
  <c r="I118" i="6"/>
  <c r="O118" i="6" a="1"/>
  <c r="O118" i="6"/>
  <c r="I119" i="6"/>
  <c r="I120" i="6"/>
  <c r="I121" i="6"/>
  <c r="I122" i="6"/>
  <c r="I123" i="6"/>
  <c r="O123" i="6" a="1"/>
  <c r="O123" i="6"/>
  <c r="I124" i="6"/>
  <c r="O124" i="6" a="1"/>
  <c r="O124" i="6"/>
  <c r="I125" i="6"/>
  <c r="O125" i="6" a="1"/>
  <c r="O125" i="6"/>
  <c r="I126" i="6"/>
  <c r="O126" i="6" a="1"/>
  <c r="O126" i="6"/>
  <c r="I127" i="6"/>
  <c r="O127" i="6" a="1"/>
  <c r="O127" i="6"/>
  <c r="I128" i="6"/>
  <c r="O128" i="6" a="1"/>
  <c r="O128" i="6"/>
  <c r="I129" i="6"/>
  <c r="I130" i="6"/>
  <c r="O130" i="6" a="1"/>
  <c r="O130" i="6"/>
  <c r="I131" i="6"/>
  <c r="I132" i="6"/>
  <c r="O132" i="6" a="1"/>
  <c r="O132" i="6"/>
  <c r="I133" i="6"/>
  <c r="O133" i="6" a="1"/>
  <c r="O133" i="6"/>
  <c r="I134" i="6"/>
  <c r="O134" i="6" a="1"/>
  <c r="O134" i="6"/>
  <c r="I135" i="6"/>
  <c r="I136" i="6"/>
  <c r="O136" i="6" a="1"/>
  <c r="O136" i="6"/>
  <c r="I137" i="6"/>
  <c r="I138" i="6"/>
  <c r="O138" i="6" a="1"/>
  <c r="O138" i="6"/>
  <c r="I139" i="6"/>
  <c r="O139" i="6" a="1"/>
  <c r="O139" i="6"/>
  <c r="I140" i="6"/>
  <c r="O140" i="6" a="1"/>
  <c r="O140" i="6"/>
  <c r="I141" i="6"/>
  <c r="O141" i="6" a="1"/>
  <c r="O141" i="6"/>
  <c r="I142" i="6"/>
  <c r="O142" i="6" a="1"/>
  <c r="O142" i="6"/>
  <c r="I143" i="6"/>
  <c r="I144" i="6"/>
  <c r="I145" i="6"/>
  <c r="O145" i="6" a="1"/>
  <c r="O145" i="6"/>
  <c r="I146" i="6"/>
  <c r="O146" i="6" a="1"/>
  <c r="O146" i="6"/>
  <c r="I147" i="6"/>
  <c r="O147" i="6" a="1"/>
  <c r="O147" i="6"/>
  <c r="I148" i="6"/>
  <c r="O148" i="6" a="1"/>
  <c r="O148" i="6"/>
  <c r="I149" i="6"/>
  <c r="O149" i="6" a="1"/>
  <c r="O149" i="6"/>
  <c r="I150" i="6"/>
  <c r="K150" i="6"/>
  <c r="I151" i="6"/>
  <c r="I152" i="6"/>
  <c r="O152" i="6" a="1"/>
  <c r="O152" i="6"/>
  <c r="I153" i="6"/>
  <c r="O153" i="6" a="1"/>
  <c r="O153" i="6"/>
  <c r="I154" i="6"/>
  <c r="O154" i="6" a="1"/>
  <c r="O154" i="6"/>
  <c r="I155" i="6"/>
  <c r="O155" i="6" a="1"/>
  <c r="O155" i="6"/>
  <c r="I156" i="6"/>
  <c r="O156" i="6" a="1"/>
  <c r="O156" i="6"/>
  <c r="I157" i="6"/>
  <c r="O157" i="6" a="1"/>
  <c r="O157" i="6"/>
  <c r="I158" i="6"/>
  <c r="O158" i="6" a="1"/>
  <c r="O158" i="6"/>
  <c r="I159" i="6"/>
  <c r="I160" i="6"/>
  <c r="O160" i="6" a="1"/>
  <c r="O160" i="6"/>
  <c r="I161" i="6"/>
  <c r="I162" i="6"/>
  <c r="O162" i="6" a="1"/>
  <c r="O162" i="6"/>
  <c r="I163" i="6"/>
  <c r="O163" i="6" a="1"/>
  <c r="O163" i="6"/>
  <c r="I164" i="6"/>
  <c r="O164" i="6" a="1"/>
  <c r="O164" i="6"/>
  <c r="I165" i="6"/>
  <c r="O165" i="6" a="1"/>
  <c r="O165" i="6"/>
  <c r="I166" i="6"/>
  <c r="O166" i="6" a="1"/>
  <c r="O166" i="6"/>
  <c r="I167" i="6"/>
  <c r="O167" i="6" a="1"/>
  <c r="O167" i="6"/>
  <c r="I168" i="6"/>
  <c r="K168" i="6"/>
  <c r="I169" i="6"/>
  <c r="O169" i="6" a="1"/>
  <c r="O169" i="6"/>
  <c r="I170" i="6"/>
  <c r="O170" i="6" a="1"/>
  <c r="O170" i="6"/>
  <c r="I171" i="6"/>
  <c r="O171" i="6" a="1"/>
  <c r="O171" i="6"/>
  <c r="I172" i="6"/>
  <c r="O172" i="6" a="1"/>
  <c r="O172" i="6"/>
  <c r="I173" i="6"/>
  <c r="O173" i="6" a="1"/>
  <c r="O173" i="6"/>
  <c r="I174" i="6"/>
  <c r="O174" i="6" a="1"/>
  <c r="O174" i="6"/>
  <c r="I175" i="6"/>
  <c r="I176" i="6"/>
  <c r="O176" i="6" a="1"/>
  <c r="O176" i="6"/>
  <c r="I177" i="6"/>
  <c r="I178" i="6"/>
  <c r="K178" i="6"/>
  <c r="I179" i="6"/>
  <c r="O179" i="6" a="1"/>
  <c r="O179" i="6"/>
  <c r="I180" i="6"/>
  <c r="O180" i="6" a="1"/>
  <c r="O180" i="6"/>
  <c r="I181" i="6"/>
  <c r="O181" i="6" a="1"/>
  <c r="O181" i="6"/>
  <c r="I182" i="6"/>
  <c r="O182" i="6" a="1"/>
  <c r="O182" i="6"/>
  <c r="I183" i="6"/>
  <c r="O183" i="6" a="1"/>
  <c r="O183" i="6"/>
  <c r="I184" i="6"/>
  <c r="K184" i="6"/>
  <c r="I185" i="6"/>
  <c r="O185" i="6" a="1"/>
  <c r="O185" i="6"/>
  <c r="I186" i="6"/>
  <c r="O186" i="6" a="1"/>
  <c r="O186" i="6"/>
  <c r="I187" i="6"/>
  <c r="O187" i="6" a="1"/>
  <c r="O187" i="6"/>
  <c r="I188" i="6"/>
  <c r="O188" i="6" a="1"/>
  <c r="O188" i="6"/>
  <c r="I189" i="6"/>
  <c r="O189" i="6" a="1"/>
  <c r="O189" i="6"/>
  <c r="I190" i="6"/>
  <c r="O190" i="6" a="1"/>
  <c r="O190" i="6"/>
  <c r="I191" i="6"/>
  <c r="O191" i="6" a="1"/>
  <c r="O191" i="6"/>
  <c r="I192" i="6"/>
  <c r="O192" i="6" a="1"/>
  <c r="O192" i="6"/>
  <c r="I193" i="6"/>
  <c r="O193" i="6" a="1"/>
  <c r="O193" i="6"/>
  <c r="I194" i="6"/>
  <c r="O194" i="6" a="1"/>
  <c r="O194" i="6"/>
  <c r="I195" i="6"/>
  <c r="O195" i="6" a="1"/>
  <c r="O195" i="6"/>
  <c r="I196" i="6"/>
  <c r="O196" i="6" a="1"/>
  <c r="O196" i="6"/>
  <c r="I197" i="6"/>
  <c r="O197" i="6" a="1"/>
  <c r="O197" i="6"/>
  <c r="I198" i="6"/>
  <c r="O198" i="6" a="1"/>
  <c r="O198" i="6"/>
  <c r="I199" i="6"/>
  <c r="I200" i="6"/>
  <c r="O200" i="6" a="1"/>
  <c r="O200" i="6"/>
  <c r="I201" i="6"/>
  <c r="O201" i="6" a="1"/>
  <c r="O201" i="6"/>
  <c r="I202" i="6"/>
  <c r="O202" i="6" a="1"/>
  <c r="O202" i="6"/>
  <c r="I203" i="6"/>
  <c r="O203" i="6" a="1"/>
  <c r="O203" i="6"/>
  <c r="I204" i="6"/>
  <c r="I205" i="6"/>
  <c r="O205" i="6" a="1"/>
  <c r="O205" i="6"/>
  <c r="I206" i="6"/>
  <c r="O206" i="6" a="1"/>
  <c r="O206" i="6"/>
  <c r="I207" i="6"/>
  <c r="I208" i="6"/>
  <c r="O208" i="6" a="1"/>
  <c r="O208" i="6"/>
  <c r="I209" i="6"/>
  <c r="I210" i="6"/>
  <c r="O210" i="6" a="1"/>
  <c r="O210" i="6"/>
  <c r="I211" i="6"/>
  <c r="O211" i="6" a="1"/>
  <c r="O211" i="6"/>
  <c r="I212" i="6"/>
  <c r="O212" i="6" a="1"/>
  <c r="O212" i="6"/>
  <c r="I213" i="6"/>
  <c r="O213" i="6" a="1"/>
  <c r="O213" i="6"/>
  <c r="I214" i="6"/>
  <c r="K214" i="6"/>
  <c r="I215" i="6"/>
  <c r="I216" i="6"/>
  <c r="O216" i="6" a="1"/>
  <c r="O216" i="6"/>
  <c r="I217" i="6"/>
  <c r="I218" i="6"/>
  <c r="O218" i="6" a="1"/>
  <c r="O218" i="6"/>
  <c r="I219" i="6"/>
  <c r="O219" i="6" a="1"/>
  <c r="O219" i="6"/>
  <c r="I220" i="6"/>
  <c r="O220" i="6" a="1"/>
  <c r="O220" i="6"/>
  <c r="I221" i="6"/>
  <c r="O221" i="6" a="1"/>
  <c r="O221" i="6"/>
  <c r="I222" i="6"/>
  <c r="O222" i="6" a="1"/>
  <c r="O222" i="6"/>
  <c r="I223" i="6"/>
  <c r="O223" i="6" a="1"/>
  <c r="O223" i="6"/>
  <c r="I224" i="6"/>
  <c r="O224" i="6" a="1"/>
  <c r="O224" i="6"/>
  <c r="I225" i="6"/>
  <c r="I226" i="6"/>
  <c r="O226" i="6" a="1"/>
  <c r="O226" i="6"/>
  <c r="I227" i="6"/>
  <c r="O227" i="6" a="1"/>
  <c r="O227" i="6"/>
  <c r="I228" i="6"/>
  <c r="O228" i="6" a="1"/>
  <c r="O228" i="6"/>
  <c r="I229" i="6"/>
  <c r="O229" i="6" a="1"/>
  <c r="O229" i="6"/>
  <c r="I230" i="6"/>
  <c r="O230" i="6" a="1"/>
  <c r="O230" i="6"/>
  <c r="I231" i="6"/>
  <c r="I232" i="6"/>
  <c r="O232" i="6" a="1"/>
  <c r="O232" i="6"/>
  <c r="I233" i="6"/>
  <c r="I234" i="6"/>
  <c r="O234" i="6" a="1"/>
  <c r="O234" i="6"/>
  <c r="I235" i="6"/>
  <c r="O235" i="6" a="1"/>
  <c r="O235" i="6"/>
  <c r="I236" i="6"/>
  <c r="O236" i="6" a="1"/>
  <c r="O236" i="6"/>
  <c r="I237" i="6"/>
  <c r="K237" i="6"/>
  <c r="G237" i="7"/>
  <c r="I238" i="6"/>
  <c r="O238" i="6" a="1"/>
  <c r="O238" i="6"/>
  <c r="I239" i="6"/>
  <c r="O239" i="6" a="1"/>
  <c r="O239" i="6"/>
  <c r="I240" i="6"/>
  <c r="O240" i="6" a="1"/>
  <c r="O240" i="6"/>
  <c r="I241" i="6"/>
  <c r="O241" i="6" a="1"/>
  <c r="O241" i="6"/>
  <c r="I242" i="6"/>
  <c r="O242" i="6" a="1"/>
  <c r="O242" i="6"/>
  <c r="I4" i="6"/>
  <c r="O4" i="6" a="1"/>
  <c r="O4"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c r="O31" i="6" a="1"/>
  <c r="O31" i="6"/>
  <c r="O40" i="6" a="1"/>
  <c r="O40" i="6"/>
  <c r="O122" i="6" a="1"/>
  <c r="O122" i="6"/>
  <c r="O20" i="6" a="1"/>
  <c r="O20" i="6"/>
  <c r="O65" i="6" a="1"/>
  <c r="O65" i="6"/>
  <c r="O33" i="6" a="1"/>
  <c r="O33" i="6"/>
  <c r="O129" i="6" a="1"/>
  <c r="O129" i="6"/>
  <c r="O159" i="6" a="1"/>
  <c r="O159" i="6"/>
  <c r="O6" i="6" a="1"/>
  <c r="O6" i="6"/>
  <c r="O14" i="6" a="1"/>
  <c r="O14" i="6"/>
  <c r="O15" i="6" a="1"/>
  <c r="O15" i="6"/>
  <c r="O42" i="6" a="1"/>
  <c r="O42" i="6"/>
  <c r="O47" i="6" a="1"/>
  <c r="O47" i="6"/>
  <c r="O71" i="6" a="1"/>
  <c r="O71" i="6"/>
  <c r="O76" i="6" a="1"/>
  <c r="O76" i="6"/>
  <c r="O104" i="6" a="1"/>
  <c r="O104" i="6"/>
  <c r="O105" i="6" a="1"/>
  <c r="O105" i="6"/>
  <c r="O121" i="6" a="1"/>
  <c r="O121" i="6"/>
  <c r="O144" i="6" a="1"/>
  <c r="O144" i="6"/>
  <c r="O199" i="6" a="1"/>
  <c r="O199" i="6"/>
  <c r="O135" i="6" a="1"/>
  <c r="O135" i="6"/>
  <c r="O12" i="6" a="1"/>
  <c r="O12" i="6"/>
  <c r="O97" i="6" a="1"/>
  <c r="O97" i="6"/>
  <c r="O233" i="6" a="1"/>
  <c r="O233" i="6"/>
  <c r="O9" i="6" a="1"/>
  <c r="O9" i="6"/>
  <c r="O10" i="6" a="1"/>
  <c r="O10" i="6"/>
  <c r="O175" i="6" a="1"/>
  <c r="O175" i="6"/>
  <c r="O217" i="6" a="1"/>
  <c r="O217" i="6"/>
  <c r="O39" i="6" a="1"/>
  <c r="O39" i="6"/>
  <c r="O23" i="6" a="1"/>
  <c r="O23" i="6"/>
  <c r="O87" i="6" a="1"/>
  <c r="O87" i="6"/>
  <c r="O5" i="6" a="1"/>
  <c r="O5" i="6"/>
  <c r="O115" i="6" a="1"/>
  <c r="O115" i="6"/>
  <c r="O26" i="6" a="1"/>
  <c r="O26" i="6"/>
  <c r="O73" i="6" a="1"/>
  <c r="O73" i="6"/>
  <c r="O24" i="6" a="1"/>
  <c r="O24" i="6"/>
  <c r="O25" i="6" a="1"/>
  <c r="O25" i="6"/>
  <c r="O168" i="6" a="1"/>
  <c r="O168" i="6"/>
  <c r="O184" i="6" a="1"/>
  <c r="O184" i="6"/>
  <c r="O215" i="6" a="1"/>
  <c r="O215" i="6"/>
  <c r="O58" i="6" a="1"/>
  <c r="O58" i="6"/>
  <c r="O68" i="6" a="1"/>
  <c r="O68" i="6"/>
  <c r="O150" i="6" a="1"/>
  <c r="O150" i="6"/>
  <c r="O178" i="6" a="1"/>
  <c r="O178" i="6"/>
  <c r="O55" i="6" a="1"/>
  <c r="O55" i="6"/>
  <c r="O120" i="6" a="1"/>
  <c r="O120" i="6"/>
  <c r="O22" i="6" a="1"/>
  <c r="O22" i="6"/>
  <c r="O81" i="6" a="1"/>
  <c r="O81" i="6"/>
  <c r="O231" i="6" a="1"/>
  <c r="O231" i="6"/>
  <c r="O79" i="6" a="1"/>
  <c r="O79" i="6"/>
  <c r="O225" i="6" a="1"/>
  <c r="O225" i="6"/>
  <c r="O11" i="6" a="1"/>
  <c r="O11" i="6"/>
  <c r="O113" i="6" a="1"/>
  <c r="O113" i="6"/>
  <c r="O90" i="6" a="1"/>
  <c r="O90" i="6"/>
  <c r="O177" i="6" a="1"/>
  <c r="O177" i="6"/>
  <c r="O161" i="6" a="1"/>
  <c r="O161" i="6"/>
  <c r="O80" i="6" a="1"/>
  <c r="O80" i="6"/>
  <c r="O95" i="6" a="1"/>
  <c r="O95" i="6"/>
  <c r="O114" i="6" a="1"/>
  <c r="O114" i="6"/>
  <c r="O209" i="6" a="1"/>
  <c r="O209" i="6"/>
  <c r="O62" i="6" a="1"/>
  <c r="O62" i="6"/>
  <c r="O207" i="6" a="1"/>
  <c r="O207" i="6"/>
  <c r="O151" i="6" a="1"/>
  <c r="O151" i="6"/>
  <c r="O88" i="6" a="1"/>
  <c r="O88" i="6"/>
  <c r="O94" i="6" a="1"/>
  <c r="O94" i="6"/>
  <c r="O17" i="6" a="1"/>
  <c r="O17" i="6"/>
  <c r="O7" i="6" a="1"/>
  <c r="O7" i="6"/>
  <c r="O143" i="6" a="1"/>
  <c r="O143" i="6"/>
  <c r="O8" i="6" a="1"/>
  <c r="O8" i="6"/>
  <c r="O63" i="6" a="1"/>
  <c r="O63" i="6"/>
  <c r="O57" i="6" a="1"/>
  <c r="O57" i="6"/>
  <c r="O107" i="6" a="1"/>
  <c r="O107" i="6"/>
  <c r="O137" i="6" a="1"/>
  <c r="O137" i="6"/>
  <c r="O59" i="6" a="1"/>
  <c r="O59" i="6"/>
  <c r="O103" i="6" a="1"/>
  <c r="O103" i="6"/>
  <c r="O131" i="6" a="1"/>
  <c r="O131" i="6"/>
  <c r="O99" i="6" a="1"/>
  <c r="O99" i="6"/>
  <c r="O106" i="6" a="1"/>
  <c r="O106" i="6"/>
  <c r="O119" i="6" a="1"/>
  <c r="O119" i="6"/>
  <c r="O41" i="6" a="1"/>
  <c r="O41" i="6"/>
  <c r="O66" i="6" a="1"/>
  <c r="O66" i="6"/>
  <c r="R48" i="6"/>
  <c r="R60" i="6"/>
  <c r="R16" i="6"/>
  <c r="R37" i="6"/>
  <c r="F37" i="7"/>
  <c r="R27" i="6"/>
  <c r="X27" i="6"/>
  <c r="R19" i="6"/>
  <c r="X19" i="6"/>
  <c r="R127" i="6"/>
  <c r="R20" i="6"/>
  <c r="X20" i="6"/>
  <c r="R126" i="6"/>
  <c r="R46" i="6"/>
  <c r="F46" i="7"/>
  <c r="R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R90" i="6"/>
  <c r="F90" i="7"/>
  <c r="R200" i="6"/>
  <c r="R152" i="6"/>
  <c r="F152" i="7"/>
  <c r="R177" i="6"/>
  <c r="X177" i="6"/>
  <c r="R172" i="6"/>
  <c r="F172" i="7"/>
  <c r="R235" i="6"/>
  <c r="R170" i="6"/>
  <c r="X170" i="6"/>
  <c r="R187" i="6"/>
  <c r="X187" i="6"/>
  <c r="R218" i="6"/>
  <c r="X218" i="6"/>
  <c r="R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E122" i="7"/>
  <c r="M64" i="6"/>
  <c r="M43" i="6"/>
  <c r="M50" i="6"/>
  <c r="E50" i="7"/>
  <c r="M13" i="6"/>
  <c r="E13" i="7"/>
  <c r="M28" i="6"/>
  <c r="M54" i="6"/>
  <c r="E54" i="7"/>
  <c r="M18" i="6"/>
  <c r="M48" i="6"/>
  <c r="M60" i="6"/>
  <c r="M16" i="6"/>
  <c r="M37" i="6"/>
  <c r="M27" i="6"/>
  <c r="E27" i="7"/>
  <c r="M19" i="6"/>
  <c r="E19" i="7"/>
  <c r="M127" i="6"/>
  <c r="M20" i="6"/>
  <c r="M126" i="6"/>
  <c r="M46" i="6"/>
  <c r="M65" i="6"/>
  <c r="M33" i="6"/>
  <c r="E33" i="7"/>
  <c r="M221" i="6"/>
  <c r="M34" i="6"/>
  <c r="M67" i="6"/>
  <c r="M129" i="6"/>
  <c r="M146" i="6"/>
  <c r="M159" i="6"/>
  <c r="M4" i="6"/>
  <c r="M6" i="6"/>
  <c r="M14" i="6"/>
  <c r="E14" i="7"/>
  <c r="M15" i="6"/>
  <c r="M29" i="6"/>
  <c r="M32" i="6"/>
  <c r="E32" i="7"/>
  <c r="M36" i="6"/>
  <c r="M38" i="6"/>
  <c r="M42" i="6"/>
  <c r="M44" i="6"/>
  <c r="E44" i="7"/>
  <c r="M45" i="6"/>
  <c r="M47" i="6"/>
  <c r="M51" i="6"/>
  <c r="M52" i="6"/>
  <c r="E52" i="7"/>
  <c r="M53" i="6"/>
  <c r="M61" i="6"/>
  <c r="M71" i="6"/>
  <c r="E71" i="7"/>
  <c r="M72" i="6"/>
  <c r="E72" i="7"/>
  <c r="M74" i="6"/>
  <c r="M76" i="6"/>
  <c r="M77" i="6"/>
  <c r="M82" i="6"/>
  <c r="M84" i="6"/>
  <c r="M98" i="6"/>
  <c r="M100" i="6"/>
  <c r="M101" i="6"/>
  <c r="M104" i="6"/>
  <c r="M105" i="6"/>
  <c r="E105" i="7"/>
  <c r="M108" i="6"/>
  <c r="E108" i="7"/>
  <c r="M110" i="6"/>
  <c r="M111" i="6"/>
  <c r="M112" i="6"/>
  <c r="E112" i="7"/>
  <c r="M117" i="6"/>
  <c r="M118" i="6"/>
  <c r="M121" i="6"/>
  <c r="E121" i="7"/>
  <c r="M132" i="6"/>
  <c r="E132" i="7"/>
  <c r="M133" i="6"/>
  <c r="M136" i="6"/>
  <c r="E136" i="7"/>
  <c r="M141" i="6"/>
  <c r="M144" i="6"/>
  <c r="M145" i="6"/>
  <c r="M194" i="6"/>
  <c r="M196" i="6"/>
  <c r="M198" i="6"/>
  <c r="M199" i="6"/>
  <c r="M201" i="6"/>
  <c r="M203" i="6"/>
  <c r="M206" i="6"/>
  <c r="M208" i="6"/>
  <c r="M210" i="6"/>
  <c r="M211" i="6"/>
  <c r="M212" i="6"/>
  <c r="M213" i="6"/>
  <c r="M219" i="6"/>
  <c r="M220" i="6"/>
  <c r="M222" i="6"/>
  <c r="M239" i="6"/>
  <c r="M240" i="6"/>
  <c r="M241" i="6"/>
  <c r="M242" i="6"/>
  <c r="E242" i="7"/>
  <c r="M195" i="6"/>
  <c r="M135" i="6"/>
  <c r="M35" i="6"/>
  <c r="E35" i="7"/>
  <c r="M190" i="6"/>
  <c r="M93" i="6"/>
  <c r="M109" i="6"/>
  <c r="M224" i="6"/>
  <c r="M12" i="6"/>
  <c r="M125" i="6"/>
  <c r="M97" i="6"/>
  <c r="M205" i="6"/>
  <c r="M188" i="6"/>
  <c r="M139" i="6"/>
  <c r="M75" i="6"/>
  <c r="E75" i="7"/>
  <c r="M233" i="6"/>
  <c r="M160" i="6"/>
  <c r="M180" i="6"/>
  <c r="M189" i="6"/>
  <c r="M229" i="6"/>
  <c r="M234" i="6"/>
  <c r="M165" i="6"/>
  <c r="M69" i="6"/>
  <c r="E69" i="7"/>
  <c r="M167" i="6"/>
  <c r="M181" i="6"/>
  <c r="M162" i="6"/>
  <c r="M9" i="6"/>
  <c r="E9" i="7"/>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E24" i="7"/>
  <c r="M25" i="6"/>
  <c r="E25" i="7"/>
  <c r="M173" i="6"/>
  <c r="M168" i="6"/>
  <c r="M184" i="6"/>
  <c r="M89" i="6"/>
  <c r="E89" i="7"/>
  <c r="M215" i="6"/>
  <c r="M182" i="6"/>
  <c r="M70" i="6"/>
  <c r="M230" i="6"/>
  <c r="M169" i="6"/>
  <c r="M56" i="6"/>
  <c r="E56" i="7"/>
  <c r="M123" i="6"/>
  <c r="M163" i="6"/>
  <c r="M124" i="6"/>
  <c r="E124" i="7"/>
  <c r="M153" i="6"/>
  <c r="M142" i="6"/>
  <c r="M58" i="6"/>
  <c r="M91" i="6"/>
  <c r="M102" i="6"/>
  <c r="M116" i="6"/>
  <c r="M86" i="6"/>
  <c r="E86" i="7"/>
  <c r="M216" i="6"/>
  <c r="M68" i="6"/>
  <c r="E68" i="7"/>
  <c r="M130" i="6"/>
  <c r="M179" i="6"/>
  <c r="M148" i="6"/>
  <c r="E148" i="7"/>
  <c r="M150" i="6"/>
  <c r="E150" i="7"/>
  <c r="M178" i="6"/>
  <c r="M158" i="6"/>
  <c r="M55" i="6"/>
  <c r="M92" i="6"/>
  <c r="M128" i="6"/>
  <c r="M120" i="6"/>
  <c r="M174" i="6"/>
  <c r="M22" i="6"/>
  <c r="M81" i="6"/>
  <c r="M78" i="6"/>
  <c r="M176" i="6"/>
  <c r="M183" i="6"/>
  <c r="M231" i="6"/>
  <c r="M79" i="6"/>
  <c r="E79" i="7"/>
  <c r="M223" i="6"/>
  <c r="M155" i="6"/>
  <c r="M185" i="6"/>
  <c r="M237" i="6"/>
  <c r="M225" i="6"/>
  <c r="M140" i="6"/>
  <c r="E140" i="7"/>
  <c r="M11" i="6"/>
  <c r="M113" i="6"/>
  <c r="M90" i="6"/>
  <c r="E90" i="7"/>
  <c r="M200" i="6"/>
  <c r="M152" i="6"/>
  <c r="M177" i="6"/>
  <c r="M172" i="6"/>
  <c r="M235" i="6"/>
  <c r="M170" i="6"/>
  <c r="M187" i="6"/>
  <c r="M218" i="6"/>
  <c r="M161" i="6"/>
  <c r="M214" i="6"/>
  <c r="M204" i="6"/>
  <c r="M80" i="6"/>
  <c r="E80" i="7"/>
  <c r="M95" i="6"/>
  <c r="M114" i="6"/>
  <c r="M147" i="6"/>
  <c r="E147" i="7"/>
  <c r="M232" i="6"/>
  <c r="M166" i="6"/>
  <c r="M209" i="6"/>
  <c r="M62" i="6"/>
  <c r="M226" i="6"/>
  <c r="M157" i="6"/>
  <c r="M202" i="6"/>
  <c r="M228" i="6"/>
  <c r="M238" i="6"/>
  <c r="M207" i="6"/>
  <c r="M151" i="6"/>
  <c r="M88" i="6"/>
  <c r="M94" i="6"/>
  <c r="M17" i="6"/>
  <c r="M7" i="6"/>
  <c r="E7" i="7"/>
  <c r="M143" i="6"/>
  <c r="E143" i="7"/>
  <c r="M8" i="6"/>
  <c r="M63" i="6"/>
  <c r="E63" i="7"/>
  <c r="M57" i="6"/>
  <c r="E57" i="7"/>
  <c r="M107" i="6"/>
  <c r="M137" i="6"/>
  <c r="M59" i="6"/>
  <c r="M103" i="6"/>
  <c r="E103" i="7"/>
  <c r="M131" i="6"/>
  <c r="M99" i="6"/>
  <c r="M106" i="6"/>
  <c r="M119" i="6"/>
  <c r="M41" i="6"/>
  <c r="M66" i="6"/>
  <c r="N21" i="6"/>
  <c r="N30" i="6"/>
  <c r="N31" i="6"/>
  <c r="N40" i="6"/>
  <c r="N122" i="6"/>
  <c r="N64" i="6"/>
  <c r="N43" i="6"/>
  <c r="E43" i="7"/>
  <c r="N50" i="6"/>
  <c r="N13" i="6"/>
  <c r="N28" i="6"/>
  <c r="N54" i="6"/>
  <c r="N18" i="6"/>
  <c r="N48" i="6"/>
  <c r="N60" i="6"/>
  <c r="N16" i="6"/>
  <c r="N37" i="6"/>
  <c r="N27" i="6"/>
  <c r="N19" i="6"/>
  <c r="N127" i="6"/>
  <c r="N20" i="6"/>
  <c r="N126" i="6"/>
  <c r="N46" i="6"/>
  <c r="E46" i="7"/>
  <c r="N65" i="6"/>
  <c r="N33" i="6"/>
  <c r="N221" i="6"/>
  <c r="E221" i="7"/>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E203" i="7"/>
  <c r="N206" i="6"/>
  <c r="N208" i="6"/>
  <c r="E208" i="7"/>
  <c r="N210" i="6"/>
  <c r="E210" i="7"/>
  <c r="N211" i="6"/>
  <c r="E211" i="7"/>
  <c r="N212" i="6"/>
  <c r="N213" i="6"/>
  <c r="N219" i="6"/>
  <c r="N220" i="6"/>
  <c r="N222" i="6"/>
  <c r="E222" i="7"/>
  <c r="N239" i="6"/>
  <c r="N240" i="6"/>
  <c r="N241" i="6"/>
  <c r="N242" i="6"/>
  <c r="N195" i="6"/>
  <c r="E195" i="7"/>
  <c r="N135" i="6"/>
  <c r="N35" i="6"/>
  <c r="N190" i="6"/>
  <c r="E190" i="7"/>
  <c r="N93" i="6"/>
  <c r="N109" i="6"/>
  <c r="N224" i="6"/>
  <c r="N12" i="6"/>
  <c r="N125" i="6"/>
  <c r="N97" i="6"/>
  <c r="N205" i="6"/>
  <c r="N188" i="6"/>
  <c r="N139" i="6"/>
  <c r="N75" i="6"/>
  <c r="N233" i="6"/>
  <c r="N160" i="6"/>
  <c r="N180" i="6"/>
  <c r="N189" i="6"/>
  <c r="N229" i="6"/>
  <c r="N234" i="6"/>
  <c r="E234" i="7"/>
  <c r="N165" i="6"/>
  <c r="N69" i="6"/>
  <c r="N167" i="6"/>
  <c r="E167" i="7"/>
  <c r="N181" i="6"/>
  <c r="N162" i="6"/>
  <c r="E162" i="7"/>
  <c r="N9" i="6"/>
  <c r="N154" i="6"/>
  <c r="N171" i="6"/>
  <c r="N149" i="6"/>
  <c r="N191" i="6"/>
  <c r="N227" i="6"/>
  <c r="N10" i="6"/>
  <c r="N186" i="6"/>
  <c r="N134" i="6"/>
  <c r="N175" i="6"/>
  <c r="E175" i="7"/>
  <c r="N217" i="6"/>
  <c r="N39" i="6"/>
  <c r="N23" i="6"/>
  <c r="N87" i="6"/>
  <c r="N164" i="6"/>
  <c r="E164" i="7"/>
  <c r="N96" i="6"/>
  <c r="N156" i="6"/>
  <c r="N193" i="6"/>
  <c r="N85" i="6"/>
  <c r="N5" i="6"/>
  <c r="N115" i="6"/>
  <c r="N26" i="6"/>
  <c r="N73" i="6"/>
  <c r="N197" i="6"/>
  <c r="N192" i="6"/>
  <c r="N236" i="6"/>
  <c r="N138" i="6"/>
  <c r="N83" i="6"/>
  <c r="N24" i="6"/>
  <c r="N25" i="6"/>
  <c r="N173" i="6"/>
  <c r="N168" i="6"/>
  <c r="E168" i="7"/>
  <c r="N184" i="6"/>
  <c r="N89" i="6"/>
  <c r="N215" i="6"/>
  <c r="N182" i="6"/>
  <c r="E182" i="7"/>
  <c r="N70" i="6"/>
  <c r="N230" i="6"/>
  <c r="N169" i="6"/>
  <c r="E169" i="7"/>
  <c r="N56" i="6"/>
  <c r="N123" i="6"/>
  <c r="N163" i="6"/>
  <c r="E163" i="7"/>
  <c r="N124" i="6"/>
  <c r="N153" i="6"/>
  <c r="N142" i="6"/>
  <c r="N58" i="6"/>
  <c r="N91" i="6"/>
  <c r="N102" i="6"/>
  <c r="N116" i="6"/>
  <c r="N86" i="6"/>
  <c r="N216" i="6"/>
  <c r="E216" i="7"/>
  <c r="N68" i="6"/>
  <c r="N130" i="6"/>
  <c r="N179" i="6"/>
  <c r="N148" i="6"/>
  <c r="N150" i="6"/>
  <c r="N178" i="6"/>
  <c r="N158" i="6"/>
  <c r="N55" i="6"/>
  <c r="N92" i="6"/>
  <c r="N128" i="6"/>
  <c r="N120" i="6"/>
  <c r="N174" i="6"/>
  <c r="N22" i="6"/>
  <c r="N81" i="6"/>
  <c r="N78" i="6"/>
  <c r="N176" i="6"/>
  <c r="N183" i="6"/>
  <c r="N231" i="6"/>
  <c r="N79" i="6"/>
  <c r="N223" i="6"/>
  <c r="N155" i="6"/>
  <c r="E155" i="7"/>
  <c r="N185" i="6"/>
  <c r="N237" i="6"/>
  <c r="N225" i="6"/>
  <c r="N140" i="6"/>
  <c r="N11" i="6"/>
  <c r="N113" i="6"/>
  <c r="N90" i="6"/>
  <c r="N200" i="6"/>
  <c r="N152" i="6"/>
  <c r="N177" i="6"/>
  <c r="N172" i="6"/>
  <c r="E172" i="7"/>
  <c r="N235" i="6"/>
  <c r="E235" i="7"/>
  <c r="N170" i="6"/>
  <c r="N187" i="6"/>
  <c r="N218" i="6"/>
  <c r="E218" i="7"/>
  <c r="N161" i="6"/>
  <c r="N214" i="6"/>
  <c r="E214" i="7"/>
  <c r="N204" i="6"/>
  <c r="E204" i="7"/>
  <c r="N80" i="6"/>
  <c r="N95" i="6"/>
  <c r="N114" i="6"/>
  <c r="N147" i="6"/>
  <c r="N232" i="6"/>
  <c r="N166" i="6"/>
  <c r="E166" i="7"/>
  <c r="N209" i="6"/>
  <c r="N62" i="6"/>
  <c r="N226" i="6"/>
  <c r="N157" i="6"/>
  <c r="E157" i="7"/>
  <c r="N202" i="6"/>
  <c r="N228" i="6"/>
  <c r="N238" i="6"/>
  <c r="E238" i="7"/>
  <c r="N207" i="6"/>
  <c r="E207" i="7"/>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c r="K60" i="6"/>
  <c r="G60" i="7"/>
  <c r="K16" i="6"/>
  <c r="G16" i="7"/>
  <c r="K37" i="6"/>
  <c r="K27" i="6"/>
  <c r="G27" i="7"/>
  <c r="K19" i="6"/>
  <c r="K127" i="6"/>
  <c r="G127" i="7"/>
  <c r="K20" i="6"/>
  <c r="G20" i="7"/>
  <c r="K126" i="6"/>
  <c r="K46" i="6"/>
  <c r="K65" i="6"/>
  <c r="G65" i="7"/>
  <c r="K33" i="6"/>
  <c r="G33" i="7"/>
  <c r="K34" i="6"/>
  <c r="G34" i="7"/>
  <c r="K67" i="6"/>
  <c r="G67" i="7"/>
  <c r="K129" i="6"/>
  <c r="G129" i="7"/>
  <c r="K146" i="6"/>
  <c r="G146" i="7"/>
  <c r="K159" i="6"/>
  <c r="G159" i="7"/>
  <c r="K6" i="6"/>
  <c r="G6" i="7"/>
  <c r="K14" i="6"/>
  <c r="G14" i="7"/>
  <c r="K15" i="6"/>
  <c r="G15" i="7"/>
  <c r="K29" i="6"/>
  <c r="K32" i="6"/>
  <c r="K36" i="6"/>
  <c r="G36" i="7"/>
  <c r="K38" i="6"/>
  <c r="K42" i="6"/>
  <c r="G42" i="7"/>
  <c r="K44" i="6"/>
  <c r="G44" i="7"/>
  <c r="K45" i="6"/>
  <c r="G45" i="7"/>
  <c r="K47" i="6"/>
  <c r="G47" i="7"/>
  <c r="K51" i="6"/>
  <c r="G51" i="7"/>
  <c r="K52" i="6"/>
  <c r="K53" i="6"/>
  <c r="G53" i="7"/>
  <c r="K61" i="6"/>
  <c r="G61" i="7"/>
  <c r="K71" i="6"/>
  <c r="G71" i="7"/>
  <c r="K72" i="6"/>
  <c r="G72" i="7"/>
  <c r="K74" i="6"/>
  <c r="G74" i="7"/>
  <c r="K76" i="6"/>
  <c r="K77" i="6"/>
  <c r="K82" i="6"/>
  <c r="G82" i="7"/>
  <c r="K84" i="6"/>
  <c r="G84" i="7"/>
  <c r="K98" i="6"/>
  <c r="G98" i="7"/>
  <c r="K100" i="6"/>
  <c r="K104" i="6"/>
  <c r="G104" i="7"/>
  <c r="K105" i="6"/>
  <c r="G105" i="7"/>
  <c r="K108" i="6"/>
  <c r="G108" i="7"/>
  <c r="K110" i="6"/>
  <c r="K111" i="6"/>
  <c r="G111" i="7"/>
  <c r="K112" i="6"/>
  <c r="G112" i="7"/>
  <c r="K118" i="6"/>
  <c r="K121" i="6"/>
  <c r="G121" i="7"/>
  <c r="H121" i="7" s="1"/>
  <c r="I121" i="7" s="1"/>
  <c r="D171" i="8" s="1"/>
  <c r="K132" i="6"/>
  <c r="K136" i="6"/>
  <c r="G136" i="7"/>
  <c r="K144" i="6"/>
  <c r="G144" i="7"/>
  <c r="K145" i="6"/>
  <c r="G145" i="7"/>
  <c r="K199" i="6"/>
  <c r="K201" i="6"/>
  <c r="G201" i="7"/>
  <c r="K239" i="6"/>
  <c r="G239" i="7"/>
  <c r="K135" i="6"/>
  <c r="K35" i="6"/>
  <c r="G35" i="7"/>
  <c r="K109" i="6"/>
  <c r="G109" i="7"/>
  <c r="K12" i="6"/>
  <c r="G12" i="7"/>
  <c r="K97" i="6"/>
  <c r="K139" i="6"/>
  <c r="G139" i="7"/>
  <c r="K75" i="6"/>
  <c r="K233" i="6"/>
  <c r="K69" i="6"/>
  <c r="G69" i="7"/>
  <c r="K167" i="6"/>
  <c r="G167" i="7"/>
  <c r="K9" i="6"/>
  <c r="G9" i="7"/>
  <c r="K191" i="6"/>
  <c r="G191" i="7"/>
  <c r="K10" i="6"/>
  <c r="G10" i="7"/>
  <c r="K175" i="6"/>
  <c r="K217" i="6"/>
  <c r="K39" i="6"/>
  <c r="G39" i="7"/>
  <c r="K23" i="6"/>
  <c r="G23" i="7"/>
  <c r="K87" i="6"/>
  <c r="G87" i="7"/>
  <c r="K96" i="6"/>
  <c r="G96" i="7"/>
  <c r="K193" i="6"/>
  <c r="K85" i="6"/>
  <c r="G85" i="7"/>
  <c r="K5" i="6"/>
  <c r="G5" i="7"/>
  <c r="K115" i="6"/>
  <c r="G115" i="7"/>
  <c r="K26" i="6"/>
  <c r="K73" i="6"/>
  <c r="G73" i="7"/>
  <c r="K192" i="6"/>
  <c r="G192" i="7"/>
  <c r="K138" i="6"/>
  <c r="K83" i="6"/>
  <c r="G83" i="7"/>
  <c r="K24" i="6"/>
  <c r="G24" i="7"/>
  <c r="K25" i="6"/>
  <c r="G25" i="7"/>
  <c r="K89" i="6"/>
  <c r="K215" i="6"/>
  <c r="K70" i="6"/>
  <c r="G70" i="7"/>
  <c r="K169" i="6"/>
  <c r="G169" i="7"/>
  <c r="K56" i="6"/>
  <c r="G56" i="7"/>
  <c r="K123" i="6"/>
  <c r="G123" i="7"/>
  <c r="K124" i="6"/>
  <c r="G124" i="7"/>
  <c r="K153" i="6"/>
  <c r="G153" i="7"/>
  <c r="K58" i="6"/>
  <c r="G58" i="7"/>
  <c r="K91" i="6"/>
  <c r="G91" i="7"/>
  <c r="K102" i="6"/>
  <c r="G102" i="7"/>
  <c r="K86" i="6"/>
  <c r="G86" i="7"/>
  <c r="K68" i="6"/>
  <c r="G68" i="7"/>
  <c r="K130" i="6"/>
  <c r="G130" i="7"/>
  <c r="K55" i="6"/>
  <c r="G55" i="7"/>
  <c r="K92" i="6"/>
  <c r="G92" i="7"/>
  <c r="K128" i="6"/>
  <c r="G128" i="7"/>
  <c r="K120" i="6"/>
  <c r="G120" i="7"/>
  <c r="K22" i="6"/>
  <c r="K81" i="6"/>
  <c r="G81" i="7"/>
  <c r="K78" i="6"/>
  <c r="K176" i="6"/>
  <c r="K183" i="6"/>
  <c r="G183" i="7"/>
  <c r="K231" i="6"/>
  <c r="G231" i="7"/>
  <c r="K79" i="6"/>
  <c r="G79" i="7"/>
  <c r="K223" i="6"/>
  <c r="K155" i="6"/>
  <c r="G155" i="7"/>
  <c r="K185" i="6"/>
  <c r="G185" i="7"/>
  <c r="K225" i="6"/>
  <c r="G225" i="7"/>
  <c r="K140" i="6"/>
  <c r="G140" i="7"/>
  <c r="K11" i="6"/>
  <c r="K113" i="6"/>
  <c r="G113" i="7"/>
  <c r="K90" i="6"/>
  <c r="G90" i="7"/>
  <c r="K152" i="6"/>
  <c r="G152" i="7"/>
  <c r="K177" i="6"/>
  <c r="K161" i="6"/>
  <c r="G161" i="7"/>
  <c r="K80" i="6"/>
  <c r="G80" i="7"/>
  <c r="K95" i="6"/>
  <c r="K114" i="6"/>
  <c r="G114" i="7"/>
  <c r="K147" i="6"/>
  <c r="K209" i="6"/>
  <c r="K62" i="6"/>
  <c r="G62" i="7"/>
  <c r="K207" i="6"/>
  <c r="G207" i="7"/>
  <c r="K151" i="6"/>
  <c r="K88" i="6"/>
  <c r="G88" i="7"/>
  <c r="K94" i="6"/>
  <c r="G94" i="7"/>
  <c r="K17" i="6"/>
  <c r="K7" i="6"/>
  <c r="G7" i="7"/>
  <c r="K143" i="6"/>
  <c r="G143" i="7"/>
  <c r="K8" i="6"/>
  <c r="G8" i="7"/>
  <c r="K63" i="6"/>
  <c r="G63" i="7"/>
  <c r="K57" i="6"/>
  <c r="G57" i="7"/>
  <c r="K107" i="6"/>
  <c r="G107" i="7"/>
  <c r="K137" i="6"/>
  <c r="G137" i="7"/>
  <c r="K59" i="6"/>
  <c r="G59" i="7"/>
  <c r="K103" i="6"/>
  <c r="G103" i="7"/>
  <c r="K131" i="6"/>
  <c r="K99" i="6"/>
  <c r="G99" i="7"/>
  <c r="K106" i="6"/>
  <c r="K119" i="6"/>
  <c r="G119" i="7"/>
  <c r="K41" i="6"/>
  <c r="K66" i="6"/>
  <c r="G66" i="7"/>
  <c r="K21" i="6"/>
  <c r="G21" i="7"/>
  <c r="K30" i="6"/>
  <c r="K31" i="6"/>
  <c r="G31" i="7"/>
  <c r="K40" i="6"/>
  <c r="G40" i="7"/>
  <c r="K122" i="6"/>
  <c r="G122" i="7" s="1"/>
  <c r="K64" i="6"/>
  <c r="K43" i="6"/>
  <c r="G43" i="7" s="1"/>
  <c r="H43" i="7" s="1"/>
  <c r="I43" i="7" s="1"/>
  <c r="D63" i="8" s="1"/>
  <c r="K50" i="6"/>
  <c r="G50" i="7"/>
  <c r="K13" i="6"/>
  <c r="K28" i="6"/>
  <c r="G28" i="7" s="1"/>
  <c r="K54" i="6"/>
  <c r="G54" i="7"/>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s="1"/>
  <c r="A93" i="7" a="1"/>
  <c r="A93" i="7"/>
  <c r="B93" i="7"/>
  <c r="A60" i="7" a="1"/>
  <c r="A60" i="7"/>
  <c r="M60" i="7" a="1"/>
  <c r="M60" i="7" s="1"/>
  <c r="A104" i="7" a="1"/>
  <c r="A104" i="7"/>
  <c r="M104" i="7" a="1"/>
  <c r="M104" i="7"/>
  <c r="A210" i="7" a="1"/>
  <c r="A210" i="7"/>
  <c r="B210" i="7"/>
  <c r="B245" i="8"/>
  <c r="A28" i="7" a="1"/>
  <c r="A28" i="7"/>
  <c r="A40" i="7" a="1"/>
  <c r="A40" i="7"/>
  <c r="A14" i="7" a="1"/>
  <c r="A14" i="7"/>
  <c r="A33" i="7" a="1"/>
  <c r="A33" i="7"/>
  <c r="A213" i="8"/>
  <c r="A8" i="7" a="1"/>
  <c r="A8" i="7"/>
  <c r="M8" i="7" a="1"/>
  <c r="M8" i="7" s="1"/>
  <c r="A37" i="7" a="1"/>
  <c r="A37" i="7"/>
  <c r="A180" i="7" a="1"/>
  <c r="A180" i="7"/>
  <c r="M180" i="7" a="1"/>
  <c r="M180" i="7" s="1"/>
  <c r="A62" i="7" a="1"/>
  <c r="A62" i="7"/>
  <c r="M62" i="7" a="1"/>
  <c r="M62" i="7" s="1"/>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s="1"/>
  <c r="A158" i="7" a="1"/>
  <c r="A158" i="7"/>
  <c r="A144" i="7" a="1"/>
  <c r="A144" i="7"/>
  <c r="N144" i="7" a="1"/>
  <c r="N144" i="7"/>
  <c r="A39" i="7" a="1"/>
  <c r="A39" i="7"/>
  <c r="A153" i="7" a="1"/>
  <c r="A153" i="7"/>
  <c r="M153" i="7" a="1"/>
  <c r="M153" i="7" s="1"/>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C195" i="6" s="1"/>
  <c r="Z195" i="6"/>
  <c r="V195" i="6"/>
  <c r="J195" i="7" s="1"/>
  <c r="F134" i="8" s="1"/>
  <c r="T195" i="6"/>
  <c r="S195" i="6"/>
  <c r="P195" i="6"/>
  <c r="AA242" i="6"/>
  <c r="Z242" i="6"/>
  <c r="AB242" i="6" s="1"/>
  <c r="V242" i="6"/>
  <c r="T242" i="6"/>
  <c r="S242" i="6"/>
  <c r="P242" i="6"/>
  <c r="AA241" i="6"/>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T222" i="6"/>
  <c r="S222" i="6"/>
  <c r="P222" i="6"/>
  <c r="AA220" i="6"/>
  <c r="Z220" i="6"/>
  <c r="AB220" i="6" s="1"/>
  <c r="V220" i="6"/>
  <c r="T220" i="6"/>
  <c r="S220" i="6"/>
  <c r="P220" i="6"/>
  <c r="AA219" i="6"/>
  <c r="Z219" i="6"/>
  <c r="AB219" i="6" s="1"/>
  <c r="V219" i="6"/>
  <c r="W219" i="6" s="1"/>
  <c r="AJ219" i="6" s="1"/>
  <c r="T219" i="6"/>
  <c r="S219" i="6"/>
  <c r="P219" i="6"/>
  <c r="AA213" i="6"/>
  <c r="Z213" i="6"/>
  <c r="AB213" i="6" s="1"/>
  <c r="V213" i="6"/>
  <c r="W213" i="6" s="1"/>
  <c r="AJ213" i="6" s="1"/>
  <c r="T213" i="6"/>
  <c r="S213" i="6"/>
  <c r="P213" i="6"/>
  <c r="AA212" i="6"/>
  <c r="AC212" i="6" s="1"/>
  <c r="Z212" i="6"/>
  <c r="AB212" i="6" s="1"/>
  <c r="V212" i="6"/>
  <c r="J212" i="7" s="1"/>
  <c r="F226" i="8" s="1"/>
  <c r="T212" i="6"/>
  <c r="S212" i="6"/>
  <c r="P212" i="6"/>
  <c r="AA211" i="6"/>
  <c r="Z211" i="6"/>
  <c r="V211" i="6"/>
  <c r="J211" i="7" s="1"/>
  <c r="F238" i="8" s="1"/>
  <c r="T211" i="6"/>
  <c r="S211" i="6"/>
  <c r="P211" i="6"/>
  <c r="AA210" i="6"/>
  <c r="Z210" i="6"/>
  <c r="AB210" i="6" s="1"/>
  <c r="V210" i="6"/>
  <c r="T210" i="6"/>
  <c r="S210" i="6"/>
  <c r="P210" i="6"/>
  <c r="AA208" i="6"/>
  <c r="Z208" i="6"/>
  <c r="AB208" i="6" s="1"/>
  <c r="V208" i="6"/>
  <c r="W208" i="6" s="1"/>
  <c r="AJ208" i="6" s="1"/>
  <c r="T208" i="6"/>
  <c r="S208" i="6"/>
  <c r="P208" i="6"/>
  <c r="AA206" i="6"/>
  <c r="Z206" i="6"/>
  <c r="AB206" i="6" s="1"/>
  <c r="V206" i="6"/>
  <c r="J206" i="7" s="1"/>
  <c r="T206" i="6"/>
  <c r="S206" i="6"/>
  <c r="P206" i="6"/>
  <c r="AA203" i="6"/>
  <c r="Z203" i="6"/>
  <c r="AB203" i="6" s="1"/>
  <c r="V203" i="6"/>
  <c r="AE203" i="6" s="1"/>
  <c r="T203" i="6"/>
  <c r="S203" i="6"/>
  <c r="P203" i="6"/>
  <c r="AA201" i="6"/>
  <c r="Z201" i="6"/>
  <c r="AB201" i="6" s="1"/>
  <c r="V201" i="6"/>
  <c r="J201" i="7" s="1"/>
  <c r="F192" i="8" s="1"/>
  <c r="T201" i="6"/>
  <c r="S201" i="6"/>
  <c r="P201" i="6"/>
  <c r="AA199" i="6"/>
  <c r="AD199" i="6" s="1"/>
  <c r="Z199" i="6"/>
  <c r="AB199" i="6" s="1"/>
  <c r="V199" i="6"/>
  <c r="T199" i="6"/>
  <c r="S199" i="6"/>
  <c r="P199" i="6"/>
  <c r="AA198" i="6"/>
  <c r="AC198" i="6" s="1"/>
  <c r="Z198" i="6"/>
  <c r="AB198" i="6" s="1"/>
  <c r="V198" i="6"/>
  <c r="W198" i="6" s="1"/>
  <c r="AJ198" i="6" s="1"/>
  <c r="T198" i="6"/>
  <c r="S198" i="6"/>
  <c r="P198" i="6"/>
  <c r="AA196" i="6"/>
  <c r="Z196" i="6"/>
  <c r="V196" i="6"/>
  <c r="T196" i="6"/>
  <c r="S196" i="6"/>
  <c r="P196" i="6"/>
  <c r="AA194" i="6"/>
  <c r="Z194" i="6"/>
  <c r="AB194" i="6" s="1"/>
  <c r="V194" i="6"/>
  <c r="T194" i="6"/>
  <c r="S194" i="6"/>
  <c r="P194" i="6"/>
  <c r="AA145" i="6"/>
  <c r="Z145" i="6"/>
  <c r="AB145" i="6" s="1"/>
  <c r="V145" i="6"/>
  <c r="AE145" i="6" s="1"/>
  <c r="AG145" i="6" s="1"/>
  <c r="S145" i="7" s="1"/>
  <c r="T145" i="6"/>
  <c r="S145" i="6"/>
  <c r="P145" i="6"/>
  <c r="AA144" i="6"/>
  <c r="O144" i="7" s="1"/>
  <c r="Q144" i="7" s="1"/>
  <c r="Z144" i="6"/>
  <c r="AB144" i="6" s="1"/>
  <c r="V144" i="6"/>
  <c r="AE144" i="6" s="1"/>
  <c r="AF144" i="6" s="1"/>
  <c r="T144" i="6"/>
  <c r="S144" i="6"/>
  <c r="P144" i="6"/>
  <c r="AA141" i="6"/>
  <c r="Z141" i="6"/>
  <c r="V141" i="6"/>
  <c r="J141" i="7" s="1"/>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Z121" i="6"/>
  <c r="AB121" i="6" s="1"/>
  <c r="V121" i="6"/>
  <c r="P121" i="6"/>
  <c r="T121" i="6"/>
  <c r="S121" i="6"/>
  <c r="AA118" i="6"/>
  <c r="Z118" i="6"/>
  <c r="AB118" i="6" s="1"/>
  <c r="V118" i="6"/>
  <c r="J118" i="7" s="1"/>
  <c r="F165" i="8" s="1"/>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J110" i="7" s="1"/>
  <c r="T110" i="6"/>
  <c r="S110" i="6"/>
  <c r="P110" i="6"/>
  <c r="AA108" i="6"/>
  <c r="AC108" i="6" s="1"/>
  <c r="Z108" i="6"/>
  <c r="AB108" i="6" s="1"/>
  <c r="V108" i="6"/>
  <c r="T108" i="6"/>
  <c r="S108" i="6"/>
  <c r="P108" i="6"/>
  <c r="AA105" i="6"/>
  <c r="Z105" i="6"/>
  <c r="AB105" i="6" s="1"/>
  <c r="V105" i="6"/>
  <c r="AE105" i="6" s="1"/>
  <c r="AG105" i="6" s="1"/>
  <c r="S105" i="7" s="1"/>
  <c r="P105" i="6"/>
  <c r="T105" i="6"/>
  <c r="S105" i="6"/>
  <c r="AA104" i="6"/>
  <c r="Z104" i="6"/>
  <c r="AB104" i="6" s="1"/>
  <c r="V104" i="6"/>
  <c r="AE104" i="6" s="1"/>
  <c r="P104" i="6"/>
  <c r="T104" i="6"/>
  <c r="S104" i="6"/>
  <c r="AA101" i="6"/>
  <c r="Z101" i="6"/>
  <c r="V101" i="6"/>
  <c r="T101" i="6"/>
  <c r="S101" i="6"/>
  <c r="P101" i="6"/>
  <c r="AA100" i="6"/>
  <c r="Z100" i="6"/>
  <c r="AB100" i="6" s="1"/>
  <c r="V100" i="6"/>
  <c r="P100" i="6"/>
  <c r="T100" i="6"/>
  <c r="S100" i="6"/>
  <c r="AA98" i="6"/>
  <c r="Z98" i="6"/>
  <c r="AB98" i="6" s="1"/>
  <c r="V98" i="6"/>
  <c r="P98" i="6"/>
  <c r="T98" i="6"/>
  <c r="S98" i="6"/>
  <c r="AA84" i="6"/>
  <c r="Z84" i="6"/>
  <c r="AB84" i="6" s="1"/>
  <c r="V84" i="6"/>
  <c r="AE84" i="6" s="1"/>
  <c r="T84" i="6"/>
  <c r="S84" i="6"/>
  <c r="P84" i="6"/>
  <c r="AA82" i="6"/>
  <c r="O82" i="7" s="1"/>
  <c r="Q82" i="7" s="1"/>
  <c r="Z82" i="6"/>
  <c r="AB82" i="6" s="1"/>
  <c r="V82" i="6"/>
  <c r="J82" i="7" s="1"/>
  <c r="F207" i="8" s="1"/>
  <c r="T82" i="6"/>
  <c r="S82" i="6"/>
  <c r="P82" i="6"/>
  <c r="AA77" i="6"/>
  <c r="AC77" i="6" s="1"/>
  <c r="Z77" i="6"/>
  <c r="AB77" i="6" s="1"/>
  <c r="V77" i="6"/>
  <c r="AE77" i="6" s="1"/>
  <c r="AG77" i="6" s="1"/>
  <c r="S77" i="7" s="1"/>
  <c r="T77" i="6"/>
  <c r="S77" i="6"/>
  <c r="P77" i="6"/>
  <c r="AA76" i="6"/>
  <c r="O76" i="7" s="1"/>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J71" i="7" s="1"/>
  <c r="T71" i="6"/>
  <c r="S71" i="6"/>
  <c r="P71" i="6"/>
  <c r="AA61" i="6"/>
  <c r="Z61" i="6"/>
  <c r="V61" i="6"/>
  <c r="T61" i="6"/>
  <c r="S61" i="6"/>
  <c r="P61" i="6"/>
  <c r="AA53" i="6"/>
  <c r="AC53" i="6" s="1"/>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Z45" i="6"/>
  <c r="V45" i="6"/>
  <c r="J45" i="7" s="1"/>
  <c r="F129" i="8" s="1"/>
  <c r="T45" i="6"/>
  <c r="S45" i="6"/>
  <c r="P45" i="6"/>
  <c r="AA44" i="6"/>
  <c r="O44" i="7" s="1"/>
  <c r="Z44" i="6"/>
  <c r="V44" i="6"/>
  <c r="J44" i="7" s="1"/>
  <c r="F127" i="8" s="1"/>
  <c r="T44" i="6"/>
  <c r="S44" i="6"/>
  <c r="P44" i="6"/>
  <c r="AA42" i="6"/>
  <c r="AC42" i="6" s="1"/>
  <c r="Z42" i="6"/>
  <c r="V42" i="6"/>
  <c r="T42" i="6"/>
  <c r="S42" i="6"/>
  <c r="P42" i="6"/>
  <c r="AA38" i="6"/>
  <c r="Z38" i="6"/>
  <c r="AB38" i="6" s="1"/>
  <c r="V38" i="6"/>
  <c r="T38" i="6"/>
  <c r="S38" i="6"/>
  <c r="P38" i="6"/>
  <c r="AA36" i="6"/>
  <c r="Z36" i="6"/>
  <c r="AB36" i="6" s="1"/>
  <c r="V36" i="6"/>
  <c r="T36" i="6"/>
  <c r="S36" i="6"/>
  <c r="P36" i="6"/>
  <c r="AA32" i="6"/>
  <c r="Z32" i="6"/>
  <c r="AB32" i="6" s="1"/>
  <c r="V32" i="6"/>
  <c r="T32" i="6"/>
  <c r="S32" i="6"/>
  <c r="P32" i="6"/>
  <c r="AA29" i="6"/>
  <c r="O29" i="7" s="1"/>
  <c r="Q29" i="7" s="1"/>
  <c r="Z29" i="6"/>
  <c r="V29" i="6"/>
  <c r="J29" i="7" s="1"/>
  <c r="F180" i="8" s="1"/>
  <c r="T29" i="6"/>
  <c r="S29" i="6"/>
  <c r="P29" i="6"/>
  <c r="AA15" i="6"/>
  <c r="AC15" i="6" s="1"/>
  <c r="Z15" i="6"/>
  <c r="AB15" i="6" s="1"/>
  <c r="V15" i="6"/>
  <c r="W15" i="6" s="1"/>
  <c r="AJ15" i="6" s="1"/>
  <c r="T15" i="6"/>
  <c r="S15" i="6"/>
  <c r="P15" i="6"/>
  <c r="AA14" i="6"/>
  <c r="Z14" i="6"/>
  <c r="AB14" i="6" s="1"/>
  <c r="V14" i="6"/>
  <c r="J14" i="7" s="1"/>
  <c r="T14" i="6"/>
  <c r="S14" i="6"/>
  <c r="P14" i="6"/>
  <c r="AA6" i="6"/>
  <c r="AC6" i="6" s="1"/>
  <c r="Z6" i="6"/>
  <c r="AB6" i="6" s="1"/>
  <c r="V6" i="6"/>
  <c r="T6" i="6"/>
  <c r="S6" i="6"/>
  <c r="P6" i="6"/>
  <c r="AA225" i="6"/>
  <c r="Z225" i="6"/>
  <c r="AB225" i="6" s="1"/>
  <c r="V225" i="6"/>
  <c r="T225" i="6"/>
  <c r="S225" i="6"/>
  <c r="P225" i="6"/>
  <c r="AA4" i="6"/>
  <c r="O4" i="7" s="1"/>
  <c r="Z4" i="6"/>
  <c r="V4" i="6"/>
  <c r="T4" i="6"/>
  <c r="S4" i="6"/>
  <c r="P4" i="6"/>
  <c r="AA159" i="6"/>
  <c r="Z159" i="6"/>
  <c r="AB159" i="6" s="1"/>
  <c r="V159" i="6"/>
  <c r="W159" i="6" s="1"/>
  <c r="AJ159" i="6" s="1"/>
  <c r="T159" i="6"/>
  <c r="S159" i="6"/>
  <c r="P159" i="6"/>
  <c r="AA146" i="6"/>
  <c r="Z146" i="6"/>
  <c r="AB146" i="6" s="1"/>
  <c r="V146" i="6"/>
  <c r="T146" i="6"/>
  <c r="S146" i="6"/>
  <c r="P146" i="6"/>
  <c r="AA129" i="6"/>
  <c r="Z129" i="6"/>
  <c r="AB129" i="6" s="1"/>
  <c r="V129" i="6"/>
  <c r="J129" i="7" s="1"/>
  <c r="F163" i="8" s="1"/>
  <c r="T129" i="6"/>
  <c r="S129" i="6"/>
  <c r="P129" i="6"/>
  <c r="AA67" i="6"/>
  <c r="Z67" i="6"/>
  <c r="AB67" i="6" s="1"/>
  <c r="V67" i="6"/>
  <c r="J67" i="7" s="1"/>
  <c r="T67" i="6"/>
  <c r="S67" i="6"/>
  <c r="P67" i="6"/>
  <c r="AA34" i="6"/>
  <c r="Z34" i="6"/>
  <c r="AB34" i="6" s="1"/>
  <c r="V34" i="6"/>
  <c r="T34" i="6"/>
  <c r="S34" i="6"/>
  <c r="P34" i="6"/>
  <c r="AA221" i="6"/>
  <c r="Z221" i="6"/>
  <c r="V221" i="6"/>
  <c r="T221" i="6"/>
  <c r="S221" i="6"/>
  <c r="P221" i="6"/>
  <c r="AA235" i="6"/>
  <c r="Z235" i="6"/>
  <c r="V235" i="6"/>
  <c r="J235" i="7" s="1"/>
  <c r="F34" i="8" s="1"/>
  <c r="T235" i="6"/>
  <c r="S235" i="6"/>
  <c r="P235" i="6"/>
  <c r="AA33" i="6"/>
  <c r="Z33" i="6"/>
  <c r="AB33" i="6" s="1"/>
  <c r="V33" i="6"/>
  <c r="T33" i="6"/>
  <c r="S33" i="6"/>
  <c r="P33" i="6"/>
  <c r="AA65" i="6"/>
  <c r="Z65" i="6"/>
  <c r="V65" i="6"/>
  <c r="T65" i="6"/>
  <c r="S65" i="6"/>
  <c r="P65" i="6"/>
  <c r="AA46" i="6"/>
  <c r="Z46" i="6"/>
  <c r="V46" i="6"/>
  <c r="T46" i="6"/>
  <c r="S46" i="6"/>
  <c r="P46" i="6"/>
  <c r="AA126" i="6"/>
  <c r="O126" i="7" s="1"/>
  <c r="Z126" i="6"/>
  <c r="V126" i="6"/>
  <c r="W126" i="6" s="1"/>
  <c r="AJ126" i="6" s="1"/>
  <c r="T126" i="6"/>
  <c r="S126" i="6"/>
  <c r="P126" i="6"/>
  <c r="AA20" i="6"/>
  <c r="Z20" i="6"/>
  <c r="AB20" i="6" s="1"/>
  <c r="V20" i="6"/>
  <c r="W20" i="6" s="1"/>
  <c r="AJ20" i="6" s="1"/>
  <c r="T20" i="6"/>
  <c r="S20" i="6"/>
  <c r="P20" i="6"/>
  <c r="AA127" i="6"/>
  <c r="Z127" i="6"/>
  <c r="V127" i="6"/>
  <c r="P127" i="6"/>
  <c r="T127" i="6"/>
  <c r="S127" i="6"/>
  <c r="AA19" i="6"/>
  <c r="Z19" i="6"/>
  <c r="V19" i="6"/>
  <c r="T19" i="6"/>
  <c r="S19" i="6"/>
  <c r="P19" i="6"/>
  <c r="AA27" i="6"/>
  <c r="Z27" i="6"/>
  <c r="V27" i="6"/>
  <c r="T27" i="6"/>
  <c r="S27" i="6"/>
  <c r="P27" i="6"/>
  <c r="AA37" i="6"/>
  <c r="Z37" i="6"/>
  <c r="V37" i="6"/>
  <c r="T37" i="6"/>
  <c r="S37" i="6"/>
  <c r="P37" i="6"/>
  <c r="AA16" i="6"/>
  <c r="Z16" i="6"/>
  <c r="V16" i="6"/>
  <c r="J16" i="7" s="1"/>
  <c r="F211" i="8" s="1"/>
  <c r="T16" i="6"/>
  <c r="S16" i="6"/>
  <c r="P16" i="6"/>
  <c r="AA60" i="6"/>
  <c r="Z60" i="6"/>
  <c r="V60" i="6"/>
  <c r="T60" i="6"/>
  <c r="S60" i="6"/>
  <c r="P60" i="6"/>
  <c r="AA190" i="6"/>
  <c r="Z190" i="6"/>
  <c r="AB190" i="6" s="1"/>
  <c r="V190" i="6"/>
  <c r="J190" i="7" s="1"/>
  <c r="F125" i="8" s="1"/>
  <c r="T190" i="6"/>
  <c r="S190" i="6"/>
  <c r="P190" i="6"/>
  <c r="AA48" i="6"/>
  <c r="Z48" i="6"/>
  <c r="V48" i="6"/>
  <c r="J48" i="7" s="1"/>
  <c r="F221" i="8" s="1"/>
  <c r="T48" i="6"/>
  <c r="S48" i="6"/>
  <c r="P48" i="6"/>
  <c r="AA18" i="6"/>
  <c r="Z18" i="6"/>
  <c r="V18" i="6"/>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A43" i="6"/>
  <c r="Z43" i="6"/>
  <c r="AB43" i="6" s="1"/>
  <c r="V43" i="6"/>
  <c r="J43" i="7" s="1"/>
  <c r="F63" i="8" s="1"/>
  <c r="T43" i="6"/>
  <c r="S43" i="6"/>
  <c r="P43" i="6"/>
  <c r="AA64" i="6"/>
  <c r="O64" i="7" s="1"/>
  <c r="Z64" i="6"/>
  <c r="V64" i="6"/>
  <c r="J64" i="7" s="1"/>
  <c r="F214" i="8" s="1"/>
  <c r="T64" i="6"/>
  <c r="S64" i="6"/>
  <c r="P64" i="6"/>
  <c r="AA22" i="6"/>
  <c r="Z22" i="6"/>
  <c r="V22" i="6"/>
  <c r="J22" i="7" s="1"/>
  <c r="F131" i="8"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V120" i="6"/>
  <c r="T120" i="6"/>
  <c r="S120" i="6"/>
  <c r="P120" i="6"/>
  <c r="AA125" i="6"/>
  <c r="O125" i="7" s="1"/>
  <c r="Z125" i="6"/>
  <c r="V125" i="6"/>
  <c r="J125" i="7" s="1"/>
  <c r="F111" i="8" s="1"/>
  <c r="P125" i="6"/>
  <c r="T125" i="6"/>
  <c r="S125" i="6"/>
  <c r="AA193" i="6"/>
  <c r="O193" i="7" s="1"/>
  <c r="Z193" i="6"/>
  <c r="V193" i="6"/>
  <c r="T193" i="6"/>
  <c r="S193" i="6"/>
  <c r="P193" i="6"/>
  <c r="AA191" i="6"/>
  <c r="O191" i="7" s="1"/>
  <c r="Z191" i="6"/>
  <c r="V191" i="6"/>
  <c r="J191" i="7" s="1"/>
  <c r="T191" i="6"/>
  <c r="S191" i="6"/>
  <c r="P191" i="6"/>
  <c r="AA227" i="6"/>
  <c r="Z227" i="6"/>
  <c r="V227" i="6"/>
  <c r="J227" i="7" s="1"/>
  <c r="F101" i="8" s="1"/>
  <c r="T227" i="6"/>
  <c r="S227" i="6"/>
  <c r="P227" i="6"/>
  <c r="AA23" i="6"/>
  <c r="O23" i="7" s="1"/>
  <c r="Z23" i="6"/>
  <c r="V23" i="6"/>
  <c r="T23" i="6"/>
  <c r="S23" i="6"/>
  <c r="P23" i="6"/>
  <c r="AA10" i="6"/>
  <c r="Z10" i="6"/>
  <c r="V10" i="6"/>
  <c r="T10" i="6"/>
  <c r="S10" i="6"/>
  <c r="P10" i="6"/>
  <c r="AA165" i="6"/>
  <c r="Z165" i="6"/>
  <c r="V165" i="6"/>
  <c r="J165" i="7" s="1"/>
  <c r="T165" i="6"/>
  <c r="S165" i="6"/>
  <c r="P165" i="6"/>
  <c r="AA164" i="6"/>
  <c r="Z164" i="6"/>
  <c r="V164" i="6"/>
  <c r="J164" i="7" s="1"/>
  <c r="F43" i="8" s="1"/>
  <c r="T164" i="6"/>
  <c r="S164" i="6"/>
  <c r="P164" i="6"/>
  <c r="AA234" i="6"/>
  <c r="Z234" i="6"/>
  <c r="V234" i="6"/>
  <c r="J234" i="7" s="1"/>
  <c r="F69" i="8" s="1"/>
  <c r="T234" i="6"/>
  <c r="S234" i="6"/>
  <c r="P234" i="6"/>
  <c r="AA25" i="6"/>
  <c r="Z25" i="6"/>
  <c r="V25" i="6"/>
  <c r="T25" i="6"/>
  <c r="S25" i="6"/>
  <c r="P25" i="6"/>
  <c r="AA217" i="6"/>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Z124" i="6"/>
  <c r="V124" i="6"/>
  <c r="T124" i="6"/>
  <c r="S124" i="6"/>
  <c r="P124" i="6"/>
  <c r="AA115" i="6"/>
  <c r="Z115" i="6"/>
  <c r="V115" i="6"/>
  <c r="T115" i="6"/>
  <c r="S115" i="6"/>
  <c r="P115" i="6"/>
  <c r="AA189" i="6"/>
  <c r="AD189" i="6" s="1"/>
  <c r="Z189" i="6"/>
  <c r="AB189" i="6" s="1"/>
  <c r="V189" i="6"/>
  <c r="J189" i="7" s="1"/>
  <c r="F100" i="8" s="1"/>
  <c r="T189" i="6"/>
  <c r="S189" i="6"/>
  <c r="P189" i="6"/>
  <c r="AA86" i="6"/>
  <c r="O86" i="7" s="1"/>
  <c r="Z86" i="6"/>
  <c r="AB86" i="6" s="1"/>
  <c r="V86" i="6"/>
  <c r="J86" i="7" s="1"/>
  <c r="F29" i="8" s="1"/>
  <c r="T86" i="6"/>
  <c r="S86" i="6"/>
  <c r="U86" i="6" s="1"/>
  <c r="P86" i="6"/>
  <c r="AA183" i="6"/>
  <c r="O183" i="7" s="1"/>
  <c r="Z183" i="6"/>
  <c r="V183" i="6"/>
  <c r="J183" i="7" s="1"/>
  <c r="T183" i="6"/>
  <c r="S183" i="6"/>
  <c r="P183" i="6"/>
  <c r="AA205" i="6"/>
  <c r="O205" i="7"/>
  <c r="Q205" i="7" s="1"/>
  <c r="Z205" i="6"/>
  <c r="AB205" i="6" s="1"/>
  <c r="V205" i="6"/>
  <c r="T205" i="6"/>
  <c r="S205" i="6"/>
  <c r="P205" i="6"/>
  <c r="AA128" i="6"/>
  <c r="O128" i="7" s="1"/>
  <c r="Z128" i="6"/>
  <c r="V128" i="6"/>
  <c r="T128" i="6"/>
  <c r="S128" i="6"/>
  <c r="P128" i="6"/>
  <c r="AA163" i="6"/>
  <c r="Z163" i="6"/>
  <c r="V163" i="6"/>
  <c r="T163" i="6"/>
  <c r="S163" i="6"/>
  <c r="P163" i="6"/>
  <c r="AA91" i="6"/>
  <c r="O91" i="7" s="1"/>
  <c r="Z91" i="6"/>
  <c r="V91" i="6"/>
  <c r="J91" i="7" s="1"/>
  <c r="F19" i="8" s="1"/>
  <c r="T91" i="6"/>
  <c r="S91" i="6"/>
  <c r="P91" i="6"/>
  <c r="AA162" i="6"/>
  <c r="Z162" i="6"/>
  <c r="V162" i="6"/>
  <c r="T162" i="6"/>
  <c r="S162" i="6"/>
  <c r="P162" i="6"/>
  <c r="AA24" i="6"/>
  <c r="O24" i="7" s="1"/>
  <c r="Z24" i="6"/>
  <c r="V24" i="6"/>
  <c r="J24" i="7" s="1"/>
  <c r="F88" i="8" s="1"/>
  <c r="T24" i="6"/>
  <c r="S24" i="6"/>
  <c r="P24" i="6"/>
  <c r="AA192" i="6"/>
  <c r="AC192" i="6" s="1"/>
  <c r="Z192" i="6"/>
  <c r="V192" i="6"/>
  <c r="J192" i="7" s="1"/>
  <c r="F79" i="8" s="1"/>
  <c r="T192" i="6"/>
  <c r="S192" i="6"/>
  <c r="P192" i="6"/>
  <c r="AA73" i="6"/>
  <c r="O73" i="7" s="1"/>
  <c r="Z73" i="6"/>
  <c r="V73" i="6"/>
  <c r="P73" i="6"/>
  <c r="T73" i="6"/>
  <c r="S73" i="6"/>
  <c r="AA156" i="6"/>
  <c r="Z156" i="6"/>
  <c r="AB156" i="6" s="1"/>
  <c r="V156" i="6"/>
  <c r="P156" i="6"/>
  <c r="T156" i="6"/>
  <c r="S156" i="6"/>
  <c r="AA150" i="6"/>
  <c r="O150" i="7" s="1"/>
  <c r="Z150" i="6"/>
  <c r="V150" i="6"/>
  <c r="T150" i="6"/>
  <c r="S150" i="6"/>
  <c r="P150" i="6"/>
  <c r="AA215" i="6"/>
  <c r="Z215" i="6"/>
  <c r="V215" i="6"/>
  <c r="J215" i="7" s="1"/>
  <c r="F15" i="8" s="1"/>
  <c r="T215" i="6"/>
  <c r="S215" i="6"/>
  <c r="P215" i="6"/>
  <c r="AA55" i="6"/>
  <c r="O55" i="7" s="1"/>
  <c r="Z55" i="6"/>
  <c r="V55" i="6"/>
  <c r="J55" i="7" s="1"/>
  <c r="F210" i="8" s="1"/>
  <c r="T55" i="6"/>
  <c r="S55" i="6"/>
  <c r="P55" i="6"/>
  <c r="AA216" i="6"/>
  <c r="Z216" i="6"/>
  <c r="V216" i="6"/>
  <c r="J216" i="7"/>
  <c r="F72" i="8" s="1"/>
  <c r="T216" i="6"/>
  <c r="S216" i="6"/>
  <c r="P216" i="6"/>
  <c r="AA168" i="6"/>
  <c r="O168" i="7" s="1"/>
  <c r="Z168" i="6"/>
  <c r="V168" i="6"/>
  <c r="J168" i="7" s="1"/>
  <c r="T168" i="6"/>
  <c r="S168" i="6"/>
  <c r="P168" i="6"/>
  <c r="AA158" i="6"/>
  <c r="AC158" i="6" s="1"/>
  <c r="Z158" i="6"/>
  <c r="AB158" i="6" s="1"/>
  <c r="V158" i="6"/>
  <c r="T158" i="6"/>
  <c r="S158" i="6"/>
  <c r="P158" i="6"/>
  <c r="AA154" i="6"/>
  <c r="Z154" i="6"/>
  <c r="AB154" i="6" s="1"/>
  <c r="V154" i="6"/>
  <c r="J154" i="7" s="1"/>
  <c r="F110" i="8" s="1"/>
  <c r="T154" i="6"/>
  <c r="S154" i="6"/>
  <c r="P154" i="6"/>
  <c r="AA5" i="6"/>
  <c r="Z5" i="6"/>
  <c r="V5" i="6"/>
  <c r="T5" i="6"/>
  <c r="S5" i="6"/>
  <c r="P5" i="6"/>
  <c r="AA9" i="6"/>
  <c r="O9" i="7" s="1"/>
  <c r="Z9" i="6"/>
  <c r="V9" i="6"/>
  <c r="T9" i="6"/>
  <c r="S9" i="6"/>
  <c r="P9" i="6"/>
  <c r="AA138" i="6"/>
  <c r="O138" i="7" s="1"/>
  <c r="Z138" i="6"/>
  <c r="V138" i="6"/>
  <c r="J138" i="7" s="1"/>
  <c r="F22" i="8" s="1"/>
  <c r="T138" i="6"/>
  <c r="S138" i="6"/>
  <c r="P138" i="6"/>
  <c r="AA236" i="6"/>
  <c r="O236" i="7" s="1"/>
  <c r="Z236" i="6"/>
  <c r="V236" i="6"/>
  <c r="J236" i="7" s="1"/>
  <c r="T236" i="6"/>
  <c r="S236" i="6"/>
  <c r="P236" i="6"/>
  <c r="AA231" i="6"/>
  <c r="Z231" i="6"/>
  <c r="V231" i="6"/>
  <c r="T231" i="6"/>
  <c r="S231" i="6"/>
  <c r="P231" i="6"/>
  <c r="AA63" i="6"/>
  <c r="O63" i="7" s="1"/>
  <c r="Z63" i="6"/>
  <c r="V63" i="6"/>
  <c r="J63" i="7" s="1"/>
  <c r="F212" i="8" s="1"/>
  <c r="T63" i="6"/>
  <c r="S63" i="6"/>
  <c r="P63" i="6"/>
  <c r="AA116" i="6"/>
  <c r="Z116" i="6"/>
  <c r="V116" i="6"/>
  <c r="J116" i="7" s="1"/>
  <c r="F106" i="8" s="1"/>
  <c r="T116" i="6"/>
  <c r="S116" i="6"/>
  <c r="P116" i="6"/>
  <c r="AA228" i="6"/>
  <c r="Z228" i="6"/>
  <c r="V228" i="6"/>
  <c r="J228" i="7" s="1"/>
  <c r="F193" i="8" s="1"/>
  <c r="T228" i="6"/>
  <c r="S228" i="6"/>
  <c r="P228" i="6"/>
  <c r="AA142" i="6"/>
  <c r="Z142" i="6"/>
  <c r="V142" i="6"/>
  <c r="T142" i="6"/>
  <c r="S142" i="6"/>
  <c r="P142" i="6"/>
  <c r="AA56" i="6"/>
  <c r="O56" i="7" s="1"/>
  <c r="Z56" i="6"/>
  <c r="V56" i="6"/>
  <c r="J56" i="7" s="1"/>
  <c r="F82" i="8" s="1"/>
  <c r="T56" i="6"/>
  <c r="S56" i="6"/>
  <c r="P56" i="6"/>
  <c r="AA177" i="6"/>
  <c r="O177" i="7" s="1"/>
  <c r="Z177" i="6"/>
  <c r="V177" i="6"/>
  <c r="T177" i="6"/>
  <c r="S177" i="6"/>
  <c r="P177" i="6"/>
  <c r="AA151" i="6"/>
  <c r="Z151" i="6"/>
  <c r="V151" i="6"/>
  <c r="J151" i="7" s="1"/>
  <c r="F121" i="8" s="1"/>
  <c r="T151" i="6"/>
  <c r="S151" i="6"/>
  <c r="P151" i="6"/>
  <c r="AA149" i="6"/>
  <c r="Z149" i="6"/>
  <c r="V149" i="6"/>
  <c r="J149" i="7" s="1"/>
  <c r="F66" i="8" s="1"/>
  <c r="T149" i="6"/>
  <c r="S149" i="6"/>
  <c r="P149" i="6"/>
  <c r="AA180" i="6"/>
  <c r="Z180" i="6"/>
  <c r="V180" i="6"/>
  <c r="J180" i="7" s="1"/>
  <c r="T180" i="6"/>
  <c r="S180" i="6"/>
  <c r="P180" i="6"/>
  <c r="AA137" i="6"/>
  <c r="Z137" i="6"/>
  <c r="V137" i="6"/>
  <c r="J137" i="7" s="1"/>
  <c r="F16" i="8" s="1"/>
  <c r="T137" i="6"/>
  <c r="S137" i="6"/>
  <c r="P137" i="6"/>
  <c r="AA148" i="6"/>
  <c r="Z148" i="6"/>
  <c r="AB148" i="6" s="1"/>
  <c r="V148" i="6"/>
  <c r="J148" i="7" s="1"/>
  <c r="F51" i="8" s="1"/>
  <c r="T148" i="6"/>
  <c r="S148" i="6"/>
  <c r="P148" i="6"/>
  <c r="AA96" i="6"/>
  <c r="O96" i="7" s="1"/>
  <c r="Z96" i="6"/>
  <c r="V96" i="6"/>
  <c r="J96" i="7" s="1"/>
  <c r="T96" i="6"/>
  <c r="S96" i="6"/>
  <c r="P96" i="6"/>
  <c r="AA134" i="6"/>
  <c r="Z134" i="6"/>
  <c r="V134" i="6"/>
  <c r="J134" i="7" s="1"/>
  <c r="F42" i="8" s="1"/>
  <c r="T134" i="6"/>
  <c r="S134" i="6"/>
  <c r="P134" i="6"/>
  <c r="AA119" i="6"/>
  <c r="Z119" i="6"/>
  <c r="V119" i="6"/>
  <c r="J119" i="7" s="1"/>
  <c r="F97" i="8" s="1"/>
  <c r="T119" i="6"/>
  <c r="S119" i="6"/>
  <c r="P119" i="6"/>
  <c r="AA107" i="6"/>
  <c r="AD107" i="6" s="1"/>
  <c r="Z107" i="6"/>
  <c r="V107" i="6"/>
  <c r="J107" i="7" s="1"/>
  <c r="F104" i="8" s="1"/>
  <c r="T107" i="6"/>
  <c r="S107" i="6"/>
  <c r="P107" i="6"/>
  <c r="AA78" i="6"/>
  <c r="O78" i="7" s="1"/>
  <c r="Z78" i="6"/>
  <c r="AB78" i="6" s="1"/>
  <c r="V78" i="6"/>
  <c r="W78" i="6" s="1"/>
  <c r="AJ78" i="6" s="1"/>
  <c r="T78" i="6"/>
  <c r="S78" i="6"/>
  <c r="P78" i="6"/>
  <c r="AA197" i="6"/>
  <c r="O197" i="7" s="1"/>
  <c r="Z197" i="6"/>
  <c r="V197" i="6"/>
  <c r="J197" i="7" s="1"/>
  <c r="F7" i="8" s="1"/>
  <c r="T197" i="6"/>
  <c r="S197" i="6"/>
  <c r="P197" i="6"/>
  <c r="AA166" i="6"/>
  <c r="O166" i="7" s="1"/>
  <c r="Z166" i="6"/>
  <c r="V166" i="6"/>
  <c r="J166" i="7" s="1"/>
  <c r="F148" i="8" s="1"/>
  <c r="T166" i="6"/>
  <c r="S166" i="6"/>
  <c r="P166" i="6"/>
  <c r="AA160" i="6"/>
  <c r="Z160" i="6"/>
  <c r="V160" i="6"/>
  <c r="J160" i="7" s="1"/>
  <c r="F30" i="8" s="1"/>
  <c r="T160" i="6"/>
  <c r="S160" i="6"/>
  <c r="P160" i="6"/>
  <c r="AA188" i="6"/>
  <c r="Z188" i="6"/>
  <c r="V188" i="6"/>
  <c r="J188" i="7" s="1"/>
  <c r="F115" i="8" s="1"/>
  <c r="T188" i="6"/>
  <c r="S188" i="6"/>
  <c r="P188" i="6"/>
  <c r="AA209" i="6"/>
  <c r="Z209" i="6"/>
  <c r="AB209" i="6" s="1"/>
  <c r="V209" i="6"/>
  <c r="T209" i="6"/>
  <c r="S209" i="6"/>
  <c r="P209" i="6"/>
  <c r="AA70" i="6"/>
  <c r="O70" i="7" s="1"/>
  <c r="Z70" i="6"/>
  <c r="P70" i="6"/>
  <c r="V70" i="6"/>
  <c r="T70" i="6"/>
  <c r="S70" i="6"/>
  <c r="AA169" i="6"/>
  <c r="Z169" i="6"/>
  <c r="V169" i="6"/>
  <c r="J169" i="7" s="1"/>
  <c r="F13" i="8" s="1"/>
  <c r="T169" i="6"/>
  <c r="S169" i="6"/>
  <c r="P169" i="6"/>
  <c r="AA11" i="6"/>
  <c r="O11" i="7" s="1"/>
  <c r="Z11" i="6"/>
  <c r="V11" i="6"/>
  <c r="J11" i="7" s="1"/>
  <c r="F208" i="8" s="1"/>
  <c r="T11" i="6"/>
  <c r="S11" i="6"/>
  <c r="P11" i="6"/>
  <c r="AA176" i="6"/>
  <c r="Z176" i="6"/>
  <c r="V176" i="6"/>
  <c r="J176" i="7" s="1"/>
  <c r="F102" i="8" s="1"/>
  <c r="T176" i="6"/>
  <c r="S176" i="6"/>
  <c r="P176" i="6"/>
  <c r="AA97" i="6"/>
  <c r="O97" i="7" s="1"/>
  <c r="P97" i="6"/>
  <c r="Z97" i="6"/>
  <c r="V97" i="6"/>
  <c r="J97" i="7" s="1"/>
  <c r="F23" i="8" s="1"/>
  <c r="T97" i="6"/>
  <c r="S97" i="6"/>
  <c r="AA229" i="6"/>
  <c r="Z229" i="6"/>
  <c r="V229" i="6"/>
  <c r="T229" i="6"/>
  <c r="S229" i="6"/>
  <c r="P229" i="6"/>
  <c r="AA85" i="6"/>
  <c r="O85" i="7" s="1"/>
  <c r="Z85" i="6"/>
  <c r="V85" i="6"/>
  <c r="J85" i="7" s="1"/>
  <c r="F32" i="8" s="1"/>
  <c r="T85" i="6"/>
  <c r="S85" i="6"/>
  <c r="P85" i="6"/>
  <c r="AA87" i="6"/>
  <c r="Z87" i="6"/>
  <c r="V87" i="6"/>
  <c r="J87" i="7" s="1"/>
  <c r="F52" i="8" s="1"/>
  <c r="T87" i="6"/>
  <c r="S87" i="6"/>
  <c r="P87" i="6"/>
  <c r="AA89" i="6"/>
  <c r="Z89" i="6"/>
  <c r="V89" i="6"/>
  <c r="T89" i="6"/>
  <c r="S89" i="6"/>
  <c r="P89" i="6"/>
  <c r="AA58" i="6"/>
  <c r="O58" i="7" s="1"/>
  <c r="Z58" i="6"/>
  <c r="V58" i="6"/>
  <c r="J58" i="7" s="1"/>
  <c r="F169" i="8" s="1"/>
  <c r="T58" i="6"/>
  <c r="S58" i="6"/>
  <c r="P58" i="6"/>
  <c r="AA186" i="6"/>
  <c r="O186" i="7" s="1"/>
  <c r="Q186" i="7" s="1"/>
  <c r="Z186" i="6"/>
  <c r="V186" i="6"/>
  <c r="J186" i="7" s="1"/>
  <c r="F123" i="8" s="1"/>
  <c r="T186" i="6"/>
  <c r="S186" i="6"/>
  <c r="P186" i="6"/>
  <c r="AA172" i="6"/>
  <c r="O172" i="7" s="1"/>
  <c r="Z172" i="6"/>
  <c r="V172" i="6"/>
  <c r="J172" i="7" s="1"/>
  <c r="T172" i="6"/>
  <c r="S172" i="6"/>
  <c r="P172" i="6"/>
  <c r="AA68" i="6"/>
  <c r="O68" i="7" s="1"/>
  <c r="Z68" i="6"/>
  <c r="V68" i="6"/>
  <c r="J68" i="7" s="1"/>
  <c r="F6" i="8" s="1"/>
  <c r="T68" i="6"/>
  <c r="S68" i="6"/>
  <c r="P68" i="6"/>
  <c r="AA232" i="6"/>
  <c r="Z232" i="6"/>
  <c r="V232" i="6"/>
  <c r="J232" i="7" s="1"/>
  <c r="F240" i="8" s="1"/>
  <c r="T232" i="6"/>
  <c r="S232" i="6"/>
  <c r="P232" i="6"/>
  <c r="AA185" i="6"/>
  <c r="O185" i="7" s="1"/>
  <c r="Z185" i="6"/>
  <c r="V185" i="6"/>
  <c r="J185" i="7" s="1"/>
  <c r="F49" i="8" s="1"/>
  <c r="T185" i="6"/>
  <c r="S185" i="6"/>
  <c r="P185" i="6"/>
  <c r="AA99" i="6"/>
  <c r="AD99" i="6" s="1"/>
  <c r="Z99" i="6"/>
  <c r="V99" i="6"/>
  <c r="T99" i="6"/>
  <c r="S99" i="6"/>
  <c r="P99" i="6"/>
  <c r="AA26" i="6"/>
  <c r="O26" i="7" s="1"/>
  <c r="Z26" i="6"/>
  <c r="V26" i="6"/>
  <c r="J26" i="7" s="1"/>
  <c r="F217" i="8" s="1"/>
  <c r="T26" i="6"/>
  <c r="S26" i="6"/>
  <c r="P26" i="6"/>
  <c r="AA179" i="6"/>
  <c r="Z179" i="6"/>
  <c r="V179" i="6"/>
  <c r="J179" i="7" s="1"/>
  <c r="F90" i="8" s="1"/>
  <c r="T179" i="6"/>
  <c r="S179" i="6"/>
  <c r="P179" i="6"/>
  <c r="AA59" i="6"/>
  <c r="Z59" i="6"/>
  <c r="AB59" i="6" s="1"/>
  <c r="V59" i="6"/>
  <c r="T59" i="6"/>
  <c r="S59" i="6"/>
  <c r="P59" i="6"/>
  <c r="AA223" i="6"/>
  <c r="O223" i="7" s="1"/>
  <c r="Z223" i="6"/>
  <c r="V223" i="6"/>
  <c r="J223" i="7" s="1"/>
  <c r="F36" i="8" s="1"/>
  <c r="T223" i="6"/>
  <c r="S223" i="6"/>
  <c r="P223" i="6"/>
  <c r="AA140" i="6"/>
  <c r="AC140" i="6" s="1"/>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AD237" i="6" s="1"/>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Z200" i="6"/>
  <c r="AB200" i="6" s="1"/>
  <c r="V200" i="6"/>
  <c r="J200" i="7" s="1"/>
  <c r="F68" i="8" s="1"/>
  <c r="T200" i="6"/>
  <c r="S200" i="6"/>
  <c r="P200" i="6"/>
  <c r="AA167" i="6"/>
  <c r="Z167" i="6"/>
  <c r="V167" i="6"/>
  <c r="J167" i="7" s="1"/>
  <c r="F55" i="8" s="1"/>
  <c r="T167" i="6"/>
  <c r="S167" i="6"/>
  <c r="P167" i="6"/>
  <c r="AA170" i="6"/>
  <c r="O170" i="7" s="1"/>
  <c r="Z170" i="6"/>
  <c r="V170" i="6"/>
  <c r="J170" i="7" s="1"/>
  <c r="F80" i="8" s="1"/>
  <c r="T170" i="6"/>
  <c r="S170" i="6"/>
  <c r="P170" i="6"/>
  <c r="AA152" i="6"/>
  <c r="Z152" i="6"/>
  <c r="V152" i="6"/>
  <c r="J152" i="7" s="1"/>
  <c r="F135" i="8" s="1"/>
  <c r="T152" i="6"/>
  <c r="S152" i="6"/>
  <c r="P152" i="6"/>
  <c r="AA218" i="6"/>
  <c r="Z218" i="6"/>
  <c r="V218" i="6"/>
  <c r="J218" i="7" s="1"/>
  <c r="F232" i="8" s="1"/>
  <c r="T218" i="6"/>
  <c r="S218" i="6"/>
  <c r="P218" i="6"/>
  <c r="AA174" i="6"/>
  <c r="Z174" i="6"/>
  <c r="V174" i="6"/>
  <c r="J174" i="7" s="1"/>
  <c r="F9" i="8" s="1"/>
  <c r="T174" i="6"/>
  <c r="S174" i="6"/>
  <c r="P174" i="6"/>
  <c r="AA233" i="6"/>
  <c r="O233" i="7" s="1"/>
  <c r="Z233" i="6"/>
  <c r="V233" i="6"/>
  <c r="J233" i="7" s="1"/>
  <c r="F96" i="8" s="1"/>
  <c r="T233" i="6"/>
  <c r="S233" i="6"/>
  <c r="P233" i="6"/>
  <c r="AA171" i="6"/>
  <c r="Z171" i="6"/>
  <c r="V171" i="6"/>
  <c r="T171" i="6"/>
  <c r="S171" i="6"/>
  <c r="P171" i="6"/>
  <c r="AA187" i="6"/>
  <c r="AD187" i="6" s="1"/>
  <c r="Z187" i="6"/>
  <c r="V187" i="6"/>
  <c r="T187" i="6"/>
  <c r="S187" i="6"/>
  <c r="P187" i="6"/>
  <c r="AA173" i="6"/>
  <c r="Z173" i="6"/>
  <c r="V173" i="6"/>
  <c r="J173" i="7" s="1"/>
  <c r="F18" i="8" s="1"/>
  <c r="T173" i="6"/>
  <c r="S173" i="6"/>
  <c r="P173" i="6"/>
  <c r="AA184" i="6"/>
  <c r="Z184" i="6"/>
  <c r="V184" i="6"/>
  <c r="T184" i="6"/>
  <c r="S184" i="6"/>
  <c r="P184" i="6"/>
  <c r="AA161" i="6"/>
  <c r="AD161" i="6" s="1"/>
  <c r="Z161" i="6"/>
  <c r="V161" i="6"/>
  <c r="W161" i="6" s="1"/>
  <c r="AJ161" i="6" s="1"/>
  <c r="T161" i="6"/>
  <c r="S161" i="6"/>
  <c r="P161" i="6"/>
  <c r="AA69" i="6"/>
  <c r="O69" i="7" s="1"/>
  <c r="P69" i="6"/>
  <c r="Z69" i="6"/>
  <c r="V69" i="6"/>
  <c r="J69" i="7" s="1"/>
  <c r="F57" i="8" s="1"/>
  <c r="T69" i="6"/>
  <c r="S69" i="6"/>
  <c r="AA153" i="6"/>
  <c r="AC153" i="6" s="1"/>
  <c r="Z153" i="6"/>
  <c r="V153" i="6"/>
  <c r="J153" i="7" s="1"/>
  <c r="F50" i="8" s="1"/>
  <c r="T153" i="6"/>
  <c r="S153" i="6"/>
  <c r="P153" i="6"/>
  <c r="AA214" i="6"/>
  <c r="AD214" i="6" s="1"/>
  <c r="Z214" i="6"/>
  <c r="AB214" i="6" s="1"/>
  <c r="V214" i="6"/>
  <c r="W214" i="6" s="1"/>
  <c r="AJ214" i="6" s="1"/>
  <c r="T214" i="6"/>
  <c r="S214" i="6"/>
  <c r="P214" i="6"/>
  <c r="AA182" i="6"/>
  <c r="Z182" i="6"/>
  <c r="V182" i="6"/>
  <c r="J182" i="7" s="1"/>
  <c r="F87" i="8" s="1"/>
  <c r="T182" i="6"/>
  <c r="S182" i="6"/>
  <c r="P182" i="6"/>
  <c r="AA80" i="6"/>
  <c r="AD80" i="6" s="1"/>
  <c r="Z80" i="6"/>
  <c r="V80" i="6"/>
  <c r="T80" i="6"/>
  <c r="S80" i="6"/>
  <c r="P80" i="6"/>
  <c r="AA79" i="6"/>
  <c r="O79" i="7" s="1"/>
  <c r="Z79" i="6"/>
  <c r="V79" i="6"/>
  <c r="J79" i="7" s="1"/>
  <c r="F75" i="8" s="1"/>
  <c r="T79" i="6"/>
  <c r="S79" i="6"/>
  <c r="P79" i="6"/>
  <c r="AA103" i="6"/>
  <c r="O103" i="7" s="1"/>
  <c r="Z103" i="6"/>
  <c r="AB103" i="6" s="1"/>
  <c r="V103" i="6"/>
  <c r="J103" i="7" s="1"/>
  <c r="F179" i="8" s="1"/>
  <c r="T103" i="6"/>
  <c r="S103" i="6"/>
  <c r="P103" i="6"/>
  <c r="AA147" i="6"/>
  <c r="Z147" i="6"/>
  <c r="V147" i="6"/>
  <c r="J147" i="7" s="1"/>
  <c r="F17" i="8" s="1"/>
  <c r="T147" i="6"/>
  <c r="S147" i="6"/>
  <c r="P147" i="6"/>
  <c r="AA62" i="6"/>
  <c r="Z62" i="6"/>
  <c r="V62" i="6"/>
  <c r="T62" i="6"/>
  <c r="S62" i="6"/>
  <c r="P62" i="6"/>
  <c r="AA226" i="6"/>
  <c r="O226" i="7" s="1"/>
  <c r="Z226" i="6"/>
  <c r="V226" i="6"/>
  <c r="J226" i="7" s="1"/>
  <c r="F89" i="8" s="1"/>
  <c r="T226" i="6"/>
  <c r="S226" i="6"/>
  <c r="P226" i="6"/>
  <c r="AA202" i="6"/>
  <c r="O202" i="7" s="1"/>
  <c r="Z202" i="6"/>
  <c r="AB202" i="6" s="1"/>
  <c r="V202" i="6"/>
  <c r="J202" i="7" s="1"/>
  <c r="F64" i="8" s="1"/>
  <c r="T202" i="6"/>
  <c r="S202" i="6"/>
  <c r="P202" i="6"/>
  <c r="AA238" i="6"/>
  <c r="O238" i="7" s="1"/>
  <c r="Z238" i="6"/>
  <c r="AB238" i="6" s="1"/>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O88" i="7" s="1"/>
  <c r="Z88" i="6"/>
  <c r="V88" i="6"/>
  <c r="J88" i="7" s="1"/>
  <c r="F31" i="8" s="1"/>
  <c r="T88" i="6"/>
  <c r="S88" i="6"/>
  <c r="P88" i="6"/>
  <c r="AA7" i="6"/>
  <c r="O7" i="7" s="1"/>
  <c r="Z7" i="6"/>
  <c r="V7" i="6"/>
  <c r="J7" i="7" s="1"/>
  <c r="F215" i="8" s="1"/>
  <c r="T7" i="6"/>
  <c r="S7" i="6"/>
  <c r="P7" i="6"/>
  <c r="AA135" i="6"/>
  <c r="Z135" i="6"/>
  <c r="V135" i="6"/>
  <c r="J135" i="7" s="1"/>
  <c r="F4" i="8" s="1"/>
  <c r="T135" i="6"/>
  <c r="S135" i="6"/>
  <c r="P135" i="6"/>
  <c r="AA224" i="6"/>
  <c r="Z224" i="6"/>
  <c r="AB224" i="6" s="1"/>
  <c r="V224" i="6"/>
  <c r="T224" i="6"/>
  <c r="S224" i="6"/>
  <c r="P224" i="6"/>
  <c r="AA94" i="6"/>
  <c r="O94" i="7" s="1"/>
  <c r="Z94" i="6"/>
  <c r="V94" i="6"/>
  <c r="J94" i="7" s="1"/>
  <c r="T94" i="6"/>
  <c r="S94" i="6"/>
  <c r="P94" i="6"/>
  <c r="AA139" i="6"/>
  <c r="O139" i="7" s="1"/>
  <c r="Z139" i="6"/>
  <c r="V139" i="6"/>
  <c r="J139" i="7" s="1"/>
  <c r="F27" i="8" s="1"/>
  <c r="T139" i="6"/>
  <c r="S139" i="6"/>
  <c r="P139" i="6"/>
  <c r="AA17" i="6"/>
  <c r="O17" i="7" s="1"/>
  <c r="Z17" i="6"/>
  <c r="V17" i="6"/>
  <c r="J17" i="7" s="1"/>
  <c r="F25" i="8" s="1"/>
  <c r="T17" i="6"/>
  <c r="S17" i="6"/>
  <c r="P17" i="6"/>
  <c r="AA57" i="6"/>
  <c r="Z57" i="6"/>
  <c r="V57" i="6"/>
  <c r="J57" i="7" s="1"/>
  <c r="F83" i="8" s="1"/>
  <c r="T57" i="6"/>
  <c r="S57" i="6"/>
  <c r="P57" i="6"/>
  <c r="AA8" i="6"/>
  <c r="O8" i="7" s="1"/>
  <c r="Z8" i="6"/>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O109" i="7" s="1"/>
  <c r="Z109" i="6"/>
  <c r="V109" i="6"/>
  <c r="J109" i="7" s="1"/>
  <c r="F91" i="8" s="1"/>
  <c r="T109" i="6"/>
  <c r="S109" i="6"/>
  <c r="P109" i="6"/>
  <c r="AA41" i="6"/>
  <c r="O41" i="7" s="1"/>
  <c r="Z41" i="6"/>
  <c r="P41" i="6"/>
  <c r="V41" i="6"/>
  <c r="J41" i="7" s="1"/>
  <c r="F177" i="8" s="1"/>
  <c r="T41" i="6"/>
  <c r="S41" i="6"/>
  <c r="AA66" i="6"/>
  <c r="AC66" i="6" s="1"/>
  <c r="Z66" i="6"/>
  <c r="AB66" i="6" s="1"/>
  <c r="V66" i="6"/>
  <c r="T66" i="6"/>
  <c r="S66" i="6"/>
  <c r="P66" i="6"/>
  <c r="M30" i="7" a="1"/>
  <c r="M30" i="7" s="1"/>
  <c r="B131" i="7"/>
  <c r="A202" i="8"/>
  <c r="A6" i="8"/>
  <c r="A26" i="8"/>
  <c r="A71" i="8"/>
  <c r="A180" i="8"/>
  <c r="A183" i="8"/>
  <c r="A51" i="8"/>
  <c r="A54" i="8"/>
  <c r="A40" i="8"/>
  <c r="D83" i="7"/>
  <c r="A10" i="8"/>
  <c r="A72" i="8"/>
  <c r="A229" i="8"/>
  <c r="A125" i="8"/>
  <c r="B78" i="7"/>
  <c r="B191" i="8"/>
  <c r="M114" i="7" a="1"/>
  <c r="M114" i="7" s="1"/>
  <c r="K179" i="6"/>
  <c r="G179" i="7" s="1"/>
  <c r="K188" i="6"/>
  <c r="G188" i="7" s="1"/>
  <c r="K220" i="6"/>
  <c r="G220" i="7" s="1"/>
  <c r="K171" i="6"/>
  <c r="G171" i="7" s="1"/>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K156" i="6"/>
  <c r="G156" i="7" s="1"/>
  <c r="K134" i="6"/>
  <c r="G134" i="7" s="1"/>
  <c r="K165" i="6"/>
  <c r="G165" i="7" s="1"/>
  <c r="K125" i="6"/>
  <c r="G125" i="7" s="1"/>
  <c r="K219" i="6"/>
  <c r="G219" i="7" s="1"/>
  <c r="K141" i="6"/>
  <c r="G141" i="7" s="1"/>
  <c r="O116" i="6" a="1"/>
  <c r="O116" i="6"/>
  <c r="X116" i="6"/>
  <c r="K232" i="6"/>
  <c r="G232" i="7" s="1"/>
  <c r="K164" i="6"/>
  <c r="K227" i="6"/>
  <c r="G227" i="7" s="1"/>
  <c r="K180" i="6"/>
  <c r="G180" i="7" s="1"/>
  <c r="K208" i="6"/>
  <c r="G208" i="7" s="1"/>
  <c r="K133" i="6"/>
  <c r="G133" i="7" s="1"/>
  <c r="K242" i="6"/>
  <c r="G242" i="7" s="1"/>
  <c r="K187" i="6"/>
  <c r="G187" i="7" s="1"/>
  <c r="K196" i="6"/>
  <c r="G196" i="7"/>
  <c r="K4" i="6"/>
  <c r="G4" i="7" s="1"/>
  <c r="O214" i="6" a="1"/>
  <c r="O214" i="6"/>
  <c r="X214" i="6"/>
  <c r="K212" i="6"/>
  <c r="G212" i="7" s="1"/>
  <c r="K166" i="6"/>
  <c r="G166" i="7" s="1"/>
  <c r="K195" i="6"/>
  <c r="G195" i="7" s="1"/>
  <c r="X239" i="6"/>
  <c r="Y239" i="6" s="1"/>
  <c r="D140" i="7"/>
  <c r="D85" i="7"/>
  <c r="D204" i="7"/>
  <c r="K235" i="6"/>
  <c r="G235" i="7" s="1"/>
  <c r="K149" i="6"/>
  <c r="G149" i="7" s="1"/>
  <c r="K160" i="6"/>
  <c r="G160" i="7" s="1"/>
  <c r="K224" i="6"/>
  <c r="G224" i="7" s="1"/>
  <c r="K240" i="6"/>
  <c r="G240" i="7" s="1"/>
  <c r="K203" i="6"/>
  <c r="G203" i="7"/>
  <c r="X159" i="6"/>
  <c r="K238" i="6"/>
  <c r="G238" i="7"/>
  <c r="K228" i="6"/>
  <c r="G228" i="7" s="1"/>
  <c r="K190" i="6"/>
  <c r="G190" i="7" s="1"/>
  <c r="K222" i="6"/>
  <c r="G222" i="7" s="1"/>
  <c r="D158" i="7"/>
  <c r="D97" i="7"/>
  <c r="D116" i="7"/>
  <c r="K202" i="6"/>
  <c r="G202" i="7" s="1"/>
  <c r="K170" i="6"/>
  <c r="G170" i="7" s="1"/>
  <c r="K182" i="6"/>
  <c r="G182" i="7" s="1"/>
  <c r="H182" i="7" s="1"/>
  <c r="E87" i="8" s="1"/>
  <c r="G87" i="8" s="1"/>
  <c r="K154" i="6"/>
  <c r="G154" i="7" s="1"/>
  <c r="K210" i="6"/>
  <c r="G210" i="7" s="1"/>
  <c r="K194" i="6"/>
  <c r="G194" i="7" s="1"/>
  <c r="K101" i="6"/>
  <c r="G101" i="7" s="1"/>
  <c r="K157" i="6"/>
  <c r="G157" i="7" s="1"/>
  <c r="H157" i="7" s="1"/>
  <c r="K236" i="6"/>
  <c r="G236" i="7" s="1"/>
  <c r="X14" i="6"/>
  <c r="D147" i="7"/>
  <c r="K172" i="6"/>
  <c r="G172" i="7" s="1"/>
  <c r="K158" i="6"/>
  <c r="G158" i="7" s="1"/>
  <c r="K186" i="6"/>
  <c r="G186" i="7" s="1"/>
  <c r="K162" i="6"/>
  <c r="G162" i="7" s="1"/>
  <c r="K93" i="6"/>
  <c r="G93" i="7"/>
  <c r="K206" i="6"/>
  <c r="G206" i="7" s="1"/>
  <c r="X136" i="6"/>
  <c r="X32" i="6"/>
  <c r="X199" i="6"/>
  <c r="X64" i="6"/>
  <c r="D165" i="7"/>
  <c r="E165" i="7" s="1"/>
  <c r="D7" i="7"/>
  <c r="X167" i="6"/>
  <c r="K205" i="6"/>
  <c r="G205" i="7" s="1"/>
  <c r="K189" i="6"/>
  <c r="G189" i="7" s="1"/>
  <c r="X5" i="6"/>
  <c r="K213" i="6"/>
  <c r="G213" i="7" s="1"/>
  <c r="K197" i="6"/>
  <c r="G197" i="7" s="1"/>
  <c r="X203" i="6"/>
  <c r="K173" i="6"/>
  <c r="G173" i="7" s="1"/>
  <c r="K181" i="6"/>
  <c r="K221" i="6"/>
  <c r="G221" i="7" s="1"/>
  <c r="X156" i="6"/>
  <c r="X56" i="6"/>
  <c r="O237" i="6" a="1"/>
  <c r="O237" i="6"/>
  <c r="X237" i="6"/>
  <c r="X220" i="6"/>
  <c r="F39" i="7"/>
  <c r="X109" i="6"/>
  <c r="K229" i="6"/>
  <c r="G229" i="7" s="1"/>
  <c r="X130" i="6"/>
  <c r="X55" i="6"/>
  <c r="X217" i="6"/>
  <c r="X120" i="6"/>
  <c r="X87" i="6"/>
  <c r="X153" i="6"/>
  <c r="X150" i="6"/>
  <c r="X54" i="6"/>
  <c r="X30" i="6"/>
  <c r="C84" i="7"/>
  <c r="C141" i="8"/>
  <c r="N112" i="7" a="1"/>
  <c r="N112" i="7"/>
  <c r="P112" i="7"/>
  <c r="B184" i="7"/>
  <c r="M37" i="7" a="1"/>
  <c r="M37" i="7" s="1"/>
  <c r="D192" i="7"/>
  <c r="C10" i="7"/>
  <c r="C160" i="7"/>
  <c r="N24" i="7" a="1"/>
  <c r="N24" i="7"/>
  <c r="D129" i="7"/>
  <c r="J246" i="7"/>
  <c r="F242" i="8" s="1"/>
  <c r="K46" i="7"/>
  <c r="D121" i="7"/>
  <c r="D233" i="7"/>
  <c r="A129" i="8"/>
  <c r="B180" i="7"/>
  <c r="M190" i="7" a="1"/>
  <c r="M190" i="7" s="1"/>
  <c r="K180" i="7"/>
  <c r="N240" i="7" a="1"/>
  <c r="N240" i="7"/>
  <c r="P240" i="7"/>
  <c r="J244" i="7"/>
  <c r="F246" i="8" s="1"/>
  <c r="D148" i="7"/>
  <c r="B20" i="7"/>
  <c r="B184" i="8"/>
  <c r="F247" i="7"/>
  <c r="A7" i="8"/>
  <c r="B214" i="7"/>
  <c r="B117" i="8"/>
  <c r="B149" i="7"/>
  <c r="C149" i="7"/>
  <c r="B229" i="7"/>
  <c r="M226" i="7" a="1"/>
  <c r="M226" i="7" s="1"/>
  <c r="D20" i="7"/>
  <c r="N20" i="7" a="1"/>
  <c r="N20" i="7"/>
  <c r="P20" i="7"/>
  <c r="D188" i="7"/>
  <c r="N188" i="7" a="1"/>
  <c r="N188" i="7"/>
  <c r="N8" i="7" a="1"/>
  <c r="N8" i="7"/>
  <c r="P8" i="7"/>
  <c r="D23" i="7"/>
  <c r="E23" i="7" s="1"/>
  <c r="C8" i="7"/>
  <c r="A133" i="8"/>
  <c r="D191" i="7"/>
  <c r="E191" i="7" s="1"/>
  <c r="K128" i="7"/>
  <c r="D93" i="7"/>
  <c r="K192" i="7"/>
  <c r="K78" i="7"/>
  <c r="K36" i="7"/>
  <c r="N86" i="7" a="1"/>
  <c r="N86" i="7"/>
  <c r="P86" i="7"/>
  <c r="N213" i="7" a="1"/>
  <c r="N213" i="7"/>
  <c r="P213" i="7"/>
  <c r="N93" i="7" a="1"/>
  <c r="N93" i="7"/>
  <c r="P93" i="7"/>
  <c r="B8" i="7"/>
  <c r="N13" i="7" a="1"/>
  <c r="N13" i="7"/>
  <c r="A36" i="8"/>
  <c r="D32" i="7"/>
  <c r="A243" i="8"/>
  <c r="A141" i="8"/>
  <c r="C13" i="7"/>
  <c r="N67" i="7" a="1"/>
  <c r="N67" i="7"/>
  <c r="P67" i="7"/>
  <c r="N154" i="7" a="1"/>
  <c r="N154" i="7"/>
  <c r="P154" i="7"/>
  <c r="D8" i="7"/>
  <c r="A57" i="8"/>
  <c r="K39" i="7"/>
  <c r="K102" i="7"/>
  <c r="B128" i="7"/>
  <c r="C78" i="7"/>
  <c r="C191" i="8"/>
  <c r="N4" i="7" a="1"/>
  <c r="N4" i="7"/>
  <c r="C16" i="7"/>
  <c r="D36" i="7"/>
  <c r="N247" i="7" a="1"/>
  <c r="N247" i="7"/>
  <c r="K154" i="7"/>
  <c r="K13" i="7"/>
  <c r="M214" i="7" a="1"/>
  <c r="M214" i="7" s="1"/>
  <c r="B235" i="7"/>
  <c r="N190" i="7" a="1"/>
  <c r="N190" i="7"/>
  <c r="P190" i="7"/>
  <c r="K149" i="7"/>
  <c r="K118" i="7"/>
  <c r="A76" i="8"/>
  <c r="A118" i="8"/>
  <c r="A53" i="8"/>
  <c r="K20" i="7"/>
  <c r="D13" i="7"/>
  <c r="K24" i="7"/>
  <c r="N214" i="7" a="1"/>
  <c r="N214" i="7"/>
  <c r="P214" i="7"/>
  <c r="F200" i="7"/>
  <c r="D108" i="7"/>
  <c r="B14" i="7"/>
  <c r="B195" i="8"/>
  <c r="N184" i="7" a="1"/>
  <c r="N184" i="7"/>
  <c r="F237" i="7"/>
  <c r="K222" i="7"/>
  <c r="M145" i="7" a="1"/>
  <c r="M145" i="7" s="1"/>
  <c r="C146" i="7"/>
  <c r="C152" i="8"/>
  <c r="D237" i="7"/>
  <c r="K108" i="7"/>
  <c r="K170" i="7"/>
  <c r="A19" i="8"/>
  <c r="D156" i="7"/>
  <c r="C24" i="7"/>
  <c r="D34" i="7"/>
  <c r="E34" i="7" s="1"/>
  <c r="H34" i="7" s="1"/>
  <c r="E142" i="8" s="1"/>
  <c r="G142" i="8" s="1"/>
  <c r="A12" i="8"/>
  <c r="N191" i="7" a="1"/>
  <c r="N191" i="7"/>
  <c r="F189" i="7"/>
  <c r="H189" i="7" s="1"/>
  <c r="I189" i="7" s="1"/>
  <c r="D100" i="8" s="1"/>
  <c r="D31" i="7"/>
  <c r="K210" i="7"/>
  <c r="M160" i="7" a="1"/>
  <c r="M160" i="7" s="1"/>
  <c r="P160" i="7" s="1"/>
  <c r="K240" i="7"/>
  <c r="C35" i="7"/>
  <c r="C43" i="7"/>
  <c r="A100" i="8"/>
  <c r="S244" i="7"/>
  <c r="C33" i="7"/>
  <c r="C213" i="8"/>
  <c r="K176" i="7"/>
  <c r="N91" i="7" a="1"/>
  <c r="N91" i="7"/>
  <c r="K217" i="7"/>
  <c r="A245" i="8"/>
  <c r="M43" i="7" a="1"/>
  <c r="M43" i="7" s="1"/>
  <c r="P43" i="7"/>
  <c r="K84" i="7"/>
  <c r="A87" i="8"/>
  <c r="C158" i="7"/>
  <c r="C164" i="8"/>
  <c r="C178" i="7"/>
  <c r="C41" i="7"/>
  <c r="K236" i="7"/>
  <c r="S245" i="7"/>
  <c r="D145" i="7"/>
  <c r="M158" i="7" a="1"/>
  <c r="M158" i="7" s="1"/>
  <c r="C55" i="7"/>
  <c r="D236" i="7"/>
  <c r="K235" i="7"/>
  <c r="D167" i="7"/>
  <c r="C50" i="7"/>
  <c r="C72" i="7"/>
  <c r="N123" i="7" a="1"/>
  <c r="N123" i="7"/>
  <c r="F202" i="7"/>
  <c r="A212" i="8"/>
  <c r="C235" i="7"/>
  <c r="K113" i="7"/>
  <c r="M238" i="7" a="1"/>
  <c r="M238" i="7" s="1"/>
  <c r="K9" i="7"/>
  <c r="K155" i="7"/>
  <c r="B139" i="7"/>
  <c r="D215" i="7"/>
  <c r="E215" i="7" s="1"/>
  <c r="K131" i="7"/>
  <c r="N131" i="7" a="1"/>
  <c r="N131" i="7"/>
  <c r="P131" i="7"/>
  <c r="D70" i="7"/>
  <c r="A230" i="8"/>
  <c r="C163" i="7"/>
  <c r="N242" i="7" a="1"/>
  <c r="N242" i="7"/>
  <c r="P242" i="7"/>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c r="P217" i="7"/>
  <c r="D245" i="7"/>
  <c r="E245" i="7"/>
  <c r="D37" i="7"/>
  <c r="B176" i="7"/>
  <c r="K141" i="7"/>
  <c r="M35" i="7" a="1"/>
  <c r="M35" i="7" s="1"/>
  <c r="C216" i="7"/>
  <c r="B155" i="7"/>
  <c r="C246" i="7"/>
  <c r="C242" i="8"/>
  <c r="M210" i="7" a="1"/>
  <c r="M210" i="7" s="1"/>
  <c r="K238" i="7"/>
  <c r="D168" i="7"/>
  <c r="N108" i="7" a="1"/>
  <c r="N108" i="7"/>
  <c r="M90" i="7" a="1"/>
  <c r="M90" i="7" s="1"/>
  <c r="F24" i="7"/>
  <c r="H24" i="7" s="1"/>
  <c r="E88" i="8" s="1"/>
  <c r="G88" i="8" s="1"/>
  <c r="A162" i="8"/>
  <c r="A45" i="8"/>
  <c r="J243" i="7"/>
  <c r="F227" i="8" s="1"/>
  <c r="D55" i="7"/>
  <c r="F35" i="7"/>
  <c r="M235" i="7" a="1"/>
  <c r="M235" i="7" s="1"/>
  <c r="P235" i="7" s="1"/>
  <c r="N238" i="7" a="1"/>
  <c r="N238" i="7"/>
  <c r="P238" i="7"/>
  <c r="D180" i="7"/>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Y154" i="6" s="1"/>
  <c r="D50" i="7"/>
  <c r="K42" i="7"/>
  <c r="F117" i="7"/>
  <c r="B56" i="7"/>
  <c r="B82" i="8"/>
  <c r="D110" i="7"/>
  <c r="E110" i="7" s="1"/>
  <c r="M91" i="7" a="1"/>
  <c r="M91" i="7" s="1"/>
  <c r="P91" i="7" s="1"/>
  <c r="K63" i="7"/>
  <c r="D153" i="7"/>
  <c r="D19" i="7"/>
  <c r="M108" i="7" a="1"/>
  <c r="M108" i="7" s="1"/>
  <c r="B90" i="7"/>
  <c r="A61" i="8"/>
  <c r="D143" i="7"/>
  <c r="F48" i="7"/>
  <c r="K129" i="7"/>
  <c r="N35" i="7" a="1"/>
  <c r="N35" i="7"/>
  <c r="P35" i="7"/>
  <c r="D232" i="7"/>
  <c r="D35" i="7"/>
  <c r="K168" i="7"/>
  <c r="M162" i="7" a="1"/>
  <c r="M162" i="7" s="1"/>
  <c r="P162" i="7" s="1"/>
  <c r="C133" i="7"/>
  <c r="C158" i="8"/>
  <c r="M164" i="7" a="1"/>
  <c r="M164" i="7" s="1"/>
  <c r="P164" i="7" s="1"/>
  <c r="N168" i="7" a="1"/>
  <c r="N168" i="7"/>
  <c r="K18" i="7"/>
  <c r="C81" i="7"/>
  <c r="B91" i="7"/>
  <c r="A179" i="8"/>
  <c r="K198" i="7"/>
  <c r="D216" i="7"/>
  <c r="A107" i="8"/>
  <c r="C183" i="7"/>
  <c r="K233" i="7"/>
  <c r="C240" i="7"/>
  <c r="D84" i="7"/>
  <c r="E84" i="7" s="1"/>
  <c r="K26" i="7"/>
  <c r="X194" i="6"/>
  <c r="Y194" i="6" s="1"/>
  <c r="X200" i="6"/>
  <c r="Y200" i="6" s="1"/>
  <c r="X122" i="6"/>
  <c r="Y122" i="6" s="1"/>
  <c r="M203" i="7" a="1"/>
  <c r="M203" i="7" s="1"/>
  <c r="D133" i="7"/>
  <c r="A193" i="8"/>
  <c r="N228" i="7" a="1"/>
  <c r="N228" i="7"/>
  <c r="C228" i="7"/>
  <c r="N105" i="7" a="1"/>
  <c r="N105" i="7"/>
  <c r="P105" i="7"/>
  <c r="S243" i="7"/>
  <c r="D56" i="7"/>
  <c r="B26" i="7"/>
  <c r="D11" i="7"/>
  <c r="B205" i="7"/>
  <c r="B67" i="8"/>
  <c r="D234" i="7"/>
  <c r="D244" i="7"/>
  <c r="E244" i="7"/>
  <c r="A197" i="8"/>
  <c r="F214" i="7"/>
  <c r="B170" i="7"/>
  <c r="B104" i="7"/>
  <c r="D139" i="7"/>
  <c r="D217" i="7"/>
  <c r="B12" i="7"/>
  <c r="K19" i="7"/>
  <c r="D221" i="7"/>
  <c r="M139" i="7" a="1"/>
  <c r="M139" i="7" s="1"/>
  <c r="N48" i="7" a="1"/>
  <c r="N48" i="7"/>
  <c r="P48" i="7"/>
  <c r="N141" i="7" a="1"/>
  <c r="N141" i="7"/>
  <c r="K136" i="7"/>
  <c r="D203" i="7"/>
  <c r="B61" i="7"/>
  <c r="B187" i="8"/>
  <c r="N200" i="7" a="1"/>
  <c r="N200" i="7"/>
  <c r="P200" i="7"/>
  <c r="B160" i="7"/>
  <c r="A210" i="8"/>
  <c r="C12" i="7"/>
  <c r="M146" i="7" a="1"/>
  <c r="M146" i="7" s="1"/>
  <c r="N100" i="7" a="1"/>
  <c r="N100" i="7"/>
  <c r="P100" i="7"/>
  <c r="B80" i="7"/>
  <c r="B220" i="8"/>
  <c r="M18" i="7" a="1"/>
  <c r="M18" i="7" s="1"/>
  <c r="A90" i="8"/>
  <c r="N12" i="7" a="1"/>
  <c r="N12" i="7"/>
  <c r="K68" i="7"/>
  <c r="N170" i="7" a="1"/>
  <c r="N170" i="7"/>
  <c r="P170" i="7"/>
  <c r="D100" i="7"/>
  <c r="N133" i="7" a="1"/>
  <c r="N133" i="7"/>
  <c r="P133" i="7"/>
  <c r="B111" i="7"/>
  <c r="A149" i="8"/>
  <c r="A59" i="8"/>
  <c r="A78" i="8"/>
  <c r="F55" i="7"/>
  <c r="A152" i="8"/>
  <c r="M68" i="7" a="1"/>
  <c r="M68" i="7" s="1"/>
  <c r="F50" i="7"/>
  <c r="H50" i="7" s="1"/>
  <c r="I50" i="7" s="1"/>
  <c r="D173" i="8" s="1"/>
  <c r="A194" i="8"/>
  <c r="K177" i="7"/>
  <c r="M179" i="7" a="1"/>
  <c r="M179" i="7" s="1"/>
  <c r="K105" i="7"/>
  <c r="K137" i="7"/>
  <c r="D179" i="7"/>
  <c r="B135" i="7"/>
  <c r="A146" i="8"/>
  <c r="D146" i="7"/>
  <c r="D68" i="7"/>
  <c r="N68" i="7" a="1"/>
  <c r="N68" i="7"/>
  <c r="M231" i="7" a="1"/>
  <c r="M231" i="7" s="1"/>
  <c r="P231" i="7" s="1"/>
  <c r="D105" i="7"/>
  <c r="N231" i="7" a="1"/>
  <c r="N231" i="7"/>
  <c r="A21" i="8"/>
  <c r="B133" i="7"/>
  <c r="B158" i="8"/>
  <c r="B100" i="7"/>
  <c r="D231" i="7"/>
  <c r="M61" i="7" a="1"/>
  <c r="M61" i="7" s="1"/>
  <c r="D14" i="7"/>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C113" i="7"/>
  <c r="N5" i="7" a="1"/>
  <c r="N5" i="7"/>
  <c r="D5" i="7"/>
  <c r="C109" i="7"/>
  <c r="D242" i="7"/>
  <c r="B242" i="7"/>
  <c r="D59" i="7"/>
  <c r="E59" i="7" s="1"/>
  <c r="H59" i="7" s="1"/>
  <c r="I59" i="7" s="1"/>
  <c r="D146" i="8" s="1"/>
  <c r="C106" i="7"/>
  <c r="A58" i="8"/>
  <c r="C98" i="7"/>
  <c r="M98" i="7" a="1"/>
  <c r="M98" i="7" s="1"/>
  <c r="N218" i="7" a="1"/>
  <c r="N218" i="7"/>
  <c r="M165" i="7" a="1"/>
  <c r="M165" i="7" s="1"/>
  <c r="A200" i="8"/>
  <c r="A56" i="8"/>
  <c r="D164" i="7"/>
  <c r="B164" i="7"/>
  <c r="D73" i="7"/>
  <c r="E73" i="7" s="1"/>
  <c r="H73" i="7" s="1"/>
  <c r="M156" i="7" a="1"/>
  <c r="M156" i="7" s="1"/>
  <c r="K190" i="7"/>
  <c r="C190" i="7"/>
  <c r="D235" i="7"/>
  <c r="N235" i="7" a="1"/>
  <c r="N235" i="7"/>
  <c r="B62" i="7"/>
  <c r="M219" i="7" a="1"/>
  <c r="M219" i="7" s="1"/>
  <c r="K219" i="7"/>
  <c r="N70" i="7" a="1"/>
  <c r="N70" i="7"/>
  <c r="B70" i="7"/>
  <c r="K226" i="7"/>
  <c r="N226" i="7" a="1"/>
  <c r="N226" i="7"/>
  <c r="N241" i="7" a="1"/>
  <c r="N241" i="7"/>
  <c r="C241" i="7"/>
  <c r="M119" i="7" a="1"/>
  <c r="M119" i="7" s="1"/>
  <c r="P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C107" i="7"/>
  <c r="M117" i="7" a="1"/>
  <c r="M117" i="7" s="1"/>
  <c r="D117" i="7"/>
  <c r="M42" i="7" a="1"/>
  <c r="M42" i="7" s="1"/>
  <c r="N42" i="7" a="1"/>
  <c r="N42" i="7"/>
  <c r="B168" i="7"/>
  <c r="A175" i="8"/>
  <c r="N63" i="7" a="1"/>
  <c r="N63" i="7"/>
  <c r="M31" i="7" a="1"/>
  <c r="M31" i="7" s="1"/>
  <c r="P31" i="7" s="1"/>
  <c r="C195" i="7"/>
  <c r="C127" i="7"/>
  <c r="B23" i="7"/>
  <c r="C230" i="7"/>
  <c r="B233" i="7"/>
  <c r="N60" i="7" a="1"/>
  <c r="N60" i="7"/>
  <c r="P60" i="7"/>
  <c r="K37" i="7"/>
  <c r="O243" i="7"/>
  <c r="Q243" i="7" s="1"/>
  <c r="K246" i="7"/>
  <c r="B195" i="7"/>
  <c r="C189" i="7"/>
  <c r="M184" i="7" a="1"/>
  <c r="M184" i="7" s="1"/>
  <c r="K140" i="7"/>
  <c r="D166" i="7"/>
  <c r="C104" i="7"/>
  <c r="F246" i="7"/>
  <c r="K239" i="7"/>
  <c r="F243" i="7"/>
  <c r="N172" i="7" a="1"/>
  <c r="N172" i="7"/>
  <c r="D60" i="7"/>
  <c r="K166" i="7"/>
  <c r="K147" i="7"/>
  <c r="D239" i="7"/>
  <c r="D120" i="7"/>
  <c r="D243" i="7"/>
  <c r="E243" i="7"/>
  <c r="B49" i="7"/>
  <c r="B37" i="7"/>
  <c r="B148" i="7"/>
  <c r="A244" i="8"/>
  <c r="B9" i="7"/>
  <c r="A137" i="8"/>
  <c r="C14" i="7"/>
  <c r="C195" i="8"/>
  <c r="K14" i="7"/>
  <c r="N145" i="7" a="1"/>
  <c r="N145" i="7"/>
  <c r="P145" i="7"/>
  <c r="K145" i="7"/>
  <c r="C31" i="7"/>
  <c r="N31" i="7" a="1"/>
  <c r="N31" i="7"/>
  <c r="A99" i="8"/>
  <c r="M113" i="7" a="1"/>
  <c r="M113" i="7" s="1"/>
  <c r="R113" i="7" s="1"/>
  <c r="J245" i="7"/>
  <c r="F247" i="8" s="1"/>
  <c r="B245" i="7"/>
  <c r="B247" i="8"/>
  <c r="N245" i="7" a="1"/>
  <c r="N245" i="7"/>
  <c r="O245" i="7"/>
  <c r="R245" i="7" s="1"/>
  <c r="D66" i="7"/>
  <c r="M66" i="7" a="1"/>
  <c r="M66" i="7" s="1"/>
  <c r="B211" i="7"/>
  <c r="B238" i="8"/>
  <c r="M211" i="7" a="1"/>
  <c r="M211" i="7" s="1"/>
  <c r="M132" i="7" a="1"/>
  <c r="M132" i="7" s="1"/>
  <c r="K132" i="7"/>
  <c r="N58" i="7" a="1"/>
  <c r="N58" i="7"/>
  <c r="M58" i="7" a="1"/>
  <c r="M58" i="7" s="1"/>
  <c r="D201" i="7"/>
  <c r="E201" i="7" s="1"/>
  <c r="H201" i="7" s="1"/>
  <c r="I201" i="7" s="1"/>
  <c r="D192" i="8" s="1"/>
  <c r="M129" i="7" a="1"/>
  <c r="M129" i="7" s="1"/>
  <c r="D74" i="7"/>
  <c r="E74" i="7" s="1"/>
  <c r="C236" i="7"/>
  <c r="N236" i="7" a="1"/>
  <c r="N236" i="7"/>
  <c r="M94" i="7" a="1"/>
  <c r="M94" i="7" s="1"/>
  <c r="D94" i="7"/>
  <c r="A145" i="8"/>
  <c r="D95" i="7"/>
  <c r="E95" i="7" s="1"/>
  <c r="B47" i="7"/>
  <c r="B145" i="8"/>
  <c r="C198" i="7"/>
  <c r="B76" i="7"/>
  <c r="B144" i="8"/>
  <c r="N25" i="7" a="1"/>
  <c r="N25" i="7"/>
  <c r="M127" i="7" a="1"/>
  <c r="M127" i="7" s="1"/>
  <c r="K127" i="7"/>
  <c r="N222" i="7" a="1"/>
  <c r="N222" i="7"/>
  <c r="P222" i="7"/>
  <c r="D222" i="7"/>
  <c r="D72" i="7"/>
  <c r="A106" i="8"/>
  <c r="M72" i="7" a="1"/>
  <c r="M72" i="7" s="1"/>
  <c r="B116" i="7"/>
  <c r="K116" i="7"/>
  <c r="M221" i="7" a="1"/>
  <c r="M221" i="7" s="1"/>
  <c r="P221" i="7" s="1"/>
  <c r="X168" i="6"/>
  <c r="Y168" i="6" s="1"/>
  <c r="D79" i="7"/>
  <c r="C136" i="7"/>
  <c r="C156" i="8"/>
  <c r="A156" i="8"/>
  <c r="K174" i="7"/>
  <c r="M174" i="7" a="1"/>
  <c r="M174" i="7" s="1"/>
  <c r="P174" i="7" s="1"/>
  <c r="C80" i="7"/>
  <c r="C220" i="8"/>
  <c r="D80" i="7"/>
  <c r="C184" i="7"/>
  <c r="M189" i="7" a="1"/>
  <c r="M189" i="7" s="1"/>
  <c r="D189" i="7"/>
  <c r="A39" i="8"/>
  <c r="D169" i="7"/>
  <c r="N169" i="7" a="1"/>
  <c r="N169" i="7"/>
  <c r="M169" i="7" a="1"/>
  <c r="M169" i="7" s="1"/>
  <c r="P169" i="7" s="1"/>
  <c r="C191" i="7"/>
  <c r="K191" i="7"/>
  <c r="A169" i="8"/>
  <c r="A4" i="8"/>
  <c r="N164" i="7" a="1"/>
  <c r="N164" i="7"/>
  <c r="C164" i="7"/>
  <c r="K35" i="7"/>
  <c r="A165" i="8"/>
  <c r="D205" i="7"/>
  <c r="A37" i="8"/>
  <c r="K50" i="7"/>
  <c r="N50" i="7" a="1"/>
  <c r="N50" i="7"/>
  <c r="P50" i="7"/>
  <c r="C108" i="7"/>
  <c r="A109" i="8"/>
  <c r="C91" i="7"/>
  <c r="K91" i="7"/>
  <c r="F150" i="7"/>
  <c r="M242" i="7" a="1"/>
  <c r="M242" i="7" s="1"/>
  <c r="C58" i="7"/>
  <c r="M245" i="7" a="1"/>
  <c r="M245" i="7" s="1"/>
  <c r="O244" i="7"/>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D184" i="7"/>
  <c r="E184" i="7" s="1"/>
  <c r="M26" i="7" a="1"/>
  <c r="M26" i="7" s="1"/>
  <c r="R26" i="7" s="1"/>
  <c r="N18" i="7" a="1"/>
  <c r="N18" i="7"/>
  <c r="D18" i="7"/>
  <c r="B216" i="7"/>
  <c r="K216" i="7"/>
  <c r="M240" i="7" a="1"/>
  <c r="M240" i="7" s="1"/>
  <c r="D38" i="7"/>
  <c r="E38" i="7" s="1"/>
  <c r="A128" i="8"/>
  <c r="C243" i="7"/>
  <c r="C227" i="8"/>
  <c r="A227" i="8"/>
  <c r="K200" i="7"/>
  <c r="A147" i="8"/>
  <c r="K220" i="7"/>
  <c r="B220" i="7"/>
  <c r="B236" i="8"/>
  <c r="B183" i="7"/>
  <c r="M183" i="7" a="1"/>
  <c r="M183" i="7" s="1"/>
  <c r="Q183" i="7" s="1"/>
  <c r="K183" i="7"/>
  <c r="C143" i="7"/>
  <c r="M143" i="7" a="1"/>
  <c r="M143" i="7" s="1"/>
  <c r="P143" i="7" s="1"/>
  <c r="C60" i="7"/>
  <c r="C196" i="8"/>
  <c r="A196" i="8"/>
  <c r="O246" i="7"/>
  <c r="S246" i="7"/>
  <c r="N39" i="7" a="1"/>
  <c r="N39" i="7"/>
  <c r="D39" i="7"/>
  <c r="N78" i="7" a="1"/>
  <c r="N78" i="7"/>
  <c r="P78" i="7"/>
  <c r="D78" i="7"/>
  <c r="B36" i="7"/>
  <c r="B133" i="8"/>
  <c r="C36" i="7"/>
  <c r="C133" i="8"/>
  <c r="N30" i="7" a="1"/>
  <c r="N30" i="7"/>
  <c r="C30" i="7"/>
  <c r="F122" i="7"/>
  <c r="B241" i="7"/>
  <c r="B118" i="8"/>
  <c r="D128" i="7"/>
  <c r="D219" i="7"/>
  <c r="F188" i="7"/>
  <c r="D22" i="7"/>
  <c r="E22" i="7" s="1"/>
  <c r="M176" i="7" a="1"/>
  <c r="M176" i="7" s="1"/>
  <c r="P176" i="7" s="1"/>
  <c r="B134" i="7"/>
  <c r="D48" i="7"/>
  <c r="A116" i="8"/>
  <c r="N160" i="7" a="1"/>
  <c r="N160" i="7"/>
  <c r="K54" i="7"/>
  <c r="D198" i="7"/>
  <c r="E198" i="7" s="1"/>
  <c r="A139" i="8"/>
  <c r="C62" i="7"/>
  <c r="B219" i="7"/>
  <c r="B239" i="8"/>
  <c r="F219" i="7"/>
  <c r="D209" i="7"/>
  <c r="A234" i="8"/>
  <c r="C209" i="7"/>
  <c r="C234" i="8"/>
  <c r="N97" i="7" a="1"/>
  <c r="N97" i="7"/>
  <c r="M97" i="7" a="1"/>
  <c r="M97" i="7" s="1"/>
  <c r="P97" i="7" s="1"/>
  <c r="K43" i="7"/>
  <c r="B43" i="7"/>
  <c r="C217" i="7"/>
  <c r="B54" i="7"/>
  <c r="D54" i="7"/>
  <c r="C134" i="7"/>
  <c r="M134" i="7" a="1"/>
  <c r="M134" i="7" s="1"/>
  <c r="P134" i="7" s="1"/>
  <c r="M29" i="7" a="1"/>
  <c r="M29" i="7" s="1"/>
  <c r="P29" i="7" s="1"/>
  <c r="K29" i="7"/>
  <c r="D29" i="7"/>
  <c r="B29" i="7"/>
  <c r="M82" i="7" a="1"/>
  <c r="M82" i="7" s="1"/>
  <c r="B88" i="7"/>
  <c r="C88" i="7"/>
  <c r="N88" i="7" a="1"/>
  <c r="N88" i="7"/>
  <c r="B48" i="7"/>
  <c r="B30" i="8"/>
  <c r="K48" i="7"/>
  <c r="K23" i="7"/>
  <c r="N23" i="7" a="1"/>
  <c r="N23" i="7"/>
  <c r="P23" i="7"/>
  <c r="C23" i="7"/>
  <c r="B129" i="7"/>
  <c r="A52" i="8"/>
  <c r="C129" i="7"/>
  <c r="A170" i="8"/>
  <c r="M236" i="7" a="1"/>
  <c r="M236" i="7" s="1"/>
  <c r="P236" i="7" s="1"/>
  <c r="K40" i="7"/>
  <c r="B40" i="7"/>
  <c r="C40" i="7"/>
  <c r="A70" i="8"/>
  <c r="N94" i="7" a="1"/>
  <c r="N94" i="7"/>
  <c r="F94" i="7"/>
  <c r="A79" i="8"/>
  <c r="N239" i="7" a="1"/>
  <c r="N239" i="7"/>
  <c r="P239" i="7"/>
  <c r="M47" i="7" a="1"/>
  <c r="M47" i="7" s="1"/>
  <c r="K47" i="7"/>
  <c r="B89" i="7"/>
  <c r="D89" i="7"/>
  <c r="C89" i="7"/>
  <c r="A192" i="8"/>
  <c r="B201" i="7"/>
  <c r="B192" i="8"/>
  <c r="M201" i="7" a="1"/>
  <c r="M201" i="7" s="1"/>
  <c r="N76" i="7" a="1"/>
  <c r="N76" i="7"/>
  <c r="K76" i="7"/>
  <c r="A144" i="8"/>
  <c r="N66" i="7" a="1"/>
  <c r="N66" i="7"/>
  <c r="P66" i="7"/>
  <c r="C66" i="7"/>
  <c r="C204" i="8"/>
  <c r="A204" i="8"/>
  <c r="B66" i="7"/>
  <c r="B204" i="8"/>
  <c r="K66" i="7"/>
  <c r="D178" i="7"/>
  <c r="B178" i="7"/>
  <c r="A132" i="8"/>
  <c r="D160" i="7"/>
  <c r="E160" i="7" s="1"/>
  <c r="K202" i="7"/>
  <c r="D52" i="7"/>
  <c r="A171" i="8"/>
  <c r="M137" i="7" a="1"/>
  <c r="M137" i="7" s="1"/>
  <c r="P137" i="7" s="1"/>
  <c r="D137" i="7"/>
  <c r="D111" i="7"/>
  <c r="M111" i="7" a="1"/>
  <c r="M111" i="7" s="1"/>
  <c r="P111" i="7" s="1"/>
  <c r="A8" i="8"/>
  <c r="N101" i="7" a="1"/>
  <c r="N101" i="7"/>
  <c r="B86" i="7"/>
  <c r="D86" i="7"/>
  <c r="M86" i="7" a="1"/>
  <c r="M86" i="7" s="1"/>
  <c r="C86" i="7"/>
  <c r="A14" i="8"/>
  <c r="C186" i="7"/>
  <c r="D186" i="7"/>
  <c r="K186" i="7"/>
  <c r="F186" i="7"/>
  <c r="M247" i="7" a="1"/>
  <c r="M247" i="7" s="1"/>
  <c r="P247" i="7" s="1"/>
  <c r="J247" i="7"/>
  <c r="F243" i="8" s="1"/>
  <c r="O247" i="7"/>
  <c r="Q247" i="7" s="1"/>
  <c r="B247" i="7"/>
  <c r="B243" i="8"/>
  <c r="G247" i="7"/>
  <c r="N212" i="7" a="1"/>
  <c r="N212" i="7"/>
  <c r="P212" i="7"/>
  <c r="M212" i="7" a="1"/>
  <c r="M212" i="7" s="1"/>
  <c r="C212" i="7"/>
  <c r="C226" i="8"/>
  <c r="K212" i="7"/>
  <c r="B98" i="7"/>
  <c r="A166" i="8"/>
  <c r="K98" i="7"/>
  <c r="A91" i="8"/>
  <c r="D195" i="7"/>
  <c r="N195" i="7" a="1"/>
  <c r="N195" i="7"/>
  <c r="P195" i="7"/>
  <c r="N136" i="7" a="1"/>
  <c r="N136" i="7"/>
  <c r="P136" i="7"/>
  <c r="B136" i="7"/>
  <c r="B156" i="8"/>
  <c r="D136" i="7"/>
  <c r="C207" i="7"/>
  <c r="C230" i="8"/>
  <c r="B207" i="7"/>
  <c r="B230" i="8"/>
  <c r="N207" i="7" a="1"/>
  <c r="N207" i="7"/>
  <c r="P207" i="7"/>
  <c r="M207" i="7" a="1"/>
  <c r="M207" i="7" s="1"/>
  <c r="A215" i="8"/>
  <c r="C218" i="7"/>
  <c r="D218" i="7"/>
  <c r="B218" i="7"/>
  <c r="M218" i="7" a="1"/>
  <c r="M218" i="7" s="1"/>
  <c r="P218" i="7" s="1"/>
  <c r="K218" i="7"/>
  <c r="C174" i="7"/>
  <c r="N174" i="7" a="1"/>
  <c r="N174" i="7"/>
  <c r="N163" i="7" a="1"/>
  <c r="N163" i="7"/>
  <c r="K163" i="7"/>
  <c r="M163" i="7" a="1"/>
  <c r="M163" i="7" s="1"/>
  <c r="P163" i="7" s="1"/>
  <c r="N69" i="7" a="1"/>
  <c r="N69" i="7"/>
  <c r="A30" i="8"/>
  <c r="M106" i="7" a="1"/>
  <c r="M106" i="7" s="1"/>
  <c r="P106" i="7" s="1"/>
  <c r="D182" i="7"/>
  <c r="A201" i="8"/>
  <c r="A68" i="8"/>
  <c r="M25" i="7" a="1"/>
  <c r="M25" i="7" s="1"/>
  <c r="P25" i="7" s="1"/>
  <c r="D123" i="7"/>
  <c r="F123" i="7"/>
  <c r="K150" i="7"/>
  <c r="C150" i="7"/>
  <c r="D150" i="7"/>
  <c r="N150" i="7" a="1"/>
  <c r="N150" i="7"/>
  <c r="B132" i="7"/>
  <c r="B160" i="8"/>
  <c r="D132" i="7"/>
  <c r="B167" i="7"/>
  <c r="K167" i="7"/>
  <c r="A112" i="8"/>
  <c r="K242" i="7"/>
  <c r="A84" i="8"/>
  <c r="D224" i="7"/>
  <c r="B224" i="7"/>
  <c r="D135" i="7"/>
  <c r="K135" i="7"/>
  <c r="K133" i="7"/>
  <c r="M133" i="7" a="1"/>
  <c r="M133" i="7" s="1"/>
  <c r="K4" i="7"/>
  <c r="M4" i="7" a="1"/>
  <c r="M4" i="7" s="1"/>
  <c r="P4" i="7" s="1"/>
  <c r="C4" i="7"/>
  <c r="A31" i="8"/>
  <c r="K11" i="7"/>
  <c r="K88" i="7"/>
  <c r="C153" i="7"/>
  <c r="K153" i="7"/>
  <c r="B153" i="7"/>
  <c r="C48" i="7"/>
  <c r="A55" i="8"/>
  <c r="D88" i="7"/>
  <c r="M83" i="7" a="1"/>
  <c r="M83" i="7" s="1"/>
  <c r="P83" i="7" s="1"/>
  <c r="K8" i="7"/>
  <c r="M93" i="7" a="1"/>
  <c r="M93" i="7" s="1"/>
  <c r="K93" i="7"/>
  <c r="C20" i="7"/>
  <c r="C184" i="8"/>
  <c r="A184" i="8"/>
  <c r="M126" i="7" a="1"/>
  <c r="M126" i="7" s="1"/>
  <c r="P126" i="7" s="1"/>
  <c r="D126" i="7"/>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N10" i="7" a="1"/>
  <c r="N10" i="7"/>
  <c r="M10" i="7" a="1"/>
  <c r="M10" i="7" s="1"/>
  <c r="P10" i="7" s="1"/>
  <c r="A177" i="8"/>
  <c r="B10" i="7"/>
  <c r="D9" i="7"/>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C214" i="7"/>
  <c r="C117" i="8"/>
  <c r="C210" i="7"/>
  <c r="C245" i="8"/>
  <c r="N210" i="7" a="1"/>
  <c r="N210" i="7"/>
  <c r="P210" i="7"/>
  <c r="C155" i="7"/>
  <c r="N155" i="7" a="1"/>
  <c r="N155" i="7"/>
  <c r="P155" i="7"/>
  <c r="A208" i="8"/>
  <c r="K70" i="7"/>
  <c r="M24" i="7" a="1"/>
  <c r="M24" i="7" s="1"/>
  <c r="A105" i="8"/>
  <c r="M80" i="7" a="1"/>
  <c r="M80" i="7" s="1"/>
  <c r="P80" i="7" s="1"/>
  <c r="N80" i="7" a="1"/>
  <c r="N80" i="7"/>
  <c r="K80" i="7"/>
  <c r="N232" i="7" a="1"/>
  <c r="N232" i="7"/>
  <c r="C232" i="7"/>
  <c r="N244" i="7" a="1"/>
  <c r="N244" i="7"/>
  <c r="K244" i="7"/>
  <c r="K114" i="7"/>
  <c r="C114" i="7"/>
  <c r="M81" i="7" a="1"/>
  <c r="M81" i="7" s="1"/>
  <c r="N81" i="7" a="1"/>
  <c r="N81" i="7"/>
  <c r="N16" i="7" a="1"/>
  <c r="N16" i="7"/>
  <c r="P16" i="7"/>
  <c r="A13" i="8"/>
  <c r="B169" i="7"/>
  <c r="C169" i="7"/>
  <c r="B97" i="7"/>
  <c r="D230" i="7"/>
  <c r="K158" i="7"/>
  <c r="A191" i="8"/>
  <c r="B67" i="7"/>
  <c r="N103" i="7" a="1"/>
  <c r="N103" i="7"/>
  <c r="P103" i="7"/>
  <c r="D26" i="7"/>
  <c r="K16" i="7"/>
  <c r="M155" i="7" a="1"/>
  <c r="M155" i="7" s="1"/>
  <c r="M70" i="7" a="1"/>
  <c r="M70" i="7" s="1"/>
  <c r="P70" i="7" s="1"/>
  <c r="N36" i="7" a="1"/>
  <c r="N36" i="7"/>
  <c r="P36" i="7"/>
  <c r="D67" i="7"/>
  <c r="B35" i="7"/>
  <c r="M191" i="7" a="1"/>
  <c r="M191" i="7" s="1"/>
  <c r="P191" i="7" s="1"/>
  <c r="A114" i="8"/>
  <c r="K232" i="7"/>
  <c r="B81" i="7"/>
  <c r="M105" i="7" a="1"/>
  <c r="M105" i="7" s="1"/>
  <c r="D58" i="7"/>
  <c r="E58" i="7" s="1"/>
  <c r="B179" i="7"/>
  <c r="K179" i="7"/>
  <c r="K215" i="7"/>
  <c r="A161" i="8"/>
  <c r="N192" i="7" a="1"/>
  <c r="N192" i="7"/>
  <c r="P192" i="7"/>
  <c r="B192" i="7"/>
  <c r="C124" i="7"/>
  <c r="M124" i="7" a="1"/>
  <c r="M124" i="7" s="1"/>
  <c r="P124" i="7" s="1"/>
  <c r="D61" i="7"/>
  <c r="K229" i="7"/>
  <c r="C229" i="7"/>
  <c r="C60" i="8"/>
  <c r="D229" i="7"/>
  <c r="F104" i="7"/>
  <c r="F207" i="7"/>
  <c r="H207" i="7" s="1"/>
  <c r="I207" i="7" s="1"/>
  <c r="D230" i="8" s="1"/>
  <c r="N187" i="7" a="1"/>
  <c r="N187" i="7"/>
  <c r="A42" i="8"/>
  <c r="M187" i="7" a="1"/>
  <c r="M187" i="7" s="1"/>
  <c r="P187" i="7" s="1"/>
  <c r="C187" i="7"/>
  <c r="A101" i="8"/>
  <c r="B142" i="7"/>
  <c r="M142" i="7" a="1"/>
  <c r="M142" i="7" s="1"/>
  <c r="P142" i="7" s="1"/>
  <c r="A35" i="8"/>
  <c r="C142" i="7"/>
  <c r="D142" i="7"/>
  <c r="M6" i="7" a="1"/>
  <c r="M6" i="7" s="1"/>
  <c r="K6" i="7"/>
  <c r="C6" i="7"/>
  <c r="C218" i="8"/>
  <c r="D6" i="7"/>
  <c r="A218" i="8"/>
  <c r="N6" i="7" a="1"/>
  <c r="N6" i="7"/>
  <c r="P6" i="7"/>
  <c r="B6" i="7"/>
  <c r="B218" i="8"/>
  <c r="M194" i="7" a="1"/>
  <c r="M194" i="7" s="1"/>
  <c r="K194" i="7"/>
  <c r="C194" i="7"/>
  <c r="F194" i="7"/>
  <c r="B194" i="7"/>
  <c r="N17" i="7" a="1"/>
  <c r="N17" i="7"/>
  <c r="D17" i="7"/>
  <c r="K17" i="7"/>
  <c r="C17" i="7"/>
  <c r="B17" i="7"/>
  <c r="B25" i="8"/>
  <c r="M17" i="7" a="1"/>
  <c r="M17" i="7" s="1"/>
  <c r="P17" i="7" s="1"/>
  <c r="B157" i="7"/>
  <c r="A85" i="8"/>
  <c r="M157" i="7" a="1"/>
  <c r="M157" i="7" s="1"/>
  <c r="D157" i="7"/>
  <c r="B181" i="7"/>
  <c r="D181" i="7"/>
  <c r="M181" i="7" a="1"/>
  <c r="M181" i="7" s="1"/>
  <c r="P181" i="7" s="1"/>
  <c r="C181" i="7"/>
  <c r="K181" i="7"/>
  <c r="A126" i="8"/>
  <c r="D197" i="7"/>
  <c r="C197" i="7"/>
  <c r="K197" i="7"/>
  <c r="B197" i="7"/>
  <c r="N197" i="7" a="1"/>
  <c r="N197" i="7"/>
  <c r="B57" i="7"/>
  <c r="B83" i="8"/>
  <c r="K57" i="7"/>
  <c r="F57" i="7"/>
  <c r="H57" i="7" s="1"/>
  <c r="L57" i="7" s="1"/>
  <c r="D57" i="7"/>
  <c r="K99" i="7"/>
  <c r="B99" i="7"/>
  <c r="A83" i="8"/>
  <c r="D99" i="7"/>
  <c r="M99" i="7" a="1"/>
  <c r="M99" i="7" s="1"/>
  <c r="P99" i="7" s="1"/>
  <c r="C68" i="7"/>
  <c r="A94" i="8"/>
  <c r="N189" i="7" a="1"/>
  <c r="N189" i="7"/>
  <c r="P189" i="7"/>
  <c r="B189" i="7"/>
  <c r="N165" i="7" a="1"/>
  <c r="N165" i="7"/>
  <c r="P165" i="7"/>
  <c r="K165" i="7"/>
  <c r="D162" i="7"/>
  <c r="F199" i="7"/>
  <c r="D144" i="7"/>
  <c r="B165" i="7"/>
  <c r="B200" i="8"/>
  <c r="C165" i="7"/>
  <c r="C54" i="8"/>
  <c r="C200" i="8"/>
  <c r="A23" i="8"/>
  <c r="M168" i="7" a="1"/>
  <c r="M168" i="7" s="1"/>
  <c r="Q168" i="7" s="1"/>
  <c r="N199" i="7" a="1"/>
  <c r="N199" i="7"/>
  <c r="P199" i="7"/>
  <c r="C137" i="7"/>
  <c r="C168" i="7"/>
  <c r="D226" i="7"/>
  <c r="E226" i="7" s="1"/>
  <c r="B41" i="7"/>
  <c r="M41" i="7" a="1"/>
  <c r="M41" i="7" s="1"/>
  <c r="Q41" i="7" s="1"/>
  <c r="A247" i="8"/>
  <c r="F245" i="7"/>
  <c r="A103" i="8"/>
  <c r="C199" i="7"/>
  <c r="C223" i="8"/>
  <c r="N128" i="7" a="1"/>
  <c r="N128" i="7"/>
  <c r="D98" i="7"/>
  <c r="E98" i="7" s="1"/>
  <c r="H98" i="7" s="1"/>
  <c r="K34" i="7"/>
  <c r="F87" i="7"/>
  <c r="C34" i="7"/>
  <c r="C142" i="8"/>
  <c r="N87" i="7" a="1"/>
  <c r="N87" i="7"/>
  <c r="K87" i="7"/>
  <c r="B34" i="7"/>
  <c r="B142" i="8"/>
  <c r="C87" i="7"/>
  <c r="A24" i="8"/>
  <c r="N162" i="7" a="1"/>
  <c r="N162" i="7"/>
  <c r="B162" i="7"/>
  <c r="N148" i="7" a="1"/>
  <c r="N148" i="7"/>
  <c r="P148" i="7"/>
  <c r="A217" i="8"/>
  <c r="N26" i="7" a="1"/>
  <c r="N26" i="7"/>
  <c r="A65" i="8"/>
  <c r="C192" i="7"/>
  <c r="D12" i="7"/>
  <c r="E12" i="7" s="1"/>
  <c r="H12" i="7" s="1"/>
  <c r="I12" i="7" s="1"/>
  <c r="D86" i="8" s="1"/>
  <c r="N15" i="7" a="1"/>
  <c r="N15" i="7"/>
  <c r="P15" i="7"/>
  <c r="B7" i="7"/>
  <c r="B73" i="8"/>
  <c r="A73" i="8"/>
  <c r="N34" i="7" a="1"/>
  <c r="N34" i="7"/>
  <c r="P34" i="7"/>
  <c r="D91" i="7"/>
  <c r="E91" i="7" s="1"/>
  <c r="A120" i="8"/>
  <c r="A18" i="8"/>
  <c r="M88" i="7" a="1"/>
  <c r="M88" i="7" s="1"/>
  <c r="P88" i="7" s="1"/>
  <c r="C74" i="7"/>
  <c r="C154" i="8"/>
  <c r="A154" i="8"/>
  <c r="K97" i="7"/>
  <c r="A228" i="8"/>
  <c r="K203" i="7"/>
  <c r="C162" i="7"/>
  <c r="A48" i="8"/>
  <c r="B18" i="7"/>
  <c r="A110" i="8"/>
  <c r="M224" i="7" a="1"/>
  <c r="M224" i="7" s="1"/>
  <c r="G214" i="7"/>
  <c r="F183" i="7"/>
  <c r="A102" i="8"/>
  <c r="N45" i="7" a="1"/>
  <c r="N45" i="7"/>
  <c r="D45" i="7"/>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P151" i="7" s="1"/>
  <c r="N151" i="7" a="1"/>
  <c r="N151" i="7"/>
  <c r="K151" i="7"/>
  <c r="B151" i="7"/>
  <c r="B231" i="8"/>
  <c r="D151" i="7"/>
  <c r="C151" i="7"/>
  <c r="C231" i="8"/>
  <c r="M175" i="7" a="1"/>
  <c r="M175" i="7" s="1"/>
  <c r="P175" i="7" s="1"/>
  <c r="N175" i="7" a="1"/>
  <c r="N175" i="7"/>
  <c r="D175" i="7"/>
  <c r="X232" i="6"/>
  <c r="Y232" i="6" s="1"/>
  <c r="F19" i="7"/>
  <c r="H19" i="7" s="1"/>
  <c r="F16" i="7"/>
  <c r="X73" i="6"/>
  <c r="Y73" i="6" s="1"/>
  <c r="X242" i="6"/>
  <c r="Y242" i="6" s="1"/>
  <c r="F47" i="7"/>
  <c r="X47" i="6"/>
  <c r="Y47" i="6" s="1"/>
  <c r="N79" i="7" a="1"/>
  <c r="N79" i="7"/>
  <c r="M79" i="7" a="1"/>
  <c r="M79" i="7" s="1"/>
  <c r="P79" i="7" s="1"/>
  <c r="A159" i="8"/>
  <c r="K110" i="7"/>
  <c r="M110" i="7" a="1"/>
  <c r="M110" i="7" s="1"/>
  <c r="N110" i="7" a="1"/>
  <c r="N110" i="7"/>
  <c r="P110" i="7"/>
  <c r="C110" i="7"/>
  <c r="C159" i="8"/>
  <c r="B110" i="7"/>
  <c r="B159" i="8"/>
  <c r="A92" i="8"/>
  <c r="D161" i="7"/>
  <c r="N161" i="7" a="1"/>
  <c r="N161" i="7"/>
  <c r="M161" i="7" a="1"/>
  <c r="M161" i="7" s="1"/>
  <c r="P161" i="7" s="1"/>
  <c r="C161" i="7"/>
  <c r="C92" i="8"/>
  <c r="B161" i="7"/>
  <c r="B92" i="8"/>
  <c r="K33" i="7"/>
  <c r="F33" i="7"/>
  <c r="H33" i="7" s="1"/>
  <c r="E213" i="8" s="1"/>
  <c r="G213" i="8" s="1"/>
  <c r="N33" i="7" a="1"/>
  <c r="N33" i="7"/>
  <c r="P33" i="7"/>
  <c r="K152" i="7"/>
  <c r="C152" i="7"/>
  <c r="B152" i="7"/>
  <c r="B157" i="8"/>
  <c r="N152" i="7" a="1"/>
  <c r="N152" i="7"/>
  <c r="P152" i="7"/>
  <c r="A157" i="8"/>
  <c r="D152" i="7"/>
  <c r="C227" i="7"/>
  <c r="M227" i="7" a="1"/>
  <c r="M227" i="7" s="1"/>
  <c r="A96" i="8"/>
  <c r="D227" i="7"/>
  <c r="B227" i="7"/>
  <c r="K227" i="7"/>
  <c r="N227" i="7" a="1"/>
  <c r="N227" i="7"/>
  <c r="M96" i="7" a="1"/>
  <c r="M96" i="7" s="1"/>
  <c r="Q96" i="7" s="1"/>
  <c r="K96" i="7"/>
  <c r="A115" i="8"/>
  <c r="B96" i="7"/>
  <c r="D96" i="7"/>
  <c r="D10" i="7"/>
  <c r="E10" i="7" s="1"/>
  <c r="N38" i="7" a="1"/>
  <c r="N38" i="7"/>
  <c r="P38" i="7"/>
  <c r="B38" i="7"/>
  <c r="B150" i="8"/>
  <c r="C38" i="7"/>
  <c r="C150" i="8"/>
  <c r="A143" i="8"/>
  <c r="D159" i="7"/>
  <c r="N159" i="7" a="1"/>
  <c r="N159" i="7"/>
  <c r="P159" i="7"/>
  <c r="K159" i="7"/>
  <c r="B159" i="7"/>
  <c r="B143" i="8"/>
  <c r="F159" i="7"/>
  <c r="M159" i="7" a="1"/>
  <c r="M159" i="7" s="1"/>
  <c r="C159" i="7"/>
  <c r="C143" i="8"/>
  <c r="C96" i="7"/>
  <c r="C115" i="8"/>
  <c r="B22" i="7"/>
  <c r="B101" i="8"/>
  <c r="M73" i="7" a="1"/>
  <c r="M73" i="7" s="1"/>
  <c r="P73" i="7" s="1"/>
  <c r="N22" i="7" a="1"/>
  <c r="N22" i="7"/>
  <c r="D92" i="7"/>
  <c r="M122" i="7" a="1"/>
  <c r="M122" i="7" s="1"/>
  <c r="N122" i="7" a="1"/>
  <c r="N122" i="7"/>
  <c r="P122" i="7"/>
  <c r="K223" i="7"/>
  <c r="M223" i="7" a="1"/>
  <c r="M223" i="7" s="1"/>
  <c r="P223" i="7" s="1"/>
  <c r="A33" i="8"/>
  <c r="M102" i="7" a="1"/>
  <c r="M102" i="7" s="1"/>
  <c r="Q102" i="7" s="1"/>
  <c r="B72" i="7"/>
  <c r="N72" i="7" a="1"/>
  <c r="N72" i="7"/>
  <c r="P72" i="7"/>
  <c r="A60" i="8"/>
  <c r="K69" i="7"/>
  <c r="M69" i="7" a="1"/>
  <c r="M69" i="7" s="1"/>
  <c r="P69" i="7" s="1"/>
  <c r="D69" i="7"/>
  <c r="C69" i="7"/>
  <c r="C30" i="8"/>
  <c r="K51" i="7"/>
  <c r="M230" i="7" a="1"/>
  <c r="M230" i="7" s="1"/>
  <c r="P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E199" i="7" s="1"/>
  <c r="C233" i="7"/>
  <c r="A224" i="8"/>
  <c r="N46" i="7" a="1"/>
  <c r="N46" i="7"/>
  <c r="P46" i="7"/>
  <c r="C46" i="7"/>
  <c r="C116" i="8"/>
  <c r="D46" i="7"/>
  <c r="C234" i="7"/>
  <c r="K234" i="7"/>
  <c r="A174" i="8"/>
  <c r="N7" i="7" a="1"/>
  <c r="N7" i="7"/>
  <c r="M237" i="7" a="1"/>
  <c r="M237" i="7" s="1"/>
  <c r="C237" i="7"/>
  <c r="C244" i="8"/>
  <c r="M100" i="7" a="1"/>
  <c r="M100" i="7" s="1"/>
  <c r="K100" i="7"/>
  <c r="A43" i="8"/>
  <c r="N56" i="7" a="1"/>
  <c r="N56" i="7"/>
  <c r="P56" i="7"/>
  <c r="K56" i="7"/>
  <c r="A216" i="8"/>
  <c r="C93" i="7"/>
  <c r="N140" i="7" a="1"/>
  <c r="N140" i="7"/>
  <c r="C140" i="7"/>
  <c r="M140" i="7" a="1"/>
  <c r="M140" i="7" s="1"/>
  <c r="P140" i="7" s="1"/>
  <c r="K85" i="7"/>
  <c r="C85" i="7"/>
  <c r="C167" i="8"/>
  <c r="M85" i="7" a="1"/>
  <c r="M85" i="7" s="1"/>
  <c r="R85" i="7" s="1"/>
  <c r="M74" i="7" a="1"/>
  <c r="M74" i="7" s="1"/>
  <c r="A206" i="8"/>
  <c r="N51" i="7" a="1"/>
  <c r="N51" i="7"/>
  <c r="P51" i="7"/>
  <c r="B51" i="7"/>
  <c r="N126" i="7" a="1"/>
  <c r="N126" i="7"/>
  <c r="K126" i="7"/>
  <c r="A69" i="8"/>
  <c r="C126" i="7"/>
  <c r="C22" i="7"/>
  <c r="M22" i="7" a="1"/>
  <c r="M22" i="7" s="1"/>
  <c r="P22" i="7" s="1"/>
  <c r="K22" i="7"/>
  <c r="B92" i="7"/>
  <c r="M92" i="7" a="1"/>
  <c r="M92" i="7" s="1"/>
  <c r="P92" i="7" s="1"/>
  <c r="C92" i="7"/>
  <c r="N92" i="7" a="1"/>
  <c r="N92" i="7"/>
  <c r="M53" i="7" a="1"/>
  <c r="M53" i="7" s="1"/>
  <c r="N53" i="7" a="1"/>
  <c r="N53" i="7"/>
  <c r="P53" i="7"/>
  <c r="D53" i="7"/>
  <c r="F168" i="7"/>
  <c r="D42" i="7"/>
  <c r="E42" i="7" s="1"/>
  <c r="F171" i="7"/>
  <c r="F191" i="7"/>
  <c r="M7" i="7" a="1"/>
  <c r="M7" i="7" s="1"/>
  <c r="P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P179" i="7"/>
  <c r="A236" i="8"/>
  <c r="D220" i="7"/>
  <c r="C154" i="7"/>
  <c r="D154" i="7"/>
  <c r="B154" i="7"/>
  <c r="M154" i="7" a="1"/>
  <c r="M154" i="7" s="1"/>
  <c r="M101" i="7" a="1"/>
  <c r="M101" i="7" s="1"/>
  <c r="P101" i="7" s="1"/>
  <c r="K101" i="7"/>
  <c r="C101" i="7"/>
  <c r="B101" i="7"/>
  <c r="B65" i="7"/>
  <c r="A205" i="8"/>
  <c r="K213" i="7"/>
  <c r="B213" i="7"/>
  <c r="B205" i="8"/>
  <c r="M213" i="7" a="1"/>
  <c r="M213" i="7" s="1"/>
  <c r="M215" i="7" a="1"/>
  <c r="M215" i="7" s="1"/>
  <c r="P215" i="7" s="1"/>
  <c r="C215" i="7"/>
  <c r="C161" i="8"/>
  <c r="B215" i="7"/>
  <c r="D119" i="7"/>
  <c r="B119" i="7"/>
  <c r="K119" i="7"/>
  <c r="A66" i="8"/>
  <c r="K211" i="7"/>
  <c r="N211" i="7" a="1"/>
  <c r="N211" i="7"/>
  <c r="P211" i="7"/>
  <c r="A238" i="8"/>
  <c r="N229" i="7" a="1"/>
  <c r="N229" i="7"/>
  <c r="M229" i="7" a="1"/>
  <c r="M229" i="7" s="1"/>
  <c r="P229" i="7" s="1"/>
  <c r="B246" i="7"/>
  <c r="B242" i="8"/>
  <c r="A242" i="8"/>
  <c r="N246" i="7" a="1"/>
  <c r="N246" i="7"/>
  <c r="M246" i="7" a="1"/>
  <c r="M246" i="7" s="1"/>
  <c r="P246" i="7" s="1"/>
  <c r="B124" i="7"/>
  <c r="B60" i="8"/>
  <c r="D124" i="7"/>
  <c r="N124" i="7" a="1"/>
  <c r="N124" i="7"/>
  <c r="C135" i="7"/>
  <c r="M135" i="7" a="1"/>
  <c r="M135" i="7" s="1"/>
  <c r="P135" i="7" s="1"/>
  <c r="N142" i="7" a="1"/>
  <c r="N142" i="7"/>
  <c r="K142" i="7"/>
  <c r="N186" i="7" a="1"/>
  <c r="N186" i="7"/>
  <c r="B186" i="7"/>
  <c r="B123" i="8"/>
  <c r="M186" i="7" a="1"/>
  <c r="M186" i="7" s="1"/>
  <c r="P186" i="7" s="1"/>
  <c r="F242" i="7"/>
  <c r="H242" i="7" s="1"/>
  <c r="E172" i="8" s="1"/>
  <c r="G172" i="8" s="1"/>
  <c r="D194" i="7"/>
  <c r="N194" i="7" a="1"/>
  <c r="N194" i="7"/>
  <c r="P194" i="7"/>
  <c r="A22" i="8"/>
  <c r="M57" i="7" a="1"/>
  <c r="M57" i="7" s="1"/>
  <c r="P57" i="7" s="1"/>
  <c r="C57" i="7"/>
  <c r="B87" i="7"/>
  <c r="M87" i="7" a="1"/>
  <c r="M87" i="7" s="1"/>
  <c r="P87" i="7" s="1"/>
  <c r="C139" i="7"/>
  <c r="B58" i="7"/>
  <c r="A222" i="8"/>
  <c r="D104" i="7"/>
  <c r="B187" i="7"/>
  <c r="B42" i="8"/>
  <c r="K187" i="7"/>
  <c r="N37" i="7" a="1"/>
  <c r="N37" i="7"/>
  <c r="C44" i="7"/>
  <c r="C162" i="8"/>
  <c r="K44" i="7"/>
  <c r="B150" i="7"/>
  <c r="B183" i="8"/>
  <c r="M150" i="7" a="1"/>
  <c r="M150" i="7" s="1"/>
  <c r="Q150" i="7" s="1"/>
  <c r="D185" i="7"/>
  <c r="N185" i="7" a="1"/>
  <c r="N185" i="7"/>
  <c r="M185" i="7" a="1"/>
  <c r="M185" i="7" s="1"/>
  <c r="P185" i="7" s="1"/>
  <c r="N216" i="7" a="1"/>
  <c r="N216" i="7"/>
  <c r="P216" i="7"/>
  <c r="D77" i="7"/>
  <c r="E77" i="7" s="1"/>
  <c r="D82" i="7"/>
  <c r="E82" i="7" s="1"/>
  <c r="H82" i="7" s="1"/>
  <c r="E207" i="8" s="1"/>
  <c r="G207" i="8" s="1"/>
  <c r="A207" i="8"/>
  <c r="B166" i="7"/>
  <c r="B148" i="8"/>
  <c r="M166" i="7" a="1"/>
  <c r="M166" i="7" s="1"/>
  <c r="C125" i="7"/>
  <c r="A5" i="8"/>
  <c r="M125" i="7" a="1"/>
  <c r="M125" i="7" s="1"/>
  <c r="P125" i="7" s="1"/>
  <c r="F125" i="7"/>
  <c r="B125" i="7"/>
  <c r="N125" i="7" a="1"/>
  <c r="N125" i="7"/>
  <c r="C170" i="7"/>
  <c r="A232" i="8"/>
  <c r="M138" i="7" a="1"/>
  <c r="M138" i="7" s="1"/>
  <c r="D138" i="7"/>
  <c r="N138" i="7" a="1"/>
  <c r="N138" i="7"/>
  <c r="D115" i="7"/>
  <c r="E115" i="7" s="1"/>
  <c r="H115" i="7" s="1"/>
  <c r="I115" i="7" s="1"/>
  <c r="D5" i="8" s="1"/>
  <c r="A190" i="8"/>
  <c r="N52" i="7" a="1"/>
  <c r="N52" i="7"/>
  <c r="P52" i="7"/>
  <c r="B52" i="7"/>
  <c r="B190" i="8"/>
  <c r="K52" i="7"/>
  <c r="M52" i="7" a="1"/>
  <c r="M52" i="7" s="1"/>
  <c r="K208" i="7"/>
  <c r="A241" i="8"/>
  <c r="M19" i="7" a="1"/>
  <c r="M19" i="7" s="1"/>
  <c r="P19" i="7" s="1"/>
  <c r="C19" i="7"/>
  <c r="B19" i="7"/>
  <c r="N19" i="7" a="1"/>
  <c r="N19" i="7"/>
  <c r="K185" i="7"/>
  <c r="A181" i="8"/>
  <c r="B143" i="7"/>
  <c r="B93" i="8"/>
  <c r="D141" i="7"/>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A195" i="8"/>
  <c r="N14" i="7" a="1"/>
  <c r="N14" i="7"/>
  <c r="P14" i="7"/>
  <c r="K124" i="7"/>
  <c r="K201" i="7"/>
  <c r="K53" i="7"/>
  <c r="N41" i="7" a="1"/>
  <c r="N41" i="7"/>
  <c r="K41" i="7"/>
  <c r="A77" i="8"/>
  <c r="K120" i="7"/>
  <c r="M120" i="7" a="1"/>
  <c r="M120" i="7" s="1"/>
  <c r="P120" i="7" s="1"/>
  <c r="B15" i="7"/>
  <c r="B189" i="8"/>
  <c r="D15" i="7"/>
  <c r="C15" i="7"/>
  <c r="C189" i="8"/>
  <c r="K79" i="7"/>
  <c r="K237" i="7"/>
  <c r="B237" i="7"/>
  <c r="B244" i="8"/>
  <c r="D76" i="7"/>
  <c r="E76" i="7" s="1"/>
  <c r="D206" i="7"/>
  <c r="C118" i="7"/>
  <c r="B30" i="7"/>
  <c r="A44" i="8"/>
  <c r="K130" i="7"/>
  <c r="A239" i="8"/>
  <c r="K122" i="7"/>
  <c r="D187" i="7"/>
  <c r="G178" i="7"/>
  <c r="M28" i="7" a="1"/>
  <c r="M28" i="7" s="1"/>
  <c r="P28" i="7" s="1"/>
  <c r="A28" i="8"/>
  <c r="C177" i="7"/>
  <c r="C194" i="8"/>
  <c r="M177" i="7" a="1"/>
  <c r="M177" i="7" s="1"/>
  <c r="P177" i="7" s="1"/>
  <c r="K184" i="7"/>
  <c r="C182" i="7"/>
  <c r="D102" i="7"/>
  <c r="E102" i="7" s="1"/>
  <c r="H102" i="7" s="1"/>
  <c r="K182" i="7"/>
  <c r="B182" i="7"/>
  <c r="A176" i="8"/>
  <c r="C64" i="7"/>
  <c r="K64" i="7"/>
  <c r="N64" i="7" a="1"/>
  <c r="N64" i="7"/>
  <c r="D64" i="7"/>
  <c r="M64" i="7" a="1"/>
  <c r="M64" i="7" s="1"/>
  <c r="P64" i="7" s="1"/>
  <c r="N234" i="7" a="1"/>
  <c r="N234" i="7"/>
  <c r="M234" i="7" a="1"/>
  <c r="M234" i="7" s="1"/>
  <c r="P234" i="7" s="1"/>
  <c r="C99" i="7"/>
  <c r="C83" i="8"/>
  <c r="N99" i="7" a="1"/>
  <c r="N99" i="7"/>
  <c r="M205" i="7" a="1"/>
  <c r="M205" i="7" s="1"/>
  <c r="C205" i="7"/>
  <c r="C67" i="8"/>
  <c r="C65" i="7"/>
  <c r="D65" i="7"/>
  <c r="E65" i="7" s="1"/>
  <c r="A108" i="8"/>
  <c r="N177" i="7" a="1"/>
  <c r="N177" i="7"/>
  <c r="B147" i="7"/>
  <c r="B172" i="8"/>
  <c r="N147" i="7" a="1"/>
  <c r="N147" i="7"/>
  <c r="A172" i="8"/>
  <c r="K38" i="7"/>
  <c r="M38" i="7" a="1"/>
  <c r="M38" i="7" s="1"/>
  <c r="K82" i="7"/>
  <c r="D4" i="7"/>
  <c r="E4" i="7" s="1"/>
  <c r="H4" i="7" s="1"/>
  <c r="C82" i="7"/>
  <c r="C32" i="8"/>
  <c r="A32" i="8"/>
  <c r="K61" i="7"/>
  <c r="N61" i="7" a="1"/>
  <c r="N61" i="7"/>
  <c r="M200" i="7" a="1"/>
  <c r="M200" i="7" s="1"/>
  <c r="D177" i="7"/>
  <c r="N143" i="7" a="1"/>
  <c r="N143" i="7"/>
  <c r="A93" i="8"/>
  <c r="A86" i="8"/>
  <c r="B185" i="7"/>
  <c r="B86" i="8"/>
  <c r="B174" i="7"/>
  <c r="D174" i="7"/>
  <c r="A34" i="8"/>
  <c r="K81" i="7"/>
  <c r="A29" i="8"/>
  <c r="C202" i="7"/>
  <c r="K134" i="7"/>
  <c r="B199" i="7"/>
  <c r="B223" i="8"/>
  <c r="K199" i="7"/>
  <c r="A223" i="8"/>
  <c r="M199" i="7" a="1"/>
  <c r="M199" i="7" s="1"/>
  <c r="D112" i="7"/>
  <c r="K112" i="7"/>
  <c r="N116" i="7" a="1"/>
  <c r="N116" i="7"/>
  <c r="C116" i="7"/>
  <c r="C62" i="8"/>
  <c r="M116" i="7" a="1"/>
  <c r="M116" i="7" s="1"/>
  <c r="P116" i="7" s="1"/>
  <c r="A62" i="8"/>
  <c r="C247" i="7"/>
  <c r="C243" i="8"/>
  <c r="K247" i="7"/>
  <c r="M182" i="7" a="1"/>
  <c r="M182" i="7" s="1"/>
  <c r="P182" i="7" s="1"/>
  <c r="M173" i="7" a="1"/>
  <c r="M173" i="7" s="1"/>
  <c r="P173" i="7" s="1"/>
  <c r="B226" i="7"/>
  <c r="A15" i="8"/>
  <c r="A134" i="8"/>
  <c r="A233" i="8"/>
  <c r="C222" i="7"/>
  <c r="C233" i="8"/>
  <c r="N111" i="7" a="1"/>
  <c r="N111" i="7"/>
  <c r="K111" i="7"/>
  <c r="M171" i="7" a="1"/>
  <c r="M171" i="7" s="1"/>
  <c r="D171" i="7"/>
  <c r="A209" i="8"/>
  <c r="D109" i="7"/>
  <c r="E109" i="7" s="1"/>
  <c r="H109" i="7" s="1"/>
  <c r="L109" i="7" s="1"/>
  <c r="N171" i="7" a="1"/>
  <c r="N171" i="7"/>
  <c r="B171" i="7"/>
  <c r="C171" i="7"/>
  <c r="C209" i="8"/>
  <c r="B60" i="7"/>
  <c r="B196" i="8"/>
  <c r="K60" i="7"/>
  <c r="N114" i="7" a="1"/>
  <c r="N114" i="7"/>
  <c r="A74" i="8"/>
  <c r="D149" i="7"/>
  <c r="E149" i="7" s="1"/>
  <c r="B74" i="7"/>
  <c r="B154" i="8"/>
  <c r="K74" i="7"/>
  <c r="K121" i="7"/>
  <c r="D202" i="7"/>
  <c r="E202" i="7" s="1"/>
  <c r="H202" i="7" s="1"/>
  <c r="L202" i="7" s="1"/>
  <c r="C121" i="7"/>
  <c r="K243" i="7"/>
  <c r="M243" i="7" a="1"/>
  <c r="M243" i="7" s="1"/>
  <c r="P243" i="7" s="1"/>
  <c r="C29" i="7"/>
  <c r="C97" i="8"/>
  <c r="A97" i="8"/>
  <c r="M95" i="7" a="1"/>
  <c r="M95" i="7" s="1"/>
  <c r="P95" i="7" s="1"/>
  <c r="K95" i="7"/>
  <c r="C95" i="7"/>
  <c r="A173" i="8"/>
  <c r="N95" i="7" a="1"/>
  <c r="N95" i="7"/>
  <c r="C11" i="7"/>
  <c r="C28" i="7"/>
  <c r="C216" i="8"/>
  <c r="M55" i="7" a="1"/>
  <c r="M55" i="7" s="1"/>
  <c r="R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E47" i="7" s="1"/>
  <c r="K83" i="7"/>
  <c r="N83" i="7" a="1"/>
  <c r="N83" i="7"/>
  <c r="N62" i="7" a="1"/>
  <c r="N62" i="7"/>
  <c r="P62" i="7"/>
  <c r="N89" i="7" a="1"/>
  <c r="N89" i="7"/>
  <c r="K89" i="7"/>
  <c r="B209" i="7"/>
  <c r="B234" i="8"/>
  <c r="M209" i="7" a="1"/>
  <c r="M209" i="7" s="1"/>
  <c r="N127" i="7" a="1"/>
  <c r="N127" i="7"/>
  <c r="B127" i="7"/>
  <c r="B66" i="8"/>
  <c r="D127" i="7"/>
  <c r="N208" i="7" a="1"/>
  <c r="N208" i="7"/>
  <c r="P208" i="7"/>
  <c r="C208" i="7"/>
  <c r="C241" i="8"/>
  <c r="D208" i="7"/>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A168" i="8"/>
  <c r="M13" i="7" a="1"/>
  <c r="M13" i="7" s="1"/>
  <c r="P13" i="7" s="1"/>
  <c r="N21" i="7" a="1"/>
  <c r="N21" i="7"/>
  <c r="C21" i="7"/>
  <c r="B73" i="7"/>
  <c r="B203" i="8"/>
  <c r="A203" i="8"/>
  <c r="D196" i="7"/>
  <c r="N196" i="7" a="1"/>
  <c r="N196" i="7"/>
  <c r="K196" i="7"/>
  <c r="B145" i="7"/>
  <c r="B6" i="8"/>
  <c r="C145" i="7"/>
  <c r="C6" i="8"/>
  <c r="C239" i="7"/>
  <c r="B239" i="7"/>
  <c r="B79" i="8"/>
  <c r="M239" i="7" a="1"/>
  <c r="M239" i="7" s="1"/>
  <c r="A80" i="8"/>
  <c r="N57" i="7" a="1"/>
  <c r="N57" i="7"/>
  <c r="N181" i="7" a="1"/>
  <c r="N181" i="7"/>
  <c r="A82" i="8"/>
  <c r="M49" i="7" a="1"/>
  <c r="M49" i="7" s="1"/>
  <c r="P49" i="7" s="1"/>
  <c r="K49" i="7"/>
  <c r="C94" i="7"/>
  <c r="C70" i="8"/>
  <c r="K94" i="7"/>
  <c r="K7" i="7"/>
  <c r="N115" i="7" a="1"/>
  <c r="N115" i="7"/>
  <c r="C115" i="7"/>
  <c r="C5" i="8"/>
  <c r="B115" i="7"/>
  <c r="B5" i="8"/>
  <c r="D71" i="7"/>
  <c r="K71" i="7"/>
  <c r="D223" i="7"/>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K109" i="7"/>
  <c r="N109" i="7" a="1"/>
  <c r="N109" i="7"/>
  <c r="D41" i="7"/>
  <c r="E41" i="7" s="1"/>
  <c r="A131" i="8"/>
  <c r="K241" i="7"/>
  <c r="M241" i="7" a="1"/>
  <c r="M241" i="7" s="1"/>
  <c r="A46" i="8"/>
  <c r="N156" i="7" a="1"/>
  <c r="N156" i="7"/>
  <c r="P156" i="7"/>
  <c r="C156" i="7"/>
  <c r="C59" i="8"/>
  <c r="C61" i="8"/>
  <c r="N221" i="7" a="1"/>
  <c r="N221" i="7"/>
  <c r="C221" i="7"/>
  <c r="C199" i="8"/>
  <c r="C47" i="8"/>
  <c r="A47" i="8"/>
  <c r="A155" i="8"/>
  <c r="B172" i="7"/>
  <c r="D172" i="7"/>
  <c r="C172" i="7"/>
  <c r="C53" i="8"/>
  <c r="C155" i="8"/>
  <c r="M172" i="7" a="1"/>
  <c r="M172" i="7" s="1"/>
  <c r="P172" i="7" s="1"/>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P63" i="7" s="1"/>
  <c r="C157" i="7"/>
  <c r="C85" i="8"/>
  <c r="M222" i="7" a="1"/>
  <c r="M222" i="7" s="1"/>
  <c r="B222" i="7"/>
  <c r="B233" i="8"/>
  <c r="A38" i="8"/>
  <c r="K92" i="7"/>
  <c r="K115" i="7"/>
  <c r="M115" i="7" a="1"/>
  <c r="M115" i="7" s="1"/>
  <c r="P115" i="7" s="1"/>
  <c r="B28" i="7"/>
  <c r="B28" i="8"/>
  <c r="K28" i="7"/>
  <c r="N28" i="7" a="1"/>
  <c r="N28" i="7"/>
  <c r="D28" i="7"/>
  <c r="A121" i="8"/>
  <c r="N120" i="7" a="1"/>
  <c r="N120" i="7"/>
  <c r="B130" i="7"/>
  <c r="B120" i="8"/>
  <c r="B9" i="8"/>
  <c r="M130" i="7" a="1"/>
  <c r="M130" i="7" s="1"/>
  <c r="P130" i="7" s="1"/>
  <c r="B83" i="7"/>
  <c r="B20" i="8"/>
  <c r="N71" i="7" a="1"/>
  <c r="N71" i="7"/>
  <c r="P71" i="7"/>
  <c r="B140" i="7"/>
  <c r="B116" i="8"/>
  <c r="B240" i="8"/>
  <c r="A240" i="8"/>
  <c r="B118" i="7"/>
  <c r="B165" i="8"/>
  <c r="B76" i="8"/>
  <c r="M118" i="7" a="1"/>
  <c r="M118" i="7" s="1"/>
  <c r="D106" i="7"/>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Q39" i="7" s="1"/>
  <c r="C39" i="7"/>
  <c r="C108" i="8"/>
  <c r="C95" i="8"/>
  <c r="B39" i="7"/>
  <c r="B108" i="8"/>
  <c r="B95" i="8"/>
  <c r="A95" i="8"/>
  <c r="M128" i="7" a="1"/>
  <c r="M128" i="7" s="1"/>
  <c r="P128" i="7" s="1"/>
  <c r="C128" i="7"/>
  <c r="N202" i="7" a="1"/>
  <c r="N202" i="7"/>
  <c r="P202" i="7"/>
  <c r="M202" i="7" a="1"/>
  <c r="M202" i="7" s="1"/>
  <c r="Q202" i="7" s="1"/>
  <c r="D211" i="7"/>
  <c r="C7" i="7"/>
  <c r="C73" i="8"/>
  <c r="A63" i="8"/>
  <c r="M21" i="7" a="1"/>
  <c r="M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H105" i="7" s="1"/>
  <c r="I105" i="7" s="1"/>
  <c r="D132" i="8" s="1"/>
  <c r="F20" i="7"/>
  <c r="F68" i="7"/>
  <c r="H68" i="7" s="1"/>
  <c r="F10" i="7"/>
  <c r="F190" i="7"/>
  <c r="F229" i="7"/>
  <c r="F148" i="7"/>
  <c r="H148" i="7" s="1"/>
  <c r="E51" i="8" s="1"/>
  <c r="G51" i="8" s="1"/>
  <c r="F198" i="7"/>
  <c r="F29" i="7"/>
  <c r="F170" i="7"/>
  <c r="X34" i="6"/>
  <c r="Y34" i="6" s="1"/>
  <c r="F174" i="7"/>
  <c r="F226" i="7"/>
  <c r="X197" i="6"/>
  <c r="Y197" i="6" s="1"/>
  <c r="X228" i="6"/>
  <c r="Y228" i="6" s="1"/>
  <c r="F65" i="7"/>
  <c r="F227" i="7"/>
  <c r="F163" i="7"/>
  <c r="F218" i="7"/>
  <c r="H218" i="7" s="1"/>
  <c r="X82" i="6"/>
  <c r="Y82" i="6" s="1"/>
  <c r="F216" i="7"/>
  <c r="H216" i="7" s="1"/>
  <c r="F155" i="7"/>
  <c r="H155" i="7" s="1"/>
  <c r="E81" i="8" s="1"/>
  <c r="G81" i="8" s="1"/>
  <c r="F173" i="7"/>
  <c r="F45" i="7"/>
  <c r="F26" i="7"/>
  <c r="F135" i="7"/>
  <c r="F177" i="7"/>
  <c r="F84" i="7"/>
  <c r="F205" i="7"/>
  <c r="F28" i="7"/>
  <c r="F85" i="7"/>
  <c r="X43" i="6"/>
  <c r="Y43" i="6" s="1"/>
  <c r="X140" i="6"/>
  <c r="Y140" i="6" s="1"/>
  <c r="X93" i="6"/>
  <c r="Y93" i="6" s="1"/>
  <c r="F108" i="7"/>
  <c r="H108" i="7" s="1"/>
  <c r="E176" i="8" s="1"/>
  <c r="G176" i="8" s="1"/>
  <c r="F138" i="7"/>
  <c r="F161" i="7"/>
  <c r="X90" i="6"/>
  <c r="Y90" i="6" s="1"/>
  <c r="F175" i="7"/>
  <c r="F142" i="7"/>
  <c r="F88" i="7"/>
  <c r="F6" i="7"/>
  <c r="F60" i="7"/>
  <c r="F70" i="7"/>
  <c r="F25" i="7"/>
  <c r="H25" i="7" s="1"/>
  <c r="F18" i="7"/>
  <c r="F231" i="7"/>
  <c r="F97" i="7"/>
  <c r="X61" i="6"/>
  <c r="Y61" i="6" s="1"/>
  <c r="G95" i="7"/>
  <c r="X164" i="6"/>
  <c r="Y164" i="6" s="1"/>
  <c r="F58" i="7"/>
  <c r="F71" i="7"/>
  <c r="H71" i="7" s="1"/>
  <c r="I71" i="7" s="1"/>
  <c r="D206" i="8" s="1"/>
  <c r="X144" i="6"/>
  <c r="Y144" i="6" s="1"/>
  <c r="F21" i="7"/>
  <c r="F79" i="7"/>
  <c r="H79" i="7" s="1"/>
  <c r="I79" i="7" s="1"/>
  <c r="D75" i="8" s="1"/>
  <c r="F31" i="7"/>
  <c r="X37" i="6"/>
  <c r="Y37" i="6" s="1"/>
  <c r="F128" i="7"/>
  <c r="G234" i="7"/>
  <c r="F81" i="7"/>
  <c r="F187" i="7"/>
  <c r="F215" i="7"/>
  <c r="X11" i="6"/>
  <c r="Y11" i="6" s="1"/>
  <c r="F211" i="7"/>
  <c r="F72" i="7"/>
  <c r="H72" i="7" s="1"/>
  <c r="F91" i="7"/>
  <c r="X233" i="6"/>
  <c r="Y233" i="6" s="1"/>
  <c r="F86" i="7"/>
  <c r="H86" i="7" s="1"/>
  <c r="E29" i="8" s="1"/>
  <c r="G29" i="8" s="1"/>
  <c r="X143" i="6"/>
  <c r="Y143" i="6" s="1"/>
  <c r="X160" i="6"/>
  <c r="Y160" i="6" s="1"/>
  <c r="E196" i="7"/>
  <c r="H196" i="7" s="1"/>
  <c r="E235" i="8" s="1"/>
  <c r="G235" i="8" s="1"/>
  <c r="E88" i="7"/>
  <c r="E231" i="7"/>
  <c r="G64" i="7"/>
  <c r="G17" i="7"/>
  <c r="E154" i="7"/>
  <c r="H154" i="7" s="1"/>
  <c r="E85" i="7"/>
  <c r="X80" i="6"/>
  <c r="Y80" i="6" s="1"/>
  <c r="X225" i="6"/>
  <c r="Y225" i="6" s="1"/>
  <c r="X24" i="6"/>
  <c r="Y24" i="6" s="1"/>
  <c r="X76" i="6"/>
  <c r="Y76" i="6" s="1"/>
  <c r="X42" i="6"/>
  <c r="Y42" i="6" s="1"/>
  <c r="X33" i="6"/>
  <c r="Y33" i="6" s="1"/>
  <c r="X4" i="6"/>
  <c r="Y4" i="6" s="1"/>
  <c r="X241" i="6"/>
  <c r="Y241" i="6" s="1"/>
  <c r="X238" i="6"/>
  <c r="Y238" i="6" s="1"/>
  <c r="X236" i="6"/>
  <c r="Y236" i="6" s="1"/>
  <c r="X234" i="6"/>
  <c r="Y234" i="6" s="1"/>
  <c r="X230" i="6"/>
  <c r="Y230" i="6" s="1"/>
  <c r="X223" i="6"/>
  <c r="Y223" i="6" s="1"/>
  <c r="X219" i="6"/>
  <c r="Y219" i="6" s="1"/>
  <c r="X206" i="6"/>
  <c r="Y206" i="6" s="1"/>
  <c r="X195" i="6"/>
  <c r="Y195" i="6" s="1"/>
  <c r="X189" i="6"/>
  <c r="Y189" i="6" s="1"/>
  <c r="X188" i="6"/>
  <c r="Y188" i="6" s="1"/>
  <c r="X186" i="6"/>
  <c r="Y186" i="6" s="1"/>
  <c r="X172" i="6"/>
  <c r="Y172" i="6" s="1"/>
  <c r="X169" i="6"/>
  <c r="Y169" i="6" s="1"/>
  <c r="X165" i="6"/>
  <c r="Y165" i="6" s="1"/>
  <c r="X157" i="6"/>
  <c r="Y157" i="6" s="1"/>
  <c r="X149" i="6"/>
  <c r="Y149" i="6" s="1"/>
  <c r="X147" i="6"/>
  <c r="Y147" i="6" s="1"/>
  <c r="X146" i="6"/>
  <c r="Y146" i="6" s="1"/>
  <c r="X141" i="6"/>
  <c r="Y141" i="6" s="1"/>
  <c r="X125" i="6"/>
  <c r="Y125" i="6" s="1"/>
  <c r="X123" i="6"/>
  <c r="Y123" i="6" s="1"/>
  <c r="X117" i="6"/>
  <c r="Y117" i="6" s="1"/>
  <c r="X112" i="6"/>
  <c r="Y112" i="6" s="1"/>
  <c r="X110" i="6"/>
  <c r="Y110" i="6" s="1"/>
  <c r="X102" i="6"/>
  <c r="Y102" i="6" s="1"/>
  <c r="X98" i="6"/>
  <c r="Y98" i="6" s="1"/>
  <c r="X83" i="6"/>
  <c r="Y83" i="6" s="1"/>
  <c r="X77" i="6"/>
  <c r="Y77" i="6" s="1"/>
  <c r="X75" i="6"/>
  <c r="X53" i="6"/>
  <c r="Y53" i="6" s="1"/>
  <c r="X51" i="6"/>
  <c r="Y51" i="6" s="1"/>
  <c r="X48" i="6"/>
  <c r="Y48" i="6" s="1"/>
  <c r="X35" i="6"/>
  <c r="Y35" i="6" s="1"/>
  <c r="B57" i="11"/>
  <c r="E81" i="7"/>
  <c r="X185" i="6"/>
  <c r="Y185" i="6" s="1"/>
  <c r="X96" i="6"/>
  <c r="Y96" i="6" s="1"/>
  <c r="X145" i="6"/>
  <c r="Y145" i="6" s="1"/>
  <c r="B53" i="11"/>
  <c r="B54" i="11"/>
  <c r="D241" i="7"/>
  <c r="D228" i="7"/>
  <c r="K241" i="6"/>
  <c r="G241" i="7" s="1"/>
  <c r="X78" i="6"/>
  <c r="Y78" i="6" s="1"/>
  <c r="X92" i="6"/>
  <c r="Y92" i="6" s="1"/>
  <c r="X182" i="6"/>
  <c r="Y182" i="6" s="1"/>
  <c r="X69" i="6"/>
  <c r="Y69" i="6" s="1"/>
  <c r="X212" i="6"/>
  <c r="Y212" i="6" s="1"/>
  <c r="X208" i="6"/>
  <c r="Y208" i="6" s="1"/>
  <c r="X196" i="6"/>
  <c r="Y196" i="6" s="1"/>
  <c r="X100" i="6"/>
  <c r="Y100" i="6" s="1"/>
  <c r="X36" i="6"/>
  <c r="Y36" i="6" s="1"/>
  <c r="B61" i="11"/>
  <c r="D238" i="7"/>
  <c r="AE20" i="6"/>
  <c r="AF20" i="6" s="1"/>
  <c r="X103" i="6"/>
  <c r="Y103" i="6" s="1"/>
  <c r="X107" i="6"/>
  <c r="Y107" i="6" s="1"/>
  <c r="X63" i="6"/>
  <c r="Y63" i="6" s="1"/>
  <c r="X17" i="6"/>
  <c r="Y17" i="6" s="1"/>
  <c r="X22" i="6"/>
  <c r="Y22" i="6" s="1"/>
  <c r="O152" i="7"/>
  <c r="E55" i="7"/>
  <c r="E106" i="7"/>
  <c r="E141" i="7"/>
  <c r="X178" i="6"/>
  <c r="Y178" i="6" s="1"/>
  <c r="X184" i="6"/>
  <c r="Y184" i="6" s="1"/>
  <c r="O167" i="7"/>
  <c r="AC73" i="6"/>
  <c r="J100" i="7"/>
  <c r="F202" i="8" s="1"/>
  <c r="AC80" i="6"/>
  <c r="AC200" i="6"/>
  <c r="AE98" i="6"/>
  <c r="AH98" i="6" s="1"/>
  <c r="G131" i="7"/>
  <c r="O57" i="7"/>
  <c r="O224" i="7"/>
  <c r="O5" i="7"/>
  <c r="O157" i="7"/>
  <c r="AC214" i="6"/>
  <c r="AC161" i="6"/>
  <c r="AC187" i="6"/>
  <c r="O90" i="7"/>
  <c r="R90" i="7" s="1"/>
  <c r="O237" i="7"/>
  <c r="AD179" i="6"/>
  <c r="W179" i="6" s="1"/>
  <c r="AJ179" i="6" s="1"/>
  <c r="AC99" i="6"/>
  <c r="O99" i="7"/>
  <c r="O232" i="7"/>
  <c r="R232" i="7" s="1"/>
  <c r="AC209" i="6"/>
  <c r="AC78" i="6"/>
  <c r="AC107" i="6"/>
  <c r="AD142" i="6"/>
  <c r="W142" i="6" s="1"/>
  <c r="AE142" i="6" s="1"/>
  <c r="AC228" i="6"/>
  <c r="AD158" i="6"/>
  <c r="O158" i="7"/>
  <c r="Q158" i="7" s="1"/>
  <c r="AD192" i="6"/>
  <c r="W192" i="6" s="1"/>
  <c r="AE192" i="6" s="1"/>
  <c r="AG192" i="6" s="1"/>
  <c r="S192" i="7" s="1"/>
  <c r="O192" i="7"/>
  <c r="AC189" i="6"/>
  <c r="O16" i="7"/>
  <c r="W105" i="6"/>
  <c r="AJ105" i="6" s="1"/>
  <c r="W145" i="6"/>
  <c r="AJ145" i="6" s="1"/>
  <c r="AE211" i="6"/>
  <c r="AG211" i="6" s="1"/>
  <c r="S211" i="7" s="1"/>
  <c r="W211" i="6"/>
  <c r="AJ211" i="6" s="1"/>
  <c r="AD78" i="6"/>
  <c r="O107" i="7"/>
  <c r="R107" i="7" s="1"/>
  <c r="O95" i="7"/>
  <c r="E177" i="7"/>
  <c r="E185" i="7"/>
  <c r="W104" i="6"/>
  <c r="AJ104" i="6" s="1"/>
  <c r="E53" i="7"/>
  <c r="H53" i="7" s="1"/>
  <c r="E197" i="8" s="1"/>
  <c r="G197" i="8" s="1"/>
  <c r="AC237" i="6"/>
  <c r="O214" i="7"/>
  <c r="R214" i="7" s="1"/>
  <c r="O137" i="7"/>
  <c r="R137" i="7" s="1"/>
  <c r="O59" i="7"/>
  <c r="R59" i="7" s="1"/>
  <c r="AE34" i="6"/>
  <c r="AH34" i="6" s="1"/>
  <c r="E239" i="7"/>
  <c r="J20" i="7"/>
  <c r="F184" i="8" s="1"/>
  <c r="E16" i="7"/>
  <c r="O194" i="7"/>
  <c r="Q194" i="7" s="1"/>
  <c r="E67" i="7"/>
  <c r="H67" i="7" s="1"/>
  <c r="L67" i="7" s="1"/>
  <c r="E99" i="7"/>
  <c r="H99" i="7" s="1"/>
  <c r="I99" i="7" s="1"/>
  <c r="D183" i="8" s="1"/>
  <c r="E209" i="7"/>
  <c r="E205" i="7"/>
  <c r="G30" i="7"/>
  <c r="G11" i="7"/>
  <c r="O38" i="7"/>
  <c r="R38" i="7" s="1"/>
  <c r="E94" i="7"/>
  <c r="E100" i="7"/>
  <c r="H100" i="7" s="1"/>
  <c r="I100" i="7" s="1"/>
  <c r="D202" i="8" s="1"/>
  <c r="E180" i="7"/>
  <c r="G97" i="7"/>
  <c r="G193" i="7"/>
  <c r="E158" i="7"/>
  <c r="G147" i="7"/>
  <c r="H147" i="7" s="1"/>
  <c r="L147" i="7" s="1"/>
  <c r="J112" i="7"/>
  <c r="J65" i="7"/>
  <c r="F85" i="8" s="1"/>
  <c r="J194" i="7"/>
  <c r="F203" i="8" s="1"/>
  <c r="J54" i="7"/>
  <c r="F185" i="8" s="1"/>
  <c r="J111" i="7"/>
  <c r="J74" i="7"/>
  <c r="J104" i="7"/>
  <c r="F178" i="8" s="1"/>
  <c r="J39" i="7"/>
  <c r="F108" i="8" s="1"/>
  <c r="J108" i="7"/>
  <c r="F176" i="8" s="1"/>
  <c r="J46" i="7"/>
  <c r="J121" i="7"/>
  <c r="L121" i="7" s="1"/>
  <c r="X151" i="6"/>
  <c r="Y151" i="6" s="1"/>
  <c r="F139" i="8"/>
  <c r="D101" i="7"/>
  <c r="E101" i="7" s="1"/>
  <c r="N98" i="7" a="1"/>
  <c r="N98" i="7"/>
  <c r="P98" i="7"/>
  <c r="J144" i="7"/>
  <c r="F149" i="8" s="1"/>
  <c r="O176" i="7"/>
  <c r="O161" i="7"/>
  <c r="O216" i="7"/>
  <c r="R216" i="7" s="1"/>
  <c r="O231" i="7"/>
  <c r="O25" i="7"/>
  <c r="O174" i="7"/>
  <c r="R174" i="7" s="1"/>
  <c r="J62" i="7"/>
  <c r="F74" i="8" s="1"/>
  <c r="G176" i="7"/>
  <c r="G13" i="7"/>
  <c r="G215" i="7"/>
  <c r="G168" i="7"/>
  <c r="G163" i="7"/>
  <c r="G26" i="7"/>
  <c r="G126" i="7"/>
  <c r="G41" i="7"/>
  <c r="G49" i="7"/>
  <c r="G209" i="7"/>
  <c r="G75" i="7"/>
  <c r="H75" i="7" s="1"/>
  <c r="I75" i="7" s="1"/>
  <c r="D33" i="8" s="1"/>
  <c r="G138" i="7"/>
  <c r="G29" i="7"/>
  <c r="G78" i="7"/>
  <c r="G177" i="7"/>
  <c r="G46" i="7"/>
  <c r="G18" i="7"/>
  <c r="G22" i="7"/>
  <c r="G100" i="7"/>
  <c r="G37" i="7"/>
  <c r="G164" i="7"/>
  <c r="H164" i="7" s="1"/>
  <c r="L164" i="7" s="1"/>
  <c r="G116" i="7"/>
  <c r="G135" i="7"/>
  <c r="G106" i="7"/>
  <c r="G89" i="7"/>
  <c r="G118" i="7"/>
  <c r="G150" i="7"/>
  <c r="G199" i="7"/>
  <c r="G223" i="7"/>
  <c r="G132" i="7"/>
  <c r="H132" i="7" s="1"/>
  <c r="I132" i="7" s="1"/>
  <c r="D160" i="8" s="1"/>
  <c r="G110" i="7"/>
  <c r="G77" i="7"/>
  <c r="G76" i="7"/>
  <c r="G184" i="7"/>
  <c r="G52" i="7"/>
  <c r="G175" i="7"/>
  <c r="G151" i="7"/>
  <c r="G38" i="7"/>
  <c r="G32" i="7"/>
  <c r="G217" i="7"/>
  <c r="G181" i="7"/>
  <c r="E233" i="7"/>
  <c r="H233" i="7" s="1"/>
  <c r="E225" i="7"/>
  <c r="E93" i="7"/>
  <c r="E87" i="7"/>
  <c r="E120" i="7"/>
  <c r="E49" i="7"/>
  <c r="E153" i="7"/>
  <c r="E178" i="7"/>
  <c r="E31" i="7"/>
  <c r="E51" i="7"/>
  <c r="E156" i="7"/>
  <c r="E5" i="7"/>
  <c r="E241" i="7"/>
  <c r="E193" i="7"/>
  <c r="E20" i="7"/>
  <c r="E60" i="7"/>
  <c r="E176" i="7"/>
  <c r="F165" i="7"/>
  <c r="H165" i="7" s="1"/>
  <c r="E54" i="8" s="1"/>
  <c r="G54" i="8" s="1"/>
  <c r="F13" i="7"/>
  <c r="H13" i="7" s="1"/>
  <c r="F120" i="7"/>
  <c r="H120" i="7" s="1"/>
  <c r="I120" i="7" s="1"/>
  <c r="D126" i="8" s="1"/>
  <c r="F63" i="7"/>
  <c r="H63" i="7" s="1"/>
  <c r="L63" i="7" s="1"/>
  <c r="F179" i="7"/>
  <c r="F41" i="7"/>
  <c r="F49" i="7"/>
  <c r="F235" i="7"/>
  <c r="H235" i="7" s="1"/>
  <c r="E34" i="8" s="1"/>
  <c r="G34" i="8" s="1"/>
  <c r="F209" i="7"/>
  <c r="F23" i="7"/>
  <c r="F232" i="7"/>
  <c r="F224" i="7"/>
  <c r="F54" i="7"/>
  <c r="H54" i="7" s="1"/>
  <c r="I54" i="7" s="1"/>
  <c r="D185" i="8" s="1"/>
  <c r="F124" i="7"/>
  <c r="H124" i="7" s="1"/>
  <c r="E99" i="8" s="1"/>
  <c r="G99" i="8" s="1"/>
  <c r="F153" i="7"/>
  <c r="F9" i="7"/>
  <c r="H9" i="7" s="1"/>
  <c r="I9" i="7" s="1"/>
  <c r="D105" i="8" s="1"/>
  <c r="F103" i="7"/>
  <c r="H103" i="7" s="1"/>
  <c r="I103" i="7" s="1"/>
  <c r="D179" i="8" s="1"/>
  <c r="F8" i="7"/>
  <c r="F51" i="7"/>
  <c r="F139" i="7"/>
  <c r="H139" i="7" s="1"/>
  <c r="E27" i="8" s="1"/>
  <c r="G27" i="8" s="1"/>
  <c r="F240" i="7"/>
  <c r="F213" i="7"/>
  <c r="F221" i="7"/>
  <c r="F136" i="7"/>
  <c r="H136" i="7" s="1"/>
  <c r="I136" i="7" s="1"/>
  <c r="D156" i="8" s="1"/>
  <c r="F193" i="7"/>
  <c r="F52" i="7"/>
  <c r="H52" i="7" s="1"/>
  <c r="E190" i="8" s="1"/>
  <c r="G190" i="8" s="1"/>
  <c r="F166" i="7"/>
  <c r="F234" i="7"/>
  <c r="U96" i="6"/>
  <c r="U162" i="6"/>
  <c r="U50" i="6"/>
  <c r="Y74" i="6"/>
  <c r="AE212" i="6"/>
  <c r="AG212" i="6" s="1"/>
  <c r="S212" i="7" s="1"/>
  <c r="W212" i="6"/>
  <c r="AJ212" i="6" s="1"/>
  <c r="O229" i="7"/>
  <c r="E227" i="7"/>
  <c r="E107" i="7"/>
  <c r="H107" i="7"/>
  <c r="L107" i="7" s="1"/>
  <c r="E146" i="7"/>
  <c r="H146" i="7" s="1"/>
  <c r="I146" i="7" s="1"/>
  <c r="D152" i="8" s="1"/>
  <c r="X134" i="6"/>
  <c r="Y134" i="6" s="1"/>
  <c r="F64" i="7"/>
  <c r="F210" i="7"/>
  <c r="H210" i="7" s="1"/>
  <c r="X210" i="6"/>
  <c r="Y210" i="6" s="1"/>
  <c r="X129" i="6"/>
  <c r="F217" i="7"/>
  <c r="AG144" i="6"/>
  <c r="S144" i="7" s="1"/>
  <c r="F27" i="7"/>
  <c r="H27" i="7" s="1"/>
  <c r="I27" i="7" s="1"/>
  <c r="D188" i="8" s="1"/>
  <c r="F5" i="7"/>
  <c r="F127" i="7"/>
  <c r="F101" i="7"/>
  <c r="F83" i="7"/>
  <c r="F40" i="7"/>
  <c r="X240" i="6"/>
  <c r="W240" i="6" s="1"/>
  <c r="AE240" i="6" s="1"/>
  <c r="AH240" i="6" s="1"/>
  <c r="F113" i="7"/>
  <c r="E96" i="7"/>
  <c r="E48" i="7"/>
  <c r="E212" i="7"/>
  <c r="E119" i="7"/>
  <c r="E183" i="7"/>
  <c r="E135" i="7"/>
  <c r="E127" i="7"/>
  <c r="E6" i="7"/>
  <c r="E174" i="7"/>
  <c r="X235" i="6"/>
  <c r="Y235" i="6" s="1"/>
  <c r="F62" i="7"/>
  <c r="X139" i="6"/>
  <c r="Y139" i="6" s="1"/>
  <c r="F44" i="7"/>
  <c r="H44" i="7" s="1"/>
  <c r="X133" i="6"/>
  <c r="Y133" i="6" s="1"/>
  <c r="F133" i="7"/>
  <c r="E232" i="7"/>
  <c r="E111" i="7"/>
  <c r="E17" i="7"/>
  <c r="E116" i="7"/>
  <c r="E123" i="7"/>
  <c r="E139" i="7"/>
  <c r="E220" i="7"/>
  <c r="E230" i="7"/>
  <c r="H230" i="7" s="1"/>
  <c r="E179" i="7"/>
  <c r="E138" i="7"/>
  <c r="E104" i="7"/>
  <c r="E92" i="7"/>
  <c r="H92" i="7" s="1"/>
  <c r="E152" i="7"/>
  <c r="H152" i="7" s="1"/>
  <c r="E223" i="7"/>
  <c r="E197" i="7"/>
  <c r="E181" i="7"/>
  <c r="H181" i="7" s="1"/>
  <c r="I181" i="7" s="1"/>
  <c r="D73" i="8" s="1"/>
  <c r="X12" i="6"/>
  <c r="Y12" i="6" s="1"/>
  <c r="F156" i="7"/>
  <c r="F222" i="7"/>
  <c r="X222" i="6"/>
  <c r="Y222" i="6" s="1"/>
  <c r="X38" i="6"/>
  <c r="Y38" i="6" s="1"/>
  <c r="F38" i="7"/>
  <c r="X46" i="6"/>
  <c r="Y46" i="6" s="1"/>
  <c r="F119" i="7"/>
  <c r="X16" i="6"/>
  <c r="Y16" i="6" s="1"/>
  <c r="F160" i="7"/>
  <c r="W201" i="6"/>
  <c r="AJ201" i="6" s="1"/>
  <c r="W210" i="6"/>
  <c r="AJ210" i="6" s="1"/>
  <c r="F149" i="7"/>
  <c r="F114" i="7"/>
  <c r="X152" i="6"/>
  <c r="Y152" i="6" s="1"/>
  <c r="X192" i="6"/>
  <c r="Y192" i="6" s="1"/>
  <c r="E113" i="7"/>
  <c r="E26" i="7"/>
  <c r="E188" i="7"/>
  <c r="X158" i="6"/>
  <c r="Y158" i="6" s="1"/>
  <c r="F158" i="7"/>
  <c r="X179" i="6"/>
  <c r="Y179" i="6" s="1"/>
  <c r="F111" i="7"/>
  <c r="X89" i="6"/>
  <c r="Y89" i="6" s="1"/>
  <c r="F143" i="7"/>
  <c r="H143" i="7" s="1"/>
  <c r="I143" i="7" s="1"/>
  <c r="D65" i="8" s="1"/>
  <c r="E45" i="7"/>
  <c r="E229" i="7"/>
  <c r="E28" i="7"/>
  <c r="E151" i="7"/>
  <c r="E236" i="7"/>
  <c r="E70" i="7"/>
  <c r="E237" i="7"/>
  <c r="E29" i="7"/>
  <c r="E39" i="7"/>
  <c r="H39" i="7" s="1"/>
  <c r="E11" i="7"/>
  <c r="E128" i="7"/>
  <c r="E144" i="7"/>
  <c r="E130" i="7"/>
  <c r="E117" i="7"/>
  <c r="E118" i="7"/>
  <c r="E137" i="7"/>
  <c r="E219" i="7"/>
  <c r="E206" i="7"/>
  <c r="E228" i="7"/>
  <c r="H228" i="7" s="1"/>
  <c r="E193" i="8" s="1"/>
  <c r="G193" i="8" s="1"/>
  <c r="E159" i="7"/>
  <c r="E161" i="7"/>
  <c r="E66" i="7"/>
  <c r="E194" i="7"/>
  <c r="E126" i="7"/>
  <c r="E142" i="7"/>
  <c r="E224" i="7"/>
  <c r="E78" i="7"/>
  <c r="K226" i="6"/>
  <c r="G226" i="7"/>
  <c r="K204" i="6"/>
  <c r="G204" i="7" s="1"/>
  <c r="H204" i="7" s="1"/>
  <c r="O204" i="6" a="1"/>
  <c r="O204" i="6"/>
  <c r="X204" i="6"/>
  <c r="Y204" i="6" s="1"/>
  <c r="E189" i="7"/>
  <c r="E18" i="7"/>
  <c r="E37" i="7"/>
  <c r="H37" i="7" s="1"/>
  <c r="E166" i="8" s="1"/>
  <c r="G166" i="8" s="1"/>
  <c r="E8" i="7"/>
  <c r="E64" i="7"/>
  <c r="E40" i="7"/>
  <c r="E133" i="7"/>
  <c r="E145" i="7"/>
  <c r="H145" i="7" s="1"/>
  <c r="E192" i="7"/>
  <c r="H192" i="7" s="1"/>
  <c r="I192" i="7" s="1"/>
  <c r="D79" i="8" s="1"/>
  <c r="E187" i="7"/>
  <c r="E186" i="7"/>
  <c r="E61" i="7"/>
  <c r="H61" i="7" s="1"/>
  <c r="I61" i="7" s="1"/>
  <c r="D187" i="8" s="1"/>
  <c r="E36" i="7"/>
  <c r="E15" i="7"/>
  <c r="E134" i="7"/>
  <c r="E217" i="7"/>
  <c r="E125" i="7"/>
  <c r="E173" i="7"/>
  <c r="E171" i="7"/>
  <c r="Q86" i="7"/>
  <c r="R205" i="7"/>
  <c r="X66" i="6"/>
  <c r="Y66" i="6" s="1"/>
  <c r="X119" i="6"/>
  <c r="Y119" i="6" s="1"/>
  <c r="X131" i="6"/>
  <c r="Y131" i="6" s="1"/>
  <c r="X59" i="6"/>
  <c r="Y59" i="6" s="1"/>
  <c r="X57" i="6"/>
  <c r="Y57" i="6" s="1"/>
  <c r="X115" i="6"/>
  <c r="Y115" i="6" s="1"/>
  <c r="X191" i="6"/>
  <c r="Y191" i="6" s="1"/>
  <c r="X201" i="6"/>
  <c r="Y201" i="6" s="1"/>
  <c r="X121" i="6"/>
  <c r="Y121" i="6" s="1"/>
  <c r="X127" i="6"/>
  <c r="Y127" i="6" s="1"/>
  <c r="X181" i="6"/>
  <c r="Y181" i="6" s="1"/>
  <c r="X176" i="6"/>
  <c r="Y176" i="6" s="1"/>
  <c r="Q12" i="7"/>
  <c r="L211" i="7"/>
  <c r="O66" i="7"/>
  <c r="Q66" i="7" s="1"/>
  <c r="U109" i="6"/>
  <c r="AD69" i="6"/>
  <c r="U161" i="6"/>
  <c r="U187" i="6"/>
  <c r="U233" i="6"/>
  <c r="U152" i="6"/>
  <c r="U170" i="6"/>
  <c r="U81" i="6"/>
  <c r="U113" i="6"/>
  <c r="U143" i="6"/>
  <c r="U155" i="6"/>
  <c r="U179" i="6"/>
  <c r="U99" i="6"/>
  <c r="U68" i="6"/>
  <c r="U172" i="6"/>
  <c r="U176" i="6"/>
  <c r="U166" i="6"/>
  <c r="U107" i="6"/>
  <c r="U119" i="6"/>
  <c r="U180" i="6"/>
  <c r="U151" i="6"/>
  <c r="U142" i="6"/>
  <c r="U63" i="6"/>
  <c r="U154" i="6"/>
  <c r="U168" i="6"/>
  <c r="U150" i="6"/>
  <c r="AB73" i="6"/>
  <c r="U121" i="6"/>
  <c r="AC48" i="6"/>
  <c r="AD37" i="6"/>
  <c r="O169" i="7"/>
  <c r="R169" i="7" s="1"/>
  <c r="O62" i="7"/>
  <c r="R62" i="7" s="1"/>
  <c r="O212" i="7"/>
  <c r="AC222" i="6"/>
  <c r="AD239" i="6"/>
  <c r="O173" i="7"/>
  <c r="AC190" i="6"/>
  <c r="O147" i="7"/>
  <c r="O234" i="7"/>
  <c r="AD34" i="6"/>
  <c r="AD211" i="6"/>
  <c r="AD220" i="6"/>
  <c r="AD242" i="6"/>
  <c r="O182" i="7"/>
  <c r="Q182" i="7" s="1"/>
  <c r="O33" i="7"/>
  <c r="R33" i="7" s="1"/>
  <c r="U241" i="6"/>
  <c r="L212" i="7"/>
  <c r="R86" i="7"/>
  <c r="U134" i="6"/>
  <c r="U231" i="6"/>
  <c r="U106" i="6"/>
  <c r="U8" i="6"/>
  <c r="U94" i="6"/>
  <c r="U88" i="6"/>
  <c r="U204" i="6"/>
  <c r="U238" i="6"/>
  <c r="U62" i="6"/>
  <c r="U79" i="6"/>
  <c r="U182" i="6"/>
  <c r="U214" i="6"/>
  <c r="Y148" i="6"/>
  <c r="U210" i="6"/>
  <c r="F237" i="8"/>
  <c r="L206" i="7"/>
  <c r="L201" i="7"/>
  <c r="F160" i="8"/>
  <c r="L53" i="7"/>
  <c r="F197" i="8"/>
  <c r="AB116" i="6"/>
  <c r="AC208" i="6"/>
  <c r="AB211" i="6"/>
  <c r="J196" i="7"/>
  <c r="F235" i="8" s="1"/>
  <c r="AE201" i="6"/>
  <c r="AG201" i="6" s="1"/>
  <c r="S201" i="7" s="1"/>
  <c r="J209" i="7"/>
  <c r="J42" i="7"/>
  <c r="F137" i="8" s="1"/>
  <c r="W53" i="6"/>
  <c r="AJ53" i="6" s="1"/>
  <c r="AE53" i="6"/>
  <c r="AF53" i="6" s="1"/>
  <c r="AG104" i="6"/>
  <c r="S104" i="7" s="1"/>
  <c r="AF104" i="6"/>
  <c r="W133" i="6"/>
  <c r="AJ133" i="6" s="1"/>
  <c r="J133" i="7"/>
  <c r="AE208" i="6"/>
  <c r="AH208" i="6" s="1"/>
  <c r="J208" i="7"/>
  <c r="L208" i="7" s="1"/>
  <c r="AD13" i="6"/>
  <c r="W13" i="6" s="1"/>
  <c r="AE13" i="6" s="1"/>
  <c r="AH13" i="6" s="1"/>
  <c r="Q91" i="7"/>
  <c r="J70" i="7"/>
  <c r="F194" i="8" s="1"/>
  <c r="J101" i="7"/>
  <c r="F138" i="8" s="1"/>
  <c r="AE15" i="6"/>
  <c r="AF15" i="6" s="1"/>
  <c r="J15" i="7"/>
  <c r="F189" i="8" s="1"/>
  <c r="J52" i="7"/>
  <c r="L52" i="7" s="1"/>
  <c r="AE52" i="6"/>
  <c r="W76" i="6"/>
  <c r="AJ76" i="6" s="1"/>
  <c r="AE76" i="6"/>
  <c r="J76" i="7"/>
  <c r="F144" i="8" s="1"/>
  <c r="W110" i="6"/>
  <c r="AJ110" i="6" s="1"/>
  <c r="AE110" i="6"/>
  <c r="AH110" i="6" s="1"/>
  <c r="J198" i="7"/>
  <c r="F222" i="8" s="1"/>
  <c r="W132" i="6"/>
  <c r="AJ132" i="6" s="1"/>
  <c r="AE132" i="6"/>
  <c r="AF132" i="6" s="1"/>
  <c r="O80" i="7"/>
  <c r="R80" i="7" s="1"/>
  <c r="AB178" i="6"/>
  <c r="AD212" i="6"/>
  <c r="Y218" i="6"/>
  <c r="Y44" i="6"/>
  <c r="AD238" i="6"/>
  <c r="U237" i="6"/>
  <c r="U85" i="6"/>
  <c r="AC97" i="6"/>
  <c r="AD30" i="6"/>
  <c r="W30" i="6" s="1"/>
  <c r="AJ30" i="6" s="1"/>
  <c r="AD171" i="6"/>
  <c r="W171" i="6" s="1"/>
  <c r="AB195" i="6"/>
  <c r="R82" i="7"/>
  <c r="AD218" i="6"/>
  <c r="W218" i="6" s="1"/>
  <c r="AJ218" i="6" s="1"/>
  <c r="Q58" i="7"/>
  <c r="R186" i="7"/>
  <c r="W59" i="6"/>
  <c r="AJ59" i="6" s="1"/>
  <c r="F156" i="8"/>
  <c r="L136" i="7"/>
  <c r="J75" i="7"/>
  <c r="F33" i="8" s="1"/>
  <c r="J23" i="7"/>
  <c r="F114" i="8" s="1"/>
  <c r="J18" i="7"/>
  <c r="F140" i="8" s="1"/>
  <c r="AD60" i="6"/>
  <c r="AC33" i="6"/>
  <c r="O217" i="7"/>
  <c r="AD146" i="6"/>
  <c r="O159" i="7"/>
  <c r="AC4" i="6"/>
  <c r="O134" i="7"/>
  <c r="Q134" i="7" s="1"/>
  <c r="Y173" i="6"/>
  <c r="U165" i="6"/>
  <c r="O115" i="7"/>
  <c r="AD10" i="6"/>
  <c r="W10" i="6" s="1"/>
  <c r="AJ10" i="6" s="1"/>
  <c r="O135" i="7"/>
  <c r="AB125" i="6"/>
  <c r="U49" i="6"/>
  <c r="U43" i="6"/>
  <c r="AE225" i="6"/>
  <c r="AG225" i="6" s="1"/>
  <c r="S225" i="7" s="1"/>
  <c r="AC61" i="6"/>
  <c r="AC72" i="6"/>
  <c r="AC100" i="6"/>
  <c r="AE219" i="6"/>
  <c r="AH219" i="6" s="1"/>
  <c r="J219" i="7"/>
  <c r="W222" i="6"/>
  <c r="AJ222" i="6" s="1"/>
  <c r="AE222" i="6"/>
  <c r="AG222" i="6" s="1"/>
  <c r="S222" i="7" s="1"/>
  <c r="Y104" i="6"/>
  <c r="U188" i="6"/>
  <c r="U160" i="6"/>
  <c r="Y138" i="6"/>
  <c r="Y72" i="6"/>
  <c r="U55" i="6"/>
  <c r="U19" i="6"/>
  <c r="U4" i="6"/>
  <c r="U104" i="6"/>
  <c r="AD83" i="6"/>
  <c r="W83" i="6" s="1"/>
  <c r="AC83" i="6"/>
  <c r="O154" i="7"/>
  <c r="AD92" i="6"/>
  <c r="W92" i="6" s="1"/>
  <c r="AJ92" i="6" s="1"/>
  <c r="O189" i="7"/>
  <c r="Q189" i="7" s="1"/>
  <c r="AC92" i="6"/>
  <c r="AD205" i="6"/>
  <c r="AC205" i="6"/>
  <c r="AD86" i="6"/>
  <c r="AC86" i="6"/>
  <c r="J117" i="7"/>
  <c r="F167" i="8" s="1"/>
  <c r="J89" i="7"/>
  <c r="F122" i="8" s="1"/>
  <c r="AD104" i="6"/>
  <c r="J221" i="7"/>
  <c r="F199" i="8" s="1"/>
  <c r="W144" i="6"/>
  <c r="AJ144" i="6" s="1"/>
  <c r="AE198" i="6"/>
  <c r="AH198" i="6" s="1"/>
  <c r="AC156" i="6"/>
  <c r="AD156" i="6"/>
  <c r="AE14" i="6"/>
  <c r="AG14" i="6" s="1"/>
  <c r="S14" i="7" s="1"/>
  <c r="W61" i="6"/>
  <c r="AJ61" i="6" s="1"/>
  <c r="AE61" i="6"/>
  <c r="AG61" i="6" s="1"/>
  <c r="S61" i="7" s="1"/>
  <c r="J61" i="7"/>
  <c r="AE199" i="6"/>
  <c r="AF199" i="6" s="1"/>
  <c r="W199" i="6"/>
  <c r="AJ199" i="6" s="1"/>
  <c r="J199" i="7"/>
  <c r="F223" i="8" s="1"/>
  <c r="W203" i="6"/>
  <c r="AJ203" i="6" s="1"/>
  <c r="J203" i="7"/>
  <c r="F228" i="8" s="1"/>
  <c r="AD153" i="6"/>
  <c r="W153" i="6" s="1"/>
  <c r="AE153" i="6" s="1"/>
  <c r="AH153" i="6" s="1"/>
  <c r="O72" i="7"/>
  <c r="R72" i="7" s="1"/>
  <c r="AC70" i="6"/>
  <c r="Y101" i="6"/>
  <c r="AD164" i="6"/>
  <c r="W164" i="6" s="1"/>
  <c r="AJ164" i="6" s="1"/>
  <c r="AC30" i="6"/>
  <c r="AE18" i="6"/>
  <c r="AG18" i="6" s="1"/>
  <c r="S18" i="7" s="1"/>
  <c r="W18" i="6"/>
  <c r="AJ18" i="6" s="1"/>
  <c r="AE60" i="6"/>
  <c r="AG60" i="6" s="1"/>
  <c r="S60" i="7" s="1"/>
  <c r="AE37" i="6"/>
  <c r="U127" i="6"/>
  <c r="W47" i="6"/>
  <c r="AJ47" i="6" s="1"/>
  <c r="AE47" i="6"/>
  <c r="U71" i="6"/>
  <c r="W77" i="6"/>
  <c r="AJ77" i="6" s="1"/>
  <c r="J77" i="7"/>
  <c r="L77" i="7" s="1"/>
  <c r="W84" i="6"/>
  <c r="AJ84" i="6" s="1"/>
  <c r="Y84" i="6"/>
  <c r="J84" i="7"/>
  <c r="U108" i="6"/>
  <c r="J145" i="7"/>
  <c r="F151" i="8" s="1"/>
  <c r="AE133" i="6"/>
  <c r="AG133" i="6" s="1"/>
  <c r="S133" i="7" s="1"/>
  <c r="W136" i="6"/>
  <c r="AJ136" i="6" s="1"/>
  <c r="AE136" i="6"/>
  <c r="AF136" i="6" s="1"/>
  <c r="AC144" i="6"/>
  <c r="AD144" i="6"/>
  <c r="AC240" i="6"/>
  <c r="O240" i="7"/>
  <c r="AC241" i="6"/>
  <c r="Y68" i="6"/>
  <c r="AD185" i="6"/>
  <c r="AD155" i="6"/>
  <c r="W155" i="6" s="1"/>
  <c r="AJ155" i="6" s="1"/>
  <c r="U13" i="6"/>
  <c r="U65" i="6"/>
  <c r="U34" i="6"/>
  <c r="U29" i="6"/>
  <c r="U32" i="6"/>
  <c r="U47" i="6"/>
  <c r="AB61" i="6"/>
  <c r="U77" i="6"/>
  <c r="U84" i="6"/>
  <c r="U141" i="6"/>
  <c r="U144" i="6"/>
  <c r="U196" i="6"/>
  <c r="U198" i="6"/>
  <c r="U219" i="6"/>
  <c r="U222" i="6"/>
  <c r="AD186" i="6"/>
  <c r="W186" i="6" s="1"/>
  <c r="AE186" i="6" s="1"/>
  <c r="AC186" i="6"/>
  <c r="O143" i="7"/>
  <c r="AD11" i="6"/>
  <c r="W11" i="6" s="1"/>
  <c r="AC11" i="6"/>
  <c r="O155" i="7"/>
  <c r="J78" i="7"/>
  <c r="F191" i="8" s="1"/>
  <c r="AD39" i="6"/>
  <c r="AD54" i="6"/>
  <c r="W54" i="6" s="1"/>
  <c r="AJ54" i="6" s="1"/>
  <c r="AC19" i="6"/>
  <c r="AC20" i="6"/>
  <c r="AC46" i="6"/>
  <c r="O119" i="7"/>
  <c r="W146" i="6"/>
  <c r="AJ146" i="6" s="1"/>
  <c r="AE146" i="6"/>
  <c r="J146" i="7"/>
  <c r="F152" i="8" s="1"/>
  <c r="O42" i="7"/>
  <c r="R42" i="7" s="1"/>
  <c r="AD42" i="6"/>
  <c r="AC45" i="6"/>
  <c r="O151" i="7"/>
  <c r="R151" i="7" s="1"/>
  <c r="O53" i="7"/>
  <c r="AD53" i="6"/>
  <c r="J184" i="7"/>
  <c r="F92" i="8" s="1"/>
  <c r="AD76" i="6"/>
  <c r="AC76" i="6"/>
  <c r="AD82" i="6"/>
  <c r="AC82" i="6"/>
  <c r="O187" i="7"/>
  <c r="O199" i="7"/>
  <c r="AC199" i="6"/>
  <c r="AC203" i="6"/>
  <c r="AD203" i="6"/>
  <c r="J241" i="7"/>
  <c r="F231" i="8" s="1"/>
  <c r="R71" i="7"/>
  <c r="O40" i="7"/>
  <c r="AD58" i="6"/>
  <c r="AD87" i="6"/>
  <c r="W87" i="6" s="1"/>
  <c r="AC87" i="6"/>
  <c r="O87" i="7"/>
  <c r="R87" i="7" s="1"/>
  <c r="O124" i="7"/>
  <c r="AC176" i="6"/>
  <c r="O22" i="7"/>
  <c r="J12" i="7"/>
  <c r="F86" i="8" s="1"/>
  <c r="J126" i="7"/>
  <c r="F157" i="8" s="1"/>
  <c r="O165" i="7"/>
  <c r="Q165" i="7" s="1"/>
  <c r="AC28" i="6"/>
  <c r="AD27" i="6"/>
  <c r="AC126" i="6"/>
  <c r="AD126" i="6"/>
  <c r="O181" i="7"/>
  <c r="AC65" i="6"/>
  <c r="AE159" i="6"/>
  <c r="AG159" i="6" s="1"/>
  <c r="S159" i="7" s="1"/>
  <c r="Y159" i="6"/>
  <c r="J159" i="7"/>
  <c r="F143" i="8" s="1"/>
  <c r="O149" i="7"/>
  <c r="AC44" i="6"/>
  <c r="AD44" i="6"/>
  <c r="W44" i="6" s="1"/>
  <c r="AJ44" i="6" s="1"/>
  <c r="AD77" i="6"/>
  <c r="O77" i="7"/>
  <c r="R77" i="7" s="1"/>
  <c r="AC213" i="6"/>
  <c r="AE220" i="6"/>
  <c r="AF220" i="6" s="1"/>
  <c r="J220" i="7"/>
  <c r="W220" i="6"/>
  <c r="AJ220" i="6" s="1"/>
  <c r="J242" i="7"/>
  <c r="F172" i="8" s="1"/>
  <c r="Y30" i="6"/>
  <c r="R122" i="7"/>
  <c r="H46" i="11" a="1"/>
  <c r="H46" i="11" s="1"/>
  <c r="O74" i="7"/>
  <c r="R74" i="7" s="1"/>
  <c r="AC89" i="6"/>
  <c r="O178" i="7"/>
  <c r="Q178" i="7" s="1"/>
  <c r="AC166" i="6"/>
  <c r="AC191" i="6"/>
  <c r="O89" i="7"/>
  <c r="AD191" i="6"/>
  <c r="W191" i="6" s="1"/>
  <c r="AJ191" i="6" s="1"/>
  <c r="O131" i="7"/>
  <c r="R131" i="7" s="1"/>
  <c r="AD125" i="6"/>
  <c r="AC125" i="6"/>
  <c r="AC35" i="6"/>
  <c r="AD40" i="6"/>
  <c r="W40" i="6" s="1"/>
  <c r="AC40" i="6"/>
  <c r="O171" i="7"/>
  <c r="O156" i="7"/>
  <c r="Q156" i="7" s="1"/>
  <c r="AD12" i="6"/>
  <c r="AC64" i="6"/>
  <c r="AD64" i="6"/>
  <c r="W64" i="6" s="1"/>
  <c r="O180" i="7"/>
  <c r="Q180" i="7" s="1"/>
  <c r="AE36" i="6"/>
  <c r="AF36" i="6" s="1"/>
  <c r="W36" i="6"/>
  <c r="AJ36" i="6" s="1"/>
  <c r="J36" i="7"/>
  <c r="F133" i="8" s="1"/>
  <c r="H45" i="11" a="1"/>
  <c r="H45" i="11" s="1"/>
  <c r="H40" i="11" a="1"/>
  <c r="H40" i="11" s="1"/>
  <c r="G17" i="11"/>
  <c r="O204" i="7"/>
  <c r="AD121" i="6"/>
  <c r="O218" i="7"/>
  <c r="AD193" i="6"/>
  <c r="W193" i="6" s="1"/>
  <c r="AJ193" i="6" s="1"/>
  <c r="O116" i="7"/>
  <c r="AC193" i="6"/>
  <c r="O148" i="7"/>
  <c r="AD120" i="6"/>
  <c r="W120" i="6" s="1"/>
  <c r="O141" i="7"/>
  <c r="AD130" i="6"/>
  <c r="W130" i="6" s="1"/>
  <c r="AE130" i="6" s="1"/>
  <c r="AH130" i="6" s="1"/>
  <c r="AC130" i="6"/>
  <c r="AD122" i="6"/>
  <c r="O215" i="7"/>
  <c r="AC122" i="6"/>
  <c r="O153" i="7"/>
  <c r="R153" i="7" s="1"/>
  <c r="AC22" i="6"/>
  <c r="AD22" i="6"/>
  <c r="AD127" i="6"/>
  <c r="AB127" i="6"/>
  <c r="AD6" i="6"/>
  <c r="O6" i="7"/>
  <c r="Q6" i="7" s="1"/>
  <c r="W38" i="6"/>
  <c r="AJ38" i="6" s="1"/>
  <c r="AE38" i="6"/>
  <c r="AH38" i="6" s="1"/>
  <c r="J38" i="7"/>
  <c r="F150" i="8" s="1"/>
  <c r="AC71" i="6"/>
  <c r="O184" i="7"/>
  <c r="AD71" i="6"/>
  <c r="AC136" i="6"/>
  <c r="O136" i="7"/>
  <c r="AD136" i="6"/>
  <c r="AD90" i="6"/>
  <c r="W90" i="6" s="1"/>
  <c r="O188" i="7"/>
  <c r="Q188" i="7" s="1"/>
  <c r="AE156" i="6"/>
  <c r="AG156" i="6" s="1"/>
  <c r="S156" i="7" s="1"/>
  <c r="AH144" i="6"/>
  <c r="AE126" i="6"/>
  <c r="AH126" i="6" s="1"/>
  <c r="W6" i="6"/>
  <c r="AJ6" i="6" s="1"/>
  <c r="Y6" i="6"/>
  <c r="W14" i="6"/>
  <c r="AJ14" i="6" s="1"/>
  <c r="Y14" i="6"/>
  <c r="W206" i="6"/>
  <c r="AJ206" i="6" s="1"/>
  <c r="AE206" i="6"/>
  <c r="AF206" i="6" s="1"/>
  <c r="Y27" i="6"/>
  <c r="Y217" i="6"/>
  <c r="Y220" i="6"/>
  <c r="Y64" i="6"/>
  <c r="Y136" i="6"/>
  <c r="Y32" i="6"/>
  <c r="AB5" i="6"/>
  <c r="Y215" i="6"/>
  <c r="R29" i="7"/>
  <c r="F8" i="8"/>
  <c r="F73" i="8"/>
  <c r="F173" i="8"/>
  <c r="F61" i="8"/>
  <c r="F54" i="8"/>
  <c r="U57" i="6"/>
  <c r="AD66" i="6"/>
  <c r="U177" i="6"/>
  <c r="U56" i="6"/>
  <c r="U232" i="6"/>
  <c r="U114" i="6"/>
  <c r="U102" i="6"/>
  <c r="U140" i="6"/>
  <c r="U223" i="6"/>
  <c r="U59" i="6"/>
  <c r="U26" i="6"/>
  <c r="U185" i="6"/>
  <c r="U209" i="6"/>
  <c r="U197" i="6"/>
  <c r="U78" i="6"/>
  <c r="U17" i="6"/>
  <c r="U139" i="6"/>
  <c r="U224" i="6"/>
  <c r="U135" i="6"/>
  <c r="U7" i="6"/>
  <c r="U92" i="6"/>
  <c r="U202" i="6"/>
  <c r="U226" i="6"/>
  <c r="U147" i="6"/>
  <c r="U103" i="6"/>
  <c r="U80" i="6"/>
  <c r="U153" i="6"/>
  <c r="AC69" i="6"/>
  <c r="U184" i="6"/>
  <c r="U173" i="6"/>
  <c r="U66" i="6"/>
  <c r="U131" i="6"/>
  <c r="U95" i="6"/>
  <c r="U83" i="6"/>
  <c r="U171" i="6"/>
  <c r="U174" i="6"/>
  <c r="U218" i="6"/>
  <c r="U167" i="6"/>
  <c r="U200" i="6"/>
  <c r="U186" i="6"/>
  <c r="P226" i="7"/>
  <c r="P42" i="7"/>
  <c r="P228" i="7"/>
  <c r="U25" i="6"/>
  <c r="U227" i="6"/>
  <c r="U191" i="6"/>
  <c r="U120" i="6"/>
  <c r="U58" i="6"/>
  <c r="U89" i="6"/>
  <c r="U229" i="6"/>
  <c r="AD97" i="6"/>
  <c r="AB42" i="6"/>
  <c r="AB120" i="6"/>
  <c r="AB8" i="6"/>
  <c r="AB9" i="6"/>
  <c r="U116" i="6"/>
  <c r="P58" i="7"/>
  <c r="P27" i="7"/>
  <c r="P171" i="7"/>
  <c r="U157" i="6"/>
  <c r="U207" i="6"/>
  <c r="X99" i="6"/>
  <c r="Y99" i="6" s="1"/>
  <c r="X65" i="6"/>
  <c r="Y65" i="6" s="1"/>
  <c r="X132" i="6"/>
  <c r="Y132" i="6" s="1"/>
  <c r="AB79" i="6"/>
  <c r="AB185" i="6"/>
  <c r="AB134" i="6"/>
  <c r="U28" i="6"/>
  <c r="U129" i="6"/>
  <c r="U38" i="6"/>
  <c r="U44" i="6"/>
  <c r="U51" i="6"/>
  <c r="U74" i="6"/>
  <c r="U76" i="6"/>
  <c r="U101" i="6"/>
  <c r="U132" i="6"/>
  <c r="AC141" i="6"/>
  <c r="U194" i="6"/>
  <c r="U201" i="6"/>
  <c r="U206" i="6"/>
  <c r="U208" i="6"/>
  <c r="U212" i="6"/>
  <c r="U220" i="6"/>
  <c r="U239" i="6"/>
  <c r="U240" i="6"/>
  <c r="U242" i="6"/>
  <c r="Y108" i="6"/>
  <c r="Y45" i="6"/>
  <c r="Y29" i="6"/>
  <c r="Y20" i="6"/>
  <c r="O48" i="7"/>
  <c r="R48" i="7" s="1"/>
  <c r="AD48" i="6"/>
  <c r="W48" i="6" s="1"/>
  <c r="AC60" i="6"/>
  <c r="O60" i="7"/>
  <c r="O37" i="7"/>
  <c r="R37" i="7" s="1"/>
  <c r="AC37" i="6"/>
  <c r="O19" i="7"/>
  <c r="R19" i="7" s="1"/>
  <c r="AD19" i="6"/>
  <c r="W19" i="6" s="1"/>
  <c r="O20" i="7"/>
  <c r="R20" i="7" s="1"/>
  <c r="AD20" i="6"/>
  <c r="O221" i="7"/>
  <c r="Q221" i="7" s="1"/>
  <c r="AD221" i="6"/>
  <c r="W221" i="6" s="1"/>
  <c r="AC221" i="6"/>
  <c r="AC67" i="6"/>
  <c r="O67" i="7"/>
  <c r="Q67" i="7" s="1"/>
  <c r="AD67" i="6"/>
  <c r="AC146" i="6"/>
  <c r="O146" i="7"/>
  <c r="R146" i="7" s="1"/>
  <c r="AD32" i="6"/>
  <c r="AC32" i="6"/>
  <c r="AD61" i="6"/>
  <c r="O61" i="7"/>
  <c r="R61" i="7" s="1"/>
  <c r="O98" i="7"/>
  <c r="Q98" i="7" s="1"/>
  <c r="AD98" i="6"/>
  <c r="AD194" i="6"/>
  <c r="AC194" i="6"/>
  <c r="O206" i="7"/>
  <c r="Q206" i="7" s="1"/>
  <c r="AC206" i="6"/>
  <c r="AD210" i="6"/>
  <c r="AC210" i="6"/>
  <c r="O210" i="7"/>
  <c r="R210" i="7" s="1"/>
  <c r="AD222" i="6"/>
  <c r="O222" i="7"/>
  <c r="Q222" i="7" s="1"/>
  <c r="O242" i="7"/>
  <c r="AC242" i="6"/>
  <c r="AD75" i="6"/>
  <c r="AC75" i="6"/>
  <c r="O18" i="7"/>
  <c r="Q18" i="7" s="1"/>
  <c r="AD18" i="6"/>
  <c r="AD190" i="6"/>
  <c r="W190" i="6" s="1"/>
  <c r="O190" i="7"/>
  <c r="O27" i="7"/>
  <c r="R27" i="7" s="1"/>
  <c r="AC27" i="6"/>
  <c r="O127" i="7"/>
  <c r="Q127" i="7" s="1"/>
  <c r="AC127" i="6"/>
  <c r="O65" i="7"/>
  <c r="R65" i="7" s="1"/>
  <c r="AD65" i="6"/>
  <c r="O235" i="7"/>
  <c r="Q235" i="7" s="1"/>
  <c r="AC235" i="6"/>
  <c r="AD235" i="6"/>
  <c r="O34" i="7"/>
  <c r="R34" i="7" s="1"/>
  <c r="AC34" i="6"/>
  <c r="AC129" i="6"/>
  <c r="O129" i="7"/>
  <c r="Q129" i="7" s="1"/>
  <c r="AD129" i="6"/>
  <c r="AC159" i="6"/>
  <c r="AD159" i="6"/>
  <c r="AD14" i="6"/>
  <c r="O14" i="7"/>
  <c r="AC36" i="6"/>
  <c r="O36" i="7"/>
  <c r="AD36" i="6"/>
  <c r="O45" i="7"/>
  <c r="AD45" i="6"/>
  <c r="W45" i="6" s="1"/>
  <c r="O104" i="7"/>
  <c r="AC104" i="6"/>
  <c r="O121" i="7"/>
  <c r="Q121" i="7" s="1"/>
  <c r="AC121" i="6"/>
  <c r="O203" i="7"/>
  <c r="R203" i="7" s="1"/>
  <c r="AH203" i="6"/>
  <c r="O208" i="7"/>
  <c r="AD208" i="6"/>
  <c r="AC211" i="6"/>
  <c r="O211" i="7"/>
  <c r="O213" i="7"/>
  <c r="Q213" i="7" s="1"/>
  <c r="AD213" i="6"/>
  <c r="AC220" i="6"/>
  <c r="O220" i="7"/>
  <c r="Q220" i="7" s="1"/>
  <c r="AC239" i="6"/>
  <c r="O239" i="7"/>
  <c r="O241" i="7"/>
  <c r="R241" i="7" s="1"/>
  <c r="AD241" i="6"/>
  <c r="H137" i="7"/>
  <c r="I137" i="7" s="1"/>
  <c r="D16" i="8" s="1"/>
  <c r="Y203" i="6"/>
  <c r="AC157" i="6"/>
  <c r="AC182" i="6"/>
  <c r="AD182" i="6"/>
  <c r="W182" i="6" s="1"/>
  <c r="AE182" i="6" s="1"/>
  <c r="AF182" i="6" s="1"/>
  <c r="O207" i="7"/>
  <c r="Q207" i="7" s="1"/>
  <c r="AD207" i="6"/>
  <c r="O179" i="7"/>
  <c r="AC179" i="6"/>
  <c r="AD232" i="6"/>
  <c r="W232" i="6" s="1"/>
  <c r="AJ232" i="6" s="1"/>
  <c r="AC232" i="6"/>
  <c r="AD160" i="6"/>
  <c r="W160" i="6" s="1"/>
  <c r="AJ160" i="6" s="1"/>
  <c r="AC160" i="6"/>
  <c r="O160" i="7"/>
  <c r="R160" i="7" s="1"/>
  <c r="Y18" i="6"/>
  <c r="W34" i="6"/>
  <c r="AJ34" i="6" s="1"/>
  <c r="J34" i="7"/>
  <c r="L34" i="7" s="1"/>
  <c r="W98" i="6"/>
  <c r="AJ98" i="6" s="1"/>
  <c r="J98" i="7"/>
  <c r="F182" i="8" s="1"/>
  <c r="J210" i="7"/>
  <c r="F245" i="8" s="1"/>
  <c r="AE210" i="6"/>
  <c r="AG210" i="6" s="1"/>
  <c r="S210" i="7" s="1"/>
  <c r="Y199" i="6"/>
  <c r="AC225" i="6"/>
  <c r="AD225" i="6"/>
  <c r="O225" i="7"/>
  <c r="R225" i="7" s="1"/>
  <c r="AD15" i="6"/>
  <c r="O15" i="7"/>
  <c r="AC38" i="6"/>
  <c r="AD38" i="6"/>
  <c r="E97" i="7"/>
  <c r="E83" i="7"/>
  <c r="Y174" i="6"/>
  <c r="AD43" i="6"/>
  <c r="AC50" i="6"/>
  <c r="U195" i="6"/>
  <c r="P193" i="7"/>
  <c r="Q226" i="7"/>
  <c r="R103" i="7"/>
  <c r="U87" i="6"/>
  <c r="X137" i="6"/>
  <c r="Y137" i="6" s="1"/>
  <c r="X94" i="6"/>
  <c r="Y94" i="6" s="1"/>
  <c r="X161" i="6"/>
  <c r="Y161" i="6" s="1"/>
  <c r="X113" i="6"/>
  <c r="Y113" i="6" s="1"/>
  <c r="X58" i="6"/>
  <c r="X202" i="6"/>
  <c r="AD200" i="6"/>
  <c r="O200" i="7"/>
  <c r="R200" i="7" s="1"/>
  <c r="AC59" i="6"/>
  <c r="AD59" i="6"/>
  <c r="AD209" i="6"/>
  <c r="O209" i="7"/>
  <c r="O142" i="7"/>
  <c r="AC142" i="6"/>
  <c r="AD228" i="6"/>
  <c r="W228" i="6" s="1"/>
  <c r="O228" i="7"/>
  <c r="R228" i="7" s="1"/>
  <c r="AD163" i="6"/>
  <c r="W163" i="6" s="1"/>
  <c r="AE163" i="6" s="1"/>
  <c r="AF163" i="6" s="1"/>
  <c r="AC163" i="6"/>
  <c r="AE33" i="6"/>
  <c r="AH33" i="6" s="1"/>
  <c r="J33" i="7"/>
  <c r="F213" i="8" s="1"/>
  <c r="W33" i="6"/>
  <c r="AJ33" i="6" s="1"/>
  <c r="AE213" i="6"/>
  <c r="AG213" i="6" s="1"/>
  <c r="S213" i="7" s="1"/>
  <c r="J213" i="7"/>
  <c r="L213" i="7" s="1"/>
  <c r="E129" i="7"/>
  <c r="H129" i="7" s="1"/>
  <c r="I129" i="7" s="1"/>
  <c r="D163" i="8" s="1"/>
  <c r="P245" i="7"/>
  <c r="P139" i="7"/>
  <c r="P184" i="7"/>
  <c r="P227" i="7"/>
  <c r="AB7" i="6"/>
  <c r="AB55" i="6"/>
  <c r="AB64" i="6"/>
  <c r="AB126" i="6"/>
  <c r="AB218" i="6"/>
  <c r="AB216" i="6"/>
  <c r="AB217" i="6"/>
  <c r="AB215" i="6"/>
  <c r="AB182" i="6"/>
  <c r="AB184" i="6"/>
  <c r="AB187" i="6"/>
  <c r="AB179" i="6"/>
  <c r="AB186" i="6"/>
  <c r="AB180" i="6"/>
  <c r="AB58" i="6"/>
  <c r="AB57" i="6"/>
  <c r="AB167" i="6"/>
  <c r="AB166" i="6"/>
  <c r="AB163" i="6"/>
  <c r="AB164" i="6"/>
  <c r="AB165" i="6"/>
  <c r="AB27" i="6"/>
  <c r="AB26" i="6"/>
  <c r="AB24" i="6"/>
  <c r="AB25" i="6"/>
  <c r="AB162" i="6"/>
  <c r="AB160" i="6"/>
  <c r="AB173" i="6"/>
  <c r="AB171" i="6"/>
  <c r="AB174" i="6"/>
  <c r="AB170" i="6"/>
  <c r="AB172" i="6"/>
  <c r="AB176" i="6"/>
  <c r="AB169" i="6"/>
  <c r="AB177" i="6"/>
  <c r="AB168" i="6"/>
  <c r="AB175" i="6"/>
  <c r="AB226" i="6"/>
  <c r="AB233" i="6"/>
  <c r="AB232" i="6"/>
  <c r="AB229" i="6"/>
  <c r="AB231" i="6"/>
  <c r="AB230" i="6"/>
  <c r="AB234" i="6"/>
  <c r="AB227" i="6"/>
  <c r="AB235" i="6"/>
  <c r="AB151" i="6"/>
  <c r="P90" i="7"/>
  <c r="P94" i="7"/>
  <c r="P61" i="7"/>
  <c r="P37" i="7"/>
  <c r="P30" i="7"/>
  <c r="Q114" i="7"/>
  <c r="P114" i="7"/>
  <c r="R114" i="7"/>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P68" i="7"/>
  <c r="R68" i="7"/>
  <c r="AD103" i="6"/>
  <c r="W103" i="6" s="1"/>
  <c r="AD79" i="6"/>
  <c r="W79" i="6" s="1"/>
  <c r="U69" i="6"/>
  <c r="AB69" i="6"/>
  <c r="AB161" i="6"/>
  <c r="AC174" i="6"/>
  <c r="AC218" i="6"/>
  <c r="AC170" i="6"/>
  <c r="AC167" i="6"/>
  <c r="AD114" i="6"/>
  <c r="W114" i="6" s="1"/>
  <c r="AE114" i="6" s="1"/>
  <c r="AG114" i="6" s="1"/>
  <c r="S114" i="7" s="1"/>
  <c r="AH237" i="6"/>
  <c r="AB102" i="6"/>
  <c r="AD143" i="6"/>
  <c r="AC155" i="6"/>
  <c r="AB140" i="6"/>
  <c r="AB99" i="6"/>
  <c r="AC185" i="6"/>
  <c r="AD172" i="6"/>
  <c r="AC58" i="6"/>
  <c r="AB89" i="6"/>
  <c r="AB87" i="6"/>
  <c r="AD229" i="6"/>
  <c r="W229" i="6" s="1"/>
  <c r="U97" i="6"/>
  <c r="AB97" i="6"/>
  <c r="AD176" i="6"/>
  <c r="AB11" i="6"/>
  <c r="AD169" i="6"/>
  <c r="U70" i="6"/>
  <c r="AD70" i="6"/>
  <c r="W70" i="6" s="1"/>
  <c r="AJ70" i="6" s="1"/>
  <c r="AD166" i="6"/>
  <c r="W166" i="6" s="1"/>
  <c r="AE166" i="6" s="1"/>
  <c r="AG166" i="6" s="1"/>
  <c r="S166" i="7" s="1"/>
  <c r="AB107" i="6"/>
  <c r="AB56" i="6"/>
  <c r="AB142" i="6"/>
  <c r="AB228" i="6"/>
  <c r="AD63" i="6"/>
  <c r="W63" i="6" s="1"/>
  <c r="AJ63" i="6" s="1"/>
  <c r="AB236" i="6"/>
  <c r="AC138" i="6"/>
  <c r="AD5" i="6"/>
  <c r="W5" i="6" s="1"/>
  <c r="AB150" i="6"/>
  <c r="AB192" i="6"/>
  <c r="AC91" i="6"/>
  <c r="AD128" i="6"/>
  <c r="W128" i="6" s="1"/>
  <c r="AE128" i="6" s="1"/>
  <c r="AG128" i="6" s="1"/>
  <c r="S128" i="7"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E173" i="6" s="1"/>
  <c r="AF173" i="6" s="1"/>
  <c r="AC171" i="6"/>
  <c r="AB90" i="6"/>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Y187" i="6"/>
  <c r="J171" i="7"/>
  <c r="F71" i="8" s="1"/>
  <c r="Y171" i="6"/>
  <c r="AC81" i="6"/>
  <c r="AD81" i="6"/>
  <c r="W81" i="6" s="1"/>
  <c r="AE81" i="6" s="1"/>
  <c r="AG81" i="6" s="1"/>
  <c r="S81" i="7" s="1"/>
  <c r="J59" i="7"/>
  <c r="L59" i="7" s="1"/>
  <c r="AE59" i="6"/>
  <c r="AF59" i="6" s="1"/>
  <c r="J229" i="7"/>
  <c r="F60" i="8" s="1"/>
  <c r="Y229" i="6"/>
  <c r="AD188" i="6"/>
  <c r="AC188" i="6"/>
  <c r="AB188" i="6"/>
  <c r="AD197" i="6"/>
  <c r="AC197" i="6"/>
  <c r="AD96" i="6"/>
  <c r="AB96" i="6"/>
  <c r="AC180" i="6"/>
  <c r="AD180" i="6"/>
  <c r="AC149" i="6"/>
  <c r="AB149" i="6"/>
  <c r="AC151" i="6"/>
  <c r="AD151" i="6"/>
  <c r="AD9" i="6"/>
  <c r="W9" i="6" s="1"/>
  <c r="AE9" i="6" s="1"/>
  <c r="AG9" i="6" s="1"/>
  <c r="S9" i="7" s="1"/>
  <c r="AC9" i="6"/>
  <c r="J9" i="7"/>
  <c r="Y9" i="6"/>
  <c r="Y205" i="6"/>
  <c r="J205" i="7"/>
  <c r="J25" i="7"/>
  <c r="F77" i="8" s="1"/>
  <c r="Y25" i="6"/>
  <c r="AB23" i="6"/>
  <c r="AC23" i="6"/>
  <c r="J193" i="7"/>
  <c r="Y193" i="6"/>
  <c r="J120" i="7"/>
  <c r="F126" i="8" s="1"/>
  <c r="Y120" i="6"/>
  <c r="AC49" i="6"/>
  <c r="AB49" i="6"/>
  <c r="J31" i="7"/>
  <c r="F136" i="8" s="1"/>
  <c r="Y31" i="6"/>
  <c r="AB13" i="6"/>
  <c r="AC13" i="6"/>
  <c r="J66" i="7"/>
  <c r="W66" i="6"/>
  <c r="AJ66" i="6" s="1"/>
  <c r="AE66" i="6"/>
  <c r="AH66" i="6" s="1"/>
  <c r="AB109" i="6"/>
  <c r="AC109" i="6"/>
  <c r="AD109" i="6"/>
  <c r="W109" i="6" s="1"/>
  <c r="AJ109" i="6" s="1"/>
  <c r="AD95" i="6"/>
  <c r="AC95" i="6"/>
  <c r="AB95" i="6"/>
  <c r="AB94" i="6"/>
  <c r="AD94" i="6"/>
  <c r="Y224" i="6"/>
  <c r="J224" i="7"/>
  <c r="F118" i="8" s="1"/>
  <c r="AD7" i="6"/>
  <c r="AC7" i="6"/>
  <c r="AE238" i="6"/>
  <c r="AH238" i="6" s="1"/>
  <c r="J238" i="7"/>
  <c r="W238" i="6"/>
  <c r="AJ238" i="6" s="1"/>
  <c r="AD152" i="6"/>
  <c r="W152" i="6" s="1"/>
  <c r="AC152" i="6"/>
  <c r="AB152" i="6"/>
  <c r="AC113" i="6"/>
  <c r="AD113" i="6"/>
  <c r="J155" i="7"/>
  <c r="F81" i="8" s="1"/>
  <c r="Y155" i="6"/>
  <c r="AC223" i="6"/>
  <c r="AB223" i="6"/>
  <c r="AD223" i="6"/>
  <c r="AD26" i="6"/>
  <c r="AC26" i="6"/>
  <c r="J99" i="7"/>
  <c r="F183" i="8" s="1"/>
  <c r="AE99" i="6"/>
  <c r="AH99" i="6" s="1"/>
  <c r="AB68" i="6"/>
  <c r="AC68" i="6"/>
  <c r="AC85" i="6"/>
  <c r="AB85" i="6"/>
  <c r="AE209" i="6"/>
  <c r="AH209" i="6" s="1"/>
  <c r="W209" i="6"/>
  <c r="AJ209" i="6" s="1"/>
  <c r="Y209" i="6"/>
  <c r="AD177" i="6"/>
  <c r="W177" i="6" s="1"/>
  <c r="AE177" i="6" s="1"/>
  <c r="AF177" i="6" s="1"/>
  <c r="AC177" i="6"/>
  <c r="AD116" i="6"/>
  <c r="W116" i="6" s="1"/>
  <c r="AE116" i="6" s="1"/>
  <c r="AG116" i="6" s="1"/>
  <c r="S116" i="7" s="1"/>
  <c r="AC116" i="6"/>
  <c r="AD154" i="6"/>
  <c r="AC154" i="6"/>
  <c r="AE158" i="6"/>
  <c r="AG158" i="6" s="1"/>
  <c r="S158" i="7" s="1"/>
  <c r="W158" i="6"/>
  <c r="AJ158" i="6" s="1"/>
  <c r="H38" i="11" a="1"/>
  <c r="H38" i="11" s="1"/>
  <c r="H39" i="11" a="1"/>
  <c r="H39" i="11" s="1"/>
  <c r="H42" i="11" a="1"/>
  <c r="H42" i="11" s="1"/>
  <c r="AC12" i="6"/>
  <c r="M13" i="11"/>
  <c r="AC169" i="6"/>
  <c r="AC229" i="6"/>
  <c r="H41" i="11" a="1"/>
  <c r="H41" i="11" s="1"/>
  <c r="AE78" i="6"/>
  <c r="AF78" i="6" s="1"/>
  <c r="AD89" i="6"/>
  <c r="AC79" i="6"/>
  <c r="Y135" i="6"/>
  <c r="AE207" i="6"/>
  <c r="AG207" i="6" s="1"/>
  <c r="S207" i="7" s="1"/>
  <c r="Y216" i="6"/>
  <c r="Y13" i="6"/>
  <c r="AC57" i="6"/>
  <c r="Y170" i="6"/>
  <c r="W99" i="6"/>
  <c r="AJ99" i="6" s="1"/>
  <c r="AD170" i="6"/>
  <c r="W170" i="6" s="1"/>
  <c r="AE170" i="6" s="1"/>
  <c r="AF170" i="6" s="1"/>
  <c r="AD184" i="6"/>
  <c r="AC173" i="6"/>
  <c r="J158" i="7"/>
  <c r="L158" i="7" s="1"/>
  <c r="AD91" i="6"/>
  <c r="AC114" i="6"/>
  <c r="AD149" i="6"/>
  <c r="AB70" i="6"/>
  <c r="AB81" i="6"/>
  <c r="H50" i="11" a="1"/>
  <c r="H50" i="11" s="1"/>
  <c r="Y226" i="6"/>
  <c r="AC56" i="6"/>
  <c r="AD8" i="6"/>
  <c r="AC41" i="6"/>
  <c r="AB41" i="6"/>
  <c r="AD135" i="6"/>
  <c r="W135" i="6" s="1"/>
  <c r="AE135" i="6" s="1"/>
  <c r="AF135" i="6" s="1"/>
  <c r="AB135" i="6"/>
  <c r="AC135" i="6"/>
  <c r="AC88" i="6"/>
  <c r="AD88" i="6"/>
  <c r="AB88" i="6"/>
  <c r="AC202" i="6"/>
  <c r="AD202" i="6"/>
  <c r="AC226" i="6"/>
  <c r="AD226" i="6"/>
  <c r="W226" i="6" s="1"/>
  <c r="AJ226" i="6" s="1"/>
  <c r="AD233" i="6"/>
  <c r="AC233" i="6"/>
  <c r="W237" i="6"/>
  <c r="AJ237" i="6" s="1"/>
  <c r="J237" i="7"/>
  <c r="L237" i="7" s="1"/>
  <c r="AC143" i="6"/>
  <c r="AB143" i="6"/>
  <c r="AD119" i="6"/>
  <c r="AB119" i="6"/>
  <c r="AD134" i="6"/>
  <c r="AC134" i="6"/>
  <c r="AC148" i="6"/>
  <c r="AD148" i="6"/>
  <c r="W148" i="6" s="1"/>
  <c r="AD137" i="6"/>
  <c r="AC137" i="6"/>
  <c r="AB137" i="6"/>
  <c r="J177" i="7"/>
  <c r="F70" i="8" s="1"/>
  <c r="Y177" i="6"/>
  <c r="J142" i="7"/>
  <c r="F93" i="8" s="1"/>
  <c r="Y142" i="6"/>
  <c r="AD231" i="6"/>
  <c r="W231" i="6" s="1"/>
  <c r="AJ231" i="6" s="1"/>
  <c r="AC231" i="6"/>
  <c r="Y231" i="6"/>
  <c r="J231" i="7"/>
  <c r="J5" i="7"/>
  <c r="F39" i="8" s="1"/>
  <c r="H51" i="11" a="1"/>
  <c r="H51" i="11" s="1"/>
  <c r="H34" i="11" a="1"/>
  <c r="H34" i="11" s="1"/>
  <c r="J163" i="7"/>
  <c r="F11" i="8" s="1"/>
  <c r="Y163" i="6"/>
  <c r="J128" i="7"/>
  <c r="F56" i="8" s="1"/>
  <c r="Y128" i="6"/>
  <c r="J124" i="7"/>
  <c r="Y124" i="6"/>
  <c r="J10" i="7"/>
  <c r="F94" i="8" s="1"/>
  <c r="Y10" i="6"/>
  <c r="Y55" i="6"/>
  <c r="Y214" i="6"/>
  <c r="Y81" i="6"/>
  <c r="Y79" i="6"/>
  <c r="Y109" i="6"/>
  <c r="Y114" i="6"/>
  <c r="D5" i="11" a="1"/>
  <c r="D5" i="11" s="1"/>
  <c r="Y167" i="6"/>
  <c r="Y153" i="6"/>
  <c r="H44" i="11" a="1"/>
  <c r="H44" i="11" s="1"/>
  <c r="J9" i="11" a="1"/>
  <c r="J9" i="11" s="1"/>
  <c r="H35" i="11" a="1"/>
  <c r="H35" i="11" s="1"/>
  <c r="H43" i="11" a="1"/>
  <c r="H43" i="11" s="1"/>
  <c r="G5" i="11" a="1"/>
  <c r="G5" i="11" s="1"/>
  <c r="H47" i="11" a="1"/>
  <c r="H47" i="11" s="1"/>
  <c r="AD85" i="6"/>
  <c r="W85" i="6" s="1"/>
  <c r="AB50" i="6"/>
  <c r="Y116" i="6"/>
  <c r="Y40" i="6"/>
  <c r="Y85" i="6"/>
  <c r="AD23" i="6"/>
  <c r="W207" i="6"/>
  <c r="AJ207" i="6" s="1"/>
  <c r="AC21" i="6"/>
  <c r="AB197" i="6"/>
  <c r="AB106" i="6"/>
  <c r="AB113" i="6"/>
  <c r="AD102" i="6"/>
  <c r="AD56" i="6"/>
  <c r="W56" i="6" s="1"/>
  <c r="AE56" i="6" s="1"/>
  <c r="AC119" i="6"/>
  <c r="AD68" i="6"/>
  <c r="W68" i="6" s="1"/>
  <c r="AJ68" i="6" s="1"/>
  <c r="AC5" i="6"/>
  <c r="AB17" i="6"/>
  <c r="AC128" i="6"/>
  <c r="H212" i="7"/>
  <c r="I212" i="7" s="1"/>
  <c r="D226" i="8" s="1"/>
  <c r="W107" i="6"/>
  <c r="AJ107" i="6" s="1"/>
  <c r="H69" i="7"/>
  <c r="H172" i="7"/>
  <c r="I172" i="7" s="1"/>
  <c r="D53" i="8" s="1"/>
  <c r="H203" i="7"/>
  <c r="H176" i="7"/>
  <c r="E102" i="8" s="1"/>
  <c r="G102" i="8" s="1"/>
  <c r="H14" i="7"/>
  <c r="E195" i="8" s="1"/>
  <c r="G195" i="8" s="1"/>
  <c r="H112" i="7"/>
  <c r="Y56" i="6"/>
  <c r="Y5" i="6"/>
  <c r="H185" i="7"/>
  <c r="Y130" i="6"/>
  <c r="U128" i="6"/>
  <c r="U156" i="6"/>
  <c r="U73" i="6"/>
  <c r="AB48" i="6"/>
  <c r="AB37" i="6"/>
  <c r="AB44" i="6"/>
  <c r="AB45" i="6"/>
  <c r="AD74" i="6"/>
  <c r="W74" i="6" s="1"/>
  <c r="H180" i="7"/>
  <c r="I180" i="7" s="1"/>
  <c r="D38" i="8" s="1"/>
  <c r="AD138" i="6"/>
  <c r="W138" i="6" s="1"/>
  <c r="AJ138" i="6" s="1"/>
  <c r="AC150" i="6"/>
  <c r="AC39" i="6"/>
  <c r="AD4" i="6"/>
  <c r="H66" i="7"/>
  <c r="I66" i="7" s="1"/>
  <c r="D204" i="8" s="1"/>
  <c r="H167" i="7"/>
  <c r="L167" i="7" s="1"/>
  <c r="H225" i="7"/>
  <c r="I225" i="7" s="1"/>
  <c r="D225" i="8" s="1"/>
  <c r="U183" i="6"/>
  <c r="U175" i="6"/>
  <c r="H169" i="7"/>
  <c r="U90" i="6"/>
  <c r="AB114" i="6"/>
  <c r="AC102" i="6"/>
  <c r="R144" i="7"/>
  <c r="R139" i="7"/>
  <c r="AH145" i="6"/>
  <c r="AF145" i="6"/>
  <c r="R54" i="7"/>
  <c r="P127" i="7"/>
  <c r="R58" i="7"/>
  <c r="R91" i="7"/>
  <c r="R126" i="7"/>
  <c r="X41" i="6"/>
  <c r="Y41" i="6" s="1"/>
  <c r="X106" i="6"/>
  <c r="Y106" i="6" s="1"/>
  <c r="X8" i="6"/>
  <c r="Y8" i="6" s="1"/>
  <c r="X7" i="6"/>
  <c r="Y7" i="6" s="1"/>
  <c r="X88" i="6"/>
  <c r="Y88" i="6" s="1"/>
  <c r="X207" i="6"/>
  <c r="Y207" i="6" s="1"/>
  <c r="X62" i="6"/>
  <c r="Y62" i="6" s="1"/>
  <c r="X95" i="6"/>
  <c r="Y95" i="6" s="1"/>
  <c r="X26" i="6"/>
  <c r="Y26" i="6" s="1"/>
  <c r="X23" i="6"/>
  <c r="Y23" i="6" s="1"/>
  <c r="X39" i="6"/>
  <c r="X97" i="6"/>
  <c r="Y97" i="6" s="1"/>
  <c r="X105" i="6"/>
  <c r="Y105" i="6" s="1"/>
  <c r="X71" i="6"/>
  <c r="Y71" i="6" s="1"/>
  <c r="X15" i="6"/>
  <c r="Y15" i="6" s="1"/>
  <c r="X227" i="6"/>
  <c r="Y227" i="6" s="1"/>
  <c r="X213" i="6"/>
  <c r="Y213" i="6" s="1"/>
  <c r="X211" i="6"/>
  <c r="Y211" i="6" s="1"/>
  <c r="X198" i="6"/>
  <c r="Y198" i="6" s="1"/>
  <c r="X183" i="6"/>
  <c r="X180" i="6"/>
  <c r="Y180" i="6" s="1"/>
  <c r="X166" i="6"/>
  <c r="Y166" i="6" s="1"/>
  <c r="X162" i="6"/>
  <c r="Y162" i="6" s="1"/>
  <c r="X126" i="6"/>
  <c r="Y126" i="6" s="1"/>
  <c r="X118" i="6"/>
  <c r="Y118" i="6" s="1"/>
  <c r="X111" i="6"/>
  <c r="X91" i="6"/>
  <c r="Y91" i="6" s="1"/>
  <c r="X86" i="6"/>
  <c r="Y86" i="6" s="1"/>
  <c r="X70" i="6"/>
  <c r="Y70" i="6" s="1"/>
  <c r="X67" i="6"/>
  <c r="Y67" i="6" s="1"/>
  <c r="X60" i="6"/>
  <c r="Y60" i="6" s="1"/>
  <c r="X52" i="6"/>
  <c r="Y52" i="6" s="1"/>
  <c r="X50" i="6"/>
  <c r="Y50" i="6" s="1"/>
  <c r="AD147" i="6"/>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U110" i="6"/>
  <c r="U111" i="6"/>
  <c r="U112" i="6"/>
  <c r="U117" i="6"/>
  <c r="AD117" i="6"/>
  <c r="W117" i="6" s="1"/>
  <c r="AE117" i="6" s="1"/>
  <c r="AH117" i="6" s="1"/>
  <c r="U118" i="6"/>
  <c r="U133" i="6"/>
  <c r="U136" i="6"/>
  <c r="AD141" i="6"/>
  <c r="W141" i="6" s="1"/>
  <c r="AE141" i="6" s="1"/>
  <c r="AG141" i="6" s="1"/>
  <c r="S141" i="7" s="1"/>
  <c r="U145" i="6"/>
  <c r="U203" i="6"/>
  <c r="U213" i="6"/>
  <c r="J150" i="7"/>
  <c r="F62" i="8" s="1"/>
  <c r="Y150" i="6"/>
  <c r="J73" i="7"/>
  <c r="F76" i="8" s="1"/>
  <c r="AC183" i="6"/>
  <c r="AD183" i="6"/>
  <c r="AD124" i="6"/>
  <c r="W124" i="6" s="1"/>
  <c r="AJ124" i="6" s="1"/>
  <c r="AC124" i="6"/>
  <c r="AC175" i="6"/>
  <c r="O175" i="7"/>
  <c r="AC230" i="6"/>
  <c r="O230" i="7"/>
  <c r="R230" i="7" s="1"/>
  <c r="AD217" i="6"/>
  <c r="W217" i="6" s="1"/>
  <c r="AE217" i="6" s="1"/>
  <c r="AH217" i="6" s="1"/>
  <c r="AC217" i="6"/>
  <c r="R23" i="7"/>
  <c r="Q23" i="7"/>
  <c r="R191" i="7"/>
  <c r="Q191" i="7"/>
  <c r="Q35" i="7"/>
  <c r="R35" i="7"/>
  <c r="O93" i="7"/>
  <c r="AC93" i="6"/>
  <c r="AD93" i="6"/>
  <c r="O49" i="7"/>
  <c r="AD49" i="6"/>
  <c r="W49" i="6" s="1"/>
  <c r="AE49" i="6" s="1"/>
  <c r="AG49" i="6" s="1"/>
  <c r="S49" i="7" s="1"/>
  <c r="R30" i="7"/>
  <c r="Q30" i="7"/>
  <c r="Q64" i="7"/>
  <c r="R64" i="7"/>
  <c r="AD50" i="6"/>
  <c r="W50" i="6" s="1"/>
  <c r="AE50" i="6" s="1"/>
  <c r="AH50" i="6" s="1"/>
  <c r="O50" i="7"/>
  <c r="AB28" i="6"/>
  <c r="AD28" i="6"/>
  <c r="W28" i="6" s="1"/>
  <c r="AB18" i="6"/>
  <c r="AC18" i="6"/>
  <c r="AD16" i="6"/>
  <c r="AC16" i="6"/>
  <c r="O46" i="7"/>
  <c r="Q46" i="7" s="1"/>
  <c r="AD46" i="6"/>
  <c r="W46" i="6" s="1"/>
  <c r="AJ46" i="6" s="1"/>
  <c r="AD33" i="6"/>
  <c r="J4" i="7"/>
  <c r="F112" i="8" s="1"/>
  <c r="H37" i="11" a="1"/>
  <c r="H37" i="11" s="1"/>
  <c r="H48" i="11" a="1"/>
  <c r="H48" i="11" s="1"/>
  <c r="AE6" i="6"/>
  <c r="AF6" i="6" s="1"/>
  <c r="J6" i="7"/>
  <c r="W32" i="6"/>
  <c r="AJ32" i="6" s="1"/>
  <c r="J32" i="7"/>
  <c r="AE32" i="6"/>
  <c r="AG32" i="6" s="1"/>
  <c r="S32" i="7" s="1"/>
  <c r="L47" i="7"/>
  <c r="F145" i="8"/>
  <c r="AB63" i="6"/>
  <c r="AC63" i="6"/>
  <c r="AC236" i="6"/>
  <c r="AD236" i="6"/>
  <c r="W236" i="6" s="1"/>
  <c r="AE236" i="6" s="1"/>
  <c r="AH236" i="6" s="1"/>
  <c r="AC168" i="6"/>
  <c r="AD168" i="6"/>
  <c r="AC55" i="6"/>
  <c r="AD55" i="6"/>
  <c r="W55" i="6" s="1"/>
  <c r="AD24" i="6"/>
  <c r="AC24" i="6"/>
  <c r="AC162" i="6"/>
  <c r="AD162" i="6"/>
  <c r="W162" i="6" s="1"/>
  <c r="O162" i="7"/>
  <c r="Q162" i="7" s="1"/>
  <c r="AE205" i="6"/>
  <c r="AG205" i="6" s="1"/>
  <c r="S205" i="7" s="1"/>
  <c r="W205" i="6"/>
  <c r="AJ205" i="6" s="1"/>
  <c r="J115" i="7"/>
  <c r="F5" i="8" s="1"/>
  <c r="J175" i="7"/>
  <c r="F84" i="8" s="1"/>
  <c r="Y175" i="6"/>
  <c r="J60" i="7"/>
  <c r="W60" i="6"/>
  <c r="AJ60" i="6" s="1"/>
  <c r="J37" i="7"/>
  <c r="W37" i="6"/>
  <c r="AJ37" i="6" s="1"/>
  <c r="Y19" i="6"/>
  <c r="J19" i="7"/>
  <c r="F209" i="8" s="1"/>
  <c r="AC51" i="6"/>
  <c r="O51" i="7"/>
  <c r="AD51" i="6"/>
  <c r="W156" i="6"/>
  <c r="AJ156" i="6" s="1"/>
  <c r="J156" i="7"/>
  <c r="F59" i="8" s="1"/>
  <c r="J162" i="7"/>
  <c r="F28" i="8" s="1"/>
  <c r="AD115" i="6"/>
  <c r="AC115" i="6"/>
  <c r="AD123" i="6"/>
  <c r="W123" i="6" s="1"/>
  <c r="AJ123" i="6" s="1"/>
  <c r="O123" i="7"/>
  <c r="AD178" i="6"/>
  <c r="W178" i="6" s="1"/>
  <c r="AE178" i="6" s="1"/>
  <c r="AH178" i="6" s="1"/>
  <c r="AC178" i="6"/>
  <c r="AC25" i="6"/>
  <c r="AD25" i="6"/>
  <c r="W25" i="6" s="1"/>
  <c r="AJ25" i="6" s="1"/>
  <c r="O164" i="7"/>
  <c r="AC164" i="6"/>
  <c r="O10" i="7"/>
  <c r="AC10" i="6"/>
  <c r="O227" i="7"/>
  <c r="AD227" i="6"/>
  <c r="O120" i="7"/>
  <c r="AC120" i="6"/>
  <c r="AC181" i="6"/>
  <c r="AD181" i="6"/>
  <c r="W181" i="6" s="1"/>
  <c r="AE181" i="6" s="1"/>
  <c r="AH181" i="6" s="1"/>
  <c r="O31" i="7"/>
  <c r="R31" i="7" s="1"/>
  <c r="AD31" i="6"/>
  <c r="W31" i="6" s="1"/>
  <c r="AC31" i="6"/>
  <c r="O43" i="7"/>
  <c r="AC43" i="6"/>
  <c r="AB54" i="6"/>
  <c r="AC54" i="6"/>
  <c r="W225" i="6"/>
  <c r="AJ225" i="6" s="1"/>
  <c r="J225" i="7"/>
  <c r="F225" i="8" s="1"/>
  <c r="AE42" i="6"/>
  <c r="AG42" i="6" s="1"/>
  <c r="S42" i="7" s="1"/>
  <c r="W42" i="6"/>
  <c r="AJ42" i="6" s="1"/>
  <c r="AD216" i="6"/>
  <c r="W216" i="6" s="1"/>
  <c r="AE216" i="6" s="1"/>
  <c r="AG216" i="6" s="1"/>
  <c r="S216" i="7" s="1"/>
  <c r="AC216" i="6"/>
  <c r="AD215" i="6"/>
  <c r="W215" i="6" s="1"/>
  <c r="AE215" i="6" s="1"/>
  <c r="AG215" i="6" s="1"/>
  <c r="S215" i="7" s="1"/>
  <c r="AC215" i="6"/>
  <c r="J28" i="7"/>
  <c r="F216" i="8" s="1"/>
  <c r="Y28" i="6"/>
  <c r="J27" i="7"/>
  <c r="L27" i="7" s="1"/>
  <c r="AE27" i="6"/>
  <c r="AH27" i="6" s="1"/>
  <c r="W127" i="6"/>
  <c r="AJ127" i="6" s="1"/>
  <c r="AE127" i="6"/>
  <c r="AH127" i="6" s="1"/>
  <c r="J127" i="7"/>
  <c r="F103" i="8" s="1"/>
  <c r="AD52" i="6"/>
  <c r="AC52" i="6"/>
  <c r="O52" i="7"/>
  <c r="AH77" i="6"/>
  <c r="AF77" i="6"/>
  <c r="AC98" i="6"/>
  <c r="AD84" i="6"/>
  <c r="AC84" i="6"/>
  <c r="O84" i="7"/>
  <c r="R84" i="7" s="1"/>
  <c r="O100" i="7"/>
  <c r="AD100" i="6"/>
  <c r="AC101" i="6"/>
  <c r="AD101" i="6"/>
  <c r="W101" i="6" s="1"/>
  <c r="AJ101" i="6" s="1"/>
  <c r="O105" i="7"/>
  <c r="R105" i="7" s="1"/>
  <c r="AC105" i="6"/>
  <c r="O108" i="7"/>
  <c r="R108" i="7" s="1"/>
  <c r="AD108" i="6"/>
  <c r="W108" i="6" s="1"/>
  <c r="AJ108" i="6" s="1"/>
  <c r="O111" i="7"/>
  <c r="AC111" i="6"/>
  <c r="AD111" i="6"/>
  <c r="O112" i="7"/>
  <c r="Q112" i="7" s="1"/>
  <c r="AC112" i="6"/>
  <c r="AC118" i="6"/>
  <c r="O118" i="7"/>
  <c r="R118" i="7" s="1"/>
  <c r="AD118" i="6"/>
  <c r="AC132" i="6"/>
  <c r="AD132" i="6"/>
  <c r="O133" i="7"/>
  <c r="Q133" i="7" s="1"/>
  <c r="AC133" i="6"/>
  <c r="AD133" i="6"/>
  <c r="AD145" i="6"/>
  <c r="AC145" i="6"/>
  <c r="O145" i="7"/>
  <c r="R145" i="7" s="1"/>
  <c r="AC196" i="6"/>
  <c r="AD196" i="6"/>
  <c r="O196" i="7"/>
  <c r="AD198" i="6"/>
  <c r="O198" i="7"/>
  <c r="R198" i="7" s="1"/>
  <c r="AC201" i="6"/>
  <c r="AD201" i="6"/>
  <c r="O201" i="7"/>
  <c r="AD219" i="6"/>
  <c r="AC219" i="6"/>
  <c r="O219" i="7"/>
  <c r="Q219" i="7" s="1"/>
  <c r="AH104" i="6"/>
  <c r="AD112" i="6"/>
  <c r="AD105" i="6"/>
  <c r="O101" i="7"/>
  <c r="R101" i="7" s="1"/>
  <c r="W80" i="6"/>
  <c r="AJ80" i="6" s="1"/>
  <c r="AE80" i="6"/>
  <c r="AG80" i="6" s="1"/>
  <c r="S80" i="7" s="1"/>
  <c r="J80" i="7"/>
  <c r="AD140" i="6"/>
  <c r="W140" i="6" s="1"/>
  <c r="O140" i="7"/>
  <c r="R140" i="7" s="1"/>
  <c r="H7" i="7"/>
  <c r="E215" i="8" s="1"/>
  <c r="G215" i="8" s="1"/>
  <c r="H80" i="7"/>
  <c r="E220" i="8" s="1"/>
  <c r="G220" i="8" s="1"/>
  <c r="O106" i="7"/>
  <c r="AC106" i="6"/>
  <c r="AB138" i="6"/>
  <c r="U163" i="6"/>
  <c r="E213" i="7"/>
  <c r="Y237" i="6"/>
  <c r="AC62" i="6"/>
  <c r="AC147" i="6"/>
  <c r="AC172" i="6"/>
  <c r="Y221" i="6"/>
  <c r="F195" i="8"/>
  <c r="L14" i="7"/>
  <c r="H93" i="7"/>
  <c r="E130" i="8" s="1"/>
  <c r="G130" i="8" s="1"/>
  <c r="H130" i="7"/>
  <c r="E120" i="8" s="1"/>
  <c r="G120" i="8" s="1"/>
  <c r="AG203" i="6"/>
  <c r="S203" i="7" s="1"/>
  <c r="AF203" i="6"/>
  <c r="AD41" i="6"/>
  <c r="W41" i="6" s="1"/>
  <c r="AJ41" i="6" s="1"/>
  <c r="AC131" i="6"/>
  <c r="U30" i="6"/>
  <c r="AD174" i="6"/>
  <c r="W174" i="6" s="1"/>
  <c r="AE174" i="6" s="1"/>
  <c r="H116" i="7"/>
  <c r="I116" i="7" s="1"/>
  <c r="D106" i="8" s="1"/>
  <c r="U14" i="6"/>
  <c r="E171" i="8"/>
  <c r="G171" i="8" s="1"/>
  <c r="AC17" i="6"/>
  <c r="AD139" i="6"/>
  <c r="AC94" i="6"/>
  <c r="AC103" i="6"/>
  <c r="AD167" i="6"/>
  <c r="W167" i="6" s="1"/>
  <c r="H36" i="11" a="1"/>
  <c r="H36" i="11" s="1"/>
  <c r="U105" i="6"/>
  <c r="AD204" i="6"/>
  <c r="W204" i="6" s="1"/>
  <c r="AD150" i="6"/>
  <c r="W150" i="6" s="1"/>
  <c r="U24" i="6"/>
  <c r="U64" i="6"/>
  <c r="Y190" i="6"/>
  <c r="H35" i="7"/>
  <c r="E128" i="8" s="1"/>
  <c r="G128" i="8" s="1"/>
  <c r="Q103" i="7"/>
  <c r="H89" i="7"/>
  <c r="H208" i="7"/>
  <c r="H90" i="7"/>
  <c r="I90" i="7" s="1"/>
  <c r="D154" i="8" s="1"/>
  <c r="AE214" i="6"/>
  <c r="AF214" i="6" s="1"/>
  <c r="J214" i="7"/>
  <c r="F117" i="8" s="1"/>
  <c r="AE161" i="6"/>
  <c r="J161" i="7"/>
  <c r="F40" i="8" s="1"/>
  <c r="AD47" i="6"/>
  <c r="O47" i="7"/>
  <c r="Q47" i="7" s="1"/>
  <c r="H195" i="7"/>
  <c r="E134" i="8" s="1"/>
  <c r="G134" i="8" s="1"/>
  <c r="F230" i="8"/>
  <c r="L207" i="7"/>
  <c r="O117" i="7"/>
  <c r="AC117" i="6"/>
  <c r="O195" i="7"/>
  <c r="Q195" i="7" s="1"/>
  <c r="AD195" i="6"/>
  <c r="H144" i="7"/>
  <c r="I144" i="7" s="1"/>
  <c r="D149" i="8" s="1"/>
  <c r="H46" i="7"/>
  <c r="E98" i="8" s="1"/>
  <c r="G98" i="8" s="1"/>
  <c r="H151" i="7"/>
  <c r="E121" i="8" s="1"/>
  <c r="G121" i="8" s="1"/>
  <c r="H96" i="7"/>
  <c r="L96" i="7" s="1"/>
  <c r="H56" i="7"/>
  <c r="I56" i="7" s="1"/>
  <c r="D82" i="8" s="1"/>
  <c r="H140" i="7"/>
  <c r="I140" i="7" s="1"/>
  <c r="D116" i="8" s="1"/>
  <c r="H126" i="7"/>
  <c r="E157" i="8" s="1"/>
  <c r="G157" i="8" s="1"/>
  <c r="O163" i="7"/>
  <c r="Q163" i="7" s="1"/>
  <c r="AD206" i="6"/>
  <c r="AC14" i="6"/>
  <c r="AC29" i="6"/>
  <c r="J105" i="7"/>
  <c r="W27" i="6"/>
  <c r="AJ27" i="6" s="1"/>
  <c r="AD73" i="6"/>
  <c r="AC207" i="6"/>
  <c r="AD131" i="6"/>
  <c r="AD21" i="6"/>
  <c r="W21" i="6" s="1"/>
  <c r="O32" i="7"/>
  <c r="Q32" i="7" s="1"/>
  <c r="AC47" i="6"/>
  <c r="W73" i="6"/>
  <c r="AJ73" i="6" s="1"/>
  <c r="AE73" i="6"/>
  <c r="AH73" i="6" s="1"/>
  <c r="AC96" i="6"/>
  <c r="AC123" i="6"/>
  <c r="AD29" i="6"/>
  <c r="W29" i="6" s="1"/>
  <c r="AD110" i="6"/>
  <c r="O110" i="7"/>
  <c r="R110" i="7" s="1"/>
  <c r="H238" i="7"/>
  <c r="I238" i="7" s="1"/>
  <c r="D113" i="8" s="1"/>
  <c r="R168" i="7"/>
  <c r="R94" i="7"/>
  <c r="Q94" i="7"/>
  <c r="F35" i="8"/>
  <c r="AG237" i="6"/>
  <c r="S237" i="7" s="1"/>
  <c r="Q132" i="7"/>
  <c r="R132" i="7"/>
  <c r="AF237" i="6"/>
  <c r="Q238" i="7"/>
  <c r="R238" i="7"/>
  <c r="F26" i="8"/>
  <c r="H36" i="7"/>
  <c r="E133" i="8" s="1"/>
  <c r="G133" i="8" s="1"/>
  <c r="H178" i="7"/>
  <c r="L178" i="7" s="1"/>
  <c r="R83" i="7"/>
  <c r="Q83" i="7"/>
  <c r="R92" i="7"/>
  <c r="Q92" i="7"/>
  <c r="R226" i="7"/>
  <c r="AF105" i="6"/>
  <c r="R78" i="7"/>
  <c r="Q78" i="7"/>
  <c r="R233" i="7"/>
  <c r="Q233" i="7"/>
  <c r="AH105" i="6"/>
  <c r="F38" i="8"/>
  <c r="F21" i="8"/>
  <c r="F12" i="8"/>
  <c r="P12" i="7"/>
  <c r="R12" i="7"/>
  <c r="Q9" i="7"/>
  <c r="R9" i="7"/>
  <c r="I34" i="7"/>
  <c r="D142" i="8" s="1"/>
  <c r="R170" i="7"/>
  <c r="Q170" i="7"/>
  <c r="F201" i="8"/>
  <c r="F224" i="8"/>
  <c r="F155" i="8"/>
  <c r="F206" i="8"/>
  <c r="R8" i="7"/>
  <c r="Q8" i="7"/>
  <c r="F44" i="8"/>
  <c r="Q70" i="7" l="1"/>
  <c r="R17" i="7"/>
  <c r="Q75" i="7"/>
  <c r="R102" i="7"/>
  <c r="R75" i="7"/>
  <c r="R70" i="7"/>
  <c r="P102" i="7"/>
  <c r="Q7" i="7"/>
  <c r="P41" i="7"/>
  <c r="R7" i="7"/>
  <c r="Q157" i="7"/>
  <c r="P150" i="7"/>
  <c r="Q106" i="7"/>
  <c r="W223" i="6"/>
  <c r="AE223" i="6" s="1"/>
  <c r="Q126" i="7"/>
  <c r="Q147" i="7"/>
  <c r="W154" i="6"/>
  <c r="AE154" i="6" s="1"/>
  <c r="W125" i="6"/>
  <c r="AJ125" i="6" s="1"/>
  <c r="H239" i="7"/>
  <c r="L239" i="7" s="1"/>
  <c r="H236" i="7"/>
  <c r="L236" i="7" s="1"/>
  <c r="R76" i="7"/>
  <c r="Q76" i="7"/>
  <c r="AF84" i="6"/>
  <c r="AG84" i="6"/>
  <c r="S84" i="7" s="1"/>
  <c r="AH84" i="6"/>
  <c r="AI84" i="6" s="1"/>
  <c r="H40" i="7"/>
  <c r="L40" i="7" s="1"/>
  <c r="W194" i="6"/>
  <c r="AE194" i="6" s="1"/>
  <c r="H5" i="7"/>
  <c r="I5" i="7" s="1"/>
  <c r="D39" i="8" s="1"/>
  <c r="H6" i="7"/>
  <c r="E218" i="8" s="1"/>
  <c r="G218" i="8" s="1"/>
  <c r="H45" i="7"/>
  <c r="E129" i="8" s="1"/>
  <c r="G129" i="8" s="1"/>
  <c r="H183" i="7"/>
  <c r="E35" i="8" s="1"/>
  <c r="G35" i="8" s="1"/>
  <c r="H104" i="7"/>
  <c r="E178" i="8" s="1"/>
  <c r="G178" i="8" s="1"/>
  <c r="H244" i="7"/>
  <c r="L244" i="7" s="1"/>
  <c r="H214" i="7"/>
  <c r="I214" i="7" s="1"/>
  <c r="D117" i="8" s="1"/>
  <c r="H237" i="7"/>
  <c r="E244" i="8" s="1"/>
  <c r="G244" i="8" s="1"/>
  <c r="H197" i="7"/>
  <c r="I197" i="7" s="1"/>
  <c r="D7" i="8" s="1"/>
  <c r="L110" i="7"/>
  <c r="F159" i="8"/>
  <c r="Y87" i="6"/>
  <c r="H158" i="7"/>
  <c r="H222" i="7"/>
  <c r="E233" i="8" s="1"/>
  <c r="G233" i="8" s="1"/>
  <c r="H220" i="7"/>
  <c r="I220" i="7" s="1"/>
  <c r="D236" i="8" s="1"/>
  <c r="H221" i="7"/>
  <c r="E199" i="8" s="1"/>
  <c r="G199" i="8" s="1"/>
  <c r="H28" i="7"/>
  <c r="I28" i="7" s="1"/>
  <c r="D216" i="8" s="1"/>
  <c r="H206" i="7"/>
  <c r="I206" i="7" s="1"/>
  <c r="D237" i="8" s="1"/>
  <c r="H48" i="7"/>
  <c r="E221" i="8" s="1"/>
  <c r="G221" i="8" s="1"/>
  <c r="H110" i="7"/>
  <c r="H11" i="7"/>
  <c r="E208" i="8" s="1"/>
  <c r="G208" i="8" s="1"/>
  <c r="H111" i="7"/>
  <c r="I111" i="7" s="1"/>
  <c r="D124" i="8" s="1"/>
  <c r="H17" i="7"/>
  <c r="I17" i="7" s="1"/>
  <c r="D25" i="8" s="1"/>
  <c r="H118" i="7"/>
  <c r="I118" i="7" s="1"/>
  <c r="D165" i="8" s="1"/>
  <c r="H78" i="7"/>
  <c r="E191" i="8" s="1"/>
  <c r="G191" i="8" s="1"/>
  <c r="H106" i="7"/>
  <c r="E41" i="8" s="1"/>
  <c r="G41" i="8" s="1"/>
  <c r="H122" i="7"/>
  <c r="E170" i="8" s="1"/>
  <c r="G170" i="8" s="1"/>
  <c r="U149" i="6"/>
  <c r="U122" i="6"/>
  <c r="U22" i="6"/>
  <c r="H134" i="7"/>
  <c r="E42" i="8" s="1"/>
  <c r="G42" i="8" s="1"/>
  <c r="H241" i="7"/>
  <c r="I241" i="7" s="1"/>
  <c r="D231" i="8" s="1"/>
  <c r="Q21" i="7"/>
  <c r="H113" i="7"/>
  <c r="I113" i="7" s="1"/>
  <c r="D119" i="8" s="1"/>
  <c r="H234" i="7"/>
  <c r="L234" i="7" s="1"/>
  <c r="H193" i="7"/>
  <c r="E95" i="8" s="1"/>
  <c r="G95" i="8" s="1"/>
  <c r="H142" i="7"/>
  <c r="E93" i="8" s="1"/>
  <c r="G93" i="8" s="1"/>
  <c r="H161" i="7"/>
  <c r="I161" i="7" s="1"/>
  <c r="D40" i="8" s="1"/>
  <c r="H85" i="7"/>
  <c r="I85" i="7" s="1"/>
  <c r="D32" i="8" s="1"/>
  <c r="H184" i="7"/>
  <c r="I184" i="7" s="1"/>
  <c r="D92" i="8" s="1"/>
  <c r="H55" i="7"/>
  <c r="E210" i="8" s="1"/>
  <c r="G210" i="8" s="1"/>
  <c r="H133" i="7"/>
  <c r="E158" i="8" s="1"/>
  <c r="G158" i="8" s="1"/>
  <c r="H217" i="7"/>
  <c r="E107" i="8" s="1"/>
  <c r="G107" i="8" s="1"/>
  <c r="H51" i="7"/>
  <c r="L51" i="7" s="1"/>
  <c r="H49" i="7"/>
  <c r="L49" i="7" s="1"/>
  <c r="H215" i="7"/>
  <c r="E15" i="8" s="1"/>
  <c r="G15" i="8" s="1"/>
  <c r="H31" i="7"/>
  <c r="I31" i="7" s="1"/>
  <c r="D136" i="8" s="1"/>
  <c r="H175" i="7"/>
  <c r="I175" i="7" s="1"/>
  <c r="D84" i="8" s="1"/>
  <c r="H138" i="7"/>
  <c r="E22" i="8" s="1"/>
  <c r="G22" i="8" s="1"/>
  <c r="H177" i="7"/>
  <c r="H163" i="7"/>
  <c r="I163" i="7" s="1"/>
  <c r="D11" i="8" s="1"/>
  <c r="H174" i="7"/>
  <c r="I174" i="7" s="1"/>
  <c r="D9" i="8" s="1"/>
  <c r="H29" i="7"/>
  <c r="E180" i="8" s="1"/>
  <c r="G180" i="8" s="1"/>
  <c r="H229" i="7"/>
  <c r="E60" i="8" s="1"/>
  <c r="G60" i="8" s="1"/>
  <c r="H15" i="7"/>
  <c r="E189" i="8" s="1"/>
  <c r="G189" i="8" s="1"/>
  <c r="H30" i="7"/>
  <c r="L30" i="7" s="1"/>
  <c r="H32" i="7"/>
  <c r="E219" i="8" s="1"/>
  <c r="G219" i="8" s="1"/>
  <c r="H194" i="7"/>
  <c r="H223" i="7"/>
  <c r="L223" i="7" s="1"/>
  <c r="H94" i="7"/>
  <c r="I94" i="7" s="1"/>
  <c r="D44" i="8" s="1"/>
  <c r="H188" i="7"/>
  <c r="I188" i="7" s="1"/>
  <c r="D115" i="8" s="1"/>
  <c r="H117" i="7"/>
  <c r="I117" i="7" s="1"/>
  <c r="D167" i="8" s="1"/>
  <c r="Q193" i="7"/>
  <c r="R193" i="7"/>
  <c r="H127" i="7"/>
  <c r="E103" i="8" s="1"/>
  <c r="G103" i="8" s="1"/>
  <c r="H232" i="7"/>
  <c r="L232" i="7" s="1"/>
  <c r="H179" i="7"/>
  <c r="E90" i="8" s="1"/>
  <c r="G90" i="8" s="1"/>
  <c r="H81" i="7"/>
  <c r="I81" i="7" s="1"/>
  <c r="D37" i="8" s="1"/>
  <c r="H18" i="7"/>
  <c r="I18" i="7" s="1"/>
  <c r="D140" i="8" s="1"/>
  <c r="H60" i="7"/>
  <c r="I60" i="7" s="1"/>
  <c r="D196" i="8" s="1"/>
  <c r="H26" i="7"/>
  <c r="H76" i="7"/>
  <c r="E144" i="8" s="1"/>
  <c r="G144" i="8" s="1"/>
  <c r="H141" i="7"/>
  <c r="I141" i="7" s="1"/>
  <c r="D155" i="8" s="1"/>
  <c r="H171" i="7"/>
  <c r="I171" i="7" s="1"/>
  <c r="D71" i="8" s="1"/>
  <c r="H16" i="7"/>
  <c r="I16" i="7" s="1"/>
  <c r="D211" i="8" s="1"/>
  <c r="H87" i="7"/>
  <c r="E52" i="8" s="1"/>
  <c r="G52" i="8" s="1"/>
  <c r="H186" i="7"/>
  <c r="H22" i="7"/>
  <c r="E131" i="8" s="1"/>
  <c r="G131" i="8" s="1"/>
  <c r="H150" i="7"/>
  <c r="I150" i="7" s="1"/>
  <c r="D62" i="8" s="1"/>
  <c r="F233" i="8"/>
  <c r="L222" i="7"/>
  <c r="U192" i="6"/>
  <c r="W239" i="6"/>
  <c r="AJ239" i="6" s="1"/>
  <c r="H119" i="7"/>
  <c r="I119" i="7" s="1"/>
  <c r="D97" i="8" s="1"/>
  <c r="H156" i="7"/>
  <c r="E59" i="8" s="1"/>
  <c r="G59" i="8" s="1"/>
  <c r="H64" i="7"/>
  <c r="L64" i="7" s="1"/>
  <c r="H166" i="7"/>
  <c r="E148" i="8" s="1"/>
  <c r="G148" i="8" s="1"/>
  <c r="H8" i="7"/>
  <c r="I8" i="7" s="1"/>
  <c r="D47" i="8" s="1"/>
  <c r="H153" i="7"/>
  <c r="H224" i="7"/>
  <c r="L224" i="7" s="1"/>
  <c r="H209" i="7"/>
  <c r="E234" i="8" s="1"/>
  <c r="G234" i="8" s="1"/>
  <c r="H211" i="7"/>
  <c r="H187" i="7"/>
  <c r="I187" i="7" s="1"/>
  <c r="D48" i="8" s="1"/>
  <c r="H128" i="7"/>
  <c r="I128" i="7" s="1"/>
  <c r="D56" i="8" s="1"/>
  <c r="H231" i="7"/>
  <c r="E78" i="8" s="1"/>
  <c r="G78" i="8" s="1"/>
  <c r="H70" i="7"/>
  <c r="E194" i="8" s="1"/>
  <c r="G194" i="8" s="1"/>
  <c r="H88" i="7"/>
  <c r="I88" i="7" s="1"/>
  <c r="D31" i="8" s="1"/>
  <c r="H205" i="7"/>
  <c r="H135" i="7"/>
  <c r="I135" i="7" s="1"/>
  <c r="D4" i="8" s="1"/>
  <c r="H173" i="7"/>
  <c r="I173" i="7" s="1"/>
  <c r="D18" i="8" s="1"/>
  <c r="H227" i="7"/>
  <c r="I227" i="7" s="1"/>
  <c r="D101" i="8" s="1"/>
  <c r="H190" i="7"/>
  <c r="L190" i="7" s="1"/>
  <c r="H20" i="7"/>
  <c r="I20" i="7" s="1"/>
  <c r="D184" i="8" s="1"/>
  <c r="H162" i="7"/>
  <c r="E28" i="8" s="1"/>
  <c r="G28" i="8" s="1"/>
  <c r="Q109" i="7"/>
  <c r="H131" i="7"/>
  <c r="E46" i="8" s="1"/>
  <c r="G46" i="8" s="1"/>
  <c r="H125" i="7"/>
  <c r="L125" i="7" s="1"/>
  <c r="H168" i="7"/>
  <c r="E21" i="8" s="1"/>
  <c r="G21" i="8" s="1"/>
  <c r="H159" i="7"/>
  <c r="E143" i="8" s="1"/>
  <c r="G143" i="8" s="1"/>
  <c r="H245" i="7"/>
  <c r="I245" i="7" s="1"/>
  <c r="D247" i="8" s="1"/>
  <c r="H123" i="7"/>
  <c r="L123" i="7" s="1"/>
  <c r="H219" i="7"/>
  <c r="E239" i="8" s="1"/>
  <c r="G239" i="8" s="1"/>
  <c r="H243" i="7"/>
  <c r="E227" i="8" s="1"/>
  <c r="G227" i="8" s="1"/>
  <c r="U169" i="6"/>
  <c r="U236" i="6"/>
  <c r="U138" i="6"/>
  <c r="U9" i="6"/>
  <c r="U5" i="6"/>
  <c r="R150" i="7"/>
  <c r="Q135" i="7"/>
  <c r="W241" i="6"/>
  <c r="AE241" i="6" s="1"/>
  <c r="R229" i="7"/>
  <c r="R56" i="7"/>
  <c r="Q56" i="7"/>
  <c r="R11" i="7"/>
  <c r="Q11" i="7"/>
  <c r="R116" i="7"/>
  <c r="Q166" i="7"/>
  <c r="U148" i="6"/>
  <c r="U137" i="6"/>
  <c r="U158" i="6"/>
  <c r="Q57" i="7"/>
  <c r="R120" i="7"/>
  <c r="R197" i="7"/>
  <c r="U228" i="6"/>
  <c r="W230" i="6"/>
  <c r="AE230" i="6" s="1"/>
  <c r="R177" i="7"/>
  <c r="Q177" i="7"/>
  <c r="Q115" i="7"/>
  <c r="Q234" i="7"/>
  <c r="R173" i="7"/>
  <c r="Q197" i="7"/>
  <c r="U216" i="6"/>
  <c r="U205" i="6"/>
  <c r="R138" i="7"/>
  <c r="U11" i="6"/>
  <c r="U215" i="6"/>
  <c r="U124" i="6"/>
  <c r="W200" i="6"/>
  <c r="AE200" i="6" s="1"/>
  <c r="AH200" i="6" s="1"/>
  <c r="AI200" i="6" s="1"/>
  <c r="W122" i="6"/>
  <c r="AE122" i="6" s="1"/>
  <c r="R88" i="7"/>
  <c r="Q10" i="7"/>
  <c r="W180" i="6"/>
  <c r="R243" i="7"/>
  <c r="Q223" i="7"/>
  <c r="R69" i="7"/>
  <c r="W151" i="6"/>
  <c r="AE151" i="6" s="1"/>
  <c r="Q231" i="7"/>
  <c r="Q55" i="7"/>
  <c r="Q175" i="7"/>
  <c r="AF208" i="6"/>
  <c r="AE44" i="6"/>
  <c r="AG44" i="6" s="1"/>
  <c r="S44" i="7" s="1"/>
  <c r="R147" i="7"/>
  <c r="R189" i="7"/>
  <c r="AF225" i="6"/>
  <c r="L159" i="7"/>
  <c r="AG15" i="6"/>
  <c r="S15" i="7" s="1"/>
  <c r="L36" i="7"/>
  <c r="Q87" i="7"/>
  <c r="AG208" i="6"/>
  <c r="S208" i="7" s="1"/>
  <c r="AH199" i="6"/>
  <c r="AI199" i="6" s="1"/>
  <c r="AG199" i="6"/>
  <c r="S199" i="7" s="1"/>
  <c r="AE155" i="6"/>
  <c r="AF155" i="6" s="1"/>
  <c r="Q74" i="7"/>
  <c r="AE218" i="6"/>
  <c r="AF218" i="6" s="1"/>
  <c r="R182" i="7"/>
  <c r="R134" i="7"/>
  <c r="L76" i="7"/>
  <c r="AH225" i="6"/>
  <c r="AI225" i="6" s="1"/>
  <c r="AI38" i="6"/>
  <c r="W121" i="6"/>
  <c r="AJ121" i="6" s="1"/>
  <c r="W242" i="6"/>
  <c r="AE242" i="6" s="1"/>
  <c r="AH242" i="6" s="1"/>
  <c r="H84" i="7"/>
  <c r="E141" i="8" s="1"/>
  <c r="G141" i="8" s="1"/>
  <c r="H77" i="7"/>
  <c r="I77" i="7" s="1"/>
  <c r="D153" i="8" s="1"/>
  <c r="H247" i="7"/>
  <c r="L247" i="7" s="1"/>
  <c r="AH15" i="6"/>
  <c r="AE54" i="6"/>
  <c r="AF54" i="6" s="1"/>
  <c r="Q72" i="7"/>
  <c r="E192" i="8"/>
  <c r="G192" i="8" s="1"/>
  <c r="R157" i="7"/>
  <c r="W22" i="6"/>
  <c r="AE22" i="6" s="1"/>
  <c r="AF22" i="6" s="1"/>
  <c r="H149" i="7"/>
  <c r="L149" i="7" s="1"/>
  <c r="H226" i="7"/>
  <c r="I226" i="7" s="1"/>
  <c r="D89" i="8" s="1"/>
  <c r="I51" i="7"/>
  <c r="D139" i="8" s="1"/>
  <c r="Q174" i="7"/>
  <c r="L210" i="7"/>
  <c r="R206" i="7"/>
  <c r="E146" i="8"/>
  <c r="G146" i="8" s="1"/>
  <c r="R6" i="7"/>
  <c r="W58" i="6"/>
  <c r="AE58" i="6" s="1"/>
  <c r="AH58" i="6" s="1"/>
  <c r="AH182" i="6"/>
  <c r="AI182" i="6" s="1"/>
  <c r="AG182" i="6"/>
  <c r="S182" i="7" s="1"/>
  <c r="E105" i="8"/>
  <c r="G105" i="8" s="1"/>
  <c r="F142" i="8"/>
  <c r="E152" i="8"/>
  <c r="G152" i="8" s="1"/>
  <c r="R213" i="7"/>
  <c r="R185" i="7"/>
  <c r="Q143" i="7"/>
  <c r="R67" i="7"/>
  <c r="Q69" i="7"/>
  <c r="R235" i="7"/>
  <c r="P26" i="7"/>
  <c r="AF61" i="6"/>
  <c r="Q13" i="7"/>
  <c r="R22" i="7"/>
  <c r="Q146" i="7"/>
  <c r="AJ182" i="6"/>
  <c r="AH20" i="6"/>
  <c r="AI20" i="6" s="1"/>
  <c r="W195" i="6"/>
  <c r="AJ195" i="6" s="1"/>
  <c r="P109" i="7"/>
  <c r="E84" i="8"/>
  <c r="G84" i="8" s="1"/>
  <c r="F164" i="8"/>
  <c r="Q203" i="7"/>
  <c r="R220" i="7"/>
  <c r="R39" i="7"/>
  <c r="AF211" i="6"/>
  <c r="R222" i="7"/>
  <c r="Q216" i="7"/>
  <c r="H213" i="7"/>
  <c r="E205" i="8" s="1"/>
  <c r="G205" i="8" s="1"/>
  <c r="P21" i="7"/>
  <c r="AH9" i="6"/>
  <c r="AI9" i="6" s="1"/>
  <c r="Y58" i="6"/>
  <c r="R28" i="7"/>
  <c r="E198" i="8"/>
  <c r="G198" i="8" s="1"/>
  <c r="L143" i="7"/>
  <c r="Q241" i="7"/>
  <c r="Q27" i="7"/>
  <c r="AJ173" i="6"/>
  <c r="R109" i="7"/>
  <c r="R129" i="7"/>
  <c r="E104" i="8"/>
  <c r="G104" i="8" s="1"/>
  <c r="AG219" i="6"/>
  <c r="S219" i="7" s="1"/>
  <c r="Q131" i="7"/>
  <c r="R79" i="7"/>
  <c r="R155" i="7"/>
  <c r="AJ154" i="6"/>
  <c r="R215" i="7"/>
  <c r="R204" i="7"/>
  <c r="H199" i="7"/>
  <c r="I199" i="7" s="1"/>
  <c r="D223" i="8" s="1"/>
  <c r="AI208" i="6"/>
  <c r="AJ9" i="6"/>
  <c r="AJ166" i="6"/>
  <c r="AJ128" i="6"/>
  <c r="AH211" i="6"/>
  <c r="AI211" i="6" s="1"/>
  <c r="F205" i="8"/>
  <c r="AI236" i="6"/>
  <c r="AE160" i="6"/>
  <c r="AH160" i="6" s="1"/>
  <c r="AI160" i="6" s="1"/>
  <c r="AJ163" i="6"/>
  <c r="E132" i="8"/>
  <c r="G132" i="8" s="1"/>
  <c r="AH173" i="6"/>
  <c r="AI173" i="6" s="1"/>
  <c r="E40" i="8"/>
  <c r="G40" i="8" s="1"/>
  <c r="E139" i="8"/>
  <c r="G139" i="8" s="1"/>
  <c r="Q200" i="7"/>
  <c r="R194" i="7"/>
  <c r="AH136" i="6"/>
  <c r="AI136" i="6" s="1"/>
  <c r="Q137" i="7"/>
  <c r="Q34" i="7"/>
  <c r="R247" i="7"/>
  <c r="Q20" i="7"/>
  <c r="W139" i="6"/>
  <c r="AG20" i="6"/>
  <c r="S20" i="7" s="1"/>
  <c r="W93" i="6"/>
  <c r="AE93" i="6" s="1"/>
  <c r="L203" i="7"/>
  <c r="Q245" i="7"/>
  <c r="W4" i="6"/>
  <c r="AE4" i="6" s="1"/>
  <c r="AG4" i="6" s="1"/>
  <c r="S4" i="7" s="1"/>
  <c r="W89" i="6"/>
  <c r="AJ89" i="6" s="1"/>
  <c r="I167" i="7"/>
  <c r="D55" i="8" s="1"/>
  <c r="H95" i="7"/>
  <c r="L95" i="7" s="1"/>
  <c r="W187" i="6"/>
  <c r="AJ187" i="6" s="1"/>
  <c r="H21" i="7"/>
  <c r="E147" i="8" s="1"/>
  <c r="G147" i="8" s="1"/>
  <c r="H42" i="7"/>
  <c r="L7" i="7"/>
  <c r="L204" i="7"/>
  <c r="W65" i="6"/>
  <c r="AE65" i="6" s="1"/>
  <c r="AG65" i="6" s="1"/>
  <c r="S65" i="7" s="1"/>
  <c r="W69" i="6"/>
  <c r="R171" i="7"/>
  <c r="H200" i="7"/>
  <c r="L200" i="7" s="1"/>
  <c r="AJ171" i="6"/>
  <c r="AE171" i="6"/>
  <c r="AG171" i="6" s="1"/>
  <c r="S171" i="7" s="1"/>
  <c r="AF9" i="6"/>
  <c r="E106" i="8"/>
  <c r="G106" i="8" s="1"/>
  <c r="AG173" i="6"/>
  <c r="S173" i="7" s="1"/>
  <c r="AE70" i="6"/>
  <c r="AF70" i="6" s="1"/>
  <c r="AJ81" i="6"/>
  <c r="R207" i="7"/>
  <c r="AH166" i="6"/>
  <c r="AF166" i="6"/>
  <c r="AE224" i="6"/>
  <c r="AG224" i="6" s="1"/>
  <c r="S224" i="7" s="1"/>
  <c r="L33" i="7"/>
  <c r="Q172" i="7"/>
  <c r="Q185" i="7"/>
  <c r="Q5" i="7"/>
  <c r="R223" i="7"/>
  <c r="P197" i="7"/>
  <c r="Q62" i="7"/>
  <c r="R180" i="7"/>
  <c r="R130" i="7"/>
  <c r="Q125" i="7"/>
  <c r="R165" i="7"/>
  <c r="Q153" i="7"/>
  <c r="Q80" i="7"/>
  <c r="L38" i="7"/>
  <c r="Q59" i="7"/>
  <c r="AE30" i="6"/>
  <c r="W100" i="6"/>
  <c r="AJ100" i="6" s="1"/>
  <c r="AI27" i="6"/>
  <c r="R227" i="7"/>
  <c r="Q236" i="7"/>
  <c r="Q63" i="7"/>
  <c r="W134" i="6"/>
  <c r="AJ134" i="6" s="1"/>
  <c r="P85" i="7"/>
  <c r="P168" i="7"/>
  <c r="Q171" i="7"/>
  <c r="R5" i="7"/>
  <c r="H170" i="7"/>
  <c r="AF209" i="6"/>
  <c r="AJ177" i="6"/>
  <c r="AG177" i="6"/>
  <c r="S177" i="7" s="1"/>
  <c r="AE63" i="6"/>
  <c r="AH63" i="6" s="1"/>
  <c r="AI63" i="6" s="1"/>
  <c r="R128" i="7"/>
  <c r="R172" i="7"/>
  <c r="R125" i="7"/>
  <c r="R115" i="7"/>
  <c r="Q107" i="7"/>
  <c r="Q229" i="7"/>
  <c r="H41" i="7"/>
  <c r="E177" i="8" s="1"/>
  <c r="G177" i="8" s="1"/>
  <c r="R224" i="7"/>
  <c r="H47" i="7"/>
  <c r="E145" i="8" s="1"/>
  <c r="G145" i="8" s="1"/>
  <c r="Q22" i="7"/>
  <c r="Q45" i="7"/>
  <c r="H246" i="7"/>
  <c r="I246" i="7" s="1"/>
  <c r="D242" i="8" s="1"/>
  <c r="R81" i="7"/>
  <c r="Q81" i="7"/>
  <c r="P81" i="7"/>
  <c r="P167" i="7"/>
  <c r="R167" i="7"/>
  <c r="Q167" i="7"/>
  <c r="I93" i="7"/>
  <c r="D130" i="8" s="1"/>
  <c r="I46" i="7"/>
  <c r="D98" i="8" s="1"/>
  <c r="E55" i="8"/>
  <c r="G55" i="8" s="1"/>
  <c r="AG209" i="6"/>
  <c r="S209" i="7" s="1"/>
  <c r="AE175" i="6"/>
  <c r="AH175" i="6" s="1"/>
  <c r="Q48" i="7"/>
  <c r="AH177" i="6"/>
  <c r="AI177" i="6" s="1"/>
  <c r="F244" i="8"/>
  <c r="W189" i="6"/>
  <c r="AJ189" i="6" s="1"/>
  <c r="P39" i="7"/>
  <c r="R21" i="7"/>
  <c r="R234" i="7"/>
  <c r="AH36" i="6"/>
  <c r="R13" i="7"/>
  <c r="Q130" i="7"/>
  <c r="Q28" i="7"/>
  <c r="AF34" i="6"/>
  <c r="R44" i="7"/>
  <c r="R96" i="7"/>
  <c r="Q61" i="7"/>
  <c r="R231" i="7"/>
  <c r="L221" i="7"/>
  <c r="AE10" i="6"/>
  <c r="AF10" i="6" s="1"/>
  <c r="Q88" i="7"/>
  <c r="Q210" i="7"/>
  <c r="Q111" i="7"/>
  <c r="Q44" i="7"/>
  <c r="Q232" i="7"/>
  <c r="Q138" i="7"/>
  <c r="Q79" i="7"/>
  <c r="P96" i="7"/>
  <c r="P183" i="7"/>
  <c r="R45" i="7"/>
  <c r="P55" i="7"/>
  <c r="R141" i="7"/>
  <c r="R143" i="7"/>
  <c r="AH135" i="6"/>
  <c r="AI135" i="6" s="1"/>
  <c r="AF222" i="6"/>
  <c r="AG136" i="6"/>
  <c r="S136" i="7" s="1"/>
  <c r="R57" i="7"/>
  <c r="L20" i="7"/>
  <c r="R66" i="7"/>
  <c r="Q215" i="7"/>
  <c r="L146" i="7"/>
  <c r="F241" i="8"/>
  <c r="R121" i="7"/>
  <c r="P138" i="7"/>
  <c r="AI203" i="6"/>
  <c r="L145" i="7"/>
  <c r="W235" i="6"/>
  <c r="AE235" i="6" s="1"/>
  <c r="AG235" i="6" s="1"/>
  <c r="S235" i="7" s="1"/>
  <c r="W82" i="6"/>
  <c r="AJ82" i="6" s="1"/>
  <c r="W185" i="6"/>
  <c r="AE185" i="6" s="1"/>
  <c r="AI110" i="6"/>
  <c r="Q95" i="7"/>
  <c r="Q110" i="7"/>
  <c r="I84" i="7"/>
  <c r="D141" i="8" s="1"/>
  <c r="AH215" i="6"/>
  <c r="AI215" i="6" s="1"/>
  <c r="AG117" i="6"/>
  <c r="S117" i="7" s="1"/>
  <c r="AG214" i="6"/>
  <c r="S214" i="7" s="1"/>
  <c r="I126" i="7"/>
  <c r="D157" i="8" s="1"/>
  <c r="L116" i="7"/>
  <c r="L50" i="7"/>
  <c r="AE231" i="6"/>
  <c r="AG231" i="6" s="1"/>
  <c r="S231" i="7" s="1"/>
  <c r="Q118" i="7"/>
  <c r="R195" i="7"/>
  <c r="L161" i="7"/>
  <c r="AH205" i="6"/>
  <c r="AI205" i="6" s="1"/>
  <c r="AJ178" i="6"/>
  <c r="AH80" i="6"/>
  <c r="AF215" i="6"/>
  <c r="L181" i="7"/>
  <c r="AE124" i="6"/>
  <c r="Q198" i="7"/>
  <c r="AI153" i="6"/>
  <c r="AI13" i="6"/>
  <c r="W129" i="6"/>
  <c r="AJ129" i="6" s="1"/>
  <c r="H240" i="7"/>
  <c r="AI144" i="6"/>
  <c r="L177" i="7"/>
  <c r="H65" i="7"/>
  <c r="I65" i="7" s="1"/>
  <c r="D85" i="8" s="1"/>
  <c r="H91" i="7"/>
  <c r="L91" i="7" s="1"/>
  <c r="L194" i="7"/>
  <c r="H58" i="7"/>
  <c r="E169" i="8" s="1"/>
  <c r="G169" i="8" s="1"/>
  <c r="H160" i="7"/>
  <c r="E30" i="8" s="1"/>
  <c r="G30" i="8" s="1"/>
  <c r="H198" i="7"/>
  <c r="E222" i="8" s="1"/>
  <c r="G222" i="8" s="1"/>
  <c r="I127" i="7"/>
  <c r="D103" i="8" s="1"/>
  <c r="E67" i="8"/>
  <c r="G67" i="8" s="1"/>
  <c r="I205" i="7"/>
  <c r="D67" i="8" s="1"/>
  <c r="R244" i="7"/>
  <c r="Q244" i="7"/>
  <c r="E127" i="8"/>
  <c r="G127" i="8" s="1"/>
  <c r="L44" i="7"/>
  <c r="Q190" i="7"/>
  <c r="R190" i="7"/>
  <c r="AI126" i="6"/>
  <c r="E236" i="8"/>
  <c r="G236" i="8" s="1"/>
  <c r="AF114" i="6"/>
  <c r="E206" i="8"/>
  <c r="G206" i="8" s="1"/>
  <c r="W91" i="6"/>
  <c r="AE91" i="6" s="1"/>
  <c r="AH91" i="6" s="1"/>
  <c r="AI91" i="6" s="1"/>
  <c r="L140" i="7"/>
  <c r="AJ56" i="6"/>
  <c r="E204" i="8"/>
  <c r="G204" i="8" s="1"/>
  <c r="E173" i="8"/>
  <c r="G173" i="8" s="1"/>
  <c r="Q169" i="7"/>
  <c r="AI15" i="6"/>
  <c r="R135" i="7"/>
  <c r="L195" i="7"/>
  <c r="I195" i="7"/>
  <c r="D134" i="8" s="1"/>
  <c r="L169" i="7"/>
  <c r="I169" i="7"/>
  <c r="D13" i="8" s="1"/>
  <c r="E162" i="8"/>
  <c r="G162" i="8" s="1"/>
  <c r="I112" i="7"/>
  <c r="D162" i="8" s="1"/>
  <c r="I210" i="7"/>
  <c r="D245" i="8" s="1"/>
  <c r="E245" i="8"/>
  <c r="G245" i="8" s="1"/>
  <c r="E228" i="8"/>
  <c r="G228" i="8" s="1"/>
  <c r="I203" i="7"/>
  <c r="D228" i="8" s="1"/>
  <c r="Q15" i="7"/>
  <c r="R15" i="7"/>
  <c r="E135" i="8"/>
  <c r="G135" i="8" s="1"/>
  <c r="I152" i="7"/>
  <c r="D135" i="8" s="1"/>
  <c r="AE45" i="6"/>
  <c r="AH45" i="6" s="1"/>
  <c r="AJ45" i="6"/>
  <c r="Q36" i="7"/>
  <c r="R36" i="7"/>
  <c r="AJ190" i="6"/>
  <c r="AE190" i="6"/>
  <c r="AF190" i="6" s="1"/>
  <c r="R242" i="7"/>
  <c r="Q242" i="7"/>
  <c r="Q60" i="7"/>
  <c r="R60" i="7"/>
  <c r="AE90" i="6"/>
  <c r="AJ90" i="6"/>
  <c r="R148" i="7"/>
  <c r="Q148" i="7"/>
  <c r="R124" i="7"/>
  <c r="Q124" i="7"/>
  <c r="F234" i="8"/>
  <c r="L209" i="7"/>
  <c r="L235" i="7"/>
  <c r="I235" i="7"/>
  <c r="D34" i="8" s="1"/>
  <c r="Q176" i="7"/>
  <c r="R176" i="7"/>
  <c r="F98" i="8"/>
  <c r="L46" i="7"/>
  <c r="F162" i="8"/>
  <c r="L112" i="7"/>
  <c r="R192" i="7"/>
  <c r="Q192" i="7"/>
  <c r="L70" i="7"/>
  <c r="AF116" i="6"/>
  <c r="I70" i="7"/>
  <c r="D194" i="8" s="1"/>
  <c r="I202" i="7"/>
  <c r="D64" i="8" s="1"/>
  <c r="L168" i="7"/>
  <c r="AF33" i="6"/>
  <c r="Q65" i="7"/>
  <c r="Q19" i="7"/>
  <c r="AH61" i="6"/>
  <c r="AH222" i="6"/>
  <c r="AI222" i="6" s="1"/>
  <c r="L78" i="7"/>
  <c r="AJ130" i="6"/>
  <c r="I53" i="7"/>
  <c r="D197" i="8" s="1"/>
  <c r="W12" i="6"/>
  <c r="AE12" i="6" s="1"/>
  <c r="AG12" i="6" s="1"/>
  <c r="S12" i="7" s="1"/>
  <c r="I107" i="7"/>
  <c r="D104" i="8" s="1"/>
  <c r="Q33" i="7"/>
  <c r="AF60" i="6"/>
  <c r="L199" i="7"/>
  <c r="AE193" i="6"/>
  <c r="AG193" i="6" s="1"/>
  <c r="S193" i="7" s="1"/>
  <c r="I124" i="7"/>
  <c r="D99" i="8" s="1"/>
  <c r="L71" i="7"/>
  <c r="E154" i="8"/>
  <c r="G154" i="8" s="1"/>
  <c r="L90" i="7"/>
  <c r="L89" i="7"/>
  <c r="E110" i="8"/>
  <c r="G110" i="8" s="1"/>
  <c r="L154" i="7"/>
  <c r="Q77" i="7"/>
  <c r="E65" i="8"/>
  <c r="G65" i="8" s="1"/>
  <c r="AG36" i="6"/>
  <c r="S36" i="7" s="1"/>
  <c r="W233" i="6"/>
  <c r="AH158" i="6"/>
  <c r="AI158" i="6" s="1"/>
  <c r="AF158" i="6"/>
  <c r="AJ223" i="6"/>
  <c r="AJ152" i="6"/>
  <c r="AE152" i="6"/>
  <c r="F105" i="8"/>
  <c r="L9" i="7"/>
  <c r="W197" i="6"/>
  <c r="AE5" i="6"/>
  <c r="AF5" i="6" s="1"/>
  <c r="AJ5" i="6"/>
  <c r="AJ79" i="6"/>
  <c r="AE79" i="6"/>
  <c r="AG79" i="6" s="1"/>
  <c r="S79" i="7" s="1"/>
  <c r="H191" i="7"/>
  <c r="L191" i="7" s="1"/>
  <c r="W196" i="6"/>
  <c r="AE196" i="6" s="1"/>
  <c r="W35" i="6"/>
  <c r="W172" i="6"/>
  <c r="AG135" i="6"/>
  <c r="S135" i="7" s="1"/>
  <c r="AH116" i="6"/>
  <c r="AI116" i="6" s="1"/>
  <c r="AH114" i="6"/>
  <c r="E113" i="8"/>
  <c r="G113" i="8" s="1"/>
  <c r="E36" i="8"/>
  <c r="G36" i="8" s="1"/>
  <c r="I63" i="7"/>
  <c r="D212" i="8" s="1"/>
  <c r="E125" i="8"/>
  <c r="G125" i="8" s="1"/>
  <c r="I204" i="7"/>
  <c r="D229" i="8" s="1"/>
  <c r="E116" i="8"/>
  <c r="G116" i="8" s="1"/>
  <c r="I52" i="7"/>
  <c r="D190" i="8" s="1"/>
  <c r="E184" i="8"/>
  <c r="G184" i="8" s="1"/>
  <c r="F146" i="8"/>
  <c r="E225" i="8"/>
  <c r="G225" i="8" s="1"/>
  <c r="L171" i="7"/>
  <c r="AJ114" i="6"/>
  <c r="AF110" i="6"/>
  <c r="AF38" i="6"/>
  <c r="E212" i="8"/>
  <c r="G212" i="8" s="1"/>
  <c r="R178" i="7"/>
  <c r="AG217" i="6"/>
  <c r="S217" i="7" s="1"/>
  <c r="I82" i="7"/>
  <c r="D207" i="8" s="1"/>
  <c r="AJ174" i="6"/>
  <c r="I130" i="7"/>
  <c r="D120" i="8" s="1"/>
  <c r="Q84" i="7"/>
  <c r="E183" i="8"/>
  <c r="G183" i="8" s="1"/>
  <c r="I35" i="7"/>
  <c r="D128" i="8" s="1"/>
  <c r="Q140" i="7"/>
  <c r="I80" i="7"/>
  <c r="D220" i="8" s="1"/>
  <c r="L35" i="7"/>
  <c r="W95" i="6"/>
  <c r="AJ95" i="6" s="1"/>
  <c r="AJ116" i="6"/>
  <c r="L93" i="7"/>
  <c r="L241" i="7"/>
  <c r="E73" i="8"/>
  <c r="G73" i="8" s="1"/>
  <c r="I7" i="7"/>
  <c r="D215" i="8" s="1"/>
  <c r="L54" i="7"/>
  <c r="E160" i="8"/>
  <c r="G160" i="8" s="1"/>
  <c r="AE25" i="6"/>
  <c r="AF25" i="6" s="1"/>
  <c r="E174" i="8"/>
  <c r="G174" i="8" s="1"/>
  <c r="I78" i="7"/>
  <c r="D191" i="8" s="1"/>
  <c r="E230" i="8"/>
  <c r="G230" i="8" s="1"/>
  <c r="R221" i="7"/>
  <c r="AJ170" i="6"/>
  <c r="AE109" i="6"/>
  <c r="AH109" i="6" s="1"/>
  <c r="AI109" i="6" s="1"/>
  <c r="E185" i="8"/>
  <c r="G185" i="8" s="1"/>
  <c r="F171" i="8"/>
  <c r="F124" i="8"/>
  <c r="Y240" i="6"/>
  <c r="AI240" i="6" s="1"/>
  <c r="AH133" i="6"/>
  <c r="AI133" i="6" s="1"/>
  <c r="Q151" i="7"/>
  <c r="R158" i="7"/>
  <c r="AJ83" i="6"/>
  <c r="AE83" i="6"/>
  <c r="AF83" i="6" s="1"/>
  <c r="L72" i="7"/>
  <c r="I72" i="7"/>
  <c r="D201" i="8" s="1"/>
  <c r="E201" i="8"/>
  <c r="G201" i="8" s="1"/>
  <c r="E136" i="8"/>
  <c r="G136" i="8" s="1"/>
  <c r="L31" i="7"/>
  <c r="L216" i="7"/>
  <c r="E72" i="8"/>
  <c r="G72" i="8" s="1"/>
  <c r="I216" i="7"/>
  <c r="D72" i="8" s="1"/>
  <c r="L68" i="7"/>
  <c r="I68" i="7"/>
  <c r="D6" i="8" s="1"/>
  <c r="E6" i="8"/>
  <c r="G6" i="8" s="1"/>
  <c r="I15" i="7"/>
  <c r="D189" i="8" s="1"/>
  <c r="L102" i="7"/>
  <c r="E10" i="8"/>
  <c r="G10" i="8" s="1"/>
  <c r="I19" i="7"/>
  <c r="D209" i="8" s="1"/>
  <c r="E209" i="8"/>
  <c r="G209" i="8" s="1"/>
  <c r="I123" i="7"/>
  <c r="D58" i="8" s="1"/>
  <c r="R104" i="7"/>
  <c r="Q104" i="7"/>
  <c r="AG206" i="6"/>
  <c r="S206" i="7" s="1"/>
  <c r="AH206" i="6"/>
  <c r="AI206" i="6" s="1"/>
  <c r="R136" i="7"/>
  <c r="Q136" i="7"/>
  <c r="AE120" i="6"/>
  <c r="AJ120" i="6"/>
  <c r="Q181" i="7"/>
  <c r="R181" i="7"/>
  <c r="AG47" i="6"/>
  <c r="S47" i="7" s="1"/>
  <c r="AF47" i="6"/>
  <c r="F187" i="8"/>
  <c r="L61" i="7"/>
  <c r="AG76" i="6"/>
  <c r="S76" i="7" s="1"/>
  <c r="AF76" i="6"/>
  <c r="AF98" i="6"/>
  <c r="AG98" i="6"/>
  <c r="S98" i="7" s="1"/>
  <c r="I133" i="7"/>
  <c r="D158" i="8" s="1"/>
  <c r="I86" i="7"/>
  <c r="D29" i="8" s="1"/>
  <c r="AE232" i="6"/>
  <c r="AF232" i="6" s="1"/>
  <c r="R162" i="7"/>
  <c r="L29" i="7"/>
  <c r="L229" i="7"/>
  <c r="E64" i="8"/>
  <c r="G64" i="8" s="1"/>
  <c r="E188" i="8"/>
  <c r="G188" i="8" s="1"/>
  <c r="E53" i="8"/>
  <c r="G53" i="8" s="1"/>
  <c r="L176" i="7"/>
  <c r="I228" i="7"/>
  <c r="D193" i="8" s="1"/>
  <c r="AI99" i="6"/>
  <c r="E13" i="8"/>
  <c r="G13" i="8" s="1"/>
  <c r="AF213" i="6"/>
  <c r="R18" i="7"/>
  <c r="Q37" i="7"/>
  <c r="Q225" i="7"/>
  <c r="AJ240" i="6"/>
  <c r="AH212" i="6"/>
  <c r="AI212" i="6" s="1"/>
  <c r="AG110" i="6"/>
  <c r="S110" i="7" s="1"/>
  <c r="AH76" i="6"/>
  <c r="AI76" i="6" s="1"/>
  <c r="R188" i="7"/>
  <c r="Q42" i="7"/>
  <c r="Q38" i="7"/>
  <c r="AH14" i="6"/>
  <c r="AI14" i="6" s="1"/>
  <c r="AF18" i="6"/>
  <c r="L183" i="7"/>
  <c r="R95" i="7"/>
  <c r="AI77" i="6"/>
  <c r="Q224" i="7"/>
  <c r="E49" i="8"/>
  <c r="G49" i="8" s="1"/>
  <c r="I185" i="7"/>
  <c r="D49" i="8" s="1"/>
  <c r="W184" i="6"/>
  <c r="L66" i="7"/>
  <c r="F204" i="8"/>
  <c r="F67" i="8"/>
  <c r="L205" i="7"/>
  <c r="AG59" i="6"/>
  <c r="S59" i="7" s="1"/>
  <c r="AH59" i="6"/>
  <c r="AI59" i="6" s="1"/>
  <c r="Q179" i="7"/>
  <c r="R179" i="7"/>
  <c r="AH156" i="6"/>
  <c r="AI156" i="6" s="1"/>
  <c r="AF156" i="6"/>
  <c r="I234" i="7"/>
  <c r="D69" i="8" s="1"/>
  <c r="E69" i="8"/>
  <c r="G69" i="8" s="1"/>
  <c r="Q142" i="7"/>
  <c r="R142" i="7"/>
  <c r="R40" i="7"/>
  <c r="Q40" i="7"/>
  <c r="AF37" i="6"/>
  <c r="AH37" i="6"/>
  <c r="AI37" i="6" s="1"/>
  <c r="I92" i="7"/>
  <c r="D161" i="8" s="1"/>
  <c r="E161" i="8"/>
  <c r="G161" i="8" s="1"/>
  <c r="L92" i="7"/>
  <c r="R161" i="7"/>
  <c r="Q161" i="7"/>
  <c r="R246" i="7"/>
  <c r="Q246" i="7"/>
  <c r="AF141" i="6"/>
  <c r="L82" i="7"/>
  <c r="I89" i="7"/>
  <c r="D122" i="8" s="1"/>
  <c r="R133" i="7"/>
  <c r="AE46" i="6"/>
  <c r="AG46" i="6" s="1"/>
  <c r="S46" i="7" s="1"/>
  <c r="I22" i="7"/>
  <c r="D131" i="8" s="1"/>
  <c r="E71" i="8"/>
  <c r="G71" i="8" s="1"/>
  <c r="AE138" i="6"/>
  <c r="AG138" i="6" s="1"/>
  <c r="S138" i="7" s="1"/>
  <c r="E156" i="8"/>
  <c r="G156" i="8" s="1"/>
  <c r="I165" i="7"/>
  <c r="D54" i="8" s="1"/>
  <c r="AI238" i="6"/>
  <c r="I176" i="7"/>
  <c r="D102" i="8" s="1"/>
  <c r="AE92" i="6"/>
  <c r="I14" i="7"/>
  <c r="D195" i="8" s="1"/>
  <c r="AJ153" i="6"/>
  <c r="L166" i="7"/>
  <c r="AH213" i="6"/>
  <c r="R98" i="7"/>
  <c r="W137" i="6"/>
  <c r="AE137" i="6" s="1"/>
  <c r="AF212" i="6"/>
  <c r="Y129" i="6"/>
  <c r="F153" i="8"/>
  <c r="AH47" i="6"/>
  <c r="AI47" i="6" s="1"/>
  <c r="AJ13" i="6"/>
  <c r="F190" i="8"/>
  <c r="AG34" i="6"/>
  <c r="S34" i="7" s="1"/>
  <c r="AF133" i="6"/>
  <c r="AH18" i="6"/>
  <c r="AI18" i="6" s="1"/>
  <c r="Q214" i="7"/>
  <c r="AF14" i="6"/>
  <c r="AG37" i="6"/>
  <c r="S37" i="7" s="1"/>
  <c r="Q90" i="7"/>
  <c r="L42" i="7"/>
  <c r="W26" i="6"/>
  <c r="AJ26" i="6" s="1"/>
  <c r="W113" i="6"/>
  <c r="AE113" i="6" s="1"/>
  <c r="AG113" i="6" s="1"/>
  <c r="S113" i="7" s="1"/>
  <c r="AH81" i="6"/>
  <c r="AI81" i="6" s="1"/>
  <c r="AF81" i="6"/>
  <c r="AE157" i="6"/>
  <c r="AJ157" i="6"/>
  <c r="AH128" i="6"/>
  <c r="AI128" i="6" s="1"/>
  <c r="AF128" i="6"/>
  <c r="W169" i="6"/>
  <c r="AE169" i="6" s="1"/>
  <c r="R209" i="7"/>
  <c r="Q209" i="7"/>
  <c r="W202" i="6"/>
  <c r="Y202" i="6"/>
  <c r="H10" i="7"/>
  <c r="E94" i="8" s="1"/>
  <c r="G94" i="8" s="1"/>
  <c r="AI73" i="6"/>
  <c r="L39" i="7"/>
  <c r="AI237" i="6"/>
  <c r="L98" i="7"/>
  <c r="W51" i="6"/>
  <c r="AJ51" i="6" s="1"/>
  <c r="W24" i="6"/>
  <c r="AJ24" i="6" s="1"/>
  <c r="W168" i="6"/>
  <c r="AE168" i="6" s="1"/>
  <c r="AG168" i="6" s="1"/>
  <c r="S168" i="7" s="1"/>
  <c r="AI117" i="6"/>
  <c r="W149" i="6"/>
  <c r="E109" i="8"/>
  <c r="G109" i="8" s="1"/>
  <c r="L230" i="7"/>
  <c r="AG170" i="6"/>
  <c r="S170" i="7" s="1"/>
  <c r="AH170" i="6"/>
  <c r="AI170" i="6" s="1"/>
  <c r="AH207" i="6"/>
  <c r="AI207" i="6" s="1"/>
  <c r="AF207" i="6"/>
  <c r="AF66" i="6"/>
  <c r="AG66" i="6"/>
  <c r="S66" i="7" s="1"/>
  <c r="F48" i="8"/>
  <c r="AE229" i="6"/>
  <c r="AJ229" i="6"/>
  <c r="W143" i="6"/>
  <c r="L25" i="7"/>
  <c r="I25" i="7"/>
  <c r="D77" i="8" s="1"/>
  <c r="AJ148" i="6"/>
  <c r="AE148" i="6"/>
  <c r="AG148" i="6" s="1"/>
  <c r="S148" i="7" s="1"/>
  <c r="AF117" i="6"/>
  <c r="L56" i="7"/>
  <c r="Q108" i="7"/>
  <c r="AE101" i="6"/>
  <c r="AH101" i="6" s="1"/>
  <c r="AI101" i="6" s="1"/>
  <c r="L5" i="7"/>
  <c r="E182" i="8"/>
  <c r="G182" i="8" s="1"/>
  <c r="AE226" i="6"/>
  <c r="AG226" i="6" s="1"/>
  <c r="S226" i="7" s="1"/>
  <c r="AJ135" i="6"/>
  <c r="AE191" i="6"/>
  <c r="AH191" i="6" s="1"/>
  <c r="AI191" i="6" s="1"/>
  <c r="I177" i="7"/>
  <c r="D70" i="8" s="1"/>
  <c r="E70" i="8"/>
  <c r="G70" i="8" s="1"/>
  <c r="E83" i="8"/>
  <c r="G83" i="8" s="1"/>
  <c r="I57" i="7"/>
  <c r="D83" i="8" s="1"/>
  <c r="E50" i="8"/>
  <c r="G50" i="8" s="1"/>
  <c r="I153" i="7"/>
  <c r="D50" i="8" s="1"/>
  <c r="AJ74" i="6"/>
  <c r="AE74" i="6"/>
  <c r="AH74" i="6" s="1"/>
  <c r="AI74" i="6" s="1"/>
  <c r="AG78" i="6"/>
  <c r="S78" i="7" s="1"/>
  <c r="AH78" i="6"/>
  <c r="AI78" i="6" s="1"/>
  <c r="F113" i="8"/>
  <c r="L238" i="7"/>
  <c r="F181" i="8"/>
  <c r="R16" i="7"/>
  <c r="Q16" i="7"/>
  <c r="R99" i="7"/>
  <c r="Q99" i="7"/>
  <c r="Q237" i="7"/>
  <c r="R237" i="7"/>
  <c r="R152" i="7"/>
  <c r="Q152" i="7"/>
  <c r="Y75" i="6"/>
  <c r="W75" i="6"/>
  <c r="AJ75" i="6" s="1"/>
  <c r="I148" i="7"/>
  <c r="D51" i="8" s="1"/>
  <c r="L148" i="7"/>
  <c r="L233" i="7"/>
  <c r="I233" i="7"/>
  <c r="D96" i="8" s="1"/>
  <c r="R196" i="7"/>
  <c r="Q196" i="7"/>
  <c r="AG163" i="6"/>
  <c r="S163" i="7" s="1"/>
  <c r="L103" i="7"/>
  <c r="E117" i="8"/>
  <c r="G117" i="8" s="1"/>
  <c r="I230" i="7"/>
  <c r="D109" i="8" s="1"/>
  <c r="L243" i="7"/>
  <c r="I243" i="7"/>
  <c r="D227" i="8" s="1"/>
  <c r="L19" i="7"/>
  <c r="E237" i="8"/>
  <c r="G237" i="8" s="1"/>
  <c r="I242" i="7"/>
  <c r="D172" i="8" s="1"/>
  <c r="L242" i="7"/>
  <c r="L192" i="7"/>
  <c r="E79" i="8"/>
  <c r="G79" i="8" s="1"/>
  <c r="E43" i="8"/>
  <c r="G43" i="8" s="1"/>
  <c r="I164" i="7"/>
  <c r="D43" i="8" s="1"/>
  <c r="I104" i="7"/>
  <c r="D178" i="8" s="1"/>
  <c r="E17" i="8"/>
  <c r="G17" i="8" s="1"/>
  <c r="I147" i="7"/>
  <c r="D17" i="8" s="1"/>
  <c r="R93" i="7"/>
  <c r="Q93" i="7"/>
  <c r="E232" i="8"/>
  <c r="G232" i="8" s="1"/>
  <c r="I218" i="7"/>
  <c r="D232" i="8" s="1"/>
  <c r="L218" i="7"/>
  <c r="I87" i="7"/>
  <c r="D52" i="8" s="1"/>
  <c r="L180" i="7"/>
  <c r="E38" i="8"/>
  <c r="G38" i="8" s="1"/>
  <c r="I11" i="7"/>
  <c r="D208" i="8" s="1"/>
  <c r="I69" i="7"/>
  <c r="D57" i="8" s="1"/>
  <c r="E57" i="8"/>
  <c r="G57" i="8" s="1"/>
  <c r="I200" i="7"/>
  <c r="D68" i="8" s="1"/>
  <c r="AE228" i="6"/>
  <c r="AJ228" i="6"/>
  <c r="I109" i="7"/>
  <c r="D91" i="8" s="1"/>
  <c r="E91" i="8"/>
  <c r="G91" i="8" s="1"/>
  <c r="I145" i="7"/>
  <c r="D151" i="8" s="1"/>
  <c r="E151" i="8"/>
  <c r="G151" i="8" s="1"/>
  <c r="R239" i="7"/>
  <c r="Q239" i="7"/>
  <c r="R14" i="7"/>
  <c r="Q14" i="7"/>
  <c r="AJ19" i="6"/>
  <c r="AE19" i="6"/>
  <c r="AF19" i="6" s="1"/>
  <c r="AI209" i="6"/>
  <c r="W112" i="6"/>
  <c r="H74" i="7"/>
  <c r="I134" i="7"/>
  <c r="D42" i="8" s="1"/>
  <c r="AF159" i="6"/>
  <c r="AH159" i="6"/>
  <c r="AI159" i="6" s="1"/>
  <c r="Q187" i="7"/>
  <c r="R187" i="7"/>
  <c r="R73" i="7"/>
  <c r="Q73" i="7"/>
  <c r="Q24" i="7"/>
  <c r="P24" i="7"/>
  <c r="R24" i="7"/>
  <c r="W165" i="6"/>
  <c r="AJ165" i="6" s="1"/>
  <c r="AF210" i="6"/>
  <c r="AH210" i="6"/>
  <c r="AI210" i="6" s="1"/>
  <c r="Q89" i="7"/>
  <c r="R89" i="7"/>
  <c r="F236" i="8"/>
  <c r="L220" i="7"/>
  <c r="Q199" i="7"/>
  <c r="R199" i="7"/>
  <c r="AF198" i="6"/>
  <c r="AG198" i="6"/>
  <c r="S198" i="7" s="1"/>
  <c r="F239" i="8"/>
  <c r="L219" i="7"/>
  <c r="AG132" i="6"/>
  <c r="S132" i="7" s="1"/>
  <c r="AH132" i="6"/>
  <c r="AI132" i="6" s="1"/>
  <c r="F158" i="8"/>
  <c r="L133" i="7"/>
  <c r="AG240" i="6"/>
  <c r="S240" i="7" s="1"/>
  <c r="AF240" i="6"/>
  <c r="R25" i="7"/>
  <c r="Q25" i="7"/>
  <c r="H101" i="7"/>
  <c r="E138" i="8" s="1"/>
  <c r="G138" i="8" s="1"/>
  <c r="R4" i="7"/>
  <c r="Q4" i="7"/>
  <c r="Q204" i="7"/>
  <c r="W131" i="6"/>
  <c r="AE131" i="6" s="1"/>
  <c r="AH131" i="6" s="1"/>
  <c r="AI131" i="6" s="1"/>
  <c r="AI104" i="6"/>
  <c r="Q227" i="7"/>
  <c r="W115" i="6"/>
  <c r="AJ115" i="6" s="1"/>
  <c r="R175" i="7"/>
  <c r="W147" i="6"/>
  <c r="AJ147" i="6" s="1"/>
  <c r="W188" i="6"/>
  <c r="AE64" i="6"/>
  <c r="AJ64" i="6"/>
  <c r="AE40" i="6"/>
  <c r="AG40" i="6" s="1"/>
  <c r="S40" i="7" s="1"/>
  <c r="AJ40" i="6"/>
  <c r="E118" i="8"/>
  <c r="G118" i="8" s="1"/>
  <c r="AF216" i="6"/>
  <c r="E179" i="8"/>
  <c r="G179" i="8" s="1"/>
  <c r="I154" i="7"/>
  <c r="D110" i="8" s="1"/>
  <c r="I39" i="7"/>
  <c r="D108" i="8" s="1"/>
  <c r="L196" i="7"/>
  <c r="E77" i="8"/>
  <c r="G77" i="8" s="1"/>
  <c r="L144" i="7"/>
  <c r="I149" i="7"/>
  <c r="D66" i="8" s="1"/>
  <c r="E97" i="8"/>
  <c r="G97" i="8" s="1"/>
  <c r="AG58" i="6"/>
  <c r="S58" i="7" s="1"/>
  <c r="AF13" i="6"/>
  <c r="I36" i="7"/>
  <c r="D133" i="8" s="1"/>
  <c r="I44" i="7"/>
  <c r="D127" i="8" s="1"/>
  <c r="E122" i="8"/>
  <c r="G122" i="8" s="1"/>
  <c r="L151" i="7"/>
  <c r="E37" i="8"/>
  <c r="G37" i="8" s="1"/>
  <c r="L197" i="7"/>
  <c r="I139" i="7"/>
  <c r="D27" i="8" s="1"/>
  <c r="L99" i="7"/>
  <c r="L126" i="7"/>
  <c r="AJ216" i="6"/>
  <c r="AE41" i="6"/>
  <c r="AG41" i="6" s="1"/>
  <c r="S41" i="7" s="1"/>
  <c r="E108" i="8"/>
  <c r="G108" i="8" s="1"/>
  <c r="L139" i="7"/>
  <c r="I183" i="7"/>
  <c r="D35" i="8" s="1"/>
  <c r="W88" i="6"/>
  <c r="AE88" i="6" s="1"/>
  <c r="AH88" i="6" s="1"/>
  <c r="AI88" i="6" s="1"/>
  <c r="L227" i="7"/>
  <c r="W71" i="6"/>
  <c r="AJ71" i="6" s="1"/>
  <c r="E82" i="8"/>
  <c r="G82" i="8" s="1"/>
  <c r="I155" i="7"/>
  <c r="D81" i="8" s="1"/>
  <c r="E216" i="8"/>
  <c r="G216" i="8" s="1"/>
  <c r="I108" i="7"/>
  <c r="D176" i="8" s="1"/>
  <c r="I33" i="7"/>
  <c r="D213" i="8" s="1"/>
  <c r="I37" i="7"/>
  <c r="D166" i="8" s="1"/>
  <c r="E226" i="8"/>
  <c r="G226" i="8" s="1"/>
  <c r="L153" i="7"/>
  <c r="L69" i="7"/>
  <c r="L108" i="7"/>
  <c r="AG33" i="6"/>
  <c r="S33" i="7" s="1"/>
  <c r="Q228" i="7"/>
  <c r="Q160" i="7"/>
  <c r="L152" i="7"/>
  <c r="L86" i="7"/>
  <c r="R156" i="7"/>
  <c r="AG38" i="6"/>
  <c r="S38" i="7" s="1"/>
  <c r="W96" i="6"/>
  <c r="R218" i="7"/>
  <c r="Q218" i="7"/>
  <c r="Q53" i="7"/>
  <c r="R53" i="7"/>
  <c r="AG146" i="6"/>
  <c r="S146" i="7" s="1"/>
  <c r="AF146" i="6"/>
  <c r="AH146" i="6"/>
  <c r="AI146" i="6" s="1"/>
  <c r="AG52" i="6"/>
  <c r="S52" i="7" s="1"/>
  <c r="AF52" i="6"/>
  <c r="AH52" i="6"/>
  <c r="AI52" i="6" s="1"/>
  <c r="AI181" i="6"/>
  <c r="Q211" i="7"/>
  <c r="R211" i="7"/>
  <c r="Q208" i="7"/>
  <c r="R208" i="7"/>
  <c r="R240" i="7"/>
  <c r="Q240" i="7"/>
  <c r="F141" i="8"/>
  <c r="L84" i="7"/>
  <c r="R217" i="7"/>
  <c r="Q217" i="7"/>
  <c r="AF201" i="6"/>
  <c r="AH201" i="6"/>
  <c r="AI201" i="6" s="1"/>
  <c r="Q54" i="7"/>
  <c r="P54" i="7"/>
  <c r="AI175" i="6"/>
  <c r="AF65" i="6"/>
  <c r="AE179" i="6"/>
  <c r="AF179" i="6" s="1"/>
  <c r="AG13" i="6"/>
  <c r="S13" i="7" s="1"/>
  <c r="E101" i="8"/>
  <c r="G101" i="8" s="1"/>
  <c r="I196" i="7"/>
  <c r="D235" i="8" s="1"/>
  <c r="E149" i="8"/>
  <c r="G149" i="8" s="1"/>
  <c r="I48" i="7"/>
  <c r="D221" i="8" s="1"/>
  <c r="AI145" i="6"/>
  <c r="Q128" i="7"/>
  <c r="P113" i="7"/>
  <c r="Q113" i="7"/>
  <c r="W16" i="6"/>
  <c r="AI50" i="6"/>
  <c r="R49" i="7"/>
  <c r="AI198" i="6"/>
  <c r="W102" i="6"/>
  <c r="W94" i="6"/>
  <c r="AJ94" i="6" s="1"/>
  <c r="W17" i="6"/>
  <c r="W176" i="6"/>
  <c r="H38" i="7"/>
  <c r="W43" i="6"/>
  <c r="H97" i="7"/>
  <c r="AI45" i="6"/>
  <c r="Q173" i="7"/>
  <c r="H62" i="7"/>
  <c r="Q17" i="7"/>
  <c r="Q139" i="7"/>
  <c r="Q68" i="7"/>
  <c r="Q97" i="7"/>
  <c r="R236" i="7"/>
  <c r="R183" i="7"/>
  <c r="U115" i="6"/>
  <c r="I158" i="7"/>
  <c r="D164" i="8" s="1"/>
  <c r="E164" i="8"/>
  <c r="G164" i="8" s="1"/>
  <c r="I26" i="7"/>
  <c r="D217" i="8" s="1"/>
  <c r="E217" i="8"/>
  <c r="G217" i="8" s="1"/>
  <c r="L26" i="7"/>
  <c r="E123" i="8"/>
  <c r="G123" i="8" s="1"/>
  <c r="I186" i="7"/>
  <c r="D123" i="8" s="1"/>
  <c r="L186" i="7"/>
  <c r="E25" i="8"/>
  <c r="G25" i="8" s="1"/>
  <c r="L17" i="7"/>
  <c r="AH216" i="6"/>
  <c r="AI216" i="6" s="1"/>
  <c r="AG109" i="6"/>
  <c r="S109" i="7" s="1"/>
  <c r="AF192" i="6"/>
  <c r="AH141" i="6"/>
  <c r="AI141" i="6" s="1"/>
  <c r="AG236" i="6"/>
  <c r="S236" i="7" s="1"/>
  <c r="E224" i="8"/>
  <c r="G224" i="8" s="1"/>
  <c r="L162" i="7"/>
  <c r="Q105" i="7"/>
  <c r="Q120" i="7"/>
  <c r="I151" i="7"/>
  <c r="D121" i="8" s="1"/>
  <c r="F188" i="8"/>
  <c r="E86" i="8"/>
  <c r="G86" i="8" s="1"/>
  <c r="L225" i="7"/>
  <c r="E167" i="8"/>
  <c r="G167" i="8" s="1"/>
  <c r="E12" i="8"/>
  <c r="G12" i="8" s="1"/>
  <c r="I29" i="7"/>
  <c r="D180" i="8" s="1"/>
  <c r="L117" i="7"/>
  <c r="L12" i="7"/>
  <c r="L155" i="7"/>
  <c r="E214" i="8"/>
  <c r="G214" i="8" s="1"/>
  <c r="I96" i="7"/>
  <c r="D12" i="8" s="1"/>
  <c r="L43" i="7"/>
  <c r="I244" i="7"/>
  <c r="D246" i="8" s="1"/>
  <c r="W62" i="6"/>
  <c r="AE62" i="6" s="1"/>
  <c r="I64" i="7"/>
  <c r="D214" i="8" s="1"/>
  <c r="L104" i="7"/>
  <c r="L88" i="7"/>
  <c r="AJ50" i="6"/>
  <c r="I166" i="7"/>
  <c r="D148" i="8" s="1"/>
  <c r="I182" i="7"/>
  <c r="D87" i="8" s="1"/>
  <c r="L182" i="7"/>
  <c r="AI166" i="6"/>
  <c r="E26" i="8"/>
  <c r="G26" i="8" s="1"/>
  <c r="L245" i="7"/>
  <c r="E247" i="8"/>
  <c r="G247" i="8" s="1"/>
  <c r="I24" i="7"/>
  <c r="D88" i="8" s="1"/>
  <c r="L24" i="7"/>
  <c r="L137" i="7"/>
  <c r="E16" i="8"/>
  <c r="G16" i="8" s="1"/>
  <c r="AH220" i="6"/>
  <c r="AI220" i="6" s="1"/>
  <c r="AG220" i="6"/>
  <c r="S220" i="7" s="1"/>
  <c r="R149" i="7"/>
  <c r="Q149" i="7"/>
  <c r="R119" i="7"/>
  <c r="Q119" i="7"/>
  <c r="R154" i="7"/>
  <c r="Q154" i="7"/>
  <c r="R159" i="7"/>
  <c r="Q159" i="7"/>
  <c r="AG53" i="6"/>
  <c r="S53" i="7" s="1"/>
  <c r="AH53" i="6"/>
  <c r="AI53" i="6" s="1"/>
  <c r="R212" i="7"/>
  <c r="Q212" i="7"/>
  <c r="I219" i="7"/>
  <c r="D239" i="8" s="1"/>
  <c r="AH192" i="6"/>
  <c r="AI192" i="6" s="1"/>
  <c r="AE121" i="6"/>
  <c r="AH121" i="6" s="1"/>
  <c r="AI121" i="6" s="1"/>
  <c r="AF236" i="6"/>
  <c r="I67" i="7"/>
  <c r="D224" i="8" s="1"/>
  <c r="L130" i="7"/>
  <c r="E63" i="8"/>
  <c r="G63" i="8" s="1"/>
  <c r="E96" i="8"/>
  <c r="G96" i="8" s="1"/>
  <c r="W86" i="6"/>
  <c r="AE86" i="6" s="1"/>
  <c r="AH86" i="6" s="1"/>
  <c r="AI86" i="6" s="1"/>
  <c r="AE123" i="6"/>
  <c r="AG123" i="6" s="1"/>
  <c r="S123" i="7" s="1"/>
  <c r="AJ236" i="6"/>
  <c r="E229" i="8"/>
  <c r="G229" i="8" s="1"/>
  <c r="I231" i="7"/>
  <c r="D78" i="8" s="1"/>
  <c r="Q230" i="7"/>
  <c r="AH32" i="6"/>
  <c r="AI32" i="6" s="1"/>
  <c r="E100" i="8"/>
  <c r="G100" i="8" s="1"/>
  <c r="I125" i="7"/>
  <c r="D111" i="8" s="1"/>
  <c r="E111" i="8"/>
  <c r="G111" i="8" s="1"/>
  <c r="AF32" i="6"/>
  <c r="I239" i="7"/>
  <c r="D174" i="8" s="1"/>
  <c r="L228" i="7"/>
  <c r="L185" i="7"/>
  <c r="L189" i="7"/>
  <c r="AJ141" i="6"/>
  <c r="B59" i="11"/>
  <c r="L75" i="7"/>
  <c r="AI217" i="6"/>
  <c r="L15" i="7"/>
  <c r="AF219" i="6"/>
  <c r="AH60" i="6"/>
  <c r="AI60" i="6" s="1"/>
  <c r="R166" i="7"/>
  <c r="P166" i="7"/>
  <c r="AE28" i="6"/>
  <c r="AJ28" i="6"/>
  <c r="AJ11" i="6"/>
  <c r="AE11" i="6"/>
  <c r="AJ87" i="6"/>
  <c r="AE87" i="6"/>
  <c r="AH87" i="6" s="1"/>
  <c r="AI87" i="6" s="1"/>
  <c r="L157" i="7"/>
  <c r="I157" i="7"/>
  <c r="D168" i="8" s="1"/>
  <c r="E168" i="8"/>
  <c r="G168" i="8" s="1"/>
  <c r="AF126" i="6"/>
  <c r="AG126" i="6"/>
  <c r="S126" i="7" s="1"/>
  <c r="Q184" i="7"/>
  <c r="R184" i="7"/>
  <c r="R202" i="7"/>
  <c r="L172" i="7"/>
  <c r="F53" i="8"/>
  <c r="AI105" i="6"/>
  <c r="W118" i="6"/>
  <c r="W227" i="6"/>
  <c r="AJ227" i="6" s="1"/>
  <c r="AI178" i="6"/>
  <c r="W119" i="6"/>
  <c r="W57" i="6"/>
  <c r="H114" i="7"/>
  <c r="Q116" i="7"/>
  <c r="R63" i="7"/>
  <c r="Q85" i="7"/>
  <c r="U189" i="6"/>
  <c r="R97" i="7"/>
  <c r="W234" i="6"/>
  <c r="H23" i="7"/>
  <c r="H83" i="7"/>
  <c r="R127" i="7"/>
  <c r="Q141" i="7"/>
  <c r="Q155" i="7"/>
  <c r="R41" i="7"/>
  <c r="Q26" i="7"/>
  <c r="AF58" i="6"/>
  <c r="AH163" i="6"/>
  <c r="AI163" i="6" s="1"/>
  <c r="AJ58" i="6"/>
  <c r="AJ65" i="6"/>
  <c r="E5" i="8"/>
  <c r="G5" i="8" s="1"/>
  <c r="AE164" i="6"/>
  <c r="AH164" i="6" s="1"/>
  <c r="AI164" i="6" s="1"/>
  <c r="E153" i="8"/>
  <c r="G153" i="8" s="1"/>
  <c r="I213" i="7"/>
  <c r="D205" i="8" s="1"/>
  <c r="Q145" i="7"/>
  <c r="AE108" i="6"/>
  <c r="AF108" i="6" s="1"/>
  <c r="AE85" i="6"/>
  <c r="AJ85" i="6"/>
  <c r="AE95" i="6"/>
  <c r="AF95" i="6" s="1"/>
  <c r="AF217" i="6"/>
  <c r="AJ196" i="6"/>
  <c r="R163" i="7"/>
  <c r="E186" i="8"/>
  <c r="G186" i="8" s="1"/>
  <c r="AF205" i="6"/>
  <c r="R112" i="7"/>
  <c r="L175" i="7"/>
  <c r="R46" i="7"/>
  <c r="Q31" i="7"/>
  <c r="R10" i="7"/>
  <c r="R106" i="7"/>
  <c r="AJ168" i="6"/>
  <c r="I41" i="7"/>
  <c r="D177" i="8" s="1"/>
  <c r="L156" i="7"/>
  <c r="AE68" i="6"/>
  <c r="AJ215" i="6"/>
  <c r="E66" i="8"/>
  <c r="G66" i="8" s="1"/>
  <c r="AE107" i="6"/>
  <c r="AH107" i="6" s="1"/>
  <c r="AI107" i="6" s="1"/>
  <c r="AI242" i="6"/>
  <c r="AI219" i="6"/>
  <c r="AJ91" i="6"/>
  <c r="AJ242" i="6"/>
  <c r="I98" i="7"/>
  <c r="D182" i="8" s="1"/>
  <c r="AF151" i="6"/>
  <c r="AG151" i="6"/>
  <c r="S151" i="7" s="1"/>
  <c r="E112" i="8"/>
  <c r="G112" i="8" s="1"/>
  <c r="I4" i="7"/>
  <c r="D112" i="8" s="1"/>
  <c r="F220" i="8"/>
  <c r="L80" i="7"/>
  <c r="AJ55" i="6"/>
  <c r="AE55" i="6"/>
  <c r="I42" i="7"/>
  <c r="D137" i="8" s="1"/>
  <c r="E137" i="8"/>
  <c r="G137" i="8" s="1"/>
  <c r="I110" i="7"/>
  <c r="D159" i="8" s="1"/>
  <c r="E159" i="8"/>
  <c r="G159" i="8" s="1"/>
  <c r="E85" i="8"/>
  <c r="G85" i="8" s="1"/>
  <c r="AG45" i="6"/>
  <c r="S45" i="7" s="1"/>
  <c r="B55" i="11"/>
  <c r="AE162" i="6"/>
  <c r="AH162" i="6" s="1"/>
  <c r="AI162" i="6" s="1"/>
  <c r="AJ162" i="6"/>
  <c r="L4" i="7"/>
  <c r="AF44" i="6"/>
  <c r="AH44" i="6"/>
  <c r="AI44" i="6" s="1"/>
  <c r="AF174" i="6"/>
  <c r="AH174" i="6"/>
  <c r="AI174" i="6" s="1"/>
  <c r="E200" i="8"/>
  <c r="G200" i="8" s="1"/>
  <c r="L240" i="7"/>
  <c r="I240" i="7"/>
  <c r="D200" i="8" s="1"/>
  <c r="AH151" i="6"/>
  <c r="AI151" i="6" s="1"/>
  <c r="AG174" i="6"/>
  <c r="S174" i="7" s="1"/>
  <c r="L65" i="7"/>
  <c r="AF45" i="6"/>
  <c r="AF4" i="6"/>
  <c r="L214" i="7"/>
  <c r="R32" i="7"/>
  <c r="AI61" i="6"/>
  <c r="AI98" i="6"/>
  <c r="W106" i="6"/>
  <c r="AG73" i="6"/>
  <c r="S73" i="7" s="1"/>
  <c r="L115" i="7"/>
  <c r="AH214" i="6"/>
  <c r="AI214" i="6" s="1"/>
  <c r="W97" i="6"/>
  <c r="L165" i="7"/>
  <c r="W7" i="6"/>
  <c r="W67" i="6"/>
  <c r="AJ142" i="6"/>
  <c r="AJ117" i="6"/>
  <c r="L150" i="7"/>
  <c r="AJ113" i="6"/>
  <c r="AG186" i="6"/>
  <c r="S186" i="7" s="1"/>
  <c r="AH186" i="6"/>
  <c r="AI186" i="6" s="1"/>
  <c r="AF186" i="6"/>
  <c r="AH54" i="6"/>
  <c r="AI54" i="6" s="1"/>
  <c r="AG54" i="6"/>
  <c r="S54" i="7" s="1"/>
  <c r="E76" i="8"/>
  <c r="G76" i="8" s="1"/>
  <c r="L73" i="7"/>
  <c r="I73" i="7"/>
  <c r="D76" i="8" s="1"/>
  <c r="Q117" i="7"/>
  <c r="R117" i="7"/>
  <c r="AJ241" i="6"/>
  <c r="AJ139" i="6"/>
  <c r="AE139" i="6"/>
  <c r="AG139" i="6" s="1"/>
  <c r="S139" i="7" s="1"/>
  <c r="AG30" i="6"/>
  <c r="S30" i="7" s="1"/>
  <c r="AH30" i="6"/>
  <c r="AI30" i="6" s="1"/>
  <c r="AJ122" i="6"/>
  <c r="Q52" i="7"/>
  <c r="R52" i="7"/>
  <c r="AF42" i="6"/>
  <c r="AH42" i="6"/>
  <c r="AI42" i="6" s="1"/>
  <c r="Q123" i="7"/>
  <c r="R123" i="7"/>
  <c r="L60" i="7"/>
  <c r="F196" i="8"/>
  <c r="AG142" i="6"/>
  <c r="S142" i="7" s="1"/>
  <c r="AF142" i="6"/>
  <c r="AH142" i="6"/>
  <c r="AI142" i="6" s="1"/>
  <c r="AJ48" i="6"/>
  <c r="AE48" i="6"/>
  <c r="A52" i="11" a="1"/>
  <c r="A52" i="11" s="1"/>
  <c r="AF148" i="6"/>
  <c r="L10" i="7"/>
  <c r="AG124" i="6"/>
  <c r="S124" i="7" s="1"/>
  <c r="AF124" i="6"/>
  <c r="AH83" i="6"/>
  <c r="AI83" i="6" s="1"/>
  <c r="AJ29" i="6"/>
  <c r="AE29" i="6"/>
  <c r="AF181" i="6"/>
  <c r="AG181" i="6"/>
  <c r="S181" i="7" s="1"/>
  <c r="Q164" i="7"/>
  <c r="R164" i="7"/>
  <c r="F218" i="8"/>
  <c r="L6" i="7"/>
  <c r="R50" i="7"/>
  <c r="Q50" i="7"/>
  <c r="Y111" i="6"/>
  <c r="W111" i="6"/>
  <c r="Y183" i="6"/>
  <c r="W183" i="6"/>
  <c r="F78" i="8"/>
  <c r="L231" i="7"/>
  <c r="AG238" i="6"/>
  <c r="S238" i="7" s="1"/>
  <c r="AF238" i="6"/>
  <c r="AF92" i="6"/>
  <c r="AH92" i="6"/>
  <c r="AI92" i="6" s="1"/>
  <c r="AJ186" i="6"/>
  <c r="AF175" i="6"/>
  <c r="AG175" i="6"/>
  <c r="S175" i="7" s="1"/>
  <c r="F99" i="8"/>
  <c r="L124" i="7"/>
  <c r="AI58" i="6"/>
  <c r="AH124" i="6"/>
  <c r="AI124" i="6" s="1"/>
  <c r="AG92" i="6"/>
  <c r="S92" i="7" s="1"/>
  <c r="AH152" i="6"/>
  <c r="AI152" i="6" s="1"/>
  <c r="I10" i="7"/>
  <c r="D94" i="8" s="1"/>
  <c r="L127" i="7"/>
  <c r="AF73" i="6"/>
  <c r="AJ49" i="6"/>
  <c r="AE100" i="6"/>
  <c r="W8" i="6"/>
  <c r="L28" i="7"/>
  <c r="AF101" i="6"/>
  <c r="AJ181" i="6"/>
  <c r="AJ192" i="6"/>
  <c r="AF27" i="6"/>
  <c r="F95" i="8"/>
  <c r="AE180" i="6"/>
  <c r="AJ180" i="6"/>
  <c r="E163" i="8"/>
  <c r="G163" i="8" s="1"/>
  <c r="L129" i="7"/>
  <c r="AI114" i="6"/>
  <c r="AI66" i="6"/>
  <c r="AH155" i="6"/>
  <c r="AI155" i="6" s="1"/>
  <c r="AH161" i="6"/>
  <c r="AI161" i="6" s="1"/>
  <c r="AF161" i="6"/>
  <c r="E243" i="8"/>
  <c r="G243" i="8" s="1"/>
  <c r="F219" i="8"/>
  <c r="L32" i="7"/>
  <c r="AE72" i="6"/>
  <c r="AJ72" i="6"/>
  <c r="AF154" i="6"/>
  <c r="AG154" i="6"/>
  <c r="S154" i="7" s="1"/>
  <c r="AH154" i="6"/>
  <c r="AI154" i="6" s="1"/>
  <c r="AF99" i="6"/>
  <c r="AG99" i="6"/>
  <c r="S99" i="7" s="1"/>
  <c r="AE103" i="6"/>
  <c r="AJ103" i="6"/>
  <c r="AI127" i="6"/>
  <c r="AI80" i="6"/>
  <c r="AI213" i="6"/>
  <c r="B52" i="11"/>
  <c r="AI33" i="6"/>
  <c r="AE69" i="6"/>
  <c r="AJ69" i="6"/>
  <c r="E202" i="8"/>
  <c r="G202" i="8" s="1"/>
  <c r="L100" i="7"/>
  <c r="L79" i="7"/>
  <c r="E75" i="8"/>
  <c r="G75" i="8" s="1"/>
  <c r="AH49" i="6"/>
  <c r="AI49" i="6" s="1"/>
  <c r="AH168" i="6"/>
  <c r="AI168" i="6" s="1"/>
  <c r="AG74" i="6"/>
  <c r="S74" i="7" s="1"/>
  <c r="L135" i="7"/>
  <c r="AJ62" i="6"/>
  <c r="L160" i="7"/>
  <c r="I160" i="7"/>
  <c r="D30" i="8" s="1"/>
  <c r="E175" i="8"/>
  <c r="G175" i="8" s="1"/>
  <c r="I13" i="7"/>
  <c r="D175" i="8" s="1"/>
  <c r="L13" i="7"/>
  <c r="I208" i="7"/>
  <c r="D241" i="8" s="1"/>
  <c r="E241" i="8"/>
  <c r="G241" i="8" s="1"/>
  <c r="AF49" i="6"/>
  <c r="I91" i="7"/>
  <c r="D19" i="8" s="1"/>
  <c r="E19" i="8"/>
  <c r="G19" i="8" s="1"/>
  <c r="E126" i="8"/>
  <c r="G126" i="8" s="1"/>
  <c r="L120" i="7"/>
  <c r="I178" i="7"/>
  <c r="D24" i="8" s="1"/>
  <c r="E24" i="8"/>
  <c r="G24" i="8" s="1"/>
  <c r="I211" i="7"/>
  <c r="D238" i="8" s="1"/>
  <c r="E238" i="8"/>
  <c r="G238" i="8" s="1"/>
  <c r="I194" i="7"/>
  <c r="D203" i="8" s="1"/>
  <c r="E203" i="8"/>
  <c r="G203" i="8" s="1"/>
  <c r="L94" i="7"/>
  <c r="AG161" i="6"/>
  <c r="S161" i="7" s="1"/>
  <c r="E9" i="8"/>
  <c r="G9" i="8" s="1"/>
  <c r="E33" i="8"/>
  <c r="G33" i="8" s="1"/>
  <c r="I217" i="7"/>
  <c r="D107" i="8" s="1"/>
  <c r="L217" i="7"/>
  <c r="AI130" i="6"/>
  <c r="R111" i="7"/>
  <c r="E62" i="8"/>
  <c r="G62" i="8" s="1"/>
  <c r="I102" i="7"/>
  <c r="D10" i="8" s="1"/>
  <c r="B60" i="11"/>
  <c r="R219" i="7"/>
  <c r="R47" i="7"/>
  <c r="AG27" i="6"/>
  <c r="S27" i="7" s="1"/>
  <c r="Q49" i="7"/>
  <c r="E187" i="8"/>
  <c r="G187" i="8" s="1"/>
  <c r="AI36" i="6"/>
  <c r="AJ167" i="6"/>
  <c r="AE167" i="6"/>
  <c r="AJ194" i="6"/>
  <c r="AH218" i="6"/>
  <c r="AI218" i="6" s="1"/>
  <c r="AG218" i="6"/>
  <c r="S218" i="7" s="1"/>
  <c r="AF30" i="6"/>
  <c r="AF80" i="6"/>
  <c r="Q101" i="7"/>
  <c r="AJ221" i="6"/>
  <c r="AE221" i="6"/>
  <c r="Q201" i="7"/>
  <c r="R201" i="7"/>
  <c r="AF127" i="6"/>
  <c r="AG127" i="6"/>
  <c r="S127" i="7" s="1"/>
  <c r="AG50" i="6"/>
  <c r="S50" i="7" s="1"/>
  <c r="AF50" i="6"/>
  <c r="I131" i="7"/>
  <c r="L131" i="7"/>
  <c r="D17" i="11"/>
  <c r="AE31" i="6"/>
  <c r="AJ31" i="6"/>
  <c r="F166" i="8"/>
  <c r="L37" i="7"/>
  <c r="AG6" i="6"/>
  <c r="S6" i="7" s="1"/>
  <c r="AH6" i="6"/>
  <c r="AI6" i="6" s="1"/>
  <c r="A17" i="11"/>
  <c r="W39" i="6"/>
  <c r="Y39" i="6"/>
  <c r="AF235" i="6"/>
  <c r="AH235" i="6"/>
  <c r="AI235" i="6" s="1"/>
  <c r="AG153" i="6"/>
  <c r="S153" i="7" s="1"/>
  <c r="AF153" i="6"/>
  <c r="W23" i="6"/>
  <c r="M9" i="11"/>
  <c r="F132" i="8"/>
  <c r="L105" i="7"/>
  <c r="B56" i="11"/>
  <c r="E89" i="8"/>
  <c r="G89" i="8" s="1"/>
  <c r="Q100" i="7"/>
  <c r="R100" i="7"/>
  <c r="R43" i="7"/>
  <c r="Q43" i="7"/>
  <c r="R51" i="7"/>
  <c r="Q51" i="7"/>
  <c r="AJ93" i="6"/>
  <c r="AJ217" i="6"/>
  <c r="AI34" i="6"/>
  <c r="AF230" i="6"/>
  <c r="AG230" i="6"/>
  <c r="S230" i="7" s="1"/>
  <c r="AH230" i="6"/>
  <c r="AI230" i="6" s="1"/>
  <c r="E92" i="8"/>
  <c r="G92" i="8" s="1"/>
  <c r="L184" i="7"/>
  <c r="AJ21" i="6"/>
  <c r="AE21" i="6"/>
  <c r="AE150" i="6"/>
  <c r="AJ150" i="6"/>
  <c r="AJ140" i="6"/>
  <c r="AE140" i="6"/>
  <c r="AJ204" i="6"/>
  <c r="AE204" i="6"/>
  <c r="AF178" i="6"/>
  <c r="AG178" i="6"/>
  <c r="S178" i="7" s="1"/>
  <c r="AG56" i="6"/>
  <c r="S56" i="7" s="1"/>
  <c r="AH56" i="6"/>
  <c r="AI56" i="6" s="1"/>
  <c r="AF56" i="6"/>
  <c r="AG130" i="6"/>
  <c r="S130" i="7" s="1"/>
  <c r="AJ230" i="6"/>
  <c r="AF130" i="6"/>
  <c r="L16" i="7" l="1"/>
  <c r="AG179" i="6"/>
  <c r="S179" i="7" s="1"/>
  <c r="AF40" i="6"/>
  <c r="AH12" i="6"/>
  <c r="AI12" i="6" s="1"/>
  <c r="AE187" i="6"/>
  <c r="AG187" i="6" s="1"/>
  <c r="S187" i="7" s="1"/>
  <c r="I159" i="7"/>
  <c r="D143" i="8" s="1"/>
  <c r="L188" i="7"/>
  <c r="L55" i="7"/>
  <c r="AE239" i="6"/>
  <c r="E231" i="8"/>
  <c r="G231" i="8" s="1"/>
  <c r="I30" i="7"/>
  <c r="D186" i="8" s="1"/>
  <c r="E45" i="8"/>
  <c r="G45" i="8" s="1"/>
  <c r="I55" i="7"/>
  <c r="D210" i="8" s="1"/>
  <c r="I162" i="7"/>
  <c r="D28" i="8" s="1"/>
  <c r="L106" i="7"/>
  <c r="I106" i="7"/>
  <c r="D41" i="8" s="1"/>
  <c r="I223" i="7"/>
  <c r="D36" i="8" s="1"/>
  <c r="E39" i="8"/>
  <c r="G39" i="8" s="1"/>
  <c r="L81" i="7"/>
  <c r="AJ151" i="6"/>
  <c r="L226" i="7"/>
  <c r="E211" i="8"/>
  <c r="G211" i="8" s="1"/>
  <c r="I229" i="7"/>
  <c r="D60" i="8" s="1"/>
  <c r="L45" i="7"/>
  <c r="L163" i="7"/>
  <c r="E4" i="8"/>
  <c r="G4" i="8" s="1"/>
  <c r="AG155" i="6"/>
  <c r="S155" i="7" s="1"/>
  <c r="AG70" i="6"/>
  <c r="S70" i="7" s="1"/>
  <c r="L119" i="7"/>
  <c r="E44" i="8"/>
  <c r="G44" i="8" s="1"/>
  <c r="I45" i="7"/>
  <c r="D129" i="8" s="1"/>
  <c r="E11" i="8"/>
  <c r="G11" i="8" s="1"/>
  <c r="AF74" i="6"/>
  <c r="I247" i="7"/>
  <c r="D243" i="8" s="1"/>
  <c r="L193" i="7"/>
  <c r="AE125" i="6"/>
  <c r="AH125" i="6" s="1"/>
  <c r="AI125" i="6" s="1"/>
  <c r="AE129" i="6"/>
  <c r="AH129" i="6" s="1"/>
  <c r="AG200" i="6"/>
  <c r="S200" i="7" s="1"/>
  <c r="AF171" i="6"/>
  <c r="AF12" i="6"/>
  <c r="E223" i="8"/>
  <c r="G223" i="8" s="1"/>
  <c r="AJ12" i="6"/>
  <c r="AH70" i="6"/>
  <c r="AI70" i="6" s="1"/>
  <c r="L85" i="7"/>
  <c r="I224" i="7"/>
  <c r="D118" i="8" s="1"/>
  <c r="L11" i="7"/>
  <c r="L198" i="7"/>
  <c r="E140" i="8"/>
  <c r="G140" i="8" s="1"/>
  <c r="L41" i="7"/>
  <c r="I232" i="7"/>
  <c r="D240" i="8" s="1"/>
  <c r="E246" i="8"/>
  <c r="G246" i="8" s="1"/>
  <c r="AJ200" i="6"/>
  <c r="E48" i="8"/>
  <c r="G48" i="8" s="1"/>
  <c r="I49" i="7"/>
  <c r="D8" i="8" s="1"/>
  <c r="AF200" i="6"/>
  <c r="AF242" i="6"/>
  <c r="E240" i="8"/>
  <c r="G240" i="8" s="1"/>
  <c r="L122" i="7"/>
  <c r="E32" i="8"/>
  <c r="G32" i="8" s="1"/>
  <c r="E7" i="8"/>
  <c r="G7" i="8" s="1"/>
  <c r="L18" i="7"/>
  <c r="I76" i="7"/>
  <c r="D144" i="8" s="1"/>
  <c r="L187" i="7"/>
  <c r="I32" i="7"/>
  <c r="D219" i="8" s="1"/>
  <c r="L22" i="7"/>
  <c r="E58" i="8"/>
  <c r="G58" i="8" s="1"/>
  <c r="E165" i="8"/>
  <c r="G165" i="8" s="1"/>
  <c r="I193" i="7"/>
  <c r="D95" i="8" s="1"/>
  <c r="E8" i="8"/>
  <c r="G8" i="8" s="1"/>
  <c r="AH25" i="6"/>
  <c r="AI25" i="6" s="1"/>
  <c r="AJ169" i="6"/>
  <c r="L246" i="7"/>
  <c r="AG190" i="6"/>
  <c r="S190" i="7" s="1"/>
  <c r="E31" i="8"/>
  <c r="G31" i="8" s="1"/>
  <c r="E18" i="8"/>
  <c r="G18" i="8" s="1"/>
  <c r="I6" i="7"/>
  <c r="D218" i="8" s="1"/>
  <c r="E155" i="8"/>
  <c r="G155" i="8" s="1"/>
  <c r="L128" i="7"/>
  <c r="L134" i="7"/>
  <c r="L48" i="7"/>
  <c r="I138" i="7"/>
  <c r="D22" i="8" s="1"/>
  <c r="L174" i="7"/>
  <c r="E115" i="8"/>
  <c r="G115" i="8" s="1"/>
  <c r="L215" i="7"/>
  <c r="E124" i="8"/>
  <c r="G124" i="8" s="1"/>
  <c r="L8" i="7"/>
  <c r="L173" i="7"/>
  <c r="I222" i="7"/>
  <c r="D233" i="8" s="1"/>
  <c r="E119" i="8"/>
  <c r="G119" i="8" s="1"/>
  <c r="AG25" i="6"/>
  <c r="S25" i="7" s="1"/>
  <c r="AG232" i="6"/>
  <c r="S232" i="7" s="1"/>
  <c r="AH10" i="6"/>
  <c r="AI10" i="6" s="1"/>
  <c r="AF224" i="6"/>
  <c r="AH171" i="6"/>
  <c r="AI171" i="6" s="1"/>
  <c r="AG63" i="6"/>
  <c r="S63" i="7" s="1"/>
  <c r="AH193" i="6"/>
  <c r="AI193" i="6" s="1"/>
  <c r="I215" i="7"/>
  <c r="D15" i="8" s="1"/>
  <c r="I209" i="7"/>
  <c r="D234" i="8" s="1"/>
  <c r="I236" i="7"/>
  <c r="D26" i="8" s="1"/>
  <c r="L138" i="7"/>
  <c r="E196" i="8"/>
  <c r="G196" i="8" s="1"/>
  <c r="L179" i="7"/>
  <c r="L87" i="7"/>
  <c r="I40" i="7"/>
  <c r="D198" i="8" s="1"/>
  <c r="I142" i="7"/>
  <c r="D93" i="8" s="1"/>
  <c r="I156" i="7"/>
  <c r="D59" i="8" s="1"/>
  <c r="L141" i="7"/>
  <c r="E47" i="8"/>
  <c r="G47" i="8" s="1"/>
  <c r="I237" i="7"/>
  <c r="D244" i="8" s="1"/>
  <c r="AG242" i="6"/>
  <c r="S242" i="7" s="1"/>
  <c r="I190" i="7"/>
  <c r="D125" i="8" s="1"/>
  <c r="L111" i="7"/>
  <c r="I122" i="7"/>
  <c r="D170" i="8" s="1"/>
  <c r="I179" i="7"/>
  <c r="D90" i="8" s="1"/>
  <c r="I168" i="7"/>
  <c r="D21" i="8" s="1"/>
  <c r="I221" i="7"/>
  <c r="D199" i="8" s="1"/>
  <c r="L142" i="7"/>
  <c r="L118" i="7"/>
  <c r="E56" i="8"/>
  <c r="G56" i="8" s="1"/>
  <c r="L113" i="7"/>
  <c r="AG87" i="6"/>
  <c r="S87" i="7" s="1"/>
  <c r="AF87" i="6"/>
  <c r="E61" i="8"/>
  <c r="G61" i="8" s="1"/>
  <c r="AJ185" i="6"/>
  <c r="AE94" i="6"/>
  <c r="AF94" i="6" s="1"/>
  <c r="AE165" i="6"/>
  <c r="AF165" i="6" s="1"/>
  <c r="E68" i="8"/>
  <c r="G68" i="8" s="1"/>
  <c r="I191" i="7"/>
  <c r="D61" i="8" s="1"/>
  <c r="AE89" i="6"/>
  <c r="AH65" i="6"/>
  <c r="AI65" i="6" s="1"/>
  <c r="AH40" i="6"/>
  <c r="AI40" i="6" s="1"/>
  <c r="AH123" i="6"/>
  <c r="AI123" i="6" s="1"/>
  <c r="AG239" i="6"/>
  <c r="S239" i="7" s="1"/>
  <c r="AF168" i="6"/>
  <c r="AH232" i="6"/>
  <c r="AI232" i="6" s="1"/>
  <c r="I47" i="7"/>
  <c r="D145" i="8" s="1"/>
  <c r="AJ131" i="6"/>
  <c r="AH231" i="6"/>
  <c r="AI231" i="6" s="1"/>
  <c r="AG10" i="6"/>
  <c r="S10" i="7" s="1"/>
  <c r="AH224" i="6"/>
  <c r="AI224" i="6" s="1"/>
  <c r="AG83" i="6"/>
  <c r="S83" i="7" s="1"/>
  <c r="AH4" i="6"/>
  <c r="AI4" i="6" s="1"/>
  <c r="AH190" i="6"/>
  <c r="AI190" i="6" s="1"/>
  <c r="AF63" i="6"/>
  <c r="AJ22" i="6"/>
  <c r="AG101" i="6"/>
  <c r="S101" i="7" s="1"/>
  <c r="AG88" i="6"/>
  <c r="S88" i="7" s="1"/>
  <c r="AF193" i="6"/>
  <c r="AF138" i="6"/>
  <c r="L21" i="7"/>
  <c r="AF231" i="6"/>
  <c r="AF109" i="6"/>
  <c r="I21" i="7"/>
  <c r="D147" i="8" s="1"/>
  <c r="AE195" i="6"/>
  <c r="AG195" i="6" s="1"/>
  <c r="S195" i="7" s="1"/>
  <c r="AE189" i="6"/>
  <c r="AH189" i="6" s="1"/>
  <c r="AI189" i="6" s="1"/>
  <c r="I198" i="7"/>
  <c r="D222" i="8" s="1"/>
  <c r="AE134" i="6"/>
  <c r="E242" i="8"/>
  <c r="G242" i="8" s="1"/>
  <c r="AF226" i="6"/>
  <c r="AE82" i="6"/>
  <c r="AH82" i="6" s="1"/>
  <c r="AI82" i="6" s="1"/>
  <c r="AG91" i="6"/>
  <c r="S91" i="7" s="1"/>
  <c r="AF160" i="6"/>
  <c r="AH19" i="6"/>
  <c r="AI19" i="6" s="1"/>
  <c r="AH22" i="6"/>
  <c r="AI22" i="6" s="1"/>
  <c r="AG22" i="6"/>
  <c r="S22" i="7" s="1"/>
  <c r="AG160" i="6"/>
  <c r="S160" i="7" s="1"/>
  <c r="I95" i="7"/>
  <c r="D45" i="8" s="1"/>
  <c r="AJ4" i="6"/>
  <c r="AJ137" i="6"/>
  <c r="AE75" i="6"/>
  <c r="AF75" i="6" s="1"/>
  <c r="AE51" i="6"/>
  <c r="AF51" i="6" s="1"/>
  <c r="AH148" i="6"/>
  <c r="AI148" i="6" s="1"/>
  <c r="AE26" i="6"/>
  <c r="AG26" i="6" s="1"/>
  <c r="S26" i="7" s="1"/>
  <c r="AJ235" i="6"/>
  <c r="AG191" i="6"/>
  <c r="S191" i="7" s="1"/>
  <c r="AH108" i="6"/>
  <c r="AI108" i="6" s="1"/>
  <c r="AF123" i="6"/>
  <c r="AH41" i="6"/>
  <c r="AI41" i="6" s="1"/>
  <c r="AG108" i="6"/>
  <c r="S108" i="7" s="1"/>
  <c r="AH138" i="6"/>
  <c r="AI138" i="6" s="1"/>
  <c r="AH139" i="6"/>
  <c r="AI139" i="6" s="1"/>
  <c r="AJ86" i="6"/>
  <c r="AG162" i="6"/>
  <c r="S162" i="7" s="1"/>
  <c r="AF88" i="6"/>
  <c r="AJ88" i="6"/>
  <c r="AH179" i="6"/>
  <c r="AI179" i="6" s="1"/>
  <c r="AF191" i="6"/>
  <c r="AE24" i="6"/>
  <c r="AG95" i="6"/>
  <c r="S95" i="7" s="1"/>
  <c r="AE115" i="6"/>
  <c r="AF115" i="6" s="1"/>
  <c r="AF131" i="6"/>
  <c r="AG131" i="6"/>
  <c r="S131" i="7" s="1"/>
  <c r="AF121" i="6"/>
  <c r="AF41" i="6"/>
  <c r="AE71" i="6"/>
  <c r="AF71" i="6" s="1"/>
  <c r="AH5" i="6"/>
  <c r="AI5" i="6" s="1"/>
  <c r="I170" i="7"/>
  <c r="D80" i="8" s="1"/>
  <c r="L170" i="7"/>
  <c r="E80" i="8"/>
  <c r="G80" i="8" s="1"/>
  <c r="AF185" i="6"/>
  <c r="AH185" i="6"/>
  <c r="AI185" i="6" s="1"/>
  <c r="AG185" i="6"/>
  <c r="S185" i="7" s="1"/>
  <c r="AF113" i="6"/>
  <c r="AG86" i="6"/>
  <c r="S86" i="7" s="1"/>
  <c r="AI129" i="6"/>
  <c r="AH46" i="6"/>
  <c r="AI46" i="6" s="1"/>
  <c r="AF91" i="6"/>
  <c r="L58" i="7"/>
  <c r="AG5" i="6"/>
  <c r="S5" i="7" s="1"/>
  <c r="AH226" i="6"/>
  <c r="AI226" i="6" s="1"/>
  <c r="AE147" i="6"/>
  <c r="AH147" i="6" s="1"/>
  <c r="AI147" i="6" s="1"/>
  <c r="AF46" i="6"/>
  <c r="AH79" i="6"/>
  <c r="AI79" i="6" s="1"/>
  <c r="I58" i="7"/>
  <c r="D169" i="8" s="1"/>
  <c r="AH95" i="6"/>
  <c r="AI95" i="6" s="1"/>
  <c r="AF79" i="6"/>
  <c r="AJ172" i="6"/>
  <c r="AE172" i="6"/>
  <c r="AJ197" i="6"/>
  <c r="AE197" i="6"/>
  <c r="AG152" i="6"/>
  <c r="S152" i="7" s="1"/>
  <c r="AF152" i="6"/>
  <c r="AG223" i="6"/>
  <c r="S223" i="7" s="1"/>
  <c r="AF223" i="6"/>
  <c r="AH223" i="6"/>
  <c r="AI223" i="6" s="1"/>
  <c r="AJ233" i="6"/>
  <c r="AE233" i="6"/>
  <c r="AH90" i="6"/>
  <c r="AI90" i="6" s="1"/>
  <c r="AF90" i="6"/>
  <c r="AG90" i="6"/>
  <c r="S90" i="7" s="1"/>
  <c r="AE35" i="6"/>
  <c r="AJ35" i="6"/>
  <c r="AG19" i="6"/>
  <c r="S19" i="7" s="1"/>
  <c r="L101" i="7"/>
  <c r="AF196" i="6"/>
  <c r="AG196" i="6"/>
  <c r="S196" i="7" s="1"/>
  <c r="AH196" i="6"/>
  <c r="AI196" i="6" s="1"/>
  <c r="AE227" i="6"/>
  <c r="AG227" i="6" s="1"/>
  <c r="S227" i="7" s="1"/>
  <c r="AJ184" i="6"/>
  <c r="AE184" i="6"/>
  <c r="AF162" i="6"/>
  <c r="AG164" i="6"/>
  <c r="S164" i="7" s="1"/>
  <c r="AJ202" i="6"/>
  <c r="AE202" i="6"/>
  <c r="AH120" i="6"/>
  <c r="AI120" i="6" s="1"/>
  <c r="AG120" i="6"/>
  <c r="S120" i="7" s="1"/>
  <c r="AF120" i="6"/>
  <c r="AG125" i="6"/>
  <c r="S125" i="7" s="1"/>
  <c r="AE149" i="6"/>
  <c r="AJ149" i="6"/>
  <c r="AH157" i="6"/>
  <c r="AI157" i="6" s="1"/>
  <c r="AF157" i="6"/>
  <c r="AG157" i="6"/>
  <c r="S157" i="7" s="1"/>
  <c r="AE188" i="6"/>
  <c r="AJ188" i="6"/>
  <c r="E181" i="8"/>
  <c r="G181" i="8" s="1"/>
  <c r="I74" i="7"/>
  <c r="D181" i="8" s="1"/>
  <c r="L74" i="7"/>
  <c r="AG229" i="6"/>
  <c r="S229" i="7" s="1"/>
  <c r="AF229" i="6"/>
  <c r="AH229" i="6"/>
  <c r="AI229" i="6" s="1"/>
  <c r="AG121" i="6"/>
  <c r="S121" i="7" s="1"/>
  <c r="I101" i="7"/>
  <c r="D138" i="8" s="1"/>
  <c r="J13" i="11"/>
  <c r="AE112" i="6"/>
  <c r="AJ112" i="6"/>
  <c r="AH228" i="6"/>
  <c r="AI228" i="6" s="1"/>
  <c r="AG228" i="6"/>
  <c r="S228" i="7" s="1"/>
  <c r="AF228" i="6"/>
  <c r="AE143" i="6"/>
  <c r="AJ143" i="6"/>
  <c r="AF86" i="6"/>
  <c r="AE176" i="6"/>
  <c r="AJ176" i="6"/>
  <c r="AJ96" i="6"/>
  <c r="AE96" i="6"/>
  <c r="I97" i="7"/>
  <c r="D23" i="8" s="1"/>
  <c r="E23" i="8"/>
  <c r="G23" i="8" s="1"/>
  <c r="L97" i="7"/>
  <c r="AE17" i="6"/>
  <c r="AJ17" i="6"/>
  <c r="AG107" i="6"/>
  <c r="S107" i="7" s="1"/>
  <c r="E74" i="8"/>
  <c r="G74" i="8" s="1"/>
  <c r="L62" i="7"/>
  <c r="I62" i="7"/>
  <c r="D74" i="8" s="1"/>
  <c r="AJ43" i="6"/>
  <c r="AE43" i="6"/>
  <c r="E150" i="8"/>
  <c r="G150" i="8" s="1"/>
  <c r="I38" i="7"/>
  <c r="D150" i="8" s="1"/>
  <c r="AE102" i="6"/>
  <c r="AJ102" i="6"/>
  <c r="AJ16" i="6"/>
  <c r="AE16" i="6"/>
  <c r="AG64" i="6"/>
  <c r="S64" i="7" s="1"/>
  <c r="AH64" i="6"/>
  <c r="AI64" i="6" s="1"/>
  <c r="AF64" i="6"/>
  <c r="AF107" i="6"/>
  <c r="I83" i="7"/>
  <c r="D20" i="8" s="1"/>
  <c r="E20" i="8"/>
  <c r="G20" i="8" s="1"/>
  <c r="L83" i="7"/>
  <c r="L114" i="7"/>
  <c r="I114" i="7"/>
  <c r="D14" i="8" s="1"/>
  <c r="E14" i="8"/>
  <c r="G14" i="8" s="1"/>
  <c r="AF11" i="6"/>
  <c r="AH11" i="6"/>
  <c r="AI11" i="6" s="1"/>
  <c r="AG11" i="6"/>
  <c r="S11" i="7" s="1"/>
  <c r="L23" i="7"/>
  <c r="I23" i="7"/>
  <c r="D114" i="8" s="1"/>
  <c r="E114" i="8"/>
  <c r="G114" i="8" s="1"/>
  <c r="AJ57" i="6"/>
  <c r="AE57" i="6"/>
  <c r="AJ118" i="6"/>
  <c r="AE118" i="6"/>
  <c r="AF139" i="6"/>
  <c r="AH113" i="6"/>
  <c r="AI113" i="6" s="1"/>
  <c r="AF164" i="6"/>
  <c r="AE234" i="6"/>
  <c r="AJ234" i="6"/>
  <c r="AJ119" i="6"/>
  <c r="AE119" i="6"/>
  <c r="AF28" i="6"/>
  <c r="AG28" i="6"/>
  <c r="S28" i="7" s="1"/>
  <c r="AH28" i="6"/>
  <c r="AI28" i="6" s="1"/>
  <c r="AH68" i="6"/>
  <c r="AI68" i="6" s="1"/>
  <c r="AF68" i="6"/>
  <c r="AG68" i="6"/>
  <c r="S68" i="7" s="1"/>
  <c r="AH85" i="6"/>
  <c r="AI85" i="6" s="1"/>
  <c r="AG85" i="6"/>
  <c r="S85" i="7" s="1"/>
  <c r="AF85" i="6"/>
  <c r="AF125" i="6"/>
  <c r="AJ67" i="6"/>
  <c r="AE67" i="6"/>
  <c r="AJ97" i="6"/>
  <c r="AE97" i="6"/>
  <c r="AF129" i="6"/>
  <c r="AG129" i="6"/>
  <c r="S129" i="7" s="1"/>
  <c r="AE7" i="6"/>
  <c r="AJ7" i="6"/>
  <c r="AH137" i="6"/>
  <c r="AI137" i="6" s="1"/>
  <c r="AG137" i="6"/>
  <c r="S137" i="7" s="1"/>
  <c r="AF137" i="6"/>
  <c r="AG82" i="6"/>
  <c r="S82" i="7" s="1"/>
  <c r="AF82" i="6"/>
  <c r="AE106" i="6"/>
  <c r="AJ106" i="6"/>
  <c r="AG55" i="6"/>
  <c r="S55" i="7" s="1"/>
  <c r="AH55" i="6"/>
  <c r="AI55" i="6" s="1"/>
  <c r="AF55" i="6"/>
  <c r="AE8" i="6"/>
  <c r="AJ8" i="6"/>
  <c r="AG103" i="6"/>
  <c r="S103" i="7" s="1"/>
  <c r="AH103" i="6"/>
  <c r="AI103" i="6" s="1"/>
  <c r="AF103" i="6"/>
  <c r="AF180" i="6"/>
  <c r="AG180" i="6"/>
  <c r="S180" i="7" s="1"/>
  <c r="AH180" i="6"/>
  <c r="AI180" i="6" s="1"/>
  <c r="AH71" i="6"/>
  <c r="AI71" i="6" s="1"/>
  <c r="AH72" i="6"/>
  <c r="AI72" i="6" s="1"/>
  <c r="AG72" i="6"/>
  <c r="S72" i="7" s="1"/>
  <c r="AF72" i="6"/>
  <c r="AH165" i="6"/>
  <c r="AI165" i="6" s="1"/>
  <c r="AG100" i="6"/>
  <c r="S100" i="7" s="1"/>
  <c r="AF100" i="6"/>
  <c r="AH100" i="6"/>
  <c r="AI100" i="6" s="1"/>
  <c r="AJ111" i="6"/>
  <c r="AE111" i="6"/>
  <c r="AG48" i="6"/>
  <c r="S48" i="7" s="1"/>
  <c r="AF48" i="6"/>
  <c r="AH48" i="6"/>
  <c r="AI48" i="6" s="1"/>
  <c r="A20" i="11"/>
  <c r="AF169" i="6"/>
  <c r="AG169" i="6"/>
  <c r="S169" i="7" s="1"/>
  <c r="AH169" i="6"/>
  <c r="AI169" i="6" s="1"/>
  <c r="AE183" i="6"/>
  <c r="AJ183" i="6"/>
  <c r="AH29" i="6"/>
  <c r="AI29" i="6" s="1"/>
  <c r="AF29" i="6"/>
  <c r="AG29" i="6"/>
  <c r="S29" i="7" s="1"/>
  <c r="AH122" i="6"/>
  <c r="AI122" i="6" s="1"/>
  <c r="AG122" i="6"/>
  <c r="S122" i="7" s="1"/>
  <c r="AF122" i="6"/>
  <c r="AF241" i="6"/>
  <c r="AG241" i="6"/>
  <c r="S241" i="7" s="1"/>
  <c r="AH241" i="6"/>
  <c r="AI241" i="6" s="1"/>
  <c r="AH94" i="6"/>
  <c r="AI94" i="6" s="1"/>
  <c r="AG69" i="6"/>
  <c r="S69" i="7" s="1"/>
  <c r="AF69" i="6"/>
  <c r="AH69" i="6"/>
  <c r="AI69" i="6" s="1"/>
  <c r="AF62" i="6"/>
  <c r="AH62" i="6"/>
  <c r="AI62" i="6" s="1"/>
  <c r="AG62" i="6"/>
  <c r="S62" i="7" s="1"/>
  <c r="AG31" i="6"/>
  <c r="S31" i="7" s="1"/>
  <c r="AH31" i="6"/>
  <c r="AI31" i="6" s="1"/>
  <c r="AF31" i="6"/>
  <c r="D46" i="8"/>
  <c r="AH93" i="6"/>
  <c r="AI93" i="6" s="1"/>
  <c r="AF93" i="6"/>
  <c r="AG93" i="6"/>
  <c r="S93" i="7" s="1"/>
  <c r="AE23" i="6"/>
  <c r="A13" i="11"/>
  <c r="B62" i="11" s="1"/>
  <c r="J17" i="11"/>
  <c r="B40" i="11"/>
  <c r="B37" i="11"/>
  <c r="G9" i="11" a="1"/>
  <c r="G9" i="11" s="1"/>
  <c r="AJ23" i="6"/>
  <c r="D9" i="11"/>
  <c r="D13" i="11"/>
  <c r="B35" i="11"/>
  <c r="G13" i="11"/>
  <c r="B36" i="11"/>
  <c r="B34" i="11"/>
  <c r="B38" i="11"/>
  <c r="M5" i="11"/>
  <c r="B39" i="11"/>
  <c r="J5" i="11" a="1"/>
  <c r="J5" i="11" s="1"/>
  <c r="AG221" i="6"/>
  <c r="S221" i="7" s="1"/>
  <c r="AH221" i="6"/>
  <c r="AI221" i="6" s="1"/>
  <c r="AF221" i="6"/>
  <c r="AG167" i="6"/>
  <c r="S167" i="7" s="1"/>
  <c r="AF167" i="6"/>
  <c r="AH167" i="6"/>
  <c r="AI167" i="6" s="1"/>
  <c r="AJ39" i="6"/>
  <c r="AE39" i="6"/>
  <c r="A9" i="11" s="1"/>
  <c r="B58" i="11" s="1"/>
  <c r="AG194" i="6"/>
  <c r="S194" i="7" s="1"/>
  <c r="AF194" i="6"/>
  <c r="AH194" i="6"/>
  <c r="AI194" i="6" s="1"/>
  <c r="AF140" i="6"/>
  <c r="AH140" i="6"/>
  <c r="AI140" i="6" s="1"/>
  <c r="AG140" i="6"/>
  <c r="S140" i="7" s="1"/>
  <c r="AG204" i="6"/>
  <c r="S204" i="7" s="1"/>
  <c r="AH204" i="6"/>
  <c r="AI204" i="6" s="1"/>
  <c r="AF204" i="6"/>
  <c r="AF21" i="6"/>
  <c r="AH21" i="6"/>
  <c r="AI21" i="6" s="1"/>
  <c r="AG21" i="6"/>
  <c r="S21" i="7" s="1"/>
  <c r="AH150" i="6"/>
  <c r="AI150" i="6" s="1"/>
  <c r="AG150" i="6"/>
  <c r="S150" i="7" s="1"/>
  <c r="AF150" i="6"/>
  <c r="AH187" i="6" l="1"/>
  <c r="AI187" i="6" s="1"/>
  <c r="AF187" i="6"/>
  <c r="AH239" i="6"/>
  <c r="AI239" i="6" s="1"/>
  <c r="AF239" i="6"/>
  <c r="AH75" i="6"/>
  <c r="AI75" i="6" s="1"/>
  <c r="AG115" i="6"/>
  <c r="S115" i="7" s="1"/>
  <c r="AG165" i="6"/>
  <c r="S165" i="7" s="1"/>
  <c r="AG71" i="6"/>
  <c r="S71" i="7" s="1"/>
  <c r="AH51" i="6"/>
  <c r="AI51" i="6" s="1"/>
  <c r="AG51" i="6"/>
  <c r="S51" i="7" s="1"/>
  <c r="AF195" i="6"/>
  <c r="AG94" i="6"/>
  <c r="S94" i="7" s="1"/>
  <c r="AG89" i="6"/>
  <c r="S89" i="7" s="1"/>
  <c r="AH89" i="6"/>
  <c r="AI89" i="6" s="1"/>
  <c r="AF89" i="6"/>
  <c r="AG75" i="6"/>
  <c r="S75" i="7" s="1"/>
  <c r="AH195" i="6"/>
  <c r="AI195" i="6" s="1"/>
  <c r="AH115" i="6"/>
  <c r="AI115" i="6" s="1"/>
  <c r="AH26" i="6"/>
  <c r="AI26" i="6" s="1"/>
  <c r="AG189" i="6"/>
  <c r="S189" i="7" s="1"/>
  <c r="AH134" i="6"/>
  <c r="AI134" i="6" s="1"/>
  <c r="AG134" i="6"/>
  <c r="S134" i="7" s="1"/>
  <c r="AF134" i="6"/>
  <c r="AF26" i="6"/>
  <c r="AF189" i="6"/>
  <c r="D10" i="9"/>
  <c r="D15" i="9"/>
  <c r="AG24" i="6"/>
  <c r="S24" i="7" s="1"/>
  <c r="AH24" i="6"/>
  <c r="AI24" i="6" s="1"/>
  <c r="AF24" i="6"/>
  <c r="D14" i="9"/>
  <c r="D13" i="9"/>
  <c r="D8" i="9"/>
  <c r="D5" i="9"/>
  <c r="D16" i="9"/>
  <c r="D6" i="9"/>
  <c r="AF147" i="6"/>
  <c r="AG147" i="6"/>
  <c r="S147" i="7" s="1"/>
  <c r="D11" i="9"/>
  <c r="D4" i="9"/>
  <c r="D12" i="9"/>
  <c r="D7" i="9"/>
  <c r="D9" i="9"/>
  <c r="AH35" i="6"/>
  <c r="AI35" i="6" s="1"/>
  <c r="AF35" i="6"/>
  <c r="AG35" i="6"/>
  <c r="S35" i="7" s="1"/>
  <c r="AG233" i="6"/>
  <c r="S233" i="7" s="1"/>
  <c r="AF233" i="6"/>
  <c r="AH233" i="6"/>
  <c r="AI233" i="6" s="1"/>
  <c r="AH172" i="6"/>
  <c r="AI172" i="6" s="1"/>
  <c r="AG172" i="6"/>
  <c r="S172" i="7" s="1"/>
  <c r="AF172" i="6"/>
  <c r="AF197" i="6"/>
  <c r="AG197" i="6"/>
  <c r="S197" i="7" s="1"/>
  <c r="AH197" i="6"/>
  <c r="AI197" i="6" s="1"/>
  <c r="AF184" i="6"/>
  <c r="AG184" i="6"/>
  <c r="S184" i="7" s="1"/>
  <c r="AH184" i="6"/>
  <c r="AI184" i="6" s="1"/>
  <c r="AF202" i="6"/>
  <c r="AG202" i="6"/>
  <c r="S202" i="7" s="1"/>
  <c r="AH202" i="6"/>
  <c r="AI202" i="6" s="1"/>
  <c r="AH149" i="6"/>
  <c r="AI149" i="6" s="1"/>
  <c r="AG149" i="6"/>
  <c r="S149" i="7" s="1"/>
  <c r="AF149" i="6"/>
  <c r="AH227" i="6"/>
  <c r="AI227" i="6" s="1"/>
  <c r="AF227" i="6"/>
  <c r="AG112" i="6"/>
  <c r="S112" i="7" s="1"/>
  <c r="AH112" i="6"/>
  <c r="AI112" i="6" s="1"/>
  <c r="AF112" i="6"/>
  <c r="AF143" i="6"/>
  <c r="AH143" i="6"/>
  <c r="AI143" i="6" s="1"/>
  <c r="AG143" i="6"/>
  <c r="S143" i="7" s="1"/>
  <c r="AH188" i="6"/>
  <c r="AI188" i="6" s="1"/>
  <c r="AF188" i="6"/>
  <c r="AG188" i="6"/>
  <c r="S188" i="7" s="1"/>
  <c r="AG16" i="6"/>
  <c r="S16" i="7" s="1"/>
  <c r="AF16" i="6"/>
  <c r="AH16" i="6"/>
  <c r="AI16" i="6" s="1"/>
  <c r="AF176" i="6"/>
  <c r="AG176" i="6"/>
  <c r="S176" i="7" s="1"/>
  <c r="AH176" i="6"/>
  <c r="AI176" i="6" s="1"/>
  <c r="AG17" i="6"/>
  <c r="S17" i="7" s="1"/>
  <c r="AH17" i="6"/>
  <c r="AI17" i="6" s="1"/>
  <c r="AF17" i="6"/>
  <c r="AF96" i="6"/>
  <c r="AH96" i="6"/>
  <c r="AI96" i="6" s="1"/>
  <c r="AG96" i="6"/>
  <c r="S96" i="7" s="1"/>
  <c r="AF43" i="6"/>
  <c r="AH43" i="6"/>
  <c r="AI43" i="6" s="1"/>
  <c r="AG43" i="6"/>
  <c r="S43" i="7" s="1"/>
  <c r="AF102" i="6"/>
  <c r="AH102" i="6"/>
  <c r="AI102" i="6" s="1"/>
  <c r="AG102" i="6"/>
  <c r="S102" i="7" s="1"/>
  <c r="AF57" i="6"/>
  <c r="AH57" i="6"/>
  <c r="AI57" i="6" s="1"/>
  <c r="AG57" i="6"/>
  <c r="S57" i="7" s="1"/>
  <c r="AF234" i="6"/>
  <c r="AH234" i="6"/>
  <c r="AI234" i="6" s="1"/>
  <c r="AG234" i="6"/>
  <c r="S234" i="7" s="1"/>
  <c r="AH118" i="6"/>
  <c r="AI118" i="6" s="1"/>
  <c r="AF118" i="6"/>
  <c r="AG118" i="6"/>
  <c r="S118" i="7" s="1"/>
  <c r="AH119" i="6"/>
  <c r="AI119" i="6" s="1"/>
  <c r="AG119" i="6"/>
  <c r="S119" i="7" s="1"/>
  <c r="AF119" i="6"/>
  <c r="AH7" i="6"/>
  <c r="AI7" i="6" s="1"/>
  <c r="AG7" i="6"/>
  <c r="S7" i="7" s="1"/>
  <c r="AF7" i="6"/>
  <c r="AH67" i="6"/>
  <c r="AI67" i="6" s="1"/>
  <c r="AF67" i="6"/>
  <c r="AG67" i="6"/>
  <c r="S67" i="7" s="1"/>
  <c r="AF106" i="6"/>
  <c r="AH106" i="6"/>
  <c r="AI106" i="6" s="1"/>
  <c r="AG106" i="6"/>
  <c r="S106" i="7" s="1"/>
  <c r="AG97" i="6"/>
  <c r="S97" i="7" s="1"/>
  <c r="AF97" i="6"/>
  <c r="AH97" i="6"/>
  <c r="AI97" i="6" s="1"/>
  <c r="AF183" i="6"/>
  <c r="AH183" i="6"/>
  <c r="AI183" i="6" s="1"/>
  <c r="AG183" i="6"/>
  <c r="S183" i="7" s="1"/>
  <c r="AH111" i="6"/>
  <c r="AI111" i="6" s="1"/>
  <c r="AF111" i="6"/>
  <c r="AG111" i="6"/>
  <c r="S111" i="7" s="1"/>
  <c r="AF8" i="6"/>
  <c r="AH8" i="6"/>
  <c r="AI8" i="6" s="1"/>
  <c r="AG8" i="6"/>
  <c r="S8" i="7" s="1"/>
  <c r="AF39" i="6"/>
  <c r="AH39" i="6"/>
  <c r="AI39" i="6" s="1"/>
  <c r="AG39" i="6"/>
  <c r="S39" i="7" s="1"/>
  <c r="AG23" i="6"/>
  <c r="S23" i="7" s="1"/>
  <c r="AF23" i="6"/>
  <c r="AH23" i="6"/>
  <c r="AI23" i="6" s="1"/>
  <c r="C14" i="9"/>
  <c r="E44" i="11" s="1"/>
  <c r="C8" i="9"/>
  <c r="E38" i="11" s="1"/>
  <c r="C9" i="9"/>
  <c r="E39" i="11" s="1"/>
  <c r="C7" i="9"/>
  <c r="E37" i="11" s="1"/>
  <c r="C13" i="9"/>
  <c r="E43" i="11" s="1"/>
  <c r="C12" i="9"/>
  <c r="E42" i="11" s="1"/>
  <c r="C15" i="9"/>
  <c r="E45" i="11" s="1"/>
  <c r="C4" i="9"/>
  <c r="E34" i="11" s="1"/>
  <c r="C6" i="9"/>
  <c r="E36" i="11" s="1"/>
  <c r="C11" i="9"/>
  <c r="E41" i="11" s="1"/>
  <c r="C16" i="9"/>
  <c r="E46" i="11" s="1"/>
  <c r="C5" i="9"/>
  <c r="E35" i="11" s="1"/>
  <c r="C10" i="9"/>
  <c r="E40"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<sst xmlns="http://schemas.openxmlformats.org/spreadsheetml/2006/main" count="19507" uniqueCount="3427">
  <si>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</si>
  <si>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</si>
  <si>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</si>
  <si>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</si>
  <si>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</si>
  <si>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</si>
  <si>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</si>
  <si>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</si>
  <si>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</si>
  <si>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</si>
  <si>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</si>
  <si>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</si>
  <si>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</si>
  <si>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</si>
  <si>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</si>
  <si>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</si>
  <si>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</si>
  <si>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</si>
  <si>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</si>
  <si>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</si>
  <si>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</si>
  <si>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</si>
  <si>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</si>
  <si>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</si>
  <si>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</si>
  <si>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</si>
  <si>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</si>
  <si>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</si>
  <si>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</si>
  <si>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</si>
  <si>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</si>
  <si>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</si>
  <si>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</si>
  <si>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</si>
  <si>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</si>
  <si>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</si>
  <si>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</si>
  <si>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</si>
  <si>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</si>
  <si>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</si>
  <si>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</si>
  <si>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</si>
  <si>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</si>
  <si>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</si>
  <si>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</si>
  <si>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</si>
  <si>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</si>
  <si>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</si>
  <si>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</si>
  <si>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</si>
  <si>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</si>
  <si>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</si>
  <si>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</si>
  <si>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</si>
  <si>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</si>
  <si>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</si>
  <si>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</si>
  <si>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</si>
  <si>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</si>
  <si>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</si>
  <si>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</si>
  <si>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</si>
  <si>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</si>
  <si>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</si>
  <si>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</si>
  <si>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</si>
  <si>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</si>
  <si>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</si>
  <si>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</si>
  <si>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</si>
  <si>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</si>
  <si>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</si>
  <si>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</si>
  <si>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</si>
  <si>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</si>
  <si>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</si>
  <si>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</si>
  <si>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</si>
  <si>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</si>
  <si>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</si>
  <si>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</si>
  <si>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</si>
  <si>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</si>
  <si>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</si>
  <si>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</si>
  <si>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</si>
  <si>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</si>
  <si>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</si>
  <si>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</si>
  <si>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</si>
  <si>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</si>
  <si>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</si>
  <si>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</si>
  <si>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</si>
  <si>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</si>
  <si>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</si>
  <si>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</si>
  <si>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</si>
  <si>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</si>
  <si>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</si>
  <si>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</si>
  <si>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</si>
  <si>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</si>
  <si>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</si>
  <si>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</si>
  <si>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</si>
  <si>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</si>
  <si>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</si>
  <si>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</si>
  <si>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</si>
  <si>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</si>
  <si>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</si>
  <si>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</si>
  <si>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</si>
  <si>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</si>
  <si>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</si>
  <si>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</si>
  <si>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</si>
  <si>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</si>
  <si>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</si>
  <si>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</si>
  <si>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</si>
  <si>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</si>
  <si>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</si>
  <si>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</si>
  <si>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</si>
  <si>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</si>
  <si>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</si>
  <si>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</si>
  <si>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</si>
  <si>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</si>
  <si>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</si>
  <si>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</si>
  <si>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</si>
  <si>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</si>
  <si>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</si>
  <si>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</si>
  <si>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</si>
  <si>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</si>
  <si>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</si>
  <si>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</si>
  <si>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</si>
  <si>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</si>
  <si>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</si>
  <si>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</si>
  <si>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</si>
  <si>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</si>
  <si>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</si>
  <si>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</si>
  <si>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</si>
  <si>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</si>
  <si>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</si>
  <si>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</si>
  <si>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</si>
  <si>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</si>
  <si>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</si>
  <si>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</si>
  <si>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</si>
  <si>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</si>
  <si>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</si>
  <si>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</si>
  <si>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</si>
  <si>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</si>
  <si>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</si>
  <si>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</si>
  <si>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</si>
  <si>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</si>
  <si>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</si>
  <si>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</si>
  <si>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</si>
  <si>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</si>
  <si>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</si>
  <si>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</si>
  <si>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</si>
  <si>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</si>
  <si>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</si>
  <si>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</si>
  <si>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</si>
  <si>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</si>
  <si>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</si>
  <si>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</si>
  <si>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</si>
  <si>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</si>
  <si>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</si>
  <si>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</si>
  <si>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</si>
  <si>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</si>
  <si>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</si>
  <si>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</si>
  <si>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</si>
  <si>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</si>
  <si>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</si>
  <si>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</si>
  <si>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</si>
  <si>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</si>
  <si>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</si>
  <si>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</si>
  <si>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</si>
  <si>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</si>
  <si>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</si>
  <si>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</si>
  <si>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</si>
  <si>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</si>
  <si>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</si>
  <si>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</si>
  <si>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</si>
  <si>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</si>
  <si>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</si>
  <si>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</si>
  <si>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</si>
  <si>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</si>
  <si>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</si>
  <si>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</si>
  <si>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</si>
  <si>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</si>
  <si>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</si>
  <si>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</si>
  <si>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</si>
  <si>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</si>
  <si>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</si>
  <si>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</si>
  <si>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</si>
  <si>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</si>
  <si>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</si>
  <si>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</si>
  <si>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</si>
  <si>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</si>
  <si>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</si>
  <si>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</si>
  <si>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</si>
  <si>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</si>
  <si>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</si>
  <si>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</si>
  <si>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</si>
  <si>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</si>
  <si>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</si>
  <si>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</si>
  <si>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</si>
  <si>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</si>
  <si>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</si>
  <si>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</si>
  <si>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</si>
  <si>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</si>
  <si>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</si>
  <si>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</si>
  <si>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</si>
  <si>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</si>
  <si>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</si>
  <si>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</si>
  <si>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</si>
  <si>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</si>
  <si>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</si>
  <si>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</si>
  <si>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</si>
  <si>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</si>
  <si>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</si>
  <si>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</si>
  <si>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</si>
  <si>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</si>
  <si>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</si>
  <si>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</si>
  <si>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</si>
  <si>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</si>
  <si>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</si>
  <si>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</si>
  <si>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</si>
  <si>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</si>
  <si>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</si>
  <si>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</si>
  <si>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</si>
  <si>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</si>
  <si>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</si>
  <si>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</si>
  <si>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</si>
  <si>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</si>
  <si>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</si>
  <si>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</si>
  <si>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</si>
  <si>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</si>
  <si>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</si>
  <si>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</si>
  <si>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</si>
  <si>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</si>
  <si>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</si>
  <si>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</si>
  <si>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</si>
  <si>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</si>
  <si>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</si>
  <si>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</si>
  <si>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</si>
  <si>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</si>
  <si>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</si>
  <si>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</si>
  <si>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</si>
  <si>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</si>
  <si>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</si>
  <si>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</si>
  <si>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</si>
  <si>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</si>
  <si>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</si>
  <si>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</si>
  <si>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</si>
  <si>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</si>
  <si>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</si>
  <si>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</si>
  <si>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</si>
  <si>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</si>
  <si>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</si>
  <si>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</si>
  <si>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</si>
  <si>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</si>
  <si>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</si>
  <si>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</si>
  <si>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</si>
  <si>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</si>
  <si>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</si>
  <si>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</si>
  <si>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</si>
  <si>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</si>
  <si>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</si>
  <si>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</si>
  <si>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</si>
  <si>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</si>
  <si>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</si>
  <si>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</si>
  <si>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</si>
  <si>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</si>
  <si>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</si>
  <si>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</si>
  <si>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</si>
  <si>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</si>
  <si>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</si>
  <si>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</si>
  <si>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</si>
  <si>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</si>
  <si>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</si>
  <si>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</si>
  <si>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</si>
  <si>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</si>
  <si>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</si>
  <si>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</si>
  <si>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</si>
  <si>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</si>
  <si>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</si>
  <si>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</si>
  <si>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</si>
  <si>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</si>
  <si>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</si>
  <si>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</si>
  <si>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</si>
  <si>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</si>
  <si>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</si>
  <si>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</si>
  <si>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</si>
  <si>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</si>
  <si>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</si>
  <si>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</si>
  <si>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</si>
  <si>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</si>
  <si>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</si>
  <si>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</si>
  <si>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</si>
  <si>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</si>
  <si>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</si>
  <si>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</si>
  <si>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</si>
  <si>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</si>
  <si>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</si>
  <si>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</si>
  <si>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</si>
  <si>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</si>
  <si>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</si>
  <si>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</si>
  <si>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</si>
  <si>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</si>
  <si>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</si>
  <si>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</si>
  <si>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</si>
  <si>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</si>
  <si>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</si>
  <si>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</si>
  <si>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</si>
  <si>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</si>
  <si>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</si>
  <si>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</si>
  <si>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</si>
  <si>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</si>
  <si>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</si>
  <si>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</si>
  <si>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</si>
  <si>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</si>
  <si>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</si>
  <si>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</si>
  <si>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</si>
  <si>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</si>
  <si>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</si>
  <si>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</si>
  <si>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</si>
  <si>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</si>
  <si>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</si>
  <si>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</si>
  <si>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</si>
  <si>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</si>
  <si>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</si>
  <si>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</si>
  <si>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</si>
  <si>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</si>
  <si>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</si>
  <si>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</si>
  <si>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</si>
  <si>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</si>
  <si>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</si>
  <si>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</si>
  <si>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</si>
  <si>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</si>
  <si>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</si>
  <si>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</si>
  <si>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</si>
  <si>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</si>
  <si>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</si>
  <si>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</si>
  <si>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</si>
  <si>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</si>
  <si>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</si>
  <si>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</si>
  <si>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</si>
  <si>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</si>
  <si>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</si>
  <si>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</si>
  <si>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</si>
  <si>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</si>
  <si>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</si>
  <si>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</si>
  <si>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</si>
  <si>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</si>
  <si>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</si>
  <si>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</si>
  <si>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</si>
  <si>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</si>
  <si>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</si>
  <si>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</si>
  <si>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</si>
  <si>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</si>
  <si>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</si>
  <si>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</si>
  <si>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</si>
  <si>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</si>
  <si>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</si>
  <si>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</si>
  <si>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</si>
  <si>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</si>
  <si>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</si>
  <si>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</si>
  <si>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</si>
  <si>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</si>
  <si>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</si>
  <si>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</si>
  <si>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</si>
  <si>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</si>
  <si>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</si>
  <si>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</si>
  <si>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</si>
  <si>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</si>
  <si>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</si>
  <si>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</si>
  <si>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</si>
  <si>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</si>
  <si>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</si>
  <si>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</si>
  <si>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</si>
  <si>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</si>
  <si>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</si>
  <si>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</si>
  <si>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</si>
  <si>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</si>
  <si>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</si>
  <si>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</si>
  <si>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</si>
  <si>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</si>
  <si>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</si>
  <si>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</si>
  <si>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</si>
  <si>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</si>
  <si>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</si>
  <si>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</si>
  <si>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</si>
  <si>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</si>
  <si>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</si>
  <si>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</si>
  <si>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</si>
  <si>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</si>
  <si>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</si>
  <si>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</si>
  <si>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</si>
  <si>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</si>
  <si>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</si>
  <si>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</si>
  <si>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</si>
  <si>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</si>
  <si>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</si>
  <si>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</si>
  <si>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</si>
  <si>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</si>
  <si>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</si>
  <si>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</si>
  <si>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</si>
  <si>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</si>
  <si>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</si>
  <si>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</si>
  <si>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</si>
  <si>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</si>
  <si>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</si>
  <si>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</si>
  <si>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</si>
  <si>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</si>
  <si>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</si>
  <si>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</si>
  <si>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</si>
  <si>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</si>
  <si>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</si>
  <si>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</si>
  <si>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</si>
  <si>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</si>
  <si>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</si>
  <si>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</si>
  <si>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</si>
  <si>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</si>
  <si>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</si>
  <si>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</si>
  <si>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</si>
  <si>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</si>
  <si>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</si>
  <si>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</si>
  <si>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</si>
  <si>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</si>
  <si>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</si>
  <si>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</si>
  <si>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</si>
  <si>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</si>
  <si>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</si>
  <si>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</si>
  <si>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</si>
  <si>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</si>
  <si>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</si>
  <si>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</si>
  <si>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</si>
  <si>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</si>
  <si>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</si>
  <si>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</si>
  <si>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</si>
  <si>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</si>
  <si>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</si>
  <si>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</si>
  <si>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</si>
  <si>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</si>
  <si>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</si>
  <si>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</si>
  <si>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</si>
  <si>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</si>
  <si>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</si>
  <si>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</si>
  <si>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</si>
  <si>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</si>
  <si>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</si>
  <si>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</si>
  <si>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</si>
  <si>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</si>
  <si>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</si>
  <si>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</si>
  <si>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</si>
  <si>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</si>
  <si>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</si>
  <si>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</si>
  <si>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</si>
  <si>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</si>
  <si>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</si>
  <si>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</si>
  <si>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</si>
  <si>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</si>
  <si>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</si>
  <si>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</si>
  <si>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</si>
  <si>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</si>
  <si>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</si>
  <si>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</si>
  <si>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</si>
  <si>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</si>
  <si>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</si>
  <si>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</si>
  <si>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</si>
  <si>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</si>
  <si>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</si>
  <si>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</si>
  <si>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</si>
  <si>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</si>
  <si>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</si>
  <si>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</si>
  <si>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</si>
  <si>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</si>
  <si>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</si>
  <si>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</si>
  <si>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</si>
  <si>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</si>
  <si>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</si>
  <si>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</si>
  <si>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</si>
  <si>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</si>
  <si>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</si>
  <si>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</si>
  <si>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</si>
  <si>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</si>
  <si>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</si>
  <si>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</si>
  <si>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</si>
  <si>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</si>
  <si>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</si>
  <si>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</si>
  <si>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</si>
  <si>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</si>
  <si>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</si>
  <si>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</si>
  <si>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</si>
  <si>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</si>
  <si>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</si>
  <si>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</si>
  <si>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</si>
  <si>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</si>
  <si>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</si>
  <si>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</si>
  <si>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</si>
  <si>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</si>
  <si>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</si>
  <si>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</si>
  <si>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</si>
  <si>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</si>
  <si>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</si>
  <si>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</si>
  <si>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</si>
  <si>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</si>
  <si>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</si>
  <si>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</si>
  <si>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</si>
  <si>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</si>
  <si>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</si>
  <si>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</si>
  <si>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</si>
  <si>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</si>
  <si>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</si>
  <si>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</si>
  <si>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</si>
  <si>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</si>
  <si>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</si>
  <si>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</si>
  <si>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</si>
  <si>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</si>
  <si>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</si>
  <si>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</si>
  <si>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</si>
  <si>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</si>
  <si>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</si>
  <si>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</si>
  <si>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</si>
  <si>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</si>
  <si>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</si>
  <si>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</si>
  <si>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</si>
  <si>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</si>
  <si>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</si>
  <si>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</si>
  <si>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</si>
  <si>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</si>
  <si>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</si>
  <si>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</si>
  <si>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</si>
  <si>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</si>
  <si>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</si>
  <si>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</si>
  <si>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</si>
  <si>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</si>
  <si>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</si>
  <si>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</si>
  <si>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</si>
  <si>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</si>
  <si>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</si>
  <si>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</si>
  <si>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</si>
  <si>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</si>
  <si>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</si>
  <si>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</si>
  <si>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</si>
  <si>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</si>
  <si>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</si>
  <si>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</si>
  <si>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</si>
  <si>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</si>
  <si>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</si>
  <si>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</si>
  <si>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</si>
  <si>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</si>
  <si>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</si>
  <si>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</si>
  <si>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</si>
  <si>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</si>
  <si>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</si>
  <si>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</si>
  <si>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</si>
  <si>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</si>
  <si>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</si>
  <si>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</si>
  <si>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</si>
  <si>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</si>
  <si>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</si>
  <si>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</si>
  <si>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</si>
  <si>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</si>
  <si>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</si>
  <si>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</si>
  <si>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</si>
  <si>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</si>
  <si>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</si>
  <si>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</si>
  <si>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</si>
  <si>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</si>
  <si>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</si>
  <si>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</si>
  <si>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</si>
  <si>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</si>
  <si>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</si>
  <si>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</si>
  <si>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</si>
  <si>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</si>
  <si>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</si>
  <si>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</si>
  <si>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</si>
  <si>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</si>
  <si>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</si>
  <si>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</si>
  <si>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</si>
  <si>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</si>
  <si>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</si>
  <si>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</si>
  <si>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</si>
  <si>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</si>
  <si>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</si>
  <si>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</si>
  <si>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</si>
  <si>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</si>
  <si>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</si>
  <si>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MANTENCIONES (EDITABLE)</t>
  </si>
  <si>
    <t>Tipo Mantencion</t>
  </si>
  <si>
    <t>Lectura</t>
  </si>
  <si>
    <t>EsPM</t>
  </si>
  <si>
    <t>Folio</t>
  </si>
  <si>
    <t>Lugar</t>
  </si>
  <si>
    <t>Mecanico</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</si>
  <si>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</si>
  <si>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</si>
  <si>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</si>
  <si>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</si>
  <si>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</si>
  <si>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</si>
  <si>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</si>
  <si>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</si>
  <si>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</si>
  <si>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</si>
  <si>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</si>
  <si>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</si>
  <si>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</si>
  <si>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</si>
  <si>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</si>
  <si>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</si>
  <si>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</si>
  <si>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</si>
  <si>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</si>
  <si>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</si>
  <si>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</si>
  <si>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</si>
  <si>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</si>
  <si>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</si>
  <si>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</si>
  <si>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</si>
  <si>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</si>
  <si>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</si>
  <si>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</si>
  <si>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</si>
  <si>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</si>
  <si>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</si>
  <si>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</si>
  <si>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</si>
  <si>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</si>
  <si>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</si>
  <si>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</si>
  <si>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</si>
  <si>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</si>
  <si>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</si>
  <si>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</si>
  <si>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</si>
  <si>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</si>
  <si>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</si>
  <si>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</si>
  <si>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</si>
  <si>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</si>
  <si>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</si>
  <si>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</si>
  <si>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</si>
  <si>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</si>
  <si>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</si>
  <si>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</si>
  <si>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Juan Medel</t>
  </si>
  <si>
    <t>COMPRAS PM (EDITABLE)</t>
  </si>
  <si>
    <t>OC</t>
  </si>
  <si>
    <t>Descripcion</t>
  </si>
  <si>
    <t>Proveedor</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</si>
  <si>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</si>
  <si>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</si>
  <si>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</si>
  <si>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</si>
  <si>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</si>
  <si>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</si>
  <si>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</si>
  <si>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</si>
  <si>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</si>
  <si>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</si>
  <si>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</si>
  <si>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</si>
  <si>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</si>
  <si>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</si>
  <si>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</si>
  <si>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</si>
  <si>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</si>
  <si>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</si>
  <si>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</si>
  <si>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</si>
  <si>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</si>
  <si>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</si>
  <si>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</si>
  <si>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</si>
  <si>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</si>
  <si>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</si>
  <si>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</si>
  <si>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</si>
  <si>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</si>
  <si>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</si>
  <si>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</si>
  <si>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</si>
  <si>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</si>
  <si>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</si>
  <si>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</si>
  <si>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</si>
  <si>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</si>
  <si>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</si>
  <si>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</si>
  <si>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</si>
  <si>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</si>
  <si>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</si>
  <si>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</si>
  <si>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</si>
  <si>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</si>
  <si>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</si>
  <si>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</si>
  <si>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</si>
  <si>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</si>
  <si>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</si>
  <si>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</si>
  <si>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</si>
  <si>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</si>
  <si>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</si>
  <si>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</si>
  <si>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</si>
  <si>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</si>
  <si>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</si>
  <si>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</si>
  <si>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</si>
  <si>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</si>
  <si>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</si>
  <si>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</si>
  <si>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</si>
  <si>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</si>
  <si>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</si>
  <si>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</si>
  <si>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</si>
  <si>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</si>
  <si>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</si>
  <si>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</si>
  <si>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</si>
  <si>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</si>
  <si>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</si>
  <si>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</si>
  <si>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</si>
  <si>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</si>
  <si>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</si>
  <si>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</si>
  <si>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</si>
  <si>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</si>
  <si>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</si>
  <si>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</si>
  <si>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</si>
  <si>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</si>
  <si>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</si>
  <si>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</si>
  <si>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</si>
  <si>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</si>
  <si>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</si>
  <si>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</si>
  <si>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</si>
  <si>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</si>
  <si>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</si>
  <si>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</si>
  <si>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</si>
  <si>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</si>
  <si>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</si>
  <si>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</si>
  <si>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</si>
  <si>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</si>
  <si>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</si>
  <si>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</si>
  <si>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</si>
  <si>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</si>
  <si>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</si>
  <si>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</si>
  <si>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</si>
  <si>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</si>
  <si>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</si>
  <si>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</si>
  <si>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</si>
  <si>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</si>
  <si>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</si>
  <si>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</si>
  <si>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</si>
  <si>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</si>
  <si>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</si>
  <si>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</si>
  <si>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</si>
  <si>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</si>
  <si>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</si>
  <si>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</si>
  <si>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</si>
  <si>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</si>
  <si>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</si>
  <si>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</si>
  <si>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</si>
  <si>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</si>
  <si>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</si>
  <si>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</si>
  <si>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</si>
  <si>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</si>
  <si>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</si>
  <si>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</si>
  <si>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</si>
  <si>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</si>
  <si>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</si>
  <si>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</si>
  <si>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</si>
  <si>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</si>
  <si>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</si>
  <si>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</si>
  <si>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</si>
  <si>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</si>
  <si>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</si>
  <si>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</si>
  <si>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</si>
  <si>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</si>
  <si>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</si>
  <si>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</si>
  <si>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</si>
  <si>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</si>
  <si>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</si>
  <si>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</si>
  <si>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</si>
  <si>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</si>
  <si>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</si>
  <si>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</si>
  <si>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</si>
  <si>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</si>
  <si>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</si>
  <si>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</si>
  <si>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</si>
  <si>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</si>
  <si>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</si>
  <si>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</si>
  <si>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</si>
  <si>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</si>
  <si>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</si>
  <si>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</si>
  <si>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</si>
  <si>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</si>
  <si>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</si>
  <si>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</si>
  <si>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</si>
  <si>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</si>
  <si>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</si>
  <si>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</si>
  <si>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</si>
  <si>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</si>
  <si>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</si>
  <si>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</si>
  <si>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</si>
  <si>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</si>
  <si>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</si>
  <si>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</si>
  <si>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</si>
  <si>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</si>
  <si>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</si>
  <si>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</si>
  <si>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</si>
  <si>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</si>
  <si>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</si>
  <si>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</si>
  <si>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</si>
  <si>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</si>
  <si>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</si>
  <si>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</si>
  <si>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</si>
  <si>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</si>
  <si>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</si>
  <si>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</si>
  <si>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</si>
  <si>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</si>
  <si>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</si>
  <si>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</si>
  <si>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</si>
  <si>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</si>
  <si>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</si>
  <si>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</si>
  <si>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</si>
  <si>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</si>
  <si>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</si>
  <si>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</si>
  <si>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</si>
  <si>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</si>
  <si>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</si>
  <si>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</si>
  <si>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</si>
  <si>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</si>
  <si>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</si>
  <si>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</si>
  <si>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</si>
  <si>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</si>
  <si>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</si>
  <si>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</si>
  <si>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</si>
  <si>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</si>
  <si>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</si>
  <si>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</si>
  <si>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</si>
  <si>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</si>
  <si>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</si>
  <si>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</si>
  <si>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</si>
  <si>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</si>
  <si>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</si>
  <si>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</si>
  <si>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</si>
  <si>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</si>
  <si>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</si>
  <si>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</si>
  <si>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</si>
  <si>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</si>
  <si>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</si>
  <si>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</si>
  <si>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</si>
  <si>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</si>
  <si>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</si>
  <si>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</si>
  <si>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</si>
  <si>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</si>
  <si>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</si>
  <si>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</si>
  <si>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</si>
  <si>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</si>
  <si>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</si>
  <si>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</si>
  <si>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</si>
  <si>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</si>
  <si>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</si>
  <si>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</si>
  <si>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</si>
  <si>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</si>
  <si>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</si>
  <si>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</si>
  <si>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</si>
  <si>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</si>
  <si>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</si>
  <si>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</si>
  <si>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</si>
  <si>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</si>
  <si>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</si>
  <si>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</si>
  <si>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</si>
  <si>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</si>
  <si>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</si>
  <si>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</si>
  <si>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</si>
  <si>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</si>
  <si>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</si>
  <si>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</si>
  <si>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</si>
  <si>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</si>
  <si>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</si>
  <si>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</si>
  <si>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</si>
  <si>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</si>
  <si>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</si>
  <si>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</si>
  <si>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</si>
  <si>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</si>
  <si>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</si>
  <si>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</si>
  <si>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</si>
  <si>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</si>
  <si>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</si>
  <si>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</si>
  <si>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</si>
  <si>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</si>
  <si>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</si>
  <si>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</si>
  <si>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</si>
  <si>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</si>
  <si>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</si>
  <si>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</si>
  <si>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</si>
  <si>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</si>
  <si>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</si>
  <si>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</si>
  <si>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</si>
  <si>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</si>
  <si>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</si>
  <si>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</si>
  <si>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</si>
  <si>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</si>
  <si>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</si>
  <si>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</si>
  <si>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</si>
  <si>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</si>
  <si>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</si>
  <si>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</si>
  <si>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</si>
  <si>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</si>
  <si>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</si>
  <si>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</si>
  <si>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</si>
  <si>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</si>
  <si>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</si>
  <si>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</si>
  <si>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</si>
  <si>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</si>
  <si>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</si>
  <si>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</si>
  <si>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</si>
  <si>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</si>
  <si>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</si>
  <si>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</si>
  <si>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</si>
  <si>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</si>
  <si>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</si>
  <si>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</si>
  <si>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</si>
  <si>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</si>
  <si>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</si>
  <si>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</si>
  <si>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</si>
  <si>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</si>
  <si>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</si>
  <si>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</si>
  <si>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</si>
  <si>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</si>
  <si>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</si>
  <si>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</si>
  <si>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</si>
  <si>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</si>
  <si>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</si>
  <si>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</si>
  <si>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</si>
  <si>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</si>
  <si>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</si>
  <si>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</si>
  <si>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</si>
  <si>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</si>
  <si>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</si>
  <si>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</si>
  <si>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</si>
  <si>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</si>
  <si>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</si>
  <si>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</si>
  <si>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</si>
  <si>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</si>
  <si>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</si>
  <si>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</si>
  <si>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</si>
  <si>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</si>
  <si>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</si>
  <si>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</si>
  <si>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</si>
  <si>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</si>
  <si>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</si>
  <si>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</si>
  <si>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</si>
  <si>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</si>
  <si>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</si>
  <si>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</si>
  <si>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</si>
  <si>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</si>
  <si>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</si>
  <si>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</si>
  <si>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</si>
  <si>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</si>
  <si>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</si>
  <si>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</si>
  <si>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</si>
  <si>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</si>
  <si>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</si>
  <si>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</si>
  <si>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</si>
  <si>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</si>
  <si>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</si>
  <si>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</si>
  <si>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</si>
  <si>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</si>
  <si>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</si>
  <si>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</si>
  <si>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</si>
  <si>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</si>
  <si>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</si>
  <si>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</si>
  <si>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</si>
  <si>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</si>
  <si>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</si>
  <si>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</si>
  <si>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</si>
  <si>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</si>
  <si>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</si>
  <si>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</si>
  <si>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</si>
  <si>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</si>
  <si>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</si>
  <si>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</si>
  <si>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</si>
  <si>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</si>
  <si>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</si>
  <si>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</si>
  <si>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</si>
  <si>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</si>
  <si>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</si>
  <si>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</si>
  <si>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</si>
  <si>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</si>
  <si>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</si>
  <si>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</si>
  <si>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</si>
  <si>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</si>
  <si>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</si>
  <si>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</si>
  <si>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</si>
  <si>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</si>
  <si>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</si>
  <si>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</si>
  <si>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</si>
  <si>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</si>
  <si>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</si>
  <si>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</si>
  <si>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</si>
  <si>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</si>
  <si>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</si>
  <si>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</si>
  <si>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</si>
  <si>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</si>
  <si>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</si>
  <si>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</si>
  <si>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</si>
  <si>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</si>
  <si>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</si>
  <si>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</si>
  <si>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</si>
  <si>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</si>
  <si>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</si>
  <si>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</si>
  <si>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</si>
  <si>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</si>
  <si>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</si>
  <si>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</si>
  <si>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</si>
  <si>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</si>
  <si>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</si>
  <si>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</si>
  <si>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</si>
  <si>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</si>
  <si>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</si>
  <si>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</si>
  <si>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</si>
  <si>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</si>
  <si>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</si>
  <si>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</si>
  <si>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</si>
  <si>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</si>
  <si>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</si>
  <si>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</si>
  <si>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</si>
  <si>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</si>
  <si>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</si>
  <si>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</si>
  <si>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</si>
  <si>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</si>
  <si>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</si>
  <si>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</si>
  <si>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</si>
  <si>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</si>
  <si>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</si>
  <si>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</si>
  <si>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</si>
  <si>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</si>
  <si>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</si>
  <si>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</si>
  <si>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</si>
  <si>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</si>
  <si>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</si>
  <si>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</si>
  <si>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</si>
  <si>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</si>
  <si>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</si>
  <si>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</si>
  <si>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</si>
  <si>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</si>
  <si>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</si>
  <si>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</si>
  <si>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</si>
  <si>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</si>
  <si>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</si>
  <si>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</si>
  <si>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</si>
  <si>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</si>
  <si>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</si>
  <si>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</si>
  <si>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</si>
  <si>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</si>
  <si>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</si>
  <si>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</si>
  <si>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</si>
  <si>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</si>
  <si>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</si>
  <si>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</si>
  <si>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</si>
  <si>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</si>
  <si>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</si>
  <si>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</si>
  <si>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</si>
  <si>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</si>
  <si>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</si>
  <si>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</si>
  <si>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</si>
  <si>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</si>
  <si>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</si>
  <si>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</si>
  <si>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</si>
  <si>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</si>
  <si>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Mantenciones Correctivas</t>
  </si>
  <si>
    <t>..</t>
  </si>
  <si>
    <t>Codigo Equipo</t>
  </si>
  <si>
    <t>Causa Raiz</t>
  </si>
  <si>
    <t>Costo CLP</t>
  </si>
  <si>
    <t>Lectura (Odo/Hor)</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</si>
  <si>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</si>
  <si>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</si>
  <si>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</si>
  <si>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</si>
  <si>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</si>
  <si>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</si>
  <si>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</si>
  <si>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</si>
  <si>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</si>
  <si>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</si>
  <si>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</si>
  <si>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</si>
  <si>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</si>
  <si>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</si>
  <si>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</si>
  <si>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</si>
  <si>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</si>
  <si>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</si>
  <si>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</si>
  <si>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</si>
  <si>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</si>
  <si>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</si>
  <si>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</si>
  <si>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</si>
  <si>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</si>
  <si>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</si>
  <si>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</si>
  <si>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</si>
  <si>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</si>
  <si>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</si>
  <si>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</si>
  <si>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</si>
  <si>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</si>
  <si>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</si>
  <si>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</si>
  <si>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</si>
  <si>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</si>
  <si>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</si>
  <si>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</si>
  <si>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</si>
  <si>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</si>
  <si>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</si>
  <si>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</si>
  <si>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</si>
  <si>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</si>
  <si>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</si>
  <si>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</si>
  <si>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</si>
  <si>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</si>
  <si>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</si>
  <si>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</si>
  <si>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</si>
  <si>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</si>
  <si>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</si>
  <si>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</si>
  <si>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</si>
  <si>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</si>
  <si>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</si>
  <si>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</si>
  <si>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</si>
  <si>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</si>
  <si>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</si>
  <si>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</si>
  <si>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</si>
  <si>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</si>
  <si>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</si>
  <si>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</si>
  <si>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</si>
  <si>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</si>
  <si>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</si>
  <si>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</si>
  <si>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</si>
  <si>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</si>
  <si>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</si>
  <si>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</si>
  <si>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</si>
  <si>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</si>
  <si>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</si>
  <si>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</si>
  <si>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</si>
  <si>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</si>
  <si>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</si>
  <si>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</si>
  <si>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</si>
  <si>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</si>
  <si>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</si>
  <si>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</si>
  <si>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</si>
  <si>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</si>
  <si>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</si>
  <si>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</si>
  <si>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</si>
  <si>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</si>
  <si>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</si>
  <si>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</si>
  <si>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</si>
  <si>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</si>
  <si>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</si>
  <si>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</si>
  <si>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</si>
  <si>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</si>
  <si>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</si>
  <si>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</si>
  <si>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</si>
  <si>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</si>
  <si>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</si>
  <si>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</si>
  <si>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</si>
  <si>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</si>
  <si>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</si>
  <si>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</si>
  <si>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</si>
  <si>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</si>
  <si>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</si>
  <si>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</si>
  <si>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</si>
  <si>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</si>
  <si>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</si>
  <si>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</si>
  <si>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</si>
  <si>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</si>
  <si>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</si>
  <si>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</si>
  <si>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</si>
  <si>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</si>
  <si>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</si>
  <si>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</si>
  <si>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</si>
  <si>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</si>
  <si>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</si>
  <si>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</si>
  <si>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</si>
  <si>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</si>
  <si>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</si>
  <si>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</si>
  <si>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</si>
  <si>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</si>
  <si>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</si>
  <si>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</si>
  <si>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</si>
  <si>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</si>
  <si>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</si>
  <si>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</si>
  <si>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</si>
  <si>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</si>
  <si>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</si>
  <si>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</si>
  <si>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</si>
  <si>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</si>
  <si>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</si>
  <si>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</si>
  <si>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</si>
  <si>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</si>
  <si>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</si>
  <si>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</si>
  <si>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</si>
  <si>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</si>
  <si>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</si>
  <si>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</si>
  <si>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</si>
  <si>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</si>
  <si>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</si>
  <si>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</si>
  <si>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</si>
  <si>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</si>
  <si>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</si>
  <si>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</si>
  <si>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</si>
  <si>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</si>
  <si>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</si>
  <si>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</si>
  <si>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</si>
  <si>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</si>
  <si>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</si>
  <si>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</si>
  <si>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</si>
  <si>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</si>
  <si>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</si>
  <si>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</si>
  <si>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</si>
  <si>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</si>
  <si>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</si>
  <si>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</si>
  <si>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</si>
  <si>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</si>
  <si>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</si>
  <si>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</si>
  <si>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</si>
  <si>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</si>
  <si>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</si>
  <si>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</si>
  <si>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</si>
  <si>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</si>
  <si>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</si>
  <si>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</si>
  <si>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</si>
  <si>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</si>
  <si>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</si>
  <si>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</si>
  <si>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</si>
  <si>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</si>
  <si>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</si>
  <si>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</si>
  <si>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</si>
  <si>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</si>
  <si>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</si>
  <si>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</si>
  <si>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</si>
  <si>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</si>
  <si>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</si>
  <si>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</si>
  <si>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</si>
  <si>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</si>
  <si>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</si>
  <si>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</si>
  <si>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</si>
  <si>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</si>
  <si>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</si>
  <si>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</si>
  <si>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</si>
  <si>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</si>
  <si>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</si>
  <si>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</si>
  <si>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</si>
  <si>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</si>
  <si>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</si>
  <si>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</si>
  <si>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</si>
  <si>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</si>
  <si>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</si>
  <si>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</si>
  <si>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</si>
  <si>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</si>
  <si>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</si>
  <si>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</si>
  <si>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</si>
  <si>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</si>
  <si>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</si>
  <si>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</si>
  <si>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</si>
  <si>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</si>
  <si>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</si>
  <si>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</si>
  <si>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</si>
  <si>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</si>
  <si>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</si>
  <si>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</si>
  <si>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</si>
  <si>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</si>
  <si>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</si>
  <si>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</si>
  <si>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</si>
  <si>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</si>
  <si>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</si>
  <si>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</si>
  <si>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</si>
  <si>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</si>
  <si>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</si>
  <si>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</si>
  <si>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</si>
  <si>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</si>
  <si>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</si>
  <si>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</si>
  <si>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</si>
  <si>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</si>
  <si>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</si>
  <si>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</si>
  <si>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</si>
  <si>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</si>
  <si>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</si>
  <si>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</si>
  <si>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</si>
  <si>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</si>
  <si>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</si>
  <si>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</si>
  <si>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</si>
  <si>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</si>
  <si>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</si>
  <si>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</si>
  <si>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</si>
  <si>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</si>
  <si>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</si>
  <si>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</si>
  <si>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</si>
  <si>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</si>
  <si>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</si>
  <si>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</si>
  <si>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</si>
  <si>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</si>
  <si>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</si>
  <si>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</si>
  <si>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</si>
  <si>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</si>
  <si>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</si>
  <si>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</si>
  <si>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</si>
  <si>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</si>
  <si>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</si>
  <si>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</si>
  <si>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</si>
  <si>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</si>
  <si>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</si>
  <si>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</si>
  <si>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</si>
  <si>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</si>
  <si>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</si>
  <si>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</si>
  <si>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</si>
  <si>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</si>
  <si>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</si>
  <si>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</si>
  <si>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</si>
  <si>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</si>
  <si>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</si>
  <si>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</si>
  <si>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</si>
  <si>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</si>
  <si>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</si>
  <si>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</si>
  <si>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</si>
  <si>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</si>
  <si>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</si>
  <si>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</si>
  <si>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</si>
  <si>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</si>
  <si>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</si>
  <si>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</si>
  <si>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</si>
  <si>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</si>
  <si>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</si>
  <si>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</si>
  <si>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</si>
  <si>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</si>
  <si>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</si>
  <si>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</si>
  <si>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</si>
  <si>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</si>
  <si>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</si>
  <si>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</si>
  <si>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</si>
  <si>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</si>
  <si>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</si>
  <si>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</si>
  <si>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</si>
  <si>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</si>
  <si>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</si>
  <si>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</si>
  <si>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</si>
  <si>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</si>
  <si>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</si>
  <si>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</si>
  <si>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</si>
  <si>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</si>
  <si>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</si>
  <si>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</si>
  <si>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</si>
  <si>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</si>
  <si>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</si>
  <si>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</si>
  <si>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</si>
  <si>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</si>
  <si>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</si>
  <si>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</si>
  <si>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</si>
  <si>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</si>
  <si>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</si>
  <si>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</si>
  <si>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</si>
  <si>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</si>
  <si>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</si>
  <si>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</si>
  <si>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</si>
  <si>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</si>
  <si>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</si>
  <si>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</si>
  <si>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</si>
  <si>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</si>
  <si>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</si>
  <si>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</si>
  <si>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</si>
  <si>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</si>
  <si>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</si>
  <si>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</si>
  <si>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</si>
  <si>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</si>
  <si>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</si>
  <si>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</si>
  <si>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</si>
  <si>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</si>
  <si>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</si>
  <si>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</si>
  <si>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</si>
  <si>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</si>
  <si>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</si>
  <si>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</si>
  <si>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</si>
  <si>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</si>
  <si>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</si>
  <si>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</si>
  <si>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</si>
  <si>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</si>
  <si>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</si>
  <si>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</si>
  <si>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</si>
  <si>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</si>
  <si>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</si>
  <si>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</si>
  <si>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</si>
  <si>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</si>
  <si>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</si>
  <si>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</si>
  <si>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</si>
  <si>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</si>
  <si>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</si>
  <si>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</si>
  <si>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</si>
  <si>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</si>
  <si>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</si>
  <si>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</si>
  <si>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</si>
  <si>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</si>
  <si>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</si>
  <si>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</si>
  <si>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</si>
  <si>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</si>
  <si>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</si>
  <si>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</si>
  <si>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</si>
  <si>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</si>
  <si>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</si>
  <si>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</si>
  <si>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</si>
  <si>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</si>
  <si>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</si>
  <si>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</si>
  <si>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</si>
  <si>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</si>
  <si>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</si>
  <si>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</si>
  <si>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</si>
  <si>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</si>
  <si>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</si>
  <si>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</si>
  <si>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</si>
  <si>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</si>
  <si>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</si>
  <si>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</si>
  <si>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</si>
  <si>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</si>
  <si>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</si>
  <si>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</si>
  <si>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</si>
  <si>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</si>
  <si>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</si>
  <si>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</si>
  <si>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</si>
  <si>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</si>
  <si>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</si>
  <si>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</si>
  <si>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</si>
  <si>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</si>
  <si>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</si>
  <si>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</si>
  <si>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</si>
  <si>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</si>
  <si>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</si>
  <si>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</si>
  <si>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</si>
  <si>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</si>
  <si>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</si>
  <si>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</si>
  <si>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</si>
  <si>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</si>
  <si>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</si>
  <si>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</si>
  <si>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</si>
  <si>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</si>
  <si>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</si>
  <si>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</si>
  <si>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</si>
  <si>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</si>
  <si>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</si>
  <si>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</si>
  <si>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</si>
  <si>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</si>
  <si>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</si>
  <si>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</si>
  <si>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</si>
  <si>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</si>
  <si>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</si>
  <si>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</si>
  <si>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</si>
  <si>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</si>
  <si>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</si>
  <si>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</si>
  <si>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</si>
  <si>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</si>
  <si>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</si>
  <si>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</si>
  <si>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</si>
  <si>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</si>
  <si>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</si>
  <si>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</si>
  <si>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</si>
  <si>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</si>
  <si>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</si>
  <si>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</si>
  <si>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</si>
  <si>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</si>
  <si>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</si>
  <si>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</si>
  <si>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</si>
  <si>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</si>
  <si>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</si>
  <si>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</si>
  <si>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</si>
  <si>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</si>
  <si>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</si>
  <si>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</si>
  <si>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</si>
  <si>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</si>
  <si>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</si>
  <si>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</si>
  <si>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</si>
  <si>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</si>
  <si>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</si>
  <si>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</si>
  <si>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</si>
  <si>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</si>
  <si>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</si>
  <si>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</si>
  <si>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</si>
  <si>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</si>
  <si>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</si>
  <si>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</si>
  <si>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</si>
  <si>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</si>
  <si>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</si>
  <si>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</si>
  <si>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</si>
  <si>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</si>
  <si>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</si>
  <si>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</si>
  <si>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</si>
  <si>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</si>
  <si>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</si>
  <si>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</si>
  <si>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</si>
  <si>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</si>
  <si>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</si>
  <si>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</si>
  <si>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</si>
  <si>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</si>
  <si>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</si>
  <si>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</si>
  <si>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</si>
  <si>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</si>
  <si>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</si>
  <si>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</si>
  <si>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</si>
  <si>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</si>
  <si>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</si>
  <si>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</si>
  <si>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</si>
  <si>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</si>
  <si>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</si>
  <si>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</si>
  <si>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</si>
  <si>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</si>
  <si>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</si>
  <si>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</si>
  <si>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</si>
  <si>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</si>
  <si>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</si>
  <si>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</si>
  <si>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</si>
  <si>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</si>
  <si>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</si>
  <si>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</si>
  <si>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</si>
  <si>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</si>
  <si>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</si>
  <si>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</si>
  <si>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</si>
  <si>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</si>
  <si>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</si>
  <si>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</si>
  <si>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</si>
  <si>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</si>
  <si>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</si>
  <si>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</si>
  <si>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</si>
  <si>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</si>
  <si>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</si>
  <si>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</si>
  <si>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</si>
  <si>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</si>
  <si>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</si>
  <si>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</si>
  <si>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</si>
  <si>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</si>
  <si>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</si>
  <si>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</si>
  <si>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</si>
  <si>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</si>
  <si>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</si>
  <si>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</si>
  <si>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</si>
  <si>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</si>
  <si>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</si>
  <si>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</si>
  <si>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</si>
  <si>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</si>
  <si>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</si>
  <si>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</si>
  <si>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</si>
  <si>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</si>
  <si>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</si>
  <si>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</si>
  <si>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</si>
  <si>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</si>
  <si>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</si>
  <si>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</si>
  <si>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</si>
  <si>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</si>
  <si>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</si>
  <si>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</si>
  <si>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</si>
  <si>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</si>
  <si>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</si>
  <si>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</si>
  <si>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</si>
  <si>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</si>
  <si>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</si>
  <si>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</si>
  <si>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</si>
  <si>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</si>
  <si>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</si>
  <si>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</si>
  <si>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</si>
  <si>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</si>
  <si>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</si>
  <si>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</si>
  <si>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</si>
  <si>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</si>
  <si>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</si>
  <si>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</si>
  <si>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</si>
  <si>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</si>
  <si>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</si>
  <si>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</si>
  <si>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</si>
  <si>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</si>
  <si>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</si>
  <si>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</si>
  <si>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</si>
  <si>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</si>
  <si>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</si>
  <si>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</si>
  <si>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</si>
  <si>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</si>
  <si>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</si>
  <si>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</si>
  <si>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</si>
  <si>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</si>
  <si>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</si>
  <si>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</si>
  <si>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</si>
  <si>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</si>
  <si>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</si>
  <si>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</si>
  <si>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</si>
  <si>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</si>
  <si>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</si>
  <si>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</si>
  <si>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</si>
  <si>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</si>
  <si>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</si>
  <si>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</si>
  <si>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</si>
  <si>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</si>
  <si>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</si>
  <si>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</si>
  <si>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</si>
  <si>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</si>
  <si>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</si>
  <si>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</si>
  <si>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</si>
  <si>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</si>
  <si>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</si>
  <si>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</si>
  <si>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</si>
  <si>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</si>
  <si>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</si>
  <si>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</si>
  <si>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</si>
  <si>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</si>
  <si>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</si>
  <si>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</si>
  <si>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</si>
  <si>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</si>
  <si>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</si>
  <si>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</si>
  <si>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</si>
  <si>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</si>
  <si>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</si>
  <si>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</si>
  <si>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</si>
  <si>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</si>
  <si>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</si>
  <si>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</si>
  <si>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</si>
  <si>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</si>
  <si>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</si>
  <si>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</si>
  <si>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</si>
  <si>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</si>
  <si>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</si>
  <si>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</si>
  <si>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</si>
  <si>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</si>
  <si>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</si>
  <si>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</si>
  <si>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</si>
  <si>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</si>
  <si>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</si>
  <si>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</si>
  <si>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</si>
  <si>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</si>
  <si>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</si>
  <si>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</si>
  <si>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</si>
  <si>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</si>
  <si>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</si>
  <si>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</si>
  <si>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</si>
  <si>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</si>
  <si>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</si>
  <si>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</si>
  <si>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</si>
  <si>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</si>
  <si>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</si>
  <si>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</si>
  <si>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</si>
  <si>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</si>
  <si>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</si>
  <si>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</si>
  <si>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</si>
  <si>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</si>
  <si>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</si>
  <si>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</si>
  <si>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</si>
  <si>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</si>
  <si>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</si>
  <si>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</si>
  <si>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</si>
  <si>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</si>
  <si>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</si>
  <si>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</si>
  <si>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</si>
  <si>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</si>
  <si>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</si>
  <si>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</si>
  <si>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</si>
  <si>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</si>
  <si>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</si>
  <si>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</si>
  <si>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</si>
  <si>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</si>
  <si>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</si>
  <si>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</si>
  <si>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</si>
  <si>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</si>
  <si>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</si>
  <si>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</si>
  <si>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</si>
  <si>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</si>
  <si>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</si>
  <si>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</si>
  <si>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</si>
  <si>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</si>
  <si>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</si>
  <si>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</si>
  <si>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</si>
  <si>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</si>
  <si>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</si>
  <si>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</si>
  <si>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</si>
  <si>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</si>
  <si>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</si>
  <si>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</si>
  <si>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</si>
  <si>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</si>
  <si>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</si>
  <si>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</si>
  <si>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</si>
  <si>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</si>
  <si>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</si>
  <si>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</si>
  <si>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</si>
  <si>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</si>
  <si>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</si>
  <si>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</si>
  <si>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</si>
  <si>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</si>
  <si>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</si>
  <si>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</si>
  <si>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</si>
  <si>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</si>
  <si>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</si>
  <si>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</si>
  <si>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</si>
  <si>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</si>
  <si>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</si>
  <si>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</si>
  <si>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</si>
  <si>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</si>
  <si>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</si>
  <si>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</si>
  <si>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</si>
  <si>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</si>
  <si>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</si>
  <si>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</si>
  <si>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</si>
  <si>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</si>
  <si>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</si>
  <si>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</si>
  <si>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</si>
  <si>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</si>
  <si>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</si>
  <si>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</si>
  <si>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</si>
  <si>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</si>
  <si>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</si>
  <si>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</si>
  <si>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</si>
  <si>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</si>
  <si>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</si>
  <si>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</si>
  <si>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</si>
  <si>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</si>
  <si>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</si>
  <si>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</si>
  <si>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</si>
  <si>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</si>
  <si>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</si>
  <si>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</si>
  <si>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</si>
  <si>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</si>
  <si>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</si>
  <si>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</si>
  <si>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</si>
  <si>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</si>
  <si>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</si>
  <si>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</si>
  <si>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</si>
  <si>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</si>
  <si>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</si>
  <si>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</si>
  <si>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</si>
  <si>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</si>
  <si>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</si>
  <si>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</si>
  <si>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</si>
  <si>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</si>
  <si>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</si>
  <si>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</si>
  <si>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</si>
  <si>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</si>
  <si>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</si>
  <si>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</si>
  <si>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</si>
  <si>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</si>
  <si>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</si>
  <si>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</si>
  <si>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</si>
  <si>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</si>
  <si>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</si>
  <si>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</si>
  <si>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</si>
  <si>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</si>
  <si>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</si>
  <si>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</si>
  <si>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</si>
  <si>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</si>
  <si>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</si>
  <si>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</si>
  <si>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</si>
  <si>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</si>
  <si>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</si>
  <si>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</si>
  <si>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</si>
  <si>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</si>
  <si>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</si>
  <si>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</si>
  <si>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</si>
  <si>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</si>
  <si>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</si>
  <si>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</si>
  <si>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</si>
  <si>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</si>
  <si>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</si>
  <si>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</si>
  <si>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</si>
  <si>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</si>
  <si>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</si>
  <si>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</si>
  <si>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</si>
  <si>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</si>
  <si>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</si>
  <si>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</si>
  <si>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</si>
  <si>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</si>
  <si>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</si>
  <si>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</si>
  <si>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</si>
  <si>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</si>
  <si>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</si>
  <si>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</si>
  <si>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</si>
  <si>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</si>
  <si>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</si>
  <si>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</si>
  <si>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</si>
  <si>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</si>
  <si>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</si>
  <si>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</si>
  <si>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</si>
  <si>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</si>
  <si>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</si>
  <si>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</si>
  <si>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</si>
  <si>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</si>
  <si>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</si>
  <si>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</si>
  <si>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</si>
  <si>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</si>
  <si>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</si>
  <si>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</si>
  <si>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</si>
  <si>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</si>
  <si>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</si>
  <si>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</si>
  <si>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</si>
  <si>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</si>
  <si>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</si>
  <si>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</si>
  <si>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</si>
  <si>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</si>
  <si>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</si>
  <si>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</si>
  <si>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</si>
  <si>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</si>
  <si>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</si>
  <si>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</si>
  <si>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</si>
  <si>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</si>
  <si>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</si>
  <si>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</si>
  <si>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</si>
  <si>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</si>
  <si>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</si>
  <si>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</si>
  <si>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</si>
  <si>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</si>
  <si>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</si>
  <si>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</si>
  <si>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</si>
  <si>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</si>
  <si>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</si>
  <si>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</si>
  <si>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</si>
  <si>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</si>
  <si>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</si>
  <si>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</si>
  <si>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</si>
  <si>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</si>
  <si>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</si>
  <si>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</si>
  <si>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</si>
  <si>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</si>
  <si>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</si>
  <si>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</si>
  <si>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</si>
  <si>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</si>
  <si>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</si>
  <si>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</si>
  <si>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</si>
  <si>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</si>
  <si>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</si>
  <si>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</si>
  <si>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</si>
  <si>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</si>
  <si>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</si>
  <si>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</si>
  <si>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</si>
  <si>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</si>
  <si>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</si>
  <si>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</si>
  <si>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</si>
  <si>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</si>
  <si>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</si>
  <si>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</si>
  <si>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</si>
  <si>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</si>
  <si>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</si>
  <si>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</si>
  <si>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</si>
  <si>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</si>
  <si>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</si>
  <si>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</si>
  <si>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</si>
  <si>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</si>
  <si>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</si>
  <si>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</si>
  <si>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</si>
  <si>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</si>
  <si>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</si>
  <si>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</si>
  <si>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</si>
  <si>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</si>
  <si>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</si>
  <si>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</si>
  <si>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</si>
  <si>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</si>
  <si>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</si>
  <si>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</si>
  <si>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</si>
  <si>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</si>
  <si>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</si>
  <si>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</si>
  <si>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</si>
  <si>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</si>
  <si>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</si>
  <si>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</si>
  <si>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</si>
  <si>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</si>
  <si>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</si>
  <si>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</si>
  <si>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</si>
  <si>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</si>
  <si>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</si>
  <si>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</si>
  <si>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</si>
  <si>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</si>
  <si>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</si>
  <si>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</si>
  <si>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</si>
  <si>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</si>
  <si>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</si>
  <si>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</si>
  <si>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</si>
  <si>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</si>
  <si>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</si>
  <si>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</si>
  <si>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</si>
  <si>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</si>
  <si>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</si>
  <si>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</si>
  <si>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</si>
  <si>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</si>
  <si>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</si>
  <si>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</si>
  <si>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</si>
  <si>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</si>
  <si>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</si>
  <si>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</si>
  <si>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</si>
  <si>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</si>
  <si>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</si>
  <si>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</si>
  <si>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</si>
  <si>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</si>
  <si>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</si>
  <si>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</si>
  <si>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</si>
  <si>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</si>
  <si>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</si>
  <si>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</si>
  <si>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</si>
  <si>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</si>
  <si>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</si>
  <si>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</si>
  <si>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</si>
  <si>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</si>
  <si>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</si>
  <si>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</si>
  <si>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</si>
  <si>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</si>
  <si>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</si>
  <si>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</si>
  <si>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</si>
  <si>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</si>
  <si>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</si>
  <si>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</si>
  <si>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</si>
  <si>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</si>
  <si>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</si>
  <si>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</si>
  <si>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</si>
  <si>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</si>
  <si>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</si>
  <si>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</si>
  <si>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</si>
  <si>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</si>
  <si>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</si>
  <si>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</si>
  <si>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</si>
  <si>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</si>
  <si>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</si>
  <si>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</si>
  <si>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</si>
  <si>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</si>
  <si>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</si>
  <si>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</si>
  <si>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</si>
  <si>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</si>
  <si>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</si>
  <si>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</si>
  <si>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</si>
  <si>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</si>
  <si>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</si>
  <si>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</si>
  <si>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</si>
  <si>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</si>
  <si>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</si>
  <si>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</si>
  <si>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</si>
  <si>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</si>
  <si>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</si>
  <si>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</si>
  <si>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</si>
  <si>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</si>
  <si>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</si>
  <si>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</si>
  <si>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</si>
  <si>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</si>
  <si>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</si>
  <si>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</si>
  <si>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</si>
  <si>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</si>
  <si>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</si>
  <si>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</si>
  <si>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</si>
  <si>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</si>
  <si>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</si>
  <si>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</si>
  <si>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</si>
  <si>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</si>
  <si>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</si>
  <si>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</si>
  <si>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</si>
  <si>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</si>
  <si>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</si>
  <si>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</si>
  <si>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</si>
  <si>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</si>
  <si>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</si>
  <si>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</si>
  <si>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</si>
  <si>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</si>
  <si>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</si>
  <si>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</si>
  <si>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</si>
  <si>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</si>
  <si>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</si>
  <si>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</si>
  <si>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</si>
  <si>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</si>
  <si>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</si>
  <si>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</si>
  <si>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</si>
  <si>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</si>
  <si>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</si>
  <si>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</si>
  <si>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</si>
  <si>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</si>
  <si>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</si>
  <si>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</si>
  <si>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</si>
  <si>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</si>
  <si>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</si>
  <si>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</si>
  <si>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</si>
  <si>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</si>
  <si>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</si>
  <si>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</si>
  <si>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</si>
  <si>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</si>
  <si>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</si>
  <si>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</si>
  <si>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</si>
  <si>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</si>
  <si>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</si>
  <si>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</si>
  <si>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</si>
  <si>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</si>
  <si>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</si>
  <si>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</si>
  <si>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</si>
  <si>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</si>
  <si>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</si>
  <si>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</si>
  <si>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</si>
  <si>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</si>
  <si>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</si>
  <si>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</si>
  <si>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</si>
  <si>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</si>
  <si>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</si>
  <si>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</si>
  <si>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</si>
  <si>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</si>
  <si>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</si>
  <si>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</si>
  <si>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</si>
  <si>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</si>
  <si>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</si>
  <si>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</si>
  <si>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</si>
  <si>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</si>
  <si>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</si>
  <si>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</si>
  <si>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</si>
  <si>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</si>
  <si>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</si>
  <si>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</si>
  <si>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</si>
  <si>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</si>
  <si>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</si>
  <si>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</si>
  <si>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</si>
  <si>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</si>
  <si>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</si>
  <si>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</si>
  <si>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</si>
  <si>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</si>
  <si>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</si>
  <si>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</si>
  <si>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</si>
  <si>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</si>
  <si>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</si>
  <si>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</si>
  <si>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</si>
  <si>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</si>
  <si>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</si>
  <si>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</si>
  <si>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</si>
  <si>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</si>
  <si>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</si>
  <si>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</si>
  <si>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</si>
  <si>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</si>
  <si>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</si>
  <si>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</si>
  <si>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</si>
  <si>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</si>
  <si>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</si>
  <si>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</si>
  <si>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</si>
  <si>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</si>
  <si>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</si>
  <si>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</si>
  <si>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</si>
  <si>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</si>
  <si>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</si>
  <si>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</si>
  <si>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</si>
  <si>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</si>
  <si>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</si>
  <si>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</si>
  <si>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</si>
  <si>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</si>
  <si>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</si>
  <si>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</si>
  <si>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</si>
  <si>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</si>
  <si>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</si>
  <si>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</si>
  <si>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</si>
  <si>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</si>
  <si>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</si>
  <si>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</si>
  <si>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</si>
  <si>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</si>
  <si>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</si>
  <si>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</si>
  <si>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</si>
  <si>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</si>
  <si>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</si>
  <si>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</si>
  <si>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</si>
  <si>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</si>
  <si>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</si>
  <si>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</si>
  <si>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</si>
  <si>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</si>
  <si>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</si>
  <si>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</si>
  <si>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</si>
  <si>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</si>
  <si>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</si>
  <si>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</si>
  <si>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</si>
  <si>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</si>
  <si>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</si>
  <si>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</si>
  <si>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</si>
  <si>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</si>
  <si>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</si>
  <si>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</si>
  <si>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</si>
  <si>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</si>
  <si>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</si>
  <si>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</si>
  <si>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</si>
  <si>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</si>
  <si>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</si>
  <si>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</si>
  <si>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</si>
  <si>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</si>
  <si>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</si>
  <si>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</si>
  <si>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</si>
  <si>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</si>
  <si>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</si>
  <si>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</si>
  <si>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</si>
  <si>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</si>
  <si>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</si>
  <si>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</si>
  <si>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</si>
  <si>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</si>
  <si>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</si>
  <si>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</si>
  <si>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</si>
  <si>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</si>
  <si>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</si>
  <si>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</si>
  <si>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</si>
  <si>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</si>
  <si>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</si>
  <si>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</si>
  <si>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</si>
  <si>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</si>
  <si>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</si>
  <si>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</si>
  <si>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</si>
  <si>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</si>
  <si>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</si>
  <si>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</si>
  <si>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</si>
  <si>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</si>
  <si>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</si>
  <si>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</si>
  <si>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</si>
  <si>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</si>
  <si>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</si>
  <si>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</si>
  <si>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</si>
  <si>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</si>
  <si>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</si>
  <si>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</si>
  <si>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</si>
  <si>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</si>
  <si>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</si>
  <si>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</si>
  <si>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</si>
  <si>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</si>
  <si>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</si>
  <si>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</si>
  <si>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</si>
  <si>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</si>
  <si>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</si>
  <si>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</si>
  <si>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</si>
  <si>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</si>
  <si>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</si>
  <si>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</si>
  <si>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</si>
  <si>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</si>
  <si>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</si>
  <si>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</si>
  <si>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</si>
  <si>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</si>
  <si>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</si>
  <si>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</si>
  <si>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</si>
  <si>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</si>
  <si>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</si>
  <si>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</si>
  <si>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</si>
  <si>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</si>
  <si>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</si>
  <si>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</si>
  <si>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</si>
  <si>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</si>
  <si>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</si>
  <si>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</si>
  <si>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</si>
  <si>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</si>
  <si>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</si>
  <si>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</si>
  <si>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</si>
  <si>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</si>
  <si>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</si>
  <si>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</si>
  <si>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</si>
  <si>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</si>
  <si>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</si>
  <si>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</si>
  <si>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</si>
  <si>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</si>
  <si>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</si>
  <si>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</si>
  <si>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</si>
  <si>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</si>
  <si>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</si>
  <si>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</si>
  <si>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</si>
  <si>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</si>
  <si>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</si>
  <si>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</si>
  <si>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</si>
  <si>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</si>
  <si>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</si>
  <si>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</si>
  <si>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</si>
  <si>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</si>
  <si>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</si>
  <si>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</si>
  <si>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</si>
  <si>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</si>
  <si>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</si>
  <si>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</si>
  <si>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</si>
  <si>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</si>
  <si>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</si>
  <si>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</si>
  <si>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</si>
  <si>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</si>
  <si>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</si>
  <si>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</si>
  <si>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</si>
  <si>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</si>
  <si>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</si>
  <si>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</si>
  <si>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</si>
  <si>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</si>
  <si>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</si>
  <si>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</si>
  <si>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</si>
  <si>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</si>
  <si>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</si>
  <si>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</si>
  <si>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</si>
  <si>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</si>
  <si>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</si>
  <si>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</si>
  <si>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</si>
  <si>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</si>
  <si>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</si>
  <si>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</si>
  <si>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</si>
  <si>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</si>
  <si>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</si>
  <si>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</si>
  <si>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</si>
  <si>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</si>
  <si>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</si>
  <si>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</si>
  <si>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</si>
  <si>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</si>
  <si>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</si>
  <si>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</si>
  <si>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</si>
  <si>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</si>
  <si>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</si>
  <si>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</si>
  <si>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</si>
  <si>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</si>
  <si>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</si>
  <si>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</si>
  <si>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</si>
  <si>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</si>
  <si>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</si>
  <si>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</si>
  <si>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</si>
  <si>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</si>
  <si>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</si>
  <si>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</si>
  <si>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</si>
  <si>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</si>
  <si>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</si>
  <si>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</si>
  <si>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</si>
  <si>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</si>
  <si>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</si>
  <si>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</si>
  <si>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</si>
  <si>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</si>
  <si>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</si>
  <si>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</si>
  <si>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</si>
  <si>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</si>
  <si>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</si>
  <si>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</si>
  <si>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</si>
  <si>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</si>
  <si>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</si>
  <si>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</si>
  <si>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</si>
  <si>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</si>
  <si>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</si>
  <si>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</si>
  <si>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</si>
  <si>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</si>
  <si>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</si>
  <si>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</si>
  <si>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</si>
  <si>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</si>
  <si>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</si>
  <si>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</si>
  <si>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</si>
  <si>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</si>
  <si>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</si>
  <si>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</si>
  <si>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</si>
  <si>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</si>
  <si>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</si>
  <si>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</si>
  <si>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</si>
  <si>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</si>
  <si>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</si>
  <si>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</si>
  <si>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</si>
  <si>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</si>
  <si>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</si>
  <si>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</si>
  <si>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</si>
  <si>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</si>
  <si>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</si>
  <si>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</si>
  <si>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</si>
  <si>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</si>
  <si>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</si>
  <si>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</si>
  <si>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</si>
  <si>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</si>
  <si>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</si>
  <si>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</si>
  <si>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</si>
  <si>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</si>
  <si>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</si>
  <si>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</si>
  <si>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</si>
  <si>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</si>
  <si>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</si>
  <si>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</si>
  <si>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</si>
  <si>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</si>
  <si>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</si>
  <si>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</si>
  <si>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</si>
  <si>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</si>
  <si>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</si>
  <si>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</si>
  <si>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</si>
  <si>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</si>
  <si>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</si>
  <si>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</si>
  <si>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</si>
  <si>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</si>
  <si>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</si>
  <si>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</si>
  <si>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</si>
  <si>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</si>
  <si>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</si>
  <si>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</si>
  <si>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</si>
  <si>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</si>
  <si>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</si>
  <si>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</si>
  <si>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</si>
  <si>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</si>
  <si>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</si>
  <si>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</si>
  <si>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</si>
  <si>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</si>
  <si>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</si>
  <si>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</si>
  <si>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</si>
  <si>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</si>
  <si>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</si>
  <si>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</si>
  <si>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</si>
  <si>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</si>
  <si>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</si>
  <si>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</si>
  <si>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</si>
  <si>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</si>
  <si>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</si>
  <si>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</si>
  <si>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</si>
  <si>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</si>
  <si>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</si>
  <si>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</si>
  <si>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</si>
  <si>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</si>
  <si>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</si>
  <si>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</si>
  <si>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</si>
  <si>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</si>
  <si>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</si>
  <si>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</si>
  <si>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</si>
  <si>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</si>
  <si>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</si>
  <si>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</si>
  <si>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</si>
  <si>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</si>
  <si>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</si>
  <si>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</si>
  <si>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</si>
  <si>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</si>
  <si>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</si>
  <si>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</si>
  <si>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</si>
  <si>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</si>
  <si>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</si>
  <si>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</si>
  <si>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</si>
  <si>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</si>
  <si>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</si>
  <si>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</si>
  <si>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</si>
  <si>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</si>
  <si>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</si>
  <si>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</si>
  <si>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</si>
  <si>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</si>
  <si>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</si>
  <si>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</si>
  <si>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</si>
  <si>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</si>
  <si>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</si>
  <si>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</si>
  <si>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</si>
  <si>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</si>
  <si>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</si>
  <si>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</si>
  <si>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</si>
  <si>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</si>
  <si>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</si>
  <si>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</si>
  <si>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</si>
  <si>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</si>
  <si>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</si>
  <si>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</si>
  <si>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</si>
  <si>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</si>
  <si>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</si>
  <si>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</si>
  <si>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</si>
  <si>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</si>
  <si>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</si>
  <si>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</si>
  <si>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</si>
  <si>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</si>
  <si>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</si>
  <si>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</si>
  <si>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</si>
  <si>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</si>
  <si>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</si>
  <si>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</si>
  <si>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</si>
  <si>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</si>
  <si>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</si>
  <si>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</si>
  <si>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</si>
  <si>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</si>
  <si>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</si>
  <si>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</si>
  <si>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</si>
  <si>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</si>
  <si>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</si>
  <si>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</si>
  <si>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</si>
  <si>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</si>
  <si>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</si>
  <si>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</si>
  <si>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</si>
  <si>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</si>
  <si>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</si>
  <si>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</si>
  <si>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</si>
  <si>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</si>
  <si>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</si>
  <si>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</si>
  <si>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</si>
  <si>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</si>
  <si>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</si>
  <si>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</si>
  <si>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</si>
  <si>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</si>
  <si>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</si>
  <si>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</si>
  <si>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</si>
  <si>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</si>
  <si>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</si>
  <si>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</si>
  <si>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</si>
  <si>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</si>
  <si>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</si>
  <si>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</si>
  <si>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</si>
  <si>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</si>
  <si>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</si>
  <si>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</si>
  <si>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</si>
  <si>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</si>
  <si>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</si>
  <si>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</si>
  <si>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</si>
  <si>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</si>
  <si>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</si>
  <si>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</si>
  <si>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</si>
  <si>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</si>
  <si>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</si>
  <si>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</si>
  <si>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</si>
  <si>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</si>
  <si>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</si>
  <si>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</si>
  <si>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</si>
  <si>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</si>
  <si>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</si>
  <si>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</si>
  <si>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</si>
  <si>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</si>
  <si>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</si>
  <si>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</si>
  <si>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</si>
  <si>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</si>
  <si>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</si>
  <si>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</si>
  <si>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</si>
  <si>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</si>
  <si>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</si>
  <si>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</si>
  <si>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</si>
  <si>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</si>
  <si>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</si>
  <si>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</si>
  <si>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</si>
  <si>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</si>
  <si>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</si>
  <si>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</si>
  <si>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</si>
  <si>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</si>
  <si>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</si>
  <si>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</si>
  <si>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</si>
  <si>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</si>
  <si>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</si>
  <si>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</si>
  <si>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</si>
  <si>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</si>
  <si>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</si>
  <si>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</si>
  <si>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</si>
  <si>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</si>
  <si>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</si>
  <si>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</si>
  <si>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</si>
  <si>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</si>
  <si>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</si>
  <si>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</si>
  <si>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</si>
  <si>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</si>
  <si>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</si>
  <si>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</si>
  <si>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</si>
  <si>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</si>
  <si>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</si>
  <si>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</si>
  <si>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</si>
  <si>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</si>
  <si>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</si>
  <si>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</si>
  <si>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</si>
  <si>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</si>
  <si>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</si>
  <si>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</si>
  <si>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</si>
  <si>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</si>
  <si>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</si>
  <si>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</si>
  <si>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</si>
  <si>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</si>
  <si>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</si>
  <si>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</si>
  <si>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</si>
  <si>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</si>
  <si>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</si>
  <si>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</si>
  <si>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</si>
  <si>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</si>
  <si>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</si>
  <si>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</si>
  <si>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</si>
  <si>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</si>
  <si>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</si>
  <si>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</si>
  <si>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</si>
  <si>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</si>
  <si>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</si>
  <si>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</si>
  <si>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</si>
  <si>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</si>
  <si>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</si>
  <si>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</si>
  <si>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</si>
  <si>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</si>
  <si>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</si>
  <si>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</si>
  <si>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</si>
  <si>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</si>
  <si>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</si>
  <si>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</si>
  <si>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</si>
  <si>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</si>
  <si>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</si>
  <si>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</si>
  <si>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</si>
  <si>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</si>
  <si>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</si>
  <si>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</si>
  <si>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</si>
  <si>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</si>
  <si>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</si>
  <si>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</si>
  <si>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</si>
  <si>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</si>
  <si>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</si>
  <si>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</si>
  <si>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</si>
  <si>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</si>
  <si>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</si>
  <si>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</si>
  <si>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</si>
  <si>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</si>
  <si>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</si>
  <si>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</si>
  <si>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</si>
  <si>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</si>
  <si>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</si>
  <si>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</si>
  <si>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</si>
  <si>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</si>
  <si>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</si>
  <si>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</si>
  <si>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</si>
  <si>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</si>
  <si>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</si>
  <si>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</si>
  <si>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</si>
  <si>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</si>
  <si>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</si>
  <si>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</si>
  <si>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</si>
  <si>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</si>
  <si>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</si>
  <si>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</si>
  <si>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</si>
  <si>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</si>
  <si>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</si>
  <si>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</si>
  <si>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</si>
  <si>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</si>
  <si>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</si>
  <si>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</si>
  <si>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</si>
  <si>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</si>
  <si>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</si>
  <si>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</si>
  <si>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</si>
  <si>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</si>
  <si>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</si>
  <si>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</si>
  <si>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</si>
  <si>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</si>
  <si>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</si>
  <si>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</si>
  <si>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</si>
  <si>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</si>
  <si>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</si>
  <si>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</si>
  <si>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</si>
  <si>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</si>
  <si>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</si>
  <si>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</si>
  <si>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</si>
  <si>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</si>
  <si>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</si>
  <si>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</si>
  <si>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</si>
  <si>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</si>
  <si>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</si>
  <si>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</si>
  <si>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</si>
  <si>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</si>
  <si>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</si>
  <si>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</si>
  <si>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</si>
  <si>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</si>
  <si>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</si>
  <si>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</si>
  <si>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</si>
  <si>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</si>
  <si>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</si>
  <si>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</si>
  <si>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</si>
  <si>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</si>
  <si>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</si>
  <si>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</si>
  <si>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</si>
  <si>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</si>
  <si>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</si>
  <si>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</si>
  <si>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</si>
  <si>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</si>
  <si>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</si>
  <si>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</si>
  <si>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</si>
  <si>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</si>
  <si>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</si>
  <si>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</si>
  <si>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</si>
  <si>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</si>
  <si>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</si>
  <si>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</si>
  <si>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</si>
  <si>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</si>
  <si>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</si>
  <si>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</si>
  <si>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</si>
  <si>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</si>
  <si>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</si>
  <si>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</si>
  <si>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</si>
  <si>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</si>
  <si>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</si>
  <si>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</si>
  <si>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</si>
  <si>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</si>
  <si>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</si>
  <si>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</si>
  <si>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</si>
  <si>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</si>
  <si>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</si>
  <si>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</si>
  <si>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</si>
  <si>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</si>
  <si>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</si>
  <si>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</si>
  <si>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</si>
  <si>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</si>
  <si>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</si>
  <si>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</si>
  <si>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</si>
  <si>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</si>
  <si>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</si>
  <si>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</si>
  <si>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</si>
  <si>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</si>
  <si>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</si>
  <si>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</si>
  <si>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</si>
  <si>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</si>
  <si>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</si>
  <si>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</si>
  <si>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</si>
  <si>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</si>
  <si>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</si>
  <si>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</si>
  <si>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</si>
  <si>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</si>
  <si>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</si>
  <si>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</si>
  <si>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</si>
  <si>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</si>
  <si>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</si>
  <si>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</si>
  <si>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</si>
  <si>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</si>
  <si>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</si>
  <si>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</si>
  <si>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</si>
  <si>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</si>
  <si>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</si>
  <si>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</si>
  <si>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</si>
  <si>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</si>
  <si>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</si>
  <si>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</si>
  <si>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</si>
  <si>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</si>
  <si>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</si>
  <si>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</si>
  <si>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</si>
  <si>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</si>
  <si>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</si>
  <si>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</si>
  <si>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</si>
  <si>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</si>
  <si>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</si>
  <si>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</si>
  <si>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</si>
  <si>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</si>
  <si>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</si>
  <si>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</si>
  <si>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</si>
  <si>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</si>
  <si>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</si>
  <si>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</si>
  <si>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</si>
  <si>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</si>
  <si>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</si>
  <si>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CAMBIO DE BATERIA 2 BATERIAS DE 55AH 12V</t>
  </si>
  <si>
    <t>PROBLEMA DE INYECTOR UNO (OT 0205144626) KAUFMANN CHILLAN (GARANTIA)</t>
  </si>
  <si>
    <t>AVISO DE FILTRO DE TRANSMISION SATURADO, SE DETIENE LA MAQUINARIA</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</si>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</sst>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6">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b/>
      <sz val="16"/>
      <color theme="0"/>
      <name val="Calibri"/>
      <family val="2"/>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8">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4" fillId="0" borderId="0" xfId="0" applyFont="1"/>
    <xf numFmtId="0" fontId="0" fillId="0" borderId="0" xfId="0" applyNumberFormat="1"/>
    <xf numFmtId="0" fontId="0" fillId="0" borderId="0" xfId="0" applyNumberFormat="1" applyAlignment="1">
      <alignment horizontal="center" wrapText="1"/>
    </xf>
    <xf numFmtId="0" fontId="25" fillId="0" borderId="0" xfId="0" applyFont="1" applyBorder="1" applyAlignment="1"/>
    <xf numFmtId="0" fontId="0" fillId="6" borderId="0" xfId="0" applyFill="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0" fontId="0" fillId="0" borderId="0" xfId="0" applyAlignment="1">
      <alignment horizontal="center"/>
    </xf>
    <xf numFmtId="14" fontId="0" fillId="0" borderId="0" xfId="0" applyNumberFormat="1" applyAlignment="1">
      <alignment horizontal="right"/>
    </xf>
    <xf numFmtId="0" fontId="2" fillId="2" borderId="0" xfId="0" applyFont="1" applyFill="1" applyBorder="1" applyAlignment="1">
      <alignment horizontal="center"/>
    </xf>
    <xf numFmtId="0" fontId="2" fillId="2" borderId="0" xfId="0" applyFont="1" applyFill="1" applyBorder="1" applyAlignment="1">
      <alignment horizontal="right"/>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14" fontId="23" fillId="6" borderId="0" xfId="0" applyNumberFormat="1" applyFont="1" applyFill="1" applyAlignment="1">
      <alignment horizontal="center" vertical="center" wrapText="1"/>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0" fontId="3" fillId="7" borderId="0" xfId="0" applyFont="1" applyFill="1" applyBorder="1" applyAlignment="1">
      <alignment horizontal="center"/>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2">
      <filters>
        <filter val="Man"/>
      </filters>
    </filterColumn>
    <filterColumn colId="7">
      <filters>
        <filter val="Operativo"/>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11" totalsRowShown="0">
  <autoFilter ref="A3:J711" xr:uid="{00000000-0009-0000-0100-000006000000}">
    <filterColumn colId="0">
      <filters>
        <dateGroupItem year="2026" dateTimeGrouping="year"/>
      </filters>
    </filterColumn>
    <filterColumn colId="1">
      <filters>
        <filter val="MD-93"/>
      </filters>
    </filterColumn>
  </autoFilter>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Mecanico"/>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IFERROR(_xlfn.AGGREGATE(14,6,Mantenciones!$A$2:$A$9968/(Mantenciones!$B$2:$B$9968=$A4),1),"")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H2027" totalsRowShown="0" headerRowDxfId="3">
  <autoFilter ref="A3:H2027" xr:uid="{B496BF9F-1EC7-4AD8-999B-89393D484D64}">
    <filterColumn colId="1">
      <filters>
        <filter val="MD-93"/>
      </filters>
    </filterColumn>
  </autoFilter>
  <tableColumns count="8">
    <tableColumn id="1" xr3:uid="{5BF92124-E6C6-4C97-96F4-B2345E0CCD84}" name="Fecha" dataDxfId="2"/>
    <tableColumn id="2" xr3:uid="{23775C1F-6F16-4D7B-B023-F77EBFAF41D0}" name="Codigo Equipo"/>
    <tableColumn id="3" xr3:uid="{AD675452-6111-4F03-BA29-357D781A0C61}" name="Causa Raiz"/>
    <tableColumn id="4" xr3:uid="{D3108AD9-7866-4702-B80B-423180B54308}" name="Costo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5"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7" t="s">
        <v>0</v>
      </c>
      <c r="B1" s="97"/>
      <c r="C1" s="97"/>
      <c r="D1" s="97"/>
      <c r="E1" s="97"/>
      <c r="F1" s="97"/>
      <c r="G1" s="97"/>
      <c r="H1" s="97"/>
      <c r="I1" s="97"/>
      <c r="J1" s="97"/>
      <c r="K1" s="97"/>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c r="A7" t="s">
        <v>29</v>
      </c>
      <c r="B7" t="s">
        <v>20</v>
      </c>
      <c r="C7" t="s">
        <v>21</v>
      </c>
      <c r="D7" s="46" t="s">
        <v>22</v>
      </c>
      <c r="E7">
        <v>2019</v>
      </c>
      <c r="F7" t="s">
        <v>30</v>
      </c>
      <c r="G7" t="s">
        <v>31</v>
      </c>
      <c r="H7" t="s">
        <v>17</v>
      </c>
      <c r="I7" s="46" t="s">
        <v>18</v>
      </c>
      <c r="J7" s="3">
        <v>250</v>
      </c>
      <c r="K7">
        <v>215.17</v>
      </c>
    </row>
    <row r="8" spans="1:11">
      <c r="A8" t="s">
        <v>32</v>
      </c>
      <c r="B8" t="s">
        <v>20</v>
      </c>
      <c r="C8" t="s">
        <v>21</v>
      </c>
      <c r="D8" s="46" t="s">
        <v>22</v>
      </c>
      <c r="E8">
        <v>2018</v>
      </c>
      <c r="F8" t="s">
        <v>33</v>
      </c>
      <c r="G8" t="s">
        <v>34</v>
      </c>
      <c r="H8" t="s">
        <v>17</v>
      </c>
      <c r="I8" s="46" t="s">
        <v>18</v>
      </c>
      <c r="J8" s="3">
        <v>500</v>
      </c>
      <c r="K8">
        <v>97.16</v>
      </c>
    </row>
    <row r="9" spans="1:11">
      <c r="A9" t="s">
        <v>35</v>
      </c>
      <c r="B9" t="s">
        <v>20</v>
      </c>
      <c r="C9" t="s">
        <v>21</v>
      </c>
      <c r="D9" s="46" t="s">
        <v>22</v>
      </c>
      <c r="E9">
        <v>2019</v>
      </c>
      <c r="F9" t="s">
        <v>30</v>
      </c>
      <c r="G9" t="s">
        <v>27</v>
      </c>
      <c r="H9" t="s">
        <v>17</v>
      </c>
      <c r="I9" s="46" t="s">
        <v>18</v>
      </c>
      <c r="J9" s="3">
        <v>500</v>
      </c>
      <c r="K9">
        <v>120.58</v>
      </c>
    </row>
    <row r="10" spans="1:1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c r="A23" t="s">
        <v>86</v>
      </c>
      <c r="B23" t="s">
        <v>20</v>
      </c>
      <c r="C23" t="s">
        <v>21</v>
      </c>
      <c r="D23" t="s">
        <v>87</v>
      </c>
      <c r="E23">
        <v>2024</v>
      </c>
      <c r="F23" t="s">
        <v>51</v>
      </c>
      <c r="G23" t="s">
        <v>88</v>
      </c>
      <c r="H23" t="s">
        <v>17</v>
      </c>
      <c r="I23" s="46" t="s">
        <v>18</v>
      </c>
      <c r="J23" s="3">
        <v>500</v>
      </c>
      <c r="K23">
        <v>121.61</v>
      </c>
    </row>
    <row r="24" spans="1:11">
      <c r="A24" t="s">
        <v>89</v>
      </c>
      <c r="B24" t="s">
        <v>20</v>
      </c>
      <c r="C24" t="s">
        <v>21</v>
      </c>
      <c r="D24" t="s">
        <v>87</v>
      </c>
      <c r="E24">
        <v>2024</v>
      </c>
      <c r="F24" t="s">
        <v>51</v>
      </c>
      <c r="G24" t="s">
        <v>90</v>
      </c>
      <c r="H24" t="s">
        <v>17</v>
      </c>
      <c r="I24" s="46" t="s">
        <v>18</v>
      </c>
      <c r="J24" s="3">
        <v>500</v>
      </c>
      <c r="K24">
        <v>105.37</v>
      </c>
    </row>
    <row r="25" spans="1:11">
      <c r="A25" t="s">
        <v>91</v>
      </c>
      <c r="B25" t="s">
        <v>20</v>
      </c>
      <c r="C25" t="s">
        <v>21</v>
      </c>
      <c r="D25" t="s">
        <v>87</v>
      </c>
      <c r="E25">
        <v>2024</v>
      </c>
      <c r="F25" t="s">
        <v>23</v>
      </c>
      <c r="G25" t="s">
        <v>92</v>
      </c>
      <c r="H25" t="s">
        <v>17</v>
      </c>
      <c r="I25" s="46" t="s">
        <v>18</v>
      </c>
      <c r="J25" s="3">
        <v>500</v>
      </c>
      <c r="K25">
        <v>1.36</v>
      </c>
    </row>
    <row r="26" spans="1:1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c r="A55" t="s">
        <v>167</v>
      </c>
      <c r="B55" t="s">
        <v>20</v>
      </c>
      <c r="C55" t="s">
        <v>21</v>
      </c>
      <c r="D55" t="s">
        <v>87</v>
      </c>
      <c r="E55">
        <v>2020</v>
      </c>
      <c r="F55" t="s">
        <v>30</v>
      </c>
      <c r="G55" t="s">
        <v>168</v>
      </c>
      <c r="H55" t="s">
        <v>17</v>
      </c>
      <c r="I55" s="46" t="s">
        <v>18</v>
      </c>
      <c r="J55" s="3">
        <v>500</v>
      </c>
      <c r="K55" s="3">
        <v>64.91</v>
      </c>
    </row>
    <row r="56" spans="1:11">
      <c r="A56" t="s">
        <v>169</v>
      </c>
      <c r="B56" t="s">
        <v>20</v>
      </c>
      <c r="C56" t="s">
        <v>21</v>
      </c>
      <c r="D56" t="s">
        <v>87</v>
      </c>
      <c r="E56">
        <v>2020</v>
      </c>
      <c r="F56" t="s">
        <v>37</v>
      </c>
      <c r="G56" t="s">
        <v>170</v>
      </c>
      <c r="H56" t="s">
        <v>17</v>
      </c>
      <c r="I56" s="46" t="s">
        <v>18</v>
      </c>
      <c r="J56" s="3">
        <v>500</v>
      </c>
      <c r="K56">
        <v>167.3</v>
      </c>
    </row>
    <row r="57" spans="1:11">
      <c r="A57" t="s">
        <v>171</v>
      </c>
      <c r="B57" t="s">
        <v>20</v>
      </c>
      <c r="C57" t="s">
        <v>21</v>
      </c>
      <c r="D57" t="s">
        <v>87</v>
      </c>
      <c r="E57">
        <v>2020</v>
      </c>
      <c r="F57" t="s">
        <v>33</v>
      </c>
      <c r="G57" t="s">
        <v>172</v>
      </c>
      <c r="H57" t="s">
        <v>17</v>
      </c>
      <c r="I57" s="46" t="s">
        <v>18</v>
      </c>
      <c r="J57" s="3">
        <v>500</v>
      </c>
      <c r="K57">
        <v>45.47</v>
      </c>
    </row>
    <row r="58" spans="1:1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hidden="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390</v>
      </c>
      <c r="E130">
        <v>2002</v>
      </c>
      <c r="F130" t="s">
        <v>37</v>
      </c>
      <c r="G130" t="s">
        <v>321</v>
      </c>
      <c r="H130" t="s">
        <v>37</v>
      </c>
      <c r="I130" s="46" t="s">
        <v>18</v>
      </c>
      <c r="J130" s="4">
        <v>250</v>
      </c>
      <c r="K130">
        <v>0</v>
      </c>
    </row>
    <row r="131" spans="1:11" hidden="1">
      <c r="A131" t="s">
        <v>391</v>
      </c>
      <c r="B131" t="s">
        <v>347</v>
      </c>
      <c r="C131" t="s">
        <v>378</v>
      </c>
      <c r="D131" t="s">
        <v>390</v>
      </c>
      <c r="E131">
        <v>2004</v>
      </c>
      <c r="F131" t="s">
        <v>37</v>
      </c>
      <c r="G131" t="s">
        <v>321</v>
      </c>
      <c r="H131" t="s">
        <v>37</v>
      </c>
      <c r="I131" s="46" t="s">
        <v>18</v>
      </c>
      <c r="J131" s="4">
        <v>250</v>
      </c>
      <c r="K131">
        <v>0</v>
      </c>
    </row>
    <row r="132" spans="1:11" hidden="1">
      <c r="A132" t="s">
        <v>392</v>
      </c>
      <c r="B132" t="s">
        <v>269</v>
      </c>
      <c r="C132" t="s">
        <v>325</v>
      </c>
      <c r="D132" t="s">
        <v>393</v>
      </c>
      <c r="E132">
        <v>2007</v>
      </c>
      <c r="F132" t="s">
        <v>30</v>
      </c>
      <c r="G132" t="s">
        <v>394</v>
      </c>
      <c r="H132" t="s">
        <v>17</v>
      </c>
      <c r="I132" s="46" t="s">
        <v>18</v>
      </c>
      <c r="J132" s="4">
        <v>250</v>
      </c>
      <c r="K132">
        <v>0</v>
      </c>
    </row>
    <row r="133" spans="1:11" hidden="1">
      <c r="A133" t="s">
        <v>395</v>
      </c>
      <c r="B133" t="s">
        <v>264</v>
      </c>
      <c r="C133" t="s">
        <v>270</v>
      </c>
      <c r="D133" t="s">
        <v>396</v>
      </c>
      <c r="E133">
        <v>2012</v>
      </c>
      <c r="F133" t="s">
        <v>37</v>
      </c>
      <c r="G133" t="s">
        <v>282</v>
      </c>
      <c r="H133" t="s">
        <v>17</v>
      </c>
      <c r="I133" s="46" t="s">
        <v>18</v>
      </c>
      <c r="J133" s="4">
        <v>250</v>
      </c>
      <c r="K133">
        <v>0</v>
      </c>
    </row>
    <row r="134" spans="1:11" hidden="1">
      <c r="A134" t="s">
        <v>397</v>
      </c>
      <c r="B134" t="s">
        <v>347</v>
      </c>
      <c r="C134" t="s">
        <v>302</v>
      </c>
      <c r="D134" t="s">
        <v>398</v>
      </c>
      <c r="E134">
        <v>2015</v>
      </c>
      <c r="F134" t="s">
        <v>30</v>
      </c>
      <c r="G134" t="s">
        <v>399</v>
      </c>
      <c r="H134" t="s">
        <v>17</v>
      </c>
      <c r="I134" s="46" t="s">
        <v>18</v>
      </c>
      <c r="J134" s="4">
        <v>250</v>
      </c>
      <c r="K134">
        <v>0.75</v>
      </c>
    </row>
    <row r="135" spans="1:11" hidden="1">
      <c r="A135" t="s">
        <v>400</v>
      </c>
      <c r="B135" t="s">
        <v>347</v>
      </c>
      <c r="C135" t="s">
        <v>381</v>
      </c>
      <c r="D135" t="s">
        <v>401</v>
      </c>
      <c r="E135">
        <v>2015</v>
      </c>
      <c r="F135" t="s">
        <v>33</v>
      </c>
      <c r="G135" t="s">
        <v>402</v>
      </c>
      <c r="H135" t="s">
        <v>17</v>
      </c>
      <c r="I135" s="46" t="s">
        <v>18</v>
      </c>
      <c r="J135" s="4">
        <v>250</v>
      </c>
      <c r="K135">
        <v>1.18</v>
      </c>
    </row>
    <row r="136" spans="1:11" hidden="1">
      <c r="A136" t="s">
        <v>403</v>
      </c>
      <c r="B136" t="s">
        <v>269</v>
      </c>
      <c r="C136" t="s">
        <v>308</v>
      </c>
      <c r="D136" t="s">
        <v>404</v>
      </c>
      <c r="E136">
        <v>2012</v>
      </c>
      <c r="F136" t="s">
        <v>26</v>
      </c>
      <c r="G136" t="s">
        <v>56</v>
      </c>
      <c r="H136" t="s">
        <v>28</v>
      </c>
      <c r="I136" s="46" t="s">
        <v>18</v>
      </c>
      <c r="J136" s="4">
        <v>250</v>
      </c>
    </row>
    <row r="137" spans="1:11" hidden="1">
      <c r="A137" t="s">
        <v>405</v>
      </c>
      <c r="B137" t="s">
        <v>406</v>
      </c>
      <c r="C137" t="s">
        <v>407</v>
      </c>
      <c r="D137" t="s">
        <v>408</v>
      </c>
      <c r="E137">
        <v>1998</v>
      </c>
      <c r="F137" t="s">
        <v>26</v>
      </c>
      <c r="G137" t="s">
        <v>56</v>
      </c>
      <c r="H137" t="s">
        <v>28</v>
      </c>
      <c r="I137" s="46" t="s">
        <v>18</v>
      </c>
      <c r="J137" s="4">
        <v>250</v>
      </c>
    </row>
    <row r="138" spans="1:11" hidden="1">
      <c r="A138" t="s">
        <v>409</v>
      </c>
      <c r="B138" t="s">
        <v>269</v>
      </c>
      <c r="C138" t="s">
        <v>308</v>
      </c>
      <c r="D138" t="s">
        <v>410</v>
      </c>
      <c r="E138">
        <v>2011</v>
      </c>
      <c r="F138" t="s">
        <v>51</v>
      </c>
      <c r="G138" t="s">
        <v>411</v>
      </c>
      <c r="H138" t="s">
        <v>17</v>
      </c>
      <c r="I138" s="46" t="s">
        <v>18</v>
      </c>
      <c r="J138" s="4">
        <v>250</v>
      </c>
      <c r="K138">
        <v>1.95</v>
      </c>
    </row>
    <row r="139" spans="1:11" hidden="1">
      <c r="A139" t="s">
        <v>412</v>
      </c>
      <c r="B139" t="s">
        <v>347</v>
      </c>
      <c r="C139" t="s">
        <v>381</v>
      </c>
      <c r="D139" t="s">
        <v>401</v>
      </c>
      <c r="E139">
        <v>2019</v>
      </c>
      <c r="F139" t="s">
        <v>33</v>
      </c>
      <c r="G139" t="s">
        <v>413</v>
      </c>
      <c r="H139" t="s">
        <v>17</v>
      </c>
      <c r="I139" s="46" t="s">
        <v>18</v>
      </c>
      <c r="J139" s="4">
        <v>250</v>
      </c>
      <c r="K139">
        <v>2.42</v>
      </c>
    </row>
    <row r="140" spans="1:11" hidden="1">
      <c r="A140" t="s">
        <v>414</v>
      </c>
      <c r="B140" t="s">
        <v>415</v>
      </c>
      <c r="C140" t="s">
        <v>416</v>
      </c>
      <c r="D140" t="s">
        <v>417</v>
      </c>
      <c r="E140">
        <v>2001</v>
      </c>
      <c r="F140" t="s">
        <v>26</v>
      </c>
      <c r="G140" t="s">
        <v>149</v>
      </c>
      <c r="H140" t="s">
        <v>28</v>
      </c>
      <c r="I140" s="46" t="s">
        <v>18</v>
      </c>
      <c r="J140" s="4">
        <v>250</v>
      </c>
    </row>
    <row r="141" spans="1:11" hidden="1">
      <c r="A141" t="s">
        <v>418</v>
      </c>
      <c r="B141" t="s">
        <v>264</v>
      </c>
      <c r="C141" t="s">
        <v>314</v>
      </c>
      <c r="D141" t="s">
        <v>419</v>
      </c>
      <c r="E141">
        <v>2019</v>
      </c>
      <c r="F141" t="s">
        <v>33</v>
      </c>
      <c r="G141" t="s">
        <v>420</v>
      </c>
      <c r="H141" t="s">
        <v>17</v>
      </c>
      <c r="I141" s="46" t="s">
        <v>18</v>
      </c>
      <c r="J141" s="4">
        <v>250</v>
      </c>
      <c r="K141">
        <v>3.02</v>
      </c>
    </row>
    <row r="142" spans="1:11" hidden="1">
      <c r="A142" t="s">
        <v>421</v>
      </c>
      <c r="B142" t="s">
        <v>264</v>
      </c>
      <c r="C142" t="s">
        <v>314</v>
      </c>
      <c r="D142" t="s">
        <v>422</v>
      </c>
      <c r="E142">
        <v>2020</v>
      </c>
      <c r="F142" t="s">
        <v>23</v>
      </c>
      <c r="G142" t="s">
        <v>423</v>
      </c>
      <c r="H142" t="s">
        <v>17</v>
      </c>
      <c r="I142" s="46" t="s">
        <v>18</v>
      </c>
      <c r="J142" s="4">
        <v>250</v>
      </c>
      <c r="K142">
        <v>4.84</v>
      </c>
    </row>
    <row r="143" spans="1:11" hidden="1">
      <c r="A143" t="s">
        <v>424</v>
      </c>
      <c r="B143" t="s">
        <v>264</v>
      </c>
      <c r="C143" t="s">
        <v>425</v>
      </c>
      <c r="D143" t="s">
        <v>426</v>
      </c>
      <c r="E143">
        <v>2019</v>
      </c>
      <c r="F143" t="s">
        <v>51</v>
      </c>
      <c r="G143" t="s">
        <v>427</v>
      </c>
      <c r="H143" t="s">
        <v>17</v>
      </c>
      <c r="I143" s="46" t="s">
        <v>18</v>
      </c>
      <c r="J143" s="4">
        <v>250</v>
      </c>
      <c r="K143" s="3">
        <v>2.6</v>
      </c>
    </row>
    <row r="144" spans="1:11" hidden="1">
      <c r="A144" t="s">
        <v>428</v>
      </c>
      <c r="B144" t="s">
        <v>269</v>
      </c>
      <c r="C144" t="s">
        <v>302</v>
      </c>
      <c r="D144" t="s">
        <v>429</v>
      </c>
      <c r="E144">
        <v>2009</v>
      </c>
      <c r="F144" t="s">
        <v>15</v>
      </c>
      <c r="G144" t="s">
        <v>430</v>
      </c>
      <c r="H144" t="s">
        <v>17</v>
      </c>
      <c r="I144" s="46" t="s">
        <v>18</v>
      </c>
      <c r="J144" s="4">
        <v>250</v>
      </c>
      <c r="K144">
        <v>1.72</v>
      </c>
    </row>
    <row r="145" spans="1:11" hidden="1">
      <c r="A145" t="s">
        <v>431</v>
      </c>
      <c r="B145" t="s">
        <v>264</v>
      </c>
      <c r="C145" t="s">
        <v>425</v>
      </c>
      <c r="D145" t="s">
        <v>432</v>
      </c>
      <c r="E145">
        <v>2019</v>
      </c>
      <c r="F145" t="s">
        <v>327</v>
      </c>
      <c r="G145" t="s">
        <v>433</v>
      </c>
      <c r="H145" t="s">
        <v>17</v>
      </c>
      <c r="I145" s="46" t="s">
        <v>18</v>
      </c>
      <c r="J145" s="4">
        <v>250</v>
      </c>
      <c r="K145" s="3"/>
    </row>
    <row r="146" spans="1:11" hidden="1">
      <c r="A146" t="s">
        <v>434</v>
      </c>
      <c r="B146" t="s">
        <v>264</v>
      </c>
      <c r="C146" t="s">
        <v>425</v>
      </c>
      <c r="D146" t="s">
        <v>432</v>
      </c>
      <c r="E146">
        <v>2019</v>
      </c>
      <c r="F146" t="s">
        <v>30</v>
      </c>
      <c r="G146" t="s">
        <v>423</v>
      </c>
      <c r="H146" t="s">
        <v>17</v>
      </c>
      <c r="I146" s="46" t="s">
        <v>18</v>
      </c>
      <c r="J146" s="4">
        <v>250</v>
      </c>
      <c r="K146" s="3">
        <v>12.09</v>
      </c>
    </row>
    <row r="147" spans="1:11" hidden="1">
      <c r="A147" t="s">
        <v>435</v>
      </c>
      <c r="B147" t="s">
        <v>269</v>
      </c>
      <c r="C147" t="s">
        <v>325</v>
      </c>
      <c r="D147" t="s">
        <v>331</v>
      </c>
      <c r="E147">
        <v>2012</v>
      </c>
      <c r="F147" t="s">
        <v>51</v>
      </c>
      <c r="G147" t="s">
        <v>436</v>
      </c>
      <c r="H147" t="s">
        <v>17</v>
      </c>
      <c r="I147" s="46" t="s">
        <v>18</v>
      </c>
      <c r="J147" s="4">
        <v>250</v>
      </c>
      <c r="K147">
        <v>3.86</v>
      </c>
    </row>
    <row r="148" spans="1:11" hidden="1">
      <c r="A148" t="s">
        <v>437</v>
      </c>
      <c r="B148" t="s">
        <v>264</v>
      </c>
      <c r="C148" t="s">
        <v>302</v>
      </c>
      <c r="D148" t="s">
        <v>438</v>
      </c>
      <c r="E148">
        <v>2007</v>
      </c>
      <c r="F148" t="s">
        <v>37</v>
      </c>
      <c r="G148" t="s">
        <v>439</v>
      </c>
      <c r="H148" t="s">
        <v>37</v>
      </c>
      <c r="I148" s="46" t="s">
        <v>18</v>
      </c>
      <c r="J148" s="4">
        <v>250</v>
      </c>
    </row>
    <row r="149" spans="1:11" hidden="1">
      <c r="A149" t="s">
        <v>440</v>
      </c>
      <c r="B149" t="s">
        <v>269</v>
      </c>
      <c r="C149" t="s">
        <v>308</v>
      </c>
      <c r="D149" t="s">
        <v>363</v>
      </c>
      <c r="E149">
        <v>2013</v>
      </c>
      <c r="F149" t="s">
        <v>320</v>
      </c>
      <c r="G149" t="s">
        <v>321</v>
      </c>
      <c r="H149" t="s">
        <v>37</v>
      </c>
      <c r="I149" s="46" t="s">
        <v>18</v>
      </c>
      <c r="J149" s="4">
        <v>250</v>
      </c>
    </row>
    <row r="150" spans="1:11" hidden="1">
      <c r="A150" t="s">
        <v>441</v>
      </c>
      <c r="B150" t="s">
        <v>284</v>
      </c>
      <c r="C150" t="s">
        <v>308</v>
      </c>
      <c r="D150" t="s">
        <v>442</v>
      </c>
      <c r="E150">
        <v>2013</v>
      </c>
      <c r="F150" t="s">
        <v>37</v>
      </c>
      <c r="G150" t="s">
        <v>443</v>
      </c>
      <c r="H150" t="s">
        <v>28</v>
      </c>
      <c r="I150" s="46" t="s">
        <v>18</v>
      </c>
      <c r="J150" s="4">
        <v>250</v>
      </c>
      <c r="K150">
        <v>0</v>
      </c>
    </row>
    <row r="151" spans="1:11" hidden="1">
      <c r="A151" t="s">
        <v>444</v>
      </c>
      <c r="B151" t="s">
        <v>347</v>
      </c>
      <c r="C151" t="s">
        <v>265</v>
      </c>
      <c r="D151" t="s">
        <v>445</v>
      </c>
      <c r="E151">
        <v>2023</v>
      </c>
      <c r="F151" t="s">
        <v>33</v>
      </c>
      <c r="G151" t="s">
        <v>446</v>
      </c>
      <c r="H151" t="s">
        <v>17</v>
      </c>
      <c r="I151" s="46" t="s">
        <v>18</v>
      </c>
      <c r="J151" s="4">
        <v>250</v>
      </c>
      <c r="K151">
        <v>2.64</v>
      </c>
    </row>
    <row r="152" spans="1:11" hidden="1">
      <c r="A152" t="s">
        <v>447</v>
      </c>
      <c r="B152" t="s">
        <v>347</v>
      </c>
      <c r="C152" t="s">
        <v>285</v>
      </c>
      <c r="D152" t="s">
        <v>448</v>
      </c>
      <c r="E152">
        <v>2023</v>
      </c>
      <c r="F152" t="s">
        <v>51</v>
      </c>
      <c r="G152" t="s">
        <v>449</v>
      </c>
      <c r="H152" t="s">
        <v>17</v>
      </c>
      <c r="I152" s="46" t="s">
        <v>18</v>
      </c>
      <c r="J152" s="4">
        <v>250</v>
      </c>
      <c r="K152">
        <v>2.78</v>
      </c>
    </row>
    <row r="153" spans="1:11" hidden="1">
      <c r="A153" t="s">
        <v>450</v>
      </c>
      <c r="B153" t="s">
        <v>347</v>
      </c>
      <c r="C153" t="s">
        <v>285</v>
      </c>
      <c r="D153" t="s">
        <v>448</v>
      </c>
      <c r="E153">
        <v>2023</v>
      </c>
      <c r="F153" t="s">
        <v>63</v>
      </c>
      <c r="G153" t="s">
        <v>451</v>
      </c>
      <c r="H153" t="s">
        <v>17</v>
      </c>
      <c r="I153" s="46" t="s">
        <v>18</v>
      </c>
      <c r="J153" s="4">
        <v>250</v>
      </c>
      <c r="K153">
        <v>2.99</v>
      </c>
    </row>
    <row r="154" spans="1:11" hidden="1">
      <c r="A154" t="s">
        <v>452</v>
      </c>
      <c r="B154" t="s">
        <v>347</v>
      </c>
      <c r="C154" t="s">
        <v>265</v>
      </c>
      <c r="D154" t="s">
        <v>445</v>
      </c>
      <c r="E154">
        <v>2023</v>
      </c>
      <c r="F154" t="s">
        <v>15</v>
      </c>
      <c r="G154" t="s">
        <v>453</v>
      </c>
      <c r="H154" t="s">
        <v>17</v>
      </c>
      <c r="I154" s="46" t="s">
        <v>18</v>
      </c>
      <c r="J154" s="4">
        <v>250</v>
      </c>
      <c r="K154">
        <v>1.9</v>
      </c>
    </row>
    <row r="155" spans="1:11" hidden="1">
      <c r="A155" t="s">
        <v>454</v>
      </c>
      <c r="B155" t="s">
        <v>455</v>
      </c>
      <c r="C155" t="s">
        <v>298</v>
      </c>
      <c r="D155" t="s">
        <v>456</v>
      </c>
      <c r="E155">
        <v>2011</v>
      </c>
      <c r="F155" t="s">
        <v>15</v>
      </c>
      <c r="G155" t="s">
        <v>457</v>
      </c>
      <c r="H155" t="s">
        <v>17</v>
      </c>
      <c r="I155" s="46" t="s">
        <v>18</v>
      </c>
      <c r="J155" s="4">
        <v>250</v>
      </c>
      <c r="K155">
        <v>2.68</v>
      </c>
    </row>
    <row r="156" spans="1:11" hidden="1">
      <c r="A156" t="s">
        <v>458</v>
      </c>
      <c r="B156" t="s">
        <v>455</v>
      </c>
      <c r="C156" t="s">
        <v>298</v>
      </c>
      <c r="D156" t="s">
        <v>456</v>
      </c>
      <c r="E156">
        <v>2011</v>
      </c>
      <c r="F156" t="s">
        <v>33</v>
      </c>
      <c r="G156" t="s">
        <v>459</v>
      </c>
      <c r="H156" t="s">
        <v>17</v>
      </c>
      <c r="I156" s="46" t="s">
        <v>18</v>
      </c>
      <c r="J156" s="4">
        <v>250</v>
      </c>
      <c r="K156">
        <v>8.2100000000000009</v>
      </c>
    </row>
    <row r="157" spans="1:11" hidden="1">
      <c r="A157" t="s">
        <v>460</v>
      </c>
      <c r="B157" t="s">
        <v>264</v>
      </c>
      <c r="C157" t="s">
        <v>265</v>
      </c>
      <c r="D157" t="s">
        <v>266</v>
      </c>
      <c r="E157">
        <v>2024</v>
      </c>
      <c r="F157" t="s">
        <v>33</v>
      </c>
      <c r="G157" t="s">
        <v>461</v>
      </c>
      <c r="H157" t="s">
        <v>17</v>
      </c>
      <c r="I157" s="46" t="s">
        <v>18</v>
      </c>
      <c r="J157" s="4">
        <v>250</v>
      </c>
      <c r="K157">
        <v>4.38</v>
      </c>
    </row>
    <row r="158" spans="1:11" hidden="1">
      <c r="A158" t="s">
        <v>462</v>
      </c>
      <c r="B158" t="s">
        <v>463</v>
      </c>
      <c r="C158" t="s">
        <v>98</v>
      </c>
      <c r="D158" t="s">
        <v>464</v>
      </c>
      <c r="E158">
        <v>2023</v>
      </c>
      <c r="F158" t="s">
        <v>124</v>
      </c>
      <c r="G158" t="s">
        <v>465</v>
      </c>
      <c r="H158" t="s">
        <v>17</v>
      </c>
      <c r="I158" s="46" t="s">
        <v>47</v>
      </c>
      <c r="J158" s="4">
        <v>15000</v>
      </c>
      <c r="K158" s="3">
        <v>67.28</v>
      </c>
    </row>
    <row r="159" spans="1:11" hidden="1">
      <c r="A159" t="s">
        <v>466</v>
      </c>
      <c r="B159" t="s">
        <v>463</v>
      </c>
      <c r="C159" t="s">
        <v>98</v>
      </c>
      <c r="D159" t="s">
        <v>464</v>
      </c>
      <c r="E159">
        <v>2023</v>
      </c>
      <c r="F159" t="s">
        <v>327</v>
      </c>
      <c r="G159" t="s">
        <v>467</v>
      </c>
      <c r="H159" t="s">
        <v>17</v>
      </c>
      <c r="I159" s="46" t="s">
        <v>47</v>
      </c>
      <c r="J159" s="4">
        <v>15000</v>
      </c>
      <c r="K159">
        <v>469</v>
      </c>
    </row>
    <row r="160" spans="1:11" hidden="1">
      <c r="A160" t="s">
        <v>468</v>
      </c>
      <c r="B160" t="s">
        <v>463</v>
      </c>
      <c r="C160" t="s">
        <v>469</v>
      </c>
      <c r="D160" t="s">
        <v>470</v>
      </c>
      <c r="E160">
        <v>2024</v>
      </c>
      <c r="F160" t="s">
        <v>471</v>
      </c>
      <c r="G160" t="s">
        <v>472</v>
      </c>
      <c r="H160" t="s">
        <v>37</v>
      </c>
      <c r="I160" s="46" t="s">
        <v>47</v>
      </c>
      <c r="J160" s="4">
        <v>15000</v>
      </c>
      <c r="K160">
        <v>216.12</v>
      </c>
    </row>
    <row r="161" spans="1:11" hidden="1">
      <c r="A161" t="s">
        <v>473</v>
      </c>
      <c r="B161" t="s">
        <v>463</v>
      </c>
      <c r="C161" t="s">
        <v>469</v>
      </c>
      <c r="D161" t="s">
        <v>470</v>
      </c>
      <c r="E161">
        <v>2024</v>
      </c>
      <c r="F161" t="s">
        <v>37</v>
      </c>
      <c r="G161" t="s">
        <v>474</v>
      </c>
      <c r="H161" t="s">
        <v>17</v>
      </c>
      <c r="I161" s="46" t="s">
        <v>47</v>
      </c>
      <c r="J161" s="4">
        <v>15000</v>
      </c>
      <c r="K161">
        <v>57.54</v>
      </c>
    </row>
    <row r="162" spans="1:11" hidden="1">
      <c r="A162" t="s">
        <v>475</v>
      </c>
      <c r="B162" t="s">
        <v>476</v>
      </c>
      <c r="C162" t="s">
        <v>477</v>
      </c>
      <c r="D162" t="s">
        <v>478</v>
      </c>
      <c r="E162">
        <v>2016</v>
      </c>
      <c r="H162" t="s">
        <v>28</v>
      </c>
      <c r="I162" s="46" t="s">
        <v>47</v>
      </c>
      <c r="J162" s="4">
        <v>15000</v>
      </c>
      <c r="K162">
        <v>0</v>
      </c>
    </row>
    <row r="163" spans="1:11" hidden="1">
      <c r="A163" t="s">
        <v>479</v>
      </c>
      <c r="B163" t="s">
        <v>463</v>
      </c>
      <c r="C163" t="s">
        <v>480</v>
      </c>
      <c r="D163" t="s">
        <v>481</v>
      </c>
      <c r="E163">
        <v>2019</v>
      </c>
      <c r="F163" t="s">
        <v>482</v>
      </c>
      <c r="G163" t="s">
        <v>483</v>
      </c>
      <c r="H163" t="s">
        <v>28</v>
      </c>
      <c r="I163" s="46" t="s">
        <v>47</v>
      </c>
      <c r="J163" s="4">
        <v>15000</v>
      </c>
      <c r="K163">
        <v>0</v>
      </c>
    </row>
    <row r="164" spans="1:11" hidden="1">
      <c r="A164" t="s">
        <v>484</v>
      </c>
      <c r="B164" t="s">
        <v>463</v>
      </c>
      <c r="C164" t="s">
        <v>75</v>
      </c>
      <c r="D164" t="s">
        <v>485</v>
      </c>
      <c r="E164">
        <v>2011</v>
      </c>
      <c r="F164" t="s">
        <v>26</v>
      </c>
      <c r="G164" t="s">
        <v>149</v>
      </c>
      <c r="H164" t="s">
        <v>28</v>
      </c>
      <c r="I164" s="46" t="s">
        <v>47</v>
      </c>
      <c r="J164" s="4">
        <v>15000</v>
      </c>
      <c r="K164">
        <v>0</v>
      </c>
    </row>
    <row r="165" spans="1:11" hidden="1">
      <c r="A165" t="s">
        <v>486</v>
      </c>
      <c r="B165" t="s">
        <v>463</v>
      </c>
      <c r="C165" t="s">
        <v>487</v>
      </c>
      <c r="D165" t="s">
        <v>488</v>
      </c>
      <c r="E165">
        <v>2024</v>
      </c>
      <c r="F165" t="s">
        <v>482</v>
      </c>
      <c r="G165" t="s">
        <v>489</v>
      </c>
      <c r="H165" t="s">
        <v>17</v>
      </c>
      <c r="I165" s="46" t="s">
        <v>47</v>
      </c>
      <c r="J165" s="4">
        <v>15000</v>
      </c>
      <c r="K165">
        <v>82.2</v>
      </c>
    </row>
    <row r="166" spans="1:11" hidden="1">
      <c r="A166" t="s">
        <v>490</v>
      </c>
      <c r="B166" t="s">
        <v>463</v>
      </c>
      <c r="C166" t="s">
        <v>487</v>
      </c>
      <c r="D166" t="s">
        <v>488</v>
      </c>
      <c r="E166">
        <v>2024</v>
      </c>
      <c r="F166" t="s">
        <v>491</v>
      </c>
      <c r="G166" t="s">
        <v>492</v>
      </c>
      <c r="H166" t="s">
        <v>37</v>
      </c>
      <c r="I166" s="46" t="s">
        <v>47</v>
      </c>
      <c r="J166" s="4">
        <v>15000</v>
      </c>
      <c r="K166">
        <v>170.09</v>
      </c>
    </row>
    <row r="167" spans="1:11" hidden="1">
      <c r="A167" t="s">
        <v>493</v>
      </c>
      <c r="B167" t="s">
        <v>463</v>
      </c>
      <c r="C167" t="s">
        <v>487</v>
      </c>
      <c r="D167" t="s">
        <v>488</v>
      </c>
      <c r="E167">
        <v>2024</v>
      </c>
      <c r="F167" t="s">
        <v>482</v>
      </c>
      <c r="G167" t="s">
        <v>494</v>
      </c>
      <c r="H167" t="s">
        <v>17</v>
      </c>
      <c r="I167" s="46" t="s">
        <v>47</v>
      </c>
      <c r="J167" s="4">
        <v>15000</v>
      </c>
      <c r="K167">
        <v>188.79</v>
      </c>
    </row>
    <row r="168" spans="1:11" hidden="1">
      <c r="A168" t="s">
        <v>495</v>
      </c>
      <c r="B168" t="s">
        <v>463</v>
      </c>
      <c r="C168" t="s">
        <v>469</v>
      </c>
      <c r="D168" t="s">
        <v>496</v>
      </c>
      <c r="E168">
        <v>2024</v>
      </c>
      <c r="F168" t="s">
        <v>37</v>
      </c>
      <c r="G168" t="s">
        <v>497</v>
      </c>
      <c r="H168" t="s">
        <v>17</v>
      </c>
      <c r="I168" s="46" t="s">
        <v>47</v>
      </c>
      <c r="J168" s="4">
        <v>10000</v>
      </c>
      <c r="K168">
        <v>340.34</v>
      </c>
    </row>
    <row r="169" spans="1:11" hidden="1">
      <c r="A169" t="s">
        <v>498</v>
      </c>
      <c r="B169" t="s">
        <v>463</v>
      </c>
      <c r="C169" t="s">
        <v>469</v>
      </c>
      <c r="D169" t="s">
        <v>496</v>
      </c>
      <c r="E169">
        <v>2024</v>
      </c>
      <c r="F169" t="s">
        <v>366</v>
      </c>
      <c r="G169" t="s">
        <v>499</v>
      </c>
      <c r="H169" t="s">
        <v>17</v>
      </c>
      <c r="I169" s="46" t="s">
        <v>47</v>
      </c>
      <c r="J169" s="4">
        <v>15000</v>
      </c>
      <c r="K169">
        <v>95.64</v>
      </c>
    </row>
    <row r="170" spans="1:11" hidden="1">
      <c r="A170" t="s">
        <v>500</v>
      </c>
      <c r="B170" t="s">
        <v>463</v>
      </c>
      <c r="C170" t="s">
        <v>469</v>
      </c>
      <c r="D170" t="s">
        <v>496</v>
      </c>
      <c r="E170">
        <v>2024</v>
      </c>
      <c r="F170" t="s">
        <v>124</v>
      </c>
      <c r="G170" t="s">
        <v>501</v>
      </c>
      <c r="H170" t="s">
        <v>17</v>
      </c>
      <c r="I170" s="46" t="s">
        <v>47</v>
      </c>
      <c r="J170" s="4">
        <v>15000</v>
      </c>
      <c r="K170">
        <v>230.75</v>
      </c>
    </row>
    <row r="171" spans="1:11" hidden="1">
      <c r="A171" t="s">
        <v>502</v>
      </c>
      <c r="B171" t="s">
        <v>463</v>
      </c>
      <c r="C171" t="s">
        <v>469</v>
      </c>
      <c r="D171" t="s">
        <v>503</v>
      </c>
      <c r="E171">
        <v>2024</v>
      </c>
      <c r="F171" t="s">
        <v>63</v>
      </c>
      <c r="G171" t="s">
        <v>504</v>
      </c>
      <c r="H171" t="s">
        <v>17</v>
      </c>
      <c r="I171" s="46" t="s">
        <v>47</v>
      </c>
      <c r="J171" s="4">
        <v>15000</v>
      </c>
      <c r="K171">
        <v>126.58</v>
      </c>
    </row>
    <row r="172" spans="1:11" hidden="1">
      <c r="A172" t="s">
        <v>505</v>
      </c>
      <c r="B172" t="s">
        <v>463</v>
      </c>
      <c r="C172" t="s">
        <v>469</v>
      </c>
      <c r="D172" t="s">
        <v>503</v>
      </c>
      <c r="E172">
        <v>2024</v>
      </c>
      <c r="F172" t="s">
        <v>33</v>
      </c>
      <c r="G172" t="s">
        <v>506</v>
      </c>
      <c r="H172" t="s">
        <v>17</v>
      </c>
      <c r="I172" s="46" t="s">
        <v>47</v>
      </c>
      <c r="J172" s="4">
        <v>15000</v>
      </c>
      <c r="K172">
        <v>160.72999999999999</v>
      </c>
    </row>
    <row r="173" spans="1:11" hidden="1">
      <c r="A173" t="s">
        <v>507</v>
      </c>
      <c r="B173" t="s">
        <v>508</v>
      </c>
      <c r="C173" t="s">
        <v>509</v>
      </c>
      <c r="D173" t="s">
        <v>510</v>
      </c>
      <c r="E173">
        <v>2025</v>
      </c>
      <c r="F173" t="s">
        <v>482</v>
      </c>
      <c r="G173" t="s">
        <v>511</v>
      </c>
      <c r="H173" t="s">
        <v>17</v>
      </c>
      <c r="I173" s="46" t="s">
        <v>47</v>
      </c>
      <c r="J173" s="4">
        <v>10000</v>
      </c>
      <c r="K173">
        <v>276.58</v>
      </c>
    </row>
    <row r="174" spans="1:11" hidden="1">
      <c r="A174" t="s">
        <v>512</v>
      </c>
      <c r="B174" t="s">
        <v>508</v>
      </c>
      <c r="C174" t="s">
        <v>509</v>
      </c>
      <c r="D174" t="s">
        <v>510</v>
      </c>
      <c r="E174">
        <v>2025</v>
      </c>
      <c r="F174" t="s">
        <v>33</v>
      </c>
      <c r="G174" t="s">
        <v>513</v>
      </c>
      <c r="H174" t="s">
        <v>17</v>
      </c>
      <c r="I174" s="46" t="s">
        <v>47</v>
      </c>
      <c r="J174" s="4">
        <v>10000</v>
      </c>
      <c r="K174">
        <v>225.29</v>
      </c>
    </row>
    <row r="175" spans="1:11" hidden="1">
      <c r="A175" t="s">
        <v>514</v>
      </c>
      <c r="B175" t="s">
        <v>508</v>
      </c>
      <c r="C175" t="s">
        <v>509</v>
      </c>
      <c r="D175" t="s">
        <v>510</v>
      </c>
      <c r="E175">
        <v>2025</v>
      </c>
      <c r="F175" t="s">
        <v>15</v>
      </c>
      <c r="G175" t="s">
        <v>515</v>
      </c>
      <c r="H175" t="s">
        <v>17</v>
      </c>
      <c r="I175" s="46" t="s">
        <v>47</v>
      </c>
      <c r="J175" s="4">
        <v>10000</v>
      </c>
      <c r="K175">
        <v>41.34</v>
      </c>
    </row>
    <row r="176" spans="1:11" hidden="1">
      <c r="A176" t="s">
        <v>516</v>
      </c>
      <c r="B176" t="s">
        <v>508</v>
      </c>
      <c r="C176" t="s">
        <v>509</v>
      </c>
      <c r="D176" t="s">
        <v>510</v>
      </c>
      <c r="E176">
        <v>2025</v>
      </c>
      <c r="F176" t="s">
        <v>517</v>
      </c>
      <c r="G176" t="s">
        <v>518</v>
      </c>
      <c r="H176" t="s">
        <v>17</v>
      </c>
      <c r="I176" s="46" t="s">
        <v>47</v>
      </c>
      <c r="J176" s="4">
        <v>10000</v>
      </c>
      <c r="K176">
        <v>108.29</v>
      </c>
    </row>
    <row r="177" spans="1:11" hidden="1">
      <c r="A177" t="s">
        <v>519</v>
      </c>
      <c r="B177" t="s">
        <v>508</v>
      </c>
      <c r="C177" t="s">
        <v>509</v>
      </c>
      <c r="D177" t="s">
        <v>510</v>
      </c>
      <c r="E177">
        <v>2025</v>
      </c>
      <c r="F177" t="s">
        <v>30</v>
      </c>
      <c r="G177" t="s">
        <v>520</v>
      </c>
      <c r="H177" t="s">
        <v>17</v>
      </c>
      <c r="I177" s="46" t="s">
        <v>47</v>
      </c>
      <c r="J177" s="4">
        <v>10000</v>
      </c>
      <c r="K177">
        <v>132.29</v>
      </c>
    </row>
    <row r="178" spans="1:11" hidden="1">
      <c r="A178" t="s">
        <v>521</v>
      </c>
      <c r="B178" t="s">
        <v>508</v>
      </c>
      <c r="C178" t="s">
        <v>509</v>
      </c>
      <c r="D178" t="s">
        <v>510</v>
      </c>
      <c r="E178">
        <v>2025</v>
      </c>
      <c r="F178" t="s">
        <v>63</v>
      </c>
      <c r="G178" t="s">
        <v>522</v>
      </c>
      <c r="H178" t="s">
        <v>17</v>
      </c>
      <c r="I178" s="46" t="s">
        <v>47</v>
      </c>
      <c r="J178" s="4">
        <v>10000</v>
      </c>
      <c r="K178">
        <v>141.5</v>
      </c>
    </row>
    <row r="179" spans="1:11" hidden="1">
      <c r="A179" t="s">
        <v>523</v>
      </c>
      <c r="B179" t="s">
        <v>508</v>
      </c>
      <c r="C179" t="s">
        <v>509</v>
      </c>
      <c r="D179" t="s">
        <v>510</v>
      </c>
      <c r="E179">
        <v>2025</v>
      </c>
      <c r="F179" t="s">
        <v>15</v>
      </c>
      <c r="G179" t="s">
        <v>524</v>
      </c>
      <c r="H179" t="s">
        <v>17</v>
      </c>
      <c r="I179" s="46" t="s">
        <v>47</v>
      </c>
      <c r="J179" s="4">
        <v>10000</v>
      </c>
      <c r="K179">
        <v>62.98</v>
      </c>
    </row>
    <row r="180" spans="1:11" hidden="1">
      <c r="A180" t="s">
        <v>525</v>
      </c>
      <c r="B180" t="s">
        <v>508</v>
      </c>
      <c r="C180" t="s">
        <v>509</v>
      </c>
      <c r="D180" t="s">
        <v>510</v>
      </c>
      <c r="E180">
        <v>2025</v>
      </c>
      <c r="F180" t="s">
        <v>63</v>
      </c>
      <c r="G180" t="s">
        <v>526</v>
      </c>
      <c r="H180" t="s">
        <v>17</v>
      </c>
      <c r="I180" s="46" t="s">
        <v>47</v>
      </c>
      <c r="J180" s="4">
        <v>10000</v>
      </c>
      <c r="K180">
        <v>98.65</v>
      </c>
    </row>
    <row r="181" spans="1:11" hidden="1">
      <c r="A181" t="s">
        <v>527</v>
      </c>
      <c r="B181" t="s">
        <v>508</v>
      </c>
      <c r="C181" t="s">
        <v>509</v>
      </c>
      <c r="D181" t="s">
        <v>510</v>
      </c>
      <c r="E181">
        <v>2025</v>
      </c>
      <c r="F181" t="s">
        <v>30</v>
      </c>
      <c r="G181" t="s">
        <v>528</v>
      </c>
      <c r="H181" t="s">
        <v>17</v>
      </c>
      <c r="I181" s="46" t="s">
        <v>47</v>
      </c>
      <c r="J181" s="4">
        <v>10000</v>
      </c>
      <c r="K181">
        <v>209.49</v>
      </c>
    </row>
    <row r="182" spans="1:11" hidden="1">
      <c r="A182" t="s">
        <v>529</v>
      </c>
      <c r="B182" t="s">
        <v>508</v>
      </c>
      <c r="C182" t="s">
        <v>509</v>
      </c>
      <c r="D182" t="s">
        <v>510</v>
      </c>
      <c r="E182">
        <v>2025</v>
      </c>
      <c r="F182" t="s">
        <v>51</v>
      </c>
      <c r="G182" t="s">
        <v>530</v>
      </c>
      <c r="H182" t="s">
        <v>17</v>
      </c>
      <c r="I182" s="46" t="s">
        <v>47</v>
      </c>
      <c r="J182" s="4">
        <v>10000</v>
      </c>
      <c r="K182">
        <v>146.47</v>
      </c>
    </row>
    <row r="183" spans="1:11" hidden="1">
      <c r="A183" t="s">
        <v>531</v>
      </c>
      <c r="B183" t="s">
        <v>463</v>
      </c>
      <c r="C183" t="s">
        <v>98</v>
      </c>
      <c r="D183" t="s">
        <v>532</v>
      </c>
      <c r="E183">
        <v>2025</v>
      </c>
      <c r="F183" t="s">
        <v>517</v>
      </c>
      <c r="G183" t="s">
        <v>533</v>
      </c>
      <c r="H183" t="s">
        <v>17</v>
      </c>
      <c r="I183" s="46" t="s">
        <v>47</v>
      </c>
      <c r="J183" s="4">
        <v>15000</v>
      </c>
      <c r="K183">
        <v>142.18</v>
      </c>
    </row>
    <row r="184" spans="1:11" hidden="1">
      <c r="A184" t="s">
        <v>534</v>
      </c>
      <c r="B184" t="s">
        <v>463</v>
      </c>
      <c r="C184" t="s">
        <v>98</v>
      </c>
      <c r="D184" t="s">
        <v>532</v>
      </c>
      <c r="E184">
        <v>2025</v>
      </c>
      <c r="F184" t="s">
        <v>15</v>
      </c>
      <c r="G184" t="s">
        <v>535</v>
      </c>
      <c r="H184" t="s">
        <v>17</v>
      </c>
      <c r="I184" s="46" t="s">
        <v>47</v>
      </c>
      <c r="J184" s="4">
        <v>15000</v>
      </c>
      <c r="K184">
        <v>231.83</v>
      </c>
    </row>
    <row r="185" spans="1:11" hidden="1">
      <c r="A185" t="s">
        <v>536</v>
      </c>
      <c r="B185" t="s">
        <v>463</v>
      </c>
      <c r="C185" t="s">
        <v>98</v>
      </c>
      <c r="D185" t="s">
        <v>532</v>
      </c>
      <c r="E185">
        <v>2025</v>
      </c>
      <c r="F185" t="s">
        <v>15</v>
      </c>
      <c r="G185" t="s">
        <v>537</v>
      </c>
      <c r="H185" t="s">
        <v>17</v>
      </c>
      <c r="I185" s="46" t="s">
        <v>47</v>
      </c>
      <c r="J185" s="4">
        <v>15000</v>
      </c>
      <c r="K185">
        <v>139.25</v>
      </c>
    </row>
    <row r="186" spans="1:11" hidden="1">
      <c r="A186" t="s">
        <v>538</v>
      </c>
      <c r="B186" t="s">
        <v>463</v>
      </c>
      <c r="C186" t="s">
        <v>98</v>
      </c>
      <c r="D186" t="s">
        <v>532</v>
      </c>
      <c r="E186">
        <v>2025</v>
      </c>
      <c r="F186" t="s">
        <v>327</v>
      </c>
      <c r="G186" t="s">
        <v>539</v>
      </c>
      <c r="H186" t="s">
        <v>17</v>
      </c>
      <c r="I186" s="46" t="s">
        <v>47</v>
      </c>
      <c r="J186" s="4">
        <v>15000</v>
      </c>
    </row>
    <row r="187" spans="1:11" hidden="1">
      <c r="A187" t="s">
        <v>540</v>
      </c>
      <c r="B187" t="s">
        <v>463</v>
      </c>
      <c r="C187" t="s">
        <v>98</v>
      </c>
      <c r="D187" t="s">
        <v>532</v>
      </c>
      <c r="E187">
        <v>2025</v>
      </c>
      <c r="F187" t="s">
        <v>316</v>
      </c>
      <c r="G187" t="s">
        <v>541</v>
      </c>
      <c r="H187" t="s">
        <v>17</v>
      </c>
      <c r="I187" s="46" t="s">
        <v>47</v>
      </c>
      <c r="J187" s="4">
        <v>15000</v>
      </c>
      <c r="K187">
        <v>124.06</v>
      </c>
    </row>
    <row r="188" spans="1:11" hidden="1">
      <c r="A188" t="s">
        <v>542</v>
      </c>
      <c r="B188" s="46" t="s">
        <v>463</v>
      </c>
      <c r="C188" s="46" t="s">
        <v>98</v>
      </c>
      <c r="D188" s="46" t="s">
        <v>532</v>
      </c>
      <c r="E188" s="3">
        <v>2025</v>
      </c>
      <c r="F188" s="46" t="s">
        <v>30</v>
      </c>
      <c r="G188" s="46" t="s">
        <v>543</v>
      </c>
      <c r="H188" s="46" t="s">
        <v>17</v>
      </c>
      <c r="I188" s="46" t="s">
        <v>47</v>
      </c>
      <c r="J188" s="4">
        <v>15000</v>
      </c>
      <c r="K188" s="3">
        <v>359.1</v>
      </c>
    </row>
    <row r="189" spans="1:11" hidden="1">
      <c r="A189" t="s">
        <v>544</v>
      </c>
      <c r="B189" t="s">
        <v>463</v>
      </c>
      <c r="C189" t="s">
        <v>98</v>
      </c>
      <c r="D189" t="s">
        <v>532</v>
      </c>
      <c r="E189">
        <v>2025</v>
      </c>
      <c r="F189" t="s">
        <v>482</v>
      </c>
      <c r="G189" t="s">
        <v>545</v>
      </c>
      <c r="H189" t="s">
        <v>17</v>
      </c>
      <c r="I189" s="46" t="s">
        <v>47</v>
      </c>
      <c r="J189" s="4">
        <v>15000</v>
      </c>
      <c r="K189">
        <v>210.78</v>
      </c>
    </row>
    <row r="190" spans="1:11" hidden="1">
      <c r="A190" t="s">
        <v>546</v>
      </c>
      <c r="B190" t="s">
        <v>463</v>
      </c>
      <c r="C190" t="s">
        <v>98</v>
      </c>
      <c r="D190" t="s">
        <v>532</v>
      </c>
      <c r="E190">
        <v>2025</v>
      </c>
      <c r="F190" t="s">
        <v>63</v>
      </c>
      <c r="G190" t="s">
        <v>547</v>
      </c>
      <c r="H190" t="s">
        <v>17</v>
      </c>
      <c r="I190" s="46" t="s">
        <v>47</v>
      </c>
      <c r="J190" s="4">
        <v>15000</v>
      </c>
      <c r="K190">
        <v>174.67</v>
      </c>
    </row>
    <row r="191" spans="1:11" hidden="1">
      <c r="A191" t="s">
        <v>548</v>
      </c>
      <c r="B191" t="s">
        <v>463</v>
      </c>
      <c r="C191" t="s">
        <v>98</v>
      </c>
      <c r="D191" t="s">
        <v>532</v>
      </c>
      <c r="E191">
        <v>2025</v>
      </c>
      <c r="F191" t="s">
        <v>30</v>
      </c>
      <c r="G191" t="s">
        <v>549</v>
      </c>
      <c r="H191" t="s">
        <v>17</v>
      </c>
      <c r="I191" s="46" t="s">
        <v>47</v>
      </c>
      <c r="J191" s="4">
        <v>15000</v>
      </c>
      <c r="K191">
        <v>217.79</v>
      </c>
    </row>
    <row r="192" spans="1:11" hidden="1">
      <c r="A192" t="s">
        <v>550</v>
      </c>
      <c r="B192" t="s">
        <v>463</v>
      </c>
      <c r="C192" t="s">
        <v>98</v>
      </c>
      <c r="D192" t="s">
        <v>532</v>
      </c>
      <c r="E192">
        <v>2025</v>
      </c>
      <c r="F192" t="s">
        <v>482</v>
      </c>
      <c r="G192" t="s">
        <v>492</v>
      </c>
      <c r="H192" t="s">
        <v>17</v>
      </c>
      <c r="I192" s="46" t="s">
        <v>47</v>
      </c>
      <c r="J192" s="4">
        <v>15000</v>
      </c>
      <c r="K192">
        <v>232.83</v>
      </c>
    </row>
    <row r="193" spans="1:11" hidden="1">
      <c r="A193" t="s">
        <v>551</v>
      </c>
      <c r="B193" t="s">
        <v>463</v>
      </c>
      <c r="C193" t="s">
        <v>552</v>
      </c>
      <c r="D193" t="s">
        <v>553</v>
      </c>
      <c r="E193">
        <v>2023</v>
      </c>
      <c r="F193" t="s">
        <v>482</v>
      </c>
      <c r="G193" t="s">
        <v>554</v>
      </c>
      <c r="H193" t="s">
        <v>17</v>
      </c>
      <c r="I193" s="46" t="s">
        <v>47</v>
      </c>
      <c r="J193" s="4">
        <v>15000</v>
      </c>
      <c r="K193">
        <v>70.44</v>
      </c>
    </row>
    <row r="194" spans="1:11" hidden="1">
      <c r="A194" t="s">
        <v>555</v>
      </c>
      <c r="B194" t="s">
        <v>463</v>
      </c>
      <c r="C194" t="s">
        <v>98</v>
      </c>
      <c r="D194" t="s">
        <v>464</v>
      </c>
      <c r="E194">
        <v>2026</v>
      </c>
      <c r="F194" t="s">
        <v>15</v>
      </c>
      <c r="G194" t="s">
        <v>556</v>
      </c>
      <c r="H194" t="s">
        <v>17</v>
      </c>
      <c r="I194" s="46" t="s">
        <v>47</v>
      </c>
      <c r="J194" s="4">
        <v>15000</v>
      </c>
      <c r="K194">
        <v>227.67</v>
      </c>
    </row>
    <row r="195" spans="1:11" hidden="1">
      <c r="A195" t="s">
        <v>557</v>
      </c>
      <c r="B195" t="s">
        <v>463</v>
      </c>
      <c r="C195" t="s">
        <v>98</v>
      </c>
      <c r="D195" t="s">
        <v>464</v>
      </c>
      <c r="E195">
        <v>2026</v>
      </c>
      <c r="F195" t="s">
        <v>51</v>
      </c>
      <c r="G195" t="s">
        <v>411</v>
      </c>
      <c r="H195" t="s">
        <v>17</v>
      </c>
      <c r="I195" s="46" t="s">
        <v>47</v>
      </c>
      <c r="J195" s="4">
        <v>15000</v>
      </c>
      <c r="K195" s="3">
        <v>0</v>
      </c>
    </row>
    <row r="196" spans="1:11" hidden="1">
      <c r="A196" t="s">
        <v>558</v>
      </c>
      <c r="B196" t="s">
        <v>463</v>
      </c>
      <c r="C196" t="s">
        <v>98</v>
      </c>
      <c r="D196" t="s">
        <v>464</v>
      </c>
      <c r="E196">
        <v>2026</v>
      </c>
      <c r="F196" t="s">
        <v>33</v>
      </c>
      <c r="G196" t="s">
        <v>559</v>
      </c>
      <c r="H196" t="s">
        <v>17</v>
      </c>
      <c r="I196" s="46" t="s">
        <v>47</v>
      </c>
      <c r="J196" s="4">
        <v>15000</v>
      </c>
      <c r="K196">
        <v>133.94999999999999</v>
      </c>
    </row>
    <row r="197" spans="1:11" hidden="1">
      <c r="A197" t="s">
        <v>560</v>
      </c>
      <c r="B197" t="s">
        <v>463</v>
      </c>
      <c r="C197" t="s">
        <v>98</v>
      </c>
      <c r="D197" t="s">
        <v>464</v>
      </c>
      <c r="E197">
        <v>2026</v>
      </c>
      <c r="F197" t="s">
        <v>23</v>
      </c>
      <c r="G197" t="s">
        <v>234</v>
      </c>
      <c r="H197" t="s">
        <v>17</v>
      </c>
      <c r="I197" s="46" t="s">
        <v>47</v>
      </c>
      <c r="J197" s="4">
        <v>15000</v>
      </c>
      <c r="K197">
        <v>164.67</v>
      </c>
    </row>
    <row r="198" spans="1:11" hidden="1">
      <c r="A198" t="s">
        <v>561</v>
      </c>
      <c r="B198" t="s">
        <v>463</v>
      </c>
      <c r="C198" t="s">
        <v>98</v>
      </c>
      <c r="D198" t="s">
        <v>464</v>
      </c>
      <c r="E198">
        <v>2026</v>
      </c>
      <c r="F198" t="s">
        <v>30</v>
      </c>
      <c r="G198" t="s">
        <v>562</v>
      </c>
      <c r="H198" t="s">
        <v>17</v>
      </c>
      <c r="I198" s="46" t="s">
        <v>47</v>
      </c>
      <c r="J198" s="4">
        <v>15000</v>
      </c>
      <c r="K198">
        <v>52.18</v>
      </c>
    </row>
    <row r="199" spans="1:11" hidden="1">
      <c r="A199" t="s">
        <v>563</v>
      </c>
      <c r="B199" t="s">
        <v>463</v>
      </c>
      <c r="C199" t="s">
        <v>98</v>
      </c>
      <c r="D199" t="s">
        <v>564</v>
      </c>
      <c r="E199">
        <v>2026</v>
      </c>
      <c r="F199" t="s">
        <v>482</v>
      </c>
      <c r="G199" t="s">
        <v>565</v>
      </c>
      <c r="H199" t="s">
        <v>17</v>
      </c>
      <c r="I199" s="46" t="s">
        <v>47</v>
      </c>
      <c r="J199" s="4">
        <v>15000</v>
      </c>
    </row>
    <row r="200" spans="1:11" hidden="1">
      <c r="A200" t="s">
        <v>566</v>
      </c>
      <c r="B200" t="s">
        <v>463</v>
      </c>
      <c r="C200" t="s">
        <v>98</v>
      </c>
      <c r="D200" t="s">
        <v>567</v>
      </c>
      <c r="E200">
        <v>2022</v>
      </c>
      <c r="F200" t="s">
        <v>568</v>
      </c>
      <c r="H200" t="s">
        <v>17</v>
      </c>
      <c r="I200" s="46" t="s">
        <v>47</v>
      </c>
      <c r="J200" s="4">
        <v>15000</v>
      </c>
    </row>
    <row r="201" spans="1:11" hidden="1">
      <c r="A201" t="s">
        <v>569</v>
      </c>
      <c r="B201" t="s">
        <v>570</v>
      </c>
      <c r="C201" t="s">
        <v>54</v>
      </c>
      <c r="D201" t="s">
        <v>571</v>
      </c>
      <c r="E201">
        <v>2017</v>
      </c>
      <c r="F201" t="s">
        <v>51</v>
      </c>
      <c r="G201" t="s">
        <v>572</v>
      </c>
      <c r="H201" t="s">
        <v>17</v>
      </c>
      <c r="I201" s="46" t="s">
        <v>47</v>
      </c>
      <c r="J201" s="4">
        <v>15000</v>
      </c>
    </row>
    <row r="202" spans="1:11" hidden="1">
      <c r="A202" t="s">
        <v>573</v>
      </c>
      <c r="B202" t="s">
        <v>570</v>
      </c>
      <c r="C202" t="s">
        <v>54</v>
      </c>
      <c r="D202" t="s">
        <v>574</v>
      </c>
      <c r="E202">
        <v>2017</v>
      </c>
      <c r="F202" t="s">
        <v>63</v>
      </c>
      <c r="G202" t="s">
        <v>132</v>
      </c>
      <c r="H202" t="s">
        <v>17</v>
      </c>
      <c r="I202" s="46" t="s">
        <v>47</v>
      </c>
      <c r="J202" s="4">
        <v>15000</v>
      </c>
      <c r="K202">
        <v>373.2</v>
      </c>
    </row>
    <row r="203" spans="1:11" hidden="1">
      <c r="A203" t="s">
        <v>575</v>
      </c>
      <c r="B203" t="s">
        <v>570</v>
      </c>
      <c r="C203" t="s">
        <v>54</v>
      </c>
      <c r="D203" t="s">
        <v>576</v>
      </c>
      <c r="E203">
        <v>2020</v>
      </c>
      <c r="F203" t="s">
        <v>577</v>
      </c>
      <c r="G203" t="s">
        <v>578</v>
      </c>
      <c r="H203" t="s">
        <v>37</v>
      </c>
      <c r="I203" s="46" t="s">
        <v>47</v>
      </c>
      <c r="J203" s="4">
        <v>15000</v>
      </c>
    </row>
    <row r="204" spans="1:11" hidden="1">
      <c r="A204" t="s">
        <v>579</v>
      </c>
      <c r="B204" t="s">
        <v>463</v>
      </c>
      <c r="C204" t="s">
        <v>98</v>
      </c>
      <c r="D204" t="s">
        <v>580</v>
      </c>
      <c r="E204">
        <v>2021</v>
      </c>
      <c r="F204" t="s">
        <v>26</v>
      </c>
      <c r="G204" t="s">
        <v>581</v>
      </c>
      <c r="H204" t="s">
        <v>28</v>
      </c>
      <c r="I204" s="46" t="s">
        <v>47</v>
      </c>
      <c r="J204" s="4">
        <v>15000</v>
      </c>
    </row>
    <row r="205" spans="1:11" hidden="1">
      <c r="A205" t="s">
        <v>582</v>
      </c>
      <c r="B205" t="s">
        <v>463</v>
      </c>
      <c r="C205" t="s">
        <v>98</v>
      </c>
      <c r="D205" t="s">
        <v>583</v>
      </c>
      <c r="E205">
        <v>2021</v>
      </c>
      <c r="F205" t="s">
        <v>584</v>
      </c>
      <c r="G205" t="s">
        <v>585</v>
      </c>
      <c r="H205" t="s">
        <v>17</v>
      </c>
      <c r="I205" s="46" t="s">
        <v>47</v>
      </c>
      <c r="J205" s="4">
        <v>15000</v>
      </c>
      <c r="K205">
        <v>154.56</v>
      </c>
    </row>
    <row r="206" spans="1:11" hidden="1">
      <c r="A206" t="s">
        <v>586</v>
      </c>
      <c r="B206" t="s">
        <v>463</v>
      </c>
      <c r="C206" t="s">
        <v>98</v>
      </c>
      <c r="D206" t="s">
        <v>580</v>
      </c>
      <c r="E206">
        <v>2021</v>
      </c>
      <c r="H206" t="s">
        <v>28</v>
      </c>
      <c r="I206" s="46" t="s">
        <v>47</v>
      </c>
      <c r="J206" s="4">
        <v>15000</v>
      </c>
    </row>
    <row r="207" spans="1:11" hidden="1">
      <c r="A207" t="s">
        <v>587</v>
      </c>
      <c r="B207" t="s">
        <v>463</v>
      </c>
      <c r="C207" t="s">
        <v>98</v>
      </c>
      <c r="D207" t="s">
        <v>580</v>
      </c>
      <c r="E207">
        <v>2021</v>
      </c>
      <c r="F207" t="s">
        <v>366</v>
      </c>
      <c r="G207" t="s">
        <v>56</v>
      </c>
      <c r="H207" t="s">
        <v>17</v>
      </c>
      <c r="I207" s="46" t="s">
        <v>47</v>
      </c>
      <c r="J207" s="4">
        <v>15000</v>
      </c>
      <c r="K207">
        <v>149.51</v>
      </c>
    </row>
    <row r="208" spans="1:11" hidden="1">
      <c r="A208" t="s">
        <v>588</v>
      </c>
      <c r="B208" t="s">
        <v>463</v>
      </c>
      <c r="C208" t="s">
        <v>98</v>
      </c>
      <c r="D208" t="s">
        <v>583</v>
      </c>
      <c r="E208">
        <v>2021</v>
      </c>
      <c r="H208" t="s">
        <v>28</v>
      </c>
      <c r="I208" s="46" t="s">
        <v>47</v>
      </c>
      <c r="J208" s="4">
        <v>15000</v>
      </c>
    </row>
    <row r="209" spans="1:11" hidden="1">
      <c r="A209" t="s">
        <v>589</v>
      </c>
      <c r="B209" t="s">
        <v>463</v>
      </c>
      <c r="C209" t="s">
        <v>98</v>
      </c>
      <c r="D209" t="s">
        <v>580</v>
      </c>
      <c r="E209">
        <v>2021</v>
      </c>
      <c r="F209" t="s">
        <v>584</v>
      </c>
      <c r="G209" t="s">
        <v>590</v>
      </c>
      <c r="H209" t="s">
        <v>17</v>
      </c>
      <c r="I209" s="46" t="s">
        <v>47</v>
      </c>
      <c r="J209" s="4">
        <v>15000</v>
      </c>
      <c r="K209">
        <v>182.22</v>
      </c>
    </row>
    <row r="210" spans="1:11" hidden="1">
      <c r="A210" t="s">
        <v>591</v>
      </c>
      <c r="B210" t="s">
        <v>463</v>
      </c>
      <c r="C210" t="s">
        <v>98</v>
      </c>
      <c r="D210" t="s">
        <v>580</v>
      </c>
      <c r="E210">
        <v>2021</v>
      </c>
      <c r="F210" t="s">
        <v>23</v>
      </c>
      <c r="G210" t="s">
        <v>581</v>
      </c>
      <c r="H210" t="s">
        <v>28</v>
      </c>
      <c r="I210" s="46" t="s">
        <v>47</v>
      </c>
      <c r="J210" s="4">
        <v>10000</v>
      </c>
      <c r="K210">
        <v>127.59</v>
      </c>
    </row>
    <row r="211" spans="1:11" hidden="1">
      <c r="A211" t="s">
        <v>592</v>
      </c>
      <c r="B211" t="s">
        <v>463</v>
      </c>
      <c r="C211" t="s">
        <v>98</v>
      </c>
      <c r="D211" t="s">
        <v>580</v>
      </c>
      <c r="E211">
        <v>2021</v>
      </c>
      <c r="H211" t="s">
        <v>28</v>
      </c>
      <c r="I211" s="46" t="s">
        <v>47</v>
      </c>
      <c r="J211" s="4">
        <v>15000</v>
      </c>
    </row>
    <row r="212" spans="1:11" hidden="1">
      <c r="A212" t="s">
        <v>593</v>
      </c>
      <c r="B212" t="s">
        <v>463</v>
      </c>
      <c r="C212" t="s">
        <v>98</v>
      </c>
      <c r="D212" t="s">
        <v>580</v>
      </c>
      <c r="E212">
        <v>2021</v>
      </c>
      <c r="F212" t="s">
        <v>594</v>
      </c>
      <c r="G212" t="s">
        <v>595</v>
      </c>
      <c r="H212" t="s">
        <v>28</v>
      </c>
      <c r="I212" s="46" t="s">
        <v>47</v>
      </c>
      <c r="J212" s="4">
        <v>15000</v>
      </c>
      <c r="K212">
        <v>244.62</v>
      </c>
    </row>
    <row r="213" spans="1:11" hidden="1">
      <c r="A213" t="s">
        <v>596</v>
      </c>
      <c r="B213" t="s">
        <v>463</v>
      </c>
      <c r="C213" t="s">
        <v>98</v>
      </c>
      <c r="D213" t="s">
        <v>597</v>
      </c>
      <c r="E213">
        <v>2021</v>
      </c>
      <c r="H213" t="s">
        <v>28</v>
      </c>
      <c r="I213" s="46" t="s">
        <v>47</v>
      </c>
      <c r="J213" s="4">
        <v>15000</v>
      </c>
      <c r="K213" s="3"/>
    </row>
    <row r="214" spans="1:11" hidden="1">
      <c r="A214" t="s">
        <v>598</v>
      </c>
      <c r="B214" t="s">
        <v>463</v>
      </c>
      <c r="C214" t="s">
        <v>98</v>
      </c>
      <c r="D214" t="s">
        <v>597</v>
      </c>
      <c r="E214">
        <v>2021</v>
      </c>
      <c r="H214" t="s">
        <v>28</v>
      </c>
      <c r="I214" s="46" t="s">
        <v>47</v>
      </c>
      <c r="J214" s="4">
        <v>15000</v>
      </c>
      <c r="K214">
        <v>0</v>
      </c>
    </row>
    <row r="215" spans="1:11" hidden="1">
      <c r="A215" t="s">
        <v>599</v>
      </c>
      <c r="B215" t="s">
        <v>508</v>
      </c>
      <c r="C215" t="s">
        <v>54</v>
      </c>
      <c r="D215" t="s">
        <v>600</v>
      </c>
      <c r="E215">
        <v>2010</v>
      </c>
      <c r="F215" t="s">
        <v>37</v>
      </c>
      <c r="G215" t="s">
        <v>56</v>
      </c>
      <c r="H215" t="s">
        <v>28</v>
      </c>
      <c r="I215" s="46" t="s">
        <v>47</v>
      </c>
      <c r="J215" s="4">
        <v>15000</v>
      </c>
    </row>
    <row r="216" spans="1:11" hidden="1">
      <c r="A216" t="s">
        <v>601</v>
      </c>
      <c r="B216" t="s">
        <v>508</v>
      </c>
      <c r="C216" t="s">
        <v>54</v>
      </c>
      <c r="D216" t="s">
        <v>602</v>
      </c>
      <c r="E216">
        <v>2017</v>
      </c>
      <c r="H216" t="s">
        <v>28</v>
      </c>
      <c r="I216" s="46" t="s">
        <v>47</v>
      </c>
      <c r="J216" s="4">
        <v>15000</v>
      </c>
    </row>
    <row r="217" spans="1:11" hidden="1">
      <c r="A217" t="s">
        <v>603</v>
      </c>
      <c r="B217" t="s">
        <v>508</v>
      </c>
      <c r="C217" t="s">
        <v>54</v>
      </c>
      <c r="D217" t="s">
        <v>604</v>
      </c>
      <c r="E217">
        <v>2013</v>
      </c>
      <c r="H217" t="s">
        <v>28</v>
      </c>
      <c r="I217" s="46" t="s">
        <v>47</v>
      </c>
      <c r="J217" s="4">
        <v>15000</v>
      </c>
    </row>
    <row r="218" spans="1:11" hidden="1">
      <c r="A218" t="s">
        <v>605</v>
      </c>
      <c r="B218" t="s">
        <v>463</v>
      </c>
      <c r="C218" t="s">
        <v>606</v>
      </c>
      <c r="D218" t="s">
        <v>607</v>
      </c>
      <c r="E218">
        <v>2023</v>
      </c>
      <c r="H218" t="s">
        <v>28</v>
      </c>
      <c r="I218" s="46" t="s">
        <v>47</v>
      </c>
      <c r="J218" s="4">
        <v>15000</v>
      </c>
    </row>
    <row r="219" spans="1:11" hidden="1">
      <c r="A219" t="s">
        <v>608</v>
      </c>
      <c r="B219" t="s">
        <v>463</v>
      </c>
      <c r="C219" t="s">
        <v>606</v>
      </c>
      <c r="D219" t="s">
        <v>607</v>
      </c>
      <c r="E219">
        <v>2023</v>
      </c>
      <c r="F219" t="s">
        <v>26</v>
      </c>
      <c r="G219" t="s">
        <v>590</v>
      </c>
      <c r="H219" t="s">
        <v>28</v>
      </c>
      <c r="I219" s="46" t="s">
        <v>47</v>
      </c>
      <c r="J219" s="4">
        <v>15000</v>
      </c>
      <c r="K219">
        <v>131.58000000000001</v>
      </c>
    </row>
    <row r="220" spans="1:11" hidden="1">
      <c r="A220" t="s">
        <v>609</v>
      </c>
      <c r="B220" t="s">
        <v>463</v>
      </c>
      <c r="C220" t="s">
        <v>606</v>
      </c>
      <c r="D220" t="s">
        <v>607</v>
      </c>
      <c r="E220">
        <v>2023</v>
      </c>
      <c r="F220" t="s">
        <v>30</v>
      </c>
      <c r="G220" t="s">
        <v>610</v>
      </c>
      <c r="H220" t="s">
        <v>17</v>
      </c>
      <c r="I220" s="46" t="s">
        <v>47</v>
      </c>
      <c r="J220" s="4">
        <v>15000</v>
      </c>
      <c r="K220">
        <v>171.54</v>
      </c>
    </row>
    <row r="221" spans="1:11" hidden="1">
      <c r="A221" t="s">
        <v>611</v>
      </c>
      <c r="B221" t="s">
        <v>463</v>
      </c>
      <c r="C221" t="s">
        <v>606</v>
      </c>
      <c r="D221" t="s">
        <v>607</v>
      </c>
      <c r="E221">
        <v>2023</v>
      </c>
      <c r="F221" t="s">
        <v>584</v>
      </c>
      <c r="G221" t="s">
        <v>612</v>
      </c>
      <c r="H221" t="s">
        <v>17</v>
      </c>
      <c r="I221" s="46" t="s">
        <v>47</v>
      </c>
      <c r="J221" s="4">
        <v>10000</v>
      </c>
      <c r="K221">
        <v>300.36</v>
      </c>
    </row>
    <row r="222" spans="1:11" hidden="1">
      <c r="A222" t="s">
        <v>613</v>
      </c>
      <c r="B222" t="s">
        <v>463</v>
      </c>
      <c r="C222" t="s">
        <v>606</v>
      </c>
      <c r="D222" t="s">
        <v>607</v>
      </c>
      <c r="E222">
        <v>2023</v>
      </c>
      <c r="F222" t="s">
        <v>30</v>
      </c>
      <c r="G222" t="s">
        <v>614</v>
      </c>
      <c r="H222" t="s">
        <v>17</v>
      </c>
      <c r="I222" s="46" t="s">
        <v>47</v>
      </c>
      <c r="J222" s="4">
        <v>15000</v>
      </c>
      <c r="K222">
        <v>214.46</v>
      </c>
    </row>
    <row r="223" spans="1:11" hidden="1">
      <c r="A223" t="s">
        <v>615</v>
      </c>
      <c r="B223" t="s">
        <v>463</v>
      </c>
      <c r="C223" t="s">
        <v>606</v>
      </c>
      <c r="D223" t="s">
        <v>607</v>
      </c>
      <c r="E223">
        <v>2023</v>
      </c>
      <c r="F223" t="s">
        <v>33</v>
      </c>
      <c r="G223" t="s">
        <v>46</v>
      </c>
      <c r="H223" t="s">
        <v>17</v>
      </c>
      <c r="I223" s="46" t="s">
        <v>47</v>
      </c>
      <c r="J223" s="4">
        <v>15000</v>
      </c>
      <c r="K223">
        <v>228.06</v>
      </c>
    </row>
    <row r="224" spans="1:11" hidden="1">
      <c r="A224" t="s">
        <v>616</v>
      </c>
      <c r="B224" t="s">
        <v>508</v>
      </c>
      <c r="C224" t="s">
        <v>509</v>
      </c>
      <c r="D224" t="s">
        <v>617</v>
      </c>
      <c r="E224">
        <v>2015</v>
      </c>
      <c r="H224" t="s">
        <v>28</v>
      </c>
      <c r="I224" s="46" t="s">
        <v>47</v>
      </c>
      <c r="J224" s="4">
        <v>10000</v>
      </c>
    </row>
    <row r="225" spans="1:11" hidden="1">
      <c r="A225" t="s">
        <v>618</v>
      </c>
      <c r="B225" t="s">
        <v>508</v>
      </c>
      <c r="C225" t="s">
        <v>480</v>
      </c>
      <c r="D225" t="s">
        <v>619</v>
      </c>
      <c r="E225">
        <v>2019</v>
      </c>
      <c r="H225" t="s">
        <v>28</v>
      </c>
      <c r="I225" s="46" t="s">
        <v>47</v>
      </c>
      <c r="J225" s="4">
        <v>15000</v>
      </c>
    </row>
    <row r="226" spans="1:11" hidden="1">
      <c r="A226" t="s">
        <v>620</v>
      </c>
      <c r="B226" t="s">
        <v>463</v>
      </c>
      <c r="C226" t="s">
        <v>621</v>
      </c>
      <c r="D226" t="s">
        <v>622</v>
      </c>
      <c r="E226">
        <v>2018</v>
      </c>
      <c r="F226" t="s">
        <v>37</v>
      </c>
      <c r="G226" t="s">
        <v>321</v>
      </c>
      <c r="H226" t="s">
        <v>17</v>
      </c>
      <c r="I226" s="46" t="s">
        <v>47</v>
      </c>
      <c r="J226" s="4">
        <v>15000</v>
      </c>
      <c r="K226">
        <v>0</v>
      </c>
    </row>
    <row r="227" spans="1:11" hidden="1">
      <c r="A227" t="s">
        <v>623</v>
      </c>
      <c r="B227" t="s">
        <v>508</v>
      </c>
      <c r="C227" t="s">
        <v>115</v>
      </c>
      <c r="D227" t="s">
        <v>624</v>
      </c>
      <c r="E227">
        <v>2018</v>
      </c>
      <c r="F227" t="s">
        <v>37</v>
      </c>
      <c r="G227" t="s">
        <v>56</v>
      </c>
      <c r="H227" t="s">
        <v>28</v>
      </c>
      <c r="I227" s="46" t="s">
        <v>47</v>
      </c>
      <c r="J227" s="4">
        <v>10000</v>
      </c>
    </row>
    <row r="228" spans="1:11" hidden="1">
      <c r="A228" t="s">
        <v>625</v>
      </c>
      <c r="B228" t="s">
        <v>508</v>
      </c>
      <c r="C228" t="s">
        <v>115</v>
      </c>
      <c r="D228" t="s">
        <v>626</v>
      </c>
      <c r="E228">
        <v>2017</v>
      </c>
      <c r="F228" t="s">
        <v>37</v>
      </c>
      <c r="G228" t="s">
        <v>627</v>
      </c>
      <c r="H228" t="s">
        <v>17</v>
      </c>
      <c r="I228" s="46" t="s">
        <v>47</v>
      </c>
      <c r="J228" s="4">
        <v>10000</v>
      </c>
      <c r="K228">
        <v>138.94999999999999</v>
      </c>
    </row>
    <row r="229" spans="1:11" hidden="1">
      <c r="A229" t="s">
        <v>628</v>
      </c>
      <c r="B229" t="s">
        <v>508</v>
      </c>
      <c r="C229" t="s">
        <v>115</v>
      </c>
      <c r="D229" t="s">
        <v>626</v>
      </c>
      <c r="E229">
        <v>2017</v>
      </c>
      <c r="F229" t="s">
        <v>584</v>
      </c>
      <c r="G229" t="s">
        <v>629</v>
      </c>
      <c r="H229" t="s">
        <v>17</v>
      </c>
      <c r="I229" s="46" t="s">
        <v>47</v>
      </c>
      <c r="J229" s="4">
        <v>10000</v>
      </c>
      <c r="K229">
        <v>109.96</v>
      </c>
    </row>
    <row r="230" spans="1:11" hidden="1">
      <c r="A230" t="s">
        <v>630</v>
      </c>
      <c r="B230" t="s">
        <v>508</v>
      </c>
      <c r="C230" t="s">
        <v>115</v>
      </c>
      <c r="D230" t="s">
        <v>626</v>
      </c>
      <c r="E230">
        <v>2017</v>
      </c>
      <c r="H230" t="s">
        <v>28</v>
      </c>
      <c r="I230" s="46" t="s">
        <v>47</v>
      </c>
      <c r="J230" s="4">
        <v>10000</v>
      </c>
      <c r="K230">
        <v>0</v>
      </c>
    </row>
    <row r="231" spans="1:11" hidden="1">
      <c r="A231" t="s">
        <v>631</v>
      </c>
      <c r="B231" t="s">
        <v>463</v>
      </c>
      <c r="C231" t="s">
        <v>98</v>
      </c>
      <c r="D231" t="s">
        <v>580</v>
      </c>
      <c r="E231">
        <v>2023</v>
      </c>
      <c r="F231" t="s">
        <v>30</v>
      </c>
      <c r="G231" t="s">
        <v>632</v>
      </c>
      <c r="H231" t="s">
        <v>17</v>
      </c>
      <c r="I231" s="46" t="s">
        <v>47</v>
      </c>
      <c r="J231" s="4">
        <v>15000</v>
      </c>
      <c r="K231" s="3">
        <v>158.91</v>
      </c>
    </row>
    <row r="232" spans="1:11" hidden="1">
      <c r="A232" t="s">
        <v>633</v>
      </c>
      <c r="B232" t="s">
        <v>463</v>
      </c>
      <c r="C232" t="s">
        <v>98</v>
      </c>
      <c r="D232" t="s">
        <v>580</v>
      </c>
      <c r="E232">
        <v>2023</v>
      </c>
      <c r="F232" t="s">
        <v>33</v>
      </c>
      <c r="G232" t="s">
        <v>634</v>
      </c>
      <c r="H232" t="s">
        <v>17</v>
      </c>
      <c r="I232" s="46" t="s">
        <v>47</v>
      </c>
      <c r="J232" s="4">
        <v>15000</v>
      </c>
      <c r="K232">
        <v>175.46</v>
      </c>
    </row>
    <row r="233" spans="1:11" hidden="1">
      <c r="A233" t="s">
        <v>635</v>
      </c>
      <c r="B233" t="s">
        <v>463</v>
      </c>
      <c r="C233" t="s">
        <v>98</v>
      </c>
      <c r="D233" t="s">
        <v>580</v>
      </c>
      <c r="E233">
        <v>2023</v>
      </c>
      <c r="F233" t="s">
        <v>366</v>
      </c>
      <c r="G233" t="s">
        <v>636</v>
      </c>
      <c r="H233" t="s">
        <v>17</v>
      </c>
      <c r="I233" s="46" t="s">
        <v>47</v>
      </c>
      <c r="J233" s="4">
        <v>15000</v>
      </c>
      <c r="K233">
        <v>116.42</v>
      </c>
    </row>
    <row r="234" spans="1:11" hidden="1">
      <c r="A234" t="s">
        <v>637</v>
      </c>
      <c r="B234" t="s">
        <v>463</v>
      </c>
      <c r="C234" t="s">
        <v>98</v>
      </c>
      <c r="D234" t="s">
        <v>580</v>
      </c>
      <c r="E234">
        <v>2023</v>
      </c>
      <c r="F234" t="s">
        <v>63</v>
      </c>
      <c r="G234" t="s">
        <v>638</v>
      </c>
      <c r="H234" t="s">
        <v>17</v>
      </c>
      <c r="I234" s="46" t="s">
        <v>47</v>
      </c>
      <c r="J234" s="4">
        <v>15000</v>
      </c>
      <c r="K234">
        <v>144.59</v>
      </c>
    </row>
    <row r="235" spans="1:11" hidden="1">
      <c r="A235" t="s">
        <v>639</v>
      </c>
      <c r="B235" t="s">
        <v>463</v>
      </c>
      <c r="C235" t="s">
        <v>98</v>
      </c>
      <c r="D235" t="s">
        <v>580</v>
      </c>
      <c r="E235">
        <v>2023</v>
      </c>
      <c r="F235" t="s">
        <v>30</v>
      </c>
      <c r="G235" t="s">
        <v>640</v>
      </c>
      <c r="H235" t="s">
        <v>17</v>
      </c>
      <c r="I235" s="46" t="s">
        <v>47</v>
      </c>
      <c r="J235" s="4">
        <v>15000</v>
      </c>
      <c r="K235">
        <v>396.96</v>
      </c>
    </row>
    <row r="236" spans="1:11" hidden="1">
      <c r="A236" t="s">
        <v>641</v>
      </c>
      <c r="B236" t="s">
        <v>463</v>
      </c>
      <c r="C236" t="s">
        <v>98</v>
      </c>
      <c r="D236" t="s">
        <v>580</v>
      </c>
      <c r="E236">
        <v>2023</v>
      </c>
      <c r="F236" t="s">
        <v>51</v>
      </c>
      <c r="G236" t="s">
        <v>642</v>
      </c>
      <c r="H236" t="s">
        <v>17</v>
      </c>
      <c r="I236" s="46" t="s">
        <v>47</v>
      </c>
      <c r="J236" s="4">
        <v>15000</v>
      </c>
      <c r="K236">
        <v>152.69999999999999</v>
      </c>
    </row>
    <row r="237" spans="1:11" hidden="1">
      <c r="A237" t="s">
        <v>643</v>
      </c>
      <c r="B237" t="s">
        <v>463</v>
      </c>
      <c r="C237" t="s">
        <v>98</v>
      </c>
      <c r="D237" t="s">
        <v>580</v>
      </c>
      <c r="E237">
        <v>2023</v>
      </c>
      <c r="F237" t="s">
        <v>33</v>
      </c>
      <c r="G237" t="s">
        <v>212</v>
      </c>
      <c r="H237" t="s">
        <v>17</v>
      </c>
      <c r="I237" s="46" t="s">
        <v>47</v>
      </c>
      <c r="J237" s="4">
        <v>15000</v>
      </c>
      <c r="K237">
        <v>194.3</v>
      </c>
    </row>
    <row r="238" spans="1:11" hidden="1">
      <c r="A238" t="s">
        <v>644</v>
      </c>
      <c r="B238" t="s">
        <v>463</v>
      </c>
      <c r="C238" t="s">
        <v>98</v>
      </c>
      <c r="D238" t="s">
        <v>580</v>
      </c>
      <c r="E238">
        <v>2023</v>
      </c>
      <c r="F238" t="s">
        <v>33</v>
      </c>
      <c r="G238" t="s">
        <v>645</v>
      </c>
      <c r="H238" t="s">
        <v>17</v>
      </c>
      <c r="I238" s="46" t="s">
        <v>47</v>
      </c>
      <c r="J238" s="4">
        <v>15000</v>
      </c>
      <c r="K238">
        <v>112.09</v>
      </c>
    </row>
    <row r="239" spans="1:11" hidden="1">
      <c r="A239" t="s">
        <v>646</v>
      </c>
      <c r="B239" t="s">
        <v>463</v>
      </c>
      <c r="C239" t="s">
        <v>98</v>
      </c>
      <c r="D239" t="s">
        <v>580</v>
      </c>
      <c r="E239">
        <v>2023</v>
      </c>
      <c r="F239" t="s">
        <v>63</v>
      </c>
      <c r="G239" t="s">
        <v>647</v>
      </c>
      <c r="H239" t="s">
        <v>17</v>
      </c>
      <c r="I239" s="46" t="s">
        <v>47</v>
      </c>
      <c r="J239" s="4">
        <v>15000</v>
      </c>
      <c r="K239">
        <v>148.02000000000001</v>
      </c>
    </row>
    <row r="240" spans="1:11" hidden="1">
      <c r="A240" t="s">
        <v>648</v>
      </c>
      <c r="B240" t="s">
        <v>463</v>
      </c>
      <c r="C240" t="s">
        <v>98</v>
      </c>
      <c r="D240" t="s">
        <v>583</v>
      </c>
      <c r="E240">
        <v>2023</v>
      </c>
      <c r="F240" t="s">
        <v>37</v>
      </c>
      <c r="G240" t="s">
        <v>472</v>
      </c>
      <c r="H240" t="s">
        <v>17</v>
      </c>
      <c r="I240" s="46" t="s">
        <v>47</v>
      </c>
      <c r="J240" s="4">
        <v>15000</v>
      </c>
      <c r="K240">
        <v>0</v>
      </c>
    </row>
    <row r="241" spans="1:11" hidden="1">
      <c r="A241" t="s">
        <v>649</v>
      </c>
      <c r="B241" t="s">
        <v>463</v>
      </c>
      <c r="C241" t="s">
        <v>98</v>
      </c>
      <c r="D241" t="s">
        <v>580</v>
      </c>
      <c r="E241">
        <v>2023</v>
      </c>
      <c r="F241" t="s">
        <v>124</v>
      </c>
      <c r="G241" t="s">
        <v>650</v>
      </c>
      <c r="H241" t="s">
        <v>17</v>
      </c>
      <c r="I241" s="46" t="s">
        <v>47</v>
      </c>
      <c r="J241" s="4">
        <v>10000</v>
      </c>
      <c r="K241">
        <v>166.87</v>
      </c>
    </row>
    <row r="242" spans="1:11" hidden="1">
      <c r="A242" t="s">
        <v>651</v>
      </c>
      <c r="B242" t="s">
        <v>463</v>
      </c>
      <c r="C242" t="s">
        <v>98</v>
      </c>
      <c r="D242" t="s">
        <v>464</v>
      </c>
      <c r="E242">
        <v>2023</v>
      </c>
      <c r="F242" t="s">
        <v>577</v>
      </c>
      <c r="G242" t="s">
        <v>56</v>
      </c>
      <c r="H242" t="s">
        <v>28</v>
      </c>
      <c r="I242" s="46" t="s">
        <v>47</v>
      </c>
      <c r="J242" s="4">
        <v>15000</v>
      </c>
      <c r="K242">
        <v>310.25</v>
      </c>
    </row>
    <row r="243" spans="1:11" ht="15" hidden="1" customHeight="1">
      <c r="A243" t="s">
        <v>652</v>
      </c>
      <c r="B243" t="s">
        <v>463</v>
      </c>
      <c r="C243" t="s">
        <v>98</v>
      </c>
      <c r="D243" t="s">
        <v>464</v>
      </c>
      <c r="E243">
        <v>2023</v>
      </c>
      <c r="F243" t="s">
        <v>568</v>
      </c>
      <c r="G243" t="s">
        <v>653</v>
      </c>
      <c r="H243" t="s">
        <v>28</v>
      </c>
      <c r="I243" s="46" t="s">
        <v>47</v>
      </c>
      <c r="J243" s="4">
        <v>15000</v>
      </c>
      <c r="K243">
        <v>87.39</v>
      </c>
    </row>
    <row r="244" spans="1:11" ht="15" hidden="1" customHeight="1">
      <c r="A244" t="s">
        <v>654</v>
      </c>
      <c r="B244" t="s">
        <v>655</v>
      </c>
      <c r="C244" t="s">
        <v>656</v>
      </c>
      <c r="D244" t="s">
        <v>657</v>
      </c>
      <c r="E244">
        <v>1990</v>
      </c>
      <c r="F244" t="s">
        <v>26</v>
      </c>
      <c r="G244" t="s">
        <v>149</v>
      </c>
      <c r="H244" t="s">
        <v>17</v>
      </c>
      <c r="I244" s="46" t="s">
        <v>18</v>
      </c>
      <c r="J244" s="4">
        <v>250</v>
      </c>
    </row>
    <row r="245" spans="1:11" ht="15" hidden="1" customHeight="1">
      <c r="A245" t="s">
        <v>658</v>
      </c>
      <c r="B245" t="s">
        <v>655</v>
      </c>
      <c r="C245" t="s">
        <v>659</v>
      </c>
      <c r="D245" t="s">
        <v>660</v>
      </c>
      <c r="E245">
        <v>2007</v>
      </c>
      <c r="F245" t="s">
        <v>26</v>
      </c>
      <c r="G245" t="s">
        <v>149</v>
      </c>
      <c r="H245" t="s">
        <v>17</v>
      </c>
      <c r="I245" s="46" t="s">
        <v>18</v>
      </c>
      <c r="J245" s="4">
        <v>250</v>
      </c>
    </row>
    <row r="246" spans="1:11" ht="15" hidden="1" customHeight="1">
      <c r="A246" t="s">
        <v>661</v>
      </c>
      <c r="B246" t="s">
        <v>655</v>
      </c>
      <c r="C246" t="s">
        <v>662</v>
      </c>
      <c r="D246" t="s">
        <v>663</v>
      </c>
      <c r="E246">
        <v>2010</v>
      </c>
      <c r="F246" t="s">
        <v>26</v>
      </c>
      <c r="G246" t="s">
        <v>149</v>
      </c>
      <c r="H246" t="s">
        <v>17</v>
      </c>
      <c r="I246" s="46" t="s">
        <v>18</v>
      </c>
      <c r="J246" s="4">
        <v>250</v>
      </c>
    </row>
    <row r="247" spans="1:11" ht="15" hidden="1" customHeight="1">
      <c r="A247" t="s">
        <v>664</v>
      </c>
      <c r="B247" t="s">
        <v>655</v>
      </c>
      <c r="C247" t="s">
        <v>665</v>
      </c>
      <c r="D247" t="s">
        <v>666</v>
      </c>
      <c r="E247">
        <v>2010</v>
      </c>
      <c r="F247" t="s">
        <v>26</v>
      </c>
      <c r="G247" t="s">
        <v>149</v>
      </c>
      <c r="H247" t="s">
        <v>17</v>
      </c>
      <c r="I247" s="46" t="s">
        <v>18</v>
      </c>
      <c r="J247" s="4">
        <v>250</v>
      </c>
    </row>
    <row r="248" spans="1:11" ht="15" hidden="1" customHeight="1">
      <c r="A248" t="s">
        <v>667</v>
      </c>
      <c r="B248" t="s">
        <v>203</v>
      </c>
      <c r="F248" t="s">
        <v>15</v>
      </c>
      <c r="H248" t="s">
        <v>37</v>
      </c>
      <c r="I248" s="46"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E640" sqref="E640:E1191"/>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7" t="s">
        <v>669</v>
      </c>
      <c r="B1" s="97"/>
      <c r="C1" s="97"/>
      <c r="D1" s="97"/>
      <c r="E1" s="97"/>
      <c r="F1" s="97"/>
      <c r="G1" s="97"/>
    </row>
    <row r="3" spans="1:7">
      <c r="A3" s="7" t="s">
        <v>670</v>
      </c>
      <c r="B3" s="1" t="s">
        <v>1</v>
      </c>
      <c r="C3" s="1" t="s">
        <v>671</v>
      </c>
      <c r="D3" s="1" t="s">
        <v>672</v>
      </c>
      <c r="E3" s="1" t="s">
        <v>673</v>
      </c>
      <c r="F3" s="1" t="s">
        <v>7</v>
      </c>
      <c r="G3" s="1" t="s">
        <v>674</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675</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676</v>
      </c>
    </row>
    <row r="14" spans="1:7" hidden="1">
      <c r="A14" s="71">
        <v>46113</v>
      </c>
      <c r="B14" t="s">
        <v>29</v>
      </c>
      <c r="D14">
        <v>260933</v>
      </c>
      <c r="E14" t="s">
        <v>676</v>
      </c>
    </row>
    <row r="15" spans="1:7" hidden="1">
      <c r="A15" s="71">
        <v>46108</v>
      </c>
      <c r="B15" t="s">
        <v>29</v>
      </c>
      <c r="E15" t="s">
        <v>676</v>
      </c>
      <c r="F15" t="s">
        <v>677</v>
      </c>
      <c r="G15" t="s">
        <v>678</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679</v>
      </c>
      <c r="G53" t="s">
        <v>678</v>
      </c>
    </row>
    <row r="54" spans="1:7" hidden="1">
      <c r="A54" s="71">
        <v>46094</v>
      </c>
      <c r="B54" t="s">
        <v>74</v>
      </c>
      <c r="E54" t="s">
        <v>316</v>
      </c>
      <c r="F54" t="s">
        <v>679</v>
      </c>
      <c r="G54" t="s">
        <v>678</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680</v>
      </c>
      <c r="G64" t="s">
        <v>678</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681</v>
      </c>
      <c r="F82" t="s">
        <v>682</v>
      </c>
      <c r="G82" t="s">
        <v>678</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681</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681</v>
      </c>
    </row>
    <row r="89" spans="1:7" hidden="1">
      <c r="A89" s="71">
        <v>46105</v>
      </c>
      <c r="B89" t="s">
        <v>107</v>
      </c>
      <c r="D89">
        <v>141791</v>
      </c>
      <c r="E89" t="s">
        <v>33</v>
      </c>
    </row>
    <row r="90" spans="1:7" hidden="1">
      <c r="A90" s="71">
        <v>46090</v>
      </c>
      <c r="B90" t="s">
        <v>107</v>
      </c>
      <c r="D90">
        <v>141196</v>
      </c>
      <c r="E90" t="s">
        <v>594</v>
      </c>
      <c r="F90" t="s">
        <v>683</v>
      </c>
      <c r="G90" t="s">
        <v>678</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681</v>
      </c>
    </row>
    <row r="108" spans="1:7" hidden="1">
      <c r="A108" s="71">
        <v>46100</v>
      </c>
      <c r="B108" t="s">
        <v>126</v>
      </c>
      <c r="D108">
        <v>649418</v>
      </c>
      <c r="E108" t="s">
        <v>681</v>
      </c>
      <c r="F108" t="s">
        <v>73</v>
      </c>
      <c r="G108" t="s">
        <v>678</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678</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684</v>
      </c>
      <c r="C124">
        <v>6797</v>
      </c>
      <c r="D124">
        <v>211988</v>
      </c>
    </row>
    <row r="125" spans="1:5" hidden="1">
      <c r="A125" s="71">
        <v>43900</v>
      </c>
      <c r="B125" t="s">
        <v>685</v>
      </c>
      <c r="C125">
        <v>6157</v>
      </c>
    </row>
    <row r="126" spans="1:5" hidden="1">
      <c r="A126" s="71">
        <v>44001</v>
      </c>
      <c r="B126" t="s">
        <v>686</v>
      </c>
      <c r="C126">
        <v>6579</v>
      </c>
      <c r="D126">
        <v>214768</v>
      </c>
    </row>
    <row r="127" spans="1:5" hidden="1">
      <c r="A127" s="71">
        <v>43913</v>
      </c>
      <c r="B127" t="s">
        <v>686</v>
      </c>
      <c r="C127">
        <v>6217</v>
      </c>
    </row>
    <row r="128" spans="1:5" hidden="1">
      <c r="A128" s="71">
        <v>43956</v>
      </c>
      <c r="B128" t="s">
        <v>687</v>
      </c>
      <c r="C128">
        <v>6517</v>
      </c>
    </row>
    <row r="129" spans="1:5" hidden="1">
      <c r="A129" s="71">
        <v>44596</v>
      </c>
      <c r="B129" t="s">
        <v>688</v>
      </c>
      <c r="C129">
        <v>8305</v>
      </c>
    </row>
    <row r="130" spans="1:5" hidden="1">
      <c r="A130" s="71">
        <v>43987</v>
      </c>
      <c r="B130" t="s">
        <v>688</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689</v>
      </c>
      <c r="D144">
        <v>171044</v>
      </c>
    </row>
    <row r="145" spans="1:5" hidden="1">
      <c r="A145" s="71">
        <v>45005</v>
      </c>
      <c r="B145" t="s">
        <v>690</v>
      </c>
      <c r="C145">
        <v>5728</v>
      </c>
      <c r="D145">
        <v>207869</v>
      </c>
    </row>
    <row r="146" spans="1:5" hidden="1">
      <c r="A146" s="71">
        <v>46078</v>
      </c>
      <c r="B146" t="s">
        <v>691</v>
      </c>
      <c r="D146">
        <v>315180</v>
      </c>
    </row>
    <row r="147" spans="1:5" hidden="1">
      <c r="A147" s="71">
        <v>46077</v>
      </c>
      <c r="B147" t="s">
        <v>691</v>
      </c>
      <c r="D147">
        <v>314811</v>
      </c>
    </row>
    <row r="148" spans="1:5" hidden="1">
      <c r="A148" s="71">
        <v>46076</v>
      </c>
      <c r="B148" t="s">
        <v>691</v>
      </c>
      <c r="D148">
        <v>314044</v>
      </c>
    </row>
    <row r="149" spans="1:5" hidden="1">
      <c r="A149" s="71">
        <v>46072</v>
      </c>
      <c r="B149" t="s">
        <v>691</v>
      </c>
      <c r="D149">
        <v>313697</v>
      </c>
    </row>
    <row r="150" spans="1:5" hidden="1">
      <c r="A150" s="71">
        <v>45014</v>
      </c>
      <c r="B150" t="s">
        <v>692</v>
      </c>
      <c r="C150">
        <v>5680</v>
      </c>
      <c r="D150">
        <v>174589</v>
      </c>
    </row>
    <row r="151" spans="1:5" hidden="1">
      <c r="A151" s="71">
        <v>45014</v>
      </c>
      <c r="B151" t="s">
        <v>692</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693</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676</v>
      </c>
    </row>
    <row r="161" spans="1:7" hidden="1">
      <c r="A161" s="71">
        <v>46107</v>
      </c>
      <c r="B161" t="s">
        <v>167</v>
      </c>
      <c r="D161">
        <v>199097</v>
      </c>
      <c r="E161" t="s">
        <v>676</v>
      </c>
    </row>
    <row r="162" spans="1:7" hidden="1">
      <c r="A162" s="71">
        <v>46107</v>
      </c>
      <c r="B162" t="s">
        <v>167</v>
      </c>
      <c r="D162">
        <v>199097</v>
      </c>
      <c r="E162" t="s">
        <v>676</v>
      </c>
      <c r="F162" t="s">
        <v>168</v>
      </c>
      <c r="G162" t="s">
        <v>678</v>
      </c>
    </row>
    <row r="163" spans="1:7" hidden="1">
      <c r="A163" s="71">
        <v>46092</v>
      </c>
      <c r="B163" t="s">
        <v>167</v>
      </c>
      <c r="D163">
        <v>192388</v>
      </c>
      <c r="E163" t="s">
        <v>33</v>
      </c>
      <c r="F163" t="s">
        <v>694</v>
      </c>
      <c r="G163" t="s">
        <v>678</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676</v>
      </c>
    </row>
    <row r="173" spans="1:7" hidden="1">
      <c r="A173" s="71">
        <v>46112</v>
      </c>
      <c r="B173" t="s">
        <v>173</v>
      </c>
      <c r="D173">
        <v>211790</v>
      </c>
      <c r="E173" t="s">
        <v>676</v>
      </c>
    </row>
    <row r="174" spans="1:7" hidden="1">
      <c r="A174" s="71">
        <v>46106</v>
      </c>
      <c r="B174" t="s">
        <v>173</v>
      </c>
      <c r="D174">
        <v>210873</v>
      </c>
      <c r="E174" t="s">
        <v>676</v>
      </c>
    </row>
    <row r="175" spans="1:7" hidden="1">
      <c r="A175" s="71">
        <v>46106</v>
      </c>
      <c r="B175" t="s">
        <v>173</v>
      </c>
      <c r="E175" t="s">
        <v>676</v>
      </c>
      <c r="F175" t="s">
        <v>695</v>
      </c>
      <c r="G175" t="s">
        <v>678</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676</v>
      </c>
    </row>
    <row r="194" spans="1:7" hidden="1">
      <c r="A194" s="71">
        <v>46111</v>
      </c>
      <c r="B194" t="s">
        <v>188</v>
      </c>
      <c r="D194">
        <v>342589</v>
      </c>
      <c r="E194" t="s">
        <v>676</v>
      </c>
    </row>
    <row r="195" spans="1:7" hidden="1">
      <c r="A195" s="71">
        <v>46107</v>
      </c>
      <c r="B195" t="s">
        <v>188</v>
      </c>
      <c r="D195">
        <v>342347</v>
      </c>
      <c r="E195" t="s">
        <v>676</v>
      </c>
    </row>
    <row r="196" spans="1:7" hidden="1">
      <c r="A196" s="71">
        <v>46107</v>
      </c>
      <c r="B196" t="s">
        <v>188</v>
      </c>
      <c r="D196">
        <v>342347</v>
      </c>
      <c r="E196" t="s">
        <v>676</v>
      </c>
      <c r="F196" t="s">
        <v>190</v>
      </c>
      <c r="G196" t="s">
        <v>678</v>
      </c>
    </row>
    <row r="197" spans="1:7" hidden="1">
      <c r="A197" s="71">
        <v>46092</v>
      </c>
      <c r="B197" t="s">
        <v>191</v>
      </c>
      <c r="D197">
        <v>132950</v>
      </c>
      <c r="E197" t="s">
        <v>33</v>
      </c>
      <c r="F197" t="s">
        <v>192</v>
      </c>
      <c r="G197" t="s">
        <v>678</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696</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697</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667</v>
      </c>
      <c r="C217">
        <v>785</v>
      </c>
    </row>
    <row r="218" spans="1:5" hidden="1">
      <c r="A218" s="71">
        <v>46066</v>
      </c>
      <c r="B218" t="s">
        <v>667</v>
      </c>
      <c r="C218">
        <v>744</v>
      </c>
    </row>
    <row r="219" spans="1:5" hidden="1">
      <c r="A219" s="71">
        <v>46064</v>
      </c>
      <c r="B219" t="s">
        <v>667</v>
      </c>
      <c r="C219">
        <v>733</v>
      </c>
    </row>
    <row r="220" spans="1:5" hidden="1">
      <c r="A220" s="71">
        <v>46057</v>
      </c>
      <c r="B220" t="s">
        <v>667</v>
      </c>
      <c r="C220">
        <v>716</v>
      </c>
    </row>
    <row r="221" spans="1:5" hidden="1">
      <c r="A221" s="71">
        <v>46100</v>
      </c>
      <c r="B221" t="s">
        <v>698</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675</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699</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517</v>
      </c>
    </row>
    <row r="262" spans="1:7" hidden="1">
      <c r="A262" s="71">
        <v>46099</v>
      </c>
      <c r="B262" t="s">
        <v>281</v>
      </c>
      <c r="C262">
        <v>1474</v>
      </c>
      <c r="E262" t="s">
        <v>517</v>
      </c>
      <c r="F262" t="s">
        <v>700</v>
      </c>
      <c r="G262" t="s">
        <v>678</v>
      </c>
    </row>
    <row r="263" spans="1:7" hidden="1">
      <c r="A263" s="71">
        <v>46094</v>
      </c>
      <c r="B263" t="s">
        <v>281</v>
      </c>
      <c r="C263">
        <v>1472</v>
      </c>
      <c r="E263" t="s">
        <v>517</v>
      </c>
      <c r="F263" t="s">
        <v>700</v>
      </c>
      <c r="G263" t="s">
        <v>678</v>
      </c>
    </row>
    <row r="264" spans="1:7" hidden="1">
      <c r="A264" s="71">
        <v>46094</v>
      </c>
      <c r="B264" t="s">
        <v>281</v>
      </c>
      <c r="C264">
        <v>1472</v>
      </c>
      <c r="E264" t="s">
        <v>517</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701</v>
      </c>
      <c r="G274" t="s">
        <v>678</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702</v>
      </c>
      <c r="G277" t="s">
        <v>678</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703</v>
      </c>
    </row>
    <row r="290" spans="1:7" hidden="1">
      <c r="A290" s="71">
        <v>46106</v>
      </c>
      <c r="B290" t="s">
        <v>313</v>
      </c>
      <c r="C290">
        <v>21437</v>
      </c>
      <c r="E290" t="s">
        <v>316</v>
      </c>
      <c r="F290" t="s">
        <v>317</v>
      </c>
      <c r="G290" t="s">
        <v>678</v>
      </c>
    </row>
    <row r="291" spans="1:7" hidden="1">
      <c r="A291" s="71">
        <v>46104</v>
      </c>
      <c r="B291" t="s">
        <v>313</v>
      </c>
      <c r="C291">
        <v>21430</v>
      </c>
      <c r="E291" t="s">
        <v>703</v>
      </c>
    </row>
    <row r="292" spans="1:7" hidden="1">
      <c r="A292" s="71">
        <v>46100</v>
      </c>
      <c r="B292" t="s">
        <v>313</v>
      </c>
      <c r="C292">
        <v>21428</v>
      </c>
      <c r="E292" t="s">
        <v>316</v>
      </c>
      <c r="F292" t="s">
        <v>317</v>
      </c>
      <c r="G292" t="s">
        <v>678</v>
      </c>
    </row>
    <row r="293" spans="1:7" hidden="1">
      <c r="A293" s="71">
        <v>45061</v>
      </c>
      <c r="B293" t="s">
        <v>318</v>
      </c>
      <c r="C293">
        <v>10128</v>
      </c>
    </row>
    <row r="294" spans="1:7" hidden="1">
      <c r="A294" s="71">
        <v>44309</v>
      </c>
      <c r="B294" t="s">
        <v>704</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705</v>
      </c>
      <c r="C305">
        <v>2655</v>
      </c>
    </row>
    <row r="306" spans="1:7" hidden="1">
      <c r="A306" s="71">
        <v>46107</v>
      </c>
      <c r="B306" t="s">
        <v>333</v>
      </c>
      <c r="C306">
        <v>7073</v>
      </c>
      <c r="E306" t="s">
        <v>33</v>
      </c>
    </row>
    <row r="307" spans="1:7" hidden="1">
      <c r="A307" s="71">
        <v>46097</v>
      </c>
      <c r="B307" t="s">
        <v>333</v>
      </c>
      <c r="C307">
        <v>7060</v>
      </c>
      <c r="E307" t="s">
        <v>33</v>
      </c>
      <c r="F307" t="s">
        <v>706</v>
      </c>
      <c r="G307" t="s">
        <v>678</v>
      </c>
    </row>
    <row r="308" spans="1:7" hidden="1">
      <c r="A308" s="71">
        <v>46092</v>
      </c>
      <c r="B308" t="s">
        <v>333</v>
      </c>
      <c r="C308">
        <v>7049</v>
      </c>
      <c r="E308" t="s">
        <v>33</v>
      </c>
      <c r="F308" t="s">
        <v>706</v>
      </c>
      <c r="G308" t="s">
        <v>678</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707</v>
      </c>
      <c r="G322" t="s">
        <v>678</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708</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676</v>
      </c>
    </row>
    <row r="337" spans="1:7" hidden="1">
      <c r="A337" s="71">
        <v>46107</v>
      </c>
      <c r="B337" t="s">
        <v>365</v>
      </c>
      <c r="E337" t="s">
        <v>676</v>
      </c>
      <c r="F337" t="s">
        <v>709</v>
      </c>
      <c r="G337" t="s">
        <v>678</v>
      </c>
    </row>
    <row r="338" spans="1:7" hidden="1">
      <c r="A338" s="71">
        <v>46100</v>
      </c>
      <c r="B338" t="s">
        <v>365</v>
      </c>
      <c r="C338">
        <v>13660</v>
      </c>
      <c r="E338" t="s">
        <v>676</v>
      </c>
    </row>
    <row r="339" spans="1:7" hidden="1">
      <c r="A339" s="71">
        <v>46100</v>
      </c>
      <c r="B339" t="s">
        <v>365</v>
      </c>
      <c r="C339">
        <v>13660</v>
      </c>
      <c r="E339" t="s">
        <v>676</v>
      </c>
      <c r="F339" t="s">
        <v>710</v>
      </c>
      <c r="G339" t="s">
        <v>678</v>
      </c>
    </row>
    <row r="340" spans="1:7" hidden="1">
      <c r="A340" s="71">
        <v>44385</v>
      </c>
      <c r="B340" t="s">
        <v>711</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676</v>
      </c>
    </row>
    <row r="346" spans="1:7" hidden="1">
      <c r="A346" s="71">
        <v>46107</v>
      </c>
      <c r="B346" t="s">
        <v>373</v>
      </c>
      <c r="C346">
        <v>4861</v>
      </c>
      <c r="E346" t="s">
        <v>676</v>
      </c>
    </row>
    <row r="347" spans="1:7" hidden="1">
      <c r="A347" s="71">
        <v>46107</v>
      </c>
      <c r="B347" t="s">
        <v>373</v>
      </c>
      <c r="C347">
        <v>4861</v>
      </c>
      <c r="E347" t="s">
        <v>676</v>
      </c>
      <c r="F347" t="s">
        <v>712</v>
      </c>
      <c r="G347" t="s">
        <v>678</v>
      </c>
    </row>
    <row r="348" spans="1:7" hidden="1">
      <c r="A348" s="71">
        <v>44343</v>
      </c>
      <c r="B348" t="s">
        <v>713</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517</v>
      </c>
    </row>
    <row r="360" spans="1:7" hidden="1">
      <c r="A360" s="71">
        <v>46093</v>
      </c>
      <c r="B360" t="s">
        <v>388</v>
      </c>
      <c r="C360">
        <v>13039</v>
      </c>
      <c r="E360" t="s">
        <v>517</v>
      </c>
      <c r="F360" t="s">
        <v>714</v>
      </c>
      <c r="G360" t="s">
        <v>678</v>
      </c>
    </row>
    <row r="361" spans="1:7" hidden="1">
      <c r="A361" s="71">
        <v>46093</v>
      </c>
      <c r="B361" t="s">
        <v>388</v>
      </c>
      <c r="C361">
        <v>13039</v>
      </c>
      <c r="E361" t="s">
        <v>517</v>
      </c>
    </row>
    <row r="362" spans="1:7" hidden="1">
      <c r="A362" s="71">
        <v>46087</v>
      </c>
      <c r="B362" t="s">
        <v>388</v>
      </c>
      <c r="C362">
        <v>13034</v>
      </c>
    </row>
    <row r="363" spans="1:7" hidden="1">
      <c r="A363" s="71">
        <v>46027</v>
      </c>
      <c r="B363" t="s">
        <v>389</v>
      </c>
      <c r="C363">
        <v>5937</v>
      </c>
    </row>
    <row r="364" spans="1:7" hidden="1">
      <c r="A364" s="71">
        <v>46042</v>
      </c>
      <c r="B364" t="s">
        <v>391</v>
      </c>
      <c r="C364">
        <v>7950</v>
      </c>
    </row>
    <row r="365" spans="1:7" hidden="1">
      <c r="A365" s="71">
        <v>45021</v>
      </c>
      <c r="B365" t="s">
        <v>391</v>
      </c>
      <c r="C365">
        <v>6823</v>
      </c>
    </row>
    <row r="366" spans="1:7" hidden="1">
      <c r="A366" s="71">
        <v>44505</v>
      </c>
      <c r="B366" t="s">
        <v>391</v>
      </c>
      <c r="C366">
        <v>5757</v>
      </c>
    </row>
    <row r="367" spans="1:7" hidden="1">
      <c r="A367" s="71">
        <v>46114</v>
      </c>
      <c r="B367" t="s">
        <v>392</v>
      </c>
      <c r="C367">
        <v>17345</v>
      </c>
      <c r="E367" t="s">
        <v>676</v>
      </c>
    </row>
    <row r="368" spans="1:7" hidden="1">
      <c r="A368" s="71">
        <v>46108</v>
      </c>
      <c r="B368" t="s">
        <v>392</v>
      </c>
      <c r="C368">
        <v>17337</v>
      </c>
      <c r="E368" t="s">
        <v>676</v>
      </c>
    </row>
    <row r="369" spans="1:7" hidden="1">
      <c r="A369" s="71">
        <v>46105</v>
      </c>
      <c r="B369" t="s">
        <v>392</v>
      </c>
      <c r="C369">
        <v>17322</v>
      </c>
      <c r="E369" t="s">
        <v>676</v>
      </c>
    </row>
    <row r="370" spans="1:7" hidden="1">
      <c r="A370" s="71">
        <v>46101</v>
      </c>
      <c r="B370" t="s">
        <v>392</v>
      </c>
      <c r="C370">
        <v>17312</v>
      </c>
      <c r="E370" t="s">
        <v>676</v>
      </c>
    </row>
    <row r="371" spans="1:7" hidden="1">
      <c r="A371" s="71">
        <v>45996</v>
      </c>
      <c r="B371" t="s">
        <v>395</v>
      </c>
      <c r="D371">
        <v>227056</v>
      </c>
    </row>
    <row r="372" spans="1:7" hidden="1">
      <c r="A372" s="71">
        <v>45085</v>
      </c>
      <c r="B372" t="s">
        <v>395</v>
      </c>
      <c r="C372">
        <v>9276</v>
      </c>
    </row>
    <row r="373" spans="1:7" hidden="1">
      <c r="A373" s="71">
        <v>46139</v>
      </c>
      <c r="B373" t="s">
        <v>397</v>
      </c>
      <c r="C373">
        <v>169</v>
      </c>
      <c r="E373" t="s">
        <v>715</v>
      </c>
    </row>
    <row r="374" spans="1:7" hidden="1">
      <c r="A374" s="71">
        <v>46113</v>
      </c>
      <c r="B374" t="s">
        <v>397</v>
      </c>
      <c r="C374">
        <v>91</v>
      </c>
      <c r="E374" t="s">
        <v>676</v>
      </c>
    </row>
    <row r="375" spans="1:7" hidden="1">
      <c r="A375" s="71">
        <v>46111</v>
      </c>
      <c r="B375" t="s">
        <v>397</v>
      </c>
      <c r="C375">
        <v>75</v>
      </c>
      <c r="E375" t="s">
        <v>676</v>
      </c>
    </row>
    <row r="376" spans="1:7" hidden="1">
      <c r="A376" s="71">
        <v>46107</v>
      </c>
      <c r="B376" t="s">
        <v>397</v>
      </c>
      <c r="E376" t="s">
        <v>676</v>
      </c>
      <c r="F376" t="s">
        <v>399</v>
      </c>
      <c r="G376" t="s">
        <v>678</v>
      </c>
    </row>
    <row r="377" spans="1:7" hidden="1">
      <c r="A377" s="71">
        <v>46107</v>
      </c>
      <c r="B377" t="s">
        <v>400</v>
      </c>
      <c r="C377">
        <v>8660</v>
      </c>
      <c r="E377" t="s">
        <v>33</v>
      </c>
    </row>
    <row r="378" spans="1:7" hidden="1">
      <c r="A378" s="71">
        <v>46105</v>
      </c>
      <c r="B378" t="s">
        <v>400</v>
      </c>
      <c r="C378">
        <v>8647</v>
      </c>
      <c r="E378" t="s">
        <v>33</v>
      </c>
    </row>
    <row r="379" spans="1:7" hidden="1">
      <c r="A379" s="71">
        <v>46104</v>
      </c>
      <c r="B379" t="s">
        <v>400</v>
      </c>
      <c r="C379">
        <v>8642</v>
      </c>
      <c r="E379" t="s">
        <v>33</v>
      </c>
    </row>
    <row r="380" spans="1:7" hidden="1">
      <c r="A380" s="71">
        <v>46100</v>
      </c>
      <c r="B380" t="s">
        <v>400</v>
      </c>
      <c r="C380">
        <v>8632</v>
      </c>
      <c r="E380" t="s">
        <v>33</v>
      </c>
    </row>
    <row r="381" spans="1:7" hidden="1">
      <c r="A381" s="71">
        <v>46111</v>
      </c>
      <c r="B381" t="s">
        <v>409</v>
      </c>
      <c r="C381">
        <v>12802</v>
      </c>
      <c r="E381" t="s">
        <v>51</v>
      </c>
    </row>
    <row r="382" spans="1:7" hidden="1">
      <c r="A382" s="71">
        <v>46108</v>
      </c>
      <c r="B382" t="s">
        <v>409</v>
      </c>
      <c r="C382">
        <v>12798</v>
      </c>
      <c r="E382" t="s">
        <v>51</v>
      </c>
    </row>
    <row r="383" spans="1:7" hidden="1">
      <c r="A383" s="71">
        <v>46099</v>
      </c>
      <c r="B383" t="s">
        <v>409</v>
      </c>
      <c r="C383">
        <v>12760</v>
      </c>
      <c r="E383" t="s">
        <v>51</v>
      </c>
    </row>
    <row r="384" spans="1:7" hidden="1">
      <c r="A384" s="71">
        <v>46098</v>
      </c>
      <c r="B384" t="s">
        <v>409</v>
      </c>
      <c r="C384">
        <v>12756</v>
      </c>
      <c r="E384" t="s">
        <v>51</v>
      </c>
    </row>
    <row r="385" spans="1:5" hidden="1">
      <c r="A385" s="71">
        <v>46107</v>
      </c>
      <c r="B385" t="s">
        <v>412</v>
      </c>
      <c r="C385">
        <v>4470</v>
      </c>
      <c r="E385" t="s">
        <v>33</v>
      </c>
    </row>
    <row r="386" spans="1:5" hidden="1">
      <c r="A386" s="71">
        <v>46105</v>
      </c>
      <c r="B386" t="s">
        <v>412</v>
      </c>
      <c r="C386">
        <v>4459</v>
      </c>
      <c r="E386" t="s">
        <v>33</v>
      </c>
    </row>
    <row r="387" spans="1:5" hidden="1">
      <c r="A387" s="71">
        <v>46101</v>
      </c>
      <c r="B387" t="s">
        <v>412</v>
      </c>
      <c r="C387">
        <v>4450</v>
      </c>
      <c r="E387" t="s">
        <v>33</v>
      </c>
    </row>
    <row r="388" spans="1:5" hidden="1">
      <c r="A388" s="71">
        <v>46099</v>
      </c>
      <c r="B388" t="s">
        <v>412</v>
      </c>
      <c r="C388">
        <v>4441</v>
      </c>
      <c r="E388" t="s">
        <v>33</v>
      </c>
    </row>
    <row r="389" spans="1:5" hidden="1">
      <c r="A389" s="71">
        <v>46106</v>
      </c>
      <c r="B389" t="s">
        <v>418</v>
      </c>
      <c r="C389">
        <v>10358</v>
      </c>
      <c r="E389" t="s">
        <v>33</v>
      </c>
    </row>
    <row r="390" spans="1:5" hidden="1">
      <c r="A390" s="71">
        <v>46105</v>
      </c>
      <c r="B390" t="s">
        <v>418</v>
      </c>
      <c r="C390">
        <v>10350</v>
      </c>
      <c r="E390" t="s">
        <v>33</v>
      </c>
    </row>
    <row r="391" spans="1:5" hidden="1">
      <c r="A391" s="71">
        <v>46104</v>
      </c>
      <c r="B391" t="s">
        <v>418</v>
      </c>
      <c r="C391">
        <v>10342</v>
      </c>
      <c r="E391" t="s">
        <v>33</v>
      </c>
    </row>
    <row r="392" spans="1:5" hidden="1">
      <c r="A392" s="71">
        <v>46101</v>
      </c>
      <c r="B392" t="s">
        <v>418</v>
      </c>
      <c r="C392">
        <v>10339</v>
      </c>
      <c r="E392" t="s">
        <v>33</v>
      </c>
    </row>
    <row r="393" spans="1:5" hidden="1">
      <c r="A393" s="71">
        <v>46135</v>
      </c>
      <c r="B393" t="s">
        <v>421</v>
      </c>
      <c r="C393">
        <v>8457</v>
      </c>
      <c r="E393" t="s">
        <v>675</v>
      </c>
    </row>
    <row r="394" spans="1:5" hidden="1">
      <c r="A394" s="71">
        <v>46115</v>
      </c>
      <c r="B394" t="s">
        <v>421</v>
      </c>
      <c r="C394">
        <v>8264</v>
      </c>
      <c r="E394" t="s">
        <v>63</v>
      </c>
    </row>
    <row r="395" spans="1:5" hidden="1">
      <c r="A395" s="71">
        <v>46112</v>
      </c>
      <c r="B395" t="s">
        <v>421</v>
      </c>
      <c r="C395">
        <v>8376</v>
      </c>
      <c r="E395" t="s">
        <v>63</v>
      </c>
    </row>
    <row r="396" spans="1:5" hidden="1">
      <c r="A396" s="71">
        <v>46100</v>
      </c>
      <c r="B396" t="s">
        <v>421</v>
      </c>
      <c r="C396">
        <v>8326</v>
      </c>
      <c r="E396" t="s">
        <v>23</v>
      </c>
    </row>
    <row r="397" spans="1:5" hidden="1">
      <c r="A397" s="71">
        <v>46098</v>
      </c>
      <c r="B397" t="s">
        <v>424</v>
      </c>
      <c r="C397">
        <v>5695</v>
      </c>
      <c r="E397" t="s">
        <v>63</v>
      </c>
    </row>
    <row r="398" spans="1:5" hidden="1">
      <c r="A398" s="71">
        <v>46076</v>
      </c>
      <c r="B398" t="s">
        <v>424</v>
      </c>
      <c r="C398">
        <v>5633</v>
      </c>
      <c r="E398" t="s">
        <v>51</v>
      </c>
    </row>
    <row r="399" spans="1:5" hidden="1">
      <c r="A399" s="71">
        <v>46072</v>
      </c>
      <c r="B399" t="s">
        <v>424</v>
      </c>
      <c r="C399">
        <v>5621</v>
      </c>
    </row>
    <row r="400" spans="1:5" hidden="1">
      <c r="A400" s="71">
        <v>46070</v>
      </c>
      <c r="B400" t="s">
        <v>424</v>
      </c>
      <c r="C400">
        <v>5609</v>
      </c>
    </row>
    <row r="401" spans="1:7" hidden="1">
      <c r="A401" s="71">
        <v>46129</v>
      </c>
      <c r="B401" t="s">
        <v>428</v>
      </c>
      <c r="C401">
        <v>589</v>
      </c>
      <c r="E401" t="s">
        <v>15</v>
      </c>
    </row>
    <row r="402" spans="1:7" hidden="1">
      <c r="A402" s="71">
        <v>46112</v>
      </c>
      <c r="B402" t="s">
        <v>428</v>
      </c>
      <c r="C402">
        <v>580</v>
      </c>
      <c r="E402" t="s">
        <v>15</v>
      </c>
    </row>
    <row r="403" spans="1:7" hidden="1">
      <c r="A403" s="71">
        <v>46106</v>
      </c>
      <c r="B403" t="s">
        <v>428</v>
      </c>
      <c r="C403">
        <v>568</v>
      </c>
      <c r="E403" t="s">
        <v>15</v>
      </c>
    </row>
    <row r="404" spans="1:7" hidden="1">
      <c r="A404" s="71">
        <v>46101</v>
      </c>
      <c r="B404" t="s">
        <v>428</v>
      </c>
      <c r="C404">
        <v>567</v>
      </c>
      <c r="E404" t="s">
        <v>206</v>
      </c>
    </row>
    <row r="405" spans="1:7" hidden="1">
      <c r="A405" s="71">
        <v>46108</v>
      </c>
      <c r="B405" t="s">
        <v>431</v>
      </c>
      <c r="C405">
        <v>6777</v>
      </c>
      <c r="E405" t="s">
        <v>327</v>
      </c>
    </row>
    <row r="406" spans="1:7" hidden="1">
      <c r="A406" s="71">
        <v>46113</v>
      </c>
      <c r="B406" t="s">
        <v>434</v>
      </c>
      <c r="C406">
        <v>6553</v>
      </c>
      <c r="E406" t="s">
        <v>676</v>
      </c>
    </row>
    <row r="407" spans="1:7" hidden="1">
      <c r="A407" s="71">
        <v>46106</v>
      </c>
      <c r="B407" t="s">
        <v>434</v>
      </c>
      <c r="C407">
        <v>6529</v>
      </c>
      <c r="E407" t="s">
        <v>676</v>
      </c>
    </row>
    <row r="408" spans="1:7" hidden="1">
      <c r="A408" s="71">
        <v>46106</v>
      </c>
      <c r="B408" t="s">
        <v>434</v>
      </c>
      <c r="C408">
        <v>6529</v>
      </c>
      <c r="E408" t="s">
        <v>676</v>
      </c>
      <c r="F408" t="s">
        <v>709</v>
      </c>
      <c r="G408" t="s">
        <v>678</v>
      </c>
    </row>
    <row r="409" spans="1:7" hidden="1">
      <c r="A409" s="71">
        <v>46104</v>
      </c>
      <c r="B409" t="s">
        <v>434</v>
      </c>
      <c r="C409">
        <v>6530</v>
      </c>
      <c r="E409" t="s">
        <v>676</v>
      </c>
    </row>
    <row r="410" spans="1:7" hidden="1">
      <c r="A410" s="71">
        <v>46098</v>
      </c>
      <c r="B410" t="s">
        <v>435</v>
      </c>
      <c r="C410">
        <v>10101</v>
      </c>
      <c r="E410" t="s">
        <v>63</v>
      </c>
    </row>
    <row r="411" spans="1:7" hidden="1">
      <c r="A411" s="71">
        <v>46080</v>
      </c>
      <c r="B411" t="s">
        <v>435</v>
      </c>
      <c r="C411">
        <v>10041</v>
      </c>
      <c r="E411" t="s">
        <v>51</v>
      </c>
    </row>
    <row r="412" spans="1:7" hidden="1">
      <c r="A412" s="71">
        <v>46078</v>
      </c>
      <c r="B412" t="s">
        <v>435</v>
      </c>
      <c r="C412">
        <v>10028</v>
      </c>
    </row>
    <row r="413" spans="1:7" hidden="1">
      <c r="A413" s="71">
        <v>46076</v>
      </c>
      <c r="B413" t="s">
        <v>435</v>
      </c>
      <c r="C413">
        <v>10014</v>
      </c>
    </row>
    <row r="414" spans="1:7" hidden="1">
      <c r="A414" s="71">
        <v>45994</v>
      </c>
      <c r="B414" t="s">
        <v>441</v>
      </c>
      <c r="C414">
        <v>1733</v>
      </c>
    </row>
    <row r="415" spans="1:7" hidden="1">
      <c r="A415" s="71">
        <v>46107</v>
      </c>
      <c r="B415" t="s">
        <v>444</v>
      </c>
      <c r="C415">
        <v>2054</v>
      </c>
      <c r="E415" t="s">
        <v>33</v>
      </c>
    </row>
    <row r="416" spans="1:7" hidden="1">
      <c r="A416" s="71">
        <v>46105</v>
      </c>
      <c r="B416" t="s">
        <v>444</v>
      </c>
      <c r="C416">
        <v>2044</v>
      </c>
      <c r="E416" t="s">
        <v>33</v>
      </c>
    </row>
    <row r="417" spans="1:5" hidden="1">
      <c r="A417" s="71">
        <v>46101</v>
      </c>
      <c r="B417" t="s">
        <v>444</v>
      </c>
      <c r="C417">
        <v>2037</v>
      </c>
      <c r="E417" t="s">
        <v>33</v>
      </c>
    </row>
    <row r="418" spans="1:5" hidden="1">
      <c r="A418" s="71">
        <v>46099</v>
      </c>
      <c r="B418" t="s">
        <v>444</v>
      </c>
      <c r="C418">
        <v>2028</v>
      </c>
      <c r="E418" t="s">
        <v>33</v>
      </c>
    </row>
    <row r="419" spans="1:5" hidden="1">
      <c r="A419" s="71">
        <v>46111</v>
      </c>
      <c r="B419" t="s">
        <v>447</v>
      </c>
      <c r="C419">
        <v>2396</v>
      </c>
      <c r="E419" t="s">
        <v>51</v>
      </c>
    </row>
    <row r="420" spans="1:5" hidden="1">
      <c r="A420" s="71">
        <v>46101</v>
      </c>
      <c r="B420" t="s">
        <v>447</v>
      </c>
      <c r="C420">
        <v>2363</v>
      </c>
      <c r="E420" t="s">
        <v>51</v>
      </c>
    </row>
    <row r="421" spans="1:5" hidden="1">
      <c r="A421" s="71">
        <v>46099</v>
      </c>
      <c r="B421" t="s">
        <v>447</v>
      </c>
      <c r="C421">
        <v>2354</v>
      </c>
      <c r="E421" t="s">
        <v>51</v>
      </c>
    </row>
    <row r="422" spans="1:5" hidden="1">
      <c r="A422" s="71">
        <v>46076</v>
      </c>
      <c r="B422" t="s">
        <v>447</v>
      </c>
      <c r="C422">
        <v>2293</v>
      </c>
      <c r="E422" t="s">
        <v>51</v>
      </c>
    </row>
    <row r="423" spans="1:5" hidden="1">
      <c r="A423" s="71">
        <v>46101</v>
      </c>
      <c r="B423" t="s">
        <v>450</v>
      </c>
      <c r="C423">
        <v>1742</v>
      </c>
      <c r="E423" t="s">
        <v>63</v>
      </c>
    </row>
    <row r="424" spans="1:5" hidden="1">
      <c r="A424" s="71">
        <v>46098</v>
      </c>
      <c r="B424" t="s">
        <v>450</v>
      </c>
      <c r="C424">
        <v>1735</v>
      </c>
      <c r="E424" t="s">
        <v>63</v>
      </c>
    </row>
    <row r="425" spans="1:5" hidden="1">
      <c r="A425" s="71">
        <v>46078</v>
      </c>
      <c r="B425" t="s">
        <v>450</v>
      </c>
      <c r="C425">
        <v>1678</v>
      </c>
    </row>
    <row r="426" spans="1:5" hidden="1">
      <c r="A426" s="71">
        <v>46072</v>
      </c>
      <c r="B426" t="s">
        <v>450</v>
      </c>
      <c r="C426">
        <v>1670</v>
      </c>
    </row>
    <row r="427" spans="1:5" hidden="1">
      <c r="A427" s="71">
        <v>46129</v>
      </c>
      <c r="B427" t="s">
        <v>452</v>
      </c>
      <c r="C427">
        <v>1861</v>
      </c>
      <c r="E427" t="s">
        <v>15</v>
      </c>
    </row>
    <row r="428" spans="1:5" hidden="1">
      <c r="A428" s="71">
        <v>46112</v>
      </c>
      <c r="B428" t="s">
        <v>452</v>
      </c>
      <c r="C428">
        <v>1804</v>
      </c>
      <c r="E428" t="s">
        <v>15</v>
      </c>
    </row>
    <row r="429" spans="1:5" hidden="1">
      <c r="A429" s="71">
        <v>46108</v>
      </c>
      <c r="B429" t="s">
        <v>452</v>
      </c>
      <c r="C429">
        <v>1794</v>
      </c>
      <c r="E429" t="s">
        <v>15</v>
      </c>
    </row>
    <row r="430" spans="1:5" hidden="1">
      <c r="A430" s="71">
        <v>46106</v>
      </c>
      <c r="B430" t="s">
        <v>452</v>
      </c>
      <c r="C430">
        <v>1781</v>
      </c>
      <c r="E430" t="s">
        <v>15</v>
      </c>
    </row>
    <row r="431" spans="1:5" hidden="1">
      <c r="A431" s="71">
        <v>46104</v>
      </c>
      <c r="B431" t="s">
        <v>454</v>
      </c>
      <c r="C431">
        <v>1950</v>
      </c>
      <c r="E431" t="s">
        <v>15</v>
      </c>
    </row>
    <row r="432" spans="1:5" hidden="1">
      <c r="A432" s="71">
        <v>46101</v>
      </c>
      <c r="B432" t="s">
        <v>454</v>
      </c>
      <c r="C432">
        <v>1947</v>
      </c>
      <c r="E432" t="s">
        <v>206</v>
      </c>
    </row>
    <row r="433" spans="1:7" hidden="1">
      <c r="A433" s="71">
        <v>46073</v>
      </c>
      <c r="B433" t="s">
        <v>454</v>
      </c>
      <c r="C433">
        <v>1926</v>
      </c>
    </row>
    <row r="434" spans="1:7" hidden="1">
      <c r="A434" s="71">
        <v>46056</v>
      </c>
      <c r="B434" t="s">
        <v>454</v>
      </c>
      <c r="C434">
        <v>1930</v>
      </c>
    </row>
    <row r="435" spans="1:7" hidden="1">
      <c r="A435" s="71">
        <v>46079</v>
      </c>
      <c r="B435" t="s">
        <v>458</v>
      </c>
      <c r="C435">
        <v>2405</v>
      </c>
      <c r="E435" t="s">
        <v>15</v>
      </c>
    </row>
    <row r="436" spans="1:7" hidden="1">
      <c r="A436" s="71">
        <v>46043</v>
      </c>
      <c r="B436" t="s">
        <v>458</v>
      </c>
      <c r="C436">
        <v>2386</v>
      </c>
    </row>
    <row r="437" spans="1:7" hidden="1">
      <c r="A437" s="71">
        <v>46009</v>
      </c>
      <c r="B437" t="s">
        <v>458</v>
      </c>
      <c r="C437">
        <v>1830</v>
      </c>
    </row>
    <row r="438" spans="1:7" hidden="1">
      <c r="A438" s="71">
        <v>45994</v>
      </c>
      <c r="B438" t="s">
        <v>458</v>
      </c>
      <c r="C438">
        <v>2363</v>
      </c>
    </row>
    <row r="439" spans="1:7" hidden="1">
      <c r="A439" s="71">
        <v>46107</v>
      </c>
      <c r="B439" t="s">
        <v>460</v>
      </c>
      <c r="C439">
        <v>2285</v>
      </c>
      <c r="E439" t="s">
        <v>33</v>
      </c>
    </row>
    <row r="440" spans="1:7" hidden="1">
      <c r="A440" s="71">
        <v>46106</v>
      </c>
      <c r="B440" t="s">
        <v>460</v>
      </c>
      <c r="C440">
        <v>2274</v>
      </c>
      <c r="E440" t="s">
        <v>33</v>
      </c>
    </row>
    <row r="441" spans="1:7" hidden="1">
      <c r="A441" s="71">
        <v>46105</v>
      </c>
      <c r="B441" t="s">
        <v>460</v>
      </c>
      <c r="C441">
        <v>2267</v>
      </c>
      <c r="E441" t="s">
        <v>33</v>
      </c>
    </row>
    <row r="442" spans="1:7" hidden="1">
      <c r="A442" s="71">
        <v>46104</v>
      </c>
      <c r="B442" t="s">
        <v>460</v>
      </c>
      <c r="C442">
        <v>2259</v>
      </c>
      <c r="E442" t="s">
        <v>33</v>
      </c>
    </row>
    <row r="443" spans="1:7" hidden="1">
      <c r="A443" s="71">
        <v>46133</v>
      </c>
      <c r="B443" t="s">
        <v>716</v>
      </c>
      <c r="D443">
        <v>307623</v>
      </c>
    </row>
    <row r="444" spans="1:7" hidden="1">
      <c r="A444" s="71">
        <v>44328</v>
      </c>
      <c r="B444" t="s">
        <v>717</v>
      </c>
      <c r="D444">
        <v>623700</v>
      </c>
    </row>
    <row r="445" spans="1:7" hidden="1">
      <c r="A445" s="71">
        <v>44242</v>
      </c>
      <c r="B445" t="s">
        <v>717</v>
      </c>
      <c r="D445">
        <v>612317</v>
      </c>
    </row>
    <row r="446" spans="1:7" hidden="1">
      <c r="A446" s="71">
        <v>46139</v>
      </c>
      <c r="B446" t="s">
        <v>462</v>
      </c>
      <c r="D446">
        <v>99450</v>
      </c>
      <c r="E446" t="s">
        <v>703</v>
      </c>
    </row>
    <row r="447" spans="1:7" hidden="1">
      <c r="A447" s="71">
        <v>46133</v>
      </c>
      <c r="B447" t="s">
        <v>462</v>
      </c>
      <c r="D447">
        <v>99063</v>
      </c>
      <c r="E447" t="s">
        <v>26</v>
      </c>
    </row>
    <row r="448" spans="1:7" hidden="1">
      <c r="A448" s="71">
        <v>46108</v>
      </c>
      <c r="B448" t="s">
        <v>462</v>
      </c>
      <c r="D448">
        <v>97630</v>
      </c>
      <c r="E448" t="s">
        <v>316</v>
      </c>
      <c r="F448" t="s">
        <v>718</v>
      </c>
      <c r="G448" t="s">
        <v>678</v>
      </c>
    </row>
    <row r="449" spans="1:7" hidden="1">
      <c r="A449" s="71">
        <v>46104</v>
      </c>
      <c r="B449" t="s">
        <v>462</v>
      </c>
      <c r="D449">
        <v>97507</v>
      </c>
      <c r="E449" t="s">
        <v>316</v>
      </c>
      <c r="F449" t="s">
        <v>718</v>
      </c>
      <c r="G449" t="s">
        <v>678</v>
      </c>
    </row>
    <row r="450" spans="1:7" hidden="1">
      <c r="A450" s="71">
        <v>46073</v>
      </c>
      <c r="B450" t="s">
        <v>466</v>
      </c>
      <c r="D450">
        <v>104779</v>
      </c>
    </row>
    <row r="451" spans="1:7" hidden="1">
      <c r="A451" s="71">
        <v>46105</v>
      </c>
      <c r="B451" t="s">
        <v>468</v>
      </c>
      <c r="D451">
        <v>108622</v>
      </c>
      <c r="E451" t="s">
        <v>37</v>
      </c>
    </row>
    <row r="452" spans="1:7" hidden="1">
      <c r="A452" s="71">
        <v>46086</v>
      </c>
      <c r="B452" t="s">
        <v>468</v>
      </c>
      <c r="D452">
        <v>105926</v>
      </c>
    </row>
    <row r="453" spans="1:7" hidden="1">
      <c r="A453" s="71">
        <v>46085</v>
      </c>
      <c r="B453" t="s">
        <v>468</v>
      </c>
      <c r="D453">
        <v>105517</v>
      </c>
    </row>
    <row r="454" spans="1:7" hidden="1">
      <c r="A454" s="71">
        <v>46083</v>
      </c>
      <c r="B454" t="s">
        <v>468</v>
      </c>
      <c r="D454">
        <v>105293</v>
      </c>
    </row>
    <row r="455" spans="1:7" hidden="1">
      <c r="A455" s="71">
        <v>46133</v>
      </c>
      <c r="B455" t="s">
        <v>473</v>
      </c>
      <c r="D455">
        <v>77882</v>
      </c>
      <c r="E455" t="s">
        <v>26</v>
      </c>
    </row>
    <row r="456" spans="1:7" hidden="1">
      <c r="A456" s="71">
        <v>46100</v>
      </c>
      <c r="B456" t="s">
        <v>473</v>
      </c>
      <c r="D456">
        <v>73803</v>
      </c>
      <c r="E456" t="s">
        <v>681</v>
      </c>
    </row>
    <row r="457" spans="1:7" hidden="1">
      <c r="A457" s="71">
        <v>46100</v>
      </c>
      <c r="B457" t="s">
        <v>473</v>
      </c>
      <c r="D457">
        <v>73803</v>
      </c>
      <c r="E457" t="s">
        <v>681</v>
      </c>
      <c r="F457" t="s">
        <v>719</v>
      </c>
      <c r="G457" t="s">
        <v>678</v>
      </c>
    </row>
    <row r="458" spans="1:7" hidden="1">
      <c r="A458" s="71">
        <v>46099</v>
      </c>
      <c r="B458" t="s">
        <v>473</v>
      </c>
      <c r="D458">
        <v>73362</v>
      </c>
      <c r="E458" t="s">
        <v>33</v>
      </c>
    </row>
    <row r="459" spans="1:7" hidden="1">
      <c r="A459" s="71">
        <v>46048</v>
      </c>
      <c r="B459" t="s">
        <v>475</v>
      </c>
      <c r="D459">
        <v>58660</v>
      </c>
    </row>
    <row r="460" spans="1:7" hidden="1">
      <c r="A460" s="71">
        <v>46055</v>
      </c>
      <c r="B460" t="s">
        <v>479</v>
      </c>
      <c r="D460">
        <v>77781</v>
      </c>
    </row>
    <row r="461" spans="1:7" hidden="1">
      <c r="A461" s="71">
        <v>46021</v>
      </c>
      <c r="B461" t="s">
        <v>479</v>
      </c>
      <c r="C461">
        <v>10283</v>
      </c>
      <c r="D461">
        <v>246005</v>
      </c>
    </row>
    <row r="462" spans="1:7" hidden="1">
      <c r="A462" s="71">
        <v>45994</v>
      </c>
      <c r="B462" t="s">
        <v>484</v>
      </c>
      <c r="D462">
        <v>66902</v>
      </c>
    </row>
    <row r="463" spans="1:7" hidden="1">
      <c r="A463" s="71">
        <v>46133</v>
      </c>
      <c r="B463" t="s">
        <v>486</v>
      </c>
      <c r="D463">
        <v>82711</v>
      </c>
      <c r="E463" t="s">
        <v>344</v>
      </c>
    </row>
    <row r="464" spans="1:7" hidden="1">
      <c r="A464" s="71">
        <v>46105</v>
      </c>
      <c r="B464" t="s">
        <v>486</v>
      </c>
      <c r="D464">
        <v>78946</v>
      </c>
      <c r="E464" t="s">
        <v>681</v>
      </c>
    </row>
    <row r="465" spans="1:5" hidden="1">
      <c r="A465" s="71">
        <v>46084</v>
      </c>
      <c r="B465" t="s">
        <v>486</v>
      </c>
      <c r="D465">
        <v>75328</v>
      </c>
    </row>
    <row r="466" spans="1:5" hidden="1">
      <c r="A466" s="71">
        <v>46079</v>
      </c>
      <c r="B466" t="s">
        <v>486</v>
      </c>
      <c r="D466">
        <v>74616</v>
      </c>
    </row>
    <row r="467" spans="1:5" hidden="1">
      <c r="A467" s="71">
        <v>46114</v>
      </c>
      <c r="B467" t="s">
        <v>490</v>
      </c>
      <c r="D467">
        <v>88308</v>
      </c>
      <c r="E467" t="s">
        <v>681</v>
      </c>
    </row>
    <row r="468" spans="1:5" hidden="1">
      <c r="A468" s="71">
        <v>46108</v>
      </c>
      <c r="B468" t="s">
        <v>490</v>
      </c>
      <c r="D468">
        <v>86162</v>
      </c>
      <c r="E468" t="s">
        <v>681</v>
      </c>
    </row>
    <row r="469" spans="1:5" hidden="1">
      <c r="A469" s="71">
        <v>46098</v>
      </c>
      <c r="B469" t="s">
        <v>490</v>
      </c>
      <c r="D469">
        <v>84571</v>
      </c>
      <c r="E469" t="s">
        <v>33</v>
      </c>
    </row>
    <row r="470" spans="1:5" hidden="1">
      <c r="A470" s="71">
        <v>46090</v>
      </c>
      <c r="B470" t="s">
        <v>490</v>
      </c>
      <c r="D470">
        <v>83200</v>
      </c>
    </row>
    <row r="471" spans="1:5" hidden="1">
      <c r="A471" s="71">
        <v>46133</v>
      </c>
      <c r="B471" t="s">
        <v>493</v>
      </c>
      <c r="D471">
        <v>110641</v>
      </c>
      <c r="E471" t="s">
        <v>720</v>
      </c>
    </row>
    <row r="472" spans="1:5" hidden="1">
      <c r="A472" s="71">
        <v>46078</v>
      </c>
      <c r="B472" t="s">
        <v>493</v>
      </c>
      <c r="D472">
        <v>104318</v>
      </c>
    </row>
    <row r="473" spans="1:5" hidden="1">
      <c r="A473" s="71">
        <v>46077</v>
      </c>
      <c r="B473" t="s">
        <v>493</v>
      </c>
      <c r="D473">
        <v>103822</v>
      </c>
    </row>
    <row r="474" spans="1:5" hidden="1">
      <c r="A474" s="71">
        <v>46076</v>
      </c>
      <c r="B474" t="s">
        <v>493</v>
      </c>
      <c r="D474">
        <v>103262</v>
      </c>
    </row>
    <row r="475" spans="1:5" hidden="1">
      <c r="A475" s="71">
        <v>46133</v>
      </c>
      <c r="B475" t="s">
        <v>495</v>
      </c>
      <c r="D475">
        <v>98245</v>
      </c>
      <c r="E475" t="s">
        <v>200</v>
      </c>
    </row>
    <row r="476" spans="1:5" hidden="1">
      <c r="A476" s="71">
        <v>46112</v>
      </c>
      <c r="B476" t="s">
        <v>495</v>
      </c>
      <c r="D476">
        <v>95135</v>
      </c>
      <c r="E476" t="s">
        <v>63</v>
      </c>
    </row>
    <row r="477" spans="1:5" hidden="1">
      <c r="A477" s="71">
        <v>46108</v>
      </c>
      <c r="B477" t="s">
        <v>495</v>
      </c>
      <c r="D477">
        <v>94201</v>
      </c>
      <c r="E477" t="s">
        <v>51</v>
      </c>
    </row>
    <row r="478" spans="1:5" hidden="1">
      <c r="A478" s="71">
        <v>46059</v>
      </c>
      <c r="B478" t="s">
        <v>498</v>
      </c>
      <c r="D478">
        <v>56286</v>
      </c>
    </row>
    <row r="479" spans="1:5" hidden="1">
      <c r="A479" s="71">
        <v>46056</v>
      </c>
      <c r="B479" t="s">
        <v>498</v>
      </c>
      <c r="D479">
        <v>55822</v>
      </c>
    </row>
    <row r="480" spans="1:5" hidden="1">
      <c r="A480" s="71">
        <v>46053</v>
      </c>
      <c r="B480" t="s">
        <v>498</v>
      </c>
      <c r="D480">
        <v>55070</v>
      </c>
    </row>
    <row r="481" spans="1:6" hidden="1">
      <c r="A481" s="71">
        <v>46072</v>
      </c>
      <c r="B481" t="s">
        <v>500</v>
      </c>
      <c r="D481">
        <v>107331</v>
      </c>
    </row>
    <row r="482" spans="1:6" hidden="1">
      <c r="A482" s="71">
        <v>46066</v>
      </c>
      <c r="B482" t="s">
        <v>500</v>
      </c>
      <c r="D482">
        <v>106707</v>
      </c>
    </row>
    <row r="483" spans="1:6" hidden="1">
      <c r="A483" s="71">
        <v>46065</v>
      </c>
      <c r="B483" t="s">
        <v>500</v>
      </c>
      <c r="D483">
        <v>106355</v>
      </c>
    </row>
    <row r="484" spans="1:6" hidden="1">
      <c r="A484" s="71">
        <v>46136</v>
      </c>
      <c r="B484" t="s">
        <v>502</v>
      </c>
      <c r="D484">
        <v>122790</v>
      </c>
      <c r="E484" t="s">
        <v>708</v>
      </c>
    </row>
    <row r="485" spans="1:6" hidden="1">
      <c r="A485" s="71">
        <v>46133</v>
      </c>
      <c r="B485" t="s">
        <v>502</v>
      </c>
      <c r="D485">
        <v>122354</v>
      </c>
      <c r="E485" t="s">
        <v>721</v>
      </c>
    </row>
    <row r="486" spans="1:6" hidden="1">
      <c r="A486" s="71">
        <v>46101</v>
      </c>
      <c r="B486" t="s">
        <v>502</v>
      </c>
      <c r="D486">
        <v>116537</v>
      </c>
      <c r="E486" t="s">
        <v>63</v>
      </c>
    </row>
    <row r="487" spans="1:6" hidden="1">
      <c r="A487" s="71">
        <v>46080</v>
      </c>
      <c r="B487" t="s">
        <v>502</v>
      </c>
      <c r="D487">
        <v>112584</v>
      </c>
    </row>
    <row r="488" spans="1:6" hidden="1">
      <c r="A488" s="71">
        <v>46077</v>
      </c>
      <c r="B488" t="s">
        <v>505</v>
      </c>
      <c r="D488">
        <v>62985</v>
      </c>
    </row>
    <row r="489" spans="1:6" hidden="1">
      <c r="A489" s="71">
        <v>46083</v>
      </c>
      <c r="B489" t="s">
        <v>505</v>
      </c>
      <c r="D489">
        <v>64032</v>
      </c>
    </row>
    <row r="490" spans="1:6" hidden="1">
      <c r="A490" s="71">
        <v>46086</v>
      </c>
      <c r="B490" t="s">
        <v>512</v>
      </c>
      <c r="D490">
        <v>62939</v>
      </c>
    </row>
    <row r="491" spans="1:6" hidden="1">
      <c r="A491" s="71">
        <v>46090</v>
      </c>
      <c r="B491" t="s">
        <v>512</v>
      </c>
      <c r="D491">
        <v>64682</v>
      </c>
    </row>
    <row r="492" spans="1:6" hidden="1">
      <c r="A492" s="71">
        <v>46133</v>
      </c>
      <c r="B492" t="s">
        <v>507</v>
      </c>
      <c r="D492">
        <v>105494</v>
      </c>
      <c r="E492" t="s">
        <v>26</v>
      </c>
    </row>
    <row r="493" spans="1:6" hidden="1">
      <c r="A493" s="71">
        <v>46107</v>
      </c>
      <c r="B493" t="s">
        <v>507</v>
      </c>
      <c r="D493">
        <v>99837</v>
      </c>
      <c r="E493" t="s">
        <v>37</v>
      </c>
      <c r="F493" t="s">
        <v>722</v>
      </c>
    </row>
    <row r="494" spans="1:6" hidden="1">
      <c r="A494" s="71">
        <v>46090</v>
      </c>
      <c r="B494" t="s">
        <v>507</v>
      </c>
      <c r="D494">
        <v>94990</v>
      </c>
      <c r="E494" t="s">
        <v>37</v>
      </c>
      <c r="F494" t="s">
        <v>722</v>
      </c>
    </row>
    <row r="495" spans="1:6" hidden="1">
      <c r="A495" s="71">
        <v>46086</v>
      </c>
      <c r="B495" t="s">
        <v>507</v>
      </c>
      <c r="D495">
        <v>93455</v>
      </c>
      <c r="E495" t="s">
        <v>37</v>
      </c>
      <c r="F495" t="s">
        <v>722</v>
      </c>
    </row>
    <row r="496" spans="1:6" hidden="1">
      <c r="A496" s="71">
        <v>46099</v>
      </c>
      <c r="B496" t="s">
        <v>512</v>
      </c>
      <c r="D496">
        <v>66415</v>
      </c>
      <c r="E496" t="s">
        <v>33</v>
      </c>
    </row>
    <row r="497" spans="1:5" hidden="1">
      <c r="A497" s="71">
        <v>46101</v>
      </c>
      <c r="B497" t="s">
        <v>505</v>
      </c>
      <c r="D497">
        <v>66205</v>
      </c>
      <c r="E497" t="s">
        <v>33</v>
      </c>
    </row>
    <row r="498" spans="1:5" hidden="1">
      <c r="A498" s="71">
        <v>46105</v>
      </c>
      <c r="B498" t="s">
        <v>505</v>
      </c>
      <c r="D498">
        <v>67095</v>
      </c>
      <c r="E498" t="s">
        <v>33</v>
      </c>
    </row>
    <row r="499" spans="1:5" hidden="1">
      <c r="A499" s="71">
        <v>46107</v>
      </c>
      <c r="B499" t="s">
        <v>512</v>
      </c>
      <c r="D499">
        <v>67530</v>
      </c>
      <c r="E499" t="s">
        <v>33</v>
      </c>
    </row>
    <row r="500" spans="1:5" hidden="1">
      <c r="A500" s="71">
        <v>46133</v>
      </c>
      <c r="B500" t="s">
        <v>514</v>
      </c>
      <c r="D500">
        <v>54674</v>
      </c>
      <c r="E500" t="s">
        <v>26</v>
      </c>
    </row>
    <row r="501" spans="1:5" hidden="1">
      <c r="A501" s="71">
        <v>46112</v>
      </c>
      <c r="B501" t="s">
        <v>514</v>
      </c>
      <c r="D501">
        <v>52367</v>
      </c>
      <c r="E501" t="s">
        <v>15</v>
      </c>
    </row>
    <row r="502" spans="1:5" hidden="1">
      <c r="A502" s="71">
        <v>46108</v>
      </c>
      <c r="B502" t="s">
        <v>514</v>
      </c>
      <c r="D502">
        <v>52054</v>
      </c>
      <c r="E502" t="s">
        <v>15</v>
      </c>
    </row>
    <row r="503" spans="1:5" hidden="1">
      <c r="A503" s="71">
        <v>46106</v>
      </c>
      <c r="B503" t="s">
        <v>514</v>
      </c>
      <c r="D503">
        <v>51643</v>
      </c>
      <c r="E503" t="s">
        <v>15</v>
      </c>
    </row>
    <row r="504" spans="1:5" hidden="1">
      <c r="A504" s="71">
        <v>46120</v>
      </c>
      <c r="B504" t="s">
        <v>516</v>
      </c>
      <c r="D504">
        <v>47499</v>
      </c>
      <c r="E504" t="s">
        <v>517</v>
      </c>
    </row>
    <row r="505" spans="1:5" hidden="1">
      <c r="A505" s="71">
        <v>46111</v>
      </c>
      <c r="B505" t="s">
        <v>516</v>
      </c>
      <c r="D505">
        <v>46849</v>
      </c>
      <c r="E505" t="s">
        <v>517</v>
      </c>
    </row>
    <row r="506" spans="1:5" hidden="1">
      <c r="A506" s="71">
        <v>46107</v>
      </c>
      <c r="B506" t="s">
        <v>516</v>
      </c>
      <c r="D506">
        <v>46500</v>
      </c>
      <c r="E506" t="s">
        <v>517</v>
      </c>
    </row>
    <row r="507" spans="1:5" hidden="1">
      <c r="A507" s="71">
        <v>46101</v>
      </c>
      <c r="B507" t="s">
        <v>516</v>
      </c>
      <c r="D507">
        <v>45856</v>
      </c>
      <c r="E507" t="s">
        <v>517</v>
      </c>
    </row>
    <row r="508" spans="1:5" hidden="1">
      <c r="A508" s="71">
        <v>46139</v>
      </c>
      <c r="B508" t="s">
        <v>519</v>
      </c>
      <c r="D508">
        <v>60235</v>
      </c>
      <c r="E508" t="s">
        <v>715</v>
      </c>
    </row>
    <row r="509" spans="1:5" hidden="1">
      <c r="A509" s="71">
        <v>46133</v>
      </c>
      <c r="B509" t="s">
        <v>519</v>
      </c>
      <c r="D509">
        <v>58685</v>
      </c>
      <c r="E509" t="s">
        <v>26</v>
      </c>
    </row>
    <row r="510" spans="1:5" hidden="1">
      <c r="A510" s="71">
        <v>46113</v>
      </c>
      <c r="B510" t="s">
        <v>519</v>
      </c>
      <c r="D510">
        <v>56097</v>
      </c>
      <c r="E510" t="s">
        <v>676</v>
      </c>
    </row>
    <row r="511" spans="1:5" hidden="1">
      <c r="A511" s="71">
        <v>46111</v>
      </c>
      <c r="B511" t="s">
        <v>519</v>
      </c>
      <c r="D511">
        <v>55483</v>
      </c>
      <c r="E511" t="s">
        <v>676</v>
      </c>
    </row>
    <row r="512" spans="1:5" hidden="1">
      <c r="A512" s="71">
        <v>46136</v>
      </c>
      <c r="B512" t="s">
        <v>521</v>
      </c>
      <c r="D512">
        <v>70545</v>
      </c>
      <c r="E512" t="s">
        <v>708</v>
      </c>
    </row>
    <row r="513" spans="1:7" hidden="1">
      <c r="A513" s="71">
        <v>46133</v>
      </c>
      <c r="B513" t="s">
        <v>521</v>
      </c>
      <c r="D513">
        <v>69717</v>
      </c>
      <c r="E513" t="s">
        <v>26</v>
      </c>
    </row>
    <row r="514" spans="1:7" hidden="1">
      <c r="A514" s="71">
        <v>46111</v>
      </c>
      <c r="B514" t="s">
        <v>521</v>
      </c>
      <c r="D514">
        <v>66650</v>
      </c>
      <c r="E514" t="s">
        <v>681</v>
      </c>
    </row>
    <row r="515" spans="1:7" hidden="1">
      <c r="A515" s="71">
        <v>46101</v>
      </c>
      <c r="B515" t="s">
        <v>521</v>
      </c>
      <c r="D515">
        <v>65192</v>
      </c>
      <c r="E515" t="s">
        <v>63</v>
      </c>
    </row>
    <row r="516" spans="1:7" hidden="1">
      <c r="A516" s="71">
        <v>46133</v>
      </c>
      <c r="B516" t="s">
        <v>523</v>
      </c>
      <c r="D516">
        <v>80272</v>
      </c>
      <c r="E516" t="s">
        <v>26</v>
      </c>
    </row>
    <row r="517" spans="1:7" hidden="1">
      <c r="A517" s="71">
        <v>46112</v>
      </c>
      <c r="B517" t="s">
        <v>523</v>
      </c>
      <c r="D517">
        <v>76555</v>
      </c>
      <c r="E517" t="s">
        <v>15</v>
      </c>
    </row>
    <row r="518" spans="1:7" hidden="1">
      <c r="A518" s="71">
        <v>46108</v>
      </c>
      <c r="B518" t="s">
        <v>523</v>
      </c>
      <c r="D518">
        <v>75418</v>
      </c>
      <c r="E518" t="s">
        <v>15</v>
      </c>
    </row>
    <row r="519" spans="1:7" hidden="1">
      <c r="A519" s="71">
        <v>46106</v>
      </c>
      <c r="B519" t="s">
        <v>523</v>
      </c>
      <c r="D519">
        <v>75279</v>
      </c>
      <c r="E519" t="s">
        <v>15</v>
      </c>
    </row>
    <row r="520" spans="1:7" hidden="1">
      <c r="A520" s="71">
        <v>46136</v>
      </c>
      <c r="B520" t="s">
        <v>525</v>
      </c>
      <c r="D520">
        <v>46461</v>
      </c>
      <c r="E520" t="s">
        <v>708</v>
      </c>
    </row>
    <row r="521" spans="1:7" hidden="1">
      <c r="A521" s="71">
        <v>46101</v>
      </c>
      <c r="B521" t="s">
        <v>525</v>
      </c>
      <c r="D521">
        <v>42979</v>
      </c>
      <c r="E521" t="s">
        <v>63</v>
      </c>
    </row>
    <row r="522" spans="1:7" hidden="1">
      <c r="A522" s="71">
        <v>46098</v>
      </c>
      <c r="B522" t="s">
        <v>525</v>
      </c>
      <c r="D522">
        <v>42560</v>
      </c>
      <c r="E522" t="s">
        <v>63</v>
      </c>
    </row>
    <row r="523" spans="1:7" hidden="1">
      <c r="A523" s="71">
        <v>46078</v>
      </c>
      <c r="B523" t="s">
        <v>525</v>
      </c>
      <c r="D523">
        <v>40452</v>
      </c>
    </row>
    <row r="524" spans="1:7" hidden="1">
      <c r="A524" s="71">
        <v>46133</v>
      </c>
      <c r="B524" t="s">
        <v>527</v>
      </c>
      <c r="D524">
        <v>84545</v>
      </c>
      <c r="E524" t="s">
        <v>708</v>
      </c>
    </row>
    <row r="525" spans="1:7" hidden="1">
      <c r="A525" s="71">
        <v>46111</v>
      </c>
      <c r="B525" t="s">
        <v>527</v>
      </c>
      <c r="D525">
        <v>81278</v>
      </c>
      <c r="E525" t="s">
        <v>676</v>
      </c>
    </row>
    <row r="526" spans="1:7" hidden="1">
      <c r="A526" s="71">
        <v>46107</v>
      </c>
      <c r="B526" t="s">
        <v>527</v>
      </c>
      <c r="E526" t="s">
        <v>676</v>
      </c>
      <c r="F526" t="s">
        <v>723</v>
      </c>
      <c r="G526" t="s">
        <v>678</v>
      </c>
    </row>
    <row r="527" spans="1:7" hidden="1">
      <c r="A527" s="71">
        <v>46105</v>
      </c>
      <c r="B527" t="s">
        <v>527</v>
      </c>
      <c r="E527" t="s">
        <v>676</v>
      </c>
      <c r="F527" t="s">
        <v>723</v>
      </c>
      <c r="G527" t="s">
        <v>678</v>
      </c>
    </row>
    <row r="528" spans="1:7" hidden="1">
      <c r="A528" s="71">
        <v>46108</v>
      </c>
      <c r="B528" t="s">
        <v>529</v>
      </c>
      <c r="D528">
        <v>55477</v>
      </c>
      <c r="E528" t="s">
        <v>51</v>
      </c>
    </row>
    <row r="529" spans="1:6" hidden="1">
      <c r="A529" s="71">
        <v>46101</v>
      </c>
      <c r="B529" t="s">
        <v>529</v>
      </c>
      <c r="D529">
        <v>54468</v>
      </c>
      <c r="E529" t="s">
        <v>51</v>
      </c>
    </row>
    <row r="530" spans="1:6" hidden="1">
      <c r="A530" s="71">
        <v>46099</v>
      </c>
      <c r="B530" t="s">
        <v>529</v>
      </c>
      <c r="D530">
        <v>54233</v>
      </c>
      <c r="E530" t="s">
        <v>51</v>
      </c>
    </row>
    <row r="531" spans="1:6" hidden="1">
      <c r="A531" s="71">
        <v>46078</v>
      </c>
      <c r="B531" t="s">
        <v>529</v>
      </c>
      <c r="D531">
        <v>51537</v>
      </c>
      <c r="E531" t="s">
        <v>51</v>
      </c>
    </row>
    <row r="532" spans="1:6" hidden="1">
      <c r="A532" s="71">
        <v>46120</v>
      </c>
      <c r="B532" t="s">
        <v>531</v>
      </c>
      <c r="D532">
        <v>67281</v>
      </c>
      <c r="E532" t="s">
        <v>517</v>
      </c>
    </row>
    <row r="533" spans="1:6" hidden="1">
      <c r="A533" s="71">
        <v>46118</v>
      </c>
      <c r="B533" t="s">
        <v>531</v>
      </c>
      <c r="D533">
        <v>67020</v>
      </c>
      <c r="E533" t="s">
        <v>517</v>
      </c>
    </row>
    <row r="534" spans="1:6" hidden="1">
      <c r="A534" s="71">
        <v>46113</v>
      </c>
      <c r="B534" t="s">
        <v>531</v>
      </c>
      <c r="D534">
        <v>66381</v>
      </c>
      <c r="E534" t="s">
        <v>517</v>
      </c>
    </row>
    <row r="535" spans="1:6" hidden="1">
      <c r="A535" s="71">
        <v>46111</v>
      </c>
      <c r="B535" t="s">
        <v>531</v>
      </c>
      <c r="D535">
        <v>65840</v>
      </c>
      <c r="E535" t="s">
        <v>517</v>
      </c>
    </row>
    <row r="536" spans="1:6" hidden="1">
      <c r="A536" s="71">
        <v>46133</v>
      </c>
      <c r="B536" t="s">
        <v>534</v>
      </c>
      <c r="D536">
        <v>69314</v>
      </c>
      <c r="E536" t="s">
        <v>721</v>
      </c>
    </row>
    <row r="537" spans="1:6" hidden="1">
      <c r="A537" s="71">
        <v>46106</v>
      </c>
      <c r="B537" t="s">
        <v>534</v>
      </c>
      <c r="D537">
        <v>65604</v>
      </c>
      <c r="E537" t="s">
        <v>15</v>
      </c>
    </row>
    <row r="538" spans="1:6" hidden="1">
      <c r="A538" s="71">
        <v>46104</v>
      </c>
      <c r="B538" t="s">
        <v>534</v>
      </c>
      <c r="D538">
        <v>65434</v>
      </c>
      <c r="E538" t="s">
        <v>15</v>
      </c>
    </row>
    <row r="539" spans="1:6" hidden="1">
      <c r="A539" s="71">
        <v>46101</v>
      </c>
      <c r="B539" t="s">
        <v>534</v>
      </c>
      <c r="D539">
        <v>64890</v>
      </c>
      <c r="E539" t="s">
        <v>206</v>
      </c>
    </row>
    <row r="540" spans="1:6" hidden="1">
      <c r="A540" s="71">
        <v>46136</v>
      </c>
      <c r="B540" t="s">
        <v>536</v>
      </c>
      <c r="D540">
        <v>74968</v>
      </c>
      <c r="E540" t="s">
        <v>708</v>
      </c>
    </row>
    <row r="541" spans="1:6" hidden="1">
      <c r="A541" s="71">
        <v>46133</v>
      </c>
      <c r="B541" t="s">
        <v>536</v>
      </c>
      <c r="D541">
        <v>74126</v>
      </c>
      <c r="E541" t="s">
        <v>724</v>
      </c>
    </row>
    <row r="542" spans="1:6" hidden="1">
      <c r="A542" s="71">
        <v>46112</v>
      </c>
      <c r="B542" t="s">
        <v>536</v>
      </c>
      <c r="D542">
        <v>71317</v>
      </c>
      <c r="E542" t="s">
        <v>15</v>
      </c>
    </row>
    <row r="543" spans="1:6" hidden="1">
      <c r="A543" s="71">
        <v>46108</v>
      </c>
      <c r="B543" t="s">
        <v>536</v>
      </c>
      <c r="D543">
        <v>70810</v>
      </c>
      <c r="E543" t="s">
        <v>15</v>
      </c>
    </row>
    <row r="544" spans="1:6" hidden="1">
      <c r="A544" s="71">
        <v>46105</v>
      </c>
      <c r="B544" t="s">
        <v>538</v>
      </c>
      <c r="D544">
        <v>86820</v>
      </c>
      <c r="E544" t="s">
        <v>327</v>
      </c>
      <c r="F544" t="s">
        <v>539</v>
      </c>
    </row>
    <row r="545" spans="1:7" hidden="1">
      <c r="A545" s="71">
        <v>46097</v>
      </c>
      <c r="B545" t="s">
        <v>538</v>
      </c>
      <c r="D545">
        <v>85654</v>
      </c>
      <c r="E545" t="s">
        <v>327</v>
      </c>
      <c r="F545" t="s">
        <v>539</v>
      </c>
    </row>
    <row r="546" spans="1:7" hidden="1">
      <c r="A546" s="71">
        <v>46139</v>
      </c>
      <c r="B546" t="s">
        <v>540</v>
      </c>
      <c r="D546">
        <v>81234</v>
      </c>
      <c r="E546" t="s">
        <v>703</v>
      </c>
    </row>
    <row r="547" spans="1:7" hidden="1">
      <c r="A547" s="71">
        <v>46108</v>
      </c>
      <c r="B547" t="s">
        <v>540</v>
      </c>
      <c r="D547">
        <v>77393</v>
      </c>
      <c r="E547" t="s">
        <v>316</v>
      </c>
      <c r="F547" t="s">
        <v>725</v>
      </c>
      <c r="G547" t="s">
        <v>678</v>
      </c>
    </row>
    <row r="548" spans="1:7" hidden="1">
      <c r="A548" s="71">
        <v>46098</v>
      </c>
      <c r="B548" t="s">
        <v>540</v>
      </c>
      <c r="D548">
        <v>75766</v>
      </c>
      <c r="E548" t="s">
        <v>316</v>
      </c>
      <c r="F548" t="s">
        <v>725</v>
      </c>
      <c r="G548" t="s">
        <v>678</v>
      </c>
    </row>
    <row r="549" spans="1:7" hidden="1">
      <c r="A549" s="71">
        <v>46094</v>
      </c>
      <c r="B549" t="s">
        <v>540</v>
      </c>
      <c r="D549">
        <v>75164</v>
      </c>
      <c r="E549" t="s">
        <v>316</v>
      </c>
      <c r="F549" t="s">
        <v>725</v>
      </c>
      <c r="G549" t="s">
        <v>678</v>
      </c>
    </row>
    <row r="550" spans="1:7" hidden="1">
      <c r="A550" s="71">
        <v>46133</v>
      </c>
      <c r="B550" t="s">
        <v>542</v>
      </c>
      <c r="D550">
        <v>87236</v>
      </c>
      <c r="E550" t="s">
        <v>26</v>
      </c>
    </row>
    <row r="551" spans="1:7" hidden="1">
      <c r="A551" s="71">
        <v>46114</v>
      </c>
      <c r="B551" t="s">
        <v>542</v>
      </c>
      <c r="D551">
        <v>83133</v>
      </c>
      <c r="E551" t="s">
        <v>676</v>
      </c>
    </row>
    <row r="552" spans="1:7" hidden="1">
      <c r="A552" s="71">
        <v>46113</v>
      </c>
      <c r="B552" t="s">
        <v>542</v>
      </c>
      <c r="D552">
        <v>82742</v>
      </c>
      <c r="E552" t="s">
        <v>676</v>
      </c>
    </row>
    <row r="553" spans="1:7" hidden="1">
      <c r="A553" s="71">
        <v>46099</v>
      </c>
      <c r="B553" t="s">
        <v>542</v>
      </c>
      <c r="D553">
        <v>78670</v>
      </c>
      <c r="E553" t="s">
        <v>676</v>
      </c>
    </row>
    <row r="554" spans="1:7" hidden="1">
      <c r="A554" s="71">
        <v>46133</v>
      </c>
      <c r="B554" t="s">
        <v>544</v>
      </c>
      <c r="D554">
        <v>99814</v>
      </c>
      <c r="E554" t="s">
        <v>720</v>
      </c>
    </row>
    <row r="555" spans="1:7" hidden="1">
      <c r="A555" s="71">
        <v>46073</v>
      </c>
      <c r="B555" t="s">
        <v>544</v>
      </c>
      <c r="D555">
        <v>94450</v>
      </c>
    </row>
    <row r="556" spans="1:7" hidden="1">
      <c r="A556" s="71">
        <v>46065</v>
      </c>
      <c r="B556" t="s">
        <v>544</v>
      </c>
      <c r="D556">
        <v>92773</v>
      </c>
    </row>
    <row r="557" spans="1:7" hidden="1">
      <c r="A557" s="71">
        <v>46064</v>
      </c>
      <c r="B557" t="s">
        <v>544</v>
      </c>
      <c r="D557">
        <v>92092</v>
      </c>
    </row>
    <row r="558" spans="1:7" hidden="1">
      <c r="A558" s="71">
        <v>46133</v>
      </c>
      <c r="B558" t="s">
        <v>546</v>
      </c>
      <c r="D558">
        <v>48159</v>
      </c>
      <c r="E558" t="s">
        <v>720</v>
      </c>
    </row>
    <row r="559" spans="1:7" hidden="1">
      <c r="A559" s="71">
        <v>46104</v>
      </c>
      <c r="B559" t="s">
        <v>546</v>
      </c>
      <c r="D559">
        <v>43874</v>
      </c>
      <c r="E559" t="s">
        <v>15</v>
      </c>
    </row>
    <row r="560" spans="1:7" hidden="1">
      <c r="A560" s="71">
        <v>46099</v>
      </c>
      <c r="B560" t="s">
        <v>546</v>
      </c>
      <c r="D560">
        <v>42906</v>
      </c>
      <c r="E560" t="s">
        <v>15</v>
      </c>
    </row>
    <row r="561" spans="1:7" hidden="1">
      <c r="A561" s="71">
        <v>46099</v>
      </c>
      <c r="B561" t="s">
        <v>546</v>
      </c>
      <c r="D561">
        <v>42906</v>
      </c>
      <c r="E561" t="s">
        <v>15</v>
      </c>
      <c r="F561" t="s">
        <v>726</v>
      </c>
      <c r="G561" t="s">
        <v>678</v>
      </c>
    </row>
    <row r="562" spans="1:7" hidden="1">
      <c r="A562" s="71">
        <v>46063</v>
      </c>
      <c r="B562" t="s">
        <v>548</v>
      </c>
      <c r="D562">
        <v>60050</v>
      </c>
    </row>
    <row r="563" spans="1:7" hidden="1">
      <c r="A563" s="71">
        <v>46062</v>
      </c>
      <c r="B563" t="s">
        <v>548</v>
      </c>
      <c r="D563">
        <v>59630</v>
      </c>
    </row>
    <row r="564" spans="1:7" hidden="1">
      <c r="A564" s="71">
        <v>46031</v>
      </c>
      <c r="B564" t="s">
        <v>548</v>
      </c>
      <c r="D564">
        <v>59377</v>
      </c>
    </row>
    <row r="565" spans="1:7" hidden="1">
      <c r="A565" s="71">
        <v>46031</v>
      </c>
      <c r="B565" t="s">
        <v>548</v>
      </c>
      <c r="D565">
        <v>59243</v>
      </c>
    </row>
    <row r="566" spans="1:7" hidden="1">
      <c r="A566" s="71">
        <v>46104</v>
      </c>
      <c r="B566" t="s">
        <v>550</v>
      </c>
      <c r="E566" t="s">
        <v>33</v>
      </c>
      <c r="F566" t="s">
        <v>727</v>
      </c>
      <c r="G566" t="s">
        <v>678</v>
      </c>
    </row>
    <row r="567" spans="1:7" hidden="1">
      <c r="A567" s="71">
        <v>46097</v>
      </c>
      <c r="B567" t="s">
        <v>550</v>
      </c>
      <c r="D567">
        <v>93371</v>
      </c>
      <c r="E567" t="s">
        <v>33</v>
      </c>
      <c r="F567" t="s">
        <v>728</v>
      </c>
      <c r="G567" t="s">
        <v>678</v>
      </c>
    </row>
    <row r="568" spans="1:7" hidden="1">
      <c r="A568" s="71">
        <v>46094</v>
      </c>
      <c r="B568" t="s">
        <v>550</v>
      </c>
      <c r="D568">
        <v>92535</v>
      </c>
      <c r="E568" t="s">
        <v>33</v>
      </c>
      <c r="F568" t="s">
        <v>729</v>
      </c>
      <c r="G568" t="s">
        <v>678</v>
      </c>
    </row>
    <row r="569" spans="1:7" hidden="1">
      <c r="A569" s="71">
        <v>46094</v>
      </c>
      <c r="B569" t="s">
        <v>550</v>
      </c>
      <c r="D569">
        <v>92535</v>
      </c>
      <c r="E569" t="s">
        <v>730</v>
      </c>
    </row>
    <row r="570" spans="1:7" hidden="1">
      <c r="A570" s="71">
        <v>46085</v>
      </c>
      <c r="B570" t="s">
        <v>551</v>
      </c>
      <c r="D570">
        <v>34811</v>
      </c>
    </row>
    <row r="571" spans="1:7" hidden="1">
      <c r="A571" s="71">
        <v>46066</v>
      </c>
      <c r="B571" t="s">
        <v>551</v>
      </c>
      <c r="D571">
        <v>33419</v>
      </c>
    </row>
    <row r="572" spans="1:7" hidden="1">
      <c r="A572" s="71">
        <v>46021</v>
      </c>
      <c r="B572" t="s">
        <v>551</v>
      </c>
      <c r="D572">
        <v>30303</v>
      </c>
    </row>
    <row r="573" spans="1:7" hidden="1">
      <c r="A573" s="71">
        <v>46133</v>
      </c>
      <c r="B573" t="s">
        <v>555</v>
      </c>
      <c r="D573">
        <v>22731</v>
      </c>
    </row>
    <row r="574" spans="1:7" hidden="1">
      <c r="A574" s="71">
        <v>46112</v>
      </c>
      <c r="B574" t="s">
        <v>555</v>
      </c>
      <c r="D574">
        <v>19788</v>
      </c>
      <c r="E574" t="s">
        <v>15</v>
      </c>
    </row>
    <row r="575" spans="1:7" hidden="1">
      <c r="A575" s="71">
        <v>46108</v>
      </c>
      <c r="B575" t="s">
        <v>555</v>
      </c>
      <c r="D575">
        <v>19236</v>
      </c>
      <c r="E575" t="s">
        <v>15</v>
      </c>
    </row>
    <row r="576" spans="1:7" hidden="1">
      <c r="A576" s="71">
        <v>46106</v>
      </c>
      <c r="B576" t="s">
        <v>555</v>
      </c>
      <c r="D576">
        <v>19065</v>
      </c>
      <c r="E576" t="s">
        <v>15</v>
      </c>
    </row>
    <row r="577" spans="1:7" hidden="1">
      <c r="A577" s="71">
        <v>46101</v>
      </c>
      <c r="B577" t="s">
        <v>557</v>
      </c>
      <c r="D577">
        <v>23789</v>
      </c>
    </row>
    <row r="578" spans="1:7" hidden="1">
      <c r="A578" s="71">
        <v>46057</v>
      </c>
      <c r="B578" t="s">
        <v>557</v>
      </c>
      <c r="D578">
        <v>23669</v>
      </c>
    </row>
    <row r="579" spans="1:7" hidden="1">
      <c r="A579" s="71">
        <v>46107</v>
      </c>
      <c r="B579" t="s">
        <v>558</v>
      </c>
      <c r="D579">
        <v>18053</v>
      </c>
      <c r="E579" t="s">
        <v>33</v>
      </c>
    </row>
    <row r="580" spans="1:7" hidden="1">
      <c r="A580" s="71">
        <v>46101</v>
      </c>
      <c r="B580" t="s">
        <v>558</v>
      </c>
      <c r="D580">
        <v>17406</v>
      </c>
      <c r="E580" t="s">
        <v>33</v>
      </c>
    </row>
    <row r="581" spans="1:7" hidden="1">
      <c r="A581" s="71">
        <v>46101</v>
      </c>
      <c r="B581" t="s">
        <v>558</v>
      </c>
      <c r="D581">
        <v>17406</v>
      </c>
      <c r="E581" t="s">
        <v>33</v>
      </c>
      <c r="F581" t="s">
        <v>731</v>
      </c>
      <c r="G581" t="s">
        <v>678</v>
      </c>
    </row>
    <row r="582" spans="1:7" hidden="1">
      <c r="A582" s="71">
        <v>46097</v>
      </c>
      <c r="B582" t="s">
        <v>558</v>
      </c>
      <c r="D582">
        <v>16420</v>
      </c>
      <c r="E582" t="s">
        <v>33</v>
      </c>
      <c r="F582" t="s">
        <v>732</v>
      </c>
      <c r="G582" t="s">
        <v>678</v>
      </c>
    </row>
    <row r="583" spans="1:7" hidden="1">
      <c r="A583" s="71">
        <v>46133</v>
      </c>
      <c r="B583" t="s">
        <v>560</v>
      </c>
      <c r="D583">
        <v>24785</v>
      </c>
    </row>
    <row r="584" spans="1:7" hidden="1">
      <c r="A584" s="71">
        <v>46076</v>
      </c>
      <c r="B584" t="s">
        <v>560</v>
      </c>
      <c r="D584">
        <v>18398</v>
      </c>
    </row>
    <row r="585" spans="1:7" hidden="1">
      <c r="A585" s="71">
        <v>46072</v>
      </c>
      <c r="B585" t="s">
        <v>560</v>
      </c>
      <c r="D585">
        <v>17698</v>
      </c>
    </row>
    <row r="586" spans="1:7" hidden="1">
      <c r="A586" s="71">
        <v>46070</v>
      </c>
      <c r="B586" t="s">
        <v>560</v>
      </c>
      <c r="D586">
        <v>17513</v>
      </c>
    </row>
    <row r="587" spans="1:7" hidden="1">
      <c r="A587" s="71">
        <v>46133</v>
      </c>
      <c r="B587" t="s">
        <v>561</v>
      </c>
      <c r="D587">
        <v>28123</v>
      </c>
    </row>
    <row r="588" spans="1:7" hidden="1">
      <c r="A588" s="71">
        <v>46114</v>
      </c>
      <c r="B588" t="s">
        <v>561</v>
      </c>
      <c r="D588">
        <v>25212</v>
      </c>
      <c r="E588" t="s">
        <v>676</v>
      </c>
    </row>
    <row r="589" spans="1:7" hidden="1">
      <c r="A589" s="71">
        <v>46107</v>
      </c>
      <c r="B589" t="s">
        <v>561</v>
      </c>
      <c r="D589">
        <v>23813</v>
      </c>
      <c r="E589" t="s">
        <v>676</v>
      </c>
    </row>
    <row r="590" spans="1:7" hidden="1">
      <c r="A590" s="71">
        <v>46107</v>
      </c>
      <c r="B590" t="s">
        <v>561</v>
      </c>
      <c r="D590">
        <v>23813</v>
      </c>
      <c r="E590" t="s">
        <v>676</v>
      </c>
      <c r="F590" t="s">
        <v>733</v>
      </c>
      <c r="G590" t="s">
        <v>678</v>
      </c>
    </row>
    <row r="591" spans="1:7" hidden="1">
      <c r="A591" s="71">
        <v>44998</v>
      </c>
      <c r="B591" t="s">
        <v>569</v>
      </c>
      <c r="D591">
        <v>510507</v>
      </c>
    </row>
    <row r="592" spans="1:7" hidden="1">
      <c r="A592" s="71">
        <v>46080</v>
      </c>
      <c r="B592" t="s">
        <v>573</v>
      </c>
      <c r="D592">
        <v>559749</v>
      </c>
    </row>
    <row r="593" spans="1:5" hidden="1">
      <c r="A593" s="71">
        <v>46078</v>
      </c>
      <c r="B593" t="s">
        <v>573</v>
      </c>
      <c r="D593">
        <v>559552</v>
      </c>
    </row>
    <row r="594" spans="1:5" hidden="1">
      <c r="A594" s="71">
        <v>46076</v>
      </c>
      <c r="B594" t="s">
        <v>573</v>
      </c>
      <c r="D594">
        <v>559311</v>
      </c>
    </row>
    <row r="595" spans="1:5" hidden="1">
      <c r="A595" s="71">
        <v>45000</v>
      </c>
      <c r="B595" t="s">
        <v>575</v>
      </c>
      <c r="D595">
        <v>256600</v>
      </c>
    </row>
    <row r="596" spans="1:5" hidden="1">
      <c r="A596" s="71">
        <v>44320</v>
      </c>
      <c r="B596" t="s">
        <v>734</v>
      </c>
      <c r="D596">
        <v>106150</v>
      </c>
    </row>
    <row r="597" spans="1:5" hidden="1">
      <c r="A597" s="71">
        <v>45190</v>
      </c>
      <c r="B597" t="s">
        <v>579</v>
      </c>
      <c r="D597">
        <v>113489</v>
      </c>
    </row>
    <row r="598" spans="1:5" hidden="1">
      <c r="A598" s="71">
        <v>46104</v>
      </c>
      <c r="B598" t="s">
        <v>587</v>
      </c>
      <c r="D598">
        <v>153871</v>
      </c>
      <c r="E598" t="s">
        <v>33</v>
      </c>
    </row>
    <row r="599" spans="1:5" hidden="1">
      <c r="A599" s="71">
        <v>46101</v>
      </c>
      <c r="B599" t="s">
        <v>587</v>
      </c>
      <c r="D599">
        <v>152842</v>
      </c>
      <c r="E599" t="s">
        <v>33</v>
      </c>
    </row>
    <row r="600" spans="1:5" hidden="1">
      <c r="A600" s="71">
        <v>46083</v>
      </c>
      <c r="B600" t="s">
        <v>587</v>
      </c>
      <c r="D600">
        <v>150457</v>
      </c>
      <c r="E600" t="s">
        <v>33</v>
      </c>
    </row>
    <row r="601" spans="1:5" hidden="1">
      <c r="A601" s="71">
        <v>46080</v>
      </c>
      <c r="B601" t="s">
        <v>587</v>
      </c>
      <c r="D601">
        <v>149771</v>
      </c>
    </row>
    <row r="602" spans="1:5" hidden="1">
      <c r="A602" s="71">
        <v>46133</v>
      </c>
      <c r="B602" t="s">
        <v>589</v>
      </c>
      <c r="D602">
        <v>188442</v>
      </c>
      <c r="E602" t="s">
        <v>26</v>
      </c>
    </row>
    <row r="603" spans="1:5" hidden="1">
      <c r="A603" s="71">
        <v>46034</v>
      </c>
      <c r="B603" t="s">
        <v>589</v>
      </c>
      <c r="D603">
        <v>187031</v>
      </c>
    </row>
    <row r="604" spans="1:5" hidden="1">
      <c r="A604" s="71">
        <v>46030</v>
      </c>
      <c r="B604" t="s">
        <v>589</v>
      </c>
      <c r="D604">
        <v>186218</v>
      </c>
    </row>
    <row r="605" spans="1:5" hidden="1">
      <c r="A605" s="71">
        <v>46133</v>
      </c>
      <c r="B605" t="s">
        <v>591</v>
      </c>
      <c r="D605">
        <v>242494</v>
      </c>
      <c r="E605" t="s">
        <v>26</v>
      </c>
    </row>
    <row r="606" spans="1:5" hidden="1">
      <c r="A606" s="71">
        <v>46100</v>
      </c>
      <c r="B606" t="s">
        <v>591</v>
      </c>
      <c r="D606">
        <v>240293</v>
      </c>
      <c r="E606" t="s">
        <v>63</v>
      </c>
    </row>
    <row r="607" spans="1:5" hidden="1">
      <c r="A607" s="71">
        <v>46079</v>
      </c>
      <c r="B607" t="s">
        <v>591</v>
      </c>
      <c r="D607">
        <v>237260</v>
      </c>
    </row>
    <row r="608" spans="1:5" hidden="1">
      <c r="A608" s="71">
        <v>46076</v>
      </c>
      <c r="B608" t="s">
        <v>591</v>
      </c>
      <c r="D608">
        <v>237160</v>
      </c>
    </row>
    <row r="609" spans="1:7" hidden="1">
      <c r="A609" s="71">
        <v>46098</v>
      </c>
      <c r="B609" t="s">
        <v>593</v>
      </c>
      <c r="D609">
        <v>227541</v>
      </c>
      <c r="E609" t="s">
        <v>63</v>
      </c>
    </row>
    <row r="610" spans="1:7" hidden="1">
      <c r="A610" s="71">
        <v>46092</v>
      </c>
      <c r="B610" t="s">
        <v>593</v>
      </c>
      <c r="D610">
        <v>226726</v>
      </c>
      <c r="E610" t="s">
        <v>594</v>
      </c>
      <c r="F610" t="s">
        <v>595</v>
      </c>
      <c r="G610" t="s">
        <v>678</v>
      </c>
    </row>
    <row r="611" spans="1:7" hidden="1">
      <c r="A611" s="71">
        <v>46077</v>
      </c>
      <c r="B611" t="s">
        <v>593</v>
      </c>
      <c r="D611">
        <v>224814</v>
      </c>
    </row>
    <row r="612" spans="1:7" hidden="1">
      <c r="A612" s="71">
        <v>46076</v>
      </c>
      <c r="B612" t="s">
        <v>593</v>
      </c>
      <c r="D612">
        <v>224581</v>
      </c>
    </row>
    <row r="613" spans="1:7" hidden="1">
      <c r="A613" s="71">
        <v>46066</v>
      </c>
      <c r="B613" t="s">
        <v>598</v>
      </c>
      <c r="D613">
        <v>147597</v>
      </c>
    </row>
    <row r="614" spans="1:7" hidden="1">
      <c r="A614" s="71">
        <v>46009</v>
      </c>
      <c r="B614" t="s">
        <v>598</v>
      </c>
      <c r="D614">
        <v>138220</v>
      </c>
    </row>
    <row r="615" spans="1:7" hidden="1">
      <c r="A615" s="71">
        <v>44851</v>
      </c>
      <c r="B615" t="s">
        <v>601</v>
      </c>
      <c r="D615" t="s">
        <v>735</v>
      </c>
    </row>
    <row r="616" spans="1:7" hidden="1">
      <c r="A616" s="71">
        <v>44643</v>
      </c>
      <c r="B616" t="s">
        <v>601</v>
      </c>
      <c r="D616">
        <v>118036</v>
      </c>
    </row>
    <row r="617" spans="1:7" hidden="1">
      <c r="A617" s="71">
        <v>45064</v>
      </c>
      <c r="B617" t="s">
        <v>736</v>
      </c>
      <c r="D617">
        <v>246972</v>
      </c>
    </row>
    <row r="618" spans="1:7" hidden="1">
      <c r="A618" s="71">
        <v>46045</v>
      </c>
      <c r="B618" t="s">
        <v>608</v>
      </c>
      <c r="D618">
        <v>137077</v>
      </c>
    </row>
    <row r="619" spans="1:7" hidden="1">
      <c r="A619" s="71">
        <v>46043</v>
      </c>
      <c r="B619" t="s">
        <v>608</v>
      </c>
      <c r="D619">
        <v>135845</v>
      </c>
    </row>
    <row r="620" spans="1:7" hidden="1">
      <c r="A620" s="71">
        <v>46041</v>
      </c>
      <c r="B620" t="s">
        <v>608</v>
      </c>
      <c r="D620">
        <v>136563</v>
      </c>
    </row>
    <row r="621" spans="1:7" hidden="1">
      <c r="A621" s="71">
        <v>46035</v>
      </c>
      <c r="B621" t="s">
        <v>608</v>
      </c>
      <c r="D621">
        <v>136003</v>
      </c>
    </row>
    <row r="622" spans="1:7" hidden="1">
      <c r="A622" s="71">
        <v>46133</v>
      </c>
      <c r="B622" t="s">
        <v>609</v>
      </c>
      <c r="D622">
        <v>170476</v>
      </c>
      <c r="E622" t="s">
        <v>26</v>
      </c>
    </row>
    <row r="623" spans="1:7" hidden="1">
      <c r="A623" s="71">
        <v>46113</v>
      </c>
      <c r="B623" t="s">
        <v>609</v>
      </c>
      <c r="D623">
        <v>168135</v>
      </c>
      <c r="E623" t="s">
        <v>676</v>
      </c>
    </row>
    <row r="624" spans="1:7" hidden="1">
      <c r="A624" s="71">
        <v>46111</v>
      </c>
      <c r="B624" t="s">
        <v>609</v>
      </c>
      <c r="D624">
        <v>167753</v>
      </c>
      <c r="E624" t="s">
        <v>676</v>
      </c>
    </row>
    <row r="625" spans="1:7" hidden="1">
      <c r="A625" s="71">
        <v>46091</v>
      </c>
      <c r="B625" t="s">
        <v>609</v>
      </c>
      <c r="D625">
        <v>166412</v>
      </c>
    </row>
    <row r="626" spans="1:7" hidden="1">
      <c r="A626" s="71">
        <v>46133</v>
      </c>
      <c r="B626" t="s">
        <v>611</v>
      </c>
      <c r="D626">
        <v>148370</v>
      </c>
      <c r="E626" t="s">
        <v>724</v>
      </c>
    </row>
    <row r="627" spans="1:7" hidden="1">
      <c r="A627" s="71">
        <v>46112</v>
      </c>
      <c r="B627" t="s">
        <v>611</v>
      </c>
      <c r="D627">
        <v>144264</v>
      </c>
      <c r="E627" t="s">
        <v>15</v>
      </c>
    </row>
    <row r="628" spans="1:7" hidden="1">
      <c r="A628" s="71">
        <v>46106</v>
      </c>
      <c r="B628" t="s">
        <v>611</v>
      </c>
      <c r="D628">
        <v>143843</v>
      </c>
      <c r="E628" t="s">
        <v>15</v>
      </c>
    </row>
    <row r="629" spans="1:7" hidden="1">
      <c r="A629" s="71">
        <v>46092</v>
      </c>
      <c r="B629" t="s">
        <v>611</v>
      </c>
      <c r="D629">
        <v>140796</v>
      </c>
      <c r="E629" t="s">
        <v>594</v>
      </c>
      <c r="G629" t="s">
        <v>678</v>
      </c>
    </row>
    <row r="630" spans="1:7" hidden="1">
      <c r="A630" s="71">
        <v>46133</v>
      </c>
      <c r="B630" t="s">
        <v>613</v>
      </c>
      <c r="D630">
        <v>150214</v>
      </c>
      <c r="E630" t="s">
        <v>344</v>
      </c>
    </row>
    <row r="631" spans="1:7" hidden="1">
      <c r="A631" s="71">
        <v>46113</v>
      </c>
      <c r="B631" t="s">
        <v>613</v>
      </c>
      <c r="D631">
        <v>148559</v>
      </c>
      <c r="E631" t="s">
        <v>676</v>
      </c>
    </row>
    <row r="632" spans="1:7" hidden="1">
      <c r="A632" s="71">
        <v>46111</v>
      </c>
      <c r="B632" t="s">
        <v>613</v>
      </c>
      <c r="D632">
        <v>149192</v>
      </c>
      <c r="E632" t="s">
        <v>676</v>
      </c>
    </row>
    <row r="633" spans="1:7" hidden="1">
      <c r="A633" s="71">
        <v>46108</v>
      </c>
      <c r="B633" t="s">
        <v>613</v>
      </c>
      <c r="D633">
        <v>147793</v>
      </c>
      <c r="E633" t="s">
        <v>676</v>
      </c>
    </row>
    <row r="634" spans="1:7" hidden="1">
      <c r="A634" s="71">
        <v>46107</v>
      </c>
      <c r="B634" t="s">
        <v>615</v>
      </c>
      <c r="D634">
        <v>143354</v>
      </c>
      <c r="E634" t="s">
        <v>33</v>
      </c>
    </row>
    <row r="635" spans="1:7" hidden="1">
      <c r="A635" s="71">
        <v>46104</v>
      </c>
      <c r="B635" t="s">
        <v>615</v>
      </c>
      <c r="D635">
        <v>142813</v>
      </c>
      <c r="E635" t="s">
        <v>33</v>
      </c>
    </row>
    <row r="636" spans="1:7" hidden="1">
      <c r="A636" s="71">
        <v>46101</v>
      </c>
      <c r="B636" t="s">
        <v>615</v>
      </c>
      <c r="D636">
        <v>142418</v>
      </c>
      <c r="E636" t="s">
        <v>33</v>
      </c>
    </row>
    <row r="637" spans="1:7" hidden="1">
      <c r="A637" s="71">
        <v>46083</v>
      </c>
      <c r="B637" t="s">
        <v>615</v>
      </c>
      <c r="D637">
        <v>139427</v>
      </c>
      <c r="E637" t="s">
        <v>33</v>
      </c>
    </row>
    <row r="638" spans="1:7" hidden="1">
      <c r="A638" s="71">
        <v>46007</v>
      </c>
      <c r="B638" t="s">
        <v>620</v>
      </c>
      <c r="D638">
        <v>153679</v>
      </c>
    </row>
    <row r="639" spans="1:7">
      <c r="A639" s="71">
        <v>46114</v>
      </c>
      <c r="B639" t="s">
        <v>625</v>
      </c>
      <c r="D639">
        <v>306341</v>
      </c>
      <c r="E639" t="s">
        <v>681</v>
      </c>
    </row>
    <row r="640" spans="1:7">
      <c r="A640" s="71">
        <v>46099</v>
      </c>
      <c r="B640" t="s">
        <v>625</v>
      </c>
      <c r="D640">
        <v>303885</v>
      </c>
      <c r="E640" t="s">
        <v>681</v>
      </c>
    </row>
    <row r="641" spans="1:7">
      <c r="A641" s="71">
        <v>46099</v>
      </c>
      <c r="B641" t="s">
        <v>625</v>
      </c>
      <c r="D641">
        <v>303885</v>
      </c>
      <c r="E641" t="s">
        <v>681</v>
      </c>
      <c r="F641" t="s">
        <v>737</v>
      </c>
      <c r="G641" t="s">
        <v>678</v>
      </c>
    </row>
    <row r="642" spans="1:7">
      <c r="A642" s="71">
        <v>46091</v>
      </c>
      <c r="B642" t="s">
        <v>625</v>
      </c>
      <c r="D642">
        <v>302604</v>
      </c>
      <c r="E642" t="s">
        <v>681</v>
      </c>
      <c r="F642" t="s">
        <v>737</v>
      </c>
    </row>
    <row r="643" spans="1:7" hidden="1">
      <c r="A643" s="71">
        <v>46133</v>
      </c>
      <c r="B643" t="s">
        <v>628</v>
      </c>
      <c r="D643">
        <v>266420</v>
      </c>
      <c r="E643" t="s">
        <v>26</v>
      </c>
    </row>
    <row r="644" spans="1:7" hidden="1">
      <c r="A644" s="71">
        <v>46112</v>
      </c>
      <c r="B644" t="s">
        <v>628</v>
      </c>
      <c r="D644">
        <v>264620</v>
      </c>
      <c r="E644" t="s">
        <v>15</v>
      </c>
    </row>
    <row r="645" spans="1:7" hidden="1">
      <c r="A645" s="71">
        <v>46101</v>
      </c>
      <c r="B645" t="s">
        <v>628</v>
      </c>
      <c r="D645">
        <v>263250</v>
      </c>
      <c r="E645" t="s">
        <v>15</v>
      </c>
    </row>
    <row r="646" spans="1:7" hidden="1">
      <c r="A646" s="71">
        <v>46101</v>
      </c>
      <c r="B646" t="s">
        <v>628</v>
      </c>
      <c r="D646">
        <v>263250</v>
      </c>
      <c r="E646" t="s">
        <v>15</v>
      </c>
      <c r="F646" t="s">
        <v>629</v>
      </c>
      <c r="G646" t="s">
        <v>678</v>
      </c>
    </row>
    <row r="647" spans="1:7" hidden="1">
      <c r="A647" s="71">
        <v>46104</v>
      </c>
      <c r="B647" t="s">
        <v>630</v>
      </c>
      <c r="D647">
        <v>263620</v>
      </c>
      <c r="E647" t="s">
        <v>15</v>
      </c>
    </row>
    <row r="648" spans="1:7" hidden="1">
      <c r="A648" s="71">
        <v>46133</v>
      </c>
      <c r="B648" t="s">
        <v>631</v>
      </c>
      <c r="D648">
        <v>155441</v>
      </c>
      <c r="E648" t="s">
        <v>738</v>
      </c>
    </row>
    <row r="649" spans="1:7" hidden="1">
      <c r="A649" s="71">
        <v>46111</v>
      </c>
      <c r="B649" t="s">
        <v>631</v>
      </c>
      <c r="D649">
        <v>152955</v>
      </c>
      <c r="E649" t="s">
        <v>676</v>
      </c>
    </row>
    <row r="650" spans="1:7" hidden="1">
      <c r="A650" s="71">
        <v>46108</v>
      </c>
      <c r="B650" t="s">
        <v>631</v>
      </c>
      <c r="D650">
        <v>152564</v>
      </c>
      <c r="E650" t="s">
        <v>676</v>
      </c>
    </row>
    <row r="651" spans="1:7" hidden="1">
      <c r="A651" s="71">
        <v>46105</v>
      </c>
      <c r="B651" t="s">
        <v>631</v>
      </c>
      <c r="D651">
        <v>152100</v>
      </c>
      <c r="E651" t="s">
        <v>676</v>
      </c>
    </row>
    <row r="652" spans="1:7" hidden="1">
      <c r="A652" s="71">
        <v>46104</v>
      </c>
      <c r="B652" t="s">
        <v>633</v>
      </c>
      <c r="D652">
        <v>125496</v>
      </c>
      <c r="E652" t="s">
        <v>33</v>
      </c>
    </row>
    <row r="653" spans="1:7" hidden="1">
      <c r="A653" s="71">
        <v>46101</v>
      </c>
      <c r="B653" t="s">
        <v>633</v>
      </c>
      <c r="D653">
        <v>124575</v>
      </c>
      <c r="E653" t="s">
        <v>33</v>
      </c>
    </row>
    <row r="654" spans="1:7" hidden="1">
      <c r="A654" s="71">
        <v>46099</v>
      </c>
      <c r="B654" t="s">
        <v>633</v>
      </c>
      <c r="D654">
        <v>124330</v>
      </c>
      <c r="E654" t="s">
        <v>33</v>
      </c>
    </row>
    <row r="655" spans="1:7" hidden="1">
      <c r="A655" s="71">
        <v>46083</v>
      </c>
      <c r="B655" t="s">
        <v>633</v>
      </c>
      <c r="D655">
        <v>122294</v>
      </c>
    </row>
    <row r="656" spans="1:7" hidden="1">
      <c r="A656" s="71">
        <v>46069</v>
      </c>
      <c r="B656" t="s">
        <v>635</v>
      </c>
      <c r="D656">
        <v>105621</v>
      </c>
    </row>
    <row r="657" spans="1:5" hidden="1">
      <c r="A657" s="71">
        <v>46059</v>
      </c>
      <c r="B657" t="s">
        <v>635</v>
      </c>
      <c r="D657">
        <v>108975</v>
      </c>
    </row>
    <row r="658" spans="1:5" hidden="1">
      <c r="A658" s="71">
        <v>46058</v>
      </c>
      <c r="B658" t="s">
        <v>635</v>
      </c>
      <c r="D658">
        <v>108837</v>
      </c>
    </row>
    <row r="659" spans="1:5" hidden="1">
      <c r="A659" s="71">
        <v>46049</v>
      </c>
      <c r="B659" t="s">
        <v>635</v>
      </c>
      <c r="D659">
        <v>107827</v>
      </c>
    </row>
    <row r="660" spans="1:5" hidden="1">
      <c r="A660" s="71">
        <v>46136</v>
      </c>
      <c r="B660" t="s">
        <v>637</v>
      </c>
      <c r="E660" t="s">
        <v>708</v>
      </c>
    </row>
    <row r="661" spans="1:5" hidden="1">
      <c r="A661" s="71">
        <v>46133</v>
      </c>
      <c r="B661" t="s">
        <v>637</v>
      </c>
      <c r="D661">
        <v>134800</v>
      </c>
      <c r="E661" t="s">
        <v>200</v>
      </c>
    </row>
    <row r="662" spans="1:5" hidden="1">
      <c r="A662" s="71">
        <v>46111</v>
      </c>
      <c r="B662" t="s">
        <v>637</v>
      </c>
      <c r="D662">
        <v>131346</v>
      </c>
    </row>
    <row r="663" spans="1:5" hidden="1">
      <c r="A663" s="71">
        <v>46101</v>
      </c>
      <c r="B663" t="s">
        <v>637</v>
      </c>
      <c r="D663">
        <v>129410</v>
      </c>
      <c r="E663" t="s">
        <v>63</v>
      </c>
    </row>
    <row r="664" spans="1:5" hidden="1">
      <c r="A664" s="71">
        <v>46133</v>
      </c>
      <c r="B664" t="s">
        <v>639</v>
      </c>
      <c r="D664">
        <v>114573</v>
      </c>
      <c r="E664" t="s">
        <v>26</v>
      </c>
    </row>
    <row r="665" spans="1:5" hidden="1">
      <c r="A665" s="71">
        <v>46114</v>
      </c>
      <c r="B665" t="s">
        <v>639</v>
      </c>
      <c r="D665">
        <v>113324</v>
      </c>
      <c r="E665" t="s">
        <v>676</v>
      </c>
    </row>
    <row r="666" spans="1:5" hidden="1">
      <c r="A666" s="71">
        <v>46111</v>
      </c>
      <c r="B666" t="s">
        <v>639</v>
      </c>
      <c r="D666">
        <v>112901</v>
      </c>
      <c r="E666" t="s">
        <v>676</v>
      </c>
    </row>
    <row r="667" spans="1:5" hidden="1">
      <c r="A667" s="71">
        <v>46108</v>
      </c>
      <c r="B667" t="s">
        <v>639</v>
      </c>
      <c r="D667">
        <v>112676</v>
      </c>
      <c r="E667" t="s">
        <v>676</v>
      </c>
    </row>
    <row r="668" spans="1:5" hidden="1">
      <c r="A668" s="71">
        <v>46111</v>
      </c>
      <c r="B668" t="s">
        <v>641</v>
      </c>
      <c r="D668">
        <v>95862</v>
      </c>
      <c r="E668" t="s">
        <v>51</v>
      </c>
    </row>
    <row r="669" spans="1:5" hidden="1">
      <c r="A669" s="71">
        <v>46108</v>
      </c>
      <c r="B669" t="s">
        <v>641</v>
      </c>
      <c r="D669">
        <v>95309</v>
      </c>
      <c r="E669" t="s">
        <v>51</v>
      </c>
    </row>
    <row r="670" spans="1:5" hidden="1">
      <c r="A670" s="71">
        <v>46101</v>
      </c>
      <c r="B670" t="s">
        <v>641</v>
      </c>
      <c r="D670">
        <v>95091</v>
      </c>
      <c r="E670" t="s">
        <v>51</v>
      </c>
    </row>
    <row r="671" spans="1:5" hidden="1">
      <c r="A671" s="71">
        <v>46076</v>
      </c>
      <c r="B671" t="s">
        <v>641</v>
      </c>
      <c r="D671">
        <v>90312</v>
      </c>
      <c r="E671" t="s">
        <v>51</v>
      </c>
    </row>
    <row r="672" spans="1:5" hidden="1">
      <c r="A672" s="71">
        <v>46107</v>
      </c>
      <c r="B672" t="s">
        <v>643</v>
      </c>
      <c r="D672">
        <v>110977</v>
      </c>
      <c r="E672" t="s">
        <v>33</v>
      </c>
    </row>
    <row r="673" spans="1:7" hidden="1">
      <c r="A673" s="71">
        <v>46101</v>
      </c>
      <c r="B673" t="s">
        <v>643</v>
      </c>
      <c r="D673">
        <v>109773</v>
      </c>
      <c r="E673" t="s">
        <v>33</v>
      </c>
    </row>
    <row r="674" spans="1:7" hidden="1">
      <c r="A674" s="71">
        <v>46080</v>
      </c>
      <c r="B674" t="s">
        <v>643</v>
      </c>
      <c r="D674">
        <v>107236</v>
      </c>
    </row>
    <row r="675" spans="1:7" hidden="1">
      <c r="A675" s="71">
        <v>46079</v>
      </c>
      <c r="B675" t="s">
        <v>643</v>
      </c>
      <c r="D675">
        <v>106998</v>
      </c>
    </row>
    <row r="676" spans="1:7" hidden="1">
      <c r="A676" s="71">
        <v>46104</v>
      </c>
      <c r="B676" t="s">
        <v>644</v>
      </c>
      <c r="D676">
        <v>93964</v>
      </c>
      <c r="E676" t="s">
        <v>33</v>
      </c>
    </row>
    <row r="677" spans="1:7" hidden="1">
      <c r="A677" s="71">
        <v>46101</v>
      </c>
      <c r="B677" t="s">
        <v>644</v>
      </c>
      <c r="D677">
        <v>93231</v>
      </c>
      <c r="E677" t="s">
        <v>33</v>
      </c>
    </row>
    <row r="678" spans="1:7" hidden="1">
      <c r="A678" s="71">
        <v>46101</v>
      </c>
      <c r="B678" t="s">
        <v>644</v>
      </c>
      <c r="D678">
        <v>92994</v>
      </c>
      <c r="E678" t="s">
        <v>33</v>
      </c>
      <c r="F678" t="s">
        <v>739</v>
      </c>
      <c r="G678" t="s">
        <v>740</v>
      </c>
    </row>
    <row r="679" spans="1:7" hidden="1">
      <c r="A679" s="71">
        <v>46098</v>
      </c>
      <c r="B679" t="s">
        <v>644</v>
      </c>
      <c r="D679">
        <v>92723</v>
      </c>
      <c r="E679" t="s">
        <v>33</v>
      </c>
    </row>
    <row r="680" spans="1:7" hidden="1">
      <c r="A680" s="71">
        <v>46136</v>
      </c>
      <c r="B680" t="s">
        <v>646</v>
      </c>
      <c r="D680">
        <v>151721</v>
      </c>
      <c r="E680" t="s">
        <v>708</v>
      </c>
    </row>
    <row r="681" spans="1:7" hidden="1">
      <c r="A681" s="71">
        <v>46133</v>
      </c>
      <c r="B681" t="s">
        <v>646</v>
      </c>
      <c r="D681">
        <v>150765</v>
      </c>
      <c r="E681" t="s">
        <v>708</v>
      </c>
    </row>
    <row r="682" spans="1:7" hidden="1">
      <c r="A682" s="71">
        <v>46101</v>
      </c>
      <c r="B682" t="s">
        <v>646</v>
      </c>
      <c r="D682">
        <v>146056</v>
      </c>
      <c r="E682" t="s">
        <v>63</v>
      </c>
    </row>
    <row r="683" spans="1:7" hidden="1">
      <c r="A683" s="71">
        <v>46098</v>
      </c>
      <c r="B683" t="s">
        <v>646</v>
      </c>
      <c r="D683">
        <v>145462</v>
      </c>
      <c r="E683" t="s">
        <v>63</v>
      </c>
    </row>
    <row r="684" spans="1:7" hidden="1">
      <c r="A684" s="71">
        <v>46133</v>
      </c>
      <c r="B684" t="s">
        <v>648</v>
      </c>
      <c r="D684">
        <v>133636</v>
      </c>
      <c r="E684" t="s">
        <v>724</v>
      </c>
    </row>
    <row r="685" spans="1:7" hidden="1">
      <c r="A685" s="71">
        <v>46105</v>
      </c>
      <c r="B685" t="s">
        <v>648</v>
      </c>
      <c r="D685">
        <v>129880</v>
      </c>
      <c r="E685" t="s">
        <v>37</v>
      </c>
    </row>
    <row r="686" spans="1:7" hidden="1">
      <c r="A686" s="71">
        <v>46104</v>
      </c>
      <c r="B686" t="s">
        <v>648</v>
      </c>
      <c r="D686">
        <v>123029</v>
      </c>
      <c r="E686" t="s">
        <v>15</v>
      </c>
    </row>
    <row r="687" spans="1:7" hidden="1">
      <c r="A687" s="71">
        <v>46009</v>
      </c>
      <c r="B687" t="s">
        <v>648</v>
      </c>
      <c r="D687">
        <v>96224</v>
      </c>
    </row>
    <row r="688" spans="1:7" hidden="1">
      <c r="A688" s="71">
        <v>46108</v>
      </c>
      <c r="B688" t="s">
        <v>649</v>
      </c>
      <c r="D688">
        <v>112051</v>
      </c>
      <c r="E688" t="s">
        <v>316</v>
      </c>
      <c r="F688" t="s">
        <v>741</v>
      </c>
      <c r="G688" t="s">
        <v>678</v>
      </c>
    </row>
    <row r="689" spans="1:7" hidden="1">
      <c r="A689" s="71">
        <v>46106</v>
      </c>
      <c r="B689" t="s">
        <v>649</v>
      </c>
      <c r="D689">
        <v>111602</v>
      </c>
      <c r="E689" t="s">
        <v>316</v>
      </c>
      <c r="F689" t="s">
        <v>741</v>
      </c>
      <c r="G689" t="s">
        <v>678</v>
      </c>
    </row>
    <row r="690" spans="1:7" hidden="1">
      <c r="A690" s="71">
        <v>46104</v>
      </c>
      <c r="B690" t="s">
        <v>649</v>
      </c>
      <c r="D690">
        <v>111189</v>
      </c>
      <c r="E690" t="s">
        <v>316</v>
      </c>
      <c r="F690" t="s">
        <v>741</v>
      </c>
      <c r="G690" t="s">
        <v>678</v>
      </c>
    </row>
    <row r="691" spans="1:7" hidden="1">
      <c r="A691" s="71">
        <v>46013</v>
      </c>
      <c r="B691" t="s">
        <v>651</v>
      </c>
      <c r="D691">
        <v>105907</v>
      </c>
    </row>
    <row r="692" spans="1:7" hidden="1">
      <c r="A692" s="71">
        <v>46003</v>
      </c>
      <c r="B692" t="s">
        <v>651</v>
      </c>
      <c r="D692">
        <v>102384</v>
      </c>
    </row>
    <row r="693" spans="1:7" hidden="1">
      <c r="A693" s="71">
        <v>46002</v>
      </c>
      <c r="B693" t="s">
        <v>651</v>
      </c>
      <c r="D693">
        <v>102679</v>
      </c>
    </row>
    <row r="694" spans="1:7" hidden="1">
      <c r="A694" s="71">
        <v>46015</v>
      </c>
      <c r="B694" t="s">
        <v>652</v>
      </c>
      <c r="D694">
        <v>96800</v>
      </c>
    </row>
    <row r="695" spans="1:7" hidden="1">
      <c r="A695" s="71">
        <v>46011</v>
      </c>
      <c r="B695" t="s">
        <v>652</v>
      </c>
      <c r="D695">
        <v>96458</v>
      </c>
    </row>
    <row r="696" spans="1:7" hidden="1">
      <c r="A696" s="71">
        <v>46003</v>
      </c>
      <c r="B696" t="s">
        <v>652</v>
      </c>
      <c r="D696">
        <v>96340</v>
      </c>
    </row>
    <row r="697" spans="1:7" hidden="1">
      <c r="A697" s="71">
        <v>46000</v>
      </c>
      <c r="B697" t="s">
        <v>652</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512</v>
      </c>
      <c r="D700">
        <v>68812</v>
      </c>
    </row>
    <row r="701" spans="1:7" ht="15" hidden="1" customHeight="1">
      <c r="A701" s="71">
        <v>46113</v>
      </c>
      <c r="B701" t="s">
        <v>412</v>
      </c>
      <c r="C701">
        <v>4497</v>
      </c>
    </row>
    <row r="702" spans="1:7" ht="15" hidden="1" customHeight="1">
      <c r="A702" s="71">
        <v>46113</v>
      </c>
      <c r="B702" t="s">
        <v>362</v>
      </c>
      <c r="C702">
        <v>15686</v>
      </c>
    </row>
    <row r="703" spans="1:7" ht="15" hidden="1" customHeight="1">
      <c r="A703" s="71">
        <v>46113</v>
      </c>
      <c r="B703" t="s">
        <v>400</v>
      </c>
      <c r="C703">
        <v>8678</v>
      </c>
    </row>
    <row r="704" spans="1:7" ht="15" hidden="1" customHeight="1">
      <c r="A704" s="71">
        <v>46113</v>
      </c>
      <c r="B704" t="s">
        <v>643</v>
      </c>
      <c r="D704">
        <v>112070</v>
      </c>
    </row>
    <row r="705" spans="1:4" ht="15" hidden="1" customHeight="1">
      <c r="A705" s="71">
        <v>46113</v>
      </c>
      <c r="B705" t="s">
        <v>268</v>
      </c>
      <c r="C705">
        <v>10083</v>
      </c>
    </row>
    <row r="706" spans="1:4" ht="15" hidden="1" customHeight="1">
      <c r="A706" s="71">
        <v>46113</v>
      </c>
      <c r="B706" t="s">
        <v>644</v>
      </c>
      <c r="D706">
        <v>94930</v>
      </c>
    </row>
    <row r="707" spans="1:4" ht="15" hidden="1" customHeight="1">
      <c r="A707" s="71">
        <v>46113</v>
      </c>
      <c r="B707" t="s">
        <v>253</v>
      </c>
      <c r="C707">
        <v>4934</v>
      </c>
    </row>
    <row r="708" spans="1:4" ht="15" hidden="1" customHeight="1">
      <c r="A708" s="71">
        <v>46113</v>
      </c>
      <c r="B708" t="s">
        <v>460</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418</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444</v>
      </c>
      <c r="C716">
        <v>2070</v>
      </c>
    </row>
    <row r="717" spans="1:4" ht="15" hidden="1" customHeight="1">
      <c r="A717" s="71">
        <v>46114</v>
      </c>
      <c r="B717" t="s">
        <v>118</v>
      </c>
      <c r="C717">
        <v>7729</v>
      </c>
      <c r="D717">
        <v>196745</v>
      </c>
    </row>
    <row r="718" spans="1:4" ht="15" hidden="1" customHeight="1">
      <c r="A718" s="71">
        <v>46114</v>
      </c>
      <c r="B718" t="s">
        <v>587</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558</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505</v>
      </c>
      <c r="D727">
        <v>68155</v>
      </c>
      <c r="E727" t="s">
        <v>33</v>
      </c>
    </row>
    <row r="728" spans="1:5" ht="15" hidden="1" customHeight="1">
      <c r="A728" s="71">
        <v>46114</v>
      </c>
      <c r="B728" t="s">
        <v>460</v>
      </c>
      <c r="C728">
        <v>2322</v>
      </c>
    </row>
    <row r="729" spans="1:5" ht="15" hidden="1" customHeight="1">
      <c r="A729" s="71">
        <v>46114</v>
      </c>
      <c r="B729" t="s">
        <v>143</v>
      </c>
      <c r="D729">
        <v>805814</v>
      </c>
    </row>
    <row r="730" spans="1:5" ht="15" hidden="1" customHeight="1">
      <c r="A730" s="71">
        <v>46114</v>
      </c>
      <c r="B730" t="s">
        <v>633</v>
      </c>
      <c r="D730">
        <v>126898</v>
      </c>
    </row>
    <row r="731" spans="1:5" ht="15" hidden="1" customHeight="1">
      <c r="A731" s="71">
        <v>46114</v>
      </c>
      <c r="B731" t="s">
        <v>65</v>
      </c>
      <c r="C731">
        <v>3926</v>
      </c>
    </row>
    <row r="732" spans="1:5" ht="15" hidden="1" customHeight="1">
      <c r="A732" s="71">
        <v>46114</v>
      </c>
      <c r="B732" t="s">
        <v>582</v>
      </c>
      <c r="D732">
        <v>164090</v>
      </c>
    </row>
    <row r="733" spans="1:5" ht="15" hidden="1" customHeight="1">
      <c r="A733" s="71">
        <v>46114</v>
      </c>
      <c r="B733" t="s">
        <v>587</v>
      </c>
      <c r="D733">
        <v>155670</v>
      </c>
    </row>
    <row r="734" spans="1:5" ht="15" hidden="1" customHeight="1">
      <c r="A734" s="71">
        <v>46114</v>
      </c>
      <c r="B734" t="s">
        <v>644</v>
      </c>
      <c r="D734">
        <v>95055</v>
      </c>
    </row>
    <row r="735" spans="1:5" ht="15" hidden="1" customHeight="1">
      <c r="A735" s="71">
        <v>46114</v>
      </c>
      <c r="B735" t="s">
        <v>615</v>
      </c>
      <c r="D735">
        <v>143843</v>
      </c>
    </row>
    <row r="736" spans="1:5" ht="15" hidden="1" customHeight="1">
      <c r="A736" s="71">
        <v>46114</v>
      </c>
      <c r="B736" t="s">
        <v>512</v>
      </c>
      <c r="D736">
        <v>69014</v>
      </c>
    </row>
    <row r="737" spans="1:4" ht="15" hidden="1" customHeight="1">
      <c r="A737" s="71">
        <v>46114</v>
      </c>
      <c r="B737" t="s">
        <v>643</v>
      </c>
      <c r="D737">
        <v>112383</v>
      </c>
    </row>
    <row r="738" spans="1:4" ht="15" hidden="1" customHeight="1">
      <c r="A738" s="71">
        <v>46114</v>
      </c>
      <c r="B738" t="s">
        <v>42</v>
      </c>
      <c r="D738">
        <v>190856</v>
      </c>
    </row>
    <row r="739" spans="1:4" ht="15" hidden="1" customHeight="1">
      <c r="A739" s="71">
        <v>46114</v>
      </c>
      <c r="B739" t="s">
        <v>742</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643</v>
      </c>
      <c r="D745">
        <v>112690</v>
      </c>
    </row>
    <row r="746" spans="1:4" ht="15" hidden="1" customHeight="1">
      <c r="A746" s="71">
        <v>46118</v>
      </c>
      <c r="B746" t="s">
        <v>558</v>
      </c>
      <c r="D746">
        <v>20006</v>
      </c>
    </row>
    <row r="747" spans="1:4" ht="15" hidden="1" customHeight="1">
      <c r="A747" s="71">
        <v>46118</v>
      </c>
      <c r="B747" t="s">
        <v>412</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418</v>
      </c>
      <c r="C752">
        <v>10396</v>
      </c>
    </row>
    <row r="753" spans="1:4" ht="15" hidden="1" customHeight="1">
      <c r="A753" s="71">
        <v>46118</v>
      </c>
      <c r="D753">
        <v>358596</v>
      </c>
    </row>
    <row r="754" spans="1:4" ht="15" hidden="1" customHeight="1">
      <c r="A754" s="71">
        <v>46118</v>
      </c>
      <c r="B754" t="s">
        <v>460</v>
      </c>
      <c r="C754">
        <v>2327</v>
      </c>
    </row>
    <row r="755" spans="1:4" ht="15" hidden="1" customHeight="1">
      <c r="A755" s="71">
        <v>46118</v>
      </c>
      <c r="B755" t="s">
        <v>444</v>
      </c>
      <c r="C755">
        <v>2065</v>
      </c>
    </row>
    <row r="756" spans="1:4" ht="15" hidden="1" customHeight="1">
      <c r="A756" s="71">
        <v>46119</v>
      </c>
      <c r="B756" t="s">
        <v>587</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633</v>
      </c>
      <c r="D760">
        <v>127868</v>
      </c>
    </row>
    <row r="761" spans="1:4" ht="15" hidden="1" customHeight="1">
      <c r="A761" s="71">
        <v>46119</v>
      </c>
      <c r="B761" t="s">
        <v>644</v>
      </c>
      <c r="D761">
        <v>95842</v>
      </c>
    </row>
    <row r="762" spans="1:4" ht="15" hidden="1" customHeight="1">
      <c r="A762" s="71">
        <v>46119</v>
      </c>
      <c r="B762" t="s">
        <v>743</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582</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418</v>
      </c>
      <c r="C770">
        <v>10406</v>
      </c>
    </row>
    <row r="771" spans="1:5" ht="15" hidden="1" customHeight="1">
      <c r="A771" s="71">
        <v>46119</v>
      </c>
      <c r="B771" t="s">
        <v>505</v>
      </c>
      <c r="D771">
        <v>69035</v>
      </c>
      <c r="E771" t="s">
        <v>33</v>
      </c>
    </row>
    <row r="772" spans="1:5" ht="15" hidden="1" customHeight="1">
      <c r="A772" s="71">
        <v>46119</v>
      </c>
      <c r="B772" t="s">
        <v>183</v>
      </c>
      <c r="D772">
        <v>57232</v>
      </c>
    </row>
    <row r="773" spans="1:5" ht="15" hidden="1" customHeight="1">
      <c r="A773" s="71">
        <v>46119</v>
      </c>
      <c r="B773" t="s">
        <v>400</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412</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418</v>
      </c>
      <c r="C784">
        <v>10412</v>
      </c>
    </row>
    <row r="785" spans="1:4" ht="15" hidden="1" customHeight="1">
      <c r="A785" s="71">
        <v>46120</v>
      </c>
      <c r="B785" t="s">
        <v>460</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744</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505</v>
      </c>
      <c r="D803">
        <v>69177</v>
      </c>
      <c r="E803" t="s">
        <v>33</v>
      </c>
    </row>
    <row r="804" spans="1:5" ht="15" hidden="1" customHeight="1">
      <c r="A804" s="71">
        <v>46121</v>
      </c>
      <c r="B804" t="s">
        <v>65</v>
      </c>
      <c r="C804">
        <v>3944</v>
      </c>
    </row>
    <row r="805" spans="1:5" ht="15" hidden="1" customHeight="1">
      <c r="A805" s="71">
        <v>46121</v>
      </c>
      <c r="B805" t="s">
        <v>444</v>
      </c>
      <c r="C805">
        <v>2087</v>
      </c>
    </row>
    <row r="806" spans="1:5" ht="15" hidden="1" customHeight="1">
      <c r="A806" s="71">
        <v>46121</v>
      </c>
      <c r="B806" t="s">
        <v>208</v>
      </c>
      <c r="C806">
        <v>1564</v>
      </c>
    </row>
    <row r="807" spans="1:5" ht="15" hidden="1" customHeight="1">
      <c r="A807" s="71">
        <v>46121</v>
      </c>
      <c r="B807" t="s">
        <v>745</v>
      </c>
      <c r="C807">
        <v>289</v>
      </c>
    </row>
    <row r="808" spans="1:5" ht="15" hidden="1" customHeight="1">
      <c r="A808" s="71">
        <v>46121</v>
      </c>
      <c r="B808" t="s">
        <v>118</v>
      </c>
      <c r="C808">
        <v>7770</v>
      </c>
      <c r="D808">
        <v>198332</v>
      </c>
    </row>
    <row r="809" spans="1:5" ht="15" hidden="1" customHeight="1">
      <c r="A809" s="71">
        <v>46121</v>
      </c>
      <c r="B809" t="s">
        <v>558</v>
      </c>
      <c r="D809">
        <v>20471</v>
      </c>
    </row>
    <row r="810" spans="1:5" ht="15" hidden="1" customHeight="1">
      <c r="A810" s="71">
        <v>46121</v>
      </c>
      <c r="B810" t="s">
        <v>743</v>
      </c>
      <c r="D810">
        <v>109226</v>
      </c>
    </row>
    <row r="811" spans="1:5" ht="15" hidden="1" customHeight="1">
      <c r="A811" s="71">
        <v>46121</v>
      </c>
      <c r="B811" t="s">
        <v>742</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412</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460</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418</v>
      </c>
      <c r="C826">
        <v>10422</v>
      </c>
    </row>
    <row r="827" spans="1:5" ht="15" hidden="1" customHeight="1">
      <c r="A827" s="71">
        <v>46122</v>
      </c>
      <c r="B827" t="s">
        <v>42</v>
      </c>
    </row>
    <row r="828" spans="1:5" ht="15" hidden="1" customHeight="1">
      <c r="A828" s="71">
        <v>46125</v>
      </c>
      <c r="B828" t="s">
        <v>505</v>
      </c>
      <c r="D828">
        <v>70008</v>
      </c>
      <c r="E828" t="s">
        <v>33</v>
      </c>
    </row>
    <row r="829" spans="1:5" ht="15" hidden="1" customHeight="1">
      <c r="A829" s="71">
        <v>46122</v>
      </c>
      <c r="B829" t="s">
        <v>39</v>
      </c>
      <c r="C829">
        <v>1453</v>
      </c>
    </row>
    <row r="830" spans="1:5" ht="15" hidden="1" customHeight="1">
      <c r="A830" s="71">
        <v>46122</v>
      </c>
      <c r="B830" t="s">
        <v>582</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644</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587</v>
      </c>
      <c r="D836">
        <v>157523</v>
      </c>
    </row>
    <row r="837" spans="1:4" ht="15" hidden="1" customHeight="1">
      <c r="A837" s="71">
        <v>46125</v>
      </c>
      <c r="B837" t="s">
        <v>558</v>
      </c>
      <c r="D837">
        <v>21495</v>
      </c>
    </row>
    <row r="838" spans="1:4" ht="15" hidden="1" customHeight="1">
      <c r="A838" s="71">
        <v>46125</v>
      </c>
      <c r="B838" t="s">
        <v>65</v>
      </c>
      <c r="C838">
        <v>3956</v>
      </c>
    </row>
    <row r="839" spans="1:4" ht="15" hidden="1" customHeight="1">
      <c r="A839" s="71">
        <v>46125</v>
      </c>
      <c r="B839" t="s">
        <v>458</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418</v>
      </c>
      <c r="C843">
        <v>10427</v>
      </c>
    </row>
    <row r="844" spans="1:4" ht="15" hidden="1" customHeight="1">
      <c r="A844" s="71">
        <v>46127</v>
      </c>
      <c r="B844" t="s">
        <v>512</v>
      </c>
      <c r="D844">
        <v>71452</v>
      </c>
    </row>
    <row r="845" spans="1:4" ht="15" hidden="1" customHeight="1">
      <c r="A845" s="71">
        <v>46125</v>
      </c>
      <c r="B845" t="s">
        <v>338</v>
      </c>
      <c r="C845">
        <v>26122</v>
      </c>
    </row>
    <row r="846" spans="1:4" ht="15" hidden="1" customHeight="1">
      <c r="A846" s="71">
        <v>46125</v>
      </c>
      <c r="B846" t="s">
        <v>444</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633</v>
      </c>
      <c r="D849">
        <v>128295</v>
      </c>
    </row>
    <row r="850" spans="1:4" ht="15" hidden="1" customHeight="1">
      <c r="A850" s="71">
        <v>46125</v>
      </c>
      <c r="B850" t="s">
        <v>745</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743</v>
      </c>
      <c r="D855">
        <v>11029</v>
      </c>
    </row>
    <row r="856" spans="1:4" ht="15" hidden="1" customHeight="1">
      <c r="A856" s="71">
        <v>46126</v>
      </c>
      <c r="B856" t="s">
        <v>32</v>
      </c>
      <c r="C856">
        <v>10727</v>
      </c>
      <c r="D856">
        <v>260652</v>
      </c>
    </row>
    <row r="857" spans="1:4" ht="15" hidden="1" customHeight="1">
      <c r="A857" s="71">
        <v>46126</v>
      </c>
      <c r="B857" t="s">
        <v>412</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582</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505</v>
      </c>
      <c r="D870">
        <v>70590</v>
      </c>
      <c r="E870" t="s">
        <v>33</v>
      </c>
    </row>
    <row r="871" spans="1:5" ht="15" hidden="1" customHeight="1">
      <c r="A871" s="71">
        <v>46127</v>
      </c>
      <c r="B871" t="s">
        <v>643</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412</v>
      </c>
      <c r="C876">
        <v>4560</v>
      </c>
    </row>
    <row r="877" spans="1:5" ht="15" hidden="1" customHeight="1">
      <c r="A877" s="71">
        <v>46128</v>
      </c>
      <c r="B877" t="s">
        <v>362</v>
      </c>
      <c r="C877">
        <v>15745</v>
      </c>
    </row>
    <row r="878" spans="1:5" ht="15" hidden="1" customHeight="1">
      <c r="A878" s="71">
        <v>46128</v>
      </c>
      <c r="B878" t="s">
        <v>460</v>
      </c>
      <c r="C878">
        <v>2364</v>
      </c>
    </row>
    <row r="879" spans="1:5" ht="15" hidden="1" customHeight="1">
      <c r="A879" s="71">
        <v>46128</v>
      </c>
      <c r="B879" t="s">
        <v>418</v>
      </c>
      <c r="C879">
        <v>10430</v>
      </c>
    </row>
    <row r="880" spans="1:5" ht="15" hidden="1" customHeight="1">
      <c r="A880" s="71">
        <v>46129</v>
      </c>
      <c r="B880" t="s">
        <v>505</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744</v>
      </c>
      <c r="C887">
        <v>3783</v>
      </c>
    </row>
    <row r="888" spans="1:4" ht="15" hidden="1" customHeight="1">
      <c r="A888" s="71">
        <v>46128</v>
      </c>
      <c r="B888" t="s">
        <v>444</v>
      </c>
      <c r="C888">
        <v>2108</v>
      </c>
    </row>
    <row r="889" spans="1:4" ht="15" hidden="1" customHeight="1">
      <c r="A889" s="71">
        <v>46128</v>
      </c>
      <c r="B889" t="s">
        <v>268</v>
      </c>
      <c r="C889">
        <v>10137</v>
      </c>
    </row>
    <row r="890" spans="1:4" ht="15" hidden="1" customHeight="1">
      <c r="A890" s="71">
        <v>46128</v>
      </c>
      <c r="B890" t="s">
        <v>644</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587</v>
      </c>
      <c r="D894">
        <v>158014</v>
      </c>
    </row>
    <row r="895" spans="1:4" ht="15" hidden="1" customHeight="1">
      <c r="A895" s="71">
        <v>46129</v>
      </c>
      <c r="B895" t="s">
        <v>643</v>
      </c>
      <c r="D895">
        <v>113562</v>
      </c>
    </row>
    <row r="896" spans="1:4" ht="15" hidden="1" customHeight="1">
      <c r="A896" s="71">
        <v>46129</v>
      </c>
      <c r="B896" t="s">
        <v>558</v>
      </c>
      <c r="D896">
        <v>21854</v>
      </c>
    </row>
    <row r="897" spans="1:5" ht="15" hidden="1" customHeight="1">
      <c r="A897" s="71">
        <v>46129</v>
      </c>
      <c r="B897" t="s">
        <v>582</v>
      </c>
      <c r="D897">
        <v>166556</v>
      </c>
    </row>
    <row r="898" spans="1:5" ht="15" hidden="1" customHeight="1">
      <c r="A898" s="71">
        <v>46129</v>
      </c>
      <c r="B898" t="s">
        <v>633</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505</v>
      </c>
      <c r="D903">
        <v>71430</v>
      </c>
      <c r="E903" t="s">
        <v>33</v>
      </c>
    </row>
    <row r="904" spans="1:5" ht="15" hidden="1" customHeight="1">
      <c r="A904" s="71">
        <v>46129</v>
      </c>
      <c r="B904" t="s">
        <v>418</v>
      </c>
      <c r="C904">
        <v>10438</v>
      </c>
    </row>
    <row r="905" spans="1:5" ht="15" hidden="1" customHeight="1">
      <c r="A905" s="71">
        <v>46129</v>
      </c>
      <c r="B905" t="s">
        <v>460</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743</v>
      </c>
      <c r="D909">
        <v>110357</v>
      </c>
    </row>
    <row r="910" spans="1:5" ht="15" hidden="1" customHeight="1">
      <c r="A910" s="71">
        <v>46129</v>
      </c>
      <c r="B910" t="s">
        <v>742</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558</v>
      </c>
      <c r="D913">
        <v>21924</v>
      </c>
    </row>
    <row r="914" spans="1:4" ht="15" hidden="1" customHeight="1">
      <c r="A914" s="71">
        <v>46129</v>
      </c>
      <c r="B914" t="s">
        <v>644</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512</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418</v>
      </c>
      <c r="C921">
        <v>10446</v>
      </c>
    </row>
    <row r="922" spans="1:4" ht="15" hidden="1" customHeight="1">
      <c r="A922" s="71">
        <v>46132</v>
      </c>
      <c r="B922" t="s">
        <v>460</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444</v>
      </c>
      <c r="C926">
        <v>2118</v>
      </c>
    </row>
    <row r="927" spans="1:4" ht="15" hidden="1" customHeight="1">
      <c r="A927" s="71">
        <v>46132</v>
      </c>
      <c r="B927" t="s">
        <v>644</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643</v>
      </c>
      <c r="D930">
        <v>114064</v>
      </c>
    </row>
    <row r="931" spans="1:4" ht="15" hidden="1" customHeight="1">
      <c r="A931" s="71">
        <v>46133</v>
      </c>
      <c r="B931" t="s">
        <v>582</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558</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418</v>
      </c>
      <c r="C945">
        <v>10452</v>
      </c>
    </row>
    <row r="946" spans="1:4" ht="15" hidden="1" customHeight="1">
      <c r="A946" s="71">
        <v>46133</v>
      </c>
      <c r="B946" t="s">
        <v>460</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412</v>
      </c>
      <c r="C950">
        <v>4572</v>
      </c>
    </row>
    <row r="951" spans="1:4" ht="15" hidden="1" customHeight="1">
      <c r="A951" s="71">
        <v>46133</v>
      </c>
      <c r="B951" t="s">
        <v>743</v>
      </c>
      <c r="D951">
        <v>110970</v>
      </c>
    </row>
    <row r="952" spans="1:4" ht="15" hidden="1" customHeight="1">
      <c r="A952" s="71">
        <v>46134</v>
      </c>
      <c r="B952" t="s">
        <v>444</v>
      </c>
      <c r="C952">
        <v>2127</v>
      </c>
    </row>
    <row r="953" spans="1:4" ht="15" hidden="1" customHeight="1">
      <c r="A953" s="71">
        <v>46134</v>
      </c>
      <c r="B953" t="s">
        <v>208</v>
      </c>
      <c r="C953">
        <v>1557</v>
      </c>
    </row>
    <row r="954" spans="1:4" ht="15" hidden="1" customHeight="1">
      <c r="A954" s="71">
        <v>46134</v>
      </c>
      <c r="B954" t="s">
        <v>744</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418</v>
      </c>
      <c r="C958">
        <v>10458</v>
      </c>
    </row>
    <row r="959" spans="1:4" ht="15" hidden="1" customHeight="1">
      <c r="A959" s="71">
        <v>46134</v>
      </c>
      <c r="B959" t="s">
        <v>460</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643</v>
      </c>
      <c r="D963">
        <v>114280</v>
      </c>
    </row>
    <row r="964" spans="1:5" ht="15" hidden="1" customHeight="1">
      <c r="A964" s="71">
        <v>46136</v>
      </c>
      <c r="B964" t="s">
        <v>505</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418</v>
      </c>
      <c r="C973">
        <v>10464</v>
      </c>
    </row>
    <row r="974" spans="1:5" ht="15" hidden="1" customHeight="1">
      <c r="A974" s="71">
        <v>46135</v>
      </c>
      <c r="B974" t="s">
        <v>460</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412</v>
      </c>
      <c r="C978">
        <v>4581</v>
      </c>
    </row>
    <row r="979" spans="1:5" ht="15" hidden="1" customHeight="1">
      <c r="A979" s="71">
        <v>46135</v>
      </c>
      <c r="D979">
        <v>417534</v>
      </c>
    </row>
    <row r="980" spans="1:5" ht="15" hidden="1" customHeight="1">
      <c r="A980" s="71">
        <v>46135</v>
      </c>
      <c r="B980" t="s">
        <v>400</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743</v>
      </c>
      <c r="D987">
        <v>11118</v>
      </c>
    </row>
    <row r="988" spans="1:5" ht="15" hidden="1" customHeight="1">
      <c r="A988" s="71">
        <v>46136</v>
      </c>
      <c r="B988" t="s">
        <v>644</v>
      </c>
      <c r="D988">
        <v>97559</v>
      </c>
    </row>
    <row r="989" spans="1:5" ht="15" hidden="1" customHeight="1">
      <c r="A989" s="71">
        <v>46136</v>
      </c>
      <c r="B989" t="s">
        <v>418</v>
      </c>
      <c r="C989">
        <v>10474</v>
      </c>
    </row>
    <row r="990" spans="1:5" ht="15" hidden="1" customHeight="1">
      <c r="A990" s="71">
        <v>46139</v>
      </c>
      <c r="B990" t="s">
        <v>505</v>
      </c>
      <c r="D990">
        <v>72279</v>
      </c>
      <c r="E990" t="s">
        <v>33</v>
      </c>
    </row>
    <row r="991" spans="1:5" ht="15" hidden="1" customHeight="1">
      <c r="A991" s="71">
        <v>46136</v>
      </c>
      <c r="B991" t="s">
        <v>460</v>
      </c>
      <c r="C991">
        <v>2405</v>
      </c>
    </row>
    <row r="992" spans="1:5" ht="15" hidden="1" customHeight="1">
      <c r="A992" s="71">
        <v>46136</v>
      </c>
      <c r="B992" t="s">
        <v>400</v>
      </c>
      <c r="C992">
        <v>8704</v>
      </c>
    </row>
    <row r="993" spans="1:4" ht="15" hidden="1" customHeight="1">
      <c r="A993" s="71">
        <v>46136</v>
      </c>
      <c r="B993" t="s">
        <v>582</v>
      </c>
      <c r="D993">
        <v>167571</v>
      </c>
    </row>
    <row r="994" spans="1:4" ht="15" hidden="1" customHeight="1">
      <c r="A994" s="71">
        <v>46136</v>
      </c>
      <c r="B994" t="s">
        <v>633</v>
      </c>
      <c r="D994">
        <v>129107</v>
      </c>
    </row>
    <row r="995" spans="1:4" ht="15" hidden="1" customHeight="1">
      <c r="A995" s="71">
        <v>46136</v>
      </c>
      <c r="B995" t="s">
        <v>742</v>
      </c>
      <c r="D995">
        <v>259539</v>
      </c>
    </row>
    <row r="996" spans="1:4" ht="15" hidden="1" customHeight="1">
      <c r="A996" s="71">
        <v>46136</v>
      </c>
      <c r="B996" t="s">
        <v>558</v>
      </c>
      <c r="D996">
        <v>23402</v>
      </c>
    </row>
    <row r="997" spans="1:4" ht="15" hidden="1" customHeight="1">
      <c r="A997" s="71">
        <v>46136</v>
      </c>
      <c r="D997">
        <v>42047</v>
      </c>
    </row>
    <row r="998" spans="1:4" ht="15" hidden="1" customHeight="1">
      <c r="A998" s="71">
        <v>46136</v>
      </c>
      <c r="B998" t="s">
        <v>643</v>
      </c>
      <c r="D998">
        <v>114470</v>
      </c>
    </row>
    <row r="999" spans="1:4" ht="15" hidden="1" customHeight="1">
      <c r="A999" s="71">
        <v>46136</v>
      </c>
      <c r="B999" t="s">
        <v>118</v>
      </c>
      <c r="D999">
        <v>199562</v>
      </c>
    </row>
    <row r="1000" spans="1:4" ht="15" hidden="1" customHeight="1">
      <c r="A1000" s="71">
        <v>46139</v>
      </c>
      <c r="B1000" t="s">
        <v>412</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418</v>
      </c>
      <c r="C1003">
        <v>10477</v>
      </c>
    </row>
    <row r="1004" spans="1:4" ht="15" hidden="1" customHeight="1">
      <c r="A1004" s="71">
        <v>46142</v>
      </c>
      <c r="B1004" t="s">
        <v>512</v>
      </c>
      <c r="D1004">
        <v>73788</v>
      </c>
    </row>
    <row r="1005" spans="1:4" ht="15" hidden="1" customHeight="1">
      <c r="A1005" s="71">
        <v>46139</v>
      </c>
      <c r="B1005" t="s">
        <v>460</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558</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743</v>
      </c>
      <c r="D1018">
        <v>111795</v>
      </c>
    </row>
    <row r="1019" spans="1:4" ht="15" hidden="1" customHeight="1">
      <c r="A1019" s="71">
        <v>46139</v>
      </c>
      <c r="B1019" t="s">
        <v>742</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643</v>
      </c>
      <c r="D1022">
        <v>114896</v>
      </c>
    </row>
    <row r="1023" spans="1:4" ht="15" hidden="1" customHeight="1">
      <c r="A1023" s="71">
        <v>46140</v>
      </c>
      <c r="B1023" t="s">
        <v>444</v>
      </c>
      <c r="D1023">
        <v>2145</v>
      </c>
    </row>
    <row r="1024" spans="1:4" ht="15" hidden="1" customHeight="1">
      <c r="A1024" s="71">
        <v>46140</v>
      </c>
      <c r="D1024">
        <v>299822</v>
      </c>
    </row>
    <row r="1025" spans="1:4" ht="15" hidden="1" customHeight="1">
      <c r="A1025" s="71">
        <v>46140</v>
      </c>
      <c r="B1025" t="s">
        <v>745</v>
      </c>
      <c r="C1025">
        <v>304</v>
      </c>
    </row>
    <row r="1026" spans="1:4" ht="15" hidden="1" customHeight="1">
      <c r="A1026" s="71">
        <v>46140</v>
      </c>
      <c r="B1026" t="s">
        <v>338</v>
      </c>
      <c r="C1026">
        <v>26151</v>
      </c>
    </row>
    <row r="1027" spans="1:4" ht="15" hidden="1" customHeight="1">
      <c r="A1027" s="71">
        <v>46140</v>
      </c>
      <c r="B1027" t="s">
        <v>418</v>
      </c>
      <c r="C1027">
        <v>10483</v>
      </c>
    </row>
    <row r="1028" spans="1:4" ht="15" hidden="1" customHeight="1">
      <c r="A1028" s="71">
        <v>46140</v>
      </c>
      <c r="B1028" t="s">
        <v>460</v>
      </c>
      <c r="C1028">
        <v>2413</v>
      </c>
    </row>
    <row r="1029" spans="1:4" ht="15" hidden="1" customHeight="1">
      <c r="A1029" s="71">
        <v>46140</v>
      </c>
      <c r="B1029" t="s">
        <v>582</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412</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418</v>
      </c>
      <c r="C1046">
        <v>10493</v>
      </c>
    </row>
    <row r="1047" spans="1:5" hidden="1">
      <c r="A1047" s="71">
        <v>46141</v>
      </c>
      <c r="B1047" t="s">
        <v>460</v>
      </c>
      <c r="C1047">
        <v>2421</v>
      </c>
    </row>
    <row r="1048" spans="1:5" ht="15" hidden="1" customHeight="1">
      <c r="A1048" s="71">
        <v>46141</v>
      </c>
      <c r="B1048" t="s">
        <v>338</v>
      </c>
      <c r="C1048">
        <v>26160</v>
      </c>
    </row>
    <row r="1049" spans="1:5" ht="15" hidden="1" customHeight="1">
      <c r="A1049" s="71">
        <v>46141</v>
      </c>
      <c r="B1049" t="s">
        <v>644</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558</v>
      </c>
      <c r="D1053">
        <v>24843</v>
      </c>
    </row>
    <row r="1054" spans="1:5" ht="15" hidden="1" customHeight="1">
      <c r="A1054" s="71">
        <v>46142</v>
      </c>
      <c r="B1054" t="s">
        <v>643</v>
      </c>
      <c r="D1054">
        <v>115118</v>
      </c>
    </row>
    <row r="1055" spans="1:5" ht="15" hidden="1" customHeight="1">
      <c r="A1055" s="71">
        <v>46142</v>
      </c>
      <c r="B1055" t="s">
        <v>505</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418</v>
      </c>
      <c r="C1061">
        <v>10503</v>
      </c>
    </row>
    <row r="1062" spans="1:5" ht="15" hidden="1" customHeight="1">
      <c r="A1062" s="71">
        <v>46142</v>
      </c>
      <c r="B1062" t="s">
        <v>460</v>
      </c>
      <c r="C1062">
        <v>2430</v>
      </c>
    </row>
    <row r="1063" spans="1:5" ht="15" hidden="1" customHeight="1">
      <c r="A1063" s="71">
        <v>46142</v>
      </c>
      <c r="B1063" t="s">
        <v>338</v>
      </c>
      <c r="C1063">
        <v>26166</v>
      </c>
    </row>
    <row r="1064" spans="1:5" ht="15" hidden="1" customHeight="1">
      <c r="A1064" s="71">
        <v>46146</v>
      </c>
      <c r="B1064" t="s">
        <v>505</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644</v>
      </c>
      <c r="D1069">
        <v>98295</v>
      </c>
    </row>
    <row r="1070" spans="1:5" ht="15" hidden="1" customHeight="1">
      <c r="A1070" s="71">
        <v>46142</v>
      </c>
      <c r="B1070" t="s">
        <v>633</v>
      </c>
      <c r="D1070">
        <v>129527</v>
      </c>
    </row>
    <row r="1071" spans="1:5" ht="15" hidden="1" customHeight="1">
      <c r="A1071" s="71">
        <v>46142</v>
      </c>
      <c r="B1071" t="s">
        <v>742</v>
      </c>
      <c r="D1071">
        <v>259997</v>
      </c>
    </row>
    <row r="1072" spans="1:5" ht="15" hidden="1" customHeight="1">
      <c r="A1072" s="71">
        <v>46142</v>
      </c>
      <c r="B1072" t="s">
        <v>743</v>
      </c>
      <c r="D1072">
        <v>112092</v>
      </c>
    </row>
    <row r="1073" spans="1:4" ht="15" hidden="1" customHeight="1">
      <c r="A1073" s="71">
        <v>46142</v>
      </c>
      <c r="D1073">
        <v>16839</v>
      </c>
    </row>
    <row r="1074" spans="1:4" ht="15" hidden="1" customHeight="1">
      <c r="A1074" s="71">
        <v>46146</v>
      </c>
      <c r="B1074" t="s">
        <v>412</v>
      </c>
      <c r="C1074">
        <v>9619</v>
      </c>
    </row>
    <row r="1075" spans="1:4" ht="15" hidden="1" customHeight="1">
      <c r="A1075" s="71">
        <v>46146</v>
      </c>
      <c r="B1075" t="s">
        <v>644</v>
      </c>
      <c r="D1075">
        <v>99061</v>
      </c>
    </row>
    <row r="1076" spans="1:4" ht="15" hidden="1" customHeight="1">
      <c r="A1076" s="71">
        <v>46149</v>
      </c>
      <c r="B1076" t="s">
        <v>512</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558</v>
      </c>
      <c r="D1082">
        <v>25867</v>
      </c>
    </row>
    <row r="1083" spans="1:4" ht="15" hidden="1" customHeight="1">
      <c r="A1083" s="71">
        <v>46146</v>
      </c>
      <c r="B1083" t="s">
        <v>418</v>
      </c>
      <c r="C1083">
        <v>10509</v>
      </c>
    </row>
    <row r="1084" spans="1:4" ht="15" hidden="1" customHeight="1">
      <c r="A1084" s="71">
        <v>46146</v>
      </c>
      <c r="B1084" t="s">
        <v>460</v>
      </c>
      <c r="C1084">
        <v>2435</v>
      </c>
    </row>
    <row r="1085" spans="1:4" ht="15" hidden="1" customHeight="1">
      <c r="A1085" s="71">
        <v>46146</v>
      </c>
      <c r="B1085" t="s">
        <v>362</v>
      </c>
      <c r="C1085">
        <v>15815</v>
      </c>
    </row>
    <row r="1086" spans="1:4" ht="15" hidden="1" customHeight="1">
      <c r="A1086" s="71">
        <v>46146</v>
      </c>
      <c r="B1086" t="s">
        <v>744</v>
      </c>
      <c r="C1086">
        <v>3806</v>
      </c>
    </row>
    <row r="1087" spans="1:4" ht="15" hidden="1" customHeight="1">
      <c r="A1087" s="71">
        <v>46146</v>
      </c>
      <c r="B1087" t="s">
        <v>171</v>
      </c>
      <c r="C1087">
        <v>8849</v>
      </c>
      <c r="D1087">
        <v>170639</v>
      </c>
    </row>
    <row r="1088" spans="1:4" ht="15" hidden="1" customHeight="1">
      <c r="A1088" s="71">
        <v>46146</v>
      </c>
      <c r="B1088" t="s">
        <v>643</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460</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615</v>
      </c>
      <c r="D1098">
        <v>144888</v>
      </c>
    </row>
    <row r="1099" spans="1:4" ht="15" hidden="1" customHeight="1">
      <c r="A1099" s="71">
        <v>46147</v>
      </c>
      <c r="B1099" t="s">
        <v>138</v>
      </c>
      <c r="C1099">
        <v>1892</v>
      </c>
    </row>
    <row r="1100" spans="1:4" ht="15" hidden="1" customHeight="1">
      <c r="A1100" s="71">
        <v>46147</v>
      </c>
      <c r="B1100" t="s">
        <v>444</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742</v>
      </c>
      <c r="D1105">
        <v>260697</v>
      </c>
    </row>
    <row r="1106" spans="1:5" ht="15" hidden="1" customHeight="1">
      <c r="A1106" s="71">
        <v>46148</v>
      </c>
      <c r="B1106" t="s">
        <v>550</v>
      </c>
      <c r="D1106">
        <v>100365</v>
      </c>
    </row>
    <row r="1107" spans="1:5" ht="15" hidden="1" customHeight="1">
      <c r="A1107" s="71">
        <v>46148</v>
      </c>
      <c r="B1107" t="s">
        <v>138</v>
      </c>
      <c r="D1107">
        <v>39202</v>
      </c>
    </row>
    <row r="1108" spans="1:5" ht="15" hidden="1" customHeight="1">
      <c r="A1108" s="71">
        <v>46148</v>
      </c>
      <c r="B1108" t="s">
        <v>412</v>
      </c>
      <c r="C1108">
        <v>4631</v>
      </c>
    </row>
    <row r="1109" spans="1:5" ht="15" hidden="1" customHeight="1">
      <c r="A1109" s="71">
        <v>46148</v>
      </c>
      <c r="B1109" t="s">
        <v>362</v>
      </c>
      <c r="C1109">
        <v>15829</v>
      </c>
    </row>
    <row r="1110" spans="1:5" ht="15" hidden="1" customHeight="1">
      <c r="A1110" s="71">
        <v>46148</v>
      </c>
      <c r="B1110" t="s">
        <v>418</v>
      </c>
      <c r="C1110">
        <v>10517</v>
      </c>
    </row>
    <row r="1111" spans="1:5" ht="15" hidden="1" customHeight="1">
      <c r="A1111" s="71">
        <v>46148</v>
      </c>
      <c r="B1111" t="s">
        <v>338</v>
      </c>
      <c r="C1111">
        <v>26179</v>
      </c>
    </row>
    <row r="1112" spans="1:5" ht="15" hidden="1" customHeight="1">
      <c r="A1112" s="71">
        <v>46148</v>
      </c>
      <c r="B1112" t="s">
        <v>460</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743</v>
      </c>
      <c r="D1118">
        <v>112681</v>
      </c>
    </row>
    <row r="1119" spans="1:5" ht="15" hidden="1" customHeight="1">
      <c r="A1119" s="71">
        <v>46148</v>
      </c>
      <c r="B1119" t="s">
        <v>107</v>
      </c>
      <c r="D1119">
        <v>141889</v>
      </c>
    </row>
    <row r="1120" spans="1:5" ht="15" hidden="1" customHeight="1">
      <c r="A1120" s="71">
        <v>46150</v>
      </c>
      <c r="B1120" t="s">
        <v>505</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418</v>
      </c>
      <c r="C1124">
        <v>10525</v>
      </c>
    </row>
    <row r="1125" spans="1:4" ht="15" hidden="1" customHeight="1">
      <c r="A1125" s="71">
        <v>46149</v>
      </c>
      <c r="B1125" t="s">
        <v>460</v>
      </c>
      <c r="C1125">
        <v>2456</v>
      </c>
    </row>
    <row r="1126" spans="1:4" ht="15" hidden="1" customHeight="1">
      <c r="A1126" s="71">
        <v>46149</v>
      </c>
      <c r="B1126" t="s">
        <v>744</v>
      </c>
      <c r="C1126">
        <v>3795</v>
      </c>
    </row>
    <row r="1127" spans="1:4" ht="15" hidden="1" customHeight="1">
      <c r="A1127" s="71">
        <v>46149</v>
      </c>
      <c r="D1127">
        <v>362269</v>
      </c>
    </row>
    <row r="1128" spans="1:4" ht="15" hidden="1" customHeight="1">
      <c r="A1128" s="71">
        <v>46149</v>
      </c>
      <c r="B1128" t="s">
        <v>615</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643</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558</v>
      </c>
      <c r="D1134">
        <v>23683</v>
      </c>
    </row>
    <row r="1135" spans="1:4" ht="15" hidden="1" customHeight="1">
      <c r="A1135" s="71">
        <v>46150</v>
      </c>
      <c r="B1135" t="s">
        <v>633</v>
      </c>
      <c r="D1135">
        <v>129846</v>
      </c>
    </row>
    <row r="1136" spans="1:4" ht="15" hidden="1" customHeight="1">
      <c r="A1136" s="71">
        <v>46150</v>
      </c>
      <c r="B1136" t="s">
        <v>644</v>
      </c>
      <c r="D1136">
        <v>99446</v>
      </c>
    </row>
    <row r="1137" spans="1:4" ht="15" hidden="1" customHeight="1">
      <c r="A1137" s="71">
        <v>46150</v>
      </c>
      <c r="B1137" t="s">
        <v>136</v>
      </c>
      <c r="D1137">
        <v>300972</v>
      </c>
    </row>
    <row r="1138" spans="1:4" ht="15" hidden="1" customHeight="1">
      <c r="A1138" s="71">
        <v>46150</v>
      </c>
      <c r="B1138" t="s">
        <v>412</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418</v>
      </c>
      <c r="C1141">
        <v>10530</v>
      </c>
    </row>
    <row r="1142" spans="1:4" ht="15" hidden="1" customHeight="1">
      <c r="A1142" s="71">
        <v>46150</v>
      </c>
      <c r="B1142" t="s">
        <v>65</v>
      </c>
      <c r="C1142">
        <v>4017</v>
      </c>
    </row>
    <row r="1143" spans="1:4" ht="15" hidden="1" customHeight="1">
      <c r="A1143" s="71">
        <v>46150</v>
      </c>
      <c r="B1143" t="s">
        <v>400</v>
      </c>
      <c r="C1143">
        <v>8748</v>
      </c>
    </row>
    <row r="1144" spans="1:4" ht="15" hidden="1" customHeight="1">
      <c r="A1144" s="71">
        <v>46150</v>
      </c>
      <c r="B1144" t="s">
        <v>460</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558</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558</v>
      </c>
      <c r="D1151">
        <v>27392</v>
      </c>
    </row>
    <row r="1152" spans="1:4" ht="15" hidden="1" customHeight="1">
      <c r="A1152" s="71">
        <v>46153</v>
      </c>
      <c r="B1152" t="s">
        <v>444</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512</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473</v>
      </c>
      <c r="D1160">
        <v>81373</v>
      </c>
    </row>
    <row r="1161" spans="1:4" ht="15" hidden="1" customHeight="1">
      <c r="A1161" s="71">
        <v>46153</v>
      </c>
      <c r="B1161" t="s">
        <v>743</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643</v>
      </c>
      <c r="D1164">
        <v>116283</v>
      </c>
    </row>
    <row r="1165" spans="1:4" ht="15" hidden="1" customHeight="1">
      <c r="A1165" s="71">
        <v>46154</v>
      </c>
      <c r="B1165" t="s">
        <v>183</v>
      </c>
      <c r="D1165">
        <v>57918</v>
      </c>
    </row>
    <row r="1166" spans="1:4" ht="15" hidden="1" customHeight="1">
      <c r="A1166" s="71">
        <v>46154</v>
      </c>
      <c r="B1166" t="s">
        <v>412</v>
      </c>
      <c r="C1166">
        <v>4656</v>
      </c>
    </row>
    <row r="1167" spans="1:4" ht="15" hidden="1" customHeight="1">
      <c r="A1167" s="71">
        <v>46154</v>
      </c>
      <c r="B1167" t="s">
        <v>615</v>
      </c>
      <c r="D1167">
        <v>145683</v>
      </c>
    </row>
    <row r="1168" spans="1:4" ht="15" hidden="1" customHeight="1">
      <c r="A1168" s="71">
        <v>46154</v>
      </c>
      <c r="B1168" t="s">
        <v>460</v>
      </c>
      <c r="C1168">
        <v>2469</v>
      </c>
    </row>
    <row r="1169" spans="1:5" ht="15" hidden="1" customHeight="1">
      <c r="A1169" s="71">
        <v>46154</v>
      </c>
      <c r="B1169" t="s">
        <v>418</v>
      </c>
      <c r="C1169">
        <v>10537</v>
      </c>
    </row>
    <row r="1170" spans="1:5" ht="15" hidden="1" customHeight="1">
      <c r="A1170" s="71">
        <v>46154</v>
      </c>
      <c r="B1170" t="s">
        <v>400</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473</v>
      </c>
      <c r="D1176">
        <v>81467</v>
      </c>
    </row>
    <row r="1177" spans="1:5" ht="15" hidden="1" customHeight="1">
      <c r="A1177" s="71">
        <v>46155</v>
      </c>
      <c r="B1177" t="s">
        <v>152</v>
      </c>
      <c r="D1177">
        <v>492290</v>
      </c>
    </row>
    <row r="1178" spans="1:5" ht="15" hidden="1" customHeight="1">
      <c r="A1178" s="71">
        <v>46157</v>
      </c>
      <c r="B1178" t="s">
        <v>505</v>
      </c>
      <c r="D1178">
        <v>74041</v>
      </c>
      <c r="E1178" t="s">
        <v>33</v>
      </c>
    </row>
    <row r="1179" spans="1:5" ht="15" hidden="1" customHeight="1">
      <c r="A1179" s="71">
        <v>46155</v>
      </c>
      <c r="B1179" t="s">
        <v>546</v>
      </c>
      <c r="D1179">
        <v>51300</v>
      </c>
    </row>
    <row r="1180" spans="1:5" ht="15" hidden="1" customHeight="1">
      <c r="A1180" s="71">
        <v>46155</v>
      </c>
      <c r="B1180" t="s">
        <v>644</v>
      </c>
      <c r="D1180">
        <v>99995</v>
      </c>
    </row>
    <row r="1181" spans="1:5" ht="15" hidden="1" customHeight="1">
      <c r="A1181" s="71">
        <v>46155</v>
      </c>
      <c r="B1181" t="s">
        <v>333</v>
      </c>
      <c r="C1181">
        <v>7162</v>
      </c>
    </row>
    <row r="1182" spans="1:5" ht="15" hidden="1" customHeight="1">
      <c r="A1182" s="71">
        <v>46155</v>
      </c>
      <c r="B1182" t="s">
        <v>444</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493</v>
      </c>
      <c r="D1185">
        <v>115335</v>
      </c>
    </row>
    <row r="1186" spans="1:6" ht="15" hidden="1" customHeight="1">
      <c r="A1186" s="71">
        <v>46155</v>
      </c>
      <c r="B1186" t="s">
        <v>460</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625</v>
      </c>
      <c r="D1191">
        <v>309808</v>
      </c>
      <c r="E1191" t="s">
        <v>681</v>
      </c>
      <c r="F1191" t="s">
        <v>737</v>
      </c>
    </row>
    <row r="1192" spans="1:6" ht="15" hidden="1" customHeight="1">
      <c r="A1192" s="71">
        <v>46156</v>
      </c>
      <c r="B1192" t="s">
        <v>400</v>
      </c>
      <c r="C1192">
        <v>8729</v>
      </c>
    </row>
    <row r="1193" spans="1:6" ht="15" hidden="1" customHeight="1">
      <c r="A1193" s="71">
        <v>46156</v>
      </c>
      <c r="B1193" t="s">
        <v>558</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460</v>
      </c>
      <c r="C1198">
        <v>2484</v>
      </c>
    </row>
    <row r="1199" spans="1:6" ht="15" hidden="1" customHeight="1">
      <c r="A1199" s="71">
        <v>46156</v>
      </c>
      <c r="B1199" t="s">
        <v>744</v>
      </c>
      <c r="C1199">
        <v>3790</v>
      </c>
    </row>
    <row r="1200" spans="1:6" ht="15" hidden="1" customHeight="1">
      <c r="A1200" s="71">
        <v>46156</v>
      </c>
      <c r="B1200" t="s">
        <v>143</v>
      </c>
      <c r="D1200">
        <v>809205</v>
      </c>
    </row>
    <row r="1201" spans="1:5" ht="15" hidden="1" customHeight="1">
      <c r="A1201" s="71">
        <v>46156</v>
      </c>
      <c r="B1201" t="s">
        <v>615</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643</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512</v>
      </c>
      <c r="D1211">
        <v>76431</v>
      </c>
    </row>
    <row r="1212" spans="1:5" ht="15" hidden="1" customHeight="1">
      <c r="A1212" s="71">
        <v>46157</v>
      </c>
      <c r="B1212" t="s">
        <v>460</v>
      </c>
      <c r="C1212">
        <v>2492</v>
      </c>
    </row>
    <row r="1213" spans="1:5" ht="15" hidden="1" customHeight="1">
      <c r="A1213" s="71">
        <v>46160</v>
      </c>
      <c r="B1213" t="s">
        <v>505</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742</v>
      </c>
      <c r="C1219">
        <v>261105</v>
      </c>
    </row>
    <row r="1220" spans="1:4" ht="15" hidden="1" customHeight="1">
      <c r="A1220" s="71">
        <v>46157</v>
      </c>
      <c r="B1220" t="s">
        <v>558</v>
      </c>
      <c r="D1220">
        <v>27862</v>
      </c>
    </row>
    <row r="1221" spans="1:4" ht="15" hidden="1" customHeight="1">
      <c r="A1221" s="71">
        <v>46157</v>
      </c>
      <c r="B1221" t="s">
        <v>644</v>
      </c>
      <c r="D1221">
        <v>100167</v>
      </c>
    </row>
    <row r="1222" spans="1:4" ht="15" hidden="1" customHeight="1">
      <c r="A1222" s="71">
        <v>46157</v>
      </c>
      <c r="B1222" t="s">
        <v>743</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460</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444</v>
      </c>
      <c r="C1230">
        <v>2203</v>
      </c>
    </row>
    <row r="1231" spans="1:4" ht="15" hidden="1" customHeight="1">
      <c r="A1231" s="71">
        <v>46162</v>
      </c>
      <c r="B1231" t="s">
        <v>512</v>
      </c>
      <c r="D1231">
        <v>77384</v>
      </c>
    </row>
    <row r="1232" spans="1:4" ht="15" hidden="1" customHeight="1">
      <c r="A1232" s="71">
        <v>46160</v>
      </c>
      <c r="B1232" t="s">
        <v>558</v>
      </c>
      <c r="D1232">
        <v>28768</v>
      </c>
    </row>
    <row r="1233" spans="1:5" ht="15" hidden="1" customHeight="1">
      <c r="A1233" s="71">
        <v>46160</v>
      </c>
      <c r="B1233" t="s">
        <v>400</v>
      </c>
      <c r="C1233">
        <v>8741</v>
      </c>
    </row>
    <row r="1234" spans="1:5" ht="15" hidden="1" customHeight="1">
      <c r="A1234" s="71">
        <v>46160</v>
      </c>
      <c r="B1234" t="s">
        <v>743</v>
      </c>
      <c r="D1234">
        <v>114995</v>
      </c>
    </row>
    <row r="1235" spans="1:5" ht="15" hidden="1" customHeight="1">
      <c r="A1235" s="71">
        <v>46160</v>
      </c>
      <c r="B1235" t="s">
        <v>643</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744</v>
      </c>
      <c r="C1239">
        <v>3790</v>
      </c>
    </row>
    <row r="1240" spans="1:5" ht="15" hidden="1" customHeight="1">
      <c r="A1240" s="71">
        <v>46161</v>
      </c>
      <c r="B1240" t="s">
        <v>412</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615</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505</v>
      </c>
      <c r="D1247">
        <v>74979</v>
      </c>
      <c r="E1247" t="s">
        <v>33</v>
      </c>
    </row>
    <row r="1248" spans="1:5" ht="15" hidden="1" customHeight="1">
      <c r="A1248" s="71">
        <v>46162</v>
      </c>
      <c r="B1248" t="s">
        <v>400</v>
      </c>
      <c r="C1248">
        <v>8750</v>
      </c>
    </row>
    <row r="1249" spans="1:5" ht="15" hidden="1" customHeight="1">
      <c r="A1249" s="71">
        <v>46162</v>
      </c>
      <c r="B1249" t="s">
        <v>460</v>
      </c>
      <c r="C1249">
        <v>2503</v>
      </c>
    </row>
    <row r="1250" spans="1:5" ht="15" hidden="1" customHeight="1">
      <c r="A1250" s="71">
        <v>46162</v>
      </c>
      <c r="B1250" t="s">
        <v>180</v>
      </c>
      <c r="C1250">
        <v>9170</v>
      </c>
      <c r="D1250">
        <v>173073</v>
      </c>
    </row>
    <row r="1251" spans="1:5" ht="15" hidden="1" customHeight="1">
      <c r="A1251" s="71">
        <v>46162</v>
      </c>
      <c r="B1251" t="s">
        <v>644</v>
      </c>
      <c r="D1251">
        <v>100644</v>
      </c>
    </row>
    <row r="1252" spans="1:5" ht="15" hidden="1" customHeight="1">
      <c r="A1252" s="71">
        <v>46162</v>
      </c>
    </row>
    <row r="1253" spans="1:5" ht="15" hidden="1" customHeight="1">
      <c r="A1253" s="71">
        <v>46163</v>
      </c>
      <c r="B1253" t="s">
        <v>643</v>
      </c>
      <c r="D1253">
        <v>117259</v>
      </c>
    </row>
    <row r="1254" spans="1:5" ht="15" hidden="1" customHeight="1">
      <c r="A1254" s="71">
        <v>46163</v>
      </c>
      <c r="D1254">
        <v>47243</v>
      </c>
    </row>
    <row r="1255" spans="1:5" ht="15" hidden="1" customHeight="1">
      <c r="A1255" s="71">
        <v>46163</v>
      </c>
      <c r="B1255" t="s">
        <v>742</v>
      </c>
      <c r="D1255">
        <v>262464</v>
      </c>
    </row>
    <row r="1256" spans="1:5" hidden="1">
      <c r="A1256" s="71">
        <v>46163</v>
      </c>
      <c r="B1256" t="s">
        <v>633</v>
      </c>
      <c r="D1256">
        <v>130588</v>
      </c>
    </row>
    <row r="1257" spans="1:5" ht="15" hidden="1" customHeight="1">
      <c r="A1257" s="71">
        <v>46163</v>
      </c>
      <c r="B1257" t="s">
        <v>743</v>
      </c>
      <c r="D1257">
        <v>115239</v>
      </c>
    </row>
    <row r="1258" spans="1:5" ht="15" hidden="1" customHeight="1">
      <c r="A1258" s="71">
        <v>46163</v>
      </c>
      <c r="B1258" t="s">
        <v>268</v>
      </c>
      <c r="C1258">
        <v>10238</v>
      </c>
    </row>
    <row r="1259" spans="1:5" ht="15" hidden="1" customHeight="1">
      <c r="A1259" s="71">
        <v>46163</v>
      </c>
      <c r="B1259" t="s">
        <v>412</v>
      </c>
      <c r="C1259">
        <v>4397</v>
      </c>
    </row>
    <row r="1260" spans="1:5" ht="15" hidden="1" customHeight="1">
      <c r="A1260" s="71">
        <v>46171</v>
      </c>
      <c r="B1260" t="s">
        <v>505</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558</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444</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460</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400</v>
      </c>
      <c r="C1273">
        <v>8758</v>
      </c>
    </row>
    <row r="1274" spans="1:4" ht="15" hidden="1" customHeight="1">
      <c r="A1274" s="71">
        <v>46167</v>
      </c>
      <c r="D1274">
        <v>48020</v>
      </c>
    </row>
    <row r="1275" spans="1:4" ht="15" hidden="1" customHeight="1">
      <c r="A1275" s="71">
        <v>46167</v>
      </c>
      <c r="B1275" t="s">
        <v>643</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648</v>
      </c>
      <c r="D1279">
        <v>138456</v>
      </c>
    </row>
    <row r="1280" spans="1:4" ht="15" hidden="1" customHeight="1">
      <c r="A1280" s="71">
        <v>46168</v>
      </c>
      <c r="B1280" t="s">
        <v>743</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643</v>
      </c>
      <c r="D1284">
        <v>117775</v>
      </c>
    </row>
    <row r="1285" spans="1:4" ht="15" hidden="1" customHeight="1">
      <c r="A1285" s="71">
        <v>46169</v>
      </c>
      <c r="B1285" t="s">
        <v>400</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418</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633</v>
      </c>
      <c r="D1292">
        <v>131689</v>
      </c>
    </row>
    <row r="1293" spans="1:4" ht="15" hidden="1" customHeight="1">
      <c r="A1293" s="71">
        <v>46169</v>
      </c>
      <c r="B1293" t="s">
        <v>546</v>
      </c>
      <c r="D1293">
        <v>54102</v>
      </c>
    </row>
    <row r="1294" spans="1:4" ht="15" hidden="1" customHeight="1">
      <c r="A1294" s="71">
        <v>46169</v>
      </c>
      <c r="B1294" t="s">
        <v>558</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400</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643</v>
      </c>
      <c r="D1305">
        <v>117972</v>
      </c>
    </row>
    <row r="1306" spans="1:4" ht="15" hidden="1" customHeight="1">
      <c r="A1306" s="71">
        <v>46171</v>
      </c>
      <c r="B1306" t="s">
        <v>412</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512</v>
      </c>
      <c r="D1309">
        <v>79224</v>
      </c>
    </row>
    <row r="1310" spans="1:4" ht="15" hidden="1" customHeight="1">
      <c r="A1310" s="71">
        <v>46171</v>
      </c>
      <c r="B1310" t="s">
        <v>418</v>
      </c>
      <c r="C1310">
        <v>10560</v>
      </c>
    </row>
    <row r="1311" spans="1:4" ht="15" hidden="1" customHeight="1">
      <c r="A1311" s="71">
        <v>46171</v>
      </c>
    </row>
    <row r="1312" spans="1:4" ht="15" hidden="1" customHeight="1">
      <c r="A1312" s="71">
        <v>46171</v>
      </c>
      <c r="B1312" t="s">
        <v>560</v>
      </c>
      <c r="D1312">
        <v>30906</v>
      </c>
    </row>
    <row r="1313" spans="1:5" ht="15" hidden="1" customHeight="1">
      <c r="A1313" s="71">
        <v>46171</v>
      </c>
      <c r="D1313">
        <v>48916</v>
      </c>
    </row>
    <row r="1314" spans="1:5" ht="15" hidden="1" customHeight="1">
      <c r="A1314" s="71">
        <v>46171</v>
      </c>
      <c r="B1314" t="s">
        <v>742</v>
      </c>
      <c r="D1314">
        <v>262958</v>
      </c>
    </row>
    <row r="1315" spans="1:5" ht="15" hidden="1" customHeight="1">
      <c r="A1315" s="71">
        <v>46171</v>
      </c>
      <c r="B1315" t="s">
        <v>644</v>
      </c>
      <c r="D1315">
        <v>101403</v>
      </c>
    </row>
    <row r="1316" spans="1:5" ht="15" hidden="1" customHeight="1">
      <c r="A1316" s="71">
        <v>46178</v>
      </c>
      <c r="B1316" t="s">
        <v>505</v>
      </c>
      <c r="D1316">
        <v>76726</v>
      </c>
      <c r="E1316" t="s">
        <v>33</v>
      </c>
    </row>
    <row r="1317" spans="1:5" ht="15" hidden="1" customHeight="1">
      <c r="A1317" s="71">
        <v>46174</v>
      </c>
      <c r="B1317" t="s">
        <v>418</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412</v>
      </c>
      <c r="C1321">
        <v>4712</v>
      </c>
    </row>
    <row r="1322" spans="1:5" ht="15" hidden="1" customHeight="1">
      <c r="A1322" s="71">
        <v>46174</v>
      </c>
      <c r="B1322" t="s">
        <v>444</v>
      </c>
      <c r="C1322">
        <v>2243</v>
      </c>
    </row>
    <row r="1323" spans="1:5" ht="15" hidden="1" customHeight="1">
      <c r="A1323" s="71">
        <v>46174</v>
      </c>
      <c r="B1323" t="s">
        <v>743</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643</v>
      </c>
      <c r="D1326">
        <v>118430</v>
      </c>
    </row>
    <row r="1327" spans="1:5" ht="15" hidden="1" customHeight="1">
      <c r="A1327" s="71">
        <v>46175</v>
      </c>
      <c r="B1327" t="s">
        <v>400</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412</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418</v>
      </c>
      <c r="C1335">
        <v>10571</v>
      </c>
    </row>
    <row r="1336" spans="1:4" ht="15" hidden="1" customHeight="1">
      <c r="A1336" s="71">
        <v>46176</v>
      </c>
      <c r="B1336" t="s">
        <v>644</v>
      </c>
      <c r="D1336">
        <v>102163</v>
      </c>
    </row>
    <row r="1337" spans="1:4" ht="15" hidden="1" customHeight="1">
      <c r="A1337" s="71">
        <v>46176</v>
      </c>
      <c r="B1337" t="s">
        <v>143</v>
      </c>
      <c r="D1337">
        <v>810414</v>
      </c>
    </row>
    <row r="1338" spans="1:4" ht="15" hidden="1" customHeight="1">
      <c r="A1338" s="71">
        <v>46176</v>
      </c>
      <c r="B1338" t="s">
        <v>615</v>
      </c>
      <c r="D1338">
        <v>147132</v>
      </c>
    </row>
    <row r="1339" spans="1:4" ht="15" hidden="1" customHeight="1">
      <c r="A1339" s="71">
        <v>46176</v>
      </c>
      <c r="B1339" t="s">
        <v>558</v>
      </c>
      <c r="D1339">
        <v>31297</v>
      </c>
    </row>
    <row r="1340" spans="1:4" ht="15" hidden="1" customHeight="1">
      <c r="A1340" s="71">
        <v>46177</v>
      </c>
      <c r="B1340" t="s">
        <v>180</v>
      </c>
      <c r="C1340">
        <v>9240</v>
      </c>
      <c r="D1340">
        <v>174307</v>
      </c>
    </row>
    <row r="1341" spans="1:4" ht="15" hidden="1" customHeight="1">
      <c r="A1341" s="71">
        <v>46177</v>
      </c>
      <c r="B1341" t="s">
        <v>633</v>
      </c>
      <c r="D1341">
        <v>132428</v>
      </c>
    </row>
    <row r="1342" spans="1:4" ht="15" hidden="1" customHeight="1">
      <c r="A1342" s="71">
        <v>46177</v>
      </c>
      <c r="B1342" t="s">
        <v>444</v>
      </c>
      <c r="C1342">
        <v>2257</v>
      </c>
    </row>
    <row r="1343" spans="1:4" ht="15" hidden="1" customHeight="1">
      <c r="A1343" s="71">
        <v>46177</v>
      </c>
      <c r="B1343" t="s">
        <v>418</v>
      </c>
      <c r="C1343">
        <v>10578</v>
      </c>
    </row>
    <row r="1344" spans="1:4" ht="15" hidden="1" customHeight="1">
      <c r="A1344" s="71">
        <v>46177</v>
      </c>
      <c r="B1344" t="s">
        <v>460</v>
      </c>
      <c r="C1344">
        <v>2531</v>
      </c>
    </row>
    <row r="1345" spans="1:4" ht="15" hidden="1" customHeight="1">
      <c r="A1345" s="71">
        <v>46177</v>
      </c>
      <c r="B1345" t="s">
        <v>575</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743</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643</v>
      </c>
      <c r="D1352">
        <v>118728</v>
      </c>
    </row>
    <row r="1353" spans="1:4" ht="15" hidden="1" customHeight="1">
      <c r="A1353" s="71">
        <v>46178</v>
      </c>
      <c r="B1353" t="s">
        <v>633</v>
      </c>
      <c r="D1353">
        <v>132505</v>
      </c>
    </row>
    <row r="1354" spans="1:4" ht="15" hidden="1" customHeight="1">
      <c r="A1354" s="71">
        <v>46178</v>
      </c>
      <c r="B1354" t="s">
        <v>412</v>
      </c>
      <c r="C1354">
        <v>4737</v>
      </c>
    </row>
    <row r="1355" spans="1:4" ht="15" hidden="1" customHeight="1">
      <c r="A1355" s="71">
        <v>46178</v>
      </c>
      <c r="B1355" t="s">
        <v>418</v>
      </c>
      <c r="C1355">
        <v>10587</v>
      </c>
    </row>
    <row r="1356" spans="1:4" hidden="1">
      <c r="A1356" s="71">
        <v>46178</v>
      </c>
      <c r="B1356" t="s">
        <v>512</v>
      </c>
      <c r="D1356">
        <v>81046</v>
      </c>
    </row>
    <row r="1357" spans="1:4" ht="15" hidden="1" customHeight="1">
      <c r="A1357" s="71">
        <v>46178</v>
      </c>
      <c r="D1357">
        <v>365460</v>
      </c>
    </row>
    <row r="1358" spans="1:4" ht="15" hidden="1" customHeight="1">
      <c r="A1358" s="71">
        <v>46178</v>
      </c>
      <c r="B1358" t="s">
        <v>560</v>
      </c>
      <c r="D1358">
        <v>32437</v>
      </c>
    </row>
    <row r="1359" spans="1:4" ht="15" hidden="1" customHeight="1">
      <c r="A1359" s="71">
        <v>46178</v>
      </c>
    </row>
    <row r="1360" spans="1:4" ht="15" hidden="1" customHeight="1">
      <c r="A1360" s="71">
        <v>46178</v>
      </c>
      <c r="D1360">
        <v>50313</v>
      </c>
    </row>
    <row r="1361" spans="1:4" ht="15" hidden="1" customHeight="1">
      <c r="A1361" s="71">
        <v>46178</v>
      </c>
      <c r="B1361" t="s">
        <v>742</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644</v>
      </c>
      <c r="D1364">
        <v>102342</v>
      </c>
    </row>
    <row r="1365" spans="1:4" ht="15" hidden="1" customHeight="1">
      <c r="A1365" s="71">
        <v>46181</v>
      </c>
      <c r="B1365" t="s">
        <v>418</v>
      </c>
      <c r="C1365">
        <v>10590</v>
      </c>
    </row>
    <row r="1366" spans="1:4" ht="15" hidden="1" customHeight="1">
      <c r="A1366" s="71">
        <v>46181</v>
      </c>
      <c r="B1366" t="s">
        <v>460</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744</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643</v>
      </c>
      <c r="D1372">
        <v>119103</v>
      </c>
    </row>
    <row r="1373" spans="1:4" ht="15" hidden="1" customHeight="1">
      <c r="A1373" s="71">
        <v>46182</v>
      </c>
      <c r="B1373" t="s">
        <v>696</v>
      </c>
      <c r="C1373">
        <v>434</v>
      </c>
    </row>
    <row r="1374" spans="1:4" ht="15" hidden="1" customHeight="1">
      <c r="A1374" s="71">
        <v>46182</v>
      </c>
      <c r="B1374" t="s">
        <v>633</v>
      </c>
      <c r="D1374">
        <v>132855</v>
      </c>
    </row>
    <row r="1375" spans="1:4" ht="15" hidden="1" customHeight="1">
      <c r="A1375" s="71">
        <v>46182</v>
      </c>
      <c r="B1375" t="s">
        <v>143</v>
      </c>
      <c r="D1375">
        <v>810571</v>
      </c>
    </row>
    <row r="1376" spans="1:4" ht="15" hidden="1" customHeight="1">
      <c r="A1376" s="71">
        <v>46178</v>
      </c>
      <c r="B1376" t="s">
        <v>421</v>
      </c>
      <c r="C1376">
        <v>8497</v>
      </c>
    </row>
    <row r="1377" spans="1:4" ht="15" hidden="1" customHeight="1">
      <c r="A1377" s="71">
        <v>46160</v>
      </c>
      <c r="B1377" t="s">
        <v>19</v>
      </c>
      <c r="C1377">
        <v>10633</v>
      </c>
    </row>
    <row r="1378" spans="1:4" ht="15" hidden="1" customHeight="1">
      <c r="A1378" s="71">
        <v>46178</v>
      </c>
      <c r="B1378" t="s">
        <v>450</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424</v>
      </c>
      <c r="C1381">
        <v>5858</v>
      </c>
    </row>
    <row r="1382" spans="1:4" ht="15" hidden="1" customHeight="1">
      <c r="A1382" s="71">
        <v>46176</v>
      </c>
      <c r="B1382" t="s">
        <v>311</v>
      </c>
      <c r="C1382">
        <v>17175</v>
      </c>
    </row>
    <row r="1383" spans="1:4" ht="15" hidden="1" customHeight="1">
      <c r="A1383" s="71">
        <v>46178</v>
      </c>
      <c r="B1383" t="s">
        <v>502</v>
      </c>
      <c r="D1383">
        <v>129402</v>
      </c>
    </row>
    <row r="1384" spans="1:4" ht="15" hidden="1" customHeight="1">
      <c r="A1384" s="71">
        <v>46178</v>
      </c>
      <c r="B1384" t="s">
        <v>637</v>
      </c>
      <c r="D1384">
        <v>139007</v>
      </c>
    </row>
    <row r="1385" spans="1:4" ht="15" hidden="1" customHeight="1">
      <c r="A1385" s="71">
        <v>46178</v>
      </c>
      <c r="B1385" t="s">
        <v>646</v>
      </c>
      <c r="D1385">
        <v>158673</v>
      </c>
    </row>
    <row r="1386" spans="1:4" ht="15" hidden="1" customHeight="1">
      <c r="A1386" s="71">
        <v>46178</v>
      </c>
      <c r="B1386" t="s">
        <v>521</v>
      </c>
      <c r="D1386">
        <v>76049</v>
      </c>
    </row>
    <row r="1387" spans="1:4" ht="15" hidden="1" customHeight="1">
      <c r="A1387" s="71">
        <v>46178</v>
      </c>
      <c r="B1387" t="s">
        <v>525</v>
      </c>
      <c r="D1387">
        <v>50072</v>
      </c>
    </row>
    <row r="1388" spans="1:4" ht="15" hidden="1" customHeight="1">
      <c r="A1388" s="71">
        <v>46178</v>
      </c>
      <c r="B1388" t="s">
        <v>550</v>
      </c>
      <c r="D1388">
        <v>105438</v>
      </c>
    </row>
    <row r="1389" spans="1:4" ht="15" hidden="1" customHeight="1">
      <c r="A1389" s="71">
        <v>46178</v>
      </c>
      <c r="B1389" t="s">
        <v>536</v>
      </c>
      <c r="D1389">
        <v>80238</v>
      </c>
    </row>
    <row r="1390" spans="1:4" ht="15" hidden="1" customHeight="1">
      <c r="A1390" s="71">
        <v>46160</v>
      </c>
      <c r="B1390" t="s">
        <v>19</v>
      </c>
      <c r="C1390">
        <v>10633</v>
      </c>
    </row>
    <row r="1391" spans="1:4" ht="15" hidden="1" customHeight="1">
      <c r="A1391" s="71">
        <v>46131</v>
      </c>
      <c r="B1391" t="s">
        <v>450</v>
      </c>
      <c r="C1391">
        <v>1944</v>
      </c>
    </row>
    <row r="1392" spans="1:4" ht="15" hidden="1" customHeight="1">
      <c r="A1392" s="71">
        <v>46163</v>
      </c>
      <c r="B1392" t="s">
        <v>305</v>
      </c>
      <c r="C1392">
        <v>8894</v>
      </c>
    </row>
    <row r="1393" spans="1:4" ht="15" hidden="1" customHeight="1">
      <c r="A1393" s="71">
        <v>46163</v>
      </c>
      <c r="B1393" t="s">
        <v>646</v>
      </c>
      <c r="D1393">
        <v>156455</v>
      </c>
    </row>
    <row r="1394" spans="1:4" ht="15" hidden="1" customHeight="1">
      <c r="A1394" s="71">
        <v>46163</v>
      </c>
      <c r="B1394" t="s">
        <v>521</v>
      </c>
      <c r="D1394">
        <v>74488</v>
      </c>
    </row>
    <row r="1395" spans="1:4" ht="15" hidden="1" customHeight="1">
      <c r="A1395" s="71">
        <v>46133</v>
      </c>
      <c r="B1395" t="s">
        <v>536</v>
      </c>
      <c r="D1395">
        <v>78172</v>
      </c>
    </row>
    <row r="1396" spans="1:4" ht="15" hidden="1" customHeight="1">
      <c r="A1396" s="71">
        <v>46185</v>
      </c>
      <c r="B1396" t="s">
        <v>450</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502</v>
      </c>
      <c r="D1399">
        <v>130401</v>
      </c>
    </row>
    <row r="1400" spans="1:4" ht="15" hidden="1" customHeight="1">
      <c r="A1400" s="71">
        <v>46185</v>
      </c>
      <c r="B1400" t="s">
        <v>637</v>
      </c>
      <c r="C1400">
        <v>140014</v>
      </c>
    </row>
    <row r="1401" spans="1:4" ht="15" hidden="1" customHeight="1">
      <c r="A1401" s="71">
        <v>46185</v>
      </c>
      <c r="B1401" t="s">
        <v>646</v>
      </c>
      <c r="C1401">
        <v>159652</v>
      </c>
    </row>
    <row r="1402" spans="1:4" ht="15" hidden="1" customHeight="1">
      <c r="A1402" s="71">
        <v>46185</v>
      </c>
      <c r="B1402" t="s">
        <v>521</v>
      </c>
      <c r="C1402">
        <v>76049</v>
      </c>
    </row>
    <row r="1403" spans="1:4" ht="15" hidden="1" customHeight="1">
      <c r="A1403" s="71">
        <v>46185</v>
      </c>
      <c r="B1403" t="s">
        <v>525</v>
      </c>
      <c r="C1403">
        <v>50628</v>
      </c>
    </row>
    <row r="1404" spans="1:4" ht="15" hidden="1" customHeight="1">
      <c r="A1404" s="71">
        <v>46185</v>
      </c>
      <c r="B1404" t="s">
        <v>550</v>
      </c>
      <c r="C1404">
        <v>105438</v>
      </c>
    </row>
    <row r="1405" spans="1:4" ht="15" hidden="1" customHeight="1">
      <c r="A1405" s="71">
        <v>46185</v>
      </c>
      <c r="B1405" t="s">
        <v>536</v>
      </c>
      <c r="C1405">
        <v>81171</v>
      </c>
    </row>
    <row r="1406" spans="1:4" ht="15" hidden="1" customHeight="1">
      <c r="A1406" s="71">
        <v>46185</v>
      </c>
      <c r="B1406" t="s">
        <v>573</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412</v>
      </c>
      <c r="C1411">
        <v>4777</v>
      </c>
      <c r="E1411" t="s">
        <v>33</v>
      </c>
    </row>
    <row r="1412" spans="1:5" ht="15" hidden="1" customHeight="1">
      <c r="A1412" s="71">
        <v>46190</v>
      </c>
      <c r="B1412" t="s">
        <v>418</v>
      </c>
      <c r="C1412">
        <v>10631</v>
      </c>
      <c r="E1412" t="s">
        <v>33</v>
      </c>
    </row>
    <row r="1413" spans="1:5" ht="15" hidden="1" customHeight="1">
      <c r="A1413" s="71">
        <v>46191</v>
      </c>
      <c r="B1413" t="s">
        <v>333</v>
      </c>
      <c r="C1413">
        <v>7216</v>
      </c>
      <c r="E1413" t="s">
        <v>33</v>
      </c>
    </row>
    <row r="1414" spans="1:5" ht="15" hidden="1" customHeight="1">
      <c r="A1414" s="71">
        <v>46191</v>
      </c>
      <c r="B1414" t="s">
        <v>418</v>
      </c>
      <c r="C1414">
        <v>10635</v>
      </c>
      <c r="E1414" t="s">
        <v>33</v>
      </c>
    </row>
    <row r="1415" spans="1:5" ht="15" hidden="1" customHeight="1">
      <c r="A1415" s="71">
        <v>46191</v>
      </c>
      <c r="B1415" t="s">
        <v>460</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400</v>
      </c>
      <c r="C1424">
        <v>8811</v>
      </c>
      <c r="E1424" t="s">
        <v>33</v>
      </c>
    </row>
    <row r="1425" spans="1:5" ht="15" hidden="1" customHeight="1">
      <c r="A1425" s="71">
        <v>46189</v>
      </c>
      <c r="B1425" t="s">
        <v>400</v>
      </c>
      <c r="C1425">
        <v>8814</v>
      </c>
      <c r="E1425" t="s">
        <v>33</v>
      </c>
    </row>
    <row r="1426" spans="1:5" ht="15" hidden="1" customHeight="1">
      <c r="A1426" s="71">
        <v>46189</v>
      </c>
      <c r="B1426" t="s">
        <v>412</v>
      </c>
      <c r="C1426">
        <v>4766</v>
      </c>
      <c r="E1426" t="s">
        <v>33</v>
      </c>
    </row>
    <row r="1427" spans="1:5" ht="15" hidden="1" customHeight="1">
      <c r="A1427" s="71">
        <v>46189</v>
      </c>
      <c r="B1427" t="s">
        <v>412</v>
      </c>
      <c r="C1427">
        <v>4771</v>
      </c>
      <c r="E1427" t="s">
        <v>33</v>
      </c>
    </row>
    <row r="1428" spans="1:5" ht="15" hidden="1" customHeight="1">
      <c r="A1428" s="71">
        <v>46189</v>
      </c>
      <c r="B1428" t="s">
        <v>418</v>
      </c>
      <c r="C1428">
        <v>10626</v>
      </c>
      <c r="E1428" t="s">
        <v>33</v>
      </c>
    </row>
    <row r="1429" spans="1:5" ht="15" hidden="1" customHeight="1">
      <c r="A1429" s="71">
        <v>46189</v>
      </c>
      <c r="B1429" t="s">
        <v>444</v>
      </c>
      <c r="C1429">
        <v>2297</v>
      </c>
      <c r="E1429" t="s">
        <v>33</v>
      </c>
    </row>
    <row r="1430" spans="1:5" ht="15" hidden="1" customHeight="1">
      <c r="A1430" s="71">
        <v>46189</v>
      </c>
      <c r="B1430" t="s">
        <v>460</v>
      </c>
      <c r="C1430">
        <v>2574</v>
      </c>
      <c r="E1430" t="s">
        <v>33</v>
      </c>
    </row>
    <row r="1431" spans="1:5" ht="15" hidden="1" customHeight="1">
      <c r="A1431" s="71">
        <v>46189</v>
      </c>
      <c r="B1431" t="s">
        <v>546</v>
      </c>
      <c r="D1431">
        <v>57547</v>
      </c>
      <c r="E1431" t="s">
        <v>33</v>
      </c>
    </row>
    <row r="1432" spans="1:5" ht="15" hidden="1" customHeight="1">
      <c r="A1432" s="71">
        <v>46189</v>
      </c>
      <c r="B1432" t="s">
        <v>558</v>
      </c>
      <c r="D1432">
        <v>32667</v>
      </c>
      <c r="E1432" t="s">
        <v>33</v>
      </c>
    </row>
    <row r="1433" spans="1:5" ht="15" hidden="1" customHeight="1">
      <c r="A1433" s="71">
        <v>46188</v>
      </c>
      <c r="B1433" t="s">
        <v>575</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558</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746</v>
      </c>
    </row>
    <row r="3926" spans="1:7" ht="15" hidden="1" customHeight="1">
      <c r="A3926" s="79">
        <v>46136</v>
      </c>
      <c r="B3926" t="s">
        <v>305</v>
      </c>
      <c r="C3926">
        <v>8832</v>
      </c>
      <c r="G3926" t="s">
        <v>746</v>
      </c>
    </row>
    <row r="3927" spans="1:7" ht="15" hidden="1" customHeight="1">
      <c r="A3927" s="79">
        <v>46183</v>
      </c>
      <c r="B3927" t="s">
        <v>313</v>
      </c>
      <c r="C3927">
        <v>21615</v>
      </c>
      <c r="E3927" t="s">
        <v>316</v>
      </c>
    </row>
    <row r="3928" spans="1:7" ht="15" hidden="1" customHeight="1">
      <c r="A3928" s="79">
        <v>46183</v>
      </c>
      <c r="B3928" t="s">
        <v>747</v>
      </c>
      <c r="C3928">
        <v>653</v>
      </c>
      <c r="E3928" t="s">
        <v>316</v>
      </c>
    </row>
    <row r="3929" spans="1:7" ht="15" hidden="1" customHeight="1">
      <c r="A3929" s="79">
        <v>46183</v>
      </c>
      <c r="B3929" t="s">
        <v>360</v>
      </c>
      <c r="C3929">
        <v>7168</v>
      </c>
      <c r="E3929" t="s">
        <v>316</v>
      </c>
    </row>
    <row r="3930" spans="1:7" ht="15" hidden="1" customHeight="1">
      <c r="A3930" s="79">
        <v>46183</v>
      </c>
      <c r="B3930" t="s">
        <v>424</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418</v>
      </c>
      <c r="C3933">
        <v>10635</v>
      </c>
      <c r="E3933" t="s">
        <v>33</v>
      </c>
    </row>
    <row r="3934" spans="1:7" ht="15" hidden="1" customHeight="1">
      <c r="A3934" s="79">
        <v>46191</v>
      </c>
      <c r="B3934" s="88" t="s">
        <v>460</v>
      </c>
      <c r="C3934">
        <v>2580</v>
      </c>
      <c r="E3934" t="s">
        <v>33</v>
      </c>
    </row>
    <row r="3935" spans="1:7" ht="15" hidden="1" customHeight="1">
      <c r="A3935" s="79">
        <v>46191</v>
      </c>
      <c r="B3935" s="88" t="s">
        <v>444</v>
      </c>
      <c r="C3935">
        <v>2316</v>
      </c>
      <c r="E3935" t="s">
        <v>33</v>
      </c>
    </row>
    <row r="3936" spans="1:7" ht="15" hidden="1" customHeight="1">
      <c r="A3936" s="79">
        <v>46191</v>
      </c>
      <c r="B3936" s="88" t="s">
        <v>412</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643</v>
      </c>
      <c r="D3938">
        <v>119726</v>
      </c>
      <c r="E3938" t="s">
        <v>33</v>
      </c>
    </row>
    <row r="3939" spans="1:5" ht="15" hidden="1" customHeight="1">
      <c r="A3939" s="79">
        <v>46191</v>
      </c>
      <c r="B3939" s="88" t="s">
        <v>412</v>
      </c>
      <c r="C3939">
        <v>4777</v>
      </c>
      <c r="E3939" t="s">
        <v>33</v>
      </c>
    </row>
    <row r="3940" spans="1:5" ht="15" hidden="1" customHeight="1">
      <c r="A3940" s="79">
        <v>46191</v>
      </c>
      <c r="B3940" s="88" t="s">
        <v>744</v>
      </c>
      <c r="C3940">
        <v>3970</v>
      </c>
      <c r="E3940" t="s">
        <v>33</v>
      </c>
    </row>
    <row r="3941" spans="1:5" ht="15" hidden="1" customHeight="1">
      <c r="A3941" s="79">
        <v>46191</v>
      </c>
      <c r="B3941" s="88" t="s">
        <v>444</v>
      </c>
      <c r="C3941">
        <v>2311</v>
      </c>
      <c r="E3941" t="s">
        <v>33</v>
      </c>
    </row>
    <row r="3942" spans="1:5" ht="15" hidden="1" customHeight="1">
      <c r="A3942" s="79">
        <v>46191</v>
      </c>
      <c r="B3942" s="88" t="s">
        <v>400</v>
      </c>
      <c r="C3942">
        <v>8815</v>
      </c>
      <c r="E3942" t="s">
        <v>33</v>
      </c>
    </row>
    <row r="3943" spans="1:5" ht="15" hidden="1" customHeight="1">
      <c r="A3943" s="79">
        <v>46191</v>
      </c>
      <c r="B3943" s="88" t="s">
        <v>418</v>
      </c>
      <c r="C3943">
        <v>10631</v>
      </c>
      <c r="E3943" t="s">
        <v>33</v>
      </c>
    </row>
    <row r="3944" spans="1:5" ht="15" hidden="1" customHeight="1">
      <c r="A3944" s="79">
        <v>46191</v>
      </c>
      <c r="B3944" s="88" t="s">
        <v>575</v>
      </c>
      <c r="D3944">
        <v>413622</v>
      </c>
      <c r="E3944" t="s">
        <v>33</v>
      </c>
    </row>
    <row r="3945" spans="1:5" ht="15" hidden="1" customHeight="1">
      <c r="A3945" s="79">
        <v>46192</v>
      </c>
      <c r="B3945" s="88" t="s">
        <v>444</v>
      </c>
      <c r="C3945">
        <v>2321</v>
      </c>
      <c r="E3945" t="s">
        <v>33</v>
      </c>
    </row>
    <row r="3946" spans="1:5" ht="15" hidden="1" customHeight="1">
      <c r="A3946" s="79">
        <v>46192</v>
      </c>
      <c r="B3946" s="88" t="s">
        <v>412</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460</v>
      </c>
      <c r="C3949">
        <v>2584</v>
      </c>
      <c r="E3949" t="s">
        <v>33</v>
      </c>
    </row>
    <row r="3950" spans="1:5" ht="15" hidden="1" customHeight="1">
      <c r="A3950" s="79">
        <v>46192</v>
      </c>
      <c r="B3950" s="88" t="s">
        <v>460</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644</v>
      </c>
      <c r="E3954" t="s">
        <v>33</v>
      </c>
    </row>
    <row r="3955" spans="1:5" ht="15" hidden="1" customHeight="1">
      <c r="A3955" s="79">
        <v>46192</v>
      </c>
      <c r="B3955" s="88" t="s">
        <v>558</v>
      </c>
      <c r="E3955" t="s">
        <v>33</v>
      </c>
    </row>
    <row r="3956" spans="1:5" ht="15" hidden="1" customHeight="1">
      <c r="A3956" s="79">
        <v>46195</v>
      </c>
      <c r="B3956" s="88" t="s">
        <v>444</v>
      </c>
      <c r="C3956">
        <v>2326</v>
      </c>
      <c r="D3956">
        <v>39202</v>
      </c>
      <c r="E3956" t="s">
        <v>33</v>
      </c>
    </row>
    <row r="3957" spans="1:5" ht="15" hidden="1" customHeight="1">
      <c r="A3957" s="79">
        <v>46195</v>
      </c>
      <c r="B3957" s="88" t="s">
        <v>412</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460</v>
      </c>
      <c r="C3961">
        <v>2587</v>
      </c>
      <c r="E3961" t="s">
        <v>33</v>
      </c>
    </row>
    <row r="3962" spans="1:5" ht="15" hidden="1" customHeight="1">
      <c r="A3962" s="79">
        <v>46195</v>
      </c>
      <c r="B3962" s="88" t="s">
        <v>412</v>
      </c>
      <c r="C3962">
        <v>4790</v>
      </c>
      <c r="D3962">
        <v>172785</v>
      </c>
      <c r="E3962" t="s">
        <v>33</v>
      </c>
    </row>
    <row r="3963" spans="1:5" ht="15" hidden="1" customHeight="1">
      <c r="A3963" s="79">
        <v>46195</v>
      </c>
      <c r="B3963" s="88" t="s">
        <v>143</v>
      </c>
      <c r="E3963" t="s">
        <v>33</v>
      </c>
    </row>
    <row r="3964" spans="1:5" ht="15" hidden="1" customHeight="1">
      <c r="A3964" s="79">
        <v>46196</v>
      </c>
      <c r="B3964" s="88" t="s">
        <v>444</v>
      </c>
      <c r="C3964">
        <v>2332</v>
      </c>
      <c r="E3964" t="s">
        <v>33</v>
      </c>
    </row>
    <row r="3965" spans="1:5" ht="15" hidden="1" customHeight="1">
      <c r="A3965" s="79">
        <v>46196</v>
      </c>
      <c r="B3965" s="88" t="s">
        <v>412</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418</v>
      </c>
      <c r="C3968">
        <v>10640</v>
      </c>
      <c r="E3968" t="s">
        <v>33</v>
      </c>
    </row>
    <row r="3969" spans="1:5" ht="15" hidden="1" customHeight="1">
      <c r="A3969" s="79">
        <v>46196</v>
      </c>
      <c r="B3969" s="88" t="s">
        <v>558</v>
      </c>
      <c r="E3969" t="s">
        <v>33</v>
      </c>
    </row>
    <row r="3970" spans="1:5" ht="15" hidden="1" customHeight="1">
      <c r="A3970" s="79">
        <v>46196</v>
      </c>
      <c r="B3970" s="88" t="s">
        <v>444</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412</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412</v>
      </c>
      <c r="C3976">
        <v>4803</v>
      </c>
      <c r="E3976" t="s">
        <v>33</v>
      </c>
    </row>
    <row r="3977" spans="1:5" ht="15" hidden="1" customHeight="1">
      <c r="A3977" s="79">
        <v>46197</v>
      </c>
      <c r="B3977" s="88" t="s">
        <v>633</v>
      </c>
      <c r="D3977">
        <v>132860</v>
      </c>
      <c r="E3977" t="s">
        <v>33</v>
      </c>
    </row>
    <row r="3978" spans="1:5" ht="15" hidden="1" customHeight="1">
      <c r="A3978" s="79">
        <v>46197</v>
      </c>
      <c r="B3978" s="88" t="s">
        <v>444</v>
      </c>
      <c r="C3978">
        <v>2333</v>
      </c>
      <c r="E3978" t="s">
        <v>33</v>
      </c>
    </row>
    <row r="3979" spans="1:5" ht="15" hidden="1" customHeight="1">
      <c r="A3979" s="79">
        <v>46197</v>
      </c>
      <c r="B3979" s="88" t="s">
        <v>418</v>
      </c>
      <c r="C3979">
        <v>10634</v>
      </c>
      <c r="D3979">
        <v>54291</v>
      </c>
      <c r="E3979" t="s">
        <v>33</v>
      </c>
    </row>
    <row r="3980" spans="1:5" ht="15" hidden="1" customHeight="1">
      <c r="A3980" s="79">
        <v>46197</v>
      </c>
      <c r="B3980" s="88" t="s">
        <v>744</v>
      </c>
      <c r="C3980">
        <v>3970</v>
      </c>
      <c r="E3980" t="s">
        <v>33</v>
      </c>
    </row>
    <row r="3981" spans="1:5" ht="15" hidden="1" customHeight="1">
      <c r="A3981" s="79">
        <v>46197</v>
      </c>
      <c r="B3981" s="88" t="s">
        <v>268</v>
      </c>
      <c r="C3981">
        <v>10274</v>
      </c>
      <c r="E3981" t="s">
        <v>33</v>
      </c>
    </row>
    <row r="3982" spans="1:5" ht="15" hidden="1" customHeight="1">
      <c r="A3982" s="79">
        <v>46198</v>
      </c>
      <c r="B3982" s="88" t="s">
        <v>412</v>
      </c>
      <c r="C3982">
        <v>4816</v>
      </c>
      <c r="E3982" t="s">
        <v>33</v>
      </c>
    </row>
    <row r="3983" spans="1:5" ht="15" hidden="1" customHeight="1">
      <c r="A3983" s="79">
        <v>46198</v>
      </c>
      <c r="B3983" s="88" t="s">
        <v>171</v>
      </c>
      <c r="C3983">
        <v>8957</v>
      </c>
      <c r="E3983" t="s">
        <v>33</v>
      </c>
    </row>
    <row r="3984" spans="1:5" ht="15" hidden="1" customHeight="1">
      <c r="A3984" s="79">
        <v>46161</v>
      </c>
      <c r="B3984" t="s">
        <v>466</v>
      </c>
      <c r="D3984">
        <v>116347</v>
      </c>
    </row>
    <row r="3985" spans="1:4" ht="15" hidden="1" customHeight="1">
      <c r="A3985" s="79">
        <v>46147</v>
      </c>
      <c r="B3985" t="s">
        <v>582</v>
      </c>
      <c r="D3985">
        <v>169260</v>
      </c>
    </row>
    <row r="3986" spans="1:4" ht="15" hidden="1" customHeight="1">
      <c r="A3986" s="79">
        <v>46178</v>
      </c>
      <c r="B3986" t="s">
        <v>542</v>
      </c>
      <c r="D3986">
        <v>98990</v>
      </c>
    </row>
    <row r="3987" spans="1:4" ht="15" hidden="1" customHeight="1">
      <c r="A3987" s="79">
        <v>46174</v>
      </c>
      <c r="B3987" t="s">
        <v>648</v>
      </c>
      <c r="D3987">
        <v>139746</v>
      </c>
    </row>
    <row r="3988" spans="1:4" ht="15" hidden="1" customHeight="1">
      <c r="A3988" s="79">
        <v>46077</v>
      </c>
      <c r="B3988" t="s">
        <v>507</v>
      </c>
      <c r="D3988">
        <v>90248</v>
      </c>
    </row>
    <row r="3989" spans="1:4" ht="15" hidden="1" customHeight="1">
      <c r="A3989" s="79">
        <v>46121</v>
      </c>
      <c r="B3989" t="s">
        <v>507</v>
      </c>
      <c r="D3989" s="86">
        <v>104090</v>
      </c>
    </row>
    <row r="3990" spans="1:4" ht="15" hidden="1" customHeight="1">
      <c r="A3990" s="79">
        <v>46071</v>
      </c>
      <c r="B3990" t="s">
        <v>500</v>
      </c>
      <c r="D3990">
        <v>107335</v>
      </c>
    </row>
    <row r="3991" spans="1:4" ht="15" hidden="1" customHeight="1">
      <c r="A3991" s="79">
        <v>46126</v>
      </c>
      <c r="B3991" t="s">
        <v>500</v>
      </c>
      <c r="D3991">
        <v>117843</v>
      </c>
    </row>
    <row r="3992" spans="1:4" ht="15" hidden="1" customHeight="1">
      <c r="A3992" s="79">
        <v>46182</v>
      </c>
      <c r="B3992" t="s">
        <v>500</v>
      </c>
      <c r="D3992">
        <v>128642</v>
      </c>
    </row>
    <row r="3993" spans="1:4" ht="15" hidden="1" customHeight="1">
      <c r="A3993" s="79">
        <v>46118</v>
      </c>
      <c r="B3993" t="s">
        <v>490</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11"/>
  <sheetViews>
    <sheetView tabSelected="1" zoomScaleNormal="100" workbookViewId="0">
      <pane ySplit="3" topLeftCell="A154" activePane="bottomLeft" state="frozen"/>
      <selection pane="bottomLeft" activeCell="H713" sqref="H713"/>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1" spans="1:10" ht="18.75" customHeight="1">
      <c r="A1" s="97" t="s">
        <v>748</v>
      </c>
      <c r="B1" s="97"/>
      <c r="C1" s="97"/>
      <c r="D1" s="98"/>
      <c r="E1" s="97"/>
      <c r="F1" s="98"/>
      <c r="G1" s="97"/>
      <c r="H1" s="97"/>
      <c r="I1" s="97"/>
      <c r="J1" s="97"/>
    </row>
    <row r="3" spans="1:10">
      <c r="A3" s="1" t="s">
        <v>670</v>
      </c>
      <c r="B3" s="1" t="s">
        <v>1</v>
      </c>
      <c r="C3" s="1" t="s">
        <v>749</v>
      </c>
      <c r="D3" s="80" t="s">
        <v>750</v>
      </c>
      <c r="E3" s="1" t="s">
        <v>751</v>
      </c>
      <c r="F3" s="80" t="s">
        <v>752</v>
      </c>
      <c r="G3" s="1" t="s">
        <v>753</v>
      </c>
      <c r="H3" s="1" t="s">
        <v>754</v>
      </c>
      <c r="I3" s="10" t="s">
        <v>755</v>
      </c>
      <c r="J3" s="1" t="s">
        <v>756</v>
      </c>
    </row>
    <row r="4" spans="1:10" hidden="1">
      <c r="A4" s="71">
        <v>45967</v>
      </c>
      <c r="B4" t="s">
        <v>365</v>
      </c>
      <c r="C4" t="s">
        <v>757</v>
      </c>
      <c r="D4" s="3">
        <v>13469</v>
      </c>
      <c r="E4" t="s">
        <v>758</v>
      </c>
      <c r="F4" s="3">
        <v>15910</v>
      </c>
      <c r="J4" t="s">
        <v>759</v>
      </c>
    </row>
    <row r="5" spans="1:10" hidden="1">
      <c r="A5" s="71">
        <v>45954</v>
      </c>
      <c r="B5" t="s">
        <v>421</v>
      </c>
      <c r="C5" t="s">
        <v>757</v>
      </c>
      <c r="D5" s="3">
        <v>7636</v>
      </c>
      <c r="E5" t="s">
        <v>758</v>
      </c>
      <c r="F5" s="3">
        <v>15906</v>
      </c>
      <c r="J5" t="s">
        <v>759</v>
      </c>
    </row>
    <row r="6" spans="1:10" hidden="1">
      <c r="A6" s="71">
        <v>45967</v>
      </c>
      <c r="B6" t="s">
        <v>385</v>
      </c>
      <c r="C6" t="s">
        <v>757</v>
      </c>
      <c r="D6" s="3">
        <v>3240</v>
      </c>
      <c r="E6" t="s">
        <v>758</v>
      </c>
      <c r="F6" s="3">
        <v>15908</v>
      </c>
      <c r="J6" t="s">
        <v>759</v>
      </c>
    </row>
    <row r="7" spans="1:10" hidden="1">
      <c r="A7" s="71">
        <v>46042</v>
      </c>
      <c r="B7" t="s">
        <v>421</v>
      </c>
      <c r="C7" t="s">
        <v>757</v>
      </c>
      <c r="D7" s="3">
        <v>8046</v>
      </c>
      <c r="E7" t="s">
        <v>758</v>
      </c>
      <c r="J7" t="s">
        <v>759</v>
      </c>
    </row>
    <row r="8" spans="1:10" hidden="1">
      <c r="A8" s="71">
        <v>45972</v>
      </c>
      <c r="B8" t="s">
        <v>169</v>
      </c>
      <c r="C8" t="s">
        <v>757</v>
      </c>
      <c r="D8" s="3">
        <v>1453</v>
      </c>
      <c r="E8" t="s">
        <v>758</v>
      </c>
      <c r="F8" s="3">
        <v>15913</v>
      </c>
      <c r="J8" t="s">
        <v>759</v>
      </c>
    </row>
    <row r="9" spans="1:10" hidden="1">
      <c r="A9" s="71">
        <v>45980</v>
      </c>
      <c r="B9" t="s">
        <v>19</v>
      </c>
      <c r="C9" t="s">
        <v>757</v>
      </c>
      <c r="D9" s="3">
        <v>9695</v>
      </c>
      <c r="E9" t="s">
        <v>758</v>
      </c>
      <c r="F9" s="3">
        <v>15914</v>
      </c>
      <c r="J9" t="s">
        <v>759</v>
      </c>
    </row>
    <row r="10" spans="1:10" hidden="1">
      <c r="A10" s="71">
        <v>45982</v>
      </c>
      <c r="B10" t="s">
        <v>450</v>
      </c>
      <c r="C10" t="s">
        <v>757</v>
      </c>
      <c r="D10" s="3">
        <v>1413</v>
      </c>
      <c r="E10" t="s">
        <v>758</v>
      </c>
      <c r="F10" s="3">
        <v>15178</v>
      </c>
      <c r="J10" t="s">
        <v>759</v>
      </c>
    </row>
    <row r="11" spans="1:10" hidden="1">
      <c r="A11" s="71">
        <v>45985</v>
      </c>
      <c r="B11" t="s">
        <v>434</v>
      </c>
      <c r="C11" t="s">
        <v>757</v>
      </c>
      <c r="D11" s="3">
        <v>6327</v>
      </c>
      <c r="E11" t="s">
        <v>758</v>
      </c>
      <c r="F11" s="3">
        <v>15179</v>
      </c>
      <c r="J11" t="s">
        <v>759</v>
      </c>
    </row>
    <row r="12" spans="1:10" hidden="1">
      <c r="A12" s="71">
        <v>45993</v>
      </c>
      <c r="B12" t="s">
        <v>273</v>
      </c>
      <c r="C12" t="s">
        <v>757</v>
      </c>
      <c r="D12" s="3">
        <v>5321</v>
      </c>
      <c r="E12" t="s">
        <v>758</v>
      </c>
      <c r="F12" s="3">
        <v>15184</v>
      </c>
      <c r="J12" t="s">
        <v>759</v>
      </c>
    </row>
    <row r="13" spans="1:10" hidden="1">
      <c r="A13" s="71">
        <v>45995</v>
      </c>
      <c r="B13" t="s">
        <v>447</v>
      </c>
      <c r="C13" t="s">
        <v>757</v>
      </c>
      <c r="D13" s="3">
        <v>2060</v>
      </c>
      <c r="E13" t="s">
        <v>758</v>
      </c>
      <c r="F13" s="3">
        <v>15186</v>
      </c>
      <c r="J13" t="s">
        <v>759</v>
      </c>
    </row>
    <row r="14" spans="1:10" hidden="1">
      <c r="A14" s="71">
        <v>46008</v>
      </c>
      <c r="B14" t="s">
        <v>613</v>
      </c>
      <c r="C14" t="s">
        <v>760</v>
      </c>
      <c r="D14" s="3">
        <v>128090</v>
      </c>
      <c r="E14" t="s">
        <v>758</v>
      </c>
      <c r="F14" s="3" t="s">
        <v>761</v>
      </c>
      <c r="J14" t="s">
        <v>759</v>
      </c>
    </row>
    <row r="15" spans="1:10" hidden="1">
      <c r="A15" s="71">
        <v>46009</v>
      </c>
      <c r="B15" t="s">
        <v>611</v>
      </c>
      <c r="C15" t="s">
        <v>760</v>
      </c>
      <c r="D15" s="3">
        <v>128838</v>
      </c>
      <c r="E15" t="s">
        <v>758</v>
      </c>
      <c r="F15" s="3" t="s">
        <v>761</v>
      </c>
      <c r="J15" t="s">
        <v>759</v>
      </c>
    </row>
    <row r="16" spans="1:10" hidden="1">
      <c r="A16" s="71">
        <v>46014</v>
      </c>
      <c r="B16" t="s">
        <v>185</v>
      </c>
      <c r="C16" t="s">
        <v>760</v>
      </c>
      <c r="D16" s="3">
        <v>530211</v>
      </c>
      <c r="E16" t="s">
        <v>758</v>
      </c>
      <c r="F16" s="3" t="s">
        <v>761</v>
      </c>
      <c r="J16" t="s">
        <v>759</v>
      </c>
    </row>
    <row r="17" spans="1:10" hidden="1">
      <c r="A17" s="71">
        <v>46015</v>
      </c>
      <c r="B17" t="s">
        <v>152</v>
      </c>
      <c r="C17" t="s">
        <v>757</v>
      </c>
      <c r="D17" s="3">
        <v>461588</v>
      </c>
      <c r="E17" t="s">
        <v>758</v>
      </c>
      <c r="F17" s="3">
        <v>389</v>
      </c>
      <c r="J17" t="s">
        <v>759</v>
      </c>
    </row>
    <row r="18" spans="1:10" hidden="1">
      <c r="A18" s="71">
        <v>46028</v>
      </c>
      <c r="B18" t="s">
        <v>392</v>
      </c>
      <c r="C18" t="s">
        <v>760</v>
      </c>
      <c r="D18" s="3">
        <v>17076</v>
      </c>
      <c r="E18" t="s">
        <v>758</v>
      </c>
      <c r="F18" s="3">
        <v>389</v>
      </c>
      <c r="J18" t="s">
        <v>759</v>
      </c>
    </row>
    <row r="19" spans="1:10" hidden="1">
      <c r="A19" s="71">
        <v>46028</v>
      </c>
      <c r="B19" t="s">
        <v>141</v>
      </c>
      <c r="C19" t="s">
        <v>760</v>
      </c>
      <c r="D19" s="3">
        <v>331891</v>
      </c>
      <c r="E19" t="s">
        <v>758</v>
      </c>
      <c r="F19" s="3">
        <v>389</v>
      </c>
      <c r="J19" t="s">
        <v>759</v>
      </c>
    </row>
    <row r="20" spans="1:10" hidden="1">
      <c r="A20" s="71">
        <v>45971</v>
      </c>
      <c r="B20" t="s">
        <v>452</v>
      </c>
      <c r="C20" t="s">
        <v>760</v>
      </c>
      <c r="D20" s="3">
        <v>1496</v>
      </c>
      <c r="E20" t="s">
        <v>758</v>
      </c>
      <c r="F20" s="3">
        <v>15912</v>
      </c>
      <c r="J20" t="s">
        <v>759</v>
      </c>
    </row>
    <row r="21" spans="1:10" hidden="1">
      <c r="A21" s="71">
        <v>46031</v>
      </c>
      <c r="B21" t="s">
        <v>301</v>
      </c>
      <c r="C21" t="s">
        <v>760</v>
      </c>
      <c r="D21" s="3">
        <v>87661</v>
      </c>
      <c r="E21" t="s">
        <v>758</v>
      </c>
      <c r="F21" s="3">
        <v>389</v>
      </c>
      <c r="J21" t="s">
        <v>759</v>
      </c>
    </row>
    <row r="22" spans="1:10" hidden="1">
      <c r="A22" s="71">
        <v>46034</v>
      </c>
      <c r="B22" t="s">
        <v>519</v>
      </c>
      <c r="C22" t="s">
        <v>760</v>
      </c>
      <c r="E22" t="s">
        <v>758</v>
      </c>
      <c r="F22" s="3">
        <v>389</v>
      </c>
      <c r="J22" t="s">
        <v>759</v>
      </c>
    </row>
    <row r="23" spans="1:10" hidden="1">
      <c r="A23" s="71">
        <v>46034</v>
      </c>
      <c r="B23" t="s">
        <v>625</v>
      </c>
      <c r="C23" t="s">
        <v>760</v>
      </c>
      <c r="D23" s="3">
        <v>118530</v>
      </c>
      <c r="E23" t="s">
        <v>758</v>
      </c>
      <c r="F23" s="3" t="s">
        <v>761</v>
      </c>
      <c r="J23" t="s">
        <v>759</v>
      </c>
    </row>
    <row r="24" spans="1:10" hidden="1">
      <c r="A24" s="71">
        <v>46034</v>
      </c>
      <c r="B24" t="s">
        <v>667</v>
      </c>
      <c r="C24" t="s">
        <v>760</v>
      </c>
      <c r="D24" s="3">
        <v>681</v>
      </c>
      <c r="E24" t="s">
        <v>758</v>
      </c>
      <c r="J24" t="s">
        <v>759</v>
      </c>
    </row>
    <row r="25" spans="1:10" hidden="1">
      <c r="A25" s="71">
        <v>45908</v>
      </c>
      <c r="B25" t="s">
        <v>293</v>
      </c>
      <c r="C25" t="s">
        <v>757</v>
      </c>
      <c r="D25" s="3">
        <v>393</v>
      </c>
      <c r="E25" t="s">
        <v>758</v>
      </c>
      <c r="F25" s="3">
        <v>15911</v>
      </c>
      <c r="J25" t="s">
        <v>759</v>
      </c>
    </row>
    <row r="26" spans="1:10" hidden="1">
      <c r="A26" s="71">
        <v>46035</v>
      </c>
      <c r="B26" t="s">
        <v>639</v>
      </c>
      <c r="C26" t="s">
        <v>760</v>
      </c>
      <c r="D26" s="3">
        <v>105667</v>
      </c>
      <c r="E26" t="s">
        <v>758</v>
      </c>
      <c r="F26" s="3">
        <v>389</v>
      </c>
      <c r="J26" t="s">
        <v>759</v>
      </c>
    </row>
    <row r="27" spans="1:10" hidden="1">
      <c r="A27" s="71">
        <v>46036</v>
      </c>
      <c r="B27" t="s">
        <v>609</v>
      </c>
      <c r="C27" t="s">
        <v>760</v>
      </c>
      <c r="D27" s="3">
        <v>157018</v>
      </c>
      <c r="E27" t="s">
        <v>758</v>
      </c>
      <c r="F27" s="3">
        <v>389</v>
      </c>
      <c r="J27" t="s">
        <v>759</v>
      </c>
    </row>
    <row r="28" spans="1:10" hidden="1">
      <c r="A28" s="71">
        <v>45967</v>
      </c>
      <c r="B28" t="s">
        <v>293</v>
      </c>
      <c r="C28" t="s">
        <v>757</v>
      </c>
      <c r="D28" s="3">
        <v>748</v>
      </c>
      <c r="E28" t="s">
        <v>758</v>
      </c>
      <c r="F28" s="3">
        <v>15911</v>
      </c>
      <c r="J28" t="s">
        <v>759</v>
      </c>
    </row>
    <row r="29" spans="1:10" hidden="1">
      <c r="A29" s="71">
        <v>46037</v>
      </c>
      <c r="B29" t="s">
        <v>646</v>
      </c>
      <c r="C29" t="s">
        <v>760</v>
      </c>
      <c r="D29" s="3">
        <v>136208</v>
      </c>
      <c r="E29" t="s">
        <v>758</v>
      </c>
      <c r="F29" s="3">
        <v>389</v>
      </c>
      <c r="J29" t="s">
        <v>759</v>
      </c>
    </row>
    <row r="30" spans="1:10" hidden="1">
      <c r="A30" s="71">
        <v>45967</v>
      </c>
      <c r="B30" t="s">
        <v>263</v>
      </c>
      <c r="C30" t="s">
        <v>757</v>
      </c>
      <c r="D30" s="3">
        <v>2000</v>
      </c>
      <c r="E30" t="s">
        <v>758</v>
      </c>
      <c r="F30" s="3">
        <v>15909</v>
      </c>
      <c r="J30" t="s">
        <v>759</v>
      </c>
    </row>
    <row r="31" spans="1:10" hidden="1">
      <c r="A31" s="71">
        <v>46028</v>
      </c>
      <c r="B31" t="s">
        <v>263</v>
      </c>
      <c r="C31" t="s">
        <v>757</v>
      </c>
      <c r="D31" s="3">
        <v>2600</v>
      </c>
      <c r="E31" t="s">
        <v>758</v>
      </c>
      <c r="F31" s="3">
        <v>15920</v>
      </c>
      <c r="J31" t="s">
        <v>759</v>
      </c>
    </row>
    <row r="32" spans="1:10" hidden="1">
      <c r="A32" s="71">
        <v>46035</v>
      </c>
      <c r="B32" t="s">
        <v>293</v>
      </c>
      <c r="C32" t="s">
        <v>757</v>
      </c>
      <c r="D32" s="3">
        <v>1112</v>
      </c>
      <c r="E32" t="s">
        <v>758</v>
      </c>
      <c r="F32" s="3">
        <v>15921</v>
      </c>
      <c r="J32" t="s">
        <v>759</v>
      </c>
    </row>
    <row r="33" spans="1:10" hidden="1">
      <c r="A33" s="71">
        <v>46044</v>
      </c>
      <c r="B33" t="s">
        <v>118</v>
      </c>
      <c r="C33" t="s">
        <v>760</v>
      </c>
      <c r="D33" s="3">
        <v>189042</v>
      </c>
      <c r="E33" t="s">
        <v>758</v>
      </c>
      <c r="J33" t="s">
        <v>759</v>
      </c>
    </row>
    <row r="34" spans="1:10" hidden="1">
      <c r="A34" s="71">
        <v>46044</v>
      </c>
      <c r="B34" t="s">
        <v>35</v>
      </c>
      <c r="C34" t="s">
        <v>760</v>
      </c>
      <c r="D34" s="3">
        <v>8319</v>
      </c>
      <c r="E34" t="s">
        <v>758</v>
      </c>
      <c r="J34" t="s">
        <v>759</v>
      </c>
    </row>
    <row r="35" spans="1:10" hidden="1">
      <c r="A35" s="71">
        <v>46049</v>
      </c>
      <c r="B35" t="s">
        <v>397</v>
      </c>
      <c r="C35" t="s">
        <v>757</v>
      </c>
      <c r="E35" t="s">
        <v>758</v>
      </c>
      <c r="F35" s="3">
        <v>15440</v>
      </c>
      <c r="J35" t="s">
        <v>759</v>
      </c>
    </row>
    <row r="36" spans="1:10" hidden="1">
      <c r="A36" s="71">
        <v>46050</v>
      </c>
      <c r="B36" t="s">
        <v>268</v>
      </c>
      <c r="C36" t="s">
        <v>760</v>
      </c>
      <c r="D36" s="3">
        <v>9814</v>
      </c>
      <c r="E36" t="s">
        <v>758</v>
      </c>
      <c r="J36" t="s">
        <v>759</v>
      </c>
    </row>
    <row r="37" spans="1:10" hidden="1">
      <c r="A37" s="71">
        <v>46050</v>
      </c>
      <c r="B37" t="s">
        <v>498</v>
      </c>
      <c r="C37" t="s">
        <v>760</v>
      </c>
      <c r="D37" s="3">
        <v>54500</v>
      </c>
      <c r="E37" t="s">
        <v>758</v>
      </c>
      <c r="J37" t="s">
        <v>759</v>
      </c>
    </row>
    <row r="38" spans="1:10" hidden="1">
      <c r="A38" s="71">
        <v>46057</v>
      </c>
      <c r="B38" t="s">
        <v>362</v>
      </c>
      <c r="C38" t="s">
        <v>760</v>
      </c>
      <c r="D38" s="3">
        <v>15554</v>
      </c>
      <c r="E38" t="s">
        <v>758</v>
      </c>
      <c r="J38" t="s">
        <v>759</v>
      </c>
    </row>
    <row r="39" spans="1:10" hidden="1">
      <c r="A39" s="71">
        <v>46065</v>
      </c>
      <c r="B39" t="s">
        <v>613</v>
      </c>
      <c r="C39" t="s">
        <v>760</v>
      </c>
      <c r="D39" s="3">
        <v>138841</v>
      </c>
      <c r="E39" t="s">
        <v>758</v>
      </c>
      <c r="J39" t="s">
        <v>759</v>
      </c>
    </row>
    <row r="40" spans="1:10" hidden="1">
      <c r="A40" s="71">
        <v>46066</v>
      </c>
      <c r="B40" t="s">
        <v>167</v>
      </c>
      <c r="C40" t="s">
        <v>760</v>
      </c>
      <c r="D40" s="3">
        <v>9302</v>
      </c>
      <c r="E40" t="s">
        <v>758</v>
      </c>
      <c r="J40" t="s">
        <v>759</v>
      </c>
    </row>
    <row r="41" spans="1:10" hidden="1">
      <c r="A41" s="71">
        <v>46072</v>
      </c>
      <c r="B41" t="s">
        <v>525</v>
      </c>
      <c r="C41" t="s">
        <v>760</v>
      </c>
      <c r="D41" s="3">
        <v>39996</v>
      </c>
      <c r="E41" t="s">
        <v>758</v>
      </c>
      <c r="F41" s="3">
        <v>16152</v>
      </c>
      <c r="J41" t="s">
        <v>759</v>
      </c>
    </row>
    <row r="42" spans="1:10" hidden="1">
      <c r="A42" s="71">
        <v>46073</v>
      </c>
      <c r="B42" t="s">
        <v>531</v>
      </c>
      <c r="C42" t="s">
        <v>760</v>
      </c>
      <c r="D42" s="3">
        <v>58306</v>
      </c>
      <c r="E42" t="s">
        <v>758</v>
      </c>
      <c r="F42" s="3" t="s">
        <v>762</v>
      </c>
      <c r="J42" t="s">
        <v>759</v>
      </c>
    </row>
    <row r="43" spans="1:10" hidden="1">
      <c r="A43" s="71">
        <v>46073</v>
      </c>
      <c r="B43" t="s">
        <v>152</v>
      </c>
      <c r="C43" t="s">
        <v>757</v>
      </c>
      <c r="D43" s="3">
        <v>486500</v>
      </c>
      <c r="E43" t="s">
        <v>758</v>
      </c>
      <c r="F43" s="3">
        <v>15104</v>
      </c>
      <c r="J43" t="s">
        <v>759</v>
      </c>
    </row>
    <row r="44" spans="1:10" hidden="1">
      <c r="A44" s="71">
        <v>46074</v>
      </c>
      <c r="B44" t="s">
        <v>512</v>
      </c>
      <c r="C44" t="s">
        <v>760</v>
      </c>
      <c r="D44" s="3">
        <v>61948</v>
      </c>
      <c r="E44" t="s">
        <v>758</v>
      </c>
      <c r="F44" s="3">
        <v>15101</v>
      </c>
      <c r="J44" t="s">
        <v>759</v>
      </c>
    </row>
    <row r="45" spans="1:10" hidden="1">
      <c r="A45" s="71">
        <v>45965</v>
      </c>
      <c r="B45" t="s">
        <v>500</v>
      </c>
      <c r="C45" t="s">
        <v>760</v>
      </c>
      <c r="D45" s="3">
        <v>81949</v>
      </c>
      <c r="E45" t="s">
        <v>758</v>
      </c>
      <c r="F45" s="3">
        <v>389</v>
      </c>
      <c r="J45" t="s">
        <v>759</v>
      </c>
    </row>
    <row r="46" spans="1:10" hidden="1">
      <c r="A46" s="71">
        <v>45859</v>
      </c>
      <c r="B46" t="s">
        <v>613</v>
      </c>
      <c r="C46" t="s">
        <v>760</v>
      </c>
      <c r="D46" s="3">
        <v>110210</v>
      </c>
      <c r="E46" t="s">
        <v>758</v>
      </c>
      <c r="J46" t="s">
        <v>759</v>
      </c>
    </row>
    <row r="47" spans="1:10" hidden="1">
      <c r="A47" s="71">
        <v>46066</v>
      </c>
      <c r="B47" t="s">
        <v>263</v>
      </c>
      <c r="C47" t="s">
        <v>757</v>
      </c>
      <c r="D47" s="3">
        <v>2610</v>
      </c>
      <c r="E47" t="s">
        <v>758</v>
      </c>
      <c r="F47" s="3">
        <v>15961</v>
      </c>
      <c r="J47" t="s">
        <v>759</v>
      </c>
    </row>
    <row r="48" spans="1:10" hidden="1">
      <c r="A48" s="71">
        <v>46055</v>
      </c>
      <c r="B48" t="s">
        <v>495</v>
      </c>
      <c r="C48" t="s">
        <v>760</v>
      </c>
      <c r="D48" s="3">
        <v>79968</v>
      </c>
      <c r="E48" t="s">
        <v>758</v>
      </c>
      <c r="F48" s="3">
        <v>15956</v>
      </c>
      <c r="J48" t="s">
        <v>759</v>
      </c>
    </row>
    <row r="49" spans="1:10" hidden="1">
      <c r="A49" s="71">
        <v>46062</v>
      </c>
      <c r="B49" t="s">
        <v>19</v>
      </c>
      <c r="C49" t="s">
        <v>757</v>
      </c>
      <c r="D49" s="3">
        <v>10370</v>
      </c>
      <c r="E49" t="s">
        <v>758</v>
      </c>
      <c r="F49" s="3">
        <v>15959</v>
      </c>
      <c r="J49" t="s">
        <v>759</v>
      </c>
    </row>
    <row r="50" spans="1:10" hidden="1">
      <c r="A50" s="71">
        <v>46060</v>
      </c>
      <c r="B50" t="s">
        <v>29</v>
      </c>
      <c r="C50" t="s">
        <v>757</v>
      </c>
      <c r="D50" s="3">
        <v>8700</v>
      </c>
      <c r="E50" t="s">
        <v>758</v>
      </c>
      <c r="F50" s="3" t="s">
        <v>763</v>
      </c>
      <c r="J50" t="s">
        <v>759</v>
      </c>
    </row>
    <row r="51" spans="1:10" hidden="1">
      <c r="A51" s="71">
        <v>46078</v>
      </c>
      <c r="B51" t="s">
        <v>569</v>
      </c>
      <c r="C51" t="s">
        <v>760</v>
      </c>
      <c r="E51" t="s">
        <v>758</v>
      </c>
      <c r="F51" s="3" t="s">
        <v>763</v>
      </c>
      <c r="J51" t="s">
        <v>759</v>
      </c>
    </row>
    <row r="52" spans="1:10" hidden="1">
      <c r="A52" s="71"/>
      <c r="B52" t="s">
        <v>462</v>
      </c>
      <c r="C52" t="s">
        <v>760</v>
      </c>
      <c r="D52" s="3">
        <v>89665</v>
      </c>
      <c r="E52" t="s">
        <v>758</v>
      </c>
      <c r="J52" t="s">
        <v>759</v>
      </c>
    </row>
    <row r="53" spans="1:10" hidden="1">
      <c r="A53" s="71">
        <v>46086</v>
      </c>
      <c r="B53" t="s">
        <v>311</v>
      </c>
      <c r="C53" t="s">
        <v>757</v>
      </c>
      <c r="D53" s="3">
        <v>16953</v>
      </c>
      <c r="E53" t="s">
        <v>758</v>
      </c>
      <c r="J53" t="s">
        <v>759</v>
      </c>
    </row>
    <row r="54" spans="1:10" hidden="1">
      <c r="A54" s="71">
        <v>46086</v>
      </c>
      <c r="B54" t="s">
        <v>86</v>
      </c>
      <c r="C54" t="s">
        <v>757</v>
      </c>
      <c r="D54" s="3">
        <v>3406</v>
      </c>
      <c r="E54" t="s">
        <v>758</v>
      </c>
      <c r="J54" t="s">
        <v>759</v>
      </c>
    </row>
    <row r="55" spans="1:10" hidden="1">
      <c r="A55" s="71">
        <v>46085</v>
      </c>
      <c r="B55" t="s">
        <v>89</v>
      </c>
      <c r="C55" t="s">
        <v>757</v>
      </c>
      <c r="D55" s="3">
        <v>3468</v>
      </c>
      <c r="E55" t="s">
        <v>758</v>
      </c>
      <c r="J55" t="s">
        <v>759</v>
      </c>
    </row>
    <row r="56" spans="1:10" hidden="1">
      <c r="A56" s="71">
        <v>46086</v>
      </c>
      <c r="B56" t="s">
        <v>136</v>
      </c>
      <c r="C56" t="s">
        <v>760</v>
      </c>
      <c r="D56" s="3">
        <v>295000</v>
      </c>
      <c r="E56" t="s">
        <v>758</v>
      </c>
      <c r="J56" t="s">
        <v>759</v>
      </c>
    </row>
    <row r="57" spans="1:10" hidden="1">
      <c r="A57" s="71">
        <v>46084</v>
      </c>
      <c r="B57" t="s">
        <v>91</v>
      </c>
      <c r="C57" t="s">
        <v>757</v>
      </c>
      <c r="D57" s="3">
        <v>3654</v>
      </c>
      <c r="E57" t="s">
        <v>758</v>
      </c>
      <c r="J57" t="s">
        <v>759</v>
      </c>
    </row>
    <row r="58" spans="1:10" hidden="1">
      <c r="A58" s="71">
        <v>46083</v>
      </c>
      <c r="B58" t="s">
        <v>169</v>
      </c>
      <c r="C58" t="s">
        <v>757</v>
      </c>
      <c r="D58" s="3">
        <v>1978</v>
      </c>
      <c r="E58" t="s">
        <v>758</v>
      </c>
      <c r="J58" t="s">
        <v>759</v>
      </c>
    </row>
    <row r="59" spans="1:10" hidden="1">
      <c r="A59" s="71">
        <v>46086</v>
      </c>
      <c r="B59" t="s">
        <v>486</v>
      </c>
      <c r="C59" t="s">
        <v>760</v>
      </c>
      <c r="D59" s="3">
        <v>75400</v>
      </c>
      <c r="E59" t="s">
        <v>758</v>
      </c>
      <c r="G59" t="s">
        <v>764</v>
      </c>
      <c r="I59" s="9">
        <v>425505</v>
      </c>
      <c r="J59" t="s">
        <v>759</v>
      </c>
    </row>
    <row r="60" spans="1:10" hidden="1">
      <c r="A60" s="71">
        <v>46071</v>
      </c>
      <c r="B60" t="s">
        <v>500</v>
      </c>
      <c r="C60" t="s">
        <v>760</v>
      </c>
      <c r="D60" s="3">
        <v>107335</v>
      </c>
      <c r="E60" t="s">
        <v>758</v>
      </c>
      <c r="J60" t="s">
        <v>759</v>
      </c>
    </row>
    <row r="61" spans="1:10" hidden="1">
      <c r="A61" s="71">
        <v>46087</v>
      </c>
      <c r="B61" t="s">
        <v>468</v>
      </c>
      <c r="C61" t="s">
        <v>760</v>
      </c>
      <c r="D61" s="3">
        <v>105962</v>
      </c>
      <c r="E61" t="s">
        <v>758</v>
      </c>
      <c r="F61" s="3">
        <v>105962</v>
      </c>
      <c r="J61" t="s">
        <v>759</v>
      </c>
    </row>
    <row r="62" spans="1:10" hidden="1">
      <c r="A62" s="71">
        <v>46093</v>
      </c>
      <c r="B62" t="s">
        <v>633</v>
      </c>
      <c r="C62" t="s">
        <v>760</v>
      </c>
      <c r="D62" s="3">
        <v>123772</v>
      </c>
      <c r="E62" t="s">
        <v>758</v>
      </c>
      <c r="G62" t="s">
        <v>33</v>
      </c>
      <c r="J62" t="s">
        <v>759</v>
      </c>
    </row>
    <row r="63" spans="1:10" hidden="1">
      <c r="A63" s="71">
        <v>46093</v>
      </c>
      <c r="B63" t="s">
        <v>42</v>
      </c>
      <c r="C63" t="s">
        <v>760</v>
      </c>
      <c r="D63" s="3">
        <v>189849</v>
      </c>
      <c r="E63" t="s">
        <v>758</v>
      </c>
      <c r="G63" t="s">
        <v>730</v>
      </c>
      <c r="J63" t="s">
        <v>759</v>
      </c>
    </row>
    <row r="64" spans="1:10" hidden="1">
      <c r="A64" s="71">
        <v>46092</v>
      </c>
      <c r="B64" t="s">
        <v>383</v>
      </c>
      <c r="C64" t="s">
        <v>757</v>
      </c>
      <c r="D64" s="3">
        <v>3745</v>
      </c>
      <c r="E64" t="s">
        <v>758</v>
      </c>
      <c r="G64" t="s">
        <v>730</v>
      </c>
      <c r="H64" t="s">
        <v>765</v>
      </c>
      <c r="I64" s="9">
        <v>177476</v>
      </c>
      <c r="J64" t="s">
        <v>759</v>
      </c>
    </row>
    <row r="65" spans="1:10" hidden="1">
      <c r="A65" s="71">
        <v>46097</v>
      </c>
      <c r="B65" t="s">
        <v>259</v>
      </c>
      <c r="C65" t="s">
        <v>757</v>
      </c>
      <c r="D65" s="3">
        <v>15727</v>
      </c>
      <c r="E65" t="s">
        <v>758</v>
      </c>
      <c r="G65" t="s">
        <v>23</v>
      </c>
      <c r="I65" s="9">
        <v>866929</v>
      </c>
      <c r="J65" t="s">
        <v>759</v>
      </c>
    </row>
    <row r="66" spans="1:10" hidden="1">
      <c r="A66" s="71">
        <v>46094</v>
      </c>
      <c r="B66" t="s">
        <v>493</v>
      </c>
      <c r="C66" t="s">
        <v>760</v>
      </c>
      <c r="D66" s="3">
        <v>107210</v>
      </c>
      <c r="E66" t="s">
        <v>758</v>
      </c>
      <c r="G66" t="s">
        <v>764</v>
      </c>
      <c r="I66" s="9">
        <v>405817</v>
      </c>
      <c r="J66" t="s">
        <v>759</v>
      </c>
    </row>
    <row r="67" spans="1:10" hidden="1">
      <c r="A67" s="71">
        <v>46094</v>
      </c>
      <c r="B67" t="s">
        <v>388</v>
      </c>
      <c r="C67" t="s">
        <v>757</v>
      </c>
      <c r="D67" s="3">
        <v>13040</v>
      </c>
      <c r="E67" t="s">
        <v>758</v>
      </c>
      <c r="F67" s="3">
        <v>17151</v>
      </c>
      <c r="G67" t="s">
        <v>517</v>
      </c>
      <c r="H67" t="s">
        <v>766</v>
      </c>
      <c r="I67" s="9">
        <v>89099.98</v>
      </c>
      <c r="J67" t="s">
        <v>759</v>
      </c>
    </row>
    <row r="68" spans="1:10" hidden="1">
      <c r="A68" s="71">
        <v>46098</v>
      </c>
      <c r="B68" t="s">
        <v>392</v>
      </c>
      <c r="C68" t="s">
        <v>757</v>
      </c>
      <c r="D68" s="3">
        <v>17296</v>
      </c>
      <c r="E68" t="s">
        <v>758</v>
      </c>
      <c r="F68" s="3">
        <v>17155</v>
      </c>
      <c r="G68" t="s">
        <v>715</v>
      </c>
      <c r="H68" t="s">
        <v>765</v>
      </c>
      <c r="I68" s="9">
        <v>289773.33</v>
      </c>
      <c r="J68" t="s">
        <v>759</v>
      </c>
    </row>
    <row r="69" spans="1:10" hidden="1">
      <c r="A69" s="71">
        <v>46094</v>
      </c>
      <c r="B69" t="s">
        <v>373</v>
      </c>
      <c r="C69" t="s">
        <v>757</v>
      </c>
      <c r="D69" s="3">
        <v>17152</v>
      </c>
      <c r="E69" t="s">
        <v>758</v>
      </c>
      <c r="F69" s="3">
        <v>17152</v>
      </c>
      <c r="G69" t="s">
        <v>715</v>
      </c>
      <c r="H69" t="s">
        <v>767</v>
      </c>
      <c r="I69" s="9">
        <v>277000</v>
      </c>
      <c r="J69" t="s">
        <v>759</v>
      </c>
    </row>
    <row r="70" spans="1:10" hidden="1">
      <c r="A70" s="71">
        <v>46094</v>
      </c>
      <c r="B70" t="s">
        <v>365</v>
      </c>
      <c r="C70" t="s">
        <v>757</v>
      </c>
      <c r="D70" s="3">
        <v>13650</v>
      </c>
      <c r="E70" t="s">
        <v>758</v>
      </c>
      <c r="F70" s="3">
        <v>17153</v>
      </c>
      <c r="G70" t="s">
        <v>715</v>
      </c>
      <c r="H70" t="s">
        <v>768</v>
      </c>
      <c r="I70" s="9">
        <v>125352</v>
      </c>
      <c r="J70" t="s">
        <v>759</v>
      </c>
    </row>
    <row r="71" spans="1:10" hidden="1">
      <c r="A71" s="71">
        <v>46057</v>
      </c>
      <c r="B71" t="s">
        <v>385</v>
      </c>
      <c r="C71" t="s">
        <v>757</v>
      </c>
      <c r="D71" s="3">
        <v>3472</v>
      </c>
      <c r="E71" t="s">
        <v>758</v>
      </c>
      <c r="H71" t="s">
        <v>765</v>
      </c>
      <c r="I71" s="9">
        <v>177476</v>
      </c>
      <c r="J71" t="s">
        <v>759</v>
      </c>
    </row>
    <row r="72" spans="1:10" hidden="1">
      <c r="A72" s="71">
        <v>46098</v>
      </c>
      <c r="B72" t="s">
        <v>273</v>
      </c>
      <c r="C72" t="s">
        <v>757</v>
      </c>
      <c r="D72" s="3">
        <v>5648</v>
      </c>
      <c r="E72" t="s">
        <v>758</v>
      </c>
      <c r="F72" s="3">
        <v>15994</v>
      </c>
      <c r="G72" t="s">
        <v>51</v>
      </c>
      <c r="H72" t="s">
        <v>765</v>
      </c>
      <c r="I72" s="9">
        <v>177476</v>
      </c>
      <c r="J72" t="s">
        <v>759</v>
      </c>
    </row>
    <row r="73" spans="1:10" hidden="1">
      <c r="A73" s="71">
        <v>46093</v>
      </c>
      <c r="B73" t="s">
        <v>397</v>
      </c>
      <c r="C73" t="s">
        <v>757</v>
      </c>
      <c r="D73" s="3">
        <v>1713</v>
      </c>
      <c r="E73" t="s">
        <v>758</v>
      </c>
      <c r="G73" t="s">
        <v>63</v>
      </c>
      <c r="H73" t="s">
        <v>765</v>
      </c>
      <c r="I73" s="9">
        <v>133882.14000000001</v>
      </c>
      <c r="J73" t="s">
        <v>759</v>
      </c>
    </row>
    <row r="74" spans="1:10" hidden="1">
      <c r="A74" s="71">
        <v>46086</v>
      </c>
      <c r="B74" t="s">
        <v>558</v>
      </c>
      <c r="C74" t="s">
        <v>760</v>
      </c>
      <c r="D74" s="3">
        <v>14872</v>
      </c>
      <c r="E74" t="s">
        <v>758</v>
      </c>
      <c r="G74" t="s">
        <v>769</v>
      </c>
      <c r="H74" t="s">
        <v>770</v>
      </c>
      <c r="I74" s="9">
        <v>252383</v>
      </c>
      <c r="J74" t="s">
        <v>759</v>
      </c>
    </row>
    <row r="75" spans="1:10" hidden="1">
      <c r="A75" s="71">
        <v>46099</v>
      </c>
      <c r="B75" t="s">
        <v>561</v>
      </c>
      <c r="C75" t="s">
        <v>760</v>
      </c>
      <c r="D75" s="3">
        <v>22254</v>
      </c>
      <c r="E75" t="s">
        <v>758</v>
      </c>
      <c r="G75" t="s">
        <v>769</v>
      </c>
      <c r="H75" t="s">
        <v>770</v>
      </c>
      <c r="I75" s="9">
        <v>310988</v>
      </c>
      <c r="J75" t="s">
        <v>759</v>
      </c>
    </row>
    <row r="76" spans="1:10" hidden="1">
      <c r="A76" s="71">
        <v>46099</v>
      </c>
      <c r="B76" t="s">
        <v>542</v>
      </c>
      <c r="C76" t="s">
        <v>760</v>
      </c>
      <c r="D76" s="3">
        <v>78670</v>
      </c>
      <c r="E76" t="s">
        <v>758</v>
      </c>
      <c r="G76" t="s">
        <v>769</v>
      </c>
      <c r="H76" t="s">
        <v>770</v>
      </c>
      <c r="I76" s="9">
        <v>487719</v>
      </c>
      <c r="J76" t="s">
        <v>759</v>
      </c>
    </row>
    <row r="77" spans="1:10" hidden="1">
      <c r="A77" s="71">
        <v>46099</v>
      </c>
      <c r="B77" t="s">
        <v>649</v>
      </c>
      <c r="C77" t="s">
        <v>760</v>
      </c>
      <c r="D77" s="3">
        <v>110602</v>
      </c>
      <c r="E77" t="s">
        <v>758</v>
      </c>
      <c r="G77" t="s">
        <v>769</v>
      </c>
      <c r="H77" t="s">
        <v>770</v>
      </c>
      <c r="I77" s="9">
        <v>276888</v>
      </c>
      <c r="J77" t="s">
        <v>759</v>
      </c>
    </row>
    <row r="78" spans="1:10" hidden="1">
      <c r="A78" s="71">
        <v>46099</v>
      </c>
      <c r="B78" t="s">
        <v>527</v>
      </c>
      <c r="C78" t="s">
        <v>760</v>
      </c>
      <c r="D78" s="3">
        <v>78795</v>
      </c>
      <c r="E78" t="s">
        <v>758</v>
      </c>
      <c r="F78" s="3">
        <v>15106</v>
      </c>
      <c r="G78" t="s">
        <v>37</v>
      </c>
      <c r="H78" t="s">
        <v>766</v>
      </c>
      <c r="I78" s="9">
        <v>32014</v>
      </c>
      <c r="J78" t="s">
        <v>759</v>
      </c>
    </row>
    <row r="79" spans="1:10" hidden="1">
      <c r="A79" s="71">
        <v>46092</v>
      </c>
      <c r="B79" t="s">
        <v>36</v>
      </c>
      <c r="C79" t="s">
        <v>757</v>
      </c>
      <c r="D79" s="3">
        <v>10923</v>
      </c>
      <c r="E79" t="s">
        <v>758</v>
      </c>
      <c r="F79" s="3">
        <v>15107</v>
      </c>
      <c r="G79" t="s">
        <v>37</v>
      </c>
      <c r="J79" t="s">
        <v>759</v>
      </c>
    </row>
    <row r="80" spans="1:10" hidden="1">
      <c r="A80" s="71">
        <v>46093</v>
      </c>
      <c r="B80" t="s">
        <v>450</v>
      </c>
      <c r="C80" t="s">
        <v>757</v>
      </c>
      <c r="D80" s="3">
        <v>1713</v>
      </c>
      <c r="E80" t="s">
        <v>758</v>
      </c>
      <c r="F80" s="3">
        <v>15991</v>
      </c>
      <c r="G80" t="s">
        <v>63</v>
      </c>
      <c r="H80" t="s">
        <v>765</v>
      </c>
      <c r="I80" s="9">
        <v>133882.14000000001</v>
      </c>
      <c r="J80" t="s">
        <v>759</v>
      </c>
    </row>
    <row r="81" spans="1:10" hidden="1">
      <c r="A81" s="71">
        <v>46086</v>
      </c>
      <c r="B81" t="s">
        <v>293</v>
      </c>
      <c r="C81" t="s">
        <v>757</v>
      </c>
      <c r="D81" s="3">
        <v>1462</v>
      </c>
      <c r="E81" t="s">
        <v>758</v>
      </c>
      <c r="G81" t="s">
        <v>769</v>
      </c>
      <c r="H81" t="s">
        <v>770</v>
      </c>
      <c r="I81" s="9">
        <v>249078</v>
      </c>
      <c r="J81" t="s">
        <v>759</v>
      </c>
    </row>
    <row r="82" spans="1:10" hidden="1">
      <c r="A82" s="71">
        <v>46100</v>
      </c>
      <c r="B82" t="s">
        <v>173</v>
      </c>
      <c r="C82" t="s">
        <v>757</v>
      </c>
      <c r="D82" s="3">
        <v>9317</v>
      </c>
      <c r="E82" t="s">
        <v>758</v>
      </c>
      <c r="G82" t="s">
        <v>37</v>
      </c>
      <c r="J82" t="s">
        <v>759</v>
      </c>
    </row>
    <row r="83" spans="1:10" hidden="1">
      <c r="A83" s="71">
        <v>46099</v>
      </c>
      <c r="B83" t="s">
        <v>82</v>
      </c>
      <c r="C83" t="s">
        <v>760</v>
      </c>
      <c r="D83" s="3">
        <v>195600</v>
      </c>
      <c r="E83" t="s">
        <v>758</v>
      </c>
      <c r="H83" t="s">
        <v>771</v>
      </c>
      <c r="I83" s="9">
        <v>143221</v>
      </c>
      <c r="J83" t="s">
        <v>759</v>
      </c>
    </row>
    <row r="84" spans="1:10" hidden="1">
      <c r="A84" s="71">
        <v>46100</v>
      </c>
      <c r="B84" t="s">
        <v>431</v>
      </c>
      <c r="C84" t="s">
        <v>757</v>
      </c>
      <c r="D84" s="3">
        <v>6683</v>
      </c>
      <c r="E84" t="s">
        <v>758</v>
      </c>
      <c r="F84" s="3">
        <v>17156</v>
      </c>
      <c r="G84" t="s">
        <v>327</v>
      </c>
      <c r="J84" t="s">
        <v>759</v>
      </c>
    </row>
    <row r="85" spans="1:10" hidden="1">
      <c r="A85" s="71">
        <v>46058</v>
      </c>
      <c r="B85" t="s">
        <v>305</v>
      </c>
      <c r="C85" t="s">
        <v>757</v>
      </c>
      <c r="D85" s="3">
        <v>8547</v>
      </c>
      <c r="E85" t="s">
        <v>758</v>
      </c>
      <c r="G85" t="s">
        <v>63</v>
      </c>
      <c r="J85" t="s">
        <v>759</v>
      </c>
    </row>
    <row r="86" spans="1:10" hidden="1">
      <c r="A86" s="71">
        <v>46072</v>
      </c>
      <c r="B86" t="s">
        <v>521</v>
      </c>
      <c r="C86" t="s">
        <v>760</v>
      </c>
      <c r="D86" s="3">
        <v>61470</v>
      </c>
      <c r="E86" t="s">
        <v>758</v>
      </c>
      <c r="G86" t="s">
        <v>63</v>
      </c>
      <c r="J86" t="s">
        <v>759</v>
      </c>
    </row>
    <row r="87" spans="1:10" hidden="1">
      <c r="A87" s="71">
        <v>45974</v>
      </c>
      <c r="B87" t="s">
        <v>313</v>
      </c>
      <c r="C87" t="s">
        <v>757</v>
      </c>
      <c r="D87" s="3">
        <v>21210</v>
      </c>
      <c r="E87" t="s">
        <v>758</v>
      </c>
      <c r="G87" t="s">
        <v>703</v>
      </c>
      <c r="J87" t="s">
        <v>759</v>
      </c>
    </row>
    <row r="88" spans="1:10" hidden="1">
      <c r="A88" s="71">
        <v>46087</v>
      </c>
      <c r="B88" t="s">
        <v>523</v>
      </c>
      <c r="C88" t="s">
        <v>760</v>
      </c>
      <c r="D88" s="3">
        <v>71838</v>
      </c>
      <c r="E88" t="s">
        <v>758</v>
      </c>
      <c r="F88" s="3">
        <v>16205</v>
      </c>
      <c r="G88" t="s">
        <v>15</v>
      </c>
      <c r="J88" t="s">
        <v>759</v>
      </c>
    </row>
    <row r="89" spans="1:10" hidden="1">
      <c r="A89" s="71">
        <v>46085</v>
      </c>
      <c r="B89" t="s">
        <v>330</v>
      </c>
      <c r="C89" t="s">
        <v>757</v>
      </c>
      <c r="D89" s="3">
        <v>8980</v>
      </c>
      <c r="E89" t="s">
        <v>758</v>
      </c>
      <c r="F89" s="3">
        <v>16202</v>
      </c>
      <c r="J89" t="s">
        <v>759</v>
      </c>
    </row>
    <row r="90" spans="1:10" hidden="1">
      <c r="A90" s="71">
        <v>46031</v>
      </c>
      <c r="B90" t="s">
        <v>560</v>
      </c>
      <c r="C90" t="s">
        <v>760</v>
      </c>
      <c r="D90" s="3">
        <v>11406</v>
      </c>
      <c r="E90" t="s">
        <v>758</v>
      </c>
      <c r="G90" t="s">
        <v>769</v>
      </c>
      <c r="H90" t="s">
        <v>770</v>
      </c>
      <c r="I90" s="9">
        <v>254792</v>
      </c>
      <c r="J90" t="s">
        <v>759</v>
      </c>
    </row>
    <row r="91" spans="1:10" hidden="1">
      <c r="A91" s="71">
        <v>46020</v>
      </c>
      <c r="B91" t="s">
        <v>540</v>
      </c>
      <c r="C91" t="s">
        <v>760</v>
      </c>
      <c r="D91" s="3">
        <v>65636</v>
      </c>
      <c r="E91" t="s">
        <v>758</v>
      </c>
      <c r="G91" t="s">
        <v>769</v>
      </c>
      <c r="H91" t="s">
        <v>770</v>
      </c>
      <c r="I91" s="9">
        <v>573317</v>
      </c>
      <c r="J91" t="s">
        <v>759</v>
      </c>
    </row>
    <row r="92" spans="1:10" ht="15" hidden="1" customHeight="1">
      <c r="A92" s="71">
        <v>46027</v>
      </c>
      <c r="B92" t="s">
        <v>531</v>
      </c>
      <c r="C92" t="s">
        <v>760</v>
      </c>
      <c r="D92" s="3">
        <v>30210</v>
      </c>
      <c r="E92" t="s">
        <v>758</v>
      </c>
      <c r="J92" t="s">
        <v>759</v>
      </c>
    </row>
    <row r="93" spans="1:10" ht="15" hidden="1" customHeight="1">
      <c r="A93" s="71">
        <v>46029</v>
      </c>
      <c r="B93" t="s">
        <v>544</v>
      </c>
      <c r="C93" t="s">
        <v>760</v>
      </c>
      <c r="D93" s="3">
        <v>85271</v>
      </c>
      <c r="E93" t="s">
        <v>758</v>
      </c>
      <c r="G93" t="s">
        <v>769</v>
      </c>
      <c r="H93" t="s">
        <v>770</v>
      </c>
      <c r="I93" s="9">
        <v>725040</v>
      </c>
      <c r="J93" t="s">
        <v>759</v>
      </c>
    </row>
    <row r="94" spans="1:10" ht="15" hidden="1" customHeight="1">
      <c r="A94" s="71">
        <v>46105</v>
      </c>
      <c r="B94" t="s">
        <v>538</v>
      </c>
      <c r="C94" t="s">
        <v>760</v>
      </c>
      <c r="D94" s="81">
        <v>86820</v>
      </c>
      <c r="E94" t="s">
        <v>758</v>
      </c>
      <c r="G94" t="s">
        <v>769</v>
      </c>
      <c r="H94" t="s">
        <v>770</v>
      </c>
      <c r="I94" s="9">
        <v>698466</v>
      </c>
      <c r="J94" t="s">
        <v>759</v>
      </c>
    </row>
    <row r="95" spans="1:10" ht="15" hidden="1" customHeight="1">
      <c r="A95" s="71">
        <v>46101</v>
      </c>
      <c r="B95" t="s">
        <v>644</v>
      </c>
      <c r="C95" t="s">
        <v>760</v>
      </c>
      <c r="D95" s="3">
        <v>92994</v>
      </c>
      <c r="E95" t="s">
        <v>758</v>
      </c>
      <c r="J95" t="s">
        <v>759</v>
      </c>
    </row>
    <row r="96" spans="1:10" ht="15" hidden="1" customHeight="1">
      <c r="A96" s="71">
        <v>46077</v>
      </c>
      <c r="B96" t="s">
        <v>507</v>
      </c>
      <c r="C96" t="s">
        <v>760</v>
      </c>
      <c r="D96" s="3">
        <v>90248</v>
      </c>
      <c r="E96" t="s">
        <v>758</v>
      </c>
      <c r="J96" t="s">
        <v>759</v>
      </c>
    </row>
    <row r="97" spans="1:10" ht="15" hidden="1" customHeight="1">
      <c r="A97" s="71">
        <v>46105</v>
      </c>
      <c r="B97" t="s">
        <v>48</v>
      </c>
      <c r="C97" t="s">
        <v>760</v>
      </c>
      <c r="D97" s="3">
        <v>275548</v>
      </c>
      <c r="E97" t="s">
        <v>758</v>
      </c>
      <c r="G97" t="s">
        <v>51</v>
      </c>
      <c r="J97" t="s">
        <v>759</v>
      </c>
    </row>
    <row r="98" spans="1:10" ht="15" hidden="1" customHeight="1">
      <c r="A98" s="71">
        <v>46099</v>
      </c>
      <c r="B98" t="s">
        <v>495</v>
      </c>
      <c r="C98" t="s">
        <v>760</v>
      </c>
      <c r="D98" s="3">
        <v>90000</v>
      </c>
      <c r="E98" t="s">
        <v>758</v>
      </c>
      <c r="J98" t="s">
        <v>759</v>
      </c>
    </row>
    <row r="99" spans="1:10" ht="15" hidden="1" customHeight="1">
      <c r="A99" s="71">
        <v>46099</v>
      </c>
      <c r="B99" t="s">
        <v>82</v>
      </c>
      <c r="C99" t="s">
        <v>760</v>
      </c>
      <c r="D99" s="3">
        <v>195600</v>
      </c>
      <c r="E99" t="s">
        <v>758</v>
      </c>
      <c r="G99" t="s">
        <v>23</v>
      </c>
      <c r="H99" t="s">
        <v>771</v>
      </c>
      <c r="I99" s="9">
        <v>170432.99</v>
      </c>
      <c r="J99" t="s">
        <v>759</v>
      </c>
    </row>
    <row r="100" spans="1:10" ht="15" hidden="1" customHeight="1">
      <c r="A100" s="71"/>
      <c r="B100" t="s">
        <v>637</v>
      </c>
      <c r="C100" t="s">
        <v>760</v>
      </c>
      <c r="D100" s="3">
        <v>118530</v>
      </c>
      <c r="E100" t="s">
        <v>758</v>
      </c>
      <c r="J100" t="s">
        <v>759</v>
      </c>
    </row>
    <row r="101" spans="1:10" ht="15" hidden="1" customHeight="1">
      <c r="A101" s="71">
        <v>46105</v>
      </c>
      <c r="B101" t="s">
        <v>118</v>
      </c>
      <c r="C101" t="s">
        <v>757</v>
      </c>
      <c r="D101" s="3">
        <v>7682</v>
      </c>
      <c r="E101" t="s">
        <v>758</v>
      </c>
      <c r="G101" t="s">
        <v>33</v>
      </c>
      <c r="J101" t="s">
        <v>759</v>
      </c>
    </row>
    <row r="102" spans="1:10" ht="15" hidden="1" customHeight="1">
      <c r="A102" s="71">
        <v>46107</v>
      </c>
      <c r="B102" t="s">
        <v>235</v>
      </c>
      <c r="C102" t="s">
        <v>757</v>
      </c>
      <c r="D102" s="3">
        <v>2050</v>
      </c>
      <c r="E102" t="s">
        <v>758</v>
      </c>
      <c r="G102" t="s">
        <v>33</v>
      </c>
      <c r="J102" t="s">
        <v>759</v>
      </c>
    </row>
    <row r="103" spans="1:10" ht="15" hidden="1" customHeight="1">
      <c r="A103" s="71">
        <v>46108</v>
      </c>
      <c r="B103" t="s">
        <v>208</v>
      </c>
      <c r="C103" t="s">
        <v>757</v>
      </c>
      <c r="D103" s="3">
        <v>1541</v>
      </c>
      <c r="E103" t="s">
        <v>758</v>
      </c>
      <c r="G103" t="s">
        <v>33</v>
      </c>
      <c r="J103" t="s">
        <v>759</v>
      </c>
    </row>
    <row r="104" spans="1:10" ht="15" hidden="1" customHeight="1">
      <c r="A104" s="71">
        <v>46050</v>
      </c>
      <c r="B104" t="s">
        <v>557</v>
      </c>
      <c r="C104" t="s">
        <v>760</v>
      </c>
      <c r="D104" s="3">
        <v>12362</v>
      </c>
      <c r="E104" t="s">
        <v>758</v>
      </c>
      <c r="G104" t="s">
        <v>769</v>
      </c>
      <c r="I104" s="9">
        <v>263017</v>
      </c>
      <c r="J104" t="s">
        <v>759</v>
      </c>
    </row>
    <row r="105" spans="1:10" ht="15" hidden="1" customHeight="1">
      <c r="A105" s="71">
        <v>46054</v>
      </c>
      <c r="B105" t="s">
        <v>551</v>
      </c>
      <c r="C105" t="s">
        <v>760</v>
      </c>
      <c r="D105" s="3">
        <v>30000</v>
      </c>
      <c r="E105" t="s">
        <v>758</v>
      </c>
      <c r="J105" t="s">
        <v>759</v>
      </c>
    </row>
    <row r="106" spans="1:10" ht="15" hidden="1" customHeight="1">
      <c r="A106" s="71">
        <v>46105</v>
      </c>
      <c r="B106" t="s">
        <v>516</v>
      </c>
      <c r="C106" t="s">
        <v>760</v>
      </c>
      <c r="D106" s="3">
        <v>46246</v>
      </c>
      <c r="E106" t="s">
        <v>758</v>
      </c>
      <c r="J106" t="s">
        <v>759</v>
      </c>
    </row>
    <row r="107" spans="1:10" ht="15" hidden="1" customHeight="1">
      <c r="A107" s="71">
        <v>46105</v>
      </c>
      <c r="B107" t="s">
        <v>324</v>
      </c>
      <c r="C107" t="s">
        <v>757</v>
      </c>
      <c r="D107" s="3">
        <v>14082</v>
      </c>
      <c r="E107" t="s">
        <v>758</v>
      </c>
      <c r="G107" t="s">
        <v>327</v>
      </c>
      <c r="J107" t="s">
        <v>759</v>
      </c>
    </row>
    <row r="108" spans="1:10" ht="15" hidden="1" customHeight="1">
      <c r="A108" s="71">
        <v>46106</v>
      </c>
      <c r="B108" t="s">
        <v>573</v>
      </c>
      <c r="C108" t="s">
        <v>760</v>
      </c>
      <c r="D108" s="3">
        <v>561359</v>
      </c>
      <c r="E108" t="s">
        <v>758</v>
      </c>
      <c r="G108" t="s">
        <v>37</v>
      </c>
      <c r="J108" t="s">
        <v>759</v>
      </c>
    </row>
    <row r="109" spans="1:10" ht="15" hidden="1" customHeight="1">
      <c r="A109" s="71">
        <v>46111</v>
      </c>
      <c r="B109" t="s">
        <v>263</v>
      </c>
      <c r="C109" t="s">
        <v>757</v>
      </c>
      <c r="D109" s="3">
        <v>2885</v>
      </c>
      <c r="E109" t="s">
        <v>758</v>
      </c>
      <c r="G109" t="s">
        <v>23</v>
      </c>
      <c r="J109" t="s">
        <v>759</v>
      </c>
    </row>
    <row r="110" spans="1:10" ht="15" hidden="1" customHeight="1">
      <c r="A110" s="71">
        <v>46107</v>
      </c>
      <c r="B110" t="s">
        <v>421</v>
      </c>
      <c r="C110" t="s">
        <v>757</v>
      </c>
      <c r="D110" s="3">
        <v>8346</v>
      </c>
      <c r="E110" t="s">
        <v>758</v>
      </c>
      <c r="G110" t="s">
        <v>23</v>
      </c>
      <c r="J110" t="s">
        <v>759</v>
      </c>
    </row>
    <row r="111" spans="1:10" ht="15" hidden="1" customHeight="1">
      <c r="A111" s="71">
        <v>46104</v>
      </c>
      <c r="B111" t="s">
        <v>409</v>
      </c>
      <c r="C111" t="s">
        <v>757</v>
      </c>
      <c r="D111" s="3">
        <v>12775</v>
      </c>
      <c r="E111" t="s">
        <v>758</v>
      </c>
      <c r="G111" t="s">
        <v>51</v>
      </c>
      <c r="J111" t="s">
        <v>759</v>
      </c>
    </row>
    <row r="112" spans="1:10" ht="15" hidden="1" customHeight="1">
      <c r="A112" s="71">
        <v>46112</v>
      </c>
      <c r="B112" t="s">
        <v>188</v>
      </c>
      <c r="C112" t="s">
        <v>760</v>
      </c>
      <c r="D112" s="3">
        <v>342684</v>
      </c>
      <c r="E112" t="s">
        <v>758</v>
      </c>
      <c r="G112" t="s">
        <v>715</v>
      </c>
      <c r="J112" t="s">
        <v>759</v>
      </c>
    </row>
    <row r="113" spans="1:10" ht="15" hidden="1" customHeight="1">
      <c r="A113" s="71">
        <v>46099</v>
      </c>
      <c r="B113" t="s">
        <v>591</v>
      </c>
      <c r="C113" t="s">
        <v>760</v>
      </c>
      <c r="D113" s="3">
        <v>241448</v>
      </c>
      <c r="E113" t="s">
        <v>758</v>
      </c>
      <c r="G113" t="s">
        <v>23</v>
      </c>
      <c r="J113" t="s">
        <v>759</v>
      </c>
    </row>
    <row r="114" spans="1:10" ht="15" hidden="1" customHeight="1">
      <c r="A114" s="71">
        <v>46112</v>
      </c>
      <c r="B114" t="s">
        <v>628</v>
      </c>
      <c r="C114" t="s">
        <v>760</v>
      </c>
      <c r="D114" s="3">
        <v>306311</v>
      </c>
      <c r="E114" t="s">
        <v>758</v>
      </c>
      <c r="G114" t="s">
        <v>37</v>
      </c>
      <c r="J114" t="s">
        <v>759</v>
      </c>
    </row>
    <row r="115" spans="1:10" ht="15" hidden="1" customHeight="1">
      <c r="A115" s="71">
        <v>46113</v>
      </c>
      <c r="B115" t="s">
        <v>505</v>
      </c>
      <c r="C115" t="s">
        <v>760</v>
      </c>
      <c r="D115" s="3">
        <v>68137</v>
      </c>
      <c r="E115" t="s">
        <v>758</v>
      </c>
      <c r="G115" t="s">
        <v>33</v>
      </c>
      <c r="J115" t="s">
        <v>759</v>
      </c>
    </row>
    <row r="116" spans="1:10" ht="15" hidden="1" customHeight="1">
      <c r="A116" s="71">
        <v>46111</v>
      </c>
      <c r="B116" t="s">
        <v>253</v>
      </c>
      <c r="C116" t="s">
        <v>757</v>
      </c>
      <c r="D116" s="3">
        <v>4924</v>
      </c>
      <c r="E116" t="s">
        <v>758</v>
      </c>
      <c r="G116" t="s">
        <v>33</v>
      </c>
      <c r="J116" t="s">
        <v>759</v>
      </c>
    </row>
    <row r="117" spans="1:10" ht="15" hidden="1" customHeight="1">
      <c r="A117" s="71">
        <v>46120</v>
      </c>
      <c r="B117" t="s">
        <v>550</v>
      </c>
      <c r="C117" t="s">
        <v>760</v>
      </c>
      <c r="E117" t="s">
        <v>758</v>
      </c>
      <c r="G117" t="s">
        <v>769</v>
      </c>
    </row>
    <row r="118" spans="1:10" ht="15" hidden="1" customHeight="1">
      <c r="A118" s="71">
        <v>46118</v>
      </c>
      <c r="B118" t="s">
        <v>646</v>
      </c>
      <c r="C118" t="s">
        <v>760</v>
      </c>
      <c r="D118" s="3">
        <v>148168</v>
      </c>
      <c r="E118" t="s">
        <v>758</v>
      </c>
      <c r="G118" t="s">
        <v>37</v>
      </c>
      <c r="J118" t="s">
        <v>759</v>
      </c>
    </row>
    <row r="119" spans="1:10" ht="15" hidden="1" customHeight="1">
      <c r="A119" s="71">
        <v>46113</v>
      </c>
      <c r="B119" t="s">
        <v>12</v>
      </c>
      <c r="C119" t="s">
        <v>757</v>
      </c>
      <c r="D119" s="3">
        <v>2882</v>
      </c>
      <c r="E119" t="s">
        <v>758</v>
      </c>
      <c r="G119" t="s">
        <v>15</v>
      </c>
      <c r="J119" t="s">
        <v>759</v>
      </c>
    </row>
    <row r="120" spans="1:10" ht="15" hidden="1" customHeight="1">
      <c r="A120" s="71">
        <v>46118</v>
      </c>
      <c r="B120" t="s">
        <v>490</v>
      </c>
      <c r="C120" t="s">
        <v>760</v>
      </c>
      <c r="D120" s="3">
        <v>90200</v>
      </c>
      <c r="E120" t="s">
        <v>758</v>
      </c>
      <c r="G120" t="s">
        <v>764</v>
      </c>
    </row>
    <row r="121" spans="1:10" ht="15" hidden="1" customHeight="1">
      <c r="A121" s="71">
        <v>45944</v>
      </c>
      <c r="B121" t="s">
        <v>534</v>
      </c>
      <c r="C121" t="s">
        <v>760</v>
      </c>
      <c r="D121" s="3">
        <v>39117</v>
      </c>
      <c r="E121" t="s">
        <v>758</v>
      </c>
      <c r="G121" t="s">
        <v>769</v>
      </c>
      <c r="H121" t="s">
        <v>770</v>
      </c>
      <c r="I121" s="9">
        <v>405603</v>
      </c>
      <c r="J121" t="s">
        <v>759</v>
      </c>
    </row>
    <row r="122" spans="1:10" ht="15" hidden="1" customHeight="1">
      <c r="A122" s="71">
        <v>45986</v>
      </c>
      <c r="B122" t="s">
        <v>548</v>
      </c>
      <c r="C122" t="s">
        <v>760</v>
      </c>
      <c r="D122" s="3">
        <v>52833</v>
      </c>
      <c r="E122" t="s">
        <v>758</v>
      </c>
      <c r="G122" t="s">
        <v>769</v>
      </c>
      <c r="H122" t="s">
        <v>770</v>
      </c>
      <c r="I122" s="9">
        <v>546131</v>
      </c>
      <c r="J122" t="s">
        <v>759</v>
      </c>
    </row>
    <row r="123" spans="1:10" ht="15" hidden="1" customHeight="1">
      <c r="A123" s="71">
        <v>46118</v>
      </c>
      <c r="B123" t="s">
        <v>613</v>
      </c>
      <c r="C123" t="s">
        <v>760</v>
      </c>
      <c r="D123" s="3">
        <v>148444</v>
      </c>
      <c r="E123" t="s">
        <v>758</v>
      </c>
      <c r="J123" t="s">
        <v>759</v>
      </c>
    </row>
    <row r="124" spans="1:10" ht="15" hidden="1" customHeight="1">
      <c r="A124" s="71">
        <v>46093</v>
      </c>
      <c r="B124" t="s">
        <v>93</v>
      </c>
      <c r="C124" t="s">
        <v>757</v>
      </c>
      <c r="D124" s="3">
        <v>3693</v>
      </c>
      <c r="E124" t="s">
        <v>758</v>
      </c>
      <c r="J124" t="s">
        <v>759</v>
      </c>
    </row>
    <row r="125" spans="1:10" ht="15" hidden="1" customHeight="1">
      <c r="A125" s="71">
        <v>46108</v>
      </c>
      <c r="B125" t="s">
        <v>346</v>
      </c>
      <c r="C125" t="s">
        <v>757</v>
      </c>
      <c r="D125" s="3">
        <v>1974</v>
      </c>
      <c r="E125" t="s">
        <v>758</v>
      </c>
      <c r="J125" t="s">
        <v>759</v>
      </c>
    </row>
    <row r="126" spans="1:10" ht="15" hidden="1" customHeight="1">
      <c r="A126" s="71">
        <v>46121</v>
      </c>
      <c r="B126" t="s">
        <v>555</v>
      </c>
      <c r="C126" t="s">
        <v>760</v>
      </c>
      <c r="D126" s="3">
        <v>21224</v>
      </c>
      <c r="E126" t="s">
        <v>758</v>
      </c>
      <c r="G126" t="s">
        <v>769</v>
      </c>
      <c r="H126" t="s">
        <v>770</v>
      </c>
      <c r="I126" s="9">
        <v>499644</v>
      </c>
      <c r="J126" t="s">
        <v>759</v>
      </c>
    </row>
    <row r="127" spans="1:10" ht="15" hidden="1" customHeight="1">
      <c r="A127" s="71">
        <v>46121</v>
      </c>
      <c r="B127" t="s">
        <v>536</v>
      </c>
      <c r="C127" t="s">
        <v>760</v>
      </c>
      <c r="D127" s="3">
        <v>72423</v>
      </c>
      <c r="E127" t="s">
        <v>758</v>
      </c>
      <c r="G127" t="s">
        <v>769</v>
      </c>
      <c r="H127" t="s">
        <v>770</v>
      </c>
      <c r="I127" s="9">
        <v>607478</v>
      </c>
      <c r="J127" t="s">
        <v>759</v>
      </c>
    </row>
    <row r="128" spans="1:10" ht="15" hidden="1" customHeight="1">
      <c r="A128" s="71">
        <v>46121</v>
      </c>
      <c r="B128" t="s">
        <v>507</v>
      </c>
      <c r="C128" t="s">
        <v>760</v>
      </c>
      <c r="D128" s="3">
        <v>104090</v>
      </c>
      <c r="E128" t="s">
        <v>758</v>
      </c>
      <c r="G128" t="s">
        <v>37</v>
      </c>
      <c r="J128" t="s">
        <v>759</v>
      </c>
    </row>
    <row r="129" spans="1:10" ht="15" hidden="1" customHeight="1">
      <c r="A129" s="71">
        <v>46121</v>
      </c>
      <c r="B129" t="s">
        <v>313</v>
      </c>
      <c r="C129" t="s">
        <v>757</v>
      </c>
      <c r="D129" s="3">
        <v>21445</v>
      </c>
      <c r="E129" t="s">
        <v>758</v>
      </c>
      <c r="G129" t="s">
        <v>703</v>
      </c>
      <c r="J129" t="s">
        <v>759</v>
      </c>
    </row>
    <row r="130" spans="1:10" ht="15" hidden="1" customHeight="1">
      <c r="A130" s="71">
        <v>46125</v>
      </c>
      <c r="B130" t="s">
        <v>637</v>
      </c>
      <c r="C130" t="s">
        <v>760</v>
      </c>
      <c r="D130" s="3">
        <v>133477</v>
      </c>
      <c r="E130" t="s">
        <v>758</v>
      </c>
      <c r="G130" t="s">
        <v>37</v>
      </c>
      <c r="J130" t="s">
        <v>759</v>
      </c>
    </row>
    <row r="131" spans="1:10" ht="15" hidden="1" customHeight="1">
      <c r="A131" s="71">
        <v>46126</v>
      </c>
      <c r="B131" t="s">
        <v>500</v>
      </c>
      <c r="C131" t="s">
        <v>760</v>
      </c>
      <c r="D131" s="3">
        <v>117843</v>
      </c>
      <c r="E131" t="s">
        <v>758</v>
      </c>
      <c r="J131" t="s">
        <v>759</v>
      </c>
    </row>
    <row r="132" spans="1:10" ht="15" hidden="1" customHeight="1">
      <c r="A132" s="71">
        <v>46121</v>
      </c>
      <c r="B132" t="s">
        <v>122</v>
      </c>
      <c r="C132" t="s">
        <v>760</v>
      </c>
      <c r="D132" s="3">
        <v>67550</v>
      </c>
      <c r="E132" t="s">
        <v>758</v>
      </c>
      <c r="J132" t="s">
        <v>759</v>
      </c>
    </row>
    <row r="133" spans="1:10" ht="15" hidden="1" customHeight="1">
      <c r="A133" s="71">
        <v>46125</v>
      </c>
      <c r="B133" t="s">
        <v>424</v>
      </c>
      <c r="C133" t="s">
        <v>757</v>
      </c>
      <c r="D133" s="3">
        <v>5770</v>
      </c>
      <c r="E133" t="s">
        <v>758</v>
      </c>
      <c r="G133" t="s">
        <v>63</v>
      </c>
      <c r="J133" t="s">
        <v>759</v>
      </c>
    </row>
    <row r="134" spans="1:10" ht="15" hidden="1" customHeight="1">
      <c r="A134" s="71">
        <v>46106</v>
      </c>
      <c r="B134" t="s">
        <v>389</v>
      </c>
      <c r="C134" t="s">
        <v>757</v>
      </c>
      <c r="D134" s="3">
        <v>6071</v>
      </c>
      <c r="E134" t="s">
        <v>758</v>
      </c>
      <c r="G134" t="s">
        <v>37</v>
      </c>
      <c r="J134" t="s">
        <v>759</v>
      </c>
    </row>
    <row r="135" spans="1:10" ht="15" hidden="1" customHeight="1">
      <c r="A135" s="71">
        <v>46125</v>
      </c>
      <c r="B135" t="s">
        <v>19</v>
      </c>
      <c r="C135" t="s">
        <v>757</v>
      </c>
      <c r="D135" s="82">
        <v>10490</v>
      </c>
      <c r="E135" t="s">
        <v>758</v>
      </c>
      <c r="G135" t="s">
        <v>37</v>
      </c>
      <c r="J135" t="s">
        <v>759</v>
      </c>
    </row>
    <row r="136" spans="1:10" ht="15" hidden="1" customHeight="1">
      <c r="A136" s="71">
        <v>46121</v>
      </c>
      <c r="B136" t="s">
        <v>202</v>
      </c>
      <c r="C136" t="s">
        <v>757</v>
      </c>
      <c r="D136" s="3">
        <v>402</v>
      </c>
      <c r="E136" t="s">
        <v>758</v>
      </c>
      <c r="G136" t="s">
        <v>37</v>
      </c>
      <c r="J136" t="s">
        <v>759</v>
      </c>
    </row>
    <row r="137" spans="1:10" ht="15" hidden="1" customHeight="1">
      <c r="A137" s="71">
        <v>46120</v>
      </c>
      <c r="B137" t="s">
        <v>281</v>
      </c>
      <c r="C137" t="s">
        <v>757</v>
      </c>
      <c r="D137" s="3">
        <v>1540</v>
      </c>
      <c r="E137" t="s">
        <v>758</v>
      </c>
      <c r="J137" t="s">
        <v>759</v>
      </c>
    </row>
    <row r="138" spans="1:10" ht="15" hidden="1" customHeight="1">
      <c r="A138" s="71">
        <v>46124</v>
      </c>
      <c r="B138" t="s">
        <v>628</v>
      </c>
      <c r="C138" t="s">
        <v>760</v>
      </c>
      <c r="D138" s="3">
        <v>266000</v>
      </c>
      <c r="E138" t="s">
        <v>758</v>
      </c>
      <c r="G138" t="s">
        <v>15</v>
      </c>
      <c r="J138" t="s">
        <v>759</v>
      </c>
    </row>
    <row r="139" spans="1:10" ht="15" hidden="1" customHeight="1">
      <c r="A139" s="71">
        <v>46127</v>
      </c>
      <c r="B139" t="s">
        <v>667</v>
      </c>
      <c r="C139" t="s">
        <v>757</v>
      </c>
      <c r="D139" s="3">
        <v>867</v>
      </c>
      <c r="E139" t="s">
        <v>758</v>
      </c>
      <c r="G139" t="s">
        <v>15</v>
      </c>
      <c r="J139" t="s">
        <v>759</v>
      </c>
    </row>
    <row r="140" spans="1:10" ht="15" hidden="1" customHeight="1">
      <c r="A140" s="71">
        <v>46127</v>
      </c>
      <c r="B140" t="s">
        <v>32</v>
      </c>
      <c r="C140" t="s">
        <v>760</v>
      </c>
      <c r="D140" s="3">
        <v>10738</v>
      </c>
      <c r="E140" t="s">
        <v>758</v>
      </c>
      <c r="G140" t="s">
        <v>33</v>
      </c>
      <c r="J140" t="s">
        <v>759</v>
      </c>
    </row>
    <row r="141" spans="1:10" ht="15" hidden="1" customHeight="1">
      <c r="A141" s="71">
        <v>46132</v>
      </c>
      <c r="B141" t="s">
        <v>521</v>
      </c>
      <c r="C141" t="s">
        <v>760</v>
      </c>
      <c r="D141" s="3">
        <v>69677</v>
      </c>
      <c r="E141" t="s">
        <v>758</v>
      </c>
      <c r="G141" t="s">
        <v>33</v>
      </c>
      <c r="J141" t="s">
        <v>759</v>
      </c>
    </row>
    <row r="142" spans="1:10" ht="15" hidden="1" customHeight="1">
      <c r="A142" s="71">
        <v>46129</v>
      </c>
      <c r="B142" t="s">
        <v>608</v>
      </c>
      <c r="C142" t="s">
        <v>760</v>
      </c>
      <c r="D142" s="3">
        <v>170002</v>
      </c>
      <c r="E142" t="s">
        <v>758</v>
      </c>
      <c r="G142" t="s">
        <v>37</v>
      </c>
      <c r="J142" t="s">
        <v>759</v>
      </c>
    </row>
    <row r="143" spans="1:10" ht="15" hidden="1" customHeight="1">
      <c r="A143" s="71">
        <v>46129</v>
      </c>
      <c r="B143" t="s">
        <v>104</v>
      </c>
      <c r="C143" t="s">
        <v>760</v>
      </c>
      <c r="D143" s="3">
        <v>138500</v>
      </c>
      <c r="E143" t="s">
        <v>758</v>
      </c>
      <c r="G143" t="s">
        <v>37</v>
      </c>
      <c r="J143" t="s">
        <v>759</v>
      </c>
    </row>
    <row r="144" spans="1:10" ht="15" hidden="1" customHeight="1">
      <c r="A144" s="71">
        <v>46126</v>
      </c>
      <c r="B144" t="s">
        <v>641</v>
      </c>
      <c r="C144" t="s">
        <v>760</v>
      </c>
      <c r="D144" s="3">
        <v>98151</v>
      </c>
      <c r="E144" t="s">
        <v>758</v>
      </c>
      <c r="G144" t="s">
        <v>51</v>
      </c>
      <c r="J144" t="s">
        <v>759</v>
      </c>
    </row>
    <row r="145" spans="1:10" ht="15" hidden="1" customHeight="1">
      <c r="A145" s="71">
        <v>46100</v>
      </c>
      <c r="B145" t="s">
        <v>447</v>
      </c>
      <c r="C145" t="s">
        <v>757</v>
      </c>
      <c r="D145" s="3">
        <v>2360</v>
      </c>
      <c r="E145" t="s">
        <v>758</v>
      </c>
      <c r="J145" t="s">
        <v>759</v>
      </c>
    </row>
    <row r="146" spans="1:10" ht="15" hidden="1" customHeight="1">
      <c r="A146" s="71">
        <v>46133</v>
      </c>
      <c r="B146" t="s">
        <v>418</v>
      </c>
      <c r="C146" t="s">
        <v>757</v>
      </c>
      <c r="D146" s="3">
        <v>10453</v>
      </c>
      <c r="E146" t="s">
        <v>758</v>
      </c>
      <c r="G146" t="s">
        <v>33</v>
      </c>
      <c r="J146" t="s">
        <v>759</v>
      </c>
    </row>
    <row r="147" spans="1:10" ht="15" hidden="1" customHeight="1">
      <c r="A147" s="71">
        <v>46134</v>
      </c>
      <c r="B147" t="s">
        <v>268</v>
      </c>
      <c r="C147" t="s">
        <v>757</v>
      </c>
      <c r="D147" s="3">
        <v>10154</v>
      </c>
      <c r="E147" t="s">
        <v>758</v>
      </c>
      <c r="G147" t="s">
        <v>33</v>
      </c>
      <c r="J147" t="s">
        <v>759</v>
      </c>
    </row>
    <row r="148" spans="1:10" ht="15" hidden="1" customHeight="1">
      <c r="A148" s="71">
        <v>46135</v>
      </c>
      <c r="B148" t="s">
        <v>544</v>
      </c>
      <c r="C148" t="s">
        <v>760</v>
      </c>
      <c r="D148" s="3">
        <v>100657</v>
      </c>
      <c r="E148" t="s">
        <v>758</v>
      </c>
      <c r="G148" t="s">
        <v>37</v>
      </c>
      <c r="J148" t="s">
        <v>759</v>
      </c>
    </row>
    <row r="149" spans="1:10" ht="15" hidden="1" customHeight="1">
      <c r="A149" s="71">
        <v>46133</v>
      </c>
      <c r="B149" t="s">
        <v>435</v>
      </c>
      <c r="C149" t="s">
        <v>757</v>
      </c>
      <c r="D149" s="3">
        <v>10222</v>
      </c>
      <c r="E149" t="s">
        <v>758</v>
      </c>
      <c r="G149" t="s">
        <v>63</v>
      </c>
      <c r="J149" t="s">
        <v>759</v>
      </c>
    </row>
    <row r="150" spans="1:10" ht="15" hidden="1" customHeight="1">
      <c r="A150" s="71">
        <v>46132</v>
      </c>
      <c r="B150" t="s">
        <v>278</v>
      </c>
      <c r="C150" t="s">
        <v>757</v>
      </c>
      <c r="D150" s="3">
        <v>4308</v>
      </c>
      <c r="E150" t="s">
        <v>758</v>
      </c>
      <c r="G150" t="s">
        <v>63</v>
      </c>
      <c r="J150" t="s">
        <v>759</v>
      </c>
    </row>
    <row r="151" spans="1:10" ht="15" hidden="1" customHeight="1">
      <c r="A151" s="71">
        <v>46133</v>
      </c>
      <c r="B151" t="s">
        <v>360</v>
      </c>
      <c r="C151" t="s">
        <v>757</v>
      </c>
      <c r="D151" s="3">
        <v>7113</v>
      </c>
      <c r="E151" t="s">
        <v>758</v>
      </c>
      <c r="G151" t="s">
        <v>63</v>
      </c>
      <c r="J151" t="s">
        <v>759</v>
      </c>
    </row>
    <row r="152" spans="1:10" ht="15" hidden="1" customHeight="1">
      <c r="A152" s="71">
        <v>46136</v>
      </c>
      <c r="B152" t="s">
        <v>400</v>
      </c>
      <c r="C152" t="s">
        <v>757</v>
      </c>
      <c r="D152" s="3">
        <v>8705</v>
      </c>
      <c r="E152" t="s">
        <v>758</v>
      </c>
      <c r="G152" t="s">
        <v>33</v>
      </c>
      <c r="J152" t="s">
        <v>759</v>
      </c>
    </row>
    <row r="153" spans="1:10" ht="15" hidden="1" customHeight="1">
      <c r="A153" s="71">
        <v>46139</v>
      </c>
      <c r="B153" t="s">
        <v>512</v>
      </c>
      <c r="C153" t="s">
        <v>760</v>
      </c>
      <c r="D153" s="3">
        <v>73245</v>
      </c>
      <c r="E153" t="s">
        <v>758</v>
      </c>
      <c r="J153" t="s">
        <v>759</v>
      </c>
    </row>
    <row r="154" spans="1:10" ht="15" customHeight="1">
      <c r="A154" s="71">
        <v>46147</v>
      </c>
      <c r="B154" t="s">
        <v>444</v>
      </c>
      <c r="C154" t="s">
        <v>757</v>
      </c>
      <c r="D154" s="3">
        <v>2163</v>
      </c>
      <c r="E154" t="s">
        <v>758</v>
      </c>
      <c r="G154" t="s">
        <v>33</v>
      </c>
      <c r="H154" t="s">
        <v>46</v>
      </c>
      <c r="J154" t="s">
        <v>759</v>
      </c>
    </row>
    <row r="155" spans="1:10" ht="15" hidden="1" customHeight="1">
      <c r="A155" s="71">
        <v>46146</v>
      </c>
      <c r="B155" t="s">
        <v>550</v>
      </c>
      <c r="C155" t="s">
        <v>760</v>
      </c>
      <c r="D155" s="3">
        <v>100000</v>
      </c>
      <c r="E155" t="s">
        <v>758</v>
      </c>
      <c r="G155" t="s">
        <v>772</v>
      </c>
      <c r="J155" t="s">
        <v>759</v>
      </c>
    </row>
    <row r="156" spans="1:10" ht="15" hidden="1" customHeight="1">
      <c r="A156" s="71">
        <v>46147</v>
      </c>
      <c r="B156" t="s">
        <v>65</v>
      </c>
      <c r="C156" t="s">
        <v>757</v>
      </c>
      <c r="D156" s="3">
        <v>4010</v>
      </c>
      <c r="E156" t="s">
        <v>758</v>
      </c>
      <c r="G156" t="s">
        <v>15</v>
      </c>
      <c r="J156" t="s">
        <v>759</v>
      </c>
    </row>
    <row r="157" spans="1:10" ht="15" hidden="1" customHeight="1">
      <c r="A157" s="71">
        <v>46147</v>
      </c>
      <c r="B157" t="s">
        <v>582</v>
      </c>
      <c r="C157" t="s">
        <v>760</v>
      </c>
      <c r="D157" s="3">
        <v>169260</v>
      </c>
      <c r="E157" t="s">
        <v>758</v>
      </c>
      <c r="G157" t="s">
        <v>15</v>
      </c>
      <c r="J157" t="s">
        <v>759</v>
      </c>
    </row>
    <row r="158" spans="1:10" ht="15" hidden="1" customHeight="1">
      <c r="A158" s="71">
        <v>46147</v>
      </c>
      <c r="B158" t="s">
        <v>462</v>
      </c>
      <c r="C158" t="s">
        <v>760</v>
      </c>
      <c r="D158" s="3">
        <v>99593</v>
      </c>
      <c r="E158" t="s">
        <v>758</v>
      </c>
      <c r="G158" t="s">
        <v>772</v>
      </c>
      <c r="J158" t="s">
        <v>759</v>
      </c>
    </row>
    <row r="159" spans="1:10" ht="15" hidden="1" customHeight="1">
      <c r="A159" s="71">
        <v>46141</v>
      </c>
      <c r="B159" t="s">
        <v>391</v>
      </c>
      <c r="C159" t="s">
        <v>757</v>
      </c>
      <c r="D159" s="3">
        <v>7968</v>
      </c>
      <c r="E159" t="s">
        <v>758</v>
      </c>
      <c r="G159" t="s">
        <v>772</v>
      </c>
      <c r="J159" t="s">
        <v>759</v>
      </c>
    </row>
    <row r="160" spans="1:10" ht="15" hidden="1" customHeight="1">
      <c r="A160" s="71">
        <v>46141</v>
      </c>
      <c r="B160" t="s">
        <v>587</v>
      </c>
      <c r="C160" t="s">
        <v>760</v>
      </c>
      <c r="D160" s="3">
        <v>158018</v>
      </c>
      <c r="E160" t="s">
        <v>758</v>
      </c>
      <c r="G160" t="s">
        <v>772</v>
      </c>
      <c r="J160" t="s">
        <v>759</v>
      </c>
    </row>
    <row r="161" spans="1:10" ht="15" hidden="1" customHeight="1">
      <c r="A161" s="71">
        <v>46141</v>
      </c>
      <c r="B161" t="s">
        <v>305</v>
      </c>
      <c r="C161" t="s">
        <v>757</v>
      </c>
      <c r="D161" s="3">
        <v>8832</v>
      </c>
      <c r="E161" t="s">
        <v>758</v>
      </c>
      <c r="G161" t="s">
        <v>63</v>
      </c>
      <c r="J161" t="s">
        <v>759</v>
      </c>
    </row>
    <row r="162" spans="1:10" ht="15" hidden="1" customHeight="1">
      <c r="A162" s="71">
        <v>46146</v>
      </c>
      <c r="B162" t="s">
        <v>452</v>
      </c>
      <c r="C162" t="s">
        <v>757</v>
      </c>
      <c r="D162" s="3">
        <v>1905</v>
      </c>
      <c r="E162" t="s">
        <v>758</v>
      </c>
      <c r="G162" t="s">
        <v>15</v>
      </c>
      <c r="J162" t="s">
        <v>759</v>
      </c>
    </row>
    <row r="163" spans="1:10" ht="15" hidden="1" customHeight="1">
      <c r="A163" s="71">
        <v>46146</v>
      </c>
      <c r="B163" t="s">
        <v>122</v>
      </c>
      <c r="C163" t="s">
        <v>760</v>
      </c>
      <c r="D163" s="3">
        <v>72839</v>
      </c>
      <c r="E163" t="s">
        <v>758</v>
      </c>
      <c r="G163" t="s">
        <v>772</v>
      </c>
      <c r="J163" t="s">
        <v>759</v>
      </c>
    </row>
    <row r="164" spans="1:10" ht="15" hidden="1" customHeight="1">
      <c r="A164" s="71">
        <v>46140</v>
      </c>
      <c r="B164" t="s">
        <v>428</v>
      </c>
      <c r="C164" t="s">
        <v>757</v>
      </c>
      <c r="D164" s="3">
        <v>596</v>
      </c>
      <c r="E164" t="s">
        <v>758</v>
      </c>
      <c r="G164" t="s">
        <v>23</v>
      </c>
      <c r="J164" t="s">
        <v>759</v>
      </c>
    </row>
    <row r="165" spans="1:10" ht="15" hidden="1" customHeight="1">
      <c r="A165" s="71">
        <v>46149</v>
      </c>
      <c r="B165" t="s">
        <v>171</v>
      </c>
      <c r="C165" t="s">
        <v>757</v>
      </c>
      <c r="D165" s="3">
        <v>8875</v>
      </c>
      <c r="E165" t="s">
        <v>758</v>
      </c>
      <c r="G165" t="s">
        <v>33</v>
      </c>
      <c r="J165" t="s">
        <v>759</v>
      </c>
    </row>
    <row r="166" spans="1:10" ht="15" hidden="1" customHeight="1">
      <c r="A166" s="71">
        <v>46106</v>
      </c>
      <c r="B166" t="s">
        <v>460</v>
      </c>
      <c r="C166" t="s">
        <v>757</v>
      </c>
      <c r="D166" s="3">
        <v>2277</v>
      </c>
      <c r="E166" t="s">
        <v>758</v>
      </c>
      <c r="G166" t="s">
        <v>33</v>
      </c>
      <c r="J166" t="s">
        <v>759</v>
      </c>
    </row>
    <row r="167" spans="1:10" ht="15" hidden="1" customHeight="1">
      <c r="A167" s="71">
        <v>46106</v>
      </c>
      <c r="B167" t="s">
        <v>412</v>
      </c>
      <c r="C167" t="s">
        <v>757</v>
      </c>
      <c r="D167" s="3">
        <v>4469</v>
      </c>
      <c r="E167" t="s">
        <v>758</v>
      </c>
      <c r="G167" t="s">
        <v>33</v>
      </c>
      <c r="J167" t="s">
        <v>759</v>
      </c>
    </row>
    <row r="168" spans="1:10" ht="15" hidden="1" customHeight="1">
      <c r="A168" s="71">
        <v>46154</v>
      </c>
      <c r="B168" t="s">
        <v>152</v>
      </c>
      <c r="C168" t="s">
        <v>760</v>
      </c>
      <c r="D168" s="3">
        <v>491662</v>
      </c>
      <c r="E168" t="s">
        <v>758</v>
      </c>
      <c r="G168" t="s">
        <v>772</v>
      </c>
      <c r="J168" t="s">
        <v>759</v>
      </c>
    </row>
    <row r="169" spans="1:10" ht="15" hidden="1" customHeight="1">
      <c r="A169" s="71">
        <v>46154</v>
      </c>
      <c r="B169" t="s">
        <v>301</v>
      </c>
      <c r="C169" t="s">
        <v>757</v>
      </c>
      <c r="D169" s="3">
        <v>8971</v>
      </c>
      <c r="E169" t="s">
        <v>758</v>
      </c>
      <c r="G169" t="s">
        <v>33</v>
      </c>
      <c r="J169" t="s">
        <v>759</v>
      </c>
    </row>
    <row r="170" spans="1:10" ht="15" hidden="1" customHeight="1">
      <c r="A170" s="71">
        <v>46154</v>
      </c>
      <c r="B170" t="s">
        <v>338</v>
      </c>
      <c r="C170" t="s">
        <v>757</v>
      </c>
      <c r="D170" s="3">
        <v>26181</v>
      </c>
      <c r="E170" t="s">
        <v>758</v>
      </c>
      <c r="G170" t="s">
        <v>33</v>
      </c>
      <c r="J170" t="s">
        <v>759</v>
      </c>
    </row>
    <row r="171" spans="1:10" ht="15" hidden="1" customHeight="1">
      <c r="A171" s="71">
        <v>46156</v>
      </c>
      <c r="B171" t="s">
        <v>540</v>
      </c>
      <c r="C171" t="s">
        <v>760</v>
      </c>
      <c r="D171" s="3">
        <v>83032</v>
      </c>
      <c r="E171" t="s">
        <v>758</v>
      </c>
      <c r="G171" t="s">
        <v>769</v>
      </c>
      <c r="H171" t="s">
        <v>770</v>
      </c>
      <c r="I171" s="9">
        <v>684542</v>
      </c>
      <c r="J171" t="s">
        <v>759</v>
      </c>
    </row>
    <row r="172" spans="1:10" ht="15" hidden="1" customHeight="1">
      <c r="A172" s="71">
        <v>46155</v>
      </c>
      <c r="B172" t="s">
        <v>534</v>
      </c>
      <c r="C172" t="s">
        <v>760</v>
      </c>
      <c r="D172" s="3">
        <v>72991</v>
      </c>
      <c r="E172" t="s">
        <v>758</v>
      </c>
      <c r="G172" t="s">
        <v>769</v>
      </c>
      <c r="H172" s="50" t="s">
        <v>770</v>
      </c>
      <c r="I172" s="9">
        <v>659905</v>
      </c>
      <c r="J172" t="s">
        <v>759</v>
      </c>
    </row>
    <row r="173" spans="1:10" ht="15" hidden="1" customHeight="1">
      <c r="A173" s="71">
        <v>46134</v>
      </c>
      <c r="B173" t="s">
        <v>529</v>
      </c>
      <c r="C173" t="s">
        <v>760</v>
      </c>
      <c r="D173" s="3">
        <v>58786</v>
      </c>
      <c r="E173" t="s">
        <v>758</v>
      </c>
      <c r="G173" t="s">
        <v>37</v>
      </c>
      <c r="J173" t="s">
        <v>759</v>
      </c>
    </row>
    <row r="174" spans="1:10" ht="15" hidden="1" customHeight="1">
      <c r="A174" s="71">
        <v>46133</v>
      </c>
      <c r="B174" t="s">
        <v>631</v>
      </c>
      <c r="C174" t="s">
        <v>760</v>
      </c>
      <c r="D174" s="3">
        <v>156473</v>
      </c>
      <c r="E174" t="s">
        <v>758</v>
      </c>
      <c r="F174" s="3">
        <v>16221</v>
      </c>
      <c r="G174" t="s">
        <v>772</v>
      </c>
      <c r="J174" t="s">
        <v>759</v>
      </c>
    </row>
    <row r="175" spans="1:10" ht="15" hidden="1" customHeight="1">
      <c r="A175" s="71">
        <v>46153</v>
      </c>
      <c r="B175" t="s">
        <v>359</v>
      </c>
      <c r="C175" t="s">
        <v>757</v>
      </c>
      <c r="D175" s="3">
        <v>8324</v>
      </c>
      <c r="E175" t="s">
        <v>758</v>
      </c>
      <c r="F175" s="3">
        <v>17197</v>
      </c>
      <c r="G175" t="s">
        <v>15</v>
      </c>
      <c r="J175" t="s">
        <v>759</v>
      </c>
    </row>
    <row r="176" spans="1:10" ht="15" hidden="1" customHeight="1">
      <c r="A176" s="71">
        <v>46150</v>
      </c>
      <c r="B176" t="s">
        <v>454</v>
      </c>
      <c r="C176" t="s">
        <v>757</v>
      </c>
      <c r="D176" s="3">
        <v>2012</v>
      </c>
      <c r="E176" t="s">
        <v>758</v>
      </c>
      <c r="F176" s="3">
        <v>1712</v>
      </c>
      <c r="G176" t="s">
        <v>15</v>
      </c>
      <c r="J176" t="s">
        <v>759</v>
      </c>
    </row>
    <row r="177" spans="1:10" ht="15" hidden="1" customHeight="1">
      <c r="A177" s="71">
        <v>46153</v>
      </c>
      <c r="B177" t="s">
        <v>293</v>
      </c>
      <c r="C177" t="s">
        <v>757</v>
      </c>
      <c r="D177" s="3">
        <v>1794</v>
      </c>
      <c r="E177" t="s">
        <v>758</v>
      </c>
      <c r="F177" s="3">
        <v>17198</v>
      </c>
      <c r="G177" t="s">
        <v>287</v>
      </c>
      <c r="J177" t="s">
        <v>759</v>
      </c>
    </row>
    <row r="178" spans="1:10" ht="15" hidden="1" customHeight="1">
      <c r="A178" s="71">
        <v>46155</v>
      </c>
      <c r="B178" t="s">
        <v>352</v>
      </c>
      <c r="C178" t="s">
        <v>757</v>
      </c>
      <c r="D178" s="3">
        <v>8627</v>
      </c>
      <c r="E178" t="s">
        <v>758</v>
      </c>
      <c r="F178" s="3">
        <v>17616</v>
      </c>
      <c r="G178" t="s">
        <v>772</v>
      </c>
      <c r="J178" t="s">
        <v>759</v>
      </c>
    </row>
    <row r="179" spans="1:10" ht="15" hidden="1" customHeight="1">
      <c r="A179" s="71">
        <v>46157</v>
      </c>
      <c r="B179" t="s">
        <v>91</v>
      </c>
      <c r="C179" t="s">
        <v>757</v>
      </c>
      <c r="D179" s="3">
        <v>3941</v>
      </c>
      <c r="E179" t="s">
        <v>758</v>
      </c>
      <c r="F179" s="3">
        <v>16604</v>
      </c>
      <c r="G179" t="s">
        <v>63</v>
      </c>
      <c r="J179" t="s">
        <v>759</v>
      </c>
    </row>
    <row r="180" spans="1:10" ht="15" hidden="1" customHeight="1">
      <c r="A180" s="71">
        <v>46155</v>
      </c>
      <c r="B180" t="s">
        <v>667</v>
      </c>
      <c r="C180" t="s">
        <v>757</v>
      </c>
      <c r="D180" s="3">
        <v>322</v>
      </c>
      <c r="E180" t="s">
        <v>758</v>
      </c>
      <c r="F180" s="3">
        <v>16602</v>
      </c>
      <c r="G180" t="s">
        <v>15</v>
      </c>
      <c r="J180" t="s">
        <v>759</v>
      </c>
    </row>
    <row r="181" spans="1:10" ht="15" hidden="1" customHeight="1">
      <c r="A181" s="71">
        <v>46160</v>
      </c>
      <c r="B181" t="s">
        <v>141</v>
      </c>
      <c r="C181" t="s">
        <v>757</v>
      </c>
      <c r="D181" s="3">
        <v>1944</v>
      </c>
      <c r="E181" t="s">
        <v>758</v>
      </c>
      <c r="F181" s="3">
        <v>16342</v>
      </c>
      <c r="G181" t="s">
        <v>33</v>
      </c>
      <c r="J181" t="s">
        <v>759</v>
      </c>
    </row>
    <row r="182" spans="1:10" ht="15" hidden="1" customHeight="1">
      <c r="A182" s="71">
        <v>46162</v>
      </c>
      <c r="B182" t="s">
        <v>138</v>
      </c>
      <c r="C182" t="s">
        <v>757</v>
      </c>
      <c r="D182" s="3">
        <v>34909</v>
      </c>
      <c r="E182" t="s">
        <v>758</v>
      </c>
      <c r="F182" s="3">
        <v>16351</v>
      </c>
      <c r="G182" t="s">
        <v>33</v>
      </c>
      <c r="J182" t="s">
        <v>759</v>
      </c>
    </row>
    <row r="183" spans="1:10" ht="15" hidden="1" customHeight="1">
      <c r="A183" s="71">
        <v>46167</v>
      </c>
      <c r="B183" t="s">
        <v>60</v>
      </c>
      <c r="C183" t="s">
        <v>757</v>
      </c>
      <c r="D183" s="3">
        <v>802920</v>
      </c>
      <c r="E183" t="s">
        <v>758</v>
      </c>
      <c r="F183" s="3">
        <v>16612</v>
      </c>
      <c r="G183" t="s">
        <v>15</v>
      </c>
      <c r="J183" t="s">
        <v>759</v>
      </c>
    </row>
    <row r="184" spans="1:10" ht="15" hidden="1" customHeight="1">
      <c r="A184" s="71">
        <v>46161</v>
      </c>
      <c r="B184" t="s">
        <v>466</v>
      </c>
      <c r="C184" t="s">
        <v>760</v>
      </c>
      <c r="D184" s="3">
        <v>116347</v>
      </c>
      <c r="E184" t="s">
        <v>758</v>
      </c>
      <c r="F184" s="3">
        <v>17205</v>
      </c>
      <c r="G184" t="s">
        <v>772</v>
      </c>
      <c r="J184" t="s">
        <v>759</v>
      </c>
    </row>
    <row r="185" spans="1:10" ht="15" hidden="1" customHeight="1">
      <c r="A185" s="71">
        <v>46167</v>
      </c>
      <c r="B185" t="s">
        <v>519</v>
      </c>
      <c r="C185" t="s">
        <v>760</v>
      </c>
      <c r="D185" s="3">
        <v>63698</v>
      </c>
      <c r="E185" t="s">
        <v>758</v>
      </c>
      <c r="F185" s="3">
        <v>17208</v>
      </c>
      <c r="G185" t="s">
        <v>772</v>
      </c>
      <c r="J185" t="s">
        <v>759</v>
      </c>
    </row>
    <row r="186" spans="1:10" ht="15" hidden="1" customHeight="1">
      <c r="A186" s="71">
        <v>46167</v>
      </c>
      <c r="B186" t="s">
        <v>546</v>
      </c>
      <c r="C186" t="s">
        <v>760</v>
      </c>
      <c r="D186" s="3">
        <v>53548</v>
      </c>
      <c r="E186" t="s">
        <v>758</v>
      </c>
      <c r="F186" s="3">
        <v>17209</v>
      </c>
      <c r="G186" t="s">
        <v>772</v>
      </c>
      <c r="J186" t="s">
        <v>759</v>
      </c>
    </row>
    <row r="187" spans="1:10" ht="15" hidden="1" customHeight="1">
      <c r="A187" s="71">
        <v>46162</v>
      </c>
      <c r="B187" t="s">
        <v>185</v>
      </c>
      <c r="C187" t="s">
        <v>760</v>
      </c>
      <c r="D187" s="3">
        <v>120593</v>
      </c>
      <c r="E187" t="s">
        <v>758</v>
      </c>
      <c r="F187" s="3">
        <v>15125</v>
      </c>
      <c r="G187" t="s">
        <v>772</v>
      </c>
      <c r="J187" t="s">
        <v>759</v>
      </c>
    </row>
    <row r="188" spans="1:10" ht="15" hidden="1" customHeight="1">
      <c r="A188" s="71">
        <v>46162</v>
      </c>
      <c r="B188" t="s">
        <v>514</v>
      </c>
      <c r="C188" t="s">
        <v>760</v>
      </c>
      <c r="D188" s="3">
        <v>57384</v>
      </c>
      <c r="E188" t="s">
        <v>758</v>
      </c>
      <c r="F188" s="3">
        <v>15126</v>
      </c>
      <c r="G188" t="s">
        <v>772</v>
      </c>
      <c r="J188" t="s">
        <v>759</v>
      </c>
    </row>
    <row r="189" spans="1:10" ht="15" hidden="1" customHeight="1">
      <c r="A189" s="71">
        <v>46161</v>
      </c>
      <c r="B189" t="s">
        <v>434</v>
      </c>
      <c r="C189" t="s">
        <v>757</v>
      </c>
      <c r="D189" s="3">
        <v>6689</v>
      </c>
      <c r="E189" t="s">
        <v>758</v>
      </c>
      <c r="F189" s="3">
        <v>16607</v>
      </c>
      <c r="G189" t="s">
        <v>773</v>
      </c>
      <c r="J189" t="s">
        <v>759</v>
      </c>
    </row>
    <row r="190" spans="1:10" ht="15" hidden="1" customHeight="1">
      <c r="A190" s="71">
        <v>46162</v>
      </c>
      <c r="B190" t="s">
        <v>307</v>
      </c>
      <c r="C190" t="s">
        <v>757</v>
      </c>
      <c r="D190" s="3">
        <v>14740</v>
      </c>
      <c r="E190" t="s">
        <v>758</v>
      </c>
      <c r="F190" s="3">
        <v>16610</v>
      </c>
      <c r="G190" t="s">
        <v>15</v>
      </c>
      <c r="J190" t="s">
        <v>759</v>
      </c>
    </row>
    <row r="191" spans="1:10" ht="15" hidden="1" customHeight="1">
      <c r="A191" s="71">
        <v>46161</v>
      </c>
      <c r="B191" t="s">
        <v>652</v>
      </c>
      <c r="C191" t="s">
        <v>760</v>
      </c>
      <c r="D191" s="3">
        <v>98889</v>
      </c>
      <c r="E191" t="s">
        <v>758</v>
      </c>
      <c r="F191" s="3">
        <v>19000</v>
      </c>
      <c r="G191" t="s">
        <v>772</v>
      </c>
      <c r="J191" t="s">
        <v>759</v>
      </c>
    </row>
    <row r="192" spans="1:10" ht="15" hidden="1" customHeight="1">
      <c r="A192" s="71">
        <v>46169</v>
      </c>
      <c r="B192" t="s">
        <v>371</v>
      </c>
      <c r="C192" t="s">
        <v>757</v>
      </c>
      <c r="D192" s="3">
        <v>17000</v>
      </c>
      <c r="E192" t="s">
        <v>758</v>
      </c>
      <c r="G192" t="s">
        <v>33</v>
      </c>
      <c r="J192" t="s">
        <v>759</v>
      </c>
    </row>
    <row r="193" spans="1:10" ht="15" hidden="1" customHeight="1">
      <c r="A193" s="71">
        <v>46169</v>
      </c>
      <c r="B193" t="s">
        <v>263</v>
      </c>
      <c r="C193" t="s">
        <v>760</v>
      </c>
      <c r="D193" s="3">
        <v>3193</v>
      </c>
      <c r="E193" t="s">
        <v>758</v>
      </c>
      <c r="F193" s="3">
        <v>16615</v>
      </c>
      <c r="G193" t="s">
        <v>327</v>
      </c>
      <c r="J193" t="s">
        <v>759</v>
      </c>
    </row>
    <row r="194" spans="1:10" ht="15" hidden="1" customHeight="1">
      <c r="A194" s="71">
        <v>46168</v>
      </c>
      <c r="B194" t="s">
        <v>128</v>
      </c>
      <c r="C194" t="s">
        <v>760</v>
      </c>
      <c r="D194" s="3">
        <v>5845</v>
      </c>
      <c r="E194" t="s">
        <v>758</v>
      </c>
      <c r="G194" t="s">
        <v>15</v>
      </c>
      <c r="J194" t="s">
        <v>759</v>
      </c>
    </row>
    <row r="195" spans="1:10" ht="15" hidden="1" customHeight="1">
      <c r="A195" s="71">
        <v>46133</v>
      </c>
      <c r="B195" t="s">
        <v>74</v>
      </c>
      <c r="C195" t="s">
        <v>760</v>
      </c>
      <c r="E195" t="s">
        <v>758</v>
      </c>
      <c r="F195" s="3">
        <v>15118</v>
      </c>
      <c r="G195" t="s">
        <v>37</v>
      </c>
      <c r="J195" t="s">
        <v>759</v>
      </c>
    </row>
    <row r="196" spans="1:10" ht="15" hidden="1" customHeight="1">
      <c r="A196" s="71">
        <v>46177</v>
      </c>
      <c r="B196" t="s">
        <v>558</v>
      </c>
      <c r="C196" t="s">
        <v>760</v>
      </c>
      <c r="D196" s="3">
        <v>31381</v>
      </c>
      <c r="E196" t="s">
        <v>758</v>
      </c>
      <c r="G196" t="s">
        <v>774</v>
      </c>
      <c r="H196" s="50" t="s">
        <v>770</v>
      </c>
      <c r="I196" s="9">
        <v>598471</v>
      </c>
      <c r="J196" t="s">
        <v>759</v>
      </c>
    </row>
    <row r="197" spans="1:10" ht="15" hidden="1" customHeight="1">
      <c r="A197" s="71">
        <v>46177</v>
      </c>
      <c r="B197" t="s">
        <v>555</v>
      </c>
      <c r="C197" t="s">
        <v>760</v>
      </c>
      <c r="D197" s="3">
        <v>32100</v>
      </c>
      <c r="E197" t="s">
        <v>758</v>
      </c>
      <c r="G197" t="s">
        <v>774</v>
      </c>
      <c r="H197" s="50" t="s">
        <v>770</v>
      </c>
      <c r="I197" s="9">
        <v>383324</v>
      </c>
      <c r="J197" t="s">
        <v>759</v>
      </c>
    </row>
    <row r="198" spans="1:10" ht="15" hidden="1" customHeight="1">
      <c r="A198" s="71">
        <v>46178</v>
      </c>
      <c r="B198" t="s">
        <v>542</v>
      </c>
      <c r="C198" t="s">
        <v>760</v>
      </c>
      <c r="D198" s="3">
        <v>98990</v>
      </c>
      <c r="E198" t="s">
        <v>758</v>
      </c>
      <c r="G198" t="s">
        <v>772</v>
      </c>
      <c r="J198" t="s">
        <v>759</v>
      </c>
    </row>
    <row r="199" spans="1:10" ht="15" hidden="1" customHeight="1">
      <c r="A199" s="71">
        <v>46181</v>
      </c>
      <c r="B199" t="s">
        <v>560</v>
      </c>
      <c r="C199" t="s">
        <v>760</v>
      </c>
      <c r="D199" s="3">
        <v>33065</v>
      </c>
      <c r="E199" t="s">
        <v>758</v>
      </c>
      <c r="G199" t="s">
        <v>774</v>
      </c>
      <c r="H199" s="50" t="s">
        <v>770</v>
      </c>
      <c r="I199" s="9">
        <v>330257</v>
      </c>
      <c r="J199" t="s">
        <v>759</v>
      </c>
    </row>
    <row r="200" spans="1:10" ht="15" hidden="1" customHeight="1">
      <c r="A200" s="71">
        <v>46181</v>
      </c>
      <c r="B200" t="s">
        <v>646</v>
      </c>
      <c r="C200" t="s">
        <v>760</v>
      </c>
      <c r="D200" s="3">
        <v>159017</v>
      </c>
      <c r="E200" t="s">
        <v>758</v>
      </c>
      <c r="G200" t="s">
        <v>772</v>
      </c>
      <c r="J200" t="s">
        <v>759</v>
      </c>
    </row>
    <row r="201" spans="1:10" ht="15" hidden="1" customHeight="1">
      <c r="A201" s="71">
        <v>46174</v>
      </c>
      <c r="B201" t="s">
        <v>122</v>
      </c>
      <c r="C201" t="s">
        <v>760</v>
      </c>
      <c r="D201" s="3">
        <v>78050</v>
      </c>
      <c r="E201" t="s">
        <v>758</v>
      </c>
      <c r="G201" t="s">
        <v>772</v>
      </c>
      <c r="J201" t="s">
        <v>759</v>
      </c>
    </row>
    <row r="202" spans="1:10" ht="15" hidden="1" customHeight="1">
      <c r="A202" s="71">
        <v>46184</v>
      </c>
      <c r="B202" t="s">
        <v>548</v>
      </c>
      <c r="C202" t="s">
        <v>760</v>
      </c>
      <c r="D202" s="3">
        <v>66289</v>
      </c>
      <c r="E202" t="s">
        <v>758</v>
      </c>
      <c r="G202" t="s">
        <v>769</v>
      </c>
      <c r="H202" s="50" t="s">
        <v>770</v>
      </c>
      <c r="I202" s="9">
        <v>574406</v>
      </c>
      <c r="J202" t="s">
        <v>759</v>
      </c>
    </row>
    <row r="203" spans="1:10" ht="15" hidden="1" customHeight="1">
      <c r="A203" s="71">
        <v>46112</v>
      </c>
      <c r="B203" t="s">
        <v>625</v>
      </c>
      <c r="C203" t="s">
        <v>760</v>
      </c>
      <c r="D203" s="3">
        <v>306311</v>
      </c>
      <c r="E203" t="s">
        <v>758</v>
      </c>
      <c r="G203" t="s">
        <v>772</v>
      </c>
      <c r="J203" t="s">
        <v>759</v>
      </c>
    </row>
    <row r="204" spans="1:10" ht="15" hidden="1" customHeight="1">
      <c r="A204" s="71">
        <v>46174</v>
      </c>
      <c r="B204" t="s">
        <v>648</v>
      </c>
      <c r="C204" t="s">
        <v>760</v>
      </c>
      <c r="D204" s="3">
        <v>139746</v>
      </c>
      <c r="E204" t="s">
        <v>758</v>
      </c>
      <c r="G204" t="s">
        <v>772</v>
      </c>
      <c r="J204" t="s">
        <v>759</v>
      </c>
    </row>
    <row r="205" spans="1:10" ht="15" hidden="1" customHeight="1">
      <c r="A205" s="71">
        <v>46182</v>
      </c>
      <c r="B205" t="s">
        <v>500</v>
      </c>
      <c r="C205" t="s">
        <v>760</v>
      </c>
      <c r="D205" s="3">
        <v>128642</v>
      </c>
      <c r="E205" t="s">
        <v>758</v>
      </c>
      <c r="G205" t="s">
        <v>772</v>
      </c>
      <c r="J205" t="s">
        <v>759</v>
      </c>
    </row>
    <row r="206" spans="1:10" ht="15" hidden="1" customHeight="1">
      <c r="A206" s="71">
        <v>46175</v>
      </c>
      <c r="B206" t="s">
        <v>249</v>
      </c>
      <c r="C206" t="s">
        <v>760</v>
      </c>
      <c r="D206" s="3">
        <v>6700</v>
      </c>
      <c r="E206" t="s">
        <v>758</v>
      </c>
      <c r="G206" t="s">
        <v>287</v>
      </c>
      <c r="J206" t="s">
        <v>759</v>
      </c>
    </row>
    <row r="207" spans="1:10" ht="15" hidden="1" customHeight="1">
      <c r="A207" s="71">
        <v>46178</v>
      </c>
      <c r="B207" t="s">
        <v>169</v>
      </c>
      <c r="C207" t="s">
        <v>760</v>
      </c>
      <c r="D207" s="3">
        <v>2325</v>
      </c>
      <c r="E207" t="s">
        <v>758</v>
      </c>
      <c r="G207" t="s">
        <v>316</v>
      </c>
      <c r="J207" t="s">
        <v>759</v>
      </c>
    </row>
    <row r="208" spans="1:10" ht="15" hidden="1" customHeight="1">
      <c r="A208" s="71">
        <v>46175</v>
      </c>
      <c r="B208" t="s">
        <v>29</v>
      </c>
      <c r="C208" t="s">
        <v>760</v>
      </c>
      <c r="D208" s="3">
        <v>9025</v>
      </c>
      <c r="E208" t="s">
        <v>758</v>
      </c>
      <c r="G208" t="s">
        <v>287</v>
      </c>
      <c r="J208" t="s">
        <v>759</v>
      </c>
    </row>
    <row r="209" spans="1:10" ht="15" hidden="1" customHeight="1">
      <c r="A209" s="71">
        <v>46183</v>
      </c>
      <c r="B209" s="50" t="s">
        <v>101</v>
      </c>
      <c r="C209" t="s">
        <v>760</v>
      </c>
      <c r="D209" s="3">
        <v>57380</v>
      </c>
      <c r="E209" t="s">
        <v>758</v>
      </c>
      <c r="G209" t="s">
        <v>772</v>
      </c>
      <c r="J209" t="s">
        <v>759</v>
      </c>
    </row>
    <row r="210" spans="1:10" ht="15" hidden="1" customHeight="1">
      <c r="A210" s="71">
        <v>46183</v>
      </c>
      <c r="B210" t="s">
        <v>639</v>
      </c>
      <c r="C210" t="s">
        <v>760</v>
      </c>
      <c r="D210" s="3">
        <v>120039</v>
      </c>
      <c r="E210" t="s">
        <v>758</v>
      </c>
      <c r="G210" t="s">
        <v>772</v>
      </c>
      <c r="J210" t="s">
        <v>759</v>
      </c>
    </row>
    <row r="211" spans="1:10" ht="15" hidden="1" customHeight="1">
      <c r="A211" s="71">
        <v>46185</v>
      </c>
      <c r="B211" t="s">
        <v>341</v>
      </c>
      <c r="C211" t="s">
        <v>760</v>
      </c>
      <c r="D211" s="3">
        <v>12021</v>
      </c>
      <c r="E211" t="s">
        <v>758</v>
      </c>
      <c r="G211" t="s">
        <v>287</v>
      </c>
      <c r="J211" t="s">
        <v>759</v>
      </c>
    </row>
    <row r="212" spans="1:10" ht="15" hidden="1" customHeight="1">
      <c r="A212" s="71">
        <v>46183</v>
      </c>
      <c r="B212" t="s">
        <v>389</v>
      </c>
      <c r="C212" t="s">
        <v>760</v>
      </c>
      <c r="D212" s="3">
        <v>6322</v>
      </c>
      <c r="E212" t="s">
        <v>758</v>
      </c>
      <c r="G212" t="s">
        <v>51</v>
      </c>
      <c r="J212" t="s">
        <v>759</v>
      </c>
    </row>
    <row r="213" spans="1:10" ht="15" hidden="1" customHeight="1">
      <c r="A213" s="71">
        <v>46181</v>
      </c>
      <c r="B213" t="s">
        <v>180</v>
      </c>
      <c r="C213" t="s">
        <v>760</v>
      </c>
      <c r="D213" s="3">
        <v>9251</v>
      </c>
      <c r="E213" t="s">
        <v>758</v>
      </c>
      <c r="G213" t="s">
        <v>33</v>
      </c>
      <c r="J213" t="s">
        <v>759</v>
      </c>
    </row>
    <row r="214" spans="1:10" ht="15" hidden="1" customHeight="1">
      <c r="A214" s="71">
        <v>46188</v>
      </c>
      <c r="B214" t="s">
        <v>611</v>
      </c>
      <c r="C214" t="s">
        <v>760</v>
      </c>
      <c r="D214" s="3">
        <v>157161</v>
      </c>
      <c r="E214" t="s">
        <v>758</v>
      </c>
      <c r="G214" t="s">
        <v>772</v>
      </c>
      <c r="J214" t="s">
        <v>759</v>
      </c>
    </row>
    <row r="215" spans="1:10" ht="15" hidden="1" customHeight="1">
      <c r="A215" s="71">
        <v>45533</v>
      </c>
      <c r="B215" t="s">
        <v>311</v>
      </c>
      <c r="C215" t="s">
        <v>757</v>
      </c>
      <c r="D215" s="3">
        <v>1303</v>
      </c>
      <c r="E215" t="s">
        <v>758</v>
      </c>
      <c r="G215" t="s">
        <v>775</v>
      </c>
      <c r="J215" t="s">
        <v>759</v>
      </c>
    </row>
    <row r="216" spans="1:10" ht="15" hidden="1" customHeight="1">
      <c r="A216" s="71">
        <v>46168</v>
      </c>
      <c r="B216" t="s">
        <v>551</v>
      </c>
      <c r="C216" t="s">
        <v>760</v>
      </c>
      <c r="D216" s="3">
        <v>41871</v>
      </c>
      <c r="E216" t="s">
        <v>758</v>
      </c>
      <c r="J216" t="s">
        <v>759</v>
      </c>
    </row>
    <row r="217" spans="1:10" ht="15" hidden="1" customHeight="1">
      <c r="A217" s="71">
        <v>46188</v>
      </c>
      <c r="B217" t="s">
        <v>527</v>
      </c>
      <c r="C217" t="s">
        <v>760</v>
      </c>
      <c r="D217" s="3">
        <v>96425</v>
      </c>
      <c r="E217" t="s">
        <v>758</v>
      </c>
      <c r="F217" s="3">
        <v>17224</v>
      </c>
      <c r="G217" t="s">
        <v>37</v>
      </c>
      <c r="J217" t="s">
        <v>759</v>
      </c>
    </row>
    <row r="218" spans="1:10" ht="15" hidden="1" customHeight="1">
      <c r="A218" s="71">
        <v>46189</v>
      </c>
      <c r="B218" t="s">
        <v>525</v>
      </c>
      <c r="C218" t="s">
        <v>760</v>
      </c>
      <c r="D218" s="3">
        <v>51036</v>
      </c>
      <c r="E218" t="s">
        <v>758</v>
      </c>
      <c r="F218" s="3">
        <v>17226</v>
      </c>
      <c r="G218" t="s">
        <v>37</v>
      </c>
      <c r="J218" t="s">
        <v>759</v>
      </c>
    </row>
    <row r="219" spans="1:10" ht="15" hidden="1" customHeight="1">
      <c r="A219" s="71">
        <v>46189</v>
      </c>
      <c r="B219" t="s">
        <v>620</v>
      </c>
      <c r="C219" t="s">
        <v>760</v>
      </c>
      <c r="D219" s="3">
        <v>324561</v>
      </c>
      <c r="E219" t="s">
        <v>758</v>
      </c>
      <c r="G219" t="s">
        <v>37</v>
      </c>
      <c r="J219" t="s">
        <v>759</v>
      </c>
    </row>
    <row r="220" spans="1:10" ht="15" hidden="1" customHeight="1">
      <c r="A220" s="71">
        <v>46192</v>
      </c>
      <c r="B220" t="s">
        <v>136</v>
      </c>
      <c r="C220" t="s">
        <v>760</v>
      </c>
      <c r="D220" s="3">
        <v>306826</v>
      </c>
      <c r="E220" t="s">
        <v>758</v>
      </c>
      <c r="G220" t="s">
        <v>33</v>
      </c>
      <c r="J220" t="s">
        <v>759</v>
      </c>
    </row>
    <row r="221" spans="1:10" ht="15" hidden="1" customHeight="1">
      <c r="A221" s="71">
        <v>46188</v>
      </c>
      <c r="B221" t="s">
        <v>644</v>
      </c>
      <c r="C221" t="s">
        <v>760</v>
      </c>
      <c r="D221" s="3">
        <v>103809</v>
      </c>
      <c r="E221" t="s">
        <v>758</v>
      </c>
      <c r="G221" t="s">
        <v>33</v>
      </c>
      <c r="J221" t="s">
        <v>759</v>
      </c>
    </row>
    <row r="222" spans="1:10" ht="15" hidden="1" customHeight="1">
      <c r="A222" s="71">
        <v>46196</v>
      </c>
      <c r="B222" t="s">
        <v>143</v>
      </c>
      <c r="C222" t="s">
        <v>760</v>
      </c>
      <c r="D222" s="3">
        <v>811356</v>
      </c>
      <c r="E222" t="s">
        <v>758</v>
      </c>
      <c r="G222" t="s">
        <v>33</v>
      </c>
      <c r="J222" t="s">
        <v>759</v>
      </c>
    </row>
    <row r="223" spans="1:10" ht="15" hidden="1" customHeight="1">
      <c r="A223" s="71">
        <v>46197</v>
      </c>
      <c r="B223" t="s">
        <v>460</v>
      </c>
      <c r="C223" t="s">
        <v>760</v>
      </c>
      <c r="D223" s="3">
        <v>2589</v>
      </c>
      <c r="E223" t="s">
        <v>758</v>
      </c>
      <c r="G223" t="s">
        <v>33</v>
      </c>
      <c r="J223" t="s">
        <v>759</v>
      </c>
    </row>
    <row r="224" spans="1:10" ht="15" hidden="1" customHeight="1">
      <c r="A224" s="71">
        <v>46198</v>
      </c>
      <c r="B224" t="s">
        <v>505</v>
      </c>
      <c r="C224" t="s">
        <v>760</v>
      </c>
      <c r="D224" s="3">
        <v>78356</v>
      </c>
      <c r="E224" t="s">
        <v>758</v>
      </c>
      <c r="G224" t="s">
        <v>33</v>
      </c>
      <c r="J224" t="s">
        <v>759</v>
      </c>
    </row>
    <row r="225" spans="1:10" ht="15" hidden="1" customHeight="1">
      <c r="A225" s="71">
        <v>46188</v>
      </c>
      <c r="B225" t="s">
        <v>86</v>
      </c>
      <c r="C225" t="s">
        <v>760</v>
      </c>
      <c r="D225" s="3">
        <v>3699</v>
      </c>
      <c r="E225" t="s">
        <v>758</v>
      </c>
      <c r="G225" t="s">
        <v>33</v>
      </c>
      <c r="J225" t="s">
        <v>759</v>
      </c>
    </row>
    <row r="226" spans="1:10" ht="15" hidden="1" customHeight="1">
      <c r="A226" s="71">
        <v>46195</v>
      </c>
      <c r="B226" t="s">
        <v>613</v>
      </c>
      <c r="C226" t="s">
        <v>760</v>
      </c>
      <c r="D226" s="3">
        <v>158877</v>
      </c>
      <c r="E226" t="s">
        <v>758</v>
      </c>
      <c r="G226" t="s">
        <v>33</v>
      </c>
      <c r="J226" t="s">
        <v>759</v>
      </c>
    </row>
    <row r="227" spans="1:10" ht="15" hidden="1" customHeight="1">
      <c r="A227" s="71">
        <v>46181</v>
      </c>
      <c r="B227" t="s">
        <v>36</v>
      </c>
      <c r="C227" t="s">
        <v>757</v>
      </c>
      <c r="D227" s="3">
        <v>10974</v>
      </c>
      <c r="E227" t="s">
        <v>758</v>
      </c>
      <c r="G227" t="s">
        <v>37</v>
      </c>
      <c r="J227" t="s">
        <v>759</v>
      </c>
    </row>
    <row r="228" spans="1:10" ht="15" hidden="1" customHeight="1">
      <c r="A228" s="71">
        <v>46199</v>
      </c>
      <c r="B228" t="s">
        <v>561</v>
      </c>
      <c r="C228" t="s">
        <v>760</v>
      </c>
      <c r="D228" s="3">
        <v>38968</v>
      </c>
      <c r="E228" t="s">
        <v>758</v>
      </c>
      <c r="G228" t="s">
        <v>769</v>
      </c>
      <c r="H228" s="50" t="s">
        <v>770</v>
      </c>
      <c r="I228" s="9">
        <v>351950</v>
      </c>
      <c r="J228" t="s">
        <v>759</v>
      </c>
    </row>
    <row r="229" spans="1:10" ht="15" hidden="1" customHeight="1">
      <c r="A229" s="71">
        <v>46203</v>
      </c>
      <c r="B229" t="s">
        <v>633</v>
      </c>
      <c r="C229" t="s">
        <v>760</v>
      </c>
      <c r="D229" s="3">
        <v>134647</v>
      </c>
      <c r="E229" t="s">
        <v>758</v>
      </c>
      <c r="G229" t="s">
        <v>33</v>
      </c>
      <c r="J229" t="s">
        <v>759</v>
      </c>
    </row>
    <row r="230" spans="1:10" ht="15" hidden="1" customHeight="1">
      <c r="A230" s="71">
        <v>46199</v>
      </c>
      <c r="B230" t="s">
        <v>450</v>
      </c>
      <c r="C230" t="s">
        <v>760</v>
      </c>
      <c r="D230" s="3">
        <v>2078</v>
      </c>
      <c r="E230" t="s">
        <v>758</v>
      </c>
      <c r="G230" t="s">
        <v>63</v>
      </c>
      <c r="J230" t="s">
        <v>759</v>
      </c>
    </row>
    <row r="231" spans="1:10" ht="15" hidden="1" customHeight="1">
      <c r="A231" s="71">
        <v>46205</v>
      </c>
      <c r="B231" t="s">
        <v>412</v>
      </c>
      <c r="C231" t="s">
        <v>757</v>
      </c>
      <c r="D231" s="3">
        <v>4829</v>
      </c>
      <c r="E231" t="s">
        <v>758</v>
      </c>
      <c r="G231" t="s">
        <v>33</v>
      </c>
      <c r="J231" t="s">
        <v>759</v>
      </c>
    </row>
    <row r="232" spans="1:10" ht="15" hidden="1" customHeight="1">
      <c r="A232" s="71">
        <v>43848</v>
      </c>
      <c r="B232" t="s">
        <v>569</v>
      </c>
      <c r="C232" t="s">
        <v>757</v>
      </c>
      <c r="E232" t="s">
        <v>758</v>
      </c>
      <c r="F232" s="91">
        <v>3717</v>
      </c>
      <c r="J232" t="s">
        <v>759</v>
      </c>
    </row>
    <row r="233" spans="1:10" ht="15" hidden="1" customHeight="1">
      <c r="A233" s="71">
        <v>43873</v>
      </c>
      <c r="B233" t="s">
        <v>318</v>
      </c>
      <c r="C233" t="s">
        <v>757</v>
      </c>
      <c r="D233" s="3">
        <v>8995</v>
      </c>
      <c r="E233" t="s">
        <v>758</v>
      </c>
      <c r="F233" s="91">
        <v>2151</v>
      </c>
      <c r="J233" t="s">
        <v>759</v>
      </c>
    </row>
    <row r="234" spans="1:10" ht="15" hidden="1" customHeight="1">
      <c r="A234" s="71">
        <v>43886</v>
      </c>
      <c r="B234" t="s">
        <v>346</v>
      </c>
      <c r="C234" t="s">
        <v>757</v>
      </c>
      <c r="D234" s="3">
        <v>14728</v>
      </c>
      <c r="E234" t="s">
        <v>758</v>
      </c>
      <c r="F234" s="91">
        <v>2781</v>
      </c>
      <c r="J234" t="s">
        <v>759</v>
      </c>
    </row>
    <row r="235" spans="1:10" ht="15" hidden="1" customHeight="1">
      <c r="A235" s="71">
        <v>43900</v>
      </c>
      <c r="B235" t="s">
        <v>685</v>
      </c>
      <c r="C235" t="s">
        <v>757</v>
      </c>
      <c r="D235" s="3">
        <v>6157</v>
      </c>
      <c r="E235" t="s">
        <v>758</v>
      </c>
      <c r="F235" s="91">
        <v>3470</v>
      </c>
      <c r="J235" t="s">
        <v>759</v>
      </c>
    </row>
    <row r="236" spans="1:10" ht="15" hidden="1" customHeight="1">
      <c r="A236" s="71">
        <v>43900</v>
      </c>
      <c r="B236" t="s">
        <v>365</v>
      </c>
      <c r="C236" t="s">
        <v>757</v>
      </c>
      <c r="D236" s="3">
        <v>8060</v>
      </c>
      <c r="E236" t="s">
        <v>758</v>
      </c>
      <c r="F236" s="91">
        <v>2402</v>
      </c>
      <c r="J236" t="s">
        <v>759</v>
      </c>
    </row>
    <row r="237" spans="1:10" ht="15" hidden="1" customHeight="1">
      <c r="A237" s="71">
        <v>43909</v>
      </c>
      <c r="B237" t="s">
        <v>307</v>
      </c>
      <c r="C237" t="s">
        <v>757</v>
      </c>
      <c r="D237" s="3">
        <v>10942</v>
      </c>
      <c r="E237" t="s">
        <v>758</v>
      </c>
      <c r="F237" s="91">
        <v>2796</v>
      </c>
      <c r="J237" t="s">
        <v>759</v>
      </c>
    </row>
    <row r="238" spans="1:10" ht="15" hidden="1" customHeight="1">
      <c r="A238" s="71">
        <v>43913</v>
      </c>
      <c r="B238" t="s">
        <v>686</v>
      </c>
      <c r="C238" t="s">
        <v>757</v>
      </c>
      <c r="D238" s="3">
        <v>6217</v>
      </c>
      <c r="E238" t="s">
        <v>758</v>
      </c>
      <c r="F238" s="91">
        <v>3304</v>
      </c>
      <c r="J238" t="s">
        <v>759</v>
      </c>
    </row>
    <row r="239" spans="1:10" ht="15" hidden="1" customHeight="1">
      <c r="A239" s="71">
        <v>43927</v>
      </c>
      <c r="B239" t="s">
        <v>157</v>
      </c>
      <c r="C239" t="s">
        <v>757</v>
      </c>
      <c r="E239" t="s">
        <v>758</v>
      </c>
      <c r="F239" s="91">
        <v>3264</v>
      </c>
      <c r="J239" t="s">
        <v>759</v>
      </c>
    </row>
    <row r="240" spans="1:10" ht="15" hidden="1" customHeight="1">
      <c r="A240" s="71">
        <v>43944</v>
      </c>
      <c r="B240" t="s">
        <v>776</v>
      </c>
      <c r="C240" t="s">
        <v>757</v>
      </c>
      <c r="D240" s="3">
        <v>6349</v>
      </c>
      <c r="E240" t="s">
        <v>758</v>
      </c>
      <c r="F240" s="91">
        <v>2158</v>
      </c>
      <c r="J240" t="s">
        <v>759</v>
      </c>
    </row>
    <row r="241" spans="1:10" ht="15" hidden="1" customHeight="1">
      <c r="A241" s="71">
        <v>43944</v>
      </c>
      <c r="B241" t="s">
        <v>777</v>
      </c>
      <c r="C241" t="s">
        <v>757</v>
      </c>
      <c r="D241" s="3">
        <v>101747</v>
      </c>
      <c r="E241" t="s">
        <v>758</v>
      </c>
      <c r="F241" s="91">
        <v>2156</v>
      </c>
      <c r="J241" t="s">
        <v>759</v>
      </c>
    </row>
    <row r="242" spans="1:10" ht="15" hidden="1" customHeight="1">
      <c r="A242" s="71">
        <v>43944</v>
      </c>
      <c r="B242" t="s">
        <v>688</v>
      </c>
      <c r="C242" t="s">
        <v>757</v>
      </c>
      <c r="D242" s="3">
        <v>5969</v>
      </c>
      <c r="E242" t="s">
        <v>758</v>
      </c>
      <c r="F242" s="91"/>
      <c r="J242" t="s">
        <v>759</v>
      </c>
    </row>
    <row r="243" spans="1:10" ht="15" hidden="1" customHeight="1">
      <c r="A243" s="71">
        <v>43945</v>
      </c>
      <c r="B243" t="s">
        <v>778</v>
      </c>
      <c r="C243" t="s">
        <v>757</v>
      </c>
      <c r="D243" s="3">
        <v>6815</v>
      </c>
      <c r="E243" t="s">
        <v>758</v>
      </c>
      <c r="F243" s="91">
        <v>2361</v>
      </c>
      <c r="J243" t="s">
        <v>759</v>
      </c>
    </row>
    <row r="244" spans="1:10" ht="15" hidden="1" customHeight="1">
      <c r="A244" s="71">
        <v>43948</v>
      </c>
      <c r="B244" t="s">
        <v>162</v>
      </c>
      <c r="C244" t="s">
        <v>757</v>
      </c>
      <c r="E244" t="s">
        <v>758</v>
      </c>
      <c r="F244" s="91">
        <v>2163</v>
      </c>
      <c r="J244" t="s">
        <v>759</v>
      </c>
    </row>
    <row r="245" spans="1:10" ht="15" hidden="1" customHeight="1">
      <c r="A245" s="71">
        <v>43956</v>
      </c>
      <c r="B245" t="s">
        <v>687</v>
      </c>
      <c r="C245" t="s">
        <v>757</v>
      </c>
      <c r="D245" s="3">
        <v>6517</v>
      </c>
      <c r="E245" t="s">
        <v>758</v>
      </c>
      <c r="F245" s="91">
        <v>3453</v>
      </c>
      <c r="J245" t="s">
        <v>759</v>
      </c>
    </row>
    <row r="246" spans="1:10" ht="15" hidden="1" customHeight="1">
      <c r="A246" s="71">
        <v>43970</v>
      </c>
      <c r="B246" t="s">
        <v>779</v>
      </c>
      <c r="C246" t="s">
        <v>757</v>
      </c>
      <c r="D246" s="3">
        <v>6326</v>
      </c>
      <c r="E246" t="s">
        <v>758</v>
      </c>
      <c r="F246" s="91">
        <v>3502</v>
      </c>
      <c r="J246" t="s">
        <v>759</v>
      </c>
    </row>
    <row r="247" spans="1:10" ht="15" hidden="1" customHeight="1">
      <c r="A247" s="71">
        <v>43977</v>
      </c>
      <c r="B247" t="s">
        <v>689</v>
      </c>
      <c r="C247" t="s">
        <v>757</v>
      </c>
      <c r="E247" t="s">
        <v>758</v>
      </c>
      <c r="F247" s="91">
        <v>3282</v>
      </c>
      <c r="J247" t="s">
        <v>759</v>
      </c>
    </row>
    <row r="248" spans="1:10" ht="15" hidden="1" customHeight="1">
      <c r="A248" s="71">
        <v>43977</v>
      </c>
      <c r="B248" t="s">
        <v>259</v>
      </c>
      <c r="C248" t="s">
        <v>757</v>
      </c>
      <c r="D248" s="3">
        <v>16454</v>
      </c>
      <c r="E248" t="s">
        <v>758</v>
      </c>
      <c r="F248" s="91">
        <v>2484.1</v>
      </c>
      <c r="J248" t="s">
        <v>759</v>
      </c>
    </row>
    <row r="249" spans="1:10" ht="15" hidden="1" customHeight="1">
      <c r="A249" s="71">
        <v>43977</v>
      </c>
      <c r="B249" t="s">
        <v>146</v>
      </c>
      <c r="C249" t="s">
        <v>757</v>
      </c>
      <c r="E249" t="s">
        <v>758</v>
      </c>
      <c r="F249" s="91">
        <v>2110</v>
      </c>
      <c r="J249" t="s">
        <v>759</v>
      </c>
    </row>
    <row r="250" spans="1:10" ht="15" hidden="1" customHeight="1">
      <c r="A250" s="71">
        <v>43980</v>
      </c>
      <c r="B250" t="s">
        <v>362</v>
      </c>
      <c r="C250" t="s">
        <v>757</v>
      </c>
      <c r="D250" s="3">
        <v>9568</v>
      </c>
      <c r="E250" t="s">
        <v>758</v>
      </c>
      <c r="F250" s="91">
        <v>2111.1</v>
      </c>
      <c r="J250" t="s">
        <v>759</v>
      </c>
    </row>
    <row r="251" spans="1:10" ht="15" hidden="1" customHeight="1">
      <c r="A251" s="71">
        <v>43983</v>
      </c>
      <c r="B251" t="s">
        <v>684</v>
      </c>
      <c r="C251" t="s">
        <v>757</v>
      </c>
      <c r="D251" s="3">
        <v>6797</v>
      </c>
      <c r="E251" t="s">
        <v>758</v>
      </c>
      <c r="F251" s="91">
        <v>2165</v>
      </c>
      <c r="J251" t="s">
        <v>759</v>
      </c>
    </row>
    <row r="252" spans="1:10" ht="15" hidden="1" customHeight="1">
      <c r="A252" s="71">
        <v>43987</v>
      </c>
      <c r="B252" t="s">
        <v>688</v>
      </c>
      <c r="C252" t="s">
        <v>757</v>
      </c>
      <c r="D252" s="3">
        <v>6274</v>
      </c>
      <c r="E252" t="s">
        <v>758</v>
      </c>
      <c r="F252" s="91">
        <v>3311</v>
      </c>
      <c r="J252" t="s">
        <v>759</v>
      </c>
    </row>
    <row r="253" spans="1:10" ht="15" hidden="1" customHeight="1">
      <c r="A253" s="71">
        <v>43994</v>
      </c>
      <c r="B253" t="s">
        <v>780</v>
      </c>
      <c r="C253" t="s">
        <v>757</v>
      </c>
      <c r="D253" s="3">
        <v>4082</v>
      </c>
      <c r="E253" t="s">
        <v>758</v>
      </c>
      <c r="F253" s="91">
        <v>3291</v>
      </c>
      <c r="J253" t="s">
        <v>759</v>
      </c>
    </row>
    <row r="254" spans="1:10" ht="15" hidden="1" customHeight="1">
      <c r="A254" s="71">
        <v>44001</v>
      </c>
      <c r="B254" t="s">
        <v>686</v>
      </c>
      <c r="C254" t="s">
        <v>757</v>
      </c>
      <c r="D254" s="3">
        <v>6579</v>
      </c>
      <c r="E254" t="s">
        <v>758</v>
      </c>
      <c r="F254" s="91">
        <v>2207</v>
      </c>
      <c r="J254" t="s">
        <v>759</v>
      </c>
    </row>
    <row r="255" spans="1:10" ht="15" hidden="1" customHeight="1">
      <c r="A255" s="71">
        <v>44009</v>
      </c>
      <c r="B255" t="s">
        <v>781</v>
      </c>
      <c r="C255" t="s">
        <v>757</v>
      </c>
      <c r="D255" s="3">
        <v>6874</v>
      </c>
      <c r="E255" t="s">
        <v>758</v>
      </c>
      <c r="F255" s="91">
        <v>3306</v>
      </c>
      <c r="J255" t="s">
        <v>759</v>
      </c>
    </row>
    <row r="256" spans="1:10" ht="15" hidden="1" customHeight="1">
      <c r="A256" s="71">
        <v>44061</v>
      </c>
      <c r="B256" t="s">
        <v>143</v>
      </c>
      <c r="C256" t="s">
        <v>757</v>
      </c>
      <c r="E256" t="s">
        <v>758</v>
      </c>
      <c r="F256" s="91">
        <v>2528</v>
      </c>
      <c r="J256" t="s">
        <v>759</v>
      </c>
    </row>
    <row r="257" spans="1:10" ht="15" hidden="1" customHeight="1">
      <c r="A257" s="71">
        <v>44067</v>
      </c>
      <c r="B257" t="s">
        <v>693</v>
      </c>
      <c r="C257" t="s">
        <v>757</v>
      </c>
      <c r="D257" s="3">
        <v>3313</v>
      </c>
      <c r="E257" t="s">
        <v>758</v>
      </c>
      <c r="F257" s="91">
        <v>2538</v>
      </c>
      <c r="J257" t="s">
        <v>759</v>
      </c>
    </row>
    <row r="258" spans="1:10" ht="15" hidden="1" customHeight="1">
      <c r="A258" s="71">
        <v>44106</v>
      </c>
      <c r="B258" t="s">
        <v>188</v>
      </c>
      <c r="C258" t="s">
        <v>757</v>
      </c>
      <c r="E258" t="s">
        <v>758</v>
      </c>
      <c r="F258" s="91">
        <v>2593</v>
      </c>
      <c r="J258" t="s">
        <v>759</v>
      </c>
    </row>
    <row r="259" spans="1:10" ht="15" hidden="1" customHeight="1">
      <c r="A259" s="71">
        <v>44180</v>
      </c>
      <c r="B259" t="s">
        <v>782</v>
      </c>
      <c r="C259" t="s">
        <v>757</v>
      </c>
      <c r="D259" s="3">
        <v>7414</v>
      </c>
      <c r="E259" t="s">
        <v>758</v>
      </c>
      <c r="F259" s="91">
        <v>3823</v>
      </c>
      <c r="J259" t="s">
        <v>759</v>
      </c>
    </row>
    <row r="260" spans="1:10" ht="15" hidden="1" customHeight="1">
      <c r="A260" s="71">
        <v>44183</v>
      </c>
      <c r="B260" t="s">
        <v>783</v>
      </c>
      <c r="C260" t="s">
        <v>757</v>
      </c>
      <c r="E260" t="s">
        <v>758</v>
      </c>
      <c r="F260" s="91">
        <v>3825</v>
      </c>
      <c r="J260" t="s">
        <v>759</v>
      </c>
    </row>
    <row r="261" spans="1:10" ht="15" hidden="1" customHeight="1">
      <c r="A261" s="71">
        <v>44199</v>
      </c>
      <c r="B261" t="s">
        <v>152</v>
      </c>
      <c r="C261" t="s">
        <v>757</v>
      </c>
      <c r="D261" s="3">
        <v>7230</v>
      </c>
      <c r="E261" t="s">
        <v>758</v>
      </c>
      <c r="F261" s="91">
        <v>8342</v>
      </c>
      <c r="J261" t="s">
        <v>759</v>
      </c>
    </row>
    <row r="262" spans="1:10" ht="15" hidden="1" customHeight="1">
      <c r="A262" s="71">
        <v>44208</v>
      </c>
      <c r="B262" t="s">
        <v>36</v>
      </c>
      <c r="C262" t="s">
        <v>757</v>
      </c>
      <c r="D262" s="3">
        <v>3339</v>
      </c>
      <c r="E262" t="s">
        <v>758</v>
      </c>
      <c r="F262" s="91">
        <v>4215</v>
      </c>
      <c r="J262" t="s">
        <v>759</v>
      </c>
    </row>
    <row r="263" spans="1:10" ht="15" hidden="1" customHeight="1">
      <c r="A263" s="71">
        <v>44209</v>
      </c>
      <c r="B263" t="s">
        <v>162</v>
      </c>
      <c r="C263" t="s">
        <v>757</v>
      </c>
      <c r="E263" t="s">
        <v>758</v>
      </c>
      <c r="F263" s="91">
        <v>3838</v>
      </c>
      <c r="J263" t="s">
        <v>759</v>
      </c>
    </row>
    <row r="264" spans="1:10" ht="15" hidden="1" customHeight="1">
      <c r="A264" s="71">
        <v>44209</v>
      </c>
      <c r="B264" t="s">
        <v>160</v>
      </c>
      <c r="C264" t="s">
        <v>757</v>
      </c>
      <c r="E264" t="s">
        <v>758</v>
      </c>
      <c r="F264" s="91">
        <v>2951</v>
      </c>
      <c r="J264" t="s">
        <v>759</v>
      </c>
    </row>
    <row r="265" spans="1:10" ht="15" hidden="1" customHeight="1">
      <c r="A265" s="71">
        <v>44218</v>
      </c>
      <c r="B265" t="s">
        <v>171</v>
      </c>
      <c r="C265" t="s">
        <v>757</v>
      </c>
      <c r="D265" s="3">
        <v>2075</v>
      </c>
      <c r="E265" t="s">
        <v>758</v>
      </c>
      <c r="F265" s="91">
        <v>3836</v>
      </c>
      <c r="J265" t="s">
        <v>759</v>
      </c>
    </row>
    <row r="266" spans="1:10" ht="15" hidden="1" customHeight="1">
      <c r="A266" s="71">
        <v>44218</v>
      </c>
      <c r="B266" t="s">
        <v>146</v>
      </c>
      <c r="C266" t="s">
        <v>757</v>
      </c>
      <c r="E266" t="s">
        <v>758</v>
      </c>
      <c r="F266" s="91">
        <v>3110</v>
      </c>
      <c r="J266" t="s">
        <v>759</v>
      </c>
    </row>
    <row r="267" spans="1:10" ht="15" hidden="1" customHeight="1">
      <c r="A267" s="71">
        <v>44219</v>
      </c>
      <c r="B267" t="s">
        <v>784</v>
      </c>
      <c r="C267" t="s">
        <v>757</v>
      </c>
      <c r="D267" s="3">
        <v>13224</v>
      </c>
      <c r="E267" t="s">
        <v>758</v>
      </c>
      <c r="F267" s="91">
        <v>3837</v>
      </c>
      <c r="J267" t="s">
        <v>759</v>
      </c>
    </row>
    <row r="268" spans="1:10" ht="15" hidden="1" customHeight="1">
      <c r="A268" s="71">
        <v>44220</v>
      </c>
      <c r="B268" t="s">
        <v>785</v>
      </c>
      <c r="C268" t="s">
        <v>757</v>
      </c>
      <c r="E268" t="s">
        <v>758</v>
      </c>
      <c r="F268" s="91">
        <v>3008</v>
      </c>
      <c r="J268" t="s">
        <v>759</v>
      </c>
    </row>
    <row r="269" spans="1:10" ht="15" hidden="1" customHeight="1">
      <c r="A269" s="71">
        <v>44229</v>
      </c>
      <c r="B269" t="s">
        <v>169</v>
      </c>
      <c r="C269" t="s">
        <v>757</v>
      </c>
      <c r="D269" s="3">
        <v>2141</v>
      </c>
      <c r="E269" t="s">
        <v>758</v>
      </c>
      <c r="F269" s="91">
        <v>2909</v>
      </c>
      <c r="J269" t="s">
        <v>759</v>
      </c>
    </row>
    <row r="270" spans="1:10" ht="15" hidden="1" customHeight="1">
      <c r="A270" s="71">
        <v>44229</v>
      </c>
      <c r="B270" t="s">
        <v>173</v>
      </c>
      <c r="C270" t="s">
        <v>757</v>
      </c>
      <c r="D270" s="3">
        <v>2276</v>
      </c>
      <c r="E270" t="s">
        <v>758</v>
      </c>
      <c r="F270" s="91">
        <v>2910</v>
      </c>
      <c r="J270" t="s">
        <v>759</v>
      </c>
    </row>
    <row r="271" spans="1:10" ht="15" hidden="1" customHeight="1">
      <c r="A271" s="71">
        <v>44235</v>
      </c>
      <c r="B271" t="s">
        <v>185</v>
      </c>
      <c r="C271" t="s">
        <v>757</v>
      </c>
      <c r="E271" t="s">
        <v>758</v>
      </c>
      <c r="F271" s="91">
        <v>3845</v>
      </c>
      <c r="J271" t="s">
        <v>759</v>
      </c>
    </row>
    <row r="272" spans="1:10" ht="15" hidden="1" customHeight="1">
      <c r="A272" s="71">
        <v>44242</v>
      </c>
      <c r="B272" t="s">
        <v>717</v>
      </c>
      <c r="C272" t="s">
        <v>757</v>
      </c>
      <c r="E272" t="s">
        <v>758</v>
      </c>
      <c r="F272" s="91">
        <v>3121</v>
      </c>
      <c r="J272" t="s">
        <v>759</v>
      </c>
    </row>
    <row r="273" spans="1:10" ht="15" hidden="1" customHeight="1">
      <c r="A273" s="71">
        <v>44245</v>
      </c>
      <c r="B273" t="s">
        <v>713</v>
      </c>
      <c r="C273" t="s">
        <v>757</v>
      </c>
      <c r="D273" s="3">
        <v>11701</v>
      </c>
      <c r="E273" t="s">
        <v>758</v>
      </c>
      <c r="F273" s="91">
        <v>4241</v>
      </c>
      <c r="J273" t="s">
        <v>759</v>
      </c>
    </row>
    <row r="274" spans="1:10" ht="15" hidden="1" customHeight="1">
      <c r="A274" s="71">
        <v>44250</v>
      </c>
      <c r="B274" t="s">
        <v>786</v>
      </c>
      <c r="C274" t="s">
        <v>757</v>
      </c>
      <c r="E274" t="s">
        <v>758</v>
      </c>
      <c r="F274" s="91">
        <v>3128</v>
      </c>
      <c r="J274" t="s">
        <v>759</v>
      </c>
    </row>
    <row r="275" spans="1:10" ht="15" hidden="1" customHeight="1">
      <c r="A275" s="71">
        <v>44257</v>
      </c>
      <c r="B275" t="s">
        <v>369</v>
      </c>
      <c r="C275" t="s">
        <v>757</v>
      </c>
      <c r="D275" s="3">
        <v>8875</v>
      </c>
      <c r="E275" t="s">
        <v>758</v>
      </c>
      <c r="F275" s="91">
        <v>3904</v>
      </c>
      <c r="J275" t="s">
        <v>759</v>
      </c>
    </row>
    <row r="276" spans="1:10" ht="15" hidden="1" customHeight="1">
      <c r="A276" s="71">
        <v>44280</v>
      </c>
      <c r="B276" t="s">
        <v>25</v>
      </c>
      <c r="C276" t="s">
        <v>757</v>
      </c>
      <c r="D276" s="3">
        <v>2426</v>
      </c>
      <c r="E276" t="s">
        <v>758</v>
      </c>
      <c r="F276" s="91">
        <v>2913</v>
      </c>
      <c r="J276" t="s">
        <v>759</v>
      </c>
    </row>
    <row r="277" spans="1:10" ht="15" hidden="1" customHeight="1">
      <c r="A277" s="71">
        <v>44280</v>
      </c>
      <c r="B277" t="s">
        <v>783</v>
      </c>
      <c r="C277" t="s">
        <v>757</v>
      </c>
      <c r="E277" t="s">
        <v>758</v>
      </c>
      <c r="F277" s="91">
        <v>2603</v>
      </c>
      <c r="J277" t="s">
        <v>759</v>
      </c>
    </row>
    <row r="278" spans="1:10" ht="15" hidden="1" customHeight="1">
      <c r="A278" s="71">
        <v>44286</v>
      </c>
      <c r="B278" t="s">
        <v>717</v>
      </c>
      <c r="C278" t="s">
        <v>757</v>
      </c>
      <c r="E278" t="s">
        <v>758</v>
      </c>
      <c r="F278" s="91">
        <v>2604</v>
      </c>
      <c r="J278" t="s">
        <v>759</v>
      </c>
    </row>
    <row r="279" spans="1:10" ht="15" hidden="1" customHeight="1">
      <c r="A279" s="71">
        <v>44298</v>
      </c>
      <c r="B279" t="s">
        <v>175</v>
      </c>
      <c r="C279" t="s">
        <v>757</v>
      </c>
      <c r="D279" s="3">
        <v>2654</v>
      </c>
      <c r="E279" t="s">
        <v>758</v>
      </c>
      <c r="F279" s="91">
        <v>4442</v>
      </c>
      <c r="J279" t="s">
        <v>759</v>
      </c>
    </row>
    <row r="280" spans="1:10" ht="15" hidden="1" customHeight="1">
      <c r="A280" s="71">
        <v>44302</v>
      </c>
      <c r="B280" t="s">
        <v>173</v>
      </c>
      <c r="C280" t="s">
        <v>757</v>
      </c>
      <c r="D280" s="3">
        <v>2666</v>
      </c>
      <c r="E280" t="s">
        <v>758</v>
      </c>
      <c r="F280" s="91">
        <v>4440</v>
      </c>
      <c r="J280" t="s">
        <v>759</v>
      </c>
    </row>
    <row r="281" spans="1:10" ht="15" hidden="1" customHeight="1">
      <c r="A281" s="71">
        <v>44305</v>
      </c>
      <c r="B281" t="s">
        <v>152</v>
      </c>
      <c r="C281" t="s">
        <v>757</v>
      </c>
      <c r="D281" s="3">
        <v>4281</v>
      </c>
      <c r="E281" t="s">
        <v>758</v>
      </c>
      <c r="F281" s="91">
        <v>3952</v>
      </c>
      <c r="J281" t="s">
        <v>759</v>
      </c>
    </row>
    <row r="282" spans="1:10" ht="15" hidden="1" customHeight="1">
      <c r="A282" s="71">
        <v>44306</v>
      </c>
      <c r="B282" t="s">
        <v>351</v>
      </c>
      <c r="C282" t="s">
        <v>757</v>
      </c>
      <c r="D282" s="3">
        <v>3954</v>
      </c>
      <c r="E282" t="s">
        <v>758</v>
      </c>
      <c r="F282" s="91">
        <v>3954</v>
      </c>
      <c r="J282" t="s">
        <v>759</v>
      </c>
    </row>
    <row r="283" spans="1:10" ht="15" hidden="1" customHeight="1">
      <c r="A283" s="71">
        <v>44307</v>
      </c>
      <c r="B283" t="s">
        <v>787</v>
      </c>
      <c r="C283" t="s">
        <v>757</v>
      </c>
      <c r="E283" t="s">
        <v>758</v>
      </c>
      <c r="F283" s="91">
        <v>2610</v>
      </c>
      <c r="J283" t="s">
        <v>759</v>
      </c>
    </row>
    <row r="284" spans="1:10" ht="15" hidden="1" customHeight="1">
      <c r="A284" s="71">
        <v>44308</v>
      </c>
      <c r="B284" t="s">
        <v>159</v>
      </c>
      <c r="C284" t="s">
        <v>757</v>
      </c>
      <c r="D284" s="3">
        <v>7867</v>
      </c>
      <c r="E284" t="s">
        <v>758</v>
      </c>
      <c r="F284" s="91">
        <v>4449</v>
      </c>
      <c r="J284" t="s">
        <v>759</v>
      </c>
    </row>
    <row r="285" spans="1:10" ht="15" hidden="1" customHeight="1">
      <c r="A285" s="71">
        <v>44309</v>
      </c>
      <c r="B285" t="s">
        <v>704</v>
      </c>
      <c r="C285" t="s">
        <v>757</v>
      </c>
      <c r="D285" s="3">
        <v>11587</v>
      </c>
      <c r="E285" t="s">
        <v>758</v>
      </c>
      <c r="F285" s="91">
        <v>4373</v>
      </c>
      <c r="J285" t="s">
        <v>759</v>
      </c>
    </row>
    <row r="286" spans="1:10" ht="15" hidden="1" customHeight="1">
      <c r="A286" s="71">
        <v>44310</v>
      </c>
      <c r="B286" t="s">
        <v>185</v>
      </c>
      <c r="C286" t="s">
        <v>757</v>
      </c>
      <c r="E286" t="s">
        <v>758</v>
      </c>
      <c r="F286" s="91">
        <v>4374</v>
      </c>
      <c r="J286" t="s">
        <v>759</v>
      </c>
    </row>
    <row r="287" spans="1:10" ht="15" hidden="1" customHeight="1">
      <c r="A287" s="71">
        <v>44313</v>
      </c>
      <c r="B287" t="s">
        <v>162</v>
      </c>
      <c r="C287" t="s">
        <v>757</v>
      </c>
      <c r="E287" t="s">
        <v>758</v>
      </c>
      <c r="F287" s="91">
        <v>4375</v>
      </c>
      <c r="J287" t="s">
        <v>759</v>
      </c>
    </row>
    <row r="288" spans="1:10" ht="15" hidden="1" customHeight="1">
      <c r="A288" s="71">
        <v>44319</v>
      </c>
      <c r="B288" t="s">
        <v>369</v>
      </c>
      <c r="C288" t="s">
        <v>757</v>
      </c>
      <c r="D288" s="3">
        <v>9126</v>
      </c>
      <c r="E288" t="s">
        <v>758</v>
      </c>
      <c r="F288" s="91" t="s">
        <v>788</v>
      </c>
      <c r="J288" t="s">
        <v>759</v>
      </c>
    </row>
    <row r="289" spans="1:10" ht="15" hidden="1" customHeight="1">
      <c r="A289" s="71">
        <v>44319</v>
      </c>
      <c r="B289" t="s">
        <v>369</v>
      </c>
      <c r="C289" t="s">
        <v>757</v>
      </c>
      <c r="D289" s="3">
        <v>9126</v>
      </c>
      <c r="E289" t="s">
        <v>758</v>
      </c>
      <c r="F289" s="91">
        <v>4346</v>
      </c>
      <c r="J289" t="s">
        <v>759</v>
      </c>
    </row>
    <row r="290" spans="1:10" ht="15" hidden="1" customHeight="1">
      <c r="A290" s="71">
        <v>44319</v>
      </c>
      <c r="B290" t="s">
        <v>150</v>
      </c>
      <c r="C290" t="s">
        <v>757</v>
      </c>
      <c r="D290" s="3">
        <v>7815</v>
      </c>
      <c r="E290" t="s">
        <v>758</v>
      </c>
      <c r="F290" s="91">
        <v>3152</v>
      </c>
      <c r="J290" t="s">
        <v>759</v>
      </c>
    </row>
    <row r="291" spans="1:10" ht="15" hidden="1" customHeight="1">
      <c r="A291" s="71">
        <v>44319</v>
      </c>
      <c r="B291" t="s">
        <v>789</v>
      </c>
      <c r="C291" t="s">
        <v>757</v>
      </c>
      <c r="E291" t="s">
        <v>758</v>
      </c>
      <c r="F291" s="91">
        <v>2613</v>
      </c>
      <c r="J291" t="s">
        <v>759</v>
      </c>
    </row>
    <row r="292" spans="1:10" ht="15" hidden="1" customHeight="1">
      <c r="A292" s="71">
        <v>44320</v>
      </c>
      <c r="B292" t="s">
        <v>734</v>
      </c>
      <c r="C292" t="s">
        <v>757</v>
      </c>
      <c r="E292" t="s">
        <v>758</v>
      </c>
      <c r="F292" s="91">
        <v>2614</v>
      </c>
      <c r="J292" t="s">
        <v>759</v>
      </c>
    </row>
    <row r="293" spans="1:10" ht="15" hidden="1" customHeight="1">
      <c r="A293" s="71">
        <v>44321</v>
      </c>
      <c r="B293" t="s">
        <v>342</v>
      </c>
      <c r="C293" t="s">
        <v>757</v>
      </c>
      <c r="D293" s="3">
        <v>11468</v>
      </c>
      <c r="E293" t="s">
        <v>758</v>
      </c>
      <c r="F293" s="91">
        <v>3151</v>
      </c>
      <c r="J293" t="s">
        <v>759</v>
      </c>
    </row>
    <row r="294" spans="1:10" ht="15" hidden="1" customHeight="1">
      <c r="A294" s="71">
        <v>44322</v>
      </c>
      <c r="B294" t="s">
        <v>230</v>
      </c>
      <c r="C294" t="s">
        <v>757</v>
      </c>
      <c r="D294" s="3">
        <v>7807</v>
      </c>
      <c r="E294" t="s">
        <v>758</v>
      </c>
      <c r="F294" s="91">
        <v>2919</v>
      </c>
      <c r="J294" t="s">
        <v>759</v>
      </c>
    </row>
    <row r="295" spans="1:10" ht="15" hidden="1" customHeight="1">
      <c r="A295" s="71">
        <v>44328</v>
      </c>
      <c r="B295" t="s">
        <v>717</v>
      </c>
      <c r="C295" t="s">
        <v>757</v>
      </c>
      <c r="E295" t="s">
        <v>758</v>
      </c>
      <c r="F295" s="91">
        <v>2617</v>
      </c>
      <c r="J295" t="s">
        <v>759</v>
      </c>
    </row>
    <row r="296" spans="1:10" ht="15" hidden="1" customHeight="1">
      <c r="A296" s="71">
        <v>44329</v>
      </c>
      <c r="B296" t="s">
        <v>341</v>
      </c>
      <c r="C296" t="s">
        <v>757</v>
      </c>
      <c r="D296" s="3">
        <v>4590</v>
      </c>
      <c r="E296" t="s">
        <v>758</v>
      </c>
      <c r="F296" s="91" t="s">
        <v>790</v>
      </c>
      <c r="J296" t="s">
        <v>759</v>
      </c>
    </row>
    <row r="297" spans="1:10" ht="15" hidden="1" customHeight="1">
      <c r="A297" s="71">
        <v>44329</v>
      </c>
      <c r="B297" t="s">
        <v>12</v>
      </c>
      <c r="C297" t="s">
        <v>757</v>
      </c>
      <c r="D297" s="3">
        <v>985</v>
      </c>
      <c r="E297" t="s">
        <v>758</v>
      </c>
      <c r="F297" s="91">
        <v>3002</v>
      </c>
      <c r="J297" t="s">
        <v>759</v>
      </c>
    </row>
    <row r="298" spans="1:10" ht="15" hidden="1" customHeight="1">
      <c r="A298" s="71">
        <v>44336</v>
      </c>
      <c r="B298" t="s">
        <v>169</v>
      </c>
      <c r="C298" t="s">
        <v>757</v>
      </c>
      <c r="D298" s="3">
        <v>2690</v>
      </c>
      <c r="E298" t="s">
        <v>758</v>
      </c>
      <c r="F298" s="91">
        <v>3280</v>
      </c>
      <c r="J298" t="s">
        <v>759</v>
      </c>
    </row>
    <row r="299" spans="1:10" ht="15" hidden="1" customHeight="1">
      <c r="A299" s="71">
        <v>44341</v>
      </c>
      <c r="B299" t="s">
        <v>569</v>
      </c>
      <c r="C299" t="s">
        <v>757</v>
      </c>
      <c r="E299" t="s">
        <v>758</v>
      </c>
      <c r="F299" s="91">
        <v>2621</v>
      </c>
      <c r="J299" t="s">
        <v>759</v>
      </c>
    </row>
    <row r="300" spans="1:10" ht="15" hidden="1" customHeight="1">
      <c r="A300" s="71">
        <v>44341</v>
      </c>
      <c r="B300" t="s">
        <v>786</v>
      </c>
      <c r="C300" t="s">
        <v>757</v>
      </c>
      <c r="E300" t="s">
        <v>758</v>
      </c>
      <c r="F300" s="91">
        <v>2620</v>
      </c>
      <c r="J300" t="s">
        <v>759</v>
      </c>
    </row>
    <row r="301" spans="1:10" ht="15" hidden="1" customHeight="1">
      <c r="A301" s="71">
        <v>44343</v>
      </c>
      <c r="B301" t="s">
        <v>713</v>
      </c>
      <c r="C301" t="s">
        <v>757</v>
      </c>
      <c r="D301" s="3">
        <v>12060</v>
      </c>
      <c r="E301" t="s">
        <v>758</v>
      </c>
      <c r="F301" s="91">
        <v>3895.1</v>
      </c>
      <c r="J301" t="s">
        <v>759</v>
      </c>
    </row>
    <row r="302" spans="1:10" ht="15" hidden="1" customHeight="1">
      <c r="A302" s="71">
        <v>44347</v>
      </c>
      <c r="B302" t="s">
        <v>787</v>
      </c>
      <c r="C302" t="s">
        <v>757</v>
      </c>
      <c r="E302" t="s">
        <v>758</v>
      </c>
      <c r="F302" s="91">
        <v>2624</v>
      </c>
      <c r="J302" t="s">
        <v>759</v>
      </c>
    </row>
    <row r="303" spans="1:10" ht="15" hidden="1" customHeight="1">
      <c r="A303" s="71">
        <v>44348</v>
      </c>
      <c r="B303" t="s">
        <v>791</v>
      </c>
      <c r="C303" t="s">
        <v>757</v>
      </c>
      <c r="E303" t="s">
        <v>758</v>
      </c>
      <c r="F303" s="91">
        <v>2627</v>
      </c>
      <c r="J303" t="s">
        <v>759</v>
      </c>
    </row>
    <row r="304" spans="1:10" ht="15" hidden="1" customHeight="1">
      <c r="A304" s="71">
        <v>44348</v>
      </c>
      <c r="B304" t="s">
        <v>792</v>
      </c>
      <c r="C304" t="s">
        <v>757</v>
      </c>
      <c r="E304" t="s">
        <v>758</v>
      </c>
      <c r="F304" s="91">
        <v>2625</v>
      </c>
      <c r="J304" t="s">
        <v>759</v>
      </c>
    </row>
    <row r="305" spans="1:10" ht="15" hidden="1" customHeight="1">
      <c r="A305" s="71">
        <v>44351</v>
      </c>
      <c r="B305" t="s">
        <v>365</v>
      </c>
      <c r="C305" t="s">
        <v>757</v>
      </c>
      <c r="D305" s="3">
        <v>9575</v>
      </c>
      <c r="E305" t="s">
        <v>758</v>
      </c>
      <c r="F305" s="91">
        <v>3220</v>
      </c>
      <c r="J305" t="s">
        <v>759</v>
      </c>
    </row>
    <row r="306" spans="1:10" ht="15" hidden="1" customHeight="1">
      <c r="A306" s="71">
        <v>44351</v>
      </c>
      <c r="B306" t="s">
        <v>338</v>
      </c>
      <c r="C306" t="s">
        <v>757</v>
      </c>
      <c r="D306" s="3">
        <v>22471</v>
      </c>
      <c r="E306" t="s">
        <v>758</v>
      </c>
      <c r="F306" s="91">
        <v>3218</v>
      </c>
      <c r="J306" t="s">
        <v>759</v>
      </c>
    </row>
    <row r="307" spans="1:10" ht="15" hidden="1" customHeight="1">
      <c r="A307" s="71">
        <v>44352</v>
      </c>
      <c r="B307" t="s">
        <v>313</v>
      </c>
      <c r="C307" t="s">
        <v>757</v>
      </c>
      <c r="D307" s="3">
        <v>18530</v>
      </c>
      <c r="E307" t="s">
        <v>758</v>
      </c>
      <c r="F307" s="91">
        <v>3221</v>
      </c>
      <c r="J307" t="s">
        <v>759</v>
      </c>
    </row>
    <row r="308" spans="1:10" ht="15" hidden="1" customHeight="1">
      <c r="A308" s="71">
        <v>44352</v>
      </c>
      <c r="B308" t="s">
        <v>575</v>
      </c>
      <c r="C308" t="s">
        <v>757</v>
      </c>
      <c r="E308" t="s">
        <v>758</v>
      </c>
      <c r="F308" s="91">
        <v>2628</v>
      </c>
      <c r="J308" t="s">
        <v>759</v>
      </c>
    </row>
    <row r="309" spans="1:10" ht="15" hidden="1" customHeight="1">
      <c r="A309" s="71">
        <v>44358</v>
      </c>
      <c r="B309" t="s">
        <v>143</v>
      </c>
      <c r="C309" t="s">
        <v>757</v>
      </c>
      <c r="E309" t="s">
        <v>758</v>
      </c>
      <c r="F309" s="91">
        <v>2631</v>
      </c>
      <c r="J309" t="s">
        <v>759</v>
      </c>
    </row>
    <row r="310" spans="1:10" ht="15" hidden="1" customHeight="1">
      <c r="A310" s="71">
        <v>44359</v>
      </c>
      <c r="B310" t="s">
        <v>42</v>
      </c>
      <c r="C310" t="s">
        <v>757</v>
      </c>
      <c r="E310" t="s">
        <v>758</v>
      </c>
      <c r="F310" s="91">
        <v>2632</v>
      </c>
      <c r="J310" t="s">
        <v>759</v>
      </c>
    </row>
    <row r="311" spans="1:10" ht="15" hidden="1" customHeight="1">
      <c r="A311" s="71">
        <v>44361</v>
      </c>
      <c r="B311" t="s">
        <v>157</v>
      </c>
      <c r="C311" t="s">
        <v>757</v>
      </c>
      <c r="D311" s="3">
        <v>11735</v>
      </c>
      <c r="E311" t="s">
        <v>758</v>
      </c>
      <c r="F311" s="91" t="s">
        <v>793</v>
      </c>
      <c r="J311" t="s">
        <v>759</v>
      </c>
    </row>
    <row r="312" spans="1:10" ht="15" hidden="1" customHeight="1">
      <c r="A312" s="71">
        <v>44364</v>
      </c>
      <c r="B312" t="s">
        <v>783</v>
      </c>
      <c r="C312" t="s">
        <v>757</v>
      </c>
      <c r="E312" t="s">
        <v>758</v>
      </c>
      <c r="F312" s="91">
        <v>3379</v>
      </c>
      <c r="J312" t="s">
        <v>759</v>
      </c>
    </row>
    <row r="313" spans="1:10" ht="15" hidden="1" customHeight="1">
      <c r="A313" s="71">
        <v>44365</v>
      </c>
      <c r="B313" t="s">
        <v>573</v>
      </c>
      <c r="C313" t="s">
        <v>757</v>
      </c>
      <c r="E313" t="s">
        <v>758</v>
      </c>
      <c r="F313" s="91">
        <v>2637</v>
      </c>
      <c r="J313" t="s">
        <v>759</v>
      </c>
    </row>
    <row r="314" spans="1:10" ht="15" hidden="1" customHeight="1">
      <c r="A314" s="71">
        <v>44371</v>
      </c>
      <c r="B314" t="s">
        <v>322</v>
      </c>
      <c r="C314" t="s">
        <v>757</v>
      </c>
      <c r="D314" s="3">
        <v>23530</v>
      </c>
      <c r="E314" t="s">
        <v>758</v>
      </c>
      <c r="F314" s="91">
        <v>3390</v>
      </c>
      <c r="J314" t="s">
        <v>759</v>
      </c>
    </row>
    <row r="315" spans="1:10" ht="15" hidden="1" customHeight="1">
      <c r="A315" s="71">
        <v>44371</v>
      </c>
      <c r="B315" t="s">
        <v>322</v>
      </c>
      <c r="C315" t="s">
        <v>757</v>
      </c>
      <c r="D315" s="3">
        <v>23530</v>
      </c>
      <c r="E315" t="s">
        <v>758</v>
      </c>
      <c r="F315" s="91">
        <v>2105</v>
      </c>
      <c r="J315" t="s">
        <v>759</v>
      </c>
    </row>
    <row r="316" spans="1:10" ht="15" hidden="1" customHeight="1">
      <c r="A316" s="71">
        <v>44376</v>
      </c>
      <c r="B316" t="s">
        <v>180</v>
      </c>
      <c r="C316" t="s">
        <v>757</v>
      </c>
      <c r="D316" s="3">
        <v>3355</v>
      </c>
      <c r="E316" t="s">
        <v>758</v>
      </c>
      <c r="F316" s="91" t="s">
        <v>794</v>
      </c>
      <c r="J316" t="s">
        <v>759</v>
      </c>
    </row>
    <row r="317" spans="1:10" ht="15" hidden="1" customHeight="1">
      <c r="A317" s="71">
        <v>44384</v>
      </c>
      <c r="B317" t="s">
        <v>371</v>
      </c>
      <c r="C317" t="s">
        <v>757</v>
      </c>
      <c r="D317" s="3">
        <v>12993</v>
      </c>
      <c r="E317" t="s">
        <v>758</v>
      </c>
      <c r="F317" s="91" t="s">
        <v>795</v>
      </c>
      <c r="J317" t="s">
        <v>759</v>
      </c>
    </row>
    <row r="318" spans="1:10" ht="15" hidden="1" customHeight="1">
      <c r="A318" s="71">
        <v>44384</v>
      </c>
      <c r="B318" t="s">
        <v>328</v>
      </c>
      <c r="C318" t="s">
        <v>757</v>
      </c>
      <c r="D318" s="3">
        <v>7192</v>
      </c>
      <c r="E318" t="s">
        <v>758</v>
      </c>
      <c r="F318" s="91">
        <v>2143</v>
      </c>
      <c r="J318" t="s">
        <v>759</v>
      </c>
    </row>
    <row r="319" spans="1:10" ht="15" hidden="1" customHeight="1">
      <c r="A319" s="71">
        <v>44385</v>
      </c>
      <c r="B319" t="s">
        <v>711</v>
      </c>
      <c r="C319" t="s">
        <v>757</v>
      </c>
      <c r="D319" s="3">
        <v>16489</v>
      </c>
      <c r="E319" t="s">
        <v>758</v>
      </c>
      <c r="F319" s="91">
        <v>5</v>
      </c>
      <c r="J319" t="s">
        <v>759</v>
      </c>
    </row>
    <row r="320" spans="1:10" ht="15" hidden="1" customHeight="1">
      <c r="A320" s="71">
        <v>44397</v>
      </c>
      <c r="B320" t="s">
        <v>717</v>
      </c>
      <c r="C320" t="s">
        <v>757</v>
      </c>
      <c r="E320" t="s">
        <v>758</v>
      </c>
      <c r="F320" s="91">
        <v>6606</v>
      </c>
      <c r="J320" t="s">
        <v>759</v>
      </c>
    </row>
    <row r="321" spans="1:10" ht="15" hidden="1" customHeight="1">
      <c r="A321" s="71">
        <v>44398</v>
      </c>
      <c r="B321" t="s">
        <v>162</v>
      </c>
      <c r="C321" t="s">
        <v>757</v>
      </c>
      <c r="E321" t="s">
        <v>758</v>
      </c>
      <c r="F321" s="91">
        <v>3</v>
      </c>
      <c r="J321" t="s">
        <v>759</v>
      </c>
    </row>
    <row r="322" spans="1:10" ht="15" hidden="1" customHeight="1">
      <c r="A322" s="71">
        <v>44406</v>
      </c>
      <c r="B322" t="s">
        <v>167</v>
      </c>
      <c r="C322" t="s">
        <v>757</v>
      </c>
      <c r="D322" s="3">
        <v>2615</v>
      </c>
      <c r="E322" t="s">
        <v>758</v>
      </c>
      <c r="F322" s="91" t="s">
        <v>796</v>
      </c>
      <c r="J322" t="s">
        <v>759</v>
      </c>
    </row>
    <row r="323" spans="1:10" ht="15" hidden="1" customHeight="1">
      <c r="A323" s="71">
        <v>44406</v>
      </c>
      <c r="B323" t="s">
        <v>36</v>
      </c>
      <c r="C323" t="s">
        <v>757</v>
      </c>
      <c r="D323" s="3">
        <v>4086</v>
      </c>
      <c r="E323" t="s">
        <v>758</v>
      </c>
      <c r="F323" s="91">
        <v>1.1000000000000001</v>
      </c>
      <c r="J323" t="s">
        <v>759</v>
      </c>
    </row>
    <row r="324" spans="1:10" ht="15" hidden="1" customHeight="1">
      <c r="A324" s="71">
        <v>44408</v>
      </c>
      <c r="B324" t="s">
        <v>42</v>
      </c>
      <c r="C324" t="s">
        <v>757</v>
      </c>
      <c r="E324" t="s">
        <v>758</v>
      </c>
      <c r="F324" s="91">
        <v>6605</v>
      </c>
      <c r="J324" t="s">
        <v>759</v>
      </c>
    </row>
    <row r="325" spans="1:10" ht="15" hidden="1" customHeight="1">
      <c r="A325" s="71">
        <v>44408</v>
      </c>
      <c r="B325" t="s">
        <v>188</v>
      </c>
      <c r="C325" t="s">
        <v>757</v>
      </c>
      <c r="D325" s="3">
        <v>7966</v>
      </c>
      <c r="E325" t="s">
        <v>758</v>
      </c>
      <c r="F325" s="91">
        <v>6604</v>
      </c>
      <c r="J325" t="s">
        <v>759</v>
      </c>
    </row>
    <row r="326" spans="1:10" ht="15" hidden="1" customHeight="1">
      <c r="A326" s="71">
        <v>44411</v>
      </c>
      <c r="B326" t="s">
        <v>152</v>
      </c>
      <c r="C326" t="s">
        <v>757</v>
      </c>
      <c r="D326" s="3">
        <v>4673</v>
      </c>
      <c r="E326" t="s">
        <v>758</v>
      </c>
      <c r="F326" s="91">
        <v>6751</v>
      </c>
      <c r="J326" t="s">
        <v>759</v>
      </c>
    </row>
    <row r="327" spans="1:10" ht="15" hidden="1" customHeight="1">
      <c r="A327" s="71">
        <v>44418</v>
      </c>
      <c r="B327" t="s">
        <v>362</v>
      </c>
      <c r="C327" t="s">
        <v>757</v>
      </c>
      <c r="D327" s="3">
        <v>10506</v>
      </c>
      <c r="E327" t="s">
        <v>758</v>
      </c>
      <c r="F327" s="91">
        <v>6704</v>
      </c>
      <c r="J327" t="s">
        <v>759</v>
      </c>
    </row>
    <row r="328" spans="1:10" ht="15" hidden="1" customHeight="1">
      <c r="A328" s="71">
        <v>44419</v>
      </c>
      <c r="B328" t="s">
        <v>690</v>
      </c>
      <c r="C328" t="s">
        <v>757</v>
      </c>
      <c r="E328" t="s">
        <v>758</v>
      </c>
      <c r="F328" s="91">
        <v>6755</v>
      </c>
      <c r="J328" t="s">
        <v>759</v>
      </c>
    </row>
    <row r="329" spans="1:10" ht="15" hidden="1" customHeight="1">
      <c r="A329" s="71">
        <v>44419</v>
      </c>
      <c r="B329" t="s">
        <v>338</v>
      </c>
      <c r="C329" t="s">
        <v>757</v>
      </c>
      <c r="D329" s="3">
        <v>22770</v>
      </c>
      <c r="E329" t="s">
        <v>758</v>
      </c>
      <c r="F329" s="91">
        <v>6510</v>
      </c>
      <c r="J329" t="s">
        <v>759</v>
      </c>
    </row>
    <row r="330" spans="1:10" ht="15" hidden="1" customHeight="1">
      <c r="A330" s="71">
        <v>44420</v>
      </c>
      <c r="B330" t="s">
        <v>786</v>
      </c>
      <c r="C330" t="s">
        <v>757</v>
      </c>
      <c r="E330" t="s">
        <v>758</v>
      </c>
      <c r="F330" s="91">
        <v>6614</v>
      </c>
      <c r="J330" t="s">
        <v>759</v>
      </c>
    </row>
    <row r="331" spans="1:10" ht="15" hidden="1" customHeight="1">
      <c r="A331" s="71">
        <v>44420</v>
      </c>
      <c r="B331" t="s">
        <v>48</v>
      </c>
      <c r="C331" t="s">
        <v>757</v>
      </c>
      <c r="E331" t="s">
        <v>758</v>
      </c>
      <c r="F331" s="91">
        <v>6611</v>
      </c>
      <c r="J331" t="s">
        <v>759</v>
      </c>
    </row>
    <row r="332" spans="1:10" ht="15" hidden="1" customHeight="1">
      <c r="A332" s="71">
        <v>44420</v>
      </c>
      <c r="B332" t="s">
        <v>324</v>
      </c>
      <c r="C332" t="s">
        <v>757</v>
      </c>
      <c r="D332" s="3">
        <v>12300</v>
      </c>
      <c r="E332" t="s">
        <v>758</v>
      </c>
      <c r="F332" s="91">
        <v>6551</v>
      </c>
      <c r="J332" t="s">
        <v>759</v>
      </c>
    </row>
    <row r="333" spans="1:10" ht="15" hidden="1" customHeight="1">
      <c r="A333" s="71">
        <v>44421</v>
      </c>
      <c r="B333" t="s">
        <v>176</v>
      </c>
      <c r="C333" t="s">
        <v>757</v>
      </c>
      <c r="D333" s="3">
        <v>2651</v>
      </c>
      <c r="E333" t="s">
        <v>758</v>
      </c>
      <c r="F333" s="91">
        <v>6617</v>
      </c>
      <c r="J333" t="s">
        <v>759</v>
      </c>
    </row>
    <row r="334" spans="1:10" ht="15" hidden="1" customHeight="1">
      <c r="A334" s="71">
        <v>44426</v>
      </c>
      <c r="B334" t="s">
        <v>705</v>
      </c>
      <c r="C334" t="s">
        <v>757</v>
      </c>
      <c r="D334" s="3">
        <v>2655</v>
      </c>
      <c r="E334" t="s">
        <v>758</v>
      </c>
      <c r="F334" s="91">
        <v>6512</v>
      </c>
      <c r="J334" t="s">
        <v>759</v>
      </c>
    </row>
    <row r="335" spans="1:10" ht="15" hidden="1" customHeight="1">
      <c r="A335" s="71">
        <v>44428</v>
      </c>
      <c r="B335" t="s">
        <v>784</v>
      </c>
      <c r="C335" t="s">
        <v>757</v>
      </c>
      <c r="D335" s="3">
        <v>13895</v>
      </c>
      <c r="E335" t="s">
        <v>758</v>
      </c>
      <c r="F335" s="91">
        <v>6709</v>
      </c>
      <c r="J335" t="s">
        <v>759</v>
      </c>
    </row>
    <row r="336" spans="1:10" ht="15" hidden="1" customHeight="1">
      <c r="A336" s="71">
        <v>44431</v>
      </c>
      <c r="B336" t="s">
        <v>32</v>
      </c>
      <c r="C336" t="s">
        <v>757</v>
      </c>
      <c r="D336" s="3">
        <v>4186</v>
      </c>
      <c r="E336" t="s">
        <v>758</v>
      </c>
      <c r="F336" s="91" t="s">
        <v>797</v>
      </c>
      <c r="J336" t="s">
        <v>759</v>
      </c>
    </row>
    <row r="337" spans="1:10" ht="15" hidden="1" customHeight="1">
      <c r="A337" s="71">
        <v>44431</v>
      </c>
      <c r="B337" t="s">
        <v>341</v>
      </c>
      <c r="C337" t="s">
        <v>757</v>
      </c>
      <c r="D337" s="3">
        <v>4986</v>
      </c>
      <c r="E337" t="s">
        <v>758</v>
      </c>
      <c r="F337" s="91">
        <v>6710</v>
      </c>
      <c r="J337" t="s">
        <v>759</v>
      </c>
    </row>
    <row r="338" spans="1:10" ht="15" hidden="1" customHeight="1">
      <c r="A338" s="71">
        <v>44433</v>
      </c>
      <c r="B338" t="s">
        <v>330</v>
      </c>
      <c r="C338" t="s">
        <v>757</v>
      </c>
      <c r="D338" s="3">
        <v>5381</v>
      </c>
      <c r="E338" t="s">
        <v>758</v>
      </c>
      <c r="F338" s="91">
        <v>6910</v>
      </c>
      <c r="J338" t="s">
        <v>759</v>
      </c>
    </row>
    <row r="339" spans="1:10" ht="15" hidden="1" customHeight="1">
      <c r="A339" s="71">
        <v>44433</v>
      </c>
      <c r="B339" t="s">
        <v>330</v>
      </c>
      <c r="C339" t="s">
        <v>757</v>
      </c>
      <c r="D339" s="3">
        <v>5381</v>
      </c>
      <c r="E339" t="s">
        <v>758</v>
      </c>
      <c r="F339" s="91">
        <v>3483</v>
      </c>
      <c r="J339" t="s">
        <v>759</v>
      </c>
    </row>
    <row r="340" spans="1:10" ht="15" hidden="1" customHeight="1">
      <c r="A340" s="71">
        <v>44441</v>
      </c>
      <c r="B340" t="s">
        <v>143</v>
      </c>
      <c r="C340" t="s">
        <v>757</v>
      </c>
      <c r="E340" t="s">
        <v>758</v>
      </c>
      <c r="F340" s="91">
        <v>6619</v>
      </c>
      <c r="J340" t="s">
        <v>759</v>
      </c>
    </row>
    <row r="341" spans="1:10" ht="15" hidden="1" customHeight="1">
      <c r="A341" s="71">
        <v>44441</v>
      </c>
      <c r="B341" t="s">
        <v>579</v>
      </c>
      <c r="C341" t="s">
        <v>757</v>
      </c>
      <c r="E341" t="s">
        <v>758</v>
      </c>
      <c r="F341" s="91"/>
      <c r="J341" t="s">
        <v>759</v>
      </c>
    </row>
    <row r="342" spans="1:10" ht="15" hidden="1" customHeight="1">
      <c r="A342" s="71">
        <v>44446</v>
      </c>
      <c r="B342" t="s">
        <v>171</v>
      </c>
      <c r="C342" t="s">
        <v>757</v>
      </c>
      <c r="D342" s="3">
        <v>2897</v>
      </c>
      <c r="E342" t="s">
        <v>758</v>
      </c>
      <c r="F342" s="91"/>
      <c r="J342" t="s">
        <v>759</v>
      </c>
    </row>
    <row r="343" spans="1:10" ht="15" hidden="1" customHeight="1">
      <c r="A343" s="71">
        <v>44448</v>
      </c>
      <c r="B343" t="s">
        <v>162</v>
      </c>
      <c r="C343" t="s">
        <v>757</v>
      </c>
      <c r="D343" s="3">
        <v>8328</v>
      </c>
      <c r="E343" t="s">
        <v>758</v>
      </c>
      <c r="F343" s="91">
        <v>6763</v>
      </c>
      <c r="J343" t="s">
        <v>759</v>
      </c>
    </row>
    <row r="344" spans="1:10" ht="15" hidden="1" customHeight="1">
      <c r="A344" s="71">
        <v>44448</v>
      </c>
      <c r="B344" t="s">
        <v>162</v>
      </c>
      <c r="C344" t="s">
        <v>757</v>
      </c>
      <c r="D344" s="3">
        <v>8304</v>
      </c>
      <c r="E344" t="s">
        <v>758</v>
      </c>
      <c r="F344" s="91">
        <v>4467</v>
      </c>
      <c r="J344" t="s">
        <v>759</v>
      </c>
    </row>
    <row r="345" spans="1:10" ht="15" hidden="1" customHeight="1">
      <c r="A345" s="71">
        <v>44453</v>
      </c>
      <c r="B345" t="s">
        <v>336</v>
      </c>
      <c r="C345" t="s">
        <v>757</v>
      </c>
      <c r="D345" s="3">
        <v>8563</v>
      </c>
      <c r="E345" t="s">
        <v>758</v>
      </c>
      <c r="F345" s="91" t="s">
        <v>798</v>
      </c>
      <c r="J345" t="s">
        <v>759</v>
      </c>
    </row>
    <row r="346" spans="1:10" ht="15" hidden="1" customHeight="1">
      <c r="A346" s="71">
        <v>44455</v>
      </c>
      <c r="B346" t="s">
        <v>57</v>
      </c>
      <c r="C346" t="s">
        <v>757</v>
      </c>
      <c r="E346" t="s">
        <v>758</v>
      </c>
      <c r="F346" s="91" t="s">
        <v>799</v>
      </c>
      <c r="J346" t="s">
        <v>759</v>
      </c>
    </row>
    <row r="347" spans="1:10" ht="15" hidden="1" customHeight="1">
      <c r="A347" s="71">
        <v>44462</v>
      </c>
      <c r="B347" t="s">
        <v>185</v>
      </c>
      <c r="C347" t="s">
        <v>757</v>
      </c>
      <c r="E347" t="s">
        <v>758</v>
      </c>
      <c r="F347" s="91">
        <v>6768</v>
      </c>
      <c r="J347" t="s">
        <v>759</v>
      </c>
    </row>
    <row r="348" spans="1:10" ht="15" hidden="1" customHeight="1">
      <c r="A348" s="71">
        <v>44463</v>
      </c>
      <c r="B348" t="s">
        <v>307</v>
      </c>
      <c r="C348" t="s">
        <v>757</v>
      </c>
      <c r="D348" s="3">
        <v>12103</v>
      </c>
      <c r="E348" t="s">
        <v>758</v>
      </c>
      <c r="F348" s="91">
        <v>6769</v>
      </c>
      <c r="J348" t="s">
        <v>759</v>
      </c>
    </row>
    <row r="349" spans="1:10" ht="15" hidden="1" customHeight="1">
      <c r="A349" s="71">
        <v>44463</v>
      </c>
      <c r="B349" t="s">
        <v>42</v>
      </c>
      <c r="C349" t="s">
        <v>757</v>
      </c>
      <c r="E349" t="s">
        <v>758</v>
      </c>
      <c r="F349" s="91">
        <v>6624</v>
      </c>
      <c r="J349" t="s">
        <v>759</v>
      </c>
    </row>
    <row r="350" spans="1:10" ht="15" hidden="1" customHeight="1">
      <c r="A350" s="71">
        <v>44466</v>
      </c>
      <c r="B350" t="s">
        <v>785</v>
      </c>
      <c r="C350" t="s">
        <v>757</v>
      </c>
      <c r="E350" t="s">
        <v>758</v>
      </c>
      <c r="F350" s="91"/>
      <c r="J350" t="s">
        <v>759</v>
      </c>
    </row>
    <row r="351" spans="1:10" ht="15" hidden="1" customHeight="1">
      <c r="A351" s="71">
        <v>44479</v>
      </c>
      <c r="B351" t="s">
        <v>587</v>
      </c>
      <c r="C351" t="s">
        <v>757</v>
      </c>
      <c r="E351" t="s">
        <v>758</v>
      </c>
      <c r="F351" s="91"/>
      <c r="J351" t="s">
        <v>759</v>
      </c>
    </row>
    <row r="352" spans="1:10" ht="15" hidden="1" customHeight="1">
      <c r="A352" s="71">
        <v>44488</v>
      </c>
      <c r="B352" t="s">
        <v>176</v>
      </c>
      <c r="C352" t="s">
        <v>757</v>
      </c>
      <c r="D352" s="3">
        <v>2651</v>
      </c>
      <c r="E352" t="s">
        <v>758</v>
      </c>
      <c r="F352" s="91">
        <v>6630</v>
      </c>
      <c r="J352" t="s">
        <v>759</v>
      </c>
    </row>
    <row r="353" spans="1:10" ht="15" hidden="1" customHeight="1">
      <c r="A353" s="71">
        <v>44489</v>
      </c>
      <c r="B353" t="s">
        <v>784</v>
      </c>
      <c r="C353" t="s">
        <v>757</v>
      </c>
      <c r="D353" s="3">
        <v>14142</v>
      </c>
      <c r="E353" t="s">
        <v>758</v>
      </c>
      <c r="F353" s="91">
        <v>6775</v>
      </c>
      <c r="J353" t="s">
        <v>759</v>
      </c>
    </row>
    <row r="354" spans="1:10" ht="15" hidden="1" customHeight="1">
      <c r="A354" s="71">
        <v>44489</v>
      </c>
      <c r="B354" t="s">
        <v>377</v>
      </c>
      <c r="C354" t="s">
        <v>757</v>
      </c>
      <c r="D354" s="3">
        <v>6353</v>
      </c>
      <c r="E354" t="s">
        <v>758</v>
      </c>
      <c r="F354" s="91">
        <v>6724</v>
      </c>
      <c r="J354" t="s">
        <v>759</v>
      </c>
    </row>
    <row r="355" spans="1:10" ht="15" hidden="1" customHeight="1">
      <c r="A355" s="71">
        <v>44489</v>
      </c>
      <c r="B355" t="s">
        <v>48</v>
      </c>
      <c r="C355" t="s">
        <v>757</v>
      </c>
      <c r="E355" t="s">
        <v>758</v>
      </c>
      <c r="F355" s="91">
        <v>6629</v>
      </c>
      <c r="J355" t="s">
        <v>759</v>
      </c>
    </row>
    <row r="356" spans="1:10" ht="15" hidden="1" customHeight="1">
      <c r="A356" s="71">
        <v>44491</v>
      </c>
      <c r="B356" t="s">
        <v>36</v>
      </c>
      <c r="C356" t="s">
        <v>757</v>
      </c>
      <c r="D356" s="3">
        <v>4479</v>
      </c>
      <c r="E356" t="s">
        <v>758</v>
      </c>
      <c r="F356" s="91">
        <v>6785</v>
      </c>
      <c r="J356" t="s">
        <v>759</v>
      </c>
    </row>
    <row r="357" spans="1:10" ht="15" hidden="1" customHeight="1">
      <c r="A357" s="71">
        <v>44494</v>
      </c>
      <c r="B357" t="s">
        <v>362</v>
      </c>
      <c r="C357" t="s">
        <v>757</v>
      </c>
      <c r="D357" s="3">
        <v>10796</v>
      </c>
      <c r="E357" t="s">
        <v>758</v>
      </c>
      <c r="F357" s="91">
        <v>6784</v>
      </c>
      <c r="J357" t="s">
        <v>759</v>
      </c>
    </row>
    <row r="358" spans="1:10" ht="15" hidden="1" customHeight="1">
      <c r="A358" s="71">
        <v>44494</v>
      </c>
      <c r="B358" t="s">
        <v>29</v>
      </c>
      <c r="C358" t="s">
        <v>757</v>
      </c>
      <c r="D358" s="3">
        <v>4539</v>
      </c>
      <c r="E358" t="s">
        <v>758</v>
      </c>
      <c r="F358" s="91">
        <v>6725</v>
      </c>
      <c r="J358" t="s">
        <v>759</v>
      </c>
    </row>
    <row r="359" spans="1:10" ht="15" hidden="1" customHeight="1">
      <c r="A359" s="71">
        <v>44496</v>
      </c>
      <c r="B359" t="s">
        <v>341</v>
      </c>
      <c r="C359" t="s">
        <v>757</v>
      </c>
      <c r="D359" s="3">
        <v>5307</v>
      </c>
      <c r="E359" t="s">
        <v>758</v>
      </c>
      <c r="F359" s="91">
        <v>7351</v>
      </c>
      <c r="J359" t="s">
        <v>759</v>
      </c>
    </row>
    <row r="360" spans="1:10" ht="15" hidden="1" customHeight="1">
      <c r="A360" s="71">
        <v>44496</v>
      </c>
      <c r="B360" t="s">
        <v>800</v>
      </c>
      <c r="C360" t="s">
        <v>757</v>
      </c>
      <c r="E360" t="s">
        <v>758</v>
      </c>
      <c r="F360" s="91"/>
      <c r="J360" t="s">
        <v>759</v>
      </c>
    </row>
    <row r="361" spans="1:10" ht="15" hidden="1" customHeight="1">
      <c r="A361" s="71">
        <v>44498</v>
      </c>
      <c r="B361" t="s">
        <v>360</v>
      </c>
      <c r="C361" t="s">
        <v>757</v>
      </c>
      <c r="D361" s="3">
        <v>4039</v>
      </c>
      <c r="E361" t="s">
        <v>758</v>
      </c>
      <c r="F361" s="91">
        <v>7353</v>
      </c>
      <c r="J361" t="s">
        <v>759</v>
      </c>
    </row>
    <row r="362" spans="1:10" ht="15" hidden="1" customHeight="1">
      <c r="A362" s="71">
        <v>44498</v>
      </c>
      <c r="B362" t="s">
        <v>717</v>
      </c>
      <c r="C362" t="s">
        <v>757</v>
      </c>
      <c r="D362" s="3">
        <v>646893</v>
      </c>
      <c r="E362" t="s">
        <v>758</v>
      </c>
      <c r="F362" s="91">
        <v>6787</v>
      </c>
      <c r="J362" t="s">
        <v>759</v>
      </c>
    </row>
    <row r="363" spans="1:10" ht="15" hidden="1" customHeight="1">
      <c r="A363" s="71">
        <v>44505</v>
      </c>
      <c r="B363" t="s">
        <v>167</v>
      </c>
      <c r="C363" t="s">
        <v>757</v>
      </c>
      <c r="D363" s="3">
        <v>3157</v>
      </c>
      <c r="E363" t="s">
        <v>758</v>
      </c>
      <c r="F363" s="91">
        <v>7198</v>
      </c>
      <c r="J363" t="s">
        <v>759</v>
      </c>
    </row>
    <row r="364" spans="1:10" ht="15" hidden="1" customHeight="1">
      <c r="A364" s="71">
        <v>44505</v>
      </c>
      <c r="B364" t="s">
        <v>391</v>
      </c>
      <c r="C364" t="s">
        <v>757</v>
      </c>
      <c r="D364" s="3">
        <v>5757</v>
      </c>
      <c r="E364" t="s">
        <v>758</v>
      </c>
      <c r="F364" s="91">
        <v>7356</v>
      </c>
      <c r="J364" t="s">
        <v>759</v>
      </c>
    </row>
    <row r="365" spans="1:10" ht="15" hidden="1" customHeight="1">
      <c r="A365" s="71">
        <v>44505</v>
      </c>
      <c r="B365" t="s">
        <v>383</v>
      </c>
      <c r="C365" t="s">
        <v>757</v>
      </c>
      <c r="D365" s="3">
        <v>1130</v>
      </c>
      <c r="E365" t="s">
        <v>758</v>
      </c>
      <c r="F365" s="91">
        <v>7199</v>
      </c>
      <c r="J365" t="s">
        <v>759</v>
      </c>
    </row>
    <row r="366" spans="1:10" ht="15" hidden="1" customHeight="1">
      <c r="A366" s="71">
        <v>44511</v>
      </c>
      <c r="B366" t="s">
        <v>713</v>
      </c>
      <c r="C366" t="s">
        <v>757</v>
      </c>
      <c r="D366" s="3">
        <v>12690</v>
      </c>
      <c r="E366" t="s">
        <v>758</v>
      </c>
      <c r="F366" s="91">
        <v>7308</v>
      </c>
      <c r="J366" t="s">
        <v>759</v>
      </c>
    </row>
    <row r="367" spans="1:10" ht="15" hidden="1" customHeight="1">
      <c r="A367" s="71">
        <v>44529</v>
      </c>
      <c r="B367" t="s">
        <v>173</v>
      </c>
      <c r="C367" t="s">
        <v>757</v>
      </c>
      <c r="D367" s="3">
        <v>3417</v>
      </c>
      <c r="E367" t="s">
        <v>758</v>
      </c>
      <c r="F367" s="91">
        <v>7365</v>
      </c>
      <c r="J367" t="s">
        <v>759</v>
      </c>
    </row>
    <row r="368" spans="1:10" ht="15" hidden="1" customHeight="1">
      <c r="A368" s="71">
        <v>44531</v>
      </c>
      <c r="B368" t="s">
        <v>307</v>
      </c>
      <c r="C368" t="s">
        <v>757</v>
      </c>
      <c r="D368" s="3">
        <v>12361</v>
      </c>
      <c r="E368" t="s">
        <v>758</v>
      </c>
      <c r="F368" s="91">
        <v>7577</v>
      </c>
      <c r="J368" t="s">
        <v>759</v>
      </c>
    </row>
    <row r="369" spans="1:10" ht="15" hidden="1" customHeight="1">
      <c r="A369" s="71">
        <v>44531</v>
      </c>
      <c r="B369" t="s">
        <v>307</v>
      </c>
      <c r="C369" t="s">
        <v>757</v>
      </c>
      <c r="D369" s="3">
        <v>12360</v>
      </c>
      <c r="E369" t="s">
        <v>758</v>
      </c>
      <c r="F369" s="91">
        <v>7425</v>
      </c>
      <c r="J369" t="s">
        <v>759</v>
      </c>
    </row>
    <row r="370" spans="1:10" ht="15" hidden="1" customHeight="1">
      <c r="A370" s="71">
        <v>44532</v>
      </c>
      <c r="B370" t="s">
        <v>591</v>
      </c>
      <c r="C370" t="s">
        <v>757</v>
      </c>
      <c r="D370" s="3">
        <v>10468</v>
      </c>
      <c r="E370" t="s">
        <v>758</v>
      </c>
      <c r="F370" s="91">
        <v>6638</v>
      </c>
      <c r="J370" t="s">
        <v>759</v>
      </c>
    </row>
    <row r="371" spans="1:10" ht="15" hidden="1" customHeight="1">
      <c r="A371" s="71">
        <v>44533</v>
      </c>
      <c r="B371" t="s">
        <v>175</v>
      </c>
      <c r="C371" t="s">
        <v>757</v>
      </c>
      <c r="D371" s="3">
        <v>3687</v>
      </c>
      <c r="E371" t="s">
        <v>758</v>
      </c>
      <c r="F371" s="91">
        <v>7428</v>
      </c>
      <c r="J371" t="s">
        <v>759</v>
      </c>
    </row>
    <row r="372" spans="1:10" ht="15" hidden="1" customHeight="1">
      <c r="A372" s="71">
        <v>44533</v>
      </c>
      <c r="B372" t="s">
        <v>176</v>
      </c>
      <c r="C372" t="s">
        <v>757</v>
      </c>
      <c r="D372" s="3">
        <v>3327</v>
      </c>
      <c r="E372" t="s">
        <v>758</v>
      </c>
      <c r="F372" s="91">
        <v>6637</v>
      </c>
      <c r="J372" t="s">
        <v>759</v>
      </c>
    </row>
    <row r="373" spans="1:10" ht="15" hidden="1" customHeight="1">
      <c r="A373" s="71">
        <v>44536</v>
      </c>
      <c r="B373" t="s">
        <v>48</v>
      </c>
      <c r="C373" t="s">
        <v>757</v>
      </c>
      <c r="E373" t="s">
        <v>758</v>
      </c>
      <c r="F373" s="91">
        <v>6640</v>
      </c>
      <c r="J373" t="s">
        <v>759</v>
      </c>
    </row>
    <row r="374" spans="1:10" ht="15" hidden="1" customHeight="1">
      <c r="A374" s="71">
        <v>44539</v>
      </c>
      <c r="B374" t="s">
        <v>162</v>
      </c>
      <c r="C374" t="s">
        <v>757</v>
      </c>
      <c r="E374" t="s">
        <v>758</v>
      </c>
      <c r="F374" s="91">
        <v>7113</v>
      </c>
      <c r="J374" t="s">
        <v>759</v>
      </c>
    </row>
    <row r="375" spans="1:10" ht="15" hidden="1" customHeight="1">
      <c r="A375" s="71">
        <v>44539</v>
      </c>
      <c r="B375" t="s">
        <v>152</v>
      </c>
      <c r="C375" t="s">
        <v>757</v>
      </c>
      <c r="D375" s="3">
        <v>5156</v>
      </c>
      <c r="E375" t="s">
        <v>758</v>
      </c>
      <c r="F375" s="91">
        <v>7114</v>
      </c>
      <c r="J375" t="s">
        <v>759</v>
      </c>
    </row>
    <row r="376" spans="1:10" ht="15" hidden="1" customHeight="1">
      <c r="A376" s="71">
        <v>44539</v>
      </c>
      <c r="B376" t="s">
        <v>152</v>
      </c>
      <c r="C376" t="s">
        <v>757</v>
      </c>
      <c r="D376" s="3">
        <v>5156</v>
      </c>
      <c r="E376" t="s">
        <v>758</v>
      </c>
      <c r="F376" s="91">
        <v>7114</v>
      </c>
      <c r="J376" t="s">
        <v>759</v>
      </c>
    </row>
    <row r="377" spans="1:10" ht="15" hidden="1" customHeight="1">
      <c r="A377" s="71">
        <v>44539</v>
      </c>
      <c r="B377" t="s">
        <v>593</v>
      </c>
      <c r="C377" t="s">
        <v>757</v>
      </c>
      <c r="D377" s="3">
        <v>20509</v>
      </c>
      <c r="E377" t="s">
        <v>758</v>
      </c>
      <c r="F377" s="91">
        <v>6641</v>
      </c>
      <c r="J377" t="s">
        <v>759</v>
      </c>
    </row>
    <row r="378" spans="1:10" ht="15" hidden="1" customHeight="1">
      <c r="A378" s="71">
        <v>44551</v>
      </c>
      <c r="B378" t="s">
        <v>338</v>
      </c>
      <c r="C378" t="s">
        <v>757</v>
      </c>
      <c r="D378" s="3">
        <v>23100</v>
      </c>
      <c r="E378" t="s">
        <v>758</v>
      </c>
      <c r="F378" s="91">
        <v>7504</v>
      </c>
      <c r="J378" t="s">
        <v>759</v>
      </c>
    </row>
    <row r="379" spans="1:10" ht="15" hidden="1" customHeight="1">
      <c r="A379" s="71">
        <v>44553</v>
      </c>
      <c r="B379" t="s">
        <v>12</v>
      </c>
      <c r="C379" t="s">
        <v>757</v>
      </c>
      <c r="D379" s="3">
        <v>1683</v>
      </c>
      <c r="E379" t="s">
        <v>758</v>
      </c>
      <c r="F379" s="91">
        <v>7527</v>
      </c>
      <c r="J379" t="s">
        <v>759</v>
      </c>
    </row>
    <row r="380" spans="1:10" ht="15" hidden="1" customHeight="1">
      <c r="A380" s="71">
        <v>44558</v>
      </c>
      <c r="B380" t="s">
        <v>157</v>
      </c>
      <c r="C380" t="s">
        <v>757</v>
      </c>
      <c r="D380" s="3">
        <v>12086</v>
      </c>
      <c r="E380" t="s">
        <v>758</v>
      </c>
      <c r="F380" s="91">
        <v>7528</v>
      </c>
      <c r="J380" t="s">
        <v>759</v>
      </c>
    </row>
    <row r="381" spans="1:10" ht="15" hidden="1" customHeight="1">
      <c r="A381" s="71">
        <v>44559</v>
      </c>
      <c r="B381" t="s">
        <v>169</v>
      </c>
      <c r="C381" t="s">
        <v>757</v>
      </c>
      <c r="D381" s="3">
        <v>3508</v>
      </c>
      <c r="E381" t="s">
        <v>758</v>
      </c>
      <c r="F381" s="91">
        <v>7692</v>
      </c>
      <c r="J381" t="s">
        <v>759</v>
      </c>
    </row>
    <row r="382" spans="1:10" ht="15" hidden="1" customHeight="1">
      <c r="A382" s="71">
        <v>44574</v>
      </c>
      <c r="B382" t="s">
        <v>19</v>
      </c>
      <c r="C382" t="s">
        <v>757</v>
      </c>
      <c r="D382" s="3">
        <v>4923</v>
      </c>
      <c r="E382" t="s">
        <v>758</v>
      </c>
      <c r="F382" s="91">
        <v>7732</v>
      </c>
      <c r="J382" t="s">
        <v>759</v>
      </c>
    </row>
    <row r="383" spans="1:10" ht="15" hidden="1" customHeight="1">
      <c r="A383" s="71">
        <v>44575</v>
      </c>
      <c r="B383" t="s">
        <v>582</v>
      </c>
      <c r="C383" t="s">
        <v>757</v>
      </c>
      <c r="E383" t="s">
        <v>758</v>
      </c>
      <c r="F383" s="91">
        <v>3004</v>
      </c>
      <c r="J383" t="s">
        <v>759</v>
      </c>
    </row>
    <row r="384" spans="1:10" ht="15" hidden="1" customHeight="1">
      <c r="A384" s="71">
        <v>44575</v>
      </c>
      <c r="B384" t="s">
        <v>569</v>
      </c>
      <c r="C384" t="s">
        <v>757</v>
      </c>
      <c r="E384" t="s">
        <v>758</v>
      </c>
      <c r="F384" s="91">
        <v>3003</v>
      </c>
      <c r="J384" t="s">
        <v>759</v>
      </c>
    </row>
    <row r="385" spans="1:10" ht="15" hidden="1" customHeight="1">
      <c r="A385" s="71">
        <v>44580</v>
      </c>
      <c r="B385" t="s">
        <v>593</v>
      </c>
      <c r="C385" t="s">
        <v>757</v>
      </c>
      <c r="E385" t="s">
        <v>758</v>
      </c>
      <c r="F385" s="91">
        <v>3006</v>
      </c>
      <c r="J385" t="s">
        <v>759</v>
      </c>
    </row>
    <row r="386" spans="1:10" ht="15" hidden="1" customHeight="1">
      <c r="A386" s="71">
        <v>44583</v>
      </c>
      <c r="B386" t="s">
        <v>588</v>
      </c>
      <c r="C386" t="s">
        <v>757</v>
      </c>
      <c r="E386" t="s">
        <v>758</v>
      </c>
      <c r="F386" s="91">
        <v>3007</v>
      </c>
      <c r="J386" t="s">
        <v>759</v>
      </c>
    </row>
    <row r="387" spans="1:10" ht="15" hidden="1" customHeight="1">
      <c r="A387" s="71">
        <v>44584</v>
      </c>
      <c r="B387" t="s">
        <v>389</v>
      </c>
      <c r="C387" t="s">
        <v>757</v>
      </c>
      <c r="D387" s="3">
        <v>4930</v>
      </c>
      <c r="E387" t="s">
        <v>758</v>
      </c>
      <c r="F387" s="91">
        <v>8347</v>
      </c>
      <c r="J387" t="s">
        <v>759</v>
      </c>
    </row>
    <row r="388" spans="1:10" ht="15" hidden="1" customHeight="1">
      <c r="A388" s="71">
        <v>44586</v>
      </c>
      <c r="B388" t="s">
        <v>717</v>
      </c>
      <c r="C388" t="s">
        <v>757</v>
      </c>
      <c r="E388" t="s">
        <v>758</v>
      </c>
      <c r="F388" s="91">
        <v>3012</v>
      </c>
      <c r="J388" t="s">
        <v>759</v>
      </c>
    </row>
    <row r="389" spans="1:10" ht="15" hidden="1" customHeight="1">
      <c r="A389" s="71">
        <v>44586</v>
      </c>
      <c r="B389" t="s">
        <v>800</v>
      </c>
      <c r="C389" t="s">
        <v>757</v>
      </c>
      <c r="E389" t="s">
        <v>758</v>
      </c>
      <c r="F389" s="91">
        <v>3011</v>
      </c>
      <c r="J389" t="s">
        <v>759</v>
      </c>
    </row>
    <row r="390" spans="1:10" ht="15" hidden="1" customHeight="1">
      <c r="A390" s="71">
        <v>44587</v>
      </c>
      <c r="B390" t="s">
        <v>575</v>
      </c>
      <c r="C390" t="s">
        <v>757</v>
      </c>
      <c r="D390" s="3">
        <v>169378</v>
      </c>
      <c r="E390" t="s">
        <v>758</v>
      </c>
      <c r="F390" s="91">
        <v>7543</v>
      </c>
      <c r="J390" t="s">
        <v>759</v>
      </c>
    </row>
    <row r="391" spans="1:10" ht="15" hidden="1" customHeight="1">
      <c r="A391" s="71">
        <v>44587</v>
      </c>
      <c r="B391" t="s">
        <v>783</v>
      </c>
      <c r="C391" t="s">
        <v>757</v>
      </c>
      <c r="E391" t="s">
        <v>758</v>
      </c>
      <c r="F391" s="91">
        <v>3013</v>
      </c>
      <c r="J391" t="s">
        <v>759</v>
      </c>
    </row>
    <row r="392" spans="1:10" ht="15" hidden="1" customHeight="1">
      <c r="A392" s="71">
        <v>44594</v>
      </c>
      <c r="B392" t="s">
        <v>239</v>
      </c>
      <c r="C392" t="s">
        <v>757</v>
      </c>
      <c r="D392" s="3">
        <v>11404</v>
      </c>
      <c r="E392" t="s">
        <v>758</v>
      </c>
      <c r="F392" s="91">
        <v>8207</v>
      </c>
      <c r="J392" t="s">
        <v>759</v>
      </c>
    </row>
    <row r="393" spans="1:10" ht="15" hidden="1" customHeight="1">
      <c r="A393" s="71">
        <v>44595</v>
      </c>
      <c r="B393" t="s">
        <v>359</v>
      </c>
      <c r="C393" t="s">
        <v>757</v>
      </c>
      <c r="D393" s="3">
        <v>7900</v>
      </c>
      <c r="E393" t="s">
        <v>758</v>
      </c>
      <c r="F393" s="91">
        <v>8217</v>
      </c>
      <c r="J393" t="s">
        <v>759</v>
      </c>
    </row>
    <row r="394" spans="1:10" ht="15" hidden="1" customHeight="1">
      <c r="A394" s="71">
        <v>44595</v>
      </c>
      <c r="B394" t="s">
        <v>143</v>
      </c>
      <c r="C394" t="s">
        <v>757</v>
      </c>
      <c r="E394" t="s">
        <v>758</v>
      </c>
      <c r="F394" s="91">
        <v>3016</v>
      </c>
      <c r="J394" t="s">
        <v>759</v>
      </c>
    </row>
    <row r="395" spans="1:10" ht="15" hidden="1" customHeight="1">
      <c r="A395" s="71">
        <v>44596</v>
      </c>
      <c r="B395" t="s">
        <v>688</v>
      </c>
      <c r="C395" t="s">
        <v>757</v>
      </c>
      <c r="D395" s="3">
        <v>8305</v>
      </c>
      <c r="E395" t="s">
        <v>758</v>
      </c>
      <c r="F395" s="91">
        <v>7745</v>
      </c>
      <c r="J395" t="s">
        <v>759</v>
      </c>
    </row>
    <row r="396" spans="1:10" ht="15" hidden="1" customHeight="1">
      <c r="A396" s="71">
        <v>44600</v>
      </c>
      <c r="B396" t="s">
        <v>162</v>
      </c>
      <c r="C396" t="s">
        <v>757</v>
      </c>
      <c r="E396" t="s">
        <v>758</v>
      </c>
      <c r="F396" s="91">
        <v>7116</v>
      </c>
      <c r="J396" t="s">
        <v>759</v>
      </c>
    </row>
    <row r="397" spans="1:10" ht="15" hidden="1" customHeight="1">
      <c r="A397" s="71">
        <v>44603</v>
      </c>
      <c r="B397" t="s">
        <v>692</v>
      </c>
      <c r="C397" t="s">
        <v>757</v>
      </c>
      <c r="D397" s="3">
        <v>4219</v>
      </c>
      <c r="E397" t="s">
        <v>758</v>
      </c>
      <c r="F397" s="91">
        <v>7618</v>
      </c>
      <c r="J397" t="s">
        <v>759</v>
      </c>
    </row>
    <row r="398" spans="1:10" ht="15" hidden="1" customHeight="1">
      <c r="A398" s="71">
        <v>44604</v>
      </c>
      <c r="B398" t="s">
        <v>573</v>
      </c>
      <c r="C398" t="s">
        <v>757</v>
      </c>
      <c r="E398" t="s">
        <v>758</v>
      </c>
      <c r="F398" s="91">
        <v>3019</v>
      </c>
      <c r="J398" t="s">
        <v>759</v>
      </c>
    </row>
    <row r="399" spans="1:10" ht="15" hidden="1" customHeight="1">
      <c r="A399" s="71">
        <v>44607</v>
      </c>
      <c r="B399" t="s">
        <v>12</v>
      </c>
      <c r="C399" t="s">
        <v>757</v>
      </c>
      <c r="D399" s="3">
        <v>1937</v>
      </c>
      <c r="E399" t="s">
        <v>758</v>
      </c>
      <c r="F399" s="91" t="s">
        <v>801</v>
      </c>
      <c r="J399" t="s">
        <v>759</v>
      </c>
    </row>
    <row r="400" spans="1:10" ht="15" hidden="1" customHeight="1">
      <c r="A400" s="71">
        <v>44609</v>
      </c>
      <c r="B400" t="s">
        <v>150</v>
      </c>
      <c r="C400" t="s">
        <v>757</v>
      </c>
      <c r="E400" t="s">
        <v>758</v>
      </c>
      <c r="F400" s="91">
        <v>7809</v>
      </c>
      <c r="J400" t="s">
        <v>759</v>
      </c>
    </row>
    <row r="401" spans="1:10" ht="15" hidden="1" customHeight="1">
      <c r="A401" s="71">
        <v>44613</v>
      </c>
      <c r="B401" t="s">
        <v>598</v>
      </c>
      <c r="C401" t="s">
        <v>757</v>
      </c>
      <c r="D401" s="3">
        <v>27500</v>
      </c>
      <c r="E401" t="s">
        <v>758</v>
      </c>
      <c r="F401" s="91">
        <v>3020</v>
      </c>
      <c r="J401" t="s">
        <v>759</v>
      </c>
    </row>
    <row r="402" spans="1:10" ht="15" hidden="1" customHeight="1">
      <c r="A402" s="71">
        <v>44616</v>
      </c>
      <c r="B402" t="s">
        <v>599</v>
      </c>
      <c r="C402" t="s">
        <v>757</v>
      </c>
      <c r="E402" t="s">
        <v>758</v>
      </c>
      <c r="F402" s="91">
        <v>3022</v>
      </c>
      <c r="J402" t="s">
        <v>759</v>
      </c>
    </row>
    <row r="403" spans="1:10" ht="15" hidden="1" customHeight="1">
      <c r="A403" s="71">
        <v>44616</v>
      </c>
      <c r="B403" t="s">
        <v>592</v>
      </c>
      <c r="C403" t="s">
        <v>757</v>
      </c>
      <c r="D403" s="3">
        <v>26593</v>
      </c>
      <c r="E403" t="s">
        <v>758</v>
      </c>
      <c r="F403" s="91">
        <v>3021</v>
      </c>
      <c r="J403" t="s">
        <v>759</v>
      </c>
    </row>
    <row r="404" spans="1:10" ht="15" hidden="1" customHeight="1">
      <c r="A404" s="71">
        <v>44620</v>
      </c>
      <c r="B404" t="s">
        <v>587</v>
      </c>
      <c r="C404" t="s">
        <v>757</v>
      </c>
      <c r="E404" t="s">
        <v>758</v>
      </c>
      <c r="F404" s="91">
        <v>3024</v>
      </c>
      <c r="J404" t="s">
        <v>759</v>
      </c>
    </row>
    <row r="405" spans="1:10" ht="15" hidden="1" customHeight="1">
      <c r="A405" s="71">
        <v>44622</v>
      </c>
      <c r="B405" t="s">
        <v>589</v>
      </c>
      <c r="C405" t="s">
        <v>757</v>
      </c>
      <c r="E405" t="s">
        <v>758</v>
      </c>
      <c r="F405" s="91">
        <v>3023</v>
      </c>
      <c r="J405" t="s">
        <v>759</v>
      </c>
    </row>
    <row r="406" spans="1:10" ht="15" hidden="1" customHeight="1">
      <c r="A406" s="71">
        <v>44623</v>
      </c>
      <c r="B406" t="s">
        <v>591</v>
      </c>
      <c r="C406" t="s">
        <v>757</v>
      </c>
      <c r="E406" t="s">
        <v>758</v>
      </c>
      <c r="F406" s="91">
        <v>3025</v>
      </c>
      <c r="J406" t="s">
        <v>759</v>
      </c>
    </row>
    <row r="407" spans="1:10" ht="15" hidden="1" customHeight="1">
      <c r="A407" s="71">
        <v>44625</v>
      </c>
      <c r="B407" t="s">
        <v>588</v>
      </c>
      <c r="C407" t="s">
        <v>757</v>
      </c>
      <c r="E407" t="s">
        <v>758</v>
      </c>
      <c r="F407" s="91">
        <v>3026</v>
      </c>
      <c r="J407" t="s">
        <v>759</v>
      </c>
    </row>
    <row r="408" spans="1:10" ht="15" hidden="1" customHeight="1">
      <c r="A408" s="71">
        <v>44627</v>
      </c>
      <c r="B408" t="s">
        <v>785</v>
      </c>
      <c r="C408" t="s">
        <v>757</v>
      </c>
      <c r="E408" t="s">
        <v>758</v>
      </c>
      <c r="F408" s="91">
        <v>3027</v>
      </c>
      <c r="J408" t="s">
        <v>759</v>
      </c>
    </row>
    <row r="409" spans="1:10" ht="15" hidden="1" customHeight="1">
      <c r="A409" s="71">
        <v>44629</v>
      </c>
      <c r="B409" t="s">
        <v>178</v>
      </c>
      <c r="C409" t="s">
        <v>757</v>
      </c>
      <c r="D409" s="3">
        <v>1227</v>
      </c>
      <c r="E409" t="s">
        <v>758</v>
      </c>
      <c r="F409" s="91">
        <v>3030</v>
      </c>
      <c r="J409" t="s">
        <v>759</v>
      </c>
    </row>
    <row r="410" spans="1:10" ht="15" hidden="1" customHeight="1">
      <c r="A410" s="71">
        <v>44635</v>
      </c>
      <c r="B410" t="s">
        <v>593</v>
      </c>
      <c r="C410" t="s">
        <v>757</v>
      </c>
      <c r="E410" t="s">
        <v>758</v>
      </c>
      <c r="F410" s="91">
        <v>3032</v>
      </c>
      <c r="J410" t="s">
        <v>759</v>
      </c>
    </row>
    <row r="411" spans="1:10" ht="15" hidden="1" customHeight="1">
      <c r="A411" s="71">
        <v>44637</v>
      </c>
      <c r="B411" t="s">
        <v>783</v>
      </c>
      <c r="C411" t="s">
        <v>757</v>
      </c>
      <c r="E411" t="s">
        <v>758</v>
      </c>
      <c r="F411" s="91">
        <v>3033</v>
      </c>
      <c r="J411" t="s">
        <v>759</v>
      </c>
    </row>
    <row r="412" spans="1:10" ht="15" hidden="1" customHeight="1">
      <c r="A412" s="71">
        <v>44638</v>
      </c>
      <c r="B412" t="s">
        <v>341</v>
      </c>
      <c r="C412" t="s">
        <v>757</v>
      </c>
      <c r="D412" s="3">
        <v>5990</v>
      </c>
      <c r="E412" t="s">
        <v>758</v>
      </c>
      <c r="F412" s="91" t="s">
        <v>802</v>
      </c>
      <c r="J412" t="s">
        <v>759</v>
      </c>
    </row>
    <row r="413" spans="1:10" ht="15" hidden="1" customHeight="1">
      <c r="A413" s="71">
        <v>44638</v>
      </c>
      <c r="B413" t="s">
        <v>143</v>
      </c>
      <c r="C413" t="s">
        <v>757</v>
      </c>
      <c r="E413" t="s">
        <v>758</v>
      </c>
      <c r="F413" s="91">
        <v>3034</v>
      </c>
      <c r="J413" t="s">
        <v>759</v>
      </c>
    </row>
    <row r="414" spans="1:10" ht="15" hidden="1" customHeight="1">
      <c r="A414" s="71">
        <v>44641</v>
      </c>
      <c r="B414" t="s">
        <v>25</v>
      </c>
      <c r="C414" t="s">
        <v>757</v>
      </c>
      <c r="E414" t="s">
        <v>758</v>
      </c>
      <c r="F414" s="91">
        <v>8206</v>
      </c>
      <c r="J414" t="s">
        <v>759</v>
      </c>
    </row>
    <row r="415" spans="1:10" ht="15" hidden="1" customHeight="1">
      <c r="A415" s="71">
        <v>44641</v>
      </c>
      <c r="B415" t="s">
        <v>171</v>
      </c>
      <c r="C415" t="s">
        <v>757</v>
      </c>
      <c r="D415" s="3">
        <v>3843</v>
      </c>
      <c r="E415" t="s">
        <v>758</v>
      </c>
      <c r="F415" s="91">
        <v>8204</v>
      </c>
      <c r="J415" t="s">
        <v>759</v>
      </c>
    </row>
    <row r="416" spans="1:10" ht="15" hidden="1" customHeight="1">
      <c r="A416" s="71">
        <v>44643</v>
      </c>
      <c r="B416" t="s">
        <v>392</v>
      </c>
      <c r="C416" t="s">
        <v>757</v>
      </c>
      <c r="D416" s="3">
        <v>15125</v>
      </c>
      <c r="E416" t="s">
        <v>758</v>
      </c>
      <c r="F416" s="91">
        <v>8205</v>
      </c>
      <c r="J416" t="s">
        <v>759</v>
      </c>
    </row>
    <row r="417" spans="1:10" ht="15" hidden="1" customHeight="1">
      <c r="A417" s="71">
        <v>44643</v>
      </c>
      <c r="B417" t="s">
        <v>601</v>
      </c>
      <c r="C417" t="s">
        <v>757</v>
      </c>
      <c r="E417" t="s">
        <v>758</v>
      </c>
      <c r="F417" s="91">
        <v>3035</v>
      </c>
      <c r="J417" t="s">
        <v>759</v>
      </c>
    </row>
    <row r="418" spans="1:10" ht="15" hidden="1" customHeight="1">
      <c r="A418" s="71">
        <v>44644</v>
      </c>
      <c r="B418" t="s">
        <v>582</v>
      </c>
      <c r="C418" t="s">
        <v>757</v>
      </c>
      <c r="E418" t="s">
        <v>758</v>
      </c>
      <c r="F418" s="91">
        <v>3036</v>
      </c>
      <c r="J418" t="s">
        <v>759</v>
      </c>
    </row>
    <row r="419" spans="1:10" ht="15" hidden="1" customHeight="1">
      <c r="A419" s="71">
        <v>44649</v>
      </c>
      <c r="B419" t="s">
        <v>12</v>
      </c>
      <c r="C419" t="s">
        <v>757</v>
      </c>
      <c r="D419" s="3">
        <v>2191</v>
      </c>
      <c r="E419" t="s">
        <v>758</v>
      </c>
      <c r="F419" s="91">
        <v>7836</v>
      </c>
      <c r="J419" t="s">
        <v>759</v>
      </c>
    </row>
    <row r="420" spans="1:10" ht="15" hidden="1" customHeight="1">
      <c r="A420" s="71">
        <v>44652</v>
      </c>
      <c r="B420" t="s">
        <v>800</v>
      </c>
      <c r="C420" t="s">
        <v>757</v>
      </c>
      <c r="E420" t="s">
        <v>758</v>
      </c>
      <c r="F420" s="91">
        <v>3040</v>
      </c>
      <c r="J420" t="s">
        <v>759</v>
      </c>
    </row>
    <row r="421" spans="1:10" ht="15" hidden="1" customHeight="1">
      <c r="A421" s="71">
        <v>44656</v>
      </c>
      <c r="B421" t="s">
        <v>188</v>
      </c>
      <c r="C421" t="s">
        <v>757</v>
      </c>
      <c r="D421" s="3">
        <v>8296</v>
      </c>
      <c r="E421" t="s">
        <v>758</v>
      </c>
      <c r="F421" s="91">
        <v>3015</v>
      </c>
      <c r="J421" t="s">
        <v>759</v>
      </c>
    </row>
    <row r="422" spans="1:10" ht="15" hidden="1" customHeight="1">
      <c r="A422" s="71">
        <v>44657</v>
      </c>
      <c r="B422" t="s">
        <v>573</v>
      </c>
      <c r="C422" t="s">
        <v>757</v>
      </c>
      <c r="E422" t="s">
        <v>758</v>
      </c>
      <c r="F422" s="91">
        <v>8551</v>
      </c>
      <c r="J422" t="s">
        <v>759</v>
      </c>
    </row>
    <row r="423" spans="1:10" ht="15" hidden="1" customHeight="1">
      <c r="A423" s="71">
        <v>44657</v>
      </c>
      <c r="B423" t="s">
        <v>780</v>
      </c>
      <c r="C423" t="s">
        <v>757</v>
      </c>
      <c r="D423" s="3">
        <v>4172</v>
      </c>
      <c r="E423" t="s">
        <v>758</v>
      </c>
      <c r="F423" s="91">
        <v>8213</v>
      </c>
      <c r="J423" t="s">
        <v>759</v>
      </c>
    </row>
    <row r="424" spans="1:10" ht="15" hidden="1" customHeight="1">
      <c r="A424" s="71">
        <v>44657</v>
      </c>
      <c r="B424" t="s">
        <v>330</v>
      </c>
      <c r="C424" t="s">
        <v>757</v>
      </c>
      <c r="D424" s="3">
        <v>5960</v>
      </c>
      <c r="E424" t="s">
        <v>758</v>
      </c>
      <c r="F424" s="91">
        <v>8154</v>
      </c>
      <c r="J424" t="s">
        <v>759</v>
      </c>
    </row>
    <row r="425" spans="1:10" ht="15" hidden="1" customHeight="1">
      <c r="A425" s="71">
        <v>44658</v>
      </c>
      <c r="B425" t="s">
        <v>183</v>
      </c>
      <c r="C425" t="s">
        <v>757</v>
      </c>
      <c r="D425" s="3">
        <v>40349</v>
      </c>
      <c r="E425" t="s">
        <v>758</v>
      </c>
      <c r="F425" s="91">
        <v>8560</v>
      </c>
      <c r="J425" t="s">
        <v>759</v>
      </c>
    </row>
    <row r="426" spans="1:10" ht="15" hidden="1" customHeight="1">
      <c r="A426" s="71">
        <v>44658</v>
      </c>
      <c r="B426" t="s">
        <v>579</v>
      </c>
      <c r="C426" t="s">
        <v>757</v>
      </c>
      <c r="E426" t="s">
        <v>758</v>
      </c>
      <c r="F426" s="91">
        <v>3041</v>
      </c>
      <c r="J426" t="s">
        <v>759</v>
      </c>
    </row>
    <row r="427" spans="1:10" ht="15" hidden="1" customHeight="1">
      <c r="A427" s="71">
        <v>44663</v>
      </c>
      <c r="B427" t="s">
        <v>42</v>
      </c>
      <c r="C427" t="s">
        <v>757</v>
      </c>
      <c r="E427" t="s">
        <v>758</v>
      </c>
      <c r="F427" s="91">
        <v>10704</v>
      </c>
      <c r="J427" t="s">
        <v>759</v>
      </c>
    </row>
    <row r="428" spans="1:10" ht="15" hidden="1" customHeight="1">
      <c r="A428" s="71">
        <v>44664</v>
      </c>
      <c r="B428" t="s">
        <v>785</v>
      </c>
      <c r="C428" t="s">
        <v>757</v>
      </c>
      <c r="E428" t="s">
        <v>758</v>
      </c>
      <c r="F428" s="91">
        <v>8158</v>
      </c>
      <c r="J428" t="s">
        <v>759</v>
      </c>
    </row>
    <row r="429" spans="1:10" ht="15" hidden="1" customHeight="1">
      <c r="A429" s="71">
        <v>44671</v>
      </c>
      <c r="B429" t="s">
        <v>365</v>
      </c>
      <c r="C429" t="s">
        <v>757</v>
      </c>
      <c r="D429" s="3">
        <v>10258</v>
      </c>
      <c r="E429" t="s">
        <v>758</v>
      </c>
      <c r="F429" s="91">
        <v>8208</v>
      </c>
      <c r="J429" t="s">
        <v>759</v>
      </c>
    </row>
    <row r="430" spans="1:10" ht="15" hidden="1" customHeight="1">
      <c r="A430" s="71">
        <v>44671</v>
      </c>
      <c r="B430" t="s">
        <v>185</v>
      </c>
      <c r="C430" t="s">
        <v>757</v>
      </c>
      <c r="E430" t="s">
        <v>758</v>
      </c>
      <c r="F430" s="91">
        <v>8201</v>
      </c>
      <c r="J430" t="s">
        <v>759</v>
      </c>
    </row>
    <row r="431" spans="1:10" ht="15" hidden="1" customHeight="1">
      <c r="A431" s="71">
        <v>44672</v>
      </c>
      <c r="B431" t="s">
        <v>152</v>
      </c>
      <c r="C431" t="s">
        <v>757</v>
      </c>
      <c r="D431" s="3">
        <v>5879</v>
      </c>
      <c r="E431" t="s">
        <v>758</v>
      </c>
      <c r="F431" s="91">
        <v>8209</v>
      </c>
      <c r="J431" t="s">
        <v>759</v>
      </c>
    </row>
    <row r="432" spans="1:10" ht="15" hidden="1" customHeight="1">
      <c r="A432" s="71">
        <v>44673</v>
      </c>
      <c r="B432" t="s">
        <v>705</v>
      </c>
      <c r="C432" t="s">
        <v>757</v>
      </c>
      <c r="D432" s="3">
        <v>3022</v>
      </c>
      <c r="E432" t="s">
        <v>758</v>
      </c>
      <c r="F432" s="91">
        <v>8211</v>
      </c>
      <c r="J432" t="s">
        <v>759</v>
      </c>
    </row>
    <row r="433" spans="1:10" ht="15" hidden="1" customHeight="1">
      <c r="A433" s="71">
        <v>44677</v>
      </c>
      <c r="B433" t="s">
        <v>598</v>
      </c>
      <c r="C433" t="s">
        <v>757</v>
      </c>
      <c r="E433" t="s">
        <v>758</v>
      </c>
      <c r="F433" s="91">
        <v>3043</v>
      </c>
      <c r="J433" t="s">
        <v>759</v>
      </c>
    </row>
    <row r="434" spans="1:10" ht="15" hidden="1" customHeight="1">
      <c r="A434" s="71">
        <v>44677</v>
      </c>
      <c r="B434" t="s">
        <v>783</v>
      </c>
      <c r="C434" t="s">
        <v>757</v>
      </c>
      <c r="E434" t="s">
        <v>758</v>
      </c>
      <c r="F434" s="91">
        <v>3042</v>
      </c>
      <c r="J434" t="s">
        <v>759</v>
      </c>
    </row>
    <row r="435" spans="1:10" ht="15" hidden="1" customHeight="1">
      <c r="A435" s="71">
        <v>44679</v>
      </c>
      <c r="B435" t="s">
        <v>19</v>
      </c>
      <c r="C435" t="s">
        <v>757</v>
      </c>
      <c r="D435" s="3">
        <v>5370</v>
      </c>
      <c r="E435" t="s">
        <v>758</v>
      </c>
      <c r="F435" s="91">
        <v>8210</v>
      </c>
      <c r="J435" t="s">
        <v>759</v>
      </c>
    </row>
    <row r="436" spans="1:10" ht="15" hidden="1" customHeight="1">
      <c r="A436" s="71">
        <v>44679</v>
      </c>
      <c r="B436" t="s">
        <v>588</v>
      </c>
      <c r="C436" t="s">
        <v>757</v>
      </c>
      <c r="E436" t="s">
        <v>758</v>
      </c>
      <c r="F436" s="91">
        <v>8168</v>
      </c>
      <c r="J436" t="s">
        <v>759</v>
      </c>
    </row>
    <row r="437" spans="1:10" ht="15" hidden="1" customHeight="1">
      <c r="A437" s="71">
        <v>44685</v>
      </c>
      <c r="B437" t="s">
        <v>159</v>
      </c>
      <c r="C437" t="s">
        <v>757</v>
      </c>
      <c r="D437" s="3">
        <v>8643</v>
      </c>
      <c r="E437" t="s">
        <v>758</v>
      </c>
      <c r="F437" s="91">
        <v>8562</v>
      </c>
      <c r="J437" t="s">
        <v>759</v>
      </c>
    </row>
    <row r="438" spans="1:10" ht="15" hidden="1" customHeight="1">
      <c r="A438" s="71">
        <v>44685</v>
      </c>
      <c r="B438" t="s">
        <v>586</v>
      </c>
      <c r="C438" t="s">
        <v>757</v>
      </c>
      <c r="E438" t="s">
        <v>758</v>
      </c>
      <c r="F438" s="91">
        <v>8174</v>
      </c>
      <c r="J438" t="s">
        <v>759</v>
      </c>
    </row>
    <row r="439" spans="1:10" ht="15" hidden="1" customHeight="1">
      <c r="A439" s="71">
        <v>44686</v>
      </c>
      <c r="B439" t="s">
        <v>202</v>
      </c>
      <c r="C439" t="s">
        <v>757</v>
      </c>
      <c r="D439" s="3">
        <v>1015</v>
      </c>
      <c r="E439" t="s">
        <v>758</v>
      </c>
      <c r="F439" s="91">
        <v>8221</v>
      </c>
      <c r="J439" t="s">
        <v>759</v>
      </c>
    </row>
    <row r="440" spans="1:10" ht="15" hidden="1" customHeight="1">
      <c r="A440" s="71">
        <v>44686</v>
      </c>
      <c r="B440" t="s">
        <v>691</v>
      </c>
      <c r="C440" t="s">
        <v>757</v>
      </c>
      <c r="D440" s="3">
        <v>4408</v>
      </c>
      <c r="E440" t="s">
        <v>758</v>
      </c>
      <c r="F440" s="91">
        <v>8178</v>
      </c>
      <c r="J440" t="s">
        <v>759</v>
      </c>
    </row>
    <row r="441" spans="1:10" ht="15" hidden="1" customHeight="1">
      <c r="A441" s="71">
        <v>44686</v>
      </c>
      <c r="B441" t="s">
        <v>800</v>
      </c>
      <c r="C441" t="s">
        <v>757</v>
      </c>
      <c r="E441" t="s">
        <v>758</v>
      </c>
      <c r="F441" s="91">
        <v>3045</v>
      </c>
      <c r="J441" t="s">
        <v>759</v>
      </c>
    </row>
    <row r="442" spans="1:10" ht="15" hidden="1" customHeight="1">
      <c r="A442" s="71">
        <v>44687</v>
      </c>
      <c r="B442" t="s">
        <v>385</v>
      </c>
      <c r="C442" t="s">
        <v>757</v>
      </c>
      <c r="D442" s="3">
        <v>1504</v>
      </c>
      <c r="E442" t="s">
        <v>758</v>
      </c>
      <c r="F442" s="91">
        <v>8569</v>
      </c>
      <c r="J442" t="s">
        <v>759</v>
      </c>
    </row>
    <row r="443" spans="1:10" ht="15" hidden="1" customHeight="1">
      <c r="A443" s="71">
        <v>44687</v>
      </c>
      <c r="B443" t="s">
        <v>385</v>
      </c>
      <c r="C443" t="s">
        <v>757</v>
      </c>
      <c r="D443" s="3">
        <v>1504</v>
      </c>
      <c r="E443" t="s">
        <v>758</v>
      </c>
      <c r="F443" s="91">
        <v>8028</v>
      </c>
      <c r="J443" t="s">
        <v>759</v>
      </c>
    </row>
    <row r="444" spans="1:10" ht="15" hidden="1" customHeight="1">
      <c r="A444" s="71">
        <v>44687</v>
      </c>
      <c r="B444" t="s">
        <v>593</v>
      </c>
      <c r="C444" t="s">
        <v>757</v>
      </c>
      <c r="E444" t="s">
        <v>758</v>
      </c>
      <c r="F444" s="91">
        <v>3046</v>
      </c>
      <c r="J444" t="s">
        <v>759</v>
      </c>
    </row>
    <row r="445" spans="1:10" ht="15" hidden="1" customHeight="1">
      <c r="A445" s="71">
        <v>44687</v>
      </c>
      <c r="B445" t="s">
        <v>592</v>
      </c>
      <c r="C445" t="s">
        <v>757</v>
      </c>
      <c r="E445" t="s">
        <v>758</v>
      </c>
      <c r="F445" s="91">
        <v>3044</v>
      </c>
      <c r="J445" t="s">
        <v>759</v>
      </c>
    </row>
    <row r="446" spans="1:10" ht="15" hidden="1" customHeight="1">
      <c r="A446" s="71">
        <v>44691</v>
      </c>
      <c r="B446" t="s">
        <v>36</v>
      </c>
      <c r="C446" t="s">
        <v>757</v>
      </c>
      <c r="D446" s="3">
        <v>5065</v>
      </c>
      <c r="E446" t="s">
        <v>758</v>
      </c>
      <c r="F446" s="91">
        <v>8220</v>
      </c>
      <c r="J446" t="s">
        <v>759</v>
      </c>
    </row>
    <row r="447" spans="1:10" ht="15" hidden="1" customHeight="1">
      <c r="A447" s="71">
        <v>44691</v>
      </c>
      <c r="B447" t="s">
        <v>587</v>
      </c>
      <c r="C447" t="s">
        <v>757</v>
      </c>
      <c r="E447" t="s">
        <v>758</v>
      </c>
      <c r="F447" s="91">
        <v>3048</v>
      </c>
      <c r="J447" t="s">
        <v>759</v>
      </c>
    </row>
    <row r="448" spans="1:10" ht="15" hidden="1" customHeight="1">
      <c r="A448" s="71">
        <v>44692</v>
      </c>
      <c r="B448" t="s">
        <v>175</v>
      </c>
      <c r="C448" t="s">
        <v>757</v>
      </c>
      <c r="D448" s="3">
        <v>4372</v>
      </c>
      <c r="E448" t="s">
        <v>758</v>
      </c>
      <c r="F448" s="91">
        <v>8219</v>
      </c>
      <c r="J448" t="s">
        <v>759</v>
      </c>
    </row>
    <row r="449" spans="1:10" ht="15" hidden="1" customHeight="1">
      <c r="A449" s="71">
        <v>44692</v>
      </c>
      <c r="B449" t="s">
        <v>143</v>
      </c>
      <c r="C449" t="s">
        <v>757</v>
      </c>
      <c r="E449" t="s">
        <v>758</v>
      </c>
      <c r="F449" s="91">
        <v>3047</v>
      </c>
      <c r="J449" t="s">
        <v>759</v>
      </c>
    </row>
    <row r="450" spans="1:10" ht="15" hidden="1" customHeight="1">
      <c r="A450" s="71">
        <v>44693</v>
      </c>
      <c r="B450" t="s">
        <v>42</v>
      </c>
      <c r="C450" t="s">
        <v>757</v>
      </c>
      <c r="D450" s="3">
        <v>95927</v>
      </c>
      <c r="E450" t="s">
        <v>758</v>
      </c>
      <c r="F450" s="91">
        <v>8579</v>
      </c>
      <c r="J450" t="s">
        <v>759</v>
      </c>
    </row>
    <row r="451" spans="1:10" ht="15" hidden="1" customHeight="1">
      <c r="A451" s="71">
        <v>44697</v>
      </c>
      <c r="B451" t="s">
        <v>338</v>
      </c>
      <c r="C451" t="s">
        <v>757</v>
      </c>
      <c r="D451" s="3">
        <v>23315</v>
      </c>
      <c r="E451" t="s">
        <v>758</v>
      </c>
      <c r="F451" s="91">
        <v>8222</v>
      </c>
      <c r="J451" t="s">
        <v>759</v>
      </c>
    </row>
    <row r="452" spans="1:10" ht="15" hidden="1" customHeight="1">
      <c r="A452" s="71">
        <v>44714</v>
      </c>
      <c r="B452" t="s">
        <v>330</v>
      </c>
      <c r="C452" t="s">
        <v>757</v>
      </c>
      <c r="D452" s="3">
        <v>6121</v>
      </c>
      <c r="E452" t="s">
        <v>758</v>
      </c>
      <c r="F452" s="91">
        <v>8684</v>
      </c>
      <c r="J452" t="s">
        <v>759</v>
      </c>
    </row>
    <row r="453" spans="1:10" ht="15" hidden="1" customHeight="1">
      <c r="A453" s="71">
        <v>44714</v>
      </c>
      <c r="B453" t="s">
        <v>690</v>
      </c>
      <c r="C453" t="s">
        <v>757</v>
      </c>
      <c r="D453" s="3">
        <v>4537</v>
      </c>
      <c r="E453" t="s">
        <v>758</v>
      </c>
      <c r="F453" s="91">
        <v>8602</v>
      </c>
      <c r="J453" t="s">
        <v>759</v>
      </c>
    </row>
    <row r="454" spans="1:10" ht="15" hidden="1" customHeight="1">
      <c r="A454" s="71">
        <v>44714</v>
      </c>
      <c r="B454" t="s">
        <v>29</v>
      </c>
      <c r="C454" t="s">
        <v>757</v>
      </c>
      <c r="D454" s="3">
        <v>5719</v>
      </c>
      <c r="E454" t="s">
        <v>758</v>
      </c>
      <c r="F454" s="91">
        <v>8601</v>
      </c>
      <c r="J454" t="s">
        <v>759</v>
      </c>
    </row>
    <row r="455" spans="1:10" ht="15" hidden="1" customHeight="1">
      <c r="A455" s="71">
        <v>44715</v>
      </c>
      <c r="B455" t="s">
        <v>169</v>
      </c>
      <c r="C455" t="s">
        <v>757</v>
      </c>
      <c r="D455" s="3">
        <v>4146</v>
      </c>
      <c r="E455" t="s">
        <v>758</v>
      </c>
      <c r="F455" s="91">
        <v>8603</v>
      </c>
      <c r="J455" t="s">
        <v>759</v>
      </c>
    </row>
    <row r="456" spans="1:10" ht="15" hidden="1" customHeight="1">
      <c r="A456" s="71">
        <v>44718</v>
      </c>
      <c r="B456" t="s">
        <v>334</v>
      </c>
      <c r="C456" t="s">
        <v>757</v>
      </c>
      <c r="D456" s="3">
        <v>18873</v>
      </c>
      <c r="E456" t="s">
        <v>758</v>
      </c>
      <c r="F456" s="91">
        <v>8688</v>
      </c>
      <c r="J456" t="s">
        <v>759</v>
      </c>
    </row>
    <row r="457" spans="1:10" ht="15" hidden="1" customHeight="1">
      <c r="A457" s="71">
        <v>44718</v>
      </c>
      <c r="B457" t="s">
        <v>803</v>
      </c>
      <c r="C457" t="s">
        <v>757</v>
      </c>
      <c r="D457" s="3">
        <v>6548</v>
      </c>
      <c r="E457" t="s">
        <v>758</v>
      </c>
      <c r="F457" s="91">
        <v>8604</v>
      </c>
      <c r="J457" t="s">
        <v>759</v>
      </c>
    </row>
    <row r="458" spans="1:10" ht="15" hidden="1" customHeight="1">
      <c r="A458" s="71">
        <v>44719</v>
      </c>
      <c r="B458" t="s">
        <v>596</v>
      </c>
      <c r="C458" t="s">
        <v>757</v>
      </c>
      <c r="E458" t="s">
        <v>758</v>
      </c>
      <c r="F458" s="91">
        <v>8696</v>
      </c>
      <c r="J458" t="s">
        <v>759</v>
      </c>
    </row>
    <row r="459" spans="1:10" ht="15" hidden="1" customHeight="1">
      <c r="A459" s="71">
        <v>44719</v>
      </c>
      <c r="B459" t="s">
        <v>260</v>
      </c>
      <c r="C459" t="s">
        <v>757</v>
      </c>
      <c r="D459" s="3">
        <v>7598</v>
      </c>
      <c r="E459" t="s">
        <v>758</v>
      </c>
      <c r="F459" s="91">
        <v>8605</v>
      </c>
      <c r="J459" t="s">
        <v>759</v>
      </c>
    </row>
    <row r="460" spans="1:10" ht="15" hidden="1" customHeight="1">
      <c r="A460" s="71">
        <v>44719</v>
      </c>
      <c r="B460" t="s">
        <v>783</v>
      </c>
      <c r="C460" t="s">
        <v>757</v>
      </c>
      <c r="D460" s="3">
        <v>454144</v>
      </c>
      <c r="E460" t="s">
        <v>758</v>
      </c>
      <c r="F460" s="91">
        <v>8504</v>
      </c>
      <c r="J460" t="s">
        <v>759</v>
      </c>
    </row>
    <row r="461" spans="1:10" ht="15" hidden="1" customHeight="1">
      <c r="A461" s="71">
        <v>44722</v>
      </c>
      <c r="B461" t="s">
        <v>25</v>
      </c>
      <c r="C461" t="s">
        <v>757</v>
      </c>
      <c r="D461" s="3">
        <v>4177</v>
      </c>
      <c r="E461" t="s">
        <v>758</v>
      </c>
      <c r="F461" s="91">
        <v>8609</v>
      </c>
      <c r="J461" t="s">
        <v>759</v>
      </c>
    </row>
    <row r="462" spans="1:10" ht="15" hidden="1" customHeight="1">
      <c r="A462" s="71">
        <v>44725</v>
      </c>
      <c r="B462" t="s">
        <v>713</v>
      </c>
      <c r="C462" t="s">
        <v>757</v>
      </c>
      <c r="D462" s="3">
        <v>13368</v>
      </c>
      <c r="E462" t="s">
        <v>758</v>
      </c>
      <c r="F462" s="91">
        <v>8706</v>
      </c>
      <c r="J462" t="s">
        <v>759</v>
      </c>
    </row>
    <row r="463" spans="1:10" ht="15" hidden="1" customHeight="1">
      <c r="A463" s="71">
        <v>44725</v>
      </c>
      <c r="B463" t="s">
        <v>32</v>
      </c>
      <c r="C463" t="s">
        <v>757</v>
      </c>
      <c r="D463" s="3">
        <v>5437</v>
      </c>
      <c r="E463" t="s">
        <v>758</v>
      </c>
      <c r="F463" s="91">
        <v>8610</v>
      </c>
      <c r="J463" t="s">
        <v>759</v>
      </c>
    </row>
    <row r="464" spans="1:10" ht="15" hidden="1" customHeight="1">
      <c r="A464" s="71">
        <v>44735</v>
      </c>
      <c r="B464" t="s">
        <v>391</v>
      </c>
      <c r="C464" t="s">
        <v>757</v>
      </c>
      <c r="D464" s="3">
        <v>6161</v>
      </c>
      <c r="E464" t="s">
        <v>758</v>
      </c>
      <c r="F464" s="91">
        <v>8720</v>
      </c>
      <c r="J464" t="s">
        <v>759</v>
      </c>
    </row>
    <row r="465" spans="1:10" ht="15" hidden="1" customHeight="1">
      <c r="A465" s="71">
        <v>44738</v>
      </c>
      <c r="B465" t="s">
        <v>311</v>
      </c>
      <c r="C465" t="s">
        <v>757</v>
      </c>
      <c r="D465" s="3">
        <v>13314</v>
      </c>
      <c r="E465" t="s">
        <v>758</v>
      </c>
      <c r="F465" s="91">
        <v>8311</v>
      </c>
      <c r="J465" t="s">
        <v>759</v>
      </c>
    </row>
    <row r="466" spans="1:10" ht="15" hidden="1" customHeight="1">
      <c r="A466" s="71">
        <v>44742</v>
      </c>
      <c r="B466" t="s">
        <v>601</v>
      </c>
      <c r="C466" t="s">
        <v>757</v>
      </c>
      <c r="D466" s="3">
        <v>131600</v>
      </c>
      <c r="E466" t="s">
        <v>758</v>
      </c>
      <c r="F466" s="91">
        <v>8514</v>
      </c>
      <c r="J466" t="s">
        <v>759</v>
      </c>
    </row>
    <row r="467" spans="1:10" ht="15" hidden="1" customHeight="1">
      <c r="A467" s="71">
        <v>44743</v>
      </c>
      <c r="B467" t="s">
        <v>586</v>
      </c>
      <c r="C467" t="s">
        <v>757</v>
      </c>
      <c r="D467" s="3">
        <v>61575</v>
      </c>
      <c r="E467" t="s">
        <v>758</v>
      </c>
      <c r="F467" s="91">
        <v>8516</v>
      </c>
      <c r="J467" t="s">
        <v>759</v>
      </c>
    </row>
    <row r="468" spans="1:10" ht="15" hidden="1" customHeight="1">
      <c r="A468" s="71">
        <v>44743</v>
      </c>
      <c r="B468" t="s">
        <v>593</v>
      </c>
      <c r="C468" t="s">
        <v>757</v>
      </c>
      <c r="D468" s="3">
        <v>52744</v>
      </c>
      <c r="E468" t="s">
        <v>758</v>
      </c>
      <c r="F468" s="91">
        <v>8515</v>
      </c>
      <c r="J468" t="s">
        <v>759</v>
      </c>
    </row>
    <row r="469" spans="1:10" ht="15" hidden="1" customHeight="1">
      <c r="A469" s="71">
        <v>44747</v>
      </c>
      <c r="B469" t="s">
        <v>783</v>
      </c>
      <c r="C469" t="s">
        <v>757</v>
      </c>
      <c r="D469" s="3">
        <v>458407</v>
      </c>
      <c r="E469" t="s">
        <v>758</v>
      </c>
      <c r="F469" s="91">
        <v>8518</v>
      </c>
      <c r="J469" t="s">
        <v>759</v>
      </c>
    </row>
    <row r="470" spans="1:10" ht="15" hidden="1" customHeight="1">
      <c r="A470" s="71">
        <v>44757</v>
      </c>
      <c r="B470" t="s">
        <v>333</v>
      </c>
      <c r="C470" t="s">
        <v>757</v>
      </c>
      <c r="D470" s="3">
        <v>5589</v>
      </c>
      <c r="E470" t="s">
        <v>758</v>
      </c>
      <c r="F470" s="91">
        <v>8909</v>
      </c>
      <c r="J470" t="s">
        <v>759</v>
      </c>
    </row>
    <row r="471" spans="1:10" ht="15" hidden="1" customHeight="1">
      <c r="A471" s="71">
        <v>44761</v>
      </c>
      <c r="B471" t="s">
        <v>785</v>
      </c>
      <c r="C471" t="s">
        <v>757</v>
      </c>
      <c r="E471" t="s">
        <v>758</v>
      </c>
      <c r="F471" s="91">
        <v>8983</v>
      </c>
      <c r="J471" t="s">
        <v>759</v>
      </c>
    </row>
    <row r="472" spans="1:10" ht="15" hidden="1" customHeight="1">
      <c r="A472" s="71">
        <v>44769</v>
      </c>
      <c r="B472" t="s">
        <v>573</v>
      </c>
      <c r="C472" t="s">
        <v>757</v>
      </c>
      <c r="E472" t="s">
        <v>758</v>
      </c>
      <c r="F472" s="91">
        <v>8813</v>
      </c>
      <c r="J472" t="s">
        <v>759</v>
      </c>
    </row>
    <row r="473" spans="1:10" ht="15" hidden="1" customHeight="1">
      <c r="A473" s="71">
        <v>44770</v>
      </c>
      <c r="B473" t="s">
        <v>575</v>
      </c>
      <c r="C473" t="s">
        <v>757</v>
      </c>
      <c r="E473" t="s">
        <v>758</v>
      </c>
      <c r="F473" s="91">
        <v>8814</v>
      </c>
      <c r="J473" t="s">
        <v>759</v>
      </c>
    </row>
    <row r="474" spans="1:10" ht="15" hidden="1" customHeight="1">
      <c r="A474" s="71">
        <v>44774</v>
      </c>
      <c r="B474" t="s">
        <v>599</v>
      </c>
      <c r="C474" t="s">
        <v>757</v>
      </c>
      <c r="D474" s="3">
        <v>395774</v>
      </c>
      <c r="E474" t="s">
        <v>758</v>
      </c>
      <c r="F474" s="91">
        <v>8523</v>
      </c>
      <c r="J474" t="s">
        <v>759</v>
      </c>
    </row>
    <row r="475" spans="1:10" ht="15" hidden="1" customHeight="1">
      <c r="A475" s="71">
        <v>44775</v>
      </c>
      <c r="B475" t="s">
        <v>336</v>
      </c>
      <c r="C475" t="s">
        <v>757</v>
      </c>
      <c r="D475" s="3">
        <v>9344</v>
      </c>
      <c r="E475" t="s">
        <v>758</v>
      </c>
      <c r="F475" s="91">
        <v>8634</v>
      </c>
      <c r="J475" t="s">
        <v>759</v>
      </c>
    </row>
    <row r="476" spans="1:10" ht="15" hidden="1" customHeight="1">
      <c r="A476" s="71">
        <v>44776</v>
      </c>
      <c r="B476" t="s">
        <v>365</v>
      </c>
      <c r="C476" t="s">
        <v>757</v>
      </c>
      <c r="D476" s="3">
        <v>10610</v>
      </c>
      <c r="E476" t="s">
        <v>758</v>
      </c>
      <c r="F476" s="91">
        <v>8838</v>
      </c>
      <c r="J476" t="s">
        <v>759</v>
      </c>
    </row>
    <row r="477" spans="1:10" ht="15" hidden="1" customHeight="1">
      <c r="A477" s="71">
        <v>44778</v>
      </c>
      <c r="B477" t="s">
        <v>792</v>
      </c>
      <c r="C477" t="s">
        <v>757</v>
      </c>
      <c r="E477" t="s">
        <v>758</v>
      </c>
      <c r="F477" s="91">
        <v>8525</v>
      </c>
      <c r="J477" t="s">
        <v>759</v>
      </c>
    </row>
    <row r="478" spans="1:10" ht="15" hidden="1" customHeight="1">
      <c r="A478" s="71">
        <v>44798</v>
      </c>
      <c r="B478" t="s">
        <v>586</v>
      </c>
      <c r="C478" t="s">
        <v>757</v>
      </c>
      <c r="E478" t="s">
        <v>758</v>
      </c>
      <c r="F478" s="91">
        <v>8765</v>
      </c>
      <c r="J478" t="s">
        <v>759</v>
      </c>
    </row>
    <row r="479" spans="1:10" ht="15" hidden="1" customHeight="1">
      <c r="A479" s="71">
        <v>44798</v>
      </c>
      <c r="B479" t="s">
        <v>800</v>
      </c>
      <c r="C479" t="s">
        <v>757</v>
      </c>
      <c r="E479" t="s">
        <v>758</v>
      </c>
      <c r="F479" s="91">
        <v>8764</v>
      </c>
      <c r="J479" t="s">
        <v>759</v>
      </c>
    </row>
    <row r="480" spans="1:10" ht="15" hidden="1" customHeight="1">
      <c r="A480" s="71">
        <v>44802</v>
      </c>
      <c r="B480" t="s">
        <v>579</v>
      </c>
      <c r="C480" t="s">
        <v>757</v>
      </c>
      <c r="E480" t="s">
        <v>758</v>
      </c>
      <c r="F480" s="91">
        <v>8527</v>
      </c>
      <c r="J480" t="s">
        <v>759</v>
      </c>
    </row>
    <row r="481" spans="1:10" ht="15" hidden="1" customHeight="1">
      <c r="A481" s="71">
        <v>44806</v>
      </c>
      <c r="B481" t="s">
        <v>48</v>
      </c>
      <c r="C481" t="s">
        <v>757</v>
      </c>
      <c r="E481" t="s">
        <v>758</v>
      </c>
      <c r="F481" s="91">
        <v>8527.1</v>
      </c>
      <c r="J481" t="s">
        <v>759</v>
      </c>
    </row>
    <row r="482" spans="1:10" ht="15" hidden="1" customHeight="1">
      <c r="A482" s="71">
        <v>44810</v>
      </c>
      <c r="B482" t="s">
        <v>783</v>
      </c>
      <c r="C482" t="s">
        <v>757</v>
      </c>
      <c r="E482" t="s">
        <v>758</v>
      </c>
      <c r="F482" s="91">
        <v>8530</v>
      </c>
      <c r="J482" t="s">
        <v>759</v>
      </c>
    </row>
    <row r="483" spans="1:10" ht="15" hidden="1" customHeight="1">
      <c r="A483" s="71">
        <v>44813</v>
      </c>
      <c r="B483" t="s">
        <v>587</v>
      </c>
      <c r="C483" t="s">
        <v>757</v>
      </c>
      <c r="E483" t="s">
        <v>758</v>
      </c>
      <c r="F483" s="91">
        <v>8529</v>
      </c>
      <c r="J483" t="s">
        <v>759</v>
      </c>
    </row>
    <row r="484" spans="1:10" ht="15" hidden="1" customHeight="1">
      <c r="A484" s="71">
        <v>44814</v>
      </c>
      <c r="B484" t="s">
        <v>592</v>
      </c>
      <c r="C484" t="s">
        <v>757</v>
      </c>
      <c r="E484" t="s">
        <v>758</v>
      </c>
      <c r="F484" s="91">
        <v>8532</v>
      </c>
      <c r="J484" t="s">
        <v>759</v>
      </c>
    </row>
    <row r="485" spans="1:10" ht="15" hidden="1" customHeight="1">
      <c r="A485" s="71">
        <v>44816</v>
      </c>
      <c r="B485" t="s">
        <v>591</v>
      </c>
      <c r="C485" t="s">
        <v>757</v>
      </c>
      <c r="E485" t="s">
        <v>758</v>
      </c>
      <c r="F485" s="91">
        <v>8531</v>
      </c>
      <c r="J485" t="s">
        <v>759</v>
      </c>
    </row>
    <row r="486" spans="1:10" ht="15" hidden="1" customHeight="1">
      <c r="A486" s="71">
        <v>44827</v>
      </c>
      <c r="B486" t="s">
        <v>324</v>
      </c>
      <c r="C486" t="s">
        <v>757</v>
      </c>
      <c r="D486" s="3">
        <v>12985</v>
      </c>
      <c r="E486" t="s">
        <v>758</v>
      </c>
      <c r="F486" s="91" t="s">
        <v>804</v>
      </c>
      <c r="J486" t="s">
        <v>759</v>
      </c>
    </row>
    <row r="487" spans="1:10" ht="15" hidden="1" customHeight="1">
      <c r="A487" s="71">
        <v>44827</v>
      </c>
      <c r="B487" t="s">
        <v>593</v>
      </c>
      <c r="C487" t="s">
        <v>757</v>
      </c>
      <c r="E487" t="s">
        <v>758</v>
      </c>
      <c r="F487" s="91">
        <v>8534</v>
      </c>
      <c r="J487" t="s">
        <v>759</v>
      </c>
    </row>
    <row r="488" spans="1:10" ht="15" hidden="1" customHeight="1">
      <c r="A488" s="71">
        <v>44831</v>
      </c>
      <c r="B488" t="s">
        <v>569</v>
      </c>
      <c r="C488" t="s">
        <v>757</v>
      </c>
      <c r="E488" t="s">
        <v>758</v>
      </c>
      <c r="F488" s="91">
        <v>8540</v>
      </c>
      <c r="J488" t="s">
        <v>759</v>
      </c>
    </row>
    <row r="489" spans="1:10" ht="15" hidden="1" customHeight="1">
      <c r="A489" s="71">
        <v>44831</v>
      </c>
      <c r="B489" t="s">
        <v>588</v>
      </c>
      <c r="C489" t="s">
        <v>757</v>
      </c>
      <c r="E489" t="s">
        <v>758</v>
      </c>
      <c r="F489" s="91"/>
      <c r="J489" t="s">
        <v>759</v>
      </c>
    </row>
    <row r="490" spans="1:10" ht="15" hidden="1" customHeight="1">
      <c r="A490" s="71">
        <v>44831</v>
      </c>
      <c r="B490" t="s">
        <v>593</v>
      </c>
      <c r="C490" t="s">
        <v>757</v>
      </c>
      <c r="E490" t="s">
        <v>758</v>
      </c>
      <c r="F490" s="91"/>
      <c r="J490" t="s">
        <v>759</v>
      </c>
    </row>
    <row r="491" spans="1:10" ht="15" hidden="1" customHeight="1">
      <c r="A491" s="71">
        <v>44838</v>
      </c>
      <c r="B491" t="s">
        <v>36</v>
      </c>
      <c r="C491" t="s">
        <v>757</v>
      </c>
      <c r="D491" s="3">
        <v>6094</v>
      </c>
      <c r="E491" t="s">
        <v>758</v>
      </c>
      <c r="F491" s="91">
        <v>9151</v>
      </c>
      <c r="J491" t="s">
        <v>759</v>
      </c>
    </row>
    <row r="492" spans="1:10" ht="15" hidden="1" customHeight="1">
      <c r="A492" s="71">
        <v>44849</v>
      </c>
      <c r="B492" t="s">
        <v>582</v>
      </c>
      <c r="C492" t="s">
        <v>757</v>
      </c>
      <c r="E492" t="s">
        <v>758</v>
      </c>
      <c r="F492" s="91">
        <v>8537</v>
      </c>
      <c r="J492" t="s">
        <v>759</v>
      </c>
    </row>
    <row r="493" spans="1:10" ht="15" hidden="1" customHeight="1">
      <c r="A493" s="71">
        <v>44851</v>
      </c>
      <c r="B493" t="s">
        <v>601</v>
      </c>
      <c r="C493" t="s">
        <v>757</v>
      </c>
      <c r="D493" s="3" t="s">
        <v>735</v>
      </c>
      <c r="E493" t="s">
        <v>758</v>
      </c>
      <c r="F493" s="91">
        <v>9287</v>
      </c>
      <c r="J493" t="s">
        <v>759</v>
      </c>
    </row>
    <row r="494" spans="1:10" ht="15" hidden="1" customHeight="1">
      <c r="A494" s="71">
        <v>44851</v>
      </c>
      <c r="B494" t="s">
        <v>783</v>
      </c>
      <c r="C494" t="s">
        <v>757</v>
      </c>
      <c r="E494" t="s">
        <v>758</v>
      </c>
      <c r="F494" s="91">
        <v>8538</v>
      </c>
      <c r="J494" t="s">
        <v>759</v>
      </c>
    </row>
    <row r="495" spans="1:10" ht="15" hidden="1" customHeight="1">
      <c r="A495" s="71">
        <v>44855</v>
      </c>
      <c r="B495" t="s">
        <v>42</v>
      </c>
      <c r="C495" t="s">
        <v>757</v>
      </c>
      <c r="E495" t="s">
        <v>758</v>
      </c>
      <c r="F495" s="91">
        <v>7372</v>
      </c>
      <c r="J495" t="s">
        <v>759</v>
      </c>
    </row>
    <row r="496" spans="1:10" ht="15" hidden="1" customHeight="1">
      <c r="A496" s="71">
        <v>44858</v>
      </c>
      <c r="B496" t="s">
        <v>598</v>
      </c>
      <c r="C496" t="s">
        <v>757</v>
      </c>
      <c r="E496" t="s">
        <v>758</v>
      </c>
      <c r="F496" s="91">
        <v>88542</v>
      </c>
      <c r="J496" t="s">
        <v>759</v>
      </c>
    </row>
    <row r="497" spans="1:10" ht="15" hidden="1" customHeight="1">
      <c r="A497" s="71">
        <v>44872</v>
      </c>
      <c r="B497" t="s">
        <v>586</v>
      </c>
      <c r="C497" t="s">
        <v>757</v>
      </c>
      <c r="E497" t="s">
        <v>758</v>
      </c>
      <c r="F497" s="91">
        <v>8856</v>
      </c>
      <c r="J497" t="s">
        <v>759</v>
      </c>
    </row>
    <row r="498" spans="1:10" ht="15" hidden="1" customHeight="1">
      <c r="A498" s="71">
        <v>44874</v>
      </c>
      <c r="B498" t="s">
        <v>152</v>
      </c>
      <c r="C498" t="s">
        <v>757</v>
      </c>
      <c r="D498" s="3">
        <v>6918</v>
      </c>
      <c r="E498" t="s">
        <v>758</v>
      </c>
      <c r="F498" s="91" t="s">
        <v>805</v>
      </c>
      <c r="J498" t="s">
        <v>759</v>
      </c>
    </row>
    <row r="499" spans="1:10" ht="15" hidden="1" customHeight="1">
      <c r="A499" s="71">
        <v>44874</v>
      </c>
      <c r="B499" t="s">
        <v>143</v>
      </c>
      <c r="C499" t="s">
        <v>757</v>
      </c>
      <c r="E499" t="s">
        <v>758</v>
      </c>
      <c r="F499" s="91">
        <v>8543</v>
      </c>
      <c r="J499" t="s">
        <v>759</v>
      </c>
    </row>
    <row r="500" spans="1:10" ht="15" hidden="1" customHeight="1">
      <c r="A500" s="71">
        <v>44875</v>
      </c>
      <c r="B500" t="s">
        <v>175</v>
      </c>
      <c r="C500" t="s">
        <v>757</v>
      </c>
      <c r="D500" s="3">
        <v>5036</v>
      </c>
      <c r="E500" t="s">
        <v>758</v>
      </c>
      <c r="F500" s="91" t="s">
        <v>805</v>
      </c>
      <c r="J500" t="s">
        <v>759</v>
      </c>
    </row>
    <row r="501" spans="1:10" ht="15" hidden="1" customHeight="1">
      <c r="A501" s="71">
        <v>44875</v>
      </c>
      <c r="B501" t="s">
        <v>167</v>
      </c>
      <c r="C501" t="s">
        <v>757</v>
      </c>
      <c r="D501" s="3">
        <v>4787</v>
      </c>
      <c r="E501" t="s">
        <v>758</v>
      </c>
      <c r="F501" s="91" t="s">
        <v>805</v>
      </c>
      <c r="J501" t="s">
        <v>759</v>
      </c>
    </row>
    <row r="502" spans="1:10" ht="15" hidden="1" customHeight="1">
      <c r="A502" s="71">
        <v>44875</v>
      </c>
      <c r="B502" t="s">
        <v>171</v>
      </c>
      <c r="C502" t="s">
        <v>757</v>
      </c>
      <c r="D502" s="3">
        <v>4669</v>
      </c>
      <c r="E502" t="s">
        <v>758</v>
      </c>
      <c r="F502" s="91">
        <v>9330</v>
      </c>
      <c r="J502" t="s">
        <v>759</v>
      </c>
    </row>
    <row r="503" spans="1:10" ht="15" hidden="1" customHeight="1">
      <c r="A503" s="71">
        <v>44876</v>
      </c>
      <c r="B503" t="s">
        <v>180</v>
      </c>
      <c r="C503" t="s">
        <v>757</v>
      </c>
      <c r="D503" s="3">
        <v>5140</v>
      </c>
      <c r="E503" t="s">
        <v>758</v>
      </c>
      <c r="F503" s="91"/>
      <c r="J503" t="s">
        <v>759</v>
      </c>
    </row>
    <row r="504" spans="1:10" ht="15" hidden="1" customHeight="1">
      <c r="A504" s="71">
        <v>44881</v>
      </c>
      <c r="B504" t="s">
        <v>48</v>
      </c>
      <c r="C504" t="s">
        <v>757</v>
      </c>
      <c r="E504" t="s">
        <v>758</v>
      </c>
      <c r="F504" s="91">
        <v>8544</v>
      </c>
      <c r="J504" t="s">
        <v>759</v>
      </c>
    </row>
    <row r="505" spans="1:10" ht="15" hidden="1" customHeight="1">
      <c r="A505" s="71">
        <v>44882</v>
      </c>
      <c r="B505" t="s">
        <v>211</v>
      </c>
      <c r="C505" t="s">
        <v>757</v>
      </c>
      <c r="E505" t="s">
        <v>758</v>
      </c>
      <c r="F505" s="91">
        <v>8318</v>
      </c>
      <c r="J505" t="s">
        <v>759</v>
      </c>
    </row>
    <row r="506" spans="1:10" ht="15" hidden="1" customHeight="1">
      <c r="A506" s="71">
        <v>44883</v>
      </c>
      <c r="B506" t="s">
        <v>783</v>
      </c>
      <c r="C506" t="s">
        <v>757</v>
      </c>
      <c r="E506" t="s">
        <v>758</v>
      </c>
      <c r="F506" s="91">
        <v>8546</v>
      </c>
      <c r="J506" t="s">
        <v>759</v>
      </c>
    </row>
    <row r="507" spans="1:10" ht="15" hidden="1" customHeight="1">
      <c r="A507" s="71">
        <v>44884</v>
      </c>
      <c r="B507" t="s">
        <v>592</v>
      </c>
      <c r="C507" t="s">
        <v>757</v>
      </c>
      <c r="E507" t="s">
        <v>758</v>
      </c>
      <c r="F507" s="91">
        <v>8545</v>
      </c>
      <c r="J507" t="s">
        <v>759</v>
      </c>
    </row>
    <row r="508" spans="1:10" ht="15" hidden="1" customHeight="1">
      <c r="A508" s="71">
        <v>44886</v>
      </c>
      <c r="B508" t="s">
        <v>800</v>
      </c>
      <c r="C508" t="s">
        <v>757</v>
      </c>
      <c r="E508" t="s">
        <v>758</v>
      </c>
      <c r="F508" s="91">
        <v>8547</v>
      </c>
      <c r="J508" t="s">
        <v>759</v>
      </c>
    </row>
    <row r="509" spans="1:10" ht="15" hidden="1" customHeight="1">
      <c r="A509" s="71">
        <v>44888</v>
      </c>
      <c r="B509" t="s">
        <v>12</v>
      </c>
      <c r="C509" t="s">
        <v>757</v>
      </c>
      <c r="D509" s="3">
        <v>2472</v>
      </c>
      <c r="E509" t="s">
        <v>758</v>
      </c>
      <c r="F509" s="91"/>
      <c r="J509" t="s">
        <v>759</v>
      </c>
    </row>
    <row r="510" spans="1:10" ht="15" hidden="1" customHeight="1">
      <c r="A510" s="71">
        <v>44889</v>
      </c>
      <c r="B510" t="s">
        <v>785</v>
      </c>
      <c r="C510" t="s">
        <v>757</v>
      </c>
      <c r="E510" t="s">
        <v>758</v>
      </c>
      <c r="F510" s="91">
        <v>8548</v>
      </c>
      <c r="J510" t="s">
        <v>759</v>
      </c>
    </row>
    <row r="511" spans="1:10" ht="15" hidden="1" customHeight="1">
      <c r="A511" s="71">
        <v>44890</v>
      </c>
      <c r="B511" t="s">
        <v>599</v>
      </c>
      <c r="C511" t="s">
        <v>757</v>
      </c>
      <c r="E511" t="s">
        <v>758</v>
      </c>
      <c r="F511" s="91">
        <v>8549</v>
      </c>
      <c r="J511" t="s">
        <v>759</v>
      </c>
    </row>
    <row r="512" spans="1:10" ht="15" hidden="1" customHeight="1">
      <c r="A512" s="71">
        <v>44893</v>
      </c>
      <c r="B512" t="s">
        <v>579</v>
      </c>
      <c r="C512" t="s">
        <v>757</v>
      </c>
      <c r="E512" t="s">
        <v>758</v>
      </c>
      <c r="F512" s="91">
        <v>8550</v>
      </c>
      <c r="J512" t="s">
        <v>759</v>
      </c>
    </row>
    <row r="513" spans="1:10" ht="15" hidden="1" customHeight="1">
      <c r="A513" s="71">
        <v>44894</v>
      </c>
      <c r="B513" t="s">
        <v>591</v>
      </c>
      <c r="C513" t="s">
        <v>757</v>
      </c>
      <c r="E513" t="s">
        <v>758</v>
      </c>
      <c r="F513" s="91">
        <v>9855</v>
      </c>
      <c r="J513" t="s">
        <v>759</v>
      </c>
    </row>
    <row r="514" spans="1:10" ht="15" hidden="1" customHeight="1">
      <c r="A514" s="71">
        <v>44897</v>
      </c>
      <c r="B514" t="s">
        <v>569</v>
      </c>
      <c r="C514" t="s">
        <v>757</v>
      </c>
      <c r="E514" t="s">
        <v>758</v>
      </c>
      <c r="F514" s="91">
        <v>9853</v>
      </c>
      <c r="J514" t="s">
        <v>759</v>
      </c>
    </row>
    <row r="515" spans="1:10" ht="15" hidden="1" customHeight="1">
      <c r="A515" s="71">
        <v>44897</v>
      </c>
      <c r="B515" t="s">
        <v>42</v>
      </c>
      <c r="C515" t="s">
        <v>757</v>
      </c>
      <c r="E515" t="s">
        <v>758</v>
      </c>
      <c r="F515" s="91">
        <v>8898</v>
      </c>
      <c r="J515" t="s">
        <v>759</v>
      </c>
    </row>
    <row r="516" spans="1:10" ht="15" hidden="1" customHeight="1">
      <c r="A516" s="71">
        <v>44898</v>
      </c>
      <c r="B516" t="s">
        <v>593</v>
      </c>
      <c r="C516" t="s">
        <v>757</v>
      </c>
      <c r="E516" t="s">
        <v>758</v>
      </c>
      <c r="F516" s="91">
        <v>9851</v>
      </c>
      <c r="J516" t="s">
        <v>759</v>
      </c>
    </row>
    <row r="517" spans="1:10" ht="15" hidden="1" customHeight="1">
      <c r="A517" s="71">
        <v>44900</v>
      </c>
      <c r="B517" t="s">
        <v>589</v>
      </c>
      <c r="C517" t="s">
        <v>757</v>
      </c>
      <c r="E517" t="s">
        <v>758</v>
      </c>
      <c r="F517" s="91">
        <v>9852</v>
      </c>
      <c r="J517" t="s">
        <v>759</v>
      </c>
    </row>
    <row r="518" spans="1:10" ht="15" hidden="1" customHeight="1">
      <c r="A518" s="71">
        <v>44904</v>
      </c>
      <c r="B518" t="s">
        <v>582</v>
      </c>
      <c r="C518" t="s">
        <v>757</v>
      </c>
      <c r="E518" t="s">
        <v>758</v>
      </c>
      <c r="F518" s="91">
        <v>9856</v>
      </c>
      <c r="J518" t="s">
        <v>759</v>
      </c>
    </row>
    <row r="519" spans="1:10" ht="15" hidden="1" customHeight="1">
      <c r="A519" s="71">
        <v>44907</v>
      </c>
      <c r="B519" t="s">
        <v>603</v>
      </c>
      <c r="C519" t="s">
        <v>757</v>
      </c>
      <c r="E519" t="s">
        <v>758</v>
      </c>
      <c r="F519" s="91">
        <v>9857</v>
      </c>
      <c r="J519" t="s">
        <v>759</v>
      </c>
    </row>
    <row r="520" spans="1:10" ht="15" hidden="1" customHeight="1">
      <c r="A520" s="71">
        <v>44908</v>
      </c>
      <c r="B520" t="s">
        <v>351</v>
      </c>
      <c r="C520" t="s">
        <v>757</v>
      </c>
      <c r="D520" s="3">
        <v>6759</v>
      </c>
      <c r="E520" t="s">
        <v>758</v>
      </c>
      <c r="F520" s="91">
        <v>7388</v>
      </c>
      <c r="J520" t="s">
        <v>759</v>
      </c>
    </row>
    <row r="521" spans="1:10" ht="15" hidden="1" customHeight="1">
      <c r="A521" s="71">
        <v>44917</v>
      </c>
      <c r="B521" t="s">
        <v>388</v>
      </c>
      <c r="C521" t="s">
        <v>757</v>
      </c>
      <c r="D521" s="3">
        <v>11043</v>
      </c>
      <c r="E521" t="s">
        <v>758</v>
      </c>
      <c r="F521" s="91">
        <v>9232</v>
      </c>
      <c r="J521" t="s">
        <v>759</v>
      </c>
    </row>
    <row r="522" spans="1:10" ht="15" hidden="1" customHeight="1">
      <c r="A522" s="71">
        <v>44922</v>
      </c>
      <c r="B522" t="s">
        <v>783</v>
      </c>
      <c r="C522" t="s">
        <v>757</v>
      </c>
      <c r="E522" t="s">
        <v>758</v>
      </c>
      <c r="F522" s="91">
        <v>9862</v>
      </c>
      <c r="J522" t="s">
        <v>759</v>
      </c>
    </row>
    <row r="523" spans="1:10" ht="15" hidden="1" customHeight="1">
      <c r="A523" s="71">
        <v>44925</v>
      </c>
      <c r="B523" t="s">
        <v>69</v>
      </c>
      <c r="C523" t="s">
        <v>757</v>
      </c>
      <c r="E523" t="s">
        <v>758</v>
      </c>
      <c r="F523" s="91">
        <v>8341</v>
      </c>
      <c r="J523" t="s">
        <v>759</v>
      </c>
    </row>
    <row r="524" spans="1:10" ht="15" hidden="1" customHeight="1">
      <c r="A524" s="71">
        <v>44931</v>
      </c>
      <c r="B524" t="s">
        <v>311</v>
      </c>
      <c r="C524" t="s">
        <v>757</v>
      </c>
      <c r="D524" s="3">
        <v>13730</v>
      </c>
      <c r="E524" t="s">
        <v>758</v>
      </c>
      <c r="F524" s="91">
        <v>9560</v>
      </c>
      <c r="J524" t="s">
        <v>759</v>
      </c>
    </row>
    <row r="525" spans="1:10" ht="15" hidden="1" customHeight="1">
      <c r="A525" s="71">
        <v>44937</v>
      </c>
      <c r="B525" t="s">
        <v>69</v>
      </c>
      <c r="C525" t="s">
        <v>757</v>
      </c>
      <c r="D525" s="3">
        <v>328000</v>
      </c>
      <c r="E525" t="s">
        <v>758</v>
      </c>
      <c r="F525" s="91">
        <v>9902</v>
      </c>
      <c r="J525" t="s">
        <v>759</v>
      </c>
    </row>
    <row r="526" spans="1:10" ht="15" hidden="1" customHeight="1">
      <c r="A526" s="71">
        <v>44944</v>
      </c>
      <c r="B526" t="s">
        <v>175</v>
      </c>
      <c r="C526" t="s">
        <v>757</v>
      </c>
      <c r="D526" s="3">
        <v>5238</v>
      </c>
      <c r="E526" t="s">
        <v>758</v>
      </c>
      <c r="F526" s="91">
        <v>9960</v>
      </c>
      <c r="J526" t="s">
        <v>759</v>
      </c>
    </row>
    <row r="527" spans="1:10" ht="15" hidden="1" customHeight="1">
      <c r="A527" s="71">
        <v>44947</v>
      </c>
      <c r="B527" t="s">
        <v>592</v>
      </c>
      <c r="C527" t="s">
        <v>757</v>
      </c>
      <c r="E527" t="s">
        <v>758</v>
      </c>
      <c r="F527" s="91">
        <v>9867</v>
      </c>
      <c r="J527" t="s">
        <v>759</v>
      </c>
    </row>
    <row r="528" spans="1:10" ht="15" hidden="1" customHeight="1">
      <c r="A528" s="71">
        <v>44949</v>
      </c>
      <c r="B528" t="s">
        <v>691</v>
      </c>
      <c r="C528" t="s">
        <v>757</v>
      </c>
      <c r="D528" s="3">
        <v>5343</v>
      </c>
      <c r="E528" t="s">
        <v>758</v>
      </c>
      <c r="F528" s="91">
        <v>7120</v>
      </c>
      <c r="J528" t="s">
        <v>759</v>
      </c>
    </row>
    <row r="529" spans="1:10" ht="15" hidden="1" customHeight="1">
      <c r="A529" s="71">
        <v>44953</v>
      </c>
      <c r="B529" t="s">
        <v>783</v>
      </c>
      <c r="C529" t="s">
        <v>757</v>
      </c>
      <c r="E529" t="s">
        <v>758</v>
      </c>
      <c r="F529" s="91">
        <v>9864</v>
      </c>
      <c r="J529" t="s">
        <v>759</v>
      </c>
    </row>
    <row r="530" spans="1:10" ht="15" hidden="1" customHeight="1">
      <c r="A530" s="71">
        <v>44956</v>
      </c>
      <c r="B530" t="s">
        <v>569</v>
      </c>
      <c r="C530" t="s">
        <v>757</v>
      </c>
      <c r="E530" t="s">
        <v>758</v>
      </c>
      <c r="F530" s="91">
        <v>9865</v>
      </c>
      <c r="J530" t="s">
        <v>759</v>
      </c>
    </row>
    <row r="531" spans="1:10" ht="15" hidden="1" customHeight="1">
      <c r="A531" s="71">
        <v>44958</v>
      </c>
      <c r="B531" t="s">
        <v>191</v>
      </c>
      <c r="C531" t="s">
        <v>757</v>
      </c>
      <c r="E531" t="s">
        <v>758</v>
      </c>
      <c r="F531" s="91">
        <v>10234</v>
      </c>
      <c r="J531" t="s">
        <v>759</v>
      </c>
    </row>
    <row r="532" spans="1:10" ht="15" hidden="1" customHeight="1">
      <c r="A532" s="71">
        <v>44959</v>
      </c>
      <c r="B532" t="s">
        <v>586</v>
      </c>
      <c r="C532" t="s">
        <v>757</v>
      </c>
      <c r="E532" t="s">
        <v>758</v>
      </c>
      <c r="F532" s="91">
        <v>10237</v>
      </c>
      <c r="J532" t="s">
        <v>759</v>
      </c>
    </row>
    <row r="533" spans="1:10" ht="15" hidden="1" customHeight="1">
      <c r="A533" s="71">
        <v>44961</v>
      </c>
      <c r="B533" t="s">
        <v>579</v>
      </c>
      <c r="C533" t="s">
        <v>757</v>
      </c>
      <c r="E533" t="s">
        <v>758</v>
      </c>
      <c r="F533" s="91">
        <v>9866</v>
      </c>
      <c r="J533" t="s">
        <v>759</v>
      </c>
    </row>
    <row r="534" spans="1:10" ht="15" hidden="1" customHeight="1">
      <c r="A534" s="71">
        <v>44963</v>
      </c>
      <c r="B534" t="s">
        <v>573</v>
      </c>
      <c r="C534" t="s">
        <v>757</v>
      </c>
      <c r="E534" t="s">
        <v>758</v>
      </c>
      <c r="F534" s="91">
        <v>9581</v>
      </c>
      <c r="J534" t="s">
        <v>759</v>
      </c>
    </row>
    <row r="535" spans="1:10" ht="15" hidden="1" customHeight="1">
      <c r="A535" s="71">
        <v>44965</v>
      </c>
      <c r="B535" t="s">
        <v>383</v>
      </c>
      <c r="C535" t="s">
        <v>757</v>
      </c>
      <c r="D535" s="3">
        <v>1786</v>
      </c>
      <c r="E535" t="s">
        <v>758</v>
      </c>
      <c r="F535" s="91">
        <v>9587</v>
      </c>
      <c r="J535" t="s">
        <v>759</v>
      </c>
    </row>
    <row r="536" spans="1:10" ht="15" hidden="1" customHeight="1">
      <c r="A536" s="71">
        <v>44966</v>
      </c>
      <c r="B536" t="s">
        <v>362</v>
      </c>
      <c r="C536" t="s">
        <v>757</v>
      </c>
      <c r="D536" s="3">
        <v>12230</v>
      </c>
      <c r="E536" t="s">
        <v>758</v>
      </c>
      <c r="F536" s="91">
        <v>9589</v>
      </c>
      <c r="J536" t="s">
        <v>759</v>
      </c>
    </row>
    <row r="537" spans="1:10" ht="15" hidden="1" customHeight="1">
      <c r="A537" s="71">
        <v>44967</v>
      </c>
      <c r="B537" t="s">
        <v>341</v>
      </c>
      <c r="C537" t="s">
        <v>757</v>
      </c>
      <c r="D537" s="3">
        <v>7421</v>
      </c>
      <c r="E537" t="s">
        <v>758</v>
      </c>
      <c r="F537" s="91">
        <v>9590</v>
      </c>
      <c r="J537" t="s">
        <v>759</v>
      </c>
    </row>
    <row r="538" spans="1:10" ht="15" hidden="1" customHeight="1">
      <c r="A538" s="71">
        <v>44971</v>
      </c>
      <c r="B538" t="s">
        <v>736</v>
      </c>
      <c r="C538" t="s">
        <v>757</v>
      </c>
      <c r="E538" t="s">
        <v>758</v>
      </c>
      <c r="F538" s="91">
        <v>9858</v>
      </c>
      <c r="J538" t="s">
        <v>759</v>
      </c>
    </row>
    <row r="539" spans="1:10" ht="15" hidden="1" customHeight="1">
      <c r="A539" s="71">
        <v>44971</v>
      </c>
      <c r="B539" t="s">
        <v>42</v>
      </c>
      <c r="C539" t="s">
        <v>757</v>
      </c>
      <c r="E539" t="s">
        <v>758</v>
      </c>
      <c r="F539" s="91">
        <v>9596</v>
      </c>
      <c r="J539" t="s">
        <v>759</v>
      </c>
    </row>
    <row r="540" spans="1:10" ht="15" hidden="1" customHeight="1">
      <c r="A540" s="71">
        <v>44974</v>
      </c>
      <c r="B540" t="s">
        <v>365</v>
      </c>
      <c r="C540" t="s">
        <v>757</v>
      </c>
      <c r="D540" s="3">
        <v>11273</v>
      </c>
      <c r="E540" t="s">
        <v>758</v>
      </c>
      <c r="F540" s="91">
        <v>10104</v>
      </c>
      <c r="J540" t="s">
        <v>759</v>
      </c>
    </row>
    <row r="541" spans="1:10" ht="15" hidden="1" customHeight="1">
      <c r="A541" s="71">
        <v>44977</v>
      </c>
      <c r="B541" t="s">
        <v>196</v>
      </c>
      <c r="C541" t="s">
        <v>757</v>
      </c>
      <c r="D541" s="3">
        <v>218</v>
      </c>
      <c r="E541" t="s">
        <v>758</v>
      </c>
      <c r="F541" s="91">
        <v>10108</v>
      </c>
      <c r="J541" t="s">
        <v>759</v>
      </c>
    </row>
    <row r="542" spans="1:10" ht="15" hidden="1" customHeight="1">
      <c r="A542" s="71">
        <v>44978</v>
      </c>
      <c r="B542" t="s">
        <v>143</v>
      </c>
      <c r="C542" t="s">
        <v>757</v>
      </c>
      <c r="E542" t="s">
        <v>758</v>
      </c>
      <c r="F542" s="91">
        <v>10110</v>
      </c>
      <c r="J542" t="s">
        <v>759</v>
      </c>
    </row>
    <row r="543" spans="1:10" ht="15" hidden="1" customHeight="1">
      <c r="A543" s="71">
        <v>44984</v>
      </c>
      <c r="B543" t="s">
        <v>397</v>
      </c>
      <c r="C543" t="s">
        <v>757</v>
      </c>
      <c r="D543" s="3">
        <v>5590</v>
      </c>
      <c r="E543" t="s">
        <v>758</v>
      </c>
      <c r="F543" s="91">
        <v>10118</v>
      </c>
      <c r="J543" t="s">
        <v>759</v>
      </c>
    </row>
    <row r="544" spans="1:10" ht="15" hidden="1" customHeight="1">
      <c r="A544" s="71">
        <v>44985</v>
      </c>
      <c r="B544" t="s">
        <v>783</v>
      </c>
      <c r="C544" t="s">
        <v>757</v>
      </c>
      <c r="E544" t="s">
        <v>758</v>
      </c>
      <c r="F544" s="91">
        <v>9872</v>
      </c>
      <c r="J544" t="s">
        <v>759</v>
      </c>
    </row>
    <row r="545" spans="1:10" ht="15" hidden="1" customHeight="1">
      <c r="A545" s="71">
        <v>44988</v>
      </c>
      <c r="B545" t="s">
        <v>582</v>
      </c>
      <c r="C545" t="s">
        <v>757</v>
      </c>
      <c r="E545" t="s">
        <v>758</v>
      </c>
      <c r="F545" s="91">
        <v>9869</v>
      </c>
      <c r="J545" t="s">
        <v>759</v>
      </c>
    </row>
    <row r="546" spans="1:10" ht="15" hidden="1" customHeight="1">
      <c r="A546" s="71">
        <v>44991</v>
      </c>
      <c r="B546" t="s">
        <v>162</v>
      </c>
      <c r="C546" t="s">
        <v>757</v>
      </c>
      <c r="D546" s="3">
        <v>10625</v>
      </c>
      <c r="E546" t="s">
        <v>758</v>
      </c>
      <c r="F546" s="91">
        <v>7127</v>
      </c>
      <c r="J546" t="s">
        <v>759</v>
      </c>
    </row>
    <row r="547" spans="1:10" ht="15" hidden="1" customHeight="1">
      <c r="A547" s="71">
        <v>44993</v>
      </c>
      <c r="B547" t="s">
        <v>48</v>
      </c>
      <c r="C547" t="s">
        <v>757</v>
      </c>
      <c r="E547" t="s">
        <v>758</v>
      </c>
      <c r="F547" s="91">
        <v>9868</v>
      </c>
      <c r="J547" t="s">
        <v>759</v>
      </c>
    </row>
    <row r="548" spans="1:10" ht="15" hidden="1" customHeight="1">
      <c r="A548" s="71">
        <v>44994</v>
      </c>
      <c r="B548" t="s">
        <v>202</v>
      </c>
      <c r="C548" t="s">
        <v>757</v>
      </c>
      <c r="D548" s="3">
        <v>1225</v>
      </c>
      <c r="E548" t="s">
        <v>758</v>
      </c>
      <c r="F548" s="91">
        <v>10142</v>
      </c>
      <c r="J548" t="s">
        <v>759</v>
      </c>
    </row>
    <row r="549" spans="1:10" ht="15" hidden="1" customHeight="1">
      <c r="A549" s="71">
        <v>44994</v>
      </c>
      <c r="B549" t="s">
        <v>587</v>
      </c>
      <c r="C549" t="s">
        <v>757</v>
      </c>
      <c r="E549" t="s">
        <v>758</v>
      </c>
      <c r="F549" s="91">
        <v>9863</v>
      </c>
      <c r="J549" t="s">
        <v>759</v>
      </c>
    </row>
    <row r="550" spans="1:10" ht="15" hidden="1" customHeight="1">
      <c r="A550" s="71">
        <v>44995</v>
      </c>
      <c r="B550" t="s">
        <v>352</v>
      </c>
      <c r="C550" t="s">
        <v>757</v>
      </c>
      <c r="D550" s="3">
        <v>8368</v>
      </c>
      <c r="E550" t="s">
        <v>758</v>
      </c>
      <c r="F550" s="91">
        <v>10146</v>
      </c>
      <c r="J550" t="s">
        <v>759</v>
      </c>
    </row>
    <row r="551" spans="1:10" ht="15" hidden="1" customHeight="1">
      <c r="A551" s="71">
        <v>44998</v>
      </c>
      <c r="B551" t="s">
        <v>318</v>
      </c>
      <c r="C551" t="s">
        <v>757</v>
      </c>
      <c r="D551" s="3">
        <v>9900</v>
      </c>
      <c r="E551" t="s">
        <v>758</v>
      </c>
      <c r="F551" s="91">
        <v>10379</v>
      </c>
      <c r="J551" t="s">
        <v>759</v>
      </c>
    </row>
    <row r="552" spans="1:10" ht="15" hidden="1" customHeight="1">
      <c r="A552" s="71">
        <v>44998</v>
      </c>
      <c r="B552" t="s">
        <v>569</v>
      </c>
      <c r="C552" t="s">
        <v>757</v>
      </c>
      <c r="E552" t="s">
        <v>758</v>
      </c>
      <c r="F552" s="91">
        <v>9870</v>
      </c>
      <c r="J552" t="s">
        <v>759</v>
      </c>
    </row>
    <row r="553" spans="1:10" ht="15" hidden="1" customHeight="1">
      <c r="A553" s="71">
        <v>44998</v>
      </c>
      <c r="B553" t="s">
        <v>180</v>
      </c>
      <c r="C553" t="s">
        <v>757</v>
      </c>
      <c r="D553" s="3">
        <v>5440</v>
      </c>
      <c r="E553" t="s">
        <v>758</v>
      </c>
      <c r="F553" s="91"/>
      <c r="J553" t="s">
        <v>759</v>
      </c>
    </row>
    <row r="554" spans="1:10" ht="15" hidden="1" customHeight="1">
      <c r="A554" s="71">
        <v>44999</v>
      </c>
      <c r="B554" t="s">
        <v>397</v>
      </c>
      <c r="C554" t="s">
        <v>757</v>
      </c>
      <c r="D554" s="3">
        <v>9006</v>
      </c>
      <c r="E554" t="s">
        <v>758</v>
      </c>
      <c r="F554" s="91">
        <v>10380</v>
      </c>
      <c r="J554" t="s">
        <v>759</v>
      </c>
    </row>
    <row r="555" spans="1:10" ht="15" hidden="1" customHeight="1">
      <c r="A555" s="71">
        <v>45000</v>
      </c>
      <c r="B555" t="s">
        <v>575</v>
      </c>
      <c r="C555" t="s">
        <v>757</v>
      </c>
      <c r="E555" t="s">
        <v>758</v>
      </c>
      <c r="F555" s="91">
        <v>10553</v>
      </c>
      <c r="J555" t="s">
        <v>759</v>
      </c>
    </row>
    <row r="556" spans="1:10" ht="15" hidden="1" customHeight="1">
      <c r="A556" s="71">
        <v>45000</v>
      </c>
      <c r="B556" t="s">
        <v>618</v>
      </c>
      <c r="C556" t="s">
        <v>757</v>
      </c>
      <c r="E556" t="s">
        <v>758</v>
      </c>
      <c r="F556" s="91">
        <v>9875</v>
      </c>
      <c r="J556" t="s">
        <v>759</v>
      </c>
    </row>
    <row r="557" spans="1:10" ht="15" hidden="1" customHeight="1">
      <c r="A557" s="71">
        <v>45000</v>
      </c>
      <c r="B557" t="s">
        <v>599</v>
      </c>
      <c r="C557" t="s">
        <v>757</v>
      </c>
      <c r="E557" t="s">
        <v>758</v>
      </c>
      <c r="F557" s="91">
        <v>9874</v>
      </c>
      <c r="J557" t="s">
        <v>759</v>
      </c>
    </row>
    <row r="558" spans="1:10" ht="15" hidden="1" customHeight="1">
      <c r="A558" s="71">
        <v>45001</v>
      </c>
      <c r="B558" t="s">
        <v>736</v>
      </c>
      <c r="C558" t="s">
        <v>757</v>
      </c>
      <c r="E558" t="s">
        <v>758</v>
      </c>
      <c r="F558" s="91">
        <v>9871</v>
      </c>
      <c r="J558" t="s">
        <v>759</v>
      </c>
    </row>
    <row r="559" spans="1:10" ht="15" hidden="1" customHeight="1">
      <c r="A559" s="71">
        <v>45005</v>
      </c>
      <c r="B559" t="s">
        <v>36</v>
      </c>
      <c r="C559" t="s">
        <v>757</v>
      </c>
      <c r="D559" s="3">
        <v>6591</v>
      </c>
      <c r="E559" t="s">
        <v>758</v>
      </c>
      <c r="F559" s="91">
        <v>7129</v>
      </c>
      <c r="J559" t="s">
        <v>759</v>
      </c>
    </row>
    <row r="560" spans="1:10" ht="15" hidden="1" customHeight="1">
      <c r="A560" s="71">
        <v>45005</v>
      </c>
      <c r="B560" t="s">
        <v>690</v>
      </c>
      <c r="C560" t="s">
        <v>757</v>
      </c>
      <c r="D560" s="3">
        <v>5728</v>
      </c>
      <c r="E560" t="s">
        <v>758</v>
      </c>
      <c r="F560" s="91">
        <v>7128</v>
      </c>
      <c r="J560" t="s">
        <v>759</v>
      </c>
    </row>
    <row r="561" spans="1:10" ht="15" hidden="1" customHeight="1">
      <c r="A561" s="71">
        <v>45006</v>
      </c>
      <c r="B561" t="s">
        <v>369</v>
      </c>
      <c r="C561" t="s">
        <v>757</v>
      </c>
      <c r="D561" s="3">
        <v>10583</v>
      </c>
      <c r="E561" t="s">
        <v>758</v>
      </c>
      <c r="F561" s="91">
        <v>10384</v>
      </c>
      <c r="J561" t="s">
        <v>759</v>
      </c>
    </row>
    <row r="562" spans="1:10" ht="15" hidden="1" customHeight="1">
      <c r="A562" s="71">
        <v>45007</v>
      </c>
      <c r="B562" t="s">
        <v>152</v>
      </c>
      <c r="C562" t="s">
        <v>757</v>
      </c>
      <c r="D562" s="3">
        <v>7686</v>
      </c>
      <c r="E562" t="s">
        <v>758</v>
      </c>
      <c r="F562" s="91">
        <v>10563</v>
      </c>
      <c r="J562" t="s">
        <v>759</v>
      </c>
    </row>
    <row r="563" spans="1:10" ht="15" hidden="1" customHeight="1">
      <c r="A563" s="71">
        <v>45009</v>
      </c>
      <c r="B563" t="s">
        <v>697</v>
      </c>
      <c r="C563" t="s">
        <v>757</v>
      </c>
      <c r="D563" s="3">
        <v>1173</v>
      </c>
      <c r="E563" t="s">
        <v>758</v>
      </c>
      <c r="F563" s="91">
        <v>10571</v>
      </c>
      <c r="J563" t="s">
        <v>759</v>
      </c>
    </row>
    <row r="564" spans="1:10" ht="15" hidden="1" customHeight="1">
      <c r="A564" s="71">
        <v>45013</v>
      </c>
      <c r="B564" t="s">
        <v>19</v>
      </c>
      <c r="C564" t="s">
        <v>757</v>
      </c>
      <c r="D564" s="3">
        <v>6550</v>
      </c>
      <c r="E564" t="s">
        <v>758</v>
      </c>
      <c r="F564" s="91">
        <v>7131</v>
      </c>
      <c r="J564" t="s">
        <v>759</v>
      </c>
    </row>
    <row r="565" spans="1:10" ht="15" hidden="1" customHeight="1">
      <c r="A565" s="71">
        <v>45014</v>
      </c>
      <c r="B565" t="s">
        <v>692</v>
      </c>
      <c r="C565" t="s">
        <v>757</v>
      </c>
      <c r="D565" s="3">
        <v>5680</v>
      </c>
      <c r="E565" t="s">
        <v>758</v>
      </c>
      <c r="F565" s="91" t="s">
        <v>788</v>
      </c>
      <c r="J565" t="s">
        <v>759</v>
      </c>
    </row>
    <row r="566" spans="1:10" ht="15" hidden="1" customHeight="1">
      <c r="A566" s="71">
        <v>45014</v>
      </c>
      <c r="B566" t="s">
        <v>692</v>
      </c>
      <c r="C566" t="s">
        <v>757</v>
      </c>
      <c r="D566" s="3">
        <v>5680</v>
      </c>
      <c r="E566" t="s">
        <v>758</v>
      </c>
      <c r="F566" s="91">
        <v>7132</v>
      </c>
      <c r="J566" t="s">
        <v>759</v>
      </c>
    </row>
    <row r="567" spans="1:10" ht="15" hidden="1" customHeight="1">
      <c r="A567" s="71">
        <v>45015</v>
      </c>
      <c r="B567" t="s">
        <v>39</v>
      </c>
      <c r="C567" t="s">
        <v>757</v>
      </c>
      <c r="E567" t="s">
        <v>758</v>
      </c>
      <c r="F567" s="91">
        <v>10577</v>
      </c>
      <c r="J567" t="s">
        <v>759</v>
      </c>
    </row>
    <row r="568" spans="1:10" ht="15" hidden="1" customHeight="1">
      <c r="A568" s="71">
        <v>45016</v>
      </c>
      <c r="B568" t="s">
        <v>171</v>
      </c>
      <c r="C568" t="s">
        <v>757</v>
      </c>
      <c r="D568" s="3">
        <v>4847</v>
      </c>
      <c r="E568" t="s">
        <v>758</v>
      </c>
      <c r="F568" s="91">
        <v>7133</v>
      </c>
      <c r="J568" t="s">
        <v>759</v>
      </c>
    </row>
    <row r="569" spans="1:10" ht="15" hidden="1" customHeight="1">
      <c r="A569" s="71">
        <v>45019</v>
      </c>
      <c r="B569" t="s">
        <v>163</v>
      </c>
      <c r="C569" t="s">
        <v>757</v>
      </c>
      <c r="D569" s="3">
        <v>6418</v>
      </c>
      <c r="E569" t="s">
        <v>758</v>
      </c>
      <c r="F569" s="91">
        <v>10585</v>
      </c>
      <c r="J569" t="s">
        <v>759</v>
      </c>
    </row>
    <row r="570" spans="1:10" ht="15" hidden="1" customHeight="1">
      <c r="A570" s="71">
        <v>45019</v>
      </c>
      <c r="B570" t="s">
        <v>183</v>
      </c>
      <c r="C570" t="s">
        <v>757</v>
      </c>
      <c r="D570" s="3">
        <v>1761</v>
      </c>
      <c r="E570" t="s">
        <v>758</v>
      </c>
      <c r="F570" s="91">
        <v>10584</v>
      </c>
      <c r="J570" t="s">
        <v>759</v>
      </c>
    </row>
    <row r="571" spans="1:10" ht="15" hidden="1" customHeight="1">
      <c r="A571" s="71">
        <v>45021</v>
      </c>
      <c r="B571" t="s">
        <v>391</v>
      </c>
      <c r="C571" t="s">
        <v>757</v>
      </c>
      <c r="D571" s="3">
        <v>6823</v>
      </c>
      <c r="E571" t="s">
        <v>758</v>
      </c>
      <c r="F571" s="91">
        <v>10593</v>
      </c>
      <c r="J571" t="s">
        <v>759</v>
      </c>
    </row>
    <row r="572" spans="1:10" ht="15" hidden="1" customHeight="1">
      <c r="A572" s="71">
        <v>45022</v>
      </c>
      <c r="B572" t="s">
        <v>620</v>
      </c>
      <c r="C572" t="s">
        <v>757</v>
      </c>
      <c r="E572" t="s">
        <v>758</v>
      </c>
      <c r="F572" s="91">
        <v>9877</v>
      </c>
      <c r="J572" t="s">
        <v>759</v>
      </c>
    </row>
    <row r="573" spans="1:10" ht="15" hidden="1" customHeight="1">
      <c r="A573" s="71">
        <v>45022</v>
      </c>
      <c r="B573" t="s">
        <v>592</v>
      </c>
      <c r="C573" t="s">
        <v>757</v>
      </c>
      <c r="E573" t="s">
        <v>758</v>
      </c>
      <c r="F573" s="91">
        <v>9876</v>
      </c>
      <c r="J573" t="s">
        <v>759</v>
      </c>
    </row>
    <row r="574" spans="1:10" ht="15" hidden="1" customHeight="1">
      <c r="A574" s="71">
        <v>45026</v>
      </c>
      <c r="B574" t="s">
        <v>157</v>
      </c>
      <c r="C574" t="s">
        <v>757</v>
      </c>
      <c r="D574" s="3">
        <v>12927</v>
      </c>
      <c r="E574" t="s">
        <v>758</v>
      </c>
      <c r="F574" s="91">
        <v>10552</v>
      </c>
      <c r="J574" t="s">
        <v>759</v>
      </c>
    </row>
    <row r="575" spans="1:10" ht="15" hidden="1" customHeight="1">
      <c r="A575" s="71">
        <v>45029</v>
      </c>
      <c r="B575" t="s">
        <v>239</v>
      </c>
      <c r="C575" t="s">
        <v>757</v>
      </c>
      <c r="D575" s="3">
        <v>12416</v>
      </c>
      <c r="E575" t="s">
        <v>758</v>
      </c>
      <c r="F575" s="91">
        <v>10388</v>
      </c>
      <c r="J575" t="s">
        <v>759</v>
      </c>
    </row>
    <row r="576" spans="1:10" ht="15" hidden="1" customHeight="1">
      <c r="A576" s="71">
        <v>45033</v>
      </c>
      <c r="B576" t="s">
        <v>783</v>
      </c>
      <c r="C576" t="s">
        <v>757</v>
      </c>
      <c r="E576" t="s">
        <v>758</v>
      </c>
      <c r="F576" s="91">
        <v>9884</v>
      </c>
      <c r="J576" t="s">
        <v>759</v>
      </c>
    </row>
    <row r="577" spans="1:10" ht="15" hidden="1" customHeight="1">
      <c r="A577" s="71">
        <v>45034</v>
      </c>
      <c r="B577" t="s">
        <v>341</v>
      </c>
      <c r="C577" t="s">
        <v>757</v>
      </c>
      <c r="D577" s="3">
        <v>7794</v>
      </c>
      <c r="E577" t="s">
        <v>758</v>
      </c>
      <c r="F577" s="91">
        <v>10720</v>
      </c>
      <c r="J577" t="s">
        <v>759</v>
      </c>
    </row>
    <row r="578" spans="1:10" ht="15" hidden="1" customHeight="1">
      <c r="A578" s="71">
        <v>45034</v>
      </c>
      <c r="B578" t="s">
        <v>146</v>
      </c>
      <c r="C578" t="s">
        <v>757</v>
      </c>
      <c r="E578" t="s">
        <v>758</v>
      </c>
      <c r="F578" s="91">
        <v>9885</v>
      </c>
      <c r="J578" t="s">
        <v>759</v>
      </c>
    </row>
    <row r="579" spans="1:10" ht="15" hidden="1" customHeight="1">
      <c r="A579" s="71">
        <v>45035</v>
      </c>
      <c r="B579" t="s">
        <v>311</v>
      </c>
      <c r="C579" t="s">
        <v>757</v>
      </c>
      <c r="D579" s="3" t="s">
        <v>735</v>
      </c>
      <c r="E579" t="s">
        <v>758</v>
      </c>
      <c r="F579" s="91">
        <v>10724</v>
      </c>
      <c r="J579" t="s">
        <v>759</v>
      </c>
    </row>
    <row r="580" spans="1:10" ht="15" hidden="1" customHeight="1">
      <c r="A580" s="71">
        <v>45040</v>
      </c>
      <c r="B580" t="s">
        <v>380</v>
      </c>
      <c r="C580" t="s">
        <v>757</v>
      </c>
      <c r="D580" s="3">
        <v>4000</v>
      </c>
      <c r="E580" t="s">
        <v>758</v>
      </c>
      <c r="F580" s="91">
        <v>9342</v>
      </c>
      <c r="J580" t="s">
        <v>759</v>
      </c>
    </row>
    <row r="581" spans="1:10" ht="15" hidden="1" customHeight="1">
      <c r="A581" s="71">
        <v>45041</v>
      </c>
      <c r="B581" t="s">
        <v>400</v>
      </c>
      <c r="C581" t="s">
        <v>757</v>
      </c>
      <c r="D581" s="3">
        <v>6050</v>
      </c>
      <c r="E581" t="s">
        <v>758</v>
      </c>
      <c r="F581" s="91">
        <v>9343</v>
      </c>
      <c r="J581" t="s">
        <v>759</v>
      </c>
    </row>
    <row r="582" spans="1:10" ht="15" hidden="1" customHeight="1">
      <c r="A582" s="71">
        <v>45042</v>
      </c>
      <c r="B582" t="s">
        <v>176</v>
      </c>
      <c r="C582" t="s">
        <v>757</v>
      </c>
      <c r="E582" t="s">
        <v>758</v>
      </c>
      <c r="F582" s="91">
        <v>9886</v>
      </c>
      <c r="J582" t="s">
        <v>759</v>
      </c>
    </row>
    <row r="583" spans="1:10" ht="15" hidden="1" customHeight="1">
      <c r="A583" s="71">
        <v>45048</v>
      </c>
      <c r="B583" t="s">
        <v>586</v>
      </c>
      <c r="C583" t="s">
        <v>757</v>
      </c>
      <c r="E583" t="s">
        <v>758</v>
      </c>
      <c r="F583" s="91">
        <v>9894</v>
      </c>
      <c r="J583" t="s">
        <v>759</v>
      </c>
    </row>
    <row r="584" spans="1:10" ht="15" hidden="1" customHeight="1">
      <c r="A584" s="71">
        <v>45051</v>
      </c>
      <c r="B584" t="s">
        <v>35</v>
      </c>
      <c r="C584" t="s">
        <v>757</v>
      </c>
      <c r="E584" t="s">
        <v>758</v>
      </c>
      <c r="F584" s="91">
        <v>10264</v>
      </c>
      <c r="J584" t="s">
        <v>759</v>
      </c>
    </row>
    <row r="585" spans="1:10" ht="15" hidden="1" customHeight="1">
      <c r="A585" s="71">
        <v>45052</v>
      </c>
      <c r="B585" t="s">
        <v>579</v>
      </c>
      <c r="C585" t="s">
        <v>757</v>
      </c>
      <c r="E585" t="s">
        <v>758</v>
      </c>
      <c r="F585" s="91">
        <v>9890.1</v>
      </c>
      <c r="J585" t="s">
        <v>759</v>
      </c>
    </row>
    <row r="586" spans="1:10" ht="15" hidden="1" customHeight="1">
      <c r="A586" s="71">
        <v>45054</v>
      </c>
      <c r="B586" t="s">
        <v>32</v>
      </c>
      <c r="C586" t="s">
        <v>757</v>
      </c>
      <c r="D586" s="3">
        <v>6702</v>
      </c>
      <c r="E586" t="s">
        <v>758</v>
      </c>
      <c r="F586" s="91">
        <v>7134</v>
      </c>
      <c r="J586" t="s">
        <v>759</v>
      </c>
    </row>
    <row r="587" spans="1:10" ht="15" hidden="1" customHeight="1">
      <c r="A587" s="71">
        <v>45056</v>
      </c>
      <c r="B587" t="s">
        <v>25</v>
      </c>
      <c r="C587" t="s">
        <v>757</v>
      </c>
      <c r="D587" s="3">
        <v>5327</v>
      </c>
      <c r="E587" t="s">
        <v>758</v>
      </c>
      <c r="F587" s="91">
        <v>7135</v>
      </c>
      <c r="J587" t="s">
        <v>759</v>
      </c>
    </row>
    <row r="588" spans="1:10" ht="15" hidden="1" customHeight="1">
      <c r="A588" s="71">
        <v>45058</v>
      </c>
      <c r="B588" t="s">
        <v>623</v>
      </c>
      <c r="C588" t="s">
        <v>757</v>
      </c>
      <c r="E588" t="s">
        <v>758</v>
      </c>
      <c r="F588" s="91">
        <v>9889</v>
      </c>
      <c r="J588" t="s">
        <v>759</v>
      </c>
    </row>
    <row r="589" spans="1:10" ht="15" hidden="1" customHeight="1">
      <c r="A589" s="71">
        <v>45061</v>
      </c>
      <c r="B589" t="s">
        <v>587</v>
      </c>
      <c r="C589" t="s">
        <v>757</v>
      </c>
      <c r="E589" t="s">
        <v>758</v>
      </c>
      <c r="F589" s="91">
        <v>9888</v>
      </c>
      <c r="J589" t="s">
        <v>759</v>
      </c>
    </row>
    <row r="590" spans="1:10" ht="15" hidden="1" customHeight="1">
      <c r="A590" s="71">
        <v>45061</v>
      </c>
      <c r="B590" t="s">
        <v>318</v>
      </c>
      <c r="C590" t="s">
        <v>757</v>
      </c>
      <c r="D590" s="3">
        <v>10128</v>
      </c>
      <c r="E590" t="s">
        <v>758</v>
      </c>
      <c r="F590" s="91"/>
      <c r="J590" t="s">
        <v>759</v>
      </c>
    </row>
    <row r="591" spans="1:10" ht="15" hidden="1" customHeight="1">
      <c r="A591" s="71">
        <v>45063</v>
      </c>
      <c r="B591" t="s">
        <v>338</v>
      </c>
      <c r="C591" t="s">
        <v>757</v>
      </c>
      <c r="D591" s="3">
        <v>23985</v>
      </c>
      <c r="E591" t="s">
        <v>758</v>
      </c>
      <c r="F591" s="91">
        <v>10397</v>
      </c>
      <c r="J591" t="s">
        <v>759</v>
      </c>
    </row>
    <row r="592" spans="1:10" ht="15" hidden="1" customHeight="1">
      <c r="A592" s="71">
        <v>45064</v>
      </c>
      <c r="B592" t="s">
        <v>362</v>
      </c>
      <c r="C592" t="s">
        <v>757</v>
      </c>
      <c r="D592" s="3">
        <v>12478</v>
      </c>
      <c r="E592" t="s">
        <v>758</v>
      </c>
      <c r="F592" s="91">
        <v>11403</v>
      </c>
      <c r="J592" t="s">
        <v>759</v>
      </c>
    </row>
    <row r="593" spans="1:10" ht="15" hidden="1" customHeight="1">
      <c r="A593" s="71">
        <v>45064</v>
      </c>
      <c r="B593" t="s">
        <v>736</v>
      </c>
      <c r="C593" t="s">
        <v>757</v>
      </c>
      <c r="E593" t="s">
        <v>758</v>
      </c>
      <c r="F593" s="91">
        <v>9891</v>
      </c>
      <c r="J593" t="s">
        <v>759</v>
      </c>
    </row>
    <row r="594" spans="1:10" ht="15" hidden="1" customHeight="1">
      <c r="A594" s="71">
        <v>45068</v>
      </c>
      <c r="B594" t="s">
        <v>152</v>
      </c>
      <c r="C594" t="s">
        <v>757</v>
      </c>
      <c r="D594" s="3">
        <v>8002</v>
      </c>
      <c r="E594" t="s">
        <v>758</v>
      </c>
      <c r="F594" s="91">
        <v>10267</v>
      </c>
      <c r="J594" t="s">
        <v>759</v>
      </c>
    </row>
    <row r="595" spans="1:10" ht="15" hidden="1" customHeight="1">
      <c r="A595" s="71">
        <v>45072</v>
      </c>
      <c r="B595" t="s">
        <v>592</v>
      </c>
      <c r="C595" t="s">
        <v>757</v>
      </c>
      <c r="E595" t="s">
        <v>758</v>
      </c>
      <c r="F595" s="91">
        <v>9887</v>
      </c>
      <c r="J595" t="s">
        <v>759</v>
      </c>
    </row>
    <row r="596" spans="1:10" ht="15" hidden="1" customHeight="1">
      <c r="A596" s="71">
        <v>45075</v>
      </c>
      <c r="B596" t="s">
        <v>736</v>
      </c>
      <c r="C596" t="s">
        <v>757</v>
      </c>
      <c r="E596" t="s">
        <v>758</v>
      </c>
      <c r="F596" s="91">
        <v>8777</v>
      </c>
      <c r="J596" t="s">
        <v>759</v>
      </c>
    </row>
    <row r="597" spans="1:10" ht="15" hidden="1" customHeight="1">
      <c r="A597" s="71">
        <v>45076</v>
      </c>
      <c r="B597" t="s">
        <v>330</v>
      </c>
      <c r="C597" t="s">
        <v>757</v>
      </c>
      <c r="D597" s="3">
        <v>14751</v>
      </c>
      <c r="E597" t="s">
        <v>758</v>
      </c>
      <c r="F597" s="91">
        <v>10958</v>
      </c>
      <c r="J597" t="s">
        <v>759</v>
      </c>
    </row>
    <row r="598" spans="1:10" ht="15" hidden="1" customHeight="1">
      <c r="A598" s="71">
        <v>45076</v>
      </c>
      <c r="B598" t="s">
        <v>29</v>
      </c>
      <c r="C598" t="s">
        <v>757</v>
      </c>
      <c r="D598" s="3">
        <v>6900</v>
      </c>
      <c r="E598" t="s">
        <v>758</v>
      </c>
      <c r="F598" s="91">
        <v>9367</v>
      </c>
      <c r="J598" t="s">
        <v>759</v>
      </c>
    </row>
    <row r="599" spans="1:10" ht="15" hidden="1" customHeight="1">
      <c r="A599" s="71">
        <v>45078</v>
      </c>
      <c r="B599" t="s">
        <v>175</v>
      </c>
      <c r="C599" t="s">
        <v>757</v>
      </c>
      <c r="D599" s="3">
        <v>5740</v>
      </c>
      <c r="E599" t="s">
        <v>758</v>
      </c>
      <c r="F599" s="91">
        <v>9372</v>
      </c>
      <c r="J599" t="s">
        <v>759</v>
      </c>
    </row>
    <row r="600" spans="1:10" ht="15" hidden="1" customHeight="1">
      <c r="A600" s="71">
        <v>45082</v>
      </c>
      <c r="B600" t="s">
        <v>346</v>
      </c>
      <c r="C600" t="s">
        <v>757</v>
      </c>
      <c r="D600" s="3">
        <v>468</v>
      </c>
      <c r="E600" t="s">
        <v>758</v>
      </c>
      <c r="F600" s="91">
        <v>11409</v>
      </c>
      <c r="J600" t="s">
        <v>759</v>
      </c>
    </row>
    <row r="601" spans="1:10" ht="15" hidden="1" customHeight="1">
      <c r="A601" s="71">
        <v>45082</v>
      </c>
      <c r="B601" t="s">
        <v>601</v>
      </c>
      <c r="C601" t="s">
        <v>757</v>
      </c>
      <c r="D601" s="3">
        <v>945</v>
      </c>
      <c r="E601" t="s">
        <v>758</v>
      </c>
      <c r="F601" s="91">
        <v>9898</v>
      </c>
      <c r="J601" t="s">
        <v>759</v>
      </c>
    </row>
    <row r="602" spans="1:10" ht="15" hidden="1" customHeight="1">
      <c r="A602" s="71">
        <v>45082</v>
      </c>
      <c r="B602" t="s">
        <v>373</v>
      </c>
      <c r="C602" t="s">
        <v>757</v>
      </c>
      <c r="D602" s="3">
        <v>3458</v>
      </c>
      <c r="E602" t="s">
        <v>758</v>
      </c>
      <c r="F602" s="91">
        <v>9374</v>
      </c>
      <c r="J602" t="s">
        <v>759</v>
      </c>
    </row>
    <row r="603" spans="1:10" ht="15" hidden="1" customHeight="1">
      <c r="A603" s="71">
        <v>45085</v>
      </c>
      <c r="B603" t="s">
        <v>395</v>
      </c>
      <c r="C603" t="s">
        <v>757</v>
      </c>
      <c r="D603" s="3">
        <v>9276</v>
      </c>
      <c r="E603" t="s">
        <v>758</v>
      </c>
      <c r="F603" s="91">
        <v>10398</v>
      </c>
      <c r="J603" t="s">
        <v>759</v>
      </c>
    </row>
    <row r="604" spans="1:10" ht="15" hidden="1" customHeight="1">
      <c r="A604" s="71">
        <v>45086</v>
      </c>
      <c r="B604" t="s">
        <v>380</v>
      </c>
      <c r="C604" t="s">
        <v>757</v>
      </c>
      <c r="D604" s="3">
        <v>4018</v>
      </c>
      <c r="E604" t="s">
        <v>758</v>
      </c>
      <c r="F604" s="91">
        <v>11411</v>
      </c>
      <c r="J604" t="s">
        <v>759</v>
      </c>
    </row>
    <row r="605" spans="1:10" ht="15" hidden="1" customHeight="1">
      <c r="A605" s="71">
        <v>45091</v>
      </c>
      <c r="B605" t="s">
        <v>19</v>
      </c>
      <c r="C605" t="s">
        <v>757</v>
      </c>
      <c r="D605" s="3">
        <v>6889</v>
      </c>
      <c r="E605" t="s">
        <v>758</v>
      </c>
      <c r="F605" s="91">
        <v>10963</v>
      </c>
      <c r="J605" t="s">
        <v>759</v>
      </c>
    </row>
    <row r="606" spans="1:10" ht="15" hidden="1" customHeight="1">
      <c r="A606" s="71">
        <v>45091</v>
      </c>
      <c r="B606" t="s">
        <v>800</v>
      </c>
      <c r="C606" t="s">
        <v>757</v>
      </c>
      <c r="E606" t="s">
        <v>758</v>
      </c>
      <c r="F606" s="91">
        <v>9387</v>
      </c>
      <c r="J606" t="s">
        <v>759</v>
      </c>
    </row>
    <row r="607" spans="1:10" ht="15" hidden="1" customHeight="1">
      <c r="A607" s="71">
        <v>45092</v>
      </c>
      <c r="B607" t="s">
        <v>388</v>
      </c>
      <c r="C607" t="s">
        <v>757</v>
      </c>
      <c r="D607" s="3">
        <v>11398</v>
      </c>
      <c r="E607" t="s">
        <v>758</v>
      </c>
      <c r="F607" s="91">
        <v>10785</v>
      </c>
      <c r="J607" t="s">
        <v>759</v>
      </c>
    </row>
    <row r="608" spans="1:10" ht="15" hidden="1" customHeight="1">
      <c r="A608" s="71">
        <v>45093</v>
      </c>
      <c r="B608" t="s">
        <v>575</v>
      </c>
      <c r="C608" t="s">
        <v>757</v>
      </c>
      <c r="E608" t="s">
        <v>758</v>
      </c>
      <c r="F608" s="91">
        <v>8780</v>
      </c>
      <c r="J608" t="s">
        <v>759</v>
      </c>
    </row>
    <row r="609" spans="1:10" ht="15" hidden="1" customHeight="1">
      <c r="A609" s="71">
        <v>45095</v>
      </c>
      <c r="B609" t="s">
        <v>579</v>
      </c>
      <c r="C609" t="s">
        <v>757</v>
      </c>
      <c r="E609" t="s">
        <v>758</v>
      </c>
      <c r="F609" s="91">
        <v>9895</v>
      </c>
      <c r="J609" t="s">
        <v>759</v>
      </c>
    </row>
    <row r="610" spans="1:10" ht="15" hidden="1" customHeight="1">
      <c r="A610" s="71">
        <v>45095</v>
      </c>
      <c r="B610" t="s">
        <v>146</v>
      </c>
      <c r="C610" t="s">
        <v>757</v>
      </c>
      <c r="D610" s="3">
        <v>296</v>
      </c>
      <c r="E610" t="s">
        <v>758</v>
      </c>
      <c r="F610" s="91">
        <v>9807</v>
      </c>
      <c r="J610" t="s">
        <v>759</v>
      </c>
    </row>
    <row r="611" spans="1:10" ht="15" hidden="1" customHeight="1">
      <c r="A611" s="71">
        <v>45096</v>
      </c>
      <c r="B611" t="s">
        <v>146</v>
      </c>
      <c r="C611" t="s">
        <v>757</v>
      </c>
      <c r="E611" t="s">
        <v>758</v>
      </c>
      <c r="F611" s="91">
        <v>7138</v>
      </c>
      <c r="J611" t="s">
        <v>759</v>
      </c>
    </row>
    <row r="612" spans="1:10" ht="15" hidden="1" customHeight="1">
      <c r="A612" s="71">
        <v>45097</v>
      </c>
      <c r="B612" t="s">
        <v>589</v>
      </c>
      <c r="C612" t="s">
        <v>757</v>
      </c>
      <c r="E612" t="s">
        <v>758</v>
      </c>
      <c r="F612" s="91">
        <v>10789</v>
      </c>
      <c r="J612" t="s">
        <v>759</v>
      </c>
    </row>
    <row r="613" spans="1:10" ht="15" hidden="1" customHeight="1">
      <c r="A613" s="71">
        <v>45107</v>
      </c>
      <c r="B613" t="s">
        <v>48</v>
      </c>
      <c r="C613" t="s">
        <v>757</v>
      </c>
      <c r="E613" t="s">
        <v>758</v>
      </c>
      <c r="F613" s="91">
        <v>9899</v>
      </c>
      <c r="J613" t="s">
        <v>759</v>
      </c>
    </row>
    <row r="614" spans="1:10" ht="15" hidden="1" customHeight="1">
      <c r="A614" s="71">
        <v>45110</v>
      </c>
      <c r="B614" t="s">
        <v>395</v>
      </c>
      <c r="C614" t="s">
        <v>757</v>
      </c>
      <c r="D614" s="3">
        <v>9293</v>
      </c>
      <c r="E614" t="s">
        <v>758</v>
      </c>
      <c r="F614" s="91">
        <v>11419</v>
      </c>
      <c r="J614" t="s">
        <v>759</v>
      </c>
    </row>
    <row r="615" spans="1:10" ht="15" hidden="1" customHeight="1">
      <c r="A615" s="71">
        <v>45113</v>
      </c>
      <c r="B615" t="s">
        <v>162</v>
      </c>
      <c r="C615" t="s">
        <v>757</v>
      </c>
      <c r="E615" t="s">
        <v>758</v>
      </c>
      <c r="F615" s="91">
        <v>11420</v>
      </c>
      <c r="J615" t="s">
        <v>759</v>
      </c>
    </row>
    <row r="616" spans="1:10" ht="15" hidden="1" customHeight="1">
      <c r="A616" s="71">
        <v>45117</v>
      </c>
      <c r="B616" t="s">
        <v>36</v>
      </c>
      <c r="C616" t="s">
        <v>757</v>
      </c>
      <c r="D616" s="3">
        <v>6945</v>
      </c>
      <c r="E616" t="s">
        <v>758</v>
      </c>
      <c r="F616" s="91">
        <v>10404</v>
      </c>
      <c r="J616" t="s">
        <v>759</v>
      </c>
    </row>
    <row r="617" spans="1:10" ht="15" hidden="1" customHeight="1">
      <c r="A617" s="71">
        <v>45118</v>
      </c>
      <c r="B617" t="s">
        <v>338</v>
      </c>
      <c r="C617" t="s">
        <v>757</v>
      </c>
      <c r="D617" s="3">
        <v>24054</v>
      </c>
      <c r="E617" t="s">
        <v>758</v>
      </c>
      <c r="F617" s="91">
        <v>11422</v>
      </c>
      <c r="J617" t="s">
        <v>759</v>
      </c>
    </row>
    <row r="618" spans="1:10" ht="15" hidden="1" customHeight="1">
      <c r="A618" s="71">
        <v>45119</v>
      </c>
      <c r="B618" t="s">
        <v>690</v>
      </c>
      <c r="C618" t="s">
        <v>757</v>
      </c>
      <c r="D618" s="3">
        <v>6062</v>
      </c>
      <c r="E618" t="s">
        <v>758</v>
      </c>
      <c r="F618" s="91" t="s">
        <v>796</v>
      </c>
      <c r="J618" t="s">
        <v>759</v>
      </c>
    </row>
    <row r="619" spans="1:10" ht="15" hidden="1" customHeight="1">
      <c r="A619" s="71">
        <v>45119</v>
      </c>
      <c r="B619" t="s">
        <v>178</v>
      </c>
      <c r="C619" t="s">
        <v>757</v>
      </c>
      <c r="E619" t="s">
        <v>758</v>
      </c>
      <c r="F619" s="91">
        <v>11423</v>
      </c>
      <c r="J619" t="s">
        <v>759</v>
      </c>
    </row>
    <row r="620" spans="1:10" ht="15" hidden="1" customHeight="1">
      <c r="A620" s="71">
        <v>45124</v>
      </c>
      <c r="B620" t="s">
        <v>341</v>
      </c>
      <c r="C620" t="s">
        <v>757</v>
      </c>
      <c r="D620" s="3">
        <v>11425</v>
      </c>
      <c r="E620" t="s">
        <v>758</v>
      </c>
      <c r="F620" s="91">
        <v>11424</v>
      </c>
      <c r="J620" t="s">
        <v>759</v>
      </c>
    </row>
    <row r="621" spans="1:10" ht="15" hidden="1" customHeight="1">
      <c r="A621" s="71">
        <v>45138</v>
      </c>
      <c r="B621" t="s">
        <v>691</v>
      </c>
      <c r="C621" t="s">
        <v>757</v>
      </c>
      <c r="D621" s="3">
        <v>5681</v>
      </c>
      <c r="E621" t="s">
        <v>758</v>
      </c>
      <c r="F621" s="91">
        <v>10424</v>
      </c>
      <c r="J621" t="s">
        <v>759</v>
      </c>
    </row>
    <row r="622" spans="1:10" ht="15" hidden="1" customHeight="1">
      <c r="A622" s="71">
        <v>45141</v>
      </c>
      <c r="B622" t="s">
        <v>65</v>
      </c>
      <c r="C622" t="s">
        <v>757</v>
      </c>
      <c r="D622" s="3">
        <v>2209</v>
      </c>
      <c r="E622" t="s">
        <v>758</v>
      </c>
      <c r="F622" s="91">
        <v>11052</v>
      </c>
      <c r="J622" t="s">
        <v>759</v>
      </c>
    </row>
    <row r="623" spans="1:10" ht="15" hidden="1" customHeight="1">
      <c r="A623" s="71">
        <v>45146</v>
      </c>
      <c r="B623" t="s">
        <v>324</v>
      </c>
      <c r="C623" t="s">
        <v>757</v>
      </c>
      <c r="D623" s="3">
        <v>13561</v>
      </c>
      <c r="E623" t="s">
        <v>758</v>
      </c>
      <c r="F623" s="91">
        <v>10979</v>
      </c>
      <c r="J623" t="s">
        <v>759</v>
      </c>
    </row>
    <row r="624" spans="1:10" ht="15" hidden="1" customHeight="1">
      <c r="A624" s="71">
        <v>45146</v>
      </c>
      <c r="B624" t="s">
        <v>188</v>
      </c>
      <c r="C624" t="s">
        <v>757</v>
      </c>
      <c r="D624" s="3">
        <v>9627</v>
      </c>
      <c r="E624" t="s">
        <v>758</v>
      </c>
      <c r="F624" s="91">
        <v>10441</v>
      </c>
      <c r="J624" t="s">
        <v>759</v>
      </c>
    </row>
    <row r="625" spans="1:10" ht="15" hidden="1" customHeight="1">
      <c r="A625" s="71">
        <v>45146</v>
      </c>
      <c r="B625" t="s">
        <v>42</v>
      </c>
      <c r="C625" t="s">
        <v>757</v>
      </c>
      <c r="D625" s="3">
        <v>138875</v>
      </c>
      <c r="E625" t="s">
        <v>758</v>
      </c>
      <c r="F625" s="91">
        <v>10440</v>
      </c>
      <c r="J625" t="s">
        <v>759</v>
      </c>
    </row>
    <row r="626" spans="1:10" ht="15" hidden="1" customHeight="1">
      <c r="A626" s="71">
        <v>45146</v>
      </c>
      <c r="B626" t="s">
        <v>143</v>
      </c>
      <c r="C626" t="s">
        <v>757</v>
      </c>
      <c r="D626" s="3">
        <v>742498</v>
      </c>
      <c r="E626" t="s">
        <v>758</v>
      </c>
      <c r="F626" s="91">
        <v>8790</v>
      </c>
      <c r="J626" t="s">
        <v>759</v>
      </c>
    </row>
    <row r="627" spans="1:10" ht="15" hidden="1" customHeight="1">
      <c r="A627" s="71">
        <v>45152</v>
      </c>
      <c r="B627" t="s">
        <v>352</v>
      </c>
      <c r="C627" t="s">
        <v>757</v>
      </c>
      <c r="D627" s="3">
        <v>8411</v>
      </c>
      <c r="E627" t="s">
        <v>758</v>
      </c>
      <c r="F627" s="91">
        <v>11056</v>
      </c>
      <c r="J627" t="s">
        <v>759</v>
      </c>
    </row>
    <row r="628" spans="1:10" ht="15" hidden="1" customHeight="1">
      <c r="A628" s="71">
        <v>45154</v>
      </c>
      <c r="B628" t="s">
        <v>173</v>
      </c>
      <c r="C628" t="s">
        <v>757</v>
      </c>
      <c r="D628" s="3">
        <v>5705</v>
      </c>
      <c r="E628" t="s">
        <v>758</v>
      </c>
      <c r="F628" s="91">
        <v>1157</v>
      </c>
      <c r="J628" t="s">
        <v>759</v>
      </c>
    </row>
    <row r="629" spans="1:10" ht="15" hidden="1" customHeight="1">
      <c r="A629" s="71">
        <v>45156</v>
      </c>
      <c r="B629" t="s">
        <v>230</v>
      </c>
      <c r="C629" t="s">
        <v>757</v>
      </c>
      <c r="D629" s="3">
        <v>8754</v>
      </c>
      <c r="E629" t="s">
        <v>758</v>
      </c>
      <c r="F629" s="91">
        <v>11058</v>
      </c>
      <c r="J629" t="s">
        <v>759</v>
      </c>
    </row>
    <row r="630" spans="1:10" ht="15" hidden="1" customHeight="1">
      <c r="A630" s="71">
        <v>45163</v>
      </c>
      <c r="B630" t="s">
        <v>685</v>
      </c>
      <c r="C630" t="s">
        <v>757</v>
      </c>
      <c r="E630" t="s">
        <v>758</v>
      </c>
      <c r="F630" s="91">
        <v>11443</v>
      </c>
      <c r="J630" t="s">
        <v>759</v>
      </c>
    </row>
    <row r="631" spans="1:10" ht="15" hidden="1" customHeight="1">
      <c r="A631" s="71">
        <v>45163</v>
      </c>
      <c r="B631" t="s">
        <v>25</v>
      </c>
      <c r="C631" t="s">
        <v>757</v>
      </c>
      <c r="D631" s="3">
        <v>5660</v>
      </c>
      <c r="E631" t="s">
        <v>758</v>
      </c>
      <c r="F631" s="91">
        <v>10628</v>
      </c>
      <c r="J631" t="s">
        <v>759</v>
      </c>
    </row>
    <row r="632" spans="1:10" ht="15" hidden="1" customHeight="1">
      <c r="A632" s="71">
        <v>45167</v>
      </c>
      <c r="B632" t="s">
        <v>362</v>
      </c>
      <c r="C632" t="s">
        <v>757</v>
      </c>
      <c r="D632" s="3">
        <v>12728</v>
      </c>
      <c r="E632" t="s">
        <v>758</v>
      </c>
      <c r="F632" s="91">
        <v>10862</v>
      </c>
      <c r="J632" t="s">
        <v>759</v>
      </c>
    </row>
    <row r="633" spans="1:10" ht="15" hidden="1" customHeight="1">
      <c r="A633" s="71">
        <v>45170</v>
      </c>
      <c r="B633" t="s">
        <v>598</v>
      </c>
      <c r="C633" t="s">
        <v>757</v>
      </c>
      <c r="D633" s="3">
        <v>86848</v>
      </c>
      <c r="E633" t="s">
        <v>758</v>
      </c>
      <c r="F633" s="91">
        <v>11374</v>
      </c>
      <c r="J633" t="s">
        <v>759</v>
      </c>
    </row>
    <row r="634" spans="1:10" ht="15" hidden="1" customHeight="1">
      <c r="A634" s="71">
        <v>45174</v>
      </c>
      <c r="B634" t="s">
        <v>698</v>
      </c>
      <c r="C634" t="s">
        <v>757</v>
      </c>
      <c r="E634" t="s">
        <v>758</v>
      </c>
      <c r="F634" s="91">
        <v>10282</v>
      </c>
      <c r="J634" t="s">
        <v>759</v>
      </c>
    </row>
    <row r="635" spans="1:10" ht="15" hidden="1" customHeight="1">
      <c r="A635" s="71">
        <v>45176</v>
      </c>
      <c r="B635" t="s">
        <v>806</v>
      </c>
      <c r="C635" t="s">
        <v>757</v>
      </c>
      <c r="E635" t="s">
        <v>758</v>
      </c>
      <c r="F635" s="91">
        <v>11105</v>
      </c>
      <c r="J635" t="s">
        <v>759</v>
      </c>
    </row>
    <row r="636" spans="1:10" ht="15" hidden="1" customHeight="1">
      <c r="A636" s="71">
        <v>45180</v>
      </c>
      <c r="B636" t="s">
        <v>586</v>
      </c>
      <c r="C636" t="s">
        <v>757</v>
      </c>
      <c r="E636" t="s">
        <v>758</v>
      </c>
      <c r="F636" s="91">
        <v>11372</v>
      </c>
      <c r="J636" t="s">
        <v>759</v>
      </c>
    </row>
    <row r="637" spans="1:10" ht="15" hidden="1" customHeight="1">
      <c r="A637" s="71">
        <v>45189</v>
      </c>
      <c r="B637" t="s">
        <v>328</v>
      </c>
      <c r="C637" t="s">
        <v>757</v>
      </c>
      <c r="D637" s="3">
        <v>7947</v>
      </c>
      <c r="E637" t="s">
        <v>758</v>
      </c>
      <c r="F637" s="91">
        <v>10864</v>
      </c>
      <c r="J637" t="s">
        <v>759</v>
      </c>
    </row>
    <row r="638" spans="1:10" ht="15" hidden="1" customHeight="1">
      <c r="A638" s="71">
        <v>45190</v>
      </c>
      <c r="B638" t="s">
        <v>579</v>
      </c>
      <c r="C638" t="s">
        <v>757</v>
      </c>
      <c r="E638" t="s">
        <v>758</v>
      </c>
      <c r="F638" s="91">
        <v>10036</v>
      </c>
      <c r="J638" t="s">
        <v>759</v>
      </c>
    </row>
    <row r="639" spans="1:10" ht="15" hidden="1" customHeight="1">
      <c r="A639" s="71">
        <v>45192</v>
      </c>
      <c r="B639" t="s">
        <v>180</v>
      </c>
      <c r="C639" t="s">
        <v>757</v>
      </c>
      <c r="E639" t="s">
        <v>758</v>
      </c>
      <c r="F639" s="91">
        <v>11152</v>
      </c>
      <c r="J639" t="s">
        <v>759</v>
      </c>
    </row>
    <row r="640" spans="1:10" ht="15" hidden="1" customHeight="1">
      <c r="A640" s="71">
        <v>45194</v>
      </c>
      <c r="B640" t="s">
        <v>389</v>
      </c>
      <c r="C640" t="s">
        <v>757</v>
      </c>
      <c r="D640" s="3">
        <v>5412</v>
      </c>
      <c r="E640" t="s">
        <v>758</v>
      </c>
      <c r="F640" s="91">
        <v>8400</v>
      </c>
      <c r="J640" t="s">
        <v>759</v>
      </c>
    </row>
    <row r="641" spans="1:10" ht="15" hidden="1" customHeight="1">
      <c r="A641" s="71">
        <v>45198</v>
      </c>
      <c r="B641" t="s">
        <v>162</v>
      </c>
      <c r="C641" t="s">
        <v>757</v>
      </c>
      <c r="E641" t="s">
        <v>758</v>
      </c>
      <c r="F641" s="91">
        <v>9360</v>
      </c>
      <c r="J641" t="s">
        <v>759</v>
      </c>
    </row>
    <row r="642" spans="1:10" ht="15" hidden="1" customHeight="1">
      <c r="A642" s="71">
        <v>45198</v>
      </c>
      <c r="B642" t="s">
        <v>341</v>
      </c>
      <c r="C642" t="s">
        <v>757</v>
      </c>
      <c r="D642" s="3">
        <v>8483</v>
      </c>
      <c r="E642" t="s">
        <v>758</v>
      </c>
      <c r="F642" s="91">
        <v>9010</v>
      </c>
      <c r="J642" t="s">
        <v>759</v>
      </c>
    </row>
    <row r="643" spans="1:10" ht="15" hidden="1" customHeight="1">
      <c r="A643" s="71">
        <v>45202</v>
      </c>
      <c r="B643" t="s">
        <v>592</v>
      </c>
      <c r="C643" t="s">
        <v>757</v>
      </c>
      <c r="E643" t="s">
        <v>758</v>
      </c>
      <c r="F643" s="91">
        <v>10034</v>
      </c>
      <c r="J643" t="s">
        <v>759</v>
      </c>
    </row>
    <row r="644" spans="1:10" ht="15" hidden="1" customHeight="1">
      <c r="A644" s="71">
        <v>45203</v>
      </c>
      <c r="B644" t="s">
        <v>690</v>
      </c>
      <c r="C644" t="s">
        <v>757</v>
      </c>
      <c r="D644" s="3">
        <v>6437</v>
      </c>
      <c r="E644" t="s">
        <v>758</v>
      </c>
      <c r="F644" s="91">
        <v>10033</v>
      </c>
      <c r="J644" t="s">
        <v>759</v>
      </c>
    </row>
    <row r="645" spans="1:10" ht="15" hidden="1" customHeight="1">
      <c r="A645" s="71">
        <v>45204</v>
      </c>
      <c r="B645" t="s">
        <v>202</v>
      </c>
      <c r="C645" t="s">
        <v>757</v>
      </c>
      <c r="D645" s="3">
        <v>1262</v>
      </c>
      <c r="E645" t="s">
        <v>758</v>
      </c>
      <c r="F645" s="91">
        <v>11154</v>
      </c>
      <c r="J645" t="s">
        <v>759</v>
      </c>
    </row>
    <row r="646" spans="1:10" ht="15" hidden="1" customHeight="1">
      <c r="A646" s="71">
        <v>45204</v>
      </c>
      <c r="B646" t="s">
        <v>322</v>
      </c>
      <c r="C646" t="s">
        <v>757</v>
      </c>
      <c r="D646" s="3">
        <v>24432</v>
      </c>
      <c r="E646" t="s">
        <v>758</v>
      </c>
      <c r="F646" s="91">
        <v>11116</v>
      </c>
      <c r="J646" t="s">
        <v>759</v>
      </c>
    </row>
    <row r="647" spans="1:10" ht="15" hidden="1" customHeight="1">
      <c r="A647" s="71">
        <v>45209</v>
      </c>
      <c r="B647" t="s">
        <v>36</v>
      </c>
      <c r="C647" t="s">
        <v>757</v>
      </c>
      <c r="D647" s="3">
        <v>7474</v>
      </c>
      <c r="E647" t="s">
        <v>758</v>
      </c>
      <c r="F647" s="91">
        <v>10005</v>
      </c>
      <c r="J647" t="s">
        <v>759</v>
      </c>
    </row>
    <row r="648" spans="1:10" ht="15" hidden="1" customHeight="1">
      <c r="A648" s="71">
        <v>45211</v>
      </c>
      <c r="B648" t="s">
        <v>185</v>
      </c>
      <c r="C648" t="s">
        <v>757</v>
      </c>
      <c r="D648" s="3">
        <v>705</v>
      </c>
      <c r="E648" t="s">
        <v>758</v>
      </c>
      <c r="F648" s="91">
        <v>11120</v>
      </c>
      <c r="J648" t="s">
        <v>759</v>
      </c>
    </row>
    <row r="649" spans="1:10" ht="15" hidden="1" customHeight="1">
      <c r="A649" s="71">
        <v>45215</v>
      </c>
      <c r="B649" t="s">
        <v>318</v>
      </c>
      <c r="C649" t="s">
        <v>757</v>
      </c>
      <c r="D649" s="3">
        <v>10365</v>
      </c>
      <c r="E649" t="s">
        <v>758</v>
      </c>
      <c r="F649" s="91">
        <v>10868</v>
      </c>
      <c r="J649" t="s">
        <v>759</v>
      </c>
    </row>
    <row r="650" spans="1:10" ht="15" hidden="1" customHeight="1">
      <c r="A650" s="71">
        <v>45215</v>
      </c>
      <c r="B650" t="s">
        <v>575</v>
      </c>
      <c r="C650" t="s">
        <v>757</v>
      </c>
      <c r="D650" s="3">
        <v>299925</v>
      </c>
      <c r="E650" t="s">
        <v>758</v>
      </c>
      <c r="F650" s="91">
        <v>9044</v>
      </c>
      <c r="J650" t="s">
        <v>759</v>
      </c>
    </row>
    <row r="651" spans="1:10" ht="15" hidden="1" customHeight="1">
      <c r="A651" s="71">
        <v>45216</v>
      </c>
      <c r="B651" t="s">
        <v>178</v>
      </c>
      <c r="C651" t="s">
        <v>757</v>
      </c>
      <c r="D651" s="3">
        <v>267182</v>
      </c>
      <c r="E651" t="s">
        <v>758</v>
      </c>
      <c r="F651" s="91">
        <v>10869</v>
      </c>
      <c r="J651" t="s">
        <v>759</v>
      </c>
    </row>
    <row r="652" spans="1:10" ht="15" hidden="1" customHeight="1">
      <c r="A652" s="71">
        <v>45216</v>
      </c>
      <c r="B652" t="s">
        <v>175</v>
      </c>
      <c r="C652" t="s">
        <v>757</v>
      </c>
      <c r="D652" s="3">
        <v>6202</v>
      </c>
      <c r="E652" t="s">
        <v>758</v>
      </c>
      <c r="F652" s="91">
        <v>9047</v>
      </c>
      <c r="J652" t="s">
        <v>759</v>
      </c>
    </row>
    <row r="653" spans="1:10" ht="15" hidden="1" customHeight="1">
      <c r="A653" s="71">
        <v>45217</v>
      </c>
      <c r="B653" t="s">
        <v>159</v>
      </c>
      <c r="C653" t="s">
        <v>757</v>
      </c>
      <c r="D653" s="3">
        <v>9206</v>
      </c>
      <c r="E653" t="s">
        <v>758</v>
      </c>
      <c r="F653" s="91">
        <v>11068</v>
      </c>
      <c r="J653" t="s">
        <v>759</v>
      </c>
    </row>
    <row r="654" spans="1:10" ht="15" hidden="1" customHeight="1">
      <c r="A654" s="71">
        <v>45217</v>
      </c>
      <c r="B654" t="s">
        <v>180</v>
      </c>
      <c r="C654" t="s">
        <v>757</v>
      </c>
      <c r="D654" s="3">
        <v>6162</v>
      </c>
      <c r="E654" t="s">
        <v>758</v>
      </c>
      <c r="F654" s="91">
        <v>11066</v>
      </c>
      <c r="J654" t="s">
        <v>759</v>
      </c>
    </row>
    <row r="655" spans="1:10" ht="15" hidden="1" customHeight="1">
      <c r="A655" s="71">
        <v>45218</v>
      </c>
      <c r="B655" t="s">
        <v>183</v>
      </c>
      <c r="C655" t="s">
        <v>757</v>
      </c>
      <c r="D655" s="3">
        <v>1820</v>
      </c>
      <c r="E655" t="s">
        <v>758</v>
      </c>
      <c r="F655" s="91">
        <v>11070</v>
      </c>
      <c r="J655" t="s">
        <v>759</v>
      </c>
    </row>
    <row r="656" spans="1:10" ht="15" hidden="1" customHeight="1">
      <c r="A656" s="71">
        <v>45219</v>
      </c>
      <c r="B656" t="s">
        <v>591</v>
      </c>
      <c r="C656" t="s">
        <v>757</v>
      </c>
      <c r="D656" s="3">
        <v>109852</v>
      </c>
      <c r="E656" t="s">
        <v>758</v>
      </c>
      <c r="F656" s="91">
        <v>11380</v>
      </c>
      <c r="J656" t="s">
        <v>759</v>
      </c>
    </row>
    <row r="657" spans="1:10" ht="15" hidden="1" customHeight="1">
      <c r="A657" s="71">
        <v>45219</v>
      </c>
      <c r="B657" t="s">
        <v>589</v>
      </c>
      <c r="C657" t="s">
        <v>757</v>
      </c>
      <c r="D657" s="3">
        <v>119559</v>
      </c>
      <c r="E657" t="s">
        <v>758</v>
      </c>
      <c r="F657" s="91">
        <v>11379</v>
      </c>
      <c r="J657" t="s">
        <v>759</v>
      </c>
    </row>
    <row r="658" spans="1:10" ht="15" hidden="1" customHeight="1">
      <c r="A658" s="71">
        <v>45219</v>
      </c>
      <c r="B658" t="s">
        <v>418</v>
      </c>
      <c r="C658" t="s">
        <v>757</v>
      </c>
      <c r="D658" s="3">
        <v>7185</v>
      </c>
      <c r="E658" t="s">
        <v>758</v>
      </c>
      <c r="F658" s="91">
        <v>11259</v>
      </c>
      <c r="J658" t="s">
        <v>759</v>
      </c>
    </row>
    <row r="659" spans="1:10" ht="15" hidden="1" customHeight="1">
      <c r="A659" s="71">
        <v>45219</v>
      </c>
      <c r="B659" t="s">
        <v>143</v>
      </c>
      <c r="C659" t="s">
        <v>757</v>
      </c>
      <c r="E659" t="s">
        <v>758</v>
      </c>
      <c r="F659" s="91">
        <v>10046</v>
      </c>
      <c r="J659" t="s">
        <v>759</v>
      </c>
    </row>
    <row r="660" spans="1:10" ht="15" hidden="1" customHeight="1">
      <c r="A660" s="71">
        <v>45222</v>
      </c>
      <c r="B660" t="s">
        <v>803</v>
      </c>
      <c r="C660" t="s">
        <v>757</v>
      </c>
      <c r="D660" s="3">
        <v>7876</v>
      </c>
      <c r="E660" t="s">
        <v>758</v>
      </c>
      <c r="F660" s="91">
        <v>10285</v>
      </c>
      <c r="J660" t="s">
        <v>759</v>
      </c>
    </row>
    <row r="661" spans="1:10" ht="15" hidden="1" customHeight="1">
      <c r="A661" s="71">
        <v>45224</v>
      </c>
      <c r="B661" t="s">
        <v>388</v>
      </c>
      <c r="C661" t="s">
        <v>757</v>
      </c>
      <c r="D661" s="3">
        <v>11567</v>
      </c>
      <c r="E661" t="s">
        <v>758</v>
      </c>
      <c r="F661" s="91">
        <v>10461</v>
      </c>
      <c r="J661" t="s">
        <v>759</v>
      </c>
    </row>
    <row r="662" spans="1:10" ht="15" hidden="1" customHeight="1">
      <c r="A662" s="71">
        <v>45225</v>
      </c>
      <c r="B662" t="s">
        <v>330</v>
      </c>
      <c r="C662" t="s">
        <v>757</v>
      </c>
      <c r="D662" s="3">
        <v>7029</v>
      </c>
      <c r="E662" t="s">
        <v>758</v>
      </c>
      <c r="F662" s="91">
        <v>10463</v>
      </c>
      <c r="J662" t="s">
        <v>759</v>
      </c>
    </row>
    <row r="663" spans="1:10" ht="15" hidden="1" customHeight="1">
      <c r="A663" s="71">
        <v>45229</v>
      </c>
      <c r="B663" t="s">
        <v>587</v>
      </c>
      <c r="C663" t="s">
        <v>757</v>
      </c>
      <c r="D663" s="3">
        <v>129500</v>
      </c>
      <c r="E663" t="s">
        <v>758</v>
      </c>
      <c r="F663" s="91">
        <v>11390</v>
      </c>
      <c r="J663" t="s">
        <v>759</v>
      </c>
    </row>
    <row r="664" spans="1:10" ht="15" hidden="1" customHeight="1">
      <c r="A664" s="71">
        <v>45230</v>
      </c>
      <c r="B664" t="s">
        <v>146</v>
      </c>
      <c r="C664" t="s">
        <v>757</v>
      </c>
      <c r="D664" s="3">
        <v>238100</v>
      </c>
      <c r="E664" t="s">
        <v>758</v>
      </c>
      <c r="F664" s="91">
        <v>10469</v>
      </c>
      <c r="J664" t="s">
        <v>759</v>
      </c>
    </row>
    <row r="665" spans="1:10" ht="15" hidden="1" customHeight="1">
      <c r="A665" s="71">
        <v>45232</v>
      </c>
      <c r="B665" t="s">
        <v>162</v>
      </c>
      <c r="C665" t="s">
        <v>757</v>
      </c>
      <c r="D665" s="3">
        <v>18529</v>
      </c>
      <c r="E665" t="s">
        <v>758</v>
      </c>
      <c r="F665" s="91">
        <v>10951</v>
      </c>
      <c r="J665" t="s">
        <v>759</v>
      </c>
    </row>
    <row r="666" spans="1:10" ht="15" hidden="1" customHeight="1">
      <c r="A666" s="71">
        <v>45232</v>
      </c>
      <c r="B666" t="s">
        <v>618</v>
      </c>
      <c r="C666" t="s">
        <v>757</v>
      </c>
      <c r="D666" s="3">
        <v>190629</v>
      </c>
      <c r="E666" t="s">
        <v>758</v>
      </c>
      <c r="F666" s="91">
        <v>10304</v>
      </c>
      <c r="J666" t="s">
        <v>759</v>
      </c>
    </row>
    <row r="667" spans="1:10" ht="15" hidden="1" customHeight="1">
      <c r="A667" s="71">
        <v>45234</v>
      </c>
      <c r="B667" t="s">
        <v>598</v>
      </c>
      <c r="C667" t="s">
        <v>757</v>
      </c>
      <c r="D667" s="3">
        <v>97182</v>
      </c>
      <c r="E667" t="s">
        <v>758</v>
      </c>
      <c r="F667" s="91">
        <v>11391</v>
      </c>
      <c r="J667" t="s">
        <v>759</v>
      </c>
    </row>
    <row r="668" spans="1:10" ht="15" hidden="1" customHeight="1">
      <c r="A668" s="71">
        <v>45234</v>
      </c>
      <c r="B668" t="s">
        <v>25</v>
      </c>
      <c r="C668" t="s">
        <v>757</v>
      </c>
      <c r="D668" s="3">
        <v>5942</v>
      </c>
      <c r="E668" t="s">
        <v>758</v>
      </c>
      <c r="F668" s="91">
        <v>11170</v>
      </c>
      <c r="J668" t="s">
        <v>759</v>
      </c>
    </row>
    <row r="669" spans="1:10" ht="15" hidden="1" customHeight="1">
      <c r="A669" s="71">
        <v>45237</v>
      </c>
      <c r="B669" t="s">
        <v>586</v>
      </c>
      <c r="C669" t="s">
        <v>757</v>
      </c>
      <c r="E669" t="s">
        <v>758</v>
      </c>
      <c r="F669" s="91">
        <v>11399</v>
      </c>
      <c r="J669" t="s">
        <v>759</v>
      </c>
    </row>
    <row r="670" spans="1:10" ht="15" hidden="1" customHeight="1">
      <c r="A670" s="71">
        <v>45237</v>
      </c>
      <c r="B670" t="s">
        <v>586</v>
      </c>
      <c r="C670" t="s">
        <v>757</v>
      </c>
      <c r="E670" t="s">
        <v>758</v>
      </c>
      <c r="F670" s="91">
        <v>11392</v>
      </c>
      <c r="J670" t="s">
        <v>759</v>
      </c>
    </row>
    <row r="671" spans="1:10" ht="15" hidden="1" customHeight="1">
      <c r="A671" s="71">
        <v>45237</v>
      </c>
      <c r="B671" t="s">
        <v>691</v>
      </c>
      <c r="C671" t="s">
        <v>757</v>
      </c>
      <c r="D671" s="3">
        <v>6016</v>
      </c>
      <c r="E671" t="s">
        <v>758</v>
      </c>
      <c r="F671" s="91">
        <v>11071</v>
      </c>
      <c r="J671" t="s">
        <v>759</v>
      </c>
    </row>
    <row r="672" spans="1:10" ht="15" hidden="1" customHeight="1">
      <c r="A672" s="71">
        <v>45240</v>
      </c>
      <c r="B672" t="s">
        <v>579</v>
      </c>
      <c r="C672" t="s">
        <v>757</v>
      </c>
      <c r="E672" t="s">
        <v>758</v>
      </c>
      <c r="F672" s="91">
        <v>11393</v>
      </c>
      <c r="J672" t="s">
        <v>759</v>
      </c>
    </row>
    <row r="673" spans="1:10" ht="15" hidden="1" customHeight="1">
      <c r="A673" s="71">
        <v>45243</v>
      </c>
      <c r="B673" t="s">
        <v>601</v>
      </c>
      <c r="C673" t="s">
        <v>757</v>
      </c>
      <c r="E673" t="s">
        <v>758</v>
      </c>
      <c r="F673" s="91">
        <v>10301</v>
      </c>
      <c r="J673" t="s">
        <v>759</v>
      </c>
    </row>
    <row r="674" spans="1:10" ht="15" hidden="1" customHeight="1">
      <c r="A674" s="71">
        <v>45244</v>
      </c>
      <c r="B674" t="s">
        <v>336</v>
      </c>
      <c r="C674" t="s">
        <v>757</v>
      </c>
      <c r="D674" s="3">
        <v>9740</v>
      </c>
      <c r="E674" t="s">
        <v>758</v>
      </c>
      <c r="F674" s="91">
        <v>11133</v>
      </c>
      <c r="J674" t="s">
        <v>759</v>
      </c>
    </row>
    <row r="675" spans="1:10" ht="15" hidden="1" customHeight="1">
      <c r="A675" s="71">
        <v>45245</v>
      </c>
      <c r="B675" t="s">
        <v>48</v>
      </c>
      <c r="C675" t="s">
        <v>757</v>
      </c>
      <c r="D675" s="3">
        <v>215725</v>
      </c>
      <c r="E675" t="s">
        <v>758</v>
      </c>
      <c r="F675" s="91">
        <v>11397</v>
      </c>
      <c r="J675" t="s">
        <v>759</v>
      </c>
    </row>
    <row r="676" spans="1:10" ht="15" hidden="1" customHeight="1">
      <c r="A676" s="71">
        <v>45246</v>
      </c>
      <c r="B676" t="s">
        <v>167</v>
      </c>
      <c r="C676" t="s">
        <v>757</v>
      </c>
      <c r="D676" s="3">
        <v>6085</v>
      </c>
      <c r="E676" t="s">
        <v>758</v>
      </c>
      <c r="F676" s="91">
        <v>10872</v>
      </c>
      <c r="J676" t="s">
        <v>759</v>
      </c>
    </row>
    <row r="677" spans="1:10" ht="15" hidden="1" customHeight="1">
      <c r="A677" s="71">
        <v>45246</v>
      </c>
      <c r="B677" t="s">
        <v>74</v>
      </c>
      <c r="C677" t="s">
        <v>757</v>
      </c>
      <c r="E677" t="s">
        <v>758</v>
      </c>
      <c r="F677" s="91">
        <v>11173</v>
      </c>
      <c r="J677" t="s">
        <v>759</v>
      </c>
    </row>
    <row r="678" spans="1:10" ht="15" hidden="1" customHeight="1">
      <c r="A678" s="71">
        <v>45246</v>
      </c>
      <c r="B678" t="s">
        <v>74</v>
      </c>
      <c r="C678" t="s">
        <v>757</v>
      </c>
      <c r="D678" s="3">
        <v>395318</v>
      </c>
      <c r="E678" t="s">
        <v>758</v>
      </c>
      <c r="F678" s="91">
        <v>11073</v>
      </c>
      <c r="J678" t="s">
        <v>759</v>
      </c>
    </row>
    <row r="679" spans="1:10" ht="15" hidden="1" customHeight="1">
      <c r="A679" s="71">
        <v>45254</v>
      </c>
      <c r="B679" t="s">
        <v>152</v>
      </c>
      <c r="C679" t="s">
        <v>757</v>
      </c>
      <c r="D679" s="3">
        <v>313827</v>
      </c>
      <c r="E679" t="s">
        <v>758</v>
      </c>
      <c r="F679" s="91">
        <v>10288</v>
      </c>
      <c r="J679" t="s">
        <v>759</v>
      </c>
    </row>
    <row r="680" spans="1:10" ht="15" hidden="1" customHeight="1">
      <c r="A680" s="71">
        <v>45258</v>
      </c>
      <c r="B680" t="s">
        <v>599</v>
      </c>
      <c r="C680" t="s">
        <v>757</v>
      </c>
      <c r="E680" t="s">
        <v>758</v>
      </c>
      <c r="F680" s="91">
        <v>10303</v>
      </c>
      <c r="J680" t="s">
        <v>759</v>
      </c>
    </row>
    <row r="681" spans="1:10" ht="15" hidden="1" customHeight="1">
      <c r="A681" s="71">
        <v>45264</v>
      </c>
      <c r="B681" t="s">
        <v>42</v>
      </c>
      <c r="C681" t="s">
        <v>757</v>
      </c>
      <c r="D681" s="3">
        <v>151543</v>
      </c>
      <c r="E681" t="s">
        <v>758</v>
      </c>
      <c r="F681" s="91">
        <v>10533</v>
      </c>
      <c r="J681" t="s">
        <v>759</v>
      </c>
    </row>
    <row r="682" spans="1:10" ht="15" hidden="1" customHeight="1">
      <c r="A682" s="71">
        <v>45265</v>
      </c>
      <c r="B682" t="s">
        <v>421</v>
      </c>
      <c r="C682" t="s">
        <v>757</v>
      </c>
      <c r="D682" s="3">
        <v>5065</v>
      </c>
      <c r="E682" t="s">
        <v>758</v>
      </c>
      <c r="F682" s="91">
        <v>11144</v>
      </c>
      <c r="J682" t="s">
        <v>759</v>
      </c>
    </row>
    <row r="683" spans="1:10" ht="15" hidden="1" customHeight="1">
      <c r="A683" s="71">
        <v>45267</v>
      </c>
      <c r="B683" t="s">
        <v>362</v>
      </c>
      <c r="C683" t="s">
        <v>757</v>
      </c>
      <c r="D683" s="3">
        <v>13008</v>
      </c>
      <c r="E683" t="s">
        <v>758</v>
      </c>
      <c r="F683" s="91">
        <v>10876</v>
      </c>
      <c r="J683" t="s">
        <v>759</v>
      </c>
    </row>
    <row r="684" spans="1:10" ht="15" hidden="1" customHeight="1">
      <c r="A684" s="71">
        <v>45267</v>
      </c>
      <c r="B684" t="s">
        <v>346</v>
      </c>
      <c r="C684" t="s">
        <v>757</v>
      </c>
      <c r="D684" s="3">
        <v>7115</v>
      </c>
      <c r="E684" t="s">
        <v>758</v>
      </c>
      <c r="F684" s="91">
        <v>10877</v>
      </c>
      <c r="J684" t="s">
        <v>759</v>
      </c>
    </row>
    <row r="685" spans="1:10" ht="15" hidden="1" customHeight="1">
      <c r="A685" s="71">
        <v>45272</v>
      </c>
      <c r="B685" t="s">
        <v>412</v>
      </c>
      <c r="C685" t="s">
        <v>757</v>
      </c>
      <c r="D685" s="3">
        <v>1663</v>
      </c>
      <c r="E685" t="s">
        <v>758</v>
      </c>
      <c r="F685" s="91">
        <v>11149</v>
      </c>
      <c r="J685" t="s">
        <v>759</v>
      </c>
    </row>
    <row r="686" spans="1:10" ht="15" hidden="1" customHeight="1">
      <c r="A686" s="71">
        <v>45273</v>
      </c>
      <c r="B686" t="s">
        <v>171</v>
      </c>
      <c r="C686" t="s">
        <v>757</v>
      </c>
      <c r="D686" s="3">
        <v>5641</v>
      </c>
      <c r="E686" t="s">
        <v>758</v>
      </c>
      <c r="F686" s="91">
        <v>11150</v>
      </c>
      <c r="J686" t="s">
        <v>759</v>
      </c>
    </row>
    <row r="687" spans="1:10" ht="15" hidden="1" customHeight="1">
      <c r="A687" s="71">
        <v>45273</v>
      </c>
      <c r="B687" t="s">
        <v>328</v>
      </c>
      <c r="C687" t="s">
        <v>757</v>
      </c>
      <c r="D687" s="3">
        <v>8117</v>
      </c>
      <c r="E687" t="s">
        <v>758</v>
      </c>
      <c r="F687" s="91">
        <v>10053</v>
      </c>
      <c r="J687" t="s">
        <v>759</v>
      </c>
    </row>
    <row r="688" spans="1:10" ht="15" hidden="1" customHeight="1">
      <c r="A688" s="71">
        <v>45279</v>
      </c>
      <c r="B688" t="s">
        <v>388</v>
      </c>
      <c r="C688" t="s">
        <v>757</v>
      </c>
      <c r="D688" s="3">
        <v>11784</v>
      </c>
      <c r="E688" t="s">
        <v>758</v>
      </c>
      <c r="F688" s="91">
        <v>10544</v>
      </c>
      <c r="J688" t="s">
        <v>759</v>
      </c>
    </row>
    <row r="689" spans="1:10" ht="15" hidden="1" customHeight="1">
      <c r="A689" s="71">
        <v>45281</v>
      </c>
      <c r="B689" t="s">
        <v>409</v>
      </c>
      <c r="C689" t="s">
        <v>757</v>
      </c>
      <c r="D689" s="3">
        <v>9995</v>
      </c>
      <c r="E689" t="s">
        <v>758</v>
      </c>
      <c r="F689" s="91">
        <v>10294</v>
      </c>
      <c r="J689" t="s">
        <v>759</v>
      </c>
    </row>
    <row r="690" spans="1:10" ht="15" hidden="1" customHeight="1">
      <c r="A690" s="71">
        <v>45282</v>
      </c>
      <c r="B690" t="s">
        <v>369</v>
      </c>
      <c r="C690" t="s">
        <v>757</v>
      </c>
      <c r="D690" s="3">
        <v>11107</v>
      </c>
      <c r="E690" t="s">
        <v>758</v>
      </c>
      <c r="F690" s="91">
        <v>10875</v>
      </c>
      <c r="J690" t="s">
        <v>759</v>
      </c>
    </row>
    <row r="691" spans="1:10" ht="15" hidden="1" customHeight="1">
      <c r="A691" s="71">
        <v>46079</v>
      </c>
      <c r="B691" t="s">
        <v>362</v>
      </c>
      <c r="C691" t="s">
        <v>757</v>
      </c>
      <c r="D691" s="3">
        <v>15874</v>
      </c>
      <c r="E691" t="s">
        <v>758</v>
      </c>
      <c r="F691" s="3">
        <v>17771</v>
      </c>
      <c r="J691" t="s">
        <v>759</v>
      </c>
    </row>
    <row r="692" spans="1:10" ht="15" hidden="1" customHeight="1">
      <c r="A692" s="71"/>
      <c r="J692" t="s">
        <v>759</v>
      </c>
    </row>
    <row r="693" spans="1:10" ht="15" hidden="1" customHeight="1">
      <c r="A693" s="71">
        <v>46196</v>
      </c>
      <c r="B693" t="s">
        <v>346</v>
      </c>
      <c r="C693" t="s">
        <v>757</v>
      </c>
      <c r="D693" s="3">
        <v>1994</v>
      </c>
      <c r="E693" t="s">
        <v>758</v>
      </c>
      <c r="F693" s="3">
        <v>17768</v>
      </c>
      <c r="J693" t="s">
        <v>759</v>
      </c>
    </row>
    <row r="694" spans="1:10" ht="15" hidden="1" customHeight="1">
      <c r="A694" s="71"/>
      <c r="J694" t="s">
        <v>759</v>
      </c>
    </row>
    <row r="695" spans="1:10" ht="15" hidden="1" customHeight="1">
      <c r="A695" s="71">
        <v>44734</v>
      </c>
      <c r="B695" t="s">
        <v>19</v>
      </c>
      <c r="C695" t="s">
        <v>757</v>
      </c>
      <c r="D695" s="3">
        <v>9678</v>
      </c>
      <c r="E695" t="s">
        <v>758</v>
      </c>
      <c r="F695" s="3">
        <v>17228</v>
      </c>
      <c r="J695" t="s">
        <v>759</v>
      </c>
    </row>
    <row r="696" spans="1:10" ht="15" hidden="1" customHeight="1">
      <c r="A696" s="71">
        <v>46197</v>
      </c>
      <c r="B696" t="s">
        <v>19</v>
      </c>
      <c r="C696" t="s">
        <v>757</v>
      </c>
      <c r="D696" s="3">
        <v>11042</v>
      </c>
      <c r="E696" t="s">
        <v>758</v>
      </c>
      <c r="F696" s="3">
        <v>17769</v>
      </c>
      <c r="J696" t="s">
        <v>759</v>
      </c>
    </row>
    <row r="697" spans="1:10" ht="15" hidden="1" customHeight="1">
      <c r="A697" s="71">
        <v>46210</v>
      </c>
      <c r="B697" t="s">
        <v>507</v>
      </c>
      <c r="C697" t="s">
        <v>760</v>
      </c>
      <c r="D697" s="3">
        <v>119305</v>
      </c>
      <c r="E697" t="s">
        <v>758</v>
      </c>
      <c r="J697" t="s">
        <v>759</v>
      </c>
    </row>
    <row r="698" spans="1:10" ht="15" hidden="1" customHeight="1">
      <c r="A698" s="71">
        <v>46218</v>
      </c>
      <c r="B698" t="s">
        <v>104</v>
      </c>
      <c r="C698" t="s">
        <v>760</v>
      </c>
      <c r="D698" s="3">
        <v>141910</v>
      </c>
      <c r="E698" t="s">
        <v>758</v>
      </c>
      <c r="G698" t="s">
        <v>37</v>
      </c>
      <c r="J698" t="s">
        <v>759</v>
      </c>
    </row>
    <row r="699" spans="1:10" ht="15" hidden="1" customHeight="1">
      <c r="A699" s="71">
        <v>46224</v>
      </c>
      <c r="B699" t="s">
        <v>555</v>
      </c>
      <c r="C699" t="s">
        <v>760</v>
      </c>
      <c r="D699" s="3">
        <v>40195</v>
      </c>
      <c r="E699" t="s">
        <v>758</v>
      </c>
      <c r="G699" t="s">
        <v>37</v>
      </c>
      <c r="J699" t="s">
        <v>759</v>
      </c>
    </row>
    <row r="700" spans="1:10" ht="15" hidden="1" customHeight="1">
      <c r="A700" s="71">
        <v>46237</v>
      </c>
      <c r="B700" t="s">
        <v>536</v>
      </c>
      <c r="C700" t="s">
        <v>760</v>
      </c>
      <c r="D700" s="3">
        <v>87659</v>
      </c>
      <c r="E700" t="s">
        <v>758</v>
      </c>
      <c r="G700" t="s">
        <v>37</v>
      </c>
      <c r="J700" t="s">
        <v>759</v>
      </c>
    </row>
    <row r="701" spans="1:10" ht="15" hidden="1" customHeight="1">
      <c r="A701" s="71">
        <v>46230</v>
      </c>
      <c r="B701" t="s">
        <v>388</v>
      </c>
      <c r="C701" t="s">
        <v>807</v>
      </c>
      <c r="D701" s="3">
        <v>13312</v>
      </c>
      <c r="E701" t="s">
        <v>758</v>
      </c>
      <c r="G701" t="s">
        <v>37</v>
      </c>
      <c r="J701" t="s">
        <v>759</v>
      </c>
    </row>
    <row r="702" spans="1:10" ht="15" hidden="1" customHeight="1">
      <c r="A702" s="71">
        <v>46234</v>
      </c>
      <c r="B702" t="s">
        <v>486</v>
      </c>
      <c r="C702" t="s">
        <v>760</v>
      </c>
      <c r="D702" s="3">
        <v>93023</v>
      </c>
      <c r="E702" t="s">
        <v>758</v>
      </c>
      <c r="G702" t="s">
        <v>37</v>
      </c>
      <c r="J702" t="s">
        <v>759</v>
      </c>
    </row>
    <row r="703" spans="1:10" ht="15" hidden="1" customHeight="1">
      <c r="A703" s="71">
        <v>46219</v>
      </c>
      <c r="B703" t="s">
        <v>625</v>
      </c>
      <c r="C703" t="s">
        <v>760</v>
      </c>
      <c r="D703" s="3">
        <v>315000</v>
      </c>
      <c r="E703" t="s">
        <v>758</v>
      </c>
      <c r="G703" t="s">
        <v>772</v>
      </c>
      <c r="J703" t="s">
        <v>759</v>
      </c>
    </row>
    <row r="704" spans="1:10" ht="15" hidden="1" customHeight="1">
      <c r="A704" s="71">
        <v>45863</v>
      </c>
      <c r="B704" t="s">
        <v>546</v>
      </c>
      <c r="C704" t="s">
        <v>760</v>
      </c>
      <c r="D704" s="3">
        <v>25771</v>
      </c>
      <c r="E704" t="s">
        <v>758</v>
      </c>
      <c r="F704" s="3">
        <v>205005573</v>
      </c>
      <c r="G704" t="s">
        <v>769</v>
      </c>
      <c r="I704" s="9">
        <v>330802</v>
      </c>
      <c r="J704" t="s">
        <v>759</v>
      </c>
    </row>
    <row r="705" spans="1:10" ht="15" hidden="1" customHeight="1">
      <c r="A705" s="71">
        <v>45749</v>
      </c>
      <c r="B705" t="s">
        <v>546</v>
      </c>
      <c r="C705" t="s">
        <v>760</v>
      </c>
      <c r="D705" s="3">
        <v>10051</v>
      </c>
      <c r="E705" t="s">
        <v>758</v>
      </c>
      <c r="F705" s="3">
        <v>204841271</v>
      </c>
      <c r="G705" t="s">
        <v>769</v>
      </c>
      <c r="I705" s="9">
        <v>160919</v>
      </c>
      <c r="J705" t="s">
        <v>759</v>
      </c>
    </row>
    <row r="706" spans="1:10" ht="15" hidden="1" customHeight="1">
      <c r="A706" s="71">
        <v>46055</v>
      </c>
      <c r="B706" t="s">
        <v>546</v>
      </c>
      <c r="C706" t="s">
        <v>760</v>
      </c>
      <c r="D706" s="3">
        <v>39680</v>
      </c>
      <c r="E706" t="s">
        <v>758</v>
      </c>
      <c r="F706" s="3">
        <v>16041</v>
      </c>
      <c r="G706" t="s">
        <v>772</v>
      </c>
      <c r="J706" t="s">
        <v>759</v>
      </c>
    </row>
    <row r="707" spans="1:10" ht="15" customHeight="1">
      <c r="A707" s="96">
        <v>45769</v>
      </c>
      <c r="B707" t="s">
        <v>444</v>
      </c>
      <c r="C707" t="s">
        <v>760</v>
      </c>
      <c r="D707" s="3">
        <v>507</v>
      </c>
      <c r="E707" t="s">
        <v>758</v>
      </c>
      <c r="H707" t="s">
        <v>808</v>
      </c>
      <c r="I707" s="9">
        <v>488574.38</v>
      </c>
      <c r="J707" t="s">
        <v>759</v>
      </c>
    </row>
    <row r="708" spans="1:10" ht="15" customHeight="1">
      <c r="A708" s="96">
        <v>45565</v>
      </c>
      <c r="B708" t="s">
        <v>444</v>
      </c>
      <c r="C708" t="s">
        <v>760</v>
      </c>
      <c r="D708" s="3">
        <v>248</v>
      </c>
      <c r="E708" t="s">
        <v>758</v>
      </c>
      <c r="H708" t="s">
        <v>808</v>
      </c>
      <c r="I708" s="9">
        <v>338567</v>
      </c>
      <c r="J708" t="s">
        <v>759</v>
      </c>
    </row>
    <row r="709" spans="1:10" ht="15" customHeight="1">
      <c r="A709" s="96">
        <v>45844</v>
      </c>
      <c r="B709" t="s">
        <v>444</v>
      </c>
      <c r="C709" t="s">
        <v>757</v>
      </c>
      <c r="D709" s="3">
        <v>1014</v>
      </c>
      <c r="E709" t="s">
        <v>758</v>
      </c>
      <c r="H709" t="s">
        <v>808</v>
      </c>
      <c r="I709" s="9">
        <v>309677</v>
      </c>
      <c r="J709" t="s">
        <v>759</v>
      </c>
    </row>
    <row r="710" spans="1:10" ht="15" customHeight="1">
      <c r="A710" s="96">
        <v>45933</v>
      </c>
      <c r="B710" t="s">
        <v>444</v>
      </c>
      <c r="C710" t="s">
        <v>760</v>
      </c>
      <c r="D710" s="3">
        <v>1480</v>
      </c>
      <c r="E710" t="s">
        <v>758</v>
      </c>
      <c r="H710" t="s">
        <v>808</v>
      </c>
      <c r="I710" s="9">
        <v>342000</v>
      </c>
      <c r="J710" t="s">
        <v>759</v>
      </c>
    </row>
    <row r="711" spans="1:10" ht="15" customHeight="1">
      <c r="A711" s="96">
        <v>46081</v>
      </c>
      <c r="B711" t="s">
        <v>444</v>
      </c>
      <c r="C711" t="s">
        <v>757</v>
      </c>
      <c r="D711" s="3">
        <v>1889</v>
      </c>
      <c r="E711" t="s">
        <v>758</v>
      </c>
      <c r="G711" t="s">
        <v>33</v>
      </c>
      <c r="H711" t="s">
        <v>46</v>
      </c>
      <c r="J711" t="s">
        <v>759</v>
      </c>
    </row>
  </sheetData>
  <mergeCells count="1">
    <mergeCell ref="A1:J1"/>
  </mergeCells>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225" activePane="bottomLeft" state="frozen"/>
      <selection pane="bottomLeft" activeCell="A357" sqref="A357:A362"/>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7" t="s">
        <v>809</v>
      </c>
      <c r="B1" s="97"/>
      <c r="C1" s="97"/>
      <c r="D1" s="97"/>
      <c r="E1" s="97"/>
      <c r="F1" s="97"/>
      <c r="G1" s="97"/>
      <c r="H1" s="97"/>
    </row>
    <row r="3" spans="1:8">
      <c r="A3" s="7" t="s">
        <v>670</v>
      </c>
      <c r="B3" s="1" t="s">
        <v>810</v>
      </c>
      <c r="C3" s="1" t="s">
        <v>1</v>
      </c>
      <c r="D3" s="1" t="s">
        <v>811</v>
      </c>
      <c r="E3" s="1" t="s">
        <v>812</v>
      </c>
      <c r="F3" s="1" t="s">
        <v>813</v>
      </c>
      <c r="G3" s="1" t="s">
        <v>814</v>
      </c>
      <c r="H3" s="1" t="s">
        <v>815</v>
      </c>
    </row>
    <row r="4" spans="1:8">
      <c r="A4" s="92">
        <v>46065.519203044001</v>
      </c>
      <c r="B4" s="93" t="s">
        <v>816</v>
      </c>
      <c r="C4" t="s">
        <v>507</v>
      </c>
      <c r="D4" s="93" t="s">
        <v>817</v>
      </c>
      <c r="E4" s="93" t="s">
        <v>766</v>
      </c>
      <c r="F4" s="94">
        <v>32201.4</v>
      </c>
      <c r="G4" s="41" t="s">
        <v>818</v>
      </c>
      <c r="H4" s="42" t="s">
        <v>819</v>
      </c>
    </row>
    <row r="5" spans="1:8">
      <c r="A5" s="92">
        <v>46065.519203044001</v>
      </c>
      <c r="B5" s="93" t="s">
        <v>816</v>
      </c>
      <c r="C5" t="s">
        <v>512</v>
      </c>
      <c r="D5" s="93" t="s">
        <v>817</v>
      </c>
      <c r="E5" s="93" t="s">
        <v>766</v>
      </c>
      <c r="F5" s="94">
        <v>32201.4</v>
      </c>
      <c r="G5" s="41" t="s">
        <v>818</v>
      </c>
      <c r="H5" s="42" t="s">
        <v>819</v>
      </c>
    </row>
    <row r="6" spans="1:8">
      <c r="A6" s="92">
        <v>46065.519203044001</v>
      </c>
      <c r="B6" s="93" t="s">
        <v>816</v>
      </c>
      <c r="C6" t="s">
        <v>514</v>
      </c>
      <c r="D6" s="93" t="s">
        <v>817</v>
      </c>
      <c r="E6" s="93" t="s">
        <v>766</v>
      </c>
      <c r="F6" s="94">
        <v>32201.4</v>
      </c>
      <c r="G6" s="41" t="s">
        <v>818</v>
      </c>
      <c r="H6" s="42" t="s">
        <v>819</v>
      </c>
    </row>
    <row r="7" spans="1:8">
      <c r="A7" s="92">
        <v>46065.519203044001</v>
      </c>
      <c r="B7" s="93" t="s">
        <v>816</v>
      </c>
      <c r="C7" t="s">
        <v>516</v>
      </c>
      <c r="D7" s="93" t="s">
        <v>817</v>
      </c>
      <c r="E7" s="93" t="s">
        <v>766</v>
      </c>
      <c r="F7" s="94">
        <v>32201.4</v>
      </c>
      <c r="G7" s="41" t="s">
        <v>818</v>
      </c>
      <c r="H7" s="42" t="s">
        <v>819</v>
      </c>
    </row>
    <row r="8" spans="1:8">
      <c r="A8" s="92">
        <v>46065.519203044001</v>
      </c>
      <c r="B8" s="93" t="s">
        <v>816</v>
      </c>
      <c r="C8" t="s">
        <v>519</v>
      </c>
      <c r="D8" s="93" t="s">
        <v>817</v>
      </c>
      <c r="E8" s="93" t="s">
        <v>766</v>
      </c>
      <c r="F8" s="94">
        <v>32201.4</v>
      </c>
      <c r="G8" s="41" t="s">
        <v>818</v>
      </c>
      <c r="H8" s="42" t="s">
        <v>819</v>
      </c>
    </row>
    <row r="9" spans="1:8">
      <c r="A9" s="92">
        <v>46065.519203044001</v>
      </c>
      <c r="B9" s="93" t="s">
        <v>816</v>
      </c>
      <c r="C9" t="s">
        <v>521</v>
      </c>
      <c r="D9" s="93" t="s">
        <v>817</v>
      </c>
      <c r="E9" s="93" t="s">
        <v>766</v>
      </c>
      <c r="F9" s="94">
        <v>32201.4</v>
      </c>
      <c r="G9" s="41" t="s">
        <v>818</v>
      </c>
      <c r="H9" s="42" t="s">
        <v>819</v>
      </c>
    </row>
    <row r="10" spans="1:8">
      <c r="A10" s="92">
        <v>46065.519203044001</v>
      </c>
      <c r="B10" s="93" t="s">
        <v>816</v>
      </c>
      <c r="C10" t="s">
        <v>523</v>
      </c>
      <c r="D10" s="93" t="s">
        <v>817</v>
      </c>
      <c r="E10" s="93" t="s">
        <v>766</v>
      </c>
      <c r="F10" s="94">
        <v>32201.4</v>
      </c>
      <c r="G10" s="41" t="s">
        <v>818</v>
      </c>
      <c r="H10" s="42" t="s">
        <v>819</v>
      </c>
    </row>
    <row r="11" spans="1:8">
      <c r="A11" s="92">
        <v>46065.519203044001</v>
      </c>
      <c r="B11" s="93" t="s">
        <v>816</v>
      </c>
      <c r="C11" t="s">
        <v>525</v>
      </c>
      <c r="D11" s="93" t="s">
        <v>817</v>
      </c>
      <c r="E11" s="93" t="s">
        <v>766</v>
      </c>
      <c r="F11" s="94">
        <v>32201.4</v>
      </c>
      <c r="G11" s="41" t="s">
        <v>818</v>
      </c>
      <c r="H11" s="42" t="s">
        <v>819</v>
      </c>
    </row>
    <row r="12" spans="1:8">
      <c r="A12" s="92">
        <v>46065.519203044001</v>
      </c>
      <c r="B12" s="93" t="s">
        <v>816</v>
      </c>
      <c r="C12" t="s">
        <v>527</v>
      </c>
      <c r="D12" s="93" t="s">
        <v>817</v>
      </c>
      <c r="E12" s="93" t="s">
        <v>766</v>
      </c>
      <c r="F12" s="94">
        <v>32201.4</v>
      </c>
      <c r="G12" s="41" t="s">
        <v>818</v>
      </c>
      <c r="H12" s="42" t="s">
        <v>819</v>
      </c>
    </row>
    <row r="13" spans="1:8">
      <c r="A13" s="92">
        <v>46065.519203044001</v>
      </c>
      <c r="B13" s="93" t="s">
        <v>816</v>
      </c>
      <c r="C13" t="s">
        <v>529</v>
      </c>
      <c r="D13" s="93" t="s">
        <v>817</v>
      </c>
      <c r="E13" s="93" t="s">
        <v>766</v>
      </c>
      <c r="F13" s="94">
        <v>32201.4</v>
      </c>
      <c r="G13" s="41" t="s">
        <v>818</v>
      </c>
      <c r="H13" s="42" t="s">
        <v>819</v>
      </c>
    </row>
    <row r="14" spans="1:8">
      <c r="A14" s="71">
        <v>46069.447153738402</v>
      </c>
      <c r="B14" t="s">
        <v>820</v>
      </c>
      <c r="C14" t="s">
        <v>167</v>
      </c>
      <c r="D14" t="s">
        <v>821</v>
      </c>
      <c r="E14" t="s">
        <v>766</v>
      </c>
      <c r="F14" s="35">
        <v>5764.6988000000001</v>
      </c>
      <c r="G14" t="s">
        <v>822</v>
      </c>
      <c r="H14" t="s">
        <v>819</v>
      </c>
    </row>
    <row r="15" spans="1:8">
      <c r="A15" s="71">
        <v>46069.447153738402</v>
      </c>
      <c r="B15" t="s">
        <v>820</v>
      </c>
      <c r="C15" t="s">
        <v>169</v>
      </c>
      <c r="D15" t="s">
        <v>821</v>
      </c>
      <c r="E15" t="s">
        <v>766</v>
      </c>
      <c r="F15" s="35">
        <v>5764.6988000000001</v>
      </c>
      <c r="G15" t="s">
        <v>822</v>
      </c>
      <c r="H15" t="s">
        <v>819</v>
      </c>
    </row>
    <row r="16" spans="1:8">
      <c r="A16" s="71">
        <v>46069.447153738402</v>
      </c>
      <c r="B16" t="s">
        <v>820</v>
      </c>
      <c r="C16" t="s">
        <v>171</v>
      </c>
      <c r="D16" t="s">
        <v>821</v>
      </c>
      <c r="E16" t="s">
        <v>766</v>
      </c>
      <c r="F16" s="35">
        <v>5764.6988000000001</v>
      </c>
      <c r="G16" t="s">
        <v>822</v>
      </c>
      <c r="H16" t="s">
        <v>819</v>
      </c>
    </row>
    <row r="17" spans="1:8">
      <c r="A17" s="71">
        <v>46069.447153738402</v>
      </c>
      <c r="B17" t="s">
        <v>820</v>
      </c>
      <c r="C17" t="s">
        <v>173</v>
      </c>
      <c r="D17" t="s">
        <v>821</v>
      </c>
      <c r="E17" t="s">
        <v>766</v>
      </c>
      <c r="F17" s="35">
        <v>5764.6988000000001</v>
      </c>
      <c r="G17" t="s">
        <v>822</v>
      </c>
      <c r="H17" t="s">
        <v>819</v>
      </c>
    </row>
    <row r="18" spans="1:8">
      <c r="A18" s="71">
        <v>46069.447153738402</v>
      </c>
      <c r="B18" t="s">
        <v>820</v>
      </c>
      <c r="C18" t="s">
        <v>180</v>
      </c>
      <c r="D18" t="s">
        <v>821</v>
      </c>
      <c r="E18" t="s">
        <v>766</v>
      </c>
      <c r="F18" s="35">
        <v>5764.6988000000001</v>
      </c>
      <c r="G18" t="s">
        <v>822</v>
      </c>
      <c r="H18" t="s">
        <v>819</v>
      </c>
    </row>
    <row r="19" spans="1:8">
      <c r="A19" s="71">
        <v>46069.447153738402</v>
      </c>
      <c r="B19" t="s">
        <v>820</v>
      </c>
      <c r="C19" t="s">
        <v>19</v>
      </c>
      <c r="D19" t="s">
        <v>821</v>
      </c>
      <c r="E19" t="s">
        <v>766</v>
      </c>
      <c r="F19" s="35">
        <v>5764.6988000000001</v>
      </c>
      <c r="G19" t="s">
        <v>822</v>
      </c>
      <c r="H19" t="s">
        <v>819</v>
      </c>
    </row>
    <row r="20" spans="1:8">
      <c r="A20" s="71">
        <v>46069.447153738402</v>
      </c>
      <c r="B20" t="s">
        <v>820</v>
      </c>
      <c r="C20" t="s">
        <v>29</v>
      </c>
      <c r="D20" t="s">
        <v>821</v>
      </c>
      <c r="E20" t="s">
        <v>766</v>
      </c>
      <c r="F20" s="35">
        <v>5764.6988000000001</v>
      </c>
      <c r="G20" t="s">
        <v>822</v>
      </c>
      <c r="H20" t="s">
        <v>819</v>
      </c>
    </row>
    <row r="21" spans="1:8">
      <c r="A21" s="71">
        <v>46069.447153738402</v>
      </c>
      <c r="B21" t="s">
        <v>820</v>
      </c>
      <c r="C21" t="s">
        <v>32</v>
      </c>
      <c r="D21" t="s">
        <v>821</v>
      </c>
      <c r="E21" t="s">
        <v>766</v>
      </c>
      <c r="F21" s="35">
        <v>5764.6988000000001</v>
      </c>
      <c r="G21" t="s">
        <v>822</v>
      </c>
      <c r="H21" t="s">
        <v>819</v>
      </c>
    </row>
    <row r="22" spans="1:8">
      <c r="A22" s="71">
        <v>46069.447153738402</v>
      </c>
      <c r="B22" t="s">
        <v>820</v>
      </c>
      <c r="C22" t="s">
        <v>35</v>
      </c>
      <c r="D22" t="s">
        <v>821</v>
      </c>
      <c r="E22" t="s">
        <v>766</v>
      </c>
      <c r="F22" s="35">
        <v>5764.6988000000001</v>
      </c>
      <c r="G22" t="s">
        <v>822</v>
      </c>
      <c r="H22" t="s">
        <v>819</v>
      </c>
    </row>
    <row r="23" spans="1:8">
      <c r="A23" s="71">
        <v>46069.447153738402</v>
      </c>
      <c r="B23" t="s">
        <v>820</v>
      </c>
      <c r="C23" t="s">
        <v>36</v>
      </c>
      <c r="D23" t="s">
        <v>821</v>
      </c>
      <c r="E23" t="s">
        <v>766</v>
      </c>
      <c r="F23" s="35">
        <v>5764.6988000000001</v>
      </c>
      <c r="G23" t="s">
        <v>822</v>
      </c>
      <c r="H23" t="s">
        <v>819</v>
      </c>
    </row>
    <row r="24" spans="1:8">
      <c r="A24" s="71">
        <v>46069.447153738402</v>
      </c>
      <c r="B24" t="s">
        <v>820</v>
      </c>
      <c r="C24" t="s">
        <v>86</v>
      </c>
      <c r="D24" t="s">
        <v>821</v>
      </c>
      <c r="E24" t="s">
        <v>766</v>
      </c>
      <c r="F24" s="35">
        <v>5764.6988000000001</v>
      </c>
      <c r="G24" t="s">
        <v>822</v>
      </c>
      <c r="H24" t="s">
        <v>819</v>
      </c>
    </row>
    <row r="25" spans="1:8">
      <c r="A25" s="71">
        <v>46069.447153738402</v>
      </c>
      <c r="B25" t="s">
        <v>820</v>
      </c>
      <c r="C25" t="s">
        <v>89</v>
      </c>
      <c r="D25" t="s">
        <v>821</v>
      </c>
      <c r="E25" t="s">
        <v>766</v>
      </c>
      <c r="F25" s="35">
        <v>5764.6988000000001</v>
      </c>
      <c r="G25" t="s">
        <v>822</v>
      </c>
      <c r="H25" t="s">
        <v>819</v>
      </c>
    </row>
    <row r="26" spans="1:8">
      <c r="A26" s="71">
        <v>46069.447153738402</v>
      </c>
      <c r="B26" t="s">
        <v>820</v>
      </c>
      <c r="C26" t="s">
        <v>91</v>
      </c>
      <c r="D26" t="s">
        <v>821</v>
      </c>
      <c r="E26" t="s">
        <v>766</v>
      </c>
      <c r="F26" s="35">
        <v>5764.6988000000001</v>
      </c>
      <c r="G26" t="s">
        <v>822</v>
      </c>
      <c r="H26" t="s">
        <v>819</v>
      </c>
    </row>
    <row r="27" spans="1:8">
      <c r="A27" s="71">
        <v>46069.447153738402</v>
      </c>
      <c r="B27" t="s">
        <v>820</v>
      </c>
      <c r="C27" t="s">
        <v>93</v>
      </c>
      <c r="D27" t="s">
        <v>821</v>
      </c>
      <c r="E27" t="s">
        <v>766</v>
      </c>
      <c r="F27" s="35">
        <v>5764.6988000000001</v>
      </c>
      <c r="G27" t="s">
        <v>822</v>
      </c>
      <c r="H27" t="s">
        <v>819</v>
      </c>
    </row>
    <row r="28" spans="1:8">
      <c r="A28" s="71">
        <v>46069.447153738402</v>
      </c>
      <c r="B28" t="s">
        <v>820</v>
      </c>
      <c r="C28" t="s">
        <v>167</v>
      </c>
      <c r="D28" t="s">
        <v>821</v>
      </c>
      <c r="E28" t="s">
        <v>766</v>
      </c>
      <c r="F28" s="35">
        <v>5764.6988000000001</v>
      </c>
      <c r="G28" t="s">
        <v>822</v>
      </c>
      <c r="H28" t="s">
        <v>819</v>
      </c>
    </row>
    <row r="29" spans="1:8">
      <c r="A29" s="71">
        <v>46069.447153738402</v>
      </c>
      <c r="B29" t="s">
        <v>820</v>
      </c>
      <c r="C29" t="s">
        <v>169</v>
      </c>
      <c r="D29" t="s">
        <v>821</v>
      </c>
      <c r="E29" t="s">
        <v>766</v>
      </c>
      <c r="F29" s="35">
        <v>5764.6988000000001</v>
      </c>
      <c r="G29" t="s">
        <v>822</v>
      </c>
      <c r="H29" t="s">
        <v>819</v>
      </c>
    </row>
    <row r="30" spans="1:8">
      <c r="A30" s="71">
        <v>46069.447153738402</v>
      </c>
      <c r="B30" t="s">
        <v>820</v>
      </c>
      <c r="C30" t="s">
        <v>171</v>
      </c>
      <c r="D30" t="s">
        <v>821</v>
      </c>
      <c r="E30" t="s">
        <v>766</v>
      </c>
      <c r="F30" s="35">
        <v>5764.6988000000001</v>
      </c>
      <c r="G30" t="s">
        <v>822</v>
      </c>
      <c r="H30" t="s">
        <v>819</v>
      </c>
    </row>
    <row r="31" spans="1:8">
      <c r="A31" s="71">
        <v>46069.640180520801</v>
      </c>
      <c r="B31" t="s">
        <v>823</v>
      </c>
      <c r="C31" t="str">
        <f>_xlfn.TEXTAFTER(TRIM(tblComprasPM[[#This Row],[Descripcion]]), " ", -1)</f>
        <v>CD-69</v>
      </c>
      <c r="D31" t="s">
        <v>824</v>
      </c>
      <c r="E31" t="s">
        <v>765</v>
      </c>
      <c r="F31" s="35">
        <v>162393.35</v>
      </c>
      <c r="G31" t="s">
        <v>818</v>
      </c>
      <c r="H31" t="s">
        <v>819</v>
      </c>
    </row>
    <row r="32" spans="1:8">
      <c r="A32" s="71">
        <v>46070.7495109144</v>
      </c>
      <c r="B32" t="s">
        <v>825</v>
      </c>
      <c r="C32" t="str">
        <f>_xlfn.TEXTAFTER(TRIM(tblComprasPM[[#This Row],[Descripcion]]), " ", -1)</f>
        <v>CD-45</v>
      </c>
      <c r="D32" t="s">
        <v>826</v>
      </c>
      <c r="E32" t="s">
        <v>765</v>
      </c>
      <c r="F32" s="35">
        <v>108651.76</v>
      </c>
      <c r="G32" t="s">
        <v>818</v>
      </c>
      <c r="H32" t="s">
        <v>819</v>
      </c>
    </row>
    <row r="33" spans="1:8">
      <c r="A33" s="71">
        <v>46071.352886226901</v>
      </c>
      <c r="B33" t="s">
        <v>827</v>
      </c>
      <c r="C33" t="str">
        <f>_xlfn.TEXTAFTER(TRIM(tblComprasPM[[#This Row],[Descripcion]]), " ", -1)</f>
        <v>CD-45</v>
      </c>
      <c r="D33" t="s">
        <v>826</v>
      </c>
      <c r="E33" t="s">
        <v>828</v>
      </c>
      <c r="F33" s="35">
        <v>59673.74</v>
      </c>
      <c r="G33" t="s">
        <v>818</v>
      </c>
      <c r="H33" t="s">
        <v>829</v>
      </c>
    </row>
    <row r="34" spans="1:8">
      <c r="A34" s="71">
        <v>46071.627082372703</v>
      </c>
      <c r="B34" t="s">
        <v>830</v>
      </c>
      <c r="C34" t="str">
        <f>_xlfn.TEXTAFTER(TRIM(tblComprasPM[[#This Row],[Descripcion]]), " ", -1)</f>
        <v>CD-119</v>
      </c>
      <c r="D34" t="s">
        <v>831</v>
      </c>
      <c r="E34" t="s">
        <v>771</v>
      </c>
      <c r="F34" s="35">
        <v>201663.35</v>
      </c>
      <c r="G34" t="s">
        <v>818</v>
      </c>
      <c r="H34" t="s">
        <v>819</v>
      </c>
    </row>
    <row r="35" spans="1:8">
      <c r="A35" s="71">
        <v>46072.422364780097</v>
      </c>
      <c r="B35" t="s">
        <v>832</v>
      </c>
      <c r="C35" t="str">
        <f>_xlfn.TEXTAFTER(TRIM(tblComprasPM[[#This Row],[Descripcion]]), " ", -1)</f>
        <v>CD-88</v>
      </c>
      <c r="D35" t="s">
        <v>833</v>
      </c>
      <c r="E35" t="s">
        <v>771</v>
      </c>
      <c r="F35" s="35">
        <v>402316.39</v>
      </c>
      <c r="G35" t="s">
        <v>818</v>
      </c>
      <c r="H35" t="s">
        <v>819</v>
      </c>
    </row>
    <row r="36" spans="1:8">
      <c r="A36" s="71">
        <v>46072.696969097196</v>
      </c>
      <c r="B36" t="s">
        <v>834</v>
      </c>
      <c r="C36" t="str">
        <f>_xlfn.TEXTAFTER(TRIM(tblComprasPM[[#This Row],[Descripcion]]), " ", -1)</f>
        <v>MD-84</v>
      </c>
      <c r="D36" t="s">
        <v>835</v>
      </c>
      <c r="E36" t="s">
        <v>828</v>
      </c>
      <c r="F36" s="35">
        <v>456581.58</v>
      </c>
      <c r="G36" t="s">
        <v>818</v>
      </c>
      <c r="H36" t="s">
        <v>829</v>
      </c>
    </row>
    <row r="37" spans="1:8">
      <c r="A37" s="71">
        <v>46073.410563310201</v>
      </c>
      <c r="B37" t="s">
        <v>836</v>
      </c>
      <c r="C37" t="s">
        <v>19</v>
      </c>
      <c r="D37" t="s">
        <v>837</v>
      </c>
      <c r="E37" t="s">
        <v>771</v>
      </c>
      <c r="F37" s="35">
        <v>13095.53</v>
      </c>
      <c r="G37" t="s">
        <v>822</v>
      </c>
      <c r="H37" t="s">
        <v>819</v>
      </c>
    </row>
    <row r="38" spans="1:8">
      <c r="A38" s="71">
        <v>46073.410563310201</v>
      </c>
      <c r="B38" t="s">
        <v>836</v>
      </c>
      <c r="C38" t="s">
        <v>29</v>
      </c>
      <c r="D38" t="s">
        <v>837</v>
      </c>
      <c r="E38" t="s">
        <v>771</v>
      </c>
      <c r="F38" s="35">
        <v>13095.53</v>
      </c>
      <c r="G38" t="s">
        <v>822</v>
      </c>
      <c r="H38" t="s">
        <v>819</v>
      </c>
    </row>
    <row r="39" spans="1:8">
      <c r="A39" s="71">
        <v>46073.410563310201</v>
      </c>
      <c r="B39" t="s">
        <v>836</v>
      </c>
      <c r="C39" t="s">
        <v>32</v>
      </c>
      <c r="D39" t="s">
        <v>837</v>
      </c>
      <c r="E39" t="s">
        <v>771</v>
      </c>
      <c r="F39" s="35">
        <v>13095.53</v>
      </c>
      <c r="G39" t="s">
        <v>822</v>
      </c>
      <c r="H39" t="s">
        <v>819</v>
      </c>
    </row>
    <row r="40" spans="1:8">
      <c r="A40" s="71">
        <v>46073.410563310201</v>
      </c>
      <c r="B40" t="s">
        <v>836</v>
      </c>
      <c r="C40" t="s">
        <v>35</v>
      </c>
      <c r="D40" t="s">
        <v>837</v>
      </c>
      <c r="E40" t="s">
        <v>771</v>
      </c>
      <c r="F40" s="35">
        <v>13095.53</v>
      </c>
      <c r="G40" t="s">
        <v>822</v>
      </c>
      <c r="H40" t="s">
        <v>819</v>
      </c>
    </row>
    <row r="41" spans="1:8">
      <c r="A41" s="71">
        <v>46073.410563310201</v>
      </c>
      <c r="B41" t="s">
        <v>836</v>
      </c>
      <c r="C41" t="s">
        <v>36</v>
      </c>
      <c r="D41" t="s">
        <v>837</v>
      </c>
      <c r="E41" t="s">
        <v>771</v>
      </c>
      <c r="F41" s="35">
        <v>13095.53</v>
      </c>
      <c r="G41" t="s">
        <v>822</v>
      </c>
      <c r="H41" t="s">
        <v>819</v>
      </c>
    </row>
    <row r="42" spans="1:8">
      <c r="A42" s="71">
        <v>46073.410563310201</v>
      </c>
      <c r="B42" t="s">
        <v>836</v>
      </c>
      <c r="C42" t="s">
        <v>86</v>
      </c>
      <c r="D42" t="s">
        <v>837</v>
      </c>
      <c r="E42" t="s">
        <v>771</v>
      </c>
      <c r="F42" s="35">
        <v>13095.53</v>
      </c>
      <c r="G42" t="s">
        <v>822</v>
      </c>
      <c r="H42" t="s">
        <v>819</v>
      </c>
    </row>
    <row r="43" spans="1:8">
      <c r="A43" s="71">
        <v>46073.410563310201</v>
      </c>
      <c r="B43" t="s">
        <v>836</v>
      </c>
      <c r="C43" t="s">
        <v>89</v>
      </c>
      <c r="D43" t="s">
        <v>837</v>
      </c>
      <c r="E43" t="s">
        <v>771</v>
      </c>
      <c r="F43" s="35">
        <v>13095.53</v>
      </c>
      <c r="G43" t="s">
        <v>822</v>
      </c>
      <c r="H43" t="s">
        <v>819</v>
      </c>
    </row>
    <row r="44" spans="1:8">
      <c r="A44" s="71">
        <v>46073.410563310201</v>
      </c>
      <c r="B44" t="s">
        <v>836</v>
      </c>
      <c r="C44" t="s">
        <v>91</v>
      </c>
      <c r="D44" t="s">
        <v>837</v>
      </c>
      <c r="E44" t="s">
        <v>771</v>
      </c>
      <c r="F44" s="35">
        <v>13095.53</v>
      </c>
      <c r="G44" t="s">
        <v>822</v>
      </c>
      <c r="H44" t="s">
        <v>819</v>
      </c>
    </row>
    <row r="45" spans="1:8">
      <c r="A45" s="71">
        <v>46073.410563310201</v>
      </c>
      <c r="B45" t="s">
        <v>836</v>
      </c>
      <c r="C45" t="s">
        <v>93</v>
      </c>
      <c r="D45" t="s">
        <v>837</v>
      </c>
      <c r="E45" t="s">
        <v>771</v>
      </c>
      <c r="F45" s="35">
        <v>13095.53</v>
      </c>
      <c r="G45" t="s">
        <v>822</v>
      </c>
      <c r="H45" t="s">
        <v>819</v>
      </c>
    </row>
    <row r="46" spans="1:8">
      <c r="A46" s="71">
        <v>46073.410563310201</v>
      </c>
      <c r="B46" t="s">
        <v>836</v>
      </c>
      <c r="C46" t="s">
        <v>167</v>
      </c>
      <c r="D46" t="s">
        <v>837</v>
      </c>
      <c r="E46" t="s">
        <v>771</v>
      </c>
      <c r="F46" s="35">
        <v>13095.53</v>
      </c>
      <c r="G46" t="s">
        <v>822</v>
      </c>
      <c r="H46" t="s">
        <v>819</v>
      </c>
    </row>
    <row r="47" spans="1:8">
      <c r="A47" s="71">
        <v>46073.410563310201</v>
      </c>
      <c r="B47" t="s">
        <v>836</v>
      </c>
      <c r="C47" t="s">
        <v>169</v>
      </c>
      <c r="D47" t="s">
        <v>837</v>
      </c>
      <c r="E47" t="s">
        <v>771</v>
      </c>
      <c r="F47" s="35">
        <v>13095.53</v>
      </c>
      <c r="G47" t="s">
        <v>822</v>
      </c>
      <c r="H47" t="s">
        <v>819</v>
      </c>
    </row>
    <row r="48" spans="1:8">
      <c r="A48" s="71">
        <v>46073.410563310201</v>
      </c>
      <c r="B48" t="s">
        <v>836</v>
      </c>
      <c r="C48" t="s">
        <v>171</v>
      </c>
      <c r="D48" t="s">
        <v>837</v>
      </c>
      <c r="E48" t="s">
        <v>771</v>
      </c>
      <c r="F48" s="35">
        <v>13095.53</v>
      </c>
      <c r="G48" t="s">
        <v>822</v>
      </c>
      <c r="H48" t="s">
        <v>819</v>
      </c>
    </row>
    <row r="49" spans="1:8">
      <c r="A49" s="71">
        <v>46073.410563310201</v>
      </c>
      <c r="B49" t="s">
        <v>836</v>
      </c>
      <c r="C49" t="s">
        <v>173</v>
      </c>
      <c r="D49" t="s">
        <v>837</v>
      </c>
      <c r="E49" t="s">
        <v>771</v>
      </c>
      <c r="F49" s="35">
        <v>13095.53</v>
      </c>
      <c r="G49" t="s">
        <v>822</v>
      </c>
      <c r="H49" t="s">
        <v>819</v>
      </c>
    </row>
    <row r="50" spans="1:8">
      <c r="A50" s="71">
        <v>46073.410563310201</v>
      </c>
      <c r="B50" t="s">
        <v>836</v>
      </c>
      <c r="C50" t="s">
        <v>180</v>
      </c>
      <c r="D50" t="s">
        <v>837</v>
      </c>
      <c r="E50" t="s">
        <v>771</v>
      </c>
      <c r="F50" s="35">
        <v>13095.53</v>
      </c>
      <c r="G50" t="s">
        <v>822</v>
      </c>
      <c r="H50" t="s">
        <v>819</v>
      </c>
    </row>
    <row r="51" spans="1:8">
      <c r="A51" s="71">
        <v>46073.410563310201</v>
      </c>
      <c r="B51" t="s">
        <v>836</v>
      </c>
      <c r="C51" t="s">
        <v>169</v>
      </c>
      <c r="D51" t="s">
        <v>837</v>
      </c>
      <c r="E51" t="s">
        <v>771</v>
      </c>
      <c r="F51" s="35">
        <v>13095.53</v>
      </c>
      <c r="G51" t="s">
        <v>822</v>
      </c>
      <c r="H51" t="s">
        <v>819</v>
      </c>
    </row>
    <row r="52" spans="1:8">
      <c r="A52" s="71">
        <v>46073.410563310201</v>
      </c>
      <c r="B52" t="s">
        <v>836</v>
      </c>
      <c r="C52" t="s">
        <v>171</v>
      </c>
      <c r="D52" t="s">
        <v>837</v>
      </c>
      <c r="E52" t="s">
        <v>771</v>
      </c>
      <c r="F52" s="35">
        <v>13095.53</v>
      </c>
      <c r="G52" t="s">
        <v>822</v>
      </c>
      <c r="H52" t="s">
        <v>819</v>
      </c>
    </row>
    <row r="53" spans="1:8">
      <c r="A53" s="71">
        <v>46073.410563310201</v>
      </c>
      <c r="B53" t="s">
        <v>836</v>
      </c>
      <c r="C53" t="s">
        <v>173</v>
      </c>
      <c r="D53" t="s">
        <v>837</v>
      </c>
      <c r="E53" t="s">
        <v>771</v>
      </c>
      <c r="F53" s="35">
        <v>13095.53</v>
      </c>
      <c r="G53" t="s">
        <v>822</v>
      </c>
      <c r="H53" t="s">
        <v>819</v>
      </c>
    </row>
    <row r="54" spans="1:8">
      <c r="A54" s="71">
        <v>46073.523869641198</v>
      </c>
      <c r="B54" t="s">
        <v>838</v>
      </c>
      <c r="C54" t="str">
        <f>_xlfn.TEXTAFTER(TRIM(tblComprasPM[[#This Row],[Descripcion]]), " ", -1)</f>
        <v>VD-29</v>
      </c>
      <c r="D54" t="s">
        <v>839</v>
      </c>
      <c r="E54" t="s">
        <v>770</v>
      </c>
      <c r="F54" s="35">
        <v>61356.4</v>
      </c>
      <c r="G54" t="s">
        <v>818</v>
      </c>
      <c r="H54" t="s">
        <v>819</v>
      </c>
    </row>
    <row r="55" spans="1:8">
      <c r="A55" s="71">
        <v>46073.540666631998</v>
      </c>
      <c r="B55" t="s">
        <v>840</v>
      </c>
      <c r="C55" t="s">
        <v>35</v>
      </c>
      <c r="D55" t="s">
        <v>841</v>
      </c>
      <c r="E55" t="s">
        <v>842</v>
      </c>
      <c r="F55" s="35">
        <v>7700</v>
      </c>
      <c r="G55" t="s">
        <v>822</v>
      </c>
      <c r="H55" t="s">
        <v>819</v>
      </c>
    </row>
    <row r="56" spans="1:8">
      <c r="A56" s="71">
        <v>46073.540666631998</v>
      </c>
      <c r="B56" t="s">
        <v>840</v>
      </c>
      <c r="C56" t="s">
        <v>36</v>
      </c>
      <c r="D56" t="s">
        <v>841</v>
      </c>
      <c r="E56" t="s">
        <v>842</v>
      </c>
      <c r="F56" s="35">
        <v>7700</v>
      </c>
      <c r="G56" t="s">
        <v>822</v>
      </c>
      <c r="H56" t="s">
        <v>819</v>
      </c>
    </row>
    <row r="57" spans="1:8">
      <c r="A57" s="71">
        <v>46073.540666631998</v>
      </c>
      <c r="B57" t="s">
        <v>840</v>
      </c>
      <c r="C57" t="s">
        <v>86</v>
      </c>
      <c r="D57" t="s">
        <v>841</v>
      </c>
      <c r="E57" t="s">
        <v>842</v>
      </c>
      <c r="F57" s="35">
        <v>7700</v>
      </c>
      <c r="G57" t="s">
        <v>822</v>
      </c>
      <c r="H57" t="s">
        <v>819</v>
      </c>
    </row>
    <row r="58" spans="1:8">
      <c r="A58" s="71">
        <v>46073.540666631998</v>
      </c>
      <c r="B58" t="s">
        <v>840</v>
      </c>
      <c r="C58" t="s">
        <v>89</v>
      </c>
      <c r="D58" t="s">
        <v>841</v>
      </c>
      <c r="E58" t="s">
        <v>842</v>
      </c>
      <c r="F58" s="35">
        <v>7700</v>
      </c>
      <c r="G58" t="s">
        <v>822</v>
      </c>
      <c r="H58" t="s">
        <v>819</v>
      </c>
    </row>
    <row r="59" spans="1:8">
      <c r="A59" s="71">
        <v>46073.540666631998</v>
      </c>
      <c r="B59" t="s">
        <v>840</v>
      </c>
      <c r="C59" t="s">
        <v>91</v>
      </c>
      <c r="D59" t="s">
        <v>841</v>
      </c>
      <c r="E59" t="s">
        <v>842</v>
      </c>
      <c r="F59" s="35">
        <v>7700</v>
      </c>
      <c r="G59" t="s">
        <v>822</v>
      </c>
      <c r="H59" t="s">
        <v>819</v>
      </c>
    </row>
    <row r="60" spans="1:8">
      <c r="A60" s="71">
        <v>46073.540666631998</v>
      </c>
      <c r="B60" t="s">
        <v>840</v>
      </c>
      <c r="C60" t="s">
        <v>93</v>
      </c>
      <c r="D60" t="s">
        <v>841</v>
      </c>
      <c r="E60" t="s">
        <v>842</v>
      </c>
      <c r="F60" s="35">
        <v>7700</v>
      </c>
      <c r="G60" t="s">
        <v>822</v>
      </c>
      <c r="H60" t="s">
        <v>819</v>
      </c>
    </row>
    <row r="61" spans="1:8">
      <c r="A61" s="71">
        <v>46073.540666631998</v>
      </c>
      <c r="B61" t="s">
        <v>840</v>
      </c>
      <c r="C61" t="s">
        <v>167</v>
      </c>
      <c r="D61" t="s">
        <v>841</v>
      </c>
      <c r="E61" t="s">
        <v>842</v>
      </c>
      <c r="F61" s="35">
        <v>7700</v>
      </c>
      <c r="G61" t="s">
        <v>822</v>
      </c>
      <c r="H61" t="s">
        <v>819</v>
      </c>
    </row>
    <row r="62" spans="1:8">
      <c r="A62" s="71">
        <v>46073.540666631998</v>
      </c>
      <c r="B62" t="s">
        <v>840</v>
      </c>
      <c r="C62" t="s">
        <v>169</v>
      </c>
      <c r="D62" t="s">
        <v>841</v>
      </c>
      <c r="E62" t="s">
        <v>842</v>
      </c>
      <c r="F62" s="35">
        <v>7700</v>
      </c>
      <c r="G62" t="s">
        <v>822</v>
      </c>
      <c r="H62" t="s">
        <v>819</v>
      </c>
    </row>
    <row r="63" spans="1:8">
      <c r="A63" s="71">
        <v>46073.540666631998</v>
      </c>
      <c r="B63" t="s">
        <v>840</v>
      </c>
      <c r="C63" t="s">
        <v>171</v>
      </c>
      <c r="D63" t="s">
        <v>841</v>
      </c>
      <c r="E63" t="s">
        <v>842</v>
      </c>
      <c r="F63" s="35">
        <v>7700</v>
      </c>
      <c r="G63" t="s">
        <v>822</v>
      </c>
      <c r="H63" t="s">
        <v>819</v>
      </c>
    </row>
    <row r="64" spans="1:8">
      <c r="A64" s="71">
        <v>46073.540666631998</v>
      </c>
      <c r="B64" t="s">
        <v>840</v>
      </c>
      <c r="C64" t="s">
        <v>173</v>
      </c>
      <c r="D64" t="s">
        <v>841</v>
      </c>
      <c r="E64" t="s">
        <v>842</v>
      </c>
      <c r="F64" s="35">
        <v>7700</v>
      </c>
      <c r="G64" t="s">
        <v>822</v>
      </c>
      <c r="H64" t="s">
        <v>819</v>
      </c>
    </row>
    <row r="65" spans="1:8">
      <c r="A65" s="71">
        <v>46073.540666631998</v>
      </c>
      <c r="B65" t="s">
        <v>840</v>
      </c>
      <c r="C65" t="s">
        <v>180</v>
      </c>
      <c r="D65" t="s">
        <v>841</v>
      </c>
      <c r="E65" t="s">
        <v>842</v>
      </c>
      <c r="F65" s="35">
        <v>7700</v>
      </c>
      <c r="G65" t="s">
        <v>822</v>
      </c>
      <c r="H65" t="s">
        <v>819</v>
      </c>
    </row>
    <row r="66" spans="1:8">
      <c r="A66" s="71">
        <v>46073.540666631998</v>
      </c>
      <c r="B66" t="s">
        <v>840</v>
      </c>
      <c r="C66" t="s">
        <v>19</v>
      </c>
      <c r="D66" t="s">
        <v>841</v>
      </c>
      <c r="E66" t="s">
        <v>842</v>
      </c>
      <c r="F66" s="35">
        <v>7700</v>
      </c>
      <c r="G66" t="s">
        <v>822</v>
      </c>
      <c r="H66" t="s">
        <v>819</v>
      </c>
    </row>
    <row r="67" spans="1:8">
      <c r="A67" s="71">
        <v>46073.540666631998</v>
      </c>
      <c r="B67" t="s">
        <v>840</v>
      </c>
      <c r="C67" t="s">
        <v>29</v>
      </c>
      <c r="D67" t="s">
        <v>841</v>
      </c>
      <c r="E67" t="s">
        <v>842</v>
      </c>
      <c r="F67" s="35">
        <v>7700</v>
      </c>
      <c r="G67" t="s">
        <v>822</v>
      </c>
      <c r="H67" t="s">
        <v>819</v>
      </c>
    </row>
    <row r="68" spans="1:8">
      <c r="A68" s="71">
        <v>46073.540666631998</v>
      </c>
      <c r="B68" t="s">
        <v>840</v>
      </c>
      <c r="C68" t="s">
        <v>32</v>
      </c>
      <c r="D68" t="s">
        <v>841</v>
      </c>
      <c r="E68" t="s">
        <v>842</v>
      </c>
      <c r="F68" s="35">
        <v>7700</v>
      </c>
      <c r="G68" t="s">
        <v>822</v>
      </c>
      <c r="H68" t="s">
        <v>819</v>
      </c>
    </row>
    <row r="69" spans="1:8">
      <c r="A69" s="71">
        <v>46073.540666631998</v>
      </c>
      <c r="B69" t="s">
        <v>840</v>
      </c>
      <c r="C69" t="s">
        <v>35</v>
      </c>
      <c r="D69" t="s">
        <v>841</v>
      </c>
      <c r="E69" t="s">
        <v>842</v>
      </c>
      <c r="F69" s="35">
        <v>7700</v>
      </c>
      <c r="G69" t="s">
        <v>822</v>
      </c>
      <c r="H69" t="s">
        <v>819</v>
      </c>
    </row>
    <row r="70" spans="1:8">
      <c r="A70" s="71">
        <v>46073.540666631998</v>
      </c>
      <c r="B70" t="s">
        <v>840</v>
      </c>
      <c r="C70" t="s">
        <v>36</v>
      </c>
      <c r="D70" t="s">
        <v>841</v>
      </c>
      <c r="E70" t="s">
        <v>842</v>
      </c>
      <c r="F70" s="35">
        <v>7700</v>
      </c>
      <c r="G70" t="s">
        <v>822</v>
      </c>
      <c r="H70" t="s">
        <v>819</v>
      </c>
    </row>
    <row r="71" spans="1:8">
      <c r="A71" s="71">
        <v>46073.540666631998</v>
      </c>
      <c r="B71" t="s">
        <v>840</v>
      </c>
      <c r="C71" t="s">
        <v>86</v>
      </c>
      <c r="D71" t="s">
        <v>841</v>
      </c>
      <c r="E71" t="s">
        <v>842</v>
      </c>
      <c r="F71" s="35">
        <v>7700</v>
      </c>
      <c r="G71" t="s">
        <v>822</v>
      </c>
      <c r="H71" t="s">
        <v>819</v>
      </c>
    </row>
    <row r="72" spans="1:8">
      <c r="A72" s="71">
        <v>46073.685945798599</v>
      </c>
      <c r="B72" t="s">
        <v>843</v>
      </c>
      <c r="C72" t="str">
        <f>_xlfn.TEXTAFTER(TRIM(tblComprasPM[[#This Row],[Descripcion]]), " ", -1)</f>
        <v>VD-125</v>
      </c>
      <c r="D72" t="s">
        <v>844</v>
      </c>
      <c r="E72" t="s">
        <v>770</v>
      </c>
      <c r="F72" s="35">
        <v>426593.58</v>
      </c>
      <c r="G72" t="s">
        <v>818</v>
      </c>
      <c r="H72" t="s">
        <v>819</v>
      </c>
    </row>
    <row r="73" spans="1:8">
      <c r="A73" s="71">
        <v>46076.363726701398</v>
      </c>
      <c r="B73" t="s">
        <v>845</v>
      </c>
      <c r="C73" t="str">
        <f>_xlfn.TEXTAFTER(TRIM(tblComprasPM[[#This Row],[Descripcion]]), " ", -1)</f>
        <v>CD-110</v>
      </c>
      <c r="D73" t="s">
        <v>846</v>
      </c>
      <c r="E73" t="s">
        <v>766</v>
      </c>
      <c r="F73" s="35">
        <v>21301</v>
      </c>
      <c r="G73" t="s">
        <v>818</v>
      </c>
      <c r="H73" t="s">
        <v>819</v>
      </c>
    </row>
    <row r="74" spans="1:8">
      <c r="A74" s="71">
        <v>46076.407432673601</v>
      </c>
      <c r="B74" t="s">
        <v>847</v>
      </c>
      <c r="C74" t="str">
        <f>_xlfn.TEXTAFTER(TRIM(tblComprasPM[[#This Row],[Descripcion]]), " ", -1)</f>
        <v>CD-98</v>
      </c>
      <c r="D74" t="s">
        <v>848</v>
      </c>
      <c r="E74" t="s">
        <v>771</v>
      </c>
      <c r="F74" s="35">
        <v>271270.02</v>
      </c>
      <c r="G74" t="s">
        <v>818</v>
      </c>
      <c r="H74" t="s">
        <v>819</v>
      </c>
    </row>
    <row r="75" spans="1:8">
      <c r="A75" s="71">
        <v>46076.468356400503</v>
      </c>
      <c r="B75" t="s">
        <v>849</v>
      </c>
      <c r="C75" t="str">
        <f>_xlfn.TEXTAFTER(TRIM(tblComprasPM[[#This Row],[Descripcion]]), " ", -1)</f>
        <v>CD-69</v>
      </c>
      <c r="D75" t="s">
        <v>850</v>
      </c>
      <c r="E75" t="s">
        <v>766</v>
      </c>
      <c r="F75" s="35">
        <v>76299.824999999997</v>
      </c>
      <c r="G75" t="s">
        <v>818</v>
      </c>
      <c r="H75" t="s">
        <v>819</v>
      </c>
    </row>
    <row r="76" spans="1:8">
      <c r="A76" s="71">
        <v>46076.483925694498</v>
      </c>
      <c r="B76" t="s">
        <v>851</v>
      </c>
      <c r="C76" t="str">
        <f>_xlfn.TEXTAFTER(TRIM(tblComprasPM[[#This Row],[Descripcion]]), " ", -1)</f>
        <v>CD-86</v>
      </c>
      <c r="D76" t="s">
        <v>852</v>
      </c>
      <c r="E76" t="s">
        <v>766</v>
      </c>
      <c r="F76" s="35">
        <v>288199.9596</v>
      </c>
      <c r="G76" t="s">
        <v>818</v>
      </c>
      <c r="H76" t="s">
        <v>819</v>
      </c>
    </row>
    <row r="77" spans="1:8">
      <c r="A77" s="71">
        <v>46076.552599768504</v>
      </c>
      <c r="B77" t="s">
        <v>853</v>
      </c>
      <c r="C77" t="str">
        <f>_xlfn.TEXTAFTER(TRIM(tblComprasPM[[#This Row],[Descripcion]]), " ", -1)</f>
        <v>O</v>
      </c>
      <c r="D77" t="s">
        <v>854</v>
      </c>
      <c r="E77" t="s">
        <v>855</v>
      </c>
      <c r="F77" s="35">
        <v>387603.23</v>
      </c>
      <c r="G77" t="s">
        <v>818</v>
      </c>
      <c r="H77" t="s">
        <v>819</v>
      </c>
    </row>
    <row r="78" spans="1:8">
      <c r="A78" s="71">
        <v>46078.357904513898</v>
      </c>
      <c r="B78" t="s">
        <v>856</v>
      </c>
      <c r="C78" t="str">
        <f>_xlfn.TEXTAFTER(TRIM(tblComprasPM[[#This Row],[Descripcion]]), " ", -1)</f>
        <v>CD-116</v>
      </c>
      <c r="D78" t="s">
        <v>857</v>
      </c>
      <c r="E78" t="s">
        <v>766</v>
      </c>
      <c r="F78" s="35">
        <v>94000.004000000001</v>
      </c>
      <c r="G78" t="s">
        <v>818</v>
      </c>
      <c r="H78" t="s">
        <v>819</v>
      </c>
    </row>
    <row r="79" spans="1:8">
      <c r="A79" s="71">
        <v>46078.424829247699</v>
      </c>
      <c r="B79" t="s">
        <v>858</v>
      </c>
      <c r="C79" t="str">
        <f>_xlfn.TEXTAFTER(TRIM(tblComprasPM[[#This Row],[Descripcion]]), " ", -1)</f>
        <v>MD-75</v>
      </c>
      <c r="D79" t="s">
        <v>859</v>
      </c>
      <c r="E79" t="s">
        <v>765</v>
      </c>
      <c r="F79" s="35">
        <v>357653.31</v>
      </c>
      <c r="G79" t="s">
        <v>818</v>
      </c>
      <c r="H79" t="s">
        <v>819</v>
      </c>
    </row>
    <row r="80" spans="1:8">
      <c r="A80" s="71">
        <v>46078.648084178203</v>
      </c>
      <c r="B80" t="s">
        <v>860</v>
      </c>
      <c r="C80" t="str">
        <f>_xlfn.TEXTAFTER(TRIM(tblComprasPM[[#This Row],[Descripcion]]), " ", -1)</f>
        <v>MD-96</v>
      </c>
      <c r="D80" t="s">
        <v>861</v>
      </c>
      <c r="E80" t="s">
        <v>770</v>
      </c>
      <c r="F80" s="35">
        <v>258526.31</v>
      </c>
      <c r="G80" t="s">
        <v>818</v>
      </c>
      <c r="H80" t="s">
        <v>819</v>
      </c>
    </row>
    <row r="81" spans="1:8">
      <c r="A81" s="71">
        <v>46078.661368634297</v>
      </c>
      <c r="B81" t="s">
        <v>862</v>
      </c>
      <c r="C81" t="str">
        <f>_xlfn.TEXTAFTER(TRIM(tblComprasPM[[#This Row],[Descripcion]]), " ", -1)</f>
        <v>CD-71</v>
      </c>
      <c r="D81" t="s">
        <v>863</v>
      </c>
      <c r="E81" t="s">
        <v>765</v>
      </c>
      <c r="F81" s="35">
        <v>393830.5</v>
      </c>
      <c r="G81" t="s">
        <v>818</v>
      </c>
      <c r="H81" t="s">
        <v>819</v>
      </c>
    </row>
    <row r="82" spans="1:8">
      <c r="A82" s="71">
        <v>46079.431099421301</v>
      </c>
      <c r="B82" t="s">
        <v>864</v>
      </c>
      <c r="C82" t="str">
        <f>_xlfn.TEXTAFTER(TRIM(tblComprasPM[[#This Row],[Descripcion]]), " ", -1)</f>
        <v>CD-93</v>
      </c>
      <c r="D82" t="s">
        <v>865</v>
      </c>
      <c r="E82" t="s">
        <v>771</v>
      </c>
      <c r="F82" s="35">
        <v>170432.99</v>
      </c>
      <c r="G82" t="s">
        <v>818</v>
      </c>
      <c r="H82" t="s">
        <v>819</v>
      </c>
    </row>
    <row r="83" spans="1:8">
      <c r="A83" s="71">
        <v>46079.4319211806</v>
      </c>
      <c r="B83" t="s">
        <v>866</v>
      </c>
      <c r="C83" t="str">
        <f>_xlfn.TEXTAFTER(TRIM(tblComprasPM[[#This Row],[Descripcion]]), " ", -1)</f>
        <v>CD-51</v>
      </c>
      <c r="D83" t="s">
        <v>867</v>
      </c>
      <c r="E83" t="s">
        <v>771</v>
      </c>
      <c r="F83" s="35">
        <v>131994.79999999999</v>
      </c>
      <c r="G83" t="s">
        <v>818</v>
      </c>
      <c r="H83" t="s">
        <v>819</v>
      </c>
    </row>
    <row r="84" spans="1:8">
      <c r="A84" s="71">
        <v>46079.451422071797</v>
      </c>
      <c r="B84" t="s">
        <v>868</v>
      </c>
      <c r="C84" t="str">
        <f>_xlfn.TEXTAFTER(TRIM(tblComprasPM[[#This Row],[Descripcion]]), " ", -1)</f>
        <v>CD-96</v>
      </c>
      <c r="D84" t="s">
        <v>869</v>
      </c>
      <c r="E84" t="s">
        <v>766</v>
      </c>
      <c r="F84" s="35">
        <v>75899.973100000003</v>
      </c>
      <c r="G84" t="s">
        <v>818</v>
      </c>
      <c r="H84" t="s">
        <v>819</v>
      </c>
    </row>
    <row r="85" spans="1:8">
      <c r="A85" s="71">
        <v>46079.682637534701</v>
      </c>
      <c r="B85" t="s">
        <v>870</v>
      </c>
      <c r="C85" t="str">
        <f>_xlfn.TEXTAFTER(TRIM(tblComprasPM[[#This Row],[Descripcion]]), " ", -1)</f>
        <v>MD-79</v>
      </c>
      <c r="D85" t="s">
        <v>871</v>
      </c>
      <c r="E85" t="s">
        <v>766</v>
      </c>
      <c r="F85" s="35">
        <v>337399.95030000003</v>
      </c>
      <c r="G85" t="s">
        <v>818</v>
      </c>
      <c r="H85" t="s">
        <v>819</v>
      </c>
    </row>
    <row r="86" spans="1:8">
      <c r="A86" s="71">
        <v>46079.691275543999</v>
      </c>
      <c r="B86" t="s">
        <v>872</v>
      </c>
      <c r="C86" t="str">
        <f>_xlfn.TEXTAFTER(TRIM(tblComprasPM[[#This Row],[Descripcion]]), " ", -1)</f>
        <v>CD-113</v>
      </c>
      <c r="D86" t="s">
        <v>873</v>
      </c>
      <c r="E86" t="s">
        <v>766</v>
      </c>
      <c r="F86" s="35">
        <v>92199.974300000002</v>
      </c>
      <c r="G86" t="s">
        <v>818</v>
      </c>
      <c r="H86" t="s">
        <v>819</v>
      </c>
    </row>
    <row r="87" spans="1:8">
      <c r="A87" s="71">
        <v>46080.468502974501</v>
      </c>
      <c r="B87" t="s">
        <v>874</v>
      </c>
      <c r="C87" t="str">
        <f>_xlfn.TEXTAFTER(TRIM(tblComprasPM[[#This Row],[Descripcion]]), " ", -1)</f>
        <v>MD-25</v>
      </c>
      <c r="D87" t="s">
        <v>875</v>
      </c>
      <c r="E87" t="s">
        <v>765</v>
      </c>
      <c r="F87" s="35">
        <v>736402.94</v>
      </c>
      <c r="G87" t="s">
        <v>818</v>
      </c>
      <c r="H87" t="s">
        <v>819</v>
      </c>
    </row>
    <row r="88" spans="1:8">
      <c r="A88" s="71">
        <v>46083.444348263904</v>
      </c>
      <c r="B88" t="s">
        <v>876</v>
      </c>
      <c r="C88" t="str">
        <f>_xlfn.TEXTAFTER(TRIM(tblComprasPM[[#This Row],[Descripcion]]), " ", -1)</f>
        <v>MD-103</v>
      </c>
      <c r="D88" t="s">
        <v>877</v>
      </c>
      <c r="E88" t="s">
        <v>765</v>
      </c>
      <c r="F88" s="35">
        <v>263781.34999999998</v>
      </c>
      <c r="G88" t="s">
        <v>818</v>
      </c>
      <c r="H88" t="s">
        <v>819</v>
      </c>
    </row>
    <row r="89" spans="1:8">
      <c r="A89" s="71">
        <v>46083.500426041697</v>
      </c>
      <c r="B89" t="s">
        <v>878</v>
      </c>
      <c r="C89" t="str">
        <f>_xlfn.TEXTAFTER(TRIM(tblComprasPM[[#This Row],[Descripcion]]), " ", -1)</f>
        <v>MD-39</v>
      </c>
      <c r="D89" t="s">
        <v>879</v>
      </c>
      <c r="E89" t="s">
        <v>765</v>
      </c>
      <c r="F89" s="35">
        <v>237325.27</v>
      </c>
      <c r="G89" t="s">
        <v>818</v>
      </c>
      <c r="H89" t="s">
        <v>819</v>
      </c>
    </row>
    <row r="90" spans="1:8">
      <c r="A90" s="71">
        <v>46083.514697685197</v>
      </c>
      <c r="B90" t="s">
        <v>880</v>
      </c>
      <c r="C90" t="s">
        <v>19</v>
      </c>
      <c r="D90" t="s">
        <v>881</v>
      </c>
      <c r="E90" t="s">
        <v>882</v>
      </c>
      <c r="F90" s="35">
        <v>264548.7513</v>
      </c>
      <c r="G90" t="s">
        <v>818</v>
      </c>
      <c r="H90" t="s">
        <v>819</v>
      </c>
    </row>
    <row r="91" spans="1:8">
      <c r="A91" s="71">
        <v>46083.514697685197</v>
      </c>
      <c r="B91" t="s">
        <v>880</v>
      </c>
      <c r="C91" t="s">
        <v>29</v>
      </c>
      <c r="D91" t="s">
        <v>881</v>
      </c>
      <c r="E91" t="s">
        <v>882</v>
      </c>
      <c r="F91" s="35">
        <v>264548.7513</v>
      </c>
      <c r="G91" t="s">
        <v>818</v>
      </c>
      <c r="H91" t="s">
        <v>819</v>
      </c>
    </row>
    <row r="92" spans="1:8">
      <c r="A92" s="71">
        <v>46083.514697685197</v>
      </c>
      <c r="B92" t="s">
        <v>880</v>
      </c>
      <c r="C92" t="s">
        <v>167</v>
      </c>
      <c r="D92" t="s">
        <v>881</v>
      </c>
      <c r="E92" t="s">
        <v>882</v>
      </c>
      <c r="F92" s="35">
        <v>264548.7513</v>
      </c>
      <c r="G92" t="s">
        <v>818</v>
      </c>
      <c r="H92" t="s">
        <v>819</v>
      </c>
    </row>
    <row r="93" spans="1:8">
      <c r="A93" s="71">
        <v>46083.514697685197</v>
      </c>
      <c r="B93" t="s">
        <v>880</v>
      </c>
      <c r="C93" t="s">
        <v>169</v>
      </c>
      <c r="D93" t="s">
        <v>881</v>
      </c>
      <c r="E93" t="s">
        <v>882</v>
      </c>
      <c r="F93" s="35">
        <v>264548.7513</v>
      </c>
      <c r="G93" t="s">
        <v>818</v>
      </c>
      <c r="H93" t="s">
        <v>819</v>
      </c>
    </row>
    <row r="94" spans="1:8">
      <c r="A94" s="71">
        <v>46083.514697685197</v>
      </c>
      <c r="B94" t="s">
        <v>880</v>
      </c>
      <c r="C94" t="s">
        <v>171</v>
      </c>
      <c r="D94" t="s">
        <v>881</v>
      </c>
      <c r="E94" t="s">
        <v>882</v>
      </c>
      <c r="F94" s="35">
        <v>264548.7513</v>
      </c>
      <c r="G94" t="s">
        <v>818</v>
      </c>
      <c r="H94" t="s">
        <v>819</v>
      </c>
    </row>
    <row r="95" spans="1:8">
      <c r="A95" s="71">
        <v>46083.514697685197</v>
      </c>
      <c r="B95" t="s">
        <v>880</v>
      </c>
      <c r="C95" t="s">
        <v>173</v>
      </c>
      <c r="D95" t="s">
        <v>881</v>
      </c>
      <c r="E95" t="s">
        <v>882</v>
      </c>
      <c r="F95" s="35">
        <v>264548.7513</v>
      </c>
      <c r="G95" t="s">
        <v>818</v>
      </c>
      <c r="H95" t="s">
        <v>819</v>
      </c>
    </row>
    <row r="96" spans="1:8">
      <c r="A96" s="71">
        <v>46083.514697685197</v>
      </c>
      <c r="B96" t="s">
        <v>880</v>
      </c>
      <c r="C96" t="s">
        <v>180</v>
      </c>
      <c r="D96" t="s">
        <v>881</v>
      </c>
      <c r="E96" t="s">
        <v>882</v>
      </c>
      <c r="F96" s="35">
        <v>264548.7513</v>
      </c>
      <c r="G96" t="s">
        <v>818</v>
      </c>
      <c r="H96" t="s">
        <v>819</v>
      </c>
    </row>
    <row r="97" spans="1:8">
      <c r="A97" s="71">
        <v>46083.514697685197</v>
      </c>
      <c r="B97" t="s">
        <v>880</v>
      </c>
      <c r="C97" t="s">
        <v>185</v>
      </c>
      <c r="D97" t="s">
        <v>881</v>
      </c>
      <c r="E97" t="s">
        <v>882</v>
      </c>
      <c r="F97" s="35">
        <v>264548.7513</v>
      </c>
      <c r="G97" t="s">
        <v>818</v>
      </c>
      <c r="H97" t="s">
        <v>819</v>
      </c>
    </row>
    <row r="98" spans="1:8">
      <c r="A98" s="71">
        <v>46083.550651423597</v>
      </c>
      <c r="B98" t="s">
        <v>883</v>
      </c>
      <c r="C98" t="str">
        <f>_xlfn.TEXTAFTER(TRIM(tblComprasPM[[#This Row],[Descripcion]]), " ", -1)</f>
        <v>CD-122/123/</v>
      </c>
      <c r="D98" t="s">
        <v>884</v>
      </c>
      <c r="E98" t="s">
        <v>766</v>
      </c>
      <c r="F98" s="35">
        <v>26999.91</v>
      </c>
      <c r="G98" t="s">
        <v>818</v>
      </c>
      <c r="H98" t="s">
        <v>819</v>
      </c>
    </row>
    <row r="99" spans="1:8">
      <c r="A99" s="71">
        <v>46083.615776238403</v>
      </c>
      <c r="B99" t="s">
        <v>885</v>
      </c>
      <c r="C99" t="str">
        <f>_xlfn.TEXTAFTER(TRIM(tblComprasPM[[#This Row],[Descripcion]]), " ", -1)</f>
        <v>CD-94</v>
      </c>
      <c r="D99" t="s">
        <v>886</v>
      </c>
      <c r="E99" t="s">
        <v>882</v>
      </c>
      <c r="F99" s="35">
        <v>458830.68</v>
      </c>
      <c r="G99" t="s">
        <v>818</v>
      </c>
      <c r="H99" t="s">
        <v>819</v>
      </c>
    </row>
    <row r="100" spans="1:8">
      <c r="A100" s="71">
        <v>46083.669711955998</v>
      </c>
      <c r="B100" t="s">
        <v>887</v>
      </c>
      <c r="C100" t="str">
        <f>_xlfn.TEXTAFTER(TRIM(tblComprasPM[[#This Row],[Descripcion]]), " ", -1)</f>
        <v>VD-89</v>
      </c>
      <c r="D100" t="s">
        <v>888</v>
      </c>
      <c r="E100" t="s">
        <v>770</v>
      </c>
      <c r="F100" s="35">
        <v>312029.90000000002</v>
      </c>
      <c r="G100" t="s">
        <v>818</v>
      </c>
      <c r="H100" t="s">
        <v>819</v>
      </c>
    </row>
    <row r="101" spans="1:8">
      <c r="A101" s="71">
        <v>46084.554178669001</v>
      </c>
      <c r="B101" t="s">
        <v>889</v>
      </c>
      <c r="C101" t="str">
        <f>_xlfn.TEXTAFTER(TRIM(tblComprasPM[[#This Row],[Descripcion]]), " ", -1)</f>
        <v>MD-89</v>
      </c>
      <c r="D101" t="s">
        <v>890</v>
      </c>
      <c r="E101" t="s">
        <v>765</v>
      </c>
      <c r="F101" s="35">
        <v>237325.27</v>
      </c>
      <c r="G101" t="s">
        <v>818</v>
      </c>
      <c r="H101" t="s">
        <v>819</v>
      </c>
    </row>
    <row r="102" spans="1:8">
      <c r="A102" s="71">
        <v>46084.6612838773</v>
      </c>
      <c r="B102" t="s">
        <v>891</v>
      </c>
      <c r="C102" t="str">
        <f>_xlfn.TEXTAFTER(TRIM(tblComprasPM[[#This Row],[Descripcion]]), " ", -1)</f>
        <v>MD-28</v>
      </c>
      <c r="D102" t="s">
        <v>892</v>
      </c>
      <c r="E102" t="s">
        <v>765</v>
      </c>
      <c r="F102" s="35">
        <v>115923.85</v>
      </c>
      <c r="G102" t="s">
        <v>818</v>
      </c>
      <c r="H102" t="s">
        <v>819</v>
      </c>
    </row>
    <row r="103" spans="1:8">
      <c r="A103" s="71">
        <v>46084.6612838773</v>
      </c>
      <c r="B103" t="s">
        <v>891</v>
      </c>
      <c r="C103" t="str">
        <f>_xlfn.TEXTAFTER(TRIM(tblComprasPM[[#This Row],[Descripcion]]), " ", -1)</f>
        <v>MD-28</v>
      </c>
      <c r="D103" t="s">
        <v>892</v>
      </c>
      <c r="E103" t="s">
        <v>765</v>
      </c>
      <c r="F103" s="35">
        <v>115923.85</v>
      </c>
      <c r="G103" t="s">
        <v>818</v>
      </c>
      <c r="H103" t="s">
        <v>819</v>
      </c>
    </row>
    <row r="104" spans="1:8">
      <c r="A104" s="71">
        <v>46084.685665543999</v>
      </c>
      <c r="B104" t="s">
        <v>893</v>
      </c>
      <c r="C104" t="str">
        <f>_xlfn.TEXTAFTER(TRIM(tblComprasPM[[#This Row],[Descripcion]]), " ", -1)</f>
        <v>CD-14</v>
      </c>
      <c r="D104" t="s">
        <v>894</v>
      </c>
      <c r="E104" t="s">
        <v>765</v>
      </c>
      <c r="F104" s="35">
        <v>63816.13</v>
      </c>
      <c r="G104" t="s">
        <v>818</v>
      </c>
      <c r="H104" t="s">
        <v>819</v>
      </c>
    </row>
    <row r="105" spans="1:8">
      <c r="A105" s="71">
        <v>46084.6933587616</v>
      </c>
      <c r="B105" t="s">
        <v>895</v>
      </c>
      <c r="C105" t="str">
        <f>_xlfn.TEXTAFTER(TRIM(tblComprasPM[[#This Row],[Descripcion]]), " ", -1)</f>
        <v>MD-49</v>
      </c>
      <c r="D105" t="s">
        <v>896</v>
      </c>
      <c r="E105" t="s">
        <v>765</v>
      </c>
      <c r="F105" s="35">
        <v>204885.87</v>
      </c>
      <c r="G105" t="s">
        <v>818</v>
      </c>
      <c r="H105" t="s">
        <v>819</v>
      </c>
    </row>
    <row r="106" spans="1:8">
      <c r="A106" s="71">
        <v>46085.464667673601</v>
      </c>
      <c r="B106" t="s">
        <v>897</v>
      </c>
      <c r="C106" t="str">
        <f>_xlfn.TEXTAFTER(TRIM(tblComprasPM[[#This Row],[Descripcion]]), " ", -1)</f>
        <v>MD-107</v>
      </c>
      <c r="D106" t="s">
        <v>898</v>
      </c>
      <c r="E106" t="s">
        <v>770</v>
      </c>
      <c r="F106" s="35">
        <v>211515.36</v>
      </c>
      <c r="G106" t="s">
        <v>818</v>
      </c>
      <c r="H106" t="s">
        <v>819</v>
      </c>
    </row>
    <row r="107" spans="1:8">
      <c r="A107" s="71">
        <v>46085.498313113399</v>
      </c>
      <c r="B107" t="s">
        <v>899</v>
      </c>
      <c r="C107" t="str">
        <f>_xlfn.TEXTAFTER(TRIM(tblComprasPM[[#This Row],[Descripcion]]), " ", -1)</f>
        <v>MD-87</v>
      </c>
      <c r="D107" t="s">
        <v>900</v>
      </c>
      <c r="E107" t="s">
        <v>765</v>
      </c>
      <c r="F107" s="35">
        <v>450580.41</v>
      </c>
      <c r="G107" t="s">
        <v>818</v>
      </c>
      <c r="H107" t="s">
        <v>819</v>
      </c>
    </row>
    <row r="108" spans="1:8">
      <c r="A108" s="71">
        <v>46085.547314004602</v>
      </c>
      <c r="B108" t="s">
        <v>901</v>
      </c>
      <c r="C108" t="str">
        <f>_xlfn.TEXTAFTER(TRIM(tblComprasPM[[#This Row],[Descripcion]]), " ", -1)</f>
        <v>MD-26</v>
      </c>
      <c r="D108" t="s">
        <v>902</v>
      </c>
      <c r="E108" t="s">
        <v>765</v>
      </c>
      <c r="F108" s="35">
        <v>496871.41</v>
      </c>
      <c r="G108" t="s">
        <v>818</v>
      </c>
      <c r="H108" t="s">
        <v>819</v>
      </c>
    </row>
    <row r="109" spans="1:8">
      <c r="A109" s="71">
        <v>46085.559944872701</v>
      </c>
      <c r="B109" t="s">
        <v>903</v>
      </c>
      <c r="C109" t="str">
        <f>_xlfn.TEXTAFTER(TRIM(tblComprasPM[[#This Row],[Descripcion]]), " ", -1)</f>
        <v>MD-73</v>
      </c>
      <c r="D109" t="s">
        <v>904</v>
      </c>
      <c r="E109" t="s">
        <v>765</v>
      </c>
      <c r="F109" s="35">
        <v>289773.33</v>
      </c>
      <c r="G109" t="s">
        <v>818</v>
      </c>
      <c r="H109" t="s">
        <v>819</v>
      </c>
    </row>
    <row r="110" spans="1:8">
      <c r="A110" s="71">
        <v>46085.626711226898</v>
      </c>
      <c r="B110" t="s">
        <v>905</v>
      </c>
      <c r="C110" t="str">
        <f>_xlfn.TEXTAFTER(TRIM(tblComprasPM[[#This Row],[Descripcion]]), " ", -1)</f>
        <v>CD-100</v>
      </c>
      <c r="D110" t="s">
        <v>906</v>
      </c>
      <c r="E110" t="s">
        <v>765</v>
      </c>
      <c r="F110" s="35">
        <v>199255.98</v>
      </c>
      <c r="G110" t="s">
        <v>818</v>
      </c>
      <c r="H110" t="s">
        <v>819</v>
      </c>
    </row>
    <row r="111" spans="1:8">
      <c r="A111" s="71">
        <v>46085.664697835702</v>
      </c>
      <c r="B111" t="s">
        <v>907</v>
      </c>
      <c r="C111" t="str">
        <f>_xlfn.TEXTAFTER(TRIM(tblComprasPM[[#This Row],[Descripcion]]), " ", -1)</f>
        <v>MD-100</v>
      </c>
      <c r="D111" t="s">
        <v>908</v>
      </c>
      <c r="E111" t="s">
        <v>770</v>
      </c>
      <c r="F111" s="35">
        <v>360956.75</v>
      </c>
      <c r="G111" t="s">
        <v>818</v>
      </c>
      <c r="H111" t="s">
        <v>819</v>
      </c>
    </row>
    <row r="112" spans="1:8">
      <c r="A112" s="71">
        <v>46086.416198495397</v>
      </c>
      <c r="B112" t="s">
        <v>909</v>
      </c>
      <c r="C112" t="s">
        <v>611</v>
      </c>
      <c r="D112" t="s">
        <v>910</v>
      </c>
      <c r="E112" t="s">
        <v>766</v>
      </c>
      <c r="F112" s="35">
        <v>18800.036499999998</v>
      </c>
      <c r="G112" t="s">
        <v>818</v>
      </c>
      <c r="H112" t="s">
        <v>819</v>
      </c>
    </row>
    <row r="113" spans="1:8">
      <c r="A113" s="71">
        <v>46086.422014780102</v>
      </c>
      <c r="B113" t="s">
        <v>911</v>
      </c>
      <c r="C113" t="s">
        <v>307</v>
      </c>
      <c r="D113" t="s">
        <v>912</v>
      </c>
      <c r="E113" t="s">
        <v>766</v>
      </c>
      <c r="F113" s="35">
        <v>26999.91</v>
      </c>
      <c r="G113" t="s">
        <v>818</v>
      </c>
      <c r="H113" t="s">
        <v>819</v>
      </c>
    </row>
    <row r="114" spans="1:8">
      <c r="A114" s="71">
        <v>46086.422014780102</v>
      </c>
      <c r="B114" t="s">
        <v>911</v>
      </c>
      <c r="C114" t="str">
        <f>_xlfn.TEXTAFTER(TRIM(tblComprasPM[[#This Row],[Descripcion]]), " ", -1)</f>
        <v>MD-107</v>
      </c>
      <c r="D114" t="s">
        <v>912</v>
      </c>
      <c r="E114" t="s">
        <v>766</v>
      </c>
      <c r="F114" s="35">
        <v>26999.91</v>
      </c>
      <c r="G114" t="s">
        <v>818</v>
      </c>
      <c r="H114" t="s">
        <v>819</v>
      </c>
    </row>
    <row r="115" spans="1:8">
      <c r="A115" s="71">
        <v>46086.516942939801</v>
      </c>
      <c r="B115" t="s">
        <v>913</v>
      </c>
      <c r="C115" t="str">
        <f>_xlfn.TEXTAFTER(TRIM(tblComprasPM[[#This Row],[Descripcion]]), " ", -1)</f>
        <v>VD-138</v>
      </c>
      <c r="D115" t="s">
        <v>914</v>
      </c>
      <c r="E115" t="s">
        <v>770</v>
      </c>
      <c r="F115" s="35">
        <v>300335.77</v>
      </c>
      <c r="G115" t="s">
        <v>818</v>
      </c>
      <c r="H115" t="s">
        <v>819</v>
      </c>
    </row>
    <row r="116" spans="1:8">
      <c r="A116" s="71">
        <v>46086.626455555597</v>
      </c>
      <c r="B116" t="s">
        <v>915</v>
      </c>
      <c r="C116" t="str">
        <f>_xlfn.TEXTAFTER(TRIM(tblComprasPM[[#This Row],[Descripcion]]), " ", -1)</f>
        <v>VD-38</v>
      </c>
      <c r="D116" t="s">
        <v>916</v>
      </c>
      <c r="E116" t="s">
        <v>766</v>
      </c>
      <c r="F116" s="35">
        <v>40499.972099999999</v>
      </c>
      <c r="G116" t="s">
        <v>818</v>
      </c>
      <c r="H116" t="s">
        <v>819</v>
      </c>
    </row>
    <row r="117" spans="1:8">
      <c r="A117" s="71">
        <v>46086.684334803198</v>
      </c>
      <c r="B117" t="s">
        <v>917</v>
      </c>
      <c r="C117" t="str">
        <f>_xlfn.TEXTAFTER(TRIM(tblComprasPM[[#This Row],[Descripcion]]), " ", -1)</f>
        <v>MD-82</v>
      </c>
      <c r="D117" t="s">
        <v>918</v>
      </c>
      <c r="E117" t="s">
        <v>765</v>
      </c>
      <c r="F117" s="35">
        <v>321247.64</v>
      </c>
      <c r="G117" t="s">
        <v>818</v>
      </c>
      <c r="H117" t="s">
        <v>819</v>
      </c>
    </row>
    <row r="118" spans="1:8">
      <c r="A118" s="71">
        <v>46086.696630439801</v>
      </c>
      <c r="B118" t="s">
        <v>919</v>
      </c>
      <c r="C118" t="str">
        <f>_xlfn.TEXTAFTER(TRIM(tblComprasPM[[#This Row],[Descripcion]]), " ", -1)</f>
        <v>MD-105</v>
      </c>
      <c r="D118" t="s">
        <v>920</v>
      </c>
      <c r="E118" t="s">
        <v>765</v>
      </c>
      <c r="F118" s="35">
        <v>255083.64</v>
      </c>
      <c r="G118" t="s">
        <v>818</v>
      </c>
      <c r="H118" t="s">
        <v>819</v>
      </c>
    </row>
    <row r="119" spans="1:8">
      <c r="A119" s="71">
        <v>46086.701264432901</v>
      </c>
      <c r="B119" t="s">
        <v>921</v>
      </c>
      <c r="C119" t="str">
        <f>_xlfn.TEXTAFTER(TRIM(tblComprasPM[[#This Row],[Descripcion]]), " ", -1)</f>
        <v>MD-76</v>
      </c>
      <c r="D119" t="s">
        <v>922</v>
      </c>
      <c r="E119" t="s">
        <v>765</v>
      </c>
      <c r="F119" s="35">
        <v>283936.38</v>
      </c>
      <c r="G119" t="s">
        <v>818</v>
      </c>
      <c r="H119" t="s">
        <v>819</v>
      </c>
    </row>
    <row r="120" spans="1:8">
      <c r="A120" s="71">
        <v>46086.705769826403</v>
      </c>
      <c r="B120" t="s">
        <v>923</v>
      </c>
      <c r="C120" t="str">
        <f>_xlfn.TEXTAFTER(TRIM(tblComprasPM[[#This Row],[Descripcion]]), " ", -1)</f>
        <v>CD-127</v>
      </c>
      <c r="D120" t="s">
        <v>924</v>
      </c>
      <c r="E120" t="s">
        <v>765</v>
      </c>
      <c r="F120" s="35">
        <v>222792.99</v>
      </c>
      <c r="G120" t="s">
        <v>818</v>
      </c>
      <c r="H120" t="s">
        <v>819</v>
      </c>
    </row>
    <row r="121" spans="1:8">
      <c r="A121" s="71">
        <v>46086.710126585698</v>
      </c>
      <c r="B121" t="s">
        <v>925</v>
      </c>
      <c r="C121" t="str">
        <f>_xlfn.TEXTAFTER(TRIM(tblComprasPM[[#This Row],[Descripcion]]), " ", -1)</f>
        <v>MD-95</v>
      </c>
      <c r="D121" t="s">
        <v>926</v>
      </c>
      <c r="E121" t="s">
        <v>765</v>
      </c>
      <c r="F121" s="35">
        <v>133882.14000000001</v>
      </c>
      <c r="G121" t="s">
        <v>818</v>
      </c>
      <c r="H121" t="s">
        <v>819</v>
      </c>
    </row>
    <row r="122" spans="1:8">
      <c r="A122" s="71">
        <v>46086.750033020799</v>
      </c>
      <c r="B122" t="s">
        <v>927</v>
      </c>
      <c r="C122" t="str">
        <f>_xlfn.TEXTAFTER(TRIM(tblComprasPM[[#This Row],[Descripcion]]), " ", -1)</f>
        <v>MD-85</v>
      </c>
      <c r="D122" t="s">
        <v>928</v>
      </c>
      <c r="E122" t="s">
        <v>765</v>
      </c>
      <c r="F122" s="35">
        <v>206424.54</v>
      </c>
      <c r="G122" t="s">
        <v>818</v>
      </c>
      <c r="H122" t="s">
        <v>819</v>
      </c>
    </row>
    <row r="123" spans="1:8">
      <c r="A123" s="71">
        <v>46087.498166435202</v>
      </c>
      <c r="B123" t="s">
        <v>929</v>
      </c>
      <c r="C123" t="s">
        <v>486</v>
      </c>
      <c r="D123" s="50" t="s">
        <v>930</v>
      </c>
      <c r="E123" t="s">
        <v>855</v>
      </c>
      <c r="F123" s="35">
        <v>506350.95</v>
      </c>
      <c r="G123" t="s">
        <v>818</v>
      </c>
      <c r="H123" t="s">
        <v>819</v>
      </c>
    </row>
    <row r="124" spans="1:8">
      <c r="A124" s="71">
        <v>46091.371380127297</v>
      </c>
      <c r="B124" t="s">
        <v>931</v>
      </c>
      <c r="C124" t="str">
        <f>_xlfn.TEXTAFTER(TRIM(tblComprasPM[[#This Row],[Descripcion]]), " ", -1)</f>
        <v>EQP-7</v>
      </c>
      <c r="D124" t="s">
        <v>932</v>
      </c>
      <c r="E124" t="s">
        <v>765</v>
      </c>
      <c r="F124" s="35">
        <v>111593.44</v>
      </c>
      <c r="G124" t="s">
        <v>818</v>
      </c>
      <c r="H124" t="s">
        <v>819</v>
      </c>
    </row>
    <row r="125" spans="1:8">
      <c r="A125" s="71">
        <v>46091.475044826402</v>
      </c>
      <c r="B125" t="s">
        <v>933</v>
      </c>
      <c r="C125" t="str">
        <f>_xlfn.TEXTAFTER(TRIM(tblComprasPM[[#This Row],[Descripcion]]), " ", -1)</f>
        <v>ED-61</v>
      </c>
      <c r="D125" t="s">
        <v>934</v>
      </c>
      <c r="E125" t="s">
        <v>766</v>
      </c>
      <c r="F125" s="35">
        <v>31799.977299999999</v>
      </c>
      <c r="G125" t="s">
        <v>818</v>
      </c>
      <c r="H125" t="s">
        <v>819</v>
      </c>
    </row>
    <row r="126" spans="1:8">
      <c r="A126" s="71">
        <v>46092.556124456001</v>
      </c>
      <c r="B126" t="s">
        <v>935</v>
      </c>
      <c r="C126" t="str">
        <f>_xlfn.TEXTAFTER(TRIM(tblComprasPM[[#This Row],[Descripcion]]), " ", -1)</f>
        <v>EQP-7</v>
      </c>
      <c r="D126" t="s">
        <v>936</v>
      </c>
      <c r="E126" t="s">
        <v>765</v>
      </c>
      <c r="F126" s="35">
        <v>119511.7</v>
      </c>
      <c r="G126" t="s">
        <v>818</v>
      </c>
      <c r="H126" t="s">
        <v>819</v>
      </c>
    </row>
    <row r="127" spans="1:8">
      <c r="A127" s="71">
        <v>46093.364912696801</v>
      </c>
      <c r="B127" t="s">
        <v>937</v>
      </c>
      <c r="C127" t="str">
        <f>_xlfn.TEXTAFTER(TRIM(tblComprasPM[[#This Row],[Descripcion]]), " ", -1)</f>
        <v>CD-119</v>
      </c>
      <c r="D127" t="s">
        <v>938</v>
      </c>
      <c r="E127" t="s">
        <v>771</v>
      </c>
      <c r="F127" s="35">
        <v>170432.99</v>
      </c>
      <c r="G127" t="s">
        <v>818</v>
      </c>
      <c r="H127" t="s">
        <v>819</v>
      </c>
    </row>
    <row r="128" spans="1:8">
      <c r="A128" s="71">
        <v>46093.447327395799</v>
      </c>
      <c r="B128" t="s">
        <v>939</v>
      </c>
      <c r="C128" t="s">
        <v>89</v>
      </c>
      <c r="D128" t="s">
        <v>940</v>
      </c>
      <c r="E128" t="s">
        <v>766</v>
      </c>
      <c r="F128" s="35">
        <v>6023.5280000000002</v>
      </c>
      <c r="G128" t="s">
        <v>822</v>
      </c>
      <c r="H128" t="s">
        <v>819</v>
      </c>
    </row>
    <row r="129" spans="1:8">
      <c r="A129" s="71">
        <v>46093.447327395799</v>
      </c>
      <c r="B129" t="s">
        <v>939</v>
      </c>
      <c r="C129" t="s">
        <v>91</v>
      </c>
      <c r="D129" t="s">
        <v>940</v>
      </c>
      <c r="E129" t="s">
        <v>766</v>
      </c>
      <c r="F129" s="35">
        <v>6023.5280000000002</v>
      </c>
      <c r="G129" t="s">
        <v>822</v>
      </c>
      <c r="H129" t="s">
        <v>819</v>
      </c>
    </row>
    <row r="130" spans="1:8">
      <c r="A130" s="71">
        <v>46093.447327395799</v>
      </c>
      <c r="B130" t="s">
        <v>939</v>
      </c>
      <c r="C130" t="s">
        <v>93</v>
      </c>
      <c r="D130" t="s">
        <v>940</v>
      </c>
      <c r="E130" t="s">
        <v>766</v>
      </c>
      <c r="F130" s="35">
        <v>6023.5280000000002</v>
      </c>
      <c r="G130" t="s">
        <v>822</v>
      </c>
      <c r="H130" t="s">
        <v>819</v>
      </c>
    </row>
    <row r="131" spans="1:8">
      <c r="A131" s="71">
        <v>46093.447327395799</v>
      </c>
      <c r="B131" t="s">
        <v>939</v>
      </c>
      <c r="C131" t="s">
        <v>167</v>
      </c>
      <c r="D131" t="s">
        <v>940</v>
      </c>
      <c r="E131" t="s">
        <v>766</v>
      </c>
      <c r="F131" s="35">
        <v>6023.5280000000002</v>
      </c>
      <c r="G131" t="s">
        <v>822</v>
      </c>
      <c r="H131" t="s">
        <v>819</v>
      </c>
    </row>
    <row r="132" spans="1:8">
      <c r="A132" s="71">
        <v>46093.447327395799</v>
      </c>
      <c r="B132" t="s">
        <v>939</v>
      </c>
      <c r="C132" t="s">
        <v>169</v>
      </c>
      <c r="D132" t="s">
        <v>940</v>
      </c>
      <c r="E132" t="s">
        <v>766</v>
      </c>
      <c r="F132" s="35">
        <v>6023.5280000000002</v>
      </c>
      <c r="G132" t="s">
        <v>822</v>
      </c>
      <c r="H132" t="s">
        <v>819</v>
      </c>
    </row>
    <row r="133" spans="1:8">
      <c r="A133" s="71">
        <v>46093.447327395799</v>
      </c>
      <c r="B133" t="s">
        <v>939</v>
      </c>
      <c r="C133" t="s">
        <v>171</v>
      </c>
      <c r="D133" t="s">
        <v>940</v>
      </c>
      <c r="E133" t="s">
        <v>766</v>
      </c>
      <c r="F133" s="35">
        <v>6023.5280000000002</v>
      </c>
      <c r="G133" t="s">
        <v>822</v>
      </c>
      <c r="H133" t="s">
        <v>819</v>
      </c>
    </row>
    <row r="134" spans="1:8">
      <c r="A134" s="71">
        <v>46093.447327395799</v>
      </c>
      <c r="B134" t="s">
        <v>939</v>
      </c>
      <c r="C134" t="s">
        <v>173</v>
      </c>
      <c r="D134" t="s">
        <v>940</v>
      </c>
      <c r="E134" t="s">
        <v>766</v>
      </c>
      <c r="F134" s="35">
        <v>6023.5280000000002</v>
      </c>
      <c r="G134" t="s">
        <v>822</v>
      </c>
      <c r="H134" t="s">
        <v>819</v>
      </c>
    </row>
    <row r="135" spans="1:8">
      <c r="A135" s="71">
        <v>46093.447327395799</v>
      </c>
      <c r="B135" t="s">
        <v>939</v>
      </c>
      <c r="C135" t="s">
        <v>180</v>
      </c>
      <c r="D135" t="s">
        <v>940</v>
      </c>
      <c r="E135" t="s">
        <v>766</v>
      </c>
      <c r="F135" s="35">
        <v>6023.5280000000002</v>
      </c>
      <c r="G135" t="s">
        <v>822</v>
      </c>
      <c r="H135" t="s">
        <v>819</v>
      </c>
    </row>
    <row r="136" spans="1:8">
      <c r="A136" s="71">
        <v>46093.447327395799</v>
      </c>
      <c r="B136" t="s">
        <v>939</v>
      </c>
      <c r="C136" t="s">
        <v>19</v>
      </c>
      <c r="D136" t="s">
        <v>940</v>
      </c>
      <c r="E136" t="s">
        <v>766</v>
      </c>
      <c r="F136" s="35">
        <v>6023.5280000000002</v>
      </c>
      <c r="G136" t="s">
        <v>822</v>
      </c>
      <c r="H136" t="s">
        <v>819</v>
      </c>
    </row>
    <row r="137" spans="1:8">
      <c r="A137" s="71">
        <v>46093.447327395799</v>
      </c>
      <c r="B137" t="s">
        <v>939</v>
      </c>
      <c r="C137" t="s">
        <v>29</v>
      </c>
      <c r="D137" t="s">
        <v>940</v>
      </c>
      <c r="E137" t="s">
        <v>766</v>
      </c>
      <c r="F137" s="35">
        <v>6023.5280000000002</v>
      </c>
      <c r="G137" t="s">
        <v>822</v>
      </c>
      <c r="H137" t="s">
        <v>819</v>
      </c>
    </row>
    <row r="138" spans="1:8">
      <c r="A138" s="71">
        <v>46093.447327395799</v>
      </c>
      <c r="B138" t="s">
        <v>939</v>
      </c>
      <c r="C138" t="s">
        <v>32</v>
      </c>
      <c r="D138" t="s">
        <v>940</v>
      </c>
      <c r="E138" t="s">
        <v>766</v>
      </c>
      <c r="F138" s="35">
        <v>6023.5280000000002</v>
      </c>
      <c r="G138" t="s">
        <v>822</v>
      </c>
      <c r="H138" t="s">
        <v>819</v>
      </c>
    </row>
    <row r="139" spans="1:8">
      <c r="A139" s="71">
        <v>46093.447327395799</v>
      </c>
      <c r="B139" t="s">
        <v>939</v>
      </c>
      <c r="C139" t="s">
        <v>35</v>
      </c>
      <c r="D139" t="s">
        <v>940</v>
      </c>
      <c r="E139" t="s">
        <v>766</v>
      </c>
      <c r="F139" s="35">
        <v>6023.5280000000002</v>
      </c>
      <c r="G139" t="s">
        <v>822</v>
      </c>
      <c r="H139" t="s">
        <v>819</v>
      </c>
    </row>
    <row r="140" spans="1:8">
      <c r="A140" s="71">
        <v>46093.447327395799</v>
      </c>
      <c r="B140" t="s">
        <v>939</v>
      </c>
      <c r="C140" t="s">
        <v>36</v>
      </c>
      <c r="D140" t="s">
        <v>940</v>
      </c>
      <c r="E140" t="s">
        <v>766</v>
      </c>
      <c r="F140" s="35">
        <v>6023.5280000000002</v>
      </c>
      <c r="G140" t="s">
        <v>822</v>
      </c>
      <c r="H140" t="s">
        <v>819</v>
      </c>
    </row>
    <row r="141" spans="1:8">
      <c r="A141" s="71">
        <v>46093.447327395799</v>
      </c>
      <c r="B141" t="s">
        <v>939</v>
      </c>
      <c r="C141" t="s">
        <v>86</v>
      </c>
      <c r="D141" t="s">
        <v>940</v>
      </c>
      <c r="E141" t="s">
        <v>766</v>
      </c>
      <c r="F141" s="35">
        <v>6023.5280000000002</v>
      </c>
      <c r="G141" t="s">
        <v>822</v>
      </c>
      <c r="H141" t="s">
        <v>819</v>
      </c>
    </row>
    <row r="142" spans="1:8">
      <c r="A142" s="71">
        <v>46093.447327395799</v>
      </c>
      <c r="B142" t="s">
        <v>939</v>
      </c>
      <c r="C142" t="s">
        <v>89</v>
      </c>
      <c r="D142" t="s">
        <v>940</v>
      </c>
      <c r="E142" t="s">
        <v>766</v>
      </c>
      <c r="F142" s="35">
        <v>6023.5280000000002</v>
      </c>
      <c r="G142" t="s">
        <v>822</v>
      </c>
      <c r="H142" t="s">
        <v>819</v>
      </c>
    </row>
    <row r="143" spans="1:8">
      <c r="A143" s="71">
        <v>46093.447327395799</v>
      </c>
      <c r="B143" t="s">
        <v>939</v>
      </c>
      <c r="C143" t="s">
        <v>91</v>
      </c>
      <c r="D143" t="s">
        <v>940</v>
      </c>
      <c r="E143" t="s">
        <v>766</v>
      </c>
      <c r="F143" s="35">
        <v>6023.5280000000002</v>
      </c>
      <c r="G143" t="s">
        <v>822</v>
      </c>
      <c r="H143" t="s">
        <v>819</v>
      </c>
    </row>
    <row r="144" spans="1:8">
      <c r="A144" s="71">
        <v>46093.447327395799</v>
      </c>
      <c r="B144" t="s">
        <v>939</v>
      </c>
      <c r="C144" t="s">
        <v>93</v>
      </c>
      <c r="D144" t="s">
        <v>940</v>
      </c>
      <c r="E144" t="s">
        <v>766</v>
      </c>
      <c r="F144" s="35">
        <v>6023.5280000000002</v>
      </c>
      <c r="G144" t="s">
        <v>822</v>
      </c>
      <c r="H144" t="s">
        <v>819</v>
      </c>
    </row>
    <row r="145" spans="1:8">
      <c r="A145" s="71">
        <v>46093.460116550901</v>
      </c>
      <c r="B145" t="s">
        <v>941</v>
      </c>
      <c r="C145" t="s">
        <v>19</v>
      </c>
      <c r="D145" t="s">
        <v>942</v>
      </c>
      <c r="E145" t="s">
        <v>766</v>
      </c>
      <c r="F145" s="35">
        <v>8847.0535999999993</v>
      </c>
      <c r="G145" t="s">
        <v>822</v>
      </c>
      <c r="H145" t="s">
        <v>819</v>
      </c>
    </row>
    <row r="146" spans="1:8">
      <c r="A146" s="71">
        <v>46093.460116550901</v>
      </c>
      <c r="B146" t="s">
        <v>941</v>
      </c>
      <c r="C146" t="s">
        <v>29</v>
      </c>
      <c r="D146" t="s">
        <v>942</v>
      </c>
      <c r="E146" t="s">
        <v>766</v>
      </c>
      <c r="F146" s="35">
        <v>8847.0535999999993</v>
      </c>
      <c r="G146" t="s">
        <v>822</v>
      </c>
      <c r="H146" t="s">
        <v>819</v>
      </c>
    </row>
    <row r="147" spans="1:8">
      <c r="A147" s="71">
        <v>46093.460116550901</v>
      </c>
      <c r="B147" t="s">
        <v>941</v>
      </c>
      <c r="C147" t="s">
        <v>32</v>
      </c>
      <c r="D147" t="s">
        <v>942</v>
      </c>
      <c r="E147" t="s">
        <v>766</v>
      </c>
      <c r="F147" s="35">
        <v>8847.0535999999993</v>
      </c>
      <c r="G147" t="s">
        <v>822</v>
      </c>
      <c r="H147" t="s">
        <v>819</v>
      </c>
    </row>
    <row r="148" spans="1:8">
      <c r="A148" s="71">
        <v>46093.460116550901</v>
      </c>
      <c r="B148" t="s">
        <v>941</v>
      </c>
      <c r="C148" t="s">
        <v>35</v>
      </c>
      <c r="D148" t="s">
        <v>942</v>
      </c>
      <c r="E148" t="s">
        <v>766</v>
      </c>
      <c r="F148" s="35">
        <v>8847.0535999999993</v>
      </c>
      <c r="G148" t="s">
        <v>822</v>
      </c>
      <c r="H148" t="s">
        <v>819</v>
      </c>
    </row>
    <row r="149" spans="1:8">
      <c r="A149" s="71">
        <v>46093.460116550901</v>
      </c>
      <c r="B149" t="s">
        <v>941</v>
      </c>
      <c r="C149" t="s">
        <v>36</v>
      </c>
      <c r="D149" t="s">
        <v>942</v>
      </c>
      <c r="E149" t="s">
        <v>766</v>
      </c>
      <c r="F149" s="35">
        <v>8847.0535999999993</v>
      </c>
      <c r="G149" t="s">
        <v>822</v>
      </c>
      <c r="H149" t="s">
        <v>819</v>
      </c>
    </row>
    <row r="150" spans="1:8">
      <c r="A150" s="71">
        <v>46093.460116550901</v>
      </c>
      <c r="B150" t="s">
        <v>941</v>
      </c>
      <c r="C150" t="s">
        <v>86</v>
      </c>
      <c r="D150" t="s">
        <v>942</v>
      </c>
      <c r="E150" t="s">
        <v>766</v>
      </c>
      <c r="F150" s="35">
        <v>8847.0535999999993</v>
      </c>
      <c r="G150" t="s">
        <v>822</v>
      </c>
      <c r="H150" t="s">
        <v>819</v>
      </c>
    </row>
    <row r="151" spans="1:8">
      <c r="A151" s="71">
        <v>46093.460116550901</v>
      </c>
      <c r="B151" t="s">
        <v>941</v>
      </c>
      <c r="C151" t="s">
        <v>89</v>
      </c>
      <c r="D151" t="s">
        <v>942</v>
      </c>
      <c r="E151" t="s">
        <v>766</v>
      </c>
      <c r="F151" s="35">
        <v>8847.0535999999993</v>
      </c>
      <c r="G151" t="s">
        <v>822</v>
      </c>
      <c r="H151" t="s">
        <v>819</v>
      </c>
    </row>
    <row r="152" spans="1:8">
      <c r="A152" s="71">
        <v>46093.460116550901</v>
      </c>
      <c r="B152" t="s">
        <v>941</v>
      </c>
      <c r="C152" t="s">
        <v>91</v>
      </c>
      <c r="D152" t="s">
        <v>942</v>
      </c>
      <c r="E152" t="s">
        <v>766</v>
      </c>
      <c r="F152" s="35">
        <v>8847.0535999999993</v>
      </c>
      <c r="G152" t="s">
        <v>822</v>
      </c>
      <c r="H152" t="s">
        <v>819</v>
      </c>
    </row>
    <row r="153" spans="1:8">
      <c r="A153" s="71">
        <v>46093.460116550901</v>
      </c>
      <c r="B153" t="s">
        <v>941</v>
      </c>
      <c r="C153" t="s">
        <v>93</v>
      </c>
      <c r="D153" t="s">
        <v>942</v>
      </c>
      <c r="E153" t="s">
        <v>766</v>
      </c>
      <c r="F153" s="35">
        <v>8847.0535999999993</v>
      </c>
      <c r="G153" t="s">
        <v>822</v>
      </c>
      <c r="H153" t="s">
        <v>819</v>
      </c>
    </row>
    <row r="154" spans="1:8">
      <c r="A154" s="71">
        <v>46093.460116550901</v>
      </c>
      <c r="B154" t="s">
        <v>941</v>
      </c>
      <c r="C154" t="s">
        <v>167</v>
      </c>
      <c r="D154" t="s">
        <v>942</v>
      </c>
      <c r="E154" t="s">
        <v>766</v>
      </c>
      <c r="F154" s="35">
        <v>8847.0535999999993</v>
      </c>
      <c r="G154" t="s">
        <v>822</v>
      </c>
      <c r="H154" t="s">
        <v>819</v>
      </c>
    </row>
    <row r="155" spans="1:8">
      <c r="A155" s="71">
        <v>46093.460116550901</v>
      </c>
      <c r="B155" t="s">
        <v>941</v>
      </c>
      <c r="C155" t="s">
        <v>169</v>
      </c>
      <c r="D155" t="s">
        <v>942</v>
      </c>
      <c r="E155" t="s">
        <v>766</v>
      </c>
      <c r="F155" s="35">
        <v>8847.0535999999993</v>
      </c>
      <c r="G155" t="s">
        <v>822</v>
      </c>
      <c r="H155" t="s">
        <v>819</v>
      </c>
    </row>
    <row r="156" spans="1:8">
      <c r="A156" s="71">
        <v>46093.460116550901</v>
      </c>
      <c r="B156" t="s">
        <v>941</v>
      </c>
      <c r="C156" t="s">
        <v>171</v>
      </c>
      <c r="D156" t="s">
        <v>942</v>
      </c>
      <c r="E156" t="s">
        <v>766</v>
      </c>
      <c r="F156" s="35">
        <v>8847.0535999999993</v>
      </c>
      <c r="G156" t="s">
        <v>822</v>
      </c>
      <c r="H156" t="s">
        <v>819</v>
      </c>
    </row>
    <row r="157" spans="1:8">
      <c r="A157" s="71">
        <v>46093.460116550901</v>
      </c>
      <c r="B157" t="s">
        <v>941</v>
      </c>
      <c r="C157" t="s">
        <v>173</v>
      </c>
      <c r="D157" t="s">
        <v>942</v>
      </c>
      <c r="E157" t="s">
        <v>766</v>
      </c>
      <c r="F157" s="35">
        <v>8847.0535999999993</v>
      </c>
      <c r="G157" t="s">
        <v>822</v>
      </c>
      <c r="H157" t="s">
        <v>819</v>
      </c>
    </row>
    <row r="158" spans="1:8">
      <c r="A158" s="71">
        <v>46093.460116550901</v>
      </c>
      <c r="B158" t="s">
        <v>941</v>
      </c>
      <c r="C158" t="s">
        <v>180</v>
      </c>
      <c r="D158" t="s">
        <v>942</v>
      </c>
      <c r="E158" t="s">
        <v>766</v>
      </c>
      <c r="F158" s="35">
        <v>8847.0535999999993</v>
      </c>
      <c r="G158" t="s">
        <v>822</v>
      </c>
      <c r="H158" t="s">
        <v>819</v>
      </c>
    </row>
    <row r="159" spans="1:8">
      <c r="A159" s="71">
        <v>46093.460116550901</v>
      </c>
      <c r="B159" t="s">
        <v>941</v>
      </c>
      <c r="C159" t="s">
        <v>19</v>
      </c>
      <c r="D159" t="s">
        <v>942</v>
      </c>
      <c r="E159" t="s">
        <v>766</v>
      </c>
      <c r="F159" s="35">
        <v>8847.0535999999993</v>
      </c>
      <c r="G159" t="s">
        <v>822</v>
      </c>
      <c r="H159" t="s">
        <v>819</v>
      </c>
    </row>
    <row r="160" spans="1:8">
      <c r="A160" s="71">
        <v>46093.460116550901</v>
      </c>
      <c r="B160" t="s">
        <v>941</v>
      </c>
      <c r="C160" t="s">
        <v>29</v>
      </c>
      <c r="D160" t="s">
        <v>942</v>
      </c>
      <c r="E160" t="s">
        <v>766</v>
      </c>
      <c r="F160" s="35">
        <v>8847.0535999999993</v>
      </c>
      <c r="G160" t="s">
        <v>822</v>
      </c>
      <c r="H160" t="s">
        <v>819</v>
      </c>
    </row>
    <row r="161" spans="1:8">
      <c r="A161" s="71">
        <v>46093.460116550901</v>
      </c>
      <c r="B161" t="s">
        <v>941</v>
      </c>
      <c r="C161" t="s">
        <v>32</v>
      </c>
      <c r="D161" t="s">
        <v>942</v>
      </c>
      <c r="E161" t="s">
        <v>766</v>
      </c>
      <c r="F161" s="35">
        <v>8847.0535999999993</v>
      </c>
      <c r="G161" t="s">
        <v>822</v>
      </c>
      <c r="H161" t="s">
        <v>819</v>
      </c>
    </row>
    <row r="162" spans="1:8">
      <c r="A162" s="71">
        <v>46093.467881979203</v>
      </c>
      <c r="B162" t="s">
        <v>943</v>
      </c>
      <c r="C162" t="str">
        <f>_xlfn.TEXTAFTER(TRIM(tblComprasPM[[#This Row],[Descripcion]]), " ", -1)</f>
        <v>VD-13</v>
      </c>
      <c r="D162" t="s">
        <v>944</v>
      </c>
      <c r="E162" t="s">
        <v>770</v>
      </c>
      <c r="F162" s="35">
        <v>300335.77</v>
      </c>
      <c r="G162" t="s">
        <v>818</v>
      </c>
      <c r="H162" t="s">
        <v>819</v>
      </c>
    </row>
    <row r="163" spans="1:8">
      <c r="A163" s="71">
        <v>46093.472586689801</v>
      </c>
      <c r="B163" t="s">
        <v>945</v>
      </c>
      <c r="C163" t="str">
        <f>_xlfn.TEXTAFTER(TRIM(tblComprasPM[[#This Row],[Descripcion]]), " ", -1)</f>
        <v>TALLER</v>
      </c>
      <c r="D163" t="s">
        <v>946</v>
      </c>
      <c r="E163" t="s">
        <v>766</v>
      </c>
      <c r="F163" s="35">
        <v>38549.9</v>
      </c>
      <c r="G163" t="s">
        <v>947</v>
      </c>
      <c r="H163" t="s">
        <v>819</v>
      </c>
    </row>
    <row r="164" spans="1:8">
      <c r="A164" s="71">
        <v>46093.485688888897</v>
      </c>
      <c r="B164" t="s">
        <v>948</v>
      </c>
      <c r="C164" t="str">
        <f>_xlfn.TEXTAFTER(TRIM(tblComprasPM[[#This Row],[Descripcion]]), " ", -1)</f>
        <v>CD-109</v>
      </c>
      <c r="D164" t="s">
        <v>949</v>
      </c>
      <c r="E164" t="s">
        <v>771</v>
      </c>
      <c r="F164" s="35">
        <v>170432.99</v>
      </c>
      <c r="G164" t="s">
        <v>818</v>
      </c>
      <c r="H164" t="s">
        <v>819</v>
      </c>
    </row>
    <row r="165" spans="1:8">
      <c r="A165" s="71">
        <v>46093.625469872699</v>
      </c>
      <c r="B165" t="s">
        <v>950</v>
      </c>
      <c r="C165" t="str">
        <f>_xlfn.TEXTAFTER(TRIM(tblComprasPM[[#This Row],[Descripcion]]), " ", -1)</f>
        <v>EQP-7</v>
      </c>
      <c r="D165" t="s">
        <v>951</v>
      </c>
      <c r="E165" t="s">
        <v>766</v>
      </c>
      <c r="F165" s="35">
        <v>397399.97639999999</v>
      </c>
      <c r="G165" t="s">
        <v>818</v>
      </c>
      <c r="H165" t="s">
        <v>819</v>
      </c>
    </row>
    <row r="166" spans="1:8">
      <c r="A166" s="71">
        <v>46093.632126932898</v>
      </c>
      <c r="B166" t="s">
        <v>952</v>
      </c>
      <c r="C166" t="str">
        <f>_xlfn.TEXTAFTER(TRIM(tblComprasPM[[#This Row],[Descripcion]]), " ", -1)</f>
        <v>MD-104</v>
      </c>
      <c r="D166" t="s">
        <v>953</v>
      </c>
      <c r="E166" t="s">
        <v>770</v>
      </c>
      <c r="F166" s="35">
        <v>397094.67</v>
      </c>
      <c r="G166" t="s">
        <v>818</v>
      </c>
      <c r="H166" t="s">
        <v>819</v>
      </c>
    </row>
    <row r="167" spans="1:8">
      <c r="A167" s="71">
        <v>46093.6329742245</v>
      </c>
      <c r="B167" t="s">
        <v>954</v>
      </c>
      <c r="C167" t="str">
        <f>_xlfn.TEXTAFTER(TRIM(tblComprasPM[[#This Row],[Descripcion]]), " ", -1)</f>
        <v>MD-99</v>
      </c>
      <c r="D167" t="s">
        <v>955</v>
      </c>
      <c r="E167" t="s">
        <v>770</v>
      </c>
      <c r="F167" s="35">
        <v>360959.13</v>
      </c>
      <c r="G167" t="s">
        <v>818</v>
      </c>
      <c r="H167" t="s">
        <v>819</v>
      </c>
    </row>
    <row r="168" spans="1:8">
      <c r="A168" s="71">
        <v>46093.649381215298</v>
      </c>
      <c r="B168" t="s">
        <v>956</v>
      </c>
      <c r="C168" t="str">
        <f>_xlfn.TEXTAFTER(TRIM(tblComprasPM[[#This Row],[Descripcion]]), " ", -1)</f>
        <v>CD-92</v>
      </c>
      <c r="D168" t="s">
        <v>957</v>
      </c>
      <c r="E168" t="s">
        <v>771</v>
      </c>
      <c r="F168" s="35">
        <v>170432.99</v>
      </c>
      <c r="G168" t="s">
        <v>818</v>
      </c>
      <c r="H168" t="s">
        <v>819</v>
      </c>
    </row>
    <row r="169" spans="1:8">
      <c r="A169" s="40">
        <v>46093.717566053201</v>
      </c>
      <c r="B169" s="41" t="s">
        <v>958</v>
      </c>
      <c r="C169" s="41" t="str">
        <f>_xlfn.TEXTAFTER(TRIM(tblComprasPM[[#This Row],[Descripcion]]), " ", -1)</f>
        <v>EQP-18</v>
      </c>
      <c r="D169" s="41" t="s">
        <v>959</v>
      </c>
      <c r="E169" s="41" t="s">
        <v>766</v>
      </c>
      <c r="F169" s="43">
        <v>319799.99310000002</v>
      </c>
      <c r="G169" s="41" t="s">
        <v>818</v>
      </c>
      <c r="H169" s="41" t="s">
        <v>819</v>
      </c>
    </row>
    <row r="170" spans="1:8">
      <c r="A170" s="40">
        <v>46093.724767326399</v>
      </c>
      <c r="B170" s="41" t="s">
        <v>960</v>
      </c>
      <c r="C170" s="41" t="str">
        <f>_xlfn.TEXTAFTER(TRIM(tblComprasPM[[#This Row],[Descripcion]]), " ", -1)</f>
        <v>EQP-16</v>
      </c>
      <c r="D170" s="41" t="s">
        <v>961</v>
      </c>
      <c r="E170" s="41" t="s">
        <v>765</v>
      </c>
      <c r="F170" s="43">
        <v>559290.48</v>
      </c>
      <c r="G170" s="41" t="s">
        <v>818</v>
      </c>
      <c r="H170" s="41" t="s">
        <v>819</v>
      </c>
    </row>
    <row r="171" spans="1:8">
      <c r="A171" s="40">
        <v>46094.669263854201</v>
      </c>
      <c r="B171" s="41" t="s">
        <v>962</v>
      </c>
      <c r="C171" s="41" t="str">
        <f>_xlfn.TEXTAFTER(TRIM(tblComprasPM[[#This Row],[Descripcion]]), " ", -1)</f>
        <v>MD-70</v>
      </c>
      <c r="D171" s="41" t="s">
        <v>963</v>
      </c>
      <c r="E171" s="41" t="s">
        <v>766</v>
      </c>
      <c r="F171" s="43">
        <v>89099.976699999999</v>
      </c>
      <c r="G171" s="41" t="s">
        <v>818</v>
      </c>
      <c r="H171" s="42" t="s">
        <v>819</v>
      </c>
    </row>
    <row r="172" spans="1:8">
      <c r="A172" s="40">
        <v>46098</v>
      </c>
      <c r="B172" s="42" t="s">
        <v>964</v>
      </c>
      <c r="C172" s="41" t="str">
        <f>_xlfn.TEXTAFTER(TRIM(tblComprasPM[[#This Row],[Descripcion]]), " ", -1)</f>
        <v>EQP-7</v>
      </c>
      <c r="D172" s="41" t="s">
        <v>965</v>
      </c>
      <c r="E172" s="41" t="s">
        <v>765</v>
      </c>
      <c r="F172" s="35">
        <v>238478.38</v>
      </c>
      <c r="G172" s="41" t="s">
        <v>818</v>
      </c>
      <c r="H172" s="41" t="s">
        <v>819</v>
      </c>
    </row>
    <row r="173" spans="1:8">
      <c r="A173" s="40">
        <v>46098</v>
      </c>
      <c r="B173" s="42" t="s">
        <v>966</v>
      </c>
      <c r="C173" s="41" t="str">
        <f>_xlfn.TEXTAFTER(TRIM(tblComprasPM[[#This Row],[Descripcion]]), " ", -1)</f>
        <v>MD-26</v>
      </c>
      <c r="D173" s="41" t="s">
        <v>967</v>
      </c>
      <c r="E173" s="41" t="s">
        <v>766</v>
      </c>
      <c r="F173" s="35">
        <v>38549.9</v>
      </c>
      <c r="G173" s="41" t="s">
        <v>818</v>
      </c>
      <c r="H173" s="41" t="s">
        <v>819</v>
      </c>
    </row>
    <row r="174" spans="1:8">
      <c r="A174" s="40">
        <v>46099</v>
      </c>
      <c r="B174" s="42" t="s">
        <v>968</v>
      </c>
      <c r="C174" s="41" t="str">
        <f>_xlfn.TEXTAFTER(TRIM(tblComprasPM[[#This Row],[Descripcion]]), " ", -1)</f>
        <v>MD-83</v>
      </c>
      <c r="D174" s="41" t="s">
        <v>969</v>
      </c>
      <c r="E174" s="41" t="s">
        <v>768</v>
      </c>
      <c r="F174" s="43">
        <v>228128.95</v>
      </c>
      <c r="G174" s="41" t="s">
        <v>818</v>
      </c>
      <c r="H174" s="41" t="s">
        <v>829</v>
      </c>
    </row>
    <row r="175" spans="1:8">
      <c r="A175" s="40">
        <v>46100</v>
      </c>
      <c r="B175" s="42" t="s">
        <v>970</v>
      </c>
      <c r="C175" s="41" t="str">
        <f>_xlfn.TEXTAFTER(TRIM(tblComprasPM[[#This Row],[Descripcion]]), " ", -1)</f>
        <v>VD-130</v>
      </c>
      <c r="D175" s="41" t="s">
        <v>971</v>
      </c>
      <c r="E175" s="41" t="s">
        <v>770</v>
      </c>
      <c r="F175" s="43">
        <v>580385.61</v>
      </c>
      <c r="G175" s="41" t="s">
        <v>818</v>
      </c>
      <c r="H175" s="41" t="s">
        <v>819</v>
      </c>
    </row>
    <row r="176" spans="1:8">
      <c r="A176" s="40">
        <v>46100</v>
      </c>
      <c r="B176" s="42" t="s">
        <v>972</v>
      </c>
      <c r="C176" s="41" t="str">
        <f>_xlfn.TEXTAFTER(TRIM(tblComprasPM[[#This Row],[Descripcion]]), " ", -1)</f>
        <v>VD-140</v>
      </c>
      <c r="D176" s="41" t="s">
        <v>973</v>
      </c>
      <c r="E176" s="41" t="s">
        <v>770</v>
      </c>
      <c r="F176" s="43">
        <v>440390.44</v>
      </c>
      <c r="G176" s="41" t="s">
        <v>818</v>
      </c>
      <c r="H176" s="41" t="s">
        <v>819</v>
      </c>
    </row>
    <row r="177" spans="1:8">
      <c r="A177" s="40">
        <v>46100</v>
      </c>
      <c r="B177" s="42" t="s">
        <v>974</v>
      </c>
      <c r="C177" s="41" t="str">
        <f>_xlfn.TEXTAFTER(TRIM(tblComprasPM[[#This Row],[Descripcion]]), " ", -1)</f>
        <v>VD-97</v>
      </c>
      <c r="D177" s="41" t="s">
        <v>975</v>
      </c>
      <c r="E177" s="41" t="s">
        <v>770</v>
      </c>
      <c r="F177" s="43">
        <v>392089.53</v>
      </c>
      <c r="G177" s="41" t="s">
        <v>818</v>
      </c>
      <c r="H177" s="41" t="s">
        <v>819</v>
      </c>
    </row>
    <row r="178" spans="1:8">
      <c r="A178" s="40">
        <v>46100</v>
      </c>
      <c r="B178" s="42" t="s">
        <v>976</v>
      </c>
      <c r="C178" s="41" t="str">
        <f>_xlfn.TEXTAFTER(TRIM(tblComprasPM[[#This Row],[Descripcion]]), " ", -1)</f>
        <v>MD-83</v>
      </c>
      <c r="D178" s="41" t="s">
        <v>977</v>
      </c>
      <c r="E178" s="41" t="s">
        <v>766</v>
      </c>
      <c r="F178" s="43">
        <v>234799.89</v>
      </c>
      <c r="G178" s="41" t="s">
        <v>818</v>
      </c>
      <c r="H178" s="41" t="s">
        <v>819</v>
      </c>
    </row>
    <row r="179" spans="1:8">
      <c r="A179" s="40">
        <v>46100</v>
      </c>
      <c r="B179" s="42" t="s">
        <v>978</v>
      </c>
      <c r="C179" s="41" t="str">
        <f>_xlfn.TEXTAFTER(TRIM(tblComprasPM[[#This Row],[Descripcion]]), " ", -1)</f>
        <v>MD-46</v>
      </c>
      <c r="D179" s="41" t="s">
        <v>979</v>
      </c>
      <c r="E179" s="41" t="s">
        <v>768</v>
      </c>
      <c r="F179" s="43">
        <v>228336.01</v>
      </c>
      <c r="G179" s="41" t="s">
        <v>818</v>
      </c>
      <c r="H179" s="41" t="s">
        <v>819</v>
      </c>
    </row>
    <row r="180" spans="1:8">
      <c r="A180" s="40">
        <v>46100</v>
      </c>
      <c r="B180" s="42" t="s">
        <v>980</v>
      </c>
      <c r="C180" s="41" t="str">
        <f>_xlfn.TEXTAFTER(TRIM(tblComprasPM[[#This Row],[Descripcion]]), " ", -1)</f>
        <v>ED-52</v>
      </c>
      <c r="D180" s="41" t="s">
        <v>981</v>
      </c>
      <c r="E180" s="41" t="s">
        <v>765</v>
      </c>
      <c r="F180" s="43">
        <v>149298.59</v>
      </c>
      <c r="G180" s="41" t="s">
        <v>818</v>
      </c>
      <c r="H180" s="41" t="s">
        <v>819</v>
      </c>
    </row>
    <row r="181" spans="1:8">
      <c r="A181" s="40">
        <v>46100</v>
      </c>
      <c r="B181" s="42" t="s">
        <v>982</v>
      </c>
      <c r="C181" s="41" t="str">
        <f>_xlfn.TEXTAFTER(TRIM(tblComprasPM[[#This Row],[Descripcion]]), " ", -1)</f>
        <v>CD-115</v>
      </c>
      <c r="D181" s="41" t="s">
        <v>983</v>
      </c>
      <c r="E181" s="41" t="s">
        <v>770</v>
      </c>
      <c r="F181" s="43">
        <v>121145.57</v>
      </c>
      <c r="G181" s="41" t="s">
        <v>818</v>
      </c>
      <c r="H181" s="41" t="s">
        <v>819</v>
      </c>
    </row>
    <row r="182" spans="1:8">
      <c r="A182" s="40">
        <v>46100</v>
      </c>
      <c r="B182" s="42" t="s">
        <v>984</v>
      </c>
      <c r="C182" s="41" t="str">
        <f>_xlfn.TEXTAFTER(TRIM(tblComprasPM[[#This Row],[Descripcion]]), " ", -1)</f>
        <v>ED-74</v>
      </c>
      <c r="D182" s="41" t="s">
        <v>985</v>
      </c>
      <c r="E182" s="41" t="s">
        <v>766</v>
      </c>
      <c r="F182" s="43">
        <v>91699.98</v>
      </c>
      <c r="G182" s="41" t="s">
        <v>818</v>
      </c>
      <c r="H182" s="41" t="s">
        <v>819</v>
      </c>
    </row>
    <row r="183" spans="1:8">
      <c r="A183" s="40">
        <v>46100</v>
      </c>
      <c r="B183" s="42" t="s">
        <v>986</v>
      </c>
      <c r="C183" s="41" t="s">
        <v>173</v>
      </c>
      <c r="D183" s="41" t="s">
        <v>987</v>
      </c>
      <c r="E183" s="41" t="s">
        <v>882</v>
      </c>
      <c r="F183" s="43">
        <v>85871.59</v>
      </c>
      <c r="G183" s="41" t="s">
        <v>818</v>
      </c>
      <c r="H183" s="41" t="s">
        <v>819</v>
      </c>
    </row>
    <row r="184" spans="1:8">
      <c r="A184" s="40">
        <v>46100</v>
      </c>
      <c r="B184" s="42" t="s">
        <v>988</v>
      </c>
      <c r="C184" s="41" t="str">
        <f>_xlfn.TEXTAFTER(TRIM(tblComprasPM[[#This Row],[Descripcion]]), " ", -1)</f>
        <v>MD-57</v>
      </c>
      <c r="D184" s="41" t="s">
        <v>989</v>
      </c>
      <c r="E184" s="41" t="s">
        <v>765</v>
      </c>
      <c r="F184" s="43">
        <v>68582.080000000002</v>
      </c>
      <c r="G184" s="41" t="s">
        <v>818</v>
      </c>
      <c r="H184" s="41" t="s">
        <v>819</v>
      </c>
    </row>
    <row r="185" spans="1:8">
      <c r="A185" s="40">
        <v>46101</v>
      </c>
      <c r="B185" s="42" t="s">
        <v>990</v>
      </c>
      <c r="C185" s="41" t="str">
        <f>_xlfn.TEXTAFTER(TRIM(tblComprasPM[[#This Row],[Descripcion]]), " ", -1)</f>
        <v>MD-49</v>
      </c>
      <c r="D185" s="41" t="s">
        <v>991</v>
      </c>
      <c r="E185" s="41" t="s">
        <v>766</v>
      </c>
      <c r="F185" s="43">
        <v>164899.99</v>
      </c>
      <c r="G185" s="41" t="s">
        <v>818</v>
      </c>
      <c r="H185" s="41" t="s">
        <v>819</v>
      </c>
    </row>
    <row r="186" spans="1:8" ht="15.75" customHeight="1">
      <c r="A186" s="40">
        <v>46104.379210416701</v>
      </c>
      <c r="B186" s="44" t="s">
        <v>992</v>
      </c>
      <c r="C186" s="41" t="str">
        <f>_xlfn.TEXTAFTER(TRIM(tblComprasPM[[#This Row],[Descripcion]]), " ", -1)</f>
        <v>MD-105</v>
      </c>
      <c r="D186" s="45" t="s">
        <v>993</v>
      </c>
      <c r="E186" s="50" t="s">
        <v>766</v>
      </c>
      <c r="F186" s="35">
        <v>110299.9814</v>
      </c>
      <c r="G186" s="41" t="s">
        <v>818</v>
      </c>
      <c r="H186" s="42" t="s">
        <v>819</v>
      </c>
    </row>
    <row r="187" spans="1:8" ht="15.75" customHeight="1">
      <c r="A187" s="40">
        <v>46104.427122835601</v>
      </c>
      <c r="B187" s="44" t="s">
        <v>994</v>
      </c>
      <c r="C187" s="41" t="str">
        <f>_xlfn.TEXTAFTER(TRIM(tblComprasPM[[#This Row],[Descripcion]]), " ", -1)</f>
        <v>VD-84</v>
      </c>
      <c r="D187" s="45" t="s">
        <v>995</v>
      </c>
      <c r="E187" s="50" t="s">
        <v>766</v>
      </c>
      <c r="F187" s="35">
        <v>23599.960999999999</v>
      </c>
      <c r="G187" s="41" t="s">
        <v>818</v>
      </c>
      <c r="H187" s="42" t="s">
        <v>819</v>
      </c>
    </row>
    <row r="188" spans="1:8" ht="15.75" customHeight="1">
      <c r="A188" s="40">
        <v>46104.430481481497</v>
      </c>
      <c r="B188" s="44" t="s">
        <v>996</v>
      </c>
      <c r="C188" s="41" t="str">
        <f>_xlfn.TEXTAFTER(TRIM(tblComprasPM[[#This Row],[Descripcion]]), " ", -1)</f>
        <v>MD-76</v>
      </c>
      <c r="D188" s="45" t="s">
        <v>997</v>
      </c>
      <c r="E188" s="50" t="s">
        <v>766</v>
      </c>
      <c r="F188" s="35">
        <v>14500.15</v>
      </c>
      <c r="G188" s="41" t="s">
        <v>818</v>
      </c>
      <c r="H188" s="42" t="s">
        <v>819</v>
      </c>
    </row>
    <row r="189" spans="1:8" ht="15.75" customHeight="1">
      <c r="A189" s="40">
        <v>46104.470781678203</v>
      </c>
      <c r="B189" s="44" t="s">
        <v>998</v>
      </c>
      <c r="C189" s="41" t="str">
        <f>_xlfn.TEXTAFTER(TRIM(tblComprasPM[[#This Row],[Descripcion]]), " ", -1)</f>
        <v>MD-85</v>
      </c>
      <c r="D189" s="45" t="s">
        <v>999</v>
      </c>
      <c r="E189" s="50" t="s">
        <v>1000</v>
      </c>
      <c r="F189" s="35">
        <v>99901.69</v>
      </c>
      <c r="G189" s="41" t="s">
        <v>818</v>
      </c>
      <c r="H189" s="42" t="s">
        <v>1001</v>
      </c>
    </row>
    <row r="190" spans="1:8" ht="15.75" customHeight="1">
      <c r="A190" s="40">
        <v>46104.621280289401</v>
      </c>
      <c r="B190" s="44" t="s">
        <v>1002</v>
      </c>
      <c r="C190" s="41" t="str">
        <f>_xlfn.TEXTAFTER(TRIM(tblComprasPM[[#This Row],[Descripcion]]), " ", -1)</f>
        <v>CD-68</v>
      </c>
      <c r="D190" s="45" t="s">
        <v>1003</v>
      </c>
      <c r="E190" s="50" t="s">
        <v>766</v>
      </c>
      <c r="F190" s="35">
        <v>381399.96230000001</v>
      </c>
      <c r="G190" s="41" t="s">
        <v>818</v>
      </c>
      <c r="H190" s="42" t="s">
        <v>819</v>
      </c>
    </row>
    <row r="191" spans="1:8" ht="15.75" customHeight="1">
      <c r="A191" s="40">
        <v>46104.729813854203</v>
      </c>
      <c r="B191" s="44" t="s">
        <v>1004</v>
      </c>
      <c r="C191" s="41" t="str">
        <f>_xlfn.TEXTAFTER(TRIM(tblComprasPM[[#This Row],[Descripcion]]), " ", -1)</f>
        <v>EQP-16</v>
      </c>
      <c r="D191" s="45" t="s">
        <v>1005</v>
      </c>
      <c r="E191" s="50" t="s">
        <v>765</v>
      </c>
      <c r="F191" s="35">
        <v>38684.519999999997</v>
      </c>
      <c r="G191" s="41" t="s">
        <v>818</v>
      </c>
      <c r="H191" s="42" t="s">
        <v>819</v>
      </c>
    </row>
    <row r="192" spans="1:8" ht="15.75" customHeight="1">
      <c r="A192" s="40">
        <v>46104.729813854203</v>
      </c>
      <c r="B192" s="44" t="s">
        <v>1004</v>
      </c>
      <c r="C192" s="41" t="s">
        <v>259</v>
      </c>
      <c r="D192" s="45" t="s">
        <v>1005</v>
      </c>
      <c r="E192" s="50" t="s">
        <v>765</v>
      </c>
      <c r="F192" s="35">
        <v>38684.519999999997</v>
      </c>
      <c r="G192" s="41" t="s">
        <v>818</v>
      </c>
      <c r="H192" s="42" t="s">
        <v>819</v>
      </c>
    </row>
    <row r="193" spans="1:8" ht="15.75" customHeight="1">
      <c r="A193" s="40">
        <v>46104.734478391198</v>
      </c>
      <c r="B193" s="44" t="s">
        <v>1006</v>
      </c>
      <c r="C193" s="41" t="str">
        <f>_xlfn.TEXTAFTER(TRIM(tblComprasPM[[#This Row],[Descripcion]]), " ", -1)</f>
        <v>CD-138</v>
      </c>
      <c r="D193" s="45" t="s">
        <v>1007</v>
      </c>
      <c r="E193" s="50" t="s">
        <v>765</v>
      </c>
      <c r="F193" s="35">
        <v>305483.71000000002</v>
      </c>
      <c r="G193" s="41" t="s">
        <v>818</v>
      </c>
      <c r="H193" s="42" t="s">
        <v>819</v>
      </c>
    </row>
    <row r="194" spans="1:8" ht="15.75" customHeight="1">
      <c r="A194" s="49">
        <v>46105</v>
      </c>
      <c r="B194" s="50" t="s">
        <v>1008</v>
      </c>
      <c r="C194" t="str">
        <f>_xlfn.TEXTAFTER(TRIM(tblComprasPM[[#This Row],[Descripcion]]), " ", -1)</f>
        <v>VD-128</v>
      </c>
      <c r="D194" s="50" t="s">
        <v>1009</v>
      </c>
      <c r="E194" s="50" t="s">
        <v>770</v>
      </c>
      <c r="F194" s="35">
        <v>831174.54</v>
      </c>
      <c r="G194" s="41" t="s">
        <v>818</v>
      </c>
      <c r="H194" s="42" t="s">
        <v>819</v>
      </c>
    </row>
    <row r="195" spans="1:8" ht="15.75" customHeight="1">
      <c r="A195" s="49">
        <v>46105</v>
      </c>
      <c r="B195" s="50" t="s">
        <v>1010</v>
      </c>
      <c r="C195" t="str">
        <f>_xlfn.TEXTAFTER(TRIM(tblComprasPM[[#This Row],[Descripcion]]), " ", -1)</f>
        <v>ED-63</v>
      </c>
      <c r="D195" s="50" t="s">
        <v>1011</v>
      </c>
      <c r="E195" s="50" t="s">
        <v>765</v>
      </c>
      <c r="F195" s="35">
        <v>126877.8</v>
      </c>
      <c r="G195" s="41" t="s">
        <v>818</v>
      </c>
      <c r="H195" s="42" t="s">
        <v>819</v>
      </c>
    </row>
    <row r="196" spans="1:8" ht="15.75" customHeight="1">
      <c r="A196" s="49">
        <v>46105</v>
      </c>
      <c r="B196" s="50" t="s">
        <v>1012</v>
      </c>
      <c r="C196" t="str">
        <f>_xlfn.TEXTAFTER(TRIM(tblComprasPM[[#This Row],[Descripcion]]), " ", -1)</f>
        <v>VD-108</v>
      </c>
      <c r="D196" s="50" t="s">
        <v>1013</v>
      </c>
      <c r="E196" s="50" t="s">
        <v>1014</v>
      </c>
      <c r="F196" s="35">
        <v>110000.03</v>
      </c>
      <c r="G196" s="41" t="s">
        <v>818</v>
      </c>
      <c r="H196" s="42" t="s">
        <v>819</v>
      </c>
    </row>
    <row r="197" spans="1:8" ht="15.75" customHeight="1">
      <c r="A197" s="49">
        <v>46105</v>
      </c>
      <c r="B197" s="50" t="s">
        <v>1015</v>
      </c>
      <c r="C197" t="str">
        <f>_xlfn.TEXTAFTER(TRIM(tblComprasPM[[#This Row],[Descripcion]]), " ", -1)</f>
        <v>MD-57</v>
      </c>
      <c r="D197" s="50" t="s">
        <v>1016</v>
      </c>
      <c r="E197" s="50" t="s">
        <v>1017</v>
      </c>
      <c r="F197" s="35">
        <v>55490.89</v>
      </c>
      <c r="G197" s="41" t="s">
        <v>818</v>
      </c>
      <c r="H197" s="42" t="s">
        <v>819</v>
      </c>
    </row>
    <row r="198" spans="1:8" ht="15.75" customHeight="1">
      <c r="A198" s="40">
        <v>46105.635110648102</v>
      </c>
      <c r="B198" s="44" t="s">
        <v>1010</v>
      </c>
      <c r="C198" s="41" t="str">
        <f>_xlfn.TEXTAFTER(TRIM(tblComprasPM[[#This Row],[Descripcion]]), " ", -1)</f>
        <v>ED-63</v>
      </c>
      <c r="D198" s="45" t="s">
        <v>1011</v>
      </c>
      <c r="E198" s="50" t="s">
        <v>765</v>
      </c>
      <c r="F198" s="35">
        <v>126877.8</v>
      </c>
      <c r="G198" s="41" t="s">
        <v>818</v>
      </c>
      <c r="H198" s="42" t="s">
        <v>819</v>
      </c>
    </row>
    <row r="199" spans="1:8" ht="15.75" customHeight="1">
      <c r="A199" s="49">
        <v>46106</v>
      </c>
      <c r="B199" s="50" t="s">
        <v>1018</v>
      </c>
      <c r="C199" t="str">
        <f>_xlfn.TEXTAFTER(TRIM(tblComprasPM[[#This Row],[Descripcion]]), " ", -1)</f>
        <v>MD-108</v>
      </c>
      <c r="D199" s="50" t="s">
        <v>1019</v>
      </c>
      <c r="E199" s="50" t="s">
        <v>828</v>
      </c>
      <c r="F199" s="35">
        <v>320165.93</v>
      </c>
      <c r="G199" s="41" t="s">
        <v>818</v>
      </c>
      <c r="H199" s="42" t="s">
        <v>819</v>
      </c>
    </row>
    <row r="200" spans="1:8" ht="15.75" customHeight="1">
      <c r="A200" s="49">
        <v>46106</v>
      </c>
      <c r="B200" s="50" t="s">
        <v>1018</v>
      </c>
      <c r="C200" t="s">
        <v>454</v>
      </c>
      <c r="D200" s="50" t="s">
        <v>1019</v>
      </c>
      <c r="E200" s="50" t="s">
        <v>828</v>
      </c>
      <c r="F200" s="35">
        <v>320165.93</v>
      </c>
      <c r="G200" s="41" t="s">
        <v>818</v>
      </c>
      <c r="H200" s="42" t="s">
        <v>819</v>
      </c>
    </row>
    <row r="201" spans="1:8" ht="15.75" customHeight="1">
      <c r="A201" s="49">
        <v>46106</v>
      </c>
      <c r="B201" s="50" t="s">
        <v>1020</v>
      </c>
      <c r="C201" t="str">
        <f>_xlfn.TEXTAFTER(TRIM(tblComprasPM[[#This Row],[Descripcion]]), " ", -1)</f>
        <v>MD-93</v>
      </c>
      <c r="D201" s="50" t="s">
        <v>1021</v>
      </c>
      <c r="E201" s="50" t="s">
        <v>770</v>
      </c>
      <c r="F201" s="35">
        <v>261044.95</v>
      </c>
      <c r="G201" s="41" t="s">
        <v>818</v>
      </c>
      <c r="H201" s="42" t="s">
        <v>819</v>
      </c>
    </row>
    <row r="202" spans="1:8">
      <c r="A202" s="49">
        <v>46106</v>
      </c>
      <c r="B202" s="50" t="s">
        <v>1022</v>
      </c>
      <c r="C202" t="str">
        <f>_xlfn.TEXTAFTER(TRIM(tblComprasPM[[#This Row],[Descripcion]]), " ", -1)</f>
        <v>MD-87</v>
      </c>
      <c r="D202" s="50" t="s">
        <v>1023</v>
      </c>
      <c r="E202" s="50" t="s">
        <v>828</v>
      </c>
      <c r="F202" s="35">
        <v>64141.8</v>
      </c>
      <c r="G202" s="41" t="s">
        <v>818</v>
      </c>
      <c r="H202" s="42" t="s">
        <v>819</v>
      </c>
    </row>
    <row r="203" spans="1:8" ht="15" customHeight="1">
      <c r="A203" s="49">
        <v>46106</v>
      </c>
      <c r="B203" s="50" t="s">
        <v>1022</v>
      </c>
      <c r="C203" t="s">
        <v>424</v>
      </c>
      <c r="D203" s="50" t="s">
        <v>1023</v>
      </c>
      <c r="E203" s="50" t="s">
        <v>828</v>
      </c>
      <c r="F203" s="35">
        <v>64141.8</v>
      </c>
      <c r="G203" s="41" t="s">
        <v>818</v>
      </c>
      <c r="H203" s="42" t="s">
        <v>819</v>
      </c>
    </row>
    <row r="204" spans="1:8" ht="15" customHeight="1">
      <c r="A204" s="49">
        <v>46111</v>
      </c>
      <c r="B204" s="50" t="s">
        <v>1024</v>
      </c>
      <c r="C204" t="str">
        <f>_xlfn.TEXTAFTER(TRIM(tblComprasPM[[#This Row],[Descripcion]]), " ", -1)</f>
        <v>MD-110</v>
      </c>
      <c r="D204" s="50" t="s">
        <v>1025</v>
      </c>
      <c r="E204" s="50" t="s">
        <v>1000</v>
      </c>
      <c r="F204" s="35">
        <v>775405.19</v>
      </c>
      <c r="G204" s="41" t="s">
        <v>818</v>
      </c>
      <c r="H204" s="42" t="s">
        <v>819</v>
      </c>
    </row>
    <row r="205" spans="1:8" ht="15" customHeight="1">
      <c r="A205" s="49">
        <v>46111</v>
      </c>
      <c r="B205" s="50" t="s">
        <v>1026</v>
      </c>
      <c r="C205" t="str">
        <f>_xlfn.TEXTAFTER(TRIM(tblComprasPM[[#This Row],[Descripcion]]), " ", -1)</f>
        <v>VD-139</v>
      </c>
      <c r="D205" s="50" t="s">
        <v>1027</v>
      </c>
      <c r="E205" s="50" t="s">
        <v>770</v>
      </c>
      <c r="F205" s="35">
        <v>209386.45</v>
      </c>
      <c r="G205" s="41" t="s">
        <v>818</v>
      </c>
      <c r="H205" s="42" t="s">
        <v>819</v>
      </c>
    </row>
    <row r="206" spans="1:8" ht="15" customHeight="1">
      <c r="A206" s="49">
        <v>46113</v>
      </c>
      <c r="B206" s="50" t="s">
        <v>1028</v>
      </c>
      <c r="C206" t="str">
        <f>_xlfn.TEXTAFTER(TRIM(tblComprasPM[[#This Row],[Descripcion]]), " ", -1)</f>
        <v>MD-80</v>
      </c>
      <c r="D206" s="50" t="s">
        <v>1029</v>
      </c>
      <c r="E206" s="50" t="s">
        <v>1030</v>
      </c>
      <c r="F206" s="35">
        <v>332797.78000000003</v>
      </c>
      <c r="G206" s="41" t="s">
        <v>818</v>
      </c>
      <c r="H206" s="42" t="s">
        <v>819</v>
      </c>
    </row>
    <row r="207" spans="1:8" ht="15" customHeight="1">
      <c r="A207" s="49">
        <v>46113</v>
      </c>
      <c r="B207" s="50" t="s">
        <v>1031</v>
      </c>
      <c r="C207" t="str">
        <f>_xlfn.TEXTAFTER(TRIM(tblComprasPM[[#This Row],[Descripcion]]), " ", -1)</f>
        <v>EQP-11</v>
      </c>
      <c r="D207" s="50" t="s">
        <v>1032</v>
      </c>
      <c r="E207" s="50" t="s">
        <v>766</v>
      </c>
      <c r="F207" s="35">
        <v>176399.98</v>
      </c>
      <c r="G207" s="41" t="s">
        <v>818</v>
      </c>
      <c r="H207" s="42" t="s">
        <v>819</v>
      </c>
    </row>
    <row r="208" spans="1:8" ht="15" customHeight="1">
      <c r="A208" s="49">
        <v>46114</v>
      </c>
      <c r="B208" s="50" t="s">
        <v>1033</v>
      </c>
      <c r="C208" t="str">
        <f>_xlfn.TEXTAFTER(TRIM(tblComprasPM[[#This Row],[Descripcion]]), " ", -1)</f>
        <v>EQP-18</v>
      </c>
      <c r="D208" s="50" t="s">
        <v>1034</v>
      </c>
      <c r="E208" s="50" t="s">
        <v>766</v>
      </c>
      <c r="F208" s="35">
        <v>131599.72</v>
      </c>
      <c r="G208" s="41" t="s">
        <v>818</v>
      </c>
      <c r="H208" s="42" t="s">
        <v>819</v>
      </c>
    </row>
    <row r="209" spans="1:8" ht="15" customHeight="1">
      <c r="A209" s="49">
        <v>46114</v>
      </c>
      <c r="B209" s="50" t="s">
        <v>1035</v>
      </c>
      <c r="C209" t="s">
        <v>631</v>
      </c>
      <c r="D209" s="50" t="s">
        <v>1036</v>
      </c>
      <c r="E209" s="50" t="s">
        <v>770</v>
      </c>
      <c r="F209" s="35">
        <v>21192</v>
      </c>
      <c r="G209" s="41" t="s">
        <v>818</v>
      </c>
      <c r="H209" s="42" t="s">
        <v>819</v>
      </c>
    </row>
    <row r="210" spans="1:8" ht="15" customHeight="1">
      <c r="A210" s="49">
        <v>46114</v>
      </c>
      <c r="B210" s="50" t="s">
        <v>1035</v>
      </c>
      <c r="C210" t="s">
        <v>633</v>
      </c>
      <c r="D210" s="50" t="s">
        <v>1036</v>
      </c>
      <c r="E210" s="50" t="s">
        <v>770</v>
      </c>
      <c r="F210" s="35">
        <v>21192</v>
      </c>
      <c r="G210" s="41" t="s">
        <v>818</v>
      </c>
      <c r="H210" s="42" t="s">
        <v>819</v>
      </c>
    </row>
    <row r="211" spans="1:8" ht="15" customHeight="1">
      <c r="A211" s="49">
        <v>46114</v>
      </c>
      <c r="B211" s="50" t="s">
        <v>1035</v>
      </c>
      <c r="C211" t="s">
        <v>635</v>
      </c>
      <c r="D211" s="50" t="s">
        <v>1036</v>
      </c>
      <c r="E211" s="50" t="s">
        <v>770</v>
      </c>
      <c r="F211" s="35">
        <v>21192</v>
      </c>
      <c r="G211" s="41" t="s">
        <v>818</v>
      </c>
      <c r="H211" s="42" t="s">
        <v>819</v>
      </c>
    </row>
    <row r="212" spans="1:8" ht="15" customHeight="1">
      <c r="A212" s="49">
        <v>46114</v>
      </c>
      <c r="B212" s="50" t="s">
        <v>1035</v>
      </c>
      <c r="C212" t="s">
        <v>637</v>
      </c>
      <c r="D212" s="50" t="s">
        <v>1036</v>
      </c>
      <c r="E212" s="50" t="s">
        <v>770</v>
      </c>
      <c r="F212" s="35">
        <v>21192</v>
      </c>
      <c r="G212" s="41" t="s">
        <v>818</v>
      </c>
      <c r="H212" s="42" t="s">
        <v>819</v>
      </c>
    </row>
    <row r="213" spans="1:8" ht="15" customHeight="1">
      <c r="A213" s="49">
        <v>46114</v>
      </c>
      <c r="B213" s="50" t="s">
        <v>1035</v>
      </c>
      <c r="C213" t="s">
        <v>639</v>
      </c>
      <c r="D213" s="50" t="s">
        <v>1036</v>
      </c>
      <c r="E213" s="50" t="s">
        <v>770</v>
      </c>
      <c r="F213" s="35">
        <v>21192</v>
      </c>
      <c r="G213" s="41" t="s">
        <v>818</v>
      </c>
      <c r="H213" s="42" t="s">
        <v>819</v>
      </c>
    </row>
    <row r="214" spans="1:8" ht="15" customHeight="1">
      <c r="A214" s="49">
        <v>46114</v>
      </c>
      <c r="B214" s="50" t="s">
        <v>1035</v>
      </c>
      <c r="C214" t="s">
        <v>641</v>
      </c>
      <c r="D214" s="50" t="s">
        <v>1036</v>
      </c>
      <c r="E214" s="50" t="s">
        <v>770</v>
      </c>
      <c r="F214" s="35">
        <v>21192</v>
      </c>
      <c r="G214" s="41" t="s">
        <v>818</v>
      </c>
      <c r="H214" s="42" t="s">
        <v>819</v>
      </c>
    </row>
    <row r="215" spans="1:8" ht="15" customHeight="1">
      <c r="A215" s="49">
        <v>46114</v>
      </c>
      <c r="B215" s="50" t="s">
        <v>1035</v>
      </c>
      <c r="C215" t="s">
        <v>643</v>
      </c>
      <c r="D215" s="50" t="s">
        <v>1036</v>
      </c>
      <c r="E215" s="50" t="s">
        <v>770</v>
      </c>
      <c r="F215" s="35">
        <v>21192</v>
      </c>
      <c r="G215" s="41" t="s">
        <v>818</v>
      </c>
      <c r="H215" s="42" t="s">
        <v>819</v>
      </c>
    </row>
    <row r="216" spans="1:8" ht="15" customHeight="1">
      <c r="A216" s="49">
        <v>46114</v>
      </c>
      <c r="B216" s="50" t="s">
        <v>1035</v>
      </c>
      <c r="C216" t="s">
        <v>644</v>
      </c>
      <c r="D216" s="50" t="s">
        <v>1036</v>
      </c>
      <c r="E216" s="50" t="s">
        <v>770</v>
      </c>
      <c r="F216" s="35">
        <v>21192</v>
      </c>
      <c r="G216" s="41" t="s">
        <v>818</v>
      </c>
      <c r="H216" s="42" t="s">
        <v>819</v>
      </c>
    </row>
    <row r="217" spans="1:8" ht="15" customHeight="1">
      <c r="A217" s="49">
        <v>46114</v>
      </c>
      <c r="B217" s="50" t="s">
        <v>1035</v>
      </c>
      <c r="C217" t="s">
        <v>646</v>
      </c>
      <c r="D217" s="50" t="s">
        <v>1036</v>
      </c>
      <c r="E217" s="50" t="s">
        <v>770</v>
      </c>
      <c r="F217" s="35">
        <v>21192</v>
      </c>
      <c r="G217" s="41" t="s">
        <v>818</v>
      </c>
      <c r="H217" s="42" t="s">
        <v>819</v>
      </c>
    </row>
    <row r="218" spans="1:8" ht="15" customHeight="1">
      <c r="A218" s="49">
        <v>46114</v>
      </c>
      <c r="B218" s="50" t="s">
        <v>1035</v>
      </c>
      <c r="C218" t="s">
        <v>648</v>
      </c>
      <c r="D218" s="50" t="s">
        <v>1036</v>
      </c>
      <c r="E218" s="50" t="s">
        <v>770</v>
      </c>
      <c r="F218" s="35">
        <v>21192</v>
      </c>
      <c r="G218" s="41" t="s">
        <v>818</v>
      </c>
      <c r="H218" s="42" t="s">
        <v>819</v>
      </c>
    </row>
    <row r="219" spans="1:8" ht="15" customHeight="1">
      <c r="A219" s="71">
        <v>46118</v>
      </c>
      <c r="B219" t="s">
        <v>1037</v>
      </c>
      <c r="C219" t="str">
        <f>_xlfn.TEXTAFTER(TRIM(tblComprasPM[[#This Row],[Descripcion]]), " ", -1)</f>
        <v>MD-53</v>
      </c>
      <c r="D219" s="50" t="s">
        <v>1038</v>
      </c>
      <c r="E219" s="50" t="s">
        <v>765</v>
      </c>
      <c r="F219" s="35">
        <v>268361.65999999997</v>
      </c>
      <c r="G219" s="41" t="s">
        <v>818</v>
      </c>
      <c r="H219" s="42" t="s">
        <v>819</v>
      </c>
    </row>
    <row r="220" spans="1:8" ht="15" customHeight="1">
      <c r="A220" s="71">
        <v>46118</v>
      </c>
      <c r="B220" t="s">
        <v>1039</v>
      </c>
      <c r="C220" t="s">
        <v>507</v>
      </c>
      <c r="D220" s="50" t="s">
        <v>1040</v>
      </c>
      <c r="E220" s="50" t="s">
        <v>766</v>
      </c>
      <c r="F220" s="35">
        <v>24399.973999999998</v>
      </c>
      <c r="G220" t="s">
        <v>818</v>
      </c>
      <c r="H220" t="s">
        <v>819</v>
      </c>
    </row>
    <row r="221" spans="1:8" ht="15" customHeight="1">
      <c r="A221" s="71">
        <v>46118</v>
      </c>
      <c r="B221" t="s">
        <v>1039</v>
      </c>
      <c r="C221" t="s">
        <v>512</v>
      </c>
      <c r="D221" s="50" t="s">
        <v>1040</v>
      </c>
      <c r="E221" s="50" t="s">
        <v>766</v>
      </c>
      <c r="F221" s="35">
        <v>24399.973999999998</v>
      </c>
      <c r="G221" t="s">
        <v>818</v>
      </c>
      <c r="H221" t="s">
        <v>819</v>
      </c>
    </row>
    <row r="222" spans="1:8" ht="15" customHeight="1">
      <c r="A222" s="71">
        <v>46118</v>
      </c>
      <c r="B222" t="s">
        <v>1039</v>
      </c>
      <c r="C222" t="s">
        <v>514</v>
      </c>
      <c r="D222" s="50" t="s">
        <v>1040</v>
      </c>
      <c r="E222" s="50" t="s">
        <v>766</v>
      </c>
      <c r="F222" s="35">
        <v>24399.973999999998</v>
      </c>
      <c r="G222" t="s">
        <v>818</v>
      </c>
      <c r="H222" t="s">
        <v>819</v>
      </c>
    </row>
    <row r="223" spans="1:8" ht="15" customHeight="1">
      <c r="A223" s="71">
        <v>46118</v>
      </c>
      <c r="B223" t="s">
        <v>1039</v>
      </c>
      <c r="C223" t="s">
        <v>516</v>
      </c>
      <c r="D223" s="50" t="s">
        <v>1040</v>
      </c>
      <c r="E223" s="50" t="s">
        <v>766</v>
      </c>
      <c r="F223" s="35">
        <v>24399.973999999998</v>
      </c>
      <c r="G223" t="s">
        <v>818</v>
      </c>
      <c r="H223" t="s">
        <v>819</v>
      </c>
    </row>
    <row r="224" spans="1:8" ht="15" customHeight="1">
      <c r="A224" s="71">
        <v>46118</v>
      </c>
      <c r="B224" t="s">
        <v>1039</v>
      </c>
      <c r="C224" t="s">
        <v>519</v>
      </c>
      <c r="D224" s="50" t="s">
        <v>1040</v>
      </c>
      <c r="E224" s="50" t="s">
        <v>766</v>
      </c>
      <c r="F224" s="35">
        <v>24399.973999999998</v>
      </c>
      <c r="G224" t="s">
        <v>818</v>
      </c>
      <c r="H224" t="s">
        <v>819</v>
      </c>
    </row>
    <row r="225" spans="1:8" ht="15" customHeight="1">
      <c r="A225" s="71">
        <v>46118</v>
      </c>
      <c r="B225" t="s">
        <v>1039</v>
      </c>
      <c r="C225" t="s">
        <v>521</v>
      </c>
      <c r="D225" s="50" t="s">
        <v>1040</v>
      </c>
      <c r="E225" s="50" t="s">
        <v>766</v>
      </c>
      <c r="F225" s="35">
        <v>24399.973999999998</v>
      </c>
      <c r="G225" t="s">
        <v>818</v>
      </c>
      <c r="H225" t="s">
        <v>819</v>
      </c>
    </row>
    <row r="226" spans="1:8" ht="15" customHeight="1">
      <c r="A226" s="71">
        <v>46118.408281215299</v>
      </c>
      <c r="B226" t="s">
        <v>1039</v>
      </c>
      <c r="C226" t="s">
        <v>523</v>
      </c>
      <c r="D226" s="50" t="s">
        <v>1040</v>
      </c>
      <c r="E226" s="50" t="s">
        <v>766</v>
      </c>
      <c r="F226" s="35">
        <v>24399.973999999998</v>
      </c>
      <c r="G226" t="s">
        <v>818</v>
      </c>
      <c r="H226" t="s">
        <v>819</v>
      </c>
    </row>
    <row r="227" spans="1:8" ht="15" customHeight="1">
      <c r="A227" s="71">
        <v>46118.408281215299</v>
      </c>
      <c r="B227" t="s">
        <v>1039</v>
      </c>
      <c r="C227" t="s">
        <v>525</v>
      </c>
      <c r="D227" s="50" t="s">
        <v>1040</v>
      </c>
      <c r="E227" s="50" t="s">
        <v>766</v>
      </c>
      <c r="F227" s="35">
        <v>24399.973999999998</v>
      </c>
      <c r="G227" t="s">
        <v>818</v>
      </c>
      <c r="H227" t="s">
        <v>819</v>
      </c>
    </row>
    <row r="228" spans="1:8" ht="15" customHeight="1">
      <c r="A228" s="71">
        <v>46118.408281215299</v>
      </c>
      <c r="B228" t="s">
        <v>1039</v>
      </c>
      <c r="C228" t="s">
        <v>527</v>
      </c>
      <c r="D228" s="50" t="s">
        <v>1040</v>
      </c>
      <c r="E228" s="50" t="s">
        <v>766</v>
      </c>
      <c r="F228" s="35">
        <v>24399.973999999998</v>
      </c>
      <c r="G228" t="s">
        <v>818</v>
      </c>
      <c r="H228" t="s">
        <v>819</v>
      </c>
    </row>
    <row r="229" spans="1:8" ht="15" customHeight="1">
      <c r="A229" s="71">
        <v>46118.408281215299</v>
      </c>
      <c r="B229" t="s">
        <v>1039</v>
      </c>
      <c r="C229" t="s">
        <v>529</v>
      </c>
      <c r="D229" s="50" t="s">
        <v>1040</v>
      </c>
      <c r="E229" s="50" t="s">
        <v>766</v>
      </c>
      <c r="F229" s="35">
        <v>24399.973999999998</v>
      </c>
      <c r="G229" t="s">
        <v>818</v>
      </c>
      <c r="H229" t="s">
        <v>819</v>
      </c>
    </row>
    <row r="230" spans="1:8" ht="15" customHeight="1">
      <c r="A230" s="71">
        <v>46118.4804357986</v>
      </c>
      <c r="B230" t="s">
        <v>1041</v>
      </c>
      <c r="C230" t="str">
        <f>_xlfn.TEXTAFTER(TRIM(tblComprasPM[[#This Row],[Descripcion]]), " ", -1)</f>
        <v>MD-36</v>
      </c>
      <c r="D230" s="50" t="s">
        <v>1042</v>
      </c>
      <c r="E230" s="50" t="s">
        <v>765</v>
      </c>
      <c r="F230" s="35">
        <v>634845.96</v>
      </c>
      <c r="G230" t="s">
        <v>818</v>
      </c>
      <c r="H230" t="s">
        <v>819</v>
      </c>
    </row>
    <row r="231" spans="1:8" ht="15" customHeight="1">
      <c r="A231" s="71">
        <v>46119.349964039298</v>
      </c>
      <c r="B231" t="s">
        <v>1043</v>
      </c>
      <c r="C231" t="str">
        <f>_xlfn.TEXTAFTER(TRIM(tblComprasPM[[#This Row],[Descripcion]]), " ", -1)</f>
        <v>CD-114</v>
      </c>
      <c r="D231" s="50" t="s">
        <v>1044</v>
      </c>
      <c r="E231" s="50" t="s">
        <v>765</v>
      </c>
      <c r="F231" s="35">
        <v>147899.15</v>
      </c>
      <c r="G231" t="s">
        <v>818</v>
      </c>
      <c r="H231" t="s">
        <v>819</v>
      </c>
    </row>
    <row r="232" spans="1:8" ht="15" customHeight="1">
      <c r="A232" s="71">
        <v>46119.430838807901</v>
      </c>
      <c r="B232" t="s">
        <v>1045</v>
      </c>
      <c r="C232" t="s">
        <v>609</v>
      </c>
      <c r="D232" s="50" t="s">
        <v>1046</v>
      </c>
      <c r="E232" s="50" t="s">
        <v>766</v>
      </c>
      <c r="F232" s="35">
        <v>20399.98</v>
      </c>
      <c r="G232" t="s">
        <v>818</v>
      </c>
      <c r="H232" t="s">
        <v>819</v>
      </c>
    </row>
    <row r="233" spans="1:8" ht="15" customHeight="1">
      <c r="A233" s="71">
        <v>46119.430838807901</v>
      </c>
      <c r="B233" t="s">
        <v>1045</v>
      </c>
      <c r="C233" t="s">
        <v>611</v>
      </c>
      <c r="D233" s="50" t="s">
        <v>1046</v>
      </c>
      <c r="E233" s="50" t="s">
        <v>766</v>
      </c>
      <c r="F233" s="35">
        <v>20399.98</v>
      </c>
      <c r="G233" t="s">
        <v>818</v>
      </c>
      <c r="H233" t="s">
        <v>819</v>
      </c>
    </row>
    <row r="234" spans="1:8" ht="15" customHeight="1">
      <c r="A234" s="71">
        <v>46119.430838807901</v>
      </c>
      <c r="B234" t="s">
        <v>1045</v>
      </c>
      <c r="C234" t="s">
        <v>613</v>
      </c>
      <c r="D234" s="50" t="s">
        <v>1046</v>
      </c>
      <c r="E234" s="50" t="s">
        <v>766</v>
      </c>
      <c r="F234" s="35">
        <v>20399.98</v>
      </c>
      <c r="G234" t="s">
        <v>818</v>
      </c>
      <c r="H234" t="s">
        <v>819</v>
      </c>
    </row>
    <row r="235" spans="1:8" ht="15" customHeight="1">
      <c r="A235" s="71">
        <v>46119.461431099502</v>
      </c>
      <c r="B235" t="s">
        <v>1047</v>
      </c>
      <c r="C235" t="str">
        <f>_xlfn.TEXTAFTER(TRIM(tblComprasPM[[#This Row],[Descripcion]]), " ", -1)</f>
        <v>CD-136</v>
      </c>
      <c r="D235" s="50" t="s">
        <v>1048</v>
      </c>
      <c r="E235" s="50" t="s">
        <v>766</v>
      </c>
      <c r="F235" s="35">
        <v>54299.973700000002</v>
      </c>
      <c r="G235" s="41" t="s">
        <v>818</v>
      </c>
      <c r="H235" s="42" t="s">
        <v>819</v>
      </c>
    </row>
    <row r="236" spans="1:8" ht="15" customHeight="1">
      <c r="A236" s="71">
        <v>46121.485532835701</v>
      </c>
      <c r="B236" t="s">
        <v>1049</v>
      </c>
      <c r="C236" t="str">
        <f>_xlfn.TEXTAFTER(TRIM(tblComprasPM[[#This Row],[Descripcion]]), " ", -1)</f>
        <v>ED-73</v>
      </c>
      <c r="D236" s="50" t="s">
        <v>1050</v>
      </c>
      <c r="E236" s="50" t="s">
        <v>766</v>
      </c>
      <c r="F236" s="35">
        <v>39400.9</v>
      </c>
      <c r="G236" s="41" t="s">
        <v>818</v>
      </c>
      <c r="H236" s="42" t="s">
        <v>819</v>
      </c>
    </row>
    <row r="237" spans="1:8" ht="15" customHeight="1">
      <c r="A237" s="71">
        <v>46122.500261539397</v>
      </c>
      <c r="B237" t="s">
        <v>1051</v>
      </c>
      <c r="C237" t="str">
        <f>_xlfn.TEXTAFTER(TRIM(tblComprasPM[[#This Row],[Descripcion]]), " ", -1)</f>
        <v>VD-84</v>
      </c>
      <c r="D237" s="50" t="s">
        <v>1052</v>
      </c>
      <c r="E237" s="50" t="s">
        <v>766</v>
      </c>
      <c r="F237" s="35">
        <v>9799.65</v>
      </c>
      <c r="G237" s="41" t="s">
        <v>818</v>
      </c>
      <c r="H237" s="42" t="s">
        <v>819</v>
      </c>
    </row>
    <row r="238" spans="1:8" ht="15" customHeight="1">
      <c r="A238" s="71">
        <v>46127</v>
      </c>
      <c r="B238" t="s">
        <v>1053</v>
      </c>
      <c r="C238" t="s">
        <v>631</v>
      </c>
      <c r="D238" s="50" t="s">
        <v>1054</v>
      </c>
      <c r="E238" s="50" t="s">
        <v>766</v>
      </c>
      <c r="F238" s="35">
        <v>24499.97</v>
      </c>
      <c r="G238" t="s">
        <v>818</v>
      </c>
      <c r="H238" t="s">
        <v>819</v>
      </c>
    </row>
    <row r="239" spans="1:8" ht="15" customHeight="1">
      <c r="A239" s="71">
        <v>46127</v>
      </c>
      <c r="B239" t="s">
        <v>1053</v>
      </c>
      <c r="C239" t="s">
        <v>633</v>
      </c>
      <c r="D239" s="50" t="s">
        <v>1054</v>
      </c>
      <c r="E239" s="50" t="s">
        <v>766</v>
      </c>
      <c r="F239" s="35">
        <v>24499.97</v>
      </c>
      <c r="G239" t="s">
        <v>818</v>
      </c>
      <c r="H239" t="s">
        <v>819</v>
      </c>
    </row>
    <row r="240" spans="1:8" ht="15" customHeight="1">
      <c r="A240" s="71">
        <v>46127</v>
      </c>
      <c r="B240" t="s">
        <v>1053</v>
      </c>
      <c r="C240" t="s">
        <v>635</v>
      </c>
      <c r="D240" s="50" t="s">
        <v>1054</v>
      </c>
      <c r="E240" s="50" t="s">
        <v>766</v>
      </c>
      <c r="F240" s="35">
        <v>24499.97</v>
      </c>
      <c r="G240" t="s">
        <v>818</v>
      </c>
      <c r="H240" t="s">
        <v>819</v>
      </c>
    </row>
    <row r="241" spans="1:8" ht="15" customHeight="1">
      <c r="A241" s="71">
        <v>46127</v>
      </c>
      <c r="B241" t="s">
        <v>1053</v>
      </c>
      <c r="C241" t="s">
        <v>637</v>
      </c>
      <c r="D241" s="50" t="s">
        <v>1054</v>
      </c>
      <c r="E241" s="50" t="s">
        <v>766</v>
      </c>
      <c r="F241" s="35">
        <v>24499.97</v>
      </c>
      <c r="G241" t="s">
        <v>818</v>
      </c>
      <c r="H241" t="s">
        <v>819</v>
      </c>
    </row>
    <row r="242" spans="1:8" ht="15" customHeight="1">
      <c r="A242" s="71">
        <v>46127</v>
      </c>
      <c r="B242" t="s">
        <v>1053</v>
      </c>
      <c r="C242" t="s">
        <v>639</v>
      </c>
      <c r="D242" s="50" t="s">
        <v>1054</v>
      </c>
      <c r="E242" s="50" t="s">
        <v>766</v>
      </c>
      <c r="F242" s="35">
        <v>24499.97</v>
      </c>
      <c r="G242" t="s">
        <v>818</v>
      </c>
      <c r="H242" t="s">
        <v>819</v>
      </c>
    </row>
    <row r="243" spans="1:8" ht="15" customHeight="1">
      <c r="A243" s="71">
        <v>46127</v>
      </c>
      <c r="B243" t="s">
        <v>1053</v>
      </c>
      <c r="C243" t="s">
        <v>641</v>
      </c>
      <c r="D243" s="50" t="s">
        <v>1054</v>
      </c>
      <c r="E243" s="50" t="s">
        <v>766</v>
      </c>
      <c r="F243" s="35">
        <v>24499.97</v>
      </c>
      <c r="G243" t="s">
        <v>818</v>
      </c>
      <c r="H243" t="s">
        <v>819</v>
      </c>
    </row>
    <row r="244" spans="1:8" ht="15" customHeight="1">
      <c r="A244" s="71">
        <v>46127</v>
      </c>
      <c r="B244" t="s">
        <v>1053</v>
      </c>
      <c r="C244" t="s">
        <v>643</v>
      </c>
      <c r="D244" s="50" t="s">
        <v>1054</v>
      </c>
      <c r="E244" s="50" t="s">
        <v>766</v>
      </c>
      <c r="F244" s="35">
        <v>24499.97</v>
      </c>
      <c r="G244" t="s">
        <v>818</v>
      </c>
      <c r="H244" t="s">
        <v>819</v>
      </c>
    </row>
    <row r="245" spans="1:8" ht="15" customHeight="1">
      <c r="A245" s="71">
        <v>46127</v>
      </c>
      <c r="B245" t="s">
        <v>1053</v>
      </c>
      <c r="C245" t="s">
        <v>644</v>
      </c>
      <c r="D245" s="50" t="s">
        <v>1054</v>
      </c>
      <c r="E245" s="50" t="s">
        <v>766</v>
      </c>
      <c r="F245" s="35">
        <v>24499.97</v>
      </c>
      <c r="G245" t="s">
        <v>818</v>
      </c>
      <c r="H245" t="s">
        <v>819</v>
      </c>
    </row>
    <row r="246" spans="1:8" ht="15" customHeight="1">
      <c r="A246" s="71">
        <v>46127</v>
      </c>
      <c r="B246" t="s">
        <v>1053</v>
      </c>
      <c r="C246" t="s">
        <v>646</v>
      </c>
      <c r="D246" s="50" t="s">
        <v>1054</v>
      </c>
      <c r="E246" s="50" t="s">
        <v>766</v>
      </c>
      <c r="F246" s="35">
        <v>24499.97</v>
      </c>
      <c r="G246" t="s">
        <v>818</v>
      </c>
      <c r="H246" t="s">
        <v>819</v>
      </c>
    </row>
    <row r="247" spans="1:8" ht="15" customHeight="1">
      <c r="A247" s="71">
        <v>46127</v>
      </c>
      <c r="B247" t="s">
        <v>1053</v>
      </c>
      <c r="C247" t="s">
        <v>648</v>
      </c>
      <c r="D247" s="50" t="s">
        <v>1054</v>
      </c>
      <c r="E247" s="50" t="s">
        <v>766</v>
      </c>
      <c r="F247" s="35">
        <v>24499.97</v>
      </c>
      <c r="G247" t="s">
        <v>818</v>
      </c>
      <c r="H247" t="s">
        <v>819</v>
      </c>
    </row>
    <row r="248" spans="1:8" ht="15" customHeight="1">
      <c r="A248" s="71">
        <v>46128.371488044002</v>
      </c>
      <c r="B248" t="s">
        <v>1055</v>
      </c>
      <c r="C248" t="str">
        <f>_xlfn.TEXTAFTER(TRIM(tblComprasPM[[#This Row],[Descripcion]]), " ", -1)</f>
        <v>CD-108</v>
      </c>
      <c r="D248" s="50" t="s">
        <v>1056</v>
      </c>
      <c r="E248" s="50" t="s">
        <v>766</v>
      </c>
      <c r="F248" s="35">
        <v>178599.96356999999</v>
      </c>
      <c r="G248" s="41" t="s">
        <v>818</v>
      </c>
      <c r="H248" s="42" t="s">
        <v>819</v>
      </c>
    </row>
    <row r="249" spans="1:8" ht="15" customHeight="1">
      <c r="A249" s="71">
        <v>46128.519272141202</v>
      </c>
      <c r="B249" t="s">
        <v>1057</v>
      </c>
      <c r="C249" t="str">
        <f>_xlfn.TEXTAFTER(TRIM(tblComprasPM[[#This Row],[Descripcion]]), " ", -1)</f>
        <v>CD-113</v>
      </c>
      <c r="D249" s="50" t="s">
        <v>1058</v>
      </c>
      <c r="E249" s="50" t="s">
        <v>766</v>
      </c>
      <c r="F249" s="35">
        <v>13800.43</v>
      </c>
      <c r="G249" s="41" t="s">
        <v>818</v>
      </c>
      <c r="H249" s="42" t="s">
        <v>819</v>
      </c>
    </row>
    <row r="250" spans="1:8" ht="15" customHeight="1">
      <c r="A250" s="71">
        <v>46128.535379282403</v>
      </c>
      <c r="B250" t="s">
        <v>1059</v>
      </c>
      <c r="C250" t="str">
        <f>_xlfn.TEXTAFTER(TRIM(tblComprasPM[[#This Row],[Descripcion]]), " ", -1)</f>
        <v>CD-137</v>
      </c>
      <c r="D250" s="50" t="s">
        <v>1060</v>
      </c>
      <c r="E250" s="50" t="s">
        <v>765</v>
      </c>
      <c r="F250" s="35">
        <v>223858.04</v>
      </c>
      <c r="G250" t="s">
        <v>818</v>
      </c>
      <c r="H250" t="s">
        <v>819</v>
      </c>
    </row>
    <row r="251" spans="1:8" ht="15" customHeight="1">
      <c r="A251" s="71">
        <v>46129.615965543999</v>
      </c>
      <c r="B251" t="s">
        <v>1061</v>
      </c>
      <c r="C251" t="str">
        <f>_xlfn.TEXTAFTER(TRIM(tblComprasPM[[#This Row],[Descripcion]]), " ", -1)</f>
        <v>MD-140</v>
      </c>
      <c r="D251" t="s">
        <v>1062</v>
      </c>
      <c r="E251" t="s">
        <v>770</v>
      </c>
      <c r="F251" s="35">
        <v>81611.39</v>
      </c>
      <c r="G251" t="s">
        <v>818</v>
      </c>
      <c r="H251" t="s">
        <v>819</v>
      </c>
    </row>
    <row r="252" spans="1:8" ht="15" customHeight="1">
      <c r="A252" s="71">
        <v>46129.616025381903</v>
      </c>
      <c r="B252" t="s">
        <v>1057</v>
      </c>
      <c r="C252" t="str">
        <f>_xlfn.TEXTAFTER(TRIM(tblComprasPM[[#This Row],[Descripcion]]), " ", -1)</f>
        <v>CD-113</v>
      </c>
      <c r="D252" t="s">
        <v>1058</v>
      </c>
      <c r="E252" t="s">
        <v>766</v>
      </c>
      <c r="F252" s="35">
        <v>13800.43</v>
      </c>
      <c r="G252" t="s">
        <v>818</v>
      </c>
      <c r="H252" s="42" t="s">
        <v>819</v>
      </c>
    </row>
    <row r="253" spans="1:8" ht="15" customHeight="1">
      <c r="A253" s="71">
        <v>46129.616075844897</v>
      </c>
      <c r="B253" t="s">
        <v>1059</v>
      </c>
      <c r="C253" t="str">
        <f>_xlfn.TEXTAFTER(TRIM(tblComprasPM[[#This Row],[Descripcion]]), " ", -1)</f>
        <v>CD-137</v>
      </c>
      <c r="D253" t="s">
        <v>1060</v>
      </c>
      <c r="E253" t="s">
        <v>765</v>
      </c>
      <c r="F253" s="35">
        <v>223858.04</v>
      </c>
      <c r="G253" t="s">
        <v>818</v>
      </c>
      <c r="H253" s="42" t="s">
        <v>819</v>
      </c>
    </row>
    <row r="254" spans="1:8" ht="15" customHeight="1">
      <c r="A254" s="71">
        <v>46129.616176585601</v>
      </c>
      <c r="B254" t="s">
        <v>1063</v>
      </c>
      <c r="C254" t="str">
        <f>_xlfn.TEXTAFTER(TRIM(tblComprasPM[[#This Row],[Descripcion]]), " ", -1)</f>
        <v>CD-101</v>
      </c>
      <c r="D254" t="s">
        <v>1064</v>
      </c>
      <c r="E254" t="s">
        <v>1065</v>
      </c>
      <c r="F254" s="35">
        <v>547085.84</v>
      </c>
      <c r="G254" t="s">
        <v>818</v>
      </c>
      <c r="H254" t="s">
        <v>819</v>
      </c>
    </row>
    <row r="255" spans="1:8" ht="15" customHeight="1">
      <c r="A255" s="71">
        <v>46132.7142520833</v>
      </c>
      <c r="B255" t="s">
        <v>1066</v>
      </c>
      <c r="C255" t="str">
        <f>_xlfn.TEXTAFTER(TRIM(tblComprasPM[[#This Row],[Descripcion]]), " ", -1)</f>
        <v>MD-95</v>
      </c>
      <c r="D255" t="s">
        <v>1067</v>
      </c>
      <c r="E255" t="s">
        <v>765</v>
      </c>
      <c r="F255" s="35">
        <v>149861.46</v>
      </c>
      <c r="G255" t="s">
        <v>818</v>
      </c>
      <c r="H255" t="s">
        <v>819</v>
      </c>
    </row>
    <row r="256" spans="1:8" ht="15" customHeight="1">
      <c r="A256" s="71">
        <v>46132.714388622699</v>
      </c>
      <c r="B256" t="s">
        <v>1068</v>
      </c>
      <c r="C256" t="str">
        <f>_xlfn.TEXTAFTER(TRIM(tblComprasPM[[#This Row],[Descripcion]]), " ", -1)</f>
        <v>MD-55</v>
      </c>
      <c r="D256" t="s">
        <v>1069</v>
      </c>
      <c r="E256" t="s">
        <v>1065</v>
      </c>
      <c r="F256" s="35">
        <v>549049</v>
      </c>
      <c r="G256" t="s">
        <v>818</v>
      </c>
      <c r="H256" s="42" t="s">
        <v>819</v>
      </c>
    </row>
    <row r="257" spans="1:8" ht="15" customHeight="1">
      <c r="A257" s="71">
        <v>46132.714388622699</v>
      </c>
      <c r="B257" t="s">
        <v>1068</v>
      </c>
      <c r="C257" t="str">
        <f>_xlfn.TEXTAFTER(TRIM(tblComprasPM[[#This Row],[Descripcion]]), " ", -1)</f>
        <v>MD-66</v>
      </c>
      <c r="D257" t="s">
        <v>1070</v>
      </c>
      <c r="E257" t="s">
        <v>1065</v>
      </c>
      <c r="F257" s="35">
        <v>546049</v>
      </c>
      <c r="G257" t="s">
        <v>818</v>
      </c>
      <c r="H257" s="42" t="s">
        <v>819</v>
      </c>
    </row>
    <row r="258" spans="1:8" ht="15" customHeight="1">
      <c r="A258" s="71">
        <v>46132.714388622699</v>
      </c>
      <c r="B258" t="s">
        <v>1068</v>
      </c>
      <c r="C258" t="str">
        <f>_xlfn.TEXTAFTER(TRIM(tblComprasPM[[#This Row],[Descripcion]]), " ", -1)</f>
        <v>MD-102</v>
      </c>
      <c r="D258" t="s">
        <v>1071</v>
      </c>
      <c r="E258" t="s">
        <v>1065</v>
      </c>
      <c r="F258" s="35">
        <v>546049</v>
      </c>
      <c r="G258" t="s">
        <v>818</v>
      </c>
      <c r="H258" t="s">
        <v>819</v>
      </c>
    </row>
    <row r="259" spans="1:8" ht="15" customHeight="1">
      <c r="A259" s="71">
        <v>46133.517267361101</v>
      </c>
      <c r="B259" t="s">
        <v>1072</v>
      </c>
      <c r="C259" t="str">
        <f>_xlfn.TEXTAFTER(TRIM(tblComprasPM[[#This Row],[Descripcion]]), " ", -1)</f>
        <v>MD-76</v>
      </c>
      <c r="D259" t="s">
        <v>1073</v>
      </c>
      <c r="E259" t="s">
        <v>1074</v>
      </c>
      <c r="F259" s="35">
        <v>456242.43</v>
      </c>
      <c r="G259" t="s">
        <v>818</v>
      </c>
      <c r="H259" t="s">
        <v>819</v>
      </c>
    </row>
    <row r="260" spans="1:8" ht="15" customHeight="1">
      <c r="A260" s="71">
        <v>46136.449583715301</v>
      </c>
      <c r="B260" t="s">
        <v>1075</v>
      </c>
      <c r="C260" t="s">
        <v>171</v>
      </c>
      <c r="D260" t="s">
        <v>1076</v>
      </c>
      <c r="E260" t="s">
        <v>766</v>
      </c>
      <c r="F260" s="35">
        <v>40199.980000000003</v>
      </c>
      <c r="G260" t="s">
        <v>818</v>
      </c>
      <c r="H260" s="42" t="s">
        <v>819</v>
      </c>
    </row>
    <row r="261" spans="1:8" ht="15" customHeight="1">
      <c r="A261" s="71">
        <v>46136.449583715301</v>
      </c>
      <c r="B261" t="s">
        <v>1075</v>
      </c>
      <c r="C261" t="s">
        <v>173</v>
      </c>
      <c r="D261" t="s">
        <v>1076</v>
      </c>
      <c r="E261" t="s">
        <v>766</v>
      </c>
      <c r="F261" s="35">
        <v>40199.980000000003</v>
      </c>
      <c r="G261" t="s">
        <v>818</v>
      </c>
      <c r="H261" t="s">
        <v>819</v>
      </c>
    </row>
    <row r="262" spans="1:8" ht="15" customHeight="1">
      <c r="A262" s="71">
        <v>46136.6736726042</v>
      </c>
      <c r="B262" t="s">
        <v>1077</v>
      </c>
      <c r="C262" t="s">
        <v>531</v>
      </c>
      <c r="D262" t="s">
        <v>1078</v>
      </c>
      <c r="E262" t="s">
        <v>766</v>
      </c>
      <c r="F262" s="35">
        <v>23799.98</v>
      </c>
      <c r="G262" t="s">
        <v>818</v>
      </c>
      <c r="H262" s="42" t="s">
        <v>819</v>
      </c>
    </row>
    <row r="263" spans="1:8" ht="15" customHeight="1">
      <c r="A263" s="71">
        <v>46136.6736726042</v>
      </c>
      <c r="B263" t="s">
        <v>1077</v>
      </c>
      <c r="C263" t="s">
        <v>534</v>
      </c>
      <c r="D263" t="s">
        <v>1078</v>
      </c>
      <c r="E263" t="s">
        <v>766</v>
      </c>
      <c r="F263" s="35">
        <v>23799.98</v>
      </c>
      <c r="G263" t="s">
        <v>818</v>
      </c>
      <c r="H263" s="42" t="s">
        <v>819</v>
      </c>
    </row>
    <row r="264" spans="1:8" ht="15" customHeight="1">
      <c r="A264" s="71">
        <v>46136.6736726042</v>
      </c>
      <c r="B264" t="s">
        <v>1077</v>
      </c>
      <c r="C264" t="s">
        <v>536</v>
      </c>
      <c r="D264" t="s">
        <v>1078</v>
      </c>
      <c r="E264" t="s">
        <v>766</v>
      </c>
      <c r="F264" s="35">
        <v>23799.98</v>
      </c>
      <c r="G264" t="s">
        <v>818</v>
      </c>
      <c r="H264" t="s">
        <v>819</v>
      </c>
    </row>
    <row r="265" spans="1:8" ht="15" customHeight="1">
      <c r="A265" s="71">
        <v>46136.6736726042</v>
      </c>
      <c r="B265" t="s">
        <v>1077</v>
      </c>
      <c r="C265" t="s">
        <v>538</v>
      </c>
      <c r="D265" t="s">
        <v>1078</v>
      </c>
      <c r="E265" t="s">
        <v>766</v>
      </c>
      <c r="F265" s="35">
        <v>23799.98</v>
      </c>
      <c r="G265" t="s">
        <v>818</v>
      </c>
      <c r="H265" s="42" t="s">
        <v>819</v>
      </c>
    </row>
    <row r="266" spans="1:8" ht="15" customHeight="1">
      <c r="A266" s="71">
        <v>46136.6736726042</v>
      </c>
      <c r="B266" t="s">
        <v>1077</v>
      </c>
      <c r="C266" t="s">
        <v>540</v>
      </c>
      <c r="D266" t="s">
        <v>1078</v>
      </c>
      <c r="E266" t="s">
        <v>766</v>
      </c>
      <c r="F266" s="35">
        <v>23799.98</v>
      </c>
      <c r="G266" t="s">
        <v>818</v>
      </c>
      <c r="H266" s="42" t="s">
        <v>819</v>
      </c>
    </row>
    <row r="267" spans="1:8" ht="15" customHeight="1">
      <c r="A267" s="71">
        <v>46136.6736726042</v>
      </c>
      <c r="B267" t="s">
        <v>1077</v>
      </c>
      <c r="C267" t="s">
        <v>542</v>
      </c>
      <c r="D267" t="s">
        <v>1078</v>
      </c>
      <c r="E267" t="s">
        <v>766</v>
      </c>
      <c r="F267" s="35">
        <v>23799.98</v>
      </c>
      <c r="G267" t="s">
        <v>818</v>
      </c>
      <c r="H267" t="s">
        <v>819</v>
      </c>
    </row>
    <row r="268" spans="1:8" ht="15" customHeight="1">
      <c r="A268" s="71">
        <v>46136.6736726042</v>
      </c>
      <c r="B268" t="s">
        <v>1077</v>
      </c>
      <c r="C268" t="s">
        <v>544</v>
      </c>
      <c r="D268" t="s">
        <v>1078</v>
      </c>
      <c r="E268" t="s">
        <v>766</v>
      </c>
      <c r="F268" s="35">
        <v>23799.98</v>
      </c>
      <c r="G268" t="s">
        <v>818</v>
      </c>
      <c r="H268" s="42" t="s">
        <v>819</v>
      </c>
    </row>
    <row r="269" spans="1:8" ht="15" customHeight="1">
      <c r="A269" s="71">
        <v>46136.6736726042</v>
      </c>
      <c r="B269" t="s">
        <v>1077</v>
      </c>
      <c r="C269" t="s">
        <v>546</v>
      </c>
      <c r="D269" t="s">
        <v>1078</v>
      </c>
      <c r="E269" t="s">
        <v>766</v>
      </c>
      <c r="F269" s="35">
        <v>23799.98</v>
      </c>
      <c r="G269" t="s">
        <v>818</v>
      </c>
      <c r="H269" s="42" t="s">
        <v>819</v>
      </c>
    </row>
    <row r="270" spans="1:8" ht="15" customHeight="1">
      <c r="A270" s="71">
        <v>46136.6736726042</v>
      </c>
      <c r="B270" t="s">
        <v>1077</v>
      </c>
      <c r="C270" t="s">
        <v>548</v>
      </c>
      <c r="D270" t="s">
        <v>1078</v>
      </c>
      <c r="E270" t="s">
        <v>766</v>
      </c>
      <c r="F270" s="35">
        <v>23799.98</v>
      </c>
      <c r="G270" t="s">
        <v>818</v>
      </c>
      <c r="H270" t="s">
        <v>819</v>
      </c>
    </row>
    <row r="271" spans="1:8" ht="15" customHeight="1">
      <c r="A271" s="71">
        <v>46136.6736726042</v>
      </c>
      <c r="B271" t="s">
        <v>1077</v>
      </c>
      <c r="C271" t="s">
        <v>550</v>
      </c>
      <c r="D271" t="s">
        <v>1078</v>
      </c>
      <c r="E271" t="s">
        <v>766</v>
      </c>
      <c r="F271" s="35">
        <v>23799.98</v>
      </c>
      <c r="G271" t="s">
        <v>818</v>
      </c>
      <c r="H271" s="42" t="s">
        <v>819</v>
      </c>
    </row>
    <row r="272" spans="1:8" ht="15" customHeight="1">
      <c r="A272" s="71">
        <v>46139.565101770801</v>
      </c>
      <c r="B272" t="s">
        <v>1079</v>
      </c>
      <c r="C272" t="str">
        <f>_xlfn.TEXTAFTER(TRIM(tblComprasPM[[#This Row],[Descripcion]]), " ", -1)</f>
        <v>CD-118</v>
      </c>
      <c r="D272" t="s">
        <v>1080</v>
      </c>
      <c r="E272" t="s">
        <v>770</v>
      </c>
      <c r="F272" s="35">
        <v>155392.57999999999</v>
      </c>
      <c r="G272" t="s">
        <v>818</v>
      </c>
      <c r="H272" t="s">
        <v>819</v>
      </c>
    </row>
    <row r="273" spans="1:8" ht="15" customHeight="1">
      <c r="A273" s="71">
        <v>46139.649283877297</v>
      </c>
      <c r="B273" t="s">
        <v>1081</v>
      </c>
      <c r="C273" t="str">
        <f>_xlfn.TEXTAFTER(TRIM(tblComprasPM[[#This Row],[Descripcion]]), " ", -1)</f>
        <v>MD-107</v>
      </c>
      <c r="D273" t="s">
        <v>1082</v>
      </c>
      <c r="E273" t="s">
        <v>770</v>
      </c>
      <c r="F273" s="35">
        <v>264075.28000000003</v>
      </c>
      <c r="G273" t="s">
        <v>818</v>
      </c>
      <c r="H273" t="s">
        <v>819</v>
      </c>
    </row>
    <row r="274" spans="1:8" ht="15" customHeight="1">
      <c r="A274" s="71">
        <v>46140.483474918998</v>
      </c>
      <c r="B274" t="s">
        <v>1083</v>
      </c>
      <c r="C274" t="str">
        <f>_xlfn.TEXTAFTER(TRIM(tblComprasPM[[#This Row],[Descripcion]]), " ", -1)</f>
        <v>MD-107</v>
      </c>
      <c r="D274" t="s">
        <v>1082</v>
      </c>
      <c r="E274" t="s">
        <v>770</v>
      </c>
      <c r="F274" s="35">
        <v>27184.36</v>
      </c>
      <c r="G274" t="s">
        <v>818</v>
      </c>
      <c r="H274" s="42" t="s">
        <v>819</v>
      </c>
    </row>
    <row r="275" spans="1:8" ht="15" customHeight="1">
      <c r="A275" s="71">
        <v>46142.533688391202</v>
      </c>
      <c r="B275" t="s">
        <v>1084</v>
      </c>
      <c r="C275" t="str">
        <f>_xlfn.TEXTAFTER(TRIM(tblComprasPM[[#This Row],[Descripcion]]), " ", -1)</f>
        <v>ED-15</v>
      </c>
      <c r="D275" t="s">
        <v>1085</v>
      </c>
      <c r="E275" t="s">
        <v>766</v>
      </c>
      <c r="F275" s="35">
        <v>51599.59</v>
      </c>
      <c r="G275" t="s">
        <v>818</v>
      </c>
      <c r="H275" s="42" t="s">
        <v>819</v>
      </c>
    </row>
    <row r="276" spans="1:8" ht="15" customHeight="1">
      <c r="A276" s="71">
        <v>46142.533763275504</v>
      </c>
      <c r="B276" t="s">
        <v>1086</v>
      </c>
      <c r="C276" t="str">
        <f>_xlfn.TEXTAFTER(TRIM(tblComprasPM[[#This Row],[Descripcion]]), " ", -1)</f>
        <v>MD-51</v>
      </c>
      <c r="D276" t="s">
        <v>1087</v>
      </c>
      <c r="E276" t="s">
        <v>765</v>
      </c>
      <c r="F276" s="35">
        <v>31972.92</v>
      </c>
      <c r="G276" t="s">
        <v>818</v>
      </c>
      <c r="H276" t="s">
        <v>819</v>
      </c>
    </row>
    <row r="277" spans="1:8" ht="15" customHeight="1">
      <c r="A277" s="71">
        <v>46142.533839236101</v>
      </c>
      <c r="B277" t="s">
        <v>1088</v>
      </c>
      <c r="C277" t="str">
        <f>_xlfn.TEXTAFTER(TRIM(tblComprasPM[[#This Row],[Descripcion]]), " ", -1)</f>
        <v>CD-69</v>
      </c>
      <c r="D277" t="s">
        <v>1089</v>
      </c>
      <c r="E277" t="s">
        <v>1090</v>
      </c>
      <c r="F277" s="35">
        <v>452020.31</v>
      </c>
      <c r="G277" t="s">
        <v>818</v>
      </c>
      <c r="H277" t="s">
        <v>819</v>
      </c>
    </row>
    <row r="278" spans="1:8" ht="15" customHeight="1">
      <c r="A278" s="71">
        <v>46142.533922106501</v>
      </c>
      <c r="B278" t="s">
        <v>1091</v>
      </c>
      <c r="C278" t="str">
        <f>_xlfn.TEXTAFTER(TRIM(tblComprasPM[[#This Row],[Descripcion]]), " ", -1)</f>
        <v>CD-96</v>
      </c>
      <c r="D278" t="s">
        <v>1092</v>
      </c>
      <c r="E278" t="s">
        <v>765</v>
      </c>
      <c r="F278" s="35">
        <v>139897.59</v>
      </c>
      <c r="G278" t="s">
        <v>818</v>
      </c>
      <c r="H278" s="42" t="s">
        <v>819</v>
      </c>
    </row>
    <row r="279" spans="1:8" ht="15" customHeight="1">
      <c r="A279" s="71">
        <v>46142.533997338003</v>
      </c>
      <c r="B279" t="s">
        <v>1093</v>
      </c>
      <c r="C279" t="str">
        <f>_xlfn.TEXTAFTER(TRIM(tblComprasPM[[#This Row],[Descripcion]]), " ", -1)</f>
        <v>ED-73</v>
      </c>
      <c r="D279" t="s">
        <v>1094</v>
      </c>
      <c r="E279" t="s">
        <v>765</v>
      </c>
      <c r="F279" s="35">
        <v>30984.03</v>
      </c>
      <c r="G279" t="s">
        <v>818</v>
      </c>
      <c r="H279" s="42" t="s">
        <v>819</v>
      </c>
    </row>
    <row r="280" spans="1:8" ht="15" customHeight="1">
      <c r="A280" s="71">
        <v>46142.5341338773</v>
      </c>
      <c r="B280" t="s">
        <v>1095</v>
      </c>
      <c r="C280" t="str">
        <f>_xlfn.TEXTAFTER(TRIM(tblComprasPM[[#This Row],[Descripcion]]), " ", -1)</f>
        <v>ED-82</v>
      </c>
      <c r="D280" t="s">
        <v>1096</v>
      </c>
      <c r="E280" t="s">
        <v>766</v>
      </c>
      <c r="F280" s="35">
        <v>52799.990599999997</v>
      </c>
      <c r="G280" t="s">
        <v>818</v>
      </c>
      <c r="H280" t="s">
        <v>819</v>
      </c>
    </row>
    <row r="281" spans="1:8" ht="15" customHeight="1">
      <c r="A281" s="71">
        <v>46146.415671678202</v>
      </c>
      <c r="B281" t="s">
        <v>1097</v>
      </c>
      <c r="C281" t="str">
        <f>_xlfn.TEXTAFTER(TRIM(tblComprasPM[[#This Row],[Descripcion]]), " ", -1)</f>
        <v>ED-61</v>
      </c>
      <c r="D281" t="s">
        <v>1098</v>
      </c>
      <c r="E281" t="s">
        <v>765</v>
      </c>
      <c r="F281" s="35">
        <v>10800.44</v>
      </c>
      <c r="G281" t="s">
        <v>818</v>
      </c>
      <c r="H281" t="s">
        <v>819</v>
      </c>
    </row>
    <row r="282" spans="1:8" ht="15" customHeight="1">
      <c r="A282" s="71">
        <v>46146.415785219899</v>
      </c>
      <c r="B282" t="s">
        <v>1099</v>
      </c>
      <c r="C282" t="str">
        <f>_xlfn.TEXTAFTER(TRIM(tblComprasPM[[#This Row],[Descripcion]]), " ", -1)</f>
        <v>CD-128</v>
      </c>
      <c r="D282" t="s">
        <v>1100</v>
      </c>
      <c r="E282" t="s">
        <v>765</v>
      </c>
      <c r="F282" s="35">
        <v>183418.27</v>
      </c>
      <c r="G282" t="s">
        <v>818</v>
      </c>
      <c r="H282" s="42" t="s">
        <v>819</v>
      </c>
    </row>
    <row r="283" spans="1:8" ht="15" customHeight="1">
      <c r="A283" s="71">
        <v>46146.415869710603</v>
      </c>
      <c r="B283" t="s">
        <v>1101</v>
      </c>
      <c r="C283" t="str">
        <f>_xlfn.TEXTAFTER(TRIM(tblComprasPM[[#This Row],[Descripcion]]), " ", -1)</f>
        <v>CD-134</v>
      </c>
      <c r="D283" t="s">
        <v>1102</v>
      </c>
      <c r="E283" t="s">
        <v>765</v>
      </c>
      <c r="F283" s="35">
        <v>162080.38</v>
      </c>
      <c r="G283" t="s">
        <v>818</v>
      </c>
      <c r="H283" s="42" t="s">
        <v>819</v>
      </c>
    </row>
    <row r="284" spans="1:8" ht="15" customHeight="1">
      <c r="A284" s="71">
        <v>46146.415923958302</v>
      </c>
      <c r="B284" t="s">
        <v>1103</v>
      </c>
      <c r="C284" t="str">
        <f>_xlfn.TEXTAFTER(TRIM(tblComprasPM[[#This Row],[Descripcion]]), " ", -1)</f>
        <v>CD-142</v>
      </c>
      <c r="D284" t="s">
        <v>1104</v>
      </c>
      <c r="E284" t="s">
        <v>765</v>
      </c>
      <c r="F284" s="35">
        <v>206297.21</v>
      </c>
      <c r="G284" t="s">
        <v>818</v>
      </c>
      <c r="H284" t="s">
        <v>819</v>
      </c>
    </row>
    <row r="285" spans="1:8" ht="15" customHeight="1">
      <c r="A285" s="71">
        <v>46146.541044791702</v>
      </c>
      <c r="B285" t="s">
        <v>1105</v>
      </c>
      <c r="C285" t="str">
        <f>_xlfn.TEXTAFTER(TRIM(tblComprasPM[[#This Row],[Descripcion]]), " ", -1)</f>
        <v>ED-61</v>
      </c>
      <c r="D285" t="s">
        <v>1098</v>
      </c>
      <c r="E285" t="s">
        <v>766</v>
      </c>
      <c r="F285" s="35">
        <v>19699.997800000001</v>
      </c>
      <c r="G285" t="s">
        <v>818</v>
      </c>
      <c r="H285" t="s">
        <v>819</v>
      </c>
    </row>
    <row r="286" spans="1:8" ht="15" customHeight="1">
      <c r="A286" s="71">
        <v>46146.541249803202</v>
      </c>
      <c r="B286" t="s">
        <v>1106</v>
      </c>
      <c r="C286" t="str">
        <f>_xlfn.TEXTAFTER(TRIM(tblComprasPM[[#This Row],[Descripcion]]), " ", -1)</f>
        <v>CD-108</v>
      </c>
      <c r="D286" t="s">
        <v>1056</v>
      </c>
      <c r="E286" t="s">
        <v>765</v>
      </c>
      <c r="F286" s="35">
        <v>72768.5</v>
      </c>
      <c r="G286" t="s">
        <v>818</v>
      </c>
      <c r="H286" s="42" t="s">
        <v>819</v>
      </c>
    </row>
    <row r="287" spans="1:8" ht="15" customHeight="1">
      <c r="A287" s="71">
        <v>46147.380388888902</v>
      </c>
      <c r="B287" t="s">
        <v>1107</v>
      </c>
      <c r="C287" t="str">
        <f>_xlfn.TEXTAFTER(TRIM(tblComprasPM[[#This Row],[Descripcion]]), " ", -1)</f>
        <v>MD-88</v>
      </c>
      <c r="D287" t="s">
        <v>1108</v>
      </c>
      <c r="E287" t="s">
        <v>828</v>
      </c>
      <c r="F287" s="35">
        <v>447697.04</v>
      </c>
      <c r="G287" t="s">
        <v>818</v>
      </c>
      <c r="H287" s="42" t="s">
        <v>819</v>
      </c>
    </row>
    <row r="288" spans="1:8" ht="15" customHeight="1">
      <c r="A288" s="71">
        <v>46147.386011724499</v>
      </c>
      <c r="B288" t="s">
        <v>1109</v>
      </c>
      <c r="C288" t="str">
        <f>_xlfn.TEXTAFTER(TRIM(tblComprasPM[[#This Row],[Descripcion]]), " ", -1)</f>
        <v>EQP-17</v>
      </c>
      <c r="D288" t="s">
        <v>1110</v>
      </c>
      <c r="E288" t="s">
        <v>765</v>
      </c>
      <c r="F288" s="35">
        <v>359014.67</v>
      </c>
      <c r="G288" t="s">
        <v>818</v>
      </c>
      <c r="H288" t="s">
        <v>819</v>
      </c>
    </row>
    <row r="289" spans="1:8" ht="15" customHeight="1">
      <c r="A289" s="71">
        <v>46147.636475544001</v>
      </c>
      <c r="B289" t="s">
        <v>1109</v>
      </c>
      <c r="C289" t="str">
        <f>_xlfn.TEXTAFTER(TRIM(tblComprasPM[[#This Row],[Descripcion]]), " ", -1)</f>
        <v>EQP-17</v>
      </c>
      <c r="D289" t="s">
        <v>1110</v>
      </c>
      <c r="E289" t="s">
        <v>765</v>
      </c>
      <c r="F289" s="35">
        <v>359014.67</v>
      </c>
      <c r="G289" t="s">
        <v>818</v>
      </c>
      <c r="H289" s="42" t="s">
        <v>819</v>
      </c>
    </row>
    <row r="290" spans="1:8" ht="15" customHeight="1">
      <c r="A290" s="71">
        <v>46148.4678185995</v>
      </c>
      <c r="B290" t="s">
        <v>1111</v>
      </c>
      <c r="C290" t="str">
        <f>_xlfn.TEXTAFTER(TRIM(tblComprasPM[[#This Row],[Descripcion]]), " ", -1)</f>
        <v>MD-73</v>
      </c>
      <c r="D290" t="s">
        <v>1112</v>
      </c>
      <c r="E290" t="s">
        <v>1113</v>
      </c>
      <c r="F290" s="35">
        <v>204967.98</v>
      </c>
      <c r="G290" t="s">
        <v>818</v>
      </c>
      <c r="H290" t="s">
        <v>819</v>
      </c>
    </row>
    <row r="291" spans="1:8" ht="15" customHeight="1">
      <c r="A291" s="71">
        <v>46154.344671180603</v>
      </c>
      <c r="B291" t="s">
        <v>1114</v>
      </c>
      <c r="C291" t="str">
        <f>_xlfn.TEXTAFTER(TRIM(tblComprasPM[[#This Row],[Descripcion]]), " ", -1)</f>
        <v>VD-135</v>
      </c>
      <c r="D291" t="s">
        <v>1115</v>
      </c>
      <c r="E291" t="s">
        <v>766</v>
      </c>
      <c r="F291" s="35">
        <v>24199.9709</v>
      </c>
      <c r="G291" t="s">
        <v>818</v>
      </c>
      <c r="H291" s="42" t="s">
        <v>819</v>
      </c>
    </row>
    <row r="292" spans="1:8" ht="15" customHeight="1">
      <c r="A292" s="71">
        <v>46154.345345023103</v>
      </c>
      <c r="B292" t="s">
        <v>1116</v>
      </c>
      <c r="C292" t="str">
        <f>_xlfn.TEXTAFTER(TRIM(tblComprasPM[[#This Row],[Descripcion]]), " ", -1)</f>
        <v>CD-113</v>
      </c>
      <c r="D292" t="s">
        <v>1117</v>
      </c>
      <c r="E292" t="s">
        <v>766</v>
      </c>
      <c r="F292" s="35">
        <v>90099.981299999999</v>
      </c>
      <c r="G292" t="s">
        <v>818</v>
      </c>
      <c r="H292" s="42" t="s">
        <v>819</v>
      </c>
    </row>
    <row r="293" spans="1:8" ht="15" customHeight="1">
      <c r="A293" s="71">
        <v>46154.380285185202</v>
      </c>
      <c r="B293" t="s">
        <v>1118</v>
      </c>
      <c r="C293" t="str">
        <f>_xlfn.TEXTAFTER(TRIM(tblComprasPM[[#This Row],[Descripcion]]), " ", -1)</f>
        <v>MD-45</v>
      </c>
      <c r="D293" t="s">
        <v>1119</v>
      </c>
      <c r="E293" t="s">
        <v>828</v>
      </c>
      <c r="F293" s="35">
        <v>120362.55</v>
      </c>
      <c r="G293" t="s">
        <v>818</v>
      </c>
      <c r="H293" t="s">
        <v>819</v>
      </c>
    </row>
    <row r="294" spans="1:8" ht="15" customHeight="1">
      <c r="A294" s="71">
        <v>46154.391135497703</v>
      </c>
      <c r="B294" t="s">
        <v>1120</v>
      </c>
      <c r="C294" t="str">
        <f>_xlfn.TEXTAFTER(TRIM(tblComprasPM[[#This Row],[Descripcion]]), " ", -1)</f>
        <v>MD-38</v>
      </c>
      <c r="D294" t="s">
        <v>1121</v>
      </c>
      <c r="E294" t="s">
        <v>770</v>
      </c>
      <c r="F294" s="35">
        <v>234660.86</v>
      </c>
      <c r="G294" t="s">
        <v>818</v>
      </c>
      <c r="H294" t="s">
        <v>819</v>
      </c>
    </row>
    <row r="295" spans="1:8" ht="15" customHeight="1">
      <c r="A295" s="71">
        <v>46154.4859005787</v>
      </c>
      <c r="B295" t="s">
        <v>1122</v>
      </c>
      <c r="C295" t="str">
        <f>_xlfn.TEXTAFTER(TRIM(tblComprasPM[[#This Row],[Descripcion]]), " ", -1)</f>
        <v>ED-63</v>
      </c>
      <c r="D295" t="s">
        <v>1011</v>
      </c>
      <c r="E295" t="s">
        <v>765</v>
      </c>
      <c r="F295" s="35">
        <v>153438.6</v>
      </c>
      <c r="G295" t="s">
        <v>818</v>
      </c>
      <c r="H295" s="42" t="s">
        <v>819</v>
      </c>
    </row>
    <row r="296" spans="1:8" ht="15" customHeight="1">
      <c r="A296" s="71">
        <v>46154.502627812501</v>
      </c>
      <c r="B296" t="s">
        <v>1123</v>
      </c>
      <c r="C296" t="str">
        <f>_xlfn.TEXTAFTER(TRIM(tblComprasPM[[#This Row],[Descripcion]]), " ", -1)</f>
        <v>CD-69</v>
      </c>
      <c r="D296" t="s">
        <v>1089</v>
      </c>
      <c r="E296" t="s">
        <v>1124</v>
      </c>
      <c r="F296" s="35">
        <v>74279.8</v>
      </c>
      <c r="G296" t="s">
        <v>818</v>
      </c>
      <c r="H296" s="42" t="s">
        <v>819</v>
      </c>
    </row>
    <row r="297" spans="1:8" ht="15" customHeight="1">
      <c r="A297" s="71">
        <v>46156.414239004604</v>
      </c>
      <c r="B297" t="s">
        <v>1125</v>
      </c>
      <c r="C297" t="str">
        <f>_xlfn.TEXTAFTER(TRIM(tblComprasPM[[#This Row],[Descripcion]]), " ", -1)</f>
        <v>MD-98</v>
      </c>
      <c r="D297" t="s">
        <v>1126</v>
      </c>
      <c r="E297" t="s">
        <v>828</v>
      </c>
      <c r="F297" s="35">
        <v>100231.32</v>
      </c>
      <c r="G297" t="s">
        <v>818</v>
      </c>
      <c r="H297" t="s">
        <v>819</v>
      </c>
    </row>
    <row r="298" spans="1:8" ht="15" customHeight="1">
      <c r="A298" s="71">
        <v>46161.3715812847</v>
      </c>
      <c r="B298" t="s">
        <v>1127</v>
      </c>
      <c r="C298" t="s">
        <v>495</v>
      </c>
      <c r="D298" t="s">
        <v>1128</v>
      </c>
      <c r="E298" t="s">
        <v>766</v>
      </c>
      <c r="F298" s="35">
        <v>23899.98</v>
      </c>
      <c r="G298" t="s">
        <v>818</v>
      </c>
      <c r="H298" t="s">
        <v>819</v>
      </c>
    </row>
    <row r="299" spans="1:8" ht="15" customHeight="1">
      <c r="A299" s="71">
        <v>46161.3715812847</v>
      </c>
      <c r="B299" t="s">
        <v>1127</v>
      </c>
      <c r="C299" t="s">
        <v>498</v>
      </c>
      <c r="D299" t="s">
        <v>1128</v>
      </c>
      <c r="E299" t="s">
        <v>766</v>
      </c>
      <c r="F299" s="35">
        <v>23899.98</v>
      </c>
      <c r="G299" t="s">
        <v>818</v>
      </c>
      <c r="H299" s="42" t="s">
        <v>819</v>
      </c>
    </row>
    <row r="300" spans="1:8" ht="15" customHeight="1">
      <c r="A300" s="71">
        <v>46161.3715812847</v>
      </c>
      <c r="B300" t="s">
        <v>1127</v>
      </c>
      <c r="C300" t="s">
        <v>500</v>
      </c>
      <c r="D300" t="s">
        <v>1128</v>
      </c>
      <c r="E300" t="s">
        <v>766</v>
      </c>
      <c r="F300" s="35">
        <v>23899.98</v>
      </c>
      <c r="G300" t="s">
        <v>818</v>
      </c>
      <c r="H300" s="42" t="s">
        <v>819</v>
      </c>
    </row>
    <row r="301" spans="1:8" ht="15" customHeight="1">
      <c r="A301" s="71">
        <v>46161.3715812847</v>
      </c>
      <c r="B301" t="s">
        <v>1127</v>
      </c>
      <c r="C301" t="s">
        <v>502</v>
      </c>
      <c r="D301" t="s">
        <v>1128</v>
      </c>
      <c r="E301" t="s">
        <v>766</v>
      </c>
      <c r="F301" s="35">
        <v>23899.98</v>
      </c>
      <c r="G301" t="s">
        <v>818</v>
      </c>
      <c r="H301" t="s">
        <v>819</v>
      </c>
    </row>
    <row r="302" spans="1:8" ht="15" customHeight="1">
      <c r="A302" s="71">
        <v>46161.3715812847</v>
      </c>
      <c r="B302" t="s">
        <v>1127</v>
      </c>
      <c r="C302" t="s">
        <v>505</v>
      </c>
      <c r="D302" t="s">
        <v>1128</v>
      </c>
      <c r="E302" t="s">
        <v>766</v>
      </c>
      <c r="F302" s="35">
        <v>23899.98</v>
      </c>
      <c r="G302" t="s">
        <v>818</v>
      </c>
      <c r="H302" s="42" t="s">
        <v>819</v>
      </c>
    </row>
    <row r="303" spans="1:8" ht="15" customHeight="1">
      <c r="A303" s="71">
        <v>46162</v>
      </c>
      <c r="B303" t="s">
        <v>1129</v>
      </c>
      <c r="C303" t="s">
        <v>611</v>
      </c>
      <c r="D303" t="s">
        <v>1046</v>
      </c>
      <c r="E303" t="s">
        <v>766</v>
      </c>
      <c r="F303" s="35">
        <v>20799.97</v>
      </c>
      <c r="G303" t="s">
        <v>818</v>
      </c>
      <c r="H303" s="42" t="s">
        <v>819</v>
      </c>
    </row>
    <row r="304" spans="1:8" ht="15" customHeight="1">
      <c r="A304" s="71">
        <v>46162</v>
      </c>
      <c r="B304" t="s">
        <v>1129</v>
      </c>
      <c r="C304" t="s">
        <v>613</v>
      </c>
      <c r="D304" t="s">
        <v>1046</v>
      </c>
      <c r="E304" t="s">
        <v>766</v>
      </c>
      <c r="F304" s="35">
        <v>20799.97</v>
      </c>
      <c r="G304" t="s">
        <v>818</v>
      </c>
      <c r="H304" t="s">
        <v>819</v>
      </c>
    </row>
    <row r="305" spans="1:8" ht="15" customHeight="1">
      <c r="A305" s="71">
        <v>46162</v>
      </c>
      <c r="B305" t="s">
        <v>1129</v>
      </c>
      <c r="C305" t="s">
        <v>615</v>
      </c>
      <c r="D305" t="s">
        <v>1046</v>
      </c>
      <c r="E305" t="s">
        <v>766</v>
      </c>
      <c r="F305" s="35">
        <v>20799.97</v>
      </c>
      <c r="G305" t="s">
        <v>818</v>
      </c>
      <c r="H305" s="42" t="s">
        <v>819</v>
      </c>
    </row>
    <row r="306" spans="1:8" ht="15" customHeight="1">
      <c r="A306" s="71">
        <v>46162.422470868099</v>
      </c>
      <c r="B306" t="s">
        <v>1130</v>
      </c>
      <c r="C306" t="str">
        <f>_xlfn.TEXTAFTER(TRIM(tblComprasPM[[#This Row],[Descripcion]]), " ", -1)</f>
        <v>ED-63</v>
      </c>
      <c r="D306" t="s">
        <v>1011</v>
      </c>
      <c r="E306" t="s">
        <v>766</v>
      </c>
      <c r="F306" s="35">
        <v>19700.45</v>
      </c>
      <c r="G306" t="s">
        <v>818</v>
      </c>
      <c r="H306" s="42" t="s">
        <v>819</v>
      </c>
    </row>
    <row r="307" spans="1:8" ht="15" customHeight="1">
      <c r="A307" s="71">
        <v>46162.424154247703</v>
      </c>
      <c r="B307" t="s">
        <v>1131</v>
      </c>
      <c r="C307" t="s">
        <v>521</v>
      </c>
      <c r="D307" t="s">
        <v>1132</v>
      </c>
      <c r="E307" t="s">
        <v>766</v>
      </c>
      <c r="F307" s="35">
        <v>17800.02</v>
      </c>
      <c r="G307" t="s">
        <v>818</v>
      </c>
      <c r="H307" s="42" t="s">
        <v>819</v>
      </c>
    </row>
    <row r="308" spans="1:8" ht="15" customHeight="1">
      <c r="A308" s="71">
        <v>46162.424154247703</v>
      </c>
      <c r="B308" t="s">
        <v>1131</v>
      </c>
      <c r="C308" t="s">
        <v>523</v>
      </c>
      <c r="D308" t="s">
        <v>1132</v>
      </c>
      <c r="E308" t="s">
        <v>766</v>
      </c>
      <c r="F308" s="35">
        <v>17800.02</v>
      </c>
      <c r="G308" t="s">
        <v>818</v>
      </c>
      <c r="H308" t="s">
        <v>819</v>
      </c>
    </row>
    <row r="309" spans="1:8" ht="15" customHeight="1">
      <c r="A309" s="71">
        <v>46162.424154247703</v>
      </c>
      <c r="B309" t="s">
        <v>1131</v>
      </c>
      <c r="C309" t="s">
        <v>525</v>
      </c>
      <c r="D309" t="s">
        <v>1132</v>
      </c>
      <c r="E309" t="s">
        <v>766</v>
      </c>
      <c r="F309" s="35">
        <v>17800.02</v>
      </c>
      <c r="G309" t="s">
        <v>818</v>
      </c>
      <c r="H309" s="42" t="s">
        <v>819</v>
      </c>
    </row>
    <row r="310" spans="1:8" ht="15" customHeight="1">
      <c r="A310" s="71">
        <v>46162.424154247703</v>
      </c>
      <c r="B310" t="s">
        <v>1131</v>
      </c>
      <c r="C310" t="s">
        <v>527</v>
      </c>
      <c r="D310" t="s">
        <v>1132</v>
      </c>
      <c r="E310" t="s">
        <v>766</v>
      </c>
      <c r="F310" s="35">
        <v>17800.02</v>
      </c>
      <c r="G310" t="s">
        <v>818</v>
      </c>
      <c r="H310" t="s">
        <v>819</v>
      </c>
    </row>
    <row r="311" spans="1:8" ht="15" customHeight="1">
      <c r="A311" s="71">
        <v>46162.426806828698</v>
      </c>
      <c r="B311" t="s">
        <v>1133</v>
      </c>
      <c r="C311" t="str">
        <f>_xlfn.TEXTAFTER(TRIM(tblComprasPM[[#This Row],[Descripcion]]), " ", -1)</f>
        <v>VD-132</v>
      </c>
      <c r="D311" t="s">
        <v>1134</v>
      </c>
      <c r="E311" t="s">
        <v>1135</v>
      </c>
      <c r="F311" s="35">
        <v>148001.98980000001</v>
      </c>
      <c r="G311" t="s">
        <v>818</v>
      </c>
      <c r="H311" t="s">
        <v>819</v>
      </c>
    </row>
    <row r="312" spans="1:8" ht="15" customHeight="1">
      <c r="A312" s="71">
        <v>46162.427425000002</v>
      </c>
      <c r="B312" t="s">
        <v>1136</v>
      </c>
      <c r="C312" t="str">
        <f>_xlfn.TEXTAFTER(TRIM(tblComprasPM[[#This Row],[Descripcion]]), " ", -1)</f>
        <v>VD-84</v>
      </c>
      <c r="D312" t="s">
        <v>995</v>
      </c>
      <c r="E312" t="s">
        <v>766</v>
      </c>
      <c r="F312" s="35">
        <v>26299.9758</v>
      </c>
      <c r="G312" t="s">
        <v>818</v>
      </c>
      <c r="H312" t="s">
        <v>819</v>
      </c>
    </row>
    <row r="313" spans="1:8" ht="15" customHeight="1">
      <c r="A313" s="71">
        <v>46162.5197619213</v>
      </c>
      <c r="B313" t="s">
        <v>1137</v>
      </c>
      <c r="C313" t="str">
        <f>_xlfn.TEXTAFTER(TRIM(tblComprasPM[[#This Row],[Descripcion]]), " ", -1)</f>
        <v>CD-118</v>
      </c>
      <c r="D313" t="s">
        <v>1080</v>
      </c>
      <c r="E313" t="s">
        <v>766</v>
      </c>
      <c r="F313" s="35">
        <v>70199.992100000003</v>
      </c>
      <c r="G313" t="s">
        <v>818</v>
      </c>
      <c r="H313" s="42" t="s">
        <v>819</v>
      </c>
    </row>
    <row r="314" spans="1:8" ht="15" customHeight="1">
      <c r="A314" s="71">
        <v>46162.522222997701</v>
      </c>
      <c r="B314" t="s">
        <v>1129</v>
      </c>
      <c r="C314" t="s">
        <v>609</v>
      </c>
      <c r="D314" t="s">
        <v>1046</v>
      </c>
      <c r="E314" t="s">
        <v>766</v>
      </c>
      <c r="F314" s="35">
        <v>20799.97</v>
      </c>
      <c r="G314" t="s">
        <v>818</v>
      </c>
      <c r="H314" s="42" t="s">
        <v>819</v>
      </c>
    </row>
    <row r="315" spans="1:8" ht="15" customHeight="1">
      <c r="A315" s="71">
        <v>46162.522222997701</v>
      </c>
      <c r="B315" t="s">
        <v>1129</v>
      </c>
      <c r="C315" t="s">
        <v>611</v>
      </c>
      <c r="D315" t="s">
        <v>1046</v>
      </c>
      <c r="E315" t="s">
        <v>766</v>
      </c>
      <c r="F315" s="35">
        <v>20799.97</v>
      </c>
      <c r="G315" t="s">
        <v>818</v>
      </c>
      <c r="H315" s="42" t="s">
        <v>819</v>
      </c>
    </row>
    <row r="316" spans="1:8" ht="15" customHeight="1">
      <c r="A316" s="71">
        <v>46162.522222997701</v>
      </c>
      <c r="B316" t="s">
        <v>1129</v>
      </c>
      <c r="C316" t="s">
        <v>613</v>
      </c>
      <c r="D316" t="s">
        <v>1046</v>
      </c>
      <c r="E316" t="s">
        <v>766</v>
      </c>
      <c r="F316" s="35">
        <v>20799.97</v>
      </c>
      <c r="G316" t="s">
        <v>818</v>
      </c>
      <c r="H316" s="42" t="s">
        <v>819</v>
      </c>
    </row>
    <row r="317" spans="1:8" ht="15" customHeight="1">
      <c r="A317" s="71">
        <v>46162.551531979203</v>
      </c>
      <c r="B317" t="s">
        <v>1138</v>
      </c>
      <c r="C317" t="s">
        <v>609</v>
      </c>
      <c r="D317" t="s">
        <v>1139</v>
      </c>
      <c r="E317" t="s">
        <v>1135</v>
      </c>
      <c r="F317" s="35">
        <v>14501.32</v>
      </c>
      <c r="G317" t="s">
        <v>818</v>
      </c>
      <c r="H317" t="s">
        <v>819</v>
      </c>
    </row>
    <row r="318" spans="1:8" ht="15" customHeight="1">
      <c r="A318" s="71">
        <v>46162.551531979203</v>
      </c>
      <c r="B318" t="s">
        <v>1138</v>
      </c>
      <c r="C318" t="s">
        <v>611</v>
      </c>
      <c r="D318" t="s">
        <v>1139</v>
      </c>
      <c r="E318" t="s">
        <v>1135</v>
      </c>
      <c r="F318" s="35">
        <v>14501.32</v>
      </c>
      <c r="G318" t="s">
        <v>818</v>
      </c>
      <c r="H318" t="s">
        <v>819</v>
      </c>
    </row>
    <row r="319" spans="1:8" ht="15" customHeight="1">
      <c r="A319" s="71">
        <v>46162.551531979203</v>
      </c>
      <c r="B319" t="s">
        <v>1138</v>
      </c>
      <c r="C319" t="s">
        <v>613</v>
      </c>
      <c r="D319" t="s">
        <v>1139</v>
      </c>
      <c r="E319" t="s">
        <v>1135</v>
      </c>
      <c r="F319" s="35">
        <v>14501.32</v>
      </c>
      <c r="G319" t="s">
        <v>818</v>
      </c>
      <c r="H319" t="s">
        <v>819</v>
      </c>
    </row>
    <row r="320" spans="1:8" ht="15" customHeight="1">
      <c r="A320" s="71">
        <v>46167</v>
      </c>
      <c r="B320" t="s">
        <v>1140</v>
      </c>
      <c r="C320" t="str">
        <f>_xlfn.TEXTAFTER(TRIM(tblComprasPM[[#This Row],[Descripcion]]), " ", -1)</f>
        <v>CD-126</v>
      </c>
      <c r="D320" t="s">
        <v>1141</v>
      </c>
      <c r="E320" t="s">
        <v>770</v>
      </c>
      <c r="F320" s="35">
        <v>134066.59</v>
      </c>
      <c r="G320" t="s">
        <v>818</v>
      </c>
      <c r="H320" t="s">
        <v>819</v>
      </c>
    </row>
    <row r="321" spans="1:8" ht="15" customHeight="1">
      <c r="A321" s="71">
        <v>46167</v>
      </c>
      <c r="B321" t="s">
        <v>1142</v>
      </c>
      <c r="C321" t="str">
        <f>_xlfn.TEXTAFTER(TRIM(tblComprasPM[[#This Row],[Descripcion]]), " ", -1)</f>
        <v>ED-23</v>
      </c>
      <c r="D321" t="s">
        <v>1143</v>
      </c>
      <c r="E321" t="s">
        <v>765</v>
      </c>
      <c r="F321" s="35">
        <v>71533.279999999999</v>
      </c>
      <c r="G321" t="s">
        <v>818</v>
      </c>
      <c r="H321" t="s">
        <v>819</v>
      </c>
    </row>
    <row r="322" spans="1:8" ht="15" customHeight="1">
      <c r="A322" s="71">
        <v>46167</v>
      </c>
      <c r="B322" t="s">
        <v>1144</v>
      </c>
      <c r="C322" t="str">
        <f>_xlfn.TEXTAFTER(TRIM(tblComprasPM[[#This Row],[Descripcion]]), " ", -1)</f>
        <v>CD-141</v>
      </c>
      <c r="D322" t="s">
        <v>1145</v>
      </c>
      <c r="E322" t="s">
        <v>828</v>
      </c>
      <c r="F322" s="35">
        <v>62053.74</v>
      </c>
      <c r="G322" t="s">
        <v>818</v>
      </c>
      <c r="H322" s="42" t="s">
        <v>819</v>
      </c>
    </row>
    <row r="323" spans="1:8" ht="15" customHeight="1">
      <c r="A323" s="71">
        <v>46167.384773495403</v>
      </c>
      <c r="B323" t="s">
        <v>1142</v>
      </c>
      <c r="C323" t="str">
        <f>_xlfn.TEXTAFTER(TRIM(tblComprasPM[[#This Row],[Descripcion]]), " ", -1)</f>
        <v>ED-23</v>
      </c>
      <c r="D323" t="s">
        <v>1143</v>
      </c>
      <c r="E323" t="s">
        <v>765</v>
      </c>
      <c r="F323" s="35">
        <v>71533.279999999999</v>
      </c>
      <c r="G323" t="s">
        <v>818</v>
      </c>
      <c r="H323" t="s">
        <v>819</v>
      </c>
    </row>
    <row r="324" spans="1:8" ht="15" customHeight="1">
      <c r="A324" s="71">
        <v>46167.388873611097</v>
      </c>
      <c r="B324" t="s">
        <v>1146</v>
      </c>
      <c r="C324" t="str">
        <f>_xlfn.TEXTAFTER(TRIM(tblComprasPM[[#This Row],[Descripcion]]), " ", -1)</f>
        <v>CD-141</v>
      </c>
      <c r="D324" t="s">
        <v>1147</v>
      </c>
      <c r="E324" t="s">
        <v>765</v>
      </c>
      <c r="F324" s="35">
        <v>42543.69</v>
      </c>
      <c r="G324" t="s">
        <v>818</v>
      </c>
      <c r="H324" s="42" t="s">
        <v>819</v>
      </c>
    </row>
    <row r="325" spans="1:8" ht="15" customHeight="1">
      <c r="A325" s="71">
        <v>46167.397245798602</v>
      </c>
      <c r="B325" t="s">
        <v>1140</v>
      </c>
      <c r="C325" t="str">
        <f>_xlfn.TEXTAFTER(TRIM(tblComprasPM[[#This Row],[Descripcion]]), " ", -1)</f>
        <v>CD-126</v>
      </c>
      <c r="D325" t="s">
        <v>1141</v>
      </c>
      <c r="E325" t="s">
        <v>770</v>
      </c>
      <c r="F325" s="35">
        <v>134066.59</v>
      </c>
      <c r="G325" t="s">
        <v>818</v>
      </c>
      <c r="H325" s="42" t="s">
        <v>819</v>
      </c>
    </row>
    <row r="326" spans="1:8" ht="15" customHeight="1">
      <c r="A326" s="71">
        <v>46167.635276736102</v>
      </c>
      <c r="B326" t="s">
        <v>1144</v>
      </c>
      <c r="C326" t="str">
        <f>_xlfn.TEXTAFTER(TRIM(tblComprasPM[[#This Row],[Descripcion]]), " ", -1)</f>
        <v>CD-141</v>
      </c>
      <c r="D326" t="s">
        <v>1145</v>
      </c>
      <c r="E326" t="s">
        <v>828</v>
      </c>
      <c r="F326" s="35">
        <v>62053.74</v>
      </c>
      <c r="G326" t="s">
        <v>818</v>
      </c>
      <c r="H326" t="s">
        <v>819</v>
      </c>
    </row>
    <row r="327" spans="1:8" ht="15" customHeight="1">
      <c r="A327" s="71">
        <v>46167.748160995397</v>
      </c>
      <c r="B327" t="s">
        <v>1148</v>
      </c>
      <c r="C327" t="str">
        <f>_xlfn.TEXTAFTER(TRIM(tblComprasPM[[#This Row],[Descripcion]]), " ", -1)</f>
        <v>MD-100</v>
      </c>
      <c r="D327" t="s">
        <v>1149</v>
      </c>
      <c r="E327" t="s">
        <v>770</v>
      </c>
      <c r="F327" s="35">
        <v>53240.6</v>
      </c>
      <c r="G327" t="s">
        <v>818</v>
      </c>
      <c r="H327" t="s">
        <v>819</v>
      </c>
    </row>
    <row r="328" spans="1:8" ht="15" customHeight="1">
      <c r="A328" s="71">
        <v>46169</v>
      </c>
      <c r="B328" t="s">
        <v>1150</v>
      </c>
      <c r="C328" t="str">
        <f>_xlfn.TEXTAFTER(TRIM(tblComprasPM[[#This Row],[Descripcion]]), " ", -1)</f>
        <v>CD-138</v>
      </c>
      <c r="D328" t="s">
        <v>1151</v>
      </c>
      <c r="E328" t="s">
        <v>770</v>
      </c>
      <c r="F328" s="35">
        <v>31639.72</v>
      </c>
      <c r="G328" t="s">
        <v>818</v>
      </c>
      <c r="H328" t="s">
        <v>819</v>
      </c>
    </row>
    <row r="329" spans="1:8" ht="15" customHeight="1">
      <c r="A329" s="71">
        <v>46174</v>
      </c>
      <c r="B329" t="s">
        <v>1152</v>
      </c>
      <c r="C329" t="str">
        <f>_xlfn.TEXTAFTER(TRIM(tblComprasPM[[#This Row],[Descripcion]]), " ", -1)</f>
        <v>CD-138</v>
      </c>
      <c r="D329" t="s">
        <v>1007</v>
      </c>
      <c r="E329" t="s">
        <v>766</v>
      </c>
      <c r="F329" s="35">
        <v>229300.56</v>
      </c>
      <c r="G329" t="s">
        <v>818</v>
      </c>
      <c r="H329" t="s">
        <v>819</v>
      </c>
    </row>
    <row r="330" spans="1:8" ht="15" customHeight="1">
      <c r="A330" s="71">
        <v>46174</v>
      </c>
      <c r="B330" t="s">
        <v>1153</v>
      </c>
      <c r="C330" t="str">
        <f>_xlfn.TEXTAFTER(TRIM(tblComprasPM[[#This Row],[Descripcion]]), " ", -1)</f>
        <v>MD-61</v>
      </c>
      <c r="D330" t="s">
        <v>1154</v>
      </c>
      <c r="E330" t="s">
        <v>1017</v>
      </c>
      <c r="F330" s="35">
        <v>200572.12</v>
      </c>
      <c r="G330" t="s">
        <v>818</v>
      </c>
      <c r="H330" s="42" t="s">
        <v>819</v>
      </c>
    </row>
    <row r="331" spans="1:8" ht="15" customHeight="1">
      <c r="A331" s="71">
        <v>46174</v>
      </c>
      <c r="B331" t="s">
        <v>1155</v>
      </c>
      <c r="C331" t="str">
        <f>_xlfn.TEXTAFTER(TRIM(tblComprasPM[[#This Row],[Descripcion]]), " ", -1)</f>
        <v>CD-138</v>
      </c>
      <c r="D331" t="s">
        <v>1007</v>
      </c>
      <c r="E331" t="s">
        <v>765</v>
      </c>
      <c r="F331" s="35">
        <v>108669.61</v>
      </c>
      <c r="G331" t="s">
        <v>818</v>
      </c>
      <c r="H331" s="42" t="s">
        <v>819</v>
      </c>
    </row>
    <row r="332" spans="1:8" ht="15" customHeight="1">
      <c r="A332" s="71">
        <v>46174</v>
      </c>
      <c r="B332" t="s">
        <v>1156</v>
      </c>
      <c r="C332" t="s">
        <v>486</v>
      </c>
      <c r="D332" t="s">
        <v>1157</v>
      </c>
      <c r="E332" t="s">
        <v>766</v>
      </c>
      <c r="F332" s="35">
        <v>30899.66</v>
      </c>
      <c r="G332" t="s">
        <v>818</v>
      </c>
      <c r="H332" t="s">
        <v>819</v>
      </c>
    </row>
    <row r="333" spans="1:8" ht="15" customHeight="1">
      <c r="A333" s="71">
        <v>46174</v>
      </c>
      <c r="B333" t="s">
        <v>1156</v>
      </c>
      <c r="C333" t="s">
        <v>490</v>
      </c>
      <c r="D333" t="s">
        <v>1157</v>
      </c>
      <c r="E333" t="s">
        <v>766</v>
      </c>
      <c r="F333" s="35">
        <v>30899.66</v>
      </c>
      <c r="G333" t="s">
        <v>818</v>
      </c>
      <c r="H333" t="s">
        <v>819</v>
      </c>
    </row>
    <row r="334" spans="1:8" ht="15" customHeight="1">
      <c r="A334" s="71">
        <v>46174</v>
      </c>
      <c r="B334" t="s">
        <v>1156</v>
      </c>
      <c r="C334" t="s">
        <v>493</v>
      </c>
      <c r="D334" t="s">
        <v>1157</v>
      </c>
      <c r="E334" t="s">
        <v>766</v>
      </c>
      <c r="F334" s="35">
        <v>30899.66</v>
      </c>
      <c r="G334" t="s">
        <v>818</v>
      </c>
      <c r="H334" t="s">
        <v>819</v>
      </c>
    </row>
    <row r="335" spans="1:8" ht="15" customHeight="1">
      <c r="A335" s="71">
        <v>46177</v>
      </c>
      <c r="B335" t="s">
        <v>1158</v>
      </c>
      <c r="C335" t="s">
        <v>138</v>
      </c>
      <c r="D335" t="s">
        <v>1159</v>
      </c>
      <c r="E335" t="s">
        <v>765</v>
      </c>
      <c r="F335" s="35">
        <v>42543.69</v>
      </c>
      <c r="G335" t="s">
        <v>818</v>
      </c>
      <c r="H335" t="s">
        <v>819</v>
      </c>
    </row>
    <row r="336" spans="1:8" ht="15" customHeight="1">
      <c r="A336" s="71">
        <v>46178</v>
      </c>
      <c r="B336" t="s">
        <v>1160</v>
      </c>
      <c r="C336" t="s">
        <v>36</v>
      </c>
      <c r="D336" t="s">
        <v>1161</v>
      </c>
      <c r="E336" t="s">
        <v>882</v>
      </c>
      <c r="F336" s="35">
        <v>226743.79</v>
      </c>
      <c r="G336" t="s">
        <v>818</v>
      </c>
      <c r="H336" t="s">
        <v>819</v>
      </c>
    </row>
    <row r="337" spans="1:8" ht="15" customHeight="1">
      <c r="A337" s="71">
        <v>46178</v>
      </c>
      <c r="B337" t="s">
        <v>1160</v>
      </c>
      <c r="C337" t="s">
        <v>86</v>
      </c>
      <c r="D337" t="s">
        <v>1161</v>
      </c>
      <c r="E337" t="s">
        <v>882</v>
      </c>
      <c r="F337" s="35">
        <v>226743.79</v>
      </c>
      <c r="G337" t="s">
        <v>818</v>
      </c>
      <c r="H337" t="s">
        <v>819</v>
      </c>
    </row>
    <row r="338" spans="1:8" ht="15" customHeight="1">
      <c r="A338" s="71">
        <v>46178</v>
      </c>
      <c r="B338" t="s">
        <v>1160</v>
      </c>
      <c r="C338" t="s">
        <v>89</v>
      </c>
      <c r="D338" t="s">
        <v>1161</v>
      </c>
      <c r="E338" t="s">
        <v>882</v>
      </c>
      <c r="F338" s="35">
        <v>226743.79</v>
      </c>
      <c r="G338" t="s">
        <v>818</v>
      </c>
      <c r="H338" t="s">
        <v>819</v>
      </c>
    </row>
    <row r="339" spans="1:8" ht="15" customHeight="1">
      <c r="A339" s="71">
        <v>46178</v>
      </c>
      <c r="B339" t="s">
        <v>1160</v>
      </c>
      <c r="C339" t="s">
        <v>91</v>
      </c>
      <c r="D339" t="s">
        <v>1161</v>
      </c>
      <c r="E339" t="s">
        <v>882</v>
      </c>
      <c r="F339" s="35">
        <v>226743.79</v>
      </c>
      <c r="G339" t="s">
        <v>818</v>
      </c>
      <c r="H339" t="s">
        <v>819</v>
      </c>
    </row>
    <row r="340" spans="1:8" ht="15" customHeight="1">
      <c r="A340" s="71">
        <v>46178</v>
      </c>
      <c r="B340" t="s">
        <v>1160</v>
      </c>
      <c r="C340" t="s">
        <v>93</v>
      </c>
      <c r="D340" t="s">
        <v>1161</v>
      </c>
      <c r="E340" t="s">
        <v>882</v>
      </c>
      <c r="F340" s="35">
        <v>226743.79</v>
      </c>
      <c r="G340" t="s">
        <v>818</v>
      </c>
      <c r="H340" t="s">
        <v>819</v>
      </c>
    </row>
    <row r="341" spans="1:8" ht="15" customHeight="1">
      <c r="A341" s="71">
        <v>46178</v>
      </c>
      <c r="B341" t="s">
        <v>1162</v>
      </c>
      <c r="C341" t="str">
        <f>_xlfn.TEXTAFTER(TRIM(tblComprasPM[[#This Row],[Descripcion]]), " ", -1)</f>
        <v>CD-125</v>
      </c>
      <c r="D341" t="s">
        <v>1163</v>
      </c>
      <c r="E341" t="s">
        <v>770</v>
      </c>
      <c r="F341" s="35">
        <v>134066.59</v>
      </c>
      <c r="G341" t="s">
        <v>818</v>
      </c>
      <c r="H341" s="42" t="s">
        <v>819</v>
      </c>
    </row>
    <row r="342" spans="1:8" ht="15" customHeight="1">
      <c r="A342" s="71">
        <v>46178</v>
      </c>
      <c r="B342" t="s">
        <v>1164</v>
      </c>
      <c r="C342" t="str">
        <f>_xlfn.TEXTAFTER(TRIM(tblComprasPM[[#This Row],[Descripcion]]), " ", -1)</f>
        <v>ED-30</v>
      </c>
      <c r="D342" t="s">
        <v>1165</v>
      </c>
      <c r="E342" t="s">
        <v>765</v>
      </c>
      <c r="F342" s="35">
        <v>84311.5</v>
      </c>
      <c r="G342" t="s">
        <v>818</v>
      </c>
      <c r="H342" s="42" t="s">
        <v>819</v>
      </c>
    </row>
    <row r="343" spans="1:8" ht="15" customHeight="1">
      <c r="A343" s="71">
        <v>46181</v>
      </c>
      <c r="B343" t="s">
        <v>1166</v>
      </c>
      <c r="C343" t="str">
        <f>_xlfn.TEXTAFTER(TRIM(tblComprasPM[[#This Row],[Descripcion]]), " ", -1)</f>
        <v>MD-79</v>
      </c>
      <c r="D343" t="s">
        <v>1167</v>
      </c>
      <c r="E343" t="s">
        <v>828</v>
      </c>
      <c r="F343" s="35">
        <v>274807.89</v>
      </c>
      <c r="G343" t="s">
        <v>818</v>
      </c>
      <c r="H343" t="s">
        <v>819</v>
      </c>
    </row>
    <row r="344" spans="1:8" ht="15" customHeight="1">
      <c r="A344" s="71">
        <v>46183</v>
      </c>
      <c r="B344" t="s">
        <v>1168</v>
      </c>
      <c r="C344" t="str">
        <f>_xlfn.TEXTAFTER(TRIM(tblComprasPM[[#This Row],[Descripcion]]), " ", -1)</f>
        <v>MD-83</v>
      </c>
      <c r="D344" t="s">
        <v>1169</v>
      </c>
      <c r="E344" t="s">
        <v>1017</v>
      </c>
      <c r="F344" s="35">
        <v>312122.71999999997</v>
      </c>
      <c r="G344" t="s">
        <v>818</v>
      </c>
      <c r="H344" s="42" t="s">
        <v>819</v>
      </c>
    </row>
    <row r="345" spans="1:8" ht="15" customHeight="1">
      <c r="A345" s="71">
        <v>46183</v>
      </c>
      <c r="B345" t="s">
        <v>1170</v>
      </c>
      <c r="C345" t="str">
        <f>_xlfn.TEXTAFTER(TRIM(tblComprasPM[[#This Row],[Descripcion]]), " ", -1)</f>
        <v>MD-72</v>
      </c>
      <c r="D345" t="s">
        <v>1171</v>
      </c>
      <c r="E345" t="s">
        <v>765</v>
      </c>
      <c r="F345" s="35">
        <v>93278.744999999995</v>
      </c>
      <c r="G345" t="s">
        <v>818</v>
      </c>
      <c r="H345" t="s">
        <v>819</v>
      </c>
    </row>
    <row r="346" spans="1:8" ht="15" customHeight="1">
      <c r="A346" s="71">
        <v>46183</v>
      </c>
      <c r="B346" t="s">
        <v>1170</v>
      </c>
      <c r="C346" t="s">
        <v>389</v>
      </c>
      <c r="D346" t="s">
        <v>1171</v>
      </c>
      <c r="E346" t="s">
        <v>765</v>
      </c>
      <c r="F346" s="35">
        <v>93278.744999999995</v>
      </c>
      <c r="G346" t="s">
        <v>818</v>
      </c>
      <c r="H346" t="s">
        <v>819</v>
      </c>
    </row>
    <row r="347" spans="1:8" ht="15" customHeight="1">
      <c r="A347" s="71">
        <v>46183</v>
      </c>
      <c r="B347" t="s">
        <v>1172</v>
      </c>
      <c r="C347" t="str">
        <f>_xlfn.TEXTAFTER(TRIM(tblComprasPM[[#This Row],[Descripcion]]), " ", -1)</f>
        <v>CD-120</v>
      </c>
      <c r="D347" t="s">
        <v>1173</v>
      </c>
      <c r="E347" t="s">
        <v>766</v>
      </c>
      <c r="F347" s="35">
        <v>51499.99</v>
      </c>
      <c r="G347" t="s">
        <v>818</v>
      </c>
      <c r="H347" s="42" t="s">
        <v>819</v>
      </c>
    </row>
    <row r="348" spans="1:8" ht="15" customHeight="1">
      <c r="A348" s="71">
        <v>46184</v>
      </c>
      <c r="B348" t="s">
        <v>1174</v>
      </c>
      <c r="C348" t="str">
        <f>_xlfn.TEXTAFTER(TRIM(tblComprasPM[[#This Row],[Descripcion]]), " ", -1)</f>
        <v>MD-95</v>
      </c>
      <c r="D348" t="s">
        <v>1067</v>
      </c>
      <c r="E348" t="s">
        <v>1175</v>
      </c>
      <c r="F348" s="35">
        <v>473969.86</v>
      </c>
      <c r="G348" t="s">
        <v>818</v>
      </c>
      <c r="H348" s="42" t="s">
        <v>819</v>
      </c>
    </row>
    <row r="349" spans="1:8" ht="15" customHeight="1">
      <c r="A349" s="71">
        <v>46184</v>
      </c>
      <c r="B349" t="s">
        <v>1176</v>
      </c>
      <c r="C349" t="str">
        <f>_xlfn.TEXTAFTER(TRIM(tblComprasPM[[#This Row],[Descripcion]]), " ", -1)</f>
        <v>MD-99</v>
      </c>
      <c r="D349" t="s">
        <v>955</v>
      </c>
      <c r="E349" t="s">
        <v>770</v>
      </c>
      <c r="F349" s="35">
        <v>271738.88</v>
      </c>
      <c r="G349" t="s">
        <v>818</v>
      </c>
      <c r="H349" t="s">
        <v>819</v>
      </c>
    </row>
    <row r="350" spans="1:8" ht="15" customHeight="1">
      <c r="A350" s="71">
        <v>46184</v>
      </c>
      <c r="B350" t="s">
        <v>1177</v>
      </c>
      <c r="C350" t="str">
        <f>_xlfn.TEXTAFTER(TRIM(tblComprasPM[[#This Row],[Descripcion]]), " ", -1)</f>
        <v>MD-57</v>
      </c>
      <c r="D350" t="s">
        <v>1016</v>
      </c>
      <c r="E350" t="s">
        <v>1017</v>
      </c>
      <c r="F350" s="35">
        <v>200572.12</v>
      </c>
      <c r="G350" t="s">
        <v>818</v>
      </c>
      <c r="H350" s="42" t="s">
        <v>819</v>
      </c>
    </row>
    <row r="351" spans="1:8" ht="15" customHeight="1">
      <c r="A351" s="71">
        <v>46184</v>
      </c>
      <c r="B351" t="s">
        <v>1178</v>
      </c>
      <c r="C351" t="str">
        <f>_xlfn.TEXTAFTER(TRIM(tblComprasPM[[#This Row],[Descripcion]]), " ", -1)</f>
        <v>MD-49</v>
      </c>
      <c r="D351" t="s">
        <v>991</v>
      </c>
      <c r="E351" t="s">
        <v>765</v>
      </c>
      <c r="F351" s="35">
        <v>194750.64</v>
      </c>
      <c r="G351" t="s">
        <v>818</v>
      </c>
      <c r="H351" t="s">
        <v>819</v>
      </c>
    </row>
    <row r="352" spans="1:8" ht="15" customHeight="1">
      <c r="A352" s="71">
        <v>46184</v>
      </c>
      <c r="B352" t="s">
        <v>1179</v>
      </c>
      <c r="C352" t="str">
        <f>_xlfn.TEXTAFTER(TRIM(tblComprasPM[[#This Row],[Descripcion]]), " ", -1)</f>
        <v>CD-114</v>
      </c>
      <c r="D352" t="s">
        <v>1044</v>
      </c>
      <c r="E352" t="s">
        <v>770</v>
      </c>
      <c r="F352" s="35">
        <v>193730.81</v>
      </c>
      <c r="G352" t="s">
        <v>818</v>
      </c>
      <c r="H352" s="42" t="s">
        <v>819</v>
      </c>
    </row>
    <row r="353" spans="1:8" ht="15" customHeight="1">
      <c r="A353" s="71">
        <v>46184</v>
      </c>
      <c r="B353" t="s">
        <v>1180</v>
      </c>
      <c r="C353" t="str">
        <f>_xlfn.TEXTAFTER(TRIM(tblComprasPM[[#This Row],[Descripcion]]), " ", -1)</f>
        <v>MD-68</v>
      </c>
      <c r="D353" t="s">
        <v>1181</v>
      </c>
      <c r="E353" t="s">
        <v>765</v>
      </c>
      <c r="F353" s="35">
        <v>181150.13</v>
      </c>
      <c r="G353" t="s">
        <v>818</v>
      </c>
      <c r="H353" s="42" t="s">
        <v>819</v>
      </c>
    </row>
    <row r="354" spans="1:8" ht="15" customHeight="1">
      <c r="A354" s="71">
        <v>46184</v>
      </c>
      <c r="B354" t="s">
        <v>1182</v>
      </c>
      <c r="C354" t="str">
        <f>_xlfn.TEXTAFTER(TRIM(tblComprasPM[[#This Row],[Descripcion]]), " ", -1)</f>
        <v>CD-118</v>
      </c>
      <c r="D354" t="s">
        <v>1080</v>
      </c>
      <c r="E354" t="s">
        <v>770</v>
      </c>
      <c r="F354" s="35">
        <v>156558.78</v>
      </c>
      <c r="G354" t="s">
        <v>818</v>
      </c>
      <c r="H354" t="s">
        <v>819</v>
      </c>
    </row>
    <row r="355" spans="1:8" ht="15" customHeight="1">
      <c r="A355" s="71">
        <v>46184</v>
      </c>
      <c r="B355" t="s">
        <v>1183</v>
      </c>
      <c r="C355" t="str">
        <f>_xlfn.TEXTAFTER(TRIM(tblComprasPM[[#This Row],[Descripcion]]), " ", -1)</f>
        <v>MD-51</v>
      </c>
      <c r="D355" t="s">
        <v>1184</v>
      </c>
      <c r="E355" t="s">
        <v>765</v>
      </c>
      <c r="F355" s="35">
        <v>27001.200000000001</v>
      </c>
      <c r="G355" t="s">
        <v>818</v>
      </c>
      <c r="H355" t="s">
        <v>819</v>
      </c>
    </row>
    <row r="356" spans="1:8" ht="15" customHeight="1">
      <c r="A356" s="71">
        <v>46184</v>
      </c>
      <c r="B356" t="s">
        <v>1183</v>
      </c>
      <c r="C356" t="s">
        <v>391</v>
      </c>
      <c r="D356" t="s">
        <v>1184</v>
      </c>
      <c r="E356" t="s">
        <v>765</v>
      </c>
      <c r="F356" s="35">
        <v>27001.200000000001</v>
      </c>
      <c r="G356" t="s">
        <v>818</v>
      </c>
      <c r="H356" t="s">
        <v>819</v>
      </c>
    </row>
    <row r="357" spans="1:8" ht="15" customHeight="1">
      <c r="A357" s="71">
        <v>46188</v>
      </c>
      <c r="B357" t="s">
        <v>1185</v>
      </c>
      <c r="C357" t="str">
        <f>_xlfn.TEXTAFTER(TRIM(tblComprasPM[[#This Row],[Descripcion]]), " ", -1)</f>
        <v>MD-95</v>
      </c>
      <c r="D357" t="s">
        <v>1186</v>
      </c>
      <c r="E357" t="s">
        <v>1175</v>
      </c>
      <c r="F357" s="35">
        <v>394312.45</v>
      </c>
      <c r="G357" t="s">
        <v>818</v>
      </c>
      <c r="H357" s="42" t="s">
        <v>819</v>
      </c>
    </row>
    <row r="358" spans="1:8" ht="15" customHeight="1">
      <c r="A358" s="71">
        <v>46188</v>
      </c>
      <c r="B358" t="s">
        <v>1187</v>
      </c>
      <c r="C358" t="str">
        <f>_xlfn.TEXTAFTER(TRIM(tblComprasPM[[#This Row],[Descripcion]]), " ", -1)</f>
        <v>MD-56</v>
      </c>
      <c r="D358" t="s">
        <v>1188</v>
      </c>
      <c r="E358" t="s">
        <v>828</v>
      </c>
      <c r="F358" s="35">
        <v>336768.81</v>
      </c>
      <c r="G358" t="s">
        <v>818</v>
      </c>
      <c r="H358" t="s">
        <v>819</v>
      </c>
    </row>
    <row r="359" spans="1:8" ht="15" customHeight="1">
      <c r="A359" s="71">
        <v>46188</v>
      </c>
      <c r="B359" t="s">
        <v>1189</v>
      </c>
      <c r="C359" t="str">
        <f>_xlfn.TEXTAFTER(TRIM(tblComprasPM[[#This Row],[Descripcion]]), " ", -1)</f>
        <v>VD-82</v>
      </c>
      <c r="D359" t="s">
        <v>1190</v>
      </c>
      <c r="E359" t="s">
        <v>766</v>
      </c>
      <c r="F359" s="35">
        <v>21999.98</v>
      </c>
      <c r="G359" t="s">
        <v>818</v>
      </c>
      <c r="H359" s="42" t="s">
        <v>819</v>
      </c>
    </row>
    <row r="360" spans="1:8" ht="15" customHeight="1">
      <c r="A360" s="71">
        <v>46189</v>
      </c>
      <c r="B360" t="s">
        <v>1191</v>
      </c>
      <c r="C360" t="str">
        <f>_xlfn.TEXTAFTER(TRIM(tblComprasPM[[#This Row],[Descripcion]]), " ", -1)</f>
        <v>MD-26</v>
      </c>
      <c r="D360" t="s">
        <v>1192</v>
      </c>
      <c r="E360" t="s">
        <v>765</v>
      </c>
      <c r="F360" s="35">
        <v>77044.17</v>
      </c>
      <c r="G360" t="s">
        <v>818</v>
      </c>
      <c r="H360" s="42" t="s">
        <v>819</v>
      </c>
    </row>
    <row r="361" spans="1:8" ht="15" customHeight="1">
      <c r="A361" s="71">
        <v>46204</v>
      </c>
      <c r="B361" t="s">
        <v>1193</v>
      </c>
      <c r="C361" t="str">
        <f>_xlfn.TEXTAFTER(TRIM(tblComprasPM[[#This Row],[Descripcion]]), " ", -1)</f>
        <v>CD-109</v>
      </c>
      <c r="D361" t="s">
        <v>1194</v>
      </c>
      <c r="E361" t="s">
        <v>766</v>
      </c>
      <c r="F361" s="35">
        <v>15800</v>
      </c>
      <c r="G361" t="s">
        <v>818</v>
      </c>
      <c r="H361" s="42" t="s">
        <v>819</v>
      </c>
    </row>
    <row r="362" spans="1:8" ht="15" customHeight="1">
      <c r="A362" s="71">
        <v>46204</v>
      </c>
      <c r="B362" t="s">
        <v>1193</v>
      </c>
      <c r="C362" t="s">
        <v>133</v>
      </c>
      <c r="D362" t="s">
        <v>1194</v>
      </c>
      <c r="E362" t="s">
        <v>766</v>
      </c>
      <c r="F362" s="35">
        <v>15800</v>
      </c>
      <c r="G362" t="s">
        <v>818</v>
      </c>
      <c r="H362" s="42" t="s">
        <v>819</v>
      </c>
    </row>
    <row r="363" spans="1:8" ht="15" customHeight="1">
      <c r="A363" s="71">
        <v>46199</v>
      </c>
      <c r="B363" t="s">
        <v>1195</v>
      </c>
      <c r="C363" t="str">
        <f>_xlfn.TEXTAFTER(TRIM(tblComprasPM[[#This Row],[Descripcion]]), " ", -1)</f>
        <v>VD-140</v>
      </c>
      <c r="D363" t="s">
        <v>1196</v>
      </c>
      <c r="E363" t="s">
        <v>770</v>
      </c>
      <c r="F363" s="35">
        <v>418820.5</v>
      </c>
      <c r="G363" t="s">
        <v>818</v>
      </c>
      <c r="H363" s="42" t="s">
        <v>819</v>
      </c>
    </row>
    <row r="364" spans="1:8" ht="15" customHeight="1">
      <c r="A364" s="71">
        <v>46199</v>
      </c>
      <c r="B364" t="s">
        <v>1197</v>
      </c>
      <c r="C364" t="str">
        <f>_xlfn.TEXTAFTER(TRIM(tblComprasPM[[#This Row],[Descripcion]]), " ", -1)</f>
        <v>MD-55</v>
      </c>
      <c r="D364" t="s">
        <v>1198</v>
      </c>
      <c r="E364" t="s">
        <v>765</v>
      </c>
      <c r="F364" s="35">
        <v>181150.13</v>
      </c>
      <c r="G364" t="s">
        <v>818</v>
      </c>
      <c r="H364" s="42" t="s">
        <v>819</v>
      </c>
    </row>
    <row r="365" spans="1:8" ht="15" customHeight="1">
      <c r="A365" s="71">
        <v>46199</v>
      </c>
      <c r="B365" t="s">
        <v>1199</v>
      </c>
      <c r="C365" t="str">
        <f>_xlfn.TEXTAFTER(TRIM(tblComprasPM[[#This Row],[Descripcion]]), " ", -1)</f>
        <v>CD-137</v>
      </c>
      <c r="D365" t="s">
        <v>1200</v>
      </c>
      <c r="E365" t="s">
        <v>765</v>
      </c>
      <c r="F365" s="35">
        <v>182446.04</v>
      </c>
      <c r="G365" t="s">
        <v>818</v>
      </c>
      <c r="H365" s="42" t="s">
        <v>819</v>
      </c>
    </row>
    <row r="366" spans="1:8" ht="15" customHeight="1">
      <c r="A366" s="71">
        <v>46197</v>
      </c>
      <c r="B366" t="s">
        <v>1201</v>
      </c>
      <c r="C366" t="str">
        <f>_xlfn.TEXTAFTER(TRIM(tblComprasPM[[#This Row],[Descripcion]]), " ", -1)</f>
        <v>MD-62</v>
      </c>
      <c r="D366" t="s">
        <v>1202</v>
      </c>
      <c r="E366" t="s">
        <v>765</v>
      </c>
      <c r="F366" s="35">
        <v>60567.43</v>
      </c>
      <c r="G366" t="s">
        <v>818</v>
      </c>
      <c r="H366" s="42" t="s">
        <v>819</v>
      </c>
    </row>
    <row r="367" spans="1:8" ht="15" customHeight="1">
      <c r="A367" s="71">
        <v>46196</v>
      </c>
      <c r="B367" t="s">
        <v>1203</v>
      </c>
      <c r="C367" t="str">
        <f>_xlfn.TEXTAFTER(TRIM(tblComprasPM[[#This Row],[Descripcion]]), " ", -1)</f>
        <v>MD-39</v>
      </c>
      <c r="D367" t="s">
        <v>1204</v>
      </c>
      <c r="E367" t="s">
        <v>1113</v>
      </c>
      <c r="F367" s="35">
        <v>49894.32</v>
      </c>
      <c r="G367" t="s">
        <v>818</v>
      </c>
      <c r="H367" s="42" t="s">
        <v>819</v>
      </c>
    </row>
    <row r="368" spans="1:8" ht="15" customHeight="1">
      <c r="A368" s="71">
        <v>46196</v>
      </c>
      <c r="B368" t="s">
        <v>1205</v>
      </c>
      <c r="C368" t="str">
        <f>_xlfn.TEXTAFTER(TRIM(tblComprasPM[[#This Row],[Descripcion]]), " ", -1)</f>
        <v>MD-39</v>
      </c>
      <c r="D368" t="s">
        <v>1206</v>
      </c>
      <c r="E368" t="s">
        <v>765</v>
      </c>
      <c r="F368" s="35">
        <v>316217.51</v>
      </c>
      <c r="G368" t="s">
        <v>818</v>
      </c>
      <c r="H368" s="42" t="s">
        <v>819</v>
      </c>
    </row>
    <row r="369" spans="1:8" ht="15" customHeight="1">
      <c r="A369" s="71">
        <v>46191</v>
      </c>
      <c r="B369" t="s">
        <v>1207</v>
      </c>
      <c r="C369" t="str">
        <f>_xlfn.TEXTAFTER(TRIM(tblComprasPM[[#This Row],[Descripcion]]), " ", -1)</f>
        <v>CD-122</v>
      </c>
      <c r="D369" t="s">
        <v>1208</v>
      </c>
      <c r="E369" t="s">
        <v>766</v>
      </c>
      <c r="F369" s="35">
        <v>45799.53</v>
      </c>
      <c r="G369" t="s">
        <v>818</v>
      </c>
      <c r="H369" s="42" t="s">
        <v>819</v>
      </c>
    </row>
    <row r="370" spans="1:8" ht="15" customHeight="1">
      <c r="A370" s="71">
        <v>46191</v>
      </c>
      <c r="B370" t="s">
        <v>1209</v>
      </c>
      <c r="C370" t="s">
        <v>169</v>
      </c>
      <c r="D370" t="s">
        <v>1210</v>
      </c>
      <c r="E370" t="s">
        <v>882</v>
      </c>
      <c r="F370" s="35">
        <v>41786.85</v>
      </c>
      <c r="G370" t="s">
        <v>818</v>
      </c>
      <c r="H370" s="42" t="s">
        <v>819</v>
      </c>
    </row>
    <row r="371" spans="1:8" ht="15" customHeight="1">
      <c r="A371" s="71">
        <v>46191</v>
      </c>
      <c r="B371" t="s">
        <v>1209</v>
      </c>
      <c r="C371" t="s">
        <v>171</v>
      </c>
      <c r="D371" t="s">
        <v>1210</v>
      </c>
      <c r="E371" t="s">
        <v>882</v>
      </c>
      <c r="F371" s="35">
        <v>41786.85</v>
      </c>
      <c r="G371" t="s">
        <v>818</v>
      </c>
      <c r="H371" s="42" t="s">
        <v>819</v>
      </c>
    </row>
    <row r="372" spans="1:8" ht="15" customHeight="1">
      <c r="A372" s="71">
        <v>46191</v>
      </c>
      <c r="B372" t="s">
        <v>1209</v>
      </c>
      <c r="C372" t="s">
        <v>173</v>
      </c>
      <c r="D372" t="s">
        <v>1210</v>
      </c>
      <c r="E372" t="s">
        <v>882</v>
      </c>
      <c r="F372" s="35">
        <v>41786.85</v>
      </c>
      <c r="G372" t="s">
        <v>818</v>
      </c>
      <c r="H372" s="42" t="s">
        <v>819</v>
      </c>
    </row>
    <row r="373" spans="1:8" ht="15" customHeight="1">
      <c r="A373" s="71">
        <v>46191</v>
      </c>
      <c r="B373" t="s">
        <v>1211</v>
      </c>
      <c r="C373" t="str">
        <f>_xlfn.TEXTAFTER(TRIM(tblComprasPM[[#This Row],[Descripcion]]), " ", -1)</f>
        <v>MD-95</v>
      </c>
      <c r="D373" t="s">
        <v>1186</v>
      </c>
      <c r="E373" t="s">
        <v>766</v>
      </c>
      <c r="F373" s="35">
        <v>56799.89</v>
      </c>
      <c r="G373" t="s">
        <v>818</v>
      </c>
      <c r="H373" s="42" t="s">
        <v>819</v>
      </c>
    </row>
    <row r="374" spans="1:8" ht="15" customHeight="1">
      <c r="A374" s="71">
        <v>46191</v>
      </c>
      <c r="B374" t="s">
        <v>1212</v>
      </c>
      <c r="C374" t="str">
        <f>_xlfn.TEXTAFTER(TRIM(tblComprasPM[[#This Row],[Descripcion]]), " ", -1)</f>
        <v>MD-72</v>
      </c>
      <c r="D374" t="s">
        <v>1213</v>
      </c>
      <c r="E374" t="s">
        <v>765</v>
      </c>
      <c r="F374" s="35">
        <v>10800.44</v>
      </c>
      <c r="G374" t="s">
        <v>818</v>
      </c>
      <c r="H374" s="42" t="s">
        <v>819</v>
      </c>
    </row>
    <row r="375" spans="1:8" ht="15" customHeight="1">
      <c r="A375" s="71">
        <v>46191</v>
      </c>
      <c r="B375" t="s">
        <v>1214</v>
      </c>
      <c r="C375" t="str">
        <f>_xlfn.TEXTAFTER(TRIM(tblComprasPM[[#This Row],[Descripcion]]), " ", -1)</f>
        <v>CD-137</v>
      </c>
      <c r="D375" t="s">
        <v>1060</v>
      </c>
      <c r="E375" t="s">
        <v>766</v>
      </c>
      <c r="F375" s="35">
        <v>34700</v>
      </c>
      <c r="G375" t="s">
        <v>818</v>
      </c>
      <c r="H375" s="42" t="s">
        <v>819</v>
      </c>
    </row>
    <row r="376" spans="1:8" ht="15" customHeight="1">
      <c r="A376" s="71">
        <v>46191</v>
      </c>
      <c r="B376" t="s">
        <v>1215</v>
      </c>
      <c r="C376" t="str">
        <f>_xlfn.TEXTAFTER(TRIM(tblComprasPM[[#This Row],[Descripcion]]), " ", -1)</f>
        <v>VD-82</v>
      </c>
      <c r="D376" t="s">
        <v>1190</v>
      </c>
      <c r="E376" t="s">
        <v>766</v>
      </c>
      <c r="F376" s="35">
        <v>6400</v>
      </c>
      <c r="G376" t="s">
        <v>818</v>
      </c>
      <c r="H376" s="42" t="s">
        <v>819</v>
      </c>
    </row>
    <row r="377" spans="1:8" ht="15" customHeight="1">
      <c r="A377" s="71">
        <v>46189</v>
      </c>
      <c r="B377" t="s">
        <v>1216</v>
      </c>
      <c r="C377" t="str">
        <f>_xlfn.TEXTAFTER(TRIM(tblComprasPM[[#This Row],[Descripcion]]), " ", -1)</f>
        <v>MD-26</v>
      </c>
      <c r="D377" t="s">
        <v>1217</v>
      </c>
      <c r="E377" t="s">
        <v>828</v>
      </c>
      <c r="F377" s="35">
        <v>339770.54</v>
      </c>
      <c r="G377" t="s">
        <v>818</v>
      </c>
      <c r="H377" s="42" t="s">
        <v>819</v>
      </c>
    </row>
    <row r="378" spans="1:8" ht="15" customHeight="1">
      <c r="A378" s="71"/>
    </row>
    <row r="379" spans="1:8" ht="15" customHeight="1">
      <c r="A379" s="71"/>
    </row>
    <row r="380" spans="1:8" ht="15" customHeight="1">
      <c r="A380" s="71"/>
    </row>
    <row r="381" spans="1:8" ht="15" customHeight="1">
      <c r="A381" s="71"/>
    </row>
    <row r="382" spans="1:8" ht="15" customHeight="1">
      <c r="A382" s="71"/>
    </row>
    <row r="383" spans="1:8" ht="15" customHeight="1">
      <c r="A383" s="71"/>
    </row>
    <row r="384" spans="1:8" ht="15" customHeight="1">
      <c r="A384" s="71"/>
    </row>
    <row r="385" spans="1:1" ht="15" customHeight="1">
      <c r="A385" s="71"/>
    </row>
    <row r="386" spans="1:1" ht="15" customHeight="1">
      <c r="A386" s="71"/>
    </row>
    <row r="387" spans="1:1" ht="15" customHeight="1">
      <c r="A387" s="71"/>
    </row>
    <row r="388" spans="1:1" ht="15" customHeight="1">
      <c r="A388" s="71"/>
    </row>
    <row r="389" spans="1:1" ht="15" customHeight="1">
      <c r="A389" s="71"/>
    </row>
    <row r="390" spans="1:1" ht="15" customHeight="1">
      <c r="A390" s="71"/>
    </row>
    <row r="391" spans="1:1" ht="15" customHeight="1">
      <c r="A391" s="71"/>
    </row>
    <row r="392" spans="1:1" ht="15" customHeight="1">
      <c r="A392" s="71"/>
    </row>
    <row r="393" spans="1:1" ht="15" customHeight="1">
      <c r="A393" s="71"/>
    </row>
    <row r="394" spans="1:1" ht="15" customHeight="1">
      <c r="A394" s="71"/>
    </row>
    <row r="395" spans="1:1" ht="15" customHeight="1">
      <c r="A395" s="71"/>
    </row>
    <row r="396" spans="1:1" ht="15" customHeight="1">
      <c r="A396" s="71"/>
    </row>
    <row r="397" spans="1:1" ht="15" customHeight="1">
      <c r="A397" s="71"/>
    </row>
    <row r="398" spans="1:1" ht="15" customHeight="1">
      <c r="A398" s="71"/>
    </row>
    <row r="399" spans="1:1" ht="15" customHeight="1">
      <c r="A399" s="71"/>
    </row>
    <row r="400" spans="1:1"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80" activePane="bottomLeft" state="frozen"/>
      <selection pane="bottomLeft" activeCell="A287" sqref="A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7" t="s">
        <v>1218</v>
      </c>
      <c r="B1" s="97"/>
      <c r="C1" s="97"/>
      <c r="D1" s="97"/>
      <c r="E1" s="97"/>
      <c r="F1" s="97"/>
      <c r="G1" s="97"/>
      <c r="H1" s="97"/>
    </row>
    <row r="3" spans="1:8">
      <c r="A3" s="1" t="s">
        <v>752</v>
      </c>
      <c r="B3" s="1" t="s">
        <v>670</v>
      </c>
      <c r="C3" s="1" t="s">
        <v>1219</v>
      </c>
      <c r="D3" s="1" t="s">
        <v>1220</v>
      </c>
      <c r="E3" s="1" t="s">
        <v>1221</v>
      </c>
      <c r="F3" s="1" t="s">
        <v>1222</v>
      </c>
      <c r="G3" s="1" t="s">
        <v>1223</v>
      </c>
      <c r="H3" s="1" t="s">
        <v>1</v>
      </c>
    </row>
    <row r="4" spans="1:8">
      <c r="B4" s="71">
        <v>46057</v>
      </c>
      <c r="C4" t="s">
        <v>362</v>
      </c>
      <c r="D4" t="s">
        <v>1224</v>
      </c>
      <c r="F4" t="s">
        <v>37</v>
      </c>
      <c r="H4" t="s">
        <v>362</v>
      </c>
    </row>
    <row r="5" spans="1:8">
      <c r="B5" s="71">
        <v>46058</v>
      </c>
      <c r="C5" t="s">
        <v>305</v>
      </c>
      <c r="D5" t="s">
        <v>1224</v>
      </c>
      <c r="F5" t="s">
        <v>37</v>
      </c>
      <c r="H5" t="s">
        <v>305</v>
      </c>
    </row>
    <row r="6" spans="1:8">
      <c r="B6" s="71">
        <v>46060</v>
      </c>
      <c r="C6" t="s">
        <v>29</v>
      </c>
      <c r="D6" t="s">
        <v>1224</v>
      </c>
      <c r="F6" t="s">
        <v>37</v>
      </c>
      <c r="H6" t="s">
        <v>29</v>
      </c>
    </row>
    <row r="7" spans="1:8">
      <c r="A7">
        <v>18005</v>
      </c>
      <c r="B7" s="11">
        <v>46062</v>
      </c>
      <c r="C7" t="s">
        <v>69</v>
      </c>
      <c r="D7" t="s">
        <v>1225</v>
      </c>
      <c r="E7" t="s">
        <v>1226</v>
      </c>
      <c r="F7" t="s">
        <v>37</v>
      </c>
      <c r="G7" t="s">
        <v>1227</v>
      </c>
      <c r="H7" t="s">
        <v>69</v>
      </c>
    </row>
    <row r="8" spans="1:8">
      <c r="A8">
        <v>18053</v>
      </c>
      <c r="B8" s="11">
        <v>46065</v>
      </c>
      <c r="C8" t="s">
        <v>385</v>
      </c>
      <c r="D8" t="s">
        <v>1224</v>
      </c>
      <c r="E8" t="s">
        <v>106</v>
      </c>
      <c r="F8" t="s">
        <v>23</v>
      </c>
      <c r="H8" t="s">
        <v>385</v>
      </c>
    </row>
    <row r="9" spans="1:8">
      <c r="A9">
        <v>18039</v>
      </c>
      <c r="B9" s="11">
        <v>46071</v>
      </c>
      <c r="C9" t="s">
        <v>500</v>
      </c>
      <c r="D9" t="s">
        <v>1228</v>
      </c>
      <c r="E9" t="s">
        <v>1229</v>
      </c>
      <c r="F9" t="s">
        <v>37</v>
      </c>
      <c r="H9" t="s">
        <v>500</v>
      </c>
    </row>
    <row r="10" spans="1:8">
      <c r="A10">
        <v>18043</v>
      </c>
      <c r="B10" s="11">
        <v>46072</v>
      </c>
      <c r="C10" t="s">
        <v>521</v>
      </c>
      <c r="D10" t="s">
        <v>1228</v>
      </c>
      <c r="E10" t="s">
        <v>321</v>
      </c>
      <c r="F10" t="s">
        <v>37</v>
      </c>
      <c r="H10" t="s">
        <v>521</v>
      </c>
    </row>
    <row r="11" spans="1:8">
      <c r="A11">
        <v>18093</v>
      </c>
      <c r="B11" s="11">
        <v>46072</v>
      </c>
      <c r="C11" t="s">
        <v>521</v>
      </c>
      <c r="D11" t="s">
        <v>1224</v>
      </c>
      <c r="E11" t="s">
        <v>1230</v>
      </c>
      <c r="F11" t="s">
        <v>37</v>
      </c>
      <c r="H11" t="s">
        <v>521</v>
      </c>
    </row>
    <row r="12" spans="1:8">
      <c r="A12">
        <v>18093</v>
      </c>
      <c r="B12" s="11">
        <v>46072</v>
      </c>
      <c r="C12" t="s">
        <v>525</v>
      </c>
      <c r="D12" t="s">
        <v>1224</v>
      </c>
      <c r="E12" t="s">
        <v>1230</v>
      </c>
      <c r="F12" t="s">
        <v>37</v>
      </c>
      <c r="H12" t="s">
        <v>525</v>
      </c>
    </row>
    <row r="13" spans="1:8">
      <c r="A13">
        <v>18206</v>
      </c>
      <c r="B13" s="11">
        <v>46073</v>
      </c>
      <c r="C13" t="s">
        <v>587</v>
      </c>
      <c r="D13" t="s">
        <v>1228</v>
      </c>
      <c r="E13" t="s">
        <v>739</v>
      </c>
      <c r="F13" t="s">
        <v>730</v>
      </c>
      <c r="H13" t="s">
        <v>587</v>
      </c>
    </row>
    <row r="14" spans="1:8">
      <c r="A14">
        <v>18207</v>
      </c>
      <c r="B14" s="11">
        <v>46073</v>
      </c>
      <c r="C14" t="s">
        <v>333</v>
      </c>
      <c r="D14" t="s">
        <v>1228</v>
      </c>
      <c r="E14" t="s">
        <v>739</v>
      </c>
      <c r="F14" t="s">
        <v>730</v>
      </c>
      <c r="H14" t="s">
        <v>333</v>
      </c>
    </row>
    <row r="15" spans="1:8">
      <c r="A15">
        <v>18208</v>
      </c>
      <c r="B15" s="11">
        <v>46073</v>
      </c>
      <c r="C15" t="s">
        <v>338</v>
      </c>
      <c r="D15" t="s">
        <v>1225</v>
      </c>
      <c r="E15" t="s">
        <v>739</v>
      </c>
      <c r="F15" t="s">
        <v>730</v>
      </c>
      <c r="H15" t="s">
        <v>338</v>
      </c>
    </row>
    <row r="16" spans="1:8">
      <c r="A16">
        <v>18049</v>
      </c>
      <c r="B16" s="11">
        <v>46073</v>
      </c>
      <c r="C16" t="s">
        <v>507</v>
      </c>
      <c r="D16" t="s">
        <v>1228</v>
      </c>
      <c r="E16" t="s">
        <v>321</v>
      </c>
      <c r="F16" t="s">
        <v>37</v>
      </c>
      <c r="H16" t="s">
        <v>507</v>
      </c>
    </row>
    <row r="17" spans="1:8">
      <c r="A17">
        <v>18253</v>
      </c>
      <c r="B17" s="11">
        <v>46073</v>
      </c>
      <c r="C17" t="s">
        <v>152</v>
      </c>
      <c r="D17" t="s">
        <v>1231</v>
      </c>
      <c r="E17" t="s">
        <v>321</v>
      </c>
      <c r="F17" t="s">
        <v>37</v>
      </c>
      <c r="G17" t="s">
        <v>1232</v>
      </c>
      <c r="H17" t="s">
        <v>152</v>
      </c>
    </row>
    <row r="18" spans="1:8">
      <c r="A18">
        <v>18225</v>
      </c>
      <c r="B18" s="11">
        <v>46077</v>
      </c>
      <c r="C18" t="s">
        <v>167</v>
      </c>
      <c r="D18" t="s">
        <v>1233</v>
      </c>
      <c r="E18" t="s">
        <v>739</v>
      </c>
      <c r="F18" t="s">
        <v>33</v>
      </c>
      <c r="H18" t="s">
        <v>167</v>
      </c>
    </row>
    <row r="19" spans="1:8">
      <c r="A19">
        <v>18226</v>
      </c>
      <c r="B19" s="11">
        <v>46077</v>
      </c>
      <c r="C19" t="s">
        <v>569</v>
      </c>
      <c r="D19" t="s">
        <v>1224</v>
      </c>
      <c r="E19" t="s">
        <v>1234</v>
      </c>
      <c r="F19" t="s">
        <v>51</v>
      </c>
      <c r="H19" t="s">
        <v>569</v>
      </c>
    </row>
    <row r="20" spans="1:8">
      <c r="A20">
        <v>18230</v>
      </c>
      <c r="B20" s="11">
        <v>46077</v>
      </c>
      <c r="C20" t="s">
        <v>424</v>
      </c>
      <c r="D20" t="s">
        <v>1224</v>
      </c>
      <c r="F20" t="s">
        <v>63</v>
      </c>
      <c r="H20" t="s">
        <v>424</v>
      </c>
    </row>
    <row r="21" spans="1:8">
      <c r="A21">
        <v>18236</v>
      </c>
      <c r="B21" s="11">
        <v>46078</v>
      </c>
      <c r="C21" t="s">
        <v>360</v>
      </c>
      <c r="D21" t="s">
        <v>1228</v>
      </c>
      <c r="E21" t="s">
        <v>1235</v>
      </c>
      <c r="F21" t="s">
        <v>33</v>
      </c>
      <c r="H21" t="s">
        <v>360</v>
      </c>
    </row>
    <row r="22" spans="1:8">
      <c r="A22">
        <v>18236</v>
      </c>
      <c r="B22" s="11">
        <v>46078</v>
      </c>
      <c r="C22" t="s">
        <v>383</v>
      </c>
      <c r="D22" t="s">
        <v>1228</v>
      </c>
      <c r="E22" t="s">
        <v>1235</v>
      </c>
      <c r="F22" t="s">
        <v>33</v>
      </c>
      <c r="H22" t="s">
        <v>383</v>
      </c>
    </row>
    <row r="23" spans="1:8">
      <c r="A23">
        <v>18264</v>
      </c>
      <c r="B23" s="11">
        <v>46078</v>
      </c>
      <c r="C23" t="s">
        <v>516</v>
      </c>
      <c r="D23" t="s">
        <v>1228</v>
      </c>
      <c r="E23" t="s">
        <v>321</v>
      </c>
      <c r="F23" t="s">
        <v>37</v>
      </c>
      <c r="H23" t="s">
        <v>516</v>
      </c>
    </row>
    <row r="24" spans="1:8">
      <c r="A24">
        <v>18246</v>
      </c>
      <c r="B24" s="11">
        <v>46079</v>
      </c>
      <c r="C24" t="s">
        <v>373</v>
      </c>
      <c r="D24" t="s">
        <v>1228</v>
      </c>
      <c r="E24" t="s">
        <v>1230</v>
      </c>
      <c r="F24" t="s">
        <v>715</v>
      </c>
      <c r="H24" t="s">
        <v>373</v>
      </c>
    </row>
    <row r="25" spans="1:8">
      <c r="A25">
        <v>18302</v>
      </c>
      <c r="B25" s="11">
        <v>46080</v>
      </c>
      <c r="C25" t="s">
        <v>93</v>
      </c>
      <c r="D25" t="s">
        <v>1224</v>
      </c>
      <c r="E25" t="s">
        <v>1230</v>
      </c>
      <c r="F25" t="s">
        <v>63</v>
      </c>
      <c r="H25" t="s">
        <v>93</v>
      </c>
    </row>
    <row r="26" spans="1:8">
      <c r="A26">
        <v>18304</v>
      </c>
      <c r="B26" s="11">
        <v>46080</v>
      </c>
      <c r="C26" t="s">
        <v>89</v>
      </c>
      <c r="D26" t="s">
        <v>1224</v>
      </c>
      <c r="F26" t="s">
        <v>51</v>
      </c>
      <c r="H26" t="s">
        <v>89</v>
      </c>
    </row>
    <row r="27" spans="1:8">
      <c r="A27">
        <v>18304</v>
      </c>
      <c r="B27" s="11">
        <v>46080</v>
      </c>
      <c r="C27" t="s">
        <v>86</v>
      </c>
      <c r="D27" t="s">
        <v>1224</v>
      </c>
      <c r="F27" t="s">
        <v>51</v>
      </c>
      <c r="H27" t="s">
        <v>86</v>
      </c>
    </row>
    <row r="28" spans="1:8">
      <c r="A28">
        <v>18305</v>
      </c>
      <c r="B28" s="11">
        <v>46080</v>
      </c>
      <c r="C28" t="s">
        <v>447</v>
      </c>
      <c r="D28" t="s">
        <v>1224</v>
      </c>
      <c r="F28" t="s">
        <v>51</v>
      </c>
      <c r="H28" t="s">
        <v>447</v>
      </c>
    </row>
    <row r="29" spans="1:8">
      <c r="A29">
        <v>18306</v>
      </c>
      <c r="B29" s="11">
        <v>46080</v>
      </c>
      <c r="C29" t="s">
        <v>136</v>
      </c>
      <c r="D29" t="s">
        <v>1224</v>
      </c>
      <c r="F29" t="s">
        <v>51</v>
      </c>
      <c r="H29" t="s">
        <v>136</v>
      </c>
    </row>
    <row r="30" spans="1:8">
      <c r="A30">
        <v>18307</v>
      </c>
      <c r="B30" s="11">
        <v>46080</v>
      </c>
      <c r="C30" t="s">
        <v>311</v>
      </c>
      <c r="D30" t="s">
        <v>1224</v>
      </c>
      <c r="F30" t="s">
        <v>51</v>
      </c>
      <c r="H30" t="s">
        <v>311</v>
      </c>
    </row>
    <row r="31" spans="1:8">
      <c r="A31">
        <v>18308</v>
      </c>
      <c r="B31" s="11">
        <v>46080</v>
      </c>
      <c r="C31" t="s">
        <v>450</v>
      </c>
      <c r="D31" t="s">
        <v>1225</v>
      </c>
      <c r="F31" t="s">
        <v>63</v>
      </c>
      <c r="G31" t="s">
        <v>1236</v>
      </c>
      <c r="H31" t="s">
        <v>450</v>
      </c>
    </row>
    <row r="32" spans="1:8">
      <c r="A32">
        <v>18310</v>
      </c>
      <c r="B32" s="11">
        <v>46080</v>
      </c>
      <c r="C32" t="s">
        <v>529</v>
      </c>
      <c r="D32" t="s">
        <v>1224</v>
      </c>
      <c r="F32" t="s">
        <v>51</v>
      </c>
      <c r="H32" t="s">
        <v>529</v>
      </c>
    </row>
    <row r="33" spans="1:8">
      <c r="A33">
        <v>18276</v>
      </c>
      <c r="B33" s="11">
        <v>46080</v>
      </c>
      <c r="C33" t="s">
        <v>96</v>
      </c>
      <c r="D33" t="s">
        <v>1225</v>
      </c>
      <c r="E33" t="s">
        <v>1237</v>
      </c>
      <c r="G33" t="s">
        <v>1238</v>
      </c>
      <c r="H33" t="s">
        <v>96</v>
      </c>
    </row>
    <row r="34" spans="1:8">
      <c r="A34">
        <v>18280</v>
      </c>
      <c r="B34" s="11">
        <v>46083</v>
      </c>
      <c r="C34" t="s">
        <v>352</v>
      </c>
      <c r="D34" t="s">
        <v>1228</v>
      </c>
      <c r="F34" t="s">
        <v>33</v>
      </c>
      <c r="H34" t="s">
        <v>352</v>
      </c>
    </row>
    <row r="35" spans="1:8">
      <c r="A35">
        <v>18284</v>
      </c>
      <c r="B35" s="11">
        <v>46083</v>
      </c>
      <c r="C35" t="s">
        <v>452</v>
      </c>
      <c r="D35" t="s">
        <v>1224</v>
      </c>
      <c r="E35" t="s">
        <v>537</v>
      </c>
      <c r="F35" t="s">
        <v>15</v>
      </c>
      <c r="H35" t="s">
        <v>452</v>
      </c>
    </row>
    <row r="36" spans="1:8">
      <c r="A36">
        <v>18288</v>
      </c>
      <c r="B36" s="11">
        <v>46083</v>
      </c>
      <c r="C36" t="s">
        <v>447</v>
      </c>
      <c r="D36" t="s">
        <v>1228</v>
      </c>
      <c r="F36" t="s">
        <v>33</v>
      </c>
      <c r="H36" t="s">
        <v>447</v>
      </c>
    </row>
    <row r="37" spans="1:8">
      <c r="A37">
        <v>18289</v>
      </c>
      <c r="B37" s="11">
        <v>46083</v>
      </c>
      <c r="C37" t="s">
        <v>458</v>
      </c>
      <c r="D37" t="s">
        <v>1231</v>
      </c>
      <c r="E37" t="s">
        <v>492</v>
      </c>
      <c r="F37" t="s">
        <v>730</v>
      </c>
      <c r="H37" t="s">
        <v>458</v>
      </c>
    </row>
    <row r="38" spans="1:8">
      <c r="B38" s="71">
        <v>46083</v>
      </c>
      <c r="C38" t="s">
        <v>633</v>
      </c>
      <c r="D38" t="s">
        <v>1224</v>
      </c>
      <c r="F38" t="s">
        <v>33</v>
      </c>
      <c r="H38" t="s">
        <v>633</v>
      </c>
    </row>
    <row r="39" spans="1:8">
      <c r="A39">
        <v>18322</v>
      </c>
      <c r="B39" s="11">
        <v>46084</v>
      </c>
      <c r="C39" t="s">
        <v>36</v>
      </c>
      <c r="D39" t="s">
        <v>1225</v>
      </c>
      <c r="E39" t="s">
        <v>321</v>
      </c>
      <c r="F39" t="s">
        <v>37</v>
      </c>
      <c r="G39" t="s">
        <v>1239</v>
      </c>
      <c r="H39" t="s">
        <v>36</v>
      </c>
    </row>
    <row r="40" spans="1:8">
      <c r="A40">
        <v>18332</v>
      </c>
      <c r="B40" s="11">
        <v>46085</v>
      </c>
      <c r="C40" t="s">
        <v>163</v>
      </c>
      <c r="D40" t="s">
        <v>1224</v>
      </c>
      <c r="E40" t="s">
        <v>1230</v>
      </c>
      <c r="F40" t="s">
        <v>63</v>
      </c>
      <c r="H40" t="s">
        <v>163</v>
      </c>
    </row>
    <row r="41" spans="1:8">
      <c r="A41">
        <v>18332</v>
      </c>
      <c r="B41" s="11">
        <v>46085</v>
      </c>
      <c r="C41" t="s">
        <v>502</v>
      </c>
      <c r="D41" t="s">
        <v>1224</v>
      </c>
      <c r="E41" t="s">
        <v>1230</v>
      </c>
      <c r="F41" t="s">
        <v>63</v>
      </c>
      <c r="H41" t="s">
        <v>502</v>
      </c>
    </row>
    <row r="42" spans="1:8">
      <c r="A42">
        <v>18337</v>
      </c>
      <c r="B42" s="11">
        <v>46085</v>
      </c>
      <c r="C42" t="s">
        <v>330</v>
      </c>
      <c r="D42" t="s">
        <v>1228</v>
      </c>
      <c r="E42" t="s">
        <v>1240</v>
      </c>
      <c r="F42" t="s">
        <v>327</v>
      </c>
      <c r="H42" t="s">
        <v>330</v>
      </c>
    </row>
    <row r="43" spans="1:8">
      <c r="A43">
        <v>18341</v>
      </c>
      <c r="B43" s="11">
        <v>46085</v>
      </c>
      <c r="C43" t="s">
        <v>307</v>
      </c>
      <c r="D43" t="s">
        <v>1224</v>
      </c>
      <c r="F43" t="s">
        <v>15</v>
      </c>
      <c r="H43" t="s">
        <v>307</v>
      </c>
    </row>
    <row r="44" spans="1:8">
      <c r="A44">
        <v>18265</v>
      </c>
      <c r="B44" s="12">
        <v>46086</v>
      </c>
      <c r="C44" t="s">
        <v>169</v>
      </c>
      <c r="D44" t="s">
        <v>1224</v>
      </c>
      <c r="E44" t="s">
        <v>81</v>
      </c>
      <c r="F44" t="s">
        <v>63</v>
      </c>
      <c r="H44" t="s">
        <v>169</v>
      </c>
    </row>
    <row r="45" spans="1:8">
      <c r="B45" s="71">
        <v>46086</v>
      </c>
      <c r="C45" t="s">
        <v>573</v>
      </c>
      <c r="D45" t="s">
        <v>1224</v>
      </c>
      <c r="F45" t="s">
        <v>37</v>
      </c>
      <c r="H45" t="s">
        <v>573</v>
      </c>
    </row>
    <row r="46" spans="1:8">
      <c r="B46" s="71">
        <v>46086</v>
      </c>
      <c r="C46" t="s">
        <v>293</v>
      </c>
      <c r="D46" t="s">
        <v>1224</v>
      </c>
      <c r="F46" t="s">
        <v>37</v>
      </c>
      <c r="H46" t="s">
        <v>293</v>
      </c>
    </row>
    <row r="47" spans="1:8">
      <c r="A47">
        <v>18360</v>
      </c>
      <c r="B47" s="11">
        <v>46087</v>
      </c>
      <c r="C47" t="s">
        <v>307</v>
      </c>
      <c r="D47" t="s">
        <v>1241</v>
      </c>
      <c r="E47" t="s">
        <v>1240</v>
      </c>
      <c r="F47" t="s">
        <v>15</v>
      </c>
      <c r="H47" t="s">
        <v>307</v>
      </c>
    </row>
    <row r="48" spans="1:8">
      <c r="A48">
        <v>18360</v>
      </c>
      <c r="B48" s="11">
        <v>46087</v>
      </c>
      <c r="C48" t="s">
        <v>523</v>
      </c>
      <c r="D48" t="s">
        <v>1224</v>
      </c>
      <c r="E48" t="s">
        <v>1240</v>
      </c>
      <c r="F48" t="s">
        <v>15</v>
      </c>
      <c r="H48" t="s">
        <v>523</v>
      </c>
    </row>
    <row r="49" spans="1:8">
      <c r="A49">
        <v>18361</v>
      </c>
      <c r="B49" s="11">
        <v>46087</v>
      </c>
      <c r="C49" t="s">
        <v>468</v>
      </c>
      <c r="D49" t="s">
        <v>1224</v>
      </c>
      <c r="E49" t="s">
        <v>1229</v>
      </c>
      <c r="H49" t="s">
        <v>468</v>
      </c>
    </row>
    <row r="50" spans="1:8">
      <c r="A50">
        <v>18408</v>
      </c>
      <c r="B50" s="11">
        <v>46087</v>
      </c>
      <c r="C50" t="s">
        <v>157</v>
      </c>
      <c r="D50" t="s">
        <v>1224</v>
      </c>
      <c r="E50" t="s">
        <v>739</v>
      </c>
      <c r="F50" t="s">
        <v>33</v>
      </c>
      <c r="H50" t="s">
        <v>157</v>
      </c>
    </row>
    <row r="51" spans="1:8">
      <c r="A51">
        <v>18409</v>
      </c>
      <c r="B51" s="11">
        <v>46087</v>
      </c>
      <c r="C51" t="s">
        <v>371</v>
      </c>
      <c r="D51" t="s">
        <v>1224</v>
      </c>
      <c r="E51" t="s">
        <v>739</v>
      </c>
      <c r="F51" t="s">
        <v>33</v>
      </c>
      <c r="H51" t="s">
        <v>371</v>
      </c>
    </row>
    <row r="52" spans="1:8">
      <c r="A52">
        <v>18409</v>
      </c>
      <c r="B52" s="11">
        <v>46087</v>
      </c>
      <c r="C52" t="s">
        <v>505</v>
      </c>
      <c r="D52" t="s">
        <v>1224</v>
      </c>
      <c r="E52" t="s">
        <v>739</v>
      </c>
      <c r="F52" t="s">
        <v>33</v>
      </c>
      <c r="H52" t="s">
        <v>505</v>
      </c>
    </row>
    <row r="53" spans="1:8">
      <c r="A53">
        <v>18410</v>
      </c>
      <c r="B53" s="11">
        <v>46087</v>
      </c>
      <c r="C53" t="s">
        <v>301</v>
      </c>
      <c r="D53" t="s">
        <v>1224</v>
      </c>
      <c r="E53" t="s">
        <v>739</v>
      </c>
      <c r="F53" t="s">
        <v>33</v>
      </c>
      <c r="H53" t="s">
        <v>301</v>
      </c>
    </row>
    <row r="54" spans="1:8">
      <c r="A54">
        <v>18411</v>
      </c>
      <c r="B54" s="11">
        <v>46087</v>
      </c>
      <c r="C54" t="s">
        <v>118</v>
      </c>
      <c r="D54" t="s">
        <v>1224</v>
      </c>
      <c r="E54" t="s">
        <v>739</v>
      </c>
      <c r="F54" t="s">
        <v>33</v>
      </c>
      <c r="H54" t="s">
        <v>118</v>
      </c>
    </row>
    <row r="55" spans="1:8">
      <c r="A55">
        <v>18418</v>
      </c>
      <c r="B55" s="11">
        <v>46090</v>
      </c>
      <c r="C55" t="s">
        <v>136</v>
      </c>
      <c r="D55" t="s">
        <v>1225</v>
      </c>
      <c r="E55" t="s">
        <v>1242</v>
      </c>
      <c r="F55" t="s">
        <v>51</v>
      </c>
      <c r="G55" t="s">
        <v>1243</v>
      </c>
      <c r="H55" t="s">
        <v>136</v>
      </c>
    </row>
    <row r="56" spans="1:8">
      <c r="A56">
        <v>18430</v>
      </c>
      <c r="B56" s="11">
        <v>46090</v>
      </c>
      <c r="C56" t="s">
        <v>397</v>
      </c>
      <c r="D56" t="s">
        <v>1225</v>
      </c>
      <c r="E56" t="s">
        <v>1244</v>
      </c>
      <c r="F56" t="s">
        <v>594</v>
      </c>
      <c r="G56" t="s">
        <v>1245</v>
      </c>
      <c r="H56" t="s">
        <v>397</v>
      </c>
    </row>
    <row r="57" spans="1:8">
      <c r="A57">
        <v>18438</v>
      </c>
      <c r="B57" s="11">
        <v>46090</v>
      </c>
      <c r="C57" t="s">
        <v>400</v>
      </c>
      <c r="D57" t="s">
        <v>1224</v>
      </c>
      <c r="E57" t="s">
        <v>321</v>
      </c>
      <c r="F57" t="s">
        <v>730</v>
      </c>
      <c r="H57" t="s">
        <v>400</v>
      </c>
    </row>
    <row r="58" spans="1:8">
      <c r="B58" s="71">
        <v>46091</v>
      </c>
      <c r="C58" t="s">
        <v>42</v>
      </c>
      <c r="D58" t="s">
        <v>1224</v>
      </c>
      <c r="H58" t="s">
        <v>42</v>
      </c>
    </row>
    <row r="59" spans="1:8">
      <c r="A59">
        <v>18457</v>
      </c>
      <c r="B59" s="71">
        <v>46093</v>
      </c>
      <c r="C59" t="s">
        <v>435</v>
      </c>
      <c r="D59" t="s">
        <v>1224</v>
      </c>
      <c r="E59" t="s">
        <v>1230</v>
      </c>
      <c r="F59" t="s">
        <v>63</v>
      </c>
      <c r="H59" t="s">
        <v>435</v>
      </c>
    </row>
    <row r="60" spans="1:8">
      <c r="A60">
        <v>18458</v>
      </c>
      <c r="B60" s="71">
        <v>46093</v>
      </c>
      <c r="C60" t="s">
        <v>278</v>
      </c>
      <c r="D60" t="s">
        <v>1224</v>
      </c>
      <c r="E60" t="s">
        <v>1230</v>
      </c>
      <c r="F60" t="s">
        <v>63</v>
      </c>
      <c r="H60" t="s">
        <v>278</v>
      </c>
    </row>
    <row r="61" spans="1:8">
      <c r="A61">
        <v>18466</v>
      </c>
      <c r="B61" s="71">
        <v>46093</v>
      </c>
      <c r="C61" t="s">
        <v>259</v>
      </c>
      <c r="D61" t="s">
        <v>1224</v>
      </c>
      <c r="E61" t="s">
        <v>234</v>
      </c>
      <c r="F61" t="s">
        <v>23</v>
      </c>
      <c r="H61" t="s">
        <v>698</v>
      </c>
    </row>
    <row r="62" spans="1:8">
      <c r="B62" s="71">
        <v>46093</v>
      </c>
      <c r="C62" t="s">
        <v>667</v>
      </c>
      <c r="D62" t="s">
        <v>1224</v>
      </c>
      <c r="F62" t="s">
        <v>15</v>
      </c>
      <c r="H62" t="s">
        <v>667</v>
      </c>
    </row>
    <row r="63" spans="1:8">
      <c r="B63" s="71">
        <v>46093</v>
      </c>
      <c r="C63" t="s">
        <v>649</v>
      </c>
      <c r="D63" t="s">
        <v>1224</v>
      </c>
      <c r="F63" t="s">
        <v>37</v>
      </c>
      <c r="H63" t="s">
        <v>649</v>
      </c>
    </row>
    <row r="64" spans="1:8">
      <c r="B64" s="71">
        <v>46084</v>
      </c>
      <c r="C64" t="s">
        <v>91</v>
      </c>
      <c r="D64" t="s">
        <v>1224</v>
      </c>
      <c r="F64" t="s">
        <v>37</v>
      </c>
      <c r="H64" t="s">
        <v>91</v>
      </c>
    </row>
    <row r="65" spans="1:8" ht="15" customHeight="1">
      <c r="A65">
        <v>18384</v>
      </c>
      <c r="B65" s="71">
        <v>46094</v>
      </c>
      <c r="C65" t="s">
        <v>365</v>
      </c>
      <c r="D65" t="s">
        <v>1224</v>
      </c>
      <c r="E65" t="s">
        <v>1246</v>
      </c>
      <c r="F65" t="s">
        <v>15</v>
      </c>
      <c r="H65" t="s">
        <v>365</v>
      </c>
    </row>
    <row r="66" spans="1:8" ht="15" customHeight="1">
      <c r="B66" s="71">
        <v>46094</v>
      </c>
      <c r="C66" t="s">
        <v>388</v>
      </c>
      <c r="D66" t="s">
        <v>1224</v>
      </c>
      <c r="F66" t="s">
        <v>37</v>
      </c>
      <c r="H66" t="s">
        <v>388</v>
      </c>
    </row>
    <row r="67" spans="1:8" ht="15" customHeight="1">
      <c r="A67">
        <v>18390</v>
      </c>
      <c r="B67" s="71">
        <v>46097</v>
      </c>
      <c r="C67" t="s">
        <v>173</v>
      </c>
      <c r="D67" t="s">
        <v>1224</v>
      </c>
      <c r="E67" t="s">
        <v>1247</v>
      </c>
      <c r="F67" t="s">
        <v>33</v>
      </c>
      <c r="H67" t="s">
        <v>173</v>
      </c>
    </row>
    <row r="68" spans="1:8" ht="15" customHeight="1">
      <c r="A68">
        <v>18390</v>
      </c>
      <c r="B68" s="71">
        <v>46097</v>
      </c>
      <c r="C68" t="s">
        <v>180</v>
      </c>
      <c r="D68" t="s">
        <v>1224</v>
      </c>
      <c r="E68" t="s">
        <v>1247</v>
      </c>
      <c r="F68" t="s">
        <v>33</v>
      </c>
      <c r="H68" t="s">
        <v>180</v>
      </c>
    </row>
    <row r="69" spans="1:8" ht="15" customHeight="1">
      <c r="A69">
        <v>18389</v>
      </c>
      <c r="B69" s="71">
        <v>46097</v>
      </c>
      <c r="C69" t="s">
        <v>188</v>
      </c>
      <c r="D69" t="s">
        <v>1224</v>
      </c>
      <c r="E69" t="s">
        <v>1247</v>
      </c>
      <c r="F69" t="s">
        <v>33</v>
      </c>
      <c r="H69" t="s">
        <v>188</v>
      </c>
    </row>
    <row r="70" spans="1:8" ht="15" customHeight="1">
      <c r="A70">
        <v>18389</v>
      </c>
      <c r="B70" s="71">
        <v>46097</v>
      </c>
      <c r="C70" t="s">
        <v>183</v>
      </c>
      <c r="D70" t="s">
        <v>1224</v>
      </c>
      <c r="E70" t="s">
        <v>1247</v>
      </c>
      <c r="F70" t="s">
        <v>33</v>
      </c>
      <c r="H70" t="s">
        <v>183</v>
      </c>
    </row>
    <row r="71" spans="1:8" ht="15" customHeight="1">
      <c r="A71">
        <v>18387</v>
      </c>
      <c r="B71" s="71">
        <v>46097</v>
      </c>
      <c r="C71" t="s">
        <v>418</v>
      </c>
      <c r="D71" t="s">
        <v>1224</v>
      </c>
      <c r="E71" t="s">
        <v>1247</v>
      </c>
      <c r="F71" t="s">
        <v>33</v>
      </c>
      <c r="H71" t="s">
        <v>418</v>
      </c>
    </row>
    <row r="72" spans="1:8" ht="15" customHeight="1">
      <c r="A72">
        <v>18386</v>
      </c>
      <c r="B72" s="71">
        <v>46097</v>
      </c>
      <c r="C72" t="s">
        <v>383</v>
      </c>
      <c r="D72" t="s">
        <v>1224</v>
      </c>
      <c r="E72" t="s">
        <v>1247</v>
      </c>
      <c r="F72" t="s">
        <v>33</v>
      </c>
      <c r="H72" t="s">
        <v>383</v>
      </c>
    </row>
    <row r="73" spans="1:8" ht="15" customHeight="1">
      <c r="B73" s="71">
        <v>46098</v>
      </c>
      <c r="C73" t="s">
        <v>392</v>
      </c>
      <c r="D73" t="s">
        <v>1224</v>
      </c>
      <c r="F73" t="s">
        <v>37</v>
      </c>
      <c r="H73" t="s">
        <v>392</v>
      </c>
    </row>
    <row r="74" spans="1:8" ht="15" customHeight="1">
      <c r="A74">
        <v>18398</v>
      </c>
      <c r="B74" s="71">
        <v>46099</v>
      </c>
      <c r="C74" t="s">
        <v>519</v>
      </c>
      <c r="D74" t="s">
        <v>1224</v>
      </c>
      <c r="E74" t="s">
        <v>1240</v>
      </c>
      <c r="F74" t="s">
        <v>37</v>
      </c>
      <c r="H74" t="s">
        <v>519</v>
      </c>
    </row>
    <row r="75" spans="1:8" ht="15" customHeight="1">
      <c r="A75">
        <v>18397</v>
      </c>
      <c r="B75" s="71">
        <v>46099</v>
      </c>
      <c r="C75" t="s">
        <v>527</v>
      </c>
      <c r="D75" t="s">
        <v>1224</v>
      </c>
      <c r="E75" t="s">
        <v>1248</v>
      </c>
      <c r="F75" t="s">
        <v>37</v>
      </c>
      <c r="H75" t="s">
        <v>527</v>
      </c>
    </row>
    <row r="76" spans="1:8" ht="15" customHeight="1">
      <c r="B76" s="71">
        <v>46099</v>
      </c>
      <c r="C76" t="s">
        <v>82</v>
      </c>
      <c r="D76" t="s">
        <v>1224</v>
      </c>
      <c r="F76" t="s">
        <v>37</v>
      </c>
      <c r="H76" t="s">
        <v>82</v>
      </c>
    </row>
    <row r="77" spans="1:8" ht="15" customHeight="1">
      <c r="B77" s="71">
        <v>46100</v>
      </c>
      <c r="C77" t="s">
        <v>409</v>
      </c>
      <c r="D77" t="s">
        <v>1224</v>
      </c>
      <c r="F77" t="s">
        <v>37</v>
      </c>
      <c r="H77" t="s">
        <v>409</v>
      </c>
    </row>
    <row r="78" spans="1:8" ht="15" customHeight="1">
      <c r="B78" s="71">
        <v>46101</v>
      </c>
      <c r="C78" t="s">
        <v>48</v>
      </c>
      <c r="D78" t="s">
        <v>1224</v>
      </c>
      <c r="F78" t="s">
        <v>37</v>
      </c>
      <c r="H78" t="s">
        <v>48</v>
      </c>
    </row>
    <row r="79" spans="1:8" ht="15" customHeight="1">
      <c r="B79" s="71">
        <v>46101</v>
      </c>
      <c r="C79" t="s">
        <v>431</v>
      </c>
      <c r="D79" t="s">
        <v>1224</v>
      </c>
      <c r="F79" t="s">
        <v>37</v>
      </c>
      <c r="H79" t="s">
        <v>431</v>
      </c>
    </row>
    <row r="80" spans="1:8" ht="15" customHeight="1">
      <c r="B80" s="71">
        <v>46101</v>
      </c>
      <c r="C80" t="s">
        <v>412</v>
      </c>
      <c r="D80" t="s">
        <v>1224</v>
      </c>
      <c r="F80" t="s">
        <v>33</v>
      </c>
      <c r="H80" t="s">
        <v>412</v>
      </c>
    </row>
    <row r="81" spans="1:8" ht="15" customHeight="1">
      <c r="B81" s="71">
        <v>46101</v>
      </c>
      <c r="C81" t="s">
        <v>644</v>
      </c>
      <c r="D81" t="s">
        <v>1224</v>
      </c>
      <c r="H81" t="s">
        <v>644</v>
      </c>
    </row>
    <row r="82" spans="1:8" ht="15" customHeight="1">
      <c r="A82">
        <v>18400</v>
      </c>
      <c r="B82" s="71">
        <v>46104</v>
      </c>
      <c r="C82" t="s">
        <v>1249</v>
      </c>
      <c r="D82" t="s">
        <v>1224</v>
      </c>
      <c r="E82" t="s">
        <v>1240</v>
      </c>
      <c r="F82" t="s">
        <v>37</v>
      </c>
      <c r="H82" t="s">
        <v>1249</v>
      </c>
    </row>
    <row r="83" spans="1:8" ht="15" customHeight="1">
      <c r="B83" s="71">
        <v>46104</v>
      </c>
      <c r="C83" t="s">
        <v>208</v>
      </c>
      <c r="D83" t="s">
        <v>1224</v>
      </c>
      <c r="E83" t="s">
        <v>492</v>
      </c>
      <c r="F83" t="s">
        <v>33</v>
      </c>
      <c r="H83" t="s">
        <v>208</v>
      </c>
    </row>
    <row r="84" spans="1:8" ht="15" customHeight="1">
      <c r="B84" s="71">
        <v>46104</v>
      </c>
      <c r="C84" t="s">
        <v>421</v>
      </c>
      <c r="D84" t="s">
        <v>1224</v>
      </c>
      <c r="F84" t="s">
        <v>37</v>
      </c>
      <c r="H84" t="s">
        <v>421</v>
      </c>
    </row>
    <row r="85" spans="1:8" ht="15" customHeight="1">
      <c r="B85" s="71">
        <v>46105</v>
      </c>
      <c r="C85" t="s">
        <v>313</v>
      </c>
      <c r="D85" t="s">
        <v>1224</v>
      </c>
      <c r="E85" t="s">
        <v>474</v>
      </c>
      <c r="F85" t="s">
        <v>703</v>
      </c>
      <c r="H85" t="s">
        <v>313</v>
      </c>
    </row>
    <row r="86" spans="1:8" ht="15" customHeight="1">
      <c r="B86" s="71">
        <v>46105</v>
      </c>
      <c r="C86" t="s">
        <v>346</v>
      </c>
      <c r="D86" t="s">
        <v>1224</v>
      </c>
      <c r="E86" t="s">
        <v>474</v>
      </c>
      <c r="F86" t="s">
        <v>15</v>
      </c>
      <c r="H86" t="s">
        <v>346</v>
      </c>
    </row>
    <row r="87" spans="1:8" ht="15" customHeight="1">
      <c r="B87" s="71">
        <v>46105</v>
      </c>
      <c r="C87" t="s">
        <v>324</v>
      </c>
      <c r="D87" t="s">
        <v>1224</v>
      </c>
      <c r="E87" t="s">
        <v>474</v>
      </c>
      <c r="F87" t="s">
        <v>327</v>
      </c>
      <c r="H87" t="s">
        <v>324</v>
      </c>
    </row>
    <row r="88" spans="1:8" ht="15" customHeight="1">
      <c r="B88" s="71">
        <v>46105</v>
      </c>
      <c r="C88" t="s">
        <v>235</v>
      </c>
      <c r="D88" t="s">
        <v>1224</v>
      </c>
      <c r="E88" t="s">
        <v>106</v>
      </c>
      <c r="F88" t="s">
        <v>33</v>
      </c>
      <c r="H88" t="s">
        <v>235</v>
      </c>
    </row>
    <row r="89" spans="1:8" ht="15" customHeight="1">
      <c r="B89" s="71">
        <v>46105</v>
      </c>
      <c r="C89" t="s">
        <v>253</v>
      </c>
      <c r="D89" t="s">
        <v>1224</v>
      </c>
      <c r="E89" t="s">
        <v>106</v>
      </c>
      <c r="F89" t="s">
        <v>33</v>
      </c>
      <c r="H89" t="s">
        <v>253</v>
      </c>
    </row>
    <row r="90" spans="1:8" ht="15" customHeight="1">
      <c r="B90" s="71">
        <v>46105</v>
      </c>
      <c r="C90" t="s">
        <v>32</v>
      </c>
      <c r="D90" t="s">
        <v>1224</v>
      </c>
      <c r="E90" t="s">
        <v>106</v>
      </c>
      <c r="F90" t="s">
        <v>33</v>
      </c>
      <c r="H90" t="s">
        <v>32</v>
      </c>
    </row>
    <row r="91" spans="1:8" ht="15" customHeight="1">
      <c r="B91" s="71">
        <v>46105</v>
      </c>
      <c r="C91" t="s">
        <v>171</v>
      </c>
      <c r="D91" t="s">
        <v>1224</v>
      </c>
      <c r="E91" t="s">
        <v>106</v>
      </c>
      <c r="F91" t="s">
        <v>33</v>
      </c>
      <c r="H91" t="s">
        <v>171</v>
      </c>
    </row>
    <row r="92" spans="1:8" ht="15" customHeight="1">
      <c r="A92">
        <v>18560</v>
      </c>
      <c r="B92" s="71">
        <v>46106</v>
      </c>
      <c r="C92" t="s">
        <v>1250</v>
      </c>
      <c r="D92" t="s">
        <v>1224</v>
      </c>
      <c r="F92" t="s">
        <v>37</v>
      </c>
      <c r="H92" t="s">
        <v>1250</v>
      </c>
    </row>
    <row r="93" spans="1:8" ht="15" customHeight="1">
      <c r="A93">
        <v>18561</v>
      </c>
      <c r="B93" s="71">
        <v>46106</v>
      </c>
      <c r="C93" t="s">
        <v>389</v>
      </c>
      <c r="D93" t="s">
        <v>1224</v>
      </c>
      <c r="F93" t="s">
        <v>1251</v>
      </c>
      <c r="H93" t="s">
        <v>389</v>
      </c>
    </row>
    <row r="94" spans="1:8" ht="15" customHeight="1">
      <c r="A94">
        <v>18570</v>
      </c>
      <c r="B94" s="71">
        <v>46111</v>
      </c>
      <c r="C94" t="s">
        <v>391</v>
      </c>
      <c r="D94" t="s">
        <v>1224</v>
      </c>
      <c r="E94" t="s">
        <v>1246</v>
      </c>
      <c r="F94" t="s">
        <v>1251</v>
      </c>
      <c r="H94" t="s">
        <v>391</v>
      </c>
    </row>
    <row r="95" spans="1:8" ht="15" customHeight="1">
      <c r="B95" s="71">
        <v>46111</v>
      </c>
      <c r="C95" t="s">
        <v>263</v>
      </c>
      <c r="D95" t="s">
        <v>1224</v>
      </c>
      <c r="F95" t="s">
        <v>37</v>
      </c>
      <c r="H95" t="s">
        <v>263</v>
      </c>
    </row>
    <row r="96" spans="1:8" ht="15" customHeight="1">
      <c r="B96" s="71">
        <v>46113</v>
      </c>
      <c r="C96" t="s">
        <v>12</v>
      </c>
      <c r="D96" t="s">
        <v>1224</v>
      </c>
      <c r="F96" t="s">
        <v>37</v>
      </c>
      <c r="H96" t="s">
        <v>12</v>
      </c>
    </row>
    <row r="97" spans="1:8" ht="15" customHeight="1">
      <c r="B97" s="71">
        <v>46118</v>
      </c>
      <c r="C97" t="s">
        <v>473</v>
      </c>
      <c r="D97" t="s">
        <v>1224</v>
      </c>
      <c r="F97" t="s">
        <v>37</v>
      </c>
      <c r="H97" t="s">
        <v>473</v>
      </c>
    </row>
    <row r="98" spans="1:8" ht="15" customHeight="1">
      <c r="B98" s="71">
        <v>46118</v>
      </c>
      <c r="C98" t="s">
        <v>589</v>
      </c>
      <c r="D98" t="s">
        <v>1224</v>
      </c>
      <c r="F98" t="s">
        <v>37</v>
      </c>
      <c r="H98" t="s">
        <v>589</v>
      </c>
    </row>
    <row r="99" spans="1:8" ht="15" customHeight="1">
      <c r="B99" s="71">
        <v>46118</v>
      </c>
      <c r="C99" t="s">
        <v>615</v>
      </c>
      <c r="D99" t="s">
        <v>1224</v>
      </c>
      <c r="F99" t="s">
        <v>37</v>
      </c>
      <c r="H99" t="s">
        <v>615</v>
      </c>
    </row>
    <row r="100" spans="1:8" ht="15" customHeight="1">
      <c r="B100" s="71">
        <v>46118</v>
      </c>
      <c r="C100" t="s">
        <v>514</v>
      </c>
      <c r="D100" t="s">
        <v>1224</v>
      </c>
      <c r="F100" t="s">
        <v>37</v>
      </c>
      <c r="H100" t="s">
        <v>514</v>
      </c>
    </row>
    <row r="101" spans="1:8" ht="15" customHeight="1">
      <c r="B101" s="71">
        <v>46118</v>
      </c>
      <c r="C101" t="s">
        <v>641</v>
      </c>
      <c r="D101" t="s">
        <v>1224</v>
      </c>
      <c r="F101" t="s">
        <v>37</v>
      </c>
      <c r="H101" t="s">
        <v>641</v>
      </c>
    </row>
    <row r="102" spans="1:8" ht="15" customHeight="1">
      <c r="A102">
        <v>18585</v>
      </c>
      <c r="B102" s="71">
        <v>46118</v>
      </c>
      <c r="C102" t="s">
        <v>611</v>
      </c>
      <c r="D102" t="s">
        <v>1224</v>
      </c>
      <c r="E102" t="s">
        <v>1240</v>
      </c>
      <c r="F102" t="s">
        <v>1251</v>
      </c>
      <c r="H102" t="s">
        <v>611</v>
      </c>
    </row>
    <row r="103" spans="1:8" ht="15" customHeight="1">
      <c r="B103" s="71">
        <v>46118</v>
      </c>
      <c r="C103" t="s">
        <v>625</v>
      </c>
      <c r="D103" t="s">
        <v>1224</v>
      </c>
      <c r="F103" t="s">
        <v>37</v>
      </c>
      <c r="H103" t="s">
        <v>625</v>
      </c>
    </row>
    <row r="104" spans="1:8" ht="15" customHeight="1">
      <c r="B104" s="71">
        <v>46118</v>
      </c>
      <c r="C104" t="s">
        <v>646</v>
      </c>
      <c r="D104" t="s">
        <v>1224</v>
      </c>
      <c r="H104" t="s">
        <v>646</v>
      </c>
    </row>
    <row r="105" spans="1:8" ht="15" customHeight="1">
      <c r="B105" s="71">
        <v>46119</v>
      </c>
      <c r="C105" t="s">
        <v>631</v>
      </c>
      <c r="D105" t="s">
        <v>1224</v>
      </c>
      <c r="F105" t="s">
        <v>703</v>
      </c>
      <c r="H105" t="s">
        <v>631</v>
      </c>
    </row>
    <row r="106" spans="1:8" ht="15" customHeight="1">
      <c r="A106">
        <v>18589</v>
      </c>
      <c r="B106" s="71">
        <v>46119</v>
      </c>
      <c r="C106" t="s">
        <v>507</v>
      </c>
      <c r="D106" t="s">
        <v>1224</v>
      </c>
      <c r="E106" t="s">
        <v>1252</v>
      </c>
      <c r="F106" t="s">
        <v>1251</v>
      </c>
      <c r="H106" t="s">
        <v>507</v>
      </c>
    </row>
    <row r="107" spans="1:8" ht="15" customHeight="1">
      <c r="B107" s="71">
        <v>46119</v>
      </c>
      <c r="C107" t="s">
        <v>628</v>
      </c>
      <c r="D107" t="s">
        <v>1224</v>
      </c>
      <c r="F107" t="s">
        <v>37</v>
      </c>
      <c r="H107" t="s">
        <v>628</v>
      </c>
    </row>
    <row r="108" spans="1:8" ht="15" customHeight="1">
      <c r="B108" s="71">
        <v>46120</v>
      </c>
      <c r="C108" t="s">
        <v>281</v>
      </c>
      <c r="D108" t="s">
        <v>1224</v>
      </c>
      <c r="F108" t="s">
        <v>37</v>
      </c>
      <c r="H108" t="s">
        <v>281</v>
      </c>
    </row>
    <row r="109" spans="1:8" ht="15" customHeight="1">
      <c r="B109" s="71">
        <v>46121</v>
      </c>
      <c r="C109" t="s">
        <v>122</v>
      </c>
      <c r="D109" t="s">
        <v>1224</v>
      </c>
      <c r="F109" t="s">
        <v>37</v>
      </c>
      <c r="H109" t="s">
        <v>122</v>
      </c>
    </row>
    <row r="110" spans="1:8" ht="15" customHeight="1">
      <c r="B110" s="71">
        <v>46121</v>
      </c>
      <c r="C110" t="s">
        <v>202</v>
      </c>
      <c r="D110" t="s">
        <v>1224</v>
      </c>
      <c r="F110" t="s">
        <v>37</v>
      </c>
      <c r="H110" t="s">
        <v>202</v>
      </c>
    </row>
    <row r="111" spans="1:8" ht="15" customHeight="1">
      <c r="A111">
        <v>18592</v>
      </c>
      <c r="B111" s="71">
        <v>46125</v>
      </c>
      <c r="C111" t="s">
        <v>637</v>
      </c>
      <c r="D111" t="s">
        <v>1224</v>
      </c>
      <c r="F111" t="s">
        <v>37</v>
      </c>
      <c r="H111" t="s">
        <v>637</v>
      </c>
    </row>
    <row r="112" spans="1:8" ht="15" customHeight="1">
      <c r="A112">
        <v>18908</v>
      </c>
      <c r="B112" s="71">
        <v>46126</v>
      </c>
      <c r="C112" t="s">
        <v>641</v>
      </c>
      <c r="D112" t="s">
        <v>1224</v>
      </c>
      <c r="E112" t="s">
        <v>497</v>
      </c>
      <c r="F112" t="s">
        <v>37</v>
      </c>
      <c r="H112" t="s">
        <v>641</v>
      </c>
    </row>
    <row r="113" spans="1:8" ht="15" customHeight="1">
      <c r="A113">
        <v>18912</v>
      </c>
      <c r="B113" s="71">
        <v>46126</v>
      </c>
      <c r="C113" t="s">
        <v>500</v>
      </c>
      <c r="D113" t="s">
        <v>1224</v>
      </c>
      <c r="E113" t="s">
        <v>1229</v>
      </c>
      <c r="F113" t="s">
        <v>37</v>
      </c>
      <c r="H113" t="s">
        <v>500</v>
      </c>
    </row>
    <row r="114" spans="1:8" ht="15" customHeight="1">
      <c r="A114">
        <v>18943</v>
      </c>
      <c r="B114" s="71">
        <v>46129</v>
      </c>
      <c r="C114" t="s">
        <v>609</v>
      </c>
      <c r="D114" t="s">
        <v>1224</v>
      </c>
      <c r="E114" t="s">
        <v>1240</v>
      </c>
      <c r="F114" t="s">
        <v>37</v>
      </c>
      <c r="H114" t="s">
        <v>609</v>
      </c>
    </row>
    <row r="115" spans="1:8" ht="15" customHeight="1">
      <c r="A115">
        <v>18945</v>
      </c>
      <c r="B115" s="71">
        <v>46129</v>
      </c>
      <c r="C115" t="s">
        <v>104</v>
      </c>
      <c r="D115" t="s">
        <v>1224</v>
      </c>
      <c r="E115" t="s">
        <v>1246</v>
      </c>
      <c r="F115" t="s">
        <v>37</v>
      </c>
      <c r="H115" t="s">
        <v>104</v>
      </c>
    </row>
    <row r="116" spans="1:8" ht="15" customHeight="1">
      <c r="B116" s="71">
        <v>46133</v>
      </c>
      <c r="C116" t="s">
        <v>360</v>
      </c>
      <c r="D116" t="s">
        <v>1228</v>
      </c>
      <c r="F116" t="s">
        <v>63</v>
      </c>
      <c r="H116" t="s">
        <v>360</v>
      </c>
    </row>
    <row r="117" spans="1:8" ht="15" customHeight="1">
      <c r="B117" s="71">
        <v>46135</v>
      </c>
      <c r="C117" t="s">
        <v>544</v>
      </c>
      <c r="D117" t="s">
        <v>1224</v>
      </c>
      <c r="F117" t="s">
        <v>37</v>
      </c>
      <c r="H117" t="s">
        <v>544</v>
      </c>
    </row>
    <row r="118" spans="1:8" ht="15" customHeight="1">
      <c r="A118">
        <v>19007</v>
      </c>
      <c r="B118" s="71">
        <v>46132</v>
      </c>
      <c r="C118" t="s">
        <v>521</v>
      </c>
      <c r="D118" t="s">
        <v>1224</v>
      </c>
      <c r="E118" t="s">
        <v>1252</v>
      </c>
      <c r="F118" t="s">
        <v>37</v>
      </c>
      <c r="H118" t="s">
        <v>521</v>
      </c>
    </row>
    <row r="119" spans="1:8" ht="15" customHeight="1">
      <c r="A119">
        <v>19009</v>
      </c>
      <c r="B119" s="71">
        <v>46132</v>
      </c>
      <c r="C119" t="s">
        <v>615</v>
      </c>
      <c r="D119" t="s">
        <v>1224</v>
      </c>
      <c r="E119" t="s">
        <v>1247</v>
      </c>
      <c r="F119" t="s">
        <v>33</v>
      </c>
      <c r="H119" t="s">
        <v>615</v>
      </c>
    </row>
    <row r="120" spans="1:8" ht="15" customHeight="1">
      <c r="A120">
        <v>19009</v>
      </c>
      <c r="B120" s="71">
        <v>46132</v>
      </c>
      <c r="C120" t="s">
        <v>512</v>
      </c>
      <c r="D120" t="s">
        <v>1224</v>
      </c>
      <c r="E120" t="s">
        <v>1247</v>
      </c>
      <c r="F120" t="s">
        <v>33</v>
      </c>
      <c r="H120" t="s">
        <v>512</v>
      </c>
    </row>
    <row r="121" spans="1:8" ht="15" customHeight="1">
      <c r="A121">
        <v>19020</v>
      </c>
      <c r="B121" s="71">
        <v>46132</v>
      </c>
      <c r="C121" t="s">
        <v>412</v>
      </c>
      <c r="D121" t="s">
        <v>1224</v>
      </c>
      <c r="E121" t="s">
        <v>492</v>
      </c>
      <c r="F121" t="s">
        <v>33</v>
      </c>
      <c r="H121" t="s">
        <v>412</v>
      </c>
    </row>
    <row r="122" spans="1:8" ht="15" customHeight="1">
      <c r="A122">
        <v>19024</v>
      </c>
      <c r="B122" s="71">
        <v>46133</v>
      </c>
      <c r="C122" t="s">
        <v>631</v>
      </c>
      <c r="D122" t="s">
        <v>1224</v>
      </c>
      <c r="E122" t="s">
        <v>1240</v>
      </c>
      <c r="F122" t="s">
        <v>37</v>
      </c>
      <c r="H122" t="s">
        <v>631</v>
      </c>
    </row>
    <row r="123" spans="1:8" ht="15" customHeight="1">
      <c r="A123">
        <v>19032</v>
      </c>
      <c r="B123" s="71">
        <v>46134</v>
      </c>
      <c r="C123" t="s">
        <v>458</v>
      </c>
      <c r="D123" t="s">
        <v>1224</v>
      </c>
      <c r="E123" t="s">
        <v>474</v>
      </c>
      <c r="F123" t="s">
        <v>63</v>
      </c>
      <c r="H123" t="s">
        <v>458</v>
      </c>
    </row>
    <row r="124" spans="1:8" ht="15" customHeight="1">
      <c r="A124">
        <v>19045</v>
      </c>
      <c r="B124" s="71">
        <v>46134</v>
      </c>
      <c r="C124" t="s">
        <v>65</v>
      </c>
      <c r="D124" t="s">
        <v>1224</v>
      </c>
      <c r="E124" t="s">
        <v>1253</v>
      </c>
      <c r="F124" t="s">
        <v>33</v>
      </c>
      <c r="H124" t="s">
        <v>65</v>
      </c>
    </row>
    <row r="125" spans="1:8" ht="15" customHeight="1">
      <c r="A125">
        <v>19045</v>
      </c>
      <c r="B125" s="71">
        <v>46134</v>
      </c>
      <c r="C125" t="s">
        <v>383</v>
      </c>
      <c r="D125" t="s">
        <v>1224</v>
      </c>
      <c r="E125" t="s">
        <v>1253</v>
      </c>
      <c r="F125" t="s">
        <v>33</v>
      </c>
      <c r="H125" t="s">
        <v>383</v>
      </c>
    </row>
    <row r="126" spans="1:8" ht="15" customHeight="1">
      <c r="A126">
        <v>19558</v>
      </c>
      <c r="B126" s="71">
        <v>46146</v>
      </c>
      <c r="C126" t="s">
        <v>444</v>
      </c>
      <c r="D126" t="s">
        <v>1224</v>
      </c>
      <c r="E126" t="s">
        <v>1247</v>
      </c>
      <c r="F126" t="s">
        <v>33</v>
      </c>
      <c r="H126" t="s">
        <v>444</v>
      </c>
    </row>
    <row r="127" spans="1:8" ht="15" customHeight="1">
      <c r="A127">
        <v>19565</v>
      </c>
      <c r="B127" s="71">
        <v>46146</v>
      </c>
      <c r="C127" t="s">
        <v>122</v>
      </c>
      <c r="D127" t="s">
        <v>1224</v>
      </c>
      <c r="E127" t="s">
        <v>1252</v>
      </c>
      <c r="F127" t="s">
        <v>37</v>
      </c>
      <c r="H127" t="s">
        <v>122</v>
      </c>
    </row>
    <row r="128" spans="1:8" ht="15" customHeight="1">
      <c r="A128">
        <v>19568</v>
      </c>
      <c r="B128" s="71">
        <v>46146</v>
      </c>
      <c r="C128" t="s">
        <v>536</v>
      </c>
      <c r="D128" t="s">
        <v>1224</v>
      </c>
      <c r="E128" t="s">
        <v>1252</v>
      </c>
      <c r="F128" t="s">
        <v>37</v>
      </c>
      <c r="H128" t="s">
        <v>536</v>
      </c>
    </row>
    <row r="129" spans="1:8" ht="15" customHeight="1">
      <c r="A129">
        <v>19569</v>
      </c>
      <c r="B129" s="71">
        <v>46147</v>
      </c>
      <c r="C129" t="s">
        <v>368</v>
      </c>
      <c r="D129" t="s">
        <v>1224</v>
      </c>
      <c r="E129" t="s">
        <v>474</v>
      </c>
      <c r="F129" t="s">
        <v>37</v>
      </c>
      <c r="H129" t="s">
        <v>368</v>
      </c>
    </row>
    <row r="130" spans="1:8" ht="15" customHeight="1">
      <c r="A130">
        <v>19584</v>
      </c>
      <c r="B130" s="71">
        <v>46147</v>
      </c>
      <c r="C130" t="s">
        <v>462</v>
      </c>
      <c r="D130" t="s">
        <v>1224</v>
      </c>
      <c r="E130" t="s">
        <v>1252</v>
      </c>
      <c r="F130" t="s">
        <v>37</v>
      </c>
      <c r="H130" t="s">
        <v>462</v>
      </c>
    </row>
    <row r="131" spans="1:8" ht="15" customHeight="1">
      <c r="A131">
        <v>19586</v>
      </c>
      <c r="B131" s="71">
        <v>46148</v>
      </c>
      <c r="C131" t="s">
        <v>454</v>
      </c>
      <c r="D131" t="s">
        <v>1224</v>
      </c>
      <c r="E131" t="s">
        <v>474</v>
      </c>
      <c r="F131" t="s">
        <v>15</v>
      </c>
      <c r="H131" t="s">
        <v>454</v>
      </c>
    </row>
    <row r="132" spans="1:8" ht="15" customHeight="1">
      <c r="A132">
        <v>19586</v>
      </c>
      <c r="B132" s="71">
        <v>46148</v>
      </c>
      <c r="C132" t="s">
        <v>359</v>
      </c>
      <c r="D132" t="s">
        <v>1224</v>
      </c>
      <c r="E132" t="s">
        <v>474</v>
      </c>
      <c r="F132" t="s">
        <v>15</v>
      </c>
      <c r="H132" t="s">
        <v>359</v>
      </c>
    </row>
    <row r="133" spans="1:8" ht="15" customHeight="1">
      <c r="A133">
        <v>19587</v>
      </c>
      <c r="B133" s="71">
        <v>46148</v>
      </c>
      <c r="C133" t="s">
        <v>301</v>
      </c>
      <c r="D133" t="s">
        <v>1224</v>
      </c>
      <c r="E133" t="s">
        <v>81</v>
      </c>
      <c r="F133" t="s">
        <v>33</v>
      </c>
      <c r="H133" t="s">
        <v>301</v>
      </c>
    </row>
    <row r="134" spans="1:8" ht="15" customHeight="1">
      <c r="A134">
        <v>19588</v>
      </c>
      <c r="B134" s="71">
        <v>46148</v>
      </c>
      <c r="C134" t="s">
        <v>107</v>
      </c>
      <c r="D134" t="s">
        <v>1224</v>
      </c>
      <c r="E134" t="s">
        <v>81</v>
      </c>
      <c r="F134" t="s">
        <v>33</v>
      </c>
      <c r="H134" t="s">
        <v>107</v>
      </c>
    </row>
    <row r="135" spans="1:8" ht="15" customHeight="1">
      <c r="A135">
        <v>19589</v>
      </c>
      <c r="B135" s="71">
        <v>46148</v>
      </c>
      <c r="C135" t="s">
        <v>338</v>
      </c>
      <c r="D135" t="s">
        <v>1224</v>
      </c>
      <c r="E135" t="s">
        <v>81</v>
      </c>
      <c r="F135" t="s">
        <v>33</v>
      </c>
      <c r="H135" t="s">
        <v>338</v>
      </c>
    </row>
    <row r="136" spans="1:8" ht="15" customHeight="1">
      <c r="A136">
        <v>19590</v>
      </c>
      <c r="B136" s="71">
        <v>46148</v>
      </c>
      <c r="C136" t="s">
        <v>352</v>
      </c>
      <c r="D136" t="s">
        <v>1224</v>
      </c>
      <c r="E136" t="s">
        <v>497</v>
      </c>
      <c r="H136" t="s">
        <v>352</v>
      </c>
    </row>
    <row r="137" spans="1:8" ht="15" customHeight="1">
      <c r="A137">
        <v>19600</v>
      </c>
      <c r="B137" s="71">
        <v>46149</v>
      </c>
      <c r="C137" t="s">
        <v>293</v>
      </c>
      <c r="D137" t="s">
        <v>1224</v>
      </c>
      <c r="E137" t="s">
        <v>474</v>
      </c>
      <c r="F137" t="s">
        <v>23</v>
      </c>
      <c r="H137" t="s">
        <v>293</v>
      </c>
    </row>
    <row r="138" spans="1:8" ht="15" customHeight="1">
      <c r="A138">
        <v>19133</v>
      </c>
      <c r="B138" s="71">
        <v>46153</v>
      </c>
      <c r="C138" t="s">
        <v>136</v>
      </c>
      <c r="D138" t="s">
        <v>1224</v>
      </c>
      <c r="E138" t="s">
        <v>1247</v>
      </c>
      <c r="F138" t="s">
        <v>33</v>
      </c>
      <c r="H138" t="s">
        <v>136</v>
      </c>
    </row>
    <row r="139" spans="1:8" ht="15" customHeight="1">
      <c r="A139">
        <v>19138</v>
      </c>
      <c r="B139" s="71">
        <v>46153</v>
      </c>
      <c r="C139" t="s">
        <v>152</v>
      </c>
      <c r="D139" t="s">
        <v>1224</v>
      </c>
      <c r="E139" t="s">
        <v>1252</v>
      </c>
      <c r="F139" t="s">
        <v>37</v>
      </c>
      <c r="H139" t="s">
        <v>152</v>
      </c>
    </row>
    <row r="140" spans="1:8" ht="15" customHeight="1">
      <c r="A140">
        <v>19144</v>
      </c>
      <c r="B140" s="71">
        <v>46153</v>
      </c>
      <c r="C140" t="s">
        <v>458</v>
      </c>
      <c r="D140" t="s">
        <v>1224</v>
      </c>
      <c r="E140" t="s">
        <v>321</v>
      </c>
      <c r="F140" t="s">
        <v>33</v>
      </c>
      <c r="H140" t="s">
        <v>458</v>
      </c>
    </row>
    <row r="141" spans="1:8" ht="15" customHeight="1">
      <c r="B141" s="71">
        <v>46125</v>
      </c>
      <c r="C141" t="s">
        <v>19</v>
      </c>
      <c r="D141" t="s">
        <v>1224</v>
      </c>
      <c r="H141" t="s">
        <v>19</v>
      </c>
    </row>
    <row r="142" spans="1:8" ht="15" customHeight="1">
      <c r="B142" s="71">
        <v>46044</v>
      </c>
      <c r="C142" t="s">
        <v>35</v>
      </c>
      <c r="D142" t="s">
        <v>1224</v>
      </c>
      <c r="H142" t="s">
        <v>35</v>
      </c>
    </row>
    <row r="143" spans="1:8" ht="15" customHeight="1">
      <c r="B143" s="71">
        <v>46169</v>
      </c>
      <c r="C143" t="s">
        <v>128</v>
      </c>
      <c r="D143" t="s">
        <v>1224</v>
      </c>
      <c r="F143" t="s">
        <v>15</v>
      </c>
      <c r="H143" t="s">
        <v>128</v>
      </c>
    </row>
    <row r="144" spans="1:8" ht="15" customHeight="1">
      <c r="B144" s="71">
        <v>46169</v>
      </c>
      <c r="C144" t="s">
        <v>263</v>
      </c>
      <c r="D144" t="s">
        <v>1224</v>
      </c>
      <c r="F144" t="s">
        <v>327</v>
      </c>
      <c r="H144" t="s">
        <v>263</v>
      </c>
    </row>
    <row r="145" spans="1:8" ht="15" customHeight="1">
      <c r="B145" s="71">
        <v>46162</v>
      </c>
      <c r="C145" t="s">
        <v>60</v>
      </c>
      <c r="D145" t="s">
        <v>1224</v>
      </c>
      <c r="F145" t="s">
        <v>15</v>
      </c>
      <c r="H145" t="s">
        <v>60</v>
      </c>
    </row>
    <row r="146" spans="1:8" ht="15" customHeight="1">
      <c r="A146">
        <v>19215</v>
      </c>
      <c r="B146" s="71">
        <v>46155</v>
      </c>
      <c r="C146" t="s">
        <v>138</v>
      </c>
      <c r="D146" t="s">
        <v>1224</v>
      </c>
      <c r="F146" t="s">
        <v>33</v>
      </c>
      <c r="H146" t="s">
        <v>138</v>
      </c>
    </row>
    <row r="147" spans="1:8" ht="15" customHeight="1">
      <c r="A147">
        <v>19215</v>
      </c>
      <c r="B147" s="71">
        <v>46155</v>
      </c>
      <c r="C147" t="s">
        <v>141</v>
      </c>
      <c r="D147" t="s">
        <v>1224</v>
      </c>
      <c r="F147" t="s">
        <v>33</v>
      </c>
      <c r="H147" t="s">
        <v>141</v>
      </c>
    </row>
    <row r="148" spans="1:8" ht="15" customHeight="1">
      <c r="A148">
        <v>19232</v>
      </c>
      <c r="B148" s="71">
        <v>46157</v>
      </c>
      <c r="C148" t="s">
        <v>91</v>
      </c>
      <c r="D148" t="s">
        <v>1224</v>
      </c>
      <c r="F148" t="s">
        <v>63</v>
      </c>
      <c r="H148" t="s">
        <v>91</v>
      </c>
    </row>
    <row r="149" spans="1:8" ht="15" customHeight="1">
      <c r="A149">
        <v>19302</v>
      </c>
      <c r="B149" s="71">
        <v>46167</v>
      </c>
      <c r="C149" t="s">
        <v>546</v>
      </c>
      <c r="D149" t="s">
        <v>1224</v>
      </c>
      <c r="F149" t="s">
        <v>37</v>
      </c>
      <c r="H149" t="s">
        <v>546</v>
      </c>
    </row>
    <row r="150" spans="1:8" ht="15" customHeight="1">
      <c r="A150">
        <v>19307</v>
      </c>
      <c r="B150" s="71">
        <v>46167</v>
      </c>
      <c r="C150" t="s">
        <v>60</v>
      </c>
      <c r="D150" t="s">
        <v>1224</v>
      </c>
      <c r="H150" t="s">
        <v>60</v>
      </c>
    </row>
    <row r="151" spans="1:8" ht="15" customHeight="1">
      <c r="A151">
        <v>19312</v>
      </c>
      <c r="B151" s="71">
        <v>46168</v>
      </c>
      <c r="C151" t="s">
        <v>29</v>
      </c>
      <c r="D151" t="s">
        <v>1224</v>
      </c>
      <c r="F151" t="s">
        <v>703</v>
      </c>
      <c r="H151" t="s">
        <v>29</v>
      </c>
    </row>
    <row r="152" spans="1:8" ht="15" customHeight="1">
      <c r="A152">
        <v>19332</v>
      </c>
      <c r="B152" s="71">
        <v>46169</v>
      </c>
      <c r="C152" t="s">
        <v>263</v>
      </c>
      <c r="D152" t="s">
        <v>1224</v>
      </c>
      <c r="F152" t="s">
        <v>327</v>
      </c>
      <c r="H152" t="s">
        <v>263</v>
      </c>
    </row>
    <row r="153" spans="1:8" ht="15" customHeight="1">
      <c r="A153">
        <v>19322</v>
      </c>
      <c r="B153" s="71">
        <v>46168</v>
      </c>
      <c r="C153" t="s">
        <v>551</v>
      </c>
      <c r="D153" t="s">
        <v>1224</v>
      </c>
      <c r="F153" t="s">
        <v>37</v>
      </c>
      <c r="H153" t="s">
        <v>551</v>
      </c>
    </row>
    <row r="154" spans="1:8" ht="15" customHeight="1">
      <c r="A154">
        <v>19252</v>
      </c>
      <c r="B154" s="71">
        <v>46160</v>
      </c>
      <c r="C154" t="s">
        <v>211</v>
      </c>
      <c r="D154" t="s">
        <v>1224</v>
      </c>
      <c r="F154" t="s">
        <v>37</v>
      </c>
      <c r="H154" t="s">
        <v>211</v>
      </c>
    </row>
    <row r="155" spans="1:8" ht="15" customHeight="1">
      <c r="A155" s="86">
        <v>19255</v>
      </c>
      <c r="B155" s="71">
        <v>46160</v>
      </c>
      <c r="C155" t="s">
        <v>652</v>
      </c>
      <c r="D155" t="s">
        <v>1224</v>
      </c>
      <c r="F155" t="s">
        <v>37</v>
      </c>
      <c r="H155" t="s">
        <v>652</v>
      </c>
    </row>
    <row r="156" spans="1:8" ht="15" customHeight="1">
      <c r="A156">
        <v>19258</v>
      </c>
      <c r="B156" s="71">
        <v>46161</v>
      </c>
      <c r="C156" t="s">
        <v>169</v>
      </c>
      <c r="D156" t="s">
        <v>1224</v>
      </c>
      <c r="F156" t="s">
        <v>1254</v>
      </c>
      <c r="H156" t="s">
        <v>169</v>
      </c>
    </row>
    <row r="157" spans="1:8" ht="15" customHeight="1">
      <c r="A157">
        <v>19259</v>
      </c>
      <c r="B157" s="71">
        <v>46161</v>
      </c>
      <c r="C157" t="s">
        <v>466</v>
      </c>
      <c r="D157" t="s">
        <v>1224</v>
      </c>
      <c r="F157" t="s">
        <v>37</v>
      </c>
      <c r="H157" t="s">
        <v>466</v>
      </c>
    </row>
    <row r="158" spans="1:8" ht="15" customHeight="1">
      <c r="A158">
        <v>19265</v>
      </c>
      <c r="B158" s="71">
        <v>46161</v>
      </c>
      <c r="C158" t="s">
        <v>79</v>
      </c>
      <c r="D158" t="s">
        <v>1224</v>
      </c>
      <c r="F158" t="s">
        <v>37</v>
      </c>
      <c r="H158" t="s">
        <v>79</v>
      </c>
    </row>
    <row r="159" spans="1:8" ht="15" customHeight="1">
      <c r="A159">
        <v>19268</v>
      </c>
      <c r="B159" s="71">
        <v>46161</v>
      </c>
      <c r="C159" t="s">
        <v>307</v>
      </c>
      <c r="D159" t="s">
        <v>1224</v>
      </c>
      <c r="F159" t="s">
        <v>37</v>
      </c>
      <c r="H159" t="s">
        <v>307</v>
      </c>
    </row>
    <row r="160" spans="1:8" ht="15" customHeight="1">
      <c r="A160">
        <v>19274</v>
      </c>
      <c r="B160" s="71">
        <v>46162</v>
      </c>
      <c r="C160" t="s">
        <v>649</v>
      </c>
      <c r="D160" t="s">
        <v>1224</v>
      </c>
      <c r="F160" t="s">
        <v>37</v>
      </c>
      <c r="H160" t="s">
        <v>649</v>
      </c>
    </row>
    <row r="161" spans="1:8" ht="15" customHeight="1">
      <c r="A161">
        <v>19276</v>
      </c>
      <c r="B161" s="71">
        <v>46162</v>
      </c>
      <c r="C161" t="s">
        <v>514</v>
      </c>
      <c r="D161" t="s">
        <v>1224</v>
      </c>
      <c r="F161" t="s">
        <v>37</v>
      </c>
      <c r="H161" t="s">
        <v>514</v>
      </c>
    </row>
    <row r="162" spans="1:8" ht="15" customHeight="1">
      <c r="A162">
        <v>19289</v>
      </c>
      <c r="B162" s="71">
        <v>46167</v>
      </c>
      <c r="C162" t="s">
        <v>60</v>
      </c>
      <c r="D162" t="s">
        <v>1255</v>
      </c>
      <c r="F162" t="s">
        <v>15</v>
      </c>
      <c r="H162" t="s">
        <v>60</v>
      </c>
    </row>
    <row r="163" spans="1:8" ht="15" customHeight="1">
      <c r="A163">
        <v>19290</v>
      </c>
      <c r="B163" s="71">
        <v>46167</v>
      </c>
      <c r="C163" t="s">
        <v>519</v>
      </c>
      <c r="D163" t="s">
        <v>1224</v>
      </c>
      <c r="F163" t="s">
        <v>37</v>
      </c>
      <c r="H163" t="s">
        <v>519</v>
      </c>
    </row>
    <row r="164" spans="1:8" ht="15" customHeight="1">
      <c r="A164">
        <v>19427</v>
      </c>
      <c r="B164" s="71">
        <v>46178</v>
      </c>
      <c r="C164" t="s">
        <v>542</v>
      </c>
      <c r="D164" t="s">
        <v>1224</v>
      </c>
      <c r="F164" t="s">
        <v>37</v>
      </c>
      <c r="H164" t="s">
        <v>542</v>
      </c>
    </row>
    <row r="165" spans="1:8" ht="15" customHeight="1">
      <c r="A165">
        <v>19431</v>
      </c>
      <c r="B165" s="71">
        <v>46181</v>
      </c>
      <c r="C165" t="s">
        <v>646</v>
      </c>
      <c r="D165" t="s">
        <v>1224</v>
      </c>
      <c r="F165" t="s">
        <v>37</v>
      </c>
      <c r="H165" t="s">
        <v>646</v>
      </c>
    </row>
    <row r="166" spans="1:8" ht="15" customHeight="1">
      <c r="A166">
        <v>19436</v>
      </c>
      <c r="B166" s="71">
        <v>46181</v>
      </c>
      <c r="C166" t="s">
        <v>169</v>
      </c>
      <c r="D166" t="s">
        <v>1224</v>
      </c>
      <c r="F166" t="s">
        <v>703</v>
      </c>
      <c r="H166" t="s">
        <v>169</v>
      </c>
    </row>
    <row r="167" spans="1:8" ht="15" customHeight="1">
      <c r="A167">
        <v>19438</v>
      </c>
      <c r="B167" s="71">
        <v>46179</v>
      </c>
      <c r="C167" t="s">
        <v>36</v>
      </c>
      <c r="D167" t="s">
        <v>1224</v>
      </c>
      <c r="H167" t="s">
        <v>36</v>
      </c>
    </row>
    <row r="168" spans="1:8" ht="15" customHeight="1">
      <c r="A168" s="86">
        <v>19442</v>
      </c>
      <c r="B168" s="71">
        <v>46182</v>
      </c>
      <c r="C168" t="s">
        <v>500</v>
      </c>
      <c r="D168" t="s">
        <v>1224</v>
      </c>
      <c r="F168" t="s">
        <v>37</v>
      </c>
      <c r="H168" t="s">
        <v>500</v>
      </c>
    </row>
    <row r="169" spans="1:8" ht="15" customHeight="1">
      <c r="A169">
        <v>19369</v>
      </c>
      <c r="B169" s="71">
        <v>46174</v>
      </c>
      <c r="C169" t="s">
        <v>19</v>
      </c>
      <c r="D169" t="s">
        <v>1224</v>
      </c>
      <c r="F169" t="s">
        <v>37</v>
      </c>
      <c r="H169" t="s">
        <v>19</v>
      </c>
    </row>
    <row r="170" spans="1:8" ht="15" customHeight="1">
      <c r="A170">
        <v>19371</v>
      </c>
      <c r="B170" s="71">
        <v>46174</v>
      </c>
      <c r="C170" t="s">
        <v>122</v>
      </c>
      <c r="D170" t="s">
        <v>1224</v>
      </c>
      <c r="F170" t="s">
        <v>37</v>
      </c>
      <c r="H170" t="s">
        <v>122</v>
      </c>
    </row>
    <row r="171" spans="1:8" ht="15" customHeight="1">
      <c r="A171">
        <v>19372</v>
      </c>
      <c r="B171" s="71">
        <v>46174</v>
      </c>
      <c r="C171" t="s">
        <v>648</v>
      </c>
      <c r="D171" t="s">
        <v>1224</v>
      </c>
      <c r="F171" t="s">
        <v>37</v>
      </c>
      <c r="H171" t="s">
        <v>648</v>
      </c>
    </row>
    <row r="172" spans="1:8" ht="15" customHeight="1">
      <c r="A172">
        <v>19387</v>
      </c>
      <c r="B172" s="71">
        <v>46175</v>
      </c>
      <c r="C172" t="s">
        <v>249</v>
      </c>
      <c r="D172" t="s">
        <v>1224</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9" t="s">
        <v>1256</v>
      </c>
      <c r="B1" s="99"/>
      <c r="C1" s="99"/>
      <c r="D1" s="99"/>
      <c r="E1" s="99"/>
      <c r="F1" s="99"/>
      <c r="G1" s="76"/>
      <c r="H1" s="13"/>
      <c r="I1" s="13"/>
      <c r="J1" s="13"/>
      <c r="K1" s="13"/>
      <c r="L1" s="13"/>
      <c r="Y1" s="71"/>
    </row>
    <row r="2" spans="1:36">
      <c r="A2" s="99"/>
      <c r="B2" s="99"/>
      <c r="C2" s="99"/>
      <c r="D2" s="99"/>
      <c r="E2" s="99"/>
      <c r="F2" s="99"/>
      <c r="G2" s="76"/>
      <c r="H2" s="13"/>
      <c r="I2" s="13"/>
      <c r="J2" s="13"/>
      <c r="K2" s="13"/>
      <c r="L2" s="13"/>
      <c r="Y2" s="71"/>
    </row>
    <row r="3" spans="1:36">
      <c r="A3" s="14" t="s">
        <v>1</v>
      </c>
      <c r="B3" s="14" t="s">
        <v>2</v>
      </c>
      <c r="C3" s="14" t="s">
        <v>1257</v>
      </c>
      <c r="D3" s="14" t="s">
        <v>3</v>
      </c>
      <c r="E3" s="14" t="s">
        <v>4</v>
      </c>
      <c r="F3" s="15" t="s">
        <v>5</v>
      </c>
      <c r="G3" s="77" t="s">
        <v>6</v>
      </c>
      <c r="H3" s="14" t="s">
        <v>7</v>
      </c>
      <c r="I3" s="14" t="s">
        <v>9</v>
      </c>
      <c r="J3" s="14" t="s">
        <v>10</v>
      </c>
      <c r="K3" s="14" t="s">
        <v>11</v>
      </c>
      <c r="L3" s="14" t="s">
        <v>1258</v>
      </c>
      <c r="M3" s="74" t="s">
        <v>1259</v>
      </c>
      <c r="N3" s="74" t="s">
        <v>1260</v>
      </c>
      <c r="O3" s="74" t="s">
        <v>1261</v>
      </c>
      <c r="P3" s="15" t="s">
        <v>1262</v>
      </c>
      <c r="Q3" s="14" t="s">
        <v>1263</v>
      </c>
      <c r="R3" s="14" t="s">
        <v>1264</v>
      </c>
      <c r="S3" s="14" t="s">
        <v>1265</v>
      </c>
      <c r="T3" s="15" t="s">
        <v>1266</v>
      </c>
      <c r="U3" s="14" t="s">
        <v>1267</v>
      </c>
      <c r="V3" s="15" t="s">
        <v>1268</v>
      </c>
      <c r="W3" s="15" t="s">
        <v>1269</v>
      </c>
      <c r="X3" s="15" t="s">
        <v>1270</v>
      </c>
      <c r="Y3" s="52" t="s">
        <v>1271</v>
      </c>
      <c r="Z3" s="36" t="s">
        <v>1272</v>
      </c>
      <c r="AA3" s="37" t="s">
        <v>1273</v>
      </c>
      <c r="AB3" s="36" t="s">
        <v>1274</v>
      </c>
      <c r="AC3" s="38" t="s">
        <v>1275</v>
      </c>
      <c r="AD3" s="38" t="s">
        <v>1276</v>
      </c>
      <c r="AE3" s="38" t="s">
        <v>1277</v>
      </c>
      <c r="AF3" s="38" t="s">
        <v>1278</v>
      </c>
      <c r="AG3" s="38" t="s">
        <v>1279</v>
      </c>
      <c r="AH3" t="s">
        <v>1280</v>
      </c>
      <c r="AI3" t="s">
        <v>1281</v>
      </c>
      <c r="AJ3" t="s">
        <v>1282</v>
      </c>
    </row>
    <row r="4" spans="1:36" s="22" customFormat="1">
      <c r="A4" s="16" t="s">
        <v>12</v>
      </c>
      <c r="B4" s="16" t="s">
        <v>13</v>
      </c>
      <c r="C4" s="16" t="s">
        <v>1283</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1283</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1283</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1283</v>
      </c>
      <c r="D7" s="16" t="s">
        <v>21</v>
      </c>
      <c r="E7" s="17" t="s">
        <v>22</v>
      </c>
      <c r="F7" s="16">
        <v>2019</v>
      </c>
      <c r="G7" s="17" t="str">
        <f>IFERROR(_xlfn.XLOOKUP($A7,tblEquipos[Codigo],tblEquipos[Ubicacion],""),"")</f>
        <v>Emergencias Curico</v>
      </c>
      <c r="H7" s="16" t="s">
        <v>1284</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1283</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1283</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1283</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1283</v>
      </c>
      <c r="D11" s="16" t="s">
        <v>40</v>
      </c>
      <c r="E11" s="17">
        <v>7600</v>
      </c>
      <c r="F11" s="16">
        <v>2008</v>
      </c>
      <c r="G11" s="17" t="str">
        <f>IFERROR(_xlfn.XLOOKUP($A11,tblEquipos[Codigo],tblEquipos[Ubicacion],""),"")</f>
        <v>Palmucho</v>
      </c>
      <c r="H11" s="16" t="s">
        <v>1285</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1283</v>
      </c>
      <c r="D12" s="16" t="s">
        <v>44</v>
      </c>
      <c r="E12" s="17" t="s">
        <v>45</v>
      </c>
      <c r="F12" s="16">
        <v>2012</v>
      </c>
      <c r="G12" s="17" t="str">
        <f>IFERROR(_xlfn.XLOOKUP($A12,tblEquipos[Codigo],tblEquipos[Ubicacion],""),"")</f>
        <v>Palmucho</v>
      </c>
      <c r="H12" s="16" t="s">
        <v>1286</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1283</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1283</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1283</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1283</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1283</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1283</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1283</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1283</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1283</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100</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78</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1283</v>
      </c>
      <c r="D22" s="16" t="s">
        <v>44</v>
      </c>
      <c r="E22" s="17" t="s">
        <v>84</v>
      </c>
      <c r="F22" s="16">
        <v>2013</v>
      </c>
      <c r="G22" s="17" t="str">
        <f>IFERROR(_xlfn.XLOOKUP($A22,tblEquipos[Codigo],tblEquipos[Ubicacion],""),"")</f>
        <v>San Nicolas</v>
      </c>
      <c r="H22" s="16" t="s">
        <v>1287</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1283</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1283</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1283</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1283</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1283</v>
      </c>
      <c r="D27" s="16" t="s">
        <v>21</v>
      </c>
      <c r="E27" s="17" t="s">
        <v>87</v>
      </c>
      <c r="F27" s="16">
        <v>2024</v>
      </c>
      <c r="G27" s="17">
        <f>IFERROR(_xlfn.XLOOKUP($A27,tblEquipos[Codigo],tblEquipos[Ubicacion],""),"")</f>
        <v>0</v>
      </c>
      <c r="H27" s="16" t="s">
        <v>1288</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1283</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61</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159</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1283</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1283</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1283</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1283</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1283</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1283</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1283</v>
      </c>
      <c r="D35" s="16" t="s">
        <v>115</v>
      </c>
      <c r="E35" s="17" t="s">
        <v>116</v>
      </c>
      <c r="F35" s="16">
        <v>2021</v>
      </c>
      <c r="G35" s="17" t="str">
        <f>IFERROR(_xlfn.XLOOKUP($A35,tblEquipos[Codigo],tblEquipos[Ubicacion],""),"")</f>
        <v>Palmucho</v>
      </c>
      <c r="H35" s="16" t="s">
        <v>1289</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1283</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1283</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1283</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1283</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1283</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111</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1290</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1290</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1290</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1290</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1290</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1283</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1283</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1283</v>
      </c>
      <c r="D48" s="16" t="s">
        <v>109</v>
      </c>
      <c r="E48" s="17" t="s">
        <v>110</v>
      </c>
      <c r="F48" s="16">
        <v>2008</v>
      </c>
      <c r="G48" s="17" t="str">
        <f>IFERROR(_xlfn.XLOOKUP($A48,tblEquipos[Codigo],tblEquipos[Ubicacion],""),"")</f>
        <v>Cobquecura</v>
      </c>
      <c r="H48" s="16" t="s">
        <v>1291</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1283</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47571</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1283</v>
      </c>
      <c r="D50" s="16" t="s">
        <v>109</v>
      </c>
      <c r="E50" s="17" t="s">
        <v>110</v>
      </c>
      <c r="F50" s="16">
        <v>2008</v>
      </c>
      <c r="G50" s="17" t="str">
        <f>IFERROR(_xlfn.XLOOKUP($A50,tblEquipos[Codigo],tblEquipos[Ubicacion],""),"")</f>
        <v>Palmucho</v>
      </c>
      <c r="H50" s="16" t="s">
        <v>1292</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1283</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1283</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1283</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1283</v>
      </c>
      <c r="D54" s="16" t="s">
        <v>164</v>
      </c>
      <c r="E54" s="17" t="s">
        <v>165</v>
      </c>
      <c r="F54" s="16">
        <v>2010</v>
      </c>
      <c r="G54" s="17" t="str">
        <f>IFERROR(_xlfn.XLOOKUP($A54,tblEquipos[Codigo],tblEquipos[Ubicacion],""),"")</f>
        <v>Quirihue</v>
      </c>
      <c r="H54" s="16" t="s">
        <v>1293</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1283</v>
      </c>
      <c r="D55" s="16" t="s">
        <v>21</v>
      </c>
      <c r="E55" s="17" t="s">
        <v>87</v>
      </c>
      <c r="F55" s="16">
        <v>2020</v>
      </c>
      <c r="G55" s="17" t="str">
        <f>IFERROR(_xlfn.XLOOKUP($A55,tblEquipos[Codigo],tblEquipos[Ubicacion],""),"")</f>
        <v>Emergencias Curico</v>
      </c>
      <c r="H55" s="16" t="s">
        <v>1294</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1283</v>
      </c>
      <c r="D56" s="16" t="s">
        <v>21</v>
      </c>
      <c r="E56" s="17" t="s">
        <v>87</v>
      </c>
      <c r="F56" s="16">
        <v>2020</v>
      </c>
      <c r="G56" s="17" t="str">
        <f>IFERROR(_xlfn.XLOOKUP($A56,tblEquipos[Codigo],tblEquipos[Ubicacion],""),"")</f>
        <v>Taller</v>
      </c>
      <c r="H56" s="16" t="s">
        <v>1295</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1283</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1283</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1283</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1283</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1283</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1283</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1283</v>
      </c>
      <c r="D63" s="16" t="s">
        <v>54</v>
      </c>
      <c r="E63" s="17" t="s">
        <v>55</v>
      </c>
      <c r="F63" s="16">
        <v>2007</v>
      </c>
      <c r="G63" s="17" t="str">
        <f>IFERROR(_xlfn.XLOOKUP($A63,tblEquipos[Codigo],tblEquipos[Ubicacion],""),"")</f>
        <v>Palmucho</v>
      </c>
      <c r="H63" s="16" t="s">
        <v>1296</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1283</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1283</v>
      </c>
      <c r="D65" s="16" t="s">
        <v>44</v>
      </c>
      <c r="E65" s="17" t="s">
        <v>189</v>
      </c>
      <c r="F65" s="16">
        <v>2014</v>
      </c>
      <c r="G65" s="17" t="str">
        <f>IFERROR(_xlfn.XLOOKUP($A65,tblEquipos[Codigo],tblEquipos[Ubicacion],""),"")</f>
        <v>Emergencias Curico</v>
      </c>
      <c r="H65" s="16" t="s">
        <v>1297</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1283</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1290</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1290</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1290</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1290</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1290</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1290</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667</v>
      </c>
      <c r="B73" s="16" t="s">
        <v>197</v>
      </c>
      <c r="C73" s="16" t="s">
        <v>1290</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1290</v>
      </c>
      <c r="D74" s="16" t="s">
        <v>232</v>
      </c>
      <c r="E74" s="17" t="s">
        <v>233</v>
      </c>
      <c r="F74" s="16">
        <v>2016</v>
      </c>
      <c r="G74" s="17" t="str">
        <f>IFERROR(_xlfn.XLOOKUP($A74,tblEquipos[Codigo],tblEquipos[Ubicacion],""),"")</f>
        <v>Taller</v>
      </c>
      <c r="H74" s="16" t="s">
        <v>1298</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1290</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1290</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1290</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1290</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1290</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1290</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1290</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1290</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1290</v>
      </c>
      <c r="D83" s="16" t="s">
        <v>232</v>
      </c>
      <c r="E83" s="17" t="s">
        <v>240</v>
      </c>
      <c r="F83" s="16">
        <v>2010</v>
      </c>
      <c r="G83" s="17" t="str">
        <f>IFERROR(_xlfn.XLOOKUP($A83,tblEquipos[Codigo],tblEquipos[Ubicacion],""),"")</f>
        <v>San Nicolas</v>
      </c>
      <c r="H83" s="16" t="s">
        <v>1299</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1290</v>
      </c>
      <c r="D84" s="16" t="s">
        <v>232</v>
      </c>
      <c r="E84" s="17" t="s">
        <v>261</v>
      </c>
      <c r="F84" s="16">
        <v>2014</v>
      </c>
      <c r="G84" s="17" t="str">
        <f>IFERROR(_xlfn.XLOOKUP($A84,tblEquipos[Codigo],tblEquipos[Ubicacion],""),"")</f>
        <v>PALMUCHO</v>
      </c>
      <c r="H84" s="16" t="s">
        <v>1298</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1290</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1290</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1290</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1290</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1290</v>
      </c>
      <c r="D89" s="16" t="s">
        <v>265</v>
      </c>
      <c r="E89" s="17" t="s">
        <v>266</v>
      </c>
      <c r="F89" s="16">
        <v>2024</v>
      </c>
      <c r="G89" s="17" t="str">
        <f>IFERROR(_xlfn.XLOOKUP($A89,tblEquipos[Codigo],tblEquipos[Ubicacion],""),"")</f>
        <v>Emergencias Curico</v>
      </c>
      <c r="H89" s="16" t="s">
        <v>1300</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1290</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153</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1290</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1290</v>
      </c>
      <c r="D92" s="16" t="s">
        <v>298</v>
      </c>
      <c r="E92" s="17" t="s">
        <v>299</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133</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1290</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1290</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1290</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1290</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1290</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1290</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1290</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1290</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1290</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1290</v>
      </c>
      <c r="D102" s="16" t="s">
        <v>325</v>
      </c>
      <c r="E102" s="17" t="s">
        <v>331</v>
      </c>
      <c r="F102" s="16">
        <v>2013</v>
      </c>
      <c r="G102" s="17" t="str">
        <f>IFERROR(_xlfn.XLOOKUP($A102,tblEquipos[Codigo],tblEquipos[Ubicacion],""),"")</f>
        <v>Colbun</v>
      </c>
      <c r="H102" s="16" t="s">
        <v>1301</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1290</v>
      </c>
      <c r="D103" s="16" t="s">
        <v>275</v>
      </c>
      <c r="E103" s="17" t="s">
        <v>276</v>
      </c>
      <c r="F103" s="16">
        <v>2011</v>
      </c>
      <c r="G103" s="17" t="str">
        <f>IFERROR(_xlfn.XLOOKUP($A103,tblEquipos[Codigo],tblEquipos[Ubicacion],""),"")</f>
        <v>Palmucho</v>
      </c>
      <c r="H103" s="16" t="s">
        <v>1302</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1290</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1290</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1290</v>
      </c>
      <c r="D106" s="16" t="s">
        <v>308</v>
      </c>
      <c r="E106" s="17" t="s">
        <v>339</v>
      </c>
      <c r="F106" s="16">
        <v>2014</v>
      </c>
      <c r="G106" s="17" t="str">
        <f>IFERROR(_xlfn.XLOOKUP($A106,tblEquipos[Codigo],tblEquipos[Ubicacion],""),"")</f>
        <v>Palmucho</v>
      </c>
      <c r="H106" s="16" t="s">
        <v>1303</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1290</v>
      </c>
      <c r="D107" s="16" t="s">
        <v>314</v>
      </c>
      <c r="E107" s="17" t="s">
        <v>315</v>
      </c>
      <c r="F107" s="16">
        <v>2019</v>
      </c>
      <c r="G107" s="17" t="str">
        <f>IFERROR(_xlfn.XLOOKUP($A107,tblEquipos[Codigo],tblEquipos[Ubicacion],""),"")</f>
        <v>Quirihue</v>
      </c>
      <c r="H107" s="16" t="s">
        <v>1304</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1290</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1290</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1290</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1290</v>
      </c>
      <c r="D111" s="16" t="s">
        <v>353</v>
      </c>
      <c r="E111" s="17" t="s">
        <v>354</v>
      </c>
      <c r="F111" s="16">
        <v>1998</v>
      </c>
      <c r="G111" s="17" t="str">
        <f>IFERROR(_xlfn.XLOOKUP($A111,tblEquipos[Codigo],tblEquipos[Ubicacion],""),"")</f>
        <v>Villaseca</v>
      </c>
      <c r="H111" s="16" t="s">
        <v>1305</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1290</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1290</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1290</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1290</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1290</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1290</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1290</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1290</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1290</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1290</v>
      </c>
      <c r="D121" s="16" t="s">
        <v>378</v>
      </c>
      <c r="E121" s="17" t="s">
        <v>379</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1290</v>
      </c>
      <c r="D122" s="16" t="s">
        <v>381</v>
      </c>
      <c r="E122" s="17" t="s">
        <v>382</v>
      </c>
      <c r="F122" s="16">
        <v>2015</v>
      </c>
      <c r="G122" s="17" t="str">
        <f>IFERROR(_xlfn.XLOOKUP($A122,tblEquipos[Codigo],tblEquipos[Ubicacion],""),"")</f>
        <v>Palmucho</v>
      </c>
      <c r="H122" s="16" t="s">
        <v>1303</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1290</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1290</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1290</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1290</v>
      </c>
      <c r="D126" s="16" t="s">
        <v>378</v>
      </c>
      <c r="E126" s="17" t="s">
        <v>390</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391</v>
      </c>
      <c r="B127" s="16" t="s">
        <v>347</v>
      </c>
      <c r="C127" s="16" t="s">
        <v>1290</v>
      </c>
      <c r="D127" s="16" t="s">
        <v>378</v>
      </c>
      <c r="E127" s="17" t="s">
        <v>390</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392</v>
      </c>
      <c r="B128" s="16" t="s">
        <v>269</v>
      </c>
      <c r="C128" s="16" t="s">
        <v>1290</v>
      </c>
      <c r="D128" s="16" t="s">
        <v>325</v>
      </c>
      <c r="E128" s="17" t="s">
        <v>393</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395</v>
      </c>
      <c r="B129" s="16" t="s">
        <v>264</v>
      </c>
      <c r="C129" s="16" t="s">
        <v>1290</v>
      </c>
      <c r="D129" s="16" t="s">
        <v>270</v>
      </c>
      <c r="E129" s="17" t="s">
        <v>396</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397</v>
      </c>
      <c r="B130" s="16" t="s">
        <v>347</v>
      </c>
      <c r="C130" s="16" t="s">
        <v>1290</v>
      </c>
      <c r="D130" s="16" t="s">
        <v>302</v>
      </c>
      <c r="E130" s="17" t="s">
        <v>398</v>
      </c>
      <c r="F130" s="16">
        <v>2015</v>
      </c>
      <c r="G130" s="17" t="str">
        <f>IFERROR(_xlfn.XLOOKUP($A130,tblEquipos[Codigo],tblEquipos[Ubicacion],""),"")</f>
        <v>Emergencias Curico</v>
      </c>
      <c r="H130" s="16" t="s">
        <v>1306</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400</v>
      </c>
      <c r="B131" s="16" t="s">
        <v>347</v>
      </c>
      <c r="C131" s="16" t="s">
        <v>1290</v>
      </c>
      <c r="D131" s="16" t="s">
        <v>381</v>
      </c>
      <c r="E131" s="17" t="s">
        <v>401</v>
      </c>
      <c r="F131" s="16">
        <v>2015</v>
      </c>
      <c r="G131" s="17" t="str">
        <f>IFERROR(_xlfn.XLOOKUP($A131,tblEquipos[Codigo],tblEquipos[Ubicacion],""),"")</f>
        <v>Palmucho</v>
      </c>
      <c r="H131" s="16" t="s">
        <v>1307</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403</v>
      </c>
      <c r="B132" s="16" t="s">
        <v>269</v>
      </c>
      <c r="C132" s="16" t="s">
        <v>1290</v>
      </c>
      <c r="D132" s="16" t="s">
        <v>308</v>
      </c>
      <c r="E132" s="17" t="s">
        <v>404</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405</v>
      </c>
      <c r="B133" s="16" t="s">
        <v>406</v>
      </c>
      <c r="C133" s="16" t="s">
        <v>1290</v>
      </c>
      <c r="D133" s="16" t="s">
        <v>407</v>
      </c>
      <c r="E133" s="17" t="s">
        <v>408</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409</v>
      </c>
      <c r="B134" s="16" t="s">
        <v>269</v>
      </c>
      <c r="C134" s="16" t="s">
        <v>1290</v>
      </c>
      <c r="D134" s="16" t="s">
        <v>308</v>
      </c>
      <c r="E134" s="17" t="s">
        <v>410</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412</v>
      </c>
      <c r="B135" s="16" t="s">
        <v>347</v>
      </c>
      <c r="C135" s="16" t="s">
        <v>1290</v>
      </c>
      <c r="D135" s="16" t="s">
        <v>381</v>
      </c>
      <c r="E135" s="17" t="s">
        <v>401</v>
      </c>
      <c r="F135" s="16">
        <v>2019</v>
      </c>
      <c r="G135" s="17" t="str">
        <f>IFERROR(_xlfn.XLOOKUP($A135,tblEquipos[Codigo],tblEquipos[Ubicacion],""),"")</f>
        <v>Palmucho</v>
      </c>
      <c r="H135" s="16" t="s">
        <v>413</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414</v>
      </c>
      <c r="B136" s="16" t="s">
        <v>415</v>
      </c>
      <c r="C136" s="16" t="s">
        <v>1290</v>
      </c>
      <c r="D136" s="16" t="s">
        <v>416</v>
      </c>
      <c r="E136" s="17" t="s">
        <v>417</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418</v>
      </c>
      <c r="B137" s="16" t="s">
        <v>264</v>
      </c>
      <c r="C137" s="16" t="s">
        <v>1290</v>
      </c>
      <c r="D137" s="16" t="s">
        <v>314</v>
      </c>
      <c r="E137" s="17" t="s">
        <v>419</v>
      </c>
      <c r="F137" s="16">
        <v>2019</v>
      </c>
      <c r="G137" s="17" t="str">
        <f>IFERROR(_xlfn.XLOOKUP($A137,tblEquipos[Codigo],tblEquipos[Ubicacion],""),"")</f>
        <v>Palmucho</v>
      </c>
      <c r="H137" s="16" t="s">
        <v>1308</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421</v>
      </c>
      <c r="B138" s="16" t="s">
        <v>264</v>
      </c>
      <c r="C138" s="16" t="s">
        <v>1290</v>
      </c>
      <c r="D138" s="16" t="s">
        <v>314</v>
      </c>
      <c r="E138" s="17" t="s">
        <v>422</v>
      </c>
      <c r="F138" s="16">
        <v>2020</v>
      </c>
      <c r="G138" s="17" t="str">
        <f>IFERROR(_xlfn.XLOOKUP($A138,tblEquipos[Codigo],tblEquipos[Ubicacion],""),"")</f>
        <v>San Nicolas</v>
      </c>
      <c r="H138" s="16" t="s">
        <v>1309</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424</v>
      </c>
      <c r="B139" s="16" t="s">
        <v>264</v>
      </c>
      <c r="C139" s="16" t="s">
        <v>1290</v>
      </c>
      <c r="D139" s="16" t="s">
        <v>425</v>
      </c>
      <c r="E139" s="17" t="s">
        <v>426</v>
      </c>
      <c r="F139" s="16">
        <v>2019</v>
      </c>
      <c r="G139" s="17" t="str">
        <f>IFERROR(_xlfn.XLOOKUP($A139,tblEquipos[Codigo],tblEquipos[Ubicacion],""),"")</f>
        <v>Cobquecura</v>
      </c>
      <c r="H139" s="16" t="s">
        <v>1310</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428</v>
      </c>
      <c r="B140" s="16" t="s">
        <v>269</v>
      </c>
      <c r="C140" s="16" t="s">
        <v>1290</v>
      </c>
      <c r="D140" s="16" t="s">
        <v>302</v>
      </c>
      <c r="E140" s="17" t="s">
        <v>429</v>
      </c>
      <c r="F140" s="16">
        <v>2009</v>
      </c>
      <c r="G140" s="17" t="str">
        <f>IFERROR(_xlfn.XLOOKUP($A140,tblEquipos[Codigo],tblEquipos[Ubicacion],""),"")</f>
        <v>San Carlos</v>
      </c>
      <c r="H140" s="16" t="s">
        <v>1311</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431</v>
      </c>
      <c r="B141" s="16" t="s">
        <v>264</v>
      </c>
      <c r="C141" s="16" t="s">
        <v>1290</v>
      </c>
      <c r="D141" s="16" t="s">
        <v>425</v>
      </c>
      <c r="E141" s="17" t="s">
        <v>432</v>
      </c>
      <c r="F141" s="16">
        <v>2019</v>
      </c>
      <c r="G141" s="17" t="str">
        <f>IFERROR(_xlfn.XLOOKUP($A141,tblEquipos[Codigo],tblEquipos[Ubicacion],""),"")</f>
        <v>Colbun</v>
      </c>
      <c r="H141" s="16" t="s">
        <v>433</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434</v>
      </c>
      <c r="B142" s="16" t="s">
        <v>264</v>
      </c>
      <c r="C142" s="16" t="s">
        <v>1290</v>
      </c>
      <c r="D142" s="16" t="s">
        <v>425</v>
      </c>
      <c r="E142" s="17" t="s">
        <v>1312</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435</v>
      </c>
      <c r="B143" s="16" t="s">
        <v>269</v>
      </c>
      <c r="C143" s="16" t="s">
        <v>1290</v>
      </c>
      <c r="D143" s="16" t="s">
        <v>325</v>
      </c>
      <c r="E143" s="17" t="s">
        <v>331</v>
      </c>
      <c r="F143" s="16">
        <v>2012</v>
      </c>
      <c r="G143" s="17" t="str">
        <f>IFERROR(_xlfn.XLOOKUP($A143,tblEquipos[Codigo],tblEquipos[Ubicacion],""),"")</f>
        <v>Cobquecura</v>
      </c>
      <c r="H143" s="16" t="s">
        <v>1313</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437</v>
      </c>
      <c r="B144" s="16" t="s">
        <v>264</v>
      </c>
      <c r="C144" s="16" t="s">
        <v>1290</v>
      </c>
      <c r="D144" s="16" t="s">
        <v>302</v>
      </c>
      <c r="E144" s="17" t="s">
        <v>438</v>
      </c>
      <c r="F144" s="16">
        <v>2007</v>
      </c>
      <c r="G144" s="17" t="str">
        <f>IFERROR(_xlfn.XLOOKUP($A144,tblEquipos[Codigo],tblEquipos[Ubicacion],""),"")</f>
        <v>Taller</v>
      </c>
      <c r="H144" s="16" t="s">
        <v>439</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440</v>
      </c>
      <c r="B145" s="16" t="s">
        <v>269</v>
      </c>
      <c r="C145" s="16" t="s">
        <v>1290</v>
      </c>
      <c r="D145" s="16" t="s">
        <v>308</v>
      </c>
      <c r="E145" s="17" t="s">
        <v>363</v>
      </c>
      <c r="F145" s="16">
        <v>2013</v>
      </c>
      <c r="G145" s="17" t="str">
        <f>IFERROR(_xlfn.XLOOKUP($A145,tblEquipos[Codigo],tblEquipos[Ubicacion],""),"")</f>
        <v>TALLER CENTRAL</v>
      </c>
      <c r="H145" s="16" t="s">
        <v>638</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441</v>
      </c>
      <c r="B146" s="16" t="s">
        <v>284</v>
      </c>
      <c r="C146" s="16" t="s">
        <v>1290</v>
      </c>
      <c r="D146" s="16" t="s">
        <v>308</v>
      </c>
      <c r="E146" s="17" t="s">
        <v>442</v>
      </c>
      <c r="F146" s="16">
        <v>2013</v>
      </c>
      <c r="G146" s="17" t="str">
        <f>IFERROR(_xlfn.XLOOKUP($A146,tblEquipos[Codigo],tblEquipos[Ubicacion],""),"")</f>
        <v>Taller</v>
      </c>
      <c r="H146" s="16" t="s">
        <v>443</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444</v>
      </c>
      <c r="B147" s="16" t="s">
        <v>347</v>
      </c>
      <c r="C147" s="16" t="s">
        <v>1290</v>
      </c>
      <c r="D147" s="16" t="s">
        <v>265</v>
      </c>
      <c r="E147" s="17" t="s">
        <v>445</v>
      </c>
      <c r="F147" s="16">
        <v>2023</v>
      </c>
      <c r="G147" s="17" t="str">
        <f>IFERROR(_xlfn.XLOOKUP($A147,tblEquipos[Codigo],tblEquipos[Ubicacion],""),"")</f>
        <v>Palmucho</v>
      </c>
      <c r="H147" s="16" t="s">
        <v>1314</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447</v>
      </c>
      <c r="B148" s="16" t="s">
        <v>347</v>
      </c>
      <c r="C148" s="16" t="s">
        <v>1290</v>
      </c>
      <c r="D148" s="16" t="s">
        <v>285</v>
      </c>
      <c r="E148" s="17" t="s">
        <v>448</v>
      </c>
      <c r="F148" s="16">
        <v>2023</v>
      </c>
      <c r="G148" s="17" t="str">
        <f>IFERROR(_xlfn.XLOOKUP($A148,tblEquipos[Codigo],tblEquipos[Ubicacion],""),"")</f>
        <v>Cobquecura</v>
      </c>
      <c r="H148" s="16" t="s">
        <v>1315</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450</v>
      </c>
      <c r="B149" s="16" t="s">
        <v>347</v>
      </c>
      <c r="C149" s="16" t="s">
        <v>1290</v>
      </c>
      <c r="D149" s="16" t="s">
        <v>285</v>
      </c>
      <c r="E149" s="17" t="s">
        <v>448</v>
      </c>
      <c r="F149" s="16">
        <v>2023</v>
      </c>
      <c r="G149" s="17" t="str">
        <f>IFERROR(_xlfn.XLOOKUP($A149,tblEquipos[Codigo],tblEquipos[Ubicacion],""),"")</f>
        <v>Quirihue</v>
      </c>
      <c r="H149" s="16" t="s">
        <v>1316</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452</v>
      </c>
      <c r="B150" s="16" t="s">
        <v>347</v>
      </c>
      <c r="C150" s="16" t="s">
        <v>1290</v>
      </c>
      <c r="D150" s="16" t="s">
        <v>265</v>
      </c>
      <c r="E150" s="17" t="s">
        <v>445</v>
      </c>
      <c r="F150" s="16">
        <v>2023</v>
      </c>
      <c r="G150" s="17" t="str">
        <f>IFERROR(_xlfn.XLOOKUP($A150,tblEquipos[Codigo],tblEquipos[Ubicacion],""),"")</f>
        <v>San Carlos</v>
      </c>
      <c r="H150" s="16" t="s">
        <v>1317</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454</v>
      </c>
      <c r="B151" s="16" t="s">
        <v>455</v>
      </c>
      <c r="C151" s="16" t="s">
        <v>1290</v>
      </c>
      <c r="D151" s="16" t="s">
        <v>298</v>
      </c>
      <c r="E151" s="17" t="s">
        <v>456</v>
      </c>
      <c r="F151" s="16">
        <v>2011</v>
      </c>
      <c r="G151" s="17" t="str">
        <f>IFERROR(_xlfn.XLOOKUP($A151,tblEquipos[Codigo],tblEquipos[Ubicacion],""),"")</f>
        <v>San Carlos</v>
      </c>
      <c r="H151" s="16" t="s">
        <v>1305</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458</v>
      </c>
      <c r="B152" s="16" t="s">
        <v>455</v>
      </c>
      <c r="C152" s="16" t="s">
        <v>1290</v>
      </c>
      <c r="D152" s="16" t="s">
        <v>298</v>
      </c>
      <c r="E152" s="17" t="s">
        <v>456</v>
      </c>
      <c r="F152" s="16">
        <v>2011</v>
      </c>
      <c r="G152" s="17" t="str">
        <f>IFERROR(_xlfn.XLOOKUP($A152,tblEquipos[Codigo],tblEquipos[Ubicacion],""),"")</f>
        <v>Palmucho</v>
      </c>
      <c r="H152" s="16" t="s">
        <v>1305</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83</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86</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460</v>
      </c>
      <c r="B153" s="16" t="s">
        <v>264</v>
      </c>
      <c r="C153" s="16" t="s">
        <v>1290</v>
      </c>
      <c r="D153" s="16" t="s">
        <v>265</v>
      </c>
      <c r="E153" s="17" t="s">
        <v>266</v>
      </c>
      <c r="F153" s="16">
        <v>2024</v>
      </c>
      <c r="G153" s="17" t="str">
        <f>IFERROR(_xlfn.XLOOKUP($A153,tblEquipos[Codigo],tblEquipos[Ubicacion],""),"")</f>
        <v>Palmucho</v>
      </c>
      <c r="H153" s="16" t="s">
        <v>423</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462</v>
      </c>
      <c r="B154" s="16" t="s">
        <v>463</v>
      </c>
      <c r="C154" s="16" t="s">
        <v>1318</v>
      </c>
      <c r="D154" s="16" t="s">
        <v>98</v>
      </c>
      <c r="E154" s="17" t="s">
        <v>464</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466</v>
      </c>
      <c r="B155" s="16" t="s">
        <v>463</v>
      </c>
      <c r="C155" s="16" t="s">
        <v>1318</v>
      </c>
      <c r="D155" s="16" t="s">
        <v>98</v>
      </c>
      <c r="E155" s="17" t="s">
        <v>464</v>
      </c>
      <c r="F155" s="16">
        <v>2023</v>
      </c>
      <c r="G155" s="17" t="str">
        <f>IFERROR(_xlfn.XLOOKUP($A155,tblEquipos[Codigo],tblEquipos[Ubicacion],""),"")</f>
        <v>Colbun</v>
      </c>
      <c r="H155" s="16" t="s">
        <v>650</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468</v>
      </c>
      <c r="B156" s="16" t="s">
        <v>463</v>
      </c>
      <c r="C156" s="16" t="s">
        <v>1318</v>
      </c>
      <c r="D156" s="16" t="s">
        <v>469</v>
      </c>
      <c r="E156" s="17" t="s">
        <v>470</v>
      </c>
      <c r="F156" s="16">
        <v>2024</v>
      </c>
      <c r="G156" s="17" t="str">
        <f>IFERROR(_xlfn.XLOOKUP($A156,tblEquipos[Codigo],tblEquipos[Ubicacion],""),"")</f>
        <v>Taller ext (del valle)</v>
      </c>
      <c r="H156" s="16" t="s">
        <v>472</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473</v>
      </c>
      <c r="B157" s="16" t="s">
        <v>463</v>
      </c>
      <c r="C157" s="16" t="s">
        <v>1318</v>
      </c>
      <c r="D157" s="16" t="s">
        <v>469</v>
      </c>
      <c r="E157" s="17" t="s">
        <v>470</v>
      </c>
      <c r="F157" s="16">
        <v>2024</v>
      </c>
      <c r="G157" s="17" t="str">
        <f>IFERROR(_xlfn.XLOOKUP($A157,tblEquipos[Codigo],tblEquipos[Ubicacion],""),"")</f>
        <v>Taller</v>
      </c>
      <c r="H157" s="16" t="s">
        <v>472</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121</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479</v>
      </c>
      <c r="B158" s="16" t="s">
        <v>463</v>
      </c>
      <c r="C158" s="16" t="s">
        <v>1318</v>
      </c>
      <c r="D158" s="16" t="s">
        <v>480</v>
      </c>
      <c r="E158" s="17" t="s">
        <v>481</v>
      </c>
      <c r="F158" s="16">
        <v>2019</v>
      </c>
      <c r="G158" s="17" t="str">
        <f>IFERROR(_xlfn.XLOOKUP($A158,tblEquipos[Codigo],tblEquipos[Ubicacion],""),"")</f>
        <v>Oficina</v>
      </c>
      <c r="H158" s="16" t="s">
        <v>483</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484</v>
      </c>
      <c r="B159" s="16" t="s">
        <v>463</v>
      </c>
      <c r="C159" s="16" t="s">
        <v>1318</v>
      </c>
      <c r="D159" s="16" t="s">
        <v>75</v>
      </c>
      <c r="E159" s="17" t="s">
        <v>485</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486</v>
      </c>
      <c r="B160" s="16" t="s">
        <v>463</v>
      </c>
      <c r="C160" s="16" t="s">
        <v>1318</v>
      </c>
      <c r="D160" s="16" t="s">
        <v>487</v>
      </c>
      <c r="E160" s="17" t="s">
        <v>488</v>
      </c>
      <c r="F160" s="16">
        <v>2024</v>
      </c>
      <c r="G160" s="17" t="str">
        <f>IFERROR(_xlfn.XLOOKUP($A160,tblEquipos[Codigo],tblEquipos[Ubicacion],""),"")</f>
        <v>Oficina</v>
      </c>
      <c r="H160" s="16" t="s">
        <v>489</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490</v>
      </c>
      <c r="B161" s="16" t="s">
        <v>463</v>
      </c>
      <c r="C161" s="16" t="s">
        <v>1318</v>
      </c>
      <c r="D161" s="16" t="s">
        <v>487</v>
      </c>
      <c r="E161" s="17" t="s">
        <v>488</v>
      </c>
      <c r="F161" s="16">
        <v>2024</v>
      </c>
      <c r="G161" s="17" t="str">
        <f>IFERROR(_xlfn.XLOOKUP($A161,tblEquipos[Codigo],tblEquipos[Ubicacion],""),"")</f>
        <v>Taller Rosselot</v>
      </c>
      <c r="H161" s="16" t="s">
        <v>492</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493</v>
      </c>
      <c r="B162" s="16" t="s">
        <v>463</v>
      </c>
      <c r="C162" s="16" t="s">
        <v>1318</v>
      </c>
      <c r="D162" s="16" t="s">
        <v>487</v>
      </c>
      <c r="E162" s="17" t="s">
        <v>488</v>
      </c>
      <c r="F162" s="16">
        <v>2024</v>
      </c>
      <c r="G162" s="17" t="str">
        <f>IFERROR(_xlfn.XLOOKUP($A162,tblEquipos[Codigo],tblEquipos[Ubicacion],""),"")</f>
        <v>Oficina</v>
      </c>
      <c r="H162" s="16" t="s">
        <v>726</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495</v>
      </c>
      <c r="B163" s="16" t="s">
        <v>463</v>
      </c>
      <c r="C163" s="16" t="s">
        <v>1318</v>
      </c>
      <c r="D163" s="16" t="s">
        <v>469</v>
      </c>
      <c r="E163" s="17" t="s">
        <v>496</v>
      </c>
      <c r="F163" s="16">
        <v>2024</v>
      </c>
      <c r="G163" s="17" t="str">
        <f>IFERROR(_xlfn.XLOOKUP($A163,tblEquipos[Codigo],tblEquipos[Ubicacion],""),"")</f>
        <v>Taller</v>
      </c>
      <c r="H163" s="16" t="s">
        <v>520</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498</v>
      </c>
      <c r="B164" s="16" t="s">
        <v>463</v>
      </c>
      <c r="C164" s="16" t="s">
        <v>1318</v>
      </c>
      <c r="D164" s="16" t="s">
        <v>469</v>
      </c>
      <c r="E164" s="17" t="s">
        <v>496</v>
      </c>
      <c r="F164" s="16">
        <v>2024</v>
      </c>
      <c r="G164" s="17" t="str">
        <f>IFERROR(_xlfn.XLOOKUP($A164,tblEquipos[Codigo],tblEquipos[Ubicacion],""),"")</f>
        <v>Taller Demotron</v>
      </c>
      <c r="H164" s="16" t="s">
        <v>499</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500</v>
      </c>
      <c r="B165" s="16" t="s">
        <v>463</v>
      </c>
      <c r="C165" s="16" t="s">
        <v>1318</v>
      </c>
      <c r="D165" s="16" t="s">
        <v>469</v>
      </c>
      <c r="E165" s="17" t="s">
        <v>496</v>
      </c>
      <c r="F165" s="16">
        <v>2024</v>
      </c>
      <c r="G165" s="17" t="str">
        <f>IFERROR(_xlfn.XLOOKUP($A165,tblEquipos[Codigo],tblEquipos[Ubicacion],""),"")</f>
        <v>Obras Varias</v>
      </c>
      <c r="H165" s="16" t="s">
        <v>472</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502</v>
      </c>
      <c r="B166" s="16" t="s">
        <v>463</v>
      </c>
      <c r="C166" s="16" t="s">
        <v>1318</v>
      </c>
      <c r="D166" s="16" t="s">
        <v>469</v>
      </c>
      <c r="E166" s="17" t="s">
        <v>503</v>
      </c>
      <c r="F166" s="16">
        <v>2024</v>
      </c>
      <c r="G166" s="17" t="str">
        <f>IFERROR(_xlfn.XLOOKUP($A166,tblEquipos[Codigo],tblEquipos[Ubicacion],""),"")</f>
        <v>Quirihue</v>
      </c>
      <c r="H166" s="16" t="s">
        <v>1319</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154</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505</v>
      </c>
      <c r="B167" s="16" t="s">
        <v>463</v>
      </c>
      <c r="C167" s="16" t="s">
        <v>1318</v>
      </c>
      <c r="D167" s="16" t="s">
        <v>469</v>
      </c>
      <c r="E167" s="17" t="s">
        <v>503</v>
      </c>
      <c r="F167" s="16">
        <v>2024</v>
      </c>
      <c r="G167" s="17" t="str">
        <f>IFERROR(_xlfn.XLOOKUP($A167,tblEquipos[Codigo],tblEquipos[Ubicacion],""),"")</f>
        <v>Palmucho</v>
      </c>
      <c r="H167" s="16" t="s">
        <v>1320</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507</v>
      </c>
      <c r="B168" s="16" t="s">
        <v>508</v>
      </c>
      <c r="C168" s="16" t="s">
        <v>1318</v>
      </c>
      <c r="D168" s="16" t="s">
        <v>509</v>
      </c>
      <c r="E168" s="17" t="s">
        <v>510</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512</v>
      </c>
      <c r="B169" s="16" t="s">
        <v>508</v>
      </c>
      <c r="C169" s="16" t="s">
        <v>1318</v>
      </c>
      <c r="D169" s="16" t="s">
        <v>509</v>
      </c>
      <c r="E169" s="17" t="s">
        <v>510</v>
      </c>
      <c r="F169" s="16">
        <v>2025</v>
      </c>
      <c r="G169" s="17" t="str">
        <f>IFERROR(_xlfn.XLOOKUP($A169,tblEquipos[Codigo],tblEquipos[Ubicacion],""),"")</f>
        <v>Palmucho</v>
      </c>
      <c r="H169" s="16" t="s">
        <v>1321</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514</v>
      </c>
      <c r="B170" s="16" t="s">
        <v>508</v>
      </c>
      <c r="C170" s="16" t="s">
        <v>1318</v>
      </c>
      <c r="D170" s="16" t="s">
        <v>509</v>
      </c>
      <c r="E170" s="17" t="s">
        <v>510</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516</v>
      </c>
      <c r="B171" s="16" t="s">
        <v>508</v>
      </c>
      <c r="C171" s="16" t="s">
        <v>1318</v>
      </c>
      <c r="D171" s="16" t="s">
        <v>509</v>
      </c>
      <c r="E171" s="17" t="s">
        <v>510</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519</v>
      </c>
      <c r="B172" s="16" t="s">
        <v>508</v>
      </c>
      <c r="C172" s="16" t="s">
        <v>1318</v>
      </c>
      <c r="D172" s="16" t="s">
        <v>509</v>
      </c>
      <c r="E172" s="17" t="s">
        <v>510</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521</v>
      </c>
      <c r="B173" s="16" t="s">
        <v>508</v>
      </c>
      <c r="C173" s="16" t="s">
        <v>1318</v>
      </c>
      <c r="D173" s="16" t="s">
        <v>509</v>
      </c>
      <c r="E173" s="17" t="s">
        <v>510</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523</v>
      </c>
      <c r="B174" s="16" t="s">
        <v>508</v>
      </c>
      <c r="C174" s="16" t="s">
        <v>1318</v>
      </c>
      <c r="D174" s="16" t="s">
        <v>509</v>
      </c>
      <c r="E174" s="17" t="s">
        <v>510</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525</v>
      </c>
      <c r="B175" s="16" t="s">
        <v>508</v>
      </c>
      <c r="C175" s="16" t="s">
        <v>1318</v>
      </c>
      <c r="D175" s="16" t="s">
        <v>509</v>
      </c>
      <c r="E175" s="17" t="s">
        <v>510</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527</v>
      </c>
      <c r="B176" s="16" t="s">
        <v>508</v>
      </c>
      <c r="C176" s="16" t="s">
        <v>1318</v>
      </c>
      <c r="D176" s="16" t="s">
        <v>509</v>
      </c>
      <c r="E176" s="17" t="s">
        <v>510</v>
      </c>
      <c r="F176" s="16">
        <v>2025</v>
      </c>
      <c r="G176" s="17" t="str">
        <f>IFERROR(_xlfn.XLOOKUP($A176,tblEquipos[Codigo],tblEquipos[Ubicacion],""),"")</f>
        <v>Emergencias Curico</v>
      </c>
      <c r="H176" s="16" t="s">
        <v>1322</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529</v>
      </c>
      <c r="B177" s="16" t="s">
        <v>508</v>
      </c>
      <c r="C177" s="16" t="s">
        <v>1318</v>
      </c>
      <c r="D177" s="16" t="s">
        <v>509</v>
      </c>
      <c r="E177" s="17" t="s">
        <v>510</v>
      </c>
      <c r="F177" s="16">
        <v>2025</v>
      </c>
      <c r="G177" s="17" t="str">
        <f>IFERROR(_xlfn.XLOOKUP($A177,tblEquipos[Codigo],tblEquipos[Ubicacion],""),"")</f>
        <v>Cobquecura</v>
      </c>
      <c r="H177" s="16" t="s">
        <v>1323</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531</v>
      </c>
      <c r="B178" s="16" t="s">
        <v>463</v>
      </c>
      <c r="C178" s="16" t="s">
        <v>1318</v>
      </c>
      <c r="D178" s="16" t="s">
        <v>98</v>
      </c>
      <c r="E178" s="17" t="s">
        <v>532</v>
      </c>
      <c r="F178" s="16">
        <v>2025</v>
      </c>
      <c r="G178" s="17" t="str">
        <f>IFERROR(_xlfn.XLOOKUP($A178,tblEquipos[Codigo],tblEquipos[Ubicacion],""),"")</f>
        <v>Pelluhue</v>
      </c>
      <c r="H178" s="16" t="s">
        <v>533</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534</v>
      </c>
      <c r="B179" s="16" t="s">
        <v>463</v>
      </c>
      <c r="C179" s="16" t="s">
        <v>1318</v>
      </c>
      <c r="D179" s="16" t="s">
        <v>98</v>
      </c>
      <c r="E179" s="17" t="s">
        <v>532</v>
      </c>
      <c r="F179" s="16">
        <v>2025</v>
      </c>
      <c r="G179" s="17" t="str">
        <f>IFERROR(_xlfn.XLOOKUP($A179,tblEquipos[Codigo],tblEquipos[Ubicacion],""),"")</f>
        <v>San Carlos</v>
      </c>
      <c r="H179" s="16" t="s">
        <v>537</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536</v>
      </c>
      <c r="B180" s="16" t="s">
        <v>463</v>
      </c>
      <c r="C180" s="16" t="s">
        <v>1318</v>
      </c>
      <c r="D180" s="16" t="s">
        <v>98</v>
      </c>
      <c r="E180" s="17" t="s">
        <v>532</v>
      </c>
      <c r="F180" s="16">
        <v>2025</v>
      </c>
      <c r="G180" s="17" t="str">
        <f>IFERROR(_xlfn.XLOOKUP($A180,tblEquipos[Codigo],tblEquipos[Ubicacion],""),"")</f>
        <v>San Carlos</v>
      </c>
      <c r="H180" s="16" t="s">
        <v>539</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538</v>
      </c>
      <c r="B181" s="16" t="s">
        <v>463</v>
      </c>
      <c r="C181" s="16" t="s">
        <v>1318</v>
      </c>
      <c r="D181" s="16" t="s">
        <v>98</v>
      </c>
      <c r="E181" s="17" t="s">
        <v>532</v>
      </c>
      <c r="F181" s="16">
        <v>2025</v>
      </c>
      <c r="G181" s="17" t="str">
        <f>IFERROR(_xlfn.XLOOKUP($A181,tblEquipos[Codigo],tblEquipos[Ubicacion],""),"")</f>
        <v>Colbun</v>
      </c>
      <c r="H181" s="16" t="s">
        <v>556</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540</v>
      </c>
      <c r="B182" s="16" t="s">
        <v>463</v>
      </c>
      <c r="C182" s="16" t="s">
        <v>1318</v>
      </c>
      <c r="D182" s="16" t="s">
        <v>98</v>
      </c>
      <c r="E182" s="17" t="s">
        <v>532</v>
      </c>
      <c r="F182" s="16">
        <v>2025</v>
      </c>
      <c r="G182" s="17" t="str">
        <f>IFERROR(_xlfn.XLOOKUP($A182,tblEquipos[Codigo],tblEquipos[Ubicacion],""),"")</f>
        <v>Villaseca</v>
      </c>
      <c r="H182" s="16" t="s">
        <v>528</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542</v>
      </c>
      <c r="B183" s="16" t="s">
        <v>463</v>
      </c>
      <c r="C183" s="16" t="s">
        <v>1318</v>
      </c>
      <c r="D183" s="16" t="s">
        <v>98</v>
      </c>
      <c r="E183" s="17" t="s">
        <v>532</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544</v>
      </c>
      <c r="B184" s="16" t="s">
        <v>463</v>
      </c>
      <c r="C184" s="16" t="s">
        <v>1318</v>
      </c>
      <c r="D184" s="16" t="s">
        <v>98</v>
      </c>
      <c r="E184" s="17" t="s">
        <v>532</v>
      </c>
      <c r="F184" s="16">
        <v>2025</v>
      </c>
      <c r="G184" s="17" t="str">
        <f>IFERROR(_xlfn.XLOOKUP($A184,tblEquipos[Codigo],tblEquipos[Ubicacion],""),"")</f>
        <v>Oficina</v>
      </c>
      <c r="H184" s="16" t="s">
        <v>545</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546</v>
      </c>
      <c r="B185" s="16" t="s">
        <v>463</v>
      </c>
      <c r="C185" s="16" t="s">
        <v>1318</v>
      </c>
      <c r="D185" s="16" t="s">
        <v>98</v>
      </c>
      <c r="E185" s="17" t="s">
        <v>532</v>
      </c>
      <c r="F185" s="16">
        <v>2025</v>
      </c>
      <c r="G185" s="17" t="str">
        <f>IFERROR(_xlfn.XLOOKUP($A185,tblEquipos[Codigo],tblEquipos[Ubicacion],""),"")</f>
        <v>Quirihue</v>
      </c>
      <c r="H185" s="16" t="s">
        <v>1324</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548</v>
      </c>
      <c r="B186" s="16" t="s">
        <v>463</v>
      </c>
      <c r="C186" s="16" t="s">
        <v>1318</v>
      </c>
      <c r="D186" s="16" t="s">
        <v>98</v>
      </c>
      <c r="E186" s="17" t="s">
        <v>532</v>
      </c>
      <c r="F186" s="16">
        <v>2025</v>
      </c>
      <c r="G186" s="17" t="str">
        <f>IFERROR(_xlfn.XLOOKUP($A186,tblEquipos[Codigo],tblEquipos[Ubicacion],""),"")</f>
        <v>Emergencias Curico</v>
      </c>
      <c r="H186" s="16" t="s">
        <v>547</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550</v>
      </c>
      <c r="B187" s="16" t="s">
        <v>463</v>
      </c>
      <c r="C187" s="16" t="s">
        <v>1318</v>
      </c>
      <c r="D187" s="16" t="s">
        <v>98</v>
      </c>
      <c r="E187" s="17" t="s">
        <v>532</v>
      </c>
      <c r="F187" s="16">
        <v>2025</v>
      </c>
      <c r="G187" s="17" t="str">
        <f>IFERROR(_xlfn.XLOOKUP($A187,tblEquipos[Codigo],tblEquipos[Ubicacion],""),"")</f>
        <v>Oficina</v>
      </c>
      <c r="H187" s="16" t="s">
        <v>1325</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551</v>
      </c>
      <c r="B188" s="16" t="s">
        <v>463</v>
      </c>
      <c r="C188" s="16" t="s">
        <v>1318</v>
      </c>
      <c r="D188" s="16" t="s">
        <v>552</v>
      </c>
      <c r="E188" s="17" t="s">
        <v>553</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555</v>
      </c>
      <c r="B189" s="16" t="s">
        <v>463</v>
      </c>
      <c r="C189" s="16" t="s">
        <v>1318</v>
      </c>
      <c r="D189" s="16" t="s">
        <v>98</v>
      </c>
      <c r="E189" s="17" t="s">
        <v>464</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557</v>
      </c>
      <c r="B190" s="16" t="s">
        <v>463</v>
      </c>
      <c r="C190" s="16" t="s">
        <v>1318</v>
      </c>
      <c r="D190" s="16" t="s">
        <v>98</v>
      </c>
      <c r="E190" s="17" t="s">
        <v>464</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558</v>
      </c>
      <c r="B191" s="16" t="s">
        <v>463</v>
      </c>
      <c r="C191" s="16" t="s">
        <v>1318</v>
      </c>
      <c r="D191" s="16" t="s">
        <v>98</v>
      </c>
      <c r="E191" s="17" t="s">
        <v>464</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560</v>
      </c>
      <c r="B192" s="16" t="s">
        <v>463</v>
      </c>
      <c r="C192" s="16" t="s">
        <v>1318</v>
      </c>
      <c r="D192" s="16" t="s">
        <v>98</v>
      </c>
      <c r="E192" s="17" t="s">
        <v>464</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561</v>
      </c>
      <c r="B193" s="16" t="s">
        <v>463</v>
      </c>
      <c r="C193" s="16" t="s">
        <v>1318</v>
      </c>
      <c r="D193" s="16" t="s">
        <v>98</v>
      </c>
      <c r="E193" s="17" t="s">
        <v>464</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563</v>
      </c>
      <c r="B194" s="16" t="s">
        <v>463</v>
      </c>
      <c r="C194" s="16" t="s">
        <v>1318</v>
      </c>
      <c r="D194" s="16" t="s">
        <v>98</v>
      </c>
      <c r="E194" s="17" t="s">
        <v>564</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566</v>
      </c>
      <c r="B195" s="16" t="s">
        <v>463</v>
      </c>
      <c r="C195" s="16" t="s">
        <v>1318</v>
      </c>
      <c r="D195" s="16" t="s">
        <v>98</v>
      </c>
      <c r="E195" s="17" t="s">
        <v>567</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569</v>
      </c>
      <c r="B196" s="16" t="s">
        <v>570</v>
      </c>
      <c r="C196" s="16" t="s">
        <v>1318</v>
      </c>
      <c r="D196" s="16" t="s">
        <v>54</v>
      </c>
      <c r="E196" s="17" t="s">
        <v>571</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573</v>
      </c>
      <c r="B197" s="16" t="s">
        <v>570</v>
      </c>
      <c r="C197" s="16" t="s">
        <v>1318</v>
      </c>
      <c r="D197" s="16" t="s">
        <v>54</v>
      </c>
      <c r="E197" s="17" t="s">
        <v>574</v>
      </c>
      <c r="F197" s="16">
        <v>2017</v>
      </c>
      <c r="G197" s="17" t="str">
        <f>IFERROR(_xlfn.XLOOKUP($A197,tblEquipos[Codigo],tblEquipos[Ubicacion],""),"")</f>
        <v>Quirihue</v>
      </c>
      <c r="H197" s="16" t="s">
        <v>1326</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575</v>
      </c>
      <c r="B198" s="16" t="s">
        <v>570</v>
      </c>
      <c r="C198" s="16" t="s">
        <v>1318</v>
      </c>
      <c r="D198" s="16" t="s">
        <v>54</v>
      </c>
      <c r="E198" s="17" t="s">
        <v>576</v>
      </c>
      <c r="F198" s="16">
        <v>2020</v>
      </c>
      <c r="G198" s="17" t="str">
        <f>IFERROR(_xlfn.XLOOKUP($A198,tblEquipos[Codigo],tblEquipos[Ubicacion],""),"")</f>
        <v>Taller ext (Kauffman)</v>
      </c>
      <c r="H198" s="16" t="s">
        <v>578</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579</v>
      </c>
      <c r="B199" s="16" t="s">
        <v>463</v>
      </c>
      <c r="C199" s="16" t="s">
        <v>1318</v>
      </c>
      <c r="D199" s="16" t="s">
        <v>98</v>
      </c>
      <c r="E199" s="17" t="s">
        <v>580</v>
      </c>
      <c r="F199" s="16">
        <v>2021</v>
      </c>
      <c r="G199" s="17" t="str">
        <f>IFERROR(_xlfn.XLOOKUP($A199,tblEquipos[Codigo],tblEquipos[Ubicacion],""),"")</f>
        <v>TALLER</v>
      </c>
      <c r="H199" s="16" t="s">
        <v>581</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582</v>
      </c>
      <c r="B200" s="16" t="s">
        <v>463</v>
      </c>
      <c r="C200" s="16" t="s">
        <v>1318</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586</v>
      </c>
      <c r="B201" s="16" t="s">
        <v>463</v>
      </c>
      <c r="C201" s="16" t="s">
        <v>1318</v>
      </c>
      <c r="D201" s="16" t="s">
        <v>98</v>
      </c>
      <c r="E201" s="17" t="s">
        <v>580</v>
      </c>
      <c r="F201" s="16">
        <v>2021</v>
      </c>
      <c r="G201" s="17">
        <f>IFERROR(_xlfn.XLOOKUP($A201,tblEquipos[Codigo],tblEquipos[Ubicacion],""),"")</f>
        <v>0</v>
      </c>
      <c r="H201" s="16" t="s">
        <v>581</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587</v>
      </c>
      <c r="B202" s="16" t="s">
        <v>463</v>
      </c>
      <c r="C202" s="16" t="s">
        <v>1318</v>
      </c>
      <c r="D202" s="16" t="s">
        <v>98</v>
      </c>
      <c r="E202" s="17" t="s">
        <v>580</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588</v>
      </c>
      <c r="B203" s="16" t="s">
        <v>463</v>
      </c>
      <c r="C203" s="16" t="s">
        <v>1318</v>
      </c>
      <c r="D203" s="16" t="s">
        <v>98</v>
      </c>
      <c r="E203" s="17" t="s">
        <v>583</v>
      </c>
      <c r="F203" s="16">
        <v>2021</v>
      </c>
      <c r="G203" s="17">
        <f>IFERROR(_xlfn.XLOOKUP($A203,tblEquipos[Codigo],tblEquipos[Ubicacion],""),"")</f>
        <v>0</v>
      </c>
      <c r="H203" s="16" t="s">
        <v>581</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589</v>
      </c>
      <c r="B204" s="16" t="s">
        <v>463</v>
      </c>
      <c r="C204" s="16" t="s">
        <v>1318</v>
      </c>
      <c r="D204" s="16" t="s">
        <v>98</v>
      </c>
      <c r="E204" s="17" t="s">
        <v>580</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591</v>
      </c>
      <c r="B205" s="16" t="s">
        <v>463</v>
      </c>
      <c r="C205" s="16" t="s">
        <v>1318</v>
      </c>
      <c r="D205" s="16" t="s">
        <v>98</v>
      </c>
      <c r="E205" s="17" t="s">
        <v>580</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592</v>
      </c>
      <c r="B206" s="16" t="s">
        <v>463</v>
      </c>
      <c r="C206" s="16" t="s">
        <v>1318</v>
      </c>
      <c r="D206" s="16" t="s">
        <v>98</v>
      </c>
      <c r="E206" s="17" t="s">
        <v>580</v>
      </c>
      <c r="F206" s="16">
        <v>2021</v>
      </c>
      <c r="G206" s="17">
        <f>IFERROR(_xlfn.XLOOKUP($A206,tblEquipos[Codigo],tblEquipos[Ubicacion],""),"")</f>
        <v>0</v>
      </c>
      <c r="H206" s="16" t="s">
        <v>581</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593</v>
      </c>
      <c r="B207" s="16" t="s">
        <v>463</v>
      </c>
      <c r="C207" s="16" t="s">
        <v>1318</v>
      </c>
      <c r="D207" s="16" t="s">
        <v>98</v>
      </c>
      <c r="E207" s="17" t="s">
        <v>580</v>
      </c>
      <c r="F207" s="16">
        <v>2021</v>
      </c>
      <c r="G207" s="17" t="str">
        <f>IFERROR(_xlfn.XLOOKUP($A207,tblEquipos[Codigo],tblEquipos[Ubicacion],""),"")</f>
        <v>Retiro</v>
      </c>
      <c r="H207" s="16" t="s">
        <v>581</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596</v>
      </c>
      <c r="B208" s="16" t="s">
        <v>463</v>
      </c>
      <c r="C208" s="16" t="s">
        <v>1318</v>
      </c>
      <c r="D208" s="16" t="s">
        <v>98</v>
      </c>
      <c r="E208" s="17" t="s">
        <v>597</v>
      </c>
      <c r="F208" s="16">
        <v>2021</v>
      </c>
      <c r="G208" s="17">
        <f>IFERROR(_xlfn.XLOOKUP($A208,tblEquipos[Codigo],tblEquipos[Ubicacion],""),"")</f>
        <v>0</v>
      </c>
      <c r="H208" s="16" t="s">
        <v>581</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598</v>
      </c>
      <c r="B209" s="16" t="s">
        <v>463</v>
      </c>
      <c r="C209" s="16" t="s">
        <v>1318</v>
      </c>
      <c r="D209" s="16" t="s">
        <v>98</v>
      </c>
      <c r="E209" s="17" t="s">
        <v>597</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599</v>
      </c>
      <c r="B210" s="16" t="s">
        <v>508</v>
      </c>
      <c r="C210" s="16" t="s">
        <v>1318</v>
      </c>
      <c r="D210" s="16" t="s">
        <v>54</v>
      </c>
      <c r="E210" s="17" t="s">
        <v>600</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601</v>
      </c>
      <c r="B211" s="16" t="s">
        <v>508</v>
      </c>
      <c r="C211" s="16" t="s">
        <v>1318</v>
      </c>
      <c r="D211" s="16" t="s">
        <v>54</v>
      </c>
      <c r="E211" s="17" t="s">
        <v>602</v>
      </c>
      <c r="F211" s="16">
        <v>2017</v>
      </c>
      <c r="G211" s="17">
        <f>IFERROR(_xlfn.XLOOKUP($A211,tblEquipos[Codigo],tblEquipos[Ubicacion],""),"")</f>
        <v>0</v>
      </c>
      <c r="H211" s="16" t="s">
        <v>581</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603</v>
      </c>
      <c r="B212" s="16" t="s">
        <v>508</v>
      </c>
      <c r="C212" s="16" t="s">
        <v>1318</v>
      </c>
      <c r="D212" s="16" t="s">
        <v>54</v>
      </c>
      <c r="E212" s="17" t="s">
        <v>604</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605</v>
      </c>
      <c r="B213" s="16" t="s">
        <v>463</v>
      </c>
      <c r="C213" s="16" t="s">
        <v>1318</v>
      </c>
      <c r="D213" s="16" t="s">
        <v>606</v>
      </c>
      <c r="E213" s="17" t="s">
        <v>607</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608</v>
      </c>
      <c r="B214" s="16" t="s">
        <v>463</v>
      </c>
      <c r="C214" s="16" t="s">
        <v>1318</v>
      </c>
      <c r="D214" s="16" t="s">
        <v>606</v>
      </c>
      <c r="E214" s="17" t="s">
        <v>607</v>
      </c>
      <c r="F214" s="16">
        <v>2023</v>
      </c>
      <c r="G214" s="17" t="str">
        <f>IFERROR(_xlfn.XLOOKUP($A214,tblEquipos[Codigo],tblEquipos[Ubicacion],""),"")</f>
        <v>TALLER</v>
      </c>
      <c r="H214" s="16" t="s">
        <v>590</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609</v>
      </c>
      <c r="B215" s="16" t="s">
        <v>463</v>
      </c>
      <c r="C215" s="16" t="s">
        <v>1318</v>
      </c>
      <c r="D215" s="16" t="s">
        <v>606</v>
      </c>
      <c r="E215" s="17" t="s">
        <v>607</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611</v>
      </c>
      <c r="B216" s="16" t="s">
        <v>463</v>
      </c>
      <c r="C216" s="16" t="s">
        <v>1318</v>
      </c>
      <c r="D216" s="16" t="s">
        <v>606</v>
      </c>
      <c r="E216" s="17" t="s">
        <v>607</v>
      </c>
      <c r="F216" s="16">
        <v>2023</v>
      </c>
      <c r="G216" s="17" t="str">
        <f>IFERROR(_xlfn.XLOOKUP($A216,tblEquipos[Codigo],tblEquipos[Ubicacion],""),"")</f>
        <v>Asfalto</v>
      </c>
      <c r="H216" s="16" t="s">
        <v>1327</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613</v>
      </c>
      <c r="B217" s="16" t="s">
        <v>463</v>
      </c>
      <c r="C217" s="16" t="s">
        <v>1318</v>
      </c>
      <c r="D217" s="16" t="s">
        <v>606</v>
      </c>
      <c r="E217" s="17" t="s">
        <v>607</v>
      </c>
      <c r="F217" s="16">
        <v>2023</v>
      </c>
      <c r="G217" s="17" t="str">
        <f>IFERROR(_xlfn.XLOOKUP($A217,tblEquipos[Codigo],tblEquipos[Ubicacion],""),"")</f>
        <v>Emergencias Curico</v>
      </c>
      <c r="H217" s="16" t="s">
        <v>1328</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615</v>
      </c>
      <c r="B218" s="16" t="s">
        <v>463</v>
      </c>
      <c r="C218" s="16" t="s">
        <v>1318</v>
      </c>
      <c r="D218" s="16" t="s">
        <v>606</v>
      </c>
      <c r="E218" s="17" t="s">
        <v>607</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77</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107</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616</v>
      </c>
      <c r="B219" s="16" t="s">
        <v>508</v>
      </c>
      <c r="C219" s="16" t="s">
        <v>1318</v>
      </c>
      <c r="D219" s="16" t="s">
        <v>509</v>
      </c>
      <c r="E219" s="17" t="s">
        <v>617</v>
      </c>
      <c r="F219" s="16">
        <v>2015</v>
      </c>
      <c r="G219" s="17">
        <f>IFERROR(_xlfn.XLOOKUP($A219,tblEquipos[Codigo],tblEquipos[Ubicacion],""),"")</f>
        <v>0</v>
      </c>
      <c r="H219" s="16" t="s">
        <v>581</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618</v>
      </c>
      <c r="B220" s="16" t="s">
        <v>508</v>
      </c>
      <c r="C220" s="16" t="s">
        <v>1318</v>
      </c>
      <c r="D220" s="16" t="s">
        <v>480</v>
      </c>
      <c r="E220" s="17" t="s">
        <v>619</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620</v>
      </c>
      <c r="B221" s="16" t="s">
        <v>463</v>
      </c>
      <c r="C221" s="16" t="s">
        <v>1318</v>
      </c>
      <c r="D221" s="16" t="s">
        <v>621</v>
      </c>
      <c r="E221" s="17" t="s">
        <v>622</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623</v>
      </c>
      <c r="B222" s="16" t="s">
        <v>508</v>
      </c>
      <c r="C222" s="16" t="s">
        <v>1318</v>
      </c>
      <c r="D222" s="16" t="s">
        <v>115</v>
      </c>
      <c r="E222" s="17" t="s">
        <v>624</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625</v>
      </c>
      <c r="B223" s="16" t="s">
        <v>508</v>
      </c>
      <c r="C223" s="16" t="s">
        <v>1318</v>
      </c>
      <c r="D223" s="16" t="s">
        <v>115</v>
      </c>
      <c r="E223" s="17" t="s">
        <v>626</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628</v>
      </c>
      <c r="B224" s="16" t="s">
        <v>508</v>
      </c>
      <c r="C224" s="16" t="s">
        <v>1318</v>
      </c>
      <c r="D224" s="16" t="s">
        <v>115</v>
      </c>
      <c r="E224" s="17" t="s">
        <v>626</v>
      </c>
      <c r="F224" s="16">
        <v>2017</v>
      </c>
      <c r="G224" s="17" t="str">
        <f>IFERROR(_xlfn.XLOOKUP($A224,tblEquipos[Codigo],tblEquipos[Ubicacion],""),"")</f>
        <v>Asfalto</v>
      </c>
      <c r="H224" s="16" t="s">
        <v>1329</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630</v>
      </c>
      <c r="B225" s="16" t="s">
        <v>508</v>
      </c>
      <c r="C225" s="16" t="s">
        <v>1318</v>
      </c>
      <c r="D225" s="16" t="s">
        <v>115</v>
      </c>
      <c r="E225" s="17" t="s">
        <v>626</v>
      </c>
      <c r="F225" s="16">
        <v>2017</v>
      </c>
      <c r="G225" s="17">
        <f>IFERROR(_xlfn.XLOOKUP($A225,tblEquipos[Codigo],tblEquipos[Ubicacion],""),"")</f>
        <v>0</v>
      </c>
      <c r="H225" s="16" t="s">
        <v>513</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631</v>
      </c>
      <c r="B226" s="16" t="s">
        <v>463</v>
      </c>
      <c r="C226" s="16" t="s">
        <v>1318</v>
      </c>
      <c r="D226" s="16" t="s">
        <v>98</v>
      </c>
      <c r="E226" s="17" t="s">
        <v>580</v>
      </c>
      <c r="F226" s="16">
        <v>2023</v>
      </c>
      <c r="G226" s="17" t="str">
        <f>IFERROR(_xlfn.XLOOKUP($A226,tblEquipos[Codigo],tblEquipos[Ubicacion],""),"")</f>
        <v>Emergencias Curico</v>
      </c>
      <c r="H226" s="16" t="s">
        <v>1330</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633</v>
      </c>
      <c r="B227" s="16" t="s">
        <v>463</v>
      </c>
      <c r="C227" s="16" t="s">
        <v>1318</v>
      </c>
      <c r="D227" s="16" t="s">
        <v>98</v>
      </c>
      <c r="E227" s="17" t="s">
        <v>580</v>
      </c>
      <c r="F227" s="16">
        <v>2023</v>
      </c>
      <c r="G227" s="17" t="str">
        <f>IFERROR(_xlfn.XLOOKUP($A227,tblEquipos[Codigo],tblEquipos[Ubicacion],""),"")</f>
        <v>Palmucho</v>
      </c>
      <c r="H227" s="16" t="s">
        <v>1331</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635</v>
      </c>
      <c r="B228" s="16" t="s">
        <v>463</v>
      </c>
      <c r="C228" s="16" t="s">
        <v>1318</v>
      </c>
      <c r="D228" s="16" t="s">
        <v>98</v>
      </c>
      <c r="E228" s="17" t="s">
        <v>580</v>
      </c>
      <c r="F228" s="16">
        <v>2023</v>
      </c>
      <c r="G228" s="17" t="str">
        <f>IFERROR(_xlfn.XLOOKUP($A228,tblEquipos[Codigo],tblEquipos[Ubicacion],""),"")</f>
        <v>Taller Demotron</v>
      </c>
      <c r="H228" s="16" t="s">
        <v>636</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156</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637</v>
      </c>
      <c r="B229" s="16" t="s">
        <v>463</v>
      </c>
      <c r="C229" s="16" t="s">
        <v>1318</v>
      </c>
      <c r="D229" s="16" t="s">
        <v>98</v>
      </c>
      <c r="E229" s="17" t="s">
        <v>580</v>
      </c>
      <c r="F229" s="16">
        <v>2023</v>
      </c>
      <c r="G229" s="17" t="str">
        <f>IFERROR(_xlfn.XLOOKUP($A229,tblEquipos[Codigo],tblEquipos[Ubicacion],""),"")</f>
        <v>Quirihue</v>
      </c>
      <c r="H229" s="16" t="s">
        <v>638</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639</v>
      </c>
      <c r="B230" s="16" t="s">
        <v>463</v>
      </c>
      <c r="C230" s="16" t="s">
        <v>1318</v>
      </c>
      <c r="D230" s="16" t="s">
        <v>98</v>
      </c>
      <c r="E230" s="17" t="s">
        <v>580</v>
      </c>
      <c r="F230" s="16">
        <v>2023</v>
      </c>
      <c r="G230" s="17" t="str">
        <f>IFERROR(_xlfn.XLOOKUP($A230,tblEquipos[Codigo],tblEquipos[Ubicacion],""),"")</f>
        <v>Emergencias Curico</v>
      </c>
      <c r="H230" s="16" t="s">
        <v>632</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641</v>
      </c>
      <c r="B231" s="16" t="s">
        <v>463</v>
      </c>
      <c r="C231" s="16" t="s">
        <v>1318</v>
      </c>
      <c r="D231" s="16" t="s">
        <v>98</v>
      </c>
      <c r="E231" s="17" t="s">
        <v>580</v>
      </c>
      <c r="F231" s="16">
        <v>2023</v>
      </c>
      <c r="G231" s="17" t="str">
        <f>IFERROR(_xlfn.XLOOKUP($A231,tblEquipos[Codigo],tblEquipos[Ubicacion],""),"")</f>
        <v>Cobquecura</v>
      </c>
      <c r="H231" s="16" t="s">
        <v>1332</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643</v>
      </c>
      <c r="B232" s="16" t="s">
        <v>463</v>
      </c>
      <c r="C232" s="16" t="s">
        <v>1318</v>
      </c>
      <c r="D232" s="16" t="s">
        <v>98</v>
      </c>
      <c r="E232" s="17" t="s">
        <v>580</v>
      </c>
      <c r="F232" s="16">
        <v>2023</v>
      </c>
      <c r="G232" s="17" t="str">
        <f>IFERROR(_xlfn.XLOOKUP($A232,tblEquipos[Codigo],tblEquipos[Ubicacion],""),"")</f>
        <v>Palmucho</v>
      </c>
      <c r="H232" s="16" t="s">
        <v>1333</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125</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644</v>
      </c>
      <c r="B233" s="16" t="s">
        <v>463</v>
      </c>
      <c r="C233" s="16" t="s">
        <v>1318</v>
      </c>
      <c r="D233" s="16" t="s">
        <v>98</v>
      </c>
      <c r="E233" s="17" t="s">
        <v>580</v>
      </c>
      <c r="F233" s="16">
        <v>2023</v>
      </c>
      <c r="G233" s="17" t="str">
        <f>IFERROR(_xlfn.XLOOKUP($A233,tblEquipos[Codigo],tblEquipos[Ubicacion],""),"")</f>
        <v>Palmucho</v>
      </c>
      <c r="H233" s="16" t="s">
        <v>645</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646</v>
      </c>
      <c r="B234" s="16" t="s">
        <v>463</v>
      </c>
      <c r="C234" s="16" t="s">
        <v>1318</v>
      </c>
      <c r="D234" s="16" t="s">
        <v>98</v>
      </c>
      <c r="E234" s="17" t="s">
        <v>580</v>
      </c>
      <c r="F234" s="16">
        <v>2023</v>
      </c>
      <c r="G234" s="17" t="str">
        <f>IFERROR(_xlfn.XLOOKUP($A234,tblEquipos[Codigo],tblEquipos[Ubicacion],""),"")</f>
        <v>Quirihue</v>
      </c>
      <c r="H234" s="16" t="s">
        <v>1334</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648</v>
      </c>
      <c r="B235" s="16" t="s">
        <v>463</v>
      </c>
      <c r="C235" s="16" t="s">
        <v>1318</v>
      </c>
      <c r="D235" s="16" t="s">
        <v>98</v>
      </c>
      <c r="E235" s="17" t="s">
        <v>583</v>
      </c>
      <c r="F235" s="16">
        <v>2023</v>
      </c>
      <c r="G235" s="17" t="str">
        <f>IFERROR(_xlfn.XLOOKUP($A235,tblEquipos[Codigo],tblEquipos[Ubicacion],""),"")</f>
        <v>Taller</v>
      </c>
      <c r="H235" s="16" t="s">
        <v>1335</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649</v>
      </c>
      <c r="B236" s="16" t="s">
        <v>463</v>
      </c>
      <c r="C236" s="16" t="s">
        <v>1318</v>
      </c>
      <c r="D236" s="16" t="s">
        <v>98</v>
      </c>
      <c r="E236" s="17" t="s">
        <v>580</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651</v>
      </c>
      <c r="B237" s="16" t="s">
        <v>463</v>
      </c>
      <c r="C237" s="16" t="s">
        <v>1318</v>
      </c>
      <c r="D237" s="16" t="s">
        <v>98</v>
      </c>
      <c r="E237" s="17" t="s">
        <v>464</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652</v>
      </c>
      <c r="B238" s="16" t="s">
        <v>463</v>
      </c>
      <c r="C238" s="16" t="s">
        <v>1318</v>
      </c>
      <c r="D238" s="16" t="s">
        <v>98</v>
      </c>
      <c r="E238" s="17" t="s">
        <v>464</v>
      </c>
      <c r="F238" s="16">
        <v>2023</v>
      </c>
      <c r="G238" s="17" t="str">
        <f>IFERROR(_xlfn.XLOOKUP($A238,tblEquipos[Codigo],tblEquipos[Ubicacion],""),"")</f>
        <v>Taller ext (Moraga)</v>
      </c>
      <c r="H238" s="16" t="s">
        <v>653</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654</v>
      </c>
      <c r="B239" s="16" t="s">
        <v>655</v>
      </c>
      <c r="C239" s="16" t="s">
        <v>1290</v>
      </c>
      <c r="D239" s="16" t="s">
        <v>656</v>
      </c>
      <c r="E239" s="17" t="s">
        <v>657</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658</v>
      </c>
      <c r="B240" s="16" t="s">
        <v>655</v>
      </c>
      <c r="C240" s="16" t="s">
        <v>1290</v>
      </c>
      <c r="D240" s="16" t="s">
        <v>659</v>
      </c>
      <c r="E240" s="17" t="s">
        <v>660</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661</v>
      </c>
      <c r="B241" s="16" t="s">
        <v>655</v>
      </c>
      <c r="C241" s="16" t="s">
        <v>1290</v>
      </c>
      <c r="D241" s="16" t="s">
        <v>662</v>
      </c>
      <c r="E241" s="17" t="s">
        <v>663</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664</v>
      </c>
      <c r="B242" s="16" t="s">
        <v>655</v>
      </c>
      <c r="C242" s="16" t="s">
        <v>1290</v>
      </c>
      <c r="D242" s="16" t="s">
        <v>665</v>
      </c>
      <c r="E242" s="17" t="s">
        <v>666</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100" t="s">
        <v>1336</v>
      </c>
      <c r="B1" s="100"/>
      <c r="C1" s="100"/>
      <c r="D1" s="100"/>
      <c r="E1" s="100"/>
      <c r="F1" s="100"/>
      <c r="G1" s="100"/>
      <c r="H1" s="100"/>
      <c r="I1" s="100"/>
      <c r="J1" s="100"/>
      <c r="K1" s="100"/>
      <c r="L1" s="100"/>
      <c r="M1" s="100"/>
      <c r="N1" s="100"/>
      <c r="O1" s="100"/>
      <c r="P1" s="100"/>
      <c r="Q1" s="100"/>
      <c r="R1" s="100"/>
      <c r="S1" s="100"/>
    </row>
    <row r="2" spans="1:19">
      <c r="A2" s="101" t="s">
        <v>1337</v>
      </c>
      <c r="B2" s="101"/>
      <c r="C2" s="101"/>
      <c r="D2" s="101"/>
      <c r="E2" s="101"/>
      <c r="F2" s="101"/>
      <c r="G2" s="101"/>
      <c r="H2" s="101"/>
      <c r="I2" s="101"/>
      <c r="J2" s="101"/>
      <c r="K2" s="101"/>
      <c r="L2" s="101"/>
      <c r="M2" s="101"/>
      <c r="N2" s="101"/>
      <c r="O2" s="101"/>
      <c r="P2" s="101"/>
      <c r="Q2" s="101"/>
      <c r="R2" s="101"/>
      <c r="S2" s="101"/>
    </row>
    <row r="3" spans="1:19">
      <c r="A3" s="14" t="s">
        <v>1</v>
      </c>
      <c r="B3" s="14" t="s">
        <v>2</v>
      </c>
      <c r="C3" s="14" t="s">
        <v>1257</v>
      </c>
      <c r="D3" s="14" t="s">
        <v>1338</v>
      </c>
      <c r="E3" s="14" t="s">
        <v>1261</v>
      </c>
      <c r="F3" s="14" t="s">
        <v>1339</v>
      </c>
      <c r="G3" s="15" t="s">
        <v>11</v>
      </c>
      <c r="H3" s="14" t="s">
        <v>1340</v>
      </c>
      <c r="I3" s="51" t="s">
        <v>1341</v>
      </c>
      <c r="J3" s="14" t="s">
        <v>1342</v>
      </c>
      <c r="K3" s="15" t="s">
        <v>1343</v>
      </c>
      <c r="L3" s="14" t="s">
        <v>1344</v>
      </c>
      <c r="M3" s="52" t="s">
        <v>1262</v>
      </c>
      <c r="N3" s="15" t="s">
        <v>1272</v>
      </c>
      <c r="O3" s="14" t="s">
        <v>1273</v>
      </c>
      <c r="P3" s="15" t="s">
        <v>1345</v>
      </c>
      <c r="Q3" s="15" t="s">
        <v>1346</v>
      </c>
      <c r="R3" s="15" t="s">
        <v>1347</v>
      </c>
      <c r="S3" s="14" t="s">
        <v>1279</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46519</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IFERROR(_xlfn.AGGREGATE(14,6,Mantenciones!$A$2:$A$9968/(Mantenciones!$B$2:$B$9968=$A4),1),"")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46441</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IFERROR(_xlfn.AGGREGATE(14,6,Mantenciones!$A$2:$A$9968/(Mantenciones!$B$2:$B$9968=$A5),1),"")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IFERROR(_xlfn.AGGREGATE(14,6,Mantenciones!$A$2:$A$9968/(Mantenciones!$B$2:$B$9968=$A6),1),"")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IFERROR(_xlfn.AGGREGATE(14,6,Mantenciones!$A$2:$A$9968/(Mantenciones!$B$2:$B$9968=$A7),1),"")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46306</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IFERROR(_xlfn.AGGREGATE(14,6,Mantenciones!$A$2:$A$9968/(Mantenciones!$B$2:$B$9968=$A8),1),"")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46454</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IFERROR(_xlfn.AGGREGATE(14,6,Mantenciones!$A$2:$A$9968/(Mantenciones!$B$2:$B$9968=$A9),1),"")</f>
        <v>46044</v>
      </c>
      <c r="N9" s="29" cm="1">
        <f t="array" ref="N9">IFERROR(_xlfn.AGGREGATE(14,6,'Compras PM'!$A$4:$A$10029/('Compras PM'!$C$4:$C$10029=$A9),1),"")</f>
        <v>46093.460116550901</v>
      </c>
      <c r="O9" s="29">
        <f>IFERROR(VLOOKUP($A9,Maestro_Equipos!$A$4:$AG$242,27,FALSE()),"")</f>
        <v>46044</v>
      </c>
      <c r="P9" s="30">
        <f ca="1">IFERROR(IF($N9="","",IF(OR($M9="",$M9&lt;$N9),TODAY()-$N9,$M9-$N9)),"")</f>
        <v>145.53988344909885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46384</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IFERROR(_xlfn.AGGREGATE(14,6,Mantenciones!$A$2:$A$9968/(Mantenciones!$B$2:$B$9968=$A10),1),"")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IFERROR(_xlfn.AGGREGATE(14,6,Mantenciones!$A$2:$A$9968/(Mantenciones!$B$2:$B$9968=$A11),1),"")</f>
        <v>45015</v>
      </c>
      <c r="N11" s="29" cm="1">
        <f t="array" ref="N11">IFERROR(_xlfn.AGGREGATE(14,6,'Compras PM'!$A$4:$A$10029/('Compras PM'!$C$4:$C$10029=$A11),1),"")</f>
        <v>46146.541249803202</v>
      </c>
      <c r="O11" s="29" t="str">
        <f>IFERROR(VLOOKUP($A11,Maestro_Equipos!$A$4:$AG$242,27,FALSE()),"")</f>
        <v/>
      </c>
      <c r="P11" s="30">
        <f ca="1">IFERROR(IF($N11="","",IF(OR($M11="",$M11&lt;$N11),TODAY()-$N11,$M11-$N11)),"")</f>
        <v>92.458750196798064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51186</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IFERROR(_xlfn.AGGREGATE(14,6,Mantenciones!$A$2:$A$9968/(Mantenciones!$B$2:$B$9968=$A12),1),"")</f>
        <v>46093</v>
      </c>
      <c r="N12" s="29" cm="1">
        <f t="array" ref="N12">IFERROR(_xlfn.AGGREGATE(14,6,'Compras PM'!$A$4:$A$10029/('Compras PM'!$C$4:$C$10029=$A12),1),"")</f>
        <v>46204</v>
      </c>
      <c r="O12" s="29">
        <f>IFERROR(VLOOKUP($A12,Maestro_Equipos!$A$4:$AG$242,27,FALSE()),"")</f>
        <v>46091</v>
      </c>
      <c r="P12" s="30">
        <f ca="1">IFERROR(IF($N12="","",IF(OR($M12="",$M12&lt;$N12),TODAY()-$N12,$M12-$N12)),"")</f>
        <v>35</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IFERROR(_xlfn.AGGREGATE(14,6,Mantenciones!$A$2:$A$9968/(Mantenciones!$B$2:$B$9968=$A13),1),"")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IFERROR(_xlfn.AGGREGATE(14,6,Mantenciones!$A$2:$A$9968/(Mantenciones!$B$2:$B$9968=$A14),1),"")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IFERROR(_xlfn.AGGREGATE(14,6,Mantenciones!$A$2:$A$9968/(Mantenciones!$B$2:$B$9968=$A15),1),"")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IFERROR(_xlfn.AGGREGATE(14,6,Mantenciones!$A$2:$A$9968/(Mantenciones!$B$2:$B$9968=$A16),1),"")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46278</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IFERROR(_xlfn.AGGREGATE(14,6,Mantenciones!$A$2:$A$9968/(Mantenciones!$B$2:$B$9968=$A17),1),"")</f>
        <v>46147</v>
      </c>
      <c r="N17" s="29" cm="1">
        <f t="array" ref="N17">IFERROR(_xlfn.AGGREGATE(14,6,'Compras PM'!$A$4:$A$10029/('Compras PM'!$C$4:$C$10029=$A17),1),"")</f>
        <v>46184</v>
      </c>
      <c r="O17" s="29">
        <f>IFERROR(VLOOKUP($A17,Maestro_Equipos!$A$4:$AG$242,27,FALSE()),"")</f>
        <v>46134</v>
      </c>
      <c r="P17" s="30">
        <f ca="1">IFERROR(IF($N17="","",IF(OR($M17="",$M17&lt;$N17),TODAY()-$N17,$M17-$N17)),"")</f>
        <v>55</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46257</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IFERROR(_xlfn.AGGREGATE(14,6,Mantenciones!$A$2:$A$9968/(Mantenciones!$B$2:$B$9968=$A18),1),"")</f>
        <v>44937</v>
      </c>
      <c r="N18" s="29" cm="1">
        <f t="array" ref="N18">IFERROR(_xlfn.AGGREGATE(14,6,'Compras PM'!$A$4:$A$10029/('Compras PM'!$C$4:$C$10029=$A18),1),"")</f>
        <v>46100</v>
      </c>
      <c r="O18" s="29">
        <f>IFERROR(VLOOKUP($A18,Maestro_Equipos!$A$4:$AG$242,27,FALSE()),"")</f>
        <v>46062</v>
      </c>
      <c r="P18" s="30">
        <f ca="1">IFERROR(IF($N18="","",IF(OR($M18="",$M18&lt;$N18),TODAY()-$N18,$M18-$N18)),"")</f>
        <v>139</v>
      </c>
      <c r="Q18" s="30">
        <f ca="1">IFERROR(IF($O18="","",IF(OR($M18="",$M18&lt;$O18),TODAY()-$O18,$M18-$O18)),"")</f>
        <v>177</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IFERROR(_xlfn.AGGREGATE(14,6,Mantenciones!$A$2:$A$9968/(Mantenciones!$B$2:$B$9968=$A19),1),"")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IFERROR(_xlfn.AGGREGATE(14,6,Mantenciones!$A$2:$A$9968/(Mantenciones!$B$2:$B$9968=$A20),1),"")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IFERROR(_xlfn.AGGREGATE(14,6,Mantenciones!$A$2:$A$9968/(Mantenciones!$B$2:$B$9968=$A21),1),"")</f>
        <v/>
      </c>
      <c r="N21" s="67" cm="1">
        <f t="array" ref="N21">IFERROR(_xlfn.AGGREGATE(14,6,'Compras PM'!$A$4:$A$10029/('Compras PM'!$C$4:$C$10029=$A21),1),"")</f>
        <v>46184</v>
      </c>
      <c r="O21" s="67">
        <f>IFERROR(VLOOKUP($A21,Maestro_Equipos!$A$4:$AG$242,27,FALSE()),"")</f>
        <v>46161</v>
      </c>
      <c r="P21" s="68">
        <f ca="1">IFERROR(IF($N21="","",IF(OR($M21="",$M21&lt;$N21),TODAY()-$N21,$M21-$N21)),"")</f>
        <v>55</v>
      </c>
      <c r="Q21" s="68">
        <f ca="1">IFERROR(IF($O21="","",IF(OR($M21="",$M21&lt;$O21),TODAY()-$O21,$M21-$O21)),"")</f>
        <v>78</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367921</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IFERROR(_xlfn.AGGREGATE(14,6,Mantenciones!$A$2:$A$9968/(Mantenciones!$B$2:$B$9968=$A22),1),"")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46533</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IFERROR(_xlfn.AGGREGATE(14,6,Mantenciones!$A$2:$A$9968/(Mantenciones!$B$2:$B$9968=$A23),1),"")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46373</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IFERROR(_xlfn.AGGREGATE(14,6,Mantenciones!$A$2:$A$9968/(Mantenciones!$B$2:$B$9968=$A24),1),"")</f>
        <v>46085</v>
      </c>
      <c r="N24" s="29" cm="1">
        <f t="array" ref="N24">IFERROR(_xlfn.AGGREGATE(14,6,'Compras PM'!$A$4:$A$10029/('Compras PM'!$C$4:$C$10029=$A24),1),"")</f>
        <v>46178</v>
      </c>
      <c r="O24" s="29">
        <f>IFERROR(VLOOKUP($A24,Maestro_Equipos!$A$4:$AG$242,27,FALSE()),"")</f>
        <v>46080</v>
      </c>
      <c r="P24" s="30">
        <f ca="1">IFERROR(IF($N24="","",IF(OR($M24="",$M24&lt;$N24),TODAY()-$N24,$M24-$N24)),"")</f>
        <v>61</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46347</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IFERROR(_xlfn.AGGREGATE(14,6,Mantenciones!$A$2:$A$9968/(Mantenciones!$B$2:$B$9968=$A25),1),"")</f>
        <v>46157</v>
      </c>
      <c r="N25" s="29" cm="1">
        <f t="array" ref="N25">IFERROR(_xlfn.AGGREGATE(14,6,'Compras PM'!$A$4:$A$10029/('Compras PM'!$C$4:$C$10029=$A25),1),"")</f>
        <v>46191</v>
      </c>
      <c r="O25" s="29">
        <f>IFERROR(VLOOKUP($A25,Maestro_Equipos!$A$4:$AG$242,27,FALSE()),"")</f>
        <v>46157</v>
      </c>
      <c r="P25" s="30">
        <f ca="1">IFERROR(IF($N25="","",IF(OR($M25="",$M25&lt;$N25),TODAY()-$N25,$M25-$N25)),"")</f>
        <v>48</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IFERROR(_xlfn.AGGREGATE(14,6,Mantenciones!$A$2:$A$9968/(Mantenciones!$B$2:$B$9968=$A26),1),"")</f>
        <v>46093</v>
      </c>
      <c r="N26" s="29" cm="1">
        <f t="array" ref="N26">IFERROR(_xlfn.AGGREGATE(14,6,'Compras PM'!$A$4:$A$10029/('Compras PM'!$C$4:$C$10029=$A26),1),"")</f>
        <v>46178</v>
      </c>
      <c r="O26" s="29">
        <f>IFERROR(VLOOKUP($A26,Maestro_Equipos!$A$4:$AG$242,27,FALSE()),"")</f>
        <v>46080</v>
      </c>
      <c r="P26" s="30">
        <f ca="1">IFERROR(IF($N26="","",IF(OR($M26="",$M26&lt;$N26),TODAY()-$N26,$M26-$N26)),"")</f>
        <v>61</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IFERROR(_xlfn.AGGREGATE(14,6,Mantenciones!$A$2:$A$9968/(Mantenciones!$B$2:$B$9968=$A27),1),"")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IFERROR(_xlfn.AGGREGATE(14,6,Mantenciones!$A$2:$A$9968/(Mantenciones!$B$2:$B$9968=$A28),1),"")</f>
        <v/>
      </c>
      <c r="N28" s="29" cm="1">
        <f t="array" ref="N28">IFERROR(_xlfn.AGGREGATE(14,6,'Compras PM'!$A$4:$A$10029/('Compras PM'!$C$4:$C$10029=$A28),1),"")</f>
        <v>46178</v>
      </c>
      <c r="O28" s="29">
        <f>IFERROR(VLOOKUP($A28,Maestro_Equipos!$A$4:$AG$242,27,FALSE()),"")</f>
        <v>46080</v>
      </c>
      <c r="P28" s="30">
        <f ca="1">IFERROR(IF($N28="","",IF(OR($M28="",$M28&lt;$N28),TODAY()-$N28,$M28-$N28)),"")</f>
        <v>61</v>
      </c>
      <c r="Q28" s="30">
        <f ca="1">IFERROR(IF($O28="","",IF(OR($M28="",$M28&lt;$O28),TODAY()-$O28,$M28-$O28)),"")</f>
        <v>159</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IFERROR(_xlfn.AGGREGATE(14,6,Mantenciones!$A$2:$A$9968/(Mantenciones!$B$2:$B$9968=$A29),1),"")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IFERROR(_xlfn.AGGREGATE(14,6,Mantenciones!$A$2:$A$9968/(Mantenciones!$B$2:$B$9968=$A30),1),"")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IFERROR(_xlfn.AGGREGATE(14,6,Mantenciones!$A$2:$A$9968/(Mantenciones!$B$2:$B$9968=$A31),1),"")</f>
        <v/>
      </c>
      <c r="N31" s="29" cm="1">
        <f t="array" ref="N31">IFERROR(_xlfn.AGGREGATE(14,6,'Compras PM'!$A$4:$A$10029/('Compras PM'!$C$4:$C$10029=$A31),1),"")</f>
        <v>46146.415785219899</v>
      </c>
      <c r="O31" s="29">
        <f>IFERROR(VLOOKUP($A31,Maestro_Equipos!$A$4:$AG$242,27,FALSE()),"")</f>
        <v>46148</v>
      </c>
      <c r="P31" s="30">
        <f ca="1">IFERROR(IF($N31="","",IF(OR($M31="",$M31&lt;$N31),TODAY()-$N31,$M31-$N31)),"")</f>
        <v>92.58421478010132</v>
      </c>
      <c r="Q31" s="30">
        <f ca="1">IFERROR(IF($O31="","",IF(OR($M31="",$M31&lt;$O31),TODAY()-$O31,$M31-$O31)),"")</f>
        <v>91</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IFERROR(_xlfn.AGGREGATE(14,6,Mantenciones!$A$2:$A$9968/(Mantenciones!$B$2:$B$9968=$A32),1),"")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IFERROR(_xlfn.AGGREGATE(14,6,Mantenciones!$A$2:$A$9968/(Mantenciones!$B$2:$B$9968=$A33),1),"")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IFERROR(_xlfn.AGGREGATE(14,6,Mantenciones!$A$2:$A$9968/(Mantenciones!$B$2:$B$9968=$A34),1),"")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71814</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IFERROR(_xlfn.AGGREGATE(14,6,Mantenciones!$A$2:$A$9968/(Mantenciones!$B$2:$B$9968=$A35),1),"")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IFERROR(_xlfn.AGGREGATE(14,6,Mantenciones!$A$2:$A$9968/(Mantenciones!$B$2:$B$9968=$A36),1),"")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IFERROR(_xlfn.AGGREGATE(14,6,Mantenciones!$A$2:$A$9968/(Mantenciones!$B$2:$B$9968=$A37),1),"")</f>
        <v/>
      </c>
      <c r="N37" s="29" cm="1">
        <f t="array" ref="N37">IFERROR(_xlfn.AGGREGATE(14,6,'Compras PM'!$A$4:$A$10029/('Compras PM'!$C$4:$C$10029=$A37),1),"")</f>
        <v>46146.415869710603</v>
      </c>
      <c r="O37" s="29" t="str">
        <f>IFERROR(VLOOKUP($A37,Maestro_Equipos!$A$4:$AG$242,27,FALSE()),"")</f>
        <v/>
      </c>
      <c r="P37" s="30">
        <f ca="1">IFERROR(IF($N37="","",IF(OR($M37="",$M37&lt;$N37),TODAY()-$N37,$M37-$N37)),"")</f>
        <v>92.584130289396853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IFERROR(_xlfn.AGGREGATE(14,6,Mantenciones!$A$2:$A$9968/(Mantenciones!$B$2:$B$9968=$A38),1),"")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46508</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IFERROR(_xlfn.AGGREGATE(14,6,Mantenciones!$A$2:$A$9968/(Mantenciones!$B$2:$B$9968=$A39),1),"")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IFERROR(_xlfn.AGGREGATE(14,6,Mantenciones!$A$2:$A$9968/(Mantenciones!$B$2:$B$9968=$A40),1),"")</f>
        <v/>
      </c>
      <c r="N40" s="29" cm="1">
        <f t="array" ref="N40">IFERROR(_xlfn.AGGREGATE(14,6,'Compras PM'!$A$4:$A$10029/('Compras PM'!$C$4:$C$10029=$A40),1),"")</f>
        <v>46199</v>
      </c>
      <c r="O40" s="29" t="str">
        <f>IFERROR(VLOOKUP($A40,Maestro_Equipos!$A$4:$AG$242,27,FALSE()),"")</f>
        <v/>
      </c>
      <c r="P40" s="30">
        <f ca="1">IFERROR(IF($N40="","",IF(OR($M40="",$M40&lt;$N40),TODAY()-$N40,$M40-$N40)),"")</f>
        <v>40</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IFERROR(_xlfn.AGGREGATE(14,6,Mantenciones!$A$2:$A$9968/(Mantenciones!$B$2:$B$9968=$A41),1),"")</f>
        <v>46168</v>
      </c>
      <c r="N41" s="29" cm="1">
        <f t="array" ref="N41">IFERROR(_xlfn.AGGREGATE(14,6,'Compras PM'!$A$4:$A$10029/('Compras PM'!$C$4:$C$10029=$A41),1),"")</f>
        <v>46174</v>
      </c>
      <c r="O41" s="29">
        <f>IFERROR(VLOOKUP($A41,Maestro_Equipos!$A$4:$AG$242,27,FALSE()),"")</f>
        <v>46169</v>
      </c>
      <c r="P41" s="30">
        <f ca="1">IFERROR(IF($N41="","",IF(OR($M41="",$M41&lt;$N41),TODAY()-$N41,$M41-$N41)),"")</f>
        <v>65</v>
      </c>
      <c r="Q41" s="30">
        <f ca="1">IFERROR(IF($O41="","",IF(OR($M41="",$M41&lt;$O41),TODAY()-$O41,$M41-$O41)),"")</f>
        <v>70</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IFERROR(_xlfn.AGGREGATE(14,6,Mantenciones!$A$2:$A$9968/(Mantenciones!$B$2:$B$9968=$A42),1),"")</f>
        <v/>
      </c>
      <c r="N42" s="67" cm="1">
        <f t="array" ref="N42">IFERROR(_xlfn.AGGREGATE(14,6,'Compras PM'!$A$4:$A$10029/('Compras PM'!$C$4:$C$10029=$A42),1),"")</f>
        <v>46204</v>
      </c>
      <c r="O42" s="67" t="str">
        <f>IFERROR(VLOOKUP($A42,Maestro_Equipos!$A$4:$AG$242,27,FALSE()),"")</f>
        <v/>
      </c>
      <c r="P42" s="68">
        <f ca="1">IFERROR(IF($N42="","",IF(OR($M42="",$M42&lt;$N42),TODAY()-$N42,$M42-$N42)),"")</f>
        <v>35</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46326</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IFERROR(_xlfn.AGGREGATE(14,6,Mantenciones!$A$2:$A$9968/(Mantenciones!$B$2:$B$9968=$A43),1),"")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68370</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IFERROR(_xlfn.AGGREGATE(14,6,Mantenciones!$A$2:$A$9968/(Mantenciones!$B$2:$B$9968=$A44),1),"")</f>
        <v>46162</v>
      </c>
      <c r="N44" s="29" cm="1">
        <f t="array" ref="N44">IFERROR(_xlfn.AGGREGATE(14,6,'Compras PM'!$A$4:$A$10029/('Compras PM'!$C$4:$C$10029=$A44),1),"")</f>
        <v>46177</v>
      </c>
      <c r="O44" s="29">
        <f>IFERROR(VLOOKUP($A44,Maestro_Equipos!$A$4:$AG$242,27,FALSE()),"")</f>
        <v>46155</v>
      </c>
      <c r="P44" s="30">
        <f ca="1">IFERROR(IF($N44="","",IF(OR($M44="",$M44&lt;$N44),TODAY()-$N44,$M44-$N44)),"")</f>
        <v>62</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149398</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IFERROR(_xlfn.AGGREGATE(14,6,Mantenciones!$A$2:$A$9968/(Mantenciones!$B$2:$B$9968=$A45),1),"")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46402</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IFERROR(_xlfn.AGGREGATE(14,6,Mantenciones!$A$2:$A$9968/(Mantenciones!$B$2:$B$9968=$A46),1),"")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IFERROR(_xlfn.AGGREGATE(14,6,Mantenciones!$A$2:$A$9968/(Mantenciones!$B$2:$B$9968=$A47),1),"")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IFERROR(_xlfn.AGGREGATE(14,6,Mantenciones!$A$2:$A$9968/(Mantenciones!$B$2:$B$9968=$A48),1),"")</f>
        <v>44609</v>
      </c>
      <c r="N48" s="29" cm="1">
        <f t="array" ref="N48">IFERROR(_xlfn.AGGREGATE(14,6,'Compras PM'!$A$4:$A$10029/('Compras PM'!$C$4:$C$10029=$A48),1),"")</f>
        <v>46104.621280289401</v>
      </c>
      <c r="O48" s="29" t="str">
        <f>IFERROR(VLOOKUP($A48,Maestro_Equipos!$A$4:$AG$242,27,FALSE()),"")</f>
        <v/>
      </c>
      <c r="P48" s="30">
        <f ca="1">IFERROR(IF($N48="","",IF(OR($M48="",$M48&lt;$N48),TODAY()-$N48,$M48-$N48)),"")</f>
        <v>134.3787197105994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46244</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IFERROR(_xlfn.AGGREGATE(14,6,Mantenciones!$A$2:$A$9968/(Mantenciones!$B$2:$B$9968=$A49),1),"")</f>
        <v>46154</v>
      </c>
      <c r="N49" s="29" cm="1">
        <f t="array" ref="N49">IFERROR(_xlfn.AGGREGATE(14,6,'Compras PM'!$A$4:$A$10029/('Compras PM'!$C$4:$C$10029=$A49),1),"")</f>
        <v>46154.502627812501</v>
      </c>
      <c r="O49" s="29">
        <f>IFERROR(VLOOKUP($A49,Maestro_Equipos!$A$4:$AG$242,27,FALSE()),"")</f>
        <v>46153</v>
      </c>
      <c r="P49" s="30">
        <f ca="1">IFERROR(IF($N49="","",IF(OR($M49="",$M49&lt;$N49),TODAY()-$N49,$M49-$N49)),"")</f>
        <v>84.497372187499423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IFERROR(_xlfn.AGGREGATE(14,6,Mantenciones!$A$2:$A$9968/(Mantenciones!$B$2:$B$9968=$A50),1),"")</f>
        <v>45026</v>
      </c>
      <c r="N50" s="29" cm="1">
        <f t="array" ref="N50">IFERROR(_xlfn.AGGREGATE(14,6,'Compras PM'!$A$4:$A$10029/('Compras PM'!$C$4:$C$10029=$A50),1),"")</f>
        <v>46078.661368634297</v>
      </c>
      <c r="O50" s="29">
        <f>IFERROR(VLOOKUP($A50,Maestro_Equipos!$A$4:$AG$242,27,FALSE()),"")</f>
        <v>46087</v>
      </c>
      <c r="P50" s="30">
        <f ca="1">IFERROR(IF($N50="","",IF(OR($M50="",$M50&lt;$N50),TODAY()-$N50,$M50-$N50)),"")</f>
        <v>160.33863136570289</v>
      </c>
      <c r="Q50" s="30">
        <f ca="1">IFERROR(IF($O50="","",IF(OR($M50="",$M50&lt;$O50),TODAY()-$O50,$M50-$O50)),"")</f>
        <v>152</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IFERROR(_xlfn.AGGREGATE(14,6,Mantenciones!$A$2:$A$9968/(Mantenciones!$B$2:$B$9968=$A51),1),"")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IFERROR(_xlfn.AGGREGATE(14,6,Mantenciones!$A$2:$A$9968/(Mantenciones!$B$2:$B$9968=$A52),1),"")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48869</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IFERROR(_xlfn.AGGREGATE(14,6,Mantenciones!$A$2:$A$9968/(Mantenciones!$B$2:$B$9968=$A53),1),"")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46300</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IFERROR(_xlfn.AGGREGATE(14,6,Mantenciones!$A$2:$A$9968/(Mantenciones!$B$2:$B$9968=$A54),1),"")</f>
        <v>45019</v>
      </c>
      <c r="N54" s="29" cm="1">
        <f t="array" ref="N54">IFERROR(_xlfn.AGGREGATE(14,6,'Compras PM'!$A$4:$A$10029/('Compras PM'!$C$4:$C$10029=$A54),1),"")</f>
        <v>46076.483925694498</v>
      </c>
      <c r="O54" s="29">
        <f>IFERROR(VLOOKUP($A54,Maestro_Equipos!$A$4:$AG$242,27,FALSE()),"")</f>
        <v>46085</v>
      </c>
      <c r="P54" s="30">
        <f ca="1">IFERROR(IF($N54="","",IF(OR($M54="",$M54&lt;$N54),TODAY()-$N54,$M54-$N54)),"")</f>
        <v>162.51607430550212</v>
      </c>
      <c r="Q54" s="30">
        <f ca="1">IFERROR(IF($O54="","",IF(OR($M54="",$M54&lt;$O54),TODAY()-$O54,$M54-$O54)),"")</f>
        <v>154</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IFERROR(_xlfn.AGGREGATE(14,6,Mantenciones!$A$2:$A$9968/(Mantenciones!$B$2:$B$9968=$A55),1),"")</f>
        <v>46066</v>
      </c>
      <c r="N55" s="29" cm="1">
        <f t="array" ref="N55">IFERROR(_xlfn.AGGREGATE(14,6,'Compras PM'!$A$4:$A$10029/('Compras PM'!$C$4:$C$10029=$A55),1),"")</f>
        <v>46093.460116550901</v>
      </c>
      <c r="O55" s="29">
        <f>IFERROR(VLOOKUP($A55,Maestro_Equipos!$A$4:$AG$242,27,FALSE()),"")</f>
        <v>46077</v>
      </c>
      <c r="P55" s="30">
        <f ca="1">IFERROR(IF($N55="","",IF(OR($M55="",$M55&lt;$N55),TODAY()-$N55,$M55-$N55)),"")</f>
        <v>145.53988344909885</v>
      </c>
      <c r="Q55" s="30">
        <f ca="1">IFERROR(IF($O55="","",IF(OR($M55="",$M55&lt;$O55),TODAY()-$O55,$M55-$O55)),"")</f>
        <v>162</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46789</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IFERROR(_xlfn.AGGREGATE(14,6,Mantenciones!$A$2:$A$9968/(Mantenciones!$B$2:$B$9968=$A56),1),"")</f>
        <v>46178</v>
      </c>
      <c r="N56" s="29" cm="1">
        <f t="array" ref="N56">IFERROR(_xlfn.AGGREGATE(14,6,'Compras PM'!$A$4:$A$10029/('Compras PM'!$C$4:$C$10029=$A56),1),"")</f>
        <v>46191</v>
      </c>
      <c r="O56" s="29">
        <f>IFERROR(VLOOKUP($A56,Maestro_Equipos!$A$4:$AG$242,27,FALSE()),"")</f>
        <v>46181</v>
      </c>
      <c r="P56" s="30">
        <f ca="1">IFERROR(IF($N56="","",IF(OR($M56="",$M56&lt;$N56),TODAY()-$N56,$M56-$N56)),"")</f>
        <v>48</v>
      </c>
      <c r="Q56" s="30">
        <f ca="1">IFERROR(IF($O56="","",IF(OR($M56="",$M56&lt;$O56),TODAY()-$O56,$M56-$O56)),"")</f>
        <v>58</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46358</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IFERROR(_xlfn.AGGREGATE(14,6,Mantenciones!$A$2:$A$9968/(Mantenciones!$B$2:$B$9968=$A57),1),"")</f>
        <v>46149</v>
      </c>
      <c r="N57" s="29" cm="1">
        <f t="array" ref="N57">IFERROR(_xlfn.AGGREGATE(14,6,'Compras PM'!$A$4:$A$10029/('Compras PM'!$C$4:$C$10029=$A57),1),"")</f>
        <v>46191</v>
      </c>
      <c r="O57" s="29">
        <f>IFERROR(VLOOKUP($A57,Maestro_Equipos!$A$4:$AG$242,27,FALSE()),"")</f>
        <v>46105</v>
      </c>
      <c r="P57" s="30">
        <f ca="1">IFERROR(IF($N57="","",IF(OR($M57="",$M57&lt;$N57),TODAY()-$N57,$M57-$N57)),"")</f>
        <v>48</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IFERROR(_xlfn.AGGREGATE(14,6,Mantenciones!$A$2:$A$9968/(Mantenciones!$B$2:$B$9968=$A58),1),"")</f>
        <v>46100</v>
      </c>
      <c r="N58" s="29" cm="1">
        <f t="array" ref="N58">IFERROR(_xlfn.AGGREGATE(14,6,'Compras PM'!$A$4:$A$10029/('Compras PM'!$C$4:$C$10029=$A58),1),"")</f>
        <v>46191</v>
      </c>
      <c r="O58" s="29">
        <f>IFERROR(VLOOKUP($A58,Maestro_Equipos!$A$4:$AG$242,27,FALSE()),"")</f>
        <v>46097</v>
      </c>
      <c r="P58" s="30">
        <f ca="1">IFERROR(IF($N58="","",IF(OR($M58="",$M58&lt;$N58),TODAY()-$N58,$M58-$N58)),"")</f>
        <v>48</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IFERROR(_xlfn.AGGREGATE(14,6,Mantenciones!$A$2:$A$9968/(Mantenciones!$B$2:$B$9968=$A59),1),"")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IFERROR(_xlfn.AGGREGATE(14,6,Mantenciones!$A$2:$A$9968/(Mantenciones!$B$2:$B$9968=$A60),1),"")</f>
        <v>45042</v>
      </c>
      <c r="N60" s="29" cm="1">
        <f t="array" ref="N60">IFERROR(_xlfn.AGGREGATE(14,6,'Compras PM'!$A$4:$A$10029/('Compras PM'!$C$4:$C$10029=$A60),1),"")</f>
        <v>46093.649381215298</v>
      </c>
      <c r="O60" s="29" t="str">
        <f>IFERROR(VLOOKUP($A60,Maestro_Equipos!$A$4:$AG$242,27,FALSE()),"")</f>
        <v/>
      </c>
      <c r="P60" s="30">
        <f ca="1">IFERROR(IF($N60="","",IF(OR($M60="",$M60&lt;$N60),TODAY()-$N60,$M60-$N60)),"")</f>
        <v>145.35061878470151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IFERROR(_xlfn.AGGREGATE(14,6,Mantenciones!$A$2:$A$9968/(Mantenciones!$B$2:$B$9968=$A61),1),"")</f>
        <v>45216</v>
      </c>
      <c r="N61" s="29" cm="1">
        <f t="array" ref="N61">IFERROR(_xlfn.AGGREGATE(14,6,'Compras PM'!$A$4:$A$10029/('Compras PM'!$C$4:$C$10029=$A61),1),"")</f>
        <v>46079.431099421301</v>
      </c>
      <c r="O61" s="29" t="str">
        <f>IFERROR(VLOOKUP($A61,Maestro_Equipos!$A$4:$AG$242,27,FALSE()),"")</f>
        <v/>
      </c>
      <c r="P61" s="30">
        <f ca="1">IFERROR(IF($N61="","",IF(OR($M61="",$M61&lt;$N61),TODAY()-$N61,$M61-$N61)),"")</f>
        <v>159.56890057869896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46344</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IFERROR(_xlfn.AGGREGATE(14,6,Mantenciones!$A$2:$A$9968/(Mantenciones!$B$2:$B$9968=$A62),1),"")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71084</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IFERROR(_xlfn.AGGREGATE(14,6,Mantenciones!$A$2:$A$9968/(Mantenciones!$B$2:$B$9968=$A63),1),"")</f>
        <v>45218</v>
      </c>
      <c r="N63" s="29" cm="1">
        <f t="array" ref="N63">IFERROR(_xlfn.AGGREGATE(14,6,'Compras PM'!$A$4:$A$10029/('Compras PM'!$C$4:$C$10029=$A63),1),"")</f>
        <v>46142.533922106501</v>
      </c>
      <c r="O63" s="29">
        <f>IFERROR(VLOOKUP($A63,Maestro_Equipos!$A$4:$AG$242,27,FALSE()),"")</f>
        <v>46097</v>
      </c>
      <c r="P63" s="30">
        <f ca="1">IFERROR(IF($N63="","",IF(OR($M63="",$M63&lt;$N63),TODAY()-$N63,$M63-$N63)),"")</f>
        <v>96.46607789349946</v>
      </c>
      <c r="Q63" s="30">
        <f ca="1">IFERROR(IF($O63="","",IF(OR($M63="",$M63&lt;$O63),TODAY()-$O63,$M63-$O63)),"")</f>
        <v>142</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IFERROR(_xlfn.AGGREGATE(14,6,Mantenciones!$A$2:$A$9968/(Mantenciones!$B$2:$B$9968=$A64),1),"")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46362</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IFERROR(_xlfn.AGGREGATE(14,6,Mantenciones!$A$2:$A$9968/(Mantenciones!$B$2:$B$9968=$A65),1),"")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IFERROR(_xlfn.AGGREGATE(14,6,Mantenciones!$A$2:$A$9968/(Mantenciones!$B$2:$B$9968=$A66),1),"")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IFERROR(_xlfn.AGGREGATE(14,6,Mantenciones!$A$2:$A$9968/(Mantenciones!$B$2:$B$9968=$A67),1),"")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46434</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IFERROR(_xlfn.AGGREGATE(14,6,Mantenciones!$A$2:$A$9968/(Mantenciones!$B$2:$B$9968=$A68),1),"")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46320</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IFERROR(_xlfn.AGGREGATE(14,6,Mantenciones!$A$2:$A$9968/(Mantenciones!$B$2:$B$9968=$A69),1),"")</f>
        <v>46108</v>
      </c>
      <c r="N69" s="29" cm="1">
        <f t="array" ref="N69">IFERROR(_xlfn.AGGREGATE(14,6,'Compras PM'!$A$4:$A$10029/('Compras PM'!$C$4:$C$10029=$A69),1),"")</f>
        <v>46146.541044791702</v>
      </c>
      <c r="O69" s="29">
        <f>IFERROR(VLOOKUP($A69,Maestro_Equipos!$A$4:$AG$242,27,FALSE()),"")</f>
        <v>46104</v>
      </c>
      <c r="P69" s="30">
        <f ca="1">IFERROR(IF($N69="","",IF(OR($M69="",$M69&lt;$N69),TODAY()-$N69,$M69-$N69)),"")</f>
        <v>92.458955208297994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IFERROR(_xlfn.AGGREGATE(14,6,Mantenciones!$A$2:$A$9968/(Mantenciones!$B$2:$B$9968=$A70),1),"")</f>
        <v>44882</v>
      </c>
      <c r="N70" s="29" cm="1">
        <f t="array" ref="N70">IFERROR(_xlfn.AGGREGATE(14,6,'Compras PM'!$A$4:$A$10029/('Compras PM'!$C$4:$C$10029=$A70),1),"")</f>
        <v>46162.422470868099</v>
      </c>
      <c r="O70" s="29">
        <f>IFERROR(VLOOKUP($A70,Maestro_Equipos!$A$4:$AG$242,27,FALSE()),"")</f>
        <v>46160</v>
      </c>
      <c r="P70" s="30">
        <f ca="1">IFERROR(IF($N70="","",IF(OR($M70="",$M70&lt;$N70),TODAY()-$N70,$M70-$N70)),"")</f>
        <v>76.577529131900519</v>
      </c>
      <c r="Q70" s="30">
        <f ca="1">IFERROR(IF($O70="","",IF(OR($M70="",$M70&lt;$O70),TODAY()-$O70,$M70-$O70)),"")</f>
        <v>79</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IFERROR(_xlfn.AGGREGATE(14,6,Mantenciones!$A$2:$A$9968/(Mantenciones!$B$2:$B$9968=$A71),1),"")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IFERROR(_xlfn.AGGREGATE(14,6,Mantenciones!$A$2:$A$9968/(Mantenciones!$B$2:$B$9968=$A72),1),"")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46346</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IFERROR(_xlfn.AGGREGATE(14,6,Mantenciones!$A$2:$A$9968/(Mantenciones!$B$2:$B$9968=$A73),1),"")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IFERROR(_xlfn.AGGREGATE(14,6,Mantenciones!$A$2:$A$9968/(Mantenciones!$B$2:$B$9968=$A74),1),"")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46295</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IFERROR(_xlfn.AGGREGATE(14,6,Mantenciones!$A$2:$A$9968/(Mantenciones!$B$2:$B$9968=$A75),1),"")</f>
        <v>46107</v>
      </c>
      <c r="N75" s="29" cm="1">
        <f t="array" ref="N75">IFERROR(_xlfn.AGGREGATE(14,6,'Compras PM'!$A$4:$A$10029/('Compras PM'!$C$4:$C$10029=$A75),1),"")</f>
        <v>46113</v>
      </c>
      <c r="O75" s="29">
        <f>IFERROR(VLOOKUP($A75,Maestro_Equipos!$A$4:$AG$242,27,FALSE()),"")</f>
        <v>46105</v>
      </c>
      <c r="P75" s="30">
        <f ca="1">IFERROR(IF($N75="","",IF(OR($M75="",$M75&lt;$N75),TODAY()-$N75,$M75-$N75)),"")</f>
        <v>126</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IFERROR(_xlfn.AGGREGATE(14,6,Mantenciones!$A$2:$A$9968/(Mantenciones!$B$2:$B$9968=$A76),1),"")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IFERROR(_xlfn.AGGREGATE(14,6,Mantenciones!$A$2:$A$9968/(Mantenciones!$B$2:$B$9968=$A77),1),"")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IFERROR(_xlfn.AGGREGATE(14,6,Mantenciones!$A$2:$A$9968/(Mantenciones!$B$2:$B$9968=$A78),1),"")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46346</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IFERROR(_xlfn.AGGREGATE(14,6,Mantenciones!$A$2:$A$9968/(Mantenciones!$B$2:$B$9968=$A79),1),"")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IFERROR(_xlfn.AGGREGATE(14,6,Mantenciones!$A$2:$A$9968/(Mantenciones!$B$2:$B$9968=$A80),1),"")</f>
        <v/>
      </c>
      <c r="N80" s="29" cm="1">
        <f t="array" ref="N80">IFERROR(_xlfn.AGGREGATE(14,6,'Compras PM'!$A$4:$A$10029/('Compras PM'!$C$4:$C$10029=$A80),1),"")</f>
        <v>46147.636475544001</v>
      </c>
      <c r="O80" s="29" t="str">
        <f>IFERROR(VLOOKUP($A80,Maestro_Equipos!$A$4:$AG$242,27,FALSE()),"")</f>
        <v/>
      </c>
      <c r="P80" s="30">
        <f ca="1">IFERROR(IF($N80="","",IF(OR($M80="",$M80&lt;$N80),TODAY()-$N80,$M80-$N80)),"")</f>
        <v>91.363524455999141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46298</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IFERROR(_xlfn.AGGREGATE(14,6,Mantenciones!$A$2:$A$9968/(Mantenciones!$B$2:$B$9968=$A81),1),"")</f>
        <v>46111</v>
      </c>
      <c r="N81" s="29" cm="1">
        <f t="array" ref="N81">IFERROR(_xlfn.AGGREGATE(14,6,'Compras PM'!$A$4:$A$10029/('Compras PM'!$C$4:$C$10029=$A81),1),"")</f>
        <v>46114</v>
      </c>
      <c r="O81" s="29">
        <f>IFERROR(VLOOKUP($A81,Maestro_Equipos!$A$4:$AG$242,27,FALSE()),"")</f>
        <v>46105</v>
      </c>
      <c r="P81" s="30">
        <f ca="1">IFERROR(IF($N81="","",IF(OR($M81="",$M81&lt;$N81),TODAY()-$N81,$M81-$N81)),"")</f>
        <v>125</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IFERROR(_xlfn.AGGREGATE(14,6,Mantenciones!$A$2:$A$9968/(Mantenciones!$B$2:$B$9968=$A82),1),"")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46434</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IFERROR(_xlfn.AGGREGATE(14,6,Mantenciones!$A$2:$A$9968/(Mantenciones!$B$2:$B$9968=$A83),1),"")</f>
        <v>46097</v>
      </c>
      <c r="N83" s="67" cm="1">
        <f t="array" ref="N83">IFERROR(_xlfn.AGGREGATE(14,6,'Compras PM'!$A$4:$A$10029/('Compras PM'!$C$4:$C$10029=$A83),1),"")</f>
        <v>46104.729813854203</v>
      </c>
      <c r="O83" s="67" t="str">
        <f>IFERROR(VLOOKUP($A83,Maestro_Equipos!$A$4:$AG$242,27,FALSE()),"")</f>
        <v/>
      </c>
      <c r="P83" s="68">
        <f ca="1">IFERROR(IF($N83="","",IF(OR($M83="",$M83&lt;$N83),TODAY()-$N83,$M83-$N83)),"")</f>
        <v>134.2701861457972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IFERROR(_xlfn.AGGREGATE(14,6,Mantenciones!$A$2:$A$9968/(Mantenciones!$B$2:$B$9968=$A84),1),"")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46294</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IFERROR(_xlfn.AGGREGATE(14,6,Mantenciones!$A$2:$A$9968/(Mantenciones!$B$2:$B$9968=$A85),1),"")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46287</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IFERROR(_xlfn.AGGREGATE(14,6,Mantenciones!$A$2:$A$9968/(Mantenciones!$B$2:$B$9968=$A86),1),"")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46317</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IFERROR(_xlfn.AGGREGATE(14,6,Mantenciones!$A$2:$A$9968/(Mantenciones!$B$2:$B$9968=$A87),1),"")</f>
        <v>46098</v>
      </c>
      <c r="N87" s="29" cm="1">
        <f t="array" ref="N87">IFERROR(_xlfn.AGGREGATE(14,6,'Compras PM'!$A$4:$A$10029/('Compras PM'!$C$4:$C$10029=$A87),1),"")</f>
        <v>46132.714388622699</v>
      </c>
      <c r="O87" s="29" t="str">
        <f>IFERROR(VLOOKUP($A87,Maestro_Equipos!$A$4:$AG$242,27,FALSE()),"")</f>
        <v/>
      </c>
      <c r="P87" s="30">
        <f ca="1">IFERROR(IF($N87="","",IF(OR($M87="",$M87&lt;$N87),TODAY()-$N87,$M87-$N87)),"")</f>
        <v>106.28561137730139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46293</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IFERROR(_xlfn.AGGREGATE(14,6,Mantenciones!$A$2:$A$9968/(Mantenciones!$B$2:$B$9968=$A88),1),"")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47029</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IFERROR(_xlfn.AGGREGATE(14,6,Mantenciones!$A$2:$A$9968/(Mantenciones!$B$2:$B$9968=$A89),1),"")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IFERROR(_xlfn.AGGREGATE(14,6,Mantenciones!$A$2:$A$9968/(Mantenciones!$B$2:$B$9968=$A90),1),"")</f>
        <v/>
      </c>
      <c r="N90" s="29" cm="1">
        <f t="array" ref="N90">IFERROR(_xlfn.AGGREGATE(14,6,'Compras PM'!$A$4:$A$10029/('Compras PM'!$C$4:$C$10029=$A90),1),"")</f>
        <v>46104.379210416701</v>
      </c>
      <c r="O90" s="29" t="str">
        <f>IFERROR(VLOOKUP($A90,Maestro_Equipos!$A$4:$AG$242,27,FALSE()),"")</f>
        <v/>
      </c>
      <c r="P90" s="30">
        <f ca="1">IFERROR(IF($N90="","",IF(OR($M90="",$M90&lt;$N90),TODAY()-$N90,$M90-$N90)),"")</f>
        <v>134.62078958329948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46269</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IFERROR(_xlfn.AGGREGATE(14,6,Mantenciones!$A$2:$A$9968/(Mantenciones!$B$2:$B$9968=$A91),1),"")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IFERROR(_xlfn.AGGREGATE(14,6,Mantenciones!$A$2:$A$9968/(Mantenciones!$B$2:$B$9968=$A92),1),"")</f>
        <v/>
      </c>
      <c r="N92" s="29" cm="1">
        <f t="array" ref="N92">IFERROR(_xlfn.AGGREGATE(14,6,'Compras PM'!$A$4:$A$10029/('Compras PM'!$C$4:$C$10029=$A92),1),"")</f>
        <v>46106</v>
      </c>
      <c r="O92" s="29" t="str">
        <f>IFERROR(VLOOKUP($A92,Maestro_Equipos!$A$4:$AG$242,27,FALSE()),"")</f>
        <v/>
      </c>
      <c r="P92" s="30">
        <f ca="1">IFERROR(IF($N92="","",IF(OR($M92="",$M92&lt;$N92),TODAY()-$N92,$M92-$N92)),"")</f>
        <v>133</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159010</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IFERROR(_xlfn.AGGREGATE(14,6,Mantenciones!$A$2:$A$9968/(Mantenciones!$B$2:$B$9968=$A93),1),"")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46304</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IFERROR(_xlfn.AGGREGATE(14,6,Mantenciones!$A$2:$A$9968/(Mantenciones!$B$2:$B$9968=$A94),1),"")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46305</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IFERROR(_xlfn.AGGREGATE(14,6,Mantenciones!$A$2:$A$9968/(Mantenciones!$B$2:$B$9968=$A95),1),"")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46250</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IFERROR(_xlfn.AGGREGATE(14,6,Mantenciones!$A$2:$A$9968/(Mantenciones!$B$2:$B$9968=$A96),1),"")</f>
        <v>46086</v>
      </c>
      <c r="N96" s="29" cm="1">
        <f t="array" ref="N96">IFERROR(_xlfn.AGGREGATE(14,6,'Compras PM'!$A$4:$A$10029/('Compras PM'!$C$4:$C$10029=$A96),1),"")</f>
        <v>46189</v>
      </c>
      <c r="O96" s="29">
        <f>IFERROR(VLOOKUP($A96,Maestro_Equipos!$A$4:$AG$242,27,FALSE()),"")</f>
        <v>46080</v>
      </c>
      <c r="P96" s="30">
        <f ca="1">IFERROR(IF($N96="","",IF(OR($M96="",$M96&lt;$N96),TODAY()-$N96,$M96-$N96)),"")</f>
        <v>50</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46274</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IFERROR(_xlfn.AGGREGATE(14,6,Mantenciones!$A$2:$A$9968/(Mantenciones!$B$2:$B$9968=$A97),1),"")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IFERROR(_xlfn.AGGREGATE(14,6,Mantenciones!$A$2:$A$9968/(Mantenciones!$B$2:$B$9968=$A98),1),"")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42296</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IFERROR(_xlfn.AGGREGATE(14,6,Mantenciones!$A$2:$A$9968/(Mantenciones!$B$2:$B$9968=$A99),1),"")</f>
        <v>45204</v>
      </c>
      <c r="N99" s="29" cm="1">
        <f t="array" ref="N99">IFERROR(_xlfn.AGGREGATE(14,6,'Compras PM'!$A$4:$A$10029/('Compras PM'!$C$4:$C$10029=$A99),1),"")</f>
        <v>46118.4804357986</v>
      </c>
      <c r="O99" s="29" t="str">
        <f>IFERROR(VLOOKUP($A99,Maestro_Equipos!$A$4:$AG$242,27,FALSE()),"")</f>
        <v/>
      </c>
      <c r="P99" s="30">
        <f ca="1">IFERROR(IF($N99="","",IF(OR($M99="",$M99&lt;$N99),TODAY()-$N99,$M99-$N99)),"")</f>
        <v>120.5195642014005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IFERROR(_xlfn.AGGREGATE(14,6,Mantenciones!$A$2:$A$9968/(Mantenciones!$B$2:$B$9968=$A100),1),"")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IFERROR(_xlfn.AGGREGATE(14,6,Mantenciones!$A$2:$A$9968/(Mantenciones!$B$2:$B$9968=$A101),1),"")</f>
        <v>45273</v>
      </c>
      <c r="N101" s="67" cm="1">
        <f t="array" ref="N101">IFERROR(_xlfn.AGGREGATE(14,6,'Compras PM'!$A$4:$A$10029/('Compras PM'!$C$4:$C$10029=$A101),1),"")</f>
        <v>46154.391135497703</v>
      </c>
      <c r="O101" s="67" t="str">
        <f>IFERROR(VLOOKUP($A101,Maestro_Equipos!$A$4:$AG$242,27,FALSE()),"")</f>
        <v/>
      </c>
      <c r="P101" s="68">
        <f ca="1">IFERROR(IF($N101="","",IF(OR($M101="",$M101&lt;$N101),TODAY()-$N101,$M101-$N101)),"")</f>
        <v>84.608864502297365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46453</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IFERROR(_xlfn.AGGREGATE(14,6,Mantenciones!$A$2:$A$9968/(Mantenciones!$B$2:$B$9968=$A102),1),"")</f>
        <v>46085</v>
      </c>
      <c r="N102" s="67" cm="1">
        <f t="array" ref="N102">IFERROR(_xlfn.AGGREGATE(14,6,'Compras PM'!$A$4:$A$10029/('Compras PM'!$C$4:$C$10029=$A102),1),"")</f>
        <v>46196</v>
      </c>
      <c r="O102" s="67">
        <f>IFERROR(VLOOKUP($A102,Maestro_Equipos!$A$4:$AG$242,27,FALSE()),"")</f>
        <v>46085</v>
      </c>
      <c r="P102" s="68">
        <f ca="1">IFERROR(IF($N102="","",IF(OR($M102="",$M102&lt;$N102),TODAY()-$N102,$M102-$N102)),"")</f>
        <v>43</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45408</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IFERROR(_xlfn.AGGREGATE(14,6,Mantenciones!$A$2:$A$9968/(Mantenciones!$B$2:$B$9968=$A103),1),"")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166</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IFERROR(_xlfn.AGGREGATE(14,6,Mantenciones!$A$2:$A$9968/(Mantenciones!$B$2:$B$9968=$A104),1),"")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IFERROR(_xlfn.AGGREGATE(14,6,Mantenciones!$A$2:$A$9968/(Mantenciones!$B$2:$B$9968=$A105),1),"")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46303</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IFERROR(_xlfn.AGGREGATE(14,6,Mantenciones!$A$2:$A$9968/(Mantenciones!$B$2:$B$9968=$A106),1),"")</f>
        <v>46154</v>
      </c>
      <c r="N106" s="29" cm="1">
        <f t="array" ref="N106">IFERROR(_xlfn.AGGREGATE(14,6,'Compras PM'!$A$4:$A$10029/('Compras PM'!$C$4:$C$10029=$A106),1),"")</f>
        <v>46154.380285185202</v>
      </c>
      <c r="O106" s="29">
        <f>IFERROR(VLOOKUP($A106,Maestro_Equipos!$A$4:$AG$242,27,FALSE()),"")</f>
        <v>46148</v>
      </c>
      <c r="P106" s="30">
        <f ca="1">IFERROR(IF($N106="","",IF(OR($M106="",$M106&lt;$N106),TODAY()-$N106,$M106-$N106)),"")</f>
        <v>84.619714814798499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46445</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IFERROR(_xlfn.AGGREGATE(14,6,Mantenciones!$A$2:$A$9968/(Mantenciones!$B$2:$B$9968=$A107),1),"")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IFERROR(_xlfn.AGGREGATE(14,6,Mantenciones!$A$2:$A$9968/(Mantenciones!$B$2:$B$9968=$A108),1),"")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53088</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IFERROR(_xlfn.AGGREGATE(14,6,Mantenciones!$A$2:$A$9968/(Mantenciones!$B$2:$B$9968=$A109),1),"")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IFERROR(_xlfn.AGGREGATE(14,6,Mantenciones!$A$2:$A$9968/(Mantenciones!$B$2:$B$9968=$A110),1),"")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47489</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IFERROR(_xlfn.AGGREGATE(14,6,Mantenciones!$A$2:$A$9968/(Mantenciones!$B$2:$B$9968=$A111),1),"")</f>
        <v>46155</v>
      </c>
      <c r="N111" s="29" cm="1">
        <f t="array" ref="N111">IFERROR(_xlfn.AGGREGATE(14,6,'Compras PM'!$A$4:$A$10029/('Compras PM'!$C$4:$C$10029=$A111),1),"")</f>
        <v>46184</v>
      </c>
      <c r="O111" s="29">
        <f>IFERROR(VLOOKUP($A111,Maestro_Equipos!$A$4:$AG$242,27,FALSE()),"")</f>
        <v>46148</v>
      </c>
      <c r="P111" s="30">
        <f ca="1">IFERROR(IF($N111="","",IF(OR($M111="",$M111&lt;$N111),TODAY()-$N111,$M111-$N111)),"")</f>
        <v>55</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IFERROR(_xlfn.AGGREGATE(14,6,Mantenciones!$A$2:$A$9968/(Mantenciones!$B$2:$B$9968=$A112),1),"")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46823</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IFERROR(_xlfn.AGGREGATE(14,6,Mantenciones!$A$2:$A$9968/(Mantenciones!$B$2:$B$9968=$A113),1),"")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46253</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IFERROR(_xlfn.AGGREGATE(14,6,Mantenciones!$A$2:$A$9968/(Mantenciones!$B$2:$B$9968=$A114),1),"")</f>
        <v>46133</v>
      </c>
      <c r="N114" s="67" cm="1">
        <f t="array" ref="N114">IFERROR(_xlfn.AGGREGATE(14,6,'Compras PM'!$A$4:$A$10029/('Compras PM'!$C$4:$C$10029=$A114),1),"")</f>
        <v>46199</v>
      </c>
      <c r="O114" s="67">
        <f>IFERROR(VLOOKUP($A114,Maestro_Equipos!$A$4:$AG$242,27,FALSE()),"")</f>
        <v>46133</v>
      </c>
      <c r="P114" s="68">
        <f ca="1">IFERROR(IF($N114="","",IF(OR($M114="",$M114&lt;$N114),TODAY()-$N114,$M114-$N114)),"")</f>
        <v>40</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46303</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IFERROR(_xlfn.AGGREGATE(14,6,Mantenciones!$A$2:$A$9968/(Mantenciones!$B$2:$B$9968=$A115),1),"")</f>
        <v>46079</v>
      </c>
      <c r="N115" s="29" cm="1">
        <f t="array" ref="N115">IFERROR(_xlfn.AGGREGATE(14,6,'Compras PM'!$A$4:$A$10029/('Compras PM'!$C$4:$C$10029=$A115),1),"")</f>
        <v>46188</v>
      </c>
      <c r="O115" s="29">
        <f>IFERROR(VLOOKUP($A115,Maestro_Equipos!$A$4:$AG$242,27,FALSE()),"")</f>
        <v>46057</v>
      </c>
      <c r="P115" s="30">
        <f ca="1">IFERROR(IF($N115="","",IF(OR($M115="",$M115&lt;$N115),TODAY()-$N115,$M115-$N115)),"")</f>
        <v>51</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46472</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IFERROR(_xlfn.AGGREGATE(14,6,Mantenciones!$A$2:$A$9968/(Mantenciones!$B$2:$B$9968=$A116),1),"")</f>
        <v>46094</v>
      </c>
      <c r="N116" s="29" cm="1">
        <f t="array" ref="N116">IFERROR(_xlfn.AGGREGATE(14,6,'Compras PM'!$A$4:$A$10029/('Compras PM'!$C$4:$C$10029=$A116),1),"")</f>
        <v>46184</v>
      </c>
      <c r="O116" s="29">
        <f>IFERROR(VLOOKUP($A116,Maestro_Equipos!$A$4:$AG$242,27,FALSE()),"")</f>
        <v>46094</v>
      </c>
      <c r="P116" s="30">
        <f ca="1">IFERROR(IF($N116="","",IF(OR($M116="",$M116&lt;$N116),TODAY()-$N116,$M116-$N116)),"")</f>
        <v>55</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IFERROR(_xlfn.AGGREGATE(14,6,Mantenciones!$A$2:$A$9968/(Mantenciones!$B$2:$B$9968=$A117),1),"")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92</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IFERROR(_xlfn.AGGREGATE(14,6,Mantenciones!$A$2:$A$9968/(Mantenciones!$B$2:$B$9968=$A118),1),"")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46402</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IFERROR(_xlfn.AGGREGATE(14,6,Mantenciones!$A$2:$A$9968/(Mantenciones!$B$2:$B$9968=$A119),1),"")</f>
        <v>46169</v>
      </c>
      <c r="N119" s="29" cm="1">
        <f t="array" ref="N119">IFERROR(_xlfn.AGGREGATE(14,6,'Compras PM'!$A$4:$A$10029/('Compras PM'!$C$4:$C$10029=$A119),1),"")</f>
        <v>46174</v>
      </c>
      <c r="O119" s="29">
        <f>IFERROR(VLOOKUP($A119,Maestro_Equipos!$A$4:$AG$242,27,FALSE()),"")</f>
        <v>46087</v>
      </c>
      <c r="P119" s="30">
        <f ca="1">IFERROR(IF($N119="","",IF(OR($M119="",$M119&lt;$N119),TODAY()-$N119,$M119-$N119)),"")</f>
        <v>65</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51251</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IFERROR(_xlfn.AGGREGATE(14,6,Mantenciones!$A$2:$A$9968/(Mantenciones!$B$2:$B$9968=$A120),1),"")</f>
        <v>46094</v>
      </c>
      <c r="N120" s="29" cm="1">
        <f t="array" ref="N120">IFERROR(_xlfn.AGGREGATE(14,6,'Compras PM'!$A$4:$A$10029/('Compras PM'!$C$4:$C$10029=$A120),1),"")</f>
        <v>46197</v>
      </c>
      <c r="O120" s="29">
        <f>IFERROR(VLOOKUP($A120,Maestro_Equipos!$A$4:$AG$242,27,FALSE()),"")</f>
        <v>46079</v>
      </c>
      <c r="P120" s="30">
        <f ca="1">IFERROR(IF($N120="","",IF(OR($M120="",$M120&lt;$N120),TODAY()-$N120,$M120-$N120)),"")</f>
        <v>42</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IFERROR(_xlfn.AGGREGATE(14,6,Mantenciones!$A$2:$A$9968/(Mantenciones!$B$2:$B$9968=$A121),1),"")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45335</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IFERROR(_xlfn.AGGREGATE(14,6,Mantenciones!$A$2:$A$9968/(Mantenciones!$B$2:$B$9968=$A122),1),"")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46320</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IFERROR(_xlfn.AGGREGATE(14,6,Mantenciones!$A$2:$A$9968/(Mantenciones!$B$2:$B$9968=$A123),1),"")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105</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46415</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IFERROR(_xlfn.AGGREGATE(14,6,Mantenciones!$A$2:$A$9968/(Mantenciones!$B$2:$B$9968=$A124),1),"")</f>
        <v>46057</v>
      </c>
      <c r="N124" s="29" cm="1">
        <f t="array" ref="N124">IFERROR(_xlfn.AGGREGATE(14,6,'Compras PM'!$A$4:$A$10029/('Compras PM'!$C$4:$C$10029=$A124),1),"")</f>
        <v>46184</v>
      </c>
      <c r="O124" s="29">
        <f>IFERROR(VLOOKUP($A124,Maestro_Equipos!$A$4:$AG$242,27,FALSE()),"")</f>
        <v>46065</v>
      </c>
      <c r="P124" s="30">
        <f ca="1">IFERROR(IF($N124="","",IF(OR($M124="",$M124&lt;$N124),TODAY()-$N124,$M124-$N124)),"")</f>
        <v>55</v>
      </c>
      <c r="Q124" s="30">
        <f ca="1">IFERROR(IF($O124="","",IF(OR($M124="",$M124&lt;$O124),TODAY()-$O124,$M124-$O124)),"")</f>
        <v>174</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46819</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IFERROR(_xlfn.AGGREGATE(14,6,Mantenciones!$A$2:$A$9968/(Mantenciones!$B$2:$B$9968=$A125),1),"")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IFERROR(_xlfn.AGGREGATE(14,6,Mantenciones!$A$2:$A$9968/(Mantenciones!$B$2:$B$9968=$A126),1),"")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46430</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IFERROR(_xlfn.AGGREGATE(14,6,Mantenciones!$A$2:$A$9968/(Mantenciones!$B$2:$B$9968=$A127),1),"")</f>
        <v>46141</v>
      </c>
      <c r="N127" s="29" cm="1">
        <f t="array" ref="N127">IFERROR(_xlfn.AGGREGATE(14,6,'Compras PM'!$A$4:$A$10029/('Compras PM'!$C$4:$C$10029=$A127),1),"")</f>
        <v>46191</v>
      </c>
      <c r="O127" s="29">
        <f>IFERROR(VLOOKUP($A127,Maestro_Equipos!$A$4:$AG$242,27,FALSE()),"")</f>
        <v>46111</v>
      </c>
      <c r="P127" s="30">
        <f ca="1">IFERROR(IF($N127="","",IF(OR($M127="",$M127&lt;$N127),TODAY()-$N127,$M127-$N127)),"")</f>
        <v>48</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46319</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IFERROR(_xlfn.AGGREGATE(14,6,Mantenciones!$A$2:$A$9968/(Mantenciones!$B$2:$B$9968=$A128),1),"")</f>
        <v>46098</v>
      </c>
      <c r="N128" s="29" cm="1">
        <f t="array" ref="N128">IFERROR(_xlfn.AGGREGATE(14,6,'Compras PM'!$A$4:$A$10029/('Compras PM'!$C$4:$C$10029=$A128),1),"")</f>
        <v>46148.4678185995</v>
      </c>
      <c r="O128" s="29">
        <f>IFERROR(VLOOKUP($A128,Maestro_Equipos!$A$4:$AG$242,27,FALSE()),"")</f>
        <v>46098</v>
      </c>
      <c r="P128" s="30">
        <f ca="1">IFERROR(IF($N128="","",IF(OR($M128="",$M128&lt;$N128),TODAY()-$N128,$M128-$N128)),"")</f>
        <v>90.532181400500122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IFERROR(_xlfn.AGGREGATE(14,6,Mantenciones!$A$2:$A$9968/(Mantenciones!$B$2:$B$9968=$A129),1),"")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49372</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IFERROR(_xlfn.AGGREGATE(14,6,Mantenciones!$A$2:$A$9968/(Mantenciones!$B$2:$B$9968=$A130),1),"")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46306</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IFERROR(_xlfn.AGGREGATE(14,6,Mantenciones!$A$2:$A$9968/(Mantenciones!$B$2:$B$9968=$A131),1),"")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IFERROR(_xlfn.AGGREGATE(14,6,Mantenciones!$A$2:$A$9968/(Mantenciones!$B$2:$B$9968=$A132),1),"")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IFERROR(_xlfn.AGGREGATE(14,6,Mantenciones!$A$2:$A$9968/(Mantenciones!$B$2:$B$9968=$A133),1),"")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46303</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IFERROR(_xlfn.AGGREGATE(14,6,Mantenciones!$A$2:$A$9968/(Mantenciones!$B$2:$B$9968=$A134),1),"")</f>
        <v>46104</v>
      </c>
      <c r="N134" s="29" cm="1">
        <f t="array" ref="N134">IFERROR(_xlfn.AGGREGATE(14,6,'Compras PM'!$A$4:$A$10029/('Compras PM'!$C$4:$C$10029=$A134),1),"")</f>
        <v>46181</v>
      </c>
      <c r="O134" s="29">
        <f>IFERROR(VLOOKUP($A134,Maestro_Equipos!$A$4:$AG$242,27,FALSE()),"")</f>
        <v>46100</v>
      </c>
      <c r="P134" s="30">
        <f ca="1">IFERROR(IF($N134="","",IF(OR($M134="",$M134&lt;$N134),TODAY()-$N134,$M134-$N134)),"")</f>
        <v>58</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46153</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IFERROR(_xlfn.AGGREGATE(14,6,Mantenciones!$A$2:$A$9968/(Mantenciones!$B$2:$B$9968=$A135),1),"")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IFERROR(_xlfn.AGGREGATE(14,6,Mantenciones!$A$2:$A$9968/(Mantenciones!$B$2:$B$9968=$A136),1),"")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46259</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IFERROR(_xlfn.AGGREGATE(14,6,Mantenciones!$A$2:$A$9968/(Mantenciones!$B$2:$B$9968=$A137),1),"")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46272</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IFERROR(_xlfn.AGGREGATE(14,6,Mantenciones!$A$2:$A$9968/(Mantenciones!$B$2:$B$9968=$A138),1),"")</f>
        <v>46107</v>
      </c>
      <c r="N138" s="29" cm="1">
        <f t="array" ref="N138">IFERROR(_xlfn.AGGREGATE(14,6,'Compras PM'!$A$4:$A$10029/('Compras PM'!$C$4:$C$10029=$A138),1),"")</f>
        <v>46183</v>
      </c>
      <c r="O138" s="29">
        <f>IFERROR(VLOOKUP($A138,Maestro_Equipos!$A$4:$AG$242,27,FALSE()),"")</f>
        <v>46104</v>
      </c>
      <c r="P138" s="30">
        <f ca="1">IFERROR(IF($N138="","",IF(OR($M138="",$M138&lt;$N138),TODAY()-$N138,$M138-$N138)),"")</f>
        <v>56</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46283</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IFERROR(_xlfn.AGGREGATE(14,6,Mantenciones!$A$2:$A$9968/(Mantenciones!$B$2:$B$9968=$A139),1),"")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46560</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IFERROR(_xlfn.AGGREGATE(14,6,Mantenciones!$A$2:$A$9968/(Mantenciones!$B$2:$B$9968=$A140),1),"")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IFERROR(_xlfn.AGGREGATE(14,6,Mantenciones!$A$2:$A$9968/(Mantenciones!$B$2:$B$9968=$A141),1),"")</f>
        <v>46100</v>
      </c>
      <c r="N141" s="29" cm="1">
        <f t="array" ref="N141">IFERROR(_xlfn.AGGREGATE(14,6,'Compras PM'!$A$4:$A$10029/('Compras PM'!$C$4:$C$10029=$A141),1),"")</f>
        <v>46106</v>
      </c>
      <c r="O141" s="29">
        <f>IFERROR(VLOOKUP($A141,Maestro_Equipos!$A$4:$AG$242,27,FALSE()),"")</f>
        <v>46101</v>
      </c>
      <c r="P141" s="30">
        <f ca="1">IFERROR(IF($N141="","",IF(OR($M141="",$M141&lt;$N141),TODAY()-$N141,$M141-$N141)),"")</f>
        <v>133</v>
      </c>
      <c r="Q141" s="30">
        <f ca="1">IFERROR(IF($O141="","",IF(OR($M141="",$M141&lt;$O141),TODAY()-$O141,$M141-$O141)),"")</f>
        <v>138</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46382</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IFERROR(_xlfn.AGGREGATE(14,6,Mantenciones!$A$2:$A$9968/(Mantenciones!$B$2:$B$9968=$A142),1),"")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46332</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IFERROR(_xlfn.AGGREGATE(14,6,Mantenciones!$A$2:$A$9968/(Mantenciones!$B$2:$B$9968=$A143),1),"")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IFERROR(_xlfn.AGGREGATE(14,6,Mantenciones!$A$2:$A$9968/(Mantenciones!$B$2:$B$9968=$A144),1),"")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IFERROR(_xlfn.AGGREGATE(14,6,Mantenciones!$A$2:$A$9968/(Mantenciones!$B$2:$B$9968=$A145),1),"")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IFERROR(_xlfn.AGGREGATE(14,6,Mantenciones!$A$2:$A$9968/(Mantenciones!$B$2:$B$9968=$A146),1),"")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46265</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IFERROR(_xlfn.AGGREGATE(14,6,Mantenciones!$A$2:$A$9968/(Mantenciones!$B$2:$B$9968=$A147),1),"")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46313</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IFERROR(_xlfn.AGGREGATE(14,6,Mantenciones!$A$2:$A$9968/(Mantenciones!$B$2:$B$9968=$A148),1),"")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46333</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IFERROR(_xlfn.AGGREGATE(14,6,Mantenciones!$A$2:$A$9968/(Mantenciones!$B$2:$B$9968=$A149),1),"")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46323</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IFERROR(_xlfn.AGGREGATE(14,6,Mantenciones!$A$2:$A$9968/(Mantenciones!$B$2:$B$9968=$A150),1),"")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46863</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IFERROR(_xlfn.AGGREGATE(14,6,Mantenciones!$A$2:$A$9968/(Mantenciones!$B$2:$B$9968=$A151),1),"")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IFERROR(_xlfn.AGGREGATE(14,6,Mantenciones!$A$2:$A$9968/(Mantenciones!$B$2:$B$9968=$A152),1),"")</f>
        <v/>
      </c>
      <c r="N152" s="29" cm="1">
        <f t="array" ref="N152">IFERROR(_xlfn.AGGREGATE(14,6,'Compras PM'!$A$4:$A$10029/('Compras PM'!$C$4:$C$10029=$A152),1),"")</f>
        <v>46156.414239004604</v>
      </c>
      <c r="O152" s="29">
        <f>IFERROR(VLOOKUP($A152,Maestro_Equipos!$A$4:$AG$242,27,FALSE()),"")</f>
        <v>46153</v>
      </c>
      <c r="P152" s="30">
        <f ca="1">IFERROR(IF($N152="","",IF(OR($M152="",$M152&lt;$N152),TODAY()-$N152,$M152-$N152)),"")</f>
        <v>82.585760995396413</v>
      </c>
      <c r="Q152" s="30">
        <f ca="1">IFERROR(IF($O152="","",IF(OR($M152="",$M152&lt;$O152),TODAY()-$O152,$M152-$O152)),"")</f>
        <v>86</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46309</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IFERROR(_xlfn.AGGREGATE(14,6,Mantenciones!$A$2:$A$9968/(Mantenciones!$B$2:$B$9968=$A153),1),"")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46512</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IFERROR(_xlfn.AGGREGATE(14,6,Mantenciones!$A$2:$A$9968/(Mantenciones!$B$2:$B$9968=$A154),1),"")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46353</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IFERROR(_xlfn.AGGREGATE(14,6,Mantenciones!$A$2:$A$9968/(Mantenciones!$B$2:$B$9968=$A155),1),"")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46321</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IFERROR(_xlfn.AGGREGATE(14,6,Mantenciones!$A$2:$A$9968/(Mantenciones!$B$2:$B$9968=$A156),1),"")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IFERROR(_xlfn.AGGREGATE(14,6,Mantenciones!$A$2:$A$9968/(Mantenciones!$B$2:$B$9968=$A157),1),"")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121</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IFERROR(_xlfn.AGGREGATE(14,6,Mantenciones!$A$2:$A$9968/(Mantenciones!$B$2:$B$9968=$A158),1),"")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IFERROR(_xlfn.AGGREGATE(14,6,Mantenciones!$A$2:$A$9968/(Mantenciones!$B$2:$B$9968=$A159),1),"")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46408</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IFERROR(_xlfn.AGGREGATE(14,6,Mantenciones!$A$2:$A$9968/(Mantenciones!$B$2:$B$9968=$A160),1),"")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46299</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IFERROR(_xlfn.AGGREGATE(14,6,Mantenciones!$A$2:$A$9968/(Mantenciones!$B$2:$B$9968=$A161),1),"")</f>
        <v>46118</v>
      </c>
      <c r="N161" s="29" cm="1">
        <f t="array" ref="N161">IFERROR(_xlfn.AGGREGATE(14,6,'Compras PM'!$A$4:$A$10029/('Compras PM'!$C$4:$C$10029=$A161),1),"")</f>
        <v>46174</v>
      </c>
      <c r="O161" s="29" t="str">
        <f>IFERROR(VLOOKUP($A161,Maestro_Equipos!$A$4:$AG$242,27,FALSE()),"")</f>
        <v/>
      </c>
      <c r="P161" s="30">
        <f ca="1">IFERROR(IF($N161="","",IF(OR($M161="",$M161&lt;$N161),TODAY()-$N161,$M161-$N161)),"")</f>
        <v>65</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46284</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IFERROR(_xlfn.AGGREGATE(14,6,Mantenciones!$A$2:$A$9968/(Mantenciones!$B$2:$B$9968=$A162),1),"")</f>
        <v>46094</v>
      </c>
      <c r="N162" s="29" cm="1">
        <f t="array" ref="N162">IFERROR(_xlfn.AGGREGATE(14,6,'Compras PM'!$A$4:$A$10029/('Compras PM'!$C$4:$C$10029=$A162),1),"")</f>
        <v>46174</v>
      </c>
      <c r="O162" s="29" t="str">
        <f>IFERROR(VLOOKUP($A162,Maestro_Equipos!$A$4:$AG$242,27,FALSE()),"")</f>
        <v/>
      </c>
      <c r="P162" s="30">
        <f ca="1">IFERROR(IF($N162="","",IF(OR($M162="",$M162&lt;$N162),TODAY()-$N162,$M162-$N162)),"")</f>
        <v>65</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46250</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IFERROR(_xlfn.AGGREGATE(14,6,Mantenciones!$A$2:$A$9968/(Mantenciones!$B$2:$B$9968=$A163),1),"")</f>
        <v>46099</v>
      </c>
      <c r="N163" s="29" cm="1">
        <f t="array" ref="N163">IFERROR(_xlfn.AGGREGATE(14,6,'Compras PM'!$A$4:$A$10029/('Compras PM'!$C$4:$C$10029=$A163),1),"")</f>
        <v>46161.3715812847</v>
      </c>
      <c r="O163" s="29" t="str">
        <f>IFERROR(VLOOKUP($A163,Maestro_Equipos!$A$4:$AG$242,27,FALSE()),"")</f>
        <v/>
      </c>
      <c r="P163" s="30">
        <f ca="1">IFERROR(IF($N163="","",IF(OR($M163="",$M163&lt;$N163),TODAY()-$N163,$M163-$N163)),"")</f>
        <v>77.628418715299631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46304</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IFERROR(_xlfn.AGGREGATE(14,6,Mantenciones!$A$2:$A$9968/(Mantenciones!$B$2:$B$9968=$A164),1),"")</f>
        <v>46050</v>
      </c>
      <c r="N164" s="29" cm="1">
        <f t="array" ref="N164">IFERROR(_xlfn.AGGREGATE(14,6,'Compras PM'!$A$4:$A$10029/('Compras PM'!$C$4:$C$10029=$A164),1),"")</f>
        <v>46161.3715812847</v>
      </c>
      <c r="O164" s="29" t="str">
        <f>IFERROR(VLOOKUP($A164,Maestro_Equipos!$A$4:$AG$242,27,FALSE()),"")</f>
        <v/>
      </c>
      <c r="P164" s="30">
        <f ca="1">IFERROR(IF($N164="","",IF(OR($M164="",$M164&lt;$N164),TODAY()-$N164,$M164-$N164)),"")</f>
        <v>77.628418715299631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46318</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IFERROR(_xlfn.AGGREGATE(14,6,Mantenciones!$A$2:$A$9968/(Mantenciones!$B$2:$B$9968=$A165),1),"")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IFERROR(_xlfn.AGGREGATE(14,6,Mantenciones!$A$2:$A$9968/(Mantenciones!$B$2:$B$9968=$A166),1),"")</f>
        <v/>
      </c>
      <c r="N166" s="29" cm="1">
        <f t="array" ref="N166">IFERROR(_xlfn.AGGREGATE(14,6,'Compras PM'!$A$4:$A$10029/('Compras PM'!$C$4:$C$10029=$A166),1),"")</f>
        <v>46161.3715812847</v>
      </c>
      <c r="O166" s="29">
        <f>IFERROR(VLOOKUP($A166,Maestro_Equipos!$A$4:$AG$242,27,FALSE()),"")</f>
        <v>46085</v>
      </c>
      <c r="P166" s="30">
        <f ca="1">IFERROR(IF($N166="","",IF(OR($M166="",$M166&lt;$N166),TODAY()-$N166,$M166-$N166)),"")</f>
        <v>77.628418715299631</v>
      </c>
      <c r="Q166" s="30">
        <f ca="1">IFERROR(IF($O166="","",IF(OR($M166="",$M166&lt;$O166),TODAY()-$O166,$M166-$O166)),"")</f>
        <v>154</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46361</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IFERROR(_xlfn.AGGREGATE(14,6,Mantenciones!$A$2:$A$9968/(Mantenciones!$B$2:$B$9968=$A167),1),"")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46326</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IFERROR(_xlfn.AGGREGATE(14,6,Mantenciones!$A$2:$A$9968/(Mantenciones!$B$2:$B$9968=$A168),1),"")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46250</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IFERROR(_xlfn.AGGREGATE(14,6,Mantenciones!$A$2:$A$9968/(Mantenciones!$B$2:$B$9968=$A169),1),"")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46352</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IFERROR(_xlfn.AGGREGATE(14,6,Mantenciones!$A$2:$A$9968/(Mantenciones!$B$2:$B$9968=$A170),1),"")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46340</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IFERROR(_xlfn.AGGREGATE(14,6,Mantenciones!$A$2:$A$9968/(Mantenciones!$B$2:$B$9968=$A171),1),"")</f>
        <v>46105</v>
      </c>
      <c r="N171" s="29" cm="1">
        <f t="array" ref="N171">IFERROR(_xlfn.AGGREGATE(14,6,'Compras PM'!$A$4:$A$10029/('Compras PM'!$C$4:$C$10029=$A171),1),"")</f>
        <v>46118</v>
      </c>
      <c r="O171" s="29">
        <f>IFERROR(VLOOKUP($A171,Maestro_Equipos!$A$4:$AG$242,27,FALSE()),"")</f>
        <v>46078</v>
      </c>
      <c r="P171" s="30">
        <f ca="1">IFERROR(IF($N171="","",IF(OR($M171="",$M171&lt;$N171),TODAY()-$N171,$M171-$N171)),"")</f>
        <v>121</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46318</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IFERROR(_xlfn.AGGREGATE(14,6,Mantenciones!$A$2:$A$9968/(Mantenciones!$B$2:$B$9968=$A172),1),"")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46267</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IFERROR(_xlfn.AGGREGATE(14,6,Mantenciones!$A$2:$A$9968/(Mantenciones!$B$2:$B$9968=$A173),1),"")</f>
        <v>46132</v>
      </c>
      <c r="N173" s="29" cm="1">
        <f t="array" ref="N173">IFERROR(_xlfn.AGGREGATE(14,6,'Compras PM'!$A$4:$A$10029/('Compras PM'!$C$4:$C$10029=$A173),1),"")</f>
        <v>46162.424154247703</v>
      </c>
      <c r="O173" s="29">
        <f>IFERROR(VLOOKUP($A173,Maestro_Equipos!$A$4:$AG$242,27,FALSE()),"")</f>
        <v>46132</v>
      </c>
      <c r="P173" s="30">
        <f ca="1">IFERROR(IF($N173="","",IF(OR($M173="",$M173&lt;$N173),TODAY()-$N173,$M173-$N173)),"")</f>
        <v>76.575845752297028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46247</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IFERROR(_xlfn.AGGREGATE(14,6,Mantenciones!$A$2:$A$9968/(Mantenciones!$B$2:$B$9968=$A174),1),"")</f>
        <v>46087</v>
      </c>
      <c r="N174" s="29" cm="1">
        <f t="array" ref="N174">IFERROR(_xlfn.AGGREGATE(14,6,'Compras PM'!$A$4:$A$10029/('Compras PM'!$C$4:$C$10029=$A174),1),"")</f>
        <v>46162.424154247703</v>
      </c>
      <c r="O174" s="29">
        <f>IFERROR(VLOOKUP($A174,Maestro_Equipos!$A$4:$AG$242,27,FALSE()),"")</f>
        <v>46087</v>
      </c>
      <c r="P174" s="30">
        <f ca="1">IFERROR(IF($N174="","",IF(OR($M174="",$M174&lt;$N174),TODAY()-$N174,$M174-$N174)),"")</f>
        <v>76.575845752297028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46361</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IFERROR(_xlfn.AGGREGATE(14,6,Mantenciones!$A$2:$A$9968/(Mantenciones!$B$2:$B$9968=$A175),1),"")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46426</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IFERROR(_xlfn.AGGREGATE(14,6,Mantenciones!$A$2:$A$9968/(Mantenciones!$B$2:$B$9968=$A176),1),"")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46340</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IFERROR(_xlfn.AGGREGATE(14,6,Mantenciones!$A$2:$A$9968/(Mantenciones!$B$2:$B$9968=$A177),1),"")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46277</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IFERROR(_xlfn.AGGREGATE(14,6,Mantenciones!$A$2:$A$9968/(Mantenciones!$B$2:$B$9968=$A178),1),"")</f>
        <v>46073</v>
      </c>
      <c r="N178" s="29" cm="1">
        <f t="array" ref="N178">IFERROR(_xlfn.AGGREGATE(14,6,'Compras PM'!$A$4:$A$10029/('Compras PM'!$C$4:$C$10029=$A178),1),"")</f>
        <v>46136.6736726042</v>
      </c>
      <c r="O178" s="29" t="str">
        <f>IFERROR(VLOOKUP($A178,Maestro_Equipos!$A$4:$AG$242,27,FALSE()),"")</f>
        <v/>
      </c>
      <c r="P178" s="30">
        <f ca="1">IFERROR(IF($N178="","",IF(OR($M178="",$M178&lt;$N178),TODAY()-$N178,$M178-$N178)),"")</f>
        <v>102.32632739580004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46374</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IFERROR(_xlfn.AGGREGATE(14,6,Mantenciones!$A$2:$A$9968/(Mantenciones!$B$2:$B$9968=$A179),1),"")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46422</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IFERROR(_xlfn.AGGREGATE(14,6,Mantenciones!$A$2:$A$9968/(Mantenciones!$B$2:$B$9968=$A180),1),"")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46342</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IFERROR(_xlfn.AGGREGATE(14,6,Mantenciones!$A$2:$A$9968/(Mantenciones!$B$2:$B$9968=$A181),1),"")</f>
        <v>46105</v>
      </c>
      <c r="N181" s="29" cm="1">
        <f t="array" ref="N181">IFERROR(_xlfn.AGGREGATE(14,6,'Compras PM'!$A$4:$A$10029/('Compras PM'!$C$4:$C$10029=$A181),1),"")</f>
        <v>46136.6736726042</v>
      </c>
      <c r="O181" s="29" t="str">
        <f>IFERROR(VLOOKUP($A181,Maestro_Equipos!$A$4:$AG$242,27,FALSE()),"")</f>
        <v/>
      </c>
      <c r="P181" s="30">
        <f ca="1">IFERROR(IF($N181="","",IF(OR($M181="",$M181&lt;$N181),TODAY()-$N181,$M181-$N181)),"")</f>
        <v>102.32632739580004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46364</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IFERROR(_xlfn.AGGREGATE(14,6,Mantenciones!$A$2:$A$9968/(Mantenciones!$B$2:$B$9968=$A182),1),"")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46297</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IFERROR(_xlfn.AGGREGATE(14,6,Mantenciones!$A$2:$A$9968/(Mantenciones!$B$2:$B$9968=$A183),1),"")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46381</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IFERROR(_xlfn.AGGREGATE(14,6,Mantenciones!$A$2:$A$9968/(Mantenciones!$B$2:$B$9968=$A184),1),"")</f>
        <v>46135</v>
      </c>
      <c r="N184" s="29" cm="1">
        <f t="array" ref="N184">IFERROR(_xlfn.AGGREGATE(14,6,'Compras PM'!$A$4:$A$10029/('Compras PM'!$C$4:$C$10029=$A184),1),"")</f>
        <v>46136.6736726042</v>
      </c>
      <c r="O184" s="29">
        <f>IFERROR(VLOOKUP($A184,Maestro_Equipos!$A$4:$AG$242,27,FALSE()),"")</f>
        <v>46135</v>
      </c>
      <c r="P184" s="30">
        <f ca="1">IFERROR(IF($N184="","",IF(OR($M184="",$M184&lt;$N184),TODAY()-$N184,$M184-$N184)),"")</f>
        <v>102.32632739580004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46307</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IFERROR(_xlfn.AGGREGATE(14,6,Mantenciones!$A$2:$A$9968/(Mantenciones!$B$2:$B$9968=$A185),1),"")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47082</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IFERROR(_xlfn.AGGREGATE(14,6,Mantenciones!$A$2:$A$9968/(Mantenciones!$B$2:$B$9968=$A186),1),"")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46306</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IFERROR(_xlfn.AGGREGATE(14,6,Mantenciones!$A$2:$A$9968/(Mantenciones!$B$2:$B$9968=$A187),1),"")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46552</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IFERROR(_xlfn.AGGREGATE(14,6,Mantenciones!$A$2:$A$9968/(Mantenciones!$B$2:$B$9968=$A188),1),"")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46478</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IFERROR(_xlfn.AGGREGATE(14,6,Mantenciones!$A$2:$A$9968/(Mantenciones!$B$2:$B$9968=$A189),1),"")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47562</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IFERROR(_xlfn.AGGREGATE(14,6,Mantenciones!$A$2:$A$9968/(Mantenciones!$B$2:$B$9968=$A190),1),"")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46323</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IFERROR(_xlfn.AGGREGATE(14,6,Mantenciones!$A$2:$A$9968/(Mantenciones!$B$2:$B$9968=$A191),1),"")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46352</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IFERROR(_xlfn.AGGREGATE(14,6,Mantenciones!$A$2:$A$9968/(Mantenciones!$B$2:$B$9968=$A192),1),"")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46395</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IFERROR(_xlfn.AGGREGATE(14,6,Mantenciones!$A$2:$A$9968/(Mantenciones!$B$2:$B$9968=$A193),1),"")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IFERROR(_xlfn.AGGREGATE(14,6,Mantenciones!$A$2:$A$9968/(Mantenciones!$B$2:$B$9968=$A194),1),"")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IFERROR(_xlfn.AGGREGATE(14,6,Mantenciones!$A$2:$A$9968/(Mantenciones!$B$2:$B$9968=$A195),1),"")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IFERROR(_xlfn.AGGREGATE(14,6,Mantenciones!$A$2:$A$9968/(Mantenciones!$B$2:$B$9968=$A196),1),"")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50392</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IFERROR(_xlfn.AGGREGATE(14,6,Mantenciones!$A$2:$A$9968/(Mantenciones!$B$2:$B$9968=$A197),1),"")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45490</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IFERROR(_xlfn.AGGREGATE(14,6,Mantenciones!$A$2:$A$9968/(Mantenciones!$B$2:$B$9968=$A198),1),"")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IFERROR(_xlfn.AGGREGATE(14,6,Mantenciones!$A$2:$A$9968/(Mantenciones!$B$2:$B$9968=$A199),1),"")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46335</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IFERROR(_xlfn.AGGREGATE(14,6,Mantenciones!$A$2:$A$9968/(Mantenciones!$B$2:$B$9968=$A200),1),"")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IFERROR(_xlfn.AGGREGATE(14,6,Mantenciones!$A$2:$A$9968/(Mantenciones!$B$2:$B$9968=$A201),1),"")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46328</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IFERROR(_xlfn.AGGREGATE(14,6,Mantenciones!$A$2:$A$9968/(Mantenciones!$B$2:$B$9968=$A202),1),"")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IFERROR(_xlfn.AGGREGATE(14,6,Mantenciones!$A$2:$A$9968/(Mantenciones!$B$2:$B$9968=$A203),1),"")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43744</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IFERROR(_xlfn.AGGREGATE(14,6,Mantenciones!$A$2:$A$9968/(Mantenciones!$B$2:$B$9968=$A204),1),"")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121</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46335</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IFERROR(_xlfn.AGGREGATE(14,6,Mantenciones!$A$2:$A$9968/(Mantenciones!$B$2:$B$9968=$A205),1),"")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IFERROR(_xlfn.AGGREGATE(14,6,Mantenciones!$A$2:$A$9968/(Mantenciones!$B$2:$B$9968=$A206),1),"")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45051</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IFERROR(_xlfn.AGGREGATE(14,6,Mantenciones!$A$2:$A$9968/(Mantenciones!$B$2:$B$9968=$A207),1),"")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IFERROR(_xlfn.AGGREGATE(14,6,Mantenciones!$A$2:$A$9968/(Mantenciones!$B$2:$B$9968=$A208),1),"")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46024</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IFERROR(_xlfn.AGGREGATE(14,6,Mantenciones!$A$2:$A$9968/(Mantenciones!$B$2:$B$9968=$A209),1),"")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IFERROR(_xlfn.AGGREGATE(14,6,Mantenciones!$A$2:$A$9968/(Mantenciones!$B$2:$B$9968=$A210),1),"")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IFERROR(_xlfn.AGGREGATE(14,6,Mantenciones!$A$2:$A$9968/(Mantenciones!$B$2:$B$9968=$A211),1),"")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IFERROR(_xlfn.AGGREGATE(14,6,Mantenciones!$A$2:$A$9968/(Mantenciones!$B$2:$B$9968=$A212),1),"")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IFERROR(_xlfn.AGGREGATE(14,6,Mantenciones!$A$2:$A$9968/(Mantenciones!$B$2:$B$9968=$A213),1),"")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46628</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IFERROR(_xlfn.AGGREGATE(14,6,Mantenciones!$A$2:$A$9968/(Mantenciones!$B$2:$B$9968=$A214),1),"")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46255</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IFERROR(_xlfn.AGGREGATE(14,6,Mantenciones!$A$2:$A$9968/(Mantenciones!$B$2:$B$9968=$A215),1),"")</f>
        <v>46036</v>
      </c>
      <c r="N215" s="67" cm="1">
        <f t="array" ref="N215">IFERROR(_xlfn.AGGREGATE(14,6,'Compras PM'!$A$4:$A$10029/('Compras PM'!$C$4:$C$10029=$A215),1),"")</f>
        <v>46162.551531979203</v>
      </c>
      <c r="O215" s="67">
        <f>IFERROR(VLOOKUP($A215,Maestro_Equipos!$A$4:$AG$242,27,FALSE()),"")</f>
        <v>46129</v>
      </c>
      <c r="P215" s="68">
        <f ca="1">IFERROR(IF($N215="","",IF(OR($M215="",$M215&lt;$N215),TODAY()-$N215,$M215-$N215)),"")</f>
        <v>76.448468020797009</v>
      </c>
      <c r="Q215" s="68">
        <f ca="1">IFERROR(IF($O215="","",IF(OR($M215="",$M215&lt;$O215),TODAY()-$O215,$M215-$O215)),"")</f>
        <v>110</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46341</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IFERROR(_xlfn.AGGREGATE(14,6,Mantenciones!$A$2:$A$9968/(Mantenciones!$B$2:$B$9968=$A216),1),"")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46483</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IFERROR(_xlfn.AGGREGATE(14,6,Mantenciones!$A$2:$A$9968/(Mantenciones!$B$2:$B$9968=$A217),1),"")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IFERROR(_xlfn.AGGREGATE(14,6,Mantenciones!$A$2:$A$9968/(Mantenciones!$B$2:$B$9968=$A218),1),"")</f>
        <v/>
      </c>
      <c r="N218" s="29" cm="1">
        <f t="array" ref="N218">IFERROR(_xlfn.AGGREGATE(14,6,'Compras PM'!$A$4:$A$10029/('Compras PM'!$C$4:$C$10029=$A218),1),"")</f>
        <v>46162</v>
      </c>
      <c r="O218" s="29">
        <f>IFERROR(VLOOKUP($A218,Maestro_Equipos!$A$4:$AG$242,27,FALSE()),"")</f>
        <v>46132</v>
      </c>
      <c r="P218" s="30">
        <f ca="1">IFERROR(IF($N218="","",IF(OR($M218="",$M218&lt;$N218),TODAY()-$N218,$M218-$N218)),"")</f>
        <v>77</v>
      </c>
      <c r="Q218" s="30">
        <f ca="1">IFERROR(IF($O218="","",IF(OR($M218="",$M218&lt;$O218),TODAY()-$O218,$M218-$O218)),"")</f>
        <v>107</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IFERROR(_xlfn.AGGREGATE(14,6,Mantenciones!$A$2:$A$9968/(Mantenciones!$B$2:$B$9968=$A219),1),"")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IFERROR(_xlfn.AGGREGATE(14,6,Mantenciones!$A$2:$A$9968/(Mantenciones!$B$2:$B$9968=$A220),1),"")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IFERROR(_xlfn.AGGREGATE(14,6,Mantenciones!$A$2:$A$9968/(Mantenciones!$B$2:$B$9968=$A221),1),"")</f>
        <v>46189</v>
      </c>
      <c r="N221" s="29" cm="1">
        <f t="array" ref="N221">IFERROR(_xlfn.AGGREGATE(14,6,'Compras PM'!$A$4:$A$10029/('Compras PM'!$C$4:$C$10029=$A221),1),"")</f>
        <v>46191</v>
      </c>
      <c r="O221" s="29" t="str">
        <f>IFERROR(VLOOKUP($A221,Maestro_Equipos!$A$4:$AG$242,27,FALSE()),"")</f>
        <v/>
      </c>
      <c r="P221" s="30">
        <f ca="1">IFERROR(IF($N221="","",IF(OR($M221="",$M221&lt;$N221),TODAY()-$N221,$M221-$N221)),"")</f>
        <v>48</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IFERROR(_xlfn.AGGREGATE(14,6,Mantenciones!$A$2:$A$9968/(Mantenciones!$B$2:$B$9968=$A222),1),"")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46376</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IFERROR(_xlfn.AGGREGATE(14,6,Mantenciones!$A$2:$A$9968/(Mantenciones!$B$2:$B$9968=$A223),1),"")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46742</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IFERROR(_xlfn.AGGREGATE(14,6,Mantenciones!$A$2:$A$9968/(Mantenciones!$B$2:$B$9968=$A224),1),"")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IFERROR(_xlfn.AGGREGATE(14,6,Mantenciones!$A$2:$A$9968/(Mantenciones!$B$2:$B$9968=$A225),1),"")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46373</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IFERROR(_xlfn.AGGREGATE(14,6,Mantenciones!$A$2:$A$9968/(Mantenciones!$B$2:$B$9968=$A226),1),"")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46420</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IFERROR(_xlfn.AGGREGATE(14,6,Mantenciones!$A$2:$A$9968/(Mantenciones!$B$2:$B$9968=$A227),1),"")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IFERROR(_xlfn.AGGREGATE(14,6,Mantenciones!$A$2:$A$9968/(Mantenciones!$B$2:$B$9968=$A228),1),"")</f>
        <v/>
      </c>
      <c r="N228" s="29" cm="1">
        <f t="array" ref="N228">IFERROR(_xlfn.AGGREGATE(14,6,'Compras PM'!$A$4:$A$10029/('Compras PM'!$C$4:$C$10029=$A228),1),"")</f>
        <v>46127</v>
      </c>
      <c r="O228" s="29" t="str">
        <f>IFERROR(VLOOKUP($A228,Maestro_Equipos!$A$4:$AG$242,27,FALSE()),"")</f>
        <v/>
      </c>
      <c r="P228" s="30">
        <f ca="1">IFERROR(IF($N228="","",IF(OR($M228="",$M228&lt;$N228),TODAY()-$N228,$M228-$N228)),"")</f>
        <v>112</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46322</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IFERROR(_xlfn.AGGREGATE(14,6,Mantenciones!$A$2:$A$9968/(Mantenciones!$B$2:$B$9968=$A229),1),"")</f>
        <v>46125</v>
      </c>
      <c r="N229" s="29" cm="1">
        <f t="array" ref="N229">IFERROR(_xlfn.AGGREGATE(14,6,'Compras PM'!$A$4:$A$10029/('Compras PM'!$C$4:$C$10029=$A229),1),"")</f>
        <v>46127</v>
      </c>
      <c r="O229" s="29">
        <f>IFERROR(VLOOKUP($A229,Maestro_Equipos!$A$4:$AG$242,27,FALSE()),"")</f>
        <v>46125</v>
      </c>
      <c r="P229" s="30">
        <f ca="1">IFERROR(IF($N229="","",IF(OR($M229="",$M229&lt;$N229),TODAY()-$N229,$M229-$N229)),"")</f>
        <v>112</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46509</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IFERROR(_xlfn.AGGREGATE(14,6,Mantenciones!$A$2:$A$9968/(Mantenciones!$B$2:$B$9968=$A230),1),"")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46348</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IFERROR(_xlfn.AGGREGATE(14,6,Mantenciones!$A$2:$A$9968/(Mantenciones!$B$2:$B$9968=$A231),1),"")</f>
        <v>46126</v>
      </c>
      <c r="N231" s="29" cm="1">
        <f t="array" ref="N231">IFERROR(_xlfn.AGGREGATE(14,6,'Compras PM'!$A$4:$A$10029/('Compras PM'!$C$4:$C$10029=$A231),1),"")</f>
        <v>46127</v>
      </c>
      <c r="O231" s="29">
        <f>IFERROR(VLOOKUP($A231,Maestro_Equipos!$A$4:$AG$242,27,FALSE()),"")</f>
        <v>46126</v>
      </c>
      <c r="P231" s="30">
        <f ca="1">IFERROR(IF($N231="","",IF(OR($M231="",$M231&lt;$N231),TODAY()-$N231,$M231-$N231)),"")</f>
        <v>112</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IFERROR(_xlfn.AGGREGATE(14,6,Mantenciones!$A$2:$A$9968/(Mantenciones!$B$2:$B$9968=$A232),1),"")</f>
        <v/>
      </c>
      <c r="N232" s="29" cm="1">
        <f t="array" ref="N232">IFERROR(_xlfn.AGGREGATE(14,6,'Compras PM'!$A$4:$A$10029/('Compras PM'!$C$4:$C$10029=$A232),1),"")</f>
        <v>46127</v>
      </c>
      <c r="O232" s="29" t="str">
        <f>IFERROR(VLOOKUP($A232,Maestro_Equipos!$A$4:$AG$242,27,FALSE()),"")</f>
        <v/>
      </c>
      <c r="P232" s="30">
        <f ca="1">IFERROR(IF($N232="","",IF(OR($M232="",$M232&lt;$N232),TODAY()-$N232,$M232-$N232)),"")</f>
        <v>112</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46400</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IFERROR(_xlfn.AGGREGATE(14,6,Mantenciones!$A$2:$A$9968/(Mantenciones!$B$2:$B$9968=$A233),1),"")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46340</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IFERROR(_xlfn.AGGREGATE(14,6,Mantenciones!$A$2:$A$9968/(Mantenciones!$B$2:$B$9968=$A234),1),"")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46296</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IFERROR(_xlfn.AGGREGATE(14,6,Mantenciones!$A$2:$A$9968/(Mantenciones!$B$2:$B$9968=$A235),1),"")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46279</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IFERROR(_xlfn.AGGREGATE(14,6,Mantenciones!$A$2:$A$9968/(Mantenciones!$B$2:$B$9968=$A236),1),"")</f>
        <v>46099</v>
      </c>
      <c r="N236" s="29" cm="1">
        <f t="array" ref="N236">IFERROR(_xlfn.AGGREGATE(14,6,'Compras PM'!$A$4:$A$10029/('Compras PM'!$C$4:$C$10029=$A236),1),"")</f>
        <v>46100</v>
      </c>
      <c r="O236" s="29">
        <f>IFERROR(VLOOKUP($A236,Maestro_Equipos!$A$4:$AG$242,27,FALSE()),"")</f>
        <v>46162</v>
      </c>
      <c r="P236" s="30">
        <f ca="1">IFERROR(IF($N236="","",IF(OR($M236="",$M236&lt;$N236),TODAY()-$N236,$M236-$N236)),"")</f>
        <v>139</v>
      </c>
      <c r="Q236" s="30">
        <f ca="1">IFERROR(IF($O236="","",IF(OR($M236="",$M236&lt;$O236),TODAY()-$O236,$M236-$O236)),"")</f>
        <v>77</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IFERROR(_xlfn.AGGREGATE(14,6,Mantenciones!$A$2:$A$9968/(Mantenciones!$B$2:$B$9968=$A237),1),"")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46528</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IFERROR(_xlfn.AGGREGATE(14,6,Mantenciones!$A$2:$A$9968/(Mantenciones!$B$2:$B$9968=$A238),1),"")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IFERROR(_xlfn.AGGREGATE(14,6,Mantenciones!$A$2:$A$9968/(Mantenciones!$B$2:$B$9968=$A239),1),"")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IFERROR(_xlfn.AGGREGATE(14,6,Mantenciones!$A$2:$A$9968/(Mantenciones!$B$2:$B$9968=$A240),1),"")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IFERROR(_xlfn.AGGREGATE(14,6,Mantenciones!$A$2:$A$9968/(Mantenciones!$B$2:$B$9968=$A241),1),"")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IFERROR(_xlfn.AGGREGATE(14,6,Mantenciones!$A$2:$A$9968/(Mantenciones!$B$2:$B$9968=$A242),1),"")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IFERROR(_xlfn.AGGREGATE(14,6,Mantenciones!$A$2:$A$9968/(Mantenciones!$B$2:$B$9968=$A243),1),"")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IFERROR(_xlfn.AGGREGATE(14,6,Mantenciones!$A$2:$A$9968/(Mantenciones!$B$2:$B$9968=$A244),1),"")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IFERROR(_xlfn.AGGREGATE(14,6,Mantenciones!$A$2:$A$9968/(Mantenciones!$B$2:$B$9968=$A245),1),"")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IFERROR(_xlfn.AGGREGATE(14,6,Mantenciones!$A$2:$A$9968/(Mantenciones!$B$2:$B$9968=$A246),1),"")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IFERROR(_xlfn.AGGREGATE(14,6,Mantenciones!$A$2:$A$9968/(Mantenciones!$B$2:$B$9968=$A247),1),"")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1257</v>
      </c>
      <c r="D3" s="14" t="s">
        <v>1341</v>
      </c>
      <c r="E3" s="14" t="s">
        <v>1340</v>
      </c>
      <c r="F3" s="14" t="s">
        <v>756</v>
      </c>
      <c r="G3" s="14" t="s">
        <v>1348</v>
      </c>
    </row>
    <row r="4" spans="1:7">
      <c r="A4" t="str">
        <f>Plan_Mantenciones!A135</f>
        <v>MD-80</v>
      </c>
      <c r="B4" t="str">
        <f>Plan_Mantenciones!B135</f>
        <v>Retroexcavadora</v>
      </c>
      <c r="C4" t="str">
        <f>Plan_Mantenciones!C135</f>
        <v>Maquinaria Pesada</v>
      </c>
      <c r="D4" s="11">
        <f ca="1">Plan_Mantenciones!I135</f>
        <v>46153</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46303</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46434</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50392</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46244</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46247</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46453</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46250</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46250</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46250</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46253</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46255</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46259</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46265</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46267</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46269</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46434</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46326</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46272</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46274</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46277</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46278</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46279</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46283</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46284</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46287</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46408</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46293</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46294</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46295</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46296</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46297</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46376</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46298</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46422</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46441</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46299</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46303</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46303</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46304</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46304</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46305</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46306</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46306</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46306</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46307</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46309</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46313</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46317</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46318</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46318</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46361</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46319</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46320</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46320</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46321</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46322</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46323</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46323</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46326</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46328</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46332</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46333</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46335</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46335</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46340</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46340</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46340</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46341</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46342</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46344</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46346</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46346</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46347</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46348</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46352</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46352</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46353</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46789</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46358</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46361</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46362</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51186</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46364</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46373</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46373</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46374</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53088</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46381</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46382</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46384</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46395</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46400</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46402</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46402</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46415</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46478</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46420</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46426</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46430</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46445</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46454</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46472</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46483</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46508</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46509</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46512</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46819</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46519</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46528</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46533</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46552</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46560</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46628</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46742</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46823</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49372</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46863</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47029</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47082</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47489</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47562</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51251</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68370</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71814</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149398</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159010</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367921</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46257</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45335</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45408</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42296</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46300</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48869</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71084</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45490</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43744</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45051</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46024</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1349</v>
      </c>
      <c r="B1" s="34"/>
      <c r="C1" s="34"/>
      <c r="D1" s="34"/>
    </row>
    <row r="2" spans="1:4" ht="15" customHeight="1">
      <c r="A2" s="34"/>
      <c r="B2" s="34"/>
      <c r="C2" s="34"/>
      <c r="D2" s="34"/>
    </row>
    <row r="3" spans="1:4">
      <c r="A3" s="14" t="s">
        <v>1350</v>
      </c>
      <c r="B3" s="14" t="s">
        <v>1351</v>
      </c>
      <c r="C3" s="14" t="s">
        <v>1352</v>
      </c>
      <c r="D3" s="14" t="s">
        <v>1353</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332797.78000000003</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1:H2027"/>
  <sheetViews>
    <sheetView workbookViewId="0">
      <selection activeCell="H2032" sqref="H2032"/>
    </sheetView>
  </sheetViews>
  <sheetFormatPr defaultColWidth="11.42578125" defaultRowHeight="15"/>
  <cols>
    <col min="1" max="1" width="11.42578125" style="71"/>
    <col min="2" max="2" width="16" customWidth="1"/>
    <col min="3" max="3" width="97.85546875" customWidth="1"/>
    <col min="4" max="4" width="18.5703125" style="35" customWidth="1"/>
    <col min="5" max="5" width="20.42578125" style="86" bestFit="1" customWidth="1"/>
    <col min="6" max="6" width="14.85546875" customWidth="1"/>
    <col min="7" max="7" width="15.140625" bestFit="1" customWidth="1"/>
    <col min="8" max="8" width="17.5703125" bestFit="1" customWidth="1"/>
  </cols>
  <sheetData>
    <row r="1" spans="1:8">
      <c r="A1" s="102" t="s">
        <v>1354</v>
      </c>
      <c r="B1" s="102"/>
      <c r="C1" s="102"/>
      <c r="D1" s="102"/>
      <c r="E1" s="102"/>
      <c r="F1" s="102"/>
      <c r="G1" s="102"/>
      <c r="H1" s="89" t="s">
        <v>1355</v>
      </c>
    </row>
    <row r="2" spans="1:8">
      <c r="A2" s="102"/>
      <c r="B2" s="102"/>
      <c r="C2" s="102"/>
      <c r="D2" s="102"/>
      <c r="E2" s="102"/>
      <c r="F2" s="102"/>
      <c r="G2" s="102"/>
      <c r="H2" s="89"/>
    </row>
    <row r="3" spans="1:8">
      <c r="A3" s="83" t="s">
        <v>670</v>
      </c>
      <c r="B3" s="95" t="s">
        <v>1356</v>
      </c>
      <c r="C3" s="95" t="s">
        <v>1357</v>
      </c>
      <c r="D3" s="84" t="s">
        <v>1358</v>
      </c>
      <c r="E3" s="87" t="s">
        <v>1359</v>
      </c>
      <c r="F3" s="95" t="s">
        <v>756</v>
      </c>
      <c r="G3" s="95" t="s">
        <v>752</v>
      </c>
      <c r="H3" s="95" t="s">
        <v>754</v>
      </c>
    </row>
    <row r="4" spans="1:8" hidden="1">
      <c r="A4" s="71">
        <v>46170</v>
      </c>
      <c r="B4" t="s">
        <v>409</v>
      </c>
      <c r="C4" t="s">
        <v>1360</v>
      </c>
      <c r="E4" s="81">
        <v>12865</v>
      </c>
      <c r="F4" t="s">
        <v>759</v>
      </c>
      <c r="G4">
        <v>16617</v>
      </c>
    </row>
    <row r="5" spans="1:8" hidden="1">
      <c r="A5" s="71">
        <v>46170</v>
      </c>
      <c r="B5" t="s">
        <v>409</v>
      </c>
      <c r="C5" t="s">
        <v>1361</v>
      </c>
      <c r="E5" s="81">
        <v>12865</v>
      </c>
      <c r="F5" t="s">
        <v>759</v>
      </c>
      <c r="G5">
        <v>16617</v>
      </c>
    </row>
    <row r="6" spans="1:8" hidden="1">
      <c r="A6" s="71">
        <v>46171</v>
      </c>
      <c r="B6" t="s">
        <v>60</v>
      </c>
      <c r="C6" s="50" t="s">
        <v>1362</v>
      </c>
      <c r="E6" s="81">
        <v>80292</v>
      </c>
      <c r="F6" t="s">
        <v>759</v>
      </c>
      <c r="G6">
        <v>17659</v>
      </c>
    </row>
    <row r="7" spans="1:8" hidden="1">
      <c r="A7" s="71">
        <v>46155</v>
      </c>
      <c r="B7" t="s">
        <v>301</v>
      </c>
      <c r="C7" s="50" t="s">
        <v>1363</v>
      </c>
      <c r="E7" s="81">
        <v>8990</v>
      </c>
      <c r="F7" t="s">
        <v>759</v>
      </c>
      <c r="G7">
        <v>17658</v>
      </c>
    </row>
    <row r="8" spans="1:8" hidden="1">
      <c r="A8" s="71">
        <v>46174</v>
      </c>
      <c r="B8" t="s">
        <v>311</v>
      </c>
      <c r="C8" t="s">
        <v>1364</v>
      </c>
      <c r="E8" s="81"/>
      <c r="F8" t="s">
        <v>759</v>
      </c>
      <c r="G8">
        <v>17625</v>
      </c>
    </row>
    <row r="9" spans="1:8" hidden="1">
      <c r="A9" s="71">
        <v>46174</v>
      </c>
      <c r="B9" t="s">
        <v>89</v>
      </c>
      <c r="C9" t="s">
        <v>1365</v>
      </c>
      <c r="E9" s="81">
        <v>3784</v>
      </c>
      <c r="F9" t="s">
        <v>759</v>
      </c>
      <c r="G9">
        <v>17626</v>
      </c>
    </row>
    <row r="10" spans="1:8" hidden="1">
      <c r="A10" s="71">
        <v>46174</v>
      </c>
      <c r="B10" t="s">
        <v>86</v>
      </c>
      <c r="C10" s="50" t="s">
        <v>1366</v>
      </c>
      <c r="E10" s="81">
        <v>3666</v>
      </c>
      <c r="F10" t="s">
        <v>759</v>
      </c>
    </row>
    <row r="11" spans="1:8" hidden="1">
      <c r="A11" s="71">
        <v>46168</v>
      </c>
      <c r="B11" t="s">
        <v>152</v>
      </c>
      <c r="C11" t="s">
        <v>1367</v>
      </c>
      <c r="E11" s="81"/>
      <c r="F11" t="s">
        <v>759</v>
      </c>
      <c r="G11">
        <v>17623</v>
      </c>
    </row>
    <row r="12" spans="1:8" hidden="1">
      <c r="A12" s="71">
        <v>46167</v>
      </c>
      <c r="B12" t="s">
        <v>36</v>
      </c>
      <c r="C12" t="s">
        <v>1368</v>
      </c>
      <c r="E12" s="81"/>
      <c r="F12" t="s">
        <v>759</v>
      </c>
      <c r="G12">
        <v>17622</v>
      </c>
    </row>
    <row r="13" spans="1:8" hidden="1">
      <c r="A13" s="71">
        <v>46155</v>
      </c>
      <c r="B13" t="s">
        <v>211</v>
      </c>
      <c r="C13" t="s">
        <v>1369</v>
      </c>
      <c r="E13" s="81"/>
      <c r="F13" t="s">
        <v>759</v>
      </c>
      <c r="G13">
        <v>17202</v>
      </c>
    </row>
    <row r="14" spans="1:8" hidden="1">
      <c r="A14" s="71">
        <v>46159</v>
      </c>
      <c r="B14" t="s">
        <v>322</v>
      </c>
      <c r="C14" t="s">
        <v>1370</v>
      </c>
      <c r="E14" s="81">
        <v>27811</v>
      </c>
      <c r="F14" t="s">
        <v>759</v>
      </c>
      <c r="G14">
        <v>17618</v>
      </c>
    </row>
    <row r="15" spans="1:8" hidden="1">
      <c r="A15" s="71">
        <v>46162</v>
      </c>
      <c r="B15" t="s">
        <v>356</v>
      </c>
      <c r="C15" t="s">
        <v>1371</v>
      </c>
      <c r="E15" s="81"/>
      <c r="F15" t="s">
        <v>759</v>
      </c>
      <c r="G15">
        <v>17620</v>
      </c>
    </row>
    <row r="16" spans="1:8" hidden="1">
      <c r="A16" s="71">
        <v>46160</v>
      </c>
      <c r="B16" t="s">
        <v>60</v>
      </c>
      <c r="C16" t="s">
        <v>1372</v>
      </c>
      <c r="E16" s="81" t="s">
        <v>1373</v>
      </c>
      <c r="F16" t="s">
        <v>759</v>
      </c>
      <c r="G16">
        <v>17203</v>
      </c>
    </row>
    <row r="17" spans="1:8" hidden="1">
      <c r="A17" s="71">
        <v>46167</v>
      </c>
      <c r="B17" t="s">
        <v>346</v>
      </c>
      <c r="C17" s="50" t="s">
        <v>1374</v>
      </c>
      <c r="E17" s="81"/>
      <c r="F17" t="s">
        <v>759</v>
      </c>
      <c r="G17">
        <v>16613</v>
      </c>
    </row>
    <row r="18" spans="1:8" hidden="1">
      <c r="A18" s="71">
        <v>46161</v>
      </c>
      <c r="B18" t="s">
        <v>152</v>
      </c>
      <c r="C18" t="s">
        <v>1375</v>
      </c>
      <c r="E18" s="81">
        <v>494234</v>
      </c>
      <c r="F18" t="s">
        <v>759</v>
      </c>
      <c r="G18">
        <v>17619</v>
      </c>
    </row>
    <row r="19" spans="1:8" hidden="1">
      <c r="A19" s="71">
        <v>46161</v>
      </c>
      <c r="B19" t="s">
        <v>322</v>
      </c>
      <c r="C19" t="s">
        <v>1376</v>
      </c>
      <c r="E19" s="81"/>
      <c r="F19" t="s">
        <v>759</v>
      </c>
      <c r="G19">
        <v>17206</v>
      </c>
    </row>
    <row r="20" spans="1:8" hidden="1">
      <c r="A20" s="71">
        <v>46160</v>
      </c>
      <c r="B20" t="s">
        <v>391</v>
      </c>
      <c r="C20" s="50" t="s">
        <v>1377</v>
      </c>
      <c r="E20" s="81">
        <v>8035</v>
      </c>
      <c r="F20" t="s">
        <v>759</v>
      </c>
      <c r="G20">
        <v>17204</v>
      </c>
    </row>
    <row r="21" spans="1:8" hidden="1">
      <c r="A21" s="71">
        <v>46154</v>
      </c>
      <c r="B21" t="s">
        <v>409</v>
      </c>
      <c r="C21" t="s">
        <v>1378</v>
      </c>
      <c r="E21" s="81">
        <v>12836</v>
      </c>
      <c r="F21" t="s">
        <v>759</v>
      </c>
      <c r="G21">
        <v>17201</v>
      </c>
    </row>
    <row r="22" spans="1:8" hidden="1">
      <c r="A22" s="71">
        <v>45867</v>
      </c>
      <c r="B22" t="s">
        <v>591</v>
      </c>
      <c r="C22" t="s">
        <v>1379</v>
      </c>
      <c r="E22" s="81"/>
      <c r="F22" t="s">
        <v>759</v>
      </c>
    </row>
    <row r="23" spans="1:8" hidden="1">
      <c r="A23" s="71">
        <v>46135</v>
      </c>
      <c r="B23" t="s">
        <v>169</v>
      </c>
      <c r="C23" s="50" t="s">
        <v>1380</v>
      </c>
      <c r="E23" s="81"/>
      <c r="F23" t="s">
        <v>759</v>
      </c>
      <c r="G23">
        <v>17803</v>
      </c>
    </row>
    <row r="24" spans="1:8" hidden="1">
      <c r="A24" s="71">
        <v>46139</v>
      </c>
      <c r="B24" t="s">
        <v>373</v>
      </c>
      <c r="C24" t="s">
        <v>1381</v>
      </c>
      <c r="E24" s="81">
        <v>4931</v>
      </c>
      <c r="F24" t="s">
        <v>759</v>
      </c>
      <c r="G24">
        <v>17807</v>
      </c>
    </row>
    <row r="25" spans="1:8" hidden="1">
      <c r="A25" s="71">
        <v>46128</v>
      </c>
      <c r="B25" t="s">
        <v>86</v>
      </c>
      <c r="C25" t="s">
        <v>1382</v>
      </c>
      <c r="E25" s="81"/>
      <c r="F25" t="s">
        <v>759</v>
      </c>
      <c r="G25">
        <v>17805</v>
      </c>
      <c r="H25" t="s">
        <v>1230</v>
      </c>
    </row>
    <row r="26" spans="1:8" hidden="1">
      <c r="A26" s="71">
        <v>46155</v>
      </c>
      <c r="B26" t="s">
        <v>649</v>
      </c>
      <c r="C26" t="s">
        <v>1383</v>
      </c>
      <c r="E26" s="81">
        <v>119633</v>
      </c>
      <c r="F26" t="s">
        <v>759</v>
      </c>
      <c r="G26">
        <v>16601</v>
      </c>
      <c r="H26" t="s">
        <v>474</v>
      </c>
    </row>
    <row r="27" spans="1:8" hidden="1">
      <c r="A27" s="71">
        <v>46160</v>
      </c>
      <c r="B27" t="s">
        <v>19</v>
      </c>
      <c r="C27" t="s">
        <v>1384</v>
      </c>
      <c r="E27" s="81">
        <v>10630</v>
      </c>
      <c r="F27" t="s">
        <v>759</v>
      </c>
      <c r="G27">
        <v>16605</v>
      </c>
      <c r="H27" t="s">
        <v>474</v>
      </c>
    </row>
    <row r="28" spans="1:8" hidden="1">
      <c r="A28" s="71">
        <v>46160</v>
      </c>
      <c r="B28" t="s">
        <v>305</v>
      </c>
      <c r="C28" t="s">
        <v>1385</v>
      </c>
      <c r="E28" s="81">
        <v>8880</v>
      </c>
      <c r="F28" t="s">
        <v>759</v>
      </c>
      <c r="G28">
        <v>16606</v>
      </c>
      <c r="H28" t="s">
        <v>474</v>
      </c>
    </row>
    <row r="29" spans="1:8" hidden="1">
      <c r="A29" s="71">
        <v>46157</v>
      </c>
      <c r="B29" t="s">
        <v>305</v>
      </c>
      <c r="C29" t="s">
        <v>1386</v>
      </c>
      <c r="E29" s="81">
        <v>8878</v>
      </c>
      <c r="F29" t="s">
        <v>759</v>
      </c>
      <c r="G29">
        <v>16603</v>
      </c>
      <c r="H29" t="s">
        <v>474</v>
      </c>
    </row>
    <row r="30" spans="1:8" hidden="1">
      <c r="A30" s="71">
        <v>46161</v>
      </c>
      <c r="B30" t="s">
        <v>392</v>
      </c>
      <c r="C30" t="s">
        <v>1387</v>
      </c>
      <c r="E30" s="81">
        <v>17449</v>
      </c>
      <c r="F30" t="s">
        <v>759</v>
      </c>
      <c r="G30">
        <v>16608</v>
      </c>
      <c r="H30" t="s">
        <v>474</v>
      </c>
    </row>
    <row r="31" spans="1:8" hidden="1">
      <c r="A31" s="71">
        <v>46162</v>
      </c>
      <c r="B31" t="s">
        <v>313</v>
      </c>
      <c r="C31" t="s">
        <v>1388</v>
      </c>
      <c r="E31" s="81">
        <v>21539</v>
      </c>
      <c r="F31" t="s">
        <v>759</v>
      </c>
      <c r="G31">
        <v>16609</v>
      </c>
      <c r="H31" t="s">
        <v>474</v>
      </c>
    </row>
    <row r="32" spans="1:8" hidden="1">
      <c r="A32" s="71">
        <v>46149</v>
      </c>
      <c r="B32" t="s">
        <v>652</v>
      </c>
      <c r="C32" t="s">
        <v>1389</v>
      </c>
      <c r="E32" s="81">
        <v>98899</v>
      </c>
      <c r="F32" t="s">
        <v>759</v>
      </c>
      <c r="H32" t="s">
        <v>1390</v>
      </c>
    </row>
    <row r="33" spans="1:8" hidden="1">
      <c r="A33" s="71">
        <v>46094</v>
      </c>
      <c r="B33" t="s">
        <v>167</v>
      </c>
      <c r="C33" t="s">
        <v>1391</v>
      </c>
      <c r="F33" t="s">
        <v>759</v>
      </c>
      <c r="H33" t="s">
        <v>1390</v>
      </c>
    </row>
    <row r="34" spans="1:8" hidden="1">
      <c r="A34" s="71">
        <v>46118</v>
      </c>
      <c r="B34" t="s">
        <v>313</v>
      </c>
      <c r="C34" t="s">
        <v>1392</v>
      </c>
      <c r="F34" t="s">
        <v>759</v>
      </c>
      <c r="G34">
        <v>17164</v>
      </c>
      <c r="H34" t="s">
        <v>474</v>
      </c>
    </row>
    <row r="35" spans="1:8" hidden="1">
      <c r="A35" s="71">
        <v>46164</v>
      </c>
      <c r="B35" t="s">
        <v>352</v>
      </c>
      <c r="C35" t="s">
        <v>1393</v>
      </c>
      <c r="E35" s="86">
        <v>8627</v>
      </c>
      <c r="F35" t="s">
        <v>759</v>
      </c>
      <c r="G35">
        <v>17615</v>
      </c>
      <c r="H35" t="s">
        <v>1394</v>
      </c>
    </row>
    <row r="36" spans="1:8" hidden="1">
      <c r="A36" s="71">
        <v>46129</v>
      </c>
      <c r="B36" t="s">
        <v>36</v>
      </c>
      <c r="C36" t="s">
        <v>1395</v>
      </c>
      <c r="E36" s="86">
        <v>11200</v>
      </c>
      <c r="F36" t="s">
        <v>759</v>
      </c>
      <c r="G36">
        <v>17612</v>
      </c>
      <c r="H36" t="s">
        <v>1394</v>
      </c>
    </row>
    <row r="37" spans="1:8" hidden="1">
      <c r="A37" s="71">
        <v>46126</v>
      </c>
      <c r="B37" t="s">
        <v>136</v>
      </c>
      <c r="C37" t="s">
        <v>1396</v>
      </c>
      <c r="E37" s="86">
        <v>299359</v>
      </c>
      <c r="F37" t="s">
        <v>759</v>
      </c>
      <c r="G37">
        <v>17607</v>
      </c>
      <c r="H37" t="s">
        <v>1394</v>
      </c>
    </row>
    <row r="38" spans="1:8" hidden="1">
      <c r="A38" s="71">
        <v>46128</v>
      </c>
      <c r="B38" t="s">
        <v>500</v>
      </c>
      <c r="C38" t="s">
        <v>1397</v>
      </c>
      <c r="E38" s="86">
        <v>116846</v>
      </c>
      <c r="F38" t="s">
        <v>759</v>
      </c>
      <c r="G38">
        <v>17609</v>
      </c>
      <c r="H38" t="s">
        <v>1394</v>
      </c>
    </row>
    <row r="39" spans="1:8" hidden="1">
      <c r="A39" s="71">
        <v>46128</v>
      </c>
      <c r="B39" t="s">
        <v>625</v>
      </c>
      <c r="C39" t="s">
        <v>1398</v>
      </c>
      <c r="E39" s="86">
        <v>306371</v>
      </c>
      <c r="F39" t="s">
        <v>759</v>
      </c>
      <c r="G39">
        <v>17610</v>
      </c>
      <c r="H39" t="s">
        <v>1394</v>
      </c>
    </row>
    <row r="40" spans="1:8" hidden="1">
      <c r="A40" s="71">
        <v>46132</v>
      </c>
      <c r="B40" t="s">
        <v>322</v>
      </c>
      <c r="C40" t="s">
        <v>1399</v>
      </c>
      <c r="E40" s="86">
        <v>27805</v>
      </c>
      <c r="F40" t="s">
        <v>759</v>
      </c>
      <c r="G40">
        <v>17614</v>
      </c>
      <c r="H40" t="s">
        <v>1394</v>
      </c>
    </row>
    <row r="41" spans="1:8" hidden="1">
      <c r="A41" s="71">
        <v>46135</v>
      </c>
      <c r="B41" t="s">
        <v>435</v>
      </c>
      <c r="C41" t="s">
        <v>1400</v>
      </c>
      <c r="F41" t="s">
        <v>759</v>
      </c>
      <c r="G41">
        <v>17184</v>
      </c>
      <c r="H41" t="s">
        <v>474</v>
      </c>
    </row>
    <row r="42" spans="1:8" hidden="1">
      <c r="A42" s="71">
        <v>46142</v>
      </c>
      <c r="B42" t="s">
        <v>360</v>
      </c>
      <c r="C42" t="s">
        <v>1401</v>
      </c>
      <c r="E42" s="86">
        <v>7157</v>
      </c>
      <c r="F42" t="s">
        <v>759</v>
      </c>
      <c r="G42">
        <v>17189</v>
      </c>
      <c r="H42" t="s">
        <v>474</v>
      </c>
    </row>
    <row r="43" spans="1:8" hidden="1">
      <c r="A43" s="71">
        <v>46135</v>
      </c>
      <c r="B43" t="s">
        <v>305</v>
      </c>
      <c r="C43" t="s">
        <v>1402</v>
      </c>
      <c r="E43" s="86">
        <v>8817</v>
      </c>
      <c r="F43" t="s">
        <v>759</v>
      </c>
      <c r="G43">
        <v>17183</v>
      </c>
      <c r="H43" t="s">
        <v>474</v>
      </c>
    </row>
    <row r="44" spans="1:8" hidden="1">
      <c r="A44" s="71">
        <v>46146</v>
      </c>
      <c r="B44" t="s">
        <v>360</v>
      </c>
      <c r="C44" t="s">
        <v>1403</v>
      </c>
      <c r="E44" s="86">
        <v>7126</v>
      </c>
      <c r="F44" t="s">
        <v>759</v>
      </c>
      <c r="G44">
        <v>17190</v>
      </c>
      <c r="H44" t="s">
        <v>474</v>
      </c>
    </row>
    <row r="45" spans="1:8" hidden="1">
      <c r="A45" s="71">
        <v>46136</v>
      </c>
      <c r="B45" t="s">
        <v>435</v>
      </c>
      <c r="C45" s="85" t="s">
        <v>1404</v>
      </c>
      <c r="E45" s="86">
        <v>18298</v>
      </c>
      <c r="F45" t="s">
        <v>759</v>
      </c>
      <c r="G45">
        <v>17185</v>
      </c>
      <c r="H45" t="s">
        <v>474</v>
      </c>
    </row>
    <row r="46" spans="1:8" hidden="1">
      <c r="A46" s="71">
        <v>46139</v>
      </c>
      <c r="B46" t="s">
        <v>435</v>
      </c>
      <c r="C46" t="s">
        <v>1405</v>
      </c>
      <c r="E46" s="86">
        <v>18298</v>
      </c>
      <c r="F46" t="s">
        <v>759</v>
      </c>
      <c r="G46">
        <v>17186</v>
      </c>
      <c r="H46" t="s">
        <v>474</v>
      </c>
    </row>
    <row r="47" spans="1:8" hidden="1">
      <c r="A47" s="71">
        <v>46117</v>
      </c>
      <c r="B47" t="s">
        <v>409</v>
      </c>
      <c r="C47" t="s">
        <v>1406</v>
      </c>
      <c r="E47" s="86">
        <v>12936</v>
      </c>
      <c r="F47" t="s">
        <v>759</v>
      </c>
      <c r="G47">
        <v>17656</v>
      </c>
      <c r="H47" t="s">
        <v>1244</v>
      </c>
    </row>
    <row r="48" spans="1:8" hidden="1">
      <c r="A48" s="71">
        <v>46136</v>
      </c>
      <c r="B48" t="s">
        <v>356</v>
      </c>
      <c r="C48" t="s">
        <v>1407</v>
      </c>
      <c r="F48" t="s">
        <v>759</v>
      </c>
      <c r="G48">
        <v>17655</v>
      </c>
      <c r="H48" t="s">
        <v>1244</v>
      </c>
    </row>
    <row r="49" spans="1:8" hidden="1">
      <c r="A49" s="71">
        <v>46136</v>
      </c>
      <c r="B49" t="s">
        <v>322</v>
      </c>
      <c r="C49" t="s">
        <v>1408</v>
      </c>
      <c r="E49" s="86">
        <v>27805</v>
      </c>
      <c r="F49" t="s">
        <v>759</v>
      </c>
      <c r="H49" t="s">
        <v>1390</v>
      </c>
    </row>
    <row r="50" spans="1:8" hidden="1">
      <c r="A50" s="71">
        <v>46136</v>
      </c>
      <c r="B50" t="s">
        <v>322</v>
      </c>
      <c r="C50" t="s">
        <v>1409</v>
      </c>
      <c r="E50" s="86">
        <v>27805</v>
      </c>
      <c r="F50" t="s">
        <v>759</v>
      </c>
      <c r="H50" t="s">
        <v>1390</v>
      </c>
    </row>
    <row r="51" spans="1:8" hidden="1">
      <c r="A51" s="71">
        <v>46146</v>
      </c>
      <c r="B51" t="s">
        <v>283</v>
      </c>
      <c r="C51" t="s">
        <v>1410</v>
      </c>
      <c r="F51" t="s">
        <v>759</v>
      </c>
      <c r="H51" t="s">
        <v>1390</v>
      </c>
    </row>
    <row r="52" spans="1:8" hidden="1">
      <c r="A52" s="71">
        <v>46147</v>
      </c>
      <c r="B52" t="s">
        <v>322</v>
      </c>
      <c r="C52" s="50" t="s">
        <v>1411</v>
      </c>
      <c r="E52" s="86">
        <v>27805</v>
      </c>
      <c r="F52" t="s">
        <v>759</v>
      </c>
      <c r="H52" t="s">
        <v>1390</v>
      </c>
    </row>
    <row r="53" spans="1:8" hidden="1">
      <c r="A53" s="71">
        <v>46133</v>
      </c>
      <c r="B53" t="s">
        <v>29</v>
      </c>
      <c r="C53" t="s">
        <v>1412</v>
      </c>
      <c r="E53" s="86">
        <v>10876</v>
      </c>
      <c r="F53" t="s">
        <v>759</v>
      </c>
      <c r="G53">
        <v>17654</v>
      </c>
      <c r="H53" t="s">
        <v>1244</v>
      </c>
    </row>
    <row r="54" spans="1:8" hidden="1">
      <c r="A54" s="71">
        <v>46128</v>
      </c>
      <c r="B54" t="s">
        <v>388</v>
      </c>
      <c r="C54" t="s">
        <v>1413</v>
      </c>
      <c r="E54" s="86">
        <v>13084</v>
      </c>
      <c r="F54" t="s">
        <v>759</v>
      </c>
      <c r="G54">
        <v>17653</v>
      </c>
      <c r="H54" t="s">
        <v>1244</v>
      </c>
    </row>
    <row r="55" spans="1:8" hidden="1">
      <c r="A55" s="71">
        <v>46125</v>
      </c>
      <c r="B55" t="s">
        <v>698</v>
      </c>
      <c r="C55" t="s">
        <v>1414</v>
      </c>
      <c r="E55" s="86">
        <v>15813</v>
      </c>
      <c r="F55" t="s">
        <v>759</v>
      </c>
      <c r="G55">
        <v>17652</v>
      </c>
      <c r="H55" t="s">
        <v>1244</v>
      </c>
    </row>
    <row r="56" spans="1:8" hidden="1">
      <c r="A56" s="71">
        <v>46188</v>
      </c>
      <c r="B56" t="s">
        <v>409</v>
      </c>
      <c r="C56" t="s">
        <v>1415</v>
      </c>
      <c r="F56" t="s">
        <v>759</v>
      </c>
      <c r="G56">
        <v>17802</v>
      </c>
      <c r="H56" t="s">
        <v>1230</v>
      </c>
    </row>
    <row r="57" spans="1:8" hidden="1">
      <c r="A57" s="71">
        <v>46106</v>
      </c>
      <c r="B57" t="s">
        <v>89</v>
      </c>
      <c r="C57" t="s">
        <v>1416</v>
      </c>
      <c r="E57" s="86">
        <v>3532</v>
      </c>
      <c r="F57" t="s">
        <v>759</v>
      </c>
      <c r="G57">
        <v>17308</v>
      </c>
      <c r="H57" t="s">
        <v>808</v>
      </c>
    </row>
    <row r="58" spans="1:8" hidden="1">
      <c r="A58" s="71">
        <v>46105</v>
      </c>
      <c r="B58" t="s">
        <v>136</v>
      </c>
      <c r="C58" t="s">
        <v>1417</v>
      </c>
      <c r="E58" s="86">
        <v>297500</v>
      </c>
      <c r="F58" t="s">
        <v>759</v>
      </c>
      <c r="G58">
        <v>17311</v>
      </c>
      <c r="H58" t="s">
        <v>808</v>
      </c>
    </row>
    <row r="59" spans="1:8" hidden="1">
      <c r="A59" s="71">
        <v>46106</v>
      </c>
      <c r="B59" t="s">
        <v>388</v>
      </c>
      <c r="C59" t="s">
        <v>1418</v>
      </c>
      <c r="E59" s="86">
        <v>13053</v>
      </c>
      <c r="F59" t="s">
        <v>759</v>
      </c>
      <c r="G59">
        <v>17312</v>
      </c>
      <c r="H59" t="s">
        <v>808</v>
      </c>
    </row>
    <row r="60" spans="1:8" hidden="1">
      <c r="A60" s="71">
        <v>46107</v>
      </c>
      <c r="B60" t="s">
        <v>428</v>
      </c>
      <c r="C60" t="s">
        <v>1419</v>
      </c>
      <c r="E60" s="86">
        <v>573</v>
      </c>
      <c r="F60" t="s">
        <v>759</v>
      </c>
      <c r="G60">
        <v>17314</v>
      </c>
      <c r="H60" t="s">
        <v>808</v>
      </c>
    </row>
    <row r="61" spans="1:8" hidden="1">
      <c r="A61" s="71">
        <v>46106</v>
      </c>
      <c r="B61" t="s">
        <v>86</v>
      </c>
      <c r="C61" t="s">
        <v>1416</v>
      </c>
      <c r="E61" s="86">
        <v>3455</v>
      </c>
      <c r="F61" t="s">
        <v>759</v>
      </c>
      <c r="G61">
        <v>17315</v>
      </c>
      <c r="H61" t="s">
        <v>808</v>
      </c>
    </row>
    <row r="62" spans="1:8" hidden="1">
      <c r="A62" s="71">
        <v>46108</v>
      </c>
      <c r="B62" t="s">
        <v>48</v>
      </c>
      <c r="C62" t="s">
        <v>1420</v>
      </c>
      <c r="E62" s="86">
        <v>275716</v>
      </c>
      <c r="F62" t="s">
        <v>759</v>
      </c>
      <c r="G62">
        <v>17316</v>
      </c>
      <c r="H62" t="s">
        <v>808</v>
      </c>
    </row>
    <row r="63" spans="1:8" hidden="1">
      <c r="A63" s="71">
        <v>46108</v>
      </c>
      <c r="B63" t="s">
        <v>646</v>
      </c>
      <c r="C63" t="s">
        <v>1421</v>
      </c>
      <c r="E63" s="86">
        <v>147465</v>
      </c>
      <c r="F63" t="s">
        <v>759</v>
      </c>
      <c r="G63">
        <v>17317</v>
      </c>
      <c r="H63" t="s">
        <v>808</v>
      </c>
    </row>
    <row r="64" spans="1:8" hidden="1">
      <c r="A64" s="71">
        <v>46112</v>
      </c>
      <c r="B64" t="s">
        <v>573</v>
      </c>
      <c r="C64" t="s">
        <v>1422</v>
      </c>
      <c r="E64" s="86">
        <v>562024</v>
      </c>
      <c r="F64" t="s">
        <v>759</v>
      </c>
      <c r="G64">
        <v>17321</v>
      </c>
      <c r="H64" t="s">
        <v>808</v>
      </c>
    </row>
    <row r="65" spans="1:8" hidden="1">
      <c r="A65" s="71">
        <v>46111</v>
      </c>
      <c r="B65" t="s">
        <v>311</v>
      </c>
      <c r="C65" t="s">
        <v>1423</v>
      </c>
      <c r="E65" s="86">
        <v>17019</v>
      </c>
      <c r="F65" t="s">
        <v>759</v>
      </c>
      <c r="G65">
        <v>17320</v>
      </c>
      <c r="H65" t="s">
        <v>808</v>
      </c>
    </row>
    <row r="66" spans="1:8" hidden="1">
      <c r="A66" s="71">
        <v>46112</v>
      </c>
      <c r="B66" t="s">
        <v>646</v>
      </c>
      <c r="C66" t="s">
        <v>1424</v>
      </c>
      <c r="E66" s="86">
        <v>147465</v>
      </c>
      <c r="F66" t="s">
        <v>759</v>
      </c>
      <c r="G66">
        <v>17322</v>
      </c>
      <c r="H66" t="s">
        <v>808</v>
      </c>
    </row>
    <row r="67" spans="1:8" hidden="1">
      <c r="A67" s="71">
        <v>46111</v>
      </c>
      <c r="B67" t="s">
        <v>330</v>
      </c>
      <c r="C67" t="s">
        <v>1425</v>
      </c>
      <c r="E67" s="86">
        <v>8984</v>
      </c>
      <c r="F67" t="s">
        <v>759</v>
      </c>
      <c r="G67">
        <v>17160</v>
      </c>
      <c r="H67" t="s">
        <v>474</v>
      </c>
    </row>
    <row r="68" spans="1:8" hidden="1">
      <c r="A68" s="71">
        <v>46112</v>
      </c>
      <c r="B68" t="s">
        <v>365</v>
      </c>
      <c r="C68" t="s">
        <v>1426</v>
      </c>
      <c r="D68" s="35" t="s">
        <v>1427</v>
      </c>
      <c r="F68" t="s">
        <v>759</v>
      </c>
      <c r="G68">
        <v>17162</v>
      </c>
      <c r="H68" t="s">
        <v>474</v>
      </c>
    </row>
    <row r="69" spans="1:8" hidden="1">
      <c r="A69" s="71">
        <v>46105</v>
      </c>
      <c r="B69" t="s">
        <v>635</v>
      </c>
      <c r="C69" s="85" t="s">
        <v>1419</v>
      </c>
      <c r="E69" s="86">
        <v>10125</v>
      </c>
      <c r="F69" t="s">
        <v>759</v>
      </c>
      <c r="G69">
        <v>17309</v>
      </c>
      <c r="H69" t="s">
        <v>497</v>
      </c>
    </row>
    <row r="70" spans="1:8" hidden="1">
      <c r="A70" s="71">
        <v>46099</v>
      </c>
      <c r="B70" t="s">
        <v>245</v>
      </c>
      <c r="C70" t="s">
        <v>1428</v>
      </c>
      <c r="E70" s="86">
        <v>5164</v>
      </c>
      <c r="F70" t="s">
        <v>759</v>
      </c>
      <c r="G70">
        <v>17301</v>
      </c>
      <c r="H70" t="s">
        <v>808</v>
      </c>
    </row>
    <row r="71" spans="1:8" hidden="1">
      <c r="A71" s="71">
        <v>46099</v>
      </c>
      <c r="B71" t="s">
        <v>698</v>
      </c>
      <c r="C71" t="s">
        <v>1428</v>
      </c>
      <c r="E71" s="86">
        <v>15747</v>
      </c>
      <c r="F71" t="s">
        <v>759</v>
      </c>
      <c r="G71">
        <v>17302</v>
      </c>
      <c r="H71" t="s">
        <v>808</v>
      </c>
    </row>
    <row r="72" spans="1:8" hidden="1">
      <c r="A72" s="71">
        <v>46101</v>
      </c>
      <c r="B72" t="s">
        <v>637</v>
      </c>
      <c r="C72" t="s">
        <v>1429</v>
      </c>
      <c r="E72" s="86">
        <v>12940</v>
      </c>
      <c r="F72" t="s">
        <v>759</v>
      </c>
      <c r="G72">
        <v>17306</v>
      </c>
      <c r="H72" t="s">
        <v>808</v>
      </c>
    </row>
    <row r="73" spans="1:8" hidden="1">
      <c r="A73" s="71">
        <v>46100</v>
      </c>
      <c r="B73" t="s">
        <v>620</v>
      </c>
      <c r="C73" t="s">
        <v>1383</v>
      </c>
      <c r="F73" t="s">
        <v>759</v>
      </c>
      <c r="G73">
        <v>16208</v>
      </c>
      <c r="H73" t="s">
        <v>1240</v>
      </c>
    </row>
    <row r="74" spans="1:8" hidden="1">
      <c r="A74" s="71">
        <v>46113</v>
      </c>
      <c r="B74" t="s">
        <v>96</v>
      </c>
      <c r="C74" t="s">
        <v>1430</v>
      </c>
      <c r="E74" s="86">
        <v>80760</v>
      </c>
      <c r="F74" t="s">
        <v>759</v>
      </c>
      <c r="G74">
        <v>16210</v>
      </c>
      <c r="H74" t="s">
        <v>1240</v>
      </c>
    </row>
    <row r="75" spans="1:8" hidden="1">
      <c r="A75" s="71">
        <v>46095</v>
      </c>
      <c r="B75" t="s">
        <v>371</v>
      </c>
      <c r="C75" t="s">
        <v>1431</v>
      </c>
      <c r="E75" s="86">
        <v>16854</v>
      </c>
      <c r="F75" t="s">
        <v>759</v>
      </c>
      <c r="G75">
        <v>16216</v>
      </c>
      <c r="H75" t="s">
        <v>1240</v>
      </c>
    </row>
    <row r="76" spans="1:8" hidden="1">
      <c r="A76" s="71">
        <v>46095</v>
      </c>
      <c r="B76" t="s">
        <v>173</v>
      </c>
      <c r="C76" t="s">
        <v>1432</v>
      </c>
      <c r="E76" s="86">
        <v>9295</v>
      </c>
      <c r="F76" t="s">
        <v>759</v>
      </c>
      <c r="G76">
        <v>16217</v>
      </c>
      <c r="H76" t="s">
        <v>1240</v>
      </c>
    </row>
    <row r="77" spans="1:8" hidden="1">
      <c r="A77" s="71">
        <v>46095</v>
      </c>
      <c r="B77" t="s">
        <v>412</v>
      </c>
      <c r="C77" t="s">
        <v>1433</v>
      </c>
      <c r="E77" s="86">
        <v>4414</v>
      </c>
      <c r="F77" t="s">
        <v>759</v>
      </c>
      <c r="G77">
        <v>16215</v>
      </c>
      <c r="H77" t="s">
        <v>1240</v>
      </c>
    </row>
    <row r="78" spans="1:8" hidden="1">
      <c r="A78" s="71">
        <v>46094</v>
      </c>
      <c r="B78" t="s">
        <v>362</v>
      </c>
      <c r="C78" t="s">
        <v>1434</v>
      </c>
      <c r="E78" s="86">
        <v>15623</v>
      </c>
      <c r="F78" t="s">
        <v>759</v>
      </c>
      <c r="G78">
        <v>16214</v>
      </c>
      <c r="H78" t="s">
        <v>1240</v>
      </c>
    </row>
    <row r="79" spans="1:8" hidden="1">
      <c r="A79" s="71">
        <v>46094</v>
      </c>
      <c r="B79" t="s">
        <v>418</v>
      </c>
      <c r="C79" t="s">
        <v>1435</v>
      </c>
      <c r="E79" s="86">
        <v>10734</v>
      </c>
      <c r="F79" t="s">
        <v>759</v>
      </c>
      <c r="G79">
        <v>16213</v>
      </c>
      <c r="H79" t="s">
        <v>1240</v>
      </c>
    </row>
    <row r="80" spans="1:8" hidden="1">
      <c r="A80" s="71">
        <v>46093</v>
      </c>
      <c r="B80" t="s">
        <v>171</v>
      </c>
      <c r="C80" t="s">
        <v>1436</v>
      </c>
      <c r="E80" s="86">
        <v>3403</v>
      </c>
      <c r="F80" t="s">
        <v>759</v>
      </c>
      <c r="G80">
        <v>16212</v>
      </c>
      <c r="H80" t="s">
        <v>1240</v>
      </c>
    </row>
    <row r="81" spans="1:8" hidden="1">
      <c r="A81" s="71">
        <v>46107</v>
      </c>
      <c r="B81" t="s">
        <v>613</v>
      </c>
      <c r="C81" t="s">
        <v>1429</v>
      </c>
      <c r="F81" t="s">
        <v>759</v>
      </c>
      <c r="G81">
        <v>16209</v>
      </c>
      <c r="H81" t="s">
        <v>1240</v>
      </c>
    </row>
    <row r="82" spans="1:8" hidden="1">
      <c r="A82" s="71">
        <v>46105</v>
      </c>
      <c r="B82" t="s">
        <v>273</v>
      </c>
      <c r="C82" t="s">
        <v>1437</v>
      </c>
      <c r="E82" s="86">
        <v>5672</v>
      </c>
      <c r="F82" t="s">
        <v>759</v>
      </c>
      <c r="G82">
        <v>15509</v>
      </c>
      <c r="H82" t="s">
        <v>1230</v>
      </c>
    </row>
    <row r="83" spans="1:8" hidden="1">
      <c r="A83" s="71">
        <v>46185</v>
      </c>
      <c r="B83" t="s">
        <v>93</v>
      </c>
      <c r="C83" t="s">
        <v>1438</v>
      </c>
      <c r="E83" s="86">
        <v>105367</v>
      </c>
      <c r="F83" t="s">
        <v>759</v>
      </c>
      <c r="G83">
        <v>17760</v>
      </c>
      <c r="H83" t="s">
        <v>474</v>
      </c>
    </row>
    <row r="84" spans="1:8" hidden="1">
      <c r="A84" s="71">
        <v>46184</v>
      </c>
      <c r="B84" t="s">
        <v>428</v>
      </c>
      <c r="C84" t="s">
        <v>1439</v>
      </c>
      <c r="E84" s="86">
        <v>653</v>
      </c>
      <c r="F84" t="s">
        <v>759</v>
      </c>
      <c r="G84">
        <v>17759</v>
      </c>
      <c r="H84" t="s">
        <v>474</v>
      </c>
    </row>
    <row r="85" spans="1:8" hidden="1">
      <c r="A85" s="71">
        <v>46184</v>
      </c>
      <c r="B85" t="s">
        <v>93</v>
      </c>
      <c r="C85" t="s">
        <v>1440</v>
      </c>
      <c r="E85" s="86">
        <v>105367</v>
      </c>
      <c r="F85" t="s">
        <v>759</v>
      </c>
      <c r="G85">
        <v>17757</v>
      </c>
      <c r="H85" t="s">
        <v>474</v>
      </c>
    </row>
    <row r="86" spans="1:8" hidden="1">
      <c r="A86" s="71">
        <v>46182</v>
      </c>
      <c r="B86" t="s">
        <v>391</v>
      </c>
      <c r="C86" t="s">
        <v>1441</v>
      </c>
      <c r="E86" s="86">
        <v>8096</v>
      </c>
      <c r="F86" t="s">
        <v>759</v>
      </c>
      <c r="G86">
        <v>17755</v>
      </c>
      <c r="H86" t="s">
        <v>474</v>
      </c>
    </row>
    <row r="87" spans="1:8" hidden="1">
      <c r="A87" s="71">
        <v>46178</v>
      </c>
      <c r="B87" t="s">
        <v>281</v>
      </c>
      <c r="C87" t="s">
        <v>1442</v>
      </c>
      <c r="F87" t="s">
        <v>759</v>
      </c>
      <c r="G87">
        <v>15128</v>
      </c>
      <c r="H87" t="s">
        <v>1252</v>
      </c>
    </row>
    <row r="88" spans="1:8" hidden="1">
      <c r="A88" s="71">
        <v>46170</v>
      </c>
      <c r="B88" t="s">
        <v>373</v>
      </c>
      <c r="C88" t="s">
        <v>1443</v>
      </c>
      <c r="E88" s="86">
        <v>4986</v>
      </c>
      <c r="F88" t="s">
        <v>759</v>
      </c>
      <c r="G88">
        <v>17213</v>
      </c>
      <c r="H88" t="s">
        <v>1244</v>
      </c>
    </row>
    <row r="89" spans="1:8" hidden="1">
      <c r="A89" s="71">
        <v>46169</v>
      </c>
      <c r="B89" t="s">
        <v>211</v>
      </c>
      <c r="C89" t="s">
        <v>1444</v>
      </c>
      <c r="F89" t="s">
        <v>759</v>
      </c>
      <c r="G89">
        <v>17212</v>
      </c>
      <c r="H89" t="s">
        <v>1244</v>
      </c>
    </row>
    <row r="90" spans="1:8" hidden="1">
      <c r="A90" s="71">
        <v>46171</v>
      </c>
      <c r="B90" t="s">
        <v>311</v>
      </c>
      <c r="C90" t="s">
        <v>1445</v>
      </c>
      <c r="F90" t="s">
        <v>759</v>
      </c>
      <c r="G90">
        <v>17211</v>
      </c>
      <c r="H90" t="s">
        <v>497</v>
      </c>
    </row>
    <row r="91" spans="1:8" hidden="1">
      <c r="A91" s="71">
        <v>46178</v>
      </c>
      <c r="B91" t="s">
        <v>60</v>
      </c>
      <c r="C91" t="s">
        <v>1446</v>
      </c>
      <c r="F91" t="s">
        <v>759</v>
      </c>
      <c r="G91">
        <v>17753</v>
      </c>
      <c r="H91" t="s">
        <v>474</v>
      </c>
    </row>
    <row r="92" spans="1:8" hidden="1">
      <c r="A92" s="71">
        <v>46154</v>
      </c>
      <c r="B92" t="s">
        <v>424</v>
      </c>
      <c r="C92" t="s">
        <v>1447</v>
      </c>
      <c r="E92" s="86">
        <v>5825</v>
      </c>
      <c r="F92" t="s">
        <v>759</v>
      </c>
      <c r="G92">
        <v>17199</v>
      </c>
      <c r="H92" t="s">
        <v>474</v>
      </c>
    </row>
    <row r="93" spans="1:8" hidden="1">
      <c r="A93" s="71">
        <v>46177</v>
      </c>
      <c r="B93" t="s">
        <v>388</v>
      </c>
      <c r="C93" t="s">
        <v>1448</v>
      </c>
      <c r="E93" s="86">
        <v>13243</v>
      </c>
      <c r="F93" t="s">
        <v>759</v>
      </c>
      <c r="G93">
        <v>17751</v>
      </c>
      <c r="H93" t="s">
        <v>474</v>
      </c>
    </row>
    <row r="94" spans="1:8" hidden="1">
      <c r="A94" s="71">
        <v>46182</v>
      </c>
      <c r="B94" t="s">
        <v>117</v>
      </c>
      <c r="C94" t="s">
        <v>1449</v>
      </c>
      <c r="E94" s="86">
        <v>2117</v>
      </c>
      <c r="F94" t="s">
        <v>759</v>
      </c>
      <c r="G94">
        <v>17220</v>
      </c>
      <c r="H94" t="s">
        <v>497</v>
      </c>
    </row>
    <row r="95" spans="1:8" hidden="1">
      <c r="A95" s="71">
        <v>46168</v>
      </c>
      <c r="B95" t="s">
        <v>435</v>
      </c>
      <c r="C95" t="s">
        <v>1450</v>
      </c>
      <c r="F95" t="s">
        <v>759</v>
      </c>
      <c r="G95">
        <v>17218</v>
      </c>
      <c r="H95" t="s">
        <v>1244</v>
      </c>
    </row>
    <row r="96" spans="1:8" hidden="1">
      <c r="A96" s="71">
        <v>46181</v>
      </c>
      <c r="B96" t="s">
        <v>373</v>
      </c>
      <c r="C96" t="s">
        <v>1451</v>
      </c>
      <c r="E96" s="86">
        <v>5014</v>
      </c>
      <c r="F96" t="s">
        <v>759</v>
      </c>
      <c r="G96">
        <v>17217</v>
      </c>
      <c r="H96" t="s">
        <v>1244</v>
      </c>
    </row>
    <row r="97" spans="1:8" hidden="1">
      <c r="A97" s="71">
        <v>45533</v>
      </c>
      <c r="B97" t="s">
        <v>311</v>
      </c>
      <c r="C97" t="s">
        <v>1452</v>
      </c>
    </row>
    <row r="98" spans="1:8" hidden="1">
      <c r="A98" s="71">
        <v>45359</v>
      </c>
      <c r="B98" t="s">
        <v>311</v>
      </c>
      <c r="C98" t="s">
        <v>1453</v>
      </c>
      <c r="F98" t="s">
        <v>759</v>
      </c>
      <c r="H98" t="s">
        <v>1286</v>
      </c>
    </row>
    <row r="99" spans="1:8" hidden="1">
      <c r="A99" s="71">
        <v>45296</v>
      </c>
      <c r="B99" t="s">
        <v>311</v>
      </c>
      <c r="C99" t="s">
        <v>1454</v>
      </c>
      <c r="E99" s="86">
        <v>14467</v>
      </c>
      <c r="F99" t="s">
        <v>759</v>
      </c>
      <c r="G99">
        <v>11049</v>
      </c>
      <c r="H99" t="s">
        <v>1235</v>
      </c>
    </row>
    <row r="100" spans="1:8" hidden="1">
      <c r="A100" s="71">
        <v>46187</v>
      </c>
      <c r="B100" t="s">
        <v>311</v>
      </c>
      <c r="C100" t="s">
        <v>1455</v>
      </c>
      <c r="F100" t="s">
        <v>759</v>
      </c>
      <c r="H100" t="s">
        <v>1286</v>
      </c>
    </row>
    <row r="101" spans="1:8" hidden="1">
      <c r="A101" s="71">
        <v>45279</v>
      </c>
      <c r="B101" t="s">
        <v>313</v>
      </c>
      <c r="C101" t="s">
        <v>1456</v>
      </c>
      <c r="E101" s="86">
        <v>19916</v>
      </c>
      <c r="F101" t="s">
        <v>759</v>
      </c>
      <c r="H101" t="s">
        <v>1244</v>
      </c>
    </row>
    <row r="102" spans="1:8" hidden="1">
      <c r="A102" s="71">
        <v>45175</v>
      </c>
      <c r="B102" t="s">
        <v>313</v>
      </c>
      <c r="C102" t="s">
        <v>1457</v>
      </c>
      <c r="E102" s="86">
        <v>19686</v>
      </c>
      <c r="F102" t="s">
        <v>759</v>
      </c>
      <c r="G102">
        <v>10982</v>
      </c>
      <c r="H102" t="s">
        <v>1244</v>
      </c>
    </row>
    <row r="103" spans="1:8" hidden="1">
      <c r="A103" s="71">
        <v>45545</v>
      </c>
      <c r="B103" t="s">
        <v>313</v>
      </c>
      <c r="C103" t="s">
        <v>1458</v>
      </c>
      <c r="E103" s="86">
        <v>20610</v>
      </c>
      <c r="F103" t="s">
        <v>759</v>
      </c>
      <c r="H103" t="s">
        <v>808</v>
      </c>
    </row>
    <row r="104" spans="1:8" hidden="1">
      <c r="A104" s="71">
        <v>45547</v>
      </c>
      <c r="B104" t="s">
        <v>313</v>
      </c>
      <c r="C104" t="s">
        <v>1459</v>
      </c>
      <c r="F104" t="s">
        <v>759</v>
      </c>
      <c r="H104" t="s">
        <v>808</v>
      </c>
    </row>
    <row r="105" spans="1:8" hidden="1">
      <c r="A105" s="71">
        <v>45350</v>
      </c>
      <c r="B105" t="s">
        <v>313</v>
      </c>
      <c r="C105" t="s">
        <v>1459</v>
      </c>
      <c r="E105" s="86">
        <v>20130</v>
      </c>
      <c r="F105" t="s">
        <v>759</v>
      </c>
      <c r="H105" t="s">
        <v>808</v>
      </c>
    </row>
    <row r="106" spans="1:8" hidden="1">
      <c r="A106" s="71">
        <v>45867</v>
      </c>
      <c r="B106" t="s">
        <v>591</v>
      </c>
      <c r="C106" t="s">
        <v>1460</v>
      </c>
      <c r="E106" s="86">
        <v>162230</v>
      </c>
      <c r="F106" t="s">
        <v>759</v>
      </c>
      <c r="G106">
        <v>15082</v>
      </c>
      <c r="H106" t="s">
        <v>474</v>
      </c>
    </row>
    <row r="107" spans="1:8" hidden="1">
      <c r="A107" s="71">
        <v>46139</v>
      </c>
      <c r="B107" t="s">
        <v>330</v>
      </c>
      <c r="C107" t="s">
        <v>1461</v>
      </c>
      <c r="E107" s="86">
        <v>9005</v>
      </c>
      <c r="F107" t="s">
        <v>759</v>
      </c>
      <c r="G107">
        <v>16225</v>
      </c>
      <c r="H107" t="s">
        <v>1240</v>
      </c>
    </row>
    <row r="108" spans="1:8" hidden="1">
      <c r="A108" s="71">
        <v>46141</v>
      </c>
      <c r="B108" t="s">
        <v>183</v>
      </c>
      <c r="C108" t="s">
        <v>1462</v>
      </c>
      <c r="E108" s="86">
        <v>3231</v>
      </c>
      <c r="F108" t="s">
        <v>759</v>
      </c>
      <c r="G108">
        <v>16252</v>
      </c>
      <c r="H108" t="s">
        <v>1463</v>
      </c>
    </row>
    <row r="109" spans="1:8" hidden="1">
      <c r="A109" s="71">
        <v>46141</v>
      </c>
      <c r="B109" t="s">
        <v>141</v>
      </c>
      <c r="C109" t="s">
        <v>1464</v>
      </c>
      <c r="E109" s="86">
        <v>1888</v>
      </c>
      <c r="F109" t="s">
        <v>759</v>
      </c>
      <c r="G109">
        <v>16253</v>
      </c>
      <c r="H109" t="s">
        <v>1463</v>
      </c>
    </row>
    <row r="110" spans="1:8" hidden="1">
      <c r="A110" s="71">
        <v>46171</v>
      </c>
      <c r="B110" t="s">
        <v>391</v>
      </c>
      <c r="C110" t="s">
        <v>1465</v>
      </c>
      <c r="E110" s="86">
        <v>8069</v>
      </c>
      <c r="F110" t="s">
        <v>759</v>
      </c>
      <c r="G110">
        <v>17210</v>
      </c>
      <c r="H110" t="s">
        <v>497</v>
      </c>
    </row>
    <row r="111" spans="1:8" hidden="1">
      <c r="A111" s="71">
        <v>46183</v>
      </c>
      <c r="B111" t="s">
        <v>60</v>
      </c>
      <c r="C111" t="s">
        <v>1466</v>
      </c>
      <c r="E111" s="86" t="s">
        <v>1373</v>
      </c>
      <c r="F111" t="s">
        <v>759</v>
      </c>
      <c r="G111">
        <v>17221</v>
      </c>
      <c r="H111" t="s">
        <v>1244</v>
      </c>
    </row>
    <row r="112" spans="1:8" hidden="1">
      <c r="A112" s="71">
        <v>46183</v>
      </c>
      <c r="B112" t="s">
        <v>211</v>
      </c>
      <c r="C112" t="s">
        <v>1467</v>
      </c>
      <c r="E112" s="86">
        <v>54</v>
      </c>
      <c r="F112" t="s">
        <v>759</v>
      </c>
      <c r="G112">
        <v>17222</v>
      </c>
      <c r="H112" t="s">
        <v>1244</v>
      </c>
    </row>
    <row r="113" spans="1:8" hidden="1">
      <c r="A113" s="71">
        <v>46185</v>
      </c>
      <c r="B113" t="s">
        <v>373</v>
      </c>
      <c r="C113" t="s">
        <v>1468</v>
      </c>
      <c r="E113" s="86">
        <v>5022</v>
      </c>
      <c r="F113" t="s">
        <v>759</v>
      </c>
      <c r="G113">
        <v>17223</v>
      </c>
      <c r="H113" t="s">
        <v>1244</v>
      </c>
    </row>
    <row r="114" spans="1:8" hidden="1">
      <c r="A114" s="71">
        <v>46190</v>
      </c>
      <c r="B114" t="s">
        <v>35</v>
      </c>
      <c r="C114" t="s">
        <v>1469</v>
      </c>
      <c r="E114" s="86">
        <v>8543</v>
      </c>
      <c r="F114" t="s">
        <v>759</v>
      </c>
      <c r="G114">
        <v>17227</v>
      </c>
      <c r="H114" t="s">
        <v>1244</v>
      </c>
    </row>
    <row r="115" spans="1:8" hidden="1">
      <c r="A115" s="71">
        <v>46111</v>
      </c>
      <c r="B115" t="s">
        <v>569</v>
      </c>
      <c r="C115" t="s">
        <v>1470</v>
      </c>
      <c r="F115" t="s">
        <v>759</v>
      </c>
      <c r="G115">
        <v>17319</v>
      </c>
      <c r="H115" t="s">
        <v>808</v>
      </c>
    </row>
    <row r="116" spans="1:8" hidden="1">
      <c r="A116" s="71">
        <v>46141</v>
      </c>
      <c r="B116" t="s">
        <v>138</v>
      </c>
      <c r="C116" t="s">
        <v>1471</v>
      </c>
      <c r="F116" t="s">
        <v>759</v>
      </c>
      <c r="G116">
        <v>16254</v>
      </c>
      <c r="H116" t="s">
        <v>1463</v>
      </c>
    </row>
    <row r="117" spans="1:8" hidden="1">
      <c r="A117" s="71">
        <v>46146</v>
      </c>
      <c r="B117" t="s">
        <v>32</v>
      </c>
      <c r="C117" t="s">
        <v>1472</v>
      </c>
      <c r="E117" s="86">
        <v>10821</v>
      </c>
      <c r="F117" t="s">
        <v>759</v>
      </c>
      <c r="G117">
        <v>16255</v>
      </c>
      <c r="H117" t="s">
        <v>1463</v>
      </c>
    </row>
    <row r="118" spans="1:8" hidden="1">
      <c r="A118" s="71">
        <v>43839</v>
      </c>
      <c r="B118" t="s">
        <v>1473</v>
      </c>
      <c r="C118" t="s">
        <v>1474</v>
      </c>
      <c r="E118" s="86">
        <v>92702</v>
      </c>
      <c r="F118" t="s">
        <v>759</v>
      </c>
      <c r="G118">
        <v>3787</v>
      </c>
      <c r="H118" t="s">
        <v>1390</v>
      </c>
    </row>
    <row r="119" spans="1:8" hidden="1">
      <c r="A119" s="71">
        <v>43850</v>
      </c>
      <c r="B119" t="s">
        <v>782</v>
      </c>
      <c r="C119" t="s">
        <v>1475</v>
      </c>
      <c r="E119" s="86">
        <v>145491</v>
      </c>
      <c r="F119" t="s">
        <v>759</v>
      </c>
      <c r="G119">
        <v>2394</v>
      </c>
      <c r="H119" t="s">
        <v>1390</v>
      </c>
    </row>
    <row r="120" spans="1:8" hidden="1">
      <c r="A120" s="71">
        <v>43858</v>
      </c>
      <c r="B120" t="s">
        <v>1476</v>
      </c>
      <c r="C120" t="s">
        <v>1477</v>
      </c>
      <c r="F120" t="s">
        <v>759</v>
      </c>
      <c r="G120">
        <v>2868</v>
      </c>
      <c r="H120" t="s">
        <v>1286</v>
      </c>
    </row>
    <row r="121" spans="1:8" hidden="1">
      <c r="A121" s="71">
        <v>43860</v>
      </c>
      <c r="B121" t="s">
        <v>782</v>
      </c>
      <c r="C121" t="s">
        <v>1478</v>
      </c>
      <c r="E121" s="86">
        <v>143913</v>
      </c>
      <c r="F121" t="s">
        <v>759</v>
      </c>
      <c r="G121">
        <v>2866</v>
      </c>
      <c r="H121" t="s">
        <v>1286</v>
      </c>
    </row>
    <row r="122" spans="1:8" hidden="1">
      <c r="A122" s="71">
        <v>43860</v>
      </c>
      <c r="B122" t="s">
        <v>693</v>
      </c>
      <c r="C122" t="s">
        <v>1479</v>
      </c>
      <c r="E122" s="86">
        <v>250</v>
      </c>
      <c r="F122" t="s">
        <v>759</v>
      </c>
      <c r="G122">
        <v>2751</v>
      </c>
      <c r="H122" t="s">
        <v>1246</v>
      </c>
    </row>
    <row r="123" spans="1:8" hidden="1">
      <c r="A123" s="71">
        <v>43861</v>
      </c>
      <c r="B123" t="s">
        <v>782</v>
      </c>
      <c r="C123" t="s">
        <v>1480</v>
      </c>
      <c r="E123" s="86">
        <v>143913</v>
      </c>
      <c r="F123" t="s">
        <v>759</v>
      </c>
      <c r="G123">
        <v>2865</v>
      </c>
      <c r="H123" t="s">
        <v>1286</v>
      </c>
    </row>
    <row r="124" spans="1:8" hidden="1">
      <c r="A124" s="71">
        <v>43861</v>
      </c>
      <c r="B124" t="s">
        <v>693</v>
      </c>
      <c r="C124" t="s">
        <v>1481</v>
      </c>
      <c r="E124" s="86">
        <v>141521</v>
      </c>
      <c r="F124" t="s">
        <v>759</v>
      </c>
      <c r="G124">
        <v>2760</v>
      </c>
      <c r="H124" t="s">
        <v>1246</v>
      </c>
    </row>
    <row r="125" spans="1:8" hidden="1">
      <c r="A125" s="71">
        <v>43862</v>
      </c>
      <c r="B125" t="s">
        <v>782</v>
      </c>
      <c r="C125" t="s">
        <v>1482</v>
      </c>
      <c r="E125" s="86">
        <v>143484</v>
      </c>
      <c r="F125" t="s">
        <v>759</v>
      </c>
      <c r="G125">
        <v>3794</v>
      </c>
      <c r="H125" t="s">
        <v>1390</v>
      </c>
    </row>
    <row r="126" spans="1:8" hidden="1">
      <c r="A126" s="71">
        <v>43864</v>
      </c>
      <c r="B126" t="s">
        <v>143</v>
      </c>
      <c r="C126" t="s">
        <v>1483</v>
      </c>
      <c r="E126" s="86">
        <v>536927</v>
      </c>
      <c r="F126" t="s">
        <v>759</v>
      </c>
      <c r="G126">
        <v>2763</v>
      </c>
      <c r="H126" t="s">
        <v>1246</v>
      </c>
    </row>
    <row r="127" spans="1:8" hidden="1">
      <c r="A127" s="71">
        <v>43865</v>
      </c>
      <c r="B127" t="s">
        <v>1476</v>
      </c>
      <c r="C127" t="s">
        <v>1484</v>
      </c>
      <c r="F127" t="s">
        <v>759</v>
      </c>
      <c r="G127">
        <v>2864</v>
      </c>
      <c r="H127" t="s">
        <v>1286</v>
      </c>
    </row>
    <row r="128" spans="1:8" hidden="1">
      <c r="A128" s="71">
        <v>43865</v>
      </c>
      <c r="B128" t="s">
        <v>143</v>
      </c>
      <c r="C128" t="s">
        <v>1485</v>
      </c>
      <c r="E128" s="86">
        <v>536927</v>
      </c>
      <c r="F128" t="s">
        <v>759</v>
      </c>
      <c r="G128">
        <v>2762</v>
      </c>
      <c r="H128" t="s">
        <v>1246</v>
      </c>
    </row>
    <row r="129" spans="1:8" hidden="1">
      <c r="A129" s="71">
        <v>43867</v>
      </c>
      <c r="B129" t="s">
        <v>1476</v>
      </c>
      <c r="C129" t="s">
        <v>1486</v>
      </c>
      <c r="F129" t="s">
        <v>759</v>
      </c>
      <c r="G129">
        <v>2862</v>
      </c>
      <c r="H129" t="s">
        <v>1286</v>
      </c>
    </row>
    <row r="130" spans="1:8" hidden="1">
      <c r="A130" s="71">
        <v>43868</v>
      </c>
      <c r="B130" t="s">
        <v>1476</v>
      </c>
      <c r="C130" t="s">
        <v>1487</v>
      </c>
      <c r="F130" t="s">
        <v>759</v>
      </c>
      <c r="G130">
        <v>2861</v>
      </c>
      <c r="H130" t="s">
        <v>1286</v>
      </c>
    </row>
    <row r="131" spans="1:8" hidden="1">
      <c r="A131" s="71">
        <v>43871</v>
      </c>
      <c r="B131" t="s">
        <v>782</v>
      </c>
      <c r="C131" t="s">
        <v>1488</v>
      </c>
      <c r="E131" s="86">
        <v>143913</v>
      </c>
      <c r="F131" t="s">
        <v>759</v>
      </c>
      <c r="G131">
        <v>2860</v>
      </c>
      <c r="H131" t="s">
        <v>1286</v>
      </c>
    </row>
    <row r="132" spans="1:8" hidden="1">
      <c r="A132" s="71">
        <v>43873</v>
      </c>
      <c r="B132" t="s">
        <v>782</v>
      </c>
      <c r="C132" t="s">
        <v>1489</v>
      </c>
      <c r="E132" s="86">
        <v>143913</v>
      </c>
      <c r="F132" t="s">
        <v>759</v>
      </c>
      <c r="G132">
        <v>2858</v>
      </c>
      <c r="H132" t="s">
        <v>1286</v>
      </c>
    </row>
    <row r="133" spans="1:8" hidden="1">
      <c r="A133" s="71">
        <v>43875</v>
      </c>
      <c r="B133" t="s">
        <v>689</v>
      </c>
      <c r="C133" t="s">
        <v>1490</v>
      </c>
      <c r="E133" s="86">
        <v>165185</v>
      </c>
      <c r="F133" t="s">
        <v>759</v>
      </c>
      <c r="G133">
        <v>2857</v>
      </c>
      <c r="H133" t="s">
        <v>1286</v>
      </c>
    </row>
    <row r="134" spans="1:8" hidden="1">
      <c r="A134" s="71">
        <v>43880</v>
      </c>
      <c r="B134" t="s">
        <v>782</v>
      </c>
      <c r="C134" t="s">
        <v>1491</v>
      </c>
      <c r="E134" s="86">
        <v>163742</v>
      </c>
      <c r="F134" t="s">
        <v>759</v>
      </c>
      <c r="G134">
        <v>3722</v>
      </c>
      <c r="H134" t="s">
        <v>1492</v>
      </c>
    </row>
    <row r="135" spans="1:8" hidden="1">
      <c r="A135" s="71">
        <v>43880</v>
      </c>
      <c r="B135" t="s">
        <v>689</v>
      </c>
      <c r="C135" t="s">
        <v>1493</v>
      </c>
      <c r="E135" s="86">
        <v>165185</v>
      </c>
      <c r="F135" t="s">
        <v>759</v>
      </c>
      <c r="G135">
        <v>2856</v>
      </c>
      <c r="H135" t="s">
        <v>1286</v>
      </c>
    </row>
    <row r="136" spans="1:8" hidden="1">
      <c r="A136" s="71">
        <v>43886</v>
      </c>
      <c r="B136" t="s">
        <v>689</v>
      </c>
      <c r="C136" t="s">
        <v>1494</v>
      </c>
      <c r="E136" s="86">
        <v>165185</v>
      </c>
      <c r="F136" t="s">
        <v>759</v>
      </c>
      <c r="G136">
        <v>2855</v>
      </c>
      <c r="H136" t="s">
        <v>1286</v>
      </c>
    </row>
    <row r="137" spans="1:8" hidden="1">
      <c r="A137" s="71">
        <v>43886</v>
      </c>
      <c r="B137" t="s">
        <v>1495</v>
      </c>
      <c r="C137" t="s">
        <v>1496</v>
      </c>
      <c r="E137" s="86">
        <v>6401</v>
      </c>
      <c r="F137" t="s">
        <v>759</v>
      </c>
      <c r="G137">
        <v>2817</v>
      </c>
      <c r="H137" t="s">
        <v>1497</v>
      </c>
    </row>
    <row r="138" spans="1:8" hidden="1">
      <c r="A138" s="71">
        <v>43887</v>
      </c>
      <c r="B138" t="s">
        <v>1473</v>
      </c>
      <c r="C138" t="s">
        <v>1498</v>
      </c>
      <c r="E138" s="86">
        <v>9842</v>
      </c>
      <c r="F138" t="s">
        <v>759</v>
      </c>
      <c r="G138">
        <v>2007</v>
      </c>
      <c r="H138" t="s">
        <v>1499</v>
      </c>
    </row>
    <row r="139" spans="1:8" hidden="1">
      <c r="A139" s="71">
        <v>43888</v>
      </c>
      <c r="B139" t="s">
        <v>684</v>
      </c>
      <c r="C139" t="s">
        <v>1500</v>
      </c>
      <c r="E139" s="86">
        <v>6435</v>
      </c>
      <c r="F139" t="s">
        <v>759</v>
      </c>
      <c r="G139">
        <v>2821</v>
      </c>
      <c r="H139" t="s">
        <v>1501</v>
      </c>
    </row>
    <row r="140" spans="1:8" hidden="1">
      <c r="A140" s="71">
        <v>43888</v>
      </c>
      <c r="B140" t="s">
        <v>162</v>
      </c>
      <c r="C140" t="s">
        <v>1502</v>
      </c>
      <c r="F140" t="s">
        <v>759</v>
      </c>
      <c r="G140">
        <v>2876</v>
      </c>
      <c r="H140" t="s">
        <v>1286</v>
      </c>
    </row>
    <row r="141" spans="1:8" hidden="1">
      <c r="A141" s="71">
        <v>43891</v>
      </c>
      <c r="B141" t="s">
        <v>1473</v>
      </c>
      <c r="C141" t="s">
        <v>1503</v>
      </c>
      <c r="F141" t="s">
        <v>759</v>
      </c>
      <c r="G141">
        <v>3259</v>
      </c>
      <c r="H141" t="s">
        <v>1286</v>
      </c>
    </row>
    <row r="142" spans="1:8" hidden="1">
      <c r="A142" s="71">
        <v>43893</v>
      </c>
      <c r="B142" t="s">
        <v>689</v>
      </c>
      <c r="C142" t="s">
        <v>1504</v>
      </c>
      <c r="F142" t="s">
        <v>759</v>
      </c>
      <c r="G142">
        <v>2879</v>
      </c>
      <c r="H142" t="s">
        <v>1286</v>
      </c>
    </row>
    <row r="143" spans="1:8" hidden="1">
      <c r="A143" s="71">
        <v>43893</v>
      </c>
      <c r="B143" t="s">
        <v>1505</v>
      </c>
      <c r="C143" t="s">
        <v>1506</v>
      </c>
      <c r="F143" t="s">
        <v>759</v>
      </c>
      <c r="G143">
        <v>2886</v>
      </c>
      <c r="H143" t="s">
        <v>1286</v>
      </c>
    </row>
    <row r="144" spans="1:8" hidden="1">
      <c r="A144" s="71">
        <v>43893</v>
      </c>
      <c r="B144" t="s">
        <v>362</v>
      </c>
      <c r="C144" t="s">
        <v>1507</v>
      </c>
      <c r="F144" t="s">
        <v>759</v>
      </c>
      <c r="G144">
        <v>2880</v>
      </c>
      <c r="H144" t="s">
        <v>1286</v>
      </c>
    </row>
    <row r="145" spans="1:8" hidden="1">
      <c r="A145" s="71">
        <v>43894</v>
      </c>
      <c r="B145" t="s">
        <v>782</v>
      </c>
      <c r="C145" t="s">
        <v>1508</v>
      </c>
      <c r="F145" t="s">
        <v>759</v>
      </c>
      <c r="G145">
        <v>2882</v>
      </c>
      <c r="H145" t="s">
        <v>1286</v>
      </c>
    </row>
    <row r="146" spans="1:8" hidden="1">
      <c r="A146" s="71">
        <v>43894</v>
      </c>
      <c r="B146" t="s">
        <v>689</v>
      </c>
      <c r="C146" t="s">
        <v>1509</v>
      </c>
      <c r="F146" t="s">
        <v>759</v>
      </c>
      <c r="G146">
        <v>2881</v>
      </c>
      <c r="H146" t="s">
        <v>1286</v>
      </c>
    </row>
    <row r="147" spans="1:8" hidden="1">
      <c r="A147" s="71">
        <v>43895</v>
      </c>
      <c r="B147" t="s">
        <v>689</v>
      </c>
      <c r="C147" t="s">
        <v>1510</v>
      </c>
      <c r="F147" t="s">
        <v>759</v>
      </c>
      <c r="G147">
        <v>2884</v>
      </c>
      <c r="H147" t="s">
        <v>1501</v>
      </c>
    </row>
    <row r="148" spans="1:8" hidden="1">
      <c r="A148" s="71">
        <v>43896</v>
      </c>
      <c r="B148" t="s">
        <v>693</v>
      </c>
      <c r="C148" t="s">
        <v>1511</v>
      </c>
      <c r="E148" s="86">
        <v>26448</v>
      </c>
      <c r="F148" t="s">
        <v>759</v>
      </c>
      <c r="G148">
        <v>2783</v>
      </c>
      <c r="H148" t="s">
        <v>1246</v>
      </c>
    </row>
    <row r="149" spans="1:8" hidden="1">
      <c r="A149" s="71">
        <v>43897</v>
      </c>
      <c r="B149" t="s">
        <v>1512</v>
      </c>
      <c r="C149" t="s">
        <v>1513</v>
      </c>
      <c r="E149" s="86">
        <v>16868</v>
      </c>
      <c r="F149" t="s">
        <v>759</v>
      </c>
      <c r="G149">
        <v>2355</v>
      </c>
      <c r="H149" t="s">
        <v>1390</v>
      </c>
    </row>
    <row r="150" spans="1:8" hidden="1">
      <c r="A150" s="71">
        <v>43899</v>
      </c>
      <c r="B150" t="s">
        <v>693</v>
      </c>
      <c r="C150" t="s">
        <v>1514</v>
      </c>
      <c r="E150" s="86">
        <v>26448</v>
      </c>
      <c r="F150" t="s">
        <v>759</v>
      </c>
      <c r="G150">
        <v>2784</v>
      </c>
      <c r="H150" t="s">
        <v>1246</v>
      </c>
    </row>
    <row r="151" spans="1:8" hidden="1">
      <c r="A151" s="71">
        <v>43900</v>
      </c>
      <c r="B151" t="s">
        <v>185</v>
      </c>
      <c r="C151" t="s">
        <v>1515</v>
      </c>
      <c r="F151" t="s">
        <v>759</v>
      </c>
      <c r="G151">
        <v>2888</v>
      </c>
      <c r="H151" t="s">
        <v>1286</v>
      </c>
    </row>
    <row r="152" spans="1:8" hidden="1">
      <c r="A152" s="71">
        <v>43900</v>
      </c>
      <c r="B152" t="s">
        <v>1505</v>
      </c>
      <c r="C152" t="s">
        <v>1516</v>
      </c>
      <c r="F152" t="s">
        <v>759</v>
      </c>
      <c r="G152">
        <v>2887</v>
      </c>
      <c r="H152" t="s">
        <v>1286</v>
      </c>
    </row>
    <row r="153" spans="1:8" hidden="1">
      <c r="A153" s="71">
        <v>43902</v>
      </c>
      <c r="B153" t="s">
        <v>573</v>
      </c>
      <c r="C153" t="s">
        <v>1517</v>
      </c>
      <c r="F153" t="s">
        <v>759</v>
      </c>
      <c r="H153" t="s">
        <v>1501</v>
      </c>
    </row>
    <row r="154" spans="1:8" hidden="1">
      <c r="A154" s="71">
        <v>43902</v>
      </c>
      <c r="B154" t="s">
        <v>1505</v>
      </c>
      <c r="C154" t="s">
        <v>1518</v>
      </c>
      <c r="F154" t="s">
        <v>759</v>
      </c>
      <c r="G154">
        <v>2891</v>
      </c>
      <c r="H154" t="s">
        <v>1286</v>
      </c>
    </row>
    <row r="155" spans="1:8" hidden="1">
      <c r="A155" s="71">
        <v>43906</v>
      </c>
      <c r="B155" t="s">
        <v>1476</v>
      </c>
      <c r="C155" t="s">
        <v>1519</v>
      </c>
      <c r="F155" t="s">
        <v>759</v>
      </c>
      <c r="G155">
        <v>2893</v>
      </c>
      <c r="H155" t="s">
        <v>1286</v>
      </c>
    </row>
    <row r="156" spans="1:8" hidden="1">
      <c r="A156" s="71">
        <v>43907</v>
      </c>
      <c r="B156" t="s">
        <v>1473</v>
      </c>
      <c r="C156" t="s">
        <v>1520</v>
      </c>
      <c r="F156" t="s">
        <v>759</v>
      </c>
      <c r="G156">
        <v>2895</v>
      </c>
      <c r="H156" t="s">
        <v>1286</v>
      </c>
    </row>
    <row r="157" spans="1:8" hidden="1">
      <c r="A157" s="71">
        <v>43907</v>
      </c>
      <c r="B157" t="s">
        <v>1476</v>
      </c>
      <c r="C157" t="s">
        <v>1521</v>
      </c>
      <c r="F157" t="s">
        <v>759</v>
      </c>
      <c r="G157">
        <v>2894</v>
      </c>
      <c r="H157" t="s">
        <v>1286</v>
      </c>
    </row>
    <row r="158" spans="1:8" hidden="1">
      <c r="A158" s="71">
        <v>43908</v>
      </c>
      <c r="B158" t="s">
        <v>1476</v>
      </c>
      <c r="C158" t="s">
        <v>1522</v>
      </c>
      <c r="F158" t="s">
        <v>759</v>
      </c>
      <c r="G158">
        <v>2896</v>
      </c>
      <c r="H158" t="s">
        <v>1286</v>
      </c>
    </row>
    <row r="159" spans="1:8" hidden="1">
      <c r="A159" s="71">
        <v>43909</v>
      </c>
      <c r="B159" t="s">
        <v>146</v>
      </c>
      <c r="C159" t="s">
        <v>1523</v>
      </c>
      <c r="F159" t="s">
        <v>759</v>
      </c>
      <c r="G159">
        <v>2357</v>
      </c>
      <c r="H159" t="s">
        <v>1390</v>
      </c>
    </row>
    <row r="160" spans="1:8" hidden="1">
      <c r="A160" s="71">
        <v>43910</v>
      </c>
      <c r="B160" t="s">
        <v>163</v>
      </c>
      <c r="C160" t="s">
        <v>1524</v>
      </c>
      <c r="E160" s="86">
        <v>4380</v>
      </c>
      <c r="F160" t="s">
        <v>759</v>
      </c>
      <c r="G160">
        <v>2798</v>
      </c>
      <c r="H160" t="s">
        <v>1246</v>
      </c>
    </row>
    <row r="161" spans="1:8" hidden="1">
      <c r="A161" s="71">
        <v>43913</v>
      </c>
      <c r="B161" t="s">
        <v>1476</v>
      </c>
      <c r="C161" t="s">
        <v>1525</v>
      </c>
      <c r="F161" t="s">
        <v>759</v>
      </c>
      <c r="G161">
        <v>2900</v>
      </c>
      <c r="H161" t="s">
        <v>1286</v>
      </c>
    </row>
    <row r="162" spans="1:8" hidden="1">
      <c r="A162" s="71">
        <v>43913</v>
      </c>
      <c r="B162" t="s">
        <v>162</v>
      </c>
      <c r="C162" t="s">
        <v>1526</v>
      </c>
      <c r="F162" t="s">
        <v>759</v>
      </c>
      <c r="G162">
        <v>3251</v>
      </c>
      <c r="H162" t="s">
        <v>1286</v>
      </c>
    </row>
    <row r="163" spans="1:8" hidden="1">
      <c r="A163" s="71">
        <v>43915</v>
      </c>
      <c r="B163" t="s">
        <v>1476</v>
      </c>
      <c r="C163" t="s">
        <v>1527</v>
      </c>
      <c r="F163" t="s">
        <v>759</v>
      </c>
      <c r="G163">
        <v>3254</v>
      </c>
      <c r="H163" t="s">
        <v>1286</v>
      </c>
    </row>
    <row r="164" spans="1:8" hidden="1">
      <c r="A164" s="71">
        <v>43917</v>
      </c>
      <c r="B164" t="s">
        <v>1476</v>
      </c>
      <c r="C164" t="s">
        <v>1528</v>
      </c>
      <c r="F164" t="s">
        <v>759</v>
      </c>
      <c r="G164">
        <v>3256</v>
      </c>
      <c r="H164" t="s">
        <v>1286</v>
      </c>
    </row>
    <row r="165" spans="1:8" hidden="1">
      <c r="A165" s="71">
        <v>43920</v>
      </c>
      <c r="B165" t="s">
        <v>1476</v>
      </c>
      <c r="C165" t="s">
        <v>1529</v>
      </c>
      <c r="F165" t="s">
        <v>759</v>
      </c>
      <c r="G165">
        <v>3258</v>
      </c>
      <c r="H165" t="s">
        <v>1286</v>
      </c>
    </row>
    <row r="166" spans="1:8" hidden="1">
      <c r="A166" s="71">
        <v>43921</v>
      </c>
      <c r="B166" t="s">
        <v>1476</v>
      </c>
      <c r="C166" t="s">
        <v>1530</v>
      </c>
      <c r="F166" t="s">
        <v>759</v>
      </c>
      <c r="G166">
        <v>3257</v>
      </c>
      <c r="H166" t="s">
        <v>1286</v>
      </c>
    </row>
    <row r="167" spans="1:8" hidden="1">
      <c r="A167" s="71">
        <v>43921</v>
      </c>
      <c r="B167" t="s">
        <v>1476</v>
      </c>
      <c r="C167" t="s">
        <v>1531</v>
      </c>
      <c r="F167" t="s">
        <v>759</v>
      </c>
      <c r="G167">
        <v>3257</v>
      </c>
      <c r="H167" t="s">
        <v>1286</v>
      </c>
    </row>
    <row r="168" spans="1:8" hidden="1">
      <c r="A168" s="71">
        <v>43923</v>
      </c>
      <c r="B168" t="s">
        <v>1473</v>
      </c>
      <c r="C168" t="s">
        <v>1532</v>
      </c>
      <c r="F168" t="s">
        <v>759</v>
      </c>
      <c r="G168">
        <v>3260</v>
      </c>
      <c r="H168" t="s">
        <v>1286</v>
      </c>
    </row>
    <row r="169" spans="1:8" hidden="1">
      <c r="A169" s="71">
        <v>43926</v>
      </c>
      <c r="B169" t="s">
        <v>1533</v>
      </c>
      <c r="C169" t="s">
        <v>1534</v>
      </c>
      <c r="E169" s="86">
        <v>10372</v>
      </c>
      <c r="F169" t="s">
        <v>759</v>
      </c>
      <c r="G169">
        <v>2363</v>
      </c>
      <c r="H169" t="s">
        <v>1499</v>
      </c>
    </row>
    <row r="170" spans="1:8" hidden="1">
      <c r="A170" s="71">
        <v>43927</v>
      </c>
      <c r="B170" t="s">
        <v>157</v>
      </c>
      <c r="C170" t="s">
        <v>1535</v>
      </c>
      <c r="F170" t="s">
        <v>759</v>
      </c>
      <c r="G170">
        <v>3262</v>
      </c>
      <c r="H170" t="s">
        <v>1286</v>
      </c>
    </row>
    <row r="171" spans="1:8" hidden="1">
      <c r="A171" s="71">
        <v>43928</v>
      </c>
      <c r="B171" t="s">
        <v>318</v>
      </c>
      <c r="C171" t="s">
        <v>1536</v>
      </c>
      <c r="F171" t="s">
        <v>759</v>
      </c>
      <c r="G171">
        <v>3261</v>
      </c>
      <c r="H171" t="s">
        <v>1286</v>
      </c>
    </row>
    <row r="172" spans="1:8" hidden="1">
      <c r="A172" s="71">
        <v>43934</v>
      </c>
      <c r="B172" t="s">
        <v>183</v>
      </c>
      <c r="C172" t="s">
        <v>1537</v>
      </c>
      <c r="F172" t="s">
        <v>759</v>
      </c>
      <c r="G172">
        <v>3265</v>
      </c>
      <c r="H172" t="s">
        <v>1286</v>
      </c>
    </row>
    <row r="173" spans="1:8" hidden="1">
      <c r="A173" s="71">
        <v>43935</v>
      </c>
      <c r="B173" t="s">
        <v>1538</v>
      </c>
      <c r="C173" t="s">
        <v>1539</v>
      </c>
      <c r="F173" t="s">
        <v>759</v>
      </c>
      <c r="G173">
        <v>3266</v>
      </c>
      <c r="H173" t="s">
        <v>1286</v>
      </c>
    </row>
    <row r="174" spans="1:8" hidden="1">
      <c r="A174" s="71">
        <v>43938</v>
      </c>
      <c r="B174" t="s">
        <v>338</v>
      </c>
      <c r="C174" t="s">
        <v>1540</v>
      </c>
      <c r="E174" s="86">
        <v>21320</v>
      </c>
      <c r="F174" t="s">
        <v>759</v>
      </c>
      <c r="G174">
        <v>2359</v>
      </c>
      <c r="H174" t="s">
        <v>1390</v>
      </c>
    </row>
    <row r="175" spans="1:8" hidden="1">
      <c r="A175" s="71">
        <v>43939</v>
      </c>
      <c r="B175" t="s">
        <v>342</v>
      </c>
      <c r="C175" t="s">
        <v>1541</v>
      </c>
      <c r="E175" s="86">
        <v>10504</v>
      </c>
      <c r="F175" t="s">
        <v>759</v>
      </c>
      <c r="G175">
        <v>2461</v>
      </c>
      <c r="H175" t="s">
        <v>1246</v>
      </c>
    </row>
    <row r="176" spans="1:8" hidden="1">
      <c r="A176" s="71">
        <v>43941</v>
      </c>
      <c r="B176" t="s">
        <v>185</v>
      </c>
      <c r="C176" t="s">
        <v>1542</v>
      </c>
      <c r="F176" t="s">
        <v>759</v>
      </c>
      <c r="G176">
        <v>3268</v>
      </c>
      <c r="H176" t="s">
        <v>1286</v>
      </c>
    </row>
    <row r="177" spans="1:8" hidden="1">
      <c r="A177" s="71">
        <v>43943</v>
      </c>
      <c r="B177" t="s">
        <v>1505</v>
      </c>
      <c r="C177" t="s">
        <v>1543</v>
      </c>
      <c r="F177" t="s">
        <v>759</v>
      </c>
      <c r="G177">
        <v>2370</v>
      </c>
      <c r="H177" t="s">
        <v>1286</v>
      </c>
    </row>
    <row r="178" spans="1:8" hidden="1">
      <c r="A178" s="71">
        <v>43948</v>
      </c>
      <c r="B178" t="s">
        <v>1505</v>
      </c>
      <c r="C178" t="s">
        <v>1544</v>
      </c>
      <c r="F178" t="s">
        <v>759</v>
      </c>
      <c r="G178">
        <v>3274</v>
      </c>
      <c r="H178" t="s">
        <v>1286</v>
      </c>
    </row>
    <row r="179" spans="1:8" hidden="1">
      <c r="A179" s="71">
        <v>43950</v>
      </c>
      <c r="B179" t="s">
        <v>324</v>
      </c>
      <c r="C179" t="s">
        <v>1545</v>
      </c>
      <c r="E179" s="86">
        <v>11306</v>
      </c>
      <c r="F179" t="s">
        <v>759</v>
      </c>
      <c r="G179">
        <v>3275</v>
      </c>
      <c r="H179" t="s">
        <v>1286</v>
      </c>
    </row>
    <row r="180" spans="1:8" hidden="1">
      <c r="A180" s="71">
        <v>43951</v>
      </c>
      <c r="B180" t="s">
        <v>260</v>
      </c>
      <c r="C180" t="s">
        <v>1546</v>
      </c>
      <c r="E180" s="86">
        <v>5542</v>
      </c>
      <c r="F180" t="s">
        <v>759</v>
      </c>
      <c r="G180">
        <v>2470</v>
      </c>
      <c r="H180" t="s">
        <v>1497</v>
      </c>
    </row>
    <row r="181" spans="1:8" hidden="1">
      <c r="A181" s="71">
        <v>43955</v>
      </c>
      <c r="B181" t="s">
        <v>1473</v>
      </c>
      <c r="C181" t="s">
        <v>1547</v>
      </c>
      <c r="F181" t="s">
        <v>759</v>
      </c>
      <c r="H181" t="s">
        <v>1501</v>
      </c>
    </row>
    <row r="182" spans="1:8" hidden="1">
      <c r="A182" s="71">
        <v>43956</v>
      </c>
      <c r="B182" t="s">
        <v>1473</v>
      </c>
      <c r="C182" t="s">
        <v>1548</v>
      </c>
      <c r="F182" t="s">
        <v>759</v>
      </c>
      <c r="G182">
        <v>3277</v>
      </c>
      <c r="H182" t="s">
        <v>1286</v>
      </c>
    </row>
    <row r="183" spans="1:8" hidden="1">
      <c r="A183" s="71">
        <v>43956</v>
      </c>
      <c r="B183" t="s">
        <v>334</v>
      </c>
      <c r="C183" t="s">
        <v>1549</v>
      </c>
      <c r="E183" s="86">
        <v>16614</v>
      </c>
      <c r="F183" t="s">
        <v>759</v>
      </c>
      <c r="G183">
        <v>2467</v>
      </c>
      <c r="H183" t="s">
        <v>1497</v>
      </c>
    </row>
    <row r="184" spans="1:8" hidden="1">
      <c r="A184" s="71">
        <v>43957</v>
      </c>
      <c r="B184" t="s">
        <v>322</v>
      </c>
      <c r="C184" t="s">
        <v>1550</v>
      </c>
      <c r="F184" t="s">
        <v>759</v>
      </c>
      <c r="H184" t="s">
        <v>1501</v>
      </c>
    </row>
    <row r="185" spans="1:8" hidden="1">
      <c r="A185" s="71">
        <v>43957</v>
      </c>
      <c r="B185" t="s">
        <v>334</v>
      </c>
      <c r="C185" t="s">
        <v>1551</v>
      </c>
      <c r="E185" s="86">
        <v>16615</v>
      </c>
      <c r="F185" t="s">
        <v>759</v>
      </c>
      <c r="G185">
        <v>2468</v>
      </c>
      <c r="H185" t="s">
        <v>1497</v>
      </c>
    </row>
    <row r="186" spans="1:8" hidden="1">
      <c r="A186" s="71">
        <v>43957</v>
      </c>
      <c r="B186" t="s">
        <v>330</v>
      </c>
      <c r="C186" t="s">
        <v>1552</v>
      </c>
      <c r="E186" s="86">
        <v>12606</v>
      </c>
      <c r="F186" t="s">
        <v>759</v>
      </c>
      <c r="G186">
        <v>2472</v>
      </c>
      <c r="H186" t="s">
        <v>1497</v>
      </c>
    </row>
    <row r="187" spans="1:8" hidden="1">
      <c r="A187" s="71">
        <v>43958</v>
      </c>
      <c r="B187" t="s">
        <v>334</v>
      </c>
      <c r="C187" t="s">
        <v>1553</v>
      </c>
      <c r="E187" s="86">
        <v>16616</v>
      </c>
      <c r="F187" t="s">
        <v>759</v>
      </c>
      <c r="G187">
        <v>2476</v>
      </c>
      <c r="H187" t="s">
        <v>1497</v>
      </c>
    </row>
    <row r="188" spans="1:8" hidden="1">
      <c r="A188" s="71">
        <v>43959</v>
      </c>
      <c r="B188" t="s">
        <v>334</v>
      </c>
      <c r="C188" t="s">
        <v>1554</v>
      </c>
      <c r="E188" s="86">
        <v>16616</v>
      </c>
      <c r="F188" t="s">
        <v>759</v>
      </c>
      <c r="G188">
        <v>2475</v>
      </c>
      <c r="H188" t="s">
        <v>1497</v>
      </c>
    </row>
    <row r="189" spans="1:8" hidden="1">
      <c r="A189" s="71">
        <v>43959</v>
      </c>
      <c r="B189" t="s">
        <v>260</v>
      </c>
      <c r="C189" t="s">
        <v>1555</v>
      </c>
      <c r="E189" s="86">
        <v>5546</v>
      </c>
      <c r="F189" t="s">
        <v>759</v>
      </c>
      <c r="G189">
        <v>2474</v>
      </c>
      <c r="H189" t="s">
        <v>1497</v>
      </c>
    </row>
    <row r="190" spans="1:8" hidden="1">
      <c r="A190" s="71">
        <v>43959</v>
      </c>
      <c r="B190" t="s">
        <v>330</v>
      </c>
      <c r="C190" t="s">
        <v>1556</v>
      </c>
      <c r="E190" s="86">
        <v>12606</v>
      </c>
      <c r="F190" t="s">
        <v>759</v>
      </c>
      <c r="G190">
        <v>2473</v>
      </c>
      <c r="H190" t="s">
        <v>1497</v>
      </c>
    </row>
    <row r="191" spans="1:8" hidden="1">
      <c r="A191" s="71">
        <v>43960</v>
      </c>
      <c r="B191" t="s">
        <v>260</v>
      </c>
      <c r="C191" t="s">
        <v>1557</v>
      </c>
      <c r="E191" s="86">
        <v>5546</v>
      </c>
      <c r="F191" t="s">
        <v>759</v>
      </c>
      <c r="G191">
        <v>2479</v>
      </c>
      <c r="H191" t="s">
        <v>1497</v>
      </c>
    </row>
    <row r="192" spans="1:8" hidden="1">
      <c r="A192" s="71">
        <v>43962</v>
      </c>
      <c r="B192" t="s">
        <v>1476</v>
      </c>
      <c r="C192" t="s">
        <v>1558</v>
      </c>
      <c r="E192" s="86">
        <v>1109</v>
      </c>
      <c r="F192" t="s">
        <v>759</v>
      </c>
      <c r="G192">
        <v>2364</v>
      </c>
      <c r="H192" t="s">
        <v>1390</v>
      </c>
    </row>
    <row r="193" spans="1:8" hidden="1">
      <c r="A193" s="71">
        <v>43965</v>
      </c>
      <c r="B193" t="s">
        <v>696</v>
      </c>
      <c r="C193" t="s">
        <v>1559</v>
      </c>
      <c r="F193" t="s">
        <v>759</v>
      </c>
      <c r="G193">
        <v>2108</v>
      </c>
      <c r="H193" t="s">
        <v>1560</v>
      </c>
    </row>
    <row r="194" spans="1:8" hidden="1">
      <c r="A194" s="71">
        <v>43966</v>
      </c>
      <c r="B194" t="s">
        <v>143</v>
      </c>
      <c r="C194" t="s">
        <v>1561</v>
      </c>
      <c r="F194" t="s">
        <v>759</v>
      </c>
      <c r="H194" t="s">
        <v>1501</v>
      </c>
    </row>
    <row r="195" spans="1:8" hidden="1">
      <c r="A195" s="71">
        <v>43966</v>
      </c>
      <c r="B195" t="s">
        <v>143</v>
      </c>
      <c r="C195" t="s">
        <v>1562</v>
      </c>
      <c r="F195" t="s">
        <v>759</v>
      </c>
      <c r="G195">
        <v>3280.1</v>
      </c>
      <c r="H195" t="s">
        <v>1286</v>
      </c>
    </row>
    <row r="196" spans="1:8" hidden="1">
      <c r="A196" s="71">
        <v>43966</v>
      </c>
      <c r="B196" t="s">
        <v>176</v>
      </c>
      <c r="C196" t="s">
        <v>1563</v>
      </c>
      <c r="F196" t="s">
        <v>759</v>
      </c>
      <c r="G196">
        <v>2365</v>
      </c>
      <c r="H196" t="s">
        <v>1390</v>
      </c>
    </row>
    <row r="197" spans="1:8" hidden="1">
      <c r="A197" s="71">
        <v>43969</v>
      </c>
      <c r="B197" t="s">
        <v>334</v>
      </c>
      <c r="C197" t="s">
        <v>1564</v>
      </c>
      <c r="E197" s="86">
        <v>16668</v>
      </c>
      <c r="F197" t="s">
        <v>759</v>
      </c>
      <c r="G197">
        <v>2831</v>
      </c>
      <c r="H197" t="s">
        <v>1497</v>
      </c>
    </row>
    <row r="198" spans="1:8" hidden="1">
      <c r="A198" s="71">
        <v>43969</v>
      </c>
      <c r="B198" t="s">
        <v>1505</v>
      </c>
      <c r="C198" t="s">
        <v>1565</v>
      </c>
      <c r="F198" t="s">
        <v>759</v>
      </c>
      <c r="G198">
        <v>3281</v>
      </c>
      <c r="H198" t="s">
        <v>1286</v>
      </c>
    </row>
    <row r="199" spans="1:8" hidden="1">
      <c r="A199" s="71">
        <v>43969</v>
      </c>
      <c r="B199" t="s">
        <v>152</v>
      </c>
      <c r="C199" t="s">
        <v>1566</v>
      </c>
      <c r="E199" s="86">
        <v>3132</v>
      </c>
      <c r="F199" t="s">
        <v>759</v>
      </c>
      <c r="G199">
        <v>2829</v>
      </c>
      <c r="H199" t="s">
        <v>1497</v>
      </c>
    </row>
    <row r="200" spans="1:8" hidden="1">
      <c r="A200" s="71">
        <v>43971</v>
      </c>
      <c r="B200" t="s">
        <v>692</v>
      </c>
      <c r="C200" t="s">
        <v>1567</v>
      </c>
      <c r="E200" s="86">
        <v>1621</v>
      </c>
      <c r="F200" t="s">
        <v>759</v>
      </c>
      <c r="G200">
        <v>2830</v>
      </c>
      <c r="H200" t="s">
        <v>1497</v>
      </c>
    </row>
    <row r="201" spans="1:8" hidden="1">
      <c r="A201" s="71">
        <v>43976</v>
      </c>
      <c r="B201" t="s">
        <v>779</v>
      </c>
      <c r="C201" t="s">
        <v>1568</v>
      </c>
      <c r="F201" t="s">
        <v>759</v>
      </c>
      <c r="G201">
        <v>2012</v>
      </c>
      <c r="H201" t="s">
        <v>1499</v>
      </c>
    </row>
    <row r="202" spans="1:8" hidden="1">
      <c r="A202" s="71">
        <v>43977</v>
      </c>
      <c r="B202" t="s">
        <v>1476</v>
      </c>
      <c r="C202" t="s">
        <v>1569</v>
      </c>
      <c r="E202" s="86">
        <v>11518</v>
      </c>
      <c r="F202" t="s">
        <v>759</v>
      </c>
      <c r="G202">
        <v>2484</v>
      </c>
      <c r="H202" t="s">
        <v>1246</v>
      </c>
    </row>
    <row r="203" spans="1:8" hidden="1">
      <c r="A203" s="71">
        <v>43978</v>
      </c>
      <c r="B203" t="s">
        <v>779</v>
      </c>
      <c r="C203" t="s">
        <v>1570</v>
      </c>
      <c r="E203" s="86">
        <v>6436</v>
      </c>
      <c r="F203" t="s">
        <v>759</v>
      </c>
      <c r="G203">
        <v>2837</v>
      </c>
      <c r="H203" t="s">
        <v>1497</v>
      </c>
    </row>
    <row r="204" spans="1:8" hidden="1">
      <c r="A204" s="71">
        <v>43979</v>
      </c>
      <c r="B204" t="s">
        <v>146</v>
      </c>
      <c r="C204" t="s">
        <v>1571</v>
      </c>
      <c r="F204" t="s">
        <v>759</v>
      </c>
      <c r="G204">
        <v>3283</v>
      </c>
      <c r="H204" t="s">
        <v>1286</v>
      </c>
    </row>
    <row r="205" spans="1:8" hidden="1">
      <c r="A205" s="71">
        <v>43980</v>
      </c>
      <c r="B205" t="s">
        <v>334</v>
      </c>
      <c r="C205" t="s">
        <v>1572</v>
      </c>
      <c r="E205" s="86">
        <v>16692</v>
      </c>
      <c r="F205" t="s">
        <v>759</v>
      </c>
      <c r="G205">
        <v>3284</v>
      </c>
      <c r="H205" t="s">
        <v>1286</v>
      </c>
    </row>
    <row r="206" spans="1:8" hidden="1">
      <c r="A206" s="71">
        <v>43983</v>
      </c>
      <c r="B206" t="s">
        <v>1495</v>
      </c>
      <c r="C206" t="s">
        <v>1573</v>
      </c>
      <c r="E206" s="86">
        <v>2015</v>
      </c>
      <c r="F206" t="s">
        <v>759</v>
      </c>
      <c r="G206">
        <v>2015</v>
      </c>
      <c r="H206" t="s">
        <v>1499</v>
      </c>
    </row>
    <row r="207" spans="1:8" hidden="1">
      <c r="A207" s="71">
        <v>43983</v>
      </c>
      <c r="B207" t="s">
        <v>778</v>
      </c>
      <c r="C207" t="s">
        <v>1574</v>
      </c>
      <c r="E207" s="86">
        <v>6380</v>
      </c>
      <c r="F207" t="s">
        <v>759</v>
      </c>
      <c r="G207">
        <v>2013</v>
      </c>
      <c r="H207" t="s">
        <v>1499</v>
      </c>
    </row>
    <row r="208" spans="1:8" hidden="1">
      <c r="A208" s="71">
        <v>43985</v>
      </c>
      <c r="B208" t="s">
        <v>1575</v>
      </c>
      <c r="C208" t="s">
        <v>1576</v>
      </c>
      <c r="F208" t="s">
        <v>759</v>
      </c>
      <c r="G208">
        <v>3287</v>
      </c>
      <c r="H208" t="s">
        <v>1286</v>
      </c>
    </row>
    <row r="209" spans="1:8" hidden="1">
      <c r="A209" s="71">
        <v>43986</v>
      </c>
      <c r="B209" t="s">
        <v>334</v>
      </c>
      <c r="C209" t="s">
        <v>1577</v>
      </c>
      <c r="E209" s="86">
        <v>26993</v>
      </c>
      <c r="F209" t="s">
        <v>759</v>
      </c>
      <c r="G209">
        <v>3289</v>
      </c>
      <c r="H209" t="s">
        <v>1286</v>
      </c>
    </row>
    <row r="210" spans="1:8" hidden="1">
      <c r="A210" s="71">
        <v>43986</v>
      </c>
      <c r="B210" t="s">
        <v>143</v>
      </c>
      <c r="C210" t="s">
        <v>1578</v>
      </c>
      <c r="E210" s="86">
        <v>163169</v>
      </c>
      <c r="F210" t="s">
        <v>759</v>
      </c>
      <c r="G210">
        <v>3288</v>
      </c>
      <c r="H210" t="s">
        <v>1286</v>
      </c>
    </row>
    <row r="211" spans="1:8" hidden="1">
      <c r="A211" s="71">
        <v>43987</v>
      </c>
      <c r="B211" t="s">
        <v>1575</v>
      </c>
      <c r="C211" t="s">
        <v>1579</v>
      </c>
      <c r="F211" t="s">
        <v>759</v>
      </c>
      <c r="G211">
        <v>3290</v>
      </c>
      <c r="H211" t="s">
        <v>1286</v>
      </c>
    </row>
    <row r="212" spans="1:8" hidden="1">
      <c r="A212" s="71">
        <v>43987</v>
      </c>
      <c r="B212" t="s">
        <v>1580</v>
      </c>
      <c r="C212" t="s">
        <v>1581</v>
      </c>
      <c r="F212" t="s">
        <v>759</v>
      </c>
      <c r="G212">
        <v>2843</v>
      </c>
      <c r="H212" t="s">
        <v>1497</v>
      </c>
    </row>
    <row r="213" spans="1:8" hidden="1">
      <c r="A213" s="71">
        <v>43991</v>
      </c>
      <c r="B213" t="s">
        <v>183</v>
      </c>
      <c r="C213" t="s">
        <v>1582</v>
      </c>
      <c r="F213" t="s">
        <v>759</v>
      </c>
      <c r="G213">
        <v>2843.1</v>
      </c>
      <c r="H213" t="s">
        <v>1497</v>
      </c>
    </row>
    <row r="214" spans="1:8" hidden="1">
      <c r="A214" s="71">
        <v>43991</v>
      </c>
      <c r="B214" t="s">
        <v>324</v>
      </c>
      <c r="C214" t="s">
        <v>1583</v>
      </c>
      <c r="E214" s="86">
        <v>11451</v>
      </c>
      <c r="F214" t="s">
        <v>759</v>
      </c>
      <c r="G214">
        <v>2842</v>
      </c>
      <c r="H214" t="s">
        <v>1497</v>
      </c>
    </row>
    <row r="215" spans="1:8" hidden="1">
      <c r="A215" s="71">
        <v>43993</v>
      </c>
      <c r="B215" t="s">
        <v>803</v>
      </c>
      <c r="C215" t="s">
        <v>1584</v>
      </c>
      <c r="E215" s="86">
        <v>3640</v>
      </c>
      <c r="F215" t="s">
        <v>759</v>
      </c>
      <c r="G215">
        <v>2846</v>
      </c>
      <c r="H215" t="s">
        <v>1497</v>
      </c>
    </row>
    <row r="216" spans="1:8" hidden="1">
      <c r="A216" s="71">
        <v>43993</v>
      </c>
      <c r="B216" t="s">
        <v>1495</v>
      </c>
      <c r="C216" t="s">
        <v>1585</v>
      </c>
      <c r="E216" s="86">
        <v>6910</v>
      </c>
      <c r="F216" t="s">
        <v>759</v>
      </c>
      <c r="G216">
        <v>2844</v>
      </c>
      <c r="H216" t="s">
        <v>1497</v>
      </c>
    </row>
    <row r="217" spans="1:8" hidden="1">
      <c r="A217" s="71">
        <v>43994</v>
      </c>
      <c r="B217" t="s">
        <v>324</v>
      </c>
      <c r="C217" t="s">
        <v>1586</v>
      </c>
      <c r="E217" s="86">
        <v>11470</v>
      </c>
      <c r="F217" t="s">
        <v>759</v>
      </c>
      <c r="G217">
        <v>2847</v>
      </c>
      <c r="H217" t="s">
        <v>1497</v>
      </c>
    </row>
    <row r="218" spans="1:8" hidden="1">
      <c r="A218" s="71">
        <v>43997</v>
      </c>
      <c r="B218" t="s">
        <v>704</v>
      </c>
      <c r="C218" t="s">
        <v>1587</v>
      </c>
      <c r="E218" s="86">
        <v>10554</v>
      </c>
      <c r="F218" t="s">
        <v>759</v>
      </c>
      <c r="G218">
        <v>3419.1</v>
      </c>
      <c r="H218" t="s">
        <v>1246</v>
      </c>
    </row>
    <row r="219" spans="1:8" hidden="1">
      <c r="A219" s="71">
        <v>43997</v>
      </c>
      <c r="B219" t="s">
        <v>1588</v>
      </c>
      <c r="C219" t="s">
        <v>1589</v>
      </c>
      <c r="F219" t="s">
        <v>759</v>
      </c>
      <c r="G219">
        <v>3292</v>
      </c>
      <c r="H219" t="s">
        <v>1286</v>
      </c>
    </row>
    <row r="220" spans="1:8" hidden="1">
      <c r="A220" s="71">
        <v>43998</v>
      </c>
      <c r="B220" t="s">
        <v>779</v>
      </c>
      <c r="C220" t="s">
        <v>1590</v>
      </c>
      <c r="E220" s="86">
        <v>6540</v>
      </c>
      <c r="F220" t="s">
        <v>759</v>
      </c>
      <c r="G220">
        <v>2850</v>
      </c>
      <c r="H220" t="s">
        <v>1497</v>
      </c>
    </row>
    <row r="221" spans="1:8" hidden="1">
      <c r="A221" s="71">
        <v>43999</v>
      </c>
      <c r="B221" t="s">
        <v>185</v>
      </c>
      <c r="C221" t="s">
        <v>1591</v>
      </c>
      <c r="F221" t="s">
        <v>759</v>
      </c>
      <c r="G221">
        <v>3293</v>
      </c>
      <c r="H221" t="s">
        <v>1286</v>
      </c>
    </row>
    <row r="222" spans="1:8" hidden="1">
      <c r="A222" s="71">
        <v>43999</v>
      </c>
      <c r="B222" t="s">
        <v>1538</v>
      </c>
      <c r="C222" t="s">
        <v>1592</v>
      </c>
      <c r="F222" t="s">
        <v>759</v>
      </c>
      <c r="G222">
        <v>2367</v>
      </c>
      <c r="H222" t="s">
        <v>1390</v>
      </c>
    </row>
    <row r="223" spans="1:8" hidden="1">
      <c r="A223" s="71">
        <v>43999</v>
      </c>
      <c r="B223" t="s">
        <v>686</v>
      </c>
      <c r="C223" t="s">
        <v>1593</v>
      </c>
      <c r="E223" s="86">
        <v>6577</v>
      </c>
      <c r="F223" t="s">
        <v>759</v>
      </c>
      <c r="G223">
        <v>2204</v>
      </c>
      <c r="H223" t="s">
        <v>1497</v>
      </c>
    </row>
    <row r="224" spans="1:8" hidden="1">
      <c r="A224" s="71">
        <v>43999</v>
      </c>
      <c r="B224" t="s">
        <v>1495</v>
      </c>
      <c r="C224" t="s">
        <v>1594</v>
      </c>
      <c r="E224" s="86">
        <v>6939</v>
      </c>
      <c r="F224" t="s">
        <v>759</v>
      </c>
      <c r="G224">
        <v>2203</v>
      </c>
      <c r="H224" t="s">
        <v>1497</v>
      </c>
    </row>
    <row r="225" spans="1:8" hidden="1">
      <c r="A225" s="71">
        <v>44000</v>
      </c>
      <c r="B225" t="s">
        <v>1588</v>
      </c>
      <c r="C225" t="s">
        <v>1595</v>
      </c>
      <c r="F225" t="s">
        <v>759</v>
      </c>
      <c r="G225">
        <v>3294</v>
      </c>
      <c r="H225" t="s">
        <v>1286</v>
      </c>
    </row>
    <row r="226" spans="1:8" hidden="1">
      <c r="A226" s="71">
        <v>44000</v>
      </c>
      <c r="B226" t="s">
        <v>342</v>
      </c>
      <c r="C226" t="s">
        <v>1596</v>
      </c>
      <c r="F226" t="s">
        <v>759</v>
      </c>
      <c r="H226" t="s">
        <v>1597</v>
      </c>
    </row>
    <row r="227" spans="1:8" hidden="1">
      <c r="A227" s="71">
        <v>44002</v>
      </c>
      <c r="B227" t="s">
        <v>180</v>
      </c>
      <c r="C227" t="s">
        <v>1598</v>
      </c>
      <c r="F227" t="s">
        <v>759</v>
      </c>
      <c r="G227">
        <v>2369</v>
      </c>
      <c r="H227" t="s">
        <v>1390</v>
      </c>
    </row>
    <row r="228" spans="1:8" hidden="1">
      <c r="A228" s="71">
        <v>44004</v>
      </c>
      <c r="B228" t="s">
        <v>185</v>
      </c>
      <c r="C228" t="s">
        <v>1599</v>
      </c>
      <c r="F228" t="s">
        <v>759</v>
      </c>
      <c r="G228">
        <v>3296</v>
      </c>
      <c r="H228" t="s">
        <v>1286</v>
      </c>
    </row>
    <row r="229" spans="1:8" hidden="1">
      <c r="A229" s="71">
        <v>44004</v>
      </c>
      <c r="B229" t="s">
        <v>1476</v>
      </c>
      <c r="C229" t="s">
        <v>1600</v>
      </c>
      <c r="E229" s="86">
        <v>1270</v>
      </c>
      <c r="F229" t="s">
        <v>759</v>
      </c>
      <c r="G229">
        <v>3295</v>
      </c>
      <c r="H229" t="s">
        <v>1286</v>
      </c>
    </row>
    <row r="230" spans="1:8" hidden="1">
      <c r="A230" s="71">
        <v>44004</v>
      </c>
      <c r="B230" t="s">
        <v>789</v>
      </c>
      <c r="C230" t="s">
        <v>1601</v>
      </c>
      <c r="F230" t="s">
        <v>759</v>
      </c>
      <c r="G230">
        <v>2252</v>
      </c>
      <c r="H230" t="s">
        <v>1497</v>
      </c>
    </row>
    <row r="231" spans="1:8" hidden="1">
      <c r="A231" s="71">
        <v>44005</v>
      </c>
      <c r="B231" t="s">
        <v>1476</v>
      </c>
      <c r="C231" t="s">
        <v>1602</v>
      </c>
      <c r="F231" t="s">
        <v>759</v>
      </c>
      <c r="G231">
        <v>3298</v>
      </c>
      <c r="H231" t="s">
        <v>1286</v>
      </c>
    </row>
    <row r="232" spans="1:8" hidden="1">
      <c r="A232" s="71">
        <v>44005</v>
      </c>
      <c r="B232" t="s">
        <v>1495</v>
      </c>
      <c r="C232" t="s">
        <v>1603</v>
      </c>
      <c r="E232" s="86">
        <v>6342</v>
      </c>
      <c r="F232" t="s">
        <v>759</v>
      </c>
      <c r="G232">
        <v>2209</v>
      </c>
      <c r="H232" t="s">
        <v>1497</v>
      </c>
    </row>
    <row r="233" spans="1:8" hidden="1">
      <c r="A233" s="71">
        <v>44006</v>
      </c>
      <c r="B233" t="s">
        <v>1476</v>
      </c>
      <c r="C233" t="s">
        <v>1604</v>
      </c>
      <c r="F233" t="s">
        <v>759</v>
      </c>
      <c r="G233">
        <v>3299</v>
      </c>
      <c r="H233" t="s">
        <v>1286</v>
      </c>
    </row>
    <row r="234" spans="1:8" hidden="1">
      <c r="A234" s="71">
        <v>44007</v>
      </c>
      <c r="B234" t="s">
        <v>185</v>
      </c>
      <c r="C234" t="s">
        <v>1605</v>
      </c>
      <c r="F234" t="s">
        <v>759</v>
      </c>
      <c r="G234">
        <v>3401</v>
      </c>
      <c r="H234" t="s">
        <v>1286</v>
      </c>
    </row>
    <row r="235" spans="1:8" hidden="1">
      <c r="A235" s="71">
        <v>44012</v>
      </c>
      <c r="B235" t="s">
        <v>1476</v>
      </c>
      <c r="C235" t="s">
        <v>1606</v>
      </c>
      <c r="F235" t="s">
        <v>759</v>
      </c>
      <c r="G235">
        <v>3403</v>
      </c>
      <c r="H235" t="s">
        <v>1286</v>
      </c>
    </row>
    <row r="236" spans="1:8" hidden="1">
      <c r="A236" s="71">
        <v>44012</v>
      </c>
      <c r="B236" t="s">
        <v>778</v>
      </c>
      <c r="C236" t="s">
        <v>1607</v>
      </c>
      <c r="F236" t="s">
        <v>759</v>
      </c>
      <c r="G236">
        <v>3402</v>
      </c>
      <c r="H236" t="s">
        <v>1286</v>
      </c>
    </row>
    <row r="237" spans="1:8" hidden="1">
      <c r="A237" s="71">
        <v>44013</v>
      </c>
      <c r="B237" t="s">
        <v>1476</v>
      </c>
      <c r="C237" t="s">
        <v>1608</v>
      </c>
      <c r="F237" t="s">
        <v>759</v>
      </c>
      <c r="G237">
        <v>3405</v>
      </c>
      <c r="H237" t="s">
        <v>1286</v>
      </c>
    </row>
    <row r="238" spans="1:8" hidden="1">
      <c r="A238" s="71">
        <v>44013</v>
      </c>
      <c r="B238" t="s">
        <v>1473</v>
      </c>
      <c r="C238" t="s">
        <v>1609</v>
      </c>
      <c r="E238" s="86">
        <v>10246</v>
      </c>
      <c r="F238" t="s">
        <v>759</v>
      </c>
      <c r="G238">
        <v>2439</v>
      </c>
      <c r="H238" t="s">
        <v>1235</v>
      </c>
    </row>
    <row r="239" spans="1:8" hidden="1">
      <c r="A239" s="71">
        <v>44013</v>
      </c>
      <c r="B239" t="s">
        <v>689</v>
      </c>
      <c r="C239" t="s">
        <v>1610</v>
      </c>
      <c r="E239" s="86">
        <v>6314</v>
      </c>
      <c r="F239" t="s">
        <v>759</v>
      </c>
      <c r="G239">
        <v>2437</v>
      </c>
      <c r="H239" t="s">
        <v>1235</v>
      </c>
    </row>
    <row r="240" spans="1:8" hidden="1">
      <c r="A240" s="71">
        <v>44013</v>
      </c>
      <c r="B240" t="s">
        <v>162</v>
      </c>
      <c r="C240" t="s">
        <v>1611</v>
      </c>
      <c r="F240" t="s">
        <v>759</v>
      </c>
      <c r="G240">
        <v>2440</v>
      </c>
      <c r="H240" t="s">
        <v>1235</v>
      </c>
    </row>
    <row r="241" spans="1:8" ht="27.75" hidden="1">
      <c r="A241" s="71">
        <v>44015</v>
      </c>
      <c r="B241" t="s">
        <v>175</v>
      </c>
      <c r="C241" t="s">
        <v>1612</v>
      </c>
      <c r="F241" t="s">
        <v>759</v>
      </c>
      <c r="G241" s="50" t="s">
        <v>1613</v>
      </c>
      <c r="H241" t="s">
        <v>1499</v>
      </c>
    </row>
    <row r="242" spans="1:8" hidden="1">
      <c r="A242" s="71">
        <v>44015</v>
      </c>
      <c r="B242" t="s">
        <v>693</v>
      </c>
      <c r="C242" t="s">
        <v>1614</v>
      </c>
      <c r="F242" t="s">
        <v>759</v>
      </c>
      <c r="G242">
        <v>3411</v>
      </c>
      <c r="H242" t="s">
        <v>1286</v>
      </c>
    </row>
    <row r="243" spans="1:8" hidden="1">
      <c r="A243" s="71">
        <v>44018</v>
      </c>
      <c r="B243" t="s">
        <v>692</v>
      </c>
      <c r="C243" t="s">
        <v>1615</v>
      </c>
      <c r="F243" t="s">
        <v>759</v>
      </c>
      <c r="G243">
        <v>2029</v>
      </c>
      <c r="H243" t="s">
        <v>1499</v>
      </c>
    </row>
    <row r="244" spans="1:8" hidden="1">
      <c r="A244" s="71">
        <v>44019</v>
      </c>
      <c r="B244" t="s">
        <v>1473</v>
      </c>
      <c r="C244" t="s">
        <v>1616</v>
      </c>
      <c r="F244" t="s">
        <v>759</v>
      </c>
      <c r="G244">
        <v>2120.1</v>
      </c>
      <c r="H244" t="s">
        <v>1252</v>
      </c>
    </row>
    <row r="245" spans="1:8" hidden="1">
      <c r="A245" s="71">
        <v>44019</v>
      </c>
      <c r="B245" t="s">
        <v>1473</v>
      </c>
      <c r="C245" t="s">
        <v>1617</v>
      </c>
      <c r="F245" t="s">
        <v>759</v>
      </c>
      <c r="G245">
        <v>2043</v>
      </c>
      <c r="H245" t="s">
        <v>1499</v>
      </c>
    </row>
    <row r="246" spans="1:8" hidden="1">
      <c r="A246" s="71">
        <v>44026</v>
      </c>
      <c r="B246" t="s">
        <v>1476</v>
      </c>
      <c r="C246" t="s">
        <v>1618</v>
      </c>
      <c r="E246" s="86">
        <v>4816</v>
      </c>
      <c r="F246" t="s">
        <v>759</v>
      </c>
      <c r="G246">
        <v>2391</v>
      </c>
      <c r="H246" t="s">
        <v>1390</v>
      </c>
    </row>
    <row r="247" spans="1:8" hidden="1">
      <c r="A247" s="71">
        <v>44027</v>
      </c>
      <c r="B247" t="s">
        <v>778</v>
      </c>
      <c r="C247" t="s">
        <v>1619</v>
      </c>
      <c r="F247" t="s">
        <v>759</v>
      </c>
      <c r="G247">
        <v>3429.1</v>
      </c>
      <c r="H247" t="s">
        <v>1286</v>
      </c>
    </row>
    <row r="248" spans="1:8" hidden="1">
      <c r="A248" s="71">
        <v>44027</v>
      </c>
      <c r="B248" t="s">
        <v>313</v>
      </c>
      <c r="C248" t="s">
        <v>1620</v>
      </c>
      <c r="E248" s="86">
        <v>17026</v>
      </c>
      <c r="F248" t="s">
        <v>759</v>
      </c>
      <c r="G248">
        <v>2392</v>
      </c>
      <c r="H248" t="s">
        <v>1390</v>
      </c>
    </row>
    <row r="249" spans="1:8" hidden="1">
      <c r="A249" s="71">
        <v>44029</v>
      </c>
      <c r="B249" t="s">
        <v>1495</v>
      </c>
      <c r="C249" t="s">
        <v>1621</v>
      </c>
      <c r="F249" t="s">
        <v>759</v>
      </c>
      <c r="G249">
        <v>3430.1</v>
      </c>
      <c r="H249" t="s">
        <v>1286</v>
      </c>
    </row>
    <row r="250" spans="1:8" hidden="1">
      <c r="A250" s="71">
        <v>44029</v>
      </c>
      <c r="B250" t="s">
        <v>782</v>
      </c>
      <c r="C250" t="s">
        <v>1622</v>
      </c>
      <c r="F250" t="s">
        <v>759</v>
      </c>
      <c r="G250">
        <v>2042</v>
      </c>
      <c r="H250" t="s">
        <v>1499</v>
      </c>
    </row>
    <row r="251" spans="1:8" hidden="1">
      <c r="A251" s="71">
        <v>44030</v>
      </c>
      <c r="B251" t="s">
        <v>160</v>
      </c>
      <c r="C251" t="s">
        <v>1623</v>
      </c>
      <c r="F251" t="s">
        <v>759</v>
      </c>
      <c r="G251">
        <v>2395</v>
      </c>
      <c r="H251" t="s">
        <v>1390</v>
      </c>
    </row>
    <row r="252" spans="1:8" hidden="1">
      <c r="A252" s="71">
        <v>44032</v>
      </c>
      <c r="B252" t="s">
        <v>1473</v>
      </c>
      <c r="C252" t="s">
        <v>1624</v>
      </c>
      <c r="F252" t="s">
        <v>759</v>
      </c>
      <c r="G252">
        <v>2398</v>
      </c>
      <c r="H252" t="s">
        <v>1252</v>
      </c>
    </row>
    <row r="253" spans="1:8" hidden="1">
      <c r="A253" s="71">
        <v>44033</v>
      </c>
      <c r="B253" t="s">
        <v>778</v>
      </c>
      <c r="C253" t="s">
        <v>1625</v>
      </c>
      <c r="F253" t="s">
        <v>759</v>
      </c>
      <c r="G253">
        <v>3434</v>
      </c>
      <c r="H253" t="s">
        <v>1286</v>
      </c>
    </row>
    <row r="254" spans="1:8" hidden="1">
      <c r="A254" s="71">
        <v>44035</v>
      </c>
      <c r="B254" t="s">
        <v>692</v>
      </c>
      <c r="C254" t="s">
        <v>1626</v>
      </c>
      <c r="F254" t="s">
        <v>759</v>
      </c>
      <c r="G254">
        <v>3439</v>
      </c>
      <c r="H254" t="s">
        <v>1286</v>
      </c>
    </row>
    <row r="255" spans="1:8" hidden="1">
      <c r="A255" s="71">
        <v>44035</v>
      </c>
      <c r="B255" t="s">
        <v>778</v>
      </c>
      <c r="C255" t="s">
        <v>1627</v>
      </c>
      <c r="F255" t="s">
        <v>759</v>
      </c>
      <c r="G255">
        <v>3437</v>
      </c>
      <c r="H255" t="s">
        <v>1286</v>
      </c>
    </row>
    <row r="256" spans="1:8" hidden="1">
      <c r="A256" s="71">
        <v>44035</v>
      </c>
      <c r="B256" t="s">
        <v>1495</v>
      </c>
      <c r="C256" t="s">
        <v>1628</v>
      </c>
      <c r="E256" s="86">
        <v>7067</v>
      </c>
      <c r="F256" t="s">
        <v>759</v>
      </c>
      <c r="G256">
        <v>3310</v>
      </c>
      <c r="H256" t="s">
        <v>1497</v>
      </c>
    </row>
    <row r="257" spans="1:8" hidden="1">
      <c r="A257" s="71">
        <v>44035</v>
      </c>
      <c r="B257" t="s">
        <v>1473</v>
      </c>
      <c r="C257" t="s">
        <v>1629</v>
      </c>
      <c r="E257" s="86">
        <v>10279</v>
      </c>
      <c r="F257" t="s">
        <v>759</v>
      </c>
      <c r="G257">
        <v>2044</v>
      </c>
      <c r="H257" t="s">
        <v>1499</v>
      </c>
    </row>
    <row r="258" spans="1:8" hidden="1">
      <c r="A258" s="71">
        <v>44039</v>
      </c>
      <c r="B258" t="s">
        <v>171</v>
      </c>
      <c r="C258" t="s">
        <v>1630</v>
      </c>
      <c r="E258" s="86">
        <v>1266</v>
      </c>
      <c r="F258" t="s">
        <v>759</v>
      </c>
      <c r="G258">
        <v>3514</v>
      </c>
      <c r="H258" t="s">
        <v>1252</v>
      </c>
    </row>
    <row r="259" spans="1:8" hidden="1">
      <c r="A259" s="71">
        <v>44039</v>
      </c>
      <c r="B259" t="s">
        <v>778</v>
      </c>
      <c r="C259" t="s">
        <v>1631</v>
      </c>
      <c r="F259" t="s">
        <v>759</v>
      </c>
      <c r="G259">
        <v>3445</v>
      </c>
      <c r="H259" t="s">
        <v>1286</v>
      </c>
    </row>
    <row r="260" spans="1:8" hidden="1">
      <c r="A260" s="71">
        <v>44041</v>
      </c>
      <c r="B260" t="s">
        <v>684</v>
      </c>
      <c r="C260" t="s">
        <v>1632</v>
      </c>
      <c r="F260" t="s">
        <v>759</v>
      </c>
      <c r="G260">
        <v>3450</v>
      </c>
      <c r="H260" t="s">
        <v>1286</v>
      </c>
    </row>
    <row r="261" spans="1:8" hidden="1">
      <c r="A261" s="71">
        <v>44041</v>
      </c>
      <c r="B261" t="s">
        <v>692</v>
      </c>
      <c r="C261" t="s">
        <v>1633</v>
      </c>
      <c r="F261" t="s">
        <v>759</v>
      </c>
      <c r="G261">
        <v>3449</v>
      </c>
      <c r="H261" t="s">
        <v>1286</v>
      </c>
    </row>
    <row r="262" spans="1:8" hidden="1">
      <c r="A262" s="71">
        <v>44041</v>
      </c>
      <c r="B262" t="s">
        <v>803</v>
      </c>
      <c r="C262" t="s">
        <v>1634</v>
      </c>
      <c r="F262" t="s">
        <v>759</v>
      </c>
      <c r="G262">
        <v>2504</v>
      </c>
      <c r="H262" t="s">
        <v>1390</v>
      </c>
    </row>
    <row r="263" spans="1:8" hidden="1">
      <c r="A263" s="71">
        <v>44044</v>
      </c>
      <c r="B263" t="s">
        <v>781</v>
      </c>
      <c r="C263" t="s">
        <v>1635</v>
      </c>
      <c r="F263" t="s">
        <v>759</v>
      </c>
      <c r="G263">
        <v>2509</v>
      </c>
      <c r="H263" t="s">
        <v>1390</v>
      </c>
    </row>
    <row r="264" spans="1:8" hidden="1">
      <c r="A264" s="71">
        <v>44047</v>
      </c>
      <c r="B264" t="s">
        <v>1533</v>
      </c>
      <c r="C264" t="s">
        <v>1636</v>
      </c>
      <c r="F264" t="s">
        <v>759</v>
      </c>
      <c r="G264">
        <v>2514</v>
      </c>
      <c r="H264" t="s">
        <v>1390</v>
      </c>
    </row>
    <row r="265" spans="1:8" hidden="1">
      <c r="A265" s="71">
        <v>44048</v>
      </c>
      <c r="B265" t="s">
        <v>167</v>
      </c>
      <c r="C265" t="s">
        <v>1637</v>
      </c>
      <c r="E265" s="86">
        <v>1253</v>
      </c>
      <c r="F265" t="s">
        <v>759</v>
      </c>
      <c r="G265">
        <v>2048</v>
      </c>
      <c r="H265" t="s">
        <v>1499</v>
      </c>
    </row>
    <row r="266" spans="1:8" hidden="1">
      <c r="A266" s="71">
        <v>44049</v>
      </c>
      <c r="B266" t="s">
        <v>782</v>
      </c>
      <c r="C266" t="s">
        <v>1638</v>
      </c>
      <c r="F266" t="s">
        <v>759</v>
      </c>
      <c r="G266">
        <v>2564</v>
      </c>
      <c r="H266" t="s">
        <v>1286</v>
      </c>
    </row>
    <row r="267" spans="1:8" hidden="1">
      <c r="A267" s="71">
        <v>44050</v>
      </c>
      <c r="B267" t="s">
        <v>692</v>
      </c>
      <c r="C267" t="s">
        <v>1639</v>
      </c>
      <c r="F267" t="s">
        <v>759</v>
      </c>
      <c r="G267">
        <v>2565</v>
      </c>
      <c r="H267" t="s">
        <v>1286</v>
      </c>
    </row>
    <row r="268" spans="1:8" hidden="1">
      <c r="A268" s="71">
        <v>44053</v>
      </c>
      <c r="B268" t="s">
        <v>776</v>
      </c>
      <c r="C268" t="s">
        <v>1640</v>
      </c>
      <c r="F268" t="s">
        <v>759</v>
      </c>
      <c r="G268">
        <v>2567</v>
      </c>
      <c r="H268" t="s">
        <v>1286</v>
      </c>
    </row>
    <row r="269" spans="1:8" hidden="1">
      <c r="A269" s="71">
        <v>44055</v>
      </c>
      <c r="B269" t="s">
        <v>167</v>
      </c>
      <c r="C269" t="s">
        <v>1641</v>
      </c>
      <c r="E269" s="86">
        <v>1284</v>
      </c>
      <c r="F269" t="s">
        <v>759</v>
      </c>
      <c r="G269">
        <v>3531</v>
      </c>
      <c r="H269" t="s">
        <v>1252</v>
      </c>
    </row>
    <row r="270" spans="1:8" hidden="1">
      <c r="A270" s="71">
        <v>44055</v>
      </c>
      <c r="B270" t="s">
        <v>169</v>
      </c>
      <c r="C270" t="s">
        <v>1642</v>
      </c>
      <c r="E270" s="86">
        <v>1330</v>
      </c>
      <c r="F270" t="s">
        <v>759</v>
      </c>
      <c r="G270">
        <v>3532</v>
      </c>
      <c r="H270" t="s">
        <v>1252</v>
      </c>
    </row>
    <row r="271" spans="1:8" hidden="1">
      <c r="A271" s="71">
        <v>44055</v>
      </c>
      <c r="B271" t="s">
        <v>176</v>
      </c>
      <c r="C271" t="s">
        <v>1643</v>
      </c>
      <c r="F271" t="s">
        <v>759</v>
      </c>
      <c r="G271">
        <v>2525</v>
      </c>
      <c r="H271" t="s">
        <v>1390</v>
      </c>
    </row>
    <row r="272" spans="1:8" hidden="1">
      <c r="A272" s="71">
        <v>44056</v>
      </c>
      <c r="B272" t="s">
        <v>778</v>
      </c>
      <c r="C272" t="s">
        <v>1644</v>
      </c>
      <c r="F272" t="s">
        <v>759</v>
      </c>
      <c r="G272">
        <v>2526</v>
      </c>
      <c r="H272" t="s">
        <v>1390</v>
      </c>
    </row>
    <row r="273" spans="1:8" hidden="1">
      <c r="A273" s="71">
        <v>44057</v>
      </c>
      <c r="B273" t="s">
        <v>163</v>
      </c>
      <c r="C273" t="s">
        <v>1645</v>
      </c>
      <c r="F273" t="s">
        <v>759</v>
      </c>
      <c r="G273">
        <v>2527</v>
      </c>
      <c r="H273" t="s">
        <v>1390</v>
      </c>
    </row>
    <row r="274" spans="1:8" hidden="1">
      <c r="A274" s="71">
        <v>44060</v>
      </c>
      <c r="B274" t="s">
        <v>778</v>
      </c>
      <c r="C274" t="s">
        <v>1646</v>
      </c>
      <c r="F274" t="s">
        <v>759</v>
      </c>
      <c r="G274">
        <v>2529</v>
      </c>
      <c r="H274" t="s">
        <v>1560</v>
      </c>
    </row>
    <row r="275" spans="1:8" hidden="1">
      <c r="A275" s="71">
        <v>44062</v>
      </c>
      <c r="B275" t="s">
        <v>150</v>
      </c>
      <c r="C275" t="s">
        <v>1647</v>
      </c>
      <c r="F275" t="s">
        <v>759</v>
      </c>
      <c r="G275">
        <v>2531</v>
      </c>
      <c r="H275" t="s">
        <v>1390</v>
      </c>
    </row>
    <row r="276" spans="1:8" hidden="1">
      <c r="A276" s="71">
        <v>44064</v>
      </c>
      <c r="B276" t="s">
        <v>778</v>
      </c>
      <c r="C276" t="s">
        <v>1648</v>
      </c>
      <c r="F276" t="s">
        <v>759</v>
      </c>
      <c r="G276">
        <v>2573</v>
      </c>
      <c r="H276" t="s">
        <v>1286</v>
      </c>
    </row>
    <row r="277" spans="1:8" hidden="1">
      <c r="A277" s="71">
        <v>44067</v>
      </c>
      <c r="B277" t="s">
        <v>176</v>
      </c>
      <c r="C277" t="s">
        <v>1649</v>
      </c>
      <c r="F277" t="s">
        <v>759</v>
      </c>
      <c r="G277">
        <v>2574</v>
      </c>
      <c r="H277" t="s">
        <v>1286</v>
      </c>
    </row>
    <row r="278" spans="1:8" hidden="1">
      <c r="A278" s="71">
        <v>44068</v>
      </c>
      <c r="B278" t="s">
        <v>178</v>
      </c>
      <c r="C278" t="s">
        <v>1650</v>
      </c>
      <c r="F278" t="s">
        <v>759</v>
      </c>
      <c r="G278">
        <v>3802</v>
      </c>
      <c r="H278" t="s">
        <v>1252</v>
      </c>
    </row>
    <row r="279" spans="1:8" hidden="1">
      <c r="A279" s="71">
        <v>44068</v>
      </c>
      <c r="B279" t="s">
        <v>167</v>
      </c>
      <c r="C279" t="s">
        <v>1651</v>
      </c>
      <c r="F279" t="s">
        <v>759</v>
      </c>
      <c r="G279">
        <v>3801</v>
      </c>
      <c r="H279" t="s">
        <v>1252</v>
      </c>
    </row>
    <row r="280" spans="1:8" hidden="1">
      <c r="A280" s="71">
        <v>44070</v>
      </c>
      <c r="B280" t="s">
        <v>180</v>
      </c>
      <c r="C280" t="s">
        <v>1652</v>
      </c>
      <c r="F280" t="s">
        <v>759</v>
      </c>
      <c r="G280">
        <v>2579</v>
      </c>
      <c r="H280" t="s">
        <v>1286</v>
      </c>
    </row>
    <row r="281" spans="1:8" hidden="1">
      <c r="A281" s="71">
        <v>44070</v>
      </c>
      <c r="B281" t="s">
        <v>693</v>
      </c>
      <c r="C281" t="s">
        <v>1653</v>
      </c>
      <c r="F281" t="s">
        <v>759</v>
      </c>
      <c r="G281">
        <v>2578</v>
      </c>
      <c r="H281" t="s">
        <v>1286</v>
      </c>
    </row>
    <row r="282" spans="1:8" hidden="1">
      <c r="A282" s="71">
        <v>44070</v>
      </c>
      <c r="B282" t="s">
        <v>1476</v>
      </c>
      <c r="C282" t="s">
        <v>1654</v>
      </c>
      <c r="E282" s="86">
        <v>2541</v>
      </c>
      <c r="F282" t="s">
        <v>759</v>
      </c>
      <c r="G282">
        <v>2541</v>
      </c>
      <c r="H282" t="s">
        <v>1390</v>
      </c>
    </row>
    <row r="283" spans="1:8" hidden="1">
      <c r="A283" s="71">
        <v>44071</v>
      </c>
      <c r="B283" t="s">
        <v>221</v>
      </c>
      <c r="C283" t="s">
        <v>1655</v>
      </c>
      <c r="F283" t="s">
        <v>759</v>
      </c>
      <c r="H283" t="s">
        <v>1499</v>
      </c>
    </row>
    <row r="284" spans="1:8" hidden="1">
      <c r="A284" s="71">
        <v>44075</v>
      </c>
      <c r="B284" t="s">
        <v>693</v>
      </c>
      <c r="C284" t="s">
        <v>1656</v>
      </c>
      <c r="F284" t="s">
        <v>759</v>
      </c>
      <c r="G284">
        <v>2545</v>
      </c>
      <c r="H284" t="s">
        <v>1390</v>
      </c>
    </row>
    <row r="285" spans="1:8" hidden="1">
      <c r="A285" s="71">
        <v>44075</v>
      </c>
      <c r="B285" t="s">
        <v>162</v>
      </c>
      <c r="C285" t="s">
        <v>1657</v>
      </c>
      <c r="F285" t="s">
        <v>759</v>
      </c>
      <c r="G285">
        <v>2582</v>
      </c>
      <c r="H285" t="s">
        <v>1286</v>
      </c>
    </row>
    <row r="286" spans="1:8" hidden="1">
      <c r="A286" s="71">
        <v>44076</v>
      </c>
      <c r="B286" t="s">
        <v>684</v>
      </c>
      <c r="C286" t="s">
        <v>1658</v>
      </c>
      <c r="F286" t="s">
        <v>759</v>
      </c>
      <c r="G286">
        <v>3673</v>
      </c>
      <c r="H286" t="s">
        <v>1659</v>
      </c>
    </row>
    <row r="287" spans="1:8" hidden="1">
      <c r="A287" s="71">
        <v>44076</v>
      </c>
      <c r="B287" t="s">
        <v>1660</v>
      </c>
      <c r="C287" t="s">
        <v>1661</v>
      </c>
      <c r="F287" t="s">
        <v>759</v>
      </c>
      <c r="G287">
        <v>3672</v>
      </c>
      <c r="H287" t="s">
        <v>1659</v>
      </c>
    </row>
    <row r="288" spans="1:8" hidden="1">
      <c r="A288" s="71">
        <v>44076</v>
      </c>
      <c r="B288" t="s">
        <v>183</v>
      </c>
      <c r="C288" t="s">
        <v>1662</v>
      </c>
      <c r="F288" t="s">
        <v>759</v>
      </c>
      <c r="G288">
        <v>2583</v>
      </c>
      <c r="H288" t="s">
        <v>1286</v>
      </c>
    </row>
    <row r="289" spans="1:8" hidden="1">
      <c r="A289" s="71">
        <v>44077</v>
      </c>
      <c r="B289" t="s">
        <v>1476</v>
      </c>
      <c r="C289" t="s">
        <v>1663</v>
      </c>
      <c r="E289" s="86">
        <v>1271</v>
      </c>
      <c r="F289" t="s">
        <v>759</v>
      </c>
      <c r="G289">
        <v>2584</v>
      </c>
      <c r="H289" t="s">
        <v>1286</v>
      </c>
    </row>
    <row r="290" spans="1:8" hidden="1">
      <c r="A290" s="71">
        <v>44077</v>
      </c>
      <c r="B290" t="s">
        <v>318</v>
      </c>
      <c r="C290" t="s">
        <v>1664</v>
      </c>
      <c r="E290" s="86">
        <v>9208</v>
      </c>
      <c r="F290" t="s">
        <v>759</v>
      </c>
      <c r="G290">
        <v>2550</v>
      </c>
      <c r="H290" t="s">
        <v>1560</v>
      </c>
    </row>
    <row r="291" spans="1:8" hidden="1">
      <c r="A291" s="71">
        <v>44078</v>
      </c>
      <c r="B291" t="s">
        <v>1473</v>
      </c>
      <c r="C291" t="s">
        <v>1665</v>
      </c>
      <c r="F291" t="s">
        <v>759</v>
      </c>
      <c r="G291">
        <v>2585</v>
      </c>
      <c r="H291" t="s">
        <v>1286</v>
      </c>
    </row>
    <row r="292" spans="1:8" hidden="1">
      <c r="A292" s="71">
        <v>44082</v>
      </c>
      <c r="B292" t="s">
        <v>176</v>
      </c>
      <c r="C292" t="s">
        <v>1666</v>
      </c>
      <c r="E292" s="86">
        <v>2406</v>
      </c>
      <c r="F292" t="s">
        <v>759</v>
      </c>
      <c r="G292">
        <v>2586</v>
      </c>
      <c r="H292" t="s">
        <v>1286</v>
      </c>
    </row>
    <row r="293" spans="1:8" hidden="1">
      <c r="A293" s="71">
        <v>44082</v>
      </c>
      <c r="B293" t="s">
        <v>684</v>
      </c>
      <c r="C293" t="s">
        <v>1667</v>
      </c>
      <c r="F293" t="s">
        <v>759</v>
      </c>
      <c r="G293">
        <v>2522</v>
      </c>
      <c r="H293" t="s">
        <v>1560</v>
      </c>
    </row>
    <row r="294" spans="1:8" hidden="1">
      <c r="A294" s="71">
        <v>44083</v>
      </c>
      <c r="B294" t="s">
        <v>1660</v>
      </c>
      <c r="C294" t="s">
        <v>1668</v>
      </c>
      <c r="F294" t="s">
        <v>759</v>
      </c>
      <c r="G294">
        <v>3693</v>
      </c>
      <c r="H294" t="s">
        <v>1659</v>
      </c>
    </row>
    <row r="295" spans="1:8" hidden="1">
      <c r="A295" s="71">
        <v>44083</v>
      </c>
      <c r="B295" t="s">
        <v>1533</v>
      </c>
      <c r="C295" t="s">
        <v>1669</v>
      </c>
      <c r="E295" s="86">
        <v>9234</v>
      </c>
      <c r="F295" t="s">
        <v>759</v>
      </c>
      <c r="G295">
        <v>3335</v>
      </c>
      <c r="H295" t="s">
        <v>1501</v>
      </c>
    </row>
    <row r="296" spans="1:8" hidden="1">
      <c r="A296" s="71">
        <v>44083</v>
      </c>
      <c r="B296" t="s">
        <v>146</v>
      </c>
      <c r="C296" t="s">
        <v>1670</v>
      </c>
      <c r="F296" t="s">
        <v>759</v>
      </c>
      <c r="G296">
        <v>2405</v>
      </c>
      <c r="H296" t="s">
        <v>1252</v>
      </c>
    </row>
    <row r="297" spans="1:8" hidden="1">
      <c r="A297" s="71">
        <v>44084</v>
      </c>
      <c r="B297" t="s">
        <v>163</v>
      </c>
      <c r="C297" t="s">
        <v>1671</v>
      </c>
      <c r="E297" s="86">
        <v>4672</v>
      </c>
      <c r="F297" t="s">
        <v>759</v>
      </c>
      <c r="G297">
        <v>3336</v>
      </c>
      <c r="H297" t="s">
        <v>1501</v>
      </c>
    </row>
    <row r="298" spans="1:8" hidden="1">
      <c r="A298" s="71">
        <v>44084</v>
      </c>
      <c r="B298" t="s">
        <v>176</v>
      </c>
      <c r="C298" t="s">
        <v>1672</v>
      </c>
      <c r="E298" s="86">
        <v>2406</v>
      </c>
      <c r="F298" t="s">
        <v>759</v>
      </c>
      <c r="G298">
        <v>2587</v>
      </c>
      <c r="H298" t="s">
        <v>1286</v>
      </c>
    </row>
    <row r="299" spans="1:8" hidden="1">
      <c r="A299" s="71">
        <v>44085</v>
      </c>
      <c r="B299" t="s">
        <v>689</v>
      </c>
      <c r="C299" t="s">
        <v>1673</v>
      </c>
      <c r="F299" t="s">
        <v>759</v>
      </c>
      <c r="G299">
        <v>2407</v>
      </c>
      <c r="H299" t="s">
        <v>1244</v>
      </c>
    </row>
    <row r="300" spans="1:8" hidden="1">
      <c r="A300" s="71">
        <v>44088</v>
      </c>
      <c r="B300" t="s">
        <v>176</v>
      </c>
      <c r="C300" t="s">
        <v>1674</v>
      </c>
      <c r="E300" s="86">
        <v>2406</v>
      </c>
      <c r="F300" t="s">
        <v>759</v>
      </c>
      <c r="G300">
        <v>2589</v>
      </c>
      <c r="H300" t="s">
        <v>1286</v>
      </c>
    </row>
    <row r="301" spans="1:8" hidden="1">
      <c r="A301" s="71">
        <v>44089</v>
      </c>
      <c r="B301" t="s">
        <v>178</v>
      </c>
      <c r="C301" t="s">
        <v>1675</v>
      </c>
      <c r="F301" t="s">
        <v>759</v>
      </c>
      <c r="G301">
        <v>2590</v>
      </c>
      <c r="H301" t="s">
        <v>1286</v>
      </c>
    </row>
    <row r="302" spans="1:8" hidden="1">
      <c r="A302" s="71">
        <v>44090</v>
      </c>
      <c r="B302" t="s">
        <v>176</v>
      </c>
      <c r="C302" t="s">
        <v>1676</v>
      </c>
      <c r="E302" s="86">
        <v>2406</v>
      </c>
      <c r="F302" t="s">
        <v>759</v>
      </c>
      <c r="G302" s="71">
        <v>44090</v>
      </c>
      <c r="H302" t="s">
        <v>1286</v>
      </c>
    </row>
    <row r="303" spans="1:8" hidden="1">
      <c r="A303" s="71">
        <v>44090</v>
      </c>
      <c r="B303" t="s">
        <v>162</v>
      </c>
      <c r="C303" t="s">
        <v>1677</v>
      </c>
      <c r="F303" t="s">
        <v>759</v>
      </c>
      <c r="G303">
        <v>2408</v>
      </c>
      <c r="H303" t="s">
        <v>1244</v>
      </c>
    </row>
    <row r="304" spans="1:8" hidden="1">
      <c r="A304" s="71">
        <v>44091</v>
      </c>
      <c r="B304" t="s">
        <v>178</v>
      </c>
      <c r="C304" t="s">
        <v>1678</v>
      </c>
      <c r="F304" t="s">
        <v>759</v>
      </c>
      <c r="G304">
        <v>2592</v>
      </c>
      <c r="H304" t="s">
        <v>1286</v>
      </c>
    </row>
    <row r="305" spans="1:8" hidden="1">
      <c r="A305" s="71">
        <v>44095</v>
      </c>
      <c r="B305" t="s">
        <v>160</v>
      </c>
      <c r="C305" t="s">
        <v>1679</v>
      </c>
      <c r="F305" t="s">
        <v>759</v>
      </c>
      <c r="G305">
        <v>3724</v>
      </c>
      <c r="H305" t="s">
        <v>1492</v>
      </c>
    </row>
    <row r="306" spans="1:8" hidden="1">
      <c r="A306" s="71">
        <v>44095</v>
      </c>
      <c r="B306" t="s">
        <v>1680</v>
      </c>
      <c r="C306" t="s">
        <v>1681</v>
      </c>
      <c r="F306" t="s">
        <v>759</v>
      </c>
      <c r="G306">
        <v>2410</v>
      </c>
      <c r="H306" t="s">
        <v>1244</v>
      </c>
    </row>
    <row r="307" spans="1:8" hidden="1">
      <c r="A307" s="71">
        <v>44097</v>
      </c>
      <c r="B307" t="s">
        <v>173</v>
      </c>
      <c r="C307" t="s">
        <v>1682</v>
      </c>
      <c r="E307" s="86">
        <v>1668</v>
      </c>
      <c r="F307" t="s">
        <v>759</v>
      </c>
      <c r="G307">
        <v>3804</v>
      </c>
      <c r="H307" t="s">
        <v>1252</v>
      </c>
    </row>
    <row r="308" spans="1:8" hidden="1">
      <c r="A308" s="71">
        <v>44097</v>
      </c>
      <c r="B308" t="s">
        <v>171</v>
      </c>
      <c r="C308" t="s">
        <v>1683</v>
      </c>
      <c r="E308" s="86">
        <v>1565</v>
      </c>
      <c r="F308" t="s">
        <v>759</v>
      </c>
      <c r="G308">
        <v>3803</v>
      </c>
      <c r="H308" t="s">
        <v>1252</v>
      </c>
    </row>
    <row r="309" spans="1:8" hidden="1">
      <c r="A309" s="71">
        <v>44097</v>
      </c>
      <c r="B309" t="s">
        <v>693</v>
      </c>
      <c r="C309" t="s">
        <v>1684</v>
      </c>
      <c r="E309" s="86">
        <v>3448</v>
      </c>
      <c r="F309" t="s">
        <v>759</v>
      </c>
      <c r="G309">
        <v>2411</v>
      </c>
      <c r="H309" t="s">
        <v>1244</v>
      </c>
    </row>
    <row r="310" spans="1:8" hidden="1">
      <c r="A310" s="71">
        <v>44099</v>
      </c>
      <c r="B310" t="s">
        <v>169</v>
      </c>
      <c r="C310" t="s">
        <v>1685</v>
      </c>
      <c r="E310" s="86">
        <v>1574</v>
      </c>
      <c r="F310" t="s">
        <v>759</v>
      </c>
      <c r="G310">
        <v>3805</v>
      </c>
      <c r="H310" t="s">
        <v>1252</v>
      </c>
    </row>
    <row r="311" spans="1:8" hidden="1">
      <c r="A311" s="71">
        <v>44103</v>
      </c>
      <c r="B311" t="s">
        <v>175</v>
      </c>
      <c r="C311" t="s">
        <v>1686</v>
      </c>
      <c r="E311" s="86">
        <v>1684</v>
      </c>
      <c r="F311" t="s">
        <v>759</v>
      </c>
      <c r="G311">
        <v>3807</v>
      </c>
      <c r="H311" t="s">
        <v>1252</v>
      </c>
    </row>
    <row r="312" spans="1:8" hidden="1">
      <c r="A312" s="71">
        <v>44109</v>
      </c>
      <c r="B312" t="s">
        <v>654</v>
      </c>
      <c r="C312" t="s">
        <v>1687</v>
      </c>
      <c r="F312" t="s">
        <v>759</v>
      </c>
      <c r="H312" t="s">
        <v>1501</v>
      </c>
    </row>
    <row r="313" spans="1:8" hidden="1">
      <c r="A313" s="71">
        <v>44109</v>
      </c>
      <c r="B313" t="s">
        <v>185</v>
      </c>
      <c r="C313" t="s">
        <v>1688</v>
      </c>
      <c r="F313" t="s">
        <v>759</v>
      </c>
      <c r="G313">
        <v>10283</v>
      </c>
      <c r="H313" t="s">
        <v>1390</v>
      </c>
    </row>
    <row r="314" spans="1:8" hidden="1">
      <c r="A314" s="71">
        <v>44110</v>
      </c>
      <c r="B314" t="s">
        <v>1533</v>
      </c>
      <c r="C314" t="s">
        <v>1689</v>
      </c>
      <c r="E314" s="86">
        <v>9369</v>
      </c>
      <c r="F314" t="s">
        <v>759</v>
      </c>
      <c r="G314">
        <v>2595</v>
      </c>
      <c r="H314" t="s">
        <v>1286</v>
      </c>
    </row>
    <row r="315" spans="1:8" hidden="1">
      <c r="A315" s="71">
        <v>44117</v>
      </c>
      <c r="B315" t="s">
        <v>162</v>
      </c>
      <c r="C315" t="s">
        <v>1690</v>
      </c>
      <c r="F315" t="s">
        <v>759</v>
      </c>
      <c r="G315">
        <v>2598</v>
      </c>
      <c r="H315" t="s">
        <v>1286</v>
      </c>
    </row>
    <row r="316" spans="1:8" hidden="1">
      <c r="A316" s="71">
        <v>44118</v>
      </c>
      <c r="B316" t="s">
        <v>183</v>
      </c>
      <c r="C316" t="s">
        <v>1691</v>
      </c>
      <c r="F316" t="s">
        <v>759</v>
      </c>
      <c r="G316">
        <v>2422</v>
      </c>
      <c r="H316" t="s">
        <v>1244</v>
      </c>
    </row>
    <row r="317" spans="1:8" hidden="1">
      <c r="A317" s="71">
        <v>44123</v>
      </c>
      <c r="B317" t="s">
        <v>159</v>
      </c>
      <c r="C317" t="s">
        <v>1692</v>
      </c>
      <c r="E317" s="86">
        <v>7313</v>
      </c>
      <c r="F317" t="s">
        <v>759</v>
      </c>
      <c r="G317">
        <v>2599</v>
      </c>
      <c r="H317" t="s">
        <v>1286</v>
      </c>
    </row>
    <row r="318" spans="1:8" hidden="1">
      <c r="A318" s="71">
        <v>44124</v>
      </c>
      <c r="B318" t="s">
        <v>183</v>
      </c>
      <c r="C318" t="s">
        <v>1693</v>
      </c>
      <c r="F318" t="s">
        <v>759</v>
      </c>
      <c r="G318">
        <v>2426.1</v>
      </c>
      <c r="H318" t="s">
        <v>1244</v>
      </c>
    </row>
    <row r="319" spans="1:8" hidden="1">
      <c r="A319" s="71">
        <v>44124</v>
      </c>
      <c r="B319" t="s">
        <v>1533</v>
      </c>
      <c r="C319" t="s">
        <v>1694</v>
      </c>
      <c r="E319" s="86">
        <v>9394</v>
      </c>
      <c r="F319" t="s">
        <v>759</v>
      </c>
      <c r="G319">
        <v>2425</v>
      </c>
      <c r="H319" t="s">
        <v>1244</v>
      </c>
    </row>
    <row r="320" spans="1:8" hidden="1">
      <c r="A320" s="71">
        <v>44126</v>
      </c>
      <c r="B320" t="s">
        <v>150</v>
      </c>
      <c r="C320" t="s">
        <v>1695</v>
      </c>
      <c r="E320" s="86">
        <v>7436</v>
      </c>
      <c r="F320" t="s">
        <v>759</v>
      </c>
      <c r="G320">
        <v>2600</v>
      </c>
      <c r="H320" t="s">
        <v>1286</v>
      </c>
    </row>
    <row r="321" spans="1:8" hidden="1">
      <c r="A321" s="71">
        <v>44130</v>
      </c>
      <c r="B321" t="s">
        <v>324</v>
      </c>
      <c r="C321" t="s">
        <v>1696</v>
      </c>
      <c r="E321" s="86">
        <v>11775</v>
      </c>
      <c r="F321" t="s">
        <v>759</v>
      </c>
      <c r="G321">
        <v>4101</v>
      </c>
      <c r="H321" t="s">
        <v>1697</v>
      </c>
    </row>
    <row r="322" spans="1:8" hidden="1">
      <c r="A322" s="71">
        <v>44130</v>
      </c>
      <c r="B322" t="s">
        <v>1473</v>
      </c>
      <c r="C322" t="s">
        <v>1698</v>
      </c>
      <c r="F322" t="s">
        <v>759</v>
      </c>
      <c r="G322">
        <v>4051</v>
      </c>
      <c r="H322" t="s">
        <v>1286</v>
      </c>
    </row>
    <row r="323" spans="1:8" hidden="1">
      <c r="A323" s="71">
        <v>44131</v>
      </c>
      <c r="B323" t="s">
        <v>159</v>
      </c>
      <c r="C323" t="s">
        <v>1699</v>
      </c>
      <c r="E323" s="86">
        <v>7318</v>
      </c>
      <c r="F323" t="s">
        <v>759</v>
      </c>
      <c r="G323">
        <v>4052</v>
      </c>
      <c r="H323" t="s">
        <v>1286</v>
      </c>
    </row>
    <row r="324" spans="1:8" hidden="1">
      <c r="A324" s="71">
        <v>44133</v>
      </c>
      <c r="B324" t="s">
        <v>150</v>
      </c>
      <c r="C324" t="s">
        <v>1700</v>
      </c>
      <c r="E324" s="86">
        <v>7438</v>
      </c>
      <c r="F324" t="s">
        <v>759</v>
      </c>
      <c r="G324">
        <v>4053</v>
      </c>
      <c r="H324" t="s">
        <v>1390</v>
      </c>
    </row>
    <row r="325" spans="1:8" hidden="1">
      <c r="A325" s="71">
        <v>44134</v>
      </c>
      <c r="B325" t="s">
        <v>175</v>
      </c>
      <c r="C325" t="s">
        <v>1701</v>
      </c>
      <c r="E325" s="86">
        <v>1823</v>
      </c>
      <c r="F325" t="s">
        <v>759</v>
      </c>
      <c r="G325">
        <v>3814</v>
      </c>
      <c r="H325" t="s">
        <v>1252</v>
      </c>
    </row>
    <row r="326" spans="1:8" hidden="1">
      <c r="A326" s="71">
        <v>44137</v>
      </c>
      <c r="B326" t="s">
        <v>1473</v>
      </c>
      <c r="C326" t="s">
        <v>1702</v>
      </c>
      <c r="F326" t="s">
        <v>759</v>
      </c>
      <c r="G326">
        <v>4102</v>
      </c>
      <c r="H326" t="s">
        <v>1697</v>
      </c>
    </row>
    <row r="327" spans="1:8" hidden="1">
      <c r="A327" s="71">
        <v>44137</v>
      </c>
      <c r="B327" t="s">
        <v>180</v>
      </c>
      <c r="C327" t="s">
        <v>1703</v>
      </c>
      <c r="F327" t="s">
        <v>759</v>
      </c>
      <c r="G327">
        <v>4055</v>
      </c>
      <c r="H327" t="s">
        <v>1286</v>
      </c>
    </row>
    <row r="328" spans="1:8" ht="27.75" hidden="1">
      <c r="A328" s="71">
        <v>44137</v>
      </c>
      <c r="B328" t="s">
        <v>1473</v>
      </c>
      <c r="C328" s="50" t="s">
        <v>1704</v>
      </c>
      <c r="F328" t="s">
        <v>759</v>
      </c>
      <c r="G328">
        <v>3815</v>
      </c>
      <c r="H328" t="s">
        <v>1252</v>
      </c>
    </row>
    <row r="329" spans="1:8" hidden="1">
      <c r="A329" s="71">
        <v>44137</v>
      </c>
      <c r="B329" t="s">
        <v>160</v>
      </c>
      <c r="C329" t="s">
        <v>1705</v>
      </c>
      <c r="F329" t="s">
        <v>759</v>
      </c>
      <c r="G329">
        <v>2656</v>
      </c>
      <c r="H329" t="s">
        <v>1492</v>
      </c>
    </row>
    <row r="330" spans="1:8" hidden="1">
      <c r="A330" s="71">
        <v>44138</v>
      </c>
      <c r="B330" t="s">
        <v>150</v>
      </c>
      <c r="C330" t="s">
        <v>1706</v>
      </c>
      <c r="E330" s="86">
        <v>7442</v>
      </c>
      <c r="F330" t="s">
        <v>759</v>
      </c>
      <c r="G330">
        <v>2429</v>
      </c>
      <c r="H330" t="s">
        <v>1244</v>
      </c>
    </row>
    <row r="331" spans="1:8" hidden="1">
      <c r="A331" s="71">
        <v>44139</v>
      </c>
      <c r="B331" t="s">
        <v>162</v>
      </c>
      <c r="C331" t="s">
        <v>1707</v>
      </c>
      <c r="F331" t="s">
        <v>759</v>
      </c>
      <c r="G331">
        <v>3601</v>
      </c>
      <c r="H331" t="s">
        <v>1235</v>
      </c>
    </row>
    <row r="332" spans="1:8" hidden="1">
      <c r="A332" s="71">
        <v>44141</v>
      </c>
      <c r="B332" t="s">
        <v>167</v>
      </c>
      <c r="C332" t="s">
        <v>1708</v>
      </c>
      <c r="E332" s="86">
        <v>1639</v>
      </c>
      <c r="F332" t="s">
        <v>759</v>
      </c>
      <c r="G332">
        <v>3816</v>
      </c>
      <c r="H332" t="s">
        <v>1252</v>
      </c>
    </row>
    <row r="333" spans="1:8" hidden="1">
      <c r="A333" s="71">
        <v>44146</v>
      </c>
      <c r="B333" t="s">
        <v>159</v>
      </c>
      <c r="C333" t="s">
        <v>1709</v>
      </c>
      <c r="E333" s="86">
        <v>7369</v>
      </c>
      <c r="F333" t="s">
        <v>759</v>
      </c>
      <c r="G333">
        <v>4058</v>
      </c>
      <c r="H333" t="s">
        <v>1286</v>
      </c>
    </row>
    <row r="334" spans="1:8" hidden="1">
      <c r="A334" s="71">
        <v>44146</v>
      </c>
      <c r="B334" t="s">
        <v>1476</v>
      </c>
      <c r="C334" t="s">
        <v>1710</v>
      </c>
      <c r="E334" s="86">
        <v>1489</v>
      </c>
      <c r="F334" t="s">
        <v>759</v>
      </c>
      <c r="G334">
        <v>2435</v>
      </c>
      <c r="H334" t="s">
        <v>1244</v>
      </c>
    </row>
    <row r="335" spans="1:8" hidden="1">
      <c r="A335" s="71">
        <v>44146</v>
      </c>
      <c r="B335" t="s">
        <v>311</v>
      </c>
      <c r="C335" t="s">
        <v>1711</v>
      </c>
      <c r="E335" s="86">
        <v>11528</v>
      </c>
      <c r="F335" t="s">
        <v>759</v>
      </c>
      <c r="G335">
        <v>4059</v>
      </c>
      <c r="H335" t="s">
        <v>1286</v>
      </c>
    </row>
    <row r="336" spans="1:8" hidden="1">
      <c r="A336" s="71">
        <v>44147</v>
      </c>
      <c r="B336" t="s">
        <v>159</v>
      </c>
      <c r="C336" t="s">
        <v>1712</v>
      </c>
      <c r="F336" t="s">
        <v>759</v>
      </c>
      <c r="G336">
        <v>4062</v>
      </c>
      <c r="H336" t="s">
        <v>1286</v>
      </c>
    </row>
    <row r="337" spans="1:8" hidden="1">
      <c r="A337" s="71">
        <v>44147</v>
      </c>
      <c r="B337" t="s">
        <v>173</v>
      </c>
      <c r="C337" t="s">
        <v>1713</v>
      </c>
      <c r="E337" s="86">
        <v>1900</v>
      </c>
      <c r="F337" t="s">
        <v>759</v>
      </c>
      <c r="G337">
        <v>4061</v>
      </c>
      <c r="H337" t="s">
        <v>1252</v>
      </c>
    </row>
    <row r="338" spans="1:8" hidden="1">
      <c r="A338" s="71">
        <v>44147</v>
      </c>
      <c r="B338" t="s">
        <v>311</v>
      </c>
      <c r="C338" t="s">
        <v>1714</v>
      </c>
      <c r="E338" s="86">
        <v>11528</v>
      </c>
      <c r="F338" t="s">
        <v>759</v>
      </c>
      <c r="G338">
        <v>4060</v>
      </c>
      <c r="H338" t="s">
        <v>1286</v>
      </c>
    </row>
    <row r="339" spans="1:8" hidden="1">
      <c r="A339" s="71">
        <v>44148</v>
      </c>
      <c r="B339" t="s">
        <v>159</v>
      </c>
      <c r="C339" t="s">
        <v>1715</v>
      </c>
      <c r="E339" s="86">
        <v>7369</v>
      </c>
      <c r="F339" t="s">
        <v>759</v>
      </c>
      <c r="G339">
        <v>4063</v>
      </c>
      <c r="H339" t="s">
        <v>1286</v>
      </c>
    </row>
    <row r="340" spans="1:8" hidden="1">
      <c r="A340" s="71">
        <v>44148</v>
      </c>
      <c r="B340" t="s">
        <v>1533</v>
      </c>
      <c r="C340" t="s">
        <v>1716</v>
      </c>
      <c r="E340" s="86">
        <v>9510</v>
      </c>
      <c r="F340" t="s">
        <v>759</v>
      </c>
      <c r="G340">
        <v>2438</v>
      </c>
      <c r="H340" t="s">
        <v>1244</v>
      </c>
    </row>
    <row r="341" spans="1:8" hidden="1">
      <c r="A341" s="71">
        <v>44155</v>
      </c>
      <c r="B341" t="s">
        <v>163</v>
      </c>
      <c r="C341" t="s">
        <v>1717</v>
      </c>
      <c r="F341" t="s">
        <v>759</v>
      </c>
      <c r="G341">
        <v>4251</v>
      </c>
      <c r="H341" t="s">
        <v>1286</v>
      </c>
    </row>
    <row r="342" spans="1:8" hidden="1">
      <c r="A342" s="71">
        <v>44155</v>
      </c>
      <c r="B342" t="s">
        <v>159</v>
      </c>
      <c r="C342" t="s">
        <v>1718</v>
      </c>
      <c r="F342" t="s">
        <v>759</v>
      </c>
      <c r="G342">
        <v>4107</v>
      </c>
      <c r="H342" t="s">
        <v>1697</v>
      </c>
    </row>
    <row r="343" spans="1:8" hidden="1">
      <c r="A343" s="71">
        <v>44155</v>
      </c>
      <c r="B343" t="s">
        <v>369</v>
      </c>
      <c r="C343" t="s">
        <v>1719</v>
      </c>
      <c r="E343" s="86">
        <v>8357</v>
      </c>
      <c r="F343" t="s">
        <v>759</v>
      </c>
      <c r="G343">
        <v>2661</v>
      </c>
      <c r="H343" t="s">
        <v>1390</v>
      </c>
    </row>
    <row r="344" spans="1:8" hidden="1">
      <c r="A344" s="71">
        <v>44159</v>
      </c>
      <c r="B344" t="s">
        <v>143</v>
      </c>
      <c r="C344" t="s">
        <v>1720</v>
      </c>
      <c r="F344" t="s">
        <v>759</v>
      </c>
      <c r="G344">
        <v>3818</v>
      </c>
      <c r="H344" t="s">
        <v>1252</v>
      </c>
    </row>
    <row r="345" spans="1:8" hidden="1">
      <c r="A345" s="71">
        <v>44159</v>
      </c>
      <c r="B345" t="s">
        <v>183</v>
      </c>
      <c r="C345" t="s">
        <v>1721</v>
      </c>
      <c r="F345" t="s">
        <v>759</v>
      </c>
      <c r="G345">
        <v>2444</v>
      </c>
      <c r="H345" t="s">
        <v>1244</v>
      </c>
    </row>
    <row r="346" spans="1:8" hidden="1">
      <c r="A346" s="71">
        <v>44162</v>
      </c>
      <c r="B346" t="s">
        <v>19</v>
      </c>
      <c r="C346" t="s">
        <v>1722</v>
      </c>
      <c r="F346" t="s">
        <v>759</v>
      </c>
      <c r="G346">
        <v>3743.1</v>
      </c>
      <c r="H346" t="s">
        <v>1492</v>
      </c>
    </row>
    <row r="347" spans="1:8" hidden="1">
      <c r="A347" s="71">
        <v>44162</v>
      </c>
      <c r="B347" t="s">
        <v>183</v>
      </c>
      <c r="C347" t="s">
        <v>1723</v>
      </c>
      <c r="F347" t="s">
        <v>759</v>
      </c>
      <c r="G347">
        <v>2445</v>
      </c>
      <c r="H347" t="s">
        <v>1244</v>
      </c>
    </row>
    <row r="348" spans="1:8" hidden="1">
      <c r="A348" s="71">
        <v>44166</v>
      </c>
      <c r="B348" t="s">
        <v>780</v>
      </c>
      <c r="C348" t="s">
        <v>1724</v>
      </c>
      <c r="F348" t="s">
        <v>759</v>
      </c>
      <c r="H348" t="s">
        <v>1725</v>
      </c>
    </row>
    <row r="349" spans="1:8" hidden="1">
      <c r="A349" s="71">
        <v>44166</v>
      </c>
      <c r="B349" t="s">
        <v>1476</v>
      </c>
      <c r="C349" t="s">
        <v>1726</v>
      </c>
      <c r="E349" s="86">
        <v>1119</v>
      </c>
      <c r="F349" t="s">
        <v>759</v>
      </c>
      <c r="G349">
        <v>3613</v>
      </c>
      <c r="H349" t="s">
        <v>1235</v>
      </c>
    </row>
    <row r="350" spans="1:8" ht="27.75" hidden="1">
      <c r="A350" s="71">
        <v>44167</v>
      </c>
      <c r="B350" t="s">
        <v>1473</v>
      </c>
      <c r="C350" s="50" t="s">
        <v>1727</v>
      </c>
      <c r="F350" t="s">
        <v>759</v>
      </c>
      <c r="G350">
        <v>4081</v>
      </c>
      <c r="H350" t="s">
        <v>1286</v>
      </c>
    </row>
    <row r="351" spans="1:8" hidden="1">
      <c r="A351" s="71">
        <v>44168</v>
      </c>
      <c r="B351" t="s">
        <v>1533</v>
      </c>
      <c r="C351" t="s">
        <v>1728</v>
      </c>
      <c r="F351" t="s">
        <v>759</v>
      </c>
      <c r="G351">
        <v>4082</v>
      </c>
      <c r="H351" t="s">
        <v>1286</v>
      </c>
    </row>
    <row r="352" spans="1:8" hidden="1">
      <c r="A352" s="71">
        <v>44168</v>
      </c>
      <c r="B352" t="s">
        <v>180</v>
      </c>
      <c r="C352" t="s">
        <v>1729</v>
      </c>
      <c r="E352" s="86">
        <v>2492</v>
      </c>
      <c r="F352" t="s">
        <v>759</v>
      </c>
      <c r="G352">
        <v>3539</v>
      </c>
      <c r="H352" t="s">
        <v>1501</v>
      </c>
    </row>
    <row r="353" spans="1:8" hidden="1">
      <c r="A353" s="71">
        <v>44169</v>
      </c>
      <c r="B353" t="s">
        <v>1473</v>
      </c>
      <c r="C353" t="s">
        <v>1730</v>
      </c>
      <c r="F353" t="s">
        <v>759</v>
      </c>
      <c r="G353">
        <v>4083</v>
      </c>
      <c r="H353" t="s">
        <v>1286</v>
      </c>
    </row>
    <row r="354" spans="1:8" hidden="1">
      <c r="A354" s="71">
        <v>44174</v>
      </c>
      <c r="B354" t="s">
        <v>1533</v>
      </c>
      <c r="C354" t="s">
        <v>1731</v>
      </c>
      <c r="F354" t="s">
        <v>759</v>
      </c>
      <c r="G354">
        <v>4084</v>
      </c>
      <c r="H354" t="s">
        <v>1286</v>
      </c>
    </row>
    <row r="355" spans="1:8" hidden="1">
      <c r="A355" s="71">
        <v>44174</v>
      </c>
      <c r="B355" t="s">
        <v>362</v>
      </c>
      <c r="C355" t="s">
        <v>1732</v>
      </c>
      <c r="E355" s="86">
        <v>9121</v>
      </c>
      <c r="F355" t="s">
        <v>759</v>
      </c>
      <c r="G355">
        <v>3749</v>
      </c>
      <c r="H355" t="s">
        <v>1492</v>
      </c>
    </row>
    <row r="356" spans="1:8" hidden="1">
      <c r="A356" s="71">
        <v>44179</v>
      </c>
      <c r="B356" t="s">
        <v>150</v>
      </c>
      <c r="C356" t="s">
        <v>1733</v>
      </c>
      <c r="F356" t="s">
        <v>759</v>
      </c>
      <c r="G356">
        <v>4087</v>
      </c>
      <c r="H356" t="s">
        <v>1286</v>
      </c>
    </row>
    <row r="357" spans="1:8" hidden="1">
      <c r="A357" s="71">
        <v>44180</v>
      </c>
      <c r="B357" t="s">
        <v>780</v>
      </c>
      <c r="C357" t="s">
        <v>1734</v>
      </c>
      <c r="F357" t="s">
        <v>759</v>
      </c>
      <c r="G357">
        <v>4088</v>
      </c>
      <c r="H357" t="s">
        <v>1286</v>
      </c>
    </row>
    <row r="358" spans="1:8" hidden="1">
      <c r="A358" s="71">
        <v>44180</v>
      </c>
      <c r="B358" t="s">
        <v>188</v>
      </c>
      <c r="C358" t="s">
        <v>1735</v>
      </c>
      <c r="E358" s="86">
        <v>1293</v>
      </c>
      <c r="F358" t="s">
        <v>759</v>
      </c>
      <c r="G358">
        <v>3618</v>
      </c>
      <c r="H358" t="s">
        <v>1244</v>
      </c>
    </row>
    <row r="359" spans="1:8" hidden="1">
      <c r="A359" s="71">
        <v>44182</v>
      </c>
      <c r="B359" t="s">
        <v>1533</v>
      </c>
      <c r="C359" t="s">
        <v>1736</v>
      </c>
      <c r="F359" t="s">
        <v>759</v>
      </c>
      <c r="G359">
        <v>4091</v>
      </c>
      <c r="H359" t="s">
        <v>1286</v>
      </c>
    </row>
    <row r="360" spans="1:8" hidden="1">
      <c r="A360" s="71">
        <v>44186</v>
      </c>
      <c r="B360" t="s">
        <v>178</v>
      </c>
      <c r="C360" t="s">
        <v>1737</v>
      </c>
      <c r="F360" t="s">
        <v>759</v>
      </c>
      <c r="G360">
        <v>4093</v>
      </c>
      <c r="H360" t="s">
        <v>1286</v>
      </c>
    </row>
    <row r="361" spans="1:8" hidden="1">
      <c r="A361" s="71">
        <v>44187</v>
      </c>
      <c r="B361" t="s">
        <v>1476</v>
      </c>
      <c r="C361" t="s">
        <v>1738</v>
      </c>
      <c r="F361" t="s">
        <v>759</v>
      </c>
      <c r="G361">
        <v>4094</v>
      </c>
      <c r="H361" t="s">
        <v>1286</v>
      </c>
    </row>
    <row r="362" spans="1:8" hidden="1">
      <c r="A362" s="71">
        <v>44195</v>
      </c>
      <c r="B362" t="s">
        <v>188</v>
      </c>
      <c r="C362" t="s">
        <v>1739</v>
      </c>
      <c r="F362" t="s">
        <v>759</v>
      </c>
      <c r="G362">
        <v>2676</v>
      </c>
      <c r="H362" t="s">
        <v>1390</v>
      </c>
    </row>
    <row r="363" spans="1:8" hidden="1">
      <c r="A363" s="71">
        <v>44200</v>
      </c>
      <c r="B363" t="s">
        <v>1476</v>
      </c>
      <c r="C363" t="s">
        <v>1740</v>
      </c>
      <c r="F363" t="s">
        <v>759</v>
      </c>
      <c r="G363">
        <v>4098</v>
      </c>
      <c r="H363" t="s">
        <v>1286</v>
      </c>
    </row>
    <row r="364" spans="1:8" hidden="1">
      <c r="A364" s="71">
        <v>44200</v>
      </c>
      <c r="B364" t="s">
        <v>178</v>
      </c>
      <c r="C364" t="s">
        <v>1741</v>
      </c>
      <c r="F364" t="s">
        <v>759</v>
      </c>
      <c r="G364">
        <v>4097</v>
      </c>
      <c r="H364" t="s">
        <v>1286</v>
      </c>
    </row>
    <row r="365" spans="1:8" hidden="1">
      <c r="A365" s="71">
        <v>44201</v>
      </c>
      <c r="B365" t="s">
        <v>171</v>
      </c>
      <c r="C365" t="s">
        <v>1742</v>
      </c>
      <c r="E365" s="86">
        <v>1998</v>
      </c>
      <c r="F365" t="s">
        <v>759</v>
      </c>
      <c r="G365">
        <v>3828</v>
      </c>
      <c r="H365" t="s">
        <v>1252</v>
      </c>
    </row>
    <row r="366" spans="1:8" hidden="1">
      <c r="A366" s="71">
        <v>44201</v>
      </c>
      <c r="B366" t="s">
        <v>173</v>
      </c>
      <c r="C366" t="s">
        <v>1743</v>
      </c>
      <c r="E366" s="86">
        <v>2143</v>
      </c>
      <c r="F366" t="s">
        <v>759</v>
      </c>
      <c r="G366">
        <v>3827</v>
      </c>
      <c r="H366" t="s">
        <v>1252</v>
      </c>
    </row>
    <row r="367" spans="1:8" hidden="1">
      <c r="A367" s="71">
        <v>44202</v>
      </c>
      <c r="B367" t="s">
        <v>784</v>
      </c>
      <c r="C367" t="s">
        <v>1744</v>
      </c>
      <c r="F367" t="s">
        <v>759</v>
      </c>
      <c r="G367">
        <v>7520</v>
      </c>
      <c r="H367" t="s">
        <v>1659</v>
      </c>
    </row>
    <row r="368" spans="1:8" hidden="1">
      <c r="A368" s="71">
        <v>44202</v>
      </c>
      <c r="B368" t="s">
        <v>1476</v>
      </c>
      <c r="C368" t="s">
        <v>1745</v>
      </c>
      <c r="F368" t="s">
        <v>759</v>
      </c>
      <c r="G368">
        <v>4099</v>
      </c>
      <c r="H368" t="s">
        <v>1286</v>
      </c>
    </row>
    <row r="369" spans="1:8" hidden="1">
      <c r="A369" s="71">
        <v>44203</v>
      </c>
      <c r="B369" t="s">
        <v>784</v>
      </c>
      <c r="C369" t="s">
        <v>1746</v>
      </c>
      <c r="F369" t="s">
        <v>759</v>
      </c>
      <c r="G369">
        <v>7521</v>
      </c>
      <c r="H369" t="s">
        <v>1659</v>
      </c>
    </row>
    <row r="370" spans="1:8" hidden="1">
      <c r="A370" s="71">
        <v>44205</v>
      </c>
      <c r="B370" t="s">
        <v>311</v>
      </c>
      <c r="C370" t="s">
        <v>1747</v>
      </c>
      <c r="E370" s="86">
        <v>11792</v>
      </c>
      <c r="F370" t="s">
        <v>759</v>
      </c>
      <c r="G370">
        <v>2683</v>
      </c>
      <c r="H370" t="s">
        <v>1390</v>
      </c>
    </row>
    <row r="371" spans="1:8" hidden="1">
      <c r="A371" s="71">
        <v>44207</v>
      </c>
      <c r="B371" t="s">
        <v>704</v>
      </c>
      <c r="C371" t="s">
        <v>1748</v>
      </c>
      <c r="F371" t="s">
        <v>759</v>
      </c>
      <c r="G371">
        <v>4252</v>
      </c>
      <c r="H371" t="s">
        <v>1286</v>
      </c>
    </row>
    <row r="372" spans="1:8" hidden="1">
      <c r="A372" s="71">
        <v>44207</v>
      </c>
      <c r="B372" t="s">
        <v>167</v>
      </c>
      <c r="C372" t="s">
        <v>1749</v>
      </c>
      <c r="E372" s="86">
        <v>1927</v>
      </c>
      <c r="F372" t="s">
        <v>759</v>
      </c>
      <c r="G372">
        <v>3830</v>
      </c>
      <c r="H372" t="s">
        <v>1252</v>
      </c>
    </row>
    <row r="373" spans="1:8" hidden="1">
      <c r="A373" s="71">
        <v>44207</v>
      </c>
      <c r="B373" t="s">
        <v>163</v>
      </c>
      <c r="C373" t="s">
        <v>1750</v>
      </c>
      <c r="E373" s="86">
        <v>5123</v>
      </c>
      <c r="F373" t="s">
        <v>759</v>
      </c>
      <c r="G373">
        <v>3624</v>
      </c>
      <c r="H373" t="s">
        <v>1235</v>
      </c>
    </row>
    <row r="374" spans="1:8" hidden="1">
      <c r="A374" s="71">
        <v>44208</v>
      </c>
      <c r="B374" t="s">
        <v>25</v>
      </c>
      <c r="C374" t="s">
        <v>1751</v>
      </c>
      <c r="F374" t="s">
        <v>759</v>
      </c>
      <c r="G374">
        <v>7338</v>
      </c>
      <c r="H374" t="s">
        <v>1492</v>
      </c>
    </row>
    <row r="375" spans="1:8" hidden="1">
      <c r="A375" s="71">
        <v>44208</v>
      </c>
      <c r="B375" t="s">
        <v>1533</v>
      </c>
      <c r="C375" t="s">
        <v>1752</v>
      </c>
      <c r="E375" s="86">
        <v>9643</v>
      </c>
      <c r="F375" t="s">
        <v>759</v>
      </c>
      <c r="G375">
        <v>3622</v>
      </c>
      <c r="H375" t="s">
        <v>1560</v>
      </c>
    </row>
    <row r="376" spans="1:8" hidden="1">
      <c r="A376" s="71">
        <v>44208</v>
      </c>
      <c r="B376" t="s">
        <v>169</v>
      </c>
      <c r="C376" t="s">
        <v>1753</v>
      </c>
      <c r="F376" t="s">
        <v>759</v>
      </c>
      <c r="G376">
        <v>3831</v>
      </c>
      <c r="H376" t="s">
        <v>1252</v>
      </c>
    </row>
    <row r="377" spans="1:8" hidden="1">
      <c r="A377" s="71">
        <v>44208</v>
      </c>
      <c r="B377" t="s">
        <v>1473</v>
      </c>
      <c r="C377" t="s">
        <v>1754</v>
      </c>
      <c r="F377" t="s">
        <v>759</v>
      </c>
      <c r="G377">
        <v>2686</v>
      </c>
      <c r="H377" t="s">
        <v>1390</v>
      </c>
    </row>
    <row r="378" spans="1:8" hidden="1">
      <c r="A378" s="71">
        <v>44209</v>
      </c>
      <c r="B378" t="s">
        <v>1476</v>
      </c>
      <c r="C378" t="s">
        <v>1755</v>
      </c>
      <c r="F378" t="s">
        <v>759</v>
      </c>
      <c r="G378">
        <v>4253</v>
      </c>
      <c r="H378" t="s">
        <v>1286</v>
      </c>
    </row>
    <row r="379" spans="1:8" hidden="1">
      <c r="A379" s="71">
        <v>44209</v>
      </c>
      <c r="B379" t="s">
        <v>183</v>
      </c>
      <c r="C379" t="s">
        <v>1756</v>
      </c>
      <c r="E379" s="86">
        <v>1209</v>
      </c>
      <c r="F379" t="s">
        <v>759</v>
      </c>
      <c r="G379">
        <v>3631</v>
      </c>
      <c r="H379" t="s">
        <v>1560</v>
      </c>
    </row>
    <row r="380" spans="1:8" hidden="1">
      <c r="A380" s="71">
        <v>44210</v>
      </c>
      <c r="B380" t="s">
        <v>163</v>
      </c>
      <c r="C380" t="s">
        <v>1757</v>
      </c>
      <c r="F380" t="s">
        <v>759</v>
      </c>
      <c r="G380">
        <v>2954</v>
      </c>
      <c r="H380" t="s">
        <v>1758</v>
      </c>
    </row>
    <row r="381" spans="1:8" hidden="1">
      <c r="A381" s="71">
        <v>44211</v>
      </c>
      <c r="B381" t="s">
        <v>12</v>
      </c>
      <c r="C381" t="s">
        <v>1759</v>
      </c>
      <c r="E381" s="86">
        <v>732</v>
      </c>
      <c r="F381" t="s">
        <v>759</v>
      </c>
      <c r="G381">
        <v>2953</v>
      </c>
      <c r="H381" t="s">
        <v>1758</v>
      </c>
    </row>
    <row r="382" spans="1:8" hidden="1">
      <c r="A382" s="71">
        <v>44214</v>
      </c>
      <c r="B382" t="s">
        <v>689</v>
      </c>
      <c r="C382" t="s">
        <v>1760</v>
      </c>
      <c r="F382" t="s">
        <v>759</v>
      </c>
      <c r="G382">
        <v>4256</v>
      </c>
      <c r="H382" t="s">
        <v>1286</v>
      </c>
    </row>
    <row r="383" spans="1:8" hidden="1">
      <c r="A383" s="71">
        <v>44215</v>
      </c>
      <c r="B383" t="s">
        <v>169</v>
      </c>
      <c r="C383" t="s">
        <v>1761</v>
      </c>
      <c r="E383" s="86">
        <v>2069</v>
      </c>
      <c r="F383" t="s">
        <v>759</v>
      </c>
      <c r="G383">
        <v>3832</v>
      </c>
      <c r="H383" t="s">
        <v>1252</v>
      </c>
    </row>
    <row r="384" spans="1:8" hidden="1">
      <c r="A384" s="71">
        <v>44215</v>
      </c>
      <c r="B384" t="s">
        <v>159</v>
      </c>
      <c r="C384" t="s">
        <v>1762</v>
      </c>
      <c r="F384" t="s">
        <v>759</v>
      </c>
      <c r="G384">
        <v>2958</v>
      </c>
      <c r="H384" t="s">
        <v>1758</v>
      </c>
    </row>
    <row r="385" spans="1:8" hidden="1">
      <c r="A385" s="71">
        <v>44215</v>
      </c>
      <c r="B385" t="s">
        <v>693</v>
      </c>
      <c r="C385" t="s">
        <v>1763</v>
      </c>
      <c r="F385" t="s">
        <v>759</v>
      </c>
      <c r="G385">
        <v>2903</v>
      </c>
      <c r="H385" t="s">
        <v>1560</v>
      </c>
    </row>
    <row r="386" spans="1:8" hidden="1">
      <c r="A386" s="71">
        <v>44215</v>
      </c>
      <c r="B386" t="s">
        <v>159</v>
      </c>
      <c r="C386" t="s">
        <v>1764</v>
      </c>
      <c r="F386" t="s">
        <v>759</v>
      </c>
      <c r="G386">
        <v>2687</v>
      </c>
      <c r="H386" t="s">
        <v>1390</v>
      </c>
    </row>
    <row r="387" spans="1:8" hidden="1">
      <c r="A387" s="71">
        <v>44217</v>
      </c>
      <c r="B387" t="s">
        <v>157</v>
      </c>
      <c r="C387" t="s">
        <v>1765</v>
      </c>
      <c r="E387" s="86">
        <v>11432</v>
      </c>
      <c r="F387" t="s">
        <v>759</v>
      </c>
      <c r="G387">
        <v>3741</v>
      </c>
      <c r="H387" t="s">
        <v>1492</v>
      </c>
    </row>
    <row r="388" spans="1:8" hidden="1">
      <c r="A388" s="71">
        <v>44218</v>
      </c>
      <c r="B388" t="s">
        <v>157</v>
      </c>
      <c r="C388" t="s">
        <v>1766</v>
      </c>
      <c r="E388" s="86">
        <v>11432</v>
      </c>
      <c r="F388" t="s">
        <v>759</v>
      </c>
      <c r="G388">
        <v>4266</v>
      </c>
      <c r="H388" t="s">
        <v>1286</v>
      </c>
    </row>
    <row r="389" spans="1:8" hidden="1">
      <c r="A389" s="71">
        <v>44221</v>
      </c>
      <c r="B389" t="s">
        <v>780</v>
      </c>
      <c r="C389" t="s">
        <v>1767</v>
      </c>
      <c r="F389" t="s">
        <v>759</v>
      </c>
      <c r="G389">
        <v>4269</v>
      </c>
      <c r="H389" t="s">
        <v>1286</v>
      </c>
    </row>
    <row r="390" spans="1:8" hidden="1">
      <c r="A390" s="71">
        <v>44222</v>
      </c>
      <c r="B390" t="s">
        <v>1533</v>
      </c>
      <c r="C390" t="s">
        <v>1768</v>
      </c>
      <c r="E390" s="86">
        <v>9671</v>
      </c>
      <c r="F390" t="s">
        <v>759</v>
      </c>
      <c r="G390">
        <v>4303</v>
      </c>
      <c r="H390" t="s">
        <v>1244</v>
      </c>
    </row>
    <row r="391" spans="1:8" hidden="1">
      <c r="A391" s="71">
        <v>44222</v>
      </c>
      <c r="B391" t="s">
        <v>780</v>
      </c>
      <c r="C391" t="s">
        <v>1769</v>
      </c>
      <c r="F391" t="s">
        <v>759</v>
      </c>
      <c r="G391">
        <v>4271</v>
      </c>
      <c r="H391" t="s">
        <v>1286</v>
      </c>
    </row>
    <row r="392" spans="1:8" hidden="1">
      <c r="A392" s="71">
        <v>44223</v>
      </c>
      <c r="B392" t="s">
        <v>171</v>
      </c>
      <c r="C392" t="s">
        <v>1770</v>
      </c>
      <c r="E392" s="86">
        <v>2046</v>
      </c>
      <c r="F392" t="s">
        <v>759</v>
      </c>
      <c r="G392" t="s">
        <v>1771</v>
      </c>
      <c r="H392" t="s">
        <v>1252</v>
      </c>
    </row>
    <row r="393" spans="1:8" hidden="1">
      <c r="A393" s="71">
        <v>44223</v>
      </c>
      <c r="B393" t="s">
        <v>780</v>
      </c>
      <c r="C393" t="s">
        <v>1772</v>
      </c>
      <c r="F393" t="s">
        <v>759</v>
      </c>
      <c r="G393">
        <v>4273</v>
      </c>
      <c r="H393" t="s">
        <v>1286</v>
      </c>
    </row>
    <row r="394" spans="1:8" hidden="1">
      <c r="A394" s="71">
        <v>44223</v>
      </c>
      <c r="B394" t="s">
        <v>180</v>
      </c>
      <c r="C394" t="s">
        <v>1773</v>
      </c>
      <c r="E394" s="86">
        <v>2761</v>
      </c>
      <c r="F394" t="s">
        <v>759</v>
      </c>
      <c r="G394">
        <v>3842</v>
      </c>
      <c r="H394" t="s">
        <v>1252</v>
      </c>
    </row>
    <row r="395" spans="1:8" hidden="1">
      <c r="A395" s="71">
        <v>44223</v>
      </c>
      <c r="B395" t="s">
        <v>173</v>
      </c>
      <c r="C395" t="s">
        <v>1774</v>
      </c>
      <c r="E395" s="86">
        <v>2259</v>
      </c>
      <c r="F395" t="s">
        <v>759</v>
      </c>
      <c r="G395">
        <v>3841</v>
      </c>
      <c r="H395" t="s">
        <v>1252</v>
      </c>
    </row>
    <row r="396" spans="1:8" hidden="1">
      <c r="A396" s="71">
        <v>44223</v>
      </c>
      <c r="B396" t="s">
        <v>163</v>
      </c>
      <c r="C396" t="s">
        <v>1775</v>
      </c>
      <c r="E396" s="86">
        <v>5178</v>
      </c>
      <c r="F396" t="s">
        <v>759</v>
      </c>
      <c r="G396">
        <v>3839.1</v>
      </c>
      <c r="H396" t="s">
        <v>1252</v>
      </c>
    </row>
    <row r="397" spans="1:8" hidden="1">
      <c r="A397" s="71">
        <v>44224</v>
      </c>
      <c r="B397" t="s">
        <v>171</v>
      </c>
      <c r="C397" t="s">
        <v>1776</v>
      </c>
      <c r="E397" s="86">
        <v>2096</v>
      </c>
      <c r="F397" t="s">
        <v>759</v>
      </c>
      <c r="G397">
        <v>3843.1</v>
      </c>
      <c r="H397" t="s">
        <v>1252</v>
      </c>
    </row>
    <row r="398" spans="1:8" hidden="1">
      <c r="A398" s="71">
        <v>44224</v>
      </c>
      <c r="B398" t="s">
        <v>392</v>
      </c>
      <c r="C398" t="s">
        <v>1777</v>
      </c>
      <c r="E398" s="86">
        <v>14793</v>
      </c>
      <c r="F398" t="s">
        <v>759</v>
      </c>
      <c r="G398">
        <v>3250</v>
      </c>
      <c r="H398" t="s">
        <v>1244</v>
      </c>
    </row>
    <row r="399" spans="1:8" hidden="1">
      <c r="A399" s="71">
        <v>44228</v>
      </c>
      <c r="B399" t="s">
        <v>365</v>
      </c>
      <c r="C399" t="s">
        <v>1778</v>
      </c>
      <c r="F399" t="s">
        <v>759</v>
      </c>
      <c r="G399">
        <v>6524</v>
      </c>
      <c r="H399" t="s">
        <v>1390</v>
      </c>
    </row>
    <row r="400" spans="1:8" hidden="1">
      <c r="A400" s="71">
        <v>44228</v>
      </c>
      <c r="B400" t="s">
        <v>711</v>
      </c>
      <c r="C400" t="s">
        <v>1779</v>
      </c>
      <c r="E400" s="86">
        <v>16199</v>
      </c>
      <c r="F400" t="s">
        <v>759</v>
      </c>
      <c r="G400">
        <v>4310</v>
      </c>
      <c r="H400" t="s">
        <v>1244</v>
      </c>
    </row>
    <row r="401" spans="1:8" hidden="1">
      <c r="A401" s="71">
        <v>44228</v>
      </c>
      <c r="B401" t="s">
        <v>780</v>
      </c>
      <c r="C401" t="s">
        <v>1780</v>
      </c>
      <c r="E401" s="86">
        <v>4172</v>
      </c>
      <c r="F401" t="s">
        <v>759</v>
      </c>
      <c r="G401">
        <v>4308</v>
      </c>
      <c r="H401" t="s">
        <v>1244</v>
      </c>
    </row>
    <row r="402" spans="1:8" hidden="1">
      <c r="A402" s="71">
        <v>44228</v>
      </c>
      <c r="B402" t="s">
        <v>324</v>
      </c>
      <c r="C402" t="s">
        <v>1781</v>
      </c>
      <c r="E402" s="86">
        <v>11744</v>
      </c>
      <c r="F402" t="s">
        <v>759</v>
      </c>
      <c r="G402">
        <v>4307</v>
      </c>
      <c r="H402" t="s">
        <v>1244</v>
      </c>
    </row>
    <row r="403" spans="1:8" hidden="1">
      <c r="A403" s="71">
        <v>44228</v>
      </c>
      <c r="B403" t="s">
        <v>176</v>
      </c>
      <c r="C403" t="s">
        <v>1782</v>
      </c>
      <c r="F403" t="s">
        <v>759</v>
      </c>
      <c r="G403">
        <v>4279</v>
      </c>
      <c r="H403" t="s">
        <v>1286</v>
      </c>
    </row>
    <row r="404" spans="1:8" hidden="1">
      <c r="A404" s="71">
        <v>44228</v>
      </c>
      <c r="B404" t="s">
        <v>1533</v>
      </c>
      <c r="C404" t="s">
        <v>1783</v>
      </c>
      <c r="F404" t="s">
        <v>759</v>
      </c>
      <c r="G404">
        <v>4278</v>
      </c>
      <c r="H404" t="s">
        <v>1286</v>
      </c>
    </row>
    <row r="405" spans="1:8" hidden="1">
      <c r="A405" s="71">
        <v>44228</v>
      </c>
      <c r="B405" t="s">
        <v>689</v>
      </c>
      <c r="C405" t="s">
        <v>1784</v>
      </c>
      <c r="F405" t="s">
        <v>759</v>
      </c>
      <c r="G405">
        <v>2690</v>
      </c>
      <c r="H405" t="s">
        <v>1390</v>
      </c>
    </row>
    <row r="406" spans="1:8" hidden="1">
      <c r="A406" s="71">
        <v>44229</v>
      </c>
      <c r="B406" t="s">
        <v>336</v>
      </c>
      <c r="C406" t="s">
        <v>1785</v>
      </c>
      <c r="E406" s="86">
        <v>7573</v>
      </c>
      <c r="F406" t="s">
        <v>759</v>
      </c>
      <c r="G406">
        <v>4280</v>
      </c>
      <c r="H406" t="s">
        <v>1286</v>
      </c>
    </row>
    <row r="407" spans="1:8" hidden="1">
      <c r="A407" s="71">
        <v>44231</v>
      </c>
      <c r="B407" t="s">
        <v>789</v>
      </c>
      <c r="C407" t="s">
        <v>1786</v>
      </c>
      <c r="F407" t="s">
        <v>759</v>
      </c>
      <c r="G407">
        <v>3118</v>
      </c>
      <c r="H407" t="s">
        <v>1246</v>
      </c>
    </row>
    <row r="408" spans="1:8" hidden="1">
      <c r="A408" s="71">
        <v>44232</v>
      </c>
      <c r="B408" t="s">
        <v>1533</v>
      </c>
      <c r="C408" t="s">
        <v>1787</v>
      </c>
      <c r="F408" t="s">
        <v>759</v>
      </c>
      <c r="G408">
        <v>4281</v>
      </c>
      <c r="H408" t="s">
        <v>1286</v>
      </c>
    </row>
    <row r="409" spans="1:8" hidden="1">
      <c r="A409" s="71">
        <v>44232</v>
      </c>
      <c r="B409" t="s">
        <v>176</v>
      </c>
      <c r="C409" t="s">
        <v>1788</v>
      </c>
      <c r="F409" t="s">
        <v>759</v>
      </c>
      <c r="G409">
        <v>4232</v>
      </c>
      <c r="H409" t="s">
        <v>1659</v>
      </c>
    </row>
    <row r="410" spans="1:8" hidden="1">
      <c r="A410" s="71">
        <v>44232</v>
      </c>
      <c r="B410" t="s">
        <v>371</v>
      </c>
      <c r="C410" t="s">
        <v>1789</v>
      </c>
      <c r="E410" s="86">
        <v>12219</v>
      </c>
      <c r="F410" t="s">
        <v>759</v>
      </c>
      <c r="G410">
        <v>4309</v>
      </c>
      <c r="H410" t="s">
        <v>1560</v>
      </c>
    </row>
    <row r="411" spans="1:8" ht="27.75" hidden="1">
      <c r="A411" s="71">
        <v>44234</v>
      </c>
      <c r="B411" t="s">
        <v>330</v>
      </c>
      <c r="C411" s="50" t="s">
        <v>1790</v>
      </c>
      <c r="F411" t="s">
        <v>759</v>
      </c>
      <c r="G411">
        <v>3001</v>
      </c>
      <c r="H411" t="s">
        <v>1390</v>
      </c>
    </row>
    <row r="412" spans="1:8" hidden="1">
      <c r="A412" s="71">
        <v>44235</v>
      </c>
      <c r="B412" t="s">
        <v>1533</v>
      </c>
      <c r="C412" t="s">
        <v>1791</v>
      </c>
      <c r="E412" s="86">
        <v>9681</v>
      </c>
      <c r="F412" t="s">
        <v>759</v>
      </c>
      <c r="G412">
        <v>4283</v>
      </c>
      <c r="H412" t="s">
        <v>1286</v>
      </c>
    </row>
    <row r="413" spans="1:8" hidden="1">
      <c r="A413" s="71">
        <v>44235</v>
      </c>
      <c r="B413" t="s">
        <v>362</v>
      </c>
      <c r="C413" t="s">
        <v>1792</v>
      </c>
      <c r="F413" t="s">
        <v>759</v>
      </c>
      <c r="G413">
        <v>2698</v>
      </c>
      <c r="H413" t="s">
        <v>1560</v>
      </c>
    </row>
    <row r="414" spans="1:8" hidden="1">
      <c r="A414" s="71">
        <v>44236</v>
      </c>
      <c r="B414" t="s">
        <v>183</v>
      </c>
      <c r="C414" t="s">
        <v>1793</v>
      </c>
      <c r="F414" t="s">
        <v>759</v>
      </c>
      <c r="G414">
        <v>4236</v>
      </c>
      <c r="H414" t="s">
        <v>1659</v>
      </c>
    </row>
    <row r="415" spans="1:8" hidden="1">
      <c r="A415" s="71">
        <v>44236</v>
      </c>
      <c r="B415" t="s">
        <v>260</v>
      </c>
      <c r="C415" t="s">
        <v>1794</v>
      </c>
      <c r="F415" t="s">
        <v>759</v>
      </c>
      <c r="G415">
        <v>2699</v>
      </c>
      <c r="H415" t="s">
        <v>1390</v>
      </c>
    </row>
    <row r="416" spans="1:8" hidden="1">
      <c r="A416" s="71">
        <v>44237</v>
      </c>
      <c r="B416" t="s">
        <v>333</v>
      </c>
      <c r="C416" t="s">
        <v>1795</v>
      </c>
      <c r="F416" t="s">
        <v>759</v>
      </c>
      <c r="G416">
        <v>4285</v>
      </c>
      <c r="H416" t="s">
        <v>1286</v>
      </c>
    </row>
    <row r="417" spans="1:8" hidden="1">
      <c r="A417" s="71">
        <v>44237</v>
      </c>
      <c r="B417" t="s">
        <v>1533</v>
      </c>
      <c r="C417" t="s">
        <v>1796</v>
      </c>
      <c r="F417" t="s">
        <v>759</v>
      </c>
      <c r="G417">
        <v>4284</v>
      </c>
      <c r="H417" t="s">
        <v>1286</v>
      </c>
    </row>
    <row r="418" spans="1:8" hidden="1">
      <c r="A418" s="71">
        <v>44237</v>
      </c>
      <c r="B418" t="s">
        <v>1476</v>
      </c>
      <c r="C418" t="s">
        <v>1797</v>
      </c>
      <c r="E418" s="86">
        <v>1669</v>
      </c>
      <c r="F418" t="s">
        <v>759</v>
      </c>
      <c r="G418">
        <v>4237</v>
      </c>
      <c r="H418" t="s">
        <v>1659</v>
      </c>
    </row>
    <row r="419" spans="1:8" hidden="1">
      <c r="A419" s="71">
        <v>44237</v>
      </c>
      <c r="B419" t="s">
        <v>311</v>
      </c>
      <c r="C419" t="s">
        <v>1798</v>
      </c>
      <c r="F419" t="s">
        <v>759</v>
      </c>
      <c r="G419">
        <v>2700</v>
      </c>
      <c r="H419" t="s">
        <v>1390</v>
      </c>
    </row>
    <row r="420" spans="1:8" hidden="1">
      <c r="A420" s="71">
        <v>44238</v>
      </c>
      <c r="B420" t="s">
        <v>704</v>
      </c>
      <c r="C420" t="s">
        <v>1799</v>
      </c>
      <c r="E420" s="86">
        <v>11249</v>
      </c>
      <c r="F420" t="s">
        <v>759</v>
      </c>
      <c r="G420">
        <v>4286</v>
      </c>
      <c r="H420" t="s">
        <v>1286</v>
      </c>
    </row>
    <row r="421" spans="1:8" hidden="1">
      <c r="A421" s="71">
        <v>44239</v>
      </c>
      <c r="B421" t="s">
        <v>12</v>
      </c>
      <c r="C421" t="s">
        <v>1800</v>
      </c>
      <c r="E421" s="86">
        <v>732</v>
      </c>
      <c r="F421" t="s">
        <v>759</v>
      </c>
      <c r="G421">
        <v>4289</v>
      </c>
      <c r="H421" t="s">
        <v>1286</v>
      </c>
    </row>
    <row r="422" spans="1:8" hidden="1">
      <c r="A422" s="71">
        <v>44239</v>
      </c>
      <c r="B422" t="s">
        <v>1533</v>
      </c>
      <c r="C422" t="s">
        <v>1801</v>
      </c>
      <c r="F422" t="s">
        <v>759</v>
      </c>
      <c r="G422">
        <v>4288</v>
      </c>
      <c r="H422" t="s">
        <v>1286</v>
      </c>
    </row>
    <row r="423" spans="1:8" hidden="1">
      <c r="A423" s="71">
        <v>44240</v>
      </c>
      <c r="B423" t="s">
        <v>35</v>
      </c>
      <c r="C423" t="s">
        <v>1802</v>
      </c>
      <c r="E423" s="86">
        <v>3712</v>
      </c>
      <c r="F423" t="s">
        <v>759</v>
      </c>
      <c r="G423">
        <v>4312</v>
      </c>
      <c r="H423" t="s">
        <v>1244</v>
      </c>
    </row>
    <row r="424" spans="1:8" hidden="1">
      <c r="A424" s="71">
        <v>44240</v>
      </c>
      <c r="B424" t="s">
        <v>336</v>
      </c>
      <c r="C424" t="s">
        <v>1803</v>
      </c>
      <c r="F424" t="s">
        <v>759</v>
      </c>
      <c r="G424">
        <v>4351</v>
      </c>
      <c r="H424" t="s">
        <v>1560</v>
      </c>
    </row>
    <row r="425" spans="1:8" hidden="1">
      <c r="A425" s="71">
        <v>44241</v>
      </c>
      <c r="B425" t="s">
        <v>689</v>
      </c>
      <c r="C425" t="s">
        <v>1804</v>
      </c>
      <c r="F425" t="s">
        <v>759</v>
      </c>
      <c r="G425">
        <v>4254</v>
      </c>
      <c r="H425" t="s">
        <v>1286</v>
      </c>
    </row>
    <row r="426" spans="1:8" hidden="1">
      <c r="A426" s="71">
        <v>44241</v>
      </c>
      <c r="B426" t="s">
        <v>35</v>
      </c>
      <c r="C426" t="s">
        <v>1805</v>
      </c>
      <c r="E426" s="86">
        <v>3236</v>
      </c>
      <c r="F426" t="s">
        <v>759</v>
      </c>
      <c r="G426">
        <v>4238</v>
      </c>
      <c r="H426" t="s">
        <v>1659</v>
      </c>
    </row>
    <row r="427" spans="1:8" hidden="1">
      <c r="A427" s="71">
        <v>44242</v>
      </c>
      <c r="B427" t="s">
        <v>782</v>
      </c>
      <c r="C427" t="s">
        <v>1806</v>
      </c>
      <c r="F427" t="s">
        <v>759</v>
      </c>
      <c r="G427">
        <v>4292</v>
      </c>
      <c r="H427" t="s">
        <v>1286</v>
      </c>
    </row>
    <row r="428" spans="1:8" hidden="1">
      <c r="A428" s="71">
        <v>44242</v>
      </c>
      <c r="B428" t="s">
        <v>159</v>
      </c>
      <c r="C428" t="s">
        <v>1807</v>
      </c>
      <c r="E428" s="86">
        <v>7671</v>
      </c>
      <c r="F428" t="s">
        <v>759</v>
      </c>
      <c r="G428">
        <v>3457</v>
      </c>
      <c r="H428" t="s">
        <v>1808</v>
      </c>
    </row>
    <row r="429" spans="1:8" hidden="1">
      <c r="A429" s="71">
        <v>44242</v>
      </c>
      <c r="B429" t="s">
        <v>373</v>
      </c>
      <c r="C429" t="s">
        <v>1809</v>
      </c>
      <c r="F429" t="s">
        <v>759</v>
      </c>
      <c r="G429">
        <v>3158</v>
      </c>
      <c r="H429" t="s">
        <v>1390</v>
      </c>
    </row>
    <row r="430" spans="1:8" hidden="1">
      <c r="A430" s="71">
        <v>44243</v>
      </c>
      <c r="B430" t="s">
        <v>259</v>
      </c>
      <c r="C430" t="s">
        <v>1810</v>
      </c>
      <c r="E430" s="86">
        <v>17516</v>
      </c>
      <c r="F430" t="s">
        <v>759</v>
      </c>
      <c r="G430">
        <v>4353</v>
      </c>
      <c r="H430" t="s">
        <v>1390</v>
      </c>
    </row>
    <row r="431" spans="1:8" hidden="1">
      <c r="A431" s="71">
        <v>44243</v>
      </c>
      <c r="B431" t="s">
        <v>159</v>
      </c>
      <c r="C431" t="s">
        <v>1811</v>
      </c>
      <c r="E431" s="86">
        <v>7671</v>
      </c>
      <c r="F431" t="s">
        <v>759</v>
      </c>
      <c r="G431">
        <v>3051</v>
      </c>
      <c r="H431" t="s">
        <v>1252</v>
      </c>
    </row>
    <row r="432" spans="1:8" hidden="1">
      <c r="A432" s="71">
        <v>44244</v>
      </c>
      <c r="B432" t="s">
        <v>338</v>
      </c>
      <c r="C432" t="s">
        <v>1812</v>
      </c>
      <c r="E432" s="86">
        <v>22065</v>
      </c>
      <c r="F432" t="s">
        <v>759</v>
      </c>
      <c r="G432">
        <v>4293</v>
      </c>
      <c r="H432" t="s">
        <v>1286</v>
      </c>
    </row>
    <row r="433" spans="1:8" hidden="1">
      <c r="A433" s="71">
        <v>44245</v>
      </c>
      <c r="B433" t="s">
        <v>313</v>
      </c>
      <c r="C433" t="s">
        <v>1813</v>
      </c>
      <c r="E433" s="86">
        <v>18064</v>
      </c>
      <c r="F433" t="s">
        <v>759</v>
      </c>
      <c r="G433">
        <v>4294</v>
      </c>
      <c r="H433" t="s">
        <v>1286</v>
      </c>
    </row>
    <row r="434" spans="1:8" hidden="1">
      <c r="A434" s="71">
        <v>44245</v>
      </c>
      <c r="B434" t="s">
        <v>36</v>
      </c>
      <c r="C434" t="s">
        <v>1814</v>
      </c>
      <c r="E434" s="86">
        <v>3462</v>
      </c>
      <c r="F434" t="s">
        <v>759</v>
      </c>
      <c r="G434">
        <v>4313</v>
      </c>
      <c r="H434" t="s">
        <v>1244</v>
      </c>
    </row>
    <row r="435" spans="1:8" hidden="1">
      <c r="A435" s="71">
        <v>44245</v>
      </c>
      <c r="B435" t="s">
        <v>171</v>
      </c>
      <c r="C435" t="s">
        <v>1815</v>
      </c>
      <c r="E435" s="86">
        <v>2191</v>
      </c>
      <c r="F435" t="s">
        <v>759</v>
      </c>
      <c r="G435">
        <v>3053</v>
      </c>
      <c r="H435" t="s">
        <v>1252</v>
      </c>
    </row>
    <row r="436" spans="1:8" hidden="1">
      <c r="A436" s="71">
        <v>44246</v>
      </c>
      <c r="B436" t="s">
        <v>1533</v>
      </c>
      <c r="C436" t="s">
        <v>1816</v>
      </c>
      <c r="E436" s="86">
        <v>9681</v>
      </c>
      <c r="F436" t="s">
        <v>759</v>
      </c>
      <c r="G436">
        <v>4296</v>
      </c>
      <c r="H436" t="s">
        <v>1286</v>
      </c>
    </row>
    <row r="437" spans="1:8" hidden="1">
      <c r="A437" s="71">
        <v>44246</v>
      </c>
      <c r="B437" t="s">
        <v>334</v>
      </c>
      <c r="C437" t="s">
        <v>1817</v>
      </c>
      <c r="E437" s="86">
        <v>17395</v>
      </c>
      <c r="F437" t="s">
        <v>759</v>
      </c>
      <c r="G437">
        <v>4354</v>
      </c>
      <c r="H437" t="s">
        <v>1390</v>
      </c>
    </row>
    <row r="438" spans="1:8" hidden="1">
      <c r="A438" s="71">
        <v>44246</v>
      </c>
      <c r="B438" t="s">
        <v>713</v>
      </c>
      <c r="C438" t="s">
        <v>1818</v>
      </c>
      <c r="E438" s="86">
        <v>11710</v>
      </c>
      <c r="F438" t="s">
        <v>759</v>
      </c>
      <c r="G438">
        <v>3055</v>
      </c>
      <c r="H438" t="s">
        <v>1252</v>
      </c>
    </row>
    <row r="439" spans="1:8" hidden="1">
      <c r="A439" s="71">
        <v>44247</v>
      </c>
      <c r="B439" t="s">
        <v>230</v>
      </c>
      <c r="C439" t="s">
        <v>1819</v>
      </c>
      <c r="E439" s="86">
        <v>7543</v>
      </c>
      <c r="F439" t="s">
        <v>759</v>
      </c>
      <c r="G439">
        <v>4316</v>
      </c>
      <c r="H439" t="s">
        <v>1244</v>
      </c>
    </row>
    <row r="440" spans="1:8" hidden="1">
      <c r="A440" s="71">
        <v>44249</v>
      </c>
      <c r="B440" t="s">
        <v>713</v>
      </c>
      <c r="C440" t="s">
        <v>1820</v>
      </c>
      <c r="E440" s="86">
        <v>11701</v>
      </c>
      <c r="F440" t="s">
        <v>759</v>
      </c>
      <c r="G440">
        <v>4242</v>
      </c>
      <c r="H440" t="s">
        <v>1659</v>
      </c>
    </row>
    <row r="441" spans="1:8" hidden="1">
      <c r="A441" s="71">
        <v>44250</v>
      </c>
      <c r="B441" t="s">
        <v>713</v>
      </c>
      <c r="C441" t="s">
        <v>1821</v>
      </c>
      <c r="F441" t="s">
        <v>759</v>
      </c>
      <c r="G441">
        <v>4356</v>
      </c>
      <c r="H441" t="s">
        <v>1390</v>
      </c>
    </row>
    <row r="442" spans="1:8" hidden="1">
      <c r="A442" s="71">
        <v>44250</v>
      </c>
      <c r="B442" t="s">
        <v>39</v>
      </c>
      <c r="C442" t="s">
        <v>1822</v>
      </c>
      <c r="F442" t="s">
        <v>759</v>
      </c>
      <c r="G442">
        <v>4299</v>
      </c>
      <c r="H442" t="s">
        <v>1286</v>
      </c>
    </row>
    <row r="443" spans="1:8" hidden="1">
      <c r="A443" s="71">
        <v>44250</v>
      </c>
      <c r="B443" t="s">
        <v>12</v>
      </c>
      <c r="C443" t="s">
        <v>1823</v>
      </c>
      <c r="E443" s="86">
        <v>732</v>
      </c>
      <c r="F443" t="s">
        <v>759</v>
      </c>
      <c r="G443">
        <v>4298</v>
      </c>
      <c r="H443" t="s">
        <v>1286</v>
      </c>
    </row>
    <row r="444" spans="1:8" hidden="1">
      <c r="A444" s="71">
        <v>44250</v>
      </c>
      <c r="B444" t="s">
        <v>334</v>
      </c>
      <c r="C444" t="s">
        <v>1824</v>
      </c>
      <c r="E444" s="86">
        <v>17395</v>
      </c>
      <c r="F444" t="s">
        <v>759</v>
      </c>
      <c r="G444">
        <v>4355</v>
      </c>
      <c r="H444" t="s">
        <v>1390</v>
      </c>
    </row>
    <row r="445" spans="1:8" hidden="1">
      <c r="A445" s="71">
        <v>44250</v>
      </c>
      <c r="B445" t="s">
        <v>150</v>
      </c>
      <c r="C445" t="s">
        <v>1825</v>
      </c>
      <c r="F445" t="s">
        <v>759</v>
      </c>
      <c r="G445">
        <v>3058</v>
      </c>
      <c r="H445" t="s">
        <v>1252</v>
      </c>
    </row>
    <row r="446" spans="1:8" hidden="1">
      <c r="A446" s="71">
        <v>44250</v>
      </c>
      <c r="B446" t="s">
        <v>150</v>
      </c>
      <c r="C446" t="s">
        <v>1826</v>
      </c>
      <c r="F446" t="s">
        <v>759</v>
      </c>
      <c r="G446">
        <v>3057</v>
      </c>
      <c r="H446" t="s">
        <v>1252</v>
      </c>
    </row>
    <row r="447" spans="1:8" hidden="1">
      <c r="A447" s="71">
        <v>44250</v>
      </c>
      <c r="B447" t="s">
        <v>1827</v>
      </c>
      <c r="C447" t="s">
        <v>1828</v>
      </c>
      <c r="F447" t="s">
        <v>759</v>
      </c>
      <c r="G447">
        <v>3129</v>
      </c>
      <c r="H447" t="s">
        <v>1246</v>
      </c>
    </row>
    <row r="448" spans="1:8" hidden="1">
      <c r="A448" s="71">
        <v>44250</v>
      </c>
      <c r="B448" t="s">
        <v>173</v>
      </c>
      <c r="C448" t="s">
        <v>1829</v>
      </c>
      <c r="E448" s="86">
        <v>2388</v>
      </c>
      <c r="F448" t="s">
        <v>759</v>
      </c>
      <c r="G448">
        <v>3059</v>
      </c>
      <c r="H448" t="s">
        <v>1252</v>
      </c>
    </row>
    <row r="449" spans="1:8" hidden="1">
      <c r="A449" s="71">
        <v>44250</v>
      </c>
      <c r="B449" t="s">
        <v>784</v>
      </c>
      <c r="C449" t="s">
        <v>1830</v>
      </c>
      <c r="E449" s="86">
        <v>13374</v>
      </c>
      <c r="F449" t="s">
        <v>759</v>
      </c>
      <c r="G449">
        <v>3056</v>
      </c>
      <c r="H449" t="s">
        <v>1252</v>
      </c>
    </row>
    <row r="450" spans="1:8" hidden="1">
      <c r="A450" s="71">
        <v>44251</v>
      </c>
      <c r="B450" t="s">
        <v>1473</v>
      </c>
      <c r="C450" t="s">
        <v>1831</v>
      </c>
      <c r="F450" t="s">
        <v>759</v>
      </c>
      <c r="G450">
        <v>4357</v>
      </c>
      <c r="H450" t="s">
        <v>1390</v>
      </c>
    </row>
    <row r="451" spans="1:8" hidden="1">
      <c r="A451" s="71">
        <v>44251</v>
      </c>
      <c r="B451" t="s">
        <v>373</v>
      </c>
      <c r="C451" t="s">
        <v>1832</v>
      </c>
      <c r="F451" t="s">
        <v>759</v>
      </c>
      <c r="G451">
        <v>4297</v>
      </c>
      <c r="H451" t="s">
        <v>1286</v>
      </c>
    </row>
    <row r="452" spans="1:8" hidden="1">
      <c r="A452" s="71">
        <v>44251</v>
      </c>
      <c r="B452" t="s">
        <v>157</v>
      </c>
      <c r="C452" t="s">
        <v>1833</v>
      </c>
      <c r="F452" t="s">
        <v>759</v>
      </c>
      <c r="G452">
        <v>4244</v>
      </c>
      <c r="H452" t="s">
        <v>1659</v>
      </c>
    </row>
    <row r="453" spans="1:8" hidden="1">
      <c r="A453" s="71">
        <v>44252</v>
      </c>
      <c r="B453" t="s">
        <v>25</v>
      </c>
      <c r="C453" t="s">
        <v>1834</v>
      </c>
      <c r="F453" t="s">
        <v>759</v>
      </c>
      <c r="G453">
        <v>4247</v>
      </c>
      <c r="H453" t="s">
        <v>1659</v>
      </c>
    </row>
    <row r="454" spans="1:8" hidden="1">
      <c r="A454" s="71">
        <v>44252</v>
      </c>
      <c r="B454" t="s">
        <v>167</v>
      </c>
      <c r="C454" t="s">
        <v>1835</v>
      </c>
      <c r="E454" s="86">
        <v>2150</v>
      </c>
      <c r="F454" t="s">
        <v>759</v>
      </c>
      <c r="G454">
        <v>3061</v>
      </c>
      <c r="H454" t="s">
        <v>1252</v>
      </c>
    </row>
    <row r="455" spans="1:8" hidden="1">
      <c r="A455" s="71">
        <v>44252</v>
      </c>
      <c r="B455" t="s">
        <v>169</v>
      </c>
      <c r="C455" t="s">
        <v>1836</v>
      </c>
      <c r="E455" s="86">
        <v>2244</v>
      </c>
      <c r="F455" t="s">
        <v>759</v>
      </c>
      <c r="G455">
        <v>3060</v>
      </c>
      <c r="H455" t="s">
        <v>1252</v>
      </c>
    </row>
    <row r="456" spans="1:8" hidden="1">
      <c r="A456" s="71">
        <v>44252</v>
      </c>
      <c r="B456" t="s">
        <v>32</v>
      </c>
      <c r="C456" t="s">
        <v>1837</v>
      </c>
      <c r="F456" t="s">
        <v>759</v>
      </c>
      <c r="G456">
        <v>4246</v>
      </c>
      <c r="H456" t="s">
        <v>1659</v>
      </c>
    </row>
    <row r="457" spans="1:8" hidden="1">
      <c r="A457" s="71">
        <v>44253</v>
      </c>
      <c r="B457" t="s">
        <v>781</v>
      </c>
      <c r="C457" t="s">
        <v>1838</v>
      </c>
      <c r="E457" s="86">
        <v>7836</v>
      </c>
      <c r="F457" t="s">
        <v>759</v>
      </c>
      <c r="G457">
        <v>4248</v>
      </c>
      <c r="H457" t="s">
        <v>1659</v>
      </c>
    </row>
    <row r="458" spans="1:8" hidden="1">
      <c r="A458" s="71">
        <v>44253</v>
      </c>
      <c r="B458" t="s">
        <v>36</v>
      </c>
      <c r="C458" t="s">
        <v>1839</v>
      </c>
      <c r="E458" s="86">
        <v>3495</v>
      </c>
      <c r="F458" t="s">
        <v>759</v>
      </c>
      <c r="G458">
        <v>4249</v>
      </c>
      <c r="H458" t="s">
        <v>1659</v>
      </c>
    </row>
    <row r="459" spans="1:8" hidden="1">
      <c r="A459" s="71">
        <v>44254</v>
      </c>
      <c r="B459" t="s">
        <v>311</v>
      </c>
      <c r="C459" t="s">
        <v>1840</v>
      </c>
      <c r="F459" t="s">
        <v>759</v>
      </c>
      <c r="G459">
        <v>4358</v>
      </c>
      <c r="H459" t="s">
        <v>1390</v>
      </c>
    </row>
    <row r="460" spans="1:8" hidden="1">
      <c r="A460" s="71">
        <v>44257</v>
      </c>
      <c r="B460" t="s">
        <v>693</v>
      </c>
      <c r="C460" t="s">
        <v>1841</v>
      </c>
      <c r="F460" t="s">
        <v>759</v>
      </c>
      <c r="G460">
        <v>4360</v>
      </c>
      <c r="H460" t="s">
        <v>1390</v>
      </c>
    </row>
    <row r="461" spans="1:8" hidden="1">
      <c r="A461" s="71">
        <v>44258</v>
      </c>
      <c r="B461" t="s">
        <v>185</v>
      </c>
      <c r="C461" t="s">
        <v>1842</v>
      </c>
      <c r="F461" t="s">
        <v>759</v>
      </c>
      <c r="G461">
        <v>4404</v>
      </c>
      <c r="H461" t="s">
        <v>1659</v>
      </c>
    </row>
    <row r="462" spans="1:8" hidden="1">
      <c r="A462" s="71">
        <v>44258</v>
      </c>
      <c r="B462" t="s">
        <v>39</v>
      </c>
      <c r="C462" t="s">
        <v>1843</v>
      </c>
      <c r="F462" t="s">
        <v>759</v>
      </c>
      <c r="G462">
        <v>3906</v>
      </c>
      <c r="H462" t="s">
        <v>1286</v>
      </c>
    </row>
    <row r="463" spans="1:8" hidden="1">
      <c r="A463" s="71">
        <v>44259</v>
      </c>
      <c r="B463" t="s">
        <v>1827</v>
      </c>
      <c r="C463" t="s">
        <v>1844</v>
      </c>
      <c r="F463" t="s">
        <v>759</v>
      </c>
      <c r="G463">
        <v>3135</v>
      </c>
      <c r="H463" t="s">
        <v>1246</v>
      </c>
    </row>
    <row r="464" spans="1:8" hidden="1">
      <c r="A464" s="71">
        <v>44260</v>
      </c>
      <c r="B464" t="s">
        <v>713</v>
      </c>
      <c r="C464" t="s">
        <v>1845</v>
      </c>
      <c r="E464" s="86">
        <v>11752</v>
      </c>
      <c r="F464" t="s">
        <v>759</v>
      </c>
      <c r="G464">
        <v>4362</v>
      </c>
      <c r="H464" t="s">
        <v>1390</v>
      </c>
    </row>
    <row r="465" spans="1:8" hidden="1">
      <c r="A465" s="71">
        <v>44260</v>
      </c>
      <c r="B465" t="s">
        <v>39</v>
      </c>
      <c r="C465" t="s">
        <v>1846</v>
      </c>
      <c r="F465" t="s">
        <v>759</v>
      </c>
      <c r="G465">
        <v>3907</v>
      </c>
      <c r="H465" t="s">
        <v>1286</v>
      </c>
    </row>
    <row r="466" spans="1:8" hidden="1">
      <c r="A466" s="71">
        <v>44260</v>
      </c>
      <c r="B466" t="s">
        <v>371</v>
      </c>
      <c r="C466" t="s">
        <v>1847</v>
      </c>
      <c r="E466" s="86">
        <v>16824</v>
      </c>
      <c r="F466" t="s">
        <v>759</v>
      </c>
      <c r="G466">
        <v>3908</v>
      </c>
      <c r="H466" t="s">
        <v>1286</v>
      </c>
    </row>
    <row r="467" spans="1:8" hidden="1">
      <c r="A467" s="71">
        <v>44261</v>
      </c>
      <c r="B467" t="s">
        <v>373</v>
      </c>
      <c r="C467" t="s">
        <v>1848</v>
      </c>
      <c r="F467" t="s">
        <v>759</v>
      </c>
      <c r="G467">
        <v>4363</v>
      </c>
      <c r="H467" t="s">
        <v>1390</v>
      </c>
    </row>
    <row r="468" spans="1:8" hidden="1">
      <c r="A468" s="71">
        <v>44278</v>
      </c>
      <c r="B468" t="s">
        <v>351</v>
      </c>
      <c r="C468" t="s">
        <v>1849</v>
      </c>
      <c r="E468" s="86">
        <v>4535</v>
      </c>
      <c r="F468" t="s">
        <v>759</v>
      </c>
      <c r="G468">
        <v>4328</v>
      </c>
      <c r="H468" t="s">
        <v>1390</v>
      </c>
    </row>
    <row r="469" spans="1:8" hidden="1">
      <c r="A469" s="71">
        <v>44280</v>
      </c>
      <c r="B469" t="s">
        <v>157</v>
      </c>
      <c r="C469" t="s">
        <v>1850</v>
      </c>
      <c r="E469" s="86">
        <v>11607</v>
      </c>
      <c r="F469" t="s">
        <v>759</v>
      </c>
      <c r="G469">
        <v>3868</v>
      </c>
      <c r="H469" t="s">
        <v>1235</v>
      </c>
    </row>
    <row r="470" spans="1:8" hidden="1">
      <c r="A470" s="71">
        <v>44280</v>
      </c>
      <c r="B470" t="s">
        <v>342</v>
      </c>
      <c r="C470" t="s">
        <v>1851</v>
      </c>
      <c r="E470" s="86">
        <v>11401</v>
      </c>
      <c r="F470" t="s">
        <v>759</v>
      </c>
      <c r="G470">
        <v>4330</v>
      </c>
      <c r="H470" t="s">
        <v>1244</v>
      </c>
    </row>
    <row r="471" spans="1:8" ht="27.75" hidden="1">
      <c r="A471" s="71">
        <v>44281</v>
      </c>
      <c r="B471" t="s">
        <v>1533</v>
      </c>
      <c r="C471" s="50" t="s">
        <v>1852</v>
      </c>
      <c r="E471" s="86">
        <v>9790</v>
      </c>
      <c r="F471" t="s">
        <v>759</v>
      </c>
      <c r="G471">
        <v>3870</v>
      </c>
      <c r="H471" t="s">
        <v>1235</v>
      </c>
    </row>
    <row r="472" spans="1:8" hidden="1">
      <c r="A472" s="71">
        <v>44281</v>
      </c>
      <c r="B472" t="s">
        <v>351</v>
      </c>
      <c r="C472" t="s">
        <v>1853</v>
      </c>
      <c r="E472" s="86">
        <v>3869</v>
      </c>
      <c r="F472" t="s">
        <v>759</v>
      </c>
      <c r="G472">
        <v>3869</v>
      </c>
      <c r="H472" t="s">
        <v>1235</v>
      </c>
    </row>
    <row r="473" spans="1:8" hidden="1">
      <c r="A473" s="71">
        <v>44285</v>
      </c>
      <c r="B473" t="s">
        <v>1827</v>
      </c>
      <c r="C473" t="s">
        <v>1854</v>
      </c>
      <c r="F473" t="s">
        <v>759</v>
      </c>
      <c r="G473">
        <v>2605</v>
      </c>
      <c r="H473" t="s">
        <v>1246</v>
      </c>
    </row>
    <row r="474" spans="1:8" hidden="1">
      <c r="A474" s="71">
        <v>44291</v>
      </c>
      <c r="B474" t="s">
        <v>259</v>
      </c>
      <c r="C474" t="s">
        <v>1855</v>
      </c>
      <c r="E474" s="86">
        <v>17765</v>
      </c>
      <c r="F474" t="s">
        <v>759</v>
      </c>
      <c r="G474">
        <v>3875</v>
      </c>
      <c r="H474" t="s">
        <v>1235</v>
      </c>
    </row>
    <row r="475" spans="1:8" hidden="1">
      <c r="A475" s="71">
        <v>44291</v>
      </c>
      <c r="B475" t="s">
        <v>336</v>
      </c>
      <c r="C475" t="s">
        <v>1856</v>
      </c>
      <c r="E475" s="86">
        <v>7622</v>
      </c>
      <c r="F475" t="s">
        <v>759</v>
      </c>
      <c r="G475">
        <v>3873</v>
      </c>
      <c r="H475" t="s">
        <v>1235</v>
      </c>
    </row>
    <row r="476" spans="1:8" hidden="1">
      <c r="A476" s="71">
        <v>44292</v>
      </c>
      <c r="B476" t="s">
        <v>259</v>
      </c>
      <c r="C476" t="s">
        <v>1857</v>
      </c>
      <c r="E476" s="86">
        <v>17765</v>
      </c>
      <c r="F476" t="s">
        <v>759</v>
      </c>
      <c r="G476">
        <v>3876</v>
      </c>
      <c r="H476" t="s">
        <v>1235</v>
      </c>
    </row>
    <row r="477" spans="1:8" hidden="1">
      <c r="A477" s="71">
        <v>44293</v>
      </c>
      <c r="B477" t="s">
        <v>259</v>
      </c>
      <c r="C477" t="s">
        <v>1858</v>
      </c>
      <c r="E477" s="86">
        <v>17765</v>
      </c>
      <c r="F477" t="s">
        <v>759</v>
      </c>
      <c r="G477">
        <v>3877</v>
      </c>
      <c r="H477" t="s">
        <v>1235</v>
      </c>
    </row>
    <row r="478" spans="1:8" hidden="1">
      <c r="A478" s="71">
        <v>44293</v>
      </c>
      <c r="B478" t="s">
        <v>230</v>
      </c>
      <c r="C478" t="s">
        <v>1859</v>
      </c>
      <c r="E478" s="86">
        <v>3683</v>
      </c>
      <c r="F478" t="s">
        <v>759</v>
      </c>
      <c r="G478">
        <v>3872</v>
      </c>
      <c r="H478" t="s">
        <v>1235</v>
      </c>
    </row>
    <row r="479" spans="1:8" hidden="1">
      <c r="A479" s="71">
        <v>44293</v>
      </c>
      <c r="B479" t="s">
        <v>169</v>
      </c>
      <c r="C479" t="s">
        <v>1860</v>
      </c>
      <c r="E479" s="86">
        <v>2488</v>
      </c>
      <c r="F479" t="s">
        <v>759</v>
      </c>
      <c r="G479">
        <v>4334</v>
      </c>
      <c r="H479" t="s">
        <v>1244</v>
      </c>
    </row>
    <row r="480" spans="1:8" hidden="1">
      <c r="A480" s="71">
        <v>44294</v>
      </c>
      <c r="B480" t="s">
        <v>150</v>
      </c>
      <c r="C480" t="s">
        <v>1861</v>
      </c>
      <c r="F480" t="s">
        <v>759</v>
      </c>
      <c r="G480">
        <v>3878</v>
      </c>
      <c r="H480" t="s">
        <v>1235</v>
      </c>
    </row>
    <row r="481" spans="1:8" hidden="1">
      <c r="A481" s="71">
        <v>44294</v>
      </c>
      <c r="B481" t="s">
        <v>12</v>
      </c>
      <c r="C481" t="s">
        <v>1862</v>
      </c>
      <c r="E481" s="86">
        <v>732</v>
      </c>
      <c r="F481" t="s">
        <v>759</v>
      </c>
      <c r="G481">
        <v>3879</v>
      </c>
      <c r="H481" t="s">
        <v>1235</v>
      </c>
    </row>
    <row r="482" spans="1:8" hidden="1">
      <c r="A482" s="71">
        <v>44295</v>
      </c>
      <c r="B482" t="s">
        <v>150</v>
      </c>
      <c r="C482" t="s">
        <v>1863</v>
      </c>
      <c r="F482" t="s">
        <v>759</v>
      </c>
      <c r="G482">
        <v>3944</v>
      </c>
      <c r="H482" t="s">
        <v>1286</v>
      </c>
    </row>
    <row r="483" spans="1:8" hidden="1">
      <c r="A483" s="71">
        <v>44295</v>
      </c>
      <c r="B483" t="s">
        <v>230</v>
      </c>
      <c r="C483" t="s">
        <v>1864</v>
      </c>
      <c r="F483" t="s">
        <v>759</v>
      </c>
      <c r="G483">
        <v>3943</v>
      </c>
      <c r="H483" t="s">
        <v>1286</v>
      </c>
    </row>
    <row r="484" spans="1:8" hidden="1">
      <c r="A484" s="71">
        <v>44295</v>
      </c>
      <c r="B484" t="s">
        <v>362</v>
      </c>
      <c r="C484" t="s">
        <v>1865</v>
      </c>
      <c r="E484" s="86">
        <v>10587</v>
      </c>
      <c r="F484" t="s">
        <v>759</v>
      </c>
      <c r="G484">
        <v>3880</v>
      </c>
      <c r="H484" t="s">
        <v>1235</v>
      </c>
    </row>
    <row r="485" spans="1:8" hidden="1">
      <c r="A485" s="71">
        <v>44298</v>
      </c>
      <c r="B485" t="s">
        <v>1866</v>
      </c>
      <c r="F485" t="s">
        <v>759</v>
      </c>
      <c r="H485" t="s">
        <v>1659</v>
      </c>
    </row>
    <row r="486" spans="1:8" hidden="1">
      <c r="A486" s="71">
        <v>44298</v>
      </c>
      <c r="B486" t="s">
        <v>42</v>
      </c>
      <c r="C486" t="s">
        <v>1867</v>
      </c>
      <c r="F486" t="s">
        <v>759</v>
      </c>
      <c r="G486">
        <v>4439</v>
      </c>
      <c r="H486" t="s">
        <v>1463</v>
      </c>
    </row>
    <row r="487" spans="1:8" hidden="1">
      <c r="A487" s="71">
        <v>44298</v>
      </c>
      <c r="B487" t="s">
        <v>150</v>
      </c>
      <c r="C487" t="s">
        <v>1868</v>
      </c>
      <c r="F487" t="s">
        <v>759</v>
      </c>
      <c r="G487">
        <v>3946</v>
      </c>
      <c r="H487" t="s">
        <v>1286</v>
      </c>
    </row>
    <row r="488" spans="1:8" hidden="1">
      <c r="A488" s="71">
        <v>44298</v>
      </c>
      <c r="B488" t="s">
        <v>1866</v>
      </c>
      <c r="C488" t="s">
        <v>1869</v>
      </c>
      <c r="F488" t="s">
        <v>759</v>
      </c>
      <c r="G488">
        <v>3945</v>
      </c>
      <c r="H488" t="s">
        <v>1286</v>
      </c>
    </row>
    <row r="489" spans="1:8" hidden="1">
      <c r="A489" s="71">
        <v>44298</v>
      </c>
      <c r="B489" t="s">
        <v>12</v>
      </c>
      <c r="C489" t="s">
        <v>1870</v>
      </c>
      <c r="E489" s="86">
        <v>746</v>
      </c>
      <c r="F489" t="s">
        <v>759</v>
      </c>
      <c r="G489">
        <v>3881</v>
      </c>
      <c r="H489" t="s">
        <v>1235</v>
      </c>
    </row>
    <row r="490" spans="1:8" hidden="1">
      <c r="A490" s="71">
        <v>44299</v>
      </c>
      <c r="B490" t="s">
        <v>159</v>
      </c>
      <c r="F490" t="s">
        <v>759</v>
      </c>
      <c r="G490" t="s">
        <v>788</v>
      </c>
      <c r="H490" t="s">
        <v>1725</v>
      </c>
    </row>
    <row r="491" spans="1:8" hidden="1">
      <c r="A491" s="71">
        <v>44299</v>
      </c>
      <c r="B491" t="s">
        <v>159</v>
      </c>
      <c r="C491" t="s">
        <v>1871</v>
      </c>
      <c r="F491" t="s">
        <v>759</v>
      </c>
      <c r="G491">
        <v>4371</v>
      </c>
      <c r="H491" t="s">
        <v>1390</v>
      </c>
    </row>
    <row r="492" spans="1:8" hidden="1">
      <c r="A492" s="71">
        <v>44299</v>
      </c>
      <c r="B492" t="s">
        <v>1872</v>
      </c>
      <c r="C492" t="s">
        <v>1873</v>
      </c>
      <c r="E492" s="86">
        <v>4260</v>
      </c>
      <c r="F492" t="s">
        <v>759</v>
      </c>
      <c r="G492">
        <v>3947</v>
      </c>
      <c r="H492" t="s">
        <v>1286</v>
      </c>
    </row>
    <row r="493" spans="1:8" hidden="1">
      <c r="A493" s="71">
        <v>44299</v>
      </c>
      <c r="B493" t="s">
        <v>342</v>
      </c>
      <c r="C493" t="s">
        <v>1874</v>
      </c>
      <c r="E493" s="86">
        <v>11439</v>
      </c>
      <c r="F493" t="s">
        <v>759</v>
      </c>
      <c r="G493">
        <v>4338</v>
      </c>
      <c r="H493" t="s">
        <v>1244</v>
      </c>
    </row>
    <row r="494" spans="1:8" hidden="1">
      <c r="A494" s="71">
        <v>44299</v>
      </c>
      <c r="B494" t="s">
        <v>143</v>
      </c>
      <c r="C494" t="s">
        <v>1875</v>
      </c>
      <c r="F494" t="s">
        <v>759</v>
      </c>
      <c r="G494">
        <v>2606</v>
      </c>
      <c r="H494" t="s">
        <v>1246</v>
      </c>
    </row>
    <row r="495" spans="1:8" hidden="1">
      <c r="A495" s="71">
        <v>44300</v>
      </c>
      <c r="B495" t="s">
        <v>39</v>
      </c>
      <c r="C495" t="s">
        <v>1876</v>
      </c>
      <c r="F495" t="s">
        <v>759</v>
      </c>
      <c r="G495">
        <v>3884</v>
      </c>
      <c r="H495" t="s">
        <v>1235</v>
      </c>
    </row>
    <row r="496" spans="1:8" hidden="1">
      <c r="A496" s="71">
        <v>44300</v>
      </c>
      <c r="B496" t="s">
        <v>362</v>
      </c>
      <c r="C496" t="s">
        <v>1877</v>
      </c>
      <c r="F496" t="s">
        <v>759</v>
      </c>
      <c r="G496">
        <v>4372</v>
      </c>
      <c r="H496" t="s">
        <v>1390</v>
      </c>
    </row>
    <row r="497" spans="1:8" hidden="1">
      <c r="A497" s="71">
        <v>44300</v>
      </c>
      <c r="B497" t="s">
        <v>792</v>
      </c>
      <c r="C497" t="s">
        <v>1878</v>
      </c>
      <c r="F497" t="s">
        <v>759</v>
      </c>
      <c r="G497">
        <v>2608</v>
      </c>
      <c r="H497" t="s">
        <v>1246</v>
      </c>
    </row>
    <row r="498" spans="1:8" hidden="1">
      <c r="A498" s="71">
        <v>44301</v>
      </c>
      <c r="B498" t="s">
        <v>173</v>
      </c>
      <c r="C498" t="s">
        <v>1879</v>
      </c>
      <c r="F498" t="s">
        <v>759</v>
      </c>
      <c r="G498" t="s">
        <v>788</v>
      </c>
      <c r="H498" t="s">
        <v>1725</v>
      </c>
    </row>
    <row r="499" spans="1:8" hidden="1">
      <c r="A499" s="71">
        <v>44301</v>
      </c>
      <c r="B499" t="s">
        <v>180</v>
      </c>
      <c r="F499" t="s">
        <v>759</v>
      </c>
      <c r="G499" t="s">
        <v>788</v>
      </c>
      <c r="H499" t="s">
        <v>1725</v>
      </c>
    </row>
    <row r="500" spans="1:8" hidden="1">
      <c r="A500" s="71">
        <v>44301</v>
      </c>
      <c r="B500" t="s">
        <v>150</v>
      </c>
      <c r="C500" t="s">
        <v>1880</v>
      </c>
      <c r="E500" s="86">
        <v>7790</v>
      </c>
      <c r="F500" t="s">
        <v>759</v>
      </c>
      <c r="G500">
        <v>3949</v>
      </c>
      <c r="H500" t="s">
        <v>1286</v>
      </c>
    </row>
    <row r="501" spans="1:8" hidden="1">
      <c r="A501" s="71">
        <v>44301</v>
      </c>
      <c r="B501" t="s">
        <v>169</v>
      </c>
      <c r="C501" t="s">
        <v>1879</v>
      </c>
      <c r="F501" t="s">
        <v>759</v>
      </c>
      <c r="G501" t="s">
        <v>788</v>
      </c>
      <c r="H501" t="s">
        <v>1725</v>
      </c>
    </row>
    <row r="502" spans="1:8" hidden="1">
      <c r="A502" s="71">
        <v>44302</v>
      </c>
      <c r="B502" t="s">
        <v>150</v>
      </c>
      <c r="C502" t="s">
        <v>1881</v>
      </c>
      <c r="E502" s="86">
        <v>7794</v>
      </c>
      <c r="F502" t="s">
        <v>759</v>
      </c>
      <c r="G502">
        <v>3950</v>
      </c>
      <c r="H502" t="s">
        <v>1286</v>
      </c>
    </row>
    <row r="503" spans="1:8" hidden="1">
      <c r="A503" s="71">
        <v>44302</v>
      </c>
      <c r="B503" t="s">
        <v>230</v>
      </c>
      <c r="C503" t="s">
        <v>1882</v>
      </c>
      <c r="E503" s="86">
        <v>7720</v>
      </c>
      <c r="F503" t="s">
        <v>759</v>
      </c>
      <c r="G503">
        <v>3885</v>
      </c>
      <c r="H503" t="s">
        <v>1235</v>
      </c>
    </row>
    <row r="504" spans="1:8" hidden="1">
      <c r="A504" s="71">
        <v>44303</v>
      </c>
      <c r="B504" t="s">
        <v>1872</v>
      </c>
      <c r="C504" t="s">
        <v>1883</v>
      </c>
      <c r="E504" s="86">
        <v>4270</v>
      </c>
      <c r="F504" t="s">
        <v>759</v>
      </c>
      <c r="G504">
        <v>4341</v>
      </c>
      <c r="H504" t="s">
        <v>1244</v>
      </c>
    </row>
    <row r="505" spans="1:8" hidden="1">
      <c r="A505" s="71">
        <v>44303</v>
      </c>
      <c r="B505" t="s">
        <v>230</v>
      </c>
      <c r="C505" t="s">
        <v>1884</v>
      </c>
      <c r="E505" s="86">
        <v>7720</v>
      </c>
      <c r="F505" t="s">
        <v>759</v>
      </c>
      <c r="G505">
        <v>3886</v>
      </c>
      <c r="H505" t="s">
        <v>1235</v>
      </c>
    </row>
    <row r="506" spans="1:8" hidden="1">
      <c r="A506" s="71">
        <v>44305</v>
      </c>
      <c r="B506" t="s">
        <v>176</v>
      </c>
      <c r="C506" t="s">
        <v>1885</v>
      </c>
      <c r="F506" t="s">
        <v>759</v>
      </c>
      <c r="G506">
        <v>4445</v>
      </c>
      <c r="H506" t="s">
        <v>1659</v>
      </c>
    </row>
    <row r="507" spans="1:8" hidden="1">
      <c r="A507" s="71">
        <v>44305</v>
      </c>
      <c r="B507" t="s">
        <v>783</v>
      </c>
      <c r="C507" t="s">
        <v>1886</v>
      </c>
      <c r="F507" t="s">
        <v>759</v>
      </c>
      <c r="G507">
        <v>4444</v>
      </c>
      <c r="H507" t="s">
        <v>1659</v>
      </c>
    </row>
    <row r="508" spans="1:8" ht="54.75" hidden="1">
      <c r="A508" s="71">
        <v>44305</v>
      </c>
      <c r="B508" t="s">
        <v>1660</v>
      </c>
      <c r="C508" s="50" t="s">
        <v>1887</v>
      </c>
      <c r="F508" t="s">
        <v>759</v>
      </c>
      <c r="G508">
        <v>3951</v>
      </c>
      <c r="H508" t="s">
        <v>1286</v>
      </c>
    </row>
    <row r="509" spans="1:8" hidden="1">
      <c r="A509" s="71">
        <v>44305</v>
      </c>
      <c r="B509" t="s">
        <v>230</v>
      </c>
      <c r="C509" t="s">
        <v>1888</v>
      </c>
      <c r="E509" s="86">
        <v>7721</v>
      </c>
      <c r="F509" t="s">
        <v>759</v>
      </c>
      <c r="G509">
        <v>3887</v>
      </c>
      <c r="H509" t="s">
        <v>1235</v>
      </c>
    </row>
    <row r="510" spans="1:8" hidden="1">
      <c r="A510" s="71">
        <v>44306</v>
      </c>
      <c r="B510" t="s">
        <v>191</v>
      </c>
      <c r="C510" t="s">
        <v>1889</v>
      </c>
      <c r="F510" t="s">
        <v>759</v>
      </c>
      <c r="G510">
        <v>3953</v>
      </c>
      <c r="H510" t="s">
        <v>1286</v>
      </c>
    </row>
    <row r="511" spans="1:8" hidden="1">
      <c r="A511" s="71">
        <v>44307</v>
      </c>
      <c r="B511" t="s">
        <v>150</v>
      </c>
      <c r="C511" t="s">
        <v>1890</v>
      </c>
      <c r="F511" t="s">
        <v>759</v>
      </c>
      <c r="G511">
        <v>4446</v>
      </c>
      <c r="H511" t="s">
        <v>1659</v>
      </c>
    </row>
    <row r="512" spans="1:8" hidden="1">
      <c r="A512" s="71">
        <v>44307</v>
      </c>
      <c r="B512" t="s">
        <v>362</v>
      </c>
      <c r="C512" t="s">
        <v>1891</v>
      </c>
      <c r="F512" t="s">
        <v>759</v>
      </c>
      <c r="G512">
        <v>3956</v>
      </c>
      <c r="H512" t="s">
        <v>1286</v>
      </c>
    </row>
    <row r="513" spans="1:8" hidden="1">
      <c r="A513" s="71">
        <v>44307</v>
      </c>
      <c r="B513" t="s">
        <v>191</v>
      </c>
      <c r="C513" t="s">
        <v>1889</v>
      </c>
      <c r="F513" t="s">
        <v>759</v>
      </c>
      <c r="G513">
        <v>3955</v>
      </c>
      <c r="H513" t="s">
        <v>1286</v>
      </c>
    </row>
    <row r="514" spans="1:8" hidden="1">
      <c r="A514" s="71">
        <v>44308</v>
      </c>
      <c r="B514" t="s">
        <v>711</v>
      </c>
      <c r="C514" t="s">
        <v>1892</v>
      </c>
      <c r="E514" s="86">
        <v>12140</v>
      </c>
      <c r="F514" t="s">
        <v>759</v>
      </c>
      <c r="G514">
        <v>4447</v>
      </c>
      <c r="H514" t="s">
        <v>1659</v>
      </c>
    </row>
    <row r="515" spans="1:8" hidden="1">
      <c r="A515" s="71">
        <v>44308</v>
      </c>
      <c r="B515" t="s">
        <v>191</v>
      </c>
      <c r="C515" t="s">
        <v>1893</v>
      </c>
      <c r="F515" t="s">
        <v>759</v>
      </c>
      <c r="G515">
        <v>3957</v>
      </c>
      <c r="H515" t="s">
        <v>1286</v>
      </c>
    </row>
    <row r="516" spans="1:8" hidden="1">
      <c r="A516" s="71">
        <v>44308</v>
      </c>
      <c r="B516" t="s">
        <v>342</v>
      </c>
      <c r="C516" t="s">
        <v>1894</v>
      </c>
      <c r="E516" s="86">
        <v>11439</v>
      </c>
      <c r="F516" t="s">
        <v>759</v>
      </c>
      <c r="G516">
        <v>4342</v>
      </c>
      <c r="H516" t="s">
        <v>1560</v>
      </c>
    </row>
    <row r="517" spans="1:8" hidden="1">
      <c r="A517" s="71">
        <v>44309</v>
      </c>
      <c r="B517" t="s">
        <v>322</v>
      </c>
      <c r="C517" t="s">
        <v>1895</v>
      </c>
      <c r="F517" t="s">
        <v>759</v>
      </c>
      <c r="G517">
        <v>3958</v>
      </c>
      <c r="H517" t="s">
        <v>1492</v>
      </c>
    </row>
    <row r="518" spans="1:8" hidden="1">
      <c r="A518" s="71">
        <v>44309</v>
      </c>
      <c r="B518" t="s">
        <v>792</v>
      </c>
      <c r="C518" t="s">
        <v>1896</v>
      </c>
      <c r="F518" t="s">
        <v>759</v>
      </c>
      <c r="G518">
        <v>2612</v>
      </c>
      <c r="H518" t="s">
        <v>1246</v>
      </c>
    </row>
    <row r="519" spans="1:8" hidden="1">
      <c r="A519" s="71">
        <v>44312</v>
      </c>
      <c r="B519" t="s">
        <v>39</v>
      </c>
      <c r="C519" t="s">
        <v>1897</v>
      </c>
      <c r="F519" t="s">
        <v>759</v>
      </c>
      <c r="G519">
        <v>4376</v>
      </c>
      <c r="H519" t="s">
        <v>1560</v>
      </c>
    </row>
    <row r="520" spans="1:8" hidden="1">
      <c r="A520" s="71">
        <v>44312</v>
      </c>
      <c r="B520" t="s">
        <v>322</v>
      </c>
      <c r="C520" t="s">
        <v>1898</v>
      </c>
      <c r="F520" t="s">
        <v>759</v>
      </c>
      <c r="G520">
        <v>3959</v>
      </c>
      <c r="H520" t="s">
        <v>1492</v>
      </c>
    </row>
    <row r="521" spans="1:8" hidden="1">
      <c r="A521" s="71">
        <v>44312</v>
      </c>
      <c r="B521" t="s">
        <v>196</v>
      </c>
      <c r="C521" t="s">
        <v>1899</v>
      </c>
      <c r="E521" s="86">
        <v>324</v>
      </c>
      <c r="F521" t="s">
        <v>759</v>
      </c>
      <c r="G521">
        <v>3891</v>
      </c>
      <c r="H521" t="s">
        <v>1235</v>
      </c>
    </row>
    <row r="522" spans="1:8" hidden="1">
      <c r="A522" s="71">
        <v>44313</v>
      </c>
      <c r="B522" t="s">
        <v>334</v>
      </c>
      <c r="C522" t="s">
        <v>1900</v>
      </c>
      <c r="F522" t="s">
        <v>759</v>
      </c>
      <c r="G522">
        <v>3960</v>
      </c>
      <c r="H522" t="s">
        <v>1286</v>
      </c>
    </row>
    <row r="523" spans="1:8" hidden="1">
      <c r="A523" s="71">
        <v>44313</v>
      </c>
      <c r="B523" t="s">
        <v>159</v>
      </c>
      <c r="C523" t="s">
        <v>1901</v>
      </c>
      <c r="F523" t="s">
        <v>759</v>
      </c>
      <c r="G523">
        <v>3961</v>
      </c>
      <c r="H523" t="s">
        <v>1286</v>
      </c>
    </row>
    <row r="524" spans="1:8" ht="27.75" hidden="1">
      <c r="A524" s="71">
        <v>44314</v>
      </c>
      <c r="B524" t="s">
        <v>334</v>
      </c>
      <c r="C524" s="50" t="s">
        <v>1902</v>
      </c>
      <c r="F524" t="s">
        <v>759</v>
      </c>
      <c r="G524">
        <v>3965</v>
      </c>
      <c r="H524" t="s">
        <v>1286</v>
      </c>
    </row>
    <row r="525" spans="1:8" hidden="1">
      <c r="A525" s="71">
        <v>44314</v>
      </c>
      <c r="B525" t="s">
        <v>259</v>
      </c>
      <c r="C525" t="s">
        <v>1903</v>
      </c>
      <c r="E525" s="86">
        <v>17868</v>
      </c>
      <c r="F525" t="s">
        <v>759</v>
      </c>
      <c r="G525">
        <v>3895</v>
      </c>
      <c r="H525" t="s">
        <v>1235</v>
      </c>
    </row>
    <row r="526" spans="1:8" hidden="1">
      <c r="A526" s="71">
        <v>44316</v>
      </c>
      <c r="B526" t="s">
        <v>1476</v>
      </c>
      <c r="C526" t="s">
        <v>1904</v>
      </c>
      <c r="E526" s="86">
        <v>1681</v>
      </c>
      <c r="F526" t="s">
        <v>759</v>
      </c>
      <c r="G526">
        <v>3896</v>
      </c>
      <c r="H526" t="s">
        <v>1235</v>
      </c>
    </row>
    <row r="527" spans="1:8" hidden="1">
      <c r="A527" s="71">
        <v>44319</v>
      </c>
      <c r="B527" t="s">
        <v>369</v>
      </c>
      <c r="C527" t="s">
        <v>1905</v>
      </c>
      <c r="E527" s="86">
        <v>9126</v>
      </c>
      <c r="F527" t="s">
        <v>759</v>
      </c>
      <c r="G527">
        <v>3897</v>
      </c>
      <c r="H527" t="s">
        <v>1235</v>
      </c>
    </row>
    <row r="528" spans="1:8" hidden="1">
      <c r="A528" s="71">
        <v>44321</v>
      </c>
      <c r="B528" t="s">
        <v>1872</v>
      </c>
      <c r="C528" t="s">
        <v>1906</v>
      </c>
      <c r="E528" s="86">
        <v>4326</v>
      </c>
      <c r="F528" t="s">
        <v>759</v>
      </c>
      <c r="G528">
        <v>3898</v>
      </c>
      <c r="H528" t="s">
        <v>1244</v>
      </c>
    </row>
    <row r="529" spans="1:8" hidden="1">
      <c r="A529" s="71">
        <v>44323</v>
      </c>
      <c r="B529" t="s">
        <v>188</v>
      </c>
      <c r="C529" t="s">
        <v>1907</v>
      </c>
      <c r="F529" t="s">
        <v>759</v>
      </c>
      <c r="G529">
        <v>4349</v>
      </c>
      <c r="H529" t="s">
        <v>1244</v>
      </c>
    </row>
    <row r="530" spans="1:8" hidden="1">
      <c r="A530" s="71">
        <v>44323</v>
      </c>
      <c r="B530" t="s">
        <v>180</v>
      </c>
      <c r="C530" t="s">
        <v>1908</v>
      </c>
      <c r="E530" s="86">
        <v>3165</v>
      </c>
      <c r="F530" t="s">
        <v>759</v>
      </c>
      <c r="G530">
        <v>4348</v>
      </c>
      <c r="H530" t="s">
        <v>1244</v>
      </c>
    </row>
    <row r="531" spans="1:8" hidden="1">
      <c r="A531" s="71">
        <v>44323</v>
      </c>
      <c r="B531" t="s">
        <v>313</v>
      </c>
      <c r="C531" t="s">
        <v>1909</v>
      </c>
      <c r="E531" s="86">
        <v>18392</v>
      </c>
      <c r="F531" t="s">
        <v>759</v>
      </c>
      <c r="G531">
        <v>3900</v>
      </c>
      <c r="H531" t="s">
        <v>1244</v>
      </c>
    </row>
    <row r="532" spans="1:8" hidden="1">
      <c r="A532" s="71">
        <v>44323</v>
      </c>
      <c r="B532" t="s">
        <v>183</v>
      </c>
      <c r="C532" t="s">
        <v>1910</v>
      </c>
      <c r="E532" s="86">
        <v>6</v>
      </c>
      <c r="F532" t="s">
        <v>759</v>
      </c>
      <c r="G532">
        <v>3899</v>
      </c>
      <c r="H532" t="s">
        <v>1235</v>
      </c>
    </row>
    <row r="533" spans="1:8" hidden="1">
      <c r="A533" s="71">
        <v>44326</v>
      </c>
      <c r="B533" t="s">
        <v>322</v>
      </c>
      <c r="C533" t="s">
        <v>1911</v>
      </c>
      <c r="E533" s="86">
        <v>23433</v>
      </c>
      <c r="F533" t="s">
        <v>759</v>
      </c>
      <c r="G533">
        <v>3553</v>
      </c>
      <c r="H533" t="s">
        <v>1235</v>
      </c>
    </row>
    <row r="534" spans="1:8" hidden="1">
      <c r="A534" s="71">
        <v>44326</v>
      </c>
      <c r="B534" t="s">
        <v>42</v>
      </c>
      <c r="C534" t="s">
        <v>1912</v>
      </c>
      <c r="F534" t="s">
        <v>759</v>
      </c>
      <c r="G534">
        <v>3461</v>
      </c>
      <c r="H534" t="s">
        <v>1463</v>
      </c>
    </row>
    <row r="535" spans="1:8" hidden="1">
      <c r="A535" s="71">
        <v>44327</v>
      </c>
      <c r="B535" t="s">
        <v>322</v>
      </c>
      <c r="C535" t="s">
        <v>1913</v>
      </c>
      <c r="E535" s="86">
        <v>23433</v>
      </c>
      <c r="F535" t="s">
        <v>759</v>
      </c>
      <c r="G535">
        <v>3153</v>
      </c>
      <c r="H535" t="s">
        <v>1501</v>
      </c>
    </row>
    <row r="536" spans="1:8" hidden="1">
      <c r="A536" s="71">
        <v>44329</v>
      </c>
      <c r="B536" t="s">
        <v>313</v>
      </c>
      <c r="C536" t="s">
        <v>1914</v>
      </c>
      <c r="E536" s="86">
        <v>18422</v>
      </c>
      <c r="F536" t="s">
        <v>759</v>
      </c>
      <c r="G536" t="s">
        <v>1915</v>
      </c>
      <c r="H536" t="s">
        <v>1244</v>
      </c>
    </row>
    <row r="537" spans="1:8" hidden="1">
      <c r="A537" s="71">
        <v>44329</v>
      </c>
      <c r="B537" t="s">
        <v>776</v>
      </c>
      <c r="C537" t="s">
        <v>1916</v>
      </c>
      <c r="F537" t="s">
        <v>759</v>
      </c>
      <c r="G537">
        <v>3966</v>
      </c>
      <c r="H537" t="s">
        <v>1286</v>
      </c>
    </row>
    <row r="538" spans="1:8" hidden="1">
      <c r="A538" s="71">
        <v>44331</v>
      </c>
      <c r="B538" t="s">
        <v>661</v>
      </c>
      <c r="C538" t="s">
        <v>1917</v>
      </c>
      <c r="F538" t="s">
        <v>759</v>
      </c>
      <c r="G538" t="s">
        <v>788</v>
      </c>
      <c r="H538" t="s">
        <v>1725</v>
      </c>
    </row>
    <row r="539" spans="1:8" hidden="1">
      <c r="A539" s="71">
        <v>44331</v>
      </c>
      <c r="B539" t="s">
        <v>786</v>
      </c>
      <c r="C539" t="s">
        <v>1918</v>
      </c>
      <c r="F539" t="s">
        <v>759</v>
      </c>
      <c r="G539">
        <v>2619</v>
      </c>
      <c r="H539" t="s">
        <v>1246</v>
      </c>
    </row>
    <row r="540" spans="1:8" hidden="1">
      <c r="A540" s="71">
        <v>44334</v>
      </c>
      <c r="B540" t="s">
        <v>377</v>
      </c>
      <c r="C540" t="s">
        <v>1919</v>
      </c>
      <c r="E540" s="86">
        <v>6004</v>
      </c>
      <c r="F540" t="s">
        <v>759</v>
      </c>
      <c r="G540">
        <v>4377</v>
      </c>
      <c r="H540" t="s">
        <v>1390</v>
      </c>
    </row>
    <row r="541" spans="1:8" hidden="1">
      <c r="A541" s="71">
        <v>44334</v>
      </c>
      <c r="B541" t="s">
        <v>705</v>
      </c>
      <c r="C541" t="s">
        <v>1920</v>
      </c>
      <c r="E541" s="86">
        <v>2547</v>
      </c>
      <c r="F541" t="s">
        <v>759</v>
      </c>
      <c r="G541">
        <v>3559</v>
      </c>
      <c r="H541" t="s">
        <v>1235</v>
      </c>
    </row>
    <row r="542" spans="1:8" hidden="1">
      <c r="A542" s="71">
        <v>44334</v>
      </c>
      <c r="B542" t="s">
        <v>146</v>
      </c>
      <c r="C542" t="s">
        <v>1921</v>
      </c>
      <c r="F542" t="s">
        <v>759</v>
      </c>
      <c r="G542">
        <v>2622</v>
      </c>
      <c r="H542" t="s">
        <v>1246</v>
      </c>
    </row>
    <row r="543" spans="1:8" hidden="1">
      <c r="A543" s="71">
        <v>44335</v>
      </c>
      <c r="B543" t="s">
        <v>188</v>
      </c>
      <c r="C543" t="s">
        <v>1922</v>
      </c>
      <c r="E543" s="86">
        <v>7863</v>
      </c>
      <c r="F543" t="s">
        <v>759</v>
      </c>
      <c r="G543" t="s">
        <v>1923</v>
      </c>
      <c r="H543" t="s">
        <v>1244</v>
      </c>
    </row>
    <row r="544" spans="1:8" hidden="1">
      <c r="A544" s="71">
        <v>44336</v>
      </c>
      <c r="B544" t="s">
        <v>705</v>
      </c>
      <c r="C544" t="s">
        <v>1924</v>
      </c>
      <c r="E544" s="86">
        <v>2550</v>
      </c>
      <c r="F544" t="s">
        <v>759</v>
      </c>
      <c r="G544">
        <v>3563</v>
      </c>
      <c r="H544" t="s">
        <v>1235</v>
      </c>
    </row>
    <row r="545" spans="1:8" hidden="1">
      <c r="A545" s="71">
        <v>44340</v>
      </c>
      <c r="B545" t="s">
        <v>776</v>
      </c>
      <c r="C545" t="s">
        <v>1925</v>
      </c>
      <c r="F545" t="s">
        <v>759</v>
      </c>
      <c r="G545">
        <v>4378</v>
      </c>
      <c r="H545" t="s">
        <v>1390</v>
      </c>
    </row>
    <row r="546" spans="1:8" hidden="1">
      <c r="A546" s="71">
        <v>44340</v>
      </c>
      <c r="B546" t="s">
        <v>704</v>
      </c>
      <c r="C546" t="s">
        <v>1926</v>
      </c>
      <c r="F546" t="s">
        <v>759</v>
      </c>
      <c r="G546">
        <v>3462</v>
      </c>
      <c r="H546" t="s">
        <v>1235</v>
      </c>
    </row>
    <row r="547" spans="1:8" hidden="1">
      <c r="A547" s="71">
        <v>44341</v>
      </c>
      <c r="B547" t="s">
        <v>360</v>
      </c>
      <c r="C547" t="s">
        <v>1927</v>
      </c>
      <c r="F547" t="s">
        <v>759</v>
      </c>
      <c r="G547">
        <v>3978</v>
      </c>
      <c r="H547" t="s">
        <v>1659</v>
      </c>
    </row>
    <row r="548" spans="1:8" hidden="1">
      <c r="A548" s="71">
        <v>44341</v>
      </c>
      <c r="B548" t="s">
        <v>330</v>
      </c>
      <c r="C548" t="s">
        <v>1928</v>
      </c>
      <c r="E548" s="86">
        <v>5070</v>
      </c>
      <c r="F548" t="s">
        <v>759</v>
      </c>
      <c r="G548">
        <v>3566</v>
      </c>
      <c r="H548" t="s">
        <v>1235</v>
      </c>
    </row>
    <row r="549" spans="1:8" hidden="1">
      <c r="A549" s="71">
        <v>44342</v>
      </c>
      <c r="B549" t="s">
        <v>160</v>
      </c>
      <c r="C549" t="s">
        <v>1929</v>
      </c>
      <c r="F549" t="s">
        <v>759</v>
      </c>
      <c r="G549">
        <v>4379</v>
      </c>
      <c r="H549" t="s">
        <v>1390</v>
      </c>
    </row>
    <row r="550" spans="1:8" hidden="1">
      <c r="A550" s="71">
        <v>44342</v>
      </c>
      <c r="B550" t="s">
        <v>692</v>
      </c>
      <c r="C550" t="s">
        <v>1930</v>
      </c>
      <c r="F550" t="s">
        <v>759</v>
      </c>
      <c r="G550">
        <v>3980</v>
      </c>
      <c r="H550" t="s">
        <v>1659</v>
      </c>
    </row>
    <row r="551" spans="1:8" hidden="1">
      <c r="A551" s="71">
        <v>44342</v>
      </c>
      <c r="B551" t="s">
        <v>230</v>
      </c>
      <c r="C551" t="s">
        <v>1931</v>
      </c>
      <c r="E551" s="86">
        <v>7864</v>
      </c>
      <c r="F551" t="s">
        <v>759</v>
      </c>
      <c r="G551">
        <v>3567</v>
      </c>
      <c r="H551" t="s">
        <v>1235</v>
      </c>
    </row>
    <row r="552" spans="1:8" hidden="1">
      <c r="A552" s="71">
        <v>44343</v>
      </c>
      <c r="B552" t="s">
        <v>776</v>
      </c>
      <c r="C552" t="s">
        <v>1932</v>
      </c>
      <c r="F552" t="s">
        <v>759</v>
      </c>
      <c r="G552">
        <v>4382</v>
      </c>
      <c r="H552" t="s">
        <v>1390</v>
      </c>
    </row>
    <row r="553" spans="1:8" hidden="1">
      <c r="A553" s="71">
        <v>44343</v>
      </c>
      <c r="B553" t="s">
        <v>781</v>
      </c>
      <c r="C553" t="s">
        <v>1933</v>
      </c>
      <c r="F553" t="s">
        <v>759</v>
      </c>
      <c r="G553">
        <v>4381</v>
      </c>
      <c r="H553" t="s">
        <v>1390</v>
      </c>
    </row>
    <row r="554" spans="1:8" hidden="1">
      <c r="A554" s="71">
        <v>44343</v>
      </c>
      <c r="B554" t="s">
        <v>146</v>
      </c>
      <c r="C554" t="s">
        <v>1934</v>
      </c>
      <c r="F554" t="s">
        <v>759</v>
      </c>
      <c r="G554">
        <v>3355</v>
      </c>
      <c r="H554" t="s">
        <v>1659</v>
      </c>
    </row>
    <row r="555" spans="1:8" hidden="1">
      <c r="A555" s="71">
        <v>44343</v>
      </c>
      <c r="B555" t="s">
        <v>260</v>
      </c>
      <c r="C555" t="s">
        <v>1935</v>
      </c>
      <c r="E555" s="86">
        <v>7864</v>
      </c>
      <c r="F555" t="s">
        <v>759</v>
      </c>
      <c r="G555">
        <v>3211</v>
      </c>
      <c r="H555" t="s">
        <v>1244</v>
      </c>
    </row>
    <row r="556" spans="1:8" hidden="1">
      <c r="A556" s="71">
        <v>44344</v>
      </c>
      <c r="B556" t="s">
        <v>330</v>
      </c>
      <c r="C556" t="s">
        <v>1936</v>
      </c>
      <c r="F556" t="s">
        <v>759</v>
      </c>
      <c r="G556" s="90">
        <v>46170</v>
      </c>
      <c r="H556" t="s">
        <v>1758</v>
      </c>
    </row>
    <row r="557" spans="1:8" hidden="1">
      <c r="A557" s="71">
        <v>44344</v>
      </c>
      <c r="B557" t="s">
        <v>776</v>
      </c>
      <c r="C557" t="s">
        <v>1937</v>
      </c>
      <c r="F557" t="s">
        <v>759</v>
      </c>
      <c r="G557">
        <v>4383</v>
      </c>
      <c r="H557" t="s">
        <v>1390</v>
      </c>
    </row>
    <row r="558" spans="1:8" hidden="1">
      <c r="A558" s="71">
        <v>44344</v>
      </c>
      <c r="B558" t="s">
        <v>175</v>
      </c>
      <c r="C558" t="s">
        <v>1938</v>
      </c>
      <c r="E558" s="86">
        <v>3138</v>
      </c>
      <c r="F558" t="s">
        <v>759</v>
      </c>
      <c r="G558">
        <v>3216</v>
      </c>
      <c r="H558" t="s">
        <v>1244</v>
      </c>
    </row>
    <row r="559" spans="1:8" hidden="1">
      <c r="A559" s="71">
        <v>44345</v>
      </c>
      <c r="B559" t="s">
        <v>711</v>
      </c>
      <c r="C559" t="s">
        <v>1939</v>
      </c>
      <c r="F559" t="s">
        <v>759</v>
      </c>
      <c r="G559">
        <v>4384</v>
      </c>
      <c r="H559" t="s">
        <v>1390</v>
      </c>
    </row>
    <row r="560" spans="1:8" hidden="1">
      <c r="A560" s="71">
        <v>44347</v>
      </c>
      <c r="B560" t="s">
        <v>776</v>
      </c>
      <c r="C560" t="s">
        <v>1940</v>
      </c>
      <c r="F560" t="s">
        <v>759</v>
      </c>
      <c r="G560">
        <v>4385</v>
      </c>
      <c r="H560" t="s">
        <v>1252</v>
      </c>
    </row>
    <row r="561" spans="1:8" hidden="1">
      <c r="A561" s="71">
        <v>44347</v>
      </c>
      <c r="B561" t="s">
        <v>330</v>
      </c>
      <c r="C561" t="s">
        <v>1941</v>
      </c>
      <c r="F561" t="s">
        <v>759</v>
      </c>
      <c r="G561">
        <v>3987</v>
      </c>
      <c r="H561" t="s">
        <v>1758</v>
      </c>
    </row>
    <row r="562" spans="1:8" hidden="1">
      <c r="A562" s="71">
        <v>44348</v>
      </c>
      <c r="B562" t="s">
        <v>369</v>
      </c>
      <c r="C562" t="s">
        <v>1942</v>
      </c>
      <c r="E562" s="86">
        <v>9211</v>
      </c>
      <c r="F562" t="s">
        <v>759</v>
      </c>
      <c r="G562">
        <v>3575</v>
      </c>
      <c r="H562" t="s">
        <v>1390</v>
      </c>
    </row>
    <row r="563" spans="1:8" hidden="1">
      <c r="A563" s="71">
        <v>44348</v>
      </c>
      <c r="B563" t="s">
        <v>191</v>
      </c>
      <c r="C563" t="s">
        <v>1943</v>
      </c>
      <c r="F563" t="s">
        <v>759</v>
      </c>
      <c r="G563">
        <v>3357</v>
      </c>
      <c r="H563" t="s">
        <v>1659</v>
      </c>
    </row>
    <row r="564" spans="1:8" hidden="1">
      <c r="A564" s="71">
        <v>44348</v>
      </c>
      <c r="B564" t="s">
        <v>569</v>
      </c>
      <c r="C564" t="s">
        <v>1944</v>
      </c>
      <c r="F564" t="s">
        <v>759</v>
      </c>
      <c r="G564">
        <v>3356</v>
      </c>
      <c r="H564" t="s">
        <v>1659</v>
      </c>
    </row>
    <row r="565" spans="1:8" hidden="1">
      <c r="A565" s="71">
        <v>44349</v>
      </c>
      <c r="B565" t="s">
        <v>369</v>
      </c>
      <c r="C565" t="s">
        <v>1945</v>
      </c>
      <c r="E565" s="86">
        <v>9216</v>
      </c>
      <c r="F565" t="s">
        <v>759</v>
      </c>
      <c r="G565">
        <v>3576</v>
      </c>
      <c r="H565" t="s">
        <v>1390</v>
      </c>
    </row>
    <row r="566" spans="1:8" hidden="1">
      <c r="A566" s="71">
        <v>44349</v>
      </c>
      <c r="B566" t="s">
        <v>373</v>
      </c>
      <c r="C566" t="s">
        <v>1946</v>
      </c>
      <c r="E566" s="86">
        <v>2137</v>
      </c>
      <c r="F566" t="s">
        <v>759</v>
      </c>
      <c r="G566">
        <v>3358</v>
      </c>
      <c r="H566" t="s">
        <v>1659</v>
      </c>
    </row>
    <row r="567" spans="1:8" hidden="1">
      <c r="A567" s="71">
        <v>44350</v>
      </c>
      <c r="B567" t="s">
        <v>713</v>
      </c>
      <c r="C567" t="s">
        <v>1947</v>
      </c>
      <c r="E567" s="86">
        <v>12105</v>
      </c>
      <c r="F567" t="s">
        <v>759</v>
      </c>
      <c r="G567">
        <v>3998</v>
      </c>
      <c r="H567" t="s">
        <v>1758</v>
      </c>
    </row>
    <row r="568" spans="1:8" hidden="1">
      <c r="A568" s="71">
        <v>44350</v>
      </c>
      <c r="B568" t="s">
        <v>688</v>
      </c>
      <c r="C568" t="s">
        <v>1948</v>
      </c>
      <c r="E568" s="86">
        <v>7419</v>
      </c>
      <c r="F568" t="s">
        <v>759</v>
      </c>
      <c r="G568">
        <v>3360</v>
      </c>
      <c r="H568" t="s">
        <v>1659</v>
      </c>
    </row>
    <row r="569" spans="1:8" hidden="1">
      <c r="A569" s="71">
        <v>44350</v>
      </c>
      <c r="B569" t="s">
        <v>781</v>
      </c>
      <c r="F569" t="s">
        <v>759</v>
      </c>
      <c r="H569" t="s">
        <v>1501</v>
      </c>
    </row>
    <row r="570" spans="1:8" hidden="1">
      <c r="A570" s="71">
        <v>44351</v>
      </c>
      <c r="B570" t="s">
        <v>1949</v>
      </c>
      <c r="C570" t="s">
        <v>1950</v>
      </c>
      <c r="F570" t="s">
        <v>759</v>
      </c>
      <c r="G570">
        <v>4388</v>
      </c>
      <c r="H570" t="s">
        <v>1390</v>
      </c>
    </row>
    <row r="571" spans="1:8" hidden="1">
      <c r="A571" s="71">
        <v>44351</v>
      </c>
      <c r="B571" t="s">
        <v>19</v>
      </c>
      <c r="C571" t="s">
        <v>1951</v>
      </c>
      <c r="E571" s="86">
        <v>4055</v>
      </c>
      <c r="F571" t="s">
        <v>759</v>
      </c>
      <c r="G571">
        <v>4000</v>
      </c>
      <c r="H571" t="s">
        <v>1758</v>
      </c>
    </row>
    <row r="572" spans="1:8" hidden="1">
      <c r="A572" s="71">
        <v>44351</v>
      </c>
      <c r="B572" t="s">
        <v>19</v>
      </c>
      <c r="C572" t="s">
        <v>1952</v>
      </c>
      <c r="E572" s="86">
        <v>4056</v>
      </c>
      <c r="F572" t="s">
        <v>759</v>
      </c>
      <c r="G572">
        <v>3361</v>
      </c>
      <c r="H572" t="s">
        <v>1659</v>
      </c>
    </row>
    <row r="573" spans="1:8" hidden="1">
      <c r="A573" s="71">
        <v>44353</v>
      </c>
      <c r="B573" t="s">
        <v>346</v>
      </c>
      <c r="C573" t="s">
        <v>1953</v>
      </c>
      <c r="E573" s="86">
        <v>6530</v>
      </c>
      <c r="F573" t="s">
        <v>759</v>
      </c>
      <c r="G573">
        <v>3578</v>
      </c>
      <c r="H573" t="s">
        <v>1235</v>
      </c>
    </row>
    <row r="574" spans="1:8" hidden="1">
      <c r="A574" s="71">
        <v>44353</v>
      </c>
      <c r="B574" t="s">
        <v>12</v>
      </c>
      <c r="C574" t="s">
        <v>1954</v>
      </c>
      <c r="F574" t="s">
        <v>759</v>
      </c>
      <c r="G574">
        <v>3359</v>
      </c>
      <c r="H574" t="s">
        <v>1659</v>
      </c>
    </row>
    <row r="575" spans="1:8" hidden="1">
      <c r="A575" s="71">
        <v>44354</v>
      </c>
      <c r="B575" t="s">
        <v>1660</v>
      </c>
      <c r="C575" t="s">
        <v>1955</v>
      </c>
      <c r="F575" t="s">
        <v>759</v>
      </c>
      <c r="G575">
        <v>4391</v>
      </c>
      <c r="H575" t="s">
        <v>1390</v>
      </c>
    </row>
    <row r="576" spans="1:8" hidden="1">
      <c r="A576" s="71">
        <v>44354</v>
      </c>
      <c r="B576" t="s">
        <v>688</v>
      </c>
      <c r="C576" t="s">
        <v>1956</v>
      </c>
      <c r="F576" t="s">
        <v>759</v>
      </c>
      <c r="G576">
        <v>4390</v>
      </c>
      <c r="H576" t="s">
        <v>1390</v>
      </c>
    </row>
    <row r="577" spans="1:8" hidden="1">
      <c r="A577" s="71">
        <v>44354</v>
      </c>
      <c r="B577" t="s">
        <v>311</v>
      </c>
      <c r="C577" t="s">
        <v>1957</v>
      </c>
      <c r="E577" s="86">
        <v>12276</v>
      </c>
      <c r="F577" t="s">
        <v>759</v>
      </c>
      <c r="G577">
        <v>2306</v>
      </c>
      <c r="H577" t="s">
        <v>1659</v>
      </c>
    </row>
    <row r="578" spans="1:8" hidden="1">
      <c r="A578" s="71">
        <v>44354</v>
      </c>
      <c r="B578" t="s">
        <v>333</v>
      </c>
      <c r="C578" t="s">
        <v>1958</v>
      </c>
      <c r="F578" t="s">
        <v>759</v>
      </c>
      <c r="G578">
        <v>2301</v>
      </c>
      <c r="H578" t="s">
        <v>1659</v>
      </c>
    </row>
    <row r="579" spans="1:8" hidden="1">
      <c r="A579" s="71">
        <v>44355</v>
      </c>
      <c r="B579" t="s">
        <v>169</v>
      </c>
      <c r="C579" t="s">
        <v>1959</v>
      </c>
      <c r="E579" s="86">
        <v>2754</v>
      </c>
      <c r="F579" t="s">
        <v>759</v>
      </c>
      <c r="G579">
        <v>3365</v>
      </c>
      <c r="H579" t="s">
        <v>1659</v>
      </c>
    </row>
    <row r="580" spans="1:8" hidden="1">
      <c r="A580" s="71">
        <v>44355</v>
      </c>
      <c r="B580" t="s">
        <v>377</v>
      </c>
      <c r="C580" t="s">
        <v>1960</v>
      </c>
      <c r="E580" s="86">
        <v>6005</v>
      </c>
      <c r="F580" t="s">
        <v>759</v>
      </c>
      <c r="G580">
        <v>4392</v>
      </c>
      <c r="H580" t="s">
        <v>1390</v>
      </c>
    </row>
    <row r="581" spans="1:8" hidden="1">
      <c r="A581" s="71">
        <v>44355</v>
      </c>
      <c r="B581" t="s">
        <v>35</v>
      </c>
      <c r="C581" t="s">
        <v>1961</v>
      </c>
      <c r="E581" s="86">
        <v>3648</v>
      </c>
      <c r="F581" t="s">
        <v>759</v>
      </c>
      <c r="G581">
        <v>3367</v>
      </c>
      <c r="H581" t="s">
        <v>1659</v>
      </c>
    </row>
    <row r="582" spans="1:8" hidden="1">
      <c r="A582" s="71">
        <v>44355</v>
      </c>
      <c r="B582" t="s">
        <v>35</v>
      </c>
      <c r="C582" t="s">
        <v>1962</v>
      </c>
      <c r="F582" t="s">
        <v>759</v>
      </c>
      <c r="G582">
        <v>2309</v>
      </c>
      <c r="H582" t="s">
        <v>1286</v>
      </c>
    </row>
    <row r="583" spans="1:8" hidden="1">
      <c r="A583" s="71">
        <v>44355</v>
      </c>
      <c r="B583" t="s">
        <v>803</v>
      </c>
      <c r="C583" t="s">
        <v>1963</v>
      </c>
      <c r="F583" t="s">
        <v>759</v>
      </c>
      <c r="G583">
        <v>2308</v>
      </c>
      <c r="H583" t="s">
        <v>1659</v>
      </c>
    </row>
    <row r="584" spans="1:8" hidden="1">
      <c r="A584" s="71">
        <v>44356</v>
      </c>
      <c r="B584" t="s">
        <v>377</v>
      </c>
      <c r="C584" t="s">
        <v>1964</v>
      </c>
      <c r="E584" s="86">
        <v>6005</v>
      </c>
      <c r="F584" t="s">
        <v>759</v>
      </c>
      <c r="G584">
        <v>4393</v>
      </c>
      <c r="H584" t="s">
        <v>1390</v>
      </c>
    </row>
    <row r="585" spans="1:8" hidden="1">
      <c r="A585" s="71">
        <v>44356</v>
      </c>
      <c r="B585" t="s">
        <v>162</v>
      </c>
      <c r="C585" t="s">
        <v>1965</v>
      </c>
      <c r="F585" t="s">
        <v>759</v>
      </c>
      <c r="G585">
        <v>3581</v>
      </c>
      <c r="H585" t="s">
        <v>1235</v>
      </c>
    </row>
    <row r="586" spans="1:8" hidden="1">
      <c r="A586" s="71">
        <v>44356</v>
      </c>
      <c r="B586" t="s">
        <v>713</v>
      </c>
      <c r="C586" t="s">
        <v>1966</v>
      </c>
      <c r="E586" s="86">
        <v>12132</v>
      </c>
      <c r="F586" t="s">
        <v>759</v>
      </c>
      <c r="G586">
        <v>3222</v>
      </c>
      <c r="H586" t="s">
        <v>1244</v>
      </c>
    </row>
    <row r="587" spans="1:8" hidden="1">
      <c r="A587" s="71">
        <v>44356</v>
      </c>
      <c r="B587" t="s">
        <v>25</v>
      </c>
      <c r="C587" t="s">
        <v>1967</v>
      </c>
      <c r="F587" t="s">
        <v>759</v>
      </c>
      <c r="G587">
        <v>2315</v>
      </c>
      <c r="H587" t="s">
        <v>1659</v>
      </c>
    </row>
    <row r="588" spans="1:8" hidden="1">
      <c r="A588" s="71">
        <v>44356</v>
      </c>
      <c r="B588" t="s">
        <v>776</v>
      </c>
      <c r="C588" t="s">
        <v>1968</v>
      </c>
      <c r="F588" t="s">
        <v>759</v>
      </c>
      <c r="G588">
        <v>2314</v>
      </c>
      <c r="H588" t="s">
        <v>1286</v>
      </c>
    </row>
    <row r="589" spans="1:8" hidden="1">
      <c r="A589" s="71">
        <v>44357</v>
      </c>
      <c r="B589" t="s">
        <v>377</v>
      </c>
      <c r="C589" t="s">
        <v>1969</v>
      </c>
      <c r="F589" t="s">
        <v>759</v>
      </c>
      <c r="G589">
        <v>4394</v>
      </c>
      <c r="H589" t="s">
        <v>1390</v>
      </c>
    </row>
    <row r="590" spans="1:8" hidden="1">
      <c r="A590" s="71">
        <v>44357</v>
      </c>
      <c r="B590" t="s">
        <v>176</v>
      </c>
      <c r="C590" t="s">
        <v>1970</v>
      </c>
      <c r="F590" t="s">
        <v>759</v>
      </c>
      <c r="G590">
        <v>3582</v>
      </c>
      <c r="H590" t="s">
        <v>1235</v>
      </c>
    </row>
    <row r="591" spans="1:8" hidden="1">
      <c r="A591" s="71">
        <v>44357</v>
      </c>
      <c r="B591" t="s">
        <v>25</v>
      </c>
      <c r="C591" t="s">
        <v>1971</v>
      </c>
      <c r="E591" s="86">
        <v>2691</v>
      </c>
      <c r="F591" t="s">
        <v>759</v>
      </c>
      <c r="G591">
        <v>3370</v>
      </c>
      <c r="H591" t="s">
        <v>1659</v>
      </c>
    </row>
    <row r="592" spans="1:8" hidden="1">
      <c r="A592" s="71">
        <v>44357</v>
      </c>
      <c r="B592" t="s">
        <v>713</v>
      </c>
      <c r="C592" t="s">
        <v>1972</v>
      </c>
      <c r="E592" s="86">
        <v>12123</v>
      </c>
      <c r="F592" t="s">
        <v>759</v>
      </c>
      <c r="G592">
        <v>3223</v>
      </c>
      <c r="H592" t="s">
        <v>1244</v>
      </c>
    </row>
    <row r="593" spans="1:8" hidden="1">
      <c r="A593" s="71">
        <v>44358</v>
      </c>
      <c r="B593" t="s">
        <v>373</v>
      </c>
      <c r="C593" t="s">
        <v>1973</v>
      </c>
      <c r="E593" s="86">
        <v>2165</v>
      </c>
      <c r="F593" t="s">
        <v>759</v>
      </c>
      <c r="G593" t="s">
        <v>1974</v>
      </c>
      <c r="H593" t="s">
        <v>1659</v>
      </c>
    </row>
    <row r="594" spans="1:8" hidden="1">
      <c r="A594" s="71">
        <v>44358</v>
      </c>
      <c r="B594" t="s">
        <v>744</v>
      </c>
      <c r="C594" t="s">
        <v>1975</v>
      </c>
      <c r="F594" t="s">
        <v>759</v>
      </c>
      <c r="G594">
        <v>4396</v>
      </c>
      <c r="H594" t="s">
        <v>1390</v>
      </c>
    </row>
    <row r="595" spans="1:8" hidden="1">
      <c r="A595" s="71">
        <v>44358</v>
      </c>
      <c r="B595" t="s">
        <v>1588</v>
      </c>
      <c r="C595" t="s">
        <v>1976</v>
      </c>
      <c r="F595" t="s">
        <v>759</v>
      </c>
      <c r="G595">
        <v>3371</v>
      </c>
      <c r="H595" t="s">
        <v>1659</v>
      </c>
    </row>
    <row r="596" spans="1:8" hidden="1">
      <c r="A596" s="71">
        <v>44358</v>
      </c>
      <c r="B596" t="s">
        <v>713</v>
      </c>
      <c r="C596" t="s">
        <v>1977</v>
      </c>
      <c r="E596" s="86">
        <v>12123</v>
      </c>
      <c r="F596" t="s">
        <v>759</v>
      </c>
      <c r="G596">
        <v>3224</v>
      </c>
      <c r="H596" t="s">
        <v>1244</v>
      </c>
    </row>
    <row r="597" spans="1:8" hidden="1">
      <c r="A597" s="71">
        <v>44358</v>
      </c>
      <c r="B597" t="s">
        <v>311</v>
      </c>
      <c r="C597" t="s">
        <v>1978</v>
      </c>
      <c r="E597" s="86">
        <v>12303</v>
      </c>
      <c r="F597" t="s">
        <v>759</v>
      </c>
      <c r="G597">
        <v>3225</v>
      </c>
      <c r="H597" t="s">
        <v>1244</v>
      </c>
    </row>
    <row r="598" spans="1:8" hidden="1">
      <c r="A598" s="71">
        <v>44359</v>
      </c>
      <c r="B598" t="s">
        <v>180</v>
      </c>
      <c r="C598" t="s">
        <v>1979</v>
      </c>
      <c r="F598" t="s">
        <v>759</v>
      </c>
      <c r="G598">
        <v>4397</v>
      </c>
      <c r="H598" t="s">
        <v>1390</v>
      </c>
    </row>
    <row r="599" spans="1:8" hidden="1">
      <c r="A599" s="71">
        <v>44361</v>
      </c>
      <c r="B599" t="s">
        <v>781</v>
      </c>
      <c r="C599" t="s">
        <v>1980</v>
      </c>
      <c r="F599" t="s">
        <v>759</v>
      </c>
      <c r="G599">
        <v>4399</v>
      </c>
      <c r="H599" t="s">
        <v>1390</v>
      </c>
    </row>
    <row r="600" spans="1:8" hidden="1">
      <c r="A600" s="71">
        <v>44361</v>
      </c>
      <c r="B600" t="s">
        <v>787</v>
      </c>
      <c r="C600" t="s">
        <v>1981</v>
      </c>
      <c r="F600" t="s">
        <v>759</v>
      </c>
      <c r="G600">
        <v>2633</v>
      </c>
      <c r="H600" t="s">
        <v>1246</v>
      </c>
    </row>
    <row r="601" spans="1:8" hidden="1">
      <c r="A601" s="71">
        <v>44362</v>
      </c>
      <c r="B601" t="s">
        <v>239</v>
      </c>
      <c r="C601" t="s">
        <v>1982</v>
      </c>
      <c r="F601" t="s">
        <v>759</v>
      </c>
      <c r="G601">
        <v>4400</v>
      </c>
      <c r="H601" t="s">
        <v>1390</v>
      </c>
    </row>
    <row r="602" spans="1:8" hidden="1">
      <c r="A602" s="71">
        <v>44362</v>
      </c>
      <c r="B602" t="s">
        <v>162</v>
      </c>
      <c r="C602" t="s">
        <v>1983</v>
      </c>
      <c r="E602" s="86">
        <v>7841</v>
      </c>
      <c r="F602" t="s">
        <v>759</v>
      </c>
      <c r="G602">
        <v>3378</v>
      </c>
      <c r="H602" t="s">
        <v>1286</v>
      </c>
    </row>
    <row r="603" spans="1:8" hidden="1">
      <c r="A603" s="71">
        <v>44362</v>
      </c>
      <c r="B603" t="s">
        <v>162</v>
      </c>
      <c r="C603" t="s">
        <v>1984</v>
      </c>
      <c r="F603" t="s">
        <v>759</v>
      </c>
      <c r="G603">
        <v>2331</v>
      </c>
      <c r="H603" t="s">
        <v>1286</v>
      </c>
    </row>
    <row r="604" spans="1:8" hidden="1">
      <c r="A604" s="71">
        <v>44362</v>
      </c>
      <c r="B604" t="s">
        <v>377</v>
      </c>
      <c r="C604" t="s">
        <v>1985</v>
      </c>
      <c r="F604" t="s">
        <v>759</v>
      </c>
      <c r="G604">
        <v>3377</v>
      </c>
      <c r="H604" t="s">
        <v>1286</v>
      </c>
    </row>
    <row r="605" spans="1:8" hidden="1">
      <c r="A605" s="71">
        <v>44362</v>
      </c>
      <c r="B605" t="s">
        <v>573</v>
      </c>
      <c r="C605" t="s">
        <v>1986</v>
      </c>
      <c r="F605" t="s">
        <v>759</v>
      </c>
      <c r="G605">
        <v>2636</v>
      </c>
      <c r="H605" t="s">
        <v>1246</v>
      </c>
    </row>
    <row r="606" spans="1:8" hidden="1">
      <c r="A606" s="71">
        <v>44362</v>
      </c>
      <c r="B606" t="s">
        <v>787</v>
      </c>
      <c r="C606" t="s">
        <v>1987</v>
      </c>
      <c r="F606" t="s">
        <v>759</v>
      </c>
      <c r="G606">
        <v>2634</v>
      </c>
      <c r="H606" t="s">
        <v>1246</v>
      </c>
    </row>
    <row r="607" spans="1:8" hidden="1">
      <c r="A607" s="71">
        <v>44362</v>
      </c>
      <c r="B607" t="s">
        <v>377</v>
      </c>
      <c r="C607" t="s">
        <v>1988</v>
      </c>
      <c r="F607" t="s">
        <v>759</v>
      </c>
      <c r="G607">
        <v>2330</v>
      </c>
      <c r="H607" t="s">
        <v>1659</v>
      </c>
    </row>
    <row r="608" spans="1:8" hidden="1">
      <c r="A608" s="71">
        <v>44362</v>
      </c>
      <c r="B608" t="s">
        <v>324</v>
      </c>
      <c r="C608" t="s">
        <v>1989</v>
      </c>
      <c r="F608" t="s">
        <v>759</v>
      </c>
      <c r="G608">
        <v>2329</v>
      </c>
      <c r="H608" t="s">
        <v>1286</v>
      </c>
    </row>
    <row r="609" spans="1:8" hidden="1">
      <c r="A609" s="71">
        <v>44363</v>
      </c>
      <c r="B609" t="s">
        <v>711</v>
      </c>
      <c r="C609" t="s">
        <v>1990</v>
      </c>
      <c r="E609" s="86">
        <v>16441</v>
      </c>
      <c r="F609" t="s">
        <v>759</v>
      </c>
      <c r="G609">
        <v>3226</v>
      </c>
      <c r="H609" t="s">
        <v>1244</v>
      </c>
    </row>
    <row r="610" spans="1:8" hidden="1">
      <c r="A610" s="71">
        <v>44363</v>
      </c>
      <c r="B610" t="s">
        <v>711</v>
      </c>
      <c r="C610" t="s">
        <v>1991</v>
      </c>
      <c r="F610" t="s">
        <v>759</v>
      </c>
      <c r="G610">
        <v>2335</v>
      </c>
      <c r="H610" t="s">
        <v>1659</v>
      </c>
    </row>
    <row r="611" spans="1:8" hidden="1">
      <c r="A611" s="71">
        <v>44363</v>
      </c>
      <c r="B611" t="s">
        <v>330</v>
      </c>
      <c r="C611" t="s">
        <v>1992</v>
      </c>
      <c r="F611" t="s">
        <v>759</v>
      </c>
      <c r="G611">
        <v>2333</v>
      </c>
      <c r="H611" t="s">
        <v>1659</v>
      </c>
    </row>
    <row r="612" spans="1:8" hidden="1">
      <c r="A612" s="71">
        <v>44363</v>
      </c>
      <c r="B612" t="s">
        <v>333</v>
      </c>
      <c r="C612" t="s">
        <v>1993</v>
      </c>
      <c r="F612" t="s">
        <v>759</v>
      </c>
      <c r="G612">
        <v>2332.1</v>
      </c>
      <c r="H612" t="s">
        <v>1659</v>
      </c>
    </row>
    <row r="613" spans="1:8" hidden="1">
      <c r="A613" s="71">
        <v>44364</v>
      </c>
      <c r="B613" t="s">
        <v>330</v>
      </c>
      <c r="C613" t="s">
        <v>1994</v>
      </c>
      <c r="F613" t="s">
        <v>759</v>
      </c>
      <c r="G613">
        <v>3156</v>
      </c>
      <c r="H613" t="s">
        <v>1659</v>
      </c>
    </row>
    <row r="614" spans="1:8" hidden="1">
      <c r="A614" s="71">
        <v>44364</v>
      </c>
      <c r="B614" t="s">
        <v>330</v>
      </c>
      <c r="C614" t="s">
        <v>1995</v>
      </c>
      <c r="F614" t="s">
        <v>759</v>
      </c>
      <c r="G614">
        <v>2344</v>
      </c>
      <c r="H614" t="s">
        <v>1659</v>
      </c>
    </row>
    <row r="615" spans="1:8" hidden="1">
      <c r="A615" s="71">
        <v>44364</v>
      </c>
      <c r="B615" t="s">
        <v>711</v>
      </c>
      <c r="C615" t="s">
        <v>1996</v>
      </c>
      <c r="F615" t="s">
        <v>759</v>
      </c>
      <c r="G615">
        <v>2336</v>
      </c>
      <c r="H615" t="s">
        <v>1659</v>
      </c>
    </row>
    <row r="616" spans="1:8" hidden="1">
      <c r="A616" s="71">
        <v>44365</v>
      </c>
      <c r="B616" t="s">
        <v>346</v>
      </c>
      <c r="C616" t="s">
        <v>1997</v>
      </c>
      <c r="E616" s="86">
        <v>6576</v>
      </c>
      <c r="F616" t="s">
        <v>759</v>
      </c>
      <c r="G616">
        <v>3400</v>
      </c>
      <c r="H616" t="s">
        <v>1659</v>
      </c>
    </row>
    <row r="617" spans="1:8" hidden="1">
      <c r="A617" s="71">
        <v>44365</v>
      </c>
      <c r="B617" t="s">
        <v>146</v>
      </c>
      <c r="C617" t="s">
        <v>1998</v>
      </c>
      <c r="F617" t="s">
        <v>759</v>
      </c>
      <c r="G617">
        <v>3383</v>
      </c>
      <c r="H617" t="s">
        <v>1659</v>
      </c>
    </row>
    <row r="618" spans="1:8" hidden="1">
      <c r="A618" s="71">
        <v>44365</v>
      </c>
      <c r="B618" t="s">
        <v>705</v>
      </c>
      <c r="C618" t="s">
        <v>1999</v>
      </c>
      <c r="E618" s="86">
        <v>2621</v>
      </c>
      <c r="F618" t="s">
        <v>759</v>
      </c>
      <c r="G618">
        <v>3382</v>
      </c>
      <c r="H618" t="s">
        <v>1659</v>
      </c>
    </row>
    <row r="619" spans="1:8" hidden="1">
      <c r="A619" s="71">
        <v>44365</v>
      </c>
      <c r="B619" t="s">
        <v>373</v>
      </c>
      <c r="C619" t="s">
        <v>2000</v>
      </c>
      <c r="F619" t="s">
        <v>759</v>
      </c>
      <c r="G619">
        <v>2345</v>
      </c>
      <c r="H619" t="s">
        <v>1659</v>
      </c>
    </row>
    <row r="620" spans="1:8" hidden="1">
      <c r="A620" s="71">
        <v>44366</v>
      </c>
      <c r="B620" t="s">
        <v>311</v>
      </c>
      <c r="C620" t="s">
        <v>2001</v>
      </c>
      <c r="E620" s="86">
        <v>12340</v>
      </c>
      <c r="F620" t="s">
        <v>759</v>
      </c>
      <c r="G620">
        <v>3228</v>
      </c>
      <c r="H620" t="s">
        <v>1501</v>
      </c>
    </row>
    <row r="621" spans="1:8" hidden="1">
      <c r="A621" s="71">
        <v>44369</v>
      </c>
      <c r="B621" t="s">
        <v>330</v>
      </c>
      <c r="C621" t="s">
        <v>2002</v>
      </c>
      <c r="F621" t="s">
        <v>759</v>
      </c>
      <c r="G621">
        <v>3384</v>
      </c>
      <c r="H621" t="s">
        <v>1659</v>
      </c>
    </row>
    <row r="622" spans="1:8" hidden="1">
      <c r="A622" s="71">
        <v>44369</v>
      </c>
      <c r="B622" t="s">
        <v>330</v>
      </c>
      <c r="C622" t="s">
        <v>2003</v>
      </c>
      <c r="E622" s="86">
        <v>5155</v>
      </c>
      <c r="F622" t="s">
        <v>759</v>
      </c>
      <c r="G622">
        <v>2348</v>
      </c>
      <c r="H622" t="s">
        <v>1659</v>
      </c>
    </row>
    <row r="623" spans="1:8" hidden="1">
      <c r="A623" s="71">
        <v>44369</v>
      </c>
      <c r="B623" t="s">
        <v>239</v>
      </c>
      <c r="C623" t="s">
        <v>2004</v>
      </c>
      <c r="F623" t="s">
        <v>759</v>
      </c>
      <c r="G623">
        <v>7.1</v>
      </c>
      <c r="H623" t="s">
        <v>1252</v>
      </c>
    </row>
    <row r="624" spans="1:8" hidden="1">
      <c r="A624" s="71">
        <v>44370</v>
      </c>
      <c r="B624" t="s">
        <v>373</v>
      </c>
      <c r="C624" t="s">
        <v>2005</v>
      </c>
      <c r="F624" t="s">
        <v>759</v>
      </c>
      <c r="G624" t="s">
        <v>2006</v>
      </c>
      <c r="H624" t="s">
        <v>1659</v>
      </c>
    </row>
    <row r="625" spans="1:8" hidden="1">
      <c r="A625" s="71">
        <v>44370</v>
      </c>
      <c r="B625" t="s">
        <v>32</v>
      </c>
      <c r="C625" t="s">
        <v>2007</v>
      </c>
      <c r="E625" s="86">
        <v>3994</v>
      </c>
      <c r="F625" t="s">
        <v>759</v>
      </c>
      <c r="G625" t="s">
        <v>2008</v>
      </c>
      <c r="H625" t="s">
        <v>1758</v>
      </c>
    </row>
    <row r="626" spans="1:8" hidden="1">
      <c r="A626" s="71">
        <v>44370</v>
      </c>
      <c r="B626" t="s">
        <v>152</v>
      </c>
      <c r="C626" t="s">
        <v>2009</v>
      </c>
      <c r="F626" t="s">
        <v>759</v>
      </c>
      <c r="G626">
        <v>2104</v>
      </c>
      <c r="H626" t="s">
        <v>1286</v>
      </c>
    </row>
    <row r="627" spans="1:8" hidden="1">
      <c r="A627" s="71">
        <v>44370</v>
      </c>
      <c r="B627" t="s">
        <v>239</v>
      </c>
      <c r="C627" t="s">
        <v>2010</v>
      </c>
      <c r="F627" t="s">
        <v>759</v>
      </c>
      <c r="G627">
        <v>6</v>
      </c>
      <c r="H627" t="s">
        <v>1390</v>
      </c>
    </row>
    <row r="628" spans="1:8" hidden="1">
      <c r="A628" s="71">
        <v>44372</v>
      </c>
      <c r="B628" t="s">
        <v>704</v>
      </c>
      <c r="C628" t="s">
        <v>2011</v>
      </c>
      <c r="E628" s="86">
        <v>11761</v>
      </c>
      <c r="F628" t="s">
        <v>759</v>
      </c>
      <c r="G628">
        <v>3392</v>
      </c>
      <c r="H628" t="s">
        <v>1659</v>
      </c>
    </row>
    <row r="629" spans="1:8" hidden="1">
      <c r="A629" s="71">
        <v>44372</v>
      </c>
      <c r="B629" t="s">
        <v>692</v>
      </c>
      <c r="C629" t="s">
        <v>2012</v>
      </c>
      <c r="F629" t="s">
        <v>759</v>
      </c>
      <c r="G629">
        <v>2123.1</v>
      </c>
      <c r="H629" t="s">
        <v>1659</v>
      </c>
    </row>
    <row r="630" spans="1:8" hidden="1">
      <c r="A630" s="71">
        <v>44372</v>
      </c>
      <c r="B630" t="s">
        <v>163</v>
      </c>
      <c r="C630" t="s">
        <v>2013</v>
      </c>
      <c r="F630" t="s">
        <v>759</v>
      </c>
      <c r="G630">
        <v>2115.1</v>
      </c>
      <c r="H630" t="s">
        <v>1286</v>
      </c>
    </row>
    <row r="631" spans="1:8" hidden="1">
      <c r="A631" s="71">
        <v>44373</v>
      </c>
      <c r="B631" t="s">
        <v>784</v>
      </c>
      <c r="C631" t="s">
        <v>2014</v>
      </c>
      <c r="F631" t="s">
        <v>759</v>
      </c>
      <c r="G631">
        <v>3394</v>
      </c>
      <c r="H631" t="s">
        <v>1659</v>
      </c>
    </row>
    <row r="632" spans="1:8" hidden="1">
      <c r="A632" s="71">
        <v>44373</v>
      </c>
      <c r="B632" t="s">
        <v>692</v>
      </c>
      <c r="C632" t="s">
        <v>2015</v>
      </c>
      <c r="E632" s="86">
        <v>3207</v>
      </c>
      <c r="F632" t="s">
        <v>759</v>
      </c>
      <c r="G632">
        <v>3229</v>
      </c>
      <c r="H632" t="s">
        <v>1244</v>
      </c>
    </row>
    <row r="633" spans="1:8" hidden="1">
      <c r="A633" s="71">
        <v>44376</v>
      </c>
      <c r="B633" t="s">
        <v>39</v>
      </c>
      <c r="C633" t="s">
        <v>2016</v>
      </c>
      <c r="E633" s="86">
        <v>39</v>
      </c>
      <c r="F633" t="s">
        <v>759</v>
      </c>
      <c r="G633">
        <v>3584</v>
      </c>
      <c r="H633" t="s">
        <v>1235</v>
      </c>
    </row>
    <row r="634" spans="1:8" hidden="1">
      <c r="A634" s="71">
        <v>44376</v>
      </c>
      <c r="B634" t="s">
        <v>711</v>
      </c>
      <c r="C634" t="s">
        <v>2017</v>
      </c>
      <c r="F634" t="s">
        <v>759</v>
      </c>
      <c r="G634">
        <v>3395</v>
      </c>
      <c r="H634" t="s">
        <v>1659</v>
      </c>
    </row>
    <row r="635" spans="1:8" hidden="1">
      <c r="A635" s="71">
        <v>44376</v>
      </c>
      <c r="B635" t="s">
        <v>569</v>
      </c>
      <c r="C635" t="s">
        <v>2018</v>
      </c>
      <c r="F635" t="s">
        <v>759</v>
      </c>
      <c r="G635">
        <v>2641</v>
      </c>
      <c r="H635" t="s">
        <v>1246</v>
      </c>
    </row>
    <row r="636" spans="1:8" hidden="1">
      <c r="A636" s="71">
        <v>44376</v>
      </c>
      <c r="B636" t="s">
        <v>163</v>
      </c>
      <c r="C636" t="s">
        <v>2019</v>
      </c>
      <c r="F636" t="s">
        <v>759</v>
      </c>
      <c r="G636">
        <v>2116</v>
      </c>
      <c r="H636" t="s">
        <v>1286</v>
      </c>
    </row>
    <row r="637" spans="1:8" hidden="1">
      <c r="A637" s="71">
        <v>44377</v>
      </c>
      <c r="B637" t="s">
        <v>39</v>
      </c>
      <c r="C637" t="s">
        <v>2020</v>
      </c>
      <c r="E637" s="86">
        <v>40</v>
      </c>
      <c r="F637" t="s">
        <v>759</v>
      </c>
      <c r="G637">
        <v>3585</v>
      </c>
      <c r="H637" t="s">
        <v>1235</v>
      </c>
    </row>
    <row r="638" spans="1:8" hidden="1">
      <c r="A638" s="71">
        <v>44377</v>
      </c>
      <c r="B638" t="s">
        <v>786</v>
      </c>
      <c r="C638" t="s">
        <v>2021</v>
      </c>
      <c r="F638" t="s">
        <v>759</v>
      </c>
      <c r="G638">
        <v>2642</v>
      </c>
      <c r="H638" t="s">
        <v>1246</v>
      </c>
    </row>
    <row r="639" spans="1:8" hidden="1">
      <c r="A639" s="71">
        <v>44377</v>
      </c>
      <c r="B639" t="s">
        <v>688</v>
      </c>
      <c r="C639" t="s">
        <v>2022</v>
      </c>
      <c r="F639" t="s">
        <v>759</v>
      </c>
      <c r="G639">
        <v>2124.1</v>
      </c>
      <c r="H639" t="s">
        <v>1286</v>
      </c>
    </row>
    <row r="640" spans="1:8" hidden="1">
      <c r="A640" s="71">
        <v>44377</v>
      </c>
      <c r="B640" t="s">
        <v>688</v>
      </c>
      <c r="C640" t="s">
        <v>2022</v>
      </c>
      <c r="F640" t="s">
        <v>759</v>
      </c>
      <c r="G640">
        <v>2124</v>
      </c>
      <c r="H640" t="s">
        <v>1659</v>
      </c>
    </row>
    <row r="641" spans="1:8" hidden="1">
      <c r="A641" s="71">
        <v>44377</v>
      </c>
      <c r="B641" t="s">
        <v>776</v>
      </c>
      <c r="C641" t="s">
        <v>2023</v>
      </c>
      <c r="F641" t="s">
        <v>759</v>
      </c>
      <c r="G641">
        <v>2123</v>
      </c>
      <c r="H641" t="s">
        <v>1286</v>
      </c>
    </row>
    <row r="642" spans="1:8" hidden="1">
      <c r="A642" s="71">
        <v>44377</v>
      </c>
      <c r="B642" t="s">
        <v>783</v>
      </c>
      <c r="C642" t="s">
        <v>2024</v>
      </c>
      <c r="F642" t="s">
        <v>759</v>
      </c>
      <c r="G642">
        <v>8.1</v>
      </c>
      <c r="H642" t="s">
        <v>1390</v>
      </c>
    </row>
    <row r="643" spans="1:8" hidden="1">
      <c r="A643" s="71">
        <v>44378</v>
      </c>
      <c r="B643" t="s">
        <v>180</v>
      </c>
      <c r="C643" t="s">
        <v>2025</v>
      </c>
      <c r="E643" s="86">
        <v>3355</v>
      </c>
      <c r="F643" t="s">
        <v>759</v>
      </c>
      <c r="G643">
        <v>3398</v>
      </c>
      <c r="H643" t="s">
        <v>1659</v>
      </c>
    </row>
    <row r="644" spans="1:8" hidden="1">
      <c r="A644" s="71">
        <v>44378</v>
      </c>
      <c r="B644" t="s">
        <v>705</v>
      </c>
      <c r="C644" t="s">
        <v>2026</v>
      </c>
      <c r="E644" s="86">
        <v>2621</v>
      </c>
      <c r="F644" t="s">
        <v>759</v>
      </c>
      <c r="G644">
        <v>3397</v>
      </c>
      <c r="H644" t="s">
        <v>1659</v>
      </c>
    </row>
    <row r="645" spans="1:8" hidden="1">
      <c r="A645" s="71">
        <v>44378</v>
      </c>
      <c r="B645" t="s">
        <v>157</v>
      </c>
      <c r="C645" t="s">
        <v>2027</v>
      </c>
      <c r="F645" t="s">
        <v>759</v>
      </c>
      <c r="G645">
        <v>2128</v>
      </c>
      <c r="H645" t="s">
        <v>1286</v>
      </c>
    </row>
    <row r="646" spans="1:8" hidden="1">
      <c r="A646" s="71">
        <v>44379</v>
      </c>
      <c r="B646" t="s">
        <v>307</v>
      </c>
      <c r="C646" t="s">
        <v>2028</v>
      </c>
      <c r="E646" s="86">
        <v>11912</v>
      </c>
      <c r="F646" t="s">
        <v>759</v>
      </c>
      <c r="G646">
        <v>3399</v>
      </c>
      <c r="H646" t="s">
        <v>1659</v>
      </c>
    </row>
    <row r="647" spans="1:8" hidden="1">
      <c r="A647" s="71">
        <v>44379</v>
      </c>
      <c r="B647" t="s">
        <v>803</v>
      </c>
      <c r="C647" t="s">
        <v>2029</v>
      </c>
      <c r="F647" t="s">
        <v>759</v>
      </c>
      <c r="G647">
        <v>2134</v>
      </c>
      <c r="H647" t="s">
        <v>1286</v>
      </c>
    </row>
    <row r="648" spans="1:8" hidden="1">
      <c r="A648" s="71">
        <v>44382</v>
      </c>
      <c r="B648" t="s">
        <v>1680</v>
      </c>
      <c r="C648" t="s">
        <v>2030</v>
      </c>
      <c r="F648" t="s">
        <v>759</v>
      </c>
      <c r="G648">
        <v>2644</v>
      </c>
      <c r="H648" t="s">
        <v>1246</v>
      </c>
    </row>
    <row r="649" spans="1:8" hidden="1">
      <c r="A649" s="71">
        <v>44382</v>
      </c>
      <c r="B649" t="s">
        <v>373</v>
      </c>
      <c r="C649" t="s">
        <v>2031</v>
      </c>
      <c r="F649" t="s">
        <v>759</v>
      </c>
      <c r="G649">
        <v>2136</v>
      </c>
      <c r="H649" t="s">
        <v>1659</v>
      </c>
    </row>
    <row r="650" spans="1:8" hidden="1">
      <c r="A650" s="71">
        <v>44384</v>
      </c>
      <c r="B650" t="s">
        <v>162</v>
      </c>
      <c r="C650" t="s">
        <v>2032</v>
      </c>
      <c r="F650" t="s">
        <v>759</v>
      </c>
      <c r="G650">
        <v>1</v>
      </c>
      <c r="H650" t="s">
        <v>1659</v>
      </c>
    </row>
    <row r="651" spans="1:8" hidden="1">
      <c r="A651" s="71">
        <v>44384</v>
      </c>
      <c r="B651" t="s">
        <v>803</v>
      </c>
      <c r="C651" t="s">
        <v>2033</v>
      </c>
      <c r="E651" s="86">
        <v>5162</v>
      </c>
      <c r="F651" t="s">
        <v>759</v>
      </c>
      <c r="G651">
        <v>2149</v>
      </c>
      <c r="H651" t="s">
        <v>1463</v>
      </c>
    </row>
    <row r="652" spans="1:8" hidden="1">
      <c r="A652" s="71">
        <v>44385</v>
      </c>
      <c r="B652" t="s">
        <v>711</v>
      </c>
      <c r="C652" t="s">
        <v>2034</v>
      </c>
      <c r="E652" s="86">
        <v>16431</v>
      </c>
      <c r="F652" t="s">
        <v>759</v>
      </c>
      <c r="G652">
        <v>3590</v>
      </c>
      <c r="H652" t="s">
        <v>1235</v>
      </c>
    </row>
    <row r="653" spans="1:8" hidden="1">
      <c r="A653" s="71">
        <v>44385</v>
      </c>
      <c r="B653" t="s">
        <v>786</v>
      </c>
      <c r="C653" t="s">
        <v>2035</v>
      </c>
      <c r="E653" s="86">
        <v>111645</v>
      </c>
      <c r="F653" t="s">
        <v>759</v>
      </c>
      <c r="G653">
        <v>3069</v>
      </c>
      <c r="H653" t="s">
        <v>1252</v>
      </c>
    </row>
    <row r="654" spans="1:8" hidden="1">
      <c r="A654" s="71">
        <v>44386</v>
      </c>
      <c r="B654" t="s">
        <v>36</v>
      </c>
      <c r="C654" t="s">
        <v>2036</v>
      </c>
      <c r="F654" t="s">
        <v>759</v>
      </c>
      <c r="G654">
        <v>6807</v>
      </c>
      <c r="H654" t="s">
        <v>1286</v>
      </c>
    </row>
    <row r="655" spans="1:8" hidden="1">
      <c r="A655" s="71">
        <v>44389</v>
      </c>
      <c r="B655" t="s">
        <v>330</v>
      </c>
      <c r="C655" t="s">
        <v>2037</v>
      </c>
      <c r="F655" t="s">
        <v>759</v>
      </c>
      <c r="G655">
        <v>6811</v>
      </c>
      <c r="H655" t="s">
        <v>1659</v>
      </c>
    </row>
    <row r="656" spans="1:8" hidden="1">
      <c r="A656" s="71">
        <v>44389</v>
      </c>
      <c r="B656" t="s">
        <v>328</v>
      </c>
      <c r="C656" t="s">
        <v>2038</v>
      </c>
      <c r="F656" t="s">
        <v>759</v>
      </c>
      <c r="G656">
        <v>6810</v>
      </c>
      <c r="H656" t="s">
        <v>1659</v>
      </c>
    </row>
    <row r="657" spans="1:8" hidden="1">
      <c r="A657" s="71">
        <v>44389</v>
      </c>
      <c r="B657" t="s">
        <v>711</v>
      </c>
      <c r="C657" t="s">
        <v>2039</v>
      </c>
      <c r="E657" s="86">
        <v>16503</v>
      </c>
      <c r="F657" t="s">
        <v>759</v>
      </c>
      <c r="G657">
        <v>3591</v>
      </c>
      <c r="H657" t="s">
        <v>1235</v>
      </c>
    </row>
    <row r="658" spans="1:8" hidden="1">
      <c r="A658" s="71">
        <v>44392</v>
      </c>
      <c r="B658" t="s">
        <v>569</v>
      </c>
      <c r="C658" t="s">
        <v>2040</v>
      </c>
      <c r="F658" t="s">
        <v>759</v>
      </c>
      <c r="G658">
        <v>6827</v>
      </c>
      <c r="H658" t="s">
        <v>1286</v>
      </c>
    </row>
    <row r="659" spans="1:8" hidden="1">
      <c r="A659" s="71">
        <v>44392</v>
      </c>
      <c r="B659" t="s">
        <v>163</v>
      </c>
      <c r="C659" t="s">
        <v>2041</v>
      </c>
      <c r="F659" t="s">
        <v>759</v>
      </c>
      <c r="G659">
        <v>6826</v>
      </c>
      <c r="H659" t="s">
        <v>1286</v>
      </c>
    </row>
    <row r="660" spans="1:8" hidden="1">
      <c r="A660" s="71">
        <v>44397</v>
      </c>
      <c r="B660" t="s">
        <v>328</v>
      </c>
      <c r="C660" t="s">
        <v>2042</v>
      </c>
      <c r="F660" t="s">
        <v>759</v>
      </c>
      <c r="G660">
        <v>6834</v>
      </c>
      <c r="H660" t="s">
        <v>1659</v>
      </c>
    </row>
    <row r="661" spans="1:8" hidden="1">
      <c r="A661" s="71">
        <v>44397</v>
      </c>
      <c r="B661" t="s">
        <v>157</v>
      </c>
      <c r="C661" t="s">
        <v>2043</v>
      </c>
      <c r="E661" s="86">
        <v>11756</v>
      </c>
      <c r="F661" t="s">
        <v>759</v>
      </c>
      <c r="G661">
        <v>2174</v>
      </c>
      <c r="H661" t="s">
        <v>1659</v>
      </c>
    </row>
    <row r="662" spans="1:8" hidden="1">
      <c r="A662" s="71">
        <v>44397</v>
      </c>
      <c r="B662" t="s">
        <v>328</v>
      </c>
      <c r="C662" t="s">
        <v>2044</v>
      </c>
      <c r="E662" s="86">
        <v>7206</v>
      </c>
      <c r="F662" t="s">
        <v>759</v>
      </c>
      <c r="G662">
        <v>2173</v>
      </c>
      <c r="H662" t="s">
        <v>1659</v>
      </c>
    </row>
    <row r="663" spans="1:8" hidden="1">
      <c r="A663" s="71">
        <v>44398</v>
      </c>
      <c r="B663" t="s">
        <v>39</v>
      </c>
      <c r="C663" t="s">
        <v>2045</v>
      </c>
      <c r="F663" t="s">
        <v>759</v>
      </c>
      <c r="G663">
        <v>6840</v>
      </c>
      <c r="H663" t="s">
        <v>1286</v>
      </c>
    </row>
    <row r="664" spans="1:8" hidden="1">
      <c r="A664" s="71">
        <v>44398</v>
      </c>
      <c r="B664" t="s">
        <v>39</v>
      </c>
      <c r="C664" t="s">
        <v>2046</v>
      </c>
      <c r="F664" t="s">
        <v>759</v>
      </c>
      <c r="G664">
        <v>2175</v>
      </c>
      <c r="H664" t="s">
        <v>1659</v>
      </c>
    </row>
    <row r="665" spans="1:8" hidden="1">
      <c r="A665" s="71">
        <v>44399</v>
      </c>
      <c r="B665" t="s">
        <v>39</v>
      </c>
      <c r="C665" t="s">
        <v>2047</v>
      </c>
      <c r="F665" t="s">
        <v>759</v>
      </c>
      <c r="G665">
        <v>6842</v>
      </c>
      <c r="H665" t="s">
        <v>1286</v>
      </c>
    </row>
    <row r="666" spans="1:8" hidden="1">
      <c r="A666" s="71">
        <v>44399</v>
      </c>
      <c r="B666" t="s">
        <v>12</v>
      </c>
      <c r="C666" t="s">
        <v>2048</v>
      </c>
      <c r="F666" t="s">
        <v>759</v>
      </c>
      <c r="G666">
        <v>6841</v>
      </c>
      <c r="H666" t="s">
        <v>1286</v>
      </c>
    </row>
    <row r="667" spans="1:8" hidden="1">
      <c r="A667" s="71">
        <v>44399</v>
      </c>
      <c r="B667" t="s">
        <v>39</v>
      </c>
      <c r="C667" t="s">
        <v>2049</v>
      </c>
      <c r="F667" t="s">
        <v>759</v>
      </c>
      <c r="G667">
        <v>2176</v>
      </c>
      <c r="H667" t="s">
        <v>1659</v>
      </c>
    </row>
    <row r="668" spans="1:8" hidden="1">
      <c r="A668" s="71">
        <v>44400</v>
      </c>
      <c r="B668" t="s">
        <v>351</v>
      </c>
      <c r="C668" t="s">
        <v>2050</v>
      </c>
      <c r="E668" s="86">
        <v>4951</v>
      </c>
      <c r="F668" t="s">
        <v>759</v>
      </c>
      <c r="G668">
        <v>6501</v>
      </c>
      <c r="H668" t="s">
        <v>1390</v>
      </c>
    </row>
    <row r="669" spans="1:8" hidden="1">
      <c r="A669" s="71">
        <v>44403</v>
      </c>
      <c r="B669" t="s">
        <v>373</v>
      </c>
      <c r="C669" t="s">
        <v>2051</v>
      </c>
      <c r="F669" t="s">
        <v>759</v>
      </c>
      <c r="G669">
        <v>6847</v>
      </c>
      <c r="H669" t="s">
        <v>1659</v>
      </c>
    </row>
    <row r="670" spans="1:8" hidden="1">
      <c r="A670" s="71">
        <v>44403</v>
      </c>
      <c r="B670" t="s">
        <v>162</v>
      </c>
      <c r="C670" t="s">
        <v>2052</v>
      </c>
      <c r="E670" s="86">
        <v>8029</v>
      </c>
      <c r="F670" t="s">
        <v>759</v>
      </c>
      <c r="G670">
        <v>2178</v>
      </c>
      <c r="H670" t="s">
        <v>1659</v>
      </c>
    </row>
    <row r="671" spans="1:8" hidden="1">
      <c r="A671" s="71">
        <v>44404</v>
      </c>
      <c r="B671" t="s">
        <v>176</v>
      </c>
      <c r="C671" t="s">
        <v>2053</v>
      </c>
      <c r="E671" s="86">
        <v>2600</v>
      </c>
      <c r="F671" t="s">
        <v>759</v>
      </c>
      <c r="G671">
        <v>6601</v>
      </c>
      <c r="H671" t="s">
        <v>1246</v>
      </c>
    </row>
    <row r="672" spans="1:8" hidden="1">
      <c r="A672" s="71">
        <v>44404</v>
      </c>
      <c r="B672" t="s">
        <v>346</v>
      </c>
      <c r="C672" t="s">
        <v>2054</v>
      </c>
      <c r="E672" s="86">
        <v>6685</v>
      </c>
      <c r="F672" t="s">
        <v>759</v>
      </c>
      <c r="G672">
        <v>2180</v>
      </c>
      <c r="H672" t="s">
        <v>1659</v>
      </c>
    </row>
    <row r="673" spans="1:8" hidden="1">
      <c r="A673" s="71">
        <v>44404</v>
      </c>
      <c r="B673" t="s">
        <v>705</v>
      </c>
      <c r="C673" t="s">
        <v>2055</v>
      </c>
      <c r="E673" s="86">
        <v>2633</v>
      </c>
      <c r="F673" t="s">
        <v>759</v>
      </c>
      <c r="G673">
        <v>2179</v>
      </c>
      <c r="H673" t="s">
        <v>1501</v>
      </c>
    </row>
    <row r="674" spans="1:8" hidden="1">
      <c r="A674" s="71">
        <v>44405</v>
      </c>
      <c r="B674" t="s">
        <v>692</v>
      </c>
      <c r="C674" t="s">
        <v>2056</v>
      </c>
      <c r="F674" t="s">
        <v>759</v>
      </c>
      <c r="G674">
        <v>6669</v>
      </c>
      <c r="H674" t="s">
        <v>1286</v>
      </c>
    </row>
    <row r="675" spans="1:8" hidden="1">
      <c r="A675" s="71">
        <v>44405</v>
      </c>
      <c r="B675" t="s">
        <v>152</v>
      </c>
      <c r="C675" t="s">
        <v>2057</v>
      </c>
      <c r="F675" t="s">
        <v>759</v>
      </c>
      <c r="G675">
        <v>6665</v>
      </c>
      <c r="H675" t="s">
        <v>1286</v>
      </c>
    </row>
    <row r="676" spans="1:8" hidden="1">
      <c r="A676" s="71">
        <v>44405</v>
      </c>
      <c r="B676" t="s">
        <v>176</v>
      </c>
      <c r="C676" t="s">
        <v>2058</v>
      </c>
      <c r="E676" s="86">
        <v>2600</v>
      </c>
      <c r="F676" t="s">
        <v>759</v>
      </c>
      <c r="G676">
        <v>6602</v>
      </c>
      <c r="H676" t="s">
        <v>1246</v>
      </c>
    </row>
    <row r="677" spans="1:8" hidden="1">
      <c r="A677" s="71">
        <v>44405</v>
      </c>
      <c r="B677" t="s">
        <v>365</v>
      </c>
      <c r="C677" t="s">
        <v>2059</v>
      </c>
      <c r="F677" t="s">
        <v>759</v>
      </c>
      <c r="G677">
        <v>6503</v>
      </c>
      <c r="H677" t="s">
        <v>1390</v>
      </c>
    </row>
    <row r="678" spans="1:8" hidden="1">
      <c r="A678" s="71">
        <v>44405</v>
      </c>
      <c r="B678" t="s">
        <v>39</v>
      </c>
      <c r="C678" t="s">
        <v>2060</v>
      </c>
      <c r="E678" s="86">
        <v>117</v>
      </c>
      <c r="F678" t="s">
        <v>759</v>
      </c>
      <c r="G678">
        <v>3596</v>
      </c>
      <c r="H678" t="s">
        <v>1235</v>
      </c>
    </row>
    <row r="679" spans="1:8" hidden="1">
      <c r="A679" s="71">
        <v>44406</v>
      </c>
      <c r="B679" t="s">
        <v>330</v>
      </c>
      <c r="C679" t="s">
        <v>2061</v>
      </c>
      <c r="E679" s="86">
        <v>8295</v>
      </c>
      <c r="F679" t="s">
        <v>759</v>
      </c>
      <c r="G679">
        <v>6674</v>
      </c>
      <c r="H679" t="s">
        <v>1659</v>
      </c>
    </row>
    <row r="680" spans="1:8" hidden="1">
      <c r="A680" s="71">
        <v>44406</v>
      </c>
      <c r="B680" t="s">
        <v>784</v>
      </c>
      <c r="C680" t="s">
        <v>2062</v>
      </c>
      <c r="E680" s="86">
        <v>13802</v>
      </c>
      <c r="F680" t="s">
        <v>759</v>
      </c>
      <c r="G680">
        <v>3070</v>
      </c>
      <c r="H680" t="s">
        <v>1252</v>
      </c>
    </row>
    <row r="681" spans="1:8" hidden="1">
      <c r="A681" s="71">
        <v>44406</v>
      </c>
      <c r="B681" t="s">
        <v>705</v>
      </c>
      <c r="C681" t="s">
        <v>2063</v>
      </c>
      <c r="E681" s="86">
        <v>2641</v>
      </c>
      <c r="F681" t="s">
        <v>759</v>
      </c>
      <c r="G681">
        <v>2181</v>
      </c>
      <c r="H681" t="s">
        <v>1659</v>
      </c>
    </row>
    <row r="682" spans="1:8" hidden="1">
      <c r="A682" s="71">
        <v>44407</v>
      </c>
      <c r="B682" t="s">
        <v>776</v>
      </c>
      <c r="C682" t="s">
        <v>2064</v>
      </c>
      <c r="F682" t="s">
        <v>759</v>
      </c>
      <c r="G682">
        <v>6678</v>
      </c>
      <c r="H682" t="s">
        <v>1286</v>
      </c>
    </row>
    <row r="683" spans="1:8" hidden="1">
      <c r="A683" s="71">
        <v>44407</v>
      </c>
      <c r="B683" t="s">
        <v>152</v>
      </c>
      <c r="C683" t="s">
        <v>2065</v>
      </c>
      <c r="F683" t="s">
        <v>759</v>
      </c>
      <c r="G683">
        <v>6677</v>
      </c>
      <c r="H683" t="s">
        <v>1286</v>
      </c>
    </row>
    <row r="684" spans="1:8" hidden="1">
      <c r="A684" s="71">
        <v>44407</v>
      </c>
      <c r="B684" t="s">
        <v>163</v>
      </c>
      <c r="C684" t="s">
        <v>2066</v>
      </c>
      <c r="E684" s="86">
        <v>5377</v>
      </c>
      <c r="F684" t="s">
        <v>759</v>
      </c>
      <c r="G684">
        <v>3593</v>
      </c>
      <c r="H684" t="s">
        <v>1235</v>
      </c>
    </row>
    <row r="685" spans="1:8" hidden="1">
      <c r="A685" s="71">
        <v>44407</v>
      </c>
      <c r="B685" t="s">
        <v>178</v>
      </c>
      <c r="C685" t="s">
        <v>2067</v>
      </c>
      <c r="E685" s="86">
        <v>672</v>
      </c>
      <c r="F685" t="s">
        <v>759</v>
      </c>
      <c r="G685">
        <v>3592</v>
      </c>
      <c r="H685" t="s">
        <v>1235</v>
      </c>
    </row>
    <row r="686" spans="1:8" hidden="1">
      <c r="A686" s="71">
        <v>44410</v>
      </c>
      <c r="B686" t="s">
        <v>157</v>
      </c>
      <c r="C686" t="s">
        <v>2068</v>
      </c>
      <c r="F686" t="s">
        <v>759</v>
      </c>
      <c r="G686">
        <v>2183</v>
      </c>
      <c r="H686" t="s">
        <v>1659</v>
      </c>
    </row>
    <row r="687" spans="1:8" hidden="1">
      <c r="A687" s="71">
        <v>44410</v>
      </c>
      <c r="B687" t="s">
        <v>178</v>
      </c>
      <c r="C687" t="s">
        <v>2069</v>
      </c>
      <c r="F687" t="s">
        <v>759</v>
      </c>
      <c r="G687">
        <v>2182</v>
      </c>
      <c r="H687" t="s">
        <v>1659</v>
      </c>
    </row>
    <row r="688" spans="1:8" hidden="1">
      <c r="A688" s="71">
        <v>44411</v>
      </c>
      <c r="B688" t="s">
        <v>152</v>
      </c>
      <c r="C688" t="s">
        <v>2070</v>
      </c>
      <c r="F688" t="s">
        <v>759</v>
      </c>
      <c r="G688">
        <v>6506</v>
      </c>
      <c r="H688" t="s">
        <v>1390</v>
      </c>
    </row>
    <row r="689" spans="1:8" hidden="1">
      <c r="A689" s="71">
        <v>44411</v>
      </c>
      <c r="B689" t="s">
        <v>365</v>
      </c>
      <c r="C689" t="s">
        <v>2071</v>
      </c>
      <c r="F689" t="s">
        <v>759</v>
      </c>
      <c r="G689">
        <v>6505</v>
      </c>
      <c r="H689" t="s">
        <v>1390</v>
      </c>
    </row>
    <row r="690" spans="1:8" hidden="1">
      <c r="A690" s="71">
        <v>44412</v>
      </c>
      <c r="B690" t="s">
        <v>324</v>
      </c>
      <c r="C690" t="s">
        <v>2072</v>
      </c>
      <c r="F690" t="s">
        <v>759</v>
      </c>
      <c r="H690" t="s">
        <v>1659</v>
      </c>
    </row>
    <row r="691" spans="1:8" hidden="1">
      <c r="A691" s="71">
        <v>44412</v>
      </c>
      <c r="B691" t="s">
        <v>704</v>
      </c>
      <c r="C691" t="s">
        <v>2073</v>
      </c>
      <c r="E691" s="86">
        <v>11861</v>
      </c>
      <c r="F691" t="s">
        <v>759</v>
      </c>
      <c r="G691">
        <v>6507</v>
      </c>
      <c r="H691" t="s">
        <v>1390</v>
      </c>
    </row>
    <row r="692" spans="1:8" hidden="1">
      <c r="A692" s="71">
        <v>44414</v>
      </c>
      <c r="B692" t="s">
        <v>162</v>
      </c>
      <c r="C692" t="s">
        <v>2074</v>
      </c>
      <c r="E692" s="86">
        <v>8108</v>
      </c>
      <c r="F692" t="s">
        <v>759</v>
      </c>
      <c r="G692">
        <v>2189</v>
      </c>
      <c r="H692" t="s">
        <v>1659</v>
      </c>
    </row>
    <row r="693" spans="1:8" hidden="1">
      <c r="A693" s="71">
        <v>44414</v>
      </c>
      <c r="B693" t="s">
        <v>789</v>
      </c>
      <c r="C693" t="s">
        <v>2075</v>
      </c>
      <c r="F693" t="s">
        <v>759</v>
      </c>
      <c r="G693">
        <v>6612</v>
      </c>
      <c r="H693" t="s">
        <v>1246</v>
      </c>
    </row>
    <row r="694" spans="1:8" hidden="1">
      <c r="A694" s="71">
        <v>44414</v>
      </c>
      <c r="B694" t="s">
        <v>573</v>
      </c>
      <c r="C694" t="s">
        <v>2076</v>
      </c>
      <c r="F694" t="s">
        <v>759</v>
      </c>
      <c r="G694">
        <v>6610</v>
      </c>
      <c r="H694" t="s">
        <v>1246</v>
      </c>
    </row>
    <row r="695" spans="1:8" hidden="1">
      <c r="A695" s="71">
        <v>44415</v>
      </c>
      <c r="B695" t="s">
        <v>351</v>
      </c>
      <c r="C695" t="s">
        <v>2077</v>
      </c>
      <c r="E695" s="86">
        <v>4951</v>
      </c>
      <c r="F695" t="s">
        <v>759</v>
      </c>
      <c r="G695">
        <v>6508</v>
      </c>
      <c r="H695" t="s">
        <v>1390</v>
      </c>
    </row>
    <row r="696" spans="1:8" hidden="1">
      <c r="A696" s="71">
        <v>44417</v>
      </c>
      <c r="B696" t="s">
        <v>178</v>
      </c>
      <c r="C696" t="s">
        <v>2078</v>
      </c>
      <c r="F696" t="s">
        <v>759</v>
      </c>
      <c r="G696">
        <v>6858</v>
      </c>
      <c r="H696" t="s">
        <v>1286</v>
      </c>
    </row>
    <row r="697" spans="1:8" hidden="1">
      <c r="A697" s="71">
        <v>44417</v>
      </c>
      <c r="B697" t="s">
        <v>328</v>
      </c>
      <c r="C697" t="s">
        <v>2079</v>
      </c>
      <c r="E697" s="86">
        <v>7236</v>
      </c>
      <c r="F697" t="s">
        <v>759</v>
      </c>
      <c r="G697">
        <v>6856</v>
      </c>
      <c r="H697" t="s">
        <v>1659</v>
      </c>
    </row>
    <row r="698" spans="1:8" hidden="1">
      <c r="A698" s="71">
        <v>44417</v>
      </c>
      <c r="B698" t="s">
        <v>19</v>
      </c>
      <c r="C698" t="s">
        <v>2080</v>
      </c>
      <c r="E698" s="86">
        <v>4152</v>
      </c>
      <c r="F698" t="s">
        <v>759</v>
      </c>
      <c r="G698">
        <v>6753</v>
      </c>
      <c r="H698" t="s">
        <v>1252</v>
      </c>
    </row>
    <row r="699" spans="1:8" hidden="1">
      <c r="A699" s="71">
        <v>44417</v>
      </c>
      <c r="B699" t="s">
        <v>690</v>
      </c>
      <c r="C699" t="s">
        <v>2081</v>
      </c>
      <c r="F699" t="s">
        <v>759</v>
      </c>
      <c r="G699">
        <v>2192</v>
      </c>
      <c r="H699" t="s">
        <v>1659</v>
      </c>
    </row>
    <row r="700" spans="1:8" hidden="1">
      <c r="A700" s="71">
        <v>44417</v>
      </c>
      <c r="B700" t="s">
        <v>196</v>
      </c>
      <c r="C700" t="s">
        <v>2082</v>
      </c>
      <c r="F700" t="s">
        <v>759</v>
      </c>
      <c r="G700">
        <v>2191</v>
      </c>
      <c r="H700" t="s">
        <v>1659</v>
      </c>
    </row>
    <row r="701" spans="1:8" hidden="1">
      <c r="A701" s="71">
        <v>44418</v>
      </c>
      <c r="B701" t="s">
        <v>328</v>
      </c>
      <c r="C701" t="s">
        <v>2083</v>
      </c>
      <c r="E701" s="86">
        <v>7236</v>
      </c>
      <c r="F701" t="s">
        <v>759</v>
      </c>
      <c r="G701">
        <v>6864</v>
      </c>
      <c r="H701" t="s">
        <v>1659</v>
      </c>
    </row>
    <row r="702" spans="1:8" hidden="1">
      <c r="A702" s="71">
        <v>44418</v>
      </c>
      <c r="B702" t="s">
        <v>183</v>
      </c>
      <c r="C702" t="s">
        <v>2084</v>
      </c>
      <c r="E702" s="86">
        <v>32176</v>
      </c>
      <c r="F702" t="s">
        <v>759</v>
      </c>
      <c r="G702">
        <v>2193</v>
      </c>
      <c r="H702" t="s">
        <v>1659</v>
      </c>
    </row>
    <row r="703" spans="1:8" hidden="1">
      <c r="A703" s="71">
        <v>44419</v>
      </c>
      <c r="B703" t="s">
        <v>351</v>
      </c>
      <c r="C703" t="s">
        <v>2085</v>
      </c>
      <c r="E703" s="86">
        <v>5030</v>
      </c>
      <c r="F703" t="s">
        <v>759</v>
      </c>
      <c r="G703">
        <v>6869</v>
      </c>
      <c r="H703" t="s">
        <v>1659</v>
      </c>
    </row>
    <row r="704" spans="1:8" hidden="1">
      <c r="A704" s="71">
        <v>44419</v>
      </c>
      <c r="B704" t="s">
        <v>373</v>
      </c>
      <c r="C704" t="s">
        <v>2086</v>
      </c>
      <c r="F704" t="s">
        <v>759</v>
      </c>
      <c r="G704">
        <v>6868</v>
      </c>
      <c r="H704" t="s">
        <v>1659</v>
      </c>
    </row>
    <row r="705" spans="1:8" hidden="1">
      <c r="A705" s="71">
        <v>44420</v>
      </c>
      <c r="B705" t="s">
        <v>157</v>
      </c>
      <c r="C705" t="s">
        <v>2087</v>
      </c>
      <c r="F705" t="s">
        <v>759</v>
      </c>
      <c r="G705">
        <v>6871</v>
      </c>
      <c r="H705" t="s">
        <v>1286</v>
      </c>
    </row>
    <row r="706" spans="1:8" hidden="1">
      <c r="A706" s="71">
        <v>44420</v>
      </c>
      <c r="B706" t="s">
        <v>373</v>
      </c>
      <c r="C706" t="s">
        <v>2088</v>
      </c>
      <c r="E706" s="86">
        <v>2342</v>
      </c>
      <c r="F706" t="s">
        <v>759</v>
      </c>
      <c r="G706">
        <v>6870</v>
      </c>
      <c r="H706" t="s">
        <v>1659</v>
      </c>
    </row>
    <row r="707" spans="1:8" hidden="1">
      <c r="A707" s="71">
        <v>44420</v>
      </c>
      <c r="B707" t="s">
        <v>336</v>
      </c>
      <c r="C707" t="s">
        <v>2089</v>
      </c>
      <c r="E707" s="86">
        <v>8481</v>
      </c>
      <c r="F707" t="s">
        <v>759</v>
      </c>
      <c r="G707">
        <v>2197</v>
      </c>
      <c r="H707" t="s">
        <v>1659</v>
      </c>
    </row>
    <row r="708" spans="1:8" hidden="1">
      <c r="A708" s="71">
        <v>44420</v>
      </c>
      <c r="B708" t="s">
        <v>29</v>
      </c>
      <c r="C708" t="s">
        <v>2090</v>
      </c>
      <c r="E708" s="86">
        <v>3928</v>
      </c>
      <c r="F708" t="s">
        <v>759</v>
      </c>
      <c r="G708">
        <v>6706</v>
      </c>
      <c r="H708" t="s">
        <v>1560</v>
      </c>
    </row>
    <row r="709" spans="1:8" hidden="1">
      <c r="A709" s="71">
        <v>44420</v>
      </c>
      <c r="B709" t="s">
        <v>178</v>
      </c>
      <c r="C709" t="s">
        <v>2091</v>
      </c>
      <c r="E709" s="86">
        <v>682</v>
      </c>
      <c r="F709" t="s">
        <v>759</v>
      </c>
      <c r="G709">
        <v>3600</v>
      </c>
      <c r="H709" t="s">
        <v>1235</v>
      </c>
    </row>
    <row r="710" spans="1:8" hidden="1">
      <c r="A710" s="71">
        <v>44420</v>
      </c>
      <c r="B710" t="s">
        <v>39</v>
      </c>
      <c r="C710" t="s">
        <v>2092</v>
      </c>
      <c r="E710" s="86">
        <v>169</v>
      </c>
      <c r="F710" t="s">
        <v>759</v>
      </c>
      <c r="G710">
        <v>3599</v>
      </c>
      <c r="H710" t="s">
        <v>1235</v>
      </c>
    </row>
    <row r="711" spans="1:8" hidden="1">
      <c r="A711" s="71">
        <v>44420</v>
      </c>
      <c r="B711" t="s">
        <v>25</v>
      </c>
      <c r="C711" t="s">
        <v>2093</v>
      </c>
      <c r="F711" t="s">
        <v>759</v>
      </c>
      <c r="G711">
        <v>2195</v>
      </c>
      <c r="H711" t="s">
        <v>1659</v>
      </c>
    </row>
    <row r="712" spans="1:8" hidden="1">
      <c r="A712" s="71">
        <v>44421</v>
      </c>
      <c r="B712" t="s">
        <v>157</v>
      </c>
      <c r="C712" t="s">
        <v>2094</v>
      </c>
      <c r="F712" t="s">
        <v>759</v>
      </c>
      <c r="G712">
        <v>6875</v>
      </c>
      <c r="H712" t="s">
        <v>1286</v>
      </c>
    </row>
    <row r="713" spans="1:8" hidden="1">
      <c r="A713" s="71">
        <v>44421</v>
      </c>
      <c r="B713" t="s">
        <v>713</v>
      </c>
      <c r="C713" t="s">
        <v>2095</v>
      </c>
      <c r="F713" t="s">
        <v>759</v>
      </c>
      <c r="G713">
        <v>2199</v>
      </c>
      <c r="H713" t="s">
        <v>1659</v>
      </c>
    </row>
    <row r="714" spans="1:8" hidden="1">
      <c r="A714" s="71">
        <v>44421</v>
      </c>
      <c r="B714" t="s">
        <v>322</v>
      </c>
      <c r="C714" t="s">
        <v>2096</v>
      </c>
      <c r="E714" s="86">
        <v>23806</v>
      </c>
      <c r="F714" t="s">
        <v>759</v>
      </c>
      <c r="G714">
        <v>2198</v>
      </c>
      <c r="H714" t="s">
        <v>1659</v>
      </c>
    </row>
    <row r="715" spans="1:8" hidden="1">
      <c r="A715" s="71">
        <v>44422</v>
      </c>
      <c r="B715" t="s">
        <v>322</v>
      </c>
      <c r="C715" t="s">
        <v>2097</v>
      </c>
      <c r="E715" s="86">
        <v>23806</v>
      </c>
      <c r="F715" t="s">
        <v>759</v>
      </c>
      <c r="G715">
        <v>2200</v>
      </c>
      <c r="H715" t="s">
        <v>1659</v>
      </c>
    </row>
    <row r="716" spans="1:8" hidden="1">
      <c r="A716" s="71">
        <v>44423</v>
      </c>
      <c r="B716" t="s">
        <v>780</v>
      </c>
      <c r="C716" t="s">
        <v>2098</v>
      </c>
      <c r="F716" t="s">
        <v>759</v>
      </c>
      <c r="G716">
        <v>6988</v>
      </c>
      <c r="H716" t="s">
        <v>1286</v>
      </c>
    </row>
    <row r="717" spans="1:8" hidden="1">
      <c r="A717" s="71">
        <v>44424</v>
      </c>
      <c r="B717" t="s">
        <v>713</v>
      </c>
      <c r="C717" t="s">
        <v>2099</v>
      </c>
      <c r="E717" s="86">
        <v>12400</v>
      </c>
      <c r="F717" t="s">
        <v>759</v>
      </c>
      <c r="G717">
        <v>6879</v>
      </c>
      <c r="H717" t="s">
        <v>1659</v>
      </c>
    </row>
    <row r="718" spans="1:8" hidden="1">
      <c r="A718" s="71">
        <v>44424</v>
      </c>
      <c r="B718" t="s">
        <v>157</v>
      </c>
      <c r="C718" t="s">
        <v>2100</v>
      </c>
      <c r="F718" t="s">
        <v>759</v>
      </c>
      <c r="G718">
        <v>6878</v>
      </c>
      <c r="H718" t="s">
        <v>1286</v>
      </c>
    </row>
    <row r="719" spans="1:8" hidden="1">
      <c r="A719" s="71">
        <v>44424</v>
      </c>
      <c r="B719" t="s">
        <v>322</v>
      </c>
      <c r="C719" t="s">
        <v>2101</v>
      </c>
      <c r="E719" s="86">
        <v>23806</v>
      </c>
      <c r="F719" t="s">
        <v>759</v>
      </c>
      <c r="G719">
        <v>3459</v>
      </c>
      <c r="H719" t="s">
        <v>1659</v>
      </c>
    </row>
    <row r="720" spans="1:8" hidden="1">
      <c r="A720" s="71">
        <v>44424</v>
      </c>
      <c r="B720" t="s">
        <v>784</v>
      </c>
      <c r="C720" t="s">
        <v>2102</v>
      </c>
      <c r="E720" s="86">
        <v>13715</v>
      </c>
      <c r="F720" t="s">
        <v>759</v>
      </c>
      <c r="G720">
        <v>3157</v>
      </c>
      <c r="H720" t="s">
        <v>1492</v>
      </c>
    </row>
    <row r="721" spans="1:8" hidden="1">
      <c r="A721" s="71">
        <v>44425</v>
      </c>
      <c r="B721" t="s">
        <v>713</v>
      </c>
      <c r="C721" t="s">
        <v>2103</v>
      </c>
      <c r="E721" s="86">
        <v>12400</v>
      </c>
      <c r="F721" t="s">
        <v>759</v>
      </c>
      <c r="G721">
        <v>6882</v>
      </c>
      <c r="H721" t="s">
        <v>1659</v>
      </c>
    </row>
    <row r="722" spans="1:8" hidden="1">
      <c r="A722" s="71">
        <v>44426</v>
      </c>
      <c r="B722" t="s">
        <v>705</v>
      </c>
      <c r="C722" t="s">
        <v>2104</v>
      </c>
      <c r="E722" s="86">
        <v>2447</v>
      </c>
      <c r="F722" t="s">
        <v>759</v>
      </c>
      <c r="G722">
        <v>68832.100000000006</v>
      </c>
      <c r="H722" t="s">
        <v>1659</v>
      </c>
    </row>
    <row r="723" spans="1:8" hidden="1">
      <c r="A723" s="71">
        <v>44426</v>
      </c>
      <c r="B723" t="s">
        <v>351</v>
      </c>
      <c r="C723" t="s">
        <v>2105</v>
      </c>
      <c r="E723" s="86">
        <v>5054</v>
      </c>
      <c r="F723" t="s">
        <v>759</v>
      </c>
      <c r="G723">
        <v>3466</v>
      </c>
      <c r="H723" t="s">
        <v>1659</v>
      </c>
    </row>
    <row r="724" spans="1:8" hidden="1">
      <c r="A724" s="71">
        <v>44427</v>
      </c>
      <c r="B724" t="s">
        <v>162</v>
      </c>
      <c r="C724" t="s">
        <v>2106</v>
      </c>
      <c r="F724" t="s">
        <v>759</v>
      </c>
      <c r="G724">
        <v>6509</v>
      </c>
      <c r="H724" t="s">
        <v>1390</v>
      </c>
    </row>
    <row r="725" spans="1:8" hidden="1">
      <c r="A725" s="71">
        <v>44427</v>
      </c>
      <c r="B725" t="s">
        <v>776</v>
      </c>
      <c r="C725" t="s">
        <v>2107</v>
      </c>
      <c r="E725" s="86">
        <v>8203</v>
      </c>
      <c r="F725" t="s">
        <v>759</v>
      </c>
      <c r="G725">
        <v>6891</v>
      </c>
      <c r="H725" t="s">
        <v>1286</v>
      </c>
    </row>
    <row r="726" spans="1:8" hidden="1">
      <c r="A726" s="71">
        <v>44427</v>
      </c>
      <c r="B726" t="s">
        <v>776</v>
      </c>
      <c r="C726" t="s">
        <v>2108</v>
      </c>
      <c r="E726" s="86">
        <v>8203</v>
      </c>
      <c r="F726" t="s">
        <v>759</v>
      </c>
      <c r="G726">
        <v>3467</v>
      </c>
      <c r="H726" t="s">
        <v>1286</v>
      </c>
    </row>
    <row r="727" spans="1:8" hidden="1">
      <c r="A727" s="71">
        <v>44432</v>
      </c>
      <c r="B727" t="s">
        <v>334</v>
      </c>
      <c r="C727" t="s">
        <v>2109</v>
      </c>
      <c r="F727" t="s">
        <v>759</v>
      </c>
      <c r="G727">
        <v>6515</v>
      </c>
      <c r="H727" t="s">
        <v>1390</v>
      </c>
    </row>
    <row r="728" spans="1:8" hidden="1">
      <c r="A728" s="71">
        <v>44433</v>
      </c>
      <c r="B728" t="s">
        <v>157</v>
      </c>
      <c r="C728" t="s">
        <v>2110</v>
      </c>
      <c r="F728" t="s">
        <v>759</v>
      </c>
      <c r="G728">
        <v>6907</v>
      </c>
      <c r="H728" t="s">
        <v>1659</v>
      </c>
    </row>
    <row r="729" spans="1:8" hidden="1">
      <c r="A729" s="71">
        <v>44433</v>
      </c>
      <c r="B729" t="s">
        <v>143</v>
      </c>
      <c r="C729" t="s">
        <v>2111</v>
      </c>
      <c r="F729" t="s">
        <v>759</v>
      </c>
      <c r="G729">
        <v>6906</v>
      </c>
      <c r="H729" t="s">
        <v>1286</v>
      </c>
    </row>
    <row r="730" spans="1:8" hidden="1">
      <c r="A730" s="71">
        <v>44433</v>
      </c>
      <c r="B730" t="s">
        <v>19</v>
      </c>
      <c r="C730" t="s">
        <v>2112</v>
      </c>
      <c r="F730" t="s">
        <v>759</v>
      </c>
      <c r="G730">
        <v>6519</v>
      </c>
      <c r="H730" t="s">
        <v>1390</v>
      </c>
    </row>
    <row r="731" spans="1:8" hidden="1">
      <c r="A731" s="71">
        <v>44433</v>
      </c>
      <c r="B731" t="s">
        <v>143</v>
      </c>
      <c r="C731" t="s">
        <v>2113</v>
      </c>
      <c r="F731" t="s">
        <v>759</v>
      </c>
      <c r="G731">
        <v>3482</v>
      </c>
      <c r="H731" t="s">
        <v>1659</v>
      </c>
    </row>
    <row r="732" spans="1:8" hidden="1">
      <c r="A732" s="71">
        <v>44434</v>
      </c>
      <c r="B732" t="s">
        <v>175</v>
      </c>
      <c r="C732" t="s">
        <v>2114</v>
      </c>
      <c r="E732" s="86">
        <v>3264</v>
      </c>
      <c r="F732" t="s">
        <v>759</v>
      </c>
      <c r="G732">
        <v>6759</v>
      </c>
      <c r="H732" t="s">
        <v>1252</v>
      </c>
    </row>
    <row r="733" spans="1:8" hidden="1">
      <c r="A733" s="71">
        <v>44434</v>
      </c>
      <c r="B733" t="s">
        <v>12</v>
      </c>
      <c r="C733" t="s">
        <v>2115</v>
      </c>
      <c r="E733" s="86">
        <v>1118</v>
      </c>
      <c r="F733" t="s">
        <v>759</v>
      </c>
      <c r="G733">
        <v>6520</v>
      </c>
      <c r="H733" t="s">
        <v>1390</v>
      </c>
    </row>
    <row r="734" spans="1:8" hidden="1">
      <c r="A734" s="71">
        <v>44434</v>
      </c>
      <c r="B734" t="s">
        <v>360</v>
      </c>
      <c r="C734" t="s">
        <v>2116</v>
      </c>
      <c r="E734" s="86">
        <v>3942</v>
      </c>
      <c r="F734" t="s">
        <v>759</v>
      </c>
      <c r="G734">
        <v>3486</v>
      </c>
      <c r="H734" t="s">
        <v>1659</v>
      </c>
    </row>
    <row r="735" spans="1:8" hidden="1">
      <c r="A735" s="71">
        <v>44434</v>
      </c>
      <c r="B735" t="s">
        <v>691</v>
      </c>
      <c r="C735" t="s">
        <v>2117</v>
      </c>
      <c r="E735" s="86">
        <v>3374</v>
      </c>
      <c r="F735" t="s">
        <v>759</v>
      </c>
      <c r="G735">
        <v>3485</v>
      </c>
      <c r="H735" t="s">
        <v>1659</v>
      </c>
    </row>
    <row r="736" spans="1:8" hidden="1">
      <c r="A736" s="71">
        <v>44435</v>
      </c>
      <c r="B736" t="s">
        <v>19</v>
      </c>
      <c r="C736" t="s">
        <v>2118</v>
      </c>
      <c r="E736" s="86">
        <v>4347</v>
      </c>
      <c r="F736" t="s">
        <v>759</v>
      </c>
      <c r="G736">
        <v>6761</v>
      </c>
      <c r="H736" t="s">
        <v>1252</v>
      </c>
    </row>
    <row r="737" spans="1:8" hidden="1">
      <c r="A737" s="71">
        <v>44436</v>
      </c>
      <c r="B737" t="s">
        <v>32</v>
      </c>
      <c r="C737" t="s">
        <v>2119</v>
      </c>
      <c r="E737" s="86">
        <v>2941</v>
      </c>
      <c r="F737" t="s">
        <v>759</v>
      </c>
      <c r="G737">
        <v>6760</v>
      </c>
      <c r="H737" t="s">
        <v>1252</v>
      </c>
    </row>
    <row r="738" spans="1:8" hidden="1">
      <c r="A738" s="71">
        <v>44436</v>
      </c>
      <c r="B738" t="s">
        <v>185</v>
      </c>
      <c r="C738" t="s">
        <v>2120</v>
      </c>
      <c r="F738" t="s">
        <v>759</v>
      </c>
      <c r="G738">
        <v>6522</v>
      </c>
      <c r="H738" t="s">
        <v>1390</v>
      </c>
    </row>
    <row r="739" spans="1:8" hidden="1">
      <c r="A739" s="71">
        <v>44438</v>
      </c>
      <c r="B739" t="s">
        <v>35</v>
      </c>
      <c r="C739" t="s">
        <v>2121</v>
      </c>
      <c r="E739" s="86">
        <v>3978</v>
      </c>
      <c r="F739" t="s">
        <v>759</v>
      </c>
      <c r="G739">
        <v>6925</v>
      </c>
      <c r="H739" t="s">
        <v>1286</v>
      </c>
    </row>
    <row r="740" spans="1:8" hidden="1">
      <c r="A740" s="71">
        <v>44438</v>
      </c>
      <c r="B740" t="s">
        <v>175</v>
      </c>
      <c r="C740" t="s">
        <v>2122</v>
      </c>
      <c r="E740" s="86">
        <v>3283</v>
      </c>
      <c r="F740" t="s">
        <v>759</v>
      </c>
      <c r="G740">
        <v>3493</v>
      </c>
      <c r="H740" t="s">
        <v>1659</v>
      </c>
    </row>
    <row r="741" spans="1:8" hidden="1">
      <c r="A741" s="71">
        <v>44439</v>
      </c>
      <c r="B741" t="s">
        <v>29</v>
      </c>
      <c r="C741" t="s">
        <v>2123</v>
      </c>
      <c r="E741" s="86">
        <v>4493</v>
      </c>
      <c r="F741" t="s">
        <v>759</v>
      </c>
      <c r="G741">
        <v>6926</v>
      </c>
      <c r="H741" t="s">
        <v>1286</v>
      </c>
    </row>
    <row r="742" spans="1:8" hidden="1">
      <c r="A742" s="71">
        <v>44439</v>
      </c>
      <c r="B742" t="s">
        <v>12</v>
      </c>
      <c r="C742" t="s">
        <v>2124</v>
      </c>
      <c r="E742" s="86">
        <v>1142</v>
      </c>
      <c r="F742" t="s">
        <v>759</v>
      </c>
      <c r="G742">
        <v>4451</v>
      </c>
      <c r="H742" t="s">
        <v>1659</v>
      </c>
    </row>
    <row r="743" spans="1:8" hidden="1">
      <c r="A743" s="71">
        <v>44440</v>
      </c>
      <c r="B743" t="s">
        <v>180</v>
      </c>
      <c r="C743" t="s">
        <v>2125</v>
      </c>
      <c r="F743" t="s">
        <v>759</v>
      </c>
      <c r="G743">
        <v>6539</v>
      </c>
      <c r="H743" t="s">
        <v>1390</v>
      </c>
    </row>
    <row r="744" spans="1:8" hidden="1">
      <c r="A744" s="71">
        <v>44440</v>
      </c>
      <c r="B744" t="s">
        <v>2126</v>
      </c>
      <c r="C744" t="s">
        <v>2127</v>
      </c>
      <c r="E744" s="86">
        <v>5467</v>
      </c>
      <c r="F744" t="s">
        <v>759</v>
      </c>
      <c r="G744">
        <v>6538</v>
      </c>
      <c r="H744" t="s">
        <v>1492</v>
      </c>
    </row>
    <row r="745" spans="1:8" hidden="1">
      <c r="A745" s="71">
        <v>44440</v>
      </c>
      <c r="B745" t="s">
        <v>351</v>
      </c>
      <c r="C745" t="s">
        <v>2128</v>
      </c>
      <c r="E745" s="86">
        <v>5104</v>
      </c>
      <c r="F745" t="s">
        <v>759</v>
      </c>
      <c r="G745">
        <v>4452</v>
      </c>
      <c r="H745" t="s">
        <v>1659</v>
      </c>
    </row>
    <row r="746" spans="1:8" hidden="1">
      <c r="A746" s="71">
        <v>44441</v>
      </c>
      <c r="B746" t="s">
        <v>143</v>
      </c>
      <c r="C746" t="s">
        <v>2129</v>
      </c>
      <c r="F746" t="s">
        <v>759</v>
      </c>
      <c r="G746">
        <v>6941</v>
      </c>
      <c r="H746" t="s">
        <v>1286</v>
      </c>
    </row>
    <row r="747" spans="1:8" hidden="1">
      <c r="A747" s="71">
        <v>44441</v>
      </c>
      <c r="B747" t="s">
        <v>12</v>
      </c>
      <c r="C747" t="s">
        <v>2130</v>
      </c>
      <c r="E747" s="86">
        <v>1164</v>
      </c>
      <c r="F747" t="s">
        <v>759</v>
      </c>
      <c r="G747">
        <v>6937</v>
      </c>
      <c r="H747" t="s">
        <v>1286</v>
      </c>
    </row>
    <row r="748" spans="1:8" hidden="1">
      <c r="A748" s="71">
        <v>44441</v>
      </c>
      <c r="B748" t="s">
        <v>185</v>
      </c>
      <c r="C748" t="s">
        <v>2131</v>
      </c>
      <c r="E748" s="86">
        <v>32046</v>
      </c>
      <c r="F748" t="s">
        <v>759</v>
      </c>
      <c r="G748">
        <v>4455</v>
      </c>
      <c r="H748" t="s">
        <v>1659</v>
      </c>
    </row>
    <row r="749" spans="1:8" hidden="1">
      <c r="A749" s="71">
        <v>44442</v>
      </c>
      <c r="B749" t="s">
        <v>330</v>
      </c>
      <c r="C749" t="s">
        <v>2132</v>
      </c>
      <c r="E749" s="86">
        <v>5411</v>
      </c>
      <c r="F749" t="s">
        <v>759</v>
      </c>
      <c r="G749">
        <v>6942</v>
      </c>
      <c r="H749" t="s">
        <v>1659</v>
      </c>
    </row>
    <row r="750" spans="1:8" hidden="1">
      <c r="A750" s="71">
        <v>44442</v>
      </c>
      <c r="B750" t="s">
        <v>330</v>
      </c>
      <c r="C750" t="s">
        <v>2133</v>
      </c>
      <c r="E750" s="86">
        <v>5411</v>
      </c>
      <c r="F750" t="s">
        <v>759</v>
      </c>
      <c r="G750">
        <v>4457</v>
      </c>
      <c r="H750" t="s">
        <v>1659</v>
      </c>
    </row>
    <row r="751" spans="1:8" hidden="1">
      <c r="A751" s="71">
        <v>44443</v>
      </c>
      <c r="B751" t="s">
        <v>39</v>
      </c>
      <c r="C751" t="s">
        <v>2134</v>
      </c>
      <c r="F751" t="s">
        <v>759</v>
      </c>
      <c r="G751">
        <v>6541</v>
      </c>
      <c r="H751" t="s">
        <v>1390</v>
      </c>
    </row>
    <row r="752" spans="1:8" hidden="1">
      <c r="A752" s="71">
        <v>44444</v>
      </c>
      <c r="B752" t="s">
        <v>330</v>
      </c>
      <c r="C752" t="s">
        <v>2135</v>
      </c>
      <c r="E752" s="86">
        <v>5470</v>
      </c>
      <c r="F752" t="s">
        <v>759</v>
      </c>
      <c r="G752">
        <v>6542</v>
      </c>
      <c r="H752" t="s">
        <v>1390</v>
      </c>
    </row>
    <row r="753" spans="1:8" hidden="1">
      <c r="A753" s="71">
        <v>44445</v>
      </c>
      <c r="B753" t="s">
        <v>330</v>
      </c>
      <c r="C753" t="s">
        <v>2136</v>
      </c>
      <c r="E753" s="86">
        <v>5421</v>
      </c>
      <c r="F753" t="s">
        <v>759</v>
      </c>
      <c r="G753">
        <v>6527</v>
      </c>
      <c r="H753" t="s">
        <v>1808</v>
      </c>
    </row>
    <row r="754" spans="1:8" hidden="1">
      <c r="A754" s="71">
        <v>44446</v>
      </c>
      <c r="B754" t="s">
        <v>152</v>
      </c>
      <c r="C754" t="s">
        <v>2137</v>
      </c>
      <c r="F754" t="s">
        <v>759</v>
      </c>
      <c r="G754">
        <v>6954</v>
      </c>
      <c r="H754" t="s">
        <v>1286</v>
      </c>
    </row>
    <row r="755" spans="1:8" hidden="1">
      <c r="A755" s="71">
        <v>44446</v>
      </c>
      <c r="B755" t="s">
        <v>2126</v>
      </c>
      <c r="C755" t="s">
        <v>2138</v>
      </c>
      <c r="E755" s="86">
        <v>5467</v>
      </c>
      <c r="F755" t="s">
        <v>759</v>
      </c>
      <c r="G755">
        <v>6543</v>
      </c>
      <c r="H755" t="s">
        <v>1390</v>
      </c>
    </row>
    <row r="756" spans="1:8" hidden="1">
      <c r="A756" s="71">
        <v>44446</v>
      </c>
      <c r="B756" t="s">
        <v>188</v>
      </c>
      <c r="C756" t="s">
        <v>2139</v>
      </c>
      <c r="E756" s="86">
        <v>248778</v>
      </c>
      <c r="F756" t="s">
        <v>759</v>
      </c>
      <c r="G756">
        <v>2054</v>
      </c>
      <c r="H756" t="s">
        <v>1235</v>
      </c>
    </row>
    <row r="757" spans="1:8" hidden="1">
      <c r="A757" s="71">
        <v>44447</v>
      </c>
      <c r="B757" t="s">
        <v>351</v>
      </c>
      <c r="C757" t="s">
        <v>2140</v>
      </c>
      <c r="E757" s="86">
        <v>5124</v>
      </c>
      <c r="F757" t="s">
        <v>759</v>
      </c>
      <c r="G757">
        <v>6959</v>
      </c>
      <c r="H757" t="s">
        <v>1659</v>
      </c>
    </row>
    <row r="758" spans="1:8" hidden="1">
      <c r="A758" s="71">
        <v>44447</v>
      </c>
      <c r="B758" t="s">
        <v>776</v>
      </c>
      <c r="C758" t="s">
        <v>2141</v>
      </c>
      <c r="F758" t="s">
        <v>759</v>
      </c>
      <c r="G758">
        <v>6956</v>
      </c>
      <c r="H758" t="s">
        <v>1286</v>
      </c>
    </row>
    <row r="759" spans="1:8" hidden="1">
      <c r="A759" s="71">
        <v>44448</v>
      </c>
      <c r="B759" t="s">
        <v>330</v>
      </c>
      <c r="C759" t="s">
        <v>2142</v>
      </c>
      <c r="E759" s="86">
        <v>5421</v>
      </c>
      <c r="F759" t="s">
        <v>759</v>
      </c>
      <c r="G759">
        <v>6528</v>
      </c>
      <c r="H759" t="s">
        <v>1808</v>
      </c>
    </row>
    <row r="760" spans="1:8" hidden="1">
      <c r="A760" s="71">
        <v>44448</v>
      </c>
      <c r="B760" t="s">
        <v>311</v>
      </c>
      <c r="C760" t="s">
        <v>2143</v>
      </c>
      <c r="E760" s="86">
        <v>12545</v>
      </c>
      <c r="F760" t="s">
        <v>759</v>
      </c>
      <c r="G760">
        <v>6529</v>
      </c>
      <c r="H760" t="s">
        <v>1390</v>
      </c>
    </row>
    <row r="761" spans="1:8" hidden="1">
      <c r="A761" s="71">
        <v>44449</v>
      </c>
      <c r="B761" t="s">
        <v>776</v>
      </c>
      <c r="C761" t="s">
        <v>2144</v>
      </c>
      <c r="F761" t="s">
        <v>759</v>
      </c>
      <c r="G761">
        <v>6974</v>
      </c>
      <c r="H761" t="s">
        <v>1286</v>
      </c>
    </row>
    <row r="762" spans="1:8" hidden="1">
      <c r="A762" s="71">
        <v>44449</v>
      </c>
      <c r="B762" t="s">
        <v>776</v>
      </c>
      <c r="C762" t="s">
        <v>2144</v>
      </c>
      <c r="F762" t="s">
        <v>759</v>
      </c>
      <c r="G762">
        <v>6974</v>
      </c>
      <c r="H762" t="s">
        <v>1659</v>
      </c>
    </row>
    <row r="763" spans="1:8" hidden="1">
      <c r="A763" s="71">
        <v>44452</v>
      </c>
      <c r="B763" t="s">
        <v>373</v>
      </c>
      <c r="C763" t="s">
        <v>2145</v>
      </c>
      <c r="E763" s="86">
        <v>2415</v>
      </c>
      <c r="F763" t="s">
        <v>759</v>
      </c>
      <c r="G763">
        <v>6531</v>
      </c>
      <c r="H763" t="s">
        <v>1390</v>
      </c>
    </row>
    <row r="764" spans="1:8" hidden="1">
      <c r="A764" s="71">
        <v>44453</v>
      </c>
      <c r="B764" t="s">
        <v>333</v>
      </c>
      <c r="C764" t="s">
        <v>2146</v>
      </c>
      <c r="F764" t="s">
        <v>759</v>
      </c>
      <c r="H764" t="s">
        <v>1659</v>
      </c>
    </row>
    <row r="765" spans="1:8" hidden="1">
      <c r="A765" s="71">
        <v>44454</v>
      </c>
      <c r="B765" t="s">
        <v>42</v>
      </c>
      <c r="C765" t="s">
        <v>2147</v>
      </c>
      <c r="F765" t="s">
        <v>759</v>
      </c>
      <c r="G765">
        <v>6989</v>
      </c>
      <c r="H765" t="s">
        <v>1286</v>
      </c>
    </row>
    <row r="766" spans="1:8" hidden="1">
      <c r="A766" s="71">
        <v>44454</v>
      </c>
      <c r="B766" t="s">
        <v>688</v>
      </c>
      <c r="C766" t="s">
        <v>2148</v>
      </c>
      <c r="E766" s="86">
        <v>7755</v>
      </c>
      <c r="F766" t="s">
        <v>759</v>
      </c>
      <c r="G766">
        <v>4473</v>
      </c>
      <c r="H766" t="s">
        <v>1659</v>
      </c>
    </row>
    <row r="767" spans="1:8" hidden="1">
      <c r="A767" s="71">
        <v>44455</v>
      </c>
      <c r="B767" t="s">
        <v>389</v>
      </c>
      <c r="C767" t="s">
        <v>2149</v>
      </c>
      <c r="E767" s="86">
        <v>2026</v>
      </c>
      <c r="F767" t="s">
        <v>759</v>
      </c>
      <c r="G767" t="s">
        <v>2150</v>
      </c>
      <c r="H767" t="s">
        <v>1659</v>
      </c>
    </row>
    <row r="768" spans="1:8" hidden="1">
      <c r="A768" s="71">
        <v>44455</v>
      </c>
      <c r="B768" t="s">
        <v>39</v>
      </c>
      <c r="C768" t="s">
        <v>2151</v>
      </c>
      <c r="F768" t="s">
        <v>759</v>
      </c>
      <c r="G768">
        <v>7065</v>
      </c>
      <c r="H768" t="s">
        <v>1499</v>
      </c>
    </row>
    <row r="769" spans="1:8" hidden="1">
      <c r="A769" s="71">
        <v>44459</v>
      </c>
      <c r="B769" t="s">
        <v>776</v>
      </c>
      <c r="C769" t="s">
        <v>2152</v>
      </c>
      <c r="F769" t="s">
        <v>759</v>
      </c>
      <c r="G769">
        <v>6991</v>
      </c>
      <c r="H769" t="s">
        <v>1286</v>
      </c>
    </row>
    <row r="770" spans="1:8" hidden="1">
      <c r="A770" s="71">
        <v>44459</v>
      </c>
      <c r="B770" t="s">
        <v>776</v>
      </c>
      <c r="C770" t="s">
        <v>2152</v>
      </c>
      <c r="F770" t="s">
        <v>759</v>
      </c>
      <c r="G770">
        <v>6991</v>
      </c>
      <c r="H770" t="s">
        <v>1286</v>
      </c>
    </row>
    <row r="771" spans="1:8" hidden="1">
      <c r="A771" s="71">
        <v>44460</v>
      </c>
      <c r="B771" t="s">
        <v>776</v>
      </c>
      <c r="C771" t="s">
        <v>2153</v>
      </c>
      <c r="F771" t="s">
        <v>759</v>
      </c>
      <c r="G771">
        <v>6993</v>
      </c>
      <c r="H771" t="s">
        <v>1286</v>
      </c>
    </row>
    <row r="772" spans="1:8" hidden="1">
      <c r="A772" s="71">
        <v>44460</v>
      </c>
      <c r="B772" t="s">
        <v>776</v>
      </c>
      <c r="C772" t="s">
        <v>2153</v>
      </c>
      <c r="F772" t="s">
        <v>759</v>
      </c>
      <c r="G772">
        <v>6993</v>
      </c>
      <c r="H772" t="s">
        <v>1286</v>
      </c>
    </row>
    <row r="773" spans="1:8" hidden="1">
      <c r="A773" s="71">
        <v>44460</v>
      </c>
      <c r="B773" t="s">
        <v>160</v>
      </c>
      <c r="C773" t="s">
        <v>2154</v>
      </c>
      <c r="F773" t="s">
        <v>759</v>
      </c>
      <c r="G773">
        <v>6992</v>
      </c>
      <c r="H773" t="s">
        <v>1286</v>
      </c>
    </row>
    <row r="774" spans="1:8" hidden="1">
      <c r="A774" s="71">
        <v>44460</v>
      </c>
      <c r="B774" t="s">
        <v>160</v>
      </c>
      <c r="C774" t="s">
        <v>2154</v>
      </c>
      <c r="F774" t="s">
        <v>759</v>
      </c>
      <c r="G774">
        <v>6992</v>
      </c>
      <c r="H774" t="s">
        <v>1286</v>
      </c>
    </row>
    <row r="775" spans="1:8" hidden="1">
      <c r="A775" s="71">
        <v>44460</v>
      </c>
      <c r="B775" t="s">
        <v>42</v>
      </c>
      <c r="C775" t="s">
        <v>2155</v>
      </c>
      <c r="F775" t="s">
        <v>759</v>
      </c>
      <c r="G775">
        <v>6623</v>
      </c>
      <c r="H775" t="s">
        <v>1246</v>
      </c>
    </row>
    <row r="776" spans="1:8" hidden="1">
      <c r="A776" s="71">
        <v>44461</v>
      </c>
      <c r="B776" t="s">
        <v>35</v>
      </c>
      <c r="C776" t="s">
        <v>2156</v>
      </c>
      <c r="E776" s="86">
        <v>4084</v>
      </c>
      <c r="F776" t="s">
        <v>759</v>
      </c>
      <c r="G776">
        <v>6766</v>
      </c>
      <c r="H776" t="s">
        <v>1252</v>
      </c>
    </row>
    <row r="777" spans="1:8" hidden="1">
      <c r="A777" s="71">
        <v>44461</v>
      </c>
      <c r="B777" t="s">
        <v>365</v>
      </c>
      <c r="C777" t="s">
        <v>2157</v>
      </c>
      <c r="E777" s="86">
        <v>9659</v>
      </c>
      <c r="F777" t="s">
        <v>759</v>
      </c>
      <c r="G777">
        <v>6532</v>
      </c>
      <c r="H777" t="s">
        <v>1390</v>
      </c>
    </row>
    <row r="778" spans="1:8" hidden="1">
      <c r="A778" s="71">
        <v>44461</v>
      </c>
      <c r="B778" t="s">
        <v>713</v>
      </c>
      <c r="C778" t="s">
        <v>2158</v>
      </c>
      <c r="E778" s="86">
        <v>12552</v>
      </c>
      <c r="F778" t="s">
        <v>759</v>
      </c>
      <c r="G778">
        <v>4481</v>
      </c>
      <c r="H778" t="s">
        <v>1659</v>
      </c>
    </row>
    <row r="779" spans="1:8" hidden="1">
      <c r="A779" s="71">
        <v>44462</v>
      </c>
      <c r="B779" t="s">
        <v>160</v>
      </c>
      <c r="C779" t="s">
        <v>2159</v>
      </c>
      <c r="F779" t="s">
        <v>759</v>
      </c>
      <c r="G779">
        <v>6997</v>
      </c>
      <c r="H779" t="s">
        <v>1286</v>
      </c>
    </row>
    <row r="780" spans="1:8" hidden="1">
      <c r="A780" s="71">
        <v>44462</v>
      </c>
      <c r="B780" t="s">
        <v>160</v>
      </c>
      <c r="C780" t="s">
        <v>2159</v>
      </c>
      <c r="F780" t="s">
        <v>759</v>
      </c>
      <c r="G780">
        <v>6997</v>
      </c>
      <c r="H780" t="s">
        <v>1286</v>
      </c>
    </row>
    <row r="781" spans="1:8" hidden="1">
      <c r="A781" s="71">
        <v>44463</v>
      </c>
      <c r="B781" t="s">
        <v>163</v>
      </c>
      <c r="C781" t="s">
        <v>2160</v>
      </c>
      <c r="F781" t="s">
        <v>759</v>
      </c>
      <c r="G781">
        <v>7000</v>
      </c>
      <c r="H781" t="s">
        <v>1286</v>
      </c>
    </row>
    <row r="782" spans="1:8" hidden="1">
      <c r="A782" s="71">
        <v>44463</v>
      </c>
      <c r="B782" t="s">
        <v>163</v>
      </c>
      <c r="C782" t="s">
        <v>2160</v>
      </c>
      <c r="F782" t="s">
        <v>759</v>
      </c>
      <c r="G782">
        <v>7000</v>
      </c>
      <c r="H782" t="s">
        <v>1286</v>
      </c>
    </row>
    <row r="783" spans="1:8" hidden="1">
      <c r="A783" s="71">
        <v>44466</v>
      </c>
      <c r="B783" t="s">
        <v>160</v>
      </c>
      <c r="C783" t="s">
        <v>2161</v>
      </c>
      <c r="F783" t="s">
        <v>759</v>
      </c>
      <c r="G783">
        <v>6533</v>
      </c>
      <c r="H783" t="s">
        <v>1390</v>
      </c>
    </row>
    <row r="784" spans="1:8" hidden="1">
      <c r="A784" s="71">
        <v>44467</v>
      </c>
      <c r="B784" t="s">
        <v>150</v>
      </c>
      <c r="C784" t="s">
        <v>2162</v>
      </c>
      <c r="F784" t="s">
        <v>759</v>
      </c>
      <c r="G784">
        <v>6771</v>
      </c>
      <c r="H784" t="s">
        <v>1252</v>
      </c>
    </row>
    <row r="785" spans="1:8" hidden="1">
      <c r="A785" s="71">
        <v>44467</v>
      </c>
      <c r="B785" t="s">
        <v>171</v>
      </c>
      <c r="C785" t="s">
        <v>2163</v>
      </c>
      <c r="E785" s="86">
        <v>2961</v>
      </c>
      <c r="F785" t="s">
        <v>759</v>
      </c>
      <c r="G785">
        <v>6770</v>
      </c>
      <c r="H785" t="s">
        <v>1252</v>
      </c>
    </row>
    <row r="786" spans="1:8" hidden="1">
      <c r="A786" s="71">
        <v>44467</v>
      </c>
      <c r="B786" t="s">
        <v>42</v>
      </c>
      <c r="C786" t="s">
        <v>2164</v>
      </c>
      <c r="F786" t="s">
        <v>759</v>
      </c>
      <c r="G786">
        <v>6625</v>
      </c>
      <c r="H786" t="s">
        <v>1252</v>
      </c>
    </row>
    <row r="787" spans="1:8" hidden="1">
      <c r="A787" s="71">
        <v>44467</v>
      </c>
      <c r="B787" t="s">
        <v>2126</v>
      </c>
      <c r="C787" t="s">
        <v>2165</v>
      </c>
      <c r="F787" t="s">
        <v>759</v>
      </c>
      <c r="G787">
        <v>6535</v>
      </c>
      <c r="H787" t="s">
        <v>1390</v>
      </c>
    </row>
    <row r="788" spans="1:8" hidden="1">
      <c r="A788" s="71">
        <v>44467</v>
      </c>
      <c r="B788" t="s">
        <v>690</v>
      </c>
      <c r="C788" t="s">
        <v>2166</v>
      </c>
      <c r="E788" s="86">
        <v>3314</v>
      </c>
      <c r="F788" t="s">
        <v>759</v>
      </c>
      <c r="G788">
        <v>4485</v>
      </c>
      <c r="H788" t="s">
        <v>1659</v>
      </c>
    </row>
    <row r="789" spans="1:8" hidden="1">
      <c r="A789" s="71">
        <v>44468</v>
      </c>
      <c r="B789" t="s">
        <v>160</v>
      </c>
      <c r="C789" t="s">
        <v>2167</v>
      </c>
      <c r="F789" t="s">
        <v>759</v>
      </c>
      <c r="G789">
        <v>6536</v>
      </c>
      <c r="H789" t="s">
        <v>1390</v>
      </c>
    </row>
    <row r="790" spans="1:8" hidden="1">
      <c r="A790" s="71">
        <v>44469</v>
      </c>
      <c r="B790" t="s">
        <v>2126</v>
      </c>
      <c r="C790" t="s">
        <v>2168</v>
      </c>
      <c r="E790" s="86">
        <v>5467</v>
      </c>
      <c r="F790" t="s">
        <v>759</v>
      </c>
      <c r="G790">
        <v>6537</v>
      </c>
      <c r="H790" t="s">
        <v>1390</v>
      </c>
    </row>
    <row r="791" spans="1:8" hidden="1">
      <c r="A791" s="71">
        <v>44470</v>
      </c>
      <c r="B791" t="s">
        <v>351</v>
      </c>
      <c r="C791" t="s">
        <v>2169</v>
      </c>
      <c r="E791" s="86">
        <v>5198</v>
      </c>
      <c r="F791" t="s">
        <v>759</v>
      </c>
      <c r="G791">
        <v>7023</v>
      </c>
      <c r="H791" t="s">
        <v>1659</v>
      </c>
    </row>
    <row r="792" spans="1:8" hidden="1">
      <c r="A792" s="71">
        <v>44470</v>
      </c>
      <c r="B792" t="s">
        <v>12</v>
      </c>
      <c r="C792" t="s">
        <v>2170</v>
      </c>
      <c r="E792" s="86">
        <v>1320</v>
      </c>
      <c r="F792" t="s">
        <v>759</v>
      </c>
      <c r="G792">
        <v>4491</v>
      </c>
      <c r="H792" t="s">
        <v>1659</v>
      </c>
    </row>
    <row r="793" spans="1:8" hidden="1">
      <c r="A793" s="71">
        <v>44470</v>
      </c>
      <c r="B793" t="s">
        <v>351</v>
      </c>
      <c r="C793" t="s">
        <v>2171</v>
      </c>
      <c r="E793" s="86">
        <v>5198</v>
      </c>
      <c r="F793" t="s">
        <v>759</v>
      </c>
      <c r="G793">
        <v>4490</v>
      </c>
      <c r="H793" t="s">
        <v>1286</v>
      </c>
    </row>
    <row r="794" spans="1:8" hidden="1">
      <c r="A794" s="71">
        <v>44471</v>
      </c>
      <c r="B794" t="s">
        <v>12</v>
      </c>
      <c r="C794" t="s">
        <v>2172</v>
      </c>
      <c r="F794" t="s">
        <v>759</v>
      </c>
      <c r="G794">
        <v>7054</v>
      </c>
      <c r="H794" t="s">
        <v>1499</v>
      </c>
    </row>
    <row r="795" spans="1:8" hidden="1">
      <c r="A795" s="71">
        <v>44473</v>
      </c>
      <c r="B795" t="s">
        <v>12</v>
      </c>
      <c r="C795" t="s">
        <v>2173</v>
      </c>
      <c r="F795" t="s">
        <v>759</v>
      </c>
      <c r="G795">
        <v>7055</v>
      </c>
      <c r="H795" t="s">
        <v>1499</v>
      </c>
    </row>
    <row r="796" spans="1:8" hidden="1">
      <c r="A796" s="71">
        <v>44473</v>
      </c>
      <c r="B796" t="s">
        <v>239</v>
      </c>
      <c r="C796" t="s">
        <v>2174</v>
      </c>
      <c r="F796" t="s">
        <v>759</v>
      </c>
      <c r="G796">
        <v>7027</v>
      </c>
      <c r="H796" t="s">
        <v>1286</v>
      </c>
    </row>
    <row r="797" spans="1:8" hidden="1">
      <c r="A797" s="71">
        <v>44473</v>
      </c>
      <c r="B797" t="s">
        <v>239</v>
      </c>
      <c r="C797" t="s">
        <v>2175</v>
      </c>
      <c r="F797" t="s">
        <v>759</v>
      </c>
      <c r="G797">
        <v>7027</v>
      </c>
      <c r="H797" t="s">
        <v>1286</v>
      </c>
    </row>
    <row r="798" spans="1:8" hidden="1">
      <c r="A798" s="71">
        <v>44474</v>
      </c>
      <c r="B798" t="s">
        <v>19</v>
      </c>
      <c r="C798" t="s">
        <v>2176</v>
      </c>
      <c r="E798" s="86">
        <v>4456</v>
      </c>
      <c r="F798" t="s">
        <v>759</v>
      </c>
      <c r="G798">
        <v>7102</v>
      </c>
      <c r="H798" t="s">
        <v>1252</v>
      </c>
    </row>
    <row r="799" spans="1:8" hidden="1">
      <c r="A799" s="71">
        <v>44474</v>
      </c>
      <c r="B799" t="s">
        <v>150</v>
      </c>
      <c r="C799" t="s">
        <v>2162</v>
      </c>
      <c r="F799" t="s">
        <v>759</v>
      </c>
      <c r="G799">
        <v>7101</v>
      </c>
      <c r="H799" t="s">
        <v>1252</v>
      </c>
    </row>
    <row r="800" spans="1:8" hidden="1">
      <c r="A800" s="71">
        <v>44474</v>
      </c>
      <c r="B800" t="s">
        <v>180</v>
      </c>
      <c r="C800" t="s">
        <v>2177</v>
      </c>
      <c r="F800" t="s">
        <v>759</v>
      </c>
      <c r="G800">
        <v>7057</v>
      </c>
      <c r="H800" t="s">
        <v>1499</v>
      </c>
    </row>
    <row r="801" spans="1:8" hidden="1">
      <c r="A801" s="71">
        <v>44474</v>
      </c>
      <c r="B801" t="s">
        <v>180</v>
      </c>
      <c r="C801" t="s">
        <v>2177</v>
      </c>
      <c r="F801" t="s">
        <v>759</v>
      </c>
      <c r="G801">
        <v>7057</v>
      </c>
      <c r="H801" t="s">
        <v>1499</v>
      </c>
    </row>
    <row r="802" spans="1:8" hidden="1">
      <c r="A802" s="71">
        <v>44474</v>
      </c>
      <c r="B802" t="s">
        <v>12</v>
      </c>
      <c r="C802" t="s">
        <v>2178</v>
      </c>
      <c r="F802" t="s">
        <v>759</v>
      </c>
      <c r="G802">
        <v>7056</v>
      </c>
      <c r="H802" t="s">
        <v>1499</v>
      </c>
    </row>
    <row r="803" spans="1:8" hidden="1">
      <c r="A803" s="71">
        <v>44474</v>
      </c>
      <c r="B803" t="s">
        <v>150</v>
      </c>
      <c r="C803" t="s">
        <v>2162</v>
      </c>
      <c r="F803" t="s">
        <v>759</v>
      </c>
      <c r="G803">
        <v>7101</v>
      </c>
      <c r="H803" t="s">
        <v>1252</v>
      </c>
    </row>
    <row r="804" spans="1:8" hidden="1">
      <c r="A804" s="71">
        <v>44474</v>
      </c>
      <c r="B804" t="s">
        <v>39</v>
      </c>
      <c r="C804" t="s">
        <v>2179</v>
      </c>
      <c r="E804" s="86">
        <v>240</v>
      </c>
      <c r="F804" t="s">
        <v>759</v>
      </c>
      <c r="G804">
        <v>2061</v>
      </c>
      <c r="H804" t="s">
        <v>1235</v>
      </c>
    </row>
    <row r="805" spans="1:8" hidden="1">
      <c r="A805" s="71">
        <v>44475</v>
      </c>
      <c r="B805" t="s">
        <v>25</v>
      </c>
      <c r="C805" t="s">
        <v>2180</v>
      </c>
      <c r="F805" t="s">
        <v>759</v>
      </c>
      <c r="G805">
        <v>7104</v>
      </c>
      <c r="H805" t="s">
        <v>1252</v>
      </c>
    </row>
    <row r="806" spans="1:8" hidden="1">
      <c r="A806" s="71">
        <v>44475</v>
      </c>
      <c r="B806" t="s">
        <v>150</v>
      </c>
      <c r="C806" t="s">
        <v>2181</v>
      </c>
      <c r="F806" t="s">
        <v>759</v>
      </c>
      <c r="G806">
        <v>2062</v>
      </c>
      <c r="H806" t="s">
        <v>1235</v>
      </c>
    </row>
    <row r="807" spans="1:8" hidden="1">
      <c r="A807" s="71">
        <v>44475</v>
      </c>
      <c r="B807" t="s">
        <v>711</v>
      </c>
      <c r="C807" t="s">
        <v>2182</v>
      </c>
      <c r="E807" s="86">
        <v>16724</v>
      </c>
      <c r="F807" t="s">
        <v>759</v>
      </c>
      <c r="G807">
        <v>7036</v>
      </c>
      <c r="H807" t="s">
        <v>1659</v>
      </c>
    </row>
    <row r="808" spans="1:8" hidden="1">
      <c r="A808" s="71">
        <v>44475</v>
      </c>
      <c r="B808" t="s">
        <v>373</v>
      </c>
      <c r="C808" t="s">
        <v>2183</v>
      </c>
      <c r="E808" s="86">
        <v>2456</v>
      </c>
      <c r="F808" t="s">
        <v>759</v>
      </c>
      <c r="G808">
        <v>7035</v>
      </c>
      <c r="H808" t="s">
        <v>1286</v>
      </c>
    </row>
    <row r="809" spans="1:8" hidden="1">
      <c r="A809" s="71">
        <v>44475</v>
      </c>
      <c r="B809" t="s">
        <v>711</v>
      </c>
      <c r="C809" t="s">
        <v>2184</v>
      </c>
      <c r="E809" s="86">
        <v>16724</v>
      </c>
      <c r="F809" t="s">
        <v>759</v>
      </c>
      <c r="G809">
        <v>4495</v>
      </c>
      <c r="H809" t="s">
        <v>1659</v>
      </c>
    </row>
    <row r="810" spans="1:8" hidden="1">
      <c r="A810" s="71">
        <v>44475</v>
      </c>
      <c r="B810" t="s">
        <v>373</v>
      </c>
      <c r="C810" t="s">
        <v>2185</v>
      </c>
      <c r="E810" s="86">
        <v>2456</v>
      </c>
      <c r="F810" t="s">
        <v>759</v>
      </c>
      <c r="G810">
        <v>4494</v>
      </c>
      <c r="H810" t="s">
        <v>1659</v>
      </c>
    </row>
    <row r="811" spans="1:8" hidden="1">
      <c r="A811" s="71">
        <v>44476</v>
      </c>
      <c r="B811" t="s">
        <v>324</v>
      </c>
      <c r="C811" t="s">
        <v>2186</v>
      </c>
      <c r="E811" s="86">
        <v>12403</v>
      </c>
      <c r="F811" t="s">
        <v>759</v>
      </c>
      <c r="G811">
        <v>7038</v>
      </c>
      <c r="H811" t="s">
        <v>1659</v>
      </c>
    </row>
    <row r="812" spans="1:8" hidden="1">
      <c r="A812" s="71">
        <v>44476</v>
      </c>
      <c r="B812" t="s">
        <v>346</v>
      </c>
      <c r="C812" t="s">
        <v>2187</v>
      </c>
      <c r="E812" s="86">
        <v>6846</v>
      </c>
      <c r="F812" t="s">
        <v>759</v>
      </c>
      <c r="G812">
        <v>4497</v>
      </c>
      <c r="H812" t="s">
        <v>1659</v>
      </c>
    </row>
    <row r="813" spans="1:8" hidden="1">
      <c r="A813" s="71">
        <v>44476</v>
      </c>
      <c r="B813" t="s">
        <v>159</v>
      </c>
      <c r="C813" t="s">
        <v>2188</v>
      </c>
      <c r="E813" s="86">
        <v>7908</v>
      </c>
      <c r="F813" t="s">
        <v>759</v>
      </c>
      <c r="G813">
        <v>4496</v>
      </c>
      <c r="H813" t="s">
        <v>1659</v>
      </c>
    </row>
    <row r="814" spans="1:8" hidden="1">
      <c r="A814" s="71">
        <v>44476</v>
      </c>
      <c r="B814" t="s">
        <v>330</v>
      </c>
      <c r="C814" t="s">
        <v>2189</v>
      </c>
      <c r="E814" s="86">
        <v>5473</v>
      </c>
      <c r="F814" t="s">
        <v>759</v>
      </c>
      <c r="G814">
        <v>2059</v>
      </c>
      <c r="H814" t="s">
        <v>1235</v>
      </c>
    </row>
    <row r="815" spans="1:8" hidden="1">
      <c r="A815" s="71">
        <v>44477</v>
      </c>
      <c r="B815" t="s">
        <v>389</v>
      </c>
      <c r="C815" t="s">
        <v>2190</v>
      </c>
      <c r="E815" s="86">
        <v>4096</v>
      </c>
      <c r="F815" t="s">
        <v>759</v>
      </c>
      <c r="G815">
        <v>7083</v>
      </c>
      <c r="H815" t="s">
        <v>1499</v>
      </c>
    </row>
    <row r="816" spans="1:8" hidden="1">
      <c r="A816" s="71">
        <v>44477</v>
      </c>
      <c r="B816" t="s">
        <v>2126</v>
      </c>
      <c r="C816" t="s">
        <v>2191</v>
      </c>
      <c r="F816" t="s">
        <v>759</v>
      </c>
      <c r="G816">
        <v>7060</v>
      </c>
      <c r="H816" t="s">
        <v>1499</v>
      </c>
    </row>
    <row r="817" spans="1:8" hidden="1">
      <c r="A817" s="71">
        <v>44477</v>
      </c>
      <c r="B817" t="s">
        <v>191</v>
      </c>
      <c r="C817" t="s">
        <v>2192</v>
      </c>
      <c r="F817" t="s">
        <v>759</v>
      </c>
      <c r="G817">
        <v>6545</v>
      </c>
      <c r="H817" t="s">
        <v>1390</v>
      </c>
    </row>
    <row r="818" spans="1:8" hidden="1">
      <c r="A818" s="71">
        <v>44477</v>
      </c>
      <c r="B818" t="s">
        <v>180</v>
      </c>
      <c r="C818" t="s">
        <v>2193</v>
      </c>
      <c r="F818" t="s">
        <v>759</v>
      </c>
      <c r="G818">
        <v>6544</v>
      </c>
      <c r="H818" t="s">
        <v>1390</v>
      </c>
    </row>
    <row r="819" spans="1:8" hidden="1">
      <c r="A819" s="71">
        <v>44477</v>
      </c>
      <c r="B819" t="s">
        <v>188</v>
      </c>
      <c r="C819" t="s">
        <v>2194</v>
      </c>
      <c r="F819" t="s">
        <v>759</v>
      </c>
      <c r="G819">
        <v>4499</v>
      </c>
      <c r="H819" t="s">
        <v>1659</v>
      </c>
    </row>
    <row r="820" spans="1:8" hidden="1">
      <c r="A820" s="71">
        <v>44477</v>
      </c>
      <c r="B820" t="s">
        <v>346</v>
      </c>
      <c r="C820" t="s">
        <v>2195</v>
      </c>
      <c r="E820" s="86">
        <v>6850</v>
      </c>
      <c r="F820" t="s">
        <v>759</v>
      </c>
      <c r="G820">
        <v>4498</v>
      </c>
      <c r="H820" t="s">
        <v>1659</v>
      </c>
    </row>
    <row r="821" spans="1:8" hidden="1">
      <c r="A821" s="71">
        <v>44478</v>
      </c>
      <c r="B821" t="s">
        <v>365</v>
      </c>
      <c r="C821" t="s">
        <v>2196</v>
      </c>
      <c r="E821" s="86">
        <v>96633</v>
      </c>
      <c r="F821" t="s">
        <v>759</v>
      </c>
      <c r="G821">
        <v>7201</v>
      </c>
      <c r="H821" t="s">
        <v>474</v>
      </c>
    </row>
    <row r="822" spans="1:8" hidden="1">
      <c r="A822" s="71">
        <v>44478</v>
      </c>
      <c r="B822" t="s">
        <v>2126</v>
      </c>
      <c r="C822" t="s">
        <v>2197</v>
      </c>
      <c r="F822" t="s">
        <v>759</v>
      </c>
      <c r="G822">
        <v>7053</v>
      </c>
      <c r="H822" t="s">
        <v>1499</v>
      </c>
    </row>
    <row r="823" spans="1:8" hidden="1">
      <c r="A823" s="71">
        <v>44480</v>
      </c>
      <c r="B823" t="s">
        <v>377</v>
      </c>
      <c r="C823" t="s">
        <v>2198</v>
      </c>
      <c r="E823" s="86">
        <v>6427</v>
      </c>
      <c r="F823" t="s">
        <v>759</v>
      </c>
      <c r="G823">
        <v>7362</v>
      </c>
      <c r="H823" t="s">
        <v>474</v>
      </c>
    </row>
    <row r="824" spans="1:8" hidden="1">
      <c r="A824" s="71">
        <v>44480</v>
      </c>
      <c r="B824" t="s">
        <v>346</v>
      </c>
      <c r="C824" t="s">
        <v>2199</v>
      </c>
      <c r="E824" s="86">
        <v>6906</v>
      </c>
      <c r="F824" t="s">
        <v>759</v>
      </c>
      <c r="G824">
        <v>7292</v>
      </c>
      <c r="H824" t="s">
        <v>1501</v>
      </c>
    </row>
    <row r="825" spans="1:8" hidden="1">
      <c r="A825" s="71">
        <v>44481</v>
      </c>
      <c r="B825" t="s">
        <v>383</v>
      </c>
      <c r="C825" t="s">
        <v>2200</v>
      </c>
      <c r="E825" s="86">
        <v>1052</v>
      </c>
      <c r="F825" t="s">
        <v>759</v>
      </c>
      <c r="G825">
        <v>7251</v>
      </c>
      <c r="H825" t="s">
        <v>1659</v>
      </c>
    </row>
    <row r="826" spans="1:8" hidden="1">
      <c r="A826" s="71">
        <v>44481</v>
      </c>
      <c r="B826" t="s">
        <v>365</v>
      </c>
      <c r="C826" t="s">
        <v>2201</v>
      </c>
      <c r="E826" s="86">
        <v>96633</v>
      </c>
      <c r="F826" t="s">
        <v>759</v>
      </c>
      <c r="G826">
        <v>7202</v>
      </c>
      <c r="H826" t="s">
        <v>474</v>
      </c>
    </row>
    <row r="827" spans="1:8" hidden="1">
      <c r="A827" s="71">
        <v>44481</v>
      </c>
      <c r="B827" t="s">
        <v>39</v>
      </c>
      <c r="C827" t="s">
        <v>2202</v>
      </c>
      <c r="F827" t="s">
        <v>759</v>
      </c>
      <c r="G827">
        <v>6547</v>
      </c>
      <c r="H827" t="s">
        <v>1252</v>
      </c>
    </row>
    <row r="828" spans="1:8" hidden="1">
      <c r="A828" s="71">
        <v>44481</v>
      </c>
      <c r="B828" t="s">
        <v>180</v>
      </c>
      <c r="C828" t="s">
        <v>2203</v>
      </c>
      <c r="F828" t="s">
        <v>759</v>
      </c>
      <c r="G828">
        <v>6546</v>
      </c>
      <c r="H828" t="s">
        <v>1390</v>
      </c>
    </row>
    <row r="829" spans="1:8" hidden="1">
      <c r="A829" s="71">
        <v>44482</v>
      </c>
      <c r="B829" t="s">
        <v>160</v>
      </c>
      <c r="C829" t="s">
        <v>2204</v>
      </c>
      <c r="F829" t="s">
        <v>759</v>
      </c>
      <c r="G829">
        <v>7253</v>
      </c>
      <c r="H829" t="s">
        <v>1659</v>
      </c>
    </row>
    <row r="830" spans="1:8" hidden="1">
      <c r="A830" s="71">
        <v>44482</v>
      </c>
      <c r="B830" t="s">
        <v>191</v>
      </c>
      <c r="C830" t="s">
        <v>2205</v>
      </c>
      <c r="F830" t="s">
        <v>759</v>
      </c>
      <c r="G830">
        <v>6718</v>
      </c>
      <c r="H830" t="s">
        <v>1560</v>
      </c>
    </row>
    <row r="831" spans="1:8" hidden="1">
      <c r="A831" s="71">
        <v>44482</v>
      </c>
      <c r="B831" t="s">
        <v>1512</v>
      </c>
      <c r="C831" t="s">
        <v>2206</v>
      </c>
      <c r="F831" t="s">
        <v>759</v>
      </c>
      <c r="G831">
        <v>6716</v>
      </c>
      <c r="H831" t="s">
        <v>1560</v>
      </c>
    </row>
    <row r="832" spans="1:8" hidden="1">
      <c r="A832" s="71">
        <v>44482</v>
      </c>
      <c r="B832" t="s">
        <v>573</v>
      </c>
      <c r="C832" t="s">
        <v>2207</v>
      </c>
      <c r="F832" t="s">
        <v>759</v>
      </c>
      <c r="G832">
        <v>6626</v>
      </c>
      <c r="H832" t="s">
        <v>1246</v>
      </c>
    </row>
    <row r="833" spans="1:8" hidden="1">
      <c r="A833" s="71">
        <v>44482</v>
      </c>
      <c r="B833" t="s">
        <v>39</v>
      </c>
      <c r="C833" t="s">
        <v>2208</v>
      </c>
      <c r="F833" t="s">
        <v>759</v>
      </c>
      <c r="G833">
        <v>6548</v>
      </c>
      <c r="H833" t="s">
        <v>1390</v>
      </c>
    </row>
    <row r="834" spans="1:8" hidden="1">
      <c r="A834" s="71">
        <v>44483</v>
      </c>
      <c r="B834" t="s">
        <v>169</v>
      </c>
      <c r="C834" t="s">
        <v>2209</v>
      </c>
      <c r="E834" s="86">
        <v>3212</v>
      </c>
      <c r="F834" t="s">
        <v>759</v>
      </c>
      <c r="G834">
        <v>7062</v>
      </c>
      <c r="H834" t="s">
        <v>1499</v>
      </c>
    </row>
    <row r="835" spans="1:8" hidden="1">
      <c r="A835" s="71">
        <v>44483</v>
      </c>
      <c r="B835" t="s">
        <v>188</v>
      </c>
      <c r="C835" t="s">
        <v>2210</v>
      </c>
      <c r="F835" t="s">
        <v>759</v>
      </c>
      <c r="G835">
        <v>7255</v>
      </c>
      <c r="H835" t="s">
        <v>1659</v>
      </c>
    </row>
    <row r="836" spans="1:8" hidden="1">
      <c r="A836" s="71">
        <v>44483</v>
      </c>
      <c r="B836" t="s">
        <v>150</v>
      </c>
      <c r="C836" t="s">
        <v>2211</v>
      </c>
      <c r="F836" t="s">
        <v>759</v>
      </c>
      <c r="G836">
        <v>7204</v>
      </c>
      <c r="H836" t="s">
        <v>474</v>
      </c>
    </row>
    <row r="837" spans="1:8" hidden="1">
      <c r="A837" s="71">
        <v>44483</v>
      </c>
      <c r="B837" t="s">
        <v>162</v>
      </c>
      <c r="C837" t="s">
        <v>2212</v>
      </c>
      <c r="F837" t="s">
        <v>759</v>
      </c>
      <c r="G837">
        <v>6549</v>
      </c>
      <c r="H837" t="s">
        <v>1390</v>
      </c>
    </row>
    <row r="838" spans="1:8" hidden="1">
      <c r="A838" s="71">
        <v>44483</v>
      </c>
      <c r="B838" t="s">
        <v>169</v>
      </c>
      <c r="C838" t="s">
        <v>2209</v>
      </c>
      <c r="E838" s="86">
        <v>3212</v>
      </c>
      <c r="F838" t="s">
        <v>759</v>
      </c>
      <c r="G838">
        <v>7062</v>
      </c>
      <c r="H838" t="s">
        <v>1499</v>
      </c>
    </row>
    <row r="839" spans="1:8" hidden="1">
      <c r="A839" s="71">
        <v>44484</v>
      </c>
      <c r="B839" t="s">
        <v>383</v>
      </c>
      <c r="C839" t="s">
        <v>2213</v>
      </c>
      <c r="F839" t="s">
        <v>759</v>
      </c>
      <c r="G839">
        <v>7063</v>
      </c>
      <c r="H839" t="s">
        <v>1499</v>
      </c>
    </row>
    <row r="840" spans="1:8" hidden="1">
      <c r="A840" s="71">
        <v>44484</v>
      </c>
      <c r="B840" t="s">
        <v>713</v>
      </c>
      <c r="C840" t="s">
        <v>2214</v>
      </c>
      <c r="E840" s="86">
        <v>12648</v>
      </c>
      <c r="F840" t="s">
        <v>759</v>
      </c>
      <c r="G840">
        <v>6721</v>
      </c>
      <c r="H840" t="s">
        <v>1501</v>
      </c>
    </row>
    <row r="841" spans="1:8" hidden="1">
      <c r="A841" s="71">
        <v>44484</v>
      </c>
      <c r="B841" t="s">
        <v>369</v>
      </c>
      <c r="C841" t="s">
        <v>2215</v>
      </c>
      <c r="E841" s="86">
        <v>9654</v>
      </c>
      <c r="F841" t="s">
        <v>759</v>
      </c>
      <c r="G841">
        <v>6720</v>
      </c>
      <c r="H841" t="s">
        <v>1560</v>
      </c>
    </row>
    <row r="842" spans="1:8" hidden="1">
      <c r="A842" s="71">
        <v>44484</v>
      </c>
      <c r="B842" t="s">
        <v>143</v>
      </c>
      <c r="C842" t="s">
        <v>2216</v>
      </c>
      <c r="F842" t="s">
        <v>759</v>
      </c>
      <c r="G842">
        <v>6627</v>
      </c>
      <c r="H842" t="s">
        <v>1246</v>
      </c>
    </row>
    <row r="843" spans="1:8" hidden="1">
      <c r="A843" s="71">
        <v>44485</v>
      </c>
      <c r="B843" t="s">
        <v>162</v>
      </c>
      <c r="C843" t="s">
        <v>2217</v>
      </c>
      <c r="F843" t="s">
        <v>759</v>
      </c>
      <c r="G843">
        <v>7064</v>
      </c>
      <c r="H843" t="s">
        <v>1499</v>
      </c>
    </row>
    <row r="844" spans="1:8" hidden="1">
      <c r="A844" s="71">
        <v>44485</v>
      </c>
      <c r="B844" t="s">
        <v>162</v>
      </c>
      <c r="C844" t="s">
        <v>2217</v>
      </c>
      <c r="F844" t="s">
        <v>759</v>
      </c>
      <c r="G844">
        <v>7064</v>
      </c>
      <c r="H844" t="s">
        <v>1499</v>
      </c>
    </row>
    <row r="845" spans="1:8" hidden="1">
      <c r="A845" s="71">
        <v>44487</v>
      </c>
      <c r="B845" t="s">
        <v>711</v>
      </c>
      <c r="C845" t="s">
        <v>2218</v>
      </c>
      <c r="E845" s="86">
        <v>16724</v>
      </c>
      <c r="F845" t="s">
        <v>759</v>
      </c>
      <c r="G845">
        <v>7256</v>
      </c>
      <c r="H845" t="s">
        <v>1659</v>
      </c>
    </row>
    <row r="846" spans="1:8" hidden="1">
      <c r="A846" s="71">
        <v>44487</v>
      </c>
      <c r="B846" t="s">
        <v>785</v>
      </c>
      <c r="C846" t="s">
        <v>2219</v>
      </c>
      <c r="E846" s="86">
        <v>13329</v>
      </c>
      <c r="F846" t="s">
        <v>759</v>
      </c>
      <c r="G846">
        <v>7207</v>
      </c>
      <c r="H846" t="s">
        <v>474</v>
      </c>
    </row>
    <row r="847" spans="1:8" hidden="1">
      <c r="A847" s="71">
        <v>44487</v>
      </c>
      <c r="B847" t="s">
        <v>704</v>
      </c>
      <c r="C847" t="s">
        <v>2220</v>
      </c>
      <c r="E847" s="86">
        <v>10064</v>
      </c>
      <c r="F847" t="s">
        <v>759</v>
      </c>
      <c r="G847">
        <v>7205</v>
      </c>
      <c r="H847" t="s">
        <v>474</v>
      </c>
    </row>
    <row r="848" spans="1:8" hidden="1">
      <c r="A848" s="71">
        <v>44487</v>
      </c>
      <c r="B848" t="s">
        <v>711</v>
      </c>
      <c r="C848" t="s">
        <v>2221</v>
      </c>
      <c r="E848" s="86">
        <v>16725</v>
      </c>
      <c r="F848" t="s">
        <v>759</v>
      </c>
      <c r="G848">
        <v>7154</v>
      </c>
      <c r="H848" t="s">
        <v>1659</v>
      </c>
    </row>
    <row r="849" spans="1:8" hidden="1">
      <c r="A849" s="71">
        <v>44487</v>
      </c>
      <c r="B849" t="s">
        <v>162</v>
      </c>
      <c r="C849" t="s">
        <v>2222</v>
      </c>
      <c r="F849" t="s">
        <v>759</v>
      </c>
      <c r="G849">
        <v>7066</v>
      </c>
      <c r="H849" t="s">
        <v>1499</v>
      </c>
    </row>
    <row r="850" spans="1:8" hidden="1">
      <c r="A850" s="71">
        <v>44487</v>
      </c>
      <c r="B850" t="s">
        <v>162</v>
      </c>
      <c r="C850" t="s">
        <v>2222</v>
      </c>
      <c r="F850" t="s">
        <v>759</v>
      </c>
      <c r="G850">
        <v>7066</v>
      </c>
      <c r="H850" t="s">
        <v>1499</v>
      </c>
    </row>
    <row r="851" spans="1:8" hidden="1">
      <c r="A851" s="71">
        <v>44487</v>
      </c>
      <c r="B851" t="s">
        <v>711</v>
      </c>
      <c r="C851" t="s">
        <v>2223</v>
      </c>
      <c r="E851" s="86">
        <v>16724</v>
      </c>
      <c r="F851" t="s">
        <v>759</v>
      </c>
      <c r="G851">
        <v>7049</v>
      </c>
      <c r="H851" t="s">
        <v>1659</v>
      </c>
    </row>
    <row r="852" spans="1:8" hidden="1">
      <c r="A852" s="71">
        <v>44487</v>
      </c>
      <c r="B852" t="s">
        <v>713</v>
      </c>
      <c r="C852" t="s">
        <v>2224</v>
      </c>
      <c r="E852" s="86">
        <v>12648</v>
      </c>
      <c r="F852" t="s">
        <v>759</v>
      </c>
      <c r="G852">
        <v>6723</v>
      </c>
      <c r="H852" t="s">
        <v>1560</v>
      </c>
    </row>
    <row r="853" spans="1:8" hidden="1">
      <c r="A853" s="71">
        <v>44487</v>
      </c>
      <c r="B853" t="s">
        <v>330</v>
      </c>
      <c r="C853" t="s">
        <v>2225</v>
      </c>
      <c r="E853" s="86">
        <v>5474</v>
      </c>
      <c r="F853" t="s">
        <v>759</v>
      </c>
      <c r="G853">
        <v>2063</v>
      </c>
      <c r="H853" t="s">
        <v>1501</v>
      </c>
    </row>
    <row r="854" spans="1:8" hidden="1">
      <c r="A854" s="71">
        <v>44488</v>
      </c>
      <c r="B854" t="s">
        <v>318</v>
      </c>
      <c r="C854" t="s">
        <v>2226</v>
      </c>
      <c r="F854" t="s">
        <v>759</v>
      </c>
      <c r="G854">
        <v>6550</v>
      </c>
      <c r="H854" t="s">
        <v>1501</v>
      </c>
    </row>
    <row r="855" spans="1:8" hidden="1">
      <c r="A855" s="71">
        <v>44489</v>
      </c>
      <c r="B855" t="s">
        <v>307</v>
      </c>
      <c r="C855" t="s">
        <v>2227</v>
      </c>
      <c r="E855" s="86">
        <v>12171</v>
      </c>
      <c r="F855" t="s">
        <v>759</v>
      </c>
      <c r="G855">
        <v>7260</v>
      </c>
      <c r="H855" t="s">
        <v>1659</v>
      </c>
    </row>
    <row r="856" spans="1:8" hidden="1">
      <c r="A856" s="71">
        <v>44489</v>
      </c>
      <c r="B856" t="s">
        <v>388</v>
      </c>
      <c r="C856" t="s">
        <v>2228</v>
      </c>
      <c r="E856" s="86">
        <v>9843</v>
      </c>
      <c r="F856" t="s">
        <v>759</v>
      </c>
      <c r="G856">
        <v>7259</v>
      </c>
      <c r="H856" t="s">
        <v>1659</v>
      </c>
    </row>
    <row r="857" spans="1:8" hidden="1">
      <c r="A857" s="71">
        <v>44489</v>
      </c>
      <c r="B857" t="s">
        <v>307</v>
      </c>
      <c r="C857" t="s">
        <v>2229</v>
      </c>
      <c r="F857" t="s">
        <v>759</v>
      </c>
      <c r="G857">
        <v>7159</v>
      </c>
      <c r="H857" t="s">
        <v>1659</v>
      </c>
    </row>
    <row r="858" spans="1:8" hidden="1">
      <c r="A858" s="71">
        <v>44489</v>
      </c>
      <c r="B858" t="s">
        <v>573</v>
      </c>
      <c r="C858" t="s">
        <v>2230</v>
      </c>
      <c r="F858" t="s">
        <v>759</v>
      </c>
      <c r="G858">
        <v>6631</v>
      </c>
      <c r="H858" t="s">
        <v>1246</v>
      </c>
    </row>
    <row r="859" spans="1:8" hidden="1">
      <c r="A859" s="71">
        <v>44490</v>
      </c>
      <c r="B859" t="s">
        <v>163</v>
      </c>
      <c r="C859" t="s">
        <v>2231</v>
      </c>
      <c r="E859" s="86">
        <v>4375</v>
      </c>
      <c r="F859" t="s">
        <v>759</v>
      </c>
      <c r="G859">
        <v>7301</v>
      </c>
      <c r="H859" t="s">
        <v>1390</v>
      </c>
    </row>
    <row r="860" spans="1:8" hidden="1">
      <c r="A860" s="71">
        <v>44490</v>
      </c>
      <c r="B860" t="s">
        <v>388</v>
      </c>
      <c r="C860" t="s">
        <v>2232</v>
      </c>
      <c r="E860" s="86">
        <v>9846</v>
      </c>
      <c r="F860" t="s">
        <v>759</v>
      </c>
      <c r="G860">
        <v>7265</v>
      </c>
      <c r="H860" t="s">
        <v>1659</v>
      </c>
    </row>
    <row r="861" spans="1:8" hidden="1">
      <c r="A861" s="71">
        <v>44490</v>
      </c>
      <c r="B861" t="s">
        <v>346</v>
      </c>
      <c r="C861" t="s">
        <v>2233</v>
      </c>
      <c r="E861" s="86">
        <v>6892</v>
      </c>
      <c r="F861" t="s">
        <v>759</v>
      </c>
      <c r="G861">
        <v>7264</v>
      </c>
      <c r="H861" t="s">
        <v>1659</v>
      </c>
    </row>
    <row r="862" spans="1:8" hidden="1">
      <c r="A862" s="71">
        <v>44490</v>
      </c>
      <c r="B862" t="s">
        <v>388</v>
      </c>
      <c r="C862" t="s">
        <v>2234</v>
      </c>
      <c r="E862" s="86">
        <v>9846</v>
      </c>
      <c r="F862" t="s">
        <v>759</v>
      </c>
      <c r="G862">
        <v>7165</v>
      </c>
      <c r="H862" t="s">
        <v>1286</v>
      </c>
    </row>
    <row r="863" spans="1:8" hidden="1">
      <c r="A863" s="71">
        <v>44490</v>
      </c>
      <c r="B863" t="s">
        <v>36</v>
      </c>
      <c r="C863" t="s">
        <v>2235</v>
      </c>
      <c r="E863" s="86">
        <v>4466</v>
      </c>
      <c r="F863" t="s">
        <v>759</v>
      </c>
      <c r="G863">
        <v>6779</v>
      </c>
      <c r="H863" t="s">
        <v>1252</v>
      </c>
    </row>
    <row r="864" spans="1:8" hidden="1">
      <c r="A864" s="71">
        <v>44490</v>
      </c>
      <c r="B864" t="s">
        <v>191</v>
      </c>
      <c r="C864" t="s">
        <v>2236</v>
      </c>
      <c r="F864" t="s">
        <v>759</v>
      </c>
      <c r="G864">
        <v>2065</v>
      </c>
      <c r="H864" t="s">
        <v>1235</v>
      </c>
    </row>
    <row r="865" spans="1:8" hidden="1">
      <c r="A865" s="71">
        <v>44491</v>
      </c>
      <c r="B865" t="s">
        <v>163</v>
      </c>
      <c r="C865" t="s">
        <v>2237</v>
      </c>
      <c r="E865" s="86">
        <v>4433</v>
      </c>
      <c r="F865" t="s">
        <v>759</v>
      </c>
      <c r="G865">
        <v>7304</v>
      </c>
      <c r="H865" t="s">
        <v>1390</v>
      </c>
    </row>
    <row r="866" spans="1:8" hidden="1">
      <c r="A866" s="71">
        <v>44491</v>
      </c>
      <c r="B866" t="s">
        <v>318</v>
      </c>
      <c r="C866" t="s">
        <v>2238</v>
      </c>
      <c r="F866" t="s">
        <v>759</v>
      </c>
      <c r="G866">
        <v>7303</v>
      </c>
      <c r="H866" t="s">
        <v>1501</v>
      </c>
    </row>
    <row r="867" spans="1:8" hidden="1">
      <c r="A867" s="71">
        <v>44491</v>
      </c>
      <c r="B867" t="s">
        <v>318</v>
      </c>
      <c r="C867" t="s">
        <v>2239</v>
      </c>
      <c r="F867" t="s">
        <v>759</v>
      </c>
      <c r="G867">
        <v>7302</v>
      </c>
      <c r="H867" t="s">
        <v>1501</v>
      </c>
    </row>
    <row r="868" spans="1:8" hidden="1">
      <c r="A868" s="71">
        <v>44491</v>
      </c>
      <c r="B868" t="s">
        <v>188</v>
      </c>
      <c r="C868" t="s">
        <v>2240</v>
      </c>
      <c r="F868" t="s">
        <v>759</v>
      </c>
      <c r="G868">
        <v>7267</v>
      </c>
      <c r="H868" t="s">
        <v>1659</v>
      </c>
    </row>
    <row r="869" spans="1:8" hidden="1">
      <c r="A869" s="71">
        <v>44491</v>
      </c>
      <c r="B869" t="s">
        <v>373</v>
      </c>
      <c r="C869" t="s">
        <v>2241</v>
      </c>
      <c r="E869" s="86">
        <v>2516</v>
      </c>
      <c r="F869" t="s">
        <v>759</v>
      </c>
      <c r="G869">
        <v>7266</v>
      </c>
      <c r="H869" t="s">
        <v>1659</v>
      </c>
    </row>
    <row r="870" spans="1:8" hidden="1">
      <c r="A870" s="71">
        <v>44491</v>
      </c>
      <c r="B870" t="s">
        <v>162</v>
      </c>
      <c r="C870" t="s">
        <v>2242</v>
      </c>
      <c r="F870" t="s">
        <v>759</v>
      </c>
      <c r="G870">
        <v>7071</v>
      </c>
      <c r="H870" t="s">
        <v>1499</v>
      </c>
    </row>
    <row r="871" spans="1:8" hidden="1">
      <c r="A871" s="71">
        <v>44491</v>
      </c>
      <c r="B871" t="s">
        <v>162</v>
      </c>
      <c r="C871" t="s">
        <v>2242</v>
      </c>
      <c r="F871" t="s">
        <v>759</v>
      </c>
      <c r="G871">
        <v>7071</v>
      </c>
      <c r="H871" t="s">
        <v>1499</v>
      </c>
    </row>
    <row r="872" spans="1:8" hidden="1">
      <c r="A872" s="71">
        <v>44494</v>
      </c>
      <c r="B872" t="s">
        <v>32</v>
      </c>
      <c r="C872" t="s">
        <v>2243</v>
      </c>
      <c r="E872" s="86">
        <v>4436</v>
      </c>
      <c r="F872" t="s">
        <v>759</v>
      </c>
      <c r="G872">
        <v>7073</v>
      </c>
      <c r="H872" t="s">
        <v>1499</v>
      </c>
    </row>
    <row r="873" spans="1:8" hidden="1">
      <c r="A873" s="71">
        <v>44494</v>
      </c>
      <c r="B873" t="s">
        <v>42</v>
      </c>
      <c r="C873" t="s">
        <v>2244</v>
      </c>
      <c r="F873" t="s">
        <v>759</v>
      </c>
      <c r="G873">
        <v>7268</v>
      </c>
      <c r="H873" t="s">
        <v>1659</v>
      </c>
    </row>
    <row r="874" spans="1:8" hidden="1">
      <c r="A874" s="71">
        <v>44494</v>
      </c>
      <c r="B874" t="s">
        <v>42</v>
      </c>
      <c r="C874" t="s">
        <v>2245</v>
      </c>
      <c r="F874" t="s">
        <v>759</v>
      </c>
      <c r="G874">
        <v>7172</v>
      </c>
      <c r="H874" t="s">
        <v>1286</v>
      </c>
    </row>
    <row r="875" spans="1:8" hidden="1">
      <c r="A875" s="71">
        <v>44494</v>
      </c>
      <c r="B875" t="s">
        <v>19</v>
      </c>
      <c r="C875" t="s">
        <v>2246</v>
      </c>
      <c r="E875" s="86">
        <v>4539</v>
      </c>
      <c r="F875" t="s">
        <v>759</v>
      </c>
      <c r="G875">
        <v>7074</v>
      </c>
      <c r="H875" t="s">
        <v>1499</v>
      </c>
    </row>
    <row r="876" spans="1:8" hidden="1">
      <c r="A876" s="71">
        <v>44494</v>
      </c>
      <c r="B876" t="s">
        <v>29</v>
      </c>
      <c r="C876" t="s">
        <v>2247</v>
      </c>
      <c r="E876" s="86">
        <v>4705</v>
      </c>
      <c r="F876" t="s">
        <v>759</v>
      </c>
      <c r="G876">
        <v>7072</v>
      </c>
      <c r="H876" t="s">
        <v>1499</v>
      </c>
    </row>
    <row r="877" spans="1:8" hidden="1">
      <c r="A877" s="71">
        <v>44495</v>
      </c>
      <c r="B877" t="s">
        <v>183</v>
      </c>
      <c r="C877" t="s">
        <v>2248</v>
      </c>
      <c r="E877" s="86">
        <v>34396</v>
      </c>
      <c r="F877" t="s">
        <v>759</v>
      </c>
      <c r="G877">
        <v>7270</v>
      </c>
      <c r="H877" t="s">
        <v>1659</v>
      </c>
    </row>
    <row r="878" spans="1:8" hidden="1">
      <c r="A878" s="71">
        <v>44495</v>
      </c>
      <c r="B878" t="s">
        <v>688</v>
      </c>
      <c r="C878" t="s">
        <v>2249</v>
      </c>
      <c r="E878" s="86">
        <v>7876</v>
      </c>
      <c r="F878" t="s">
        <v>759</v>
      </c>
      <c r="G878">
        <v>7177</v>
      </c>
      <c r="H878" t="s">
        <v>1286</v>
      </c>
    </row>
    <row r="879" spans="1:8" hidden="1">
      <c r="A879" s="71">
        <v>44495</v>
      </c>
      <c r="B879" t="s">
        <v>688</v>
      </c>
      <c r="C879" t="s">
        <v>2249</v>
      </c>
      <c r="E879" s="86">
        <v>7876</v>
      </c>
      <c r="F879" t="s">
        <v>759</v>
      </c>
      <c r="G879">
        <v>7177</v>
      </c>
      <c r="H879" t="s">
        <v>1659</v>
      </c>
    </row>
    <row r="880" spans="1:8" hidden="1">
      <c r="A880" s="71">
        <v>44495</v>
      </c>
      <c r="B880" t="s">
        <v>48</v>
      </c>
      <c r="C880" t="s">
        <v>2250</v>
      </c>
      <c r="F880" t="s">
        <v>759</v>
      </c>
      <c r="G880">
        <v>7075</v>
      </c>
      <c r="H880" t="s">
        <v>1501</v>
      </c>
    </row>
    <row r="881" spans="1:8" hidden="1">
      <c r="A881" s="71">
        <v>44496</v>
      </c>
      <c r="B881" t="s">
        <v>162</v>
      </c>
      <c r="C881" t="s">
        <v>2251</v>
      </c>
      <c r="E881" s="86">
        <v>8521</v>
      </c>
      <c r="F881" t="s">
        <v>759</v>
      </c>
      <c r="G881">
        <v>7274</v>
      </c>
      <c r="H881" t="s">
        <v>1659</v>
      </c>
    </row>
    <row r="882" spans="1:8" hidden="1">
      <c r="A882" s="71">
        <v>44496</v>
      </c>
      <c r="B882" t="s">
        <v>162</v>
      </c>
      <c r="C882" t="s">
        <v>2252</v>
      </c>
      <c r="F882" t="s">
        <v>759</v>
      </c>
      <c r="G882">
        <v>7183</v>
      </c>
      <c r="H882" t="s">
        <v>1286</v>
      </c>
    </row>
    <row r="883" spans="1:8" hidden="1">
      <c r="A883" s="71">
        <v>44496</v>
      </c>
      <c r="B883" t="s">
        <v>324</v>
      </c>
      <c r="C883" t="s">
        <v>2253</v>
      </c>
      <c r="E883" s="86">
        <v>12360</v>
      </c>
      <c r="F883" t="s">
        <v>759</v>
      </c>
      <c r="G883">
        <v>7272</v>
      </c>
      <c r="H883" t="s">
        <v>1659</v>
      </c>
    </row>
    <row r="884" spans="1:8" hidden="1">
      <c r="A884" s="71">
        <v>44496</v>
      </c>
      <c r="B884" t="s">
        <v>162</v>
      </c>
      <c r="C884" t="s">
        <v>2252</v>
      </c>
      <c r="F884" t="s">
        <v>759</v>
      </c>
      <c r="G884">
        <v>7183</v>
      </c>
      <c r="H884" t="s">
        <v>1286</v>
      </c>
    </row>
    <row r="885" spans="1:8" hidden="1">
      <c r="A885" s="71">
        <v>44496</v>
      </c>
      <c r="B885" t="s">
        <v>383</v>
      </c>
      <c r="C885" t="s">
        <v>2254</v>
      </c>
      <c r="E885" s="86">
        <v>1086</v>
      </c>
      <c r="F885" t="s">
        <v>759</v>
      </c>
      <c r="G885">
        <v>7182</v>
      </c>
      <c r="H885" t="s">
        <v>1244</v>
      </c>
    </row>
    <row r="886" spans="1:8" hidden="1">
      <c r="A886" s="71">
        <v>44496</v>
      </c>
      <c r="B886" t="s">
        <v>324</v>
      </c>
      <c r="C886" t="s">
        <v>2255</v>
      </c>
      <c r="E886" s="86">
        <v>12360</v>
      </c>
      <c r="F886" t="s">
        <v>759</v>
      </c>
      <c r="G886">
        <v>7178</v>
      </c>
      <c r="H886" t="s">
        <v>1659</v>
      </c>
    </row>
    <row r="887" spans="1:8" hidden="1">
      <c r="A887" s="71">
        <v>44496</v>
      </c>
      <c r="B887" t="s">
        <v>365</v>
      </c>
      <c r="C887" t="s">
        <v>2256</v>
      </c>
      <c r="F887" t="s">
        <v>759</v>
      </c>
      <c r="G887">
        <v>7076</v>
      </c>
      <c r="H887" t="s">
        <v>1499</v>
      </c>
    </row>
    <row r="888" spans="1:8" hidden="1">
      <c r="A888" s="71">
        <v>44497</v>
      </c>
      <c r="B888" t="s">
        <v>342</v>
      </c>
      <c r="C888" t="s">
        <v>2257</v>
      </c>
      <c r="E888" s="86">
        <v>12106</v>
      </c>
      <c r="F888" t="s">
        <v>759</v>
      </c>
      <c r="G888">
        <v>7352</v>
      </c>
      <c r="H888" t="s">
        <v>474</v>
      </c>
    </row>
    <row r="889" spans="1:8" hidden="1">
      <c r="A889" s="71">
        <v>44497</v>
      </c>
      <c r="B889" t="s">
        <v>146</v>
      </c>
      <c r="C889" t="s">
        <v>2258</v>
      </c>
      <c r="F889" t="s">
        <v>759</v>
      </c>
      <c r="G889">
        <v>7305</v>
      </c>
      <c r="H889" t="s">
        <v>1390</v>
      </c>
    </row>
    <row r="890" spans="1:8" hidden="1">
      <c r="A890" s="71">
        <v>44497</v>
      </c>
      <c r="B890" t="s">
        <v>338</v>
      </c>
      <c r="C890" t="s">
        <v>2259</v>
      </c>
      <c r="E890" s="86">
        <v>22893</v>
      </c>
      <c r="F890" t="s">
        <v>759</v>
      </c>
      <c r="G890">
        <v>7276</v>
      </c>
      <c r="H890" t="s">
        <v>1659</v>
      </c>
    </row>
    <row r="891" spans="1:8" hidden="1">
      <c r="A891" s="71">
        <v>44497</v>
      </c>
      <c r="B891" t="s">
        <v>776</v>
      </c>
      <c r="C891" t="s">
        <v>2260</v>
      </c>
      <c r="E891" s="86">
        <v>8502</v>
      </c>
      <c r="F891" t="s">
        <v>759</v>
      </c>
      <c r="G891">
        <v>7275</v>
      </c>
      <c r="H891" t="s">
        <v>1659</v>
      </c>
    </row>
    <row r="892" spans="1:8" hidden="1">
      <c r="A892" s="71">
        <v>44497</v>
      </c>
      <c r="B892" t="s">
        <v>338</v>
      </c>
      <c r="C892" t="s">
        <v>2261</v>
      </c>
      <c r="F892" t="s">
        <v>759</v>
      </c>
      <c r="G892">
        <v>7188</v>
      </c>
      <c r="H892" t="s">
        <v>1659</v>
      </c>
    </row>
    <row r="893" spans="1:8" hidden="1">
      <c r="A893" s="71">
        <v>44497</v>
      </c>
      <c r="B893" t="s">
        <v>346</v>
      </c>
      <c r="C893" t="s">
        <v>2262</v>
      </c>
      <c r="F893" t="s">
        <v>759</v>
      </c>
      <c r="G893">
        <v>7187</v>
      </c>
      <c r="H893" t="s">
        <v>1659</v>
      </c>
    </row>
    <row r="894" spans="1:8" hidden="1">
      <c r="A894" s="71">
        <v>44497</v>
      </c>
      <c r="B894" t="s">
        <v>307</v>
      </c>
      <c r="C894" t="s">
        <v>2263</v>
      </c>
      <c r="E894" s="86">
        <v>12216</v>
      </c>
      <c r="F894" t="s">
        <v>759</v>
      </c>
      <c r="G894">
        <v>7186</v>
      </c>
      <c r="H894" t="s">
        <v>1659</v>
      </c>
    </row>
    <row r="895" spans="1:8" hidden="1">
      <c r="A895" s="71">
        <v>44498</v>
      </c>
      <c r="B895" t="s">
        <v>334</v>
      </c>
      <c r="C895" t="s">
        <v>2264</v>
      </c>
      <c r="E895" s="86">
        <v>18167</v>
      </c>
      <c r="F895" t="s">
        <v>759</v>
      </c>
      <c r="G895">
        <v>7277</v>
      </c>
      <c r="H895" t="s">
        <v>1659</v>
      </c>
    </row>
    <row r="896" spans="1:8" hidden="1">
      <c r="A896" s="71">
        <v>44498</v>
      </c>
      <c r="B896" t="s">
        <v>167</v>
      </c>
      <c r="C896" t="s">
        <v>2265</v>
      </c>
      <c r="E896" s="86">
        <v>3137</v>
      </c>
      <c r="F896" t="s">
        <v>759</v>
      </c>
      <c r="G896">
        <v>7278</v>
      </c>
      <c r="H896" t="s">
        <v>1659</v>
      </c>
    </row>
    <row r="897" spans="1:8" hidden="1">
      <c r="A897" s="71">
        <v>44498</v>
      </c>
      <c r="B897" t="s">
        <v>167</v>
      </c>
      <c r="C897" t="s">
        <v>2266</v>
      </c>
      <c r="E897" s="86">
        <v>3137</v>
      </c>
      <c r="F897" t="s">
        <v>759</v>
      </c>
      <c r="G897">
        <v>7191</v>
      </c>
      <c r="H897" t="s">
        <v>1286</v>
      </c>
    </row>
    <row r="898" spans="1:8" hidden="1">
      <c r="A898" s="71">
        <v>44498</v>
      </c>
      <c r="B898" t="s">
        <v>167</v>
      </c>
      <c r="C898" t="s">
        <v>2266</v>
      </c>
      <c r="E898" s="86">
        <v>3137</v>
      </c>
      <c r="F898" t="s">
        <v>759</v>
      </c>
      <c r="G898">
        <v>7191</v>
      </c>
      <c r="H898" t="s">
        <v>1286</v>
      </c>
    </row>
    <row r="899" spans="1:8" hidden="1">
      <c r="A899" s="71">
        <v>44498</v>
      </c>
      <c r="B899" t="s">
        <v>311</v>
      </c>
      <c r="C899" t="s">
        <v>2267</v>
      </c>
      <c r="E899" s="86">
        <v>12690</v>
      </c>
      <c r="F899" t="s">
        <v>759</v>
      </c>
      <c r="G899">
        <v>7306</v>
      </c>
      <c r="H899" t="s">
        <v>1501</v>
      </c>
    </row>
    <row r="900" spans="1:8" hidden="1">
      <c r="A900" s="71">
        <v>44498</v>
      </c>
      <c r="B900" t="s">
        <v>351</v>
      </c>
      <c r="C900" t="s">
        <v>2268</v>
      </c>
      <c r="F900" t="s">
        <v>759</v>
      </c>
      <c r="G900">
        <v>7080</v>
      </c>
      <c r="H900" t="s">
        <v>1235</v>
      </c>
    </row>
    <row r="901" spans="1:8" hidden="1">
      <c r="A901" s="71">
        <v>44498</v>
      </c>
      <c r="B901" t="s">
        <v>368</v>
      </c>
      <c r="C901" t="s">
        <v>2269</v>
      </c>
      <c r="F901" t="s">
        <v>759</v>
      </c>
      <c r="G901">
        <v>7354</v>
      </c>
      <c r="H901" t="s">
        <v>474</v>
      </c>
    </row>
    <row r="902" spans="1:8" hidden="1">
      <c r="A902" s="71">
        <v>44502</v>
      </c>
      <c r="B902" t="s">
        <v>336</v>
      </c>
      <c r="C902" t="s">
        <v>2270</v>
      </c>
      <c r="E902" s="86">
        <v>8667</v>
      </c>
      <c r="F902" t="s">
        <v>759</v>
      </c>
      <c r="G902">
        <v>3159</v>
      </c>
      <c r="H902" t="s">
        <v>1492</v>
      </c>
    </row>
    <row r="903" spans="1:8" hidden="1">
      <c r="A903" s="71">
        <v>44502</v>
      </c>
      <c r="B903" t="s">
        <v>42</v>
      </c>
      <c r="C903" t="s">
        <v>2271</v>
      </c>
      <c r="F903" t="s">
        <v>759</v>
      </c>
      <c r="G903">
        <v>7192</v>
      </c>
      <c r="H903" t="s">
        <v>1286</v>
      </c>
    </row>
    <row r="904" spans="1:8" hidden="1">
      <c r="A904" s="71">
        <v>44502</v>
      </c>
      <c r="B904" t="s">
        <v>692</v>
      </c>
      <c r="C904" t="s">
        <v>2272</v>
      </c>
      <c r="E904" s="86">
        <v>3749</v>
      </c>
      <c r="F904" t="s">
        <v>759</v>
      </c>
      <c r="G904">
        <v>7105</v>
      </c>
      <c r="H904" t="s">
        <v>1501</v>
      </c>
    </row>
    <row r="905" spans="1:8" hidden="1">
      <c r="A905" s="71">
        <v>44502</v>
      </c>
      <c r="B905" t="s">
        <v>692</v>
      </c>
      <c r="C905" t="s">
        <v>2272</v>
      </c>
      <c r="E905" s="86">
        <v>3749</v>
      </c>
      <c r="F905" t="s">
        <v>759</v>
      </c>
      <c r="G905">
        <v>7105</v>
      </c>
      <c r="H905" t="s">
        <v>1501</v>
      </c>
    </row>
    <row r="906" spans="1:8" hidden="1">
      <c r="A906" s="71">
        <v>44503</v>
      </c>
      <c r="B906" t="s">
        <v>2126</v>
      </c>
      <c r="C906" t="s">
        <v>2273</v>
      </c>
      <c r="E906" s="86">
        <v>6446</v>
      </c>
      <c r="F906" t="s">
        <v>759</v>
      </c>
      <c r="G906">
        <v>7321</v>
      </c>
      <c r="H906" t="s">
        <v>1390</v>
      </c>
    </row>
    <row r="907" spans="1:8" hidden="1">
      <c r="A907" s="71">
        <v>44503</v>
      </c>
      <c r="B907" t="s">
        <v>163</v>
      </c>
      <c r="C907" t="s">
        <v>2274</v>
      </c>
      <c r="E907" s="86">
        <v>5602</v>
      </c>
      <c r="F907" t="s">
        <v>759</v>
      </c>
      <c r="G907">
        <v>7281</v>
      </c>
      <c r="H907" t="s">
        <v>1659</v>
      </c>
    </row>
    <row r="908" spans="1:8" hidden="1">
      <c r="A908" s="71">
        <v>44503</v>
      </c>
      <c r="B908" t="s">
        <v>776</v>
      </c>
      <c r="C908" t="s">
        <v>2275</v>
      </c>
      <c r="F908" t="s">
        <v>759</v>
      </c>
      <c r="G908">
        <v>7194</v>
      </c>
      <c r="H908" t="s">
        <v>1286</v>
      </c>
    </row>
    <row r="909" spans="1:8" hidden="1">
      <c r="A909" s="71">
        <v>44503</v>
      </c>
      <c r="B909" t="s">
        <v>776</v>
      </c>
      <c r="C909" t="s">
        <v>2275</v>
      </c>
      <c r="F909" t="s">
        <v>759</v>
      </c>
      <c r="G909">
        <v>7194</v>
      </c>
      <c r="H909" t="s">
        <v>1659</v>
      </c>
    </row>
    <row r="910" spans="1:8" hidden="1">
      <c r="A910" s="71">
        <v>44503</v>
      </c>
      <c r="B910" t="s">
        <v>163</v>
      </c>
      <c r="C910" t="s">
        <v>2276</v>
      </c>
      <c r="F910" t="s">
        <v>759</v>
      </c>
      <c r="G910">
        <v>7193</v>
      </c>
      <c r="H910" t="s">
        <v>1286</v>
      </c>
    </row>
    <row r="911" spans="1:8" hidden="1">
      <c r="A911" s="71">
        <v>44503</v>
      </c>
      <c r="B911" t="s">
        <v>163</v>
      </c>
      <c r="C911" t="s">
        <v>2276</v>
      </c>
      <c r="F911" t="s">
        <v>759</v>
      </c>
      <c r="G911">
        <v>7193</v>
      </c>
      <c r="H911" t="s">
        <v>1286</v>
      </c>
    </row>
    <row r="912" spans="1:8" hidden="1">
      <c r="A912" s="71">
        <v>44504</v>
      </c>
      <c r="B912" t="s">
        <v>389</v>
      </c>
      <c r="C912" t="s">
        <v>2277</v>
      </c>
      <c r="E912" s="86">
        <v>5757</v>
      </c>
      <c r="F912" t="s">
        <v>759</v>
      </c>
      <c r="G912">
        <v>7357</v>
      </c>
      <c r="H912" t="s">
        <v>474</v>
      </c>
    </row>
    <row r="913" spans="1:8" hidden="1">
      <c r="A913" s="71">
        <v>44504</v>
      </c>
      <c r="B913" t="s">
        <v>338</v>
      </c>
      <c r="C913" t="s">
        <v>2278</v>
      </c>
      <c r="E913" s="86">
        <v>22893</v>
      </c>
      <c r="F913" t="s">
        <v>759</v>
      </c>
      <c r="G913">
        <v>7282</v>
      </c>
      <c r="H913" t="s">
        <v>1659</v>
      </c>
    </row>
    <row r="914" spans="1:8" hidden="1">
      <c r="A914" s="71">
        <v>44504</v>
      </c>
      <c r="B914" t="s">
        <v>383</v>
      </c>
      <c r="C914" t="s">
        <v>2279</v>
      </c>
      <c r="E914" s="86">
        <v>1130</v>
      </c>
      <c r="F914" t="s">
        <v>759</v>
      </c>
      <c r="G914">
        <v>7197</v>
      </c>
      <c r="H914" t="s">
        <v>1560</v>
      </c>
    </row>
    <row r="915" spans="1:8" hidden="1">
      <c r="A915" s="71">
        <v>44504</v>
      </c>
      <c r="B915" t="s">
        <v>346</v>
      </c>
      <c r="C915" t="s">
        <v>2280</v>
      </c>
      <c r="F915" t="s">
        <v>759</v>
      </c>
      <c r="G915">
        <v>7196</v>
      </c>
      <c r="H915" t="s">
        <v>1659</v>
      </c>
    </row>
    <row r="916" spans="1:8" hidden="1">
      <c r="A916" s="71">
        <v>44504</v>
      </c>
      <c r="B916" t="s">
        <v>338</v>
      </c>
      <c r="C916" t="s">
        <v>2281</v>
      </c>
      <c r="E916" s="86">
        <v>22892</v>
      </c>
      <c r="F916" t="s">
        <v>759</v>
      </c>
      <c r="G916">
        <v>7195</v>
      </c>
      <c r="H916" t="s">
        <v>1659</v>
      </c>
    </row>
    <row r="917" spans="1:8" hidden="1">
      <c r="A917" s="71">
        <v>44505</v>
      </c>
      <c r="B917" t="s">
        <v>691</v>
      </c>
      <c r="C917" t="s">
        <v>2282</v>
      </c>
      <c r="F917" t="s">
        <v>759</v>
      </c>
      <c r="G917">
        <v>7451</v>
      </c>
      <c r="H917" t="s">
        <v>1286</v>
      </c>
    </row>
    <row r="918" spans="1:8" hidden="1">
      <c r="A918" s="71">
        <v>44506</v>
      </c>
      <c r="B918" t="s">
        <v>389</v>
      </c>
      <c r="C918" t="s">
        <v>2283</v>
      </c>
      <c r="E918" s="86">
        <v>4090</v>
      </c>
      <c r="F918" t="s">
        <v>759</v>
      </c>
      <c r="G918">
        <v>7358</v>
      </c>
      <c r="H918" t="s">
        <v>474</v>
      </c>
    </row>
    <row r="919" spans="1:8" hidden="1">
      <c r="A919" s="71">
        <v>44508</v>
      </c>
      <c r="B919" t="s">
        <v>383</v>
      </c>
      <c r="C919" t="s">
        <v>2284</v>
      </c>
      <c r="E919" s="86">
        <v>1115</v>
      </c>
      <c r="F919" t="s">
        <v>759</v>
      </c>
      <c r="G919">
        <v>7452</v>
      </c>
      <c r="H919" t="s">
        <v>1659</v>
      </c>
    </row>
    <row r="920" spans="1:8" hidden="1">
      <c r="A920" s="71">
        <v>44508</v>
      </c>
      <c r="B920" t="s">
        <v>391</v>
      </c>
      <c r="C920" t="s">
        <v>2285</v>
      </c>
      <c r="E920" s="86">
        <v>5757</v>
      </c>
      <c r="F920" t="s">
        <v>759</v>
      </c>
      <c r="G920">
        <v>7359</v>
      </c>
      <c r="H920" t="s">
        <v>474</v>
      </c>
    </row>
    <row r="921" spans="1:8" hidden="1">
      <c r="A921" s="71">
        <v>44508</v>
      </c>
      <c r="B921" t="s">
        <v>362</v>
      </c>
      <c r="C921" t="s">
        <v>2286</v>
      </c>
      <c r="E921" s="86">
        <v>10845</v>
      </c>
      <c r="F921" t="s">
        <v>759</v>
      </c>
      <c r="G921">
        <v>6728</v>
      </c>
      <c r="H921" t="s">
        <v>1560</v>
      </c>
    </row>
    <row r="922" spans="1:8" hidden="1">
      <c r="A922" s="71">
        <v>44508</v>
      </c>
      <c r="B922" t="s">
        <v>2287</v>
      </c>
      <c r="C922" t="s">
        <v>2288</v>
      </c>
      <c r="F922" t="s">
        <v>759</v>
      </c>
      <c r="G922">
        <v>7311</v>
      </c>
      <c r="H922" t="s">
        <v>1390</v>
      </c>
    </row>
    <row r="923" spans="1:8" hidden="1">
      <c r="A923" s="71">
        <v>44508</v>
      </c>
      <c r="B923" t="s">
        <v>391</v>
      </c>
      <c r="C923" t="s">
        <v>2289</v>
      </c>
      <c r="E923" s="86">
        <v>5757</v>
      </c>
      <c r="F923" t="s">
        <v>759</v>
      </c>
      <c r="G923">
        <v>7084</v>
      </c>
      <c r="H923" t="s">
        <v>1501</v>
      </c>
    </row>
    <row r="924" spans="1:8" hidden="1">
      <c r="A924" s="71">
        <v>44508</v>
      </c>
      <c r="B924" t="s">
        <v>391</v>
      </c>
      <c r="C924" t="s">
        <v>2289</v>
      </c>
      <c r="E924" s="86">
        <v>5757</v>
      </c>
      <c r="F924" t="s">
        <v>759</v>
      </c>
      <c r="G924">
        <v>7084</v>
      </c>
      <c r="H924" t="s">
        <v>1499</v>
      </c>
    </row>
    <row r="925" spans="1:8" hidden="1">
      <c r="A925" s="71">
        <v>44508</v>
      </c>
      <c r="B925" t="s">
        <v>157</v>
      </c>
      <c r="C925" t="s">
        <v>2290</v>
      </c>
      <c r="F925" t="s">
        <v>759</v>
      </c>
      <c r="G925">
        <v>6730</v>
      </c>
      <c r="H925" t="s">
        <v>1560</v>
      </c>
    </row>
    <row r="926" spans="1:8" hidden="1">
      <c r="A926" s="71">
        <v>44509</v>
      </c>
      <c r="B926" t="s">
        <v>163</v>
      </c>
      <c r="C926" t="s">
        <v>2291</v>
      </c>
      <c r="F926" t="s">
        <v>759</v>
      </c>
      <c r="G926">
        <v>7456</v>
      </c>
      <c r="H926" t="s">
        <v>1286</v>
      </c>
    </row>
    <row r="927" spans="1:8" hidden="1">
      <c r="A927" s="71">
        <v>44509</v>
      </c>
      <c r="B927" t="s">
        <v>691</v>
      </c>
      <c r="C927" t="s">
        <v>2292</v>
      </c>
      <c r="F927" t="s">
        <v>759</v>
      </c>
      <c r="G927">
        <v>7455</v>
      </c>
      <c r="H927" t="s">
        <v>1286</v>
      </c>
    </row>
    <row r="928" spans="1:8" hidden="1">
      <c r="A928" s="71">
        <v>44509</v>
      </c>
      <c r="B928" t="s">
        <v>346</v>
      </c>
      <c r="C928" t="s">
        <v>2293</v>
      </c>
      <c r="E928" s="86">
        <v>6898</v>
      </c>
      <c r="F928" t="s">
        <v>759</v>
      </c>
      <c r="G928">
        <v>7287</v>
      </c>
      <c r="H928" t="s">
        <v>1659</v>
      </c>
    </row>
    <row r="929" spans="1:8" hidden="1">
      <c r="A929" s="71">
        <v>44509</v>
      </c>
      <c r="B929" t="s">
        <v>383</v>
      </c>
      <c r="C929" t="s">
        <v>2294</v>
      </c>
      <c r="E929" s="86">
        <v>1111</v>
      </c>
      <c r="F929" t="s">
        <v>759</v>
      </c>
      <c r="G929">
        <v>7286</v>
      </c>
      <c r="H929" t="s">
        <v>1659</v>
      </c>
    </row>
    <row r="930" spans="1:8" hidden="1">
      <c r="A930" s="71">
        <v>44510</v>
      </c>
      <c r="B930" t="s">
        <v>163</v>
      </c>
      <c r="C930" t="s">
        <v>2295</v>
      </c>
      <c r="F930" t="s">
        <v>759</v>
      </c>
      <c r="G930">
        <v>7468</v>
      </c>
      <c r="H930" t="s">
        <v>1286</v>
      </c>
    </row>
    <row r="931" spans="1:8" hidden="1">
      <c r="A931" s="71">
        <v>44510</v>
      </c>
      <c r="B931" t="s">
        <v>776</v>
      </c>
      <c r="C931" t="s">
        <v>2296</v>
      </c>
      <c r="F931" t="s">
        <v>759</v>
      </c>
      <c r="G931">
        <v>7467</v>
      </c>
      <c r="H931" t="s">
        <v>1286</v>
      </c>
    </row>
    <row r="932" spans="1:8" hidden="1">
      <c r="A932" s="71">
        <v>44510</v>
      </c>
      <c r="B932" t="s">
        <v>377</v>
      </c>
      <c r="C932" t="s">
        <v>2297</v>
      </c>
      <c r="E932" s="86">
        <v>6420</v>
      </c>
      <c r="F932" t="s">
        <v>759</v>
      </c>
      <c r="G932">
        <v>7361</v>
      </c>
      <c r="H932" t="s">
        <v>474</v>
      </c>
    </row>
    <row r="933" spans="1:8" hidden="1">
      <c r="A933" s="71">
        <v>44510</v>
      </c>
      <c r="B933" t="s">
        <v>575</v>
      </c>
      <c r="C933" t="s">
        <v>2298</v>
      </c>
      <c r="F933" t="s">
        <v>759</v>
      </c>
      <c r="G933">
        <v>7289</v>
      </c>
      <c r="H933" t="s">
        <v>1659</v>
      </c>
    </row>
    <row r="934" spans="1:8" hidden="1">
      <c r="A934" s="71">
        <v>44510</v>
      </c>
      <c r="B934" t="s">
        <v>39</v>
      </c>
      <c r="C934" t="s">
        <v>2299</v>
      </c>
      <c r="E934" s="86">
        <v>1016</v>
      </c>
      <c r="F934" t="s">
        <v>759</v>
      </c>
      <c r="G934">
        <v>7087</v>
      </c>
      <c r="H934" t="s">
        <v>1499</v>
      </c>
    </row>
    <row r="935" spans="1:8" hidden="1">
      <c r="A935" s="71">
        <v>44510</v>
      </c>
      <c r="B935" t="s">
        <v>368</v>
      </c>
      <c r="C935" t="s">
        <v>2300</v>
      </c>
      <c r="E935" s="86">
        <v>2026</v>
      </c>
      <c r="F935" t="s">
        <v>759</v>
      </c>
      <c r="G935">
        <v>7086</v>
      </c>
      <c r="H935" t="s">
        <v>1499</v>
      </c>
    </row>
    <row r="936" spans="1:8" hidden="1">
      <c r="A936" s="71">
        <v>44511</v>
      </c>
      <c r="B936" t="s">
        <v>324</v>
      </c>
      <c r="C936" t="s">
        <v>2301</v>
      </c>
      <c r="F936" t="s">
        <v>759</v>
      </c>
      <c r="G936">
        <v>7470</v>
      </c>
      <c r="H936" t="s">
        <v>1659</v>
      </c>
    </row>
    <row r="937" spans="1:8" hidden="1">
      <c r="A937" s="71">
        <v>44511</v>
      </c>
      <c r="B937" t="s">
        <v>346</v>
      </c>
      <c r="C937" t="s">
        <v>2302</v>
      </c>
      <c r="E937" s="86">
        <v>6906</v>
      </c>
      <c r="F937" t="s">
        <v>759</v>
      </c>
      <c r="G937">
        <v>7469</v>
      </c>
      <c r="H937" t="s">
        <v>1659</v>
      </c>
    </row>
    <row r="938" spans="1:8" hidden="1">
      <c r="A938" s="71">
        <v>44511</v>
      </c>
      <c r="B938" t="s">
        <v>318</v>
      </c>
      <c r="C938" t="s">
        <v>2303</v>
      </c>
      <c r="F938" t="s">
        <v>759</v>
      </c>
      <c r="G938">
        <v>7309</v>
      </c>
      <c r="H938" t="s">
        <v>1390</v>
      </c>
    </row>
    <row r="939" spans="1:8" hidden="1">
      <c r="A939" s="71">
        <v>44511</v>
      </c>
      <c r="B939" t="s">
        <v>324</v>
      </c>
      <c r="C939" t="s">
        <v>2304</v>
      </c>
      <c r="E939" s="86">
        <v>12551</v>
      </c>
      <c r="F939" t="s">
        <v>759</v>
      </c>
      <c r="G939">
        <v>7293</v>
      </c>
      <c r="H939" t="s">
        <v>1659</v>
      </c>
    </row>
    <row r="940" spans="1:8" hidden="1">
      <c r="A940" s="71">
        <v>44511</v>
      </c>
      <c r="B940" t="s">
        <v>713</v>
      </c>
      <c r="C940" t="s">
        <v>2305</v>
      </c>
      <c r="E940" s="86">
        <v>12712</v>
      </c>
      <c r="F940" t="s">
        <v>759</v>
      </c>
      <c r="G940">
        <v>7291</v>
      </c>
      <c r="H940" t="s">
        <v>1659</v>
      </c>
    </row>
    <row r="941" spans="1:8" hidden="1">
      <c r="A941" s="71">
        <v>44511</v>
      </c>
      <c r="B941" t="s">
        <v>311</v>
      </c>
      <c r="C941" t="s">
        <v>2306</v>
      </c>
      <c r="F941" t="s">
        <v>759</v>
      </c>
      <c r="G941">
        <v>7471</v>
      </c>
      <c r="H941" t="s">
        <v>1659</v>
      </c>
    </row>
    <row r="942" spans="1:8" hidden="1">
      <c r="A942" s="71">
        <v>44511</v>
      </c>
      <c r="B942" t="s">
        <v>784</v>
      </c>
      <c r="C942" t="s">
        <v>2307</v>
      </c>
      <c r="F942" t="s">
        <v>759</v>
      </c>
      <c r="G942">
        <v>7089</v>
      </c>
      <c r="H942" t="s">
        <v>1499</v>
      </c>
    </row>
    <row r="943" spans="1:8" hidden="1">
      <c r="A943" s="71">
        <v>44512</v>
      </c>
      <c r="B943" t="s">
        <v>183</v>
      </c>
      <c r="C943" t="s">
        <v>2308</v>
      </c>
      <c r="F943" t="s">
        <v>759</v>
      </c>
      <c r="G943">
        <v>7476</v>
      </c>
      <c r="H943" t="s">
        <v>1286</v>
      </c>
    </row>
    <row r="944" spans="1:8" hidden="1">
      <c r="A944" s="71">
        <v>44512</v>
      </c>
      <c r="B944" t="s">
        <v>575</v>
      </c>
      <c r="C944" t="s">
        <v>2309</v>
      </c>
      <c r="F944" t="s">
        <v>759</v>
      </c>
      <c r="G944">
        <v>7475</v>
      </c>
      <c r="H944" t="s">
        <v>1286</v>
      </c>
    </row>
    <row r="945" spans="1:8" hidden="1">
      <c r="A945" s="71">
        <v>44512</v>
      </c>
      <c r="B945" t="s">
        <v>377</v>
      </c>
      <c r="C945" t="s">
        <v>2310</v>
      </c>
      <c r="E945" s="86">
        <v>6477</v>
      </c>
      <c r="F945" t="s">
        <v>759</v>
      </c>
      <c r="G945">
        <v>7363</v>
      </c>
      <c r="H945" t="s">
        <v>474</v>
      </c>
    </row>
    <row r="946" spans="1:8" hidden="1">
      <c r="A946" s="71">
        <v>44512</v>
      </c>
      <c r="B946" t="s">
        <v>2287</v>
      </c>
      <c r="C946" t="s">
        <v>2311</v>
      </c>
      <c r="F946" t="s">
        <v>759</v>
      </c>
      <c r="G946">
        <v>7313</v>
      </c>
      <c r="H946" t="s">
        <v>1390</v>
      </c>
    </row>
    <row r="947" spans="1:8" hidden="1">
      <c r="A947" s="71">
        <v>44512</v>
      </c>
      <c r="B947" t="s">
        <v>2287</v>
      </c>
      <c r="C947" t="s">
        <v>2312</v>
      </c>
      <c r="F947" t="s">
        <v>759</v>
      </c>
      <c r="G947">
        <v>7090</v>
      </c>
      <c r="H947" t="s">
        <v>1499</v>
      </c>
    </row>
    <row r="948" spans="1:8" hidden="1">
      <c r="A948" s="71">
        <v>44512</v>
      </c>
      <c r="B948" t="s">
        <v>2287</v>
      </c>
      <c r="C948" t="s">
        <v>2312</v>
      </c>
      <c r="F948" t="s">
        <v>759</v>
      </c>
      <c r="G948">
        <v>7090</v>
      </c>
      <c r="H948" t="s">
        <v>1499</v>
      </c>
    </row>
    <row r="949" spans="1:8" hidden="1">
      <c r="A949" s="71">
        <v>44512</v>
      </c>
      <c r="B949" t="s">
        <v>377</v>
      </c>
      <c r="C949" t="s">
        <v>2313</v>
      </c>
      <c r="E949" s="86">
        <v>15865</v>
      </c>
      <c r="F949" t="s">
        <v>759</v>
      </c>
      <c r="G949">
        <v>7088</v>
      </c>
      <c r="H949" t="s">
        <v>1499</v>
      </c>
    </row>
    <row r="950" spans="1:8" hidden="1">
      <c r="A950" s="71">
        <v>44512</v>
      </c>
      <c r="B950" t="s">
        <v>377</v>
      </c>
      <c r="C950" t="s">
        <v>2313</v>
      </c>
      <c r="E950" s="86">
        <v>15865</v>
      </c>
      <c r="F950" t="s">
        <v>759</v>
      </c>
      <c r="G950">
        <v>7088</v>
      </c>
      <c r="H950" t="s">
        <v>1499</v>
      </c>
    </row>
    <row r="951" spans="1:8" hidden="1">
      <c r="A951" s="71">
        <v>44515</v>
      </c>
      <c r="B951" t="s">
        <v>311</v>
      </c>
      <c r="C951" t="s">
        <v>2314</v>
      </c>
      <c r="E951" s="86">
        <v>12704</v>
      </c>
      <c r="F951" t="s">
        <v>759</v>
      </c>
      <c r="G951">
        <v>7478</v>
      </c>
      <c r="H951" t="s">
        <v>1659</v>
      </c>
    </row>
    <row r="952" spans="1:8" hidden="1">
      <c r="A952" s="71">
        <v>44515</v>
      </c>
      <c r="B952" t="s">
        <v>311</v>
      </c>
      <c r="C952" t="s">
        <v>2315</v>
      </c>
      <c r="E952" s="86">
        <v>12704</v>
      </c>
      <c r="F952" t="s">
        <v>759</v>
      </c>
      <c r="G952">
        <v>7296</v>
      </c>
      <c r="H952" t="s">
        <v>1659</v>
      </c>
    </row>
    <row r="953" spans="1:8" hidden="1">
      <c r="A953" s="71">
        <v>44515</v>
      </c>
      <c r="B953" t="s">
        <v>171</v>
      </c>
      <c r="C953" t="s">
        <v>2316</v>
      </c>
      <c r="E953" s="86">
        <v>3191</v>
      </c>
      <c r="F953" t="s">
        <v>759</v>
      </c>
      <c r="G953">
        <v>7294</v>
      </c>
      <c r="H953" t="s">
        <v>1659</v>
      </c>
    </row>
    <row r="954" spans="1:8" hidden="1">
      <c r="A954" s="71">
        <v>44516</v>
      </c>
      <c r="B954" t="s">
        <v>389</v>
      </c>
      <c r="C954" t="s">
        <v>2317</v>
      </c>
      <c r="E954" s="86">
        <v>4096</v>
      </c>
      <c r="F954" t="s">
        <v>759</v>
      </c>
      <c r="G954">
        <v>7481</v>
      </c>
      <c r="H954" t="s">
        <v>1659</v>
      </c>
    </row>
    <row r="955" spans="1:8" hidden="1">
      <c r="A955" s="71">
        <v>44516</v>
      </c>
      <c r="B955" t="s">
        <v>389</v>
      </c>
      <c r="C955" t="s">
        <v>2318</v>
      </c>
      <c r="E955" s="86">
        <v>4096</v>
      </c>
      <c r="F955" t="s">
        <v>759</v>
      </c>
      <c r="G955">
        <v>7297</v>
      </c>
      <c r="H955" t="s">
        <v>1659</v>
      </c>
    </row>
    <row r="956" spans="1:8" hidden="1">
      <c r="A956" s="71">
        <v>44518</v>
      </c>
      <c r="B956" t="s">
        <v>159</v>
      </c>
      <c r="C956" t="s">
        <v>2319</v>
      </c>
      <c r="E956" s="86">
        <v>8066</v>
      </c>
      <c r="F956" t="s">
        <v>759</v>
      </c>
      <c r="G956">
        <v>7493</v>
      </c>
      <c r="H956" t="s">
        <v>1286</v>
      </c>
    </row>
    <row r="957" spans="1:8" hidden="1">
      <c r="A957" s="71">
        <v>44518</v>
      </c>
      <c r="B957" t="s">
        <v>311</v>
      </c>
      <c r="C957" t="s">
        <v>2320</v>
      </c>
      <c r="E957" s="86">
        <v>12713</v>
      </c>
      <c r="F957" t="s">
        <v>759</v>
      </c>
      <c r="G957">
        <v>7492</v>
      </c>
      <c r="H957" t="s">
        <v>1659</v>
      </c>
    </row>
    <row r="958" spans="1:8" hidden="1">
      <c r="A958" s="71">
        <v>44518</v>
      </c>
      <c r="B958" t="s">
        <v>311</v>
      </c>
      <c r="C958" t="s">
        <v>2321</v>
      </c>
      <c r="E958" s="86">
        <v>2068</v>
      </c>
      <c r="F958" t="s">
        <v>759</v>
      </c>
      <c r="G958">
        <v>2068</v>
      </c>
      <c r="H958" t="s">
        <v>1235</v>
      </c>
    </row>
    <row r="959" spans="1:8" hidden="1">
      <c r="A959" s="71">
        <v>44518</v>
      </c>
      <c r="B959" t="s">
        <v>159</v>
      </c>
      <c r="C959" t="s">
        <v>2322</v>
      </c>
      <c r="E959" s="86">
        <v>8066</v>
      </c>
      <c r="F959" t="s">
        <v>759</v>
      </c>
      <c r="G959">
        <v>7403</v>
      </c>
      <c r="H959" t="s">
        <v>1659</v>
      </c>
    </row>
    <row r="960" spans="1:8" hidden="1">
      <c r="A960" s="71">
        <v>44518</v>
      </c>
      <c r="B960" t="s">
        <v>705</v>
      </c>
      <c r="C960" t="s">
        <v>2323</v>
      </c>
      <c r="E960" s="86">
        <v>2743</v>
      </c>
      <c r="F960" t="s">
        <v>759</v>
      </c>
      <c r="G960">
        <v>7402</v>
      </c>
      <c r="H960" t="s">
        <v>1501</v>
      </c>
    </row>
    <row r="961" spans="1:8" hidden="1">
      <c r="A961" s="71">
        <v>44519</v>
      </c>
      <c r="B961" t="s">
        <v>691</v>
      </c>
      <c r="C961" t="s">
        <v>2324</v>
      </c>
      <c r="F961" t="s">
        <v>759</v>
      </c>
      <c r="G961">
        <v>7495</v>
      </c>
      <c r="H961" t="s">
        <v>1286</v>
      </c>
    </row>
    <row r="962" spans="1:8" hidden="1">
      <c r="A962" s="71">
        <v>44519</v>
      </c>
      <c r="B962" t="s">
        <v>705</v>
      </c>
      <c r="C962" t="s">
        <v>2325</v>
      </c>
      <c r="E962" s="86">
        <v>2743</v>
      </c>
      <c r="F962" t="s">
        <v>759</v>
      </c>
      <c r="G962">
        <v>7404</v>
      </c>
      <c r="H962" t="s">
        <v>1659</v>
      </c>
    </row>
    <row r="963" spans="1:8" hidden="1">
      <c r="A963" s="71">
        <v>44520</v>
      </c>
      <c r="B963" t="s">
        <v>352</v>
      </c>
      <c r="C963" t="s">
        <v>2326</v>
      </c>
      <c r="E963" s="86">
        <v>811</v>
      </c>
      <c r="F963" t="s">
        <v>759</v>
      </c>
      <c r="G963">
        <v>7079</v>
      </c>
      <c r="H963" t="s">
        <v>1499</v>
      </c>
    </row>
    <row r="964" spans="1:8" hidden="1">
      <c r="A964" s="71">
        <v>44522</v>
      </c>
      <c r="B964" t="s">
        <v>713</v>
      </c>
      <c r="E964" s="86">
        <v>12719</v>
      </c>
      <c r="F964" t="s">
        <v>759</v>
      </c>
      <c r="G964">
        <v>7405</v>
      </c>
      <c r="H964" t="s">
        <v>1659</v>
      </c>
    </row>
    <row r="965" spans="1:8" hidden="1">
      <c r="A965" s="71">
        <v>44522</v>
      </c>
      <c r="B965" t="s">
        <v>163</v>
      </c>
      <c r="C965" t="s">
        <v>2327</v>
      </c>
      <c r="E965" s="86">
        <v>5621</v>
      </c>
      <c r="F965" t="s">
        <v>759</v>
      </c>
      <c r="G965">
        <v>7314</v>
      </c>
      <c r="H965" t="s">
        <v>1390</v>
      </c>
    </row>
    <row r="966" spans="1:8" hidden="1">
      <c r="A966" s="71">
        <v>44522</v>
      </c>
      <c r="B966" t="s">
        <v>35</v>
      </c>
      <c r="C966" t="s">
        <v>2328</v>
      </c>
      <c r="E966" s="86">
        <v>4341</v>
      </c>
      <c r="F966" t="s">
        <v>759</v>
      </c>
      <c r="G966">
        <v>7107</v>
      </c>
      <c r="H966" t="s">
        <v>1252</v>
      </c>
    </row>
    <row r="967" spans="1:8" hidden="1">
      <c r="A967" s="71">
        <v>44522</v>
      </c>
      <c r="B967" t="s">
        <v>19</v>
      </c>
      <c r="C967" t="s">
        <v>2329</v>
      </c>
      <c r="E967" s="86">
        <v>4644</v>
      </c>
      <c r="F967" t="s">
        <v>759</v>
      </c>
      <c r="G967">
        <v>7106</v>
      </c>
      <c r="H967" t="s">
        <v>1252</v>
      </c>
    </row>
    <row r="968" spans="1:8" hidden="1">
      <c r="A968" s="71">
        <v>44522</v>
      </c>
      <c r="B968" t="s">
        <v>569</v>
      </c>
      <c r="C968" t="s">
        <v>2330</v>
      </c>
      <c r="F968" t="s">
        <v>759</v>
      </c>
      <c r="G968">
        <v>6635</v>
      </c>
      <c r="H968" t="s">
        <v>1246</v>
      </c>
    </row>
    <row r="969" spans="1:8" hidden="1">
      <c r="A969" s="71">
        <v>44523</v>
      </c>
      <c r="B969" t="s">
        <v>362</v>
      </c>
      <c r="C969" t="s">
        <v>2331</v>
      </c>
      <c r="E969" s="86">
        <v>10886</v>
      </c>
      <c r="F969" t="s">
        <v>759</v>
      </c>
      <c r="G969">
        <v>2070</v>
      </c>
      <c r="H969" t="s">
        <v>1235</v>
      </c>
    </row>
    <row r="970" spans="1:8" hidden="1">
      <c r="A970" s="71">
        <v>44523</v>
      </c>
      <c r="B970" t="s">
        <v>389</v>
      </c>
      <c r="C970" t="s">
        <v>2332</v>
      </c>
      <c r="E970" s="86">
        <v>4135</v>
      </c>
      <c r="F970" t="s">
        <v>759</v>
      </c>
      <c r="G970">
        <v>7554</v>
      </c>
      <c r="H970" t="s">
        <v>1286</v>
      </c>
    </row>
    <row r="971" spans="1:8" hidden="1">
      <c r="A971" s="71">
        <v>44523</v>
      </c>
      <c r="B971" t="s">
        <v>336</v>
      </c>
      <c r="C971" t="s">
        <v>2333</v>
      </c>
      <c r="E971" s="86">
        <v>8725</v>
      </c>
      <c r="F971" t="s">
        <v>759</v>
      </c>
      <c r="G971">
        <v>7407</v>
      </c>
      <c r="H971" t="s">
        <v>1659</v>
      </c>
    </row>
    <row r="972" spans="1:8" hidden="1">
      <c r="A972" s="71">
        <v>44523</v>
      </c>
      <c r="B972" t="s">
        <v>389</v>
      </c>
      <c r="C972" t="s">
        <v>2334</v>
      </c>
      <c r="E972" s="86">
        <v>4135</v>
      </c>
      <c r="F972" t="s">
        <v>759</v>
      </c>
      <c r="G972">
        <v>7408</v>
      </c>
      <c r="H972" t="s">
        <v>1659</v>
      </c>
    </row>
    <row r="973" spans="1:8" hidden="1">
      <c r="A973" s="71">
        <v>44523</v>
      </c>
      <c r="B973" t="s">
        <v>188</v>
      </c>
      <c r="C973" t="s">
        <v>2335</v>
      </c>
      <c r="F973" t="s">
        <v>759</v>
      </c>
      <c r="G973">
        <v>7406</v>
      </c>
      <c r="H973" t="s">
        <v>1659</v>
      </c>
    </row>
    <row r="974" spans="1:8" hidden="1">
      <c r="A974" s="71">
        <v>44523</v>
      </c>
      <c r="B974" t="s">
        <v>2126</v>
      </c>
      <c r="C974" t="s">
        <v>2336</v>
      </c>
      <c r="F974" t="s">
        <v>759</v>
      </c>
      <c r="G974">
        <v>7315</v>
      </c>
      <c r="H974" t="s">
        <v>1390</v>
      </c>
    </row>
    <row r="975" spans="1:8" hidden="1">
      <c r="A975" s="71">
        <v>44524</v>
      </c>
      <c r="B975" t="s">
        <v>183</v>
      </c>
      <c r="C975" t="s">
        <v>2337</v>
      </c>
      <c r="E975" s="86">
        <v>35647</v>
      </c>
      <c r="F975" t="s">
        <v>759</v>
      </c>
      <c r="G975">
        <v>7558</v>
      </c>
      <c r="H975" t="s">
        <v>1286</v>
      </c>
    </row>
    <row r="976" spans="1:8" hidden="1">
      <c r="A976" s="71">
        <v>44524</v>
      </c>
      <c r="B976" t="s">
        <v>338</v>
      </c>
      <c r="C976" t="s">
        <v>2338</v>
      </c>
      <c r="E976" s="86">
        <v>22973</v>
      </c>
      <c r="F976" t="s">
        <v>759</v>
      </c>
      <c r="G976">
        <v>7556</v>
      </c>
      <c r="H976" t="s">
        <v>1286</v>
      </c>
    </row>
    <row r="977" spans="1:8" hidden="1">
      <c r="A977" s="71">
        <v>44524</v>
      </c>
      <c r="B977" t="s">
        <v>183</v>
      </c>
      <c r="C977" t="s">
        <v>2339</v>
      </c>
      <c r="E977" s="86">
        <v>35647</v>
      </c>
      <c r="F977" t="s">
        <v>759</v>
      </c>
      <c r="G977">
        <v>7411</v>
      </c>
      <c r="H977" t="s">
        <v>1659</v>
      </c>
    </row>
    <row r="978" spans="1:8" hidden="1">
      <c r="A978" s="71">
        <v>44524</v>
      </c>
      <c r="B978" t="s">
        <v>784</v>
      </c>
      <c r="C978" t="s">
        <v>2340</v>
      </c>
      <c r="E978" s="86">
        <v>14272</v>
      </c>
      <c r="F978" t="s">
        <v>759</v>
      </c>
      <c r="G978">
        <v>7110</v>
      </c>
      <c r="H978" t="s">
        <v>1252</v>
      </c>
    </row>
    <row r="979" spans="1:8" hidden="1">
      <c r="A979" s="71">
        <v>44525</v>
      </c>
      <c r="B979" t="s">
        <v>803</v>
      </c>
      <c r="C979" t="s">
        <v>2341</v>
      </c>
      <c r="E979" s="86">
        <v>5726</v>
      </c>
      <c r="F979" t="s">
        <v>759</v>
      </c>
      <c r="G979">
        <v>7562</v>
      </c>
      <c r="H979" t="s">
        <v>1286</v>
      </c>
    </row>
    <row r="980" spans="1:8" hidden="1">
      <c r="A980" s="71">
        <v>44525</v>
      </c>
      <c r="B980" t="s">
        <v>776</v>
      </c>
      <c r="C980" t="s">
        <v>2342</v>
      </c>
      <c r="F980" t="s">
        <v>759</v>
      </c>
      <c r="G980">
        <v>7561</v>
      </c>
      <c r="H980" t="s">
        <v>1286</v>
      </c>
    </row>
    <row r="981" spans="1:8" hidden="1">
      <c r="A981" s="71">
        <v>44525</v>
      </c>
      <c r="B981" t="s">
        <v>163</v>
      </c>
      <c r="C981" t="s">
        <v>2343</v>
      </c>
      <c r="F981" t="s">
        <v>759</v>
      </c>
      <c r="G981">
        <v>7560</v>
      </c>
      <c r="H981" t="s">
        <v>1286</v>
      </c>
    </row>
    <row r="982" spans="1:8" hidden="1">
      <c r="A982" s="71">
        <v>44525</v>
      </c>
      <c r="B982" t="s">
        <v>42</v>
      </c>
      <c r="C982" t="s">
        <v>2344</v>
      </c>
      <c r="F982" t="s">
        <v>759</v>
      </c>
      <c r="G982">
        <v>7559</v>
      </c>
      <c r="H982" t="s">
        <v>1286</v>
      </c>
    </row>
    <row r="983" spans="1:8" hidden="1">
      <c r="A983" s="71">
        <v>44525</v>
      </c>
      <c r="B983" t="s">
        <v>2345</v>
      </c>
      <c r="C983" t="s">
        <v>2346</v>
      </c>
      <c r="F983" t="s">
        <v>759</v>
      </c>
      <c r="G983">
        <v>7415</v>
      </c>
      <c r="H983" t="s">
        <v>1659</v>
      </c>
    </row>
    <row r="984" spans="1:8" hidden="1">
      <c r="A984" s="71">
        <v>44525</v>
      </c>
      <c r="B984" t="s">
        <v>163</v>
      </c>
      <c r="C984" t="s">
        <v>2347</v>
      </c>
      <c r="E984" s="86">
        <v>5637</v>
      </c>
      <c r="F984" t="s">
        <v>759</v>
      </c>
      <c r="G984">
        <v>7414</v>
      </c>
      <c r="H984" t="s">
        <v>1659</v>
      </c>
    </row>
    <row r="985" spans="1:8" hidden="1">
      <c r="A985" s="71">
        <v>44525</v>
      </c>
      <c r="B985" t="s">
        <v>1660</v>
      </c>
      <c r="C985" t="s">
        <v>2348</v>
      </c>
      <c r="F985" t="s">
        <v>759</v>
      </c>
      <c r="G985">
        <v>7413</v>
      </c>
      <c r="H985" t="s">
        <v>1659</v>
      </c>
    </row>
    <row r="986" spans="1:8" hidden="1">
      <c r="A986" s="71">
        <v>44525</v>
      </c>
      <c r="B986" t="s">
        <v>29</v>
      </c>
      <c r="C986" t="s">
        <v>2349</v>
      </c>
      <c r="E986" s="86">
        <v>4848</v>
      </c>
      <c r="F986" t="s">
        <v>759</v>
      </c>
      <c r="G986">
        <v>7112</v>
      </c>
      <c r="H986" t="s">
        <v>1252</v>
      </c>
    </row>
    <row r="987" spans="1:8" hidden="1">
      <c r="A987" s="71">
        <v>44526</v>
      </c>
      <c r="B987" t="s">
        <v>688</v>
      </c>
      <c r="C987" t="s">
        <v>2350</v>
      </c>
      <c r="E987" s="86">
        <v>7388</v>
      </c>
      <c r="F987" t="s">
        <v>759</v>
      </c>
      <c r="G987">
        <v>7566</v>
      </c>
      <c r="H987" t="s">
        <v>1286</v>
      </c>
    </row>
    <row r="988" spans="1:8" hidden="1">
      <c r="A988" s="71">
        <v>44526</v>
      </c>
      <c r="B988" t="s">
        <v>336</v>
      </c>
      <c r="C988" t="s">
        <v>2351</v>
      </c>
      <c r="E988" s="86">
        <v>8731</v>
      </c>
      <c r="F988" t="s">
        <v>759</v>
      </c>
      <c r="G988">
        <v>7416</v>
      </c>
      <c r="H988" t="s">
        <v>1659</v>
      </c>
    </row>
    <row r="989" spans="1:8" hidden="1">
      <c r="A989" s="71">
        <v>44526</v>
      </c>
      <c r="B989" t="s">
        <v>160</v>
      </c>
      <c r="C989" t="s">
        <v>2352</v>
      </c>
      <c r="F989" t="s">
        <v>759</v>
      </c>
      <c r="G989">
        <v>7418</v>
      </c>
      <c r="H989" t="s">
        <v>1659</v>
      </c>
    </row>
    <row r="990" spans="1:8" hidden="1">
      <c r="A990" s="71">
        <v>44526</v>
      </c>
      <c r="B990" t="s">
        <v>230</v>
      </c>
      <c r="C990" t="s">
        <v>2353</v>
      </c>
      <c r="E990" s="86">
        <v>8217</v>
      </c>
      <c r="F990" t="s">
        <v>759</v>
      </c>
      <c r="G990">
        <v>7417</v>
      </c>
      <c r="H990" t="s">
        <v>1659</v>
      </c>
    </row>
    <row r="991" spans="1:8" hidden="1">
      <c r="A991" s="71">
        <v>44526</v>
      </c>
      <c r="B991" t="s">
        <v>391</v>
      </c>
      <c r="C991" t="s">
        <v>2354</v>
      </c>
      <c r="E991" s="86">
        <v>5758</v>
      </c>
      <c r="F991" t="s">
        <v>759</v>
      </c>
      <c r="G991">
        <v>7364</v>
      </c>
      <c r="H991" t="s">
        <v>474</v>
      </c>
    </row>
    <row r="992" spans="1:8" hidden="1">
      <c r="A992" s="71">
        <v>44527</v>
      </c>
      <c r="B992" t="s">
        <v>2126</v>
      </c>
      <c r="C992" t="s">
        <v>2355</v>
      </c>
      <c r="E992" s="86">
        <v>6446</v>
      </c>
      <c r="F992" t="s">
        <v>759</v>
      </c>
      <c r="G992">
        <v>7318</v>
      </c>
      <c r="H992" t="s">
        <v>1390</v>
      </c>
    </row>
    <row r="993" spans="1:8" hidden="1">
      <c r="A993" s="71">
        <v>44529</v>
      </c>
      <c r="B993" t="s">
        <v>334</v>
      </c>
      <c r="C993" t="s">
        <v>2356</v>
      </c>
      <c r="E993" s="86">
        <v>18244</v>
      </c>
      <c r="F993" t="s">
        <v>759</v>
      </c>
      <c r="G993">
        <v>7569</v>
      </c>
      <c r="H993" t="s">
        <v>1286</v>
      </c>
    </row>
    <row r="994" spans="1:8" hidden="1">
      <c r="A994" s="71">
        <v>44529</v>
      </c>
      <c r="B994" t="s">
        <v>336</v>
      </c>
      <c r="C994" t="s">
        <v>2357</v>
      </c>
      <c r="E994" s="86">
        <v>8731</v>
      </c>
      <c r="F994" t="s">
        <v>759</v>
      </c>
      <c r="G994">
        <v>7421</v>
      </c>
      <c r="H994" t="s">
        <v>1659</v>
      </c>
    </row>
    <row r="995" spans="1:8" hidden="1">
      <c r="A995" s="71">
        <v>44529</v>
      </c>
      <c r="B995" t="s">
        <v>230</v>
      </c>
      <c r="C995" t="s">
        <v>2358</v>
      </c>
      <c r="F995" t="s">
        <v>759</v>
      </c>
      <c r="G995">
        <v>7571</v>
      </c>
      <c r="H995" t="s">
        <v>1286</v>
      </c>
    </row>
    <row r="996" spans="1:8" hidden="1">
      <c r="A996" s="71">
        <v>44529</v>
      </c>
      <c r="B996" t="s">
        <v>324</v>
      </c>
      <c r="C996" t="s">
        <v>2359</v>
      </c>
      <c r="E996" s="86">
        <v>12610</v>
      </c>
      <c r="F996" t="s">
        <v>759</v>
      </c>
      <c r="G996">
        <v>7420</v>
      </c>
      <c r="H996" t="s">
        <v>1286</v>
      </c>
    </row>
    <row r="997" spans="1:8" hidden="1">
      <c r="A997" s="71">
        <v>44529</v>
      </c>
      <c r="B997" t="s">
        <v>230</v>
      </c>
      <c r="C997" t="s">
        <v>2360</v>
      </c>
      <c r="E997" s="86">
        <v>8218</v>
      </c>
      <c r="F997" t="s">
        <v>759</v>
      </c>
      <c r="G997">
        <v>7419</v>
      </c>
      <c r="H997" t="s">
        <v>1659</v>
      </c>
    </row>
    <row r="998" spans="1:8" hidden="1">
      <c r="A998" s="71">
        <v>44529</v>
      </c>
      <c r="B998" t="s">
        <v>392</v>
      </c>
      <c r="C998" t="s">
        <v>2361</v>
      </c>
      <c r="F998" t="s">
        <v>759</v>
      </c>
      <c r="G998">
        <v>7320</v>
      </c>
      <c r="H998" t="s">
        <v>1390</v>
      </c>
    </row>
    <row r="999" spans="1:8" hidden="1">
      <c r="A999" s="71">
        <v>44530</v>
      </c>
      <c r="B999" t="s">
        <v>338</v>
      </c>
      <c r="C999" t="s">
        <v>2362</v>
      </c>
      <c r="E999" s="86">
        <v>22974</v>
      </c>
      <c r="F999" t="s">
        <v>759</v>
      </c>
      <c r="G999">
        <v>7573</v>
      </c>
      <c r="H999" t="s">
        <v>1286</v>
      </c>
    </row>
    <row r="1000" spans="1:8" hidden="1">
      <c r="A1000" s="71">
        <v>44530</v>
      </c>
      <c r="B1000" t="s">
        <v>346</v>
      </c>
      <c r="C1000" t="s">
        <v>2363</v>
      </c>
      <c r="E1000" s="86">
        <v>6978</v>
      </c>
      <c r="F1000" t="s">
        <v>759</v>
      </c>
      <c r="G1000">
        <v>7423</v>
      </c>
      <c r="H1000" t="s">
        <v>1659</v>
      </c>
    </row>
    <row r="1001" spans="1:8" hidden="1">
      <c r="A1001" s="71">
        <v>44531</v>
      </c>
      <c r="B1001" t="s">
        <v>311</v>
      </c>
      <c r="C1001" t="s">
        <v>2364</v>
      </c>
      <c r="E1001" s="86">
        <v>12760</v>
      </c>
      <c r="F1001" t="s">
        <v>759</v>
      </c>
      <c r="G1001">
        <v>7426</v>
      </c>
      <c r="H1001" t="s">
        <v>1286</v>
      </c>
    </row>
    <row r="1002" spans="1:8" hidden="1">
      <c r="A1002" s="71">
        <v>44531</v>
      </c>
      <c r="B1002" t="s">
        <v>159</v>
      </c>
      <c r="C1002" t="s">
        <v>2365</v>
      </c>
      <c r="E1002" s="86">
        <v>8114</v>
      </c>
      <c r="F1002" t="s">
        <v>759</v>
      </c>
      <c r="G1002">
        <v>7424</v>
      </c>
      <c r="H1002" t="s">
        <v>1659</v>
      </c>
    </row>
    <row r="1003" spans="1:8" hidden="1">
      <c r="A1003" s="71">
        <v>44531</v>
      </c>
      <c r="B1003" t="s">
        <v>365</v>
      </c>
      <c r="C1003" t="s">
        <v>2366</v>
      </c>
      <c r="E1003" s="86">
        <v>9798</v>
      </c>
      <c r="F1003" t="s">
        <v>759</v>
      </c>
      <c r="G1003">
        <v>7367</v>
      </c>
      <c r="H1003" t="s">
        <v>474</v>
      </c>
    </row>
    <row r="1004" spans="1:8" hidden="1">
      <c r="A1004" s="71">
        <v>44533</v>
      </c>
      <c r="B1004" t="s">
        <v>12</v>
      </c>
      <c r="C1004" t="s">
        <v>2367</v>
      </c>
      <c r="E1004" s="86">
        <v>1679</v>
      </c>
      <c r="F1004" t="s">
        <v>759</v>
      </c>
      <c r="G1004">
        <v>7322</v>
      </c>
      <c r="H1004" t="s">
        <v>1390</v>
      </c>
    </row>
    <row r="1005" spans="1:8" hidden="1">
      <c r="A1005" s="71">
        <v>44534</v>
      </c>
      <c r="B1005" t="s">
        <v>235</v>
      </c>
      <c r="C1005" t="s">
        <v>2368</v>
      </c>
      <c r="E1005" s="86" t="s">
        <v>2369</v>
      </c>
      <c r="F1005" t="s">
        <v>759</v>
      </c>
      <c r="G1005">
        <v>7210</v>
      </c>
      <c r="H1005" t="s">
        <v>474</v>
      </c>
    </row>
    <row r="1006" spans="1:8" hidden="1">
      <c r="A1006" s="71">
        <v>44536</v>
      </c>
      <c r="B1006" t="s">
        <v>230</v>
      </c>
      <c r="C1006" t="s">
        <v>2370</v>
      </c>
      <c r="E1006" s="86">
        <v>6878</v>
      </c>
      <c r="F1006" t="s">
        <v>759</v>
      </c>
      <c r="G1006">
        <v>7430</v>
      </c>
      <c r="H1006" t="s">
        <v>1659</v>
      </c>
    </row>
    <row r="1007" spans="1:8" hidden="1">
      <c r="A1007" s="71">
        <v>44536</v>
      </c>
      <c r="B1007" t="s">
        <v>183</v>
      </c>
      <c r="C1007" t="s">
        <v>2371</v>
      </c>
      <c r="E1007" s="86">
        <v>36040</v>
      </c>
      <c r="F1007" t="s">
        <v>759</v>
      </c>
      <c r="G1007">
        <v>7429</v>
      </c>
      <c r="H1007" t="s">
        <v>1659</v>
      </c>
    </row>
    <row r="1008" spans="1:8" hidden="1">
      <c r="A1008" s="71">
        <v>44536</v>
      </c>
      <c r="B1008" t="s">
        <v>698</v>
      </c>
      <c r="C1008" t="s">
        <v>2372</v>
      </c>
      <c r="F1008" t="s">
        <v>759</v>
      </c>
      <c r="G1008">
        <v>7323</v>
      </c>
      <c r="H1008" t="s">
        <v>1390</v>
      </c>
    </row>
    <row r="1009" spans="1:8" hidden="1">
      <c r="A1009" s="71">
        <v>44537</v>
      </c>
      <c r="B1009" t="s">
        <v>346</v>
      </c>
      <c r="C1009" t="s">
        <v>2373</v>
      </c>
      <c r="F1009" t="s">
        <v>759</v>
      </c>
      <c r="G1009">
        <v>7588</v>
      </c>
      <c r="H1009" t="s">
        <v>1286</v>
      </c>
    </row>
    <row r="1010" spans="1:8" hidden="1">
      <c r="A1010" s="71">
        <v>44537</v>
      </c>
      <c r="B1010" t="s">
        <v>159</v>
      </c>
      <c r="C1010" t="s">
        <v>2374</v>
      </c>
      <c r="E1010" s="86">
        <v>8139</v>
      </c>
      <c r="F1010" t="s">
        <v>759</v>
      </c>
      <c r="G1010">
        <v>7435</v>
      </c>
      <c r="H1010" t="s">
        <v>1659</v>
      </c>
    </row>
    <row r="1011" spans="1:8" hidden="1">
      <c r="A1011" s="71">
        <v>44537</v>
      </c>
      <c r="B1011" t="s">
        <v>346</v>
      </c>
      <c r="C1011" t="s">
        <v>2375</v>
      </c>
      <c r="E1011" s="86">
        <v>6987</v>
      </c>
      <c r="F1011" t="s">
        <v>759</v>
      </c>
      <c r="G1011">
        <v>7434</v>
      </c>
      <c r="H1011" t="s">
        <v>1659</v>
      </c>
    </row>
    <row r="1012" spans="1:8" hidden="1">
      <c r="A1012" s="71">
        <v>44537</v>
      </c>
      <c r="B1012" t="s">
        <v>183</v>
      </c>
      <c r="C1012" t="s">
        <v>2376</v>
      </c>
      <c r="E1012" s="86">
        <v>36107</v>
      </c>
      <c r="F1012" t="s">
        <v>759</v>
      </c>
      <c r="G1012">
        <v>7433</v>
      </c>
      <c r="H1012" t="s">
        <v>1659</v>
      </c>
    </row>
    <row r="1013" spans="1:8" hidden="1">
      <c r="A1013" s="71">
        <v>44538</v>
      </c>
      <c r="B1013" t="s">
        <v>688</v>
      </c>
      <c r="C1013" t="s">
        <v>2377</v>
      </c>
      <c r="F1013" t="s">
        <v>759</v>
      </c>
      <c r="G1013">
        <v>7595</v>
      </c>
      <c r="H1013" t="s">
        <v>1286</v>
      </c>
    </row>
    <row r="1014" spans="1:8" hidden="1">
      <c r="A1014" s="71">
        <v>44538</v>
      </c>
      <c r="B1014" t="s">
        <v>188</v>
      </c>
      <c r="C1014" t="s">
        <v>2378</v>
      </c>
      <c r="F1014" t="s">
        <v>759</v>
      </c>
      <c r="G1014">
        <v>7594</v>
      </c>
      <c r="H1014" t="s">
        <v>1286</v>
      </c>
    </row>
    <row r="1015" spans="1:8" hidden="1">
      <c r="A1015" s="71">
        <v>44538</v>
      </c>
      <c r="B1015" t="s">
        <v>188</v>
      </c>
      <c r="C1015" t="s">
        <v>2379</v>
      </c>
      <c r="F1015" t="s">
        <v>759</v>
      </c>
      <c r="G1015">
        <v>7438</v>
      </c>
      <c r="H1015" t="s">
        <v>1659</v>
      </c>
    </row>
    <row r="1016" spans="1:8" hidden="1">
      <c r="A1016" s="71">
        <v>44539</v>
      </c>
      <c r="B1016" t="s">
        <v>230</v>
      </c>
      <c r="C1016" t="s">
        <v>2380</v>
      </c>
      <c r="F1016" t="s">
        <v>759</v>
      </c>
      <c r="G1016">
        <v>7596</v>
      </c>
      <c r="H1016" t="s">
        <v>1286</v>
      </c>
    </row>
    <row r="1017" spans="1:8" hidden="1">
      <c r="A1017" s="71">
        <v>44539</v>
      </c>
      <c r="B1017" t="s">
        <v>371</v>
      </c>
      <c r="C1017" t="s">
        <v>2381</v>
      </c>
      <c r="F1017" t="s">
        <v>759</v>
      </c>
      <c r="G1017">
        <v>7440</v>
      </c>
      <c r="H1017" t="s">
        <v>1659</v>
      </c>
    </row>
    <row r="1018" spans="1:8" hidden="1">
      <c r="A1018" s="71">
        <v>44539</v>
      </c>
      <c r="B1018" t="s">
        <v>230</v>
      </c>
      <c r="C1018" t="s">
        <v>2382</v>
      </c>
      <c r="E1018" s="86">
        <v>6894</v>
      </c>
      <c r="F1018" t="s">
        <v>759</v>
      </c>
      <c r="G1018">
        <v>7439</v>
      </c>
      <c r="H1018" t="s">
        <v>1659</v>
      </c>
    </row>
    <row r="1019" spans="1:8" hidden="1">
      <c r="A1019" s="71">
        <v>44539</v>
      </c>
      <c r="B1019" t="s">
        <v>377</v>
      </c>
      <c r="C1019" t="s">
        <v>2383</v>
      </c>
      <c r="E1019" s="86">
        <v>5995</v>
      </c>
      <c r="F1019" t="s">
        <v>759</v>
      </c>
      <c r="G1019">
        <v>7209</v>
      </c>
      <c r="H1019" t="s">
        <v>474</v>
      </c>
    </row>
    <row r="1020" spans="1:8" hidden="1">
      <c r="A1020" s="71">
        <v>44539</v>
      </c>
      <c r="B1020" t="s">
        <v>191</v>
      </c>
      <c r="C1020" t="s">
        <v>2384</v>
      </c>
      <c r="F1020" t="s">
        <v>759</v>
      </c>
      <c r="G1020">
        <v>7208</v>
      </c>
      <c r="H1020" t="s">
        <v>474</v>
      </c>
    </row>
    <row r="1021" spans="1:8" hidden="1">
      <c r="A1021" s="71">
        <v>44539</v>
      </c>
      <c r="B1021" t="s">
        <v>573</v>
      </c>
      <c r="C1021" t="s">
        <v>2385</v>
      </c>
      <c r="F1021" t="s">
        <v>759</v>
      </c>
      <c r="G1021">
        <v>6642</v>
      </c>
      <c r="H1021" t="s">
        <v>1246</v>
      </c>
    </row>
    <row r="1022" spans="1:8" hidden="1">
      <c r="A1022" s="71">
        <v>44540</v>
      </c>
      <c r="B1022" t="s">
        <v>389</v>
      </c>
      <c r="C1022" t="s">
        <v>2386</v>
      </c>
      <c r="F1022" t="s">
        <v>759</v>
      </c>
      <c r="G1022">
        <v>7652</v>
      </c>
      <c r="H1022" t="s">
        <v>1286</v>
      </c>
    </row>
    <row r="1023" spans="1:8" hidden="1">
      <c r="A1023" s="71">
        <v>44540</v>
      </c>
      <c r="B1023" t="s">
        <v>389</v>
      </c>
      <c r="C1023" t="s">
        <v>2387</v>
      </c>
      <c r="E1023" s="86">
        <v>4191</v>
      </c>
      <c r="F1023" t="s">
        <v>759</v>
      </c>
      <c r="G1023">
        <v>7441</v>
      </c>
      <c r="H1023" t="s">
        <v>1659</v>
      </c>
    </row>
    <row r="1024" spans="1:8" hidden="1">
      <c r="A1024" s="71">
        <v>44540</v>
      </c>
      <c r="B1024" t="s">
        <v>12</v>
      </c>
      <c r="C1024" t="s">
        <v>2388</v>
      </c>
      <c r="E1024" s="86">
        <v>1679</v>
      </c>
      <c r="F1024" t="s">
        <v>759</v>
      </c>
      <c r="G1024">
        <v>7324</v>
      </c>
      <c r="H1024" t="s">
        <v>1390</v>
      </c>
    </row>
    <row r="1025" spans="1:8" hidden="1">
      <c r="A1025" s="71">
        <v>44543</v>
      </c>
      <c r="B1025" t="s">
        <v>180</v>
      </c>
      <c r="C1025" t="s">
        <v>2389</v>
      </c>
      <c r="F1025" t="s">
        <v>759</v>
      </c>
      <c r="G1025">
        <v>7654</v>
      </c>
      <c r="H1025" t="s">
        <v>1286</v>
      </c>
    </row>
    <row r="1026" spans="1:8" hidden="1">
      <c r="A1026" s="71">
        <v>44543</v>
      </c>
      <c r="B1026" t="s">
        <v>180</v>
      </c>
      <c r="C1026" t="s">
        <v>2390</v>
      </c>
      <c r="E1026" s="86">
        <v>4041</v>
      </c>
      <c r="F1026" t="s">
        <v>759</v>
      </c>
      <c r="G1026">
        <v>7443</v>
      </c>
      <c r="H1026" t="s">
        <v>1659</v>
      </c>
    </row>
    <row r="1027" spans="1:8" hidden="1">
      <c r="A1027" s="71">
        <v>44543</v>
      </c>
      <c r="B1027" t="s">
        <v>2126</v>
      </c>
      <c r="C1027" t="s">
        <v>2391</v>
      </c>
      <c r="E1027" s="86">
        <v>6446</v>
      </c>
      <c r="F1027" t="s">
        <v>759</v>
      </c>
      <c r="G1027">
        <v>7326</v>
      </c>
      <c r="H1027" t="s">
        <v>1390</v>
      </c>
    </row>
    <row r="1028" spans="1:8" hidden="1">
      <c r="A1028" s="71">
        <v>44543</v>
      </c>
      <c r="B1028" t="s">
        <v>48</v>
      </c>
      <c r="C1028" t="s">
        <v>2392</v>
      </c>
      <c r="F1028" t="s">
        <v>759</v>
      </c>
      <c r="G1028">
        <v>6643</v>
      </c>
      <c r="H1028" t="s">
        <v>1246</v>
      </c>
    </row>
    <row r="1029" spans="1:8" hidden="1">
      <c r="A1029" s="71">
        <v>44544</v>
      </c>
      <c r="B1029" t="s">
        <v>776</v>
      </c>
      <c r="C1029" t="s">
        <v>2393</v>
      </c>
      <c r="F1029" t="s">
        <v>759</v>
      </c>
      <c r="G1029">
        <v>7658</v>
      </c>
      <c r="H1029" t="s">
        <v>1286</v>
      </c>
    </row>
    <row r="1030" spans="1:8" hidden="1">
      <c r="A1030" s="71">
        <v>44544</v>
      </c>
      <c r="B1030" t="s">
        <v>2345</v>
      </c>
      <c r="C1030" t="s">
        <v>2394</v>
      </c>
      <c r="F1030" t="s">
        <v>759</v>
      </c>
      <c r="G1030">
        <v>7445</v>
      </c>
      <c r="H1030" t="s">
        <v>1659</v>
      </c>
    </row>
    <row r="1031" spans="1:8" hidden="1">
      <c r="A1031" s="71">
        <v>44545</v>
      </c>
      <c r="B1031" t="s">
        <v>688</v>
      </c>
      <c r="C1031" t="s">
        <v>2395</v>
      </c>
      <c r="F1031" t="s">
        <v>759</v>
      </c>
      <c r="G1031">
        <v>7664</v>
      </c>
      <c r="H1031" t="s">
        <v>1286</v>
      </c>
    </row>
    <row r="1032" spans="1:8" hidden="1">
      <c r="A1032" s="71">
        <v>44545</v>
      </c>
      <c r="B1032" t="s">
        <v>691</v>
      </c>
      <c r="C1032" t="s">
        <v>2396</v>
      </c>
      <c r="F1032" t="s">
        <v>759</v>
      </c>
      <c r="G1032">
        <v>7663</v>
      </c>
      <c r="H1032" t="s">
        <v>1286</v>
      </c>
    </row>
    <row r="1033" spans="1:8" hidden="1">
      <c r="A1033" s="71">
        <v>44545</v>
      </c>
      <c r="B1033" t="s">
        <v>803</v>
      </c>
      <c r="C1033" t="s">
        <v>2397</v>
      </c>
      <c r="F1033" t="s">
        <v>759</v>
      </c>
      <c r="G1033">
        <v>7660</v>
      </c>
      <c r="H1033" t="s">
        <v>1286</v>
      </c>
    </row>
    <row r="1034" spans="1:8" hidden="1">
      <c r="A1034" s="71">
        <v>44545</v>
      </c>
      <c r="B1034" t="s">
        <v>311</v>
      </c>
      <c r="C1034" t="s">
        <v>2398</v>
      </c>
      <c r="E1034" s="86">
        <v>12830</v>
      </c>
      <c r="F1034" t="s">
        <v>759</v>
      </c>
      <c r="G1034">
        <v>7662</v>
      </c>
      <c r="H1034" t="s">
        <v>1286</v>
      </c>
    </row>
    <row r="1035" spans="1:8" hidden="1">
      <c r="A1035" s="71">
        <v>44545</v>
      </c>
      <c r="B1035" t="s">
        <v>2399</v>
      </c>
      <c r="C1035" t="s">
        <v>2400</v>
      </c>
      <c r="F1035" t="s">
        <v>759</v>
      </c>
      <c r="G1035">
        <v>7447</v>
      </c>
      <c r="H1035" t="s">
        <v>1659</v>
      </c>
    </row>
    <row r="1036" spans="1:8" hidden="1">
      <c r="A1036" s="71">
        <v>44545</v>
      </c>
      <c r="B1036" t="s">
        <v>2401</v>
      </c>
      <c r="F1036" t="s">
        <v>759</v>
      </c>
      <c r="G1036">
        <v>7446</v>
      </c>
      <c r="H1036" t="s">
        <v>1659</v>
      </c>
    </row>
    <row r="1037" spans="1:8" hidden="1">
      <c r="A1037" s="71">
        <v>44545</v>
      </c>
      <c r="B1037" t="s">
        <v>385</v>
      </c>
      <c r="C1037" t="s">
        <v>2402</v>
      </c>
      <c r="F1037" t="s">
        <v>759</v>
      </c>
      <c r="G1037">
        <v>7203</v>
      </c>
      <c r="H1037" t="s">
        <v>1501</v>
      </c>
    </row>
    <row r="1038" spans="1:8" hidden="1">
      <c r="A1038" s="71">
        <v>44546</v>
      </c>
      <c r="B1038" t="s">
        <v>713</v>
      </c>
      <c r="C1038" t="s">
        <v>2403</v>
      </c>
      <c r="E1038" s="86">
        <v>12783</v>
      </c>
      <c r="F1038" t="s">
        <v>759</v>
      </c>
      <c r="G1038">
        <v>7669</v>
      </c>
      <c r="H1038" t="s">
        <v>1286</v>
      </c>
    </row>
    <row r="1039" spans="1:8" hidden="1">
      <c r="A1039" s="71">
        <v>44546</v>
      </c>
      <c r="B1039" t="s">
        <v>346</v>
      </c>
      <c r="C1039" t="s">
        <v>2404</v>
      </c>
      <c r="F1039" t="s">
        <v>759</v>
      </c>
      <c r="G1039">
        <v>7665</v>
      </c>
      <c r="H1039" t="s">
        <v>1286</v>
      </c>
    </row>
    <row r="1040" spans="1:8" hidden="1">
      <c r="A1040" s="71">
        <v>44546</v>
      </c>
      <c r="B1040" t="s">
        <v>400</v>
      </c>
      <c r="C1040" t="s">
        <v>2405</v>
      </c>
      <c r="E1040" s="86">
        <v>14668</v>
      </c>
      <c r="F1040" t="s">
        <v>759</v>
      </c>
      <c r="G1040">
        <v>7327</v>
      </c>
      <c r="H1040" t="s">
        <v>1390</v>
      </c>
    </row>
    <row r="1041" spans="1:8" hidden="1">
      <c r="A1041" s="71">
        <v>44547</v>
      </c>
      <c r="B1041" t="s">
        <v>346</v>
      </c>
      <c r="C1041" t="s">
        <v>2406</v>
      </c>
      <c r="E1041" s="86">
        <v>6989</v>
      </c>
      <c r="F1041" t="s">
        <v>759</v>
      </c>
      <c r="G1041">
        <v>7670</v>
      </c>
      <c r="H1041" t="s">
        <v>1286</v>
      </c>
    </row>
    <row r="1042" spans="1:8" hidden="1">
      <c r="A1042" s="71">
        <v>44547</v>
      </c>
      <c r="B1042" t="s">
        <v>346</v>
      </c>
      <c r="C1042" t="s">
        <v>2407</v>
      </c>
      <c r="E1042" s="86">
        <v>6989</v>
      </c>
      <c r="F1042" t="s">
        <v>759</v>
      </c>
      <c r="G1042">
        <v>7450</v>
      </c>
      <c r="H1042" t="s">
        <v>1659</v>
      </c>
    </row>
    <row r="1043" spans="1:8" hidden="1">
      <c r="A1043" s="71">
        <v>44547</v>
      </c>
      <c r="B1043" t="s">
        <v>391</v>
      </c>
      <c r="C1043" t="s">
        <v>2408</v>
      </c>
      <c r="E1043" s="86">
        <v>5792</v>
      </c>
      <c r="F1043" t="s">
        <v>759</v>
      </c>
      <c r="G1043">
        <v>7328</v>
      </c>
      <c r="H1043" t="s">
        <v>1390</v>
      </c>
    </row>
    <row r="1044" spans="1:8" hidden="1">
      <c r="A1044" s="71">
        <v>44550</v>
      </c>
      <c r="B1044" t="s">
        <v>2401</v>
      </c>
      <c r="C1044" t="s">
        <v>2409</v>
      </c>
      <c r="F1044" t="s">
        <v>759</v>
      </c>
      <c r="G1044">
        <v>7678</v>
      </c>
      <c r="H1044" t="s">
        <v>1286</v>
      </c>
    </row>
    <row r="1045" spans="1:8" hidden="1">
      <c r="A1045" s="71">
        <v>44550</v>
      </c>
      <c r="B1045" t="s">
        <v>163</v>
      </c>
      <c r="C1045" t="s">
        <v>2410</v>
      </c>
      <c r="F1045" t="s">
        <v>759</v>
      </c>
      <c r="G1045">
        <v>7671</v>
      </c>
      <c r="H1045" t="s">
        <v>1286</v>
      </c>
    </row>
    <row r="1046" spans="1:8" hidden="1">
      <c r="A1046" s="71">
        <v>44551</v>
      </c>
      <c r="B1046" t="s">
        <v>307</v>
      </c>
      <c r="C1046" t="s">
        <v>2411</v>
      </c>
      <c r="E1046" s="86">
        <v>12449</v>
      </c>
      <c r="F1046" t="s">
        <v>759</v>
      </c>
      <c r="G1046">
        <v>7677</v>
      </c>
      <c r="H1046" t="s">
        <v>1286</v>
      </c>
    </row>
    <row r="1047" spans="1:8" hidden="1">
      <c r="A1047" s="71">
        <v>44551</v>
      </c>
      <c r="B1047" t="s">
        <v>230</v>
      </c>
      <c r="C1047" t="s">
        <v>2412</v>
      </c>
      <c r="F1047" t="s">
        <v>759</v>
      </c>
      <c r="G1047">
        <v>7676</v>
      </c>
      <c r="H1047" t="s">
        <v>1286</v>
      </c>
    </row>
    <row r="1048" spans="1:8" hidden="1">
      <c r="A1048" s="71">
        <v>44551</v>
      </c>
      <c r="B1048" t="s">
        <v>230</v>
      </c>
      <c r="C1048" t="s">
        <v>2370</v>
      </c>
      <c r="E1048" s="86">
        <v>8311</v>
      </c>
      <c r="F1048" t="s">
        <v>759</v>
      </c>
      <c r="G1048">
        <v>7505</v>
      </c>
      <c r="H1048" t="s">
        <v>1659</v>
      </c>
    </row>
    <row r="1049" spans="1:8" hidden="1">
      <c r="A1049" s="71">
        <v>44551</v>
      </c>
      <c r="B1049" t="s">
        <v>369</v>
      </c>
      <c r="C1049" t="s">
        <v>2413</v>
      </c>
      <c r="E1049" s="86">
        <v>9924</v>
      </c>
      <c r="F1049" t="s">
        <v>759</v>
      </c>
      <c r="G1049">
        <v>7329</v>
      </c>
      <c r="H1049" t="s">
        <v>1390</v>
      </c>
    </row>
    <row r="1050" spans="1:8" hidden="1">
      <c r="A1050" s="71">
        <v>44552</v>
      </c>
      <c r="B1050" t="s">
        <v>692</v>
      </c>
      <c r="C1050" t="s">
        <v>2414</v>
      </c>
      <c r="F1050" t="s">
        <v>759</v>
      </c>
      <c r="G1050">
        <v>7682</v>
      </c>
      <c r="H1050" t="s">
        <v>1286</v>
      </c>
    </row>
    <row r="1051" spans="1:8" hidden="1">
      <c r="A1051" s="71">
        <v>44552</v>
      </c>
      <c r="B1051" t="s">
        <v>2287</v>
      </c>
      <c r="C1051" t="s">
        <v>2415</v>
      </c>
      <c r="F1051" t="s">
        <v>759</v>
      </c>
      <c r="G1051">
        <v>7681</v>
      </c>
      <c r="H1051" t="s">
        <v>1286</v>
      </c>
    </row>
    <row r="1052" spans="1:8" hidden="1">
      <c r="A1052" s="71">
        <v>44552</v>
      </c>
      <c r="B1052" t="s">
        <v>313</v>
      </c>
      <c r="C1052" t="s">
        <v>2416</v>
      </c>
      <c r="E1052" s="86">
        <v>19306</v>
      </c>
      <c r="F1052" t="s">
        <v>759</v>
      </c>
      <c r="G1052">
        <v>7680</v>
      </c>
      <c r="H1052" t="s">
        <v>1286</v>
      </c>
    </row>
    <row r="1053" spans="1:8" hidden="1">
      <c r="A1053" s="71">
        <v>44552</v>
      </c>
      <c r="B1053" t="s">
        <v>307</v>
      </c>
      <c r="C1053" t="s">
        <v>2417</v>
      </c>
      <c r="E1053" s="86">
        <v>12451</v>
      </c>
      <c r="F1053" t="s">
        <v>759</v>
      </c>
      <c r="G1053">
        <v>7679</v>
      </c>
      <c r="H1053" t="s">
        <v>1286</v>
      </c>
    </row>
    <row r="1054" spans="1:8" hidden="1">
      <c r="A1054" s="71">
        <v>44552</v>
      </c>
      <c r="B1054" t="s">
        <v>688</v>
      </c>
      <c r="C1054" t="s">
        <v>2418</v>
      </c>
      <c r="E1054" s="86">
        <v>8116</v>
      </c>
      <c r="F1054" t="s">
        <v>759</v>
      </c>
      <c r="G1054">
        <v>7507</v>
      </c>
      <c r="H1054" t="s">
        <v>1659</v>
      </c>
    </row>
    <row r="1055" spans="1:8" hidden="1">
      <c r="A1055" s="71">
        <v>44552</v>
      </c>
      <c r="B1055" t="s">
        <v>159</v>
      </c>
      <c r="C1055" t="s">
        <v>2419</v>
      </c>
      <c r="E1055" s="86">
        <v>8184</v>
      </c>
      <c r="F1055" t="s">
        <v>759</v>
      </c>
      <c r="G1055">
        <v>7506</v>
      </c>
      <c r="H1055" t="s">
        <v>1659</v>
      </c>
    </row>
    <row r="1056" spans="1:8" hidden="1">
      <c r="A1056" s="71">
        <v>44553</v>
      </c>
      <c r="B1056" t="s">
        <v>698</v>
      </c>
      <c r="C1056" t="s">
        <v>2420</v>
      </c>
      <c r="F1056" t="s">
        <v>759</v>
      </c>
      <c r="G1056">
        <v>7330</v>
      </c>
      <c r="H1056" t="s">
        <v>1390</v>
      </c>
    </row>
    <row r="1057" spans="1:8" hidden="1">
      <c r="A1057" s="71">
        <v>44553</v>
      </c>
      <c r="B1057" t="s">
        <v>176</v>
      </c>
      <c r="C1057" t="s">
        <v>2421</v>
      </c>
      <c r="F1057" t="s">
        <v>759</v>
      </c>
      <c r="G1057">
        <v>6648</v>
      </c>
      <c r="H1057" t="s">
        <v>1246</v>
      </c>
    </row>
    <row r="1058" spans="1:8" hidden="1">
      <c r="A1058" s="71">
        <v>44554</v>
      </c>
      <c r="B1058" t="s">
        <v>777</v>
      </c>
      <c r="C1058" t="s">
        <v>2422</v>
      </c>
      <c r="E1058" s="86">
        <v>18058</v>
      </c>
      <c r="F1058" t="s">
        <v>759</v>
      </c>
      <c r="G1058">
        <v>3595</v>
      </c>
      <c r="H1058" t="s">
        <v>1235</v>
      </c>
    </row>
    <row r="1059" spans="1:8" hidden="1">
      <c r="A1059" s="71">
        <v>44557</v>
      </c>
      <c r="B1059" t="s">
        <v>42</v>
      </c>
      <c r="C1059" t="s">
        <v>2423</v>
      </c>
      <c r="F1059" t="s">
        <v>759</v>
      </c>
      <c r="G1059">
        <v>7509</v>
      </c>
      <c r="H1059" t="s">
        <v>1659</v>
      </c>
    </row>
    <row r="1060" spans="1:8" hidden="1">
      <c r="A1060" s="71">
        <v>44558</v>
      </c>
      <c r="B1060" t="s">
        <v>159</v>
      </c>
      <c r="C1060" t="s">
        <v>2424</v>
      </c>
      <c r="F1060" t="s">
        <v>759</v>
      </c>
      <c r="G1060">
        <v>7688</v>
      </c>
      <c r="H1060" t="s">
        <v>1659</v>
      </c>
    </row>
    <row r="1061" spans="1:8" hidden="1">
      <c r="A1061" s="71">
        <v>44558</v>
      </c>
      <c r="B1061" t="s">
        <v>163</v>
      </c>
      <c r="C1061" t="s">
        <v>2425</v>
      </c>
      <c r="E1061" s="86">
        <v>5771</v>
      </c>
      <c r="F1061" t="s">
        <v>759</v>
      </c>
      <c r="G1061">
        <v>7686</v>
      </c>
      <c r="H1061" t="s">
        <v>1286</v>
      </c>
    </row>
    <row r="1062" spans="1:8" hidden="1">
      <c r="A1062" s="71">
        <v>44558</v>
      </c>
      <c r="B1062" t="s">
        <v>163</v>
      </c>
      <c r="C1062" t="s">
        <v>2426</v>
      </c>
      <c r="E1062" s="86">
        <v>5771</v>
      </c>
      <c r="F1062" t="s">
        <v>759</v>
      </c>
      <c r="G1062">
        <v>7510</v>
      </c>
      <c r="H1062" t="s">
        <v>1659</v>
      </c>
    </row>
    <row r="1063" spans="1:8" hidden="1">
      <c r="A1063" s="71">
        <v>44559</v>
      </c>
      <c r="B1063" t="s">
        <v>180</v>
      </c>
      <c r="C1063" t="s">
        <v>2427</v>
      </c>
      <c r="E1063" s="86">
        <v>4106</v>
      </c>
      <c r="F1063" t="s">
        <v>759</v>
      </c>
      <c r="G1063">
        <v>7690</v>
      </c>
      <c r="H1063" t="s">
        <v>1286</v>
      </c>
    </row>
    <row r="1064" spans="1:8" hidden="1">
      <c r="A1064" s="71">
        <v>44559</v>
      </c>
      <c r="B1064" t="s">
        <v>1866</v>
      </c>
      <c r="C1064" t="s">
        <v>2428</v>
      </c>
      <c r="F1064" t="s">
        <v>759</v>
      </c>
      <c r="G1064">
        <v>7513</v>
      </c>
      <c r="H1064" t="s">
        <v>1659</v>
      </c>
    </row>
    <row r="1065" spans="1:8" hidden="1">
      <c r="A1065" s="71">
        <v>44560</v>
      </c>
      <c r="B1065" t="s">
        <v>1866</v>
      </c>
      <c r="C1065" t="s">
        <v>2429</v>
      </c>
      <c r="F1065" t="s">
        <v>759</v>
      </c>
      <c r="G1065">
        <v>7514</v>
      </c>
      <c r="H1065" t="s">
        <v>1659</v>
      </c>
    </row>
    <row r="1066" spans="1:8" hidden="1">
      <c r="A1066" s="71">
        <v>44560</v>
      </c>
      <c r="B1066" t="s">
        <v>356</v>
      </c>
      <c r="C1066" t="s">
        <v>2430</v>
      </c>
      <c r="F1066" t="s">
        <v>759</v>
      </c>
      <c r="G1066">
        <v>7331</v>
      </c>
      <c r="H1066" t="s">
        <v>1390</v>
      </c>
    </row>
    <row r="1067" spans="1:8" hidden="1">
      <c r="A1067" s="71">
        <v>44564</v>
      </c>
      <c r="B1067" t="s">
        <v>711</v>
      </c>
      <c r="C1067" t="s">
        <v>2431</v>
      </c>
      <c r="E1067" s="86">
        <v>16938</v>
      </c>
      <c r="F1067" t="s">
        <v>759</v>
      </c>
      <c r="G1067">
        <v>7701</v>
      </c>
      <c r="H1067" t="s">
        <v>1286</v>
      </c>
    </row>
    <row r="1068" spans="1:8" hidden="1">
      <c r="A1068" s="71">
        <v>44564</v>
      </c>
      <c r="B1068" t="s">
        <v>185</v>
      </c>
      <c r="C1068" t="s">
        <v>2432</v>
      </c>
      <c r="F1068" t="s">
        <v>759</v>
      </c>
      <c r="G1068">
        <v>7515</v>
      </c>
      <c r="H1068" t="s">
        <v>1659</v>
      </c>
    </row>
    <row r="1069" spans="1:8" hidden="1">
      <c r="A1069" s="71">
        <v>44564</v>
      </c>
      <c r="B1069" t="s">
        <v>12</v>
      </c>
      <c r="C1069" t="s">
        <v>2433</v>
      </c>
      <c r="E1069" s="86">
        <v>1783</v>
      </c>
      <c r="F1069" t="s">
        <v>759</v>
      </c>
      <c r="G1069">
        <v>7333</v>
      </c>
      <c r="H1069" t="s">
        <v>1390</v>
      </c>
    </row>
    <row r="1070" spans="1:8" hidden="1">
      <c r="A1070" s="71">
        <v>44564</v>
      </c>
      <c r="B1070" t="s">
        <v>330</v>
      </c>
      <c r="C1070" t="s">
        <v>2434</v>
      </c>
      <c r="E1070" s="86">
        <v>5694</v>
      </c>
      <c r="F1070" t="s">
        <v>759</v>
      </c>
      <c r="G1070">
        <v>7332</v>
      </c>
      <c r="H1070" t="s">
        <v>1501</v>
      </c>
    </row>
    <row r="1071" spans="1:8" hidden="1">
      <c r="A1071" s="71">
        <v>44565</v>
      </c>
      <c r="B1071" t="s">
        <v>688</v>
      </c>
      <c r="C1071" t="s">
        <v>2435</v>
      </c>
      <c r="E1071" s="86">
        <v>8151</v>
      </c>
      <c r="F1071" t="s">
        <v>759</v>
      </c>
      <c r="G1071">
        <v>7704</v>
      </c>
      <c r="H1071" t="s">
        <v>1286</v>
      </c>
    </row>
    <row r="1072" spans="1:8" hidden="1">
      <c r="A1072" s="71">
        <v>44565</v>
      </c>
      <c r="B1072" t="s">
        <v>373</v>
      </c>
      <c r="C1072" t="s">
        <v>2436</v>
      </c>
      <c r="E1072" s="86">
        <v>2584</v>
      </c>
      <c r="F1072" t="s">
        <v>759</v>
      </c>
      <c r="G1072">
        <v>7518</v>
      </c>
      <c r="H1072" t="s">
        <v>1659</v>
      </c>
    </row>
    <row r="1073" spans="1:8" hidden="1">
      <c r="A1073" s="71">
        <v>44565</v>
      </c>
      <c r="B1073" t="s">
        <v>1866</v>
      </c>
      <c r="C1073" t="s">
        <v>2437</v>
      </c>
      <c r="F1073" t="s">
        <v>759</v>
      </c>
      <c r="G1073">
        <v>7516</v>
      </c>
      <c r="H1073" t="s">
        <v>1659</v>
      </c>
    </row>
    <row r="1074" spans="1:8" hidden="1">
      <c r="A1074" s="71">
        <v>44565</v>
      </c>
      <c r="B1074" t="s">
        <v>368</v>
      </c>
      <c r="C1074" t="s">
        <v>2438</v>
      </c>
      <c r="E1074" s="86">
        <v>2062</v>
      </c>
      <c r="F1074" t="s">
        <v>759</v>
      </c>
      <c r="G1074">
        <v>7517</v>
      </c>
      <c r="H1074" t="s">
        <v>1659</v>
      </c>
    </row>
    <row r="1075" spans="1:8" hidden="1">
      <c r="A1075" s="71">
        <v>44565</v>
      </c>
      <c r="B1075" t="s">
        <v>2126</v>
      </c>
      <c r="C1075" t="s">
        <v>2439</v>
      </c>
      <c r="E1075" s="86">
        <v>6449</v>
      </c>
      <c r="F1075" t="s">
        <v>759</v>
      </c>
      <c r="G1075">
        <v>7334</v>
      </c>
      <c r="H1075" t="s">
        <v>1390</v>
      </c>
    </row>
    <row r="1076" spans="1:8" hidden="1">
      <c r="A1076" s="71">
        <v>44565</v>
      </c>
      <c r="B1076" t="s">
        <v>365</v>
      </c>
      <c r="C1076" t="s">
        <v>2440</v>
      </c>
      <c r="E1076" s="86">
        <v>9908</v>
      </c>
      <c r="F1076" t="s">
        <v>759</v>
      </c>
      <c r="G1076">
        <v>3230.1</v>
      </c>
      <c r="H1076" t="s">
        <v>1244</v>
      </c>
    </row>
    <row r="1077" spans="1:8" hidden="1">
      <c r="A1077" s="71">
        <v>44565</v>
      </c>
      <c r="B1077" t="s">
        <v>365</v>
      </c>
      <c r="C1077" t="s">
        <v>2440</v>
      </c>
      <c r="E1077" s="86">
        <v>9908</v>
      </c>
      <c r="F1077" t="s">
        <v>759</v>
      </c>
      <c r="G1077">
        <v>3230</v>
      </c>
      <c r="H1077" t="s">
        <v>1244</v>
      </c>
    </row>
    <row r="1078" spans="1:8" hidden="1">
      <c r="A1078" s="71">
        <v>44566</v>
      </c>
      <c r="B1078" t="s">
        <v>713</v>
      </c>
      <c r="C1078" t="s">
        <v>2441</v>
      </c>
      <c r="F1078" t="s">
        <v>759</v>
      </c>
      <c r="G1078">
        <v>7707</v>
      </c>
      <c r="H1078" t="s">
        <v>1286</v>
      </c>
    </row>
    <row r="1079" spans="1:8" hidden="1">
      <c r="A1079" s="71">
        <v>44566</v>
      </c>
      <c r="B1079" t="s">
        <v>1866</v>
      </c>
      <c r="C1079" t="s">
        <v>2442</v>
      </c>
      <c r="F1079" t="s">
        <v>759</v>
      </c>
      <c r="G1079">
        <v>7519</v>
      </c>
      <c r="H1079" t="s">
        <v>1659</v>
      </c>
    </row>
    <row r="1080" spans="1:8" hidden="1">
      <c r="A1080" s="71">
        <v>44566</v>
      </c>
      <c r="B1080" t="s">
        <v>392</v>
      </c>
      <c r="C1080" t="s">
        <v>2443</v>
      </c>
      <c r="F1080" t="s">
        <v>759</v>
      </c>
      <c r="G1080">
        <v>3231</v>
      </c>
      <c r="H1080" t="s">
        <v>1244</v>
      </c>
    </row>
    <row r="1081" spans="1:8" hidden="1">
      <c r="A1081" s="71">
        <v>44566</v>
      </c>
      <c r="B1081" t="s">
        <v>780</v>
      </c>
      <c r="C1081" t="s">
        <v>2444</v>
      </c>
      <c r="E1081" s="86">
        <v>4785</v>
      </c>
      <c r="F1081" t="s">
        <v>759</v>
      </c>
      <c r="G1081">
        <v>3232</v>
      </c>
      <c r="H1081" t="s">
        <v>1244</v>
      </c>
    </row>
    <row r="1082" spans="1:8" hidden="1">
      <c r="A1082" s="71">
        <v>44567</v>
      </c>
      <c r="B1082" t="s">
        <v>352</v>
      </c>
      <c r="C1082" t="s">
        <v>2445</v>
      </c>
      <c r="E1082" s="86">
        <v>8106</v>
      </c>
      <c r="F1082" t="s">
        <v>759</v>
      </c>
      <c r="G1082">
        <v>7336</v>
      </c>
      <c r="H1082" t="s">
        <v>1390</v>
      </c>
    </row>
    <row r="1083" spans="1:8" hidden="1">
      <c r="A1083" s="71">
        <v>44568</v>
      </c>
      <c r="B1083" t="s">
        <v>160</v>
      </c>
      <c r="C1083" t="s">
        <v>2446</v>
      </c>
      <c r="F1083" t="s">
        <v>759</v>
      </c>
      <c r="G1083">
        <v>3234</v>
      </c>
      <c r="H1083" t="s">
        <v>1244</v>
      </c>
    </row>
    <row r="1084" spans="1:8" hidden="1">
      <c r="A1084" s="71">
        <v>44571</v>
      </c>
      <c r="B1084" t="s">
        <v>362</v>
      </c>
      <c r="C1084" t="s">
        <v>2447</v>
      </c>
      <c r="E1084" s="86">
        <v>11040</v>
      </c>
      <c r="F1084" t="s">
        <v>759</v>
      </c>
      <c r="G1084">
        <v>3235</v>
      </c>
      <c r="H1084" t="s">
        <v>1244</v>
      </c>
    </row>
    <row r="1085" spans="1:8" hidden="1">
      <c r="A1085" s="71">
        <v>44571</v>
      </c>
      <c r="B1085" t="s">
        <v>35</v>
      </c>
      <c r="C1085" t="s">
        <v>2448</v>
      </c>
      <c r="E1085" s="86">
        <v>4567</v>
      </c>
      <c r="F1085" t="s">
        <v>759</v>
      </c>
      <c r="G1085">
        <v>7522</v>
      </c>
      <c r="H1085" t="s">
        <v>1659</v>
      </c>
    </row>
    <row r="1086" spans="1:8" hidden="1">
      <c r="A1086" s="71">
        <v>44572</v>
      </c>
      <c r="B1086" t="s">
        <v>328</v>
      </c>
      <c r="C1086" t="s">
        <v>2449</v>
      </c>
      <c r="E1086" s="86">
        <v>7270</v>
      </c>
      <c r="F1086" t="s">
        <v>759</v>
      </c>
      <c r="G1086">
        <v>7524</v>
      </c>
      <c r="H1086" t="s">
        <v>1659</v>
      </c>
    </row>
    <row r="1087" spans="1:8" hidden="1">
      <c r="A1087" s="71">
        <v>44572</v>
      </c>
      <c r="B1087" t="s">
        <v>35</v>
      </c>
      <c r="C1087" t="s">
        <v>2450</v>
      </c>
      <c r="E1087" s="86">
        <v>4571</v>
      </c>
      <c r="F1087" t="s">
        <v>759</v>
      </c>
      <c r="G1087">
        <v>7523</v>
      </c>
      <c r="H1087" t="s">
        <v>1659</v>
      </c>
    </row>
    <row r="1088" spans="1:8" hidden="1">
      <c r="A1088" s="71">
        <v>44572</v>
      </c>
      <c r="B1088" t="s">
        <v>202</v>
      </c>
      <c r="C1088" t="s">
        <v>2451</v>
      </c>
      <c r="E1088" s="86">
        <v>875</v>
      </c>
      <c r="F1088" t="s">
        <v>759</v>
      </c>
      <c r="G1088">
        <v>3237</v>
      </c>
      <c r="H1088" t="s">
        <v>1501</v>
      </c>
    </row>
    <row r="1089" spans="1:8" hidden="1">
      <c r="A1089" s="71">
        <v>44572</v>
      </c>
      <c r="B1089" t="s">
        <v>365</v>
      </c>
      <c r="C1089" t="s">
        <v>2452</v>
      </c>
      <c r="F1089" t="s">
        <v>759</v>
      </c>
      <c r="G1089">
        <v>3236</v>
      </c>
      <c r="H1089" t="s">
        <v>1244</v>
      </c>
    </row>
    <row r="1090" spans="1:8" hidden="1">
      <c r="A1090" s="71">
        <v>44573</v>
      </c>
      <c r="B1090" t="s">
        <v>146</v>
      </c>
      <c r="C1090" t="s">
        <v>2453</v>
      </c>
      <c r="F1090" t="s">
        <v>759</v>
      </c>
      <c r="G1090">
        <v>7525</v>
      </c>
      <c r="H1090" t="s">
        <v>1659</v>
      </c>
    </row>
    <row r="1091" spans="1:8" hidden="1">
      <c r="A1091" s="71">
        <v>44573</v>
      </c>
      <c r="B1091" t="s">
        <v>36</v>
      </c>
      <c r="C1091" t="s">
        <v>2454</v>
      </c>
      <c r="F1091" t="s">
        <v>759</v>
      </c>
      <c r="G1091">
        <v>7340</v>
      </c>
      <c r="H1091" t="s">
        <v>1390</v>
      </c>
    </row>
    <row r="1092" spans="1:8" hidden="1">
      <c r="A1092" s="71">
        <v>44575</v>
      </c>
      <c r="B1092" t="s">
        <v>711</v>
      </c>
      <c r="C1092" t="s">
        <v>2455</v>
      </c>
      <c r="F1092" t="s">
        <v>759</v>
      </c>
      <c r="G1092">
        <v>7530</v>
      </c>
      <c r="H1092" t="s">
        <v>1659</v>
      </c>
    </row>
    <row r="1093" spans="1:8" hidden="1">
      <c r="A1093" s="71">
        <v>44575</v>
      </c>
      <c r="B1093" t="s">
        <v>35</v>
      </c>
      <c r="C1093" t="s">
        <v>2456</v>
      </c>
      <c r="E1093" s="86">
        <v>4589</v>
      </c>
      <c r="F1093" t="s">
        <v>759</v>
      </c>
      <c r="G1093">
        <v>7529</v>
      </c>
      <c r="H1093" t="s">
        <v>1659</v>
      </c>
    </row>
    <row r="1094" spans="1:8" hidden="1">
      <c r="A1094" s="71">
        <v>44575</v>
      </c>
      <c r="B1094" t="s">
        <v>185</v>
      </c>
      <c r="C1094" t="s">
        <v>2457</v>
      </c>
      <c r="F1094" t="s">
        <v>759</v>
      </c>
      <c r="G1094">
        <v>7343</v>
      </c>
      <c r="H1094" t="s">
        <v>1390</v>
      </c>
    </row>
    <row r="1095" spans="1:8" hidden="1">
      <c r="A1095" s="71">
        <v>44575</v>
      </c>
      <c r="B1095" t="s">
        <v>711</v>
      </c>
      <c r="C1095" t="s">
        <v>2458</v>
      </c>
      <c r="F1095" t="s">
        <v>759</v>
      </c>
      <c r="G1095">
        <v>3240</v>
      </c>
      <c r="H1095" t="s">
        <v>1244</v>
      </c>
    </row>
    <row r="1096" spans="1:8" hidden="1">
      <c r="A1096" s="71">
        <v>44579</v>
      </c>
      <c r="B1096" t="s">
        <v>157</v>
      </c>
      <c r="C1096" t="s">
        <v>2459</v>
      </c>
      <c r="F1096" t="s">
        <v>759</v>
      </c>
      <c r="G1096">
        <v>7532</v>
      </c>
      <c r="H1096" t="s">
        <v>1659</v>
      </c>
    </row>
    <row r="1097" spans="1:8" hidden="1">
      <c r="A1097" s="71">
        <v>44580</v>
      </c>
      <c r="B1097" t="s">
        <v>371</v>
      </c>
      <c r="C1097" t="s">
        <v>2460</v>
      </c>
      <c r="E1097" s="86">
        <v>13651</v>
      </c>
      <c r="F1097" t="s">
        <v>759</v>
      </c>
      <c r="G1097">
        <v>3244</v>
      </c>
      <c r="H1097" t="s">
        <v>1244</v>
      </c>
    </row>
    <row r="1098" spans="1:8" hidden="1">
      <c r="A1098" s="71">
        <v>44580</v>
      </c>
      <c r="B1098" t="s">
        <v>389</v>
      </c>
      <c r="C1098" t="s">
        <v>2461</v>
      </c>
      <c r="E1098" s="86">
        <v>4312</v>
      </c>
      <c r="F1098" t="s">
        <v>759</v>
      </c>
      <c r="G1098">
        <v>7535</v>
      </c>
      <c r="H1098" t="s">
        <v>1659</v>
      </c>
    </row>
    <row r="1099" spans="1:8" hidden="1">
      <c r="A1099" s="71">
        <v>44580</v>
      </c>
      <c r="B1099" t="s">
        <v>385</v>
      </c>
      <c r="C1099" t="s">
        <v>2462</v>
      </c>
      <c r="E1099" s="86">
        <v>1392</v>
      </c>
      <c r="F1099" t="s">
        <v>759</v>
      </c>
      <c r="G1099">
        <v>7534</v>
      </c>
      <c r="H1099" t="s">
        <v>1659</v>
      </c>
    </row>
    <row r="1100" spans="1:8" hidden="1">
      <c r="A1100" s="71">
        <v>44580</v>
      </c>
      <c r="B1100" t="s">
        <v>25</v>
      </c>
      <c r="C1100" t="s">
        <v>2463</v>
      </c>
      <c r="F1100" t="s">
        <v>759</v>
      </c>
      <c r="G1100">
        <v>7342</v>
      </c>
      <c r="H1100" t="s">
        <v>1390</v>
      </c>
    </row>
    <row r="1101" spans="1:8" hidden="1">
      <c r="A1101" s="71">
        <v>44580</v>
      </c>
      <c r="B1101" t="s">
        <v>175</v>
      </c>
      <c r="C1101" t="s">
        <v>2464</v>
      </c>
      <c r="E1101" s="86">
        <v>3923</v>
      </c>
      <c r="F1101" t="s">
        <v>759</v>
      </c>
      <c r="G1101">
        <v>3245</v>
      </c>
      <c r="H1101" t="s">
        <v>1244</v>
      </c>
    </row>
    <row r="1102" spans="1:8" hidden="1">
      <c r="A1102" s="71">
        <v>44581</v>
      </c>
      <c r="B1102" t="s">
        <v>338</v>
      </c>
      <c r="C1102" t="s">
        <v>2465</v>
      </c>
      <c r="E1102" s="86">
        <v>23210</v>
      </c>
      <c r="F1102" t="s">
        <v>759</v>
      </c>
      <c r="G1102">
        <v>3247</v>
      </c>
      <c r="H1102" t="s">
        <v>1244</v>
      </c>
    </row>
    <row r="1103" spans="1:8" hidden="1">
      <c r="A1103" s="71">
        <v>44581</v>
      </c>
      <c r="B1103" t="s">
        <v>183</v>
      </c>
      <c r="C1103" t="s">
        <v>2466</v>
      </c>
      <c r="E1103" s="86">
        <v>37604</v>
      </c>
      <c r="F1103" t="s">
        <v>759</v>
      </c>
      <c r="G1103">
        <v>3246</v>
      </c>
      <c r="H1103" t="s">
        <v>1244</v>
      </c>
    </row>
    <row r="1104" spans="1:8" hidden="1">
      <c r="A1104" s="71">
        <v>44581</v>
      </c>
      <c r="B1104" t="s">
        <v>176</v>
      </c>
      <c r="C1104" t="s">
        <v>2467</v>
      </c>
      <c r="E1104" s="86">
        <v>3545</v>
      </c>
      <c r="F1104" t="s">
        <v>759</v>
      </c>
      <c r="G1104">
        <v>3009</v>
      </c>
      <c r="H1104" t="s">
        <v>1390</v>
      </c>
    </row>
    <row r="1105" spans="1:8" hidden="1">
      <c r="A1105" s="71">
        <v>44585</v>
      </c>
      <c r="B1105" t="s">
        <v>311</v>
      </c>
      <c r="C1105" t="s">
        <v>2468</v>
      </c>
      <c r="E1105" s="86">
        <v>12947</v>
      </c>
      <c r="F1105" t="s">
        <v>759</v>
      </c>
      <c r="G1105">
        <v>7537</v>
      </c>
      <c r="H1105" t="s">
        <v>1390</v>
      </c>
    </row>
    <row r="1106" spans="1:8" hidden="1">
      <c r="A1106" s="71">
        <v>44586</v>
      </c>
      <c r="B1106" t="s">
        <v>157</v>
      </c>
      <c r="C1106" t="s">
        <v>2469</v>
      </c>
      <c r="E1106" s="86">
        <v>12133</v>
      </c>
      <c r="F1106" t="s">
        <v>759</v>
      </c>
      <c r="G1106">
        <v>7541</v>
      </c>
      <c r="H1106" t="s">
        <v>1659</v>
      </c>
    </row>
    <row r="1107" spans="1:8" hidden="1">
      <c r="A1107" s="71">
        <v>44586</v>
      </c>
      <c r="B1107" t="s">
        <v>2470</v>
      </c>
      <c r="C1107" t="s">
        <v>2471</v>
      </c>
      <c r="E1107" s="86">
        <v>34061</v>
      </c>
      <c r="F1107" t="s">
        <v>759</v>
      </c>
      <c r="G1107">
        <v>7345</v>
      </c>
      <c r="H1107" t="s">
        <v>1390</v>
      </c>
    </row>
    <row r="1108" spans="1:8" hidden="1">
      <c r="A1108" s="71">
        <v>44587</v>
      </c>
      <c r="B1108" t="s">
        <v>173</v>
      </c>
      <c r="C1108" t="s">
        <v>2472</v>
      </c>
      <c r="E1108" s="86">
        <v>3661</v>
      </c>
      <c r="F1108" t="s">
        <v>759</v>
      </c>
      <c r="G1108">
        <v>7542</v>
      </c>
      <c r="H1108" t="s">
        <v>1659</v>
      </c>
    </row>
    <row r="1109" spans="1:8" hidden="1">
      <c r="A1109" s="71">
        <v>44587</v>
      </c>
      <c r="B1109" t="s">
        <v>698</v>
      </c>
      <c r="C1109" t="s">
        <v>2473</v>
      </c>
      <c r="F1109" t="s">
        <v>759</v>
      </c>
      <c r="G1109">
        <v>7346</v>
      </c>
      <c r="H1109" t="s">
        <v>1390</v>
      </c>
    </row>
    <row r="1110" spans="1:8" hidden="1">
      <c r="A1110" s="71">
        <v>44588</v>
      </c>
      <c r="B1110" t="s">
        <v>362</v>
      </c>
      <c r="C1110" t="s">
        <v>2474</v>
      </c>
      <c r="F1110" t="s">
        <v>759</v>
      </c>
      <c r="G1110">
        <v>7348</v>
      </c>
      <c r="H1110" t="s">
        <v>1390</v>
      </c>
    </row>
    <row r="1111" spans="1:8" hidden="1">
      <c r="A1111" s="71">
        <v>44588</v>
      </c>
      <c r="B1111" t="s">
        <v>388</v>
      </c>
      <c r="C1111" t="s">
        <v>2475</v>
      </c>
      <c r="E1111" s="86">
        <v>10122</v>
      </c>
      <c r="F1111" t="s">
        <v>759</v>
      </c>
      <c r="G1111">
        <v>7545</v>
      </c>
      <c r="H1111" t="s">
        <v>1659</v>
      </c>
    </row>
    <row r="1112" spans="1:8" hidden="1">
      <c r="A1112" s="71">
        <v>44588</v>
      </c>
      <c r="B1112" t="s">
        <v>389</v>
      </c>
      <c r="C1112" t="s">
        <v>2476</v>
      </c>
      <c r="E1112" s="86">
        <v>4314</v>
      </c>
      <c r="F1112" t="s">
        <v>759</v>
      </c>
      <c r="G1112">
        <v>7544</v>
      </c>
      <c r="H1112" t="s">
        <v>1659</v>
      </c>
    </row>
    <row r="1113" spans="1:8" hidden="1">
      <c r="A1113" s="71">
        <v>44588</v>
      </c>
      <c r="B1113" t="s">
        <v>318</v>
      </c>
      <c r="C1113" t="s">
        <v>2477</v>
      </c>
      <c r="F1113" t="s">
        <v>759</v>
      </c>
      <c r="G1113">
        <v>7347</v>
      </c>
      <c r="H1113" t="s">
        <v>1390</v>
      </c>
    </row>
    <row r="1114" spans="1:8" hidden="1">
      <c r="A1114" s="71">
        <v>44588</v>
      </c>
      <c r="B1114" t="s">
        <v>711</v>
      </c>
      <c r="C1114" t="s">
        <v>2478</v>
      </c>
      <c r="E1114" s="86">
        <v>16941</v>
      </c>
      <c r="F1114" t="s">
        <v>759</v>
      </c>
      <c r="G1114">
        <v>3249</v>
      </c>
      <c r="H1114" t="s">
        <v>1244</v>
      </c>
    </row>
    <row r="1115" spans="1:8" hidden="1">
      <c r="A1115" s="71">
        <v>44588</v>
      </c>
      <c r="B1115" t="s">
        <v>188</v>
      </c>
      <c r="C1115" t="s">
        <v>2479</v>
      </c>
      <c r="E1115" s="86">
        <v>8296</v>
      </c>
      <c r="F1115" t="s">
        <v>759</v>
      </c>
      <c r="G1115">
        <v>3014</v>
      </c>
      <c r="H1115" t="s">
        <v>1246</v>
      </c>
    </row>
    <row r="1116" spans="1:8" hidden="1">
      <c r="A1116" s="71">
        <v>44592</v>
      </c>
      <c r="B1116" t="s">
        <v>311</v>
      </c>
      <c r="C1116" t="s">
        <v>2480</v>
      </c>
      <c r="E1116" s="86">
        <v>12967</v>
      </c>
      <c r="F1116" t="s">
        <v>759</v>
      </c>
      <c r="G1116">
        <v>7546</v>
      </c>
      <c r="H1116" t="s">
        <v>1659</v>
      </c>
    </row>
    <row r="1117" spans="1:8" hidden="1">
      <c r="A1117" s="71">
        <v>44592</v>
      </c>
      <c r="B1117" t="s">
        <v>383</v>
      </c>
      <c r="C1117" t="s">
        <v>2481</v>
      </c>
      <c r="E1117" s="86">
        <v>1265</v>
      </c>
      <c r="F1117" t="s">
        <v>759</v>
      </c>
      <c r="G1117">
        <v>7547</v>
      </c>
      <c r="H1117" t="s">
        <v>1659</v>
      </c>
    </row>
    <row r="1118" spans="1:8" hidden="1">
      <c r="A1118" s="71">
        <v>44592</v>
      </c>
      <c r="B1118" t="s">
        <v>185</v>
      </c>
      <c r="C1118" t="s">
        <v>2482</v>
      </c>
      <c r="E1118" s="86">
        <v>32500</v>
      </c>
      <c r="F1118" t="s">
        <v>759</v>
      </c>
      <c r="G1118">
        <v>7349</v>
      </c>
      <c r="H1118" t="s">
        <v>1390</v>
      </c>
    </row>
    <row r="1119" spans="1:8" hidden="1">
      <c r="A1119" s="71">
        <v>44593</v>
      </c>
      <c r="B1119" t="s">
        <v>359</v>
      </c>
      <c r="C1119" t="s">
        <v>2483</v>
      </c>
      <c r="E1119" s="86">
        <v>7900</v>
      </c>
      <c r="F1119" t="s">
        <v>759</v>
      </c>
      <c r="G1119">
        <v>8218</v>
      </c>
      <c r="H1119" t="s">
        <v>1492</v>
      </c>
    </row>
    <row r="1120" spans="1:8" hidden="1">
      <c r="A1120" s="71">
        <v>44593</v>
      </c>
      <c r="B1120" t="s">
        <v>369</v>
      </c>
      <c r="C1120" t="s">
        <v>2484</v>
      </c>
      <c r="F1120" t="s">
        <v>759</v>
      </c>
      <c r="G1120">
        <v>7801</v>
      </c>
      <c r="H1120" t="s">
        <v>1390</v>
      </c>
    </row>
    <row r="1121" spans="1:8" hidden="1">
      <c r="A1121" s="71">
        <v>44593</v>
      </c>
      <c r="B1121" t="s">
        <v>146</v>
      </c>
      <c r="C1121" t="s">
        <v>2485</v>
      </c>
      <c r="F1121" t="s">
        <v>759</v>
      </c>
      <c r="G1121">
        <v>7738</v>
      </c>
      <c r="H1121" t="s">
        <v>1286</v>
      </c>
    </row>
    <row r="1122" spans="1:8" hidden="1">
      <c r="A1122" s="71">
        <v>44593</v>
      </c>
      <c r="B1122" t="s">
        <v>713</v>
      </c>
      <c r="C1122" t="s">
        <v>2486</v>
      </c>
      <c r="E1122" s="86">
        <v>12913</v>
      </c>
      <c r="F1122" t="s">
        <v>759</v>
      </c>
      <c r="G1122">
        <v>7548</v>
      </c>
      <c r="H1122" t="s">
        <v>1659</v>
      </c>
    </row>
    <row r="1123" spans="1:8" hidden="1">
      <c r="A1123" s="71">
        <v>44594</v>
      </c>
      <c r="B1123" t="s">
        <v>157</v>
      </c>
      <c r="C1123" t="s">
        <v>2487</v>
      </c>
      <c r="E1123" s="86">
        <v>12175</v>
      </c>
      <c r="F1123" t="s">
        <v>759</v>
      </c>
      <c r="G1123">
        <v>7903</v>
      </c>
      <c r="H1123" t="s">
        <v>1659</v>
      </c>
    </row>
    <row r="1124" spans="1:8" hidden="1">
      <c r="A1124" s="71">
        <v>44594</v>
      </c>
      <c r="B1124" t="s">
        <v>385</v>
      </c>
      <c r="C1124" t="s">
        <v>2488</v>
      </c>
      <c r="E1124" s="86">
        <v>1417</v>
      </c>
      <c r="F1124" t="s">
        <v>759</v>
      </c>
      <c r="G1124">
        <v>7902</v>
      </c>
      <c r="H1124" t="s">
        <v>1659</v>
      </c>
    </row>
    <row r="1125" spans="1:8" hidden="1">
      <c r="A1125" s="71">
        <v>44594</v>
      </c>
      <c r="B1125" t="s">
        <v>185</v>
      </c>
      <c r="C1125" t="s">
        <v>2489</v>
      </c>
      <c r="F1125" t="s">
        <v>759</v>
      </c>
      <c r="G1125">
        <v>7802</v>
      </c>
      <c r="H1125" t="s">
        <v>1390</v>
      </c>
    </row>
    <row r="1126" spans="1:8" hidden="1">
      <c r="A1126" s="71">
        <v>44594</v>
      </c>
      <c r="B1126" t="s">
        <v>692</v>
      </c>
      <c r="C1126" t="s">
        <v>2490</v>
      </c>
      <c r="F1126" t="s">
        <v>759</v>
      </c>
      <c r="G1126">
        <v>7740</v>
      </c>
      <c r="H1126" t="s">
        <v>1286</v>
      </c>
    </row>
    <row r="1127" spans="1:8" hidden="1">
      <c r="A1127" s="71">
        <v>44595</v>
      </c>
      <c r="B1127" t="s">
        <v>371</v>
      </c>
      <c r="C1127" t="s">
        <v>2491</v>
      </c>
      <c r="E1127" s="86">
        <v>13707</v>
      </c>
      <c r="F1127" t="s">
        <v>759</v>
      </c>
      <c r="G1127">
        <v>7907</v>
      </c>
      <c r="H1127" t="s">
        <v>1659</v>
      </c>
    </row>
    <row r="1128" spans="1:8" hidden="1">
      <c r="A1128" s="71">
        <v>44595</v>
      </c>
      <c r="B1128" t="s">
        <v>338</v>
      </c>
      <c r="C1128" t="s">
        <v>2492</v>
      </c>
      <c r="E1128" s="86">
        <v>23255</v>
      </c>
      <c r="F1128" t="s">
        <v>759</v>
      </c>
      <c r="G1128">
        <v>7906</v>
      </c>
      <c r="H1128" t="s">
        <v>1659</v>
      </c>
    </row>
    <row r="1129" spans="1:8" hidden="1">
      <c r="A1129" s="71">
        <v>44595</v>
      </c>
      <c r="B1129" t="s">
        <v>19</v>
      </c>
      <c r="C1129" t="s">
        <v>2493</v>
      </c>
      <c r="E1129" s="86">
        <v>5021</v>
      </c>
      <c r="F1129" t="s">
        <v>759</v>
      </c>
      <c r="G1129">
        <v>7905</v>
      </c>
      <c r="H1129" t="s">
        <v>1659</v>
      </c>
    </row>
    <row r="1130" spans="1:8" hidden="1">
      <c r="A1130" s="71">
        <v>44595</v>
      </c>
      <c r="B1130" t="s">
        <v>185</v>
      </c>
      <c r="C1130" t="s">
        <v>2494</v>
      </c>
      <c r="F1130" t="s">
        <v>759</v>
      </c>
      <c r="G1130">
        <v>7803</v>
      </c>
      <c r="H1130" t="s">
        <v>1390</v>
      </c>
    </row>
    <row r="1131" spans="1:8" hidden="1">
      <c r="A1131" s="71">
        <v>44595</v>
      </c>
      <c r="B1131" t="s">
        <v>803</v>
      </c>
      <c r="C1131" t="s">
        <v>2495</v>
      </c>
      <c r="F1131" t="s">
        <v>759</v>
      </c>
      <c r="G1131">
        <v>7742</v>
      </c>
      <c r="H1131" t="s">
        <v>1286</v>
      </c>
    </row>
    <row r="1132" spans="1:8" hidden="1">
      <c r="A1132" s="71">
        <v>44595</v>
      </c>
      <c r="B1132" t="s">
        <v>692</v>
      </c>
      <c r="C1132" t="s">
        <v>2496</v>
      </c>
      <c r="F1132" t="s">
        <v>759</v>
      </c>
      <c r="G1132">
        <v>7741</v>
      </c>
      <c r="H1132" t="s">
        <v>1286</v>
      </c>
    </row>
    <row r="1133" spans="1:8" hidden="1">
      <c r="A1133" s="71">
        <v>44595</v>
      </c>
      <c r="B1133" t="s">
        <v>334</v>
      </c>
      <c r="C1133" t="s">
        <v>2497</v>
      </c>
      <c r="F1133" t="s">
        <v>759</v>
      </c>
      <c r="G1133">
        <v>7744</v>
      </c>
      <c r="H1133" t="s">
        <v>1286</v>
      </c>
    </row>
    <row r="1134" spans="1:8" hidden="1">
      <c r="A1134" s="71">
        <v>44596</v>
      </c>
      <c r="B1134" t="s">
        <v>2399</v>
      </c>
      <c r="C1134" t="s">
        <v>2498</v>
      </c>
      <c r="F1134" t="s">
        <v>759</v>
      </c>
      <c r="G1134">
        <v>7911</v>
      </c>
      <c r="H1134" t="s">
        <v>1659</v>
      </c>
    </row>
    <row r="1135" spans="1:8" hidden="1">
      <c r="A1135" s="71">
        <v>44596</v>
      </c>
      <c r="B1135" t="s">
        <v>157</v>
      </c>
      <c r="C1135" t="s">
        <v>2499</v>
      </c>
      <c r="E1135" s="86">
        <v>12175</v>
      </c>
      <c r="F1135" t="s">
        <v>759</v>
      </c>
      <c r="G1135">
        <v>7910</v>
      </c>
      <c r="H1135" t="s">
        <v>1659</v>
      </c>
    </row>
    <row r="1136" spans="1:8" hidden="1">
      <c r="A1136" s="71">
        <v>44596</v>
      </c>
      <c r="B1136" t="s">
        <v>385</v>
      </c>
      <c r="C1136" t="s">
        <v>2499</v>
      </c>
      <c r="E1136" s="86">
        <v>1417</v>
      </c>
      <c r="F1136" t="s">
        <v>759</v>
      </c>
      <c r="G1136">
        <v>7909</v>
      </c>
      <c r="H1136" t="s">
        <v>1659</v>
      </c>
    </row>
    <row r="1137" spans="1:8" hidden="1">
      <c r="A1137" s="71">
        <v>44600</v>
      </c>
      <c r="B1137" t="s">
        <v>691</v>
      </c>
      <c r="C1137" t="s">
        <v>2500</v>
      </c>
      <c r="F1137" t="s">
        <v>759</v>
      </c>
      <c r="G1137">
        <v>7747</v>
      </c>
      <c r="H1137" t="s">
        <v>1286</v>
      </c>
    </row>
    <row r="1138" spans="1:8" hidden="1">
      <c r="A1138" s="71">
        <v>44600</v>
      </c>
      <c r="B1138" t="s">
        <v>150</v>
      </c>
      <c r="C1138" t="s">
        <v>2501</v>
      </c>
      <c r="F1138" t="s">
        <v>759</v>
      </c>
      <c r="G1138">
        <v>7805</v>
      </c>
      <c r="H1138" t="s">
        <v>1390</v>
      </c>
    </row>
    <row r="1139" spans="1:8" hidden="1">
      <c r="A1139" s="71">
        <v>44601</v>
      </c>
      <c r="B1139" t="s">
        <v>159</v>
      </c>
      <c r="C1139" t="s">
        <v>2502</v>
      </c>
      <c r="F1139" t="s">
        <v>759</v>
      </c>
      <c r="G1139">
        <v>7750</v>
      </c>
      <c r="H1139" t="s">
        <v>1286</v>
      </c>
    </row>
    <row r="1140" spans="1:8" hidden="1">
      <c r="A1140" s="71">
        <v>44602</v>
      </c>
      <c r="B1140" t="s">
        <v>389</v>
      </c>
      <c r="C1140" t="s">
        <v>2503</v>
      </c>
      <c r="E1140" s="86">
        <v>4318</v>
      </c>
      <c r="F1140" t="s">
        <v>759</v>
      </c>
      <c r="G1140">
        <v>7806</v>
      </c>
      <c r="H1140" t="s">
        <v>1390</v>
      </c>
    </row>
    <row r="1141" spans="1:8" hidden="1">
      <c r="A1141" s="71">
        <v>44602</v>
      </c>
      <c r="B1141" t="s">
        <v>338</v>
      </c>
      <c r="C1141" t="s">
        <v>2504</v>
      </c>
      <c r="E1141" s="86">
        <v>23264</v>
      </c>
      <c r="F1141" t="s">
        <v>759</v>
      </c>
      <c r="G1141">
        <v>7614</v>
      </c>
      <c r="H1141" t="s">
        <v>1286</v>
      </c>
    </row>
    <row r="1142" spans="1:8" hidden="1">
      <c r="A1142" s="71">
        <v>44603</v>
      </c>
      <c r="B1142" t="s">
        <v>32</v>
      </c>
      <c r="C1142" t="s">
        <v>2505</v>
      </c>
      <c r="F1142" t="s">
        <v>759</v>
      </c>
      <c r="G1142">
        <v>7620</v>
      </c>
      <c r="H1142" t="s">
        <v>1286</v>
      </c>
    </row>
    <row r="1143" spans="1:8" hidden="1">
      <c r="A1143" s="71">
        <v>44603</v>
      </c>
      <c r="B1143" t="s">
        <v>176</v>
      </c>
      <c r="C1143" t="s">
        <v>2506</v>
      </c>
      <c r="F1143" t="s">
        <v>759</v>
      </c>
      <c r="G1143">
        <v>7621</v>
      </c>
      <c r="H1143" t="s">
        <v>1286</v>
      </c>
    </row>
    <row r="1144" spans="1:8" hidden="1">
      <c r="A1144" s="71">
        <v>44603</v>
      </c>
      <c r="B1144" t="s">
        <v>159</v>
      </c>
      <c r="C1144" t="s">
        <v>2507</v>
      </c>
      <c r="F1144" t="s">
        <v>759</v>
      </c>
      <c r="G1144">
        <v>7619</v>
      </c>
      <c r="H1144" t="s">
        <v>1286</v>
      </c>
    </row>
    <row r="1145" spans="1:8" hidden="1">
      <c r="A1145" s="71">
        <v>44604</v>
      </c>
      <c r="B1145" t="s">
        <v>176</v>
      </c>
      <c r="C1145" t="s">
        <v>2508</v>
      </c>
      <c r="F1145" t="s">
        <v>759</v>
      </c>
      <c r="G1145">
        <v>7807</v>
      </c>
      <c r="H1145" t="s">
        <v>1390</v>
      </c>
    </row>
    <row r="1146" spans="1:8" hidden="1">
      <c r="A1146" s="71">
        <v>44606</v>
      </c>
      <c r="B1146" t="s">
        <v>150</v>
      </c>
      <c r="C1146" t="s">
        <v>2509</v>
      </c>
      <c r="F1146" t="s">
        <v>759</v>
      </c>
      <c r="G1146">
        <v>7808</v>
      </c>
      <c r="H1146" t="s">
        <v>1390</v>
      </c>
    </row>
    <row r="1147" spans="1:8" hidden="1">
      <c r="A1147" s="71">
        <v>44606</v>
      </c>
      <c r="B1147" t="s">
        <v>688</v>
      </c>
      <c r="C1147" t="s">
        <v>2510</v>
      </c>
      <c r="F1147" t="s">
        <v>759</v>
      </c>
      <c r="G1147">
        <v>7623</v>
      </c>
      <c r="H1147" t="s">
        <v>1286</v>
      </c>
    </row>
    <row r="1148" spans="1:8" hidden="1">
      <c r="A1148" s="71">
        <v>44606</v>
      </c>
      <c r="B1148" t="s">
        <v>159</v>
      </c>
      <c r="C1148" t="s">
        <v>2511</v>
      </c>
      <c r="F1148" t="s">
        <v>759</v>
      </c>
      <c r="G1148">
        <v>7622</v>
      </c>
      <c r="H1148" t="s">
        <v>1286</v>
      </c>
    </row>
    <row r="1149" spans="1:8" hidden="1">
      <c r="A1149" s="71">
        <v>44607</v>
      </c>
      <c r="B1149" t="s">
        <v>692</v>
      </c>
      <c r="C1149" t="s">
        <v>2512</v>
      </c>
      <c r="F1149" t="s">
        <v>759</v>
      </c>
      <c r="G1149">
        <v>7626</v>
      </c>
      <c r="H1149" t="s">
        <v>1286</v>
      </c>
    </row>
    <row r="1150" spans="1:8" hidden="1">
      <c r="A1150" s="71">
        <v>44608</v>
      </c>
      <c r="B1150" t="s">
        <v>688</v>
      </c>
      <c r="C1150" t="s">
        <v>2513</v>
      </c>
      <c r="F1150" t="s">
        <v>759</v>
      </c>
      <c r="G1150">
        <v>7627</v>
      </c>
      <c r="H1150" t="s">
        <v>1286</v>
      </c>
    </row>
    <row r="1151" spans="1:8" hidden="1">
      <c r="A1151" s="71">
        <v>44609</v>
      </c>
      <c r="B1151" t="s">
        <v>159</v>
      </c>
      <c r="C1151" t="s">
        <v>2514</v>
      </c>
      <c r="F1151" t="s">
        <v>759</v>
      </c>
      <c r="G1151">
        <v>7634</v>
      </c>
      <c r="H1151" t="s">
        <v>1286</v>
      </c>
    </row>
    <row r="1152" spans="1:8" hidden="1">
      <c r="A1152" s="71">
        <v>44610</v>
      </c>
      <c r="B1152" t="s">
        <v>160</v>
      </c>
      <c r="C1152" t="s">
        <v>2515</v>
      </c>
      <c r="F1152" t="s">
        <v>759</v>
      </c>
      <c r="G1152">
        <v>7810</v>
      </c>
      <c r="H1152" t="s">
        <v>1390</v>
      </c>
    </row>
    <row r="1153" spans="1:8" hidden="1">
      <c r="A1153" s="71">
        <v>44610</v>
      </c>
      <c r="B1153" t="s">
        <v>691</v>
      </c>
      <c r="C1153" t="s">
        <v>2516</v>
      </c>
      <c r="E1153" s="86">
        <v>4055</v>
      </c>
      <c r="F1153" t="s">
        <v>759</v>
      </c>
      <c r="G1153">
        <v>7636</v>
      </c>
      <c r="H1153" t="s">
        <v>1286</v>
      </c>
    </row>
    <row r="1154" spans="1:8" hidden="1">
      <c r="A1154" s="71">
        <v>44612</v>
      </c>
      <c r="B1154" t="s">
        <v>160</v>
      </c>
      <c r="C1154" t="s">
        <v>2517</v>
      </c>
      <c r="F1154" t="s">
        <v>759</v>
      </c>
      <c r="G1154">
        <v>7048</v>
      </c>
      <c r="H1154" t="s">
        <v>1286</v>
      </c>
    </row>
    <row r="1155" spans="1:8" hidden="1">
      <c r="A1155" s="71">
        <v>44613</v>
      </c>
      <c r="B1155" t="s">
        <v>32</v>
      </c>
      <c r="C1155" t="s">
        <v>2518</v>
      </c>
      <c r="F1155" t="s">
        <v>759</v>
      </c>
      <c r="G1155">
        <v>7813</v>
      </c>
      <c r="H1155" t="s">
        <v>1390</v>
      </c>
    </row>
    <row r="1156" spans="1:8" hidden="1">
      <c r="A1156" s="71">
        <v>44613</v>
      </c>
      <c r="B1156" t="s">
        <v>169</v>
      </c>
      <c r="C1156" t="s">
        <v>2519</v>
      </c>
      <c r="F1156" t="s">
        <v>759</v>
      </c>
      <c r="G1156">
        <v>7853</v>
      </c>
      <c r="H1156" t="s">
        <v>1286</v>
      </c>
    </row>
    <row r="1157" spans="1:8" hidden="1">
      <c r="A1157" s="71">
        <v>44613</v>
      </c>
      <c r="B1157" t="s">
        <v>42</v>
      </c>
      <c r="C1157" t="s">
        <v>2520</v>
      </c>
      <c r="F1157" t="s">
        <v>759</v>
      </c>
      <c r="G1157">
        <v>7852</v>
      </c>
      <c r="H1157" t="s">
        <v>1286</v>
      </c>
    </row>
    <row r="1158" spans="1:8" hidden="1">
      <c r="A1158" s="71">
        <v>44613</v>
      </c>
      <c r="B1158" t="s">
        <v>159</v>
      </c>
      <c r="C1158" t="s">
        <v>2521</v>
      </c>
      <c r="F1158" t="s">
        <v>759</v>
      </c>
      <c r="G1158">
        <v>7851</v>
      </c>
      <c r="H1158" t="s">
        <v>1286</v>
      </c>
    </row>
    <row r="1159" spans="1:8" hidden="1">
      <c r="A1159" s="71">
        <v>44613</v>
      </c>
      <c r="B1159" t="s">
        <v>150</v>
      </c>
      <c r="C1159" t="s">
        <v>2522</v>
      </c>
      <c r="F1159" t="s">
        <v>759</v>
      </c>
      <c r="G1159">
        <v>7812</v>
      </c>
      <c r="H1159" t="s">
        <v>1390</v>
      </c>
    </row>
    <row r="1160" spans="1:8" hidden="1">
      <c r="A1160" s="71">
        <v>44614</v>
      </c>
      <c r="B1160" t="s">
        <v>313</v>
      </c>
      <c r="C1160" t="s">
        <v>2523</v>
      </c>
      <c r="E1160" s="86">
        <v>19505</v>
      </c>
      <c r="F1160" t="s">
        <v>759</v>
      </c>
      <c r="G1160">
        <v>7855</v>
      </c>
      <c r="H1160" t="s">
        <v>1286</v>
      </c>
    </row>
    <row r="1161" spans="1:8" hidden="1">
      <c r="A1161" s="71">
        <v>44614</v>
      </c>
      <c r="B1161" t="s">
        <v>322</v>
      </c>
      <c r="C1161" t="s">
        <v>2524</v>
      </c>
      <c r="E1161" s="86">
        <v>24387</v>
      </c>
      <c r="F1161" t="s">
        <v>759</v>
      </c>
      <c r="G1161">
        <v>7814</v>
      </c>
      <c r="H1161" t="s">
        <v>1390</v>
      </c>
    </row>
    <row r="1162" spans="1:8" hidden="1">
      <c r="A1162" s="71">
        <v>44614</v>
      </c>
      <c r="B1162" t="s">
        <v>389</v>
      </c>
      <c r="C1162" t="s">
        <v>2525</v>
      </c>
      <c r="F1162" t="s">
        <v>759</v>
      </c>
      <c r="G1162">
        <v>3154</v>
      </c>
      <c r="H1162" t="s">
        <v>1492</v>
      </c>
    </row>
    <row r="1163" spans="1:8" hidden="1">
      <c r="A1163" s="71">
        <v>44615</v>
      </c>
      <c r="B1163" t="s">
        <v>311</v>
      </c>
      <c r="C1163" t="s">
        <v>2526</v>
      </c>
      <c r="E1163" s="86">
        <v>13045</v>
      </c>
      <c r="F1163" t="s">
        <v>759</v>
      </c>
      <c r="G1163">
        <v>7857</v>
      </c>
      <c r="H1163" t="s">
        <v>1286</v>
      </c>
    </row>
    <row r="1164" spans="1:8" hidden="1">
      <c r="A1164" s="71">
        <v>44615</v>
      </c>
      <c r="B1164" t="s">
        <v>2126</v>
      </c>
      <c r="C1164" t="s">
        <v>2527</v>
      </c>
      <c r="F1164" t="s">
        <v>759</v>
      </c>
      <c r="G1164">
        <v>7063</v>
      </c>
      <c r="H1164" t="s">
        <v>1499</v>
      </c>
    </row>
    <row r="1165" spans="1:8" hidden="1">
      <c r="A1165" s="71">
        <v>44616</v>
      </c>
      <c r="B1165" t="s">
        <v>169</v>
      </c>
      <c r="C1165" t="s">
        <v>2528</v>
      </c>
      <c r="E1165" s="86">
        <v>3767</v>
      </c>
      <c r="F1165" t="s">
        <v>759</v>
      </c>
      <c r="G1165">
        <v>7913</v>
      </c>
      <c r="H1165" t="s">
        <v>1659</v>
      </c>
    </row>
    <row r="1166" spans="1:8" hidden="1">
      <c r="A1166" s="71">
        <v>44616</v>
      </c>
      <c r="B1166" t="s">
        <v>334</v>
      </c>
      <c r="C1166" t="s">
        <v>2529</v>
      </c>
      <c r="E1166" s="86">
        <v>18509</v>
      </c>
      <c r="F1166" t="s">
        <v>759</v>
      </c>
      <c r="G1166">
        <v>7912</v>
      </c>
      <c r="H1166" t="s">
        <v>1659</v>
      </c>
    </row>
    <row r="1167" spans="1:8" hidden="1">
      <c r="A1167" s="71">
        <v>44616</v>
      </c>
      <c r="B1167" t="s">
        <v>369</v>
      </c>
      <c r="C1167" t="s">
        <v>2530</v>
      </c>
      <c r="F1167" t="s">
        <v>759</v>
      </c>
      <c r="G1167">
        <v>7816</v>
      </c>
      <c r="H1167" t="s">
        <v>1286</v>
      </c>
    </row>
    <row r="1168" spans="1:8" hidden="1">
      <c r="A1168" s="71">
        <v>44617</v>
      </c>
      <c r="B1168" t="s">
        <v>313</v>
      </c>
      <c r="C1168" t="s">
        <v>2531</v>
      </c>
      <c r="E1168" s="86">
        <v>19505</v>
      </c>
      <c r="F1168" t="s">
        <v>759</v>
      </c>
      <c r="G1168">
        <v>7914</v>
      </c>
      <c r="H1168" t="s">
        <v>1659</v>
      </c>
    </row>
    <row r="1169" spans="1:8" hidden="1">
      <c r="A1169" s="71">
        <v>44617</v>
      </c>
      <c r="B1169" t="s">
        <v>35</v>
      </c>
      <c r="C1169" t="s">
        <v>2532</v>
      </c>
      <c r="F1169" t="s">
        <v>759</v>
      </c>
      <c r="G1169">
        <v>7817</v>
      </c>
      <c r="H1169" t="s">
        <v>1390</v>
      </c>
    </row>
    <row r="1170" spans="1:8" hidden="1">
      <c r="A1170" s="71">
        <v>44617</v>
      </c>
      <c r="B1170" t="s">
        <v>311</v>
      </c>
      <c r="C1170" t="s">
        <v>2533</v>
      </c>
      <c r="F1170" t="s">
        <v>759</v>
      </c>
      <c r="G1170">
        <v>7865</v>
      </c>
      <c r="H1170" t="s">
        <v>1286</v>
      </c>
    </row>
    <row r="1171" spans="1:8" hidden="1">
      <c r="A1171" s="71">
        <v>44620</v>
      </c>
      <c r="B1171" t="s">
        <v>42</v>
      </c>
      <c r="C1171" t="s">
        <v>2534</v>
      </c>
      <c r="F1171" t="s">
        <v>759</v>
      </c>
      <c r="G1171">
        <v>7637</v>
      </c>
      <c r="H1171" t="s">
        <v>1286</v>
      </c>
    </row>
    <row r="1172" spans="1:8" hidden="1">
      <c r="A1172" s="71">
        <v>44621</v>
      </c>
      <c r="B1172" t="s">
        <v>596</v>
      </c>
      <c r="C1172" t="s">
        <v>2535</v>
      </c>
      <c r="F1172" t="s">
        <v>759</v>
      </c>
      <c r="G1172">
        <v>7916</v>
      </c>
      <c r="H1172" t="s">
        <v>1659</v>
      </c>
    </row>
    <row r="1173" spans="1:8" hidden="1">
      <c r="A1173" s="71">
        <v>44622</v>
      </c>
      <c r="B1173" t="s">
        <v>334</v>
      </c>
      <c r="C1173" t="s">
        <v>2536</v>
      </c>
      <c r="E1173" s="86">
        <v>18517</v>
      </c>
      <c r="F1173" t="s">
        <v>759</v>
      </c>
      <c r="G1173">
        <v>7917</v>
      </c>
      <c r="H1173" t="s">
        <v>1659</v>
      </c>
    </row>
    <row r="1174" spans="1:8" hidden="1">
      <c r="A1174" s="71">
        <v>44622</v>
      </c>
      <c r="B1174" t="s">
        <v>389</v>
      </c>
      <c r="C1174" t="s">
        <v>2537</v>
      </c>
      <c r="F1174" t="s">
        <v>759</v>
      </c>
      <c r="G1174">
        <v>7474</v>
      </c>
      <c r="H1174" t="s">
        <v>1659</v>
      </c>
    </row>
    <row r="1175" spans="1:8" hidden="1">
      <c r="A1175" s="71">
        <v>44623</v>
      </c>
      <c r="B1175" t="s">
        <v>717</v>
      </c>
      <c r="C1175" t="s">
        <v>2538</v>
      </c>
      <c r="F1175" t="s">
        <v>759</v>
      </c>
      <c r="G1175">
        <v>7921</v>
      </c>
      <c r="H1175" t="s">
        <v>1659</v>
      </c>
    </row>
    <row r="1176" spans="1:8" hidden="1">
      <c r="A1176" s="71">
        <v>44623</v>
      </c>
      <c r="B1176" t="s">
        <v>169</v>
      </c>
      <c r="C1176" t="s">
        <v>2539</v>
      </c>
      <c r="E1176" s="86">
        <v>3796</v>
      </c>
      <c r="F1176" t="s">
        <v>759</v>
      </c>
      <c r="G1176">
        <v>7920</v>
      </c>
      <c r="H1176" t="s">
        <v>1659</v>
      </c>
    </row>
    <row r="1177" spans="1:8" hidden="1">
      <c r="A1177" s="71">
        <v>44623</v>
      </c>
      <c r="B1177" t="s">
        <v>688</v>
      </c>
      <c r="C1177" t="s">
        <v>2540</v>
      </c>
      <c r="E1177" s="86">
        <v>8440</v>
      </c>
      <c r="F1177" t="s">
        <v>759</v>
      </c>
      <c r="G1177">
        <v>7919</v>
      </c>
      <c r="H1177" t="s">
        <v>1659</v>
      </c>
    </row>
    <row r="1178" spans="1:8" hidden="1">
      <c r="A1178" s="71">
        <v>44623</v>
      </c>
      <c r="B1178" t="s">
        <v>688</v>
      </c>
      <c r="C1178" t="s">
        <v>2541</v>
      </c>
      <c r="F1178" t="s">
        <v>759</v>
      </c>
      <c r="G1178">
        <v>7918</v>
      </c>
      <c r="H1178" t="s">
        <v>1659</v>
      </c>
    </row>
    <row r="1179" spans="1:8" hidden="1">
      <c r="A1179" s="71">
        <v>44623</v>
      </c>
      <c r="B1179" t="s">
        <v>311</v>
      </c>
      <c r="C1179" t="s">
        <v>2542</v>
      </c>
      <c r="E1179" s="86">
        <v>13076</v>
      </c>
      <c r="F1179" t="s">
        <v>759</v>
      </c>
      <c r="G1179">
        <v>7647</v>
      </c>
      <c r="H1179" t="s">
        <v>1286</v>
      </c>
    </row>
    <row r="1180" spans="1:8" hidden="1">
      <c r="A1180" s="71">
        <v>44623</v>
      </c>
      <c r="B1180" t="s">
        <v>717</v>
      </c>
      <c r="C1180" t="s">
        <v>2543</v>
      </c>
      <c r="F1180" t="s">
        <v>759</v>
      </c>
      <c r="G1180">
        <v>7648</v>
      </c>
      <c r="H1180" t="s">
        <v>1286</v>
      </c>
    </row>
    <row r="1181" spans="1:8" hidden="1">
      <c r="A1181" s="71">
        <v>44624</v>
      </c>
      <c r="B1181" t="s">
        <v>175</v>
      </c>
      <c r="C1181" t="s">
        <v>2544</v>
      </c>
      <c r="E1181" s="86">
        <v>4109</v>
      </c>
      <c r="F1181" t="s">
        <v>759</v>
      </c>
      <c r="G1181">
        <v>7922</v>
      </c>
      <c r="H1181" t="s">
        <v>1659</v>
      </c>
    </row>
    <row r="1182" spans="1:8" hidden="1">
      <c r="A1182" s="71">
        <v>44624</v>
      </c>
      <c r="B1182" t="s">
        <v>692</v>
      </c>
      <c r="C1182" t="s">
        <v>2545</v>
      </c>
      <c r="F1182" t="s">
        <v>759</v>
      </c>
      <c r="G1182">
        <v>7649</v>
      </c>
      <c r="H1182" t="s">
        <v>1286</v>
      </c>
    </row>
    <row r="1183" spans="1:8" hidden="1">
      <c r="A1183" s="71">
        <v>44627</v>
      </c>
      <c r="B1183" t="s">
        <v>385</v>
      </c>
      <c r="C1183" t="s">
        <v>2546</v>
      </c>
      <c r="E1183" s="86">
        <v>1459</v>
      </c>
      <c r="F1183" t="s">
        <v>759</v>
      </c>
      <c r="G1183">
        <v>7923</v>
      </c>
      <c r="H1183" t="s">
        <v>1659</v>
      </c>
    </row>
    <row r="1184" spans="1:8" hidden="1">
      <c r="A1184" s="71">
        <v>44627</v>
      </c>
      <c r="B1184" t="s">
        <v>159</v>
      </c>
      <c r="C1184" t="s">
        <v>2547</v>
      </c>
      <c r="F1184" t="s">
        <v>759</v>
      </c>
      <c r="G1184">
        <v>7868</v>
      </c>
      <c r="H1184" t="s">
        <v>1286</v>
      </c>
    </row>
    <row r="1185" spans="1:8" hidden="1">
      <c r="A1185" s="71">
        <v>44628</v>
      </c>
      <c r="B1185" t="s">
        <v>692</v>
      </c>
      <c r="C1185" t="s">
        <v>2548</v>
      </c>
      <c r="E1185" s="86">
        <v>4339</v>
      </c>
      <c r="F1185" t="s">
        <v>759</v>
      </c>
      <c r="G1185">
        <v>7924</v>
      </c>
      <c r="H1185" t="s">
        <v>1659</v>
      </c>
    </row>
    <row r="1186" spans="1:8" hidden="1">
      <c r="A1186" s="71">
        <v>44628</v>
      </c>
      <c r="B1186" t="s">
        <v>713</v>
      </c>
      <c r="C1186" t="s">
        <v>2549</v>
      </c>
      <c r="F1186" t="s">
        <v>759</v>
      </c>
      <c r="G1186">
        <v>7870</v>
      </c>
      <c r="H1186" t="s">
        <v>1286</v>
      </c>
    </row>
    <row r="1187" spans="1:8" hidden="1">
      <c r="A1187" s="71">
        <v>44628</v>
      </c>
      <c r="B1187" t="s">
        <v>12</v>
      </c>
      <c r="C1187" t="s">
        <v>2550</v>
      </c>
      <c r="E1187" s="86">
        <v>2065</v>
      </c>
      <c r="F1187" t="s">
        <v>759</v>
      </c>
      <c r="G1187">
        <v>7818</v>
      </c>
      <c r="H1187" t="s">
        <v>1390</v>
      </c>
    </row>
    <row r="1188" spans="1:8" hidden="1">
      <c r="A1188" s="71">
        <v>44628</v>
      </c>
      <c r="B1188" t="s">
        <v>178</v>
      </c>
      <c r="C1188" t="s">
        <v>2551</v>
      </c>
      <c r="E1188" s="86">
        <v>1227</v>
      </c>
      <c r="F1188" t="s">
        <v>759</v>
      </c>
      <c r="G1188">
        <v>3029</v>
      </c>
      <c r="H1188" t="s">
        <v>1246</v>
      </c>
    </row>
    <row r="1189" spans="1:8" hidden="1">
      <c r="A1189" s="71">
        <v>44628</v>
      </c>
      <c r="B1189" t="s">
        <v>1533</v>
      </c>
      <c r="C1189" t="s">
        <v>2552</v>
      </c>
      <c r="E1189" s="86">
        <v>8983</v>
      </c>
      <c r="F1189" t="s">
        <v>759</v>
      </c>
      <c r="G1189">
        <v>2400</v>
      </c>
      <c r="H1189" t="s">
        <v>1499</v>
      </c>
    </row>
    <row r="1190" spans="1:8" hidden="1">
      <c r="A1190" s="71">
        <v>44628</v>
      </c>
      <c r="B1190" t="s">
        <v>369</v>
      </c>
      <c r="C1190" t="s">
        <v>2553</v>
      </c>
      <c r="E1190" s="86">
        <v>9935</v>
      </c>
      <c r="F1190" t="s">
        <v>759</v>
      </c>
      <c r="H1190" t="s">
        <v>1390</v>
      </c>
    </row>
    <row r="1191" spans="1:8" hidden="1">
      <c r="A1191" s="71">
        <v>44629</v>
      </c>
      <c r="B1191" t="s">
        <v>2401</v>
      </c>
      <c r="C1191" t="s">
        <v>2554</v>
      </c>
      <c r="F1191" t="s">
        <v>759</v>
      </c>
      <c r="G1191">
        <v>7925</v>
      </c>
      <c r="H1191" t="s">
        <v>1659</v>
      </c>
    </row>
    <row r="1192" spans="1:8" hidden="1">
      <c r="A1192" s="71">
        <v>44629</v>
      </c>
      <c r="B1192" t="s">
        <v>191</v>
      </c>
      <c r="C1192" t="s">
        <v>2555</v>
      </c>
      <c r="F1192" t="s">
        <v>759</v>
      </c>
      <c r="G1192">
        <v>7872</v>
      </c>
      <c r="H1192" t="s">
        <v>1286</v>
      </c>
    </row>
    <row r="1193" spans="1:8" hidden="1">
      <c r="A1193" s="71">
        <v>44629</v>
      </c>
      <c r="B1193" t="s">
        <v>311</v>
      </c>
      <c r="C1193" t="s">
        <v>2556</v>
      </c>
      <c r="F1193" t="s">
        <v>759</v>
      </c>
      <c r="G1193">
        <v>7876</v>
      </c>
      <c r="H1193" t="s">
        <v>1286</v>
      </c>
    </row>
    <row r="1194" spans="1:8" hidden="1">
      <c r="A1194" s="71">
        <v>44629</v>
      </c>
      <c r="B1194" t="s">
        <v>163</v>
      </c>
      <c r="C1194" t="s">
        <v>2557</v>
      </c>
      <c r="F1194" t="s">
        <v>759</v>
      </c>
      <c r="G1194">
        <v>7820</v>
      </c>
      <c r="H1194" t="s">
        <v>1390</v>
      </c>
    </row>
    <row r="1195" spans="1:8" hidden="1">
      <c r="A1195" s="71">
        <v>44629</v>
      </c>
      <c r="B1195" t="s">
        <v>12</v>
      </c>
      <c r="C1195" t="s">
        <v>2558</v>
      </c>
      <c r="E1195" s="86">
        <v>2073</v>
      </c>
      <c r="F1195" t="s">
        <v>759</v>
      </c>
      <c r="G1195">
        <v>7819</v>
      </c>
      <c r="H1195" t="s">
        <v>1390</v>
      </c>
    </row>
    <row r="1196" spans="1:8" hidden="1">
      <c r="A1196" s="71">
        <v>44630</v>
      </c>
      <c r="B1196" t="s">
        <v>159</v>
      </c>
      <c r="C1196" t="s">
        <v>2559</v>
      </c>
      <c r="E1196" s="86">
        <v>8500</v>
      </c>
      <c r="F1196" t="s">
        <v>759</v>
      </c>
      <c r="G1196">
        <v>7927</v>
      </c>
      <c r="H1196" t="s">
        <v>1659</v>
      </c>
    </row>
    <row r="1197" spans="1:8" hidden="1">
      <c r="A1197" s="71">
        <v>44630</v>
      </c>
      <c r="B1197" t="s">
        <v>2560</v>
      </c>
      <c r="C1197" t="s">
        <v>2561</v>
      </c>
      <c r="F1197" t="s">
        <v>759</v>
      </c>
      <c r="G1197">
        <v>7926</v>
      </c>
      <c r="H1197" t="s">
        <v>1659</v>
      </c>
    </row>
    <row r="1198" spans="1:8" hidden="1">
      <c r="A1198" s="71">
        <v>44630</v>
      </c>
      <c r="B1198" t="s">
        <v>698</v>
      </c>
      <c r="C1198" t="s">
        <v>2562</v>
      </c>
      <c r="F1198" t="s">
        <v>759</v>
      </c>
      <c r="G1198">
        <v>7821</v>
      </c>
      <c r="H1198" t="s">
        <v>1501</v>
      </c>
    </row>
    <row r="1199" spans="1:8" hidden="1">
      <c r="A1199" s="71">
        <v>44631</v>
      </c>
      <c r="B1199" t="s">
        <v>661</v>
      </c>
      <c r="C1199" t="s">
        <v>2563</v>
      </c>
      <c r="F1199" t="s">
        <v>759</v>
      </c>
      <c r="G1199">
        <v>7928</v>
      </c>
      <c r="H1199" t="s">
        <v>1659</v>
      </c>
    </row>
    <row r="1200" spans="1:8" hidden="1">
      <c r="A1200" s="71">
        <v>44631</v>
      </c>
      <c r="B1200" t="s">
        <v>391</v>
      </c>
      <c r="C1200" t="s">
        <v>2564</v>
      </c>
      <c r="E1200" s="86">
        <v>5793</v>
      </c>
      <c r="F1200" t="s">
        <v>759</v>
      </c>
      <c r="G1200">
        <v>7822</v>
      </c>
      <c r="H1200" t="s">
        <v>1390</v>
      </c>
    </row>
    <row r="1201" spans="1:8" hidden="1">
      <c r="A1201" s="71">
        <v>44632</v>
      </c>
      <c r="B1201" t="s">
        <v>160</v>
      </c>
      <c r="C1201" t="s">
        <v>2517</v>
      </c>
      <c r="F1201" t="s">
        <v>759</v>
      </c>
      <c r="G1201">
        <v>7048</v>
      </c>
      <c r="H1201" t="s">
        <v>1286</v>
      </c>
    </row>
    <row r="1202" spans="1:8" hidden="1">
      <c r="A1202" s="71">
        <v>44634</v>
      </c>
      <c r="B1202" t="s">
        <v>169</v>
      </c>
      <c r="C1202" t="s">
        <v>2565</v>
      </c>
      <c r="F1202" t="s">
        <v>759</v>
      </c>
      <c r="G1202">
        <v>7883</v>
      </c>
      <c r="H1202" t="s">
        <v>1286</v>
      </c>
    </row>
    <row r="1203" spans="1:8" hidden="1">
      <c r="A1203" s="71">
        <v>44634</v>
      </c>
      <c r="B1203" t="s">
        <v>2566</v>
      </c>
      <c r="C1203" t="s">
        <v>2567</v>
      </c>
      <c r="E1203" s="86">
        <v>7443</v>
      </c>
      <c r="F1203" t="s">
        <v>759</v>
      </c>
      <c r="G1203">
        <v>7929</v>
      </c>
      <c r="H1203" t="s">
        <v>1659</v>
      </c>
    </row>
    <row r="1204" spans="1:8" hidden="1">
      <c r="A1204" s="71">
        <v>44634</v>
      </c>
      <c r="B1204" t="s">
        <v>717</v>
      </c>
      <c r="C1204" t="s">
        <v>2568</v>
      </c>
      <c r="F1204" t="s">
        <v>759</v>
      </c>
      <c r="G1204">
        <v>3031</v>
      </c>
      <c r="H1204" t="s">
        <v>1246</v>
      </c>
    </row>
    <row r="1205" spans="1:8" hidden="1">
      <c r="A1205" s="71">
        <v>44635</v>
      </c>
      <c r="B1205" t="s">
        <v>160</v>
      </c>
      <c r="C1205" t="s">
        <v>2517</v>
      </c>
      <c r="F1205" t="s">
        <v>759</v>
      </c>
      <c r="G1205">
        <v>7048</v>
      </c>
      <c r="H1205" t="s">
        <v>1659</v>
      </c>
    </row>
    <row r="1206" spans="1:8" hidden="1">
      <c r="A1206" s="71">
        <v>44636</v>
      </c>
      <c r="B1206" t="s">
        <v>2399</v>
      </c>
      <c r="C1206" t="s">
        <v>2569</v>
      </c>
      <c r="F1206" t="s">
        <v>759</v>
      </c>
      <c r="G1206">
        <v>7931</v>
      </c>
      <c r="H1206" t="s">
        <v>1659</v>
      </c>
    </row>
    <row r="1207" spans="1:8" hidden="1">
      <c r="A1207" s="71">
        <v>44636</v>
      </c>
      <c r="B1207" t="s">
        <v>313</v>
      </c>
      <c r="C1207" t="s">
        <v>2570</v>
      </c>
      <c r="E1207" s="86">
        <v>19527</v>
      </c>
      <c r="F1207" t="s">
        <v>759</v>
      </c>
      <c r="G1207">
        <v>7930</v>
      </c>
      <c r="H1207" t="s">
        <v>1659</v>
      </c>
    </row>
    <row r="1208" spans="1:8" hidden="1">
      <c r="A1208" s="71">
        <v>44636</v>
      </c>
      <c r="B1208" t="s">
        <v>391</v>
      </c>
      <c r="C1208" t="s">
        <v>2571</v>
      </c>
      <c r="E1208" s="86">
        <v>5764</v>
      </c>
      <c r="F1208" t="s">
        <v>759</v>
      </c>
      <c r="G1208">
        <v>7368</v>
      </c>
      <c r="H1208" t="s">
        <v>474</v>
      </c>
    </row>
    <row r="1209" spans="1:8" hidden="1">
      <c r="A1209" s="71">
        <v>44637</v>
      </c>
      <c r="B1209" t="s">
        <v>334</v>
      </c>
      <c r="C1209" t="s">
        <v>2572</v>
      </c>
      <c r="E1209" s="86">
        <v>18537</v>
      </c>
      <c r="F1209" t="s">
        <v>759</v>
      </c>
      <c r="G1209">
        <v>7933</v>
      </c>
      <c r="H1209" t="s">
        <v>1659</v>
      </c>
    </row>
    <row r="1210" spans="1:8" hidden="1">
      <c r="A1210" s="71">
        <v>44637</v>
      </c>
      <c r="B1210" t="s">
        <v>313</v>
      </c>
      <c r="C1210" t="s">
        <v>2573</v>
      </c>
      <c r="E1210" s="86">
        <v>19527</v>
      </c>
      <c r="F1210" t="s">
        <v>759</v>
      </c>
      <c r="G1210">
        <v>7932</v>
      </c>
      <c r="H1210" t="s">
        <v>1659</v>
      </c>
    </row>
    <row r="1211" spans="1:8" hidden="1">
      <c r="A1211" s="71">
        <v>44637</v>
      </c>
      <c r="B1211" t="s">
        <v>688</v>
      </c>
      <c r="C1211" t="s">
        <v>2574</v>
      </c>
      <c r="E1211" s="86">
        <v>8522</v>
      </c>
      <c r="F1211" t="s">
        <v>759</v>
      </c>
      <c r="G1211">
        <v>7898</v>
      </c>
      <c r="H1211" t="s">
        <v>1286</v>
      </c>
    </row>
    <row r="1212" spans="1:8" hidden="1">
      <c r="A1212" s="71">
        <v>44638</v>
      </c>
      <c r="B1212" t="s">
        <v>698</v>
      </c>
      <c r="C1212" t="s">
        <v>2575</v>
      </c>
      <c r="F1212" t="s">
        <v>759</v>
      </c>
      <c r="G1212">
        <v>7827</v>
      </c>
      <c r="H1212" t="s">
        <v>1390</v>
      </c>
    </row>
    <row r="1213" spans="1:8" hidden="1">
      <c r="A1213" s="71">
        <v>44639</v>
      </c>
      <c r="B1213" t="s">
        <v>351</v>
      </c>
      <c r="C1213" t="s">
        <v>2576</v>
      </c>
      <c r="E1213" s="86">
        <v>5300</v>
      </c>
      <c r="F1213" t="s">
        <v>759</v>
      </c>
      <c r="G1213">
        <v>7355</v>
      </c>
      <c r="H1213" t="s">
        <v>474</v>
      </c>
    </row>
    <row r="1214" spans="1:8" hidden="1">
      <c r="A1214" s="71">
        <v>44641</v>
      </c>
      <c r="B1214" t="s">
        <v>385</v>
      </c>
      <c r="C1214" t="s">
        <v>2577</v>
      </c>
      <c r="F1214" t="s">
        <v>759</v>
      </c>
      <c r="G1214">
        <v>7954</v>
      </c>
      <c r="H1214" t="s">
        <v>1286</v>
      </c>
    </row>
    <row r="1215" spans="1:8" hidden="1">
      <c r="A1215" s="71">
        <v>44642</v>
      </c>
      <c r="B1215" t="s">
        <v>159</v>
      </c>
      <c r="C1215" t="s">
        <v>2578</v>
      </c>
      <c r="E1215" s="86">
        <v>8541</v>
      </c>
      <c r="F1215" t="s">
        <v>759</v>
      </c>
      <c r="G1215">
        <v>7955</v>
      </c>
      <c r="H1215" t="s">
        <v>1286</v>
      </c>
    </row>
    <row r="1216" spans="1:8" hidden="1">
      <c r="A1216" s="71">
        <v>44642</v>
      </c>
      <c r="B1216" t="s">
        <v>183</v>
      </c>
      <c r="C1216" t="s">
        <v>2579</v>
      </c>
      <c r="E1216" s="86">
        <v>39920</v>
      </c>
      <c r="F1216" t="s">
        <v>759</v>
      </c>
      <c r="G1216">
        <v>7940</v>
      </c>
      <c r="H1216" t="s">
        <v>1659</v>
      </c>
    </row>
    <row r="1217" spans="1:8" hidden="1">
      <c r="A1217" s="71">
        <v>44642</v>
      </c>
      <c r="B1217" t="s">
        <v>330</v>
      </c>
      <c r="C1217" t="s">
        <v>2580</v>
      </c>
      <c r="E1217" s="86">
        <v>5907</v>
      </c>
      <c r="F1217" t="s">
        <v>759</v>
      </c>
      <c r="G1217">
        <v>7935</v>
      </c>
      <c r="H1217" t="s">
        <v>1659</v>
      </c>
    </row>
    <row r="1218" spans="1:8" hidden="1">
      <c r="A1218" s="71">
        <v>44642</v>
      </c>
      <c r="B1218" t="s">
        <v>713</v>
      </c>
      <c r="C1218" t="s">
        <v>2581</v>
      </c>
      <c r="E1218" s="86">
        <v>13061</v>
      </c>
      <c r="F1218" t="s">
        <v>759</v>
      </c>
      <c r="G1218">
        <v>7934</v>
      </c>
      <c r="H1218" t="s">
        <v>1659</v>
      </c>
    </row>
    <row r="1219" spans="1:8" hidden="1">
      <c r="A1219" s="71">
        <v>44642</v>
      </c>
      <c r="B1219" t="s">
        <v>369</v>
      </c>
      <c r="C1219" t="s">
        <v>2582</v>
      </c>
      <c r="F1219" t="s">
        <v>759</v>
      </c>
      <c r="G1219">
        <v>7830</v>
      </c>
      <c r="H1219" t="s">
        <v>1390</v>
      </c>
    </row>
    <row r="1220" spans="1:8" hidden="1">
      <c r="A1220" s="71">
        <v>44642</v>
      </c>
      <c r="B1220" t="s">
        <v>313</v>
      </c>
      <c r="C1220" t="s">
        <v>2583</v>
      </c>
      <c r="E1220" s="86">
        <v>19532</v>
      </c>
      <c r="F1220" t="s">
        <v>759</v>
      </c>
      <c r="G1220">
        <v>7828</v>
      </c>
      <c r="H1220" t="s">
        <v>1390</v>
      </c>
    </row>
    <row r="1221" spans="1:8" hidden="1">
      <c r="A1221" s="71">
        <v>44643</v>
      </c>
      <c r="B1221" t="s">
        <v>183</v>
      </c>
      <c r="C1221" t="s">
        <v>2584</v>
      </c>
      <c r="F1221" t="s">
        <v>759</v>
      </c>
      <c r="G1221">
        <v>7960</v>
      </c>
      <c r="H1221" t="s">
        <v>1286</v>
      </c>
    </row>
    <row r="1222" spans="1:8" hidden="1">
      <c r="A1222" s="71">
        <v>44643</v>
      </c>
      <c r="B1222" t="s">
        <v>688</v>
      </c>
      <c r="C1222" t="s">
        <v>2585</v>
      </c>
      <c r="E1222" s="86">
        <v>8549</v>
      </c>
      <c r="F1222" t="s">
        <v>759</v>
      </c>
      <c r="G1222">
        <v>7937</v>
      </c>
      <c r="H1222" t="s">
        <v>1659</v>
      </c>
    </row>
    <row r="1223" spans="1:8" hidden="1">
      <c r="A1223" s="71">
        <v>44643</v>
      </c>
      <c r="B1223" t="s">
        <v>176</v>
      </c>
      <c r="C1223" t="s">
        <v>2586</v>
      </c>
      <c r="E1223" s="86">
        <v>3915</v>
      </c>
      <c r="F1223" t="s">
        <v>759</v>
      </c>
      <c r="G1223">
        <v>7936</v>
      </c>
      <c r="H1223" t="s">
        <v>1659</v>
      </c>
    </row>
    <row r="1224" spans="1:8" hidden="1">
      <c r="A1224" s="71">
        <v>44643</v>
      </c>
      <c r="B1224" t="s">
        <v>313</v>
      </c>
      <c r="C1224" t="s">
        <v>2587</v>
      </c>
      <c r="F1224" t="s">
        <v>759</v>
      </c>
      <c r="G1224">
        <v>7831</v>
      </c>
      <c r="H1224" t="s">
        <v>1390</v>
      </c>
    </row>
    <row r="1225" spans="1:8" hidden="1">
      <c r="A1225" s="71">
        <v>44643</v>
      </c>
      <c r="B1225" t="s">
        <v>188</v>
      </c>
      <c r="C1225" t="s">
        <v>2588</v>
      </c>
      <c r="E1225" s="86">
        <v>8296</v>
      </c>
      <c r="F1225" t="s">
        <v>759</v>
      </c>
      <c r="G1225">
        <v>3038</v>
      </c>
      <c r="H1225" t="s">
        <v>1246</v>
      </c>
    </row>
    <row r="1226" spans="1:8" hidden="1">
      <c r="A1226" s="71">
        <v>44644</v>
      </c>
      <c r="B1226" t="s">
        <v>336</v>
      </c>
      <c r="C1226" t="s">
        <v>2589</v>
      </c>
      <c r="E1226" s="86">
        <v>8938</v>
      </c>
      <c r="F1226" t="s">
        <v>759</v>
      </c>
      <c r="G1226">
        <v>7938</v>
      </c>
      <c r="H1226" t="s">
        <v>1659</v>
      </c>
    </row>
    <row r="1227" spans="1:8" hidden="1">
      <c r="A1227" s="71">
        <v>44644</v>
      </c>
      <c r="B1227" t="s">
        <v>803</v>
      </c>
      <c r="C1227" t="s">
        <v>2590</v>
      </c>
      <c r="E1227" s="86">
        <v>6202</v>
      </c>
      <c r="F1227" t="s">
        <v>759</v>
      </c>
      <c r="G1227">
        <v>7962</v>
      </c>
      <c r="H1227" t="s">
        <v>1286</v>
      </c>
    </row>
    <row r="1228" spans="1:8" hidden="1">
      <c r="A1228" s="71">
        <v>44644</v>
      </c>
      <c r="B1228" t="s">
        <v>159</v>
      </c>
      <c r="C1228" t="s">
        <v>2591</v>
      </c>
      <c r="F1228" t="s">
        <v>759</v>
      </c>
      <c r="G1228">
        <v>7961</v>
      </c>
      <c r="H1228" t="s">
        <v>1286</v>
      </c>
    </row>
    <row r="1229" spans="1:8" hidden="1">
      <c r="A1229" s="71">
        <v>44644</v>
      </c>
      <c r="B1229" t="s">
        <v>383</v>
      </c>
      <c r="C1229" t="s">
        <v>2592</v>
      </c>
      <c r="E1229" s="86">
        <v>1378</v>
      </c>
      <c r="F1229" t="s">
        <v>759</v>
      </c>
      <c r="G1229">
        <v>7939</v>
      </c>
      <c r="H1229" t="s">
        <v>1659</v>
      </c>
    </row>
    <row r="1230" spans="1:8" hidden="1">
      <c r="A1230" s="71">
        <v>44645</v>
      </c>
      <c r="B1230" t="s">
        <v>39</v>
      </c>
      <c r="C1230" t="s">
        <v>2593</v>
      </c>
      <c r="F1230" t="s">
        <v>759</v>
      </c>
      <c r="G1230">
        <v>7833</v>
      </c>
      <c r="H1230" t="s">
        <v>1390</v>
      </c>
    </row>
    <row r="1231" spans="1:8" hidden="1">
      <c r="A1231" s="71">
        <v>44646</v>
      </c>
      <c r="B1231" t="s">
        <v>39</v>
      </c>
      <c r="C1231" t="s">
        <v>2594</v>
      </c>
      <c r="F1231" t="s">
        <v>759</v>
      </c>
      <c r="G1231">
        <v>7834</v>
      </c>
      <c r="H1231" t="s">
        <v>1390</v>
      </c>
    </row>
    <row r="1232" spans="1:8" hidden="1">
      <c r="A1232" s="71">
        <v>44648</v>
      </c>
      <c r="B1232" t="s">
        <v>336</v>
      </c>
      <c r="C1232" t="s">
        <v>2595</v>
      </c>
      <c r="E1232" s="86">
        <v>8942</v>
      </c>
      <c r="F1232" t="s">
        <v>759</v>
      </c>
      <c r="G1232">
        <v>7963</v>
      </c>
      <c r="H1232" t="s">
        <v>1286</v>
      </c>
    </row>
    <row r="1233" spans="1:8" hidden="1">
      <c r="A1233" s="71">
        <v>44648</v>
      </c>
      <c r="B1233" t="s">
        <v>336</v>
      </c>
      <c r="C1233" t="s">
        <v>2596</v>
      </c>
      <c r="E1233" s="86">
        <v>8942</v>
      </c>
      <c r="F1233" t="s">
        <v>759</v>
      </c>
      <c r="G1233">
        <v>7941</v>
      </c>
      <c r="H1233" t="s">
        <v>1659</v>
      </c>
    </row>
    <row r="1234" spans="1:8" hidden="1">
      <c r="A1234" s="71">
        <v>44648</v>
      </c>
      <c r="B1234" t="s">
        <v>159</v>
      </c>
      <c r="C1234" t="s">
        <v>2597</v>
      </c>
      <c r="E1234" s="86">
        <v>8544</v>
      </c>
      <c r="F1234" t="s">
        <v>759</v>
      </c>
      <c r="G1234">
        <v>7942</v>
      </c>
      <c r="H1234" t="s">
        <v>1659</v>
      </c>
    </row>
    <row r="1235" spans="1:8" hidden="1">
      <c r="A1235" s="71">
        <v>44648</v>
      </c>
      <c r="B1235" t="s">
        <v>48</v>
      </c>
      <c r="C1235" t="s">
        <v>2598</v>
      </c>
      <c r="F1235" t="s">
        <v>759</v>
      </c>
      <c r="G1235">
        <v>3039</v>
      </c>
      <c r="H1235" t="s">
        <v>1246</v>
      </c>
    </row>
    <row r="1236" spans="1:8" hidden="1">
      <c r="A1236" s="71">
        <v>44649</v>
      </c>
      <c r="B1236" t="s">
        <v>159</v>
      </c>
      <c r="C1236" t="s">
        <v>2599</v>
      </c>
      <c r="E1236" s="86">
        <v>8546</v>
      </c>
      <c r="F1236" t="s">
        <v>759</v>
      </c>
      <c r="G1236">
        <v>7943</v>
      </c>
      <c r="H1236" t="s">
        <v>1659</v>
      </c>
    </row>
    <row r="1237" spans="1:8" hidden="1">
      <c r="A1237" s="71">
        <v>44651</v>
      </c>
      <c r="B1237" t="s">
        <v>1660</v>
      </c>
      <c r="C1237" t="s">
        <v>2600</v>
      </c>
      <c r="F1237" t="s">
        <v>759</v>
      </c>
      <c r="G1237">
        <v>7947</v>
      </c>
      <c r="H1237" t="s">
        <v>1659</v>
      </c>
    </row>
    <row r="1238" spans="1:8" hidden="1">
      <c r="A1238" s="71">
        <v>44652</v>
      </c>
      <c r="B1238" t="s">
        <v>42</v>
      </c>
      <c r="C1238" t="s">
        <v>2601</v>
      </c>
      <c r="E1238" s="86">
        <v>90959</v>
      </c>
      <c r="F1238" t="s">
        <v>759</v>
      </c>
      <c r="G1238">
        <v>7981</v>
      </c>
      <c r="H1238" t="s">
        <v>1286</v>
      </c>
    </row>
    <row r="1239" spans="1:8" hidden="1">
      <c r="A1239" s="71">
        <v>44652</v>
      </c>
      <c r="B1239" t="s">
        <v>330</v>
      </c>
      <c r="C1239" t="s">
        <v>2602</v>
      </c>
      <c r="E1239" s="86">
        <v>5941</v>
      </c>
      <c r="F1239" t="s">
        <v>759</v>
      </c>
      <c r="G1239">
        <v>7948</v>
      </c>
      <c r="H1239" t="s">
        <v>1659</v>
      </c>
    </row>
    <row r="1240" spans="1:8" hidden="1">
      <c r="A1240" s="71">
        <v>44655</v>
      </c>
      <c r="B1240" t="s">
        <v>389</v>
      </c>
      <c r="C1240" t="s">
        <v>2603</v>
      </c>
      <c r="E1240" s="86">
        <v>4320</v>
      </c>
      <c r="F1240" t="s">
        <v>759</v>
      </c>
      <c r="G1240">
        <v>7837</v>
      </c>
      <c r="H1240" t="s">
        <v>1390</v>
      </c>
    </row>
    <row r="1241" spans="1:8" hidden="1">
      <c r="A1241" s="71">
        <v>44656</v>
      </c>
      <c r="B1241" t="s">
        <v>388</v>
      </c>
      <c r="C1241" t="s">
        <v>2604</v>
      </c>
      <c r="E1241" s="86">
        <v>10315</v>
      </c>
      <c r="F1241" t="s">
        <v>759</v>
      </c>
      <c r="G1241">
        <v>8152</v>
      </c>
      <c r="H1241" t="s">
        <v>1659</v>
      </c>
    </row>
    <row r="1242" spans="1:8" hidden="1">
      <c r="A1242" s="71">
        <v>44656</v>
      </c>
      <c r="B1242" t="s">
        <v>391</v>
      </c>
      <c r="C1242" t="s">
        <v>2605</v>
      </c>
      <c r="E1242" s="86">
        <v>5852</v>
      </c>
      <c r="F1242" t="s">
        <v>759</v>
      </c>
      <c r="G1242">
        <v>8151</v>
      </c>
      <c r="H1242" t="s">
        <v>1659</v>
      </c>
    </row>
    <row r="1243" spans="1:8" hidden="1">
      <c r="A1243" s="71">
        <v>44656</v>
      </c>
      <c r="B1243" t="s">
        <v>330</v>
      </c>
      <c r="C1243" t="s">
        <v>2606</v>
      </c>
      <c r="E1243" s="86">
        <v>5951</v>
      </c>
      <c r="F1243" t="s">
        <v>759</v>
      </c>
      <c r="G1243">
        <v>7987</v>
      </c>
      <c r="H1243" t="s">
        <v>1286</v>
      </c>
    </row>
    <row r="1244" spans="1:8" hidden="1">
      <c r="A1244" s="71">
        <v>44656</v>
      </c>
      <c r="B1244" t="s">
        <v>351</v>
      </c>
      <c r="C1244" t="s">
        <v>2607</v>
      </c>
      <c r="E1244" s="86">
        <v>5917</v>
      </c>
      <c r="F1244" t="s">
        <v>759</v>
      </c>
      <c r="G1244">
        <v>7839</v>
      </c>
      <c r="H1244" t="s">
        <v>1390</v>
      </c>
    </row>
    <row r="1245" spans="1:8" hidden="1">
      <c r="A1245" s="71">
        <v>44656</v>
      </c>
      <c r="B1245" t="s">
        <v>163</v>
      </c>
      <c r="C1245" t="s">
        <v>2608</v>
      </c>
      <c r="F1245" t="s">
        <v>759</v>
      </c>
      <c r="G1245">
        <v>7838</v>
      </c>
      <c r="H1245" t="s">
        <v>1390</v>
      </c>
    </row>
    <row r="1246" spans="1:8" hidden="1">
      <c r="A1246" s="71">
        <v>44657</v>
      </c>
      <c r="B1246" t="s">
        <v>691</v>
      </c>
      <c r="C1246" t="s">
        <v>2609</v>
      </c>
      <c r="F1246" t="s">
        <v>759</v>
      </c>
      <c r="G1246">
        <v>8552</v>
      </c>
      <c r="H1246" t="s">
        <v>1286</v>
      </c>
    </row>
    <row r="1247" spans="1:8" hidden="1">
      <c r="A1247" s="71">
        <v>44657</v>
      </c>
      <c r="B1247" t="s">
        <v>346</v>
      </c>
      <c r="C1247" t="s">
        <v>2610</v>
      </c>
      <c r="E1247" s="86">
        <v>7295</v>
      </c>
      <c r="F1247" t="s">
        <v>759</v>
      </c>
      <c r="G1247">
        <v>8153</v>
      </c>
      <c r="H1247" t="s">
        <v>1659</v>
      </c>
    </row>
    <row r="1248" spans="1:8" hidden="1">
      <c r="A1248" s="71">
        <v>44657</v>
      </c>
      <c r="B1248" t="s">
        <v>691</v>
      </c>
      <c r="C1248" t="s">
        <v>2611</v>
      </c>
      <c r="E1248" s="86">
        <v>4318</v>
      </c>
      <c r="F1248" t="s">
        <v>759</v>
      </c>
      <c r="G1248">
        <v>7991</v>
      </c>
      <c r="H1248" t="s">
        <v>1286</v>
      </c>
    </row>
    <row r="1249" spans="1:8" hidden="1">
      <c r="A1249" s="71">
        <v>44657</v>
      </c>
      <c r="B1249" t="s">
        <v>163</v>
      </c>
      <c r="C1249" t="s">
        <v>2612</v>
      </c>
      <c r="F1249" t="s">
        <v>759</v>
      </c>
      <c r="G1249">
        <v>7840</v>
      </c>
      <c r="H1249" t="s">
        <v>1390</v>
      </c>
    </row>
    <row r="1250" spans="1:8" hidden="1">
      <c r="A1250" s="71">
        <v>44658</v>
      </c>
      <c r="B1250" t="s">
        <v>230</v>
      </c>
      <c r="C1250" t="s">
        <v>2613</v>
      </c>
      <c r="E1250" s="86">
        <v>8461</v>
      </c>
      <c r="F1250" t="s">
        <v>759</v>
      </c>
      <c r="G1250">
        <v>8155</v>
      </c>
      <c r="H1250" t="s">
        <v>1659</v>
      </c>
    </row>
    <row r="1251" spans="1:8" hidden="1">
      <c r="A1251" s="71">
        <v>44661</v>
      </c>
      <c r="B1251" t="s">
        <v>160</v>
      </c>
      <c r="C1251" t="s">
        <v>2614</v>
      </c>
      <c r="E1251" s="86">
        <v>8307</v>
      </c>
      <c r="F1251" t="s">
        <v>759</v>
      </c>
      <c r="G1251">
        <v>8307</v>
      </c>
      <c r="H1251" t="s">
        <v>1390</v>
      </c>
    </row>
    <row r="1252" spans="1:8" hidden="1">
      <c r="A1252" s="71">
        <v>44661</v>
      </c>
      <c r="B1252" t="s">
        <v>185</v>
      </c>
      <c r="C1252" t="s">
        <v>2615</v>
      </c>
      <c r="F1252" t="s">
        <v>759</v>
      </c>
      <c r="G1252">
        <v>7842</v>
      </c>
      <c r="H1252" t="s">
        <v>1390</v>
      </c>
    </row>
    <row r="1253" spans="1:8" hidden="1">
      <c r="A1253" s="71">
        <v>44662</v>
      </c>
      <c r="B1253" t="s">
        <v>688</v>
      </c>
      <c r="C1253" t="s">
        <v>2616</v>
      </c>
      <c r="E1253" s="86">
        <v>8606</v>
      </c>
      <c r="F1253" t="s">
        <v>759</v>
      </c>
      <c r="G1253">
        <v>8156</v>
      </c>
      <c r="H1253" t="s">
        <v>1659</v>
      </c>
    </row>
    <row r="1254" spans="1:8" hidden="1">
      <c r="A1254" s="71">
        <v>44662</v>
      </c>
      <c r="B1254" t="s">
        <v>690</v>
      </c>
      <c r="C1254" t="s">
        <v>2617</v>
      </c>
      <c r="F1254" t="s">
        <v>759</v>
      </c>
      <c r="G1254">
        <v>7843</v>
      </c>
      <c r="H1254" t="s">
        <v>1390</v>
      </c>
    </row>
    <row r="1255" spans="1:8" hidden="1">
      <c r="A1255" s="71">
        <v>44663</v>
      </c>
      <c r="B1255" t="s">
        <v>32</v>
      </c>
      <c r="C1255" t="s">
        <v>2618</v>
      </c>
      <c r="E1255" s="86">
        <v>5140</v>
      </c>
      <c r="F1255" t="s">
        <v>759</v>
      </c>
      <c r="G1255">
        <v>8157</v>
      </c>
      <c r="H1255" t="s">
        <v>1659</v>
      </c>
    </row>
    <row r="1256" spans="1:8" hidden="1">
      <c r="A1256" s="71">
        <v>44663</v>
      </c>
      <c r="B1256" t="s">
        <v>150</v>
      </c>
      <c r="C1256" t="s">
        <v>2619</v>
      </c>
      <c r="F1256" t="s">
        <v>759</v>
      </c>
      <c r="H1256" t="s">
        <v>1286</v>
      </c>
    </row>
    <row r="1257" spans="1:8" hidden="1">
      <c r="A1257" s="71">
        <v>44663</v>
      </c>
      <c r="B1257" t="s">
        <v>163</v>
      </c>
      <c r="C1257" t="s">
        <v>2620</v>
      </c>
      <c r="F1257" t="s">
        <v>759</v>
      </c>
      <c r="G1257">
        <v>7844</v>
      </c>
      <c r="H1257" t="s">
        <v>1390</v>
      </c>
    </row>
    <row r="1258" spans="1:8" hidden="1">
      <c r="A1258" s="71">
        <v>44664</v>
      </c>
      <c r="B1258" t="s">
        <v>385</v>
      </c>
      <c r="C1258" t="s">
        <v>2621</v>
      </c>
      <c r="E1258" s="86">
        <v>1485</v>
      </c>
      <c r="F1258" t="s">
        <v>759</v>
      </c>
      <c r="G1258">
        <v>8010</v>
      </c>
      <c r="H1258" t="s">
        <v>1286</v>
      </c>
    </row>
    <row r="1259" spans="1:8" hidden="1">
      <c r="A1259" s="71">
        <v>44664</v>
      </c>
      <c r="B1259" t="s">
        <v>391</v>
      </c>
      <c r="C1259" t="s">
        <v>2622</v>
      </c>
      <c r="E1259" s="86">
        <v>5890</v>
      </c>
      <c r="F1259" t="s">
        <v>759</v>
      </c>
      <c r="G1259">
        <v>8009</v>
      </c>
      <c r="H1259" t="s">
        <v>1286</v>
      </c>
    </row>
    <row r="1260" spans="1:8" hidden="1">
      <c r="A1260" s="71">
        <v>44664</v>
      </c>
      <c r="B1260" t="s">
        <v>19</v>
      </c>
      <c r="C1260" t="s">
        <v>2623</v>
      </c>
      <c r="E1260" s="86">
        <v>5358</v>
      </c>
      <c r="F1260" t="s">
        <v>759</v>
      </c>
      <c r="G1260">
        <v>8008</v>
      </c>
      <c r="H1260" t="s">
        <v>1286</v>
      </c>
    </row>
    <row r="1261" spans="1:8" hidden="1">
      <c r="A1261" s="71">
        <v>44664</v>
      </c>
      <c r="B1261" t="s">
        <v>318</v>
      </c>
      <c r="C1261" t="s">
        <v>2624</v>
      </c>
      <c r="F1261" t="s">
        <v>759</v>
      </c>
      <c r="G1261">
        <v>7845</v>
      </c>
      <c r="H1261" t="s">
        <v>1390</v>
      </c>
    </row>
    <row r="1262" spans="1:8" hidden="1">
      <c r="A1262" s="71">
        <v>44669</v>
      </c>
      <c r="B1262" t="s">
        <v>2560</v>
      </c>
      <c r="C1262" t="s">
        <v>2625</v>
      </c>
      <c r="F1262" t="s">
        <v>759</v>
      </c>
      <c r="G1262">
        <v>8159</v>
      </c>
      <c r="H1262" t="s">
        <v>1659</v>
      </c>
    </row>
    <row r="1263" spans="1:8" hidden="1">
      <c r="A1263" s="71">
        <v>44669</v>
      </c>
      <c r="B1263" t="s">
        <v>185</v>
      </c>
      <c r="C1263" t="s">
        <v>2626</v>
      </c>
      <c r="F1263" t="s">
        <v>759</v>
      </c>
      <c r="G1263">
        <v>7846</v>
      </c>
      <c r="H1263" t="s">
        <v>1390</v>
      </c>
    </row>
    <row r="1264" spans="1:8" hidden="1">
      <c r="A1264" s="71">
        <v>44670</v>
      </c>
      <c r="B1264" t="s">
        <v>342</v>
      </c>
      <c r="C1264" t="s">
        <v>2627</v>
      </c>
      <c r="F1264" t="s">
        <v>759</v>
      </c>
      <c r="G1264">
        <v>8202</v>
      </c>
      <c r="H1264" t="s">
        <v>1244</v>
      </c>
    </row>
    <row r="1265" spans="1:8" hidden="1">
      <c r="A1265" s="71">
        <v>44670</v>
      </c>
      <c r="B1265" t="s">
        <v>369</v>
      </c>
      <c r="C1265" t="s">
        <v>2628</v>
      </c>
      <c r="E1265" s="86">
        <v>9935</v>
      </c>
      <c r="F1265" t="s">
        <v>759</v>
      </c>
      <c r="G1265">
        <v>8316</v>
      </c>
      <c r="H1265" t="s">
        <v>1501</v>
      </c>
    </row>
    <row r="1266" spans="1:8" hidden="1">
      <c r="A1266" s="71">
        <v>44670</v>
      </c>
      <c r="B1266" t="s">
        <v>346</v>
      </c>
      <c r="C1266" t="s">
        <v>2629</v>
      </c>
      <c r="F1266" t="s">
        <v>759</v>
      </c>
      <c r="G1266">
        <v>8160</v>
      </c>
      <c r="H1266" t="s">
        <v>1659</v>
      </c>
    </row>
    <row r="1267" spans="1:8" hidden="1">
      <c r="A1267" s="71">
        <v>44670</v>
      </c>
      <c r="B1267" t="s">
        <v>2470</v>
      </c>
      <c r="C1267" t="s">
        <v>2630</v>
      </c>
      <c r="F1267" t="s">
        <v>759</v>
      </c>
      <c r="G1267">
        <v>7847</v>
      </c>
      <c r="H1267" t="s">
        <v>1390</v>
      </c>
    </row>
    <row r="1268" spans="1:8" hidden="1">
      <c r="A1268" s="71">
        <v>44671</v>
      </c>
      <c r="B1268" t="s">
        <v>711</v>
      </c>
      <c r="C1268" t="s">
        <v>2631</v>
      </c>
      <c r="E1268" s="86">
        <v>17070</v>
      </c>
      <c r="F1268" t="s">
        <v>759</v>
      </c>
      <c r="G1268">
        <v>8203</v>
      </c>
      <c r="H1268" t="s">
        <v>1244</v>
      </c>
    </row>
    <row r="1269" spans="1:8" hidden="1">
      <c r="A1269" s="71">
        <v>44671</v>
      </c>
      <c r="B1269" t="s">
        <v>359</v>
      </c>
      <c r="C1269" t="s">
        <v>2632</v>
      </c>
      <c r="F1269" t="s">
        <v>759</v>
      </c>
      <c r="G1269">
        <v>7848</v>
      </c>
      <c r="H1269" t="s">
        <v>1390</v>
      </c>
    </row>
    <row r="1270" spans="1:8" hidden="1">
      <c r="A1270" s="71">
        <v>44672</v>
      </c>
      <c r="B1270" t="s">
        <v>157</v>
      </c>
      <c r="C1270" t="s">
        <v>2633</v>
      </c>
      <c r="E1270" s="86">
        <v>12378</v>
      </c>
      <c r="F1270" t="s">
        <v>759</v>
      </c>
      <c r="G1270">
        <v>8260</v>
      </c>
      <c r="H1270" t="s">
        <v>1286</v>
      </c>
    </row>
    <row r="1271" spans="1:8" hidden="1">
      <c r="A1271" s="71">
        <v>44672</v>
      </c>
      <c r="B1271" t="s">
        <v>346</v>
      </c>
      <c r="C1271" t="s">
        <v>2634</v>
      </c>
      <c r="E1271" s="86">
        <v>7302</v>
      </c>
      <c r="F1271" t="s">
        <v>759</v>
      </c>
      <c r="G1271">
        <v>8102</v>
      </c>
      <c r="H1271" t="s">
        <v>1659</v>
      </c>
    </row>
    <row r="1272" spans="1:8" hidden="1">
      <c r="A1272" s="71">
        <v>44672</v>
      </c>
      <c r="B1272" t="s">
        <v>2635</v>
      </c>
      <c r="C1272" t="s">
        <v>2636</v>
      </c>
      <c r="E1272" s="86">
        <v>333556</v>
      </c>
      <c r="F1272" t="s">
        <v>759</v>
      </c>
      <c r="G1272">
        <v>7849</v>
      </c>
      <c r="H1272" t="s">
        <v>1244</v>
      </c>
    </row>
    <row r="1273" spans="1:8" hidden="1">
      <c r="A1273" s="71">
        <v>44673</v>
      </c>
      <c r="B1273" t="s">
        <v>180</v>
      </c>
      <c r="C1273" t="s">
        <v>2637</v>
      </c>
      <c r="E1273" s="86">
        <v>4604</v>
      </c>
      <c r="F1273" t="s">
        <v>759</v>
      </c>
      <c r="G1273">
        <v>8162</v>
      </c>
      <c r="H1273" t="s">
        <v>1659</v>
      </c>
    </row>
    <row r="1274" spans="1:8" hidden="1">
      <c r="A1274" s="71">
        <v>44675</v>
      </c>
      <c r="B1274" t="s">
        <v>365</v>
      </c>
      <c r="C1274" t="s">
        <v>2638</v>
      </c>
      <c r="F1274" t="s">
        <v>759</v>
      </c>
      <c r="G1274">
        <v>8214</v>
      </c>
      <c r="H1274" t="s">
        <v>1492</v>
      </c>
    </row>
    <row r="1275" spans="1:8" hidden="1">
      <c r="A1275" s="71">
        <v>44676</v>
      </c>
      <c r="B1275" t="s">
        <v>692</v>
      </c>
      <c r="C1275" t="s">
        <v>2639</v>
      </c>
      <c r="E1275" s="86">
        <v>4551</v>
      </c>
      <c r="F1275" t="s">
        <v>759</v>
      </c>
      <c r="G1275">
        <v>8264</v>
      </c>
      <c r="H1275" t="s">
        <v>1286</v>
      </c>
    </row>
    <row r="1276" spans="1:8" hidden="1">
      <c r="A1276" s="71">
        <v>44676</v>
      </c>
      <c r="B1276" t="s">
        <v>162</v>
      </c>
      <c r="C1276" t="s">
        <v>2640</v>
      </c>
      <c r="F1276" t="s">
        <v>759</v>
      </c>
      <c r="G1276">
        <v>8301</v>
      </c>
      <c r="H1276" t="s">
        <v>1390</v>
      </c>
    </row>
    <row r="1277" spans="1:8" hidden="1">
      <c r="A1277" s="71">
        <v>44676</v>
      </c>
      <c r="B1277" t="s">
        <v>2560</v>
      </c>
      <c r="C1277" t="s">
        <v>2641</v>
      </c>
      <c r="F1277" t="s">
        <v>759</v>
      </c>
      <c r="G1277">
        <v>8164</v>
      </c>
      <c r="H1277" t="s">
        <v>1659</v>
      </c>
    </row>
    <row r="1278" spans="1:8" hidden="1">
      <c r="A1278" s="71">
        <v>44676</v>
      </c>
      <c r="B1278" t="s">
        <v>688</v>
      </c>
      <c r="C1278" t="s">
        <v>2642</v>
      </c>
      <c r="E1278" s="86">
        <v>8656</v>
      </c>
      <c r="F1278" t="s">
        <v>759</v>
      </c>
      <c r="G1278">
        <v>8163</v>
      </c>
      <c r="H1278" t="s">
        <v>1659</v>
      </c>
    </row>
    <row r="1279" spans="1:8" hidden="1">
      <c r="A1279" s="71">
        <v>44677</v>
      </c>
      <c r="B1279" t="s">
        <v>385</v>
      </c>
      <c r="E1279" s="86">
        <v>1491</v>
      </c>
      <c r="F1279" t="s">
        <v>759</v>
      </c>
      <c r="G1279">
        <v>8166.1</v>
      </c>
      <c r="H1279" t="s">
        <v>1659</v>
      </c>
    </row>
    <row r="1280" spans="1:8" hidden="1">
      <c r="A1280" s="71">
        <v>44677</v>
      </c>
      <c r="B1280" t="s">
        <v>385</v>
      </c>
      <c r="C1280" t="s">
        <v>2643</v>
      </c>
      <c r="E1280" s="86">
        <v>1491</v>
      </c>
      <c r="F1280" t="s">
        <v>759</v>
      </c>
      <c r="G1280">
        <v>8166</v>
      </c>
      <c r="H1280" t="s">
        <v>1659</v>
      </c>
    </row>
    <row r="1281" spans="1:8" hidden="1">
      <c r="A1281" s="71">
        <v>44677</v>
      </c>
      <c r="B1281" t="s">
        <v>180</v>
      </c>
      <c r="C1281" t="s">
        <v>2644</v>
      </c>
      <c r="E1281" s="86">
        <v>4604</v>
      </c>
      <c r="F1281" t="s">
        <v>759</v>
      </c>
      <c r="G1281">
        <v>8165</v>
      </c>
      <c r="H1281" t="s">
        <v>1659</v>
      </c>
    </row>
    <row r="1282" spans="1:8" hidden="1">
      <c r="A1282" s="71">
        <v>44677</v>
      </c>
      <c r="B1282" t="s">
        <v>368</v>
      </c>
      <c r="C1282" t="s">
        <v>2645</v>
      </c>
      <c r="E1282" s="86">
        <v>2062</v>
      </c>
      <c r="F1282" t="s">
        <v>759</v>
      </c>
      <c r="G1282">
        <v>8302</v>
      </c>
      <c r="H1282" t="s">
        <v>1390</v>
      </c>
    </row>
    <row r="1283" spans="1:8" hidden="1">
      <c r="A1283" s="71">
        <v>44678</v>
      </c>
      <c r="B1283" t="s">
        <v>698</v>
      </c>
      <c r="C1283" t="s">
        <v>2646</v>
      </c>
      <c r="F1283" t="s">
        <v>759</v>
      </c>
      <c r="G1283">
        <v>8303</v>
      </c>
      <c r="H1283" t="s">
        <v>1390</v>
      </c>
    </row>
    <row r="1284" spans="1:8" hidden="1">
      <c r="A1284" s="71">
        <v>44678</v>
      </c>
      <c r="B1284" t="s">
        <v>388</v>
      </c>
      <c r="C1284" t="s">
        <v>2647</v>
      </c>
      <c r="E1284" s="86">
        <v>10407</v>
      </c>
      <c r="F1284" t="s">
        <v>759</v>
      </c>
      <c r="G1284">
        <v>8167</v>
      </c>
      <c r="H1284" t="s">
        <v>1659</v>
      </c>
    </row>
    <row r="1285" spans="1:8" hidden="1">
      <c r="A1285" s="71">
        <v>44679</v>
      </c>
      <c r="B1285" t="s">
        <v>698</v>
      </c>
      <c r="C1285" t="s">
        <v>2648</v>
      </c>
      <c r="F1285" t="s">
        <v>759</v>
      </c>
      <c r="G1285">
        <v>8304</v>
      </c>
      <c r="H1285" t="s">
        <v>1390</v>
      </c>
    </row>
    <row r="1286" spans="1:8" hidden="1">
      <c r="A1286" s="71">
        <v>44679</v>
      </c>
      <c r="B1286" t="s">
        <v>2399</v>
      </c>
      <c r="C1286" t="s">
        <v>2649</v>
      </c>
      <c r="F1286" t="s">
        <v>759</v>
      </c>
      <c r="G1286">
        <v>8170</v>
      </c>
      <c r="H1286" t="s">
        <v>1659</v>
      </c>
    </row>
    <row r="1287" spans="1:8" hidden="1">
      <c r="A1287" s="71">
        <v>44679</v>
      </c>
      <c r="B1287" t="s">
        <v>180</v>
      </c>
      <c r="C1287" t="s">
        <v>2650</v>
      </c>
      <c r="E1287" s="86">
        <v>4604</v>
      </c>
      <c r="F1287" t="s">
        <v>759</v>
      </c>
      <c r="G1287">
        <v>8169</v>
      </c>
      <c r="H1287" t="s">
        <v>1659</v>
      </c>
    </row>
    <row r="1288" spans="1:8" hidden="1">
      <c r="A1288" s="71">
        <v>44680</v>
      </c>
      <c r="B1288" t="s">
        <v>19</v>
      </c>
      <c r="C1288" t="s">
        <v>2651</v>
      </c>
      <c r="F1288" t="s">
        <v>759</v>
      </c>
      <c r="G1288">
        <v>8306</v>
      </c>
      <c r="H1288" t="s">
        <v>1390</v>
      </c>
    </row>
    <row r="1289" spans="1:8" hidden="1">
      <c r="A1289" s="71">
        <v>44680</v>
      </c>
      <c r="B1289" t="s">
        <v>698</v>
      </c>
      <c r="C1289" t="s">
        <v>2652</v>
      </c>
      <c r="F1289" t="s">
        <v>759</v>
      </c>
      <c r="G1289">
        <v>8305</v>
      </c>
      <c r="H1289" t="s">
        <v>1390</v>
      </c>
    </row>
    <row r="1290" spans="1:8" hidden="1">
      <c r="A1290" s="71">
        <v>44680</v>
      </c>
      <c r="B1290" t="s">
        <v>383</v>
      </c>
      <c r="C1290" t="s">
        <v>2653</v>
      </c>
      <c r="E1290" s="86">
        <v>1423</v>
      </c>
      <c r="F1290" t="s">
        <v>759</v>
      </c>
      <c r="G1290">
        <v>8281</v>
      </c>
      <c r="H1290" t="s">
        <v>1286</v>
      </c>
    </row>
    <row r="1291" spans="1:8" hidden="1">
      <c r="A1291" s="71">
        <v>44683</v>
      </c>
      <c r="B1291" t="s">
        <v>159</v>
      </c>
      <c r="C1291" t="s">
        <v>2654</v>
      </c>
      <c r="E1291" s="86">
        <v>8633</v>
      </c>
      <c r="F1291" t="s">
        <v>759</v>
      </c>
      <c r="G1291">
        <v>8171</v>
      </c>
      <c r="H1291" t="s">
        <v>1659</v>
      </c>
    </row>
    <row r="1292" spans="1:8" hidden="1">
      <c r="A1292" s="71">
        <v>44683</v>
      </c>
      <c r="B1292" t="s">
        <v>188</v>
      </c>
      <c r="C1292" t="s">
        <v>2655</v>
      </c>
      <c r="E1292" s="86">
        <v>8328</v>
      </c>
      <c r="F1292" t="s">
        <v>759</v>
      </c>
      <c r="G1292">
        <v>8016</v>
      </c>
      <c r="H1292" t="s">
        <v>1286</v>
      </c>
    </row>
    <row r="1293" spans="1:8" hidden="1">
      <c r="A1293" s="71">
        <v>44684</v>
      </c>
      <c r="B1293" t="s">
        <v>360</v>
      </c>
      <c r="C1293" t="s">
        <v>2656</v>
      </c>
      <c r="E1293" s="86">
        <v>4439</v>
      </c>
      <c r="F1293" t="s">
        <v>759</v>
      </c>
      <c r="G1293">
        <v>8173</v>
      </c>
      <c r="H1293" t="s">
        <v>1659</v>
      </c>
    </row>
    <row r="1294" spans="1:8" hidden="1">
      <c r="A1294" s="71">
        <v>44684</v>
      </c>
      <c r="B1294" t="s">
        <v>159</v>
      </c>
      <c r="C1294" t="s">
        <v>2657</v>
      </c>
      <c r="E1294" s="86">
        <v>8633</v>
      </c>
      <c r="F1294" t="s">
        <v>759</v>
      </c>
      <c r="G1294">
        <v>8172</v>
      </c>
      <c r="H1294" t="s">
        <v>1659</v>
      </c>
    </row>
    <row r="1295" spans="1:8" hidden="1">
      <c r="A1295" s="71">
        <v>44684</v>
      </c>
      <c r="B1295" t="s">
        <v>713</v>
      </c>
      <c r="C1295" t="s">
        <v>2658</v>
      </c>
      <c r="E1295" s="86">
        <v>9086</v>
      </c>
      <c r="F1295" t="s">
        <v>759</v>
      </c>
      <c r="G1295">
        <v>8018</v>
      </c>
      <c r="H1295" t="s">
        <v>1286</v>
      </c>
    </row>
    <row r="1296" spans="1:8" hidden="1">
      <c r="A1296" s="71">
        <v>44685</v>
      </c>
      <c r="B1296" t="s">
        <v>691</v>
      </c>
      <c r="C1296" t="s">
        <v>2659</v>
      </c>
      <c r="F1296" t="s">
        <v>759</v>
      </c>
      <c r="G1296">
        <v>8175</v>
      </c>
      <c r="H1296" t="s">
        <v>1659</v>
      </c>
    </row>
    <row r="1297" spans="1:8" hidden="1">
      <c r="A1297" s="71">
        <v>44686</v>
      </c>
      <c r="B1297" t="s">
        <v>2560</v>
      </c>
      <c r="C1297" t="s">
        <v>2660</v>
      </c>
      <c r="F1297" t="s">
        <v>759</v>
      </c>
      <c r="G1297">
        <v>8179</v>
      </c>
      <c r="H1297" t="s">
        <v>1659</v>
      </c>
    </row>
    <row r="1298" spans="1:8" hidden="1">
      <c r="A1298" s="71">
        <v>44686</v>
      </c>
      <c r="B1298" t="s">
        <v>2399</v>
      </c>
      <c r="C1298" t="s">
        <v>2661</v>
      </c>
      <c r="F1298" t="s">
        <v>759</v>
      </c>
      <c r="G1298">
        <v>8177</v>
      </c>
      <c r="H1298" t="s">
        <v>1659</v>
      </c>
    </row>
    <row r="1299" spans="1:8" hidden="1">
      <c r="A1299" s="71">
        <v>44686</v>
      </c>
      <c r="B1299" t="s">
        <v>180</v>
      </c>
      <c r="C1299" t="s">
        <v>2662</v>
      </c>
      <c r="E1299" s="86">
        <v>4604</v>
      </c>
      <c r="F1299" t="s">
        <v>759</v>
      </c>
      <c r="G1299">
        <v>8176</v>
      </c>
      <c r="H1299" t="s">
        <v>1659</v>
      </c>
    </row>
    <row r="1300" spans="1:8" hidden="1">
      <c r="A1300" s="71">
        <v>44690</v>
      </c>
      <c r="B1300" t="s">
        <v>42</v>
      </c>
      <c r="C1300" t="s">
        <v>2663</v>
      </c>
      <c r="E1300" s="86">
        <v>95065</v>
      </c>
      <c r="F1300" t="s">
        <v>759</v>
      </c>
      <c r="G1300">
        <v>8284</v>
      </c>
      <c r="H1300" t="s">
        <v>1286</v>
      </c>
    </row>
    <row r="1301" spans="1:8" hidden="1">
      <c r="A1301" s="71">
        <v>44690</v>
      </c>
      <c r="B1301" t="s">
        <v>259</v>
      </c>
      <c r="C1301" t="s">
        <v>2664</v>
      </c>
      <c r="E1301" s="86" t="s">
        <v>1427</v>
      </c>
      <c r="F1301" t="s">
        <v>759</v>
      </c>
      <c r="G1301">
        <v>2073.1</v>
      </c>
      <c r="H1301" t="s">
        <v>1286</v>
      </c>
    </row>
    <row r="1302" spans="1:8" hidden="1">
      <c r="A1302" s="71">
        <v>44690</v>
      </c>
      <c r="B1302" t="s">
        <v>259</v>
      </c>
      <c r="C1302" t="s">
        <v>2665</v>
      </c>
      <c r="E1302" s="86">
        <v>18353</v>
      </c>
      <c r="F1302" t="s">
        <v>759</v>
      </c>
      <c r="G1302">
        <v>2073</v>
      </c>
      <c r="H1302" t="s">
        <v>1235</v>
      </c>
    </row>
    <row r="1303" spans="1:8" hidden="1">
      <c r="A1303" s="71">
        <v>44691</v>
      </c>
      <c r="B1303" t="s">
        <v>42</v>
      </c>
      <c r="C1303" t="s">
        <v>2666</v>
      </c>
      <c r="E1303" s="86">
        <v>95165</v>
      </c>
      <c r="F1303" t="s">
        <v>759</v>
      </c>
      <c r="G1303">
        <v>8285</v>
      </c>
      <c r="H1303" t="s">
        <v>1286</v>
      </c>
    </row>
    <row r="1304" spans="1:8" hidden="1">
      <c r="A1304" s="71">
        <v>44691</v>
      </c>
      <c r="B1304" t="s">
        <v>42</v>
      </c>
      <c r="C1304" t="s">
        <v>2667</v>
      </c>
      <c r="F1304" t="s">
        <v>759</v>
      </c>
      <c r="G1304">
        <v>8181</v>
      </c>
      <c r="H1304" t="s">
        <v>1659</v>
      </c>
    </row>
    <row r="1305" spans="1:8" hidden="1">
      <c r="A1305" s="71">
        <v>44692</v>
      </c>
      <c r="B1305" t="s">
        <v>713</v>
      </c>
      <c r="C1305" t="s">
        <v>2668</v>
      </c>
      <c r="E1305" s="86">
        <v>13227</v>
      </c>
      <c r="F1305" t="s">
        <v>759</v>
      </c>
      <c r="G1305">
        <v>8183</v>
      </c>
      <c r="H1305" t="s">
        <v>1659</v>
      </c>
    </row>
    <row r="1306" spans="1:8" hidden="1">
      <c r="A1306" s="71">
        <v>44693</v>
      </c>
      <c r="B1306" t="s">
        <v>690</v>
      </c>
      <c r="C1306" t="s">
        <v>2669</v>
      </c>
      <c r="E1306" s="86">
        <v>4421</v>
      </c>
      <c r="F1306" t="s">
        <v>759</v>
      </c>
      <c r="G1306">
        <v>8185</v>
      </c>
      <c r="H1306" t="s">
        <v>1659</v>
      </c>
    </row>
    <row r="1307" spans="1:8" hidden="1">
      <c r="A1307" s="71">
        <v>44693</v>
      </c>
      <c r="B1307" t="s">
        <v>573</v>
      </c>
      <c r="C1307" t="s">
        <v>2670</v>
      </c>
      <c r="E1307" s="86">
        <v>397853</v>
      </c>
      <c r="F1307" t="s">
        <v>759</v>
      </c>
      <c r="G1307">
        <v>8184</v>
      </c>
      <c r="H1307" t="s">
        <v>1659</v>
      </c>
    </row>
    <row r="1308" spans="1:8" hidden="1">
      <c r="A1308" s="71">
        <v>44694</v>
      </c>
      <c r="B1308" t="s">
        <v>167</v>
      </c>
      <c r="C1308" t="s">
        <v>2671</v>
      </c>
      <c r="E1308" s="86">
        <v>84573</v>
      </c>
      <c r="F1308" t="s">
        <v>759</v>
      </c>
      <c r="G1308">
        <v>8310</v>
      </c>
      <c r="H1308" t="s">
        <v>1390</v>
      </c>
    </row>
    <row r="1309" spans="1:8" hidden="1">
      <c r="A1309" s="71">
        <v>44697</v>
      </c>
      <c r="B1309" t="s">
        <v>334</v>
      </c>
      <c r="C1309" t="s">
        <v>2672</v>
      </c>
      <c r="E1309" s="86">
        <v>18781</v>
      </c>
      <c r="F1309" t="s">
        <v>759</v>
      </c>
      <c r="G1309">
        <v>8293</v>
      </c>
      <c r="H1309" t="s">
        <v>1286</v>
      </c>
    </row>
    <row r="1310" spans="1:8" hidden="1">
      <c r="A1310" s="71">
        <v>44697</v>
      </c>
      <c r="B1310" t="s">
        <v>2673</v>
      </c>
      <c r="C1310" t="s">
        <v>2674</v>
      </c>
      <c r="E1310" s="86">
        <v>19643</v>
      </c>
      <c r="F1310" t="s">
        <v>759</v>
      </c>
      <c r="G1310">
        <v>8308</v>
      </c>
      <c r="H1310" t="s">
        <v>1390</v>
      </c>
    </row>
    <row r="1311" spans="1:8" hidden="1">
      <c r="A1311" s="71">
        <v>44698</v>
      </c>
      <c r="B1311" t="s">
        <v>385</v>
      </c>
      <c r="C1311" t="s">
        <v>2675</v>
      </c>
      <c r="E1311" s="86">
        <v>1511</v>
      </c>
      <c r="F1311" t="s">
        <v>759</v>
      </c>
      <c r="G1311">
        <v>8182</v>
      </c>
      <c r="H1311" t="s">
        <v>1659</v>
      </c>
    </row>
    <row r="1312" spans="1:8" hidden="1">
      <c r="A1312" s="71">
        <v>44699</v>
      </c>
      <c r="B1312" t="s">
        <v>359</v>
      </c>
      <c r="C1312" t="s">
        <v>2676</v>
      </c>
      <c r="F1312" t="s">
        <v>759</v>
      </c>
      <c r="G1312">
        <v>8309</v>
      </c>
      <c r="H1312" t="s">
        <v>1390</v>
      </c>
    </row>
    <row r="1313" spans="1:8" hidden="1">
      <c r="A1313" s="71">
        <v>44700</v>
      </c>
      <c r="B1313" t="s">
        <v>330</v>
      </c>
      <c r="C1313" t="s">
        <v>2677</v>
      </c>
      <c r="E1313" s="86">
        <v>6063</v>
      </c>
      <c r="F1313" t="s">
        <v>759</v>
      </c>
      <c r="G1313">
        <v>8594</v>
      </c>
      <c r="H1313" t="s">
        <v>1286</v>
      </c>
    </row>
    <row r="1314" spans="1:8" hidden="1">
      <c r="A1314" s="71">
        <v>44701</v>
      </c>
      <c r="B1314" t="s">
        <v>391</v>
      </c>
      <c r="C1314" t="s">
        <v>2678</v>
      </c>
      <c r="E1314" s="86">
        <v>6070</v>
      </c>
      <c r="F1314" t="s">
        <v>759</v>
      </c>
      <c r="G1314">
        <v>8599</v>
      </c>
      <c r="H1314" t="s">
        <v>1286</v>
      </c>
    </row>
    <row r="1315" spans="1:8" hidden="1">
      <c r="A1315" s="71">
        <v>44701</v>
      </c>
      <c r="B1315" t="s">
        <v>573</v>
      </c>
      <c r="F1315" t="s">
        <v>759</v>
      </c>
      <c r="G1315">
        <v>8184.1</v>
      </c>
      <c r="H1315" t="s">
        <v>1501</v>
      </c>
    </row>
    <row r="1316" spans="1:8" hidden="1">
      <c r="A1316" s="71">
        <v>44705</v>
      </c>
      <c r="B1316" t="s">
        <v>2560</v>
      </c>
      <c r="C1316" t="s">
        <v>2679</v>
      </c>
      <c r="F1316" t="s">
        <v>759</v>
      </c>
      <c r="G1316">
        <v>8180</v>
      </c>
      <c r="H1316" t="s">
        <v>1659</v>
      </c>
    </row>
    <row r="1317" spans="1:8" hidden="1">
      <c r="A1317" s="71">
        <v>44706</v>
      </c>
      <c r="B1317" t="s">
        <v>330</v>
      </c>
      <c r="C1317" t="s">
        <v>2680</v>
      </c>
      <c r="E1317" s="86">
        <v>6151</v>
      </c>
      <c r="F1317" t="s">
        <v>759</v>
      </c>
      <c r="G1317">
        <v>8614</v>
      </c>
      <c r="H1317" t="s">
        <v>1659</v>
      </c>
    </row>
    <row r="1318" spans="1:8" hidden="1">
      <c r="A1318" s="71">
        <v>44718</v>
      </c>
      <c r="B1318" t="s">
        <v>239</v>
      </c>
      <c r="C1318" t="s">
        <v>2681</v>
      </c>
      <c r="F1318" t="s">
        <v>759</v>
      </c>
      <c r="G1318">
        <v>8906</v>
      </c>
      <c r="H1318" t="s">
        <v>2682</v>
      </c>
    </row>
    <row r="1319" spans="1:8" hidden="1">
      <c r="A1319" s="71">
        <v>44718</v>
      </c>
      <c r="B1319" t="s">
        <v>152</v>
      </c>
      <c r="C1319" t="s">
        <v>2683</v>
      </c>
      <c r="E1319" s="86">
        <v>6100</v>
      </c>
      <c r="F1319" t="s">
        <v>759</v>
      </c>
      <c r="G1319">
        <v>8224</v>
      </c>
      <c r="H1319" t="s">
        <v>2682</v>
      </c>
    </row>
    <row r="1320" spans="1:8" hidden="1">
      <c r="A1320" s="71">
        <v>44720</v>
      </c>
      <c r="B1320" t="s">
        <v>176</v>
      </c>
      <c r="C1320" t="s">
        <v>2684</v>
      </c>
      <c r="F1320" t="s">
        <v>759</v>
      </c>
      <c r="G1320">
        <v>8700</v>
      </c>
      <c r="H1320" t="s">
        <v>1286</v>
      </c>
    </row>
    <row r="1321" spans="1:8" hidden="1">
      <c r="A1321" s="71">
        <v>44720</v>
      </c>
      <c r="B1321" t="s">
        <v>176</v>
      </c>
      <c r="C1321" t="s">
        <v>2685</v>
      </c>
      <c r="E1321" s="86">
        <v>4458</v>
      </c>
      <c r="F1321" t="s">
        <v>759</v>
      </c>
      <c r="G1321">
        <v>8606</v>
      </c>
      <c r="H1321" t="s">
        <v>1659</v>
      </c>
    </row>
    <row r="1322" spans="1:8" hidden="1">
      <c r="A1322" s="71">
        <v>44720</v>
      </c>
      <c r="B1322" t="s">
        <v>351</v>
      </c>
      <c r="C1322" t="s">
        <v>2686</v>
      </c>
      <c r="E1322" s="86">
        <v>6134</v>
      </c>
      <c r="F1322" t="s">
        <v>759</v>
      </c>
      <c r="G1322">
        <v>8313</v>
      </c>
      <c r="H1322" t="s">
        <v>1390</v>
      </c>
    </row>
    <row r="1323" spans="1:8" hidden="1">
      <c r="A1323" s="71">
        <v>44721</v>
      </c>
      <c r="B1323" t="s">
        <v>176</v>
      </c>
      <c r="C1323" t="s">
        <v>2687</v>
      </c>
      <c r="F1323" t="s">
        <v>759</v>
      </c>
      <c r="G1323">
        <v>8701</v>
      </c>
      <c r="H1323" t="s">
        <v>1286</v>
      </c>
    </row>
    <row r="1324" spans="1:8" hidden="1">
      <c r="A1324" s="71">
        <v>44721</v>
      </c>
      <c r="B1324" t="s">
        <v>146</v>
      </c>
      <c r="C1324" t="s">
        <v>2688</v>
      </c>
      <c r="F1324" t="s">
        <v>759</v>
      </c>
      <c r="G1324">
        <v>8608</v>
      </c>
      <c r="H1324" t="s">
        <v>1659</v>
      </c>
    </row>
    <row r="1325" spans="1:8" hidden="1">
      <c r="A1325" s="71">
        <v>44721</v>
      </c>
      <c r="B1325" t="s">
        <v>159</v>
      </c>
      <c r="C1325" t="s">
        <v>2689</v>
      </c>
      <c r="E1325" s="86">
        <v>8712</v>
      </c>
      <c r="F1325" t="s">
        <v>759</v>
      </c>
      <c r="G1325">
        <v>8607</v>
      </c>
      <c r="H1325" t="s">
        <v>1659</v>
      </c>
    </row>
    <row r="1326" spans="1:8" hidden="1">
      <c r="A1326" s="71">
        <v>44725</v>
      </c>
      <c r="B1326" t="s">
        <v>330</v>
      </c>
      <c r="C1326" t="s">
        <v>2690</v>
      </c>
      <c r="F1326" t="s">
        <v>759</v>
      </c>
      <c r="G1326">
        <v>8707</v>
      </c>
      <c r="H1326" t="s">
        <v>1286</v>
      </c>
    </row>
    <row r="1327" spans="1:8" hidden="1">
      <c r="A1327" s="71">
        <v>44725</v>
      </c>
      <c r="B1327" t="s">
        <v>188</v>
      </c>
      <c r="C1327" t="s">
        <v>2691</v>
      </c>
      <c r="F1327" t="s">
        <v>759</v>
      </c>
      <c r="G1327">
        <v>8611</v>
      </c>
      <c r="H1327" t="s">
        <v>1659</v>
      </c>
    </row>
    <row r="1328" spans="1:8" hidden="1">
      <c r="A1328" s="71">
        <v>44726</v>
      </c>
      <c r="B1328" t="s">
        <v>185</v>
      </c>
      <c r="C1328" t="s">
        <v>2692</v>
      </c>
      <c r="F1328" t="s">
        <v>759</v>
      </c>
      <c r="G1328">
        <v>8710</v>
      </c>
      <c r="H1328" t="s">
        <v>1286</v>
      </c>
    </row>
    <row r="1329" spans="1:8" hidden="1">
      <c r="A1329" s="71">
        <v>44726</v>
      </c>
      <c r="B1329" t="s">
        <v>176</v>
      </c>
      <c r="C1329" t="s">
        <v>2693</v>
      </c>
      <c r="F1329" t="s">
        <v>759</v>
      </c>
      <c r="G1329">
        <v>8507</v>
      </c>
      <c r="H1329" t="s">
        <v>1246</v>
      </c>
    </row>
    <row r="1330" spans="1:8" hidden="1">
      <c r="A1330" s="71">
        <v>44727</v>
      </c>
      <c r="B1330" t="s">
        <v>42</v>
      </c>
      <c r="C1330" t="s">
        <v>2694</v>
      </c>
      <c r="F1330" t="s">
        <v>759</v>
      </c>
      <c r="G1330">
        <v>8712</v>
      </c>
      <c r="H1330" t="s">
        <v>1286</v>
      </c>
    </row>
    <row r="1331" spans="1:8" hidden="1">
      <c r="A1331" s="71">
        <v>44727</v>
      </c>
      <c r="B1331" t="s">
        <v>185</v>
      </c>
      <c r="C1331" t="s">
        <v>2695</v>
      </c>
      <c r="F1331" t="s">
        <v>759</v>
      </c>
      <c r="G1331">
        <v>8711</v>
      </c>
      <c r="H1331" t="s">
        <v>1286</v>
      </c>
    </row>
    <row r="1332" spans="1:8" hidden="1">
      <c r="A1332" s="71">
        <v>44727</v>
      </c>
      <c r="B1332" t="s">
        <v>146</v>
      </c>
      <c r="C1332" t="s">
        <v>2696</v>
      </c>
      <c r="E1332" s="86">
        <v>202772</v>
      </c>
      <c r="F1332" t="s">
        <v>759</v>
      </c>
      <c r="G1332">
        <v>8613</v>
      </c>
      <c r="H1332" t="s">
        <v>1659</v>
      </c>
    </row>
    <row r="1333" spans="1:8" hidden="1">
      <c r="A1333" s="71">
        <v>44728</v>
      </c>
      <c r="B1333" t="s">
        <v>185</v>
      </c>
      <c r="C1333" t="s">
        <v>2697</v>
      </c>
      <c r="F1333" t="s">
        <v>759</v>
      </c>
      <c r="G1333">
        <v>8713</v>
      </c>
      <c r="H1333" t="s">
        <v>1286</v>
      </c>
    </row>
    <row r="1334" spans="1:8" hidden="1">
      <c r="A1334" s="71">
        <v>44729</v>
      </c>
      <c r="B1334" t="s">
        <v>42</v>
      </c>
      <c r="C1334" t="s">
        <v>2698</v>
      </c>
      <c r="F1334" t="s">
        <v>759</v>
      </c>
      <c r="G1334">
        <v>8716</v>
      </c>
      <c r="H1334" t="s">
        <v>1286</v>
      </c>
    </row>
    <row r="1335" spans="1:8" hidden="1">
      <c r="A1335" s="71">
        <v>44729</v>
      </c>
      <c r="B1335" t="s">
        <v>713</v>
      </c>
      <c r="C1335" t="s">
        <v>2699</v>
      </c>
      <c r="E1335" s="86">
        <v>2155</v>
      </c>
      <c r="F1335" t="s">
        <v>759</v>
      </c>
      <c r="G1335">
        <v>3227</v>
      </c>
      <c r="H1335" t="s">
        <v>1244</v>
      </c>
    </row>
    <row r="1336" spans="1:8" hidden="1">
      <c r="A1336" s="71">
        <v>44732</v>
      </c>
      <c r="B1336" t="s">
        <v>2700</v>
      </c>
      <c r="C1336" t="s">
        <v>2701</v>
      </c>
      <c r="F1336" t="s">
        <v>759</v>
      </c>
      <c r="G1336">
        <v>8508</v>
      </c>
      <c r="H1336" t="s">
        <v>1246</v>
      </c>
    </row>
    <row r="1337" spans="1:8" hidden="1">
      <c r="A1337" s="71">
        <v>44735</v>
      </c>
      <c r="B1337" t="s">
        <v>330</v>
      </c>
      <c r="C1337" t="s">
        <v>2702</v>
      </c>
      <c r="E1337" s="86">
        <v>6163</v>
      </c>
      <c r="F1337" t="s">
        <v>759</v>
      </c>
      <c r="G1337">
        <v>8721</v>
      </c>
      <c r="H1337" t="s">
        <v>1286</v>
      </c>
    </row>
    <row r="1338" spans="1:8" hidden="1">
      <c r="A1338" s="71">
        <v>44735</v>
      </c>
      <c r="B1338" t="s">
        <v>575</v>
      </c>
      <c r="C1338" t="s">
        <v>2703</v>
      </c>
      <c r="E1338" s="86">
        <v>192691</v>
      </c>
      <c r="F1338" t="s">
        <v>759</v>
      </c>
      <c r="G1338">
        <v>8511</v>
      </c>
      <c r="H1338" t="s">
        <v>1246</v>
      </c>
    </row>
    <row r="1339" spans="1:8" hidden="1">
      <c r="A1339" s="71">
        <v>44736</v>
      </c>
      <c r="B1339" t="s">
        <v>334</v>
      </c>
      <c r="C1339" t="s">
        <v>2704</v>
      </c>
      <c r="E1339" s="86">
        <v>18076</v>
      </c>
      <c r="F1339" t="s">
        <v>759</v>
      </c>
      <c r="G1339">
        <v>8722</v>
      </c>
      <c r="H1339" t="s">
        <v>1286</v>
      </c>
    </row>
    <row r="1340" spans="1:8" hidden="1">
      <c r="A1340" s="71">
        <v>44737</v>
      </c>
      <c r="B1340" t="s">
        <v>25</v>
      </c>
      <c r="C1340" t="s">
        <v>2705</v>
      </c>
      <c r="E1340" s="86">
        <v>4198</v>
      </c>
      <c r="F1340" t="s">
        <v>759</v>
      </c>
      <c r="G1340">
        <v>8728</v>
      </c>
      <c r="H1340" t="s">
        <v>1286</v>
      </c>
    </row>
    <row r="1341" spans="1:8" hidden="1">
      <c r="A1341" s="71">
        <v>44740</v>
      </c>
      <c r="B1341" t="s">
        <v>713</v>
      </c>
      <c r="C1341" t="s">
        <v>2706</v>
      </c>
      <c r="E1341" s="86">
        <v>13426</v>
      </c>
      <c r="F1341" t="s">
        <v>759</v>
      </c>
      <c r="G1341">
        <v>8731</v>
      </c>
      <c r="H1341" t="s">
        <v>1286</v>
      </c>
    </row>
    <row r="1342" spans="1:8" hidden="1">
      <c r="A1342" s="71">
        <v>44741</v>
      </c>
      <c r="B1342" t="s">
        <v>32</v>
      </c>
      <c r="C1342" t="s">
        <v>2707</v>
      </c>
      <c r="F1342" t="s">
        <v>759</v>
      </c>
      <c r="G1342">
        <v>8314</v>
      </c>
      <c r="H1342" t="s">
        <v>1390</v>
      </c>
    </row>
    <row r="1343" spans="1:8" hidden="1">
      <c r="A1343" s="71">
        <v>44741</v>
      </c>
      <c r="B1343" t="s">
        <v>377</v>
      </c>
      <c r="C1343" t="s">
        <v>2708</v>
      </c>
      <c r="E1343" s="86">
        <v>6172</v>
      </c>
      <c r="F1343" t="s">
        <v>759</v>
      </c>
      <c r="G1343">
        <v>8733</v>
      </c>
      <c r="H1343" t="s">
        <v>1286</v>
      </c>
    </row>
    <row r="1344" spans="1:8" hidden="1">
      <c r="A1344" s="71">
        <v>44742</v>
      </c>
      <c r="B1344" t="s">
        <v>330</v>
      </c>
      <c r="C1344" t="s">
        <v>2709</v>
      </c>
      <c r="E1344" s="86">
        <v>6175</v>
      </c>
      <c r="F1344" t="s">
        <v>759</v>
      </c>
      <c r="G1344">
        <v>8738</v>
      </c>
      <c r="H1344" t="s">
        <v>1286</v>
      </c>
    </row>
    <row r="1345" spans="1:8" hidden="1">
      <c r="A1345" s="71">
        <v>44742</v>
      </c>
      <c r="B1345" t="s">
        <v>383</v>
      </c>
      <c r="C1345" t="s">
        <v>2710</v>
      </c>
      <c r="E1345" s="86">
        <v>1480</v>
      </c>
      <c r="F1345" t="s">
        <v>759</v>
      </c>
      <c r="G1345">
        <v>8737</v>
      </c>
      <c r="H1345" t="s">
        <v>1286</v>
      </c>
    </row>
    <row r="1346" spans="1:8" hidden="1">
      <c r="A1346" s="71">
        <v>44743</v>
      </c>
      <c r="B1346" t="s">
        <v>330</v>
      </c>
      <c r="C1346" t="s">
        <v>2711</v>
      </c>
      <c r="E1346" s="86">
        <v>6139</v>
      </c>
      <c r="F1346" t="s">
        <v>759</v>
      </c>
      <c r="G1346">
        <v>8741</v>
      </c>
      <c r="H1346" t="s">
        <v>1286</v>
      </c>
    </row>
    <row r="1347" spans="1:8" hidden="1">
      <c r="A1347" s="71">
        <v>44746</v>
      </c>
      <c r="B1347" t="s">
        <v>162</v>
      </c>
      <c r="C1347" t="s">
        <v>2712</v>
      </c>
      <c r="F1347" t="s">
        <v>759</v>
      </c>
      <c r="G1347">
        <v>8903</v>
      </c>
      <c r="H1347" t="s">
        <v>2682</v>
      </c>
    </row>
    <row r="1348" spans="1:8" hidden="1">
      <c r="A1348" s="71">
        <v>44747</v>
      </c>
      <c r="B1348" t="s">
        <v>32</v>
      </c>
      <c r="C1348" t="s">
        <v>2713</v>
      </c>
      <c r="F1348" t="s">
        <v>759</v>
      </c>
      <c r="G1348">
        <v>8744</v>
      </c>
      <c r="H1348" t="s">
        <v>1286</v>
      </c>
    </row>
    <row r="1349" spans="1:8" hidden="1">
      <c r="A1349" s="71">
        <v>44747</v>
      </c>
      <c r="B1349" t="s">
        <v>202</v>
      </c>
      <c r="C1349" t="s">
        <v>2714</v>
      </c>
      <c r="E1349" s="86">
        <v>1078</v>
      </c>
      <c r="F1349" t="s">
        <v>759</v>
      </c>
      <c r="G1349">
        <v>8905</v>
      </c>
      <c r="H1349" t="s">
        <v>2682</v>
      </c>
    </row>
    <row r="1350" spans="1:8" hidden="1">
      <c r="A1350" s="71">
        <v>44748</v>
      </c>
      <c r="B1350" t="s">
        <v>25</v>
      </c>
      <c r="C1350" t="s">
        <v>2715</v>
      </c>
      <c r="F1350" t="s">
        <v>759</v>
      </c>
      <c r="G1350">
        <v>8952</v>
      </c>
      <c r="H1350" t="s">
        <v>1286</v>
      </c>
    </row>
    <row r="1351" spans="1:8" hidden="1">
      <c r="A1351" s="71">
        <v>44749</v>
      </c>
      <c r="B1351" t="s">
        <v>389</v>
      </c>
      <c r="C1351" t="s">
        <v>2716</v>
      </c>
      <c r="E1351" s="86">
        <v>4495</v>
      </c>
      <c r="F1351" t="s">
        <v>759</v>
      </c>
      <c r="G1351">
        <v>8995.1</v>
      </c>
      <c r="H1351" t="s">
        <v>2682</v>
      </c>
    </row>
    <row r="1352" spans="1:8" hidden="1">
      <c r="A1352" s="71">
        <v>44749</v>
      </c>
      <c r="B1352" t="s">
        <v>180</v>
      </c>
      <c r="C1352" t="s">
        <v>2717</v>
      </c>
      <c r="F1352" t="s">
        <v>759</v>
      </c>
      <c r="G1352">
        <v>8956</v>
      </c>
      <c r="H1352" t="s">
        <v>1286</v>
      </c>
    </row>
    <row r="1353" spans="1:8" hidden="1">
      <c r="A1353" s="71">
        <v>44749</v>
      </c>
      <c r="B1353" t="s">
        <v>336</v>
      </c>
      <c r="C1353" t="s">
        <v>2718</v>
      </c>
      <c r="F1353" t="s">
        <v>759</v>
      </c>
      <c r="G1353">
        <v>8904</v>
      </c>
      <c r="H1353" t="s">
        <v>2682</v>
      </c>
    </row>
    <row r="1354" spans="1:8" hidden="1">
      <c r="A1354" s="71">
        <v>44749</v>
      </c>
      <c r="B1354" t="s">
        <v>392</v>
      </c>
      <c r="C1354" t="s">
        <v>2719</v>
      </c>
      <c r="E1354" s="86">
        <v>15671</v>
      </c>
      <c r="F1354" t="s">
        <v>759</v>
      </c>
      <c r="G1354">
        <v>7795</v>
      </c>
      <c r="H1354" t="s">
        <v>1244</v>
      </c>
    </row>
    <row r="1355" spans="1:8" hidden="1">
      <c r="A1355" s="71">
        <v>44749</v>
      </c>
      <c r="B1355" t="s">
        <v>392</v>
      </c>
      <c r="C1355" t="s">
        <v>2720</v>
      </c>
      <c r="E1355" s="86">
        <v>15671</v>
      </c>
      <c r="F1355" t="s">
        <v>759</v>
      </c>
      <c r="G1355">
        <v>7794</v>
      </c>
      <c r="H1355" t="s">
        <v>1244</v>
      </c>
    </row>
    <row r="1356" spans="1:8" hidden="1">
      <c r="A1356" s="71">
        <v>44750</v>
      </c>
      <c r="B1356" t="s">
        <v>338</v>
      </c>
      <c r="C1356" t="s">
        <v>2721</v>
      </c>
      <c r="E1356" s="86">
        <v>23408</v>
      </c>
      <c r="F1356" t="s">
        <v>759</v>
      </c>
      <c r="G1356">
        <v>8901</v>
      </c>
      <c r="H1356" t="s">
        <v>2682</v>
      </c>
    </row>
    <row r="1357" spans="1:8" hidden="1">
      <c r="A1357" s="71">
        <v>44752</v>
      </c>
      <c r="B1357" t="s">
        <v>691</v>
      </c>
      <c r="C1357" t="s">
        <v>2722</v>
      </c>
      <c r="E1357" s="86">
        <v>4729</v>
      </c>
      <c r="F1357" t="s">
        <v>759</v>
      </c>
      <c r="G1357">
        <v>8985</v>
      </c>
      <c r="H1357" t="s">
        <v>1286</v>
      </c>
    </row>
    <row r="1358" spans="1:8" hidden="1">
      <c r="A1358" s="71">
        <v>44753</v>
      </c>
      <c r="B1358" t="s">
        <v>389</v>
      </c>
      <c r="C1358" t="s">
        <v>2723</v>
      </c>
      <c r="E1358" s="86">
        <v>4496</v>
      </c>
      <c r="F1358" t="s">
        <v>759</v>
      </c>
      <c r="G1358" t="s">
        <v>2008</v>
      </c>
      <c r="H1358" t="s">
        <v>2682</v>
      </c>
    </row>
    <row r="1359" spans="1:8" hidden="1">
      <c r="A1359" s="71">
        <v>44754</v>
      </c>
      <c r="B1359" t="s">
        <v>146</v>
      </c>
      <c r="C1359" t="s">
        <v>2724</v>
      </c>
      <c r="E1359" s="86">
        <v>204676</v>
      </c>
      <c r="F1359" t="s">
        <v>759</v>
      </c>
      <c r="G1359">
        <v>8969</v>
      </c>
      <c r="H1359" t="s">
        <v>1286</v>
      </c>
    </row>
    <row r="1360" spans="1:8" hidden="1">
      <c r="A1360" s="71">
        <v>44754</v>
      </c>
      <c r="B1360" t="s">
        <v>311</v>
      </c>
      <c r="C1360" t="s">
        <v>2725</v>
      </c>
      <c r="E1360" s="86">
        <v>13345</v>
      </c>
      <c r="F1360" t="s">
        <v>759</v>
      </c>
      <c r="G1360">
        <v>7796</v>
      </c>
      <c r="H1360" t="s">
        <v>1244</v>
      </c>
    </row>
    <row r="1361" spans="1:8" hidden="1">
      <c r="A1361" s="71">
        <v>44755</v>
      </c>
      <c r="B1361" t="s">
        <v>171</v>
      </c>
      <c r="C1361" t="s">
        <v>2726</v>
      </c>
      <c r="E1361" s="86">
        <v>4277</v>
      </c>
      <c r="F1361" t="s">
        <v>759</v>
      </c>
      <c r="G1361">
        <v>8912</v>
      </c>
      <c r="H1361" t="s">
        <v>2682</v>
      </c>
    </row>
    <row r="1362" spans="1:8" hidden="1">
      <c r="A1362" s="71">
        <v>44755</v>
      </c>
      <c r="B1362" t="s">
        <v>185</v>
      </c>
      <c r="C1362" t="s">
        <v>2727</v>
      </c>
      <c r="F1362" t="s">
        <v>759</v>
      </c>
      <c r="G1362">
        <v>8908</v>
      </c>
      <c r="H1362" t="s">
        <v>2682</v>
      </c>
    </row>
    <row r="1363" spans="1:8" hidden="1">
      <c r="A1363" s="71">
        <v>44756</v>
      </c>
      <c r="B1363" t="s">
        <v>146</v>
      </c>
      <c r="C1363" t="s">
        <v>2728</v>
      </c>
      <c r="F1363" t="s">
        <v>759</v>
      </c>
      <c r="G1363">
        <v>8977</v>
      </c>
      <c r="H1363" t="s">
        <v>1286</v>
      </c>
    </row>
    <row r="1364" spans="1:8" hidden="1">
      <c r="A1364" s="71">
        <v>44756</v>
      </c>
      <c r="B1364" t="s">
        <v>259</v>
      </c>
      <c r="C1364" t="s">
        <v>2729</v>
      </c>
      <c r="E1364" s="86">
        <v>11876</v>
      </c>
      <c r="F1364" t="s">
        <v>759</v>
      </c>
      <c r="G1364">
        <v>8974</v>
      </c>
      <c r="H1364" t="s">
        <v>1286</v>
      </c>
    </row>
    <row r="1365" spans="1:8" hidden="1">
      <c r="A1365" s="71">
        <v>44757</v>
      </c>
      <c r="B1365" t="s">
        <v>42</v>
      </c>
      <c r="C1365" t="s">
        <v>2730</v>
      </c>
      <c r="F1365" t="s">
        <v>759</v>
      </c>
      <c r="G1365">
        <v>8978</v>
      </c>
      <c r="H1365" t="s">
        <v>1286</v>
      </c>
    </row>
    <row r="1366" spans="1:8" hidden="1">
      <c r="A1366" s="71">
        <v>44757</v>
      </c>
      <c r="B1366" t="s">
        <v>371</v>
      </c>
      <c r="C1366" t="s">
        <v>2731</v>
      </c>
      <c r="E1366" s="86">
        <v>17229</v>
      </c>
      <c r="F1366" t="s">
        <v>759</v>
      </c>
      <c r="G1366">
        <v>17229</v>
      </c>
      <c r="H1366" t="s">
        <v>1244</v>
      </c>
    </row>
    <row r="1367" spans="1:8" hidden="1">
      <c r="A1367" s="71">
        <v>44760</v>
      </c>
      <c r="B1367" t="s">
        <v>341</v>
      </c>
      <c r="C1367" t="s">
        <v>2732</v>
      </c>
      <c r="E1367" s="86">
        <v>6624</v>
      </c>
      <c r="F1367" t="s">
        <v>759</v>
      </c>
      <c r="G1367">
        <v>8981</v>
      </c>
      <c r="H1367" t="s">
        <v>1286</v>
      </c>
    </row>
    <row r="1368" spans="1:8" hidden="1">
      <c r="A1368" s="71">
        <v>44760</v>
      </c>
      <c r="B1368" t="s">
        <v>29</v>
      </c>
      <c r="C1368" t="s">
        <v>2733</v>
      </c>
      <c r="E1368" s="86">
        <v>5881</v>
      </c>
      <c r="F1368" t="s">
        <v>759</v>
      </c>
      <c r="G1368">
        <v>8615</v>
      </c>
      <c r="H1368" t="s">
        <v>1659</v>
      </c>
    </row>
    <row r="1369" spans="1:8" hidden="1">
      <c r="A1369" s="71">
        <v>44760</v>
      </c>
      <c r="B1369" t="s">
        <v>360</v>
      </c>
      <c r="C1369" t="s">
        <v>2734</v>
      </c>
      <c r="E1369" s="86">
        <v>4680</v>
      </c>
      <c r="F1369" t="s">
        <v>759</v>
      </c>
      <c r="G1369">
        <v>8616</v>
      </c>
      <c r="H1369" t="s">
        <v>1659</v>
      </c>
    </row>
    <row r="1370" spans="1:8" hidden="1">
      <c r="A1370" s="71">
        <v>44761</v>
      </c>
      <c r="B1370" t="s">
        <v>691</v>
      </c>
      <c r="C1370" t="s">
        <v>2735</v>
      </c>
      <c r="E1370" s="86">
        <v>4729</v>
      </c>
      <c r="F1370" t="s">
        <v>759</v>
      </c>
      <c r="G1370">
        <v>8984</v>
      </c>
      <c r="H1370" t="s">
        <v>1286</v>
      </c>
    </row>
    <row r="1371" spans="1:8" hidden="1">
      <c r="A1371" s="71">
        <v>44761</v>
      </c>
      <c r="B1371" t="s">
        <v>29</v>
      </c>
      <c r="E1371" s="86">
        <v>5861</v>
      </c>
      <c r="F1371" t="s">
        <v>759</v>
      </c>
      <c r="G1371">
        <v>8617</v>
      </c>
      <c r="H1371" t="s">
        <v>1659</v>
      </c>
    </row>
    <row r="1372" spans="1:8" hidden="1">
      <c r="A1372" s="71">
        <v>44761</v>
      </c>
      <c r="B1372" t="s">
        <v>157</v>
      </c>
      <c r="C1372" t="s">
        <v>2736</v>
      </c>
      <c r="E1372" s="86">
        <v>12447</v>
      </c>
      <c r="F1372" t="s">
        <v>759</v>
      </c>
      <c r="G1372">
        <v>8619</v>
      </c>
      <c r="H1372" t="s">
        <v>1659</v>
      </c>
    </row>
    <row r="1373" spans="1:8" hidden="1">
      <c r="A1373" s="71">
        <v>44761</v>
      </c>
      <c r="B1373" t="s">
        <v>385</v>
      </c>
      <c r="C1373" t="s">
        <v>2737</v>
      </c>
      <c r="E1373" s="86">
        <v>1565</v>
      </c>
      <c r="F1373" t="s">
        <v>759</v>
      </c>
      <c r="G1373">
        <v>8618</v>
      </c>
      <c r="H1373" t="s">
        <v>1659</v>
      </c>
    </row>
    <row r="1374" spans="1:8" hidden="1">
      <c r="A1374" s="71">
        <v>44762</v>
      </c>
      <c r="B1374" t="s">
        <v>334</v>
      </c>
      <c r="C1374" t="s">
        <v>2738</v>
      </c>
      <c r="E1374" s="86">
        <v>19147</v>
      </c>
      <c r="F1374" t="s">
        <v>759</v>
      </c>
      <c r="G1374">
        <v>8620</v>
      </c>
      <c r="H1374" t="s">
        <v>1659</v>
      </c>
    </row>
    <row r="1375" spans="1:8" hidden="1">
      <c r="A1375" s="71">
        <v>44763</v>
      </c>
      <c r="B1375" t="s">
        <v>691</v>
      </c>
      <c r="C1375" t="s">
        <v>2739</v>
      </c>
      <c r="F1375" t="s">
        <v>759</v>
      </c>
      <c r="G1375">
        <v>8992</v>
      </c>
      <c r="H1375" t="s">
        <v>1286</v>
      </c>
    </row>
    <row r="1376" spans="1:8" hidden="1">
      <c r="A1376" s="71">
        <v>44763</v>
      </c>
      <c r="B1376" t="s">
        <v>690</v>
      </c>
      <c r="C1376" t="s">
        <v>2740</v>
      </c>
      <c r="E1376" s="86">
        <v>4761</v>
      </c>
      <c r="F1376" t="s">
        <v>759</v>
      </c>
      <c r="G1376">
        <v>8622</v>
      </c>
      <c r="H1376" t="s">
        <v>1659</v>
      </c>
    </row>
    <row r="1377" spans="1:8" hidden="1">
      <c r="A1377" s="71">
        <v>44763</v>
      </c>
      <c r="B1377" t="s">
        <v>385</v>
      </c>
      <c r="E1377" s="86">
        <v>1565</v>
      </c>
      <c r="F1377" t="s">
        <v>759</v>
      </c>
      <c r="G1377">
        <v>8621</v>
      </c>
      <c r="H1377" t="s">
        <v>1659</v>
      </c>
    </row>
    <row r="1378" spans="1:8" hidden="1">
      <c r="A1378" s="71">
        <v>44767</v>
      </c>
      <c r="B1378" t="s">
        <v>803</v>
      </c>
      <c r="C1378" t="s">
        <v>2741</v>
      </c>
      <c r="F1378" t="s">
        <v>759</v>
      </c>
      <c r="G1378">
        <v>8999</v>
      </c>
      <c r="H1378" t="s">
        <v>1286</v>
      </c>
    </row>
    <row r="1379" spans="1:8" hidden="1">
      <c r="A1379" s="71">
        <v>44767</v>
      </c>
      <c r="B1379" t="s">
        <v>692</v>
      </c>
      <c r="C1379" t="s">
        <v>2742</v>
      </c>
      <c r="F1379" t="s">
        <v>759</v>
      </c>
      <c r="G1379">
        <v>8998</v>
      </c>
      <c r="H1379" t="s">
        <v>1286</v>
      </c>
    </row>
    <row r="1380" spans="1:8" hidden="1">
      <c r="A1380" s="71">
        <v>44767</v>
      </c>
      <c r="B1380" t="s">
        <v>391</v>
      </c>
      <c r="C1380" t="s">
        <v>2743</v>
      </c>
      <c r="E1380" s="86">
        <v>6216</v>
      </c>
      <c r="F1380" t="s">
        <v>759</v>
      </c>
      <c r="G1380">
        <v>8911</v>
      </c>
      <c r="H1380" t="s">
        <v>2682</v>
      </c>
    </row>
    <row r="1381" spans="1:8" hidden="1">
      <c r="A1381" s="71">
        <v>44768</v>
      </c>
      <c r="B1381" t="s">
        <v>175</v>
      </c>
      <c r="C1381" t="s">
        <v>2744</v>
      </c>
      <c r="E1381" s="86">
        <v>4654</v>
      </c>
      <c r="F1381" t="s">
        <v>759</v>
      </c>
      <c r="G1381">
        <v>7799</v>
      </c>
      <c r="H1381" t="s">
        <v>1244</v>
      </c>
    </row>
    <row r="1382" spans="1:8" hidden="1">
      <c r="A1382" s="71">
        <v>44770</v>
      </c>
      <c r="B1382" t="s">
        <v>391</v>
      </c>
      <c r="C1382" t="s">
        <v>2745</v>
      </c>
      <c r="E1382" s="86">
        <v>6216</v>
      </c>
      <c r="F1382" t="s">
        <v>759</v>
      </c>
      <c r="G1382">
        <v>8913</v>
      </c>
      <c r="H1382" t="s">
        <v>2682</v>
      </c>
    </row>
    <row r="1383" spans="1:8" hidden="1">
      <c r="A1383" s="71">
        <v>44771</v>
      </c>
      <c r="B1383" t="s">
        <v>2746</v>
      </c>
      <c r="C1383" t="s">
        <v>2747</v>
      </c>
      <c r="F1383" t="s">
        <v>759</v>
      </c>
      <c r="G1383">
        <v>8629</v>
      </c>
      <c r="H1383" t="s">
        <v>1659</v>
      </c>
    </row>
    <row r="1384" spans="1:8" hidden="1">
      <c r="A1384" s="71">
        <v>44774</v>
      </c>
      <c r="B1384" t="s">
        <v>336</v>
      </c>
      <c r="C1384" t="s">
        <v>2748</v>
      </c>
      <c r="E1384" s="86">
        <v>9340</v>
      </c>
      <c r="F1384" t="s">
        <v>759</v>
      </c>
      <c r="G1384">
        <v>8630</v>
      </c>
      <c r="H1384" t="s">
        <v>1659</v>
      </c>
    </row>
    <row r="1385" spans="1:8" hidden="1">
      <c r="A1385" s="71">
        <v>44774</v>
      </c>
      <c r="B1385" t="s">
        <v>334</v>
      </c>
      <c r="C1385" t="s">
        <v>2749</v>
      </c>
      <c r="E1385" s="86">
        <v>19253</v>
      </c>
      <c r="F1385" t="s">
        <v>759</v>
      </c>
      <c r="G1385">
        <v>8632</v>
      </c>
      <c r="H1385" t="s">
        <v>1659</v>
      </c>
    </row>
    <row r="1386" spans="1:8" hidden="1">
      <c r="A1386" s="71">
        <v>44774</v>
      </c>
      <c r="B1386" t="s">
        <v>176</v>
      </c>
      <c r="C1386" t="s">
        <v>2750</v>
      </c>
      <c r="E1386" s="86">
        <v>4467</v>
      </c>
      <c r="F1386" t="s">
        <v>759</v>
      </c>
      <c r="H1386" t="s">
        <v>1246</v>
      </c>
    </row>
    <row r="1387" spans="1:8" hidden="1">
      <c r="A1387" s="71">
        <v>44775</v>
      </c>
      <c r="B1387" t="s">
        <v>334</v>
      </c>
      <c r="C1387" t="s">
        <v>2751</v>
      </c>
      <c r="E1387" s="86">
        <v>19253</v>
      </c>
      <c r="F1387" t="s">
        <v>759</v>
      </c>
      <c r="G1387">
        <v>8633</v>
      </c>
      <c r="H1387" t="s">
        <v>1659</v>
      </c>
    </row>
    <row r="1388" spans="1:8" hidden="1">
      <c r="A1388" s="71">
        <v>44775</v>
      </c>
      <c r="B1388" t="s">
        <v>188</v>
      </c>
      <c r="C1388" t="s">
        <v>2752</v>
      </c>
      <c r="F1388" t="s">
        <v>759</v>
      </c>
      <c r="G1388">
        <v>8831</v>
      </c>
      <c r="H1388" t="s">
        <v>1286</v>
      </c>
    </row>
    <row r="1389" spans="1:8" hidden="1">
      <c r="A1389" s="71">
        <v>44776</v>
      </c>
      <c r="B1389" t="s">
        <v>330</v>
      </c>
      <c r="C1389" t="s">
        <v>2753</v>
      </c>
      <c r="E1389" s="86">
        <v>6284</v>
      </c>
      <c r="F1389" t="s">
        <v>759</v>
      </c>
      <c r="G1389">
        <v>8637</v>
      </c>
      <c r="H1389" t="s">
        <v>1659</v>
      </c>
    </row>
    <row r="1390" spans="1:8" hidden="1">
      <c r="A1390" s="71">
        <v>44776</v>
      </c>
      <c r="B1390" t="s">
        <v>185</v>
      </c>
      <c r="C1390" t="s">
        <v>2754</v>
      </c>
      <c r="F1390" t="s">
        <v>759</v>
      </c>
      <c r="G1390">
        <v>8241</v>
      </c>
      <c r="H1390" t="s">
        <v>1252</v>
      </c>
    </row>
    <row r="1391" spans="1:8" hidden="1">
      <c r="A1391" s="71">
        <v>44777</v>
      </c>
      <c r="B1391" t="s">
        <v>362</v>
      </c>
      <c r="C1391" t="s">
        <v>2755</v>
      </c>
      <c r="E1391" s="86">
        <v>11600</v>
      </c>
      <c r="F1391" t="s">
        <v>759</v>
      </c>
      <c r="G1391">
        <v>8639</v>
      </c>
      <c r="H1391" t="s">
        <v>1659</v>
      </c>
    </row>
    <row r="1392" spans="1:8" hidden="1">
      <c r="A1392" s="71">
        <v>44778</v>
      </c>
      <c r="B1392" t="s">
        <v>157</v>
      </c>
      <c r="C1392" t="s">
        <v>2756</v>
      </c>
      <c r="F1392" t="s">
        <v>759</v>
      </c>
      <c r="G1392">
        <v>8845</v>
      </c>
      <c r="H1392" t="s">
        <v>1286</v>
      </c>
    </row>
    <row r="1393" spans="1:8" hidden="1">
      <c r="A1393" s="71">
        <v>44781</v>
      </c>
      <c r="B1393" t="s">
        <v>42</v>
      </c>
      <c r="C1393" t="s">
        <v>2757</v>
      </c>
      <c r="F1393" t="s">
        <v>759</v>
      </c>
      <c r="G1393">
        <v>8850</v>
      </c>
      <c r="H1393" t="s">
        <v>1286</v>
      </c>
    </row>
    <row r="1394" spans="1:8" hidden="1">
      <c r="A1394" s="71">
        <v>44781</v>
      </c>
      <c r="B1394" t="s">
        <v>575</v>
      </c>
      <c r="C1394" t="s">
        <v>2758</v>
      </c>
      <c r="F1394" t="s">
        <v>759</v>
      </c>
      <c r="G1394">
        <v>8641</v>
      </c>
      <c r="H1394" t="s">
        <v>1659</v>
      </c>
    </row>
    <row r="1395" spans="1:8" hidden="1">
      <c r="A1395" s="71">
        <v>44782</v>
      </c>
      <c r="B1395" t="s">
        <v>336</v>
      </c>
      <c r="C1395" t="s">
        <v>2759</v>
      </c>
      <c r="F1395" t="s">
        <v>759</v>
      </c>
      <c r="G1395">
        <v>9052</v>
      </c>
      <c r="H1395" t="s">
        <v>1286</v>
      </c>
    </row>
    <row r="1396" spans="1:8" hidden="1">
      <c r="A1396" s="71">
        <v>44783</v>
      </c>
      <c r="B1396" t="s">
        <v>65</v>
      </c>
      <c r="C1396" t="s">
        <v>2760</v>
      </c>
      <c r="F1396" t="s">
        <v>759</v>
      </c>
      <c r="G1396">
        <v>11437</v>
      </c>
      <c r="H1396" t="s">
        <v>2682</v>
      </c>
    </row>
    <row r="1397" spans="1:8" hidden="1">
      <c r="A1397" s="71">
        <v>44783</v>
      </c>
      <c r="B1397" t="s">
        <v>362</v>
      </c>
      <c r="C1397" t="s">
        <v>2761</v>
      </c>
      <c r="E1397" s="86">
        <v>11620</v>
      </c>
      <c r="F1397" t="s">
        <v>759</v>
      </c>
      <c r="G1397">
        <v>9056</v>
      </c>
      <c r="H1397" t="s">
        <v>1286</v>
      </c>
    </row>
    <row r="1398" spans="1:8" hidden="1">
      <c r="A1398" s="71">
        <v>44784</v>
      </c>
      <c r="B1398" t="s">
        <v>2762</v>
      </c>
      <c r="C1398" t="s">
        <v>2763</v>
      </c>
      <c r="F1398" t="s">
        <v>759</v>
      </c>
      <c r="G1398">
        <v>8647</v>
      </c>
      <c r="H1398" t="s">
        <v>1659</v>
      </c>
    </row>
    <row r="1399" spans="1:8" hidden="1">
      <c r="A1399" s="71">
        <v>44789</v>
      </c>
      <c r="B1399" t="s">
        <v>48</v>
      </c>
      <c r="C1399" t="s">
        <v>2764</v>
      </c>
      <c r="F1399" t="s">
        <v>759</v>
      </c>
      <c r="G1399">
        <v>8526</v>
      </c>
      <c r="H1399" t="s">
        <v>1246</v>
      </c>
    </row>
    <row r="1400" spans="1:8" hidden="1">
      <c r="A1400" s="71">
        <v>44790</v>
      </c>
      <c r="B1400" t="s">
        <v>330</v>
      </c>
      <c r="C1400" t="s">
        <v>2765</v>
      </c>
      <c r="E1400" s="86">
        <v>6301</v>
      </c>
      <c r="F1400" t="s">
        <v>759</v>
      </c>
      <c r="G1400">
        <v>9077</v>
      </c>
      <c r="H1400" t="s">
        <v>1286</v>
      </c>
    </row>
    <row r="1401" spans="1:8" hidden="1">
      <c r="A1401" s="71">
        <v>44790</v>
      </c>
      <c r="B1401" t="s">
        <v>157</v>
      </c>
      <c r="C1401" t="s">
        <v>2766</v>
      </c>
      <c r="E1401" s="90">
        <v>46087</v>
      </c>
      <c r="F1401" t="s">
        <v>759</v>
      </c>
      <c r="G1401">
        <v>8753</v>
      </c>
      <c r="H1401" t="s">
        <v>1659</v>
      </c>
    </row>
    <row r="1402" spans="1:8" hidden="1">
      <c r="A1402" s="71">
        <v>44790</v>
      </c>
      <c r="B1402" t="s">
        <v>146</v>
      </c>
      <c r="C1402" t="s">
        <v>2767</v>
      </c>
      <c r="F1402" t="s">
        <v>759</v>
      </c>
      <c r="G1402">
        <v>8752</v>
      </c>
      <c r="H1402" t="s">
        <v>1659</v>
      </c>
    </row>
    <row r="1403" spans="1:8" hidden="1">
      <c r="A1403" s="71">
        <v>44791</v>
      </c>
      <c r="B1403" t="s">
        <v>391</v>
      </c>
      <c r="C1403" t="s">
        <v>2768</v>
      </c>
      <c r="E1403" s="86">
        <v>6261</v>
      </c>
      <c r="F1403" t="s">
        <v>759</v>
      </c>
      <c r="G1403">
        <v>8755</v>
      </c>
      <c r="H1403" t="s">
        <v>1659</v>
      </c>
    </row>
    <row r="1404" spans="1:8" hidden="1">
      <c r="A1404" s="71">
        <v>44791</v>
      </c>
      <c r="B1404" t="s">
        <v>596</v>
      </c>
      <c r="C1404" t="s">
        <v>2769</v>
      </c>
      <c r="F1404" t="s">
        <v>759</v>
      </c>
      <c r="G1404">
        <v>8754</v>
      </c>
      <c r="H1404" t="s">
        <v>1659</v>
      </c>
    </row>
    <row r="1405" spans="1:8" hidden="1">
      <c r="A1405" s="71">
        <v>44792</v>
      </c>
      <c r="B1405" t="s">
        <v>188</v>
      </c>
      <c r="C1405" t="s">
        <v>2770</v>
      </c>
      <c r="F1405" t="s">
        <v>759</v>
      </c>
      <c r="G1405">
        <v>8757</v>
      </c>
      <c r="H1405" t="s">
        <v>1659</v>
      </c>
    </row>
    <row r="1406" spans="1:8" hidden="1">
      <c r="A1406" s="71">
        <v>44792</v>
      </c>
      <c r="B1406" t="s">
        <v>391</v>
      </c>
      <c r="C1406" t="s">
        <v>2634</v>
      </c>
      <c r="E1406" s="86">
        <v>6261</v>
      </c>
      <c r="F1406" t="s">
        <v>759</v>
      </c>
      <c r="G1406">
        <v>8756</v>
      </c>
      <c r="H1406" t="s">
        <v>1659</v>
      </c>
    </row>
    <row r="1407" spans="1:8" hidden="1">
      <c r="A1407" s="71">
        <v>44795</v>
      </c>
      <c r="B1407" t="s">
        <v>692</v>
      </c>
      <c r="C1407" t="s">
        <v>2771</v>
      </c>
      <c r="F1407" t="s">
        <v>759</v>
      </c>
      <c r="G1407">
        <v>9108</v>
      </c>
      <c r="H1407" t="s">
        <v>1286</v>
      </c>
    </row>
    <row r="1408" spans="1:8" hidden="1">
      <c r="A1408" s="71">
        <v>44795</v>
      </c>
      <c r="B1408" t="s">
        <v>25</v>
      </c>
      <c r="C1408" t="s">
        <v>2772</v>
      </c>
      <c r="E1408" s="86">
        <v>4445</v>
      </c>
      <c r="F1408" t="s">
        <v>759</v>
      </c>
      <c r="G1408">
        <v>8759</v>
      </c>
      <c r="H1408" t="s">
        <v>1659</v>
      </c>
    </row>
    <row r="1409" spans="1:8" hidden="1">
      <c r="A1409" s="71">
        <v>44795</v>
      </c>
      <c r="B1409" t="s">
        <v>369</v>
      </c>
      <c r="C1409" t="s">
        <v>2773</v>
      </c>
      <c r="E1409" s="86">
        <v>10289</v>
      </c>
      <c r="F1409" t="s">
        <v>759</v>
      </c>
      <c r="G1409">
        <v>8758</v>
      </c>
      <c r="H1409" t="s">
        <v>1659</v>
      </c>
    </row>
    <row r="1410" spans="1:8" hidden="1">
      <c r="A1410" s="71">
        <v>44796</v>
      </c>
      <c r="B1410" t="s">
        <v>25</v>
      </c>
      <c r="C1410" t="s">
        <v>2774</v>
      </c>
      <c r="E1410" s="86">
        <v>4450</v>
      </c>
      <c r="F1410" t="s">
        <v>759</v>
      </c>
      <c r="G1410">
        <v>8761</v>
      </c>
      <c r="H1410" t="s">
        <v>1659</v>
      </c>
    </row>
    <row r="1411" spans="1:8" hidden="1">
      <c r="A1411" s="71">
        <v>44796</v>
      </c>
      <c r="B1411" t="s">
        <v>365</v>
      </c>
      <c r="C1411" t="s">
        <v>2775</v>
      </c>
      <c r="E1411" s="86">
        <v>10772</v>
      </c>
      <c r="F1411" t="s">
        <v>759</v>
      </c>
      <c r="G1411">
        <v>8760</v>
      </c>
      <c r="H1411" t="s">
        <v>1659</v>
      </c>
    </row>
    <row r="1412" spans="1:8" hidden="1">
      <c r="A1412" s="71">
        <v>44797</v>
      </c>
      <c r="B1412" t="s">
        <v>185</v>
      </c>
      <c r="C1412" t="s">
        <v>2776</v>
      </c>
      <c r="F1412" t="s">
        <v>759</v>
      </c>
      <c r="G1412" t="s">
        <v>794</v>
      </c>
      <c r="H1412" t="s">
        <v>1725</v>
      </c>
    </row>
    <row r="1413" spans="1:8" hidden="1">
      <c r="A1413" s="71">
        <v>44797</v>
      </c>
      <c r="B1413" t="s">
        <v>2777</v>
      </c>
      <c r="C1413" t="s">
        <v>2778</v>
      </c>
      <c r="F1413" t="s">
        <v>759</v>
      </c>
      <c r="G1413">
        <v>8762</v>
      </c>
      <c r="H1413" t="s">
        <v>1659</v>
      </c>
    </row>
    <row r="1414" spans="1:8" hidden="1">
      <c r="A1414" s="71">
        <v>44798</v>
      </c>
      <c r="B1414" t="s">
        <v>692</v>
      </c>
      <c r="C1414" t="s">
        <v>2779</v>
      </c>
      <c r="F1414" t="s">
        <v>759</v>
      </c>
      <c r="G1414">
        <v>9123</v>
      </c>
      <c r="H1414" t="s">
        <v>1286</v>
      </c>
    </row>
    <row r="1415" spans="1:8" hidden="1">
      <c r="A1415" s="71">
        <v>44798</v>
      </c>
      <c r="B1415" t="s">
        <v>383</v>
      </c>
      <c r="C1415" t="s">
        <v>2780</v>
      </c>
      <c r="E1415" s="86">
        <v>1596</v>
      </c>
      <c r="F1415" t="s">
        <v>759</v>
      </c>
      <c r="G1415">
        <v>8766</v>
      </c>
      <c r="H1415" t="s">
        <v>1659</v>
      </c>
    </row>
    <row r="1416" spans="1:8" hidden="1">
      <c r="A1416" s="71">
        <v>44802</v>
      </c>
      <c r="B1416" t="s">
        <v>42</v>
      </c>
      <c r="C1416" t="s">
        <v>2781</v>
      </c>
      <c r="F1416" t="s">
        <v>759</v>
      </c>
      <c r="G1416">
        <v>9132</v>
      </c>
      <c r="H1416" t="s">
        <v>1286</v>
      </c>
    </row>
    <row r="1417" spans="1:8" hidden="1">
      <c r="A1417" s="71">
        <v>44802</v>
      </c>
      <c r="B1417" t="s">
        <v>803</v>
      </c>
      <c r="C1417" t="s">
        <v>2782</v>
      </c>
      <c r="F1417" t="s">
        <v>759</v>
      </c>
      <c r="G1417">
        <v>9127</v>
      </c>
      <c r="H1417" t="s">
        <v>1286</v>
      </c>
    </row>
    <row r="1418" spans="1:8" hidden="1">
      <c r="A1418" s="71">
        <v>44803</v>
      </c>
      <c r="B1418" t="s">
        <v>334</v>
      </c>
      <c r="C1418" t="s">
        <v>2783</v>
      </c>
      <c r="E1418" s="86">
        <v>19430</v>
      </c>
      <c r="F1418" t="s">
        <v>759</v>
      </c>
      <c r="G1418">
        <v>9128</v>
      </c>
      <c r="H1418" t="s">
        <v>1659</v>
      </c>
    </row>
    <row r="1419" spans="1:8" hidden="1">
      <c r="A1419" s="71">
        <v>44803</v>
      </c>
      <c r="B1419" t="s">
        <v>180</v>
      </c>
      <c r="C1419" t="s">
        <v>2784</v>
      </c>
      <c r="E1419" s="86">
        <v>4970</v>
      </c>
      <c r="F1419" t="s">
        <v>759</v>
      </c>
      <c r="G1419">
        <v>7800</v>
      </c>
      <c r="H1419" t="s">
        <v>1244</v>
      </c>
    </row>
    <row r="1420" spans="1:8" hidden="1">
      <c r="A1420" s="71">
        <v>44804</v>
      </c>
      <c r="B1420" t="s">
        <v>803</v>
      </c>
      <c r="C1420" t="s">
        <v>2785</v>
      </c>
      <c r="F1420" t="s">
        <v>759</v>
      </c>
      <c r="G1420">
        <v>9129</v>
      </c>
      <c r="H1420" t="s">
        <v>1286</v>
      </c>
    </row>
    <row r="1421" spans="1:8" hidden="1">
      <c r="A1421" s="71">
        <v>44805</v>
      </c>
      <c r="B1421" t="s">
        <v>803</v>
      </c>
      <c r="C1421" t="s">
        <v>2786</v>
      </c>
      <c r="F1421" t="s">
        <v>759</v>
      </c>
      <c r="G1421">
        <v>9130</v>
      </c>
      <c r="H1421" t="s">
        <v>1286</v>
      </c>
    </row>
    <row r="1422" spans="1:8" hidden="1">
      <c r="A1422" s="71">
        <v>44806</v>
      </c>
      <c r="B1422" t="s">
        <v>318</v>
      </c>
      <c r="C1422" t="s">
        <v>2787</v>
      </c>
      <c r="E1422" s="86">
        <v>9529</v>
      </c>
      <c r="F1422" t="s">
        <v>759</v>
      </c>
      <c r="G1422">
        <v>9303</v>
      </c>
      <c r="H1422" t="s">
        <v>1244</v>
      </c>
    </row>
    <row r="1423" spans="1:8" hidden="1">
      <c r="A1423" s="71">
        <v>44809</v>
      </c>
      <c r="B1423" t="s">
        <v>180</v>
      </c>
      <c r="C1423" t="s">
        <v>2788</v>
      </c>
      <c r="F1423" t="s">
        <v>759</v>
      </c>
      <c r="G1423">
        <v>9086</v>
      </c>
      <c r="H1423" t="s">
        <v>1286</v>
      </c>
    </row>
    <row r="1424" spans="1:8" hidden="1">
      <c r="A1424" s="71">
        <v>44810</v>
      </c>
      <c r="B1424" t="s">
        <v>42</v>
      </c>
      <c r="C1424" t="s">
        <v>2789</v>
      </c>
      <c r="F1424" t="s">
        <v>759</v>
      </c>
      <c r="G1424">
        <v>9087</v>
      </c>
      <c r="H1424" t="s">
        <v>1286</v>
      </c>
    </row>
    <row r="1425" spans="1:8" hidden="1">
      <c r="A1425" s="71">
        <v>44813</v>
      </c>
      <c r="B1425" t="s">
        <v>334</v>
      </c>
      <c r="C1425" t="s">
        <v>2790</v>
      </c>
      <c r="E1425" s="86">
        <v>19497</v>
      </c>
      <c r="F1425" t="s">
        <v>759</v>
      </c>
      <c r="G1425">
        <v>9093</v>
      </c>
      <c r="H1425" t="s">
        <v>1286</v>
      </c>
    </row>
    <row r="1426" spans="1:8" hidden="1">
      <c r="A1426" s="71">
        <v>44813</v>
      </c>
      <c r="B1426" t="s">
        <v>328</v>
      </c>
      <c r="C1426" t="s">
        <v>2791</v>
      </c>
      <c r="E1426" s="86">
        <v>76954</v>
      </c>
      <c r="F1426" t="s">
        <v>759</v>
      </c>
      <c r="G1426">
        <v>11010</v>
      </c>
      <c r="H1426" t="s">
        <v>1235</v>
      </c>
    </row>
    <row r="1427" spans="1:8" hidden="1">
      <c r="A1427" s="71">
        <v>44813</v>
      </c>
      <c r="B1427" t="s">
        <v>690</v>
      </c>
      <c r="C1427" t="s">
        <v>2792</v>
      </c>
      <c r="E1427" s="86" t="s">
        <v>2793</v>
      </c>
      <c r="F1427" t="s">
        <v>759</v>
      </c>
      <c r="G1427">
        <v>9094</v>
      </c>
      <c r="H1427" t="s">
        <v>1286</v>
      </c>
    </row>
    <row r="1428" spans="1:8" hidden="1">
      <c r="A1428" s="71">
        <v>44813</v>
      </c>
      <c r="B1428" t="s">
        <v>48</v>
      </c>
      <c r="C1428" t="s">
        <v>2794</v>
      </c>
      <c r="F1428" t="s">
        <v>759</v>
      </c>
      <c r="G1428">
        <v>7085</v>
      </c>
      <c r="H1428" t="s">
        <v>1501</v>
      </c>
    </row>
    <row r="1429" spans="1:8" hidden="1">
      <c r="A1429" s="71">
        <v>44817</v>
      </c>
      <c r="B1429" t="s">
        <v>392</v>
      </c>
      <c r="C1429" t="s">
        <v>2795</v>
      </c>
      <c r="E1429" s="86">
        <v>15775</v>
      </c>
      <c r="F1429" t="s">
        <v>759</v>
      </c>
      <c r="G1429">
        <v>9306</v>
      </c>
      <c r="H1429" t="s">
        <v>1244</v>
      </c>
    </row>
    <row r="1430" spans="1:8" hidden="1">
      <c r="A1430" s="71">
        <v>44823</v>
      </c>
      <c r="B1430" t="s">
        <v>318</v>
      </c>
      <c r="C1430" t="s">
        <v>2796</v>
      </c>
      <c r="E1430" s="86">
        <v>9501</v>
      </c>
      <c r="F1430" t="s">
        <v>759</v>
      </c>
      <c r="G1430">
        <v>9302</v>
      </c>
      <c r="H1430" t="s">
        <v>1244</v>
      </c>
    </row>
    <row r="1431" spans="1:8" hidden="1">
      <c r="A1431" s="71">
        <v>44826</v>
      </c>
      <c r="B1431" t="s">
        <v>341</v>
      </c>
      <c r="C1431" t="s">
        <v>2797</v>
      </c>
      <c r="E1431" s="86">
        <v>7072</v>
      </c>
      <c r="F1431" t="s">
        <v>759</v>
      </c>
      <c r="G1431">
        <v>9312</v>
      </c>
      <c r="H1431" t="s">
        <v>1244</v>
      </c>
    </row>
    <row r="1432" spans="1:8" hidden="1">
      <c r="A1432" s="71">
        <v>44845</v>
      </c>
      <c r="B1432" t="s">
        <v>2798</v>
      </c>
      <c r="C1432" t="s">
        <v>2799</v>
      </c>
      <c r="E1432" s="86">
        <v>4792</v>
      </c>
      <c r="F1432" t="s">
        <v>759</v>
      </c>
      <c r="G1432">
        <v>7379</v>
      </c>
      <c r="H1432" t="s">
        <v>2682</v>
      </c>
    </row>
    <row r="1433" spans="1:8" hidden="1">
      <c r="A1433" s="71">
        <v>44846</v>
      </c>
      <c r="B1433" t="s">
        <v>368</v>
      </c>
      <c r="C1433" t="s">
        <v>2800</v>
      </c>
      <c r="E1433" s="86">
        <v>2064</v>
      </c>
      <c r="F1433" t="s">
        <v>759</v>
      </c>
      <c r="G1433">
        <v>2064</v>
      </c>
      <c r="H1433" t="s">
        <v>1499</v>
      </c>
    </row>
    <row r="1434" spans="1:8" hidden="1">
      <c r="A1434" s="71">
        <v>44852</v>
      </c>
      <c r="B1434" t="s">
        <v>60</v>
      </c>
      <c r="C1434" t="s">
        <v>2801</v>
      </c>
      <c r="F1434" t="s">
        <v>759</v>
      </c>
      <c r="G1434">
        <v>9322</v>
      </c>
      <c r="H1434" t="s">
        <v>1244</v>
      </c>
    </row>
    <row r="1435" spans="1:8" hidden="1">
      <c r="A1435" s="71">
        <v>44855</v>
      </c>
      <c r="B1435" t="s">
        <v>39</v>
      </c>
      <c r="C1435" t="s">
        <v>2802</v>
      </c>
      <c r="E1435" s="86">
        <v>10458</v>
      </c>
      <c r="F1435" t="s">
        <v>759</v>
      </c>
      <c r="G1435">
        <v>9354</v>
      </c>
      <c r="H1435" t="s">
        <v>1499</v>
      </c>
    </row>
    <row r="1436" spans="1:8" hidden="1">
      <c r="A1436" s="71">
        <v>44858</v>
      </c>
      <c r="B1436" t="s">
        <v>359</v>
      </c>
      <c r="C1436" t="s">
        <v>2803</v>
      </c>
      <c r="E1436" s="86">
        <v>7427</v>
      </c>
      <c r="F1436" t="s">
        <v>759</v>
      </c>
      <c r="G1436">
        <v>9355</v>
      </c>
      <c r="H1436" t="s">
        <v>1499</v>
      </c>
    </row>
    <row r="1437" spans="1:8" hidden="1">
      <c r="A1437" s="71">
        <v>44862</v>
      </c>
      <c r="B1437" t="s">
        <v>352</v>
      </c>
      <c r="C1437" t="s">
        <v>2804</v>
      </c>
      <c r="E1437" s="86">
        <v>8255</v>
      </c>
      <c r="F1437" t="s">
        <v>759</v>
      </c>
      <c r="G1437">
        <v>9326</v>
      </c>
      <c r="H1437" t="s">
        <v>1244</v>
      </c>
    </row>
    <row r="1438" spans="1:8" hidden="1">
      <c r="A1438" s="71">
        <v>44869</v>
      </c>
      <c r="B1438" t="s">
        <v>171</v>
      </c>
      <c r="C1438" t="s">
        <v>2805</v>
      </c>
      <c r="F1438" t="s">
        <v>759</v>
      </c>
      <c r="H1438" t="s">
        <v>1725</v>
      </c>
    </row>
    <row r="1439" spans="1:8" hidden="1">
      <c r="A1439" s="71">
        <v>44872</v>
      </c>
      <c r="B1439" t="s">
        <v>362</v>
      </c>
      <c r="C1439" t="s">
        <v>2806</v>
      </c>
      <c r="E1439" s="86">
        <v>11905</v>
      </c>
      <c r="F1439" t="s">
        <v>759</v>
      </c>
      <c r="G1439">
        <v>9328</v>
      </c>
      <c r="H1439" t="s">
        <v>1244</v>
      </c>
    </row>
    <row r="1440" spans="1:8" hidden="1">
      <c r="A1440" s="71">
        <v>44874</v>
      </c>
      <c r="B1440" t="s">
        <v>39</v>
      </c>
      <c r="C1440" t="s">
        <v>2807</v>
      </c>
      <c r="F1440" t="s">
        <v>759</v>
      </c>
      <c r="G1440">
        <v>9329</v>
      </c>
      <c r="H1440" t="s">
        <v>1244</v>
      </c>
    </row>
    <row r="1441" spans="1:8" hidden="1">
      <c r="A1441" s="71">
        <v>44881</v>
      </c>
      <c r="B1441" t="s">
        <v>330</v>
      </c>
      <c r="C1441" t="s">
        <v>2808</v>
      </c>
      <c r="E1441" s="86">
        <v>6315</v>
      </c>
      <c r="F1441" t="s">
        <v>759</v>
      </c>
      <c r="G1441">
        <v>9333</v>
      </c>
      <c r="H1441" t="s">
        <v>1244</v>
      </c>
    </row>
    <row r="1442" spans="1:8" hidden="1">
      <c r="A1442" s="71">
        <v>44888</v>
      </c>
      <c r="B1442" t="s">
        <v>12</v>
      </c>
      <c r="C1442" t="s">
        <v>2809</v>
      </c>
      <c r="E1442" s="86">
        <v>2472</v>
      </c>
      <c r="F1442" t="s">
        <v>759</v>
      </c>
      <c r="G1442">
        <v>7380</v>
      </c>
      <c r="H1442" t="s">
        <v>1246</v>
      </c>
    </row>
    <row r="1443" spans="1:8" hidden="1">
      <c r="A1443" s="71">
        <v>44892</v>
      </c>
      <c r="B1443" t="s">
        <v>313</v>
      </c>
      <c r="C1443" t="s">
        <v>2810</v>
      </c>
      <c r="E1443" s="86">
        <v>19862</v>
      </c>
      <c r="F1443" t="s">
        <v>759</v>
      </c>
      <c r="G1443">
        <v>10289</v>
      </c>
      <c r="H1443" t="s">
        <v>1390</v>
      </c>
    </row>
    <row r="1444" spans="1:8" hidden="1">
      <c r="A1444" s="71">
        <v>44893</v>
      </c>
      <c r="B1444" t="s">
        <v>48</v>
      </c>
      <c r="C1444" t="s">
        <v>2811</v>
      </c>
      <c r="F1444" t="s">
        <v>759</v>
      </c>
      <c r="G1444">
        <v>9332</v>
      </c>
      <c r="H1444" t="s">
        <v>1244</v>
      </c>
    </row>
    <row r="1445" spans="1:8" hidden="1">
      <c r="A1445" s="71">
        <v>44893</v>
      </c>
      <c r="B1445" t="s">
        <v>373</v>
      </c>
      <c r="C1445" t="s">
        <v>2812</v>
      </c>
      <c r="E1445" s="86">
        <v>2981</v>
      </c>
      <c r="F1445" t="s">
        <v>759</v>
      </c>
      <c r="G1445">
        <v>9331</v>
      </c>
      <c r="H1445" t="s">
        <v>1244</v>
      </c>
    </row>
    <row r="1446" spans="1:8" hidden="1">
      <c r="A1446" s="71">
        <v>44904</v>
      </c>
      <c r="B1446" t="s">
        <v>389</v>
      </c>
      <c r="C1446" t="s">
        <v>2813</v>
      </c>
      <c r="F1446" t="s">
        <v>759</v>
      </c>
      <c r="H1446" t="s">
        <v>2682</v>
      </c>
    </row>
    <row r="1447" spans="1:8" hidden="1">
      <c r="A1447" s="71">
        <v>44929</v>
      </c>
      <c r="B1447" t="s">
        <v>191</v>
      </c>
      <c r="C1447" t="s">
        <v>2814</v>
      </c>
      <c r="F1447" t="s">
        <v>759</v>
      </c>
      <c r="G1447">
        <v>10240</v>
      </c>
      <c r="H1447" t="s">
        <v>2682</v>
      </c>
    </row>
    <row r="1448" spans="1:8" hidden="1">
      <c r="A1448" s="71">
        <v>44935</v>
      </c>
      <c r="B1448" t="s">
        <v>2126</v>
      </c>
      <c r="C1448" t="s">
        <v>2815</v>
      </c>
      <c r="E1448" s="86">
        <v>44935</v>
      </c>
      <c r="F1448" t="s">
        <v>759</v>
      </c>
      <c r="G1448">
        <v>9951</v>
      </c>
      <c r="H1448" t="s">
        <v>2682</v>
      </c>
    </row>
    <row r="1449" spans="1:8" hidden="1">
      <c r="A1449" s="71">
        <v>44936</v>
      </c>
      <c r="B1449" t="s">
        <v>368</v>
      </c>
      <c r="C1449" t="s">
        <v>2816</v>
      </c>
      <c r="F1449" t="s">
        <v>759</v>
      </c>
      <c r="G1449">
        <v>9952</v>
      </c>
      <c r="H1449" t="s">
        <v>1499</v>
      </c>
    </row>
    <row r="1450" spans="1:8" hidden="1">
      <c r="A1450" s="71">
        <v>44939</v>
      </c>
      <c r="B1450" t="s">
        <v>163</v>
      </c>
      <c r="C1450" t="s">
        <v>2817</v>
      </c>
      <c r="F1450" t="s">
        <v>759</v>
      </c>
      <c r="G1450">
        <v>9956</v>
      </c>
      <c r="H1450" t="s">
        <v>1499</v>
      </c>
    </row>
    <row r="1451" spans="1:8" hidden="1">
      <c r="A1451" s="71">
        <v>44943</v>
      </c>
      <c r="B1451" t="s">
        <v>311</v>
      </c>
      <c r="C1451" t="s">
        <v>2818</v>
      </c>
      <c r="F1451" t="s">
        <v>759</v>
      </c>
      <c r="G1451">
        <v>9959</v>
      </c>
      <c r="H1451" t="s">
        <v>1499</v>
      </c>
    </row>
    <row r="1452" spans="1:8" hidden="1">
      <c r="A1452" s="71">
        <v>44945</v>
      </c>
      <c r="B1452" t="s">
        <v>163</v>
      </c>
      <c r="C1452" t="s">
        <v>2819</v>
      </c>
      <c r="F1452" t="s">
        <v>759</v>
      </c>
      <c r="G1452">
        <v>9961</v>
      </c>
      <c r="H1452" t="s">
        <v>1499</v>
      </c>
    </row>
    <row r="1453" spans="1:8" hidden="1">
      <c r="A1453" s="71">
        <v>44956</v>
      </c>
      <c r="B1453" t="s">
        <v>162</v>
      </c>
      <c r="C1453" t="s">
        <v>2820</v>
      </c>
      <c r="F1453" t="s">
        <v>759</v>
      </c>
      <c r="G1453">
        <v>10231</v>
      </c>
      <c r="H1453" t="s">
        <v>2682</v>
      </c>
    </row>
    <row r="1454" spans="1:8" hidden="1">
      <c r="A1454" s="71">
        <v>44957</v>
      </c>
      <c r="B1454" t="s">
        <v>159</v>
      </c>
      <c r="C1454" t="s">
        <v>2821</v>
      </c>
      <c r="F1454" t="s">
        <v>759</v>
      </c>
      <c r="G1454">
        <v>10233</v>
      </c>
      <c r="H1454" t="s">
        <v>1235</v>
      </c>
    </row>
    <row r="1455" spans="1:8" hidden="1">
      <c r="A1455" s="71">
        <v>44957</v>
      </c>
      <c r="B1455" t="s">
        <v>336</v>
      </c>
      <c r="C1455" t="s">
        <v>2822</v>
      </c>
      <c r="E1455" s="86">
        <v>9743</v>
      </c>
      <c r="F1455" t="s">
        <v>759</v>
      </c>
      <c r="G1455">
        <v>8350</v>
      </c>
      <c r="H1455" t="s">
        <v>1390</v>
      </c>
    </row>
    <row r="1456" spans="1:8" hidden="1">
      <c r="A1456" s="71">
        <v>44963</v>
      </c>
      <c r="B1456" t="s">
        <v>336</v>
      </c>
      <c r="C1456" t="s">
        <v>2823</v>
      </c>
      <c r="F1456" t="s">
        <v>759</v>
      </c>
      <c r="G1456">
        <v>10244</v>
      </c>
      <c r="H1456" t="s">
        <v>2682</v>
      </c>
    </row>
    <row r="1457" spans="1:8" hidden="1">
      <c r="A1457" s="71">
        <v>44963</v>
      </c>
      <c r="B1457" t="s">
        <v>12</v>
      </c>
      <c r="C1457" t="s">
        <v>2824</v>
      </c>
      <c r="E1457" s="86">
        <v>3220</v>
      </c>
      <c r="F1457" t="s">
        <v>759</v>
      </c>
      <c r="G1457">
        <v>10243</v>
      </c>
      <c r="H1457" t="s">
        <v>2682</v>
      </c>
    </row>
    <row r="1458" spans="1:8" hidden="1">
      <c r="A1458" s="71">
        <v>44963</v>
      </c>
      <c r="B1458" t="s">
        <v>692</v>
      </c>
      <c r="C1458" t="s">
        <v>2825</v>
      </c>
      <c r="F1458" t="s">
        <v>759</v>
      </c>
      <c r="G1458">
        <v>9582</v>
      </c>
      <c r="H1458" t="s">
        <v>1286</v>
      </c>
    </row>
    <row r="1459" spans="1:8" hidden="1">
      <c r="A1459" s="71">
        <v>44964</v>
      </c>
      <c r="B1459" t="s">
        <v>159</v>
      </c>
      <c r="C1459" t="s">
        <v>2826</v>
      </c>
      <c r="F1459" t="s">
        <v>759</v>
      </c>
      <c r="G1459">
        <v>9583</v>
      </c>
      <c r="H1459" t="s">
        <v>1286</v>
      </c>
    </row>
    <row r="1460" spans="1:8" hidden="1">
      <c r="A1460" s="71">
        <v>44964</v>
      </c>
      <c r="B1460" t="s">
        <v>373</v>
      </c>
      <c r="C1460" t="s">
        <v>2827</v>
      </c>
      <c r="E1460" s="86">
        <v>3199.7</v>
      </c>
      <c r="F1460" t="s">
        <v>759</v>
      </c>
      <c r="G1460">
        <v>10242</v>
      </c>
      <c r="H1460" t="s">
        <v>1390</v>
      </c>
    </row>
    <row r="1461" spans="1:8" hidden="1">
      <c r="A1461" s="71">
        <v>44964</v>
      </c>
      <c r="B1461" t="s">
        <v>42</v>
      </c>
      <c r="C1461" t="s">
        <v>2828</v>
      </c>
      <c r="F1461" t="s">
        <v>759</v>
      </c>
      <c r="G1461">
        <v>9584</v>
      </c>
      <c r="H1461" t="s">
        <v>1286</v>
      </c>
    </row>
    <row r="1462" spans="1:8" hidden="1">
      <c r="A1462" s="71">
        <v>44965</v>
      </c>
      <c r="B1462" t="s">
        <v>330</v>
      </c>
      <c r="C1462" t="s">
        <v>2829</v>
      </c>
      <c r="E1462" s="86">
        <v>6328</v>
      </c>
      <c r="F1462" t="s">
        <v>759</v>
      </c>
      <c r="G1462">
        <v>10252</v>
      </c>
      <c r="H1462" t="s">
        <v>1390</v>
      </c>
    </row>
    <row r="1463" spans="1:8" hidden="1">
      <c r="A1463" s="71">
        <v>44965</v>
      </c>
      <c r="B1463" t="s">
        <v>191</v>
      </c>
      <c r="C1463" t="s">
        <v>2830</v>
      </c>
      <c r="F1463" t="s">
        <v>759</v>
      </c>
      <c r="G1463">
        <v>9586</v>
      </c>
      <c r="H1463" t="s">
        <v>1286</v>
      </c>
    </row>
    <row r="1464" spans="1:8" hidden="1">
      <c r="A1464" s="71">
        <v>44965</v>
      </c>
      <c r="B1464" t="s">
        <v>391</v>
      </c>
      <c r="C1464" t="s">
        <v>2831</v>
      </c>
      <c r="F1464" t="s">
        <v>759</v>
      </c>
      <c r="G1464">
        <v>9585</v>
      </c>
      <c r="H1464" t="s">
        <v>1286</v>
      </c>
    </row>
    <row r="1465" spans="1:8" hidden="1">
      <c r="A1465" s="71">
        <v>44966</v>
      </c>
      <c r="B1465" t="s">
        <v>351</v>
      </c>
      <c r="C1465" t="s">
        <v>2832</v>
      </c>
      <c r="F1465" t="s">
        <v>759</v>
      </c>
      <c r="G1465">
        <v>10249</v>
      </c>
      <c r="H1465" t="s">
        <v>2682</v>
      </c>
    </row>
    <row r="1466" spans="1:8" hidden="1">
      <c r="A1466" s="71">
        <v>44966</v>
      </c>
      <c r="B1466" t="s">
        <v>12</v>
      </c>
      <c r="C1466" t="s">
        <v>2833</v>
      </c>
      <c r="E1466" s="86">
        <v>3226</v>
      </c>
      <c r="F1466" t="s">
        <v>759</v>
      </c>
      <c r="G1466">
        <v>10248</v>
      </c>
      <c r="H1466" t="s">
        <v>2682</v>
      </c>
    </row>
    <row r="1467" spans="1:8" hidden="1">
      <c r="A1467" s="71">
        <v>44966</v>
      </c>
      <c r="B1467" t="s">
        <v>12</v>
      </c>
      <c r="C1467" t="s">
        <v>2834</v>
      </c>
      <c r="E1467" s="86">
        <v>3225</v>
      </c>
      <c r="F1467" t="s">
        <v>759</v>
      </c>
      <c r="G1467">
        <v>10246</v>
      </c>
      <c r="H1467" t="s">
        <v>2682</v>
      </c>
    </row>
    <row r="1468" spans="1:8" hidden="1">
      <c r="A1468" s="71">
        <v>44966</v>
      </c>
      <c r="B1468" t="s">
        <v>12</v>
      </c>
      <c r="C1468" t="s">
        <v>2835</v>
      </c>
      <c r="E1468" s="86">
        <v>3226</v>
      </c>
      <c r="F1468" t="s">
        <v>759</v>
      </c>
      <c r="G1468">
        <v>10241</v>
      </c>
      <c r="H1468" t="s">
        <v>2682</v>
      </c>
    </row>
    <row r="1469" spans="1:8" hidden="1">
      <c r="A1469" s="71">
        <v>44966</v>
      </c>
      <c r="B1469" t="s">
        <v>191</v>
      </c>
      <c r="C1469" t="s">
        <v>2836</v>
      </c>
      <c r="E1469" s="86">
        <v>124965</v>
      </c>
      <c r="F1469" t="s">
        <v>759</v>
      </c>
      <c r="G1469">
        <v>9588</v>
      </c>
      <c r="H1469" t="s">
        <v>1286</v>
      </c>
    </row>
    <row r="1470" spans="1:8" hidden="1">
      <c r="A1470" s="71">
        <v>44970</v>
      </c>
      <c r="B1470" t="s">
        <v>25</v>
      </c>
      <c r="C1470" t="s">
        <v>2837</v>
      </c>
      <c r="F1470" t="s">
        <v>759</v>
      </c>
      <c r="G1470">
        <v>10254</v>
      </c>
      <c r="H1470" t="s">
        <v>1390</v>
      </c>
    </row>
    <row r="1471" spans="1:8" hidden="1">
      <c r="A1471" s="71">
        <v>44970</v>
      </c>
      <c r="B1471" t="s">
        <v>146</v>
      </c>
      <c r="C1471" t="s">
        <v>2838</v>
      </c>
      <c r="F1471" t="s">
        <v>759</v>
      </c>
      <c r="G1471">
        <v>9594</v>
      </c>
      <c r="H1471" t="s">
        <v>1286</v>
      </c>
    </row>
    <row r="1472" spans="1:8" hidden="1">
      <c r="A1472" s="71">
        <v>44971</v>
      </c>
      <c r="B1472" t="s">
        <v>162</v>
      </c>
      <c r="C1472" t="s">
        <v>2839</v>
      </c>
      <c r="F1472" t="s">
        <v>759</v>
      </c>
      <c r="G1472">
        <v>10350</v>
      </c>
      <c r="H1472" t="s">
        <v>2682</v>
      </c>
    </row>
    <row r="1473" spans="1:8" hidden="1">
      <c r="A1473" s="71">
        <v>44971</v>
      </c>
      <c r="B1473" t="s">
        <v>159</v>
      </c>
      <c r="C1473" t="s">
        <v>2840</v>
      </c>
      <c r="F1473" t="s">
        <v>759</v>
      </c>
      <c r="G1473">
        <v>9597</v>
      </c>
      <c r="H1473" t="s">
        <v>1286</v>
      </c>
    </row>
    <row r="1474" spans="1:8" hidden="1">
      <c r="A1474" s="71">
        <v>44971</v>
      </c>
      <c r="B1474" t="s">
        <v>39</v>
      </c>
      <c r="C1474" t="s">
        <v>2841</v>
      </c>
      <c r="F1474" t="s">
        <v>759</v>
      </c>
      <c r="G1474">
        <v>9595</v>
      </c>
      <c r="H1474" t="s">
        <v>1286</v>
      </c>
    </row>
    <row r="1475" spans="1:8" hidden="1">
      <c r="A1475" s="71">
        <v>44971</v>
      </c>
      <c r="B1475" t="s">
        <v>29</v>
      </c>
      <c r="C1475" t="s">
        <v>2842</v>
      </c>
      <c r="F1475" t="s">
        <v>759</v>
      </c>
      <c r="G1475">
        <v>13355</v>
      </c>
      <c r="H1475" t="s">
        <v>2682</v>
      </c>
    </row>
    <row r="1476" spans="1:8" hidden="1">
      <c r="A1476" s="71">
        <v>44972</v>
      </c>
      <c r="B1476" t="s">
        <v>362</v>
      </c>
      <c r="C1476" t="s">
        <v>2843</v>
      </c>
      <c r="F1476" t="s">
        <v>759</v>
      </c>
      <c r="G1476">
        <v>9600</v>
      </c>
      <c r="H1476" t="s">
        <v>1286</v>
      </c>
    </row>
    <row r="1477" spans="1:8" hidden="1">
      <c r="A1477" s="71">
        <v>44972</v>
      </c>
      <c r="B1477" t="s">
        <v>35</v>
      </c>
      <c r="C1477" t="s">
        <v>2844</v>
      </c>
      <c r="F1477" t="s">
        <v>759</v>
      </c>
      <c r="G1477">
        <v>10255</v>
      </c>
      <c r="H1477" t="s">
        <v>1390</v>
      </c>
    </row>
    <row r="1478" spans="1:8" hidden="1">
      <c r="A1478" s="71">
        <v>44972</v>
      </c>
      <c r="B1478" t="s">
        <v>146</v>
      </c>
      <c r="C1478" t="s">
        <v>2845</v>
      </c>
      <c r="F1478" t="s">
        <v>759</v>
      </c>
      <c r="G1478">
        <v>9599</v>
      </c>
      <c r="H1478" t="s">
        <v>1286</v>
      </c>
    </row>
    <row r="1479" spans="1:8" hidden="1">
      <c r="A1479" s="71">
        <v>44973</v>
      </c>
      <c r="B1479" t="s">
        <v>351</v>
      </c>
      <c r="C1479" t="s">
        <v>2846</v>
      </c>
      <c r="E1479" s="86">
        <v>7049</v>
      </c>
      <c r="F1479" t="s">
        <v>759</v>
      </c>
      <c r="G1479">
        <v>10356</v>
      </c>
      <c r="H1479" t="s">
        <v>2682</v>
      </c>
    </row>
    <row r="1480" spans="1:8" hidden="1">
      <c r="A1480" s="71">
        <v>44973</v>
      </c>
      <c r="B1480" t="s">
        <v>42</v>
      </c>
      <c r="C1480" t="s">
        <v>2847</v>
      </c>
      <c r="F1480" t="s">
        <v>759</v>
      </c>
      <c r="G1480">
        <v>10103</v>
      </c>
      <c r="H1480" t="s">
        <v>1286</v>
      </c>
    </row>
    <row r="1481" spans="1:8" hidden="1">
      <c r="A1481" s="71">
        <v>44973</v>
      </c>
      <c r="B1481" t="s">
        <v>163</v>
      </c>
      <c r="C1481" t="s">
        <v>2848</v>
      </c>
      <c r="F1481" t="s">
        <v>759</v>
      </c>
      <c r="G1481">
        <v>10101</v>
      </c>
      <c r="H1481" t="s">
        <v>1286</v>
      </c>
    </row>
    <row r="1482" spans="1:8" hidden="1">
      <c r="A1482" s="71">
        <v>44974</v>
      </c>
      <c r="B1482" t="s">
        <v>188</v>
      </c>
      <c r="C1482" t="s">
        <v>2849</v>
      </c>
      <c r="F1482" t="s">
        <v>759</v>
      </c>
      <c r="G1482">
        <v>10105</v>
      </c>
      <c r="H1482" t="s">
        <v>1286</v>
      </c>
    </row>
    <row r="1483" spans="1:8" hidden="1">
      <c r="A1483" s="71">
        <v>44977</v>
      </c>
      <c r="B1483" t="s">
        <v>162</v>
      </c>
      <c r="C1483" t="s">
        <v>2850</v>
      </c>
      <c r="F1483" t="s">
        <v>759</v>
      </c>
      <c r="G1483">
        <v>10357</v>
      </c>
      <c r="H1483" t="s">
        <v>2682</v>
      </c>
    </row>
    <row r="1484" spans="1:8" hidden="1">
      <c r="A1484" s="71">
        <v>44977</v>
      </c>
      <c r="B1484" t="s">
        <v>359</v>
      </c>
      <c r="C1484" t="s">
        <v>2851</v>
      </c>
      <c r="F1484" t="s">
        <v>759</v>
      </c>
      <c r="G1484">
        <v>10106</v>
      </c>
      <c r="H1484" t="s">
        <v>1286</v>
      </c>
    </row>
    <row r="1485" spans="1:8" hidden="1">
      <c r="A1485" s="71">
        <v>44978</v>
      </c>
      <c r="B1485" t="s">
        <v>25</v>
      </c>
      <c r="C1485" t="s">
        <v>2852</v>
      </c>
      <c r="E1485" s="86">
        <v>6599</v>
      </c>
      <c r="F1485" t="s">
        <v>759</v>
      </c>
      <c r="G1485">
        <v>10358</v>
      </c>
      <c r="H1485" t="s">
        <v>2682</v>
      </c>
    </row>
    <row r="1486" spans="1:8" hidden="1">
      <c r="A1486" s="71">
        <v>44979</v>
      </c>
      <c r="B1486" t="s">
        <v>25</v>
      </c>
      <c r="C1486" t="s">
        <v>2853</v>
      </c>
      <c r="F1486" t="s">
        <v>759</v>
      </c>
      <c r="G1486">
        <v>10360</v>
      </c>
      <c r="H1486" t="s">
        <v>2682</v>
      </c>
    </row>
    <row r="1487" spans="1:8" hidden="1">
      <c r="A1487" s="71">
        <v>44979</v>
      </c>
      <c r="B1487" t="s">
        <v>25</v>
      </c>
      <c r="C1487" t="s">
        <v>2854</v>
      </c>
      <c r="F1487" t="s">
        <v>759</v>
      </c>
      <c r="G1487">
        <v>10359</v>
      </c>
      <c r="H1487" t="s">
        <v>2682</v>
      </c>
    </row>
    <row r="1488" spans="1:8" hidden="1">
      <c r="A1488" s="71">
        <v>44979</v>
      </c>
      <c r="B1488" t="s">
        <v>377</v>
      </c>
      <c r="C1488" t="s">
        <v>2855</v>
      </c>
      <c r="E1488" s="86">
        <v>7770</v>
      </c>
      <c r="F1488" t="s">
        <v>759</v>
      </c>
      <c r="G1488">
        <v>10111</v>
      </c>
      <c r="H1488" t="s">
        <v>1286</v>
      </c>
    </row>
    <row r="1489" spans="1:8" hidden="1">
      <c r="A1489" s="71">
        <v>44980</v>
      </c>
      <c r="B1489" t="s">
        <v>397</v>
      </c>
      <c r="C1489" t="s">
        <v>2856</v>
      </c>
      <c r="E1489" s="86">
        <v>5588</v>
      </c>
      <c r="F1489" t="s">
        <v>759</v>
      </c>
      <c r="G1489">
        <v>10113</v>
      </c>
      <c r="H1489" t="s">
        <v>1286</v>
      </c>
    </row>
    <row r="1490" spans="1:8" hidden="1">
      <c r="A1490" s="71">
        <v>44980</v>
      </c>
      <c r="B1490" t="s">
        <v>573</v>
      </c>
      <c r="C1490" t="s">
        <v>2857</v>
      </c>
      <c r="F1490" t="s">
        <v>759</v>
      </c>
      <c r="G1490">
        <v>10114</v>
      </c>
      <c r="H1490" t="s">
        <v>1286</v>
      </c>
    </row>
    <row r="1491" spans="1:8" hidden="1">
      <c r="A1491" s="71">
        <v>44981</v>
      </c>
      <c r="B1491" t="s">
        <v>371</v>
      </c>
      <c r="C1491" t="s">
        <v>2858</v>
      </c>
      <c r="E1491" s="86">
        <v>14579</v>
      </c>
      <c r="F1491" t="s">
        <v>759</v>
      </c>
      <c r="G1491">
        <v>10361</v>
      </c>
      <c r="H1491" t="s">
        <v>2682</v>
      </c>
    </row>
    <row r="1492" spans="1:8" hidden="1">
      <c r="A1492" s="71">
        <v>44985</v>
      </c>
      <c r="B1492" t="s">
        <v>346</v>
      </c>
      <c r="C1492" t="s">
        <v>2859</v>
      </c>
      <c r="E1492" s="86">
        <v>176</v>
      </c>
      <c r="F1492" t="s">
        <v>759</v>
      </c>
      <c r="G1492">
        <v>10124</v>
      </c>
      <c r="H1492" t="s">
        <v>1286</v>
      </c>
    </row>
    <row r="1493" spans="1:8" hidden="1">
      <c r="A1493" s="71">
        <v>44986</v>
      </c>
      <c r="B1493" t="s">
        <v>157</v>
      </c>
      <c r="C1493" t="s">
        <v>2860</v>
      </c>
      <c r="F1493" t="s">
        <v>759</v>
      </c>
      <c r="G1493">
        <v>10126</v>
      </c>
      <c r="H1493" t="s">
        <v>1286</v>
      </c>
    </row>
    <row r="1494" spans="1:8" hidden="1">
      <c r="A1494" s="71">
        <v>44987</v>
      </c>
      <c r="B1494" t="s">
        <v>35</v>
      </c>
      <c r="C1494" t="s">
        <v>2861</v>
      </c>
      <c r="F1494" t="s">
        <v>759</v>
      </c>
      <c r="G1494">
        <v>10258</v>
      </c>
      <c r="H1494" t="s">
        <v>1390</v>
      </c>
    </row>
    <row r="1495" spans="1:8" hidden="1">
      <c r="A1495" s="71">
        <v>44987</v>
      </c>
      <c r="B1495" t="s">
        <v>19</v>
      </c>
      <c r="C1495" t="s">
        <v>2862</v>
      </c>
      <c r="F1495" t="s">
        <v>759</v>
      </c>
      <c r="G1495">
        <v>10257</v>
      </c>
      <c r="H1495" t="s">
        <v>1390</v>
      </c>
    </row>
    <row r="1496" spans="1:8" hidden="1">
      <c r="A1496" s="71">
        <v>44987</v>
      </c>
      <c r="B1496" t="s">
        <v>391</v>
      </c>
      <c r="C1496" t="s">
        <v>2863</v>
      </c>
      <c r="E1496" s="86">
        <v>6640</v>
      </c>
      <c r="F1496" t="s">
        <v>759</v>
      </c>
      <c r="G1496">
        <v>10238</v>
      </c>
      <c r="H1496" t="s">
        <v>1390</v>
      </c>
    </row>
    <row r="1497" spans="1:8" hidden="1">
      <c r="A1497" s="71">
        <v>44987</v>
      </c>
      <c r="B1497" t="s">
        <v>157</v>
      </c>
      <c r="C1497" t="s">
        <v>2864</v>
      </c>
      <c r="E1497" s="86">
        <v>12895</v>
      </c>
      <c r="F1497" t="s">
        <v>759</v>
      </c>
      <c r="G1497">
        <v>10128</v>
      </c>
      <c r="H1497" t="s">
        <v>1286</v>
      </c>
    </row>
    <row r="1498" spans="1:8" hidden="1">
      <c r="A1498" s="71">
        <v>44987</v>
      </c>
      <c r="B1498" t="s">
        <v>392</v>
      </c>
      <c r="C1498" t="s">
        <v>2865</v>
      </c>
      <c r="F1498" t="s">
        <v>759</v>
      </c>
      <c r="G1498">
        <v>10251</v>
      </c>
      <c r="H1498" t="s">
        <v>1390</v>
      </c>
    </row>
    <row r="1499" spans="1:8" hidden="1">
      <c r="A1499" s="71">
        <v>44988</v>
      </c>
      <c r="B1499" t="s">
        <v>318</v>
      </c>
      <c r="C1499" t="s">
        <v>2866</v>
      </c>
      <c r="E1499" s="86">
        <v>8464</v>
      </c>
      <c r="F1499" t="s">
        <v>759</v>
      </c>
      <c r="G1499">
        <v>10367</v>
      </c>
      <c r="H1499" t="s">
        <v>2682</v>
      </c>
    </row>
    <row r="1500" spans="1:8" hidden="1">
      <c r="A1500" s="71">
        <v>44988</v>
      </c>
      <c r="B1500" t="s">
        <v>328</v>
      </c>
      <c r="C1500" t="s">
        <v>2867</v>
      </c>
      <c r="F1500" t="s">
        <v>759</v>
      </c>
      <c r="G1500">
        <v>10130</v>
      </c>
      <c r="H1500" t="s">
        <v>1286</v>
      </c>
    </row>
    <row r="1501" spans="1:8" hidden="1">
      <c r="A1501" s="71">
        <v>44988</v>
      </c>
      <c r="B1501" t="s">
        <v>573</v>
      </c>
      <c r="C1501" t="s">
        <v>2868</v>
      </c>
      <c r="F1501" t="s">
        <v>759</v>
      </c>
      <c r="G1501">
        <v>10131</v>
      </c>
      <c r="H1501" t="s">
        <v>1286</v>
      </c>
    </row>
    <row r="1502" spans="1:8" hidden="1">
      <c r="A1502" s="71">
        <v>44991</v>
      </c>
      <c r="B1502" t="s">
        <v>336</v>
      </c>
      <c r="C1502" t="s">
        <v>2869</v>
      </c>
      <c r="E1502" s="86">
        <v>9744</v>
      </c>
      <c r="F1502" t="s">
        <v>759</v>
      </c>
      <c r="G1502">
        <v>10262</v>
      </c>
      <c r="H1502" t="s">
        <v>1390</v>
      </c>
    </row>
    <row r="1503" spans="1:8" hidden="1">
      <c r="A1503" s="71">
        <v>44991</v>
      </c>
      <c r="B1503" t="s">
        <v>202</v>
      </c>
      <c r="C1503" t="s">
        <v>2870</v>
      </c>
      <c r="F1503" t="s">
        <v>759</v>
      </c>
      <c r="G1503">
        <v>10134</v>
      </c>
      <c r="H1503" t="s">
        <v>1286</v>
      </c>
    </row>
    <row r="1504" spans="1:8" hidden="1">
      <c r="A1504" s="71">
        <v>44991</v>
      </c>
      <c r="B1504" t="s">
        <v>39</v>
      </c>
      <c r="C1504" t="s">
        <v>2871</v>
      </c>
      <c r="F1504" t="s">
        <v>759</v>
      </c>
      <c r="G1504">
        <v>10132</v>
      </c>
      <c r="H1504" t="s">
        <v>1286</v>
      </c>
    </row>
    <row r="1505" spans="1:8" hidden="1">
      <c r="A1505" s="71">
        <v>44992</v>
      </c>
      <c r="B1505" t="s">
        <v>202</v>
      </c>
      <c r="C1505" t="s">
        <v>2872</v>
      </c>
      <c r="F1505" t="s">
        <v>759</v>
      </c>
      <c r="G1505">
        <v>10135</v>
      </c>
      <c r="H1505" t="s">
        <v>1286</v>
      </c>
    </row>
    <row r="1506" spans="1:8" hidden="1">
      <c r="A1506" s="71">
        <v>44993</v>
      </c>
      <c r="B1506" t="s">
        <v>696</v>
      </c>
      <c r="C1506" t="s">
        <v>2873</v>
      </c>
      <c r="E1506" s="86">
        <v>74.3</v>
      </c>
      <c r="F1506" t="s">
        <v>759</v>
      </c>
      <c r="G1506">
        <v>10374</v>
      </c>
      <c r="H1506" t="s">
        <v>2682</v>
      </c>
    </row>
    <row r="1507" spans="1:8" hidden="1">
      <c r="A1507" s="71">
        <v>44994</v>
      </c>
      <c r="B1507" t="s">
        <v>318</v>
      </c>
      <c r="C1507" t="s">
        <v>2874</v>
      </c>
      <c r="E1507" s="86">
        <v>9888</v>
      </c>
      <c r="F1507" t="s">
        <v>759</v>
      </c>
      <c r="G1507">
        <v>19378</v>
      </c>
      <c r="H1507" t="s">
        <v>2682</v>
      </c>
    </row>
    <row r="1508" spans="1:8" hidden="1">
      <c r="A1508" s="71">
        <v>44994</v>
      </c>
      <c r="B1508" t="s">
        <v>377</v>
      </c>
      <c r="C1508" t="s">
        <v>2875</v>
      </c>
      <c r="E1508" s="86">
        <v>7792</v>
      </c>
      <c r="F1508" t="s">
        <v>759</v>
      </c>
      <c r="G1508">
        <v>10261</v>
      </c>
      <c r="H1508" t="s">
        <v>1390</v>
      </c>
    </row>
    <row r="1509" spans="1:8" hidden="1">
      <c r="A1509" s="71">
        <v>44998</v>
      </c>
      <c r="B1509" t="s">
        <v>163</v>
      </c>
      <c r="C1509" t="s">
        <v>2876</v>
      </c>
      <c r="E1509" s="86">
        <v>6376</v>
      </c>
      <c r="F1509" t="s">
        <v>759</v>
      </c>
      <c r="G1509">
        <v>101476</v>
      </c>
      <c r="H1509" t="s">
        <v>1286</v>
      </c>
    </row>
    <row r="1510" spans="1:8" hidden="1">
      <c r="A1510" s="71">
        <v>44998</v>
      </c>
      <c r="B1510" t="s">
        <v>388</v>
      </c>
      <c r="C1510" t="s">
        <v>2877</v>
      </c>
      <c r="F1510" t="s">
        <v>759</v>
      </c>
      <c r="G1510">
        <v>10149</v>
      </c>
      <c r="H1510" t="s">
        <v>1286</v>
      </c>
    </row>
    <row r="1511" spans="1:8" hidden="1">
      <c r="A1511" s="71">
        <v>45000</v>
      </c>
      <c r="B1511" t="s">
        <v>388</v>
      </c>
      <c r="C1511" t="s">
        <v>2878</v>
      </c>
      <c r="F1511" t="s">
        <v>759</v>
      </c>
      <c r="G1511">
        <v>10551</v>
      </c>
      <c r="H1511" t="s">
        <v>1286</v>
      </c>
    </row>
    <row r="1512" spans="1:8" hidden="1">
      <c r="A1512" s="71">
        <v>45002</v>
      </c>
      <c r="B1512" t="s">
        <v>388</v>
      </c>
      <c r="C1512" t="s">
        <v>2879</v>
      </c>
      <c r="E1512" s="86">
        <v>11214</v>
      </c>
      <c r="F1512" t="s">
        <v>759</v>
      </c>
      <c r="G1512">
        <v>10557</v>
      </c>
      <c r="H1512" t="s">
        <v>1286</v>
      </c>
    </row>
    <row r="1513" spans="1:8" hidden="1">
      <c r="A1513" s="71">
        <v>45006</v>
      </c>
      <c r="B1513" t="s">
        <v>388</v>
      </c>
      <c r="C1513" t="s">
        <v>2880</v>
      </c>
      <c r="F1513" t="s">
        <v>759</v>
      </c>
      <c r="G1513">
        <v>10562</v>
      </c>
      <c r="H1513" t="s">
        <v>1286</v>
      </c>
    </row>
    <row r="1514" spans="1:8" hidden="1">
      <c r="A1514" s="71">
        <v>45006</v>
      </c>
      <c r="B1514" t="s">
        <v>601</v>
      </c>
      <c r="C1514" t="s">
        <v>2881</v>
      </c>
      <c r="F1514" t="s">
        <v>759</v>
      </c>
      <c r="G1514">
        <v>10385</v>
      </c>
      <c r="H1514" t="s">
        <v>2682</v>
      </c>
    </row>
    <row r="1515" spans="1:8" hidden="1">
      <c r="A1515" s="71">
        <v>45008</v>
      </c>
      <c r="B1515" t="s">
        <v>146</v>
      </c>
      <c r="C1515" t="s">
        <v>2882</v>
      </c>
      <c r="F1515" t="s">
        <v>759</v>
      </c>
      <c r="G1515">
        <v>10568</v>
      </c>
      <c r="H1515" t="s">
        <v>1286</v>
      </c>
    </row>
    <row r="1516" spans="1:8" hidden="1">
      <c r="A1516" s="71">
        <v>45008</v>
      </c>
      <c r="B1516" t="s">
        <v>12</v>
      </c>
      <c r="C1516" t="s">
        <v>2883</v>
      </c>
      <c r="F1516" t="s">
        <v>759</v>
      </c>
      <c r="H1516" t="s">
        <v>1286</v>
      </c>
    </row>
    <row r="1517" spans="1:8" hidden="1">
      <c r="A1517" s="71">
        <v>45008</v>
      </c>
      <c r="B1517" t="s">
        <v>146</v>
      </c>
      <c r="C1517" t="s">
        <v>2884</v>
      </c>
      <c r="F1517" t="s">
        <v>759</v>
      </c>
      <c r="H1517" t="s">
        <v>1286</v>
      </c>
    </row>
    <row r="1518" spans="1:8" hidden="1">
      <c r="A1518" s="71">
        <v>45008</v>
      </c>
      <c r="B1518" t="s">
        <v>146</v>
      </c>
      <c r="C1518" t="s">
        <v>2885</v>
      </c>
      <c r="F1518" t="s">
        <v>759</v>
      </c>
      <c r="H1518" t="s">
        <v>1286</v>
      </c>
    </row>
    <row r="1519" spans="1:8" hidden="1">
      <c r="A1519" s="71">
        <v>45012</v>
      </c>
      <c r="B1519" t="s">
        <v>388</v>
      </c>
      <c r="C1519" t="s">
        <v>2886</v>
      </c>
      <c r="F1519" t="s">
        <v>759</v>
      </c>
      <c r="G1519">
        <v>10572</v>
      </c>
      <c r="H1519" t="s">
        <v>1286</v>
      </c>
    </row>
    <row r="1520" spans="1:8" hidden="1">
      <c r="A1520" s="71">
        <v>45012</v>
      </c>
      <c r="B1520" t="s">
        <v>573</v>
      </c>
      <c r="C1520" t="s">
        <v>2887</v>
      </c>
      <c r="F1520" t="s">
        <v>759</v>
      </c>
      <c r="G1520">
        <v>10573</v>
      </c>
      <c r="H1520" t="s">
        <v>1286</v>
      </c>
    </row>
    <row r="1521" spans="1:8" hidden="1">
      <c r="A1521" s="71">
        <v>45013</v>
      </c>
      <c r="B1521" t="s">
        <v>143</v>
      </c>
      <c r="C1521" t="s">
        <v>2888</v>
      </c>
      <c r="F1521" t="s">
        <v>759</v>
      </c>
      <c r="G1521">
        <v>10575</v>
      </c>
      <c r="H1521" t="s">
        <v>1286</v>
      </c>
    </row>
    <row r="1522" spans="1:8" hidden="1">
      <c r="A1522" s="71">
        <v>45013</v>
      </c>
      <c r="B1522" t="s">
        <v>373</v>
      </c>
      <c r="C1522" t="s">
        <v>2889</v>
      </c>
      <c r="F1522" t="s">
        <v>759</v>
      </c>
      <c r="G1522">
        <v>10574</v>
      </c>
      <c r="H1522" t="s">
        <v>1286</v>
      </c>
    </row>
    <row r="1523" spans="1:8" hidden="1">
      <c r="A1523" s="71">
        <v>45014</v>
      </c>
      <c r="B1523" t="s">
        <v>143</v>
      </c>
      <c r="C1523" t="s">
        <v>2890</v>
      </c>
      <c r="F1523" t="s">
        <v>759</v>
      </c>
      <c r="G1523">
        <v>10576</v>
      </c>
      <c r="H1523" t="s">
        <v>1286</v>
      </c>
    </row>
    <row r="1524" spans="1:8" hidden="1">
      <c r="A1524" s="71">
        <v>45015</v>
      </c>
      <c r="B1524" t="s">
        <v>368</v>
      </c>
      <c r="C1524" t="s">
        <v>2891</v>
      </c>
      <c r="E1524" s="86">
        <v>2148</v>
      </c>
      <c r="F1524" t="s">
        <v>759</v>
      </c>
      <c r="G1524">
        <v>10578</v>
      </c>
      <c r="H1524" t="s">
        <v>1286</v>
      </c>
    </row>
    <row r="1525" spans="1:8" hidden="1">
      <c r="A1525" s="71">
        <v>45019</v>
      </c>
      <c r="B1525" t="s">
        <v>352</v>
      </c>
      <c r="C1525" t="s">
        <v>2892</v>
      </c>
      <c r="E1525" s="86">
        <v>2282</v>
      </c>
      <c r="F1525" t="s">
        <v>759</v>
      </c>
      <c r="G1525">
        <v>10806</v>
      </c>
      <c r="H1525" t="s">
        <v>1499</v>
      </c>
    </row>
    <row r="1526" spans="1:8" hidden="1">
      <c r="A1526" s="71">
        <v>45019</v>
      </c>
      <c r="B1526" t="s">
        <v>346</v>
      </c>
      <c r="C1526" t="s">
        <v>2893</v>
      </c>
      <c r="E1526" s="86">
        <v>293</v>
      </c>
      <c r="F1526" t="s">
        <v>759</v>
      </c>
      <c r="G1526">
        <v>10801</v>
      </c>
      <c r="H1526" t="s">
        <v>1499</v>
      </c>
    </row>
    <row r="1527" spans="1:8" hidden="1">
      <c r="A1527" s="71">
        <v>45019</v>
      </c>
      <c r="B1527" t="s">
        <v>29</v>
      </c>
      <c r="C1527" t="s">
        <v>2894</v>
      </c>
      <c r="E1527" s="86">
        <v>6772</v>
      </c>
      <c r="F1527" t="s">
        <v>759</v>
      </c>
      <c r="G1527">
        <v>10802</v>
      </c>
      <c r="H1527" t="s">
        <v>1499</v>
      </c>
    </row>
    <row r="1528" spans="1:8" hidden="1">
      <c r="A1528" s="71">
        <v>45020</v>
      </c>
      <c r="B1528" t="s">
        <v>346</v>
      </c>
      <c r="C1528" t="s">
        <v>2895</v>
      </c>
      <c r="E1528" s="86">
        <v>286</v>
      </c>
      <c r="F1528" t="s">
        <v>759</v>
      </c>
      <c r="G1528">
        <v>10808</v>
      </c>
      <c r="H1528" t="s">
        <v>1499</v>
      </c>
    </row>
    <row r="1529" spans="1:8" hidden="1">
      <c r="A1529" s="71">
        <v>45020</v>
      </c>
      <c r="B1529" t="s">
        <v>39</v>
      </c>
      <c r="C1529" t="s">
        <v>2896</v>
      </c>
      <c r="F1529" t="s">
        <v>759</v>
      </c>
      <c r="G1529">
        <v>10807</v>
      </c>
      <c r="H1529" t="s">
        <v>1499</v>
      </c>
    </row>
    <row r="1530" spans="1:8" hidden="1">
      <c r="A1530" s="71">
        <v>45020</v>
      </c>
      <c r="B1530" t="s">
        <v>48</v>
      </c>
      <c r="C1530" t="s">
        <v>2897</v>
      </c>
      <c r="F1530" t="s">
        <v>759</v>
      </c>
      <c r="G1530">
        <v>10804</v>
      </c>
      <c r="H1530" t="s">
        <v>1499</v>
      </c>
    </row>
    <row r="1531" spans="1:8" hidden="1">
      <c r="A1531" s="71">
        <v>45020</v>
      </c>
      <c r="B1531" t="s">
        <v>202</v>
      </c>
      <c r="C1531" t="s">
        <v>2898</v>
      </c>
      <c r="F1531" t="s">
        <v>759</v>
      </c>
      <c r="G1531">
        <v>10803</v>
      </c>
      <c r="H1531" t="s">
        <v>1560</v>
      </c>
    </row>
    <row r="1532" spans="1:8" hidden="1">
      <c r="A1532" s="71">
        <v>45020</v>
      </c>
      <c r="B1532" t="s">
        <v>362</v>
      </c>
      <c r="C1532" t="s">
        <v>2899</v>
      </c>
      <c r="F1532" t="s">
        <v>759</v>
      </c>
      <c r="G1532">
        <v>10587</v>
      </c>
      <c r="H1532" t="s">
        <v>1286</v>
      </c>
    </row>
    <row r="1533" spans="1:8" hidden="1">
      <c r="A1533" s="71">
        <v>45020</v>
      </c>
      <c r="B1533" t="s">
        <v>346</v>
      </c>
      <c r="C1533" t="s">
        <v>2900</v>
      </c>
      <c r="F1533" t="s">
        <v>759</v>
      </c>
      <c r="G1533">
        <v>10591</v>
      </c>
      <c r="H1533" t="s">
        <v>1286</v>
      </c>
    </row>
    <row r="1534" spans="1:8" hidden="1">
      <c r="A1534" s="71">
        <v>45020</v>
      </c>
      <c r="B1534" t="s">
        <v>330</v>
      </c>
      <c r="C1534" t="s">
        <v>2901</v>
      </c>
      <c r="F1534" t="s">
        <v>759</v>
      </c>
      <c r="G1534">
        <v>10590</v>
      </c>
      <c r="H1534" t="s">
        <v>1286</v>
      </c>
    </row>
    <row r="1535" spans="1:8" hidden="1">
      <c r="A1535" s="71">
        <v>45021</v>
      </c>
      <c r="B1535" t="s">
        <v>150</v>
      </c>
      <c r="C1535" t="s">
        <v>2902</v>
      </c>
      <c r="F1535" t="s">
        <v>759</v>
      </c>
      <c r="G1535">
        <v>10810</v>
      </c>
      <c r="H1535" t="s">
        <v>1499</v>
      </c>
    </row>
    <row r="1536" spans="1:8" hidden="1">
      <c r="A1536" s="71">
        <v>45021</v>
      </c>
      <c r="B1536" t="s">
        <v>311</v>
      </c>
      <c r="C1536" t="s">
        <v>2903</v>
      </c>
      <c r="F1536" t="s">
        <v>759</v>
      </c>
      <c r="G1536">
        <v>10594</v>
      </c>
      <c r="H1536" t="s">
        <v>1286</v>
      </c>
    </row>
    <row r="1537" spans="1:8" hidden="1">
      <c r="A1537" s="71">
        <v>45022</v>
      </c>
      <c r="B1537" t="s">
        <v>388</v>
      </c>
      <c r="C1537" t="s">
        <v>2904</v>
      </c>
      <c r="F1537" t="s">
        <v>759</v>
      </c>
      <c r="G1537">
        <v>10595</v>
      </c>
      <c r="H1537" t="s">
        <v>1286</v>
      </c>
    </row>
    <row r="1538" spans="1:8" hidden="1">
      <c r="A1538" s="71">
        <v>45026</v>
      </c>
      <c r="B1538" t="s">
        <v>202</v>
      </c>
      <c r="C1538" t="s">
        <v>2905</v>
      </c>
      <c r="F1538" t="s">
        <v>759</v>
      </c>
      <c r="G1538">
        <v>10813</v>
      </c>
      <c r="H1538" t="s">
        <v>1499</v>
      </c>
    </row>
    <row r="1539" spans="1:8" hidden="1">
      <c r="A1539" s="71">
        <v>45026</v>
      </c>
      <c r="B1539" t="s">
        <v>697</v>
      </c>
      <c r="C1539" t="s">
        <v>2906</v>
      </c>
      <c r="E1539" s="86">
        <v>1179</v>
      </c>
      <c r="F1539" t="s">
        <v>759</v>
      </c>
      <c r="G1539">
        <v>10812</v>
      </c>
      <c r="H1539" t="s">
        <v>1499</v>
      </c>
    </row>
    <row r="1540" spans="1:8" hidden="1">
      <c r="A1540" s="71">
        <v>45026</v>
      </c>
      <c r="B1540" t="s">
        <v>330</v>
      </c>
      <c r="C1540" t="s">
        <v>2906</v>
      </c>
      <c r="E1540" s="86">
        <v>6537</v>
      </c>
      <c r="F1540" t="s">
        <v>759</v>
      </c>
      <c r="G1540">
        <v>10811</v>
      </c>
      <c r="H1540" t="s">
        <v>1499</v>
      </c>
    </row>
    <row r="1541" spans="1:8" hidden="1">
      <c r="A1541" s="71">
        <v>45026</v>
      </c>
      <c r="B1541" t="s">
        <v>19</v>
      </c>
      <c r="C1541" t="s">
        <v>2907</v>
      </c>
      <c r="F1541" t="s">
        <v>759</v>
      </c>
      <c r="H1541" t="s">
        <v>1286</v>
      </c>
    </row>
    <row r="1542" spans="1:8" hidden="1">
      <c r="A1542" s="71">
        <v>45027</v>
      </c>
      <c r="B1542" t="s">
        <v>202</v>
      </c>
      <c r="C1542" t="s">
        <v>2908</v>
      </c>
      <c r="E1542" s="86">
        <v>1179</v>
      </c>
      <c r="F1542" t="s">
        <v>759</v>
      </c>
      <c r="G1542">
        <v>10815</v>
      </c>
      <c r="H1542" t="s">
        <v>1499</v>
      </c>
    </row>
    <row r="1543" spans="1:8" hidden="1">
      <c r="A1543" s="71">
        <v>45028</v>
      </c>
      <c r="B1543" t="s">
        <v>150</v>
      </c>
      <c r="C1543" t="s">
        <v>2619</v>
      </c>
      <c r="F1543" t="s">
        <v>759</v>
      </c>
      <c r="H1543" t="s">
        <v>1286</v>
      </c>
    </row>
    <row r="1544" spans="1:8" hidden="1">
      <c r="A1544" s="71">
        <v>45028</v>
      </c>
      <c r="B1544" t="s">
        <v>388</v>
      </c>
      <c r="C1544" t="s">
        <v>2909</v>
      </c>
      <c r="E1544" s="86">
        <v>11275</v>
      </c>
      <c r="F1544" t="s">
        <v>759</v>
      </c>
      <c r="G1544">
        <v>10821</v>
      </c>
      <c r="H1544" t="s">
        <v>1499</v>
      </c>
    </row>
    <row r="1545" spans="1:8" hidden="1">
      <c r="A1545" s="71">
        <v>45028</v>
      </c>
      <c r="B1545" t="s">
        <v>391</v>
      </c>
      <c r="C1545" t="s">
        <v>2910</v>
      </c>
      <c r="E1545" s="86">
        <v>6845</v>
      </c>
      <c r="F1545" t="s">
        <v>759</v>
      </c>
      <c r="G1545">
        <v>10819</v>
      </c>
      <c r="H1545" t="s">
        <v>1499</v>
      </c>
    </row>
    <row r="1546" spans="1:8" hidden="1">
      <c r="A1546" s="71">
        <v>45028</v>
      </c>
      <c r="B1546" t="s">
        <v>25</v>
      </c>
      <c r="C1546" t="s">
        <v>2911</v>
      </c>
      <c r="E1546" s="86">
        <v>5216</v>
      </c>
      <c r="F1546" t="s">
        <v>759</v>
      </c>
      <c r="G1546">
        <v>10816</v>
      </c>
      <c r="H1546" t="s">
        <v>1499</v>
      </c>
    </row>
    <row r="1547" spans="1:8" hidden="1">
      <c r="A1547" s="71">
        <v>45028</v>
      </c>
      <c r="B1547" t="s">
        <v>586</v>
      </c>
      <c r="C1547" t="s">
        <v>2912</v>
      </c>
      <c r="F1547" t="s">
        <v>759</v>
      </c>
      <c r="G1547">
        <v>10705</v>
      </c>
      <c r="H1547" t="s">
        <v>1286</v>
      </c>
    </row>
    <row r="1548" spans="1:8" hidden="1">
      <c r="A1548" s="71">
        <v>45028</v>
      </c>
      <c r="B1548" t="s">
        <v>573</v>
      </c>
      <c r="C1548" t="s">
        <v>2913</v>
      </c>
      <c r="E1548" s="86">
        <v>452210</v>
      </c>
      <c r="F1548" t="s">
        <v>759</v>
      </c>
      <c r="G1548">
        <v>10820</v>
      </c>
      <c r="H1548" t="s">
        <v>1499</v>
      </c>
    </row>
    <row r="1549" spans="1:8" hidden="1">
      <c r="A1549" s="71">
        <v>45029</v>
      </c>
      <c r="B1549" t="s">
        <v>368</v>
      </c>
      <c r="C1549" t="s">
        <v>2914</v>
      </c>
      <c r="F1549" t="s">
        <v>759</v>
      </c>
      <c r="G1549">
        <v>10882</v>
      </c>
      <c r="H1549" t="s">
        <v>1499</v>
      </c>
    </row>
    <row r="1550" spans="1:8" hidden="1">
      <c r="A1550" s="71">
        <v>45029</v>
      </c>
      <c r="B1550" t="s">
        <v>60</v>
      </c>
      <c r="C1550" t="s">
        <v>2915</v>
      </c>
      <c r="F1550" t="s">
        <v>759</v>
      </c>
      <c r="G1550">
        <v>10823</v>
      </c>
      <c r="H1550" t="s">
        <v>1499</v>
      </c>
    </row>
    <row r="1551" spans="1:8" hidden="1">
      <c r="A1551" s="71">
        <v>45029</v>
      </c>
      <c r="B1551" t="s">
        <v>53</v>
      </c>
      <c r="C1551" t="s">
        <v>2916</v>
      </c>
      <c r="E1551" s="86">
        <v>206</v>
      </c>
      <c r="F1551" t="s">
        <v>759</v>
      </c>
      <c r="G1551">
        <v>10818</v>
      </c>
      <c r="H1551" t="s">
        <v>1499</v>
      </c>
    </row>
    <row r="1552" spans="1:8" hidden="1">
      <c r="A1552" s="71">
        <v>45029</v>
      </c>
      <c r="B1552" t="s">
        <v>351</v>
      </c>
      <c r="C1552" t="s">
        <v>2917</v>
      </c>
      <c r="E1552" s="86">
        <v>7233</v>
      </c>
      <c r="F1552" t="s">
        <v>759</v>
      </c>
      <c r="G1552">
        <v>10817</v>
      </c>
      <c r="H1552" t="s">
        <v>1499</v>
      </c>
    </row>
    <row r="1553" spans="1:8" hidden="1">
      <c r="A1553" s="71">
        <v>45029</v>
      </c>
      <c r="B1553" t="s">
        <v>582</v>
      </c>
      <c r="C1553" t="s">
        <v>2918</v>
      </c>
      <c r="F1553" t="s">
        <v>759</v>
      </c>
      <c r="G1553">
        <v>10710</v>
      </c>
      <c r="H1553" t="s">
        <v>1286</v>
      </c>
    </row>
    <row r="1554" spans="1:8" hidden="1">
      <c r="A1554" s="71">
        <v>45029</v>
      </c>
      <c r="B1554" t="s">
        <v>397</v>
      </c>
      <c r="C1554" t="s">
        <v>2919</v>
      </c>
      <c r="E1554" s="86">
        <v>5817</v>
      </c>
      <c r="F1554" t="s">
        <v>759</v>
      </c>
      <c r="G1554">
        <v>10706</v>
      </c>
      <c r="H1554" t="s">
        <v>1286</v>
      </c>
    </row>
    <row r="1555" spans="1:8" hidden="1">
      <c r="A1555" s="71">
        <v>45030</v>
      </c>
      <c r="B1555" t="s">
        <v>191</v>
      </c>
      <c r="C1555" t="s">
        <v>2920</v>
      </c>
      <c r="F1555" t="s">
        <v>759</v>
      </c>
      <c r="G1555">
        <v>10713</v>
      </c>
      <c r="H1555" t="s">
        <v>1286</v>
      </c>
    </row>
    <row r="1556" spans="1:8" hidden="1">
      <c r="A1556" s="71">
        <v>45030</v>
      </c>
      <c r="B1556" t="s">
        <v>171</v>
      </c>
      <c r="C1556" t="s">
        <v>2921</v>
      </c>
      <c r="F1556" t="s">
        <v>759</v>
      </c>
      <c r="G1556">
        <v>10712</v>
      </c>
      <c r="H1556" t="s">
        <v>1286</v>
      </c>
    </row>
    <row r="1557" spans="1:8" hidden="1">
      <c r="A1557" s="71">
        <v>45033</v>
      </c>
      <c r="B1557" t="s">
        <v>150</v>
      </c>
      <c r="C1557" t="s">
        <v>2922</v>
      </c>
      <c r="F1557" t="s">
        <v>759</v>
      </c>
      <c r="G1557">
        <v>10824</v>
      </c>
      <c r="H1557" t="s">
        <v>1499</v>
      </c>
    </row>
    <row r="1558" spans="1:8" hidden="1">
      <c r="A1558" s="71">
        <v>45033</v>
      </c>
      <c r="B1558" t="s">
        <v>60</v>
      </c>
      <c r="C1558" t="s">
        <v>2923</v>
      </c>
      <c r="F1558" t="s">
        <v>759</v>
      </c>
      <c r="G1558">
        <v>10714</v>
      </c>
      <c r="H1558" t="s">
        <v>1286</v>
      </c>
    </row>
    <row r="1559" spans="1:8" hidden="1">
      <c r="A1559" s="71">
        <v>45033</v>
      </c>
      <c r="B1559" t="s">
        <v>690</v>
      </c>
      <c r="C1559" t="s">
        <v>2924</v>
      </c>
      <c r="F1559" t="s">
        <v>759</v>
      </c>
      <c r="G1559">
        <v>10389</v>
      </c>
      <c r="H1559" t="s">
        <v>2682</v>
      </c>
    </row>
    <row r="1560" spans="1:8" hidden="1">
      <c r="A1560" s="71">
        <v>45034</v>
      </c>
      <c r="B1560" t="s">
        <v>780</v>
      </c>
      <c r="C1560" t="s">
        <v>2925</v>
      </c>
      <c r="E1560" s="86">
        <v>5623</v>
      </c>
      <c r="F1560" t="s">
        <v>759</v>
      </c>
      <c r="G1560">
        <v>10835</v>
      </c>
      <c r="H1560" t="s">
        <v>1499</v>
      </c>
    </row>
    <row r="1561" spans="1:8" hidden="1">
      <c r="A1561" s="71">
        <v>45034</v>
      </c>
      <c r="B1561" t="s">
        <v>780</v>
      </c>
      <c r="C1561" t="s">
        <v>2926</v>
      </c>
      <c r="E1561" s="86">
        <v>5623</v>
      </c>
      <c r="F1561" t="s">
        <v>759</v>
      </c>
      <c r="G1561">
        <v>10825</v>
      </c>
      <c r="H1561" t="s">
        <v>1499</v>
      </c>
    </row>
    <row r="1562" spans="1:8" hidden="1">
      <c r="A1562" s="71">
        <v>45034</v>
      </c>
      <c r="B1562" t="s">
        <v>388</v>
      </c>
      <c r="C1562" t="s">
        <v>2927</v>
      </c>
      <c r="F1562" t="s">
        <v>759</v>
      </c>
      <c r="G1562">
        <v>10718</v>
      </c>
      <c r="H1562" t="s">
        <v>1286</v>
      </c>
    </row>
    <row r="1563" spans="1:8" hidden="1">
      <c r="A1563" s="71">
        <v>45034</v>
      </c>
      <c r="B1563" t="s">
        <v>391</v>
      </c>
      <c r="C1563" t="s">
        <v>2928</v>
      </c>
      <c r="F1563" t="s">
        <v>759</v>
      </c>
      <c r="G1563">
        <v>10717</v>
      </c>
      <c r="H1563" t="s">
        <v>1286</v>
      </c>
    </row>
    <row r="1564" spans="1:8" hidden="1">
      <c r="A1564" s="71">
        <v>45034</v>
      </c>
      <c r="B1564" t="s">
        <v>29</v>
      </c>
      <c r="C1564" t="s">
        <v>2929</v>
      </c>
      <c r="F1564" t="s">
        <v>759</v>
      </c>
      <c r="G1564">
        <v>10259</v>
      </c>
      <c r="H1564" t="s">
        <v>1390</v>
      </c>
    </row>
    <row r="1565" spans="1:8" hidden="1">
      <c r="A1565" s="71">
        <v>45035</v>
      </c>
      <c r="B1565" t="s">
        <v>351</v>
      </c>
      <c r="C1565" t="s">
        <v>2909</v>
      </c>
      <c r="E1565" s="86">
        <v>7211</v>
      </c>
      <c r="F1565" t="s">
        <v>759</v>
      </c>
      <c r="G1565">
        <v>10827</v>
      </c>
      <c r="H1565" t="s">
        <v>1499</v>
      </c>
    </row>
    <row r="1566" spans="1:8" hidden="1">
      <c r="A1566" s="71">
        <v>45035</v>
      </c>
      <c r="B1566" t="s">
        <v>330</v>
      </c>
      <c r="C1566" t="s">
        <v>2930</v>
      </c>
      <c r="E1566" s="86">
        <v>6549</v>
      </c>
      <c r="F1566" t="s">
        <v>759</v>
      </c>
      <c r="G1566">
        <v>10826</v>
      </c>
      <c r="H1566" t="s">
        <v>1499</v>
      </c>
    </row>
    <row r="1567" spans="1:8" hidden="1">
      <c r="A1567" s="71">
        <v>45035</v>
      </c>
      <c r="B1567" t="s">
        <v>391</v>
      </c>
      <c r="C1567" t="s">
        <v>2931</v>
      </c>
      <c r="E1567" s="86">
        <v>345</v>
      </c>
      <c r="F1567" t="s">
        <v>759</v>
      </c>
      <c r="G1567">
        <v>10721</v>
      </c>
      <c r="H1567" t="s">
        <v>1286</v>
      </c>
    </row>
    <row r="1568" spans="1:8" hidden="1">
      <c r="A1568" s="71">
        <v>45036</v>
      </c>
      <c r="B1568" t="s">
        <v>385</v>
      </c>
      <c r="C1568" t="s">
        <v>2932</v>
      </c>
      <c r="F1568" t="s">
        <v>759</v>
      </c>
      <c r="G1568">
        <v>10828</v>
      </c>
      <c r="H1568" t="s">
        <v>1499</v>
      </c>
    </row>
    <row r="1569" spans="1:8" hidden="1">
      <c r="A1569" s="71">
        <v>45036</v>
      </c>
      <c r="B1569" t="s">
        <v>391</v>
      </c>
      <c r="C1569" t="s">
        <v>2933</v>
      </c>
      <c r="E1569" s="86">
        <v>346</v>
      </c>
      <c r="F1569" t="s">
        <v>759</v>
      </c>
      <c r="G1569">
        <v>10725</v>
      </c>
      <c r="H1569" t="s">
        <v>1286</v>
      </c>
    </row>
    <row r="1570" spans="1:8" hidden="1">
      <c r="A1570" s="71">
        <v>45036</v>
      </c>
      <c r="B1570" t="s">
        <v>380</v>
      </c>
      <c r="C1570" t="s">
        <v>2934</v>
      </c>
      <c r="E1570" s="86">
        <v>3996</v>
      </c>
      <c r="F1570" t="s">
        <v>759</v>
      </c>
      <c r="G1570">
        <v>10394</v>
      </c>
      <c r="H1570" t="s">
        <v>2682</v>
      </c>
    </row>
    <row r="1571" spans="1:8" hidden="1">
      <c r="A1571" s="71">
        <v>45037</v>
      </c>
      <c r="B1571" t="s">
        <v>388</v>
      </c>
      <c r="C1571" t="s">
        <v>2935</v>
      </c>
      <c r="E1571" s="86">
        <v>11296</v>
      </c>
      <c r="F1571" t="s">
        <v>759</v>
      </c>
      <c r="G1571">
        <v>10829</v>
      </c>
      <c r="H1571" t="s">
        <v>1499</v>
      </c>
    </row>
    <row r="1572" spans="1:8" hidden="1">
      <c r="A1572" s="71">
        <v>45040</v>
      </c>
      <c r="B1572" t="s">
        <v>400</v>
      </c>
      <c r="C1572" t="s">
        <v>2936</v>
      </c>
      <c r="F1572" t="s">
        <v>759</v>
      </c>
      <c r="G1572">
        <v>11001</v>
      </c>
      <c r="H1572" t="s">
        <v>1235</v>
      </c>
    </row>
    <row r="1573" spans="1:8" hidden="1">
      <c r="A1573" s="71">
        <v>45040</v>
      </c>
      <c r="B1573" t="s">
        <v>690</v>
      </c>
      <c r="C1573" t="s">
        <v>2937</v>
      </c>
      <c r="E1573" s="86">
        <v>5802</v>
      </c>
      <c r="F1573" t="s">
        <v>759</v>
      </c>
      <c r="G1573">
        <v>10830</v>
      </c>
      <c r="H1573" t="s">
        <v>1499</v>
      </c>
    </row>
    <row r="1574" spans="1:8" hidden="1">
      <c r="A1574" s="71">
        <v>45040</v>
      </c>
      <c r="B1574" t="s">
        <v>330</v>
      </c>
      <c r="C1574" t="s">
        <v>2938</v>
      </c>
      <c r="F1574" t="s">
        <v>759</v>
      </c>
      <c r="G1574">
        <v>10753</v>
      </c>
      <c r="H1574" t="s">
        <v>1286</v>
      </c>
    </row>
    <row r="1575" spans="1:8" hidden="1">
      <c r="A1575" s="71">
        <v>45040</v>
      </c>
      <c r="B1575" t="s">
        <v>191</v>
      </c>
      <c r="C1575" t="s">
        <v>2939</v>
      </c>
      <c r="F1575" t="s">
        <v>759</v>
      </c>
      <c r="G1575">
        <v>10752</v>
      </c>
      <c r="H1575" t="s">
        <v>1286</v>
      </c>
    </row>
    <row r="1576" spans="1:8" hidden="1">
      <c r="A1576" s="71">
        <v>45041</v>
      </c>
      <c r="B1576" t="s">
        <v>362</v>
      </c>
      <c r="C1576" t="s">
        <v>2940</v>
      </c>
      <c r="E1576" s="86">
        <v>12426</v>
      </c>
      <c r="F1576" t="s">
        <v>759</v>
      </c>
      <c r="G1576">
        <v>10757</v>
      </c>
      <c r="H1576" t="s">
        <v>1286</v>
      </c>
    </row>
    <row r="1577" spans="1:8" hidden="1">
      <c r="A1577" s="71">
        <v>45041</v>
      </c>
      <c r="B1577" t="s">
        <v>65</v>
      </c>
      <c r="C1577" t="s">
        <v>2941</v>
      </c>
      <c r="F1577" t="s">
        <v>759</v>
      </c>
      <c r="G1577">
        <v>10756</v>
      </c>
      <c r="H1577" t="s">
        <v>1286</v>
      </c>
    </row>
    <row r="1578" spans="1:8" hidden="1">
      <c r="A1578" s="71">
        <v>45042</v>
      </c>
      <c r="B1578" t="s">
        <v>2942</v>
      </c>
      <c r="C1578" t="s">
        <v>2943</v>
      </c>
      <c r="F1578" t="s">
        <v>759</v>
      </c>
      <c r="G1578">
        <v>10833</v>
      </c>
      <c r="H1578" t="s">
        <v>1499</v>
      </c>
    </row>
    <row r="1579" spans="1:8" hidden="1">
      <c r="A1579" s="71">
        <v>45042</v>
      </c>
      <c r="B1579" t="s">
        <v>346</v>
      </c>
      <c r="C1579" t="s">
        <v>2944</v>
      </c>
      <c r="E1579" s="86">
        <v>365</v>
      </c>
      <c r="F1579" t="s">
        <v>759</v>
      </c>
      <c r="G1579">
        <v>10759</v>
      </c>
      <c r="H1579" t="s">
        <v>1286</v>
      </c>
    </row>
    <row r="1580" spans="1:8" hidden="1">
      <c r="A1580" s="71">
        <v>45042</v>
      </c>
      <c r="B1580" t="s">
        <v>311</v>
      </c>
      <c r="C1580" t="s">
        <v>2945</v>
      </c>
      <c r="F1580" t="s">
        <v>759</v>
      </c>
      <c r="G1580">
        <v>10758</v>
      </c>
      <c r="H1580" t="s">
        <v>1286</v>
      </c>
    </row>
    <row r="1581" spans="1:8" hidden="1">
      <c r="A1581" s="71">
        <v>45043</v>
      </c>
      <c r="B1581" t="s">
        <v>373</v>
      </c>
      <c r="C1581" t="s">
        <v>2946</v>
      </c>
      <c r="F1581" t="s">
        <v>759</v>
      </c>
      <c r="G1581">
        <v>10763</v>
      </c>
      <c r="H1581" t="s">
        <v>1286</v>
      </c>
    </row>
    <row r="1582" spans="1:8" hidden="1">
      <c r="A1582" s="71">
        <v>45046</v>
      </c>
      <c r="B1582" t="s">
        <v>346</v>
      </c>
      <c r="C1582" t="s">
        <v>2947</v>
      </c>
      <c r="F1582" t="s">
        <v>759</v>
      </c>
      <c r="G1582">
        <v>10651</v>
      </c>
      <c r="H1582" t="s">
        <v>1286</v>
      </c>
    </row>
    <row r="1583" spans="1:8" hidden="1">
      <c r="A1583" s="71">
        <v>45050</v>
      </c>
      <c r="B1583" t="s">
        <v>162</v>
      </c>
      <c r="C1583" t="s">
        <v>2948</v>
      </c>
      <c r="E1583" s="86">
        <v>3475</v>
      </c>
      <c r="F1583" t="s">
        <v>759</v>
      </c>
      <c r="G1583">
        <v>9345</v>
      </c>
      <c r="H1583" t="s">
        <v>1244</v>
      </c>
    </row>
    <row r="1584" spans="1:8" hidden="1">
      <c r="A1584" s="71">
        <v>45050</v>
      </c>
      <c r="B1584" t="s">
        <v>359</v>
      </c>
      <c r="C1584" t="s">
        <v>2949</v>
      </c>
      <c r="F1584" t="s">
        <v>759</v>
      </c>
      <c r="G1584">
        <v>10658</v>
      </c>
      <c r="H1584" t="s">
        <v>1286</v>
      </c>
    </row>
    <row r="1585" spans="1:8" hidden="1">
      <c r="A1585" s="71">
        <v>45051</v>
      </c>
      <c r="B1585" t="s">
        <v>60</v>
      </c>
      <c r="C1585" t="s">
        <v>2950</v>
      </c>
      <c r="F1585" t="s">
        <v>759</v>
      </c>
      <c r="G1585">
        <v>10662</v>
      </c>
      <c r="H1585" t="s">
        <v>1286</v>
      </c>
    </row>
    <row r="1586" spans="1:8" hidden="1">
      <c r="A1586" s="71">
        <v>45051</v>
      </c>
      <c r="B1586" t="s">
        <v>573</v>
      </c>
      <c r="C1586" t="s">
        <v>2951</v>
      </c>
      <c r="F1586" t="s">
        <v>759</v>
      </c>
      <c r="G1586">
        <v>9883</v>
      </c>
      <c r="H1586" t="s">
        <v>1246</v>
      </c>
    </row>
    <row r="1587" spans="1:8" hidden="1">
      <c r="A1587" s="71">
        <v>45051</v>
      </c>
      <c r="B1587" t="s">
        <v>311</v>
      </c>
      <c r="C1587" t="s">
        <v>2952</v>
      </c>
      <c r="E1587" s="86" t="s">
        <v>735</v>
      </c>
      <c r="F1587" t="s">
        <v>759</v>
      </c>
      <c r="G1587">
        <v>10661</v>
      </c>
      <c r="H1587" t="s">
        <v>1286</v>
      </c>
    </row>
    <row r="1588" spans="1:8" hidden="1">
      <c r="A1588" s="71">
        <v>45052</v>
      </c>
      <c r="B1588" t="s">
        <v>698</v>
      </c>
      <c r="C1588" t="s">
        <v>2953</v>
      </c>
      <c r="E1588" s="86">
        <v>18782</v>
      </c>
      <c r="F1588" t="s">
        <v>759</v>
      </c>
      <c r="G1588">
        <v>11007</v>
      </c>
      <c r="H1588" t="s">
        <v>1235</v>
      </c>
    </row>
    <row r="1589" spans="1:8" hidden="1">
      <c r="A1589" s="71">
        <v>45052</v>
      </c>
      <c r="B1589" t="s">
        <v>74</v>
      </c>
      <c r="C1589" t="s">
        <v>2954</v>
      </c>
      <c r="F1589" t="s">
        <v>759</v>
      </c>
      <c r="G1589">
        <v>10263</v>
      </c>
      <c r="H1589" t="s">
        <v>1390</v>
      </c>
    </row>
    <row r="1590" spans="1:8" hidden="1">
      <c r="A1590" s="71">
        <v>45052</v>
      </c>
      <c r="B1590" t="s">
        <v>698</v>
      </c>
      <c r="C1590" t="s">
        <v>2955</v>
      </c>
      <c r="E1590" s="86">
        <v>18766</v>
      </c>
      <c r="F1590" t="s">
        <v>759</v>
      </c>
      <c r="G1590">
        <v>9344</v>
      </c>
      <c r="H1590" t="s">
        <v>1244</v>
      </c>
    </row>
    <row r="1591" spans="1:8" hidden="1">
      <c r="A1591" s="71">
        <v>45054</v>
      </c>
      <c r="B1591" t="s">
        <v>39</v>
      </c>
      <c r="C1591" t="s">
        <v>2956</v>
      </c>
      <c r="F1591" t="s">
        <v>759</v>
      </c>
      <c r="G1591">
        <v>10664</v>
      </c>
      <c r="H1591" t="s">
        <v>1286</v>
      </c>
    </row>
    <row r="1592" spans="1:8" hidden="1">
      <c r="A1592" s="71">
        <v>45054</v>
      </c>
      <c r="B1592" t="s">
        <v>346</v>
      </c>
      <c r="C1592" t="s">
        <v>2957</v>
      </c>
      <c r="F1592" t="s">
        <v>759</v>
      </c>
      <c r="G1592">
        <v>10663</v>
      </c>
      <c r="H1592" t="s">
        <v>1286</v>
      </c>
    </row>
    <row r="1593" spans="1:8" hidden="1">
      <c r="A1593" s="71">
        <v>45055</v>
      </c>
      <c r="B1593" t="s">
        <v>391</v>
      </c>
      <c r="C1593" t="s">
        <v>2958</v>
      </c>
      <c r="E1593" s="86">
        <v>6934</v>
      </c>
      <c r="F1593" t="s">
        <v>759</v>
      </c>
      <c r="G1593">
        <v>10668</v>
      </c>
      <c r="H1593" t="s">
        <v>1560</v>
      </c>
    </row>
    <row r="1594" spans="1:8" hidden="1">
      <c r="A1594" s="71">
        <v>45055</v>
      </c>
      <c r="B1594" t="s">
        <v>60</v>
      </c>
      <c r="C1594" t="s">
        <v>2959</v>
      </c>
      <c r="F1594" t="s">
        <v>759</v>
      </c>
      <c r="G1594">
        <v>10667</v>
      </c>
      <c r="H1594" t="s">
        <v>1286</v>
      </c>
    </row>
    <row r="1595" spans="1:8" hidden="1">
      <c r="A1595" s="71">
        <v>45055</v>
      </c>
      <c r="B1595" t="s">
        <v>373</v>
      </c>
      <c r="C1595" t="s">
        <v>2960</v>
      </c>
      <c r="E1595" s="86">
        <v>3410</v>
      </c>
      <c r="F1595" t="s">
        <v>759</v>
      </c>
      <c r="G1595">
        <v>9350</v>
      </c>
      <c r="H1595" t="s">
        <v>1244</v>
      </c>
    </row>
    <row r="1596" spans="1:8" hidden="1">
      <c r="A1596" s="71">
        <v>45055</v>
      </c>
      <c r="B1596" t="s">
        <v>60</v>
      </c>
      <c r="C1596" t="s">
        <v>2961</v>
      </c>
      <c r="E1596" s="86">
        <v>61263</v>
      </c>
      <c r="F1596" t="s">
        <v>759</v>
      </c>
      <c r="G1596">
        <v>9349</v>
      </c>
      <c r="H1596" t="s">
        <v>1244</v>
      </c>
    </row>
    <row r="1597" spans="1:8" hidden="1">
      <c r="A1597" s="71">
        <v>45055</v>
      </c>
      <c r="B1597" t="s">
        <v>397</v>
      </c>
      <c r="C1597" t="s">
        <v>2962</v>
      </c>
      <c r="E1597" s="86">
        <v>5944</v>
      </c>
      <c r="F1597" t="s">
        <v>759</v>
      </c>
      <c r="G1597">
        <v>9346</v>
      </c>
      <c r="H1597" t="s">
        <v>1244</v>
      </c>
    </row>
    <row r="1598" spans="1:8" hidden="1">
      <c r="A1598" s="71">
        <v>45056</v>
      </c>
      <c r="B1598" t="s">
        <v>371</v>
      </c>
      <c r="C1598" t="s">
        <v>2963</v>
      </c>
      <c r="E1598" s="86">
        <v>14812</v>
      </c>
      <c r="F1598" t="s">
        <v>759</v>
      </c>
      <c r="G1598">
        <v>11003</v>
      </c>
      <c r="H1598" t="s">
        <v>1235</v>
      </c>
    </row>
    <row r="1599" spans="1:8" hidden="1">
      <c r="A1599" s="71">
        <v>45056</v>
      </c>
      <c r="B1599" t="s">
        <v>239</v>
      </c>
      <c r="C1599" t="s">
        <v>2964</v>
      </c>
      <c r="E1599" s="86">
        <v>12478</v>
      </c>
      <c r="F1599" t="s">
        <v>759</v>
      </c>
      <c r="G1599">
        <v>11002</v>
      </c>
      <c r="H1599" t="s">
        <v>1235</v>
      </c>
    </row>
    <row r="1600" spans="1:8" hidden="1">
      <c r="A1600" s="71">
        <v>45056</v>
      </c>
      <c r="B1600" t="s">
        <v>307</v>
      </c>
      <c r="C1600" t="s">
        <v>2965</v>
      </c>
      <c r="F1600" t="s">
        <v>759</v>
      </c>
      <c r="G1600">
        <v>10670</v>
      </c>
      <c r="H1600" t="s">
        <v>1286</v>
      </c>
    </row>
    <row r="1601" spans="1:8" hidden="1">
      <c r="A1601" s="71">
        <v>45057</v>
      </c>
      <c r="B1601" t="s">
        <v>307</v>
      </c>
      <c r="C1601" t="s">
        <v>2966</v>
      </c>
      <c r="F1601" t="s">
        <v>759</v>
      </c>
      <c r="G1601">
        <v>10671</v>
      </c>
      <c r="H1601" t="s">
        <v>1286</v>
      </c>
    </row>
    <row r="1602" spans="1:8" hidden="1">
      <c r="A1602" s="71">
        <v>45057</v>
      </c>
      <c r="B1602" t="s">
        <v>159</v>
      </c>
      <c r="C1602" t="s">
        <v>2967</v>
      </c>
      <c r="E1602" s="86">
        <v>9202</v>
      </c>
      <c r="F1602" t="s">
        <v>759</v>
      </c>
      <c r="G1602">
        <v>9347</v>
      </c>
      <c r="H1602" t="s">
        <v>1244</v>
      </c>
    </row>
    <row r="1603" spans="1:8" hidden="1">
      <c r="A1603" s="71">
        <v>45058</v>
      </c>
      <c r="B1603" t="s">
        <v>146</v>
      </c>
      <c r="C1603" t="s">
        <v>2968</v>
      </c>
      <c r="F1603" t="s">
        <v>759</v>
      </c>
      <c r="G1603">
        <v>10729</v>
      </c>
      <c r="H1603" t="s">
        <v>1286</v>
      </c>
    </row>
    <row r="1604" spans="1:8" hidden="1">
      <c r="A1604" s="71">
        <v>45058</v>
      </c>
      <c r="B1604" t="s">
        <v>391</v>
      </c>
      <c r="C1604" t="s">
        <v>2969</v>
      </c>
      <c r="F1604" t="s">
        <v>759</v>
      </c>
      <c r="G1604">
        <v>10728</v>
      </c>
      <c r="H1604" t="s">
        <v>1286</v>
      </c>
    </row>
    <row r="1605" spans="1:8" hidden="1">
      <c r="A1605" s="71">
        <v>45060</v>
      </c>
      <c r="B1605" t="s">
        <v>569</v>
      </c>
      <c r="C1605" t="s">
        <v>2970</v>
      </c>
      <c r="F1605" t="s">
        <v>759</v>
      </c>
      <c r="G1605">
        <v>11011</v>
      </c>
      <c r="H1605" t="s">
        <v>1235</v>
      </c>
    </row>
    <row r="1606" spans="1:8" hidden="1">
      <c r="A1606" s="71">
        <v>45060</v>
      </c>
      <c r="B1606" t="s">
        <v>143</v>
      </c>
      <c r="C1606" t="s">
        <v>2971</v>
      </c>
      <c r="F1606" t="s">
        <v>759</v>
      </c>
      <c r="G1606">
        <v>9356</v>
      </c>
      <c r="H1606" t="s">
        <v>1499</v>
      </c>
    </row>
    <row r="1607" spans="1:8" hidden="1">
      <c r="A1607" s="71">
        <v>45061</v>
      </c>
      <c r="B1607" t="s">
        <v>391</v>
      </c>
      <c r="C1607" t="s">
        <v>2972</v>
      </c>
      <c r="E1607" s="86">
        <v>6955</v>
      </c>
      <c r="F1607" t="s">
        <v>759</v>
      </c>
      <c r="G1607">
        <v>10676</v>
      </c>
      <c r="H1607" t="s">
        <v>1560</v>
      </c>
    </row>
    <row r="1608" spans="1:8" hidden="1">
      <c r="A1608" s="71">
        <v>45061</v>
      </c>
      <c r="B1608" t="s">
        <v>346</v>
      </c>
      <c r="C1608" t="s">
        <v>2973</v>
      </c>
      <c r="E1608" s="86">
        <v>390</v>
      </c>
      <c r="F1608" t="s">
        <v>759</v>
      </c>
      <c r="G1608">
        <v>10675</v>
      </c>
      <c r="H1608" t="s">
        <v>1286</v>
      </c>
    </row>
    <row r="1609" spans="1:8" hidden="1">
      <c r="A1609" s="71">
        <v>45062</v>
      </c>
      <c r="B1609" t="s">
        <v>239</v>
      </c>
      <c r="C1609" t="s">
        <v>2974</v>
      </c>
      <c r="E1609" s="86">
        <v>12554</v>
      </c>
      <c r="F1609" t="s">
        <v>759</v>
      </c>
      <c r="G1609">
        <v>11008</v>
      </c>
      <c r="H1609" t="s">
        <v>1235</v>
      </c>
    </row>
    <row r="1610" spans="1:8" hidden="1">
      <c r="A1610" s="71">
        <v>45062</v>
      </c>
      <c r="B1610" t="s">
        <v>745</v>
      </c>
      <c r="C1610" t="s">
        <v>2975</v>
      </c>
      <c r="E1610" s="86">
        <v>1783</v>
      </c>
      <c r="F1610" t="s">
        <v>759</v>
      </c>
      <c r="G1610">
        <v>10680</v>
      </c>
      <c r="H1610" t="s">
        <v>2976</v>
      </c>
    </row>
    <row r="1611" spans="1:8" hidden="1">
      <c r="A1611" s="71">
        <v>45062</v>
      </c>
      <c r="B1611" t="s">
        <v>346</v>
      </c>
      <c r="C1611" t="s">
        <v>2977</v>
      </c>
      <c r="E1611" s="86">
        <v>393</v>
      </c>
      <c r="F1611" t="s">
        <v>759</v>
      </c>
      <c r="G1611">
        <v>10677</v>
      </c>
      <c r="H1611" t="s">
        <v>2976</v>
      </c>
    </row>
    <row r="1612" spans="1:8" hidden="1">
      <c r="A1612" s="71">
        <v>45063</v>
      </c>
      <c r="B1612" t="s">
        <v>362</v>
      </c>
      <c r="C1612" t="s">
        <v>2978</v>
      </c>
      <c r="E1612" s="86">
        <v>12480</v>
      </c>
      <c r="F1612" t="s">
        <v>759</v>
      </c>
      <c r="G1612">
        <v>10270</v>
      </c>
      <c r="H1612" t="s">
        <v>1390</v>
      </c>
    </row>
    <row r="1613" spans="1:8" hidden="1">
      <c r="A1613" s="71">
        <v>45063</v>
      </c>
      <c r="B1613" t="s">
        <v>389</v>
      </c>
      <c r="C1613" t="s">
        <v>2979</v>
      </c>
      <c r="E1613" s="86">
        <v>5088</v>
      </c>
      <c r="F1613" t="s">
        <v>759</v>
      </c>
      <c r="G1613">
        <v>10737</v>
      </c>
      <c r="H1613" t="s">
        <v>1286</v>
      </c>
    </row>
    <row r="1614" spans="1:8" hidden="1">
      <c r="A1614" s="71">
        <v>45064</v>
      </c>
      <c r="B1614" t="s">
        <v>362</v>
      </c>
      <c r="C1614" t="s">
        <v>2980</v>
      </c>
      <c r="E1614" s="86">
        <v>12478</v>
      </c>
      <c r="F1614" t="s">
        <v>759</v>
      </c>
      <c r="G1614">
        <v>10395</v>
      </c>
      <c r="H1614" t="s">
        <v>2682</v>
      </c>
    </row>
    <row r="1615" spans="1:8" hidden="1">
      <c r="A1615" s="71">
        <v>45064</v>
      </c>
      <c r="B1615" t="s">
        <v>362</v>
      </c>
      <c r="C1615" t="s">
        <v>2981</v>
      </c>
      <c r="E1615" s="86">
        <v>12478</v>
      </c>
      <c r="F1615" t="s">
        <v>759</v>
      </c>
      <c r="G1615">
        <v>9365</v>
      </c>
      <c r="H1615" t="s">
        <v>1499</v>
      </c>
    </row>
    <row r="1616" spans="1:8" hidden="1">
      <c r="A1616" s="71">
        <v>45064</v>
      </c>
      <c r="B1616" t="s">
        <v>388</v>
      </c>
      <c r="C1616" t="s">
        <v>2982</v>
      </c>
      <c r="E1616" s="86">
        <v>11370</v>
      </c>
      <c r="F1616" t="s">
        <v>759</v>
      </c>
      <c r="G1616">
        <v>10741</v>
      </c>
      <c r="H1616" t="s">
        <v>1286</v>
      </c>
    </row>
    <row r="1617" spans="1:8" hidden="1">
      <c r="A1617" s="71">
        <v>45064</v>
      </c>
      <c r="B1617" t="s">
        <v>690</v>
      </c>
      <c r="C1617" t="s">
        <v>2983</v>
      </c>
      <c r="F1617" t="s">
        <v>759</v>
      </c>
      <c r="G1617">
        <v>10684</v>
      </c>
      <c r="H1617" t="s">
        <v>1560</v>
      </c>
    </row>
    <row r="1618" spans="1:8" hidden="1">
      <c r="A1618" s="71">
        <v>45065</v>
      </c>
      <c r="B1618" t="s">
        <v>380</v>
      </c>
      <c r="C1618" t="s">
        <v>2984</v>
      </c>
      <c r="E1618" s="86">
        <v>4001</v>
      </c>
      <c r="F1618" t="s">
        <v>759</v>
      </c>
      <c r="G1618">
        <v>10400</v>
      </c>
      <c r="H1618" t="s">
        <v>2682</v>
      </c>
    </row>
    <row r="1619" spans="1:8" hidden="1">
      <c r="A1619" s="71">
        <v>45068</v>
      </c>
      <c r="B1619" t="s">
        <v>690</v>
      </c>
      <c r="C1619" t="s">
        <v>2985</v>
      </c>
      <c r="F1619" t="s">
        <v>759</v>
      </c>
      <c r="G1619">
        <v>10685</v>
      </c>
      <c r="H1619" t="s">
        <v>1560</v>
      </c>
    </row>
    <row r="1620" spans="1:8" hidden="1">
      <c r="A1620" s="71">
        <v>45068</v>
      </c>
      <c r="B1620" t="s">
        <v>36</v>
      </c>
      <c r="C1620" t="s">
        <v>2986</v>
      </c>
      <c r="F1620" t="s">
        <v>759</v>
      </c>
      <c r="G1620">
        <v>10766</v>
      </c>
      <c r="H1620" t="s">
        <v>1286</v>
      </c>
    </row>
    <row r="1621" spans="1:8" hidden="1">
      <c r="A1621" s="71">
        <v>45069</v>
      </c>
      <c r="B1621" t="s">
        <v>698</v>
      </c>
      <c r="C1621" t="s">
        <v>2987</v>
      </c>
      <c r="E1621" s="86">
        <v>12574</v>
      </c>
      <c r="F1621" t="s">
        <v>759</v>
      </c>
      <c r="G1621">
        <v>11009</v>
      </c>
      <c r="H1621" t="s">
        <v>1235</v>
      </c>
    </row>
    <row r="1622" spans="1:8" hidden="1">
      <c r="A1622" s="71">
        <v>45070</v>
      </c>
      <c r="B1622" t="s">
        <v>19</v>
      </c>
      <c r="C1622" t="s">
        <v>2988</v>
      </c>
      <c r="F1622" t="s">
        <v>759</v>
      </c>
      <c r="G1622">
        <v>10768</v>
      </c>
      <c r="H1622" t="s">
        <v>1286</v>
      </c>
    </row>
    <row r="1623" spans="1:8" hidden="1">
      <c r="A1623" s="71">
        <v>45070</v>
      </c>
      <c r="B1623" t="s">
        <v>389</v>
      </c>
      <c r="C1623" t="s">
        <v>2989</v>
      </c>
      <c r="F1623" t="s">
        <v>759</v>
      </c>
      <c r="G1623">
        <v>10767</v>
      </c>
      <c r="H1623" t="s">
        <v>1286</v>
      </c>
    </row>
    <row r="1624" spans="1:8" hidden="1">
      <c r="A1624" s="71">
        <v>45071</v>
      </c>
      <c r="B1624" t="s">
        <v>698</v>
      </c>
      <c r="C1624" t="s">
        <v>2990</v>
      </c>
      <c r="E1624" s="86">
        <v>18799</v>
      </c>
      <c r="F1624" t="s">
        <v>759</v>
      </c>
      <c r="G1624">
        <v>11013</v>
      </c>
      <c r="H1624" t="s">
        <v>1235</v>
      </c>
    </row>
    <row r="1625" spans="1:8" hidden="1">
      <c r="A1625" s="71">
        <v>45071</v>
      </c>
      <c r="B1625" t="s">
        <v>162</v>
      </c>
      <c r="C1625" t="s">
        <v>2991</v>
      </c>
      <c r="F1625" t="s">
        <v>759</v>
      </c>
      <c r="G1625">
        <v>10769</v>
      </c>
      <c r="H1625" t="s">
        <v>2682</v>
      </c>
    </row>
    <row r="1626" spans="1:8" hidden="1">
      <c r="A1626" s="71">
        <v>45072</v>
      </c>
      <c r="B1626" t="s">
        <v>69</v>
      </c>
      <c r="C1626" t="s">
        <v>2992</v>
      </c>
      <c r="F1626" t="s">
        <v>759</v>
      </c>
      <c r="G1626">
        <v>10269</v>
      </c>
      <c r="H1626" t="s">
        <v>1390</v>
      </c>
    </row>
    <row r="1627" spans="1:8" hidden="1">
      <c r="A1627" s="71">
        <v>45072</v>
      </c>
      <c r="B1627" t="s">
        <v>36</v>
      </c>
      <c r="C1627" t="s">
        <v>2993</v>
      </c>
      <c r="F1627" t="s">
        <v>759</v>
      </c>
      <c r="G1627">
        <v>10686</v>
      </c>
      <c r="H1627" t="s">
        <v>1286</v>
      </c>
    </row>
    <row r="1628" spans="1:8" hidden="1">
      <c r="A1628" s="71">
        <v>45074</v>
      </c>
      <c r="B1628" t="s">
        <v>352</v>
      </c>
      <c r="C1628" t="s">
        <v>2994</v>
      </c>
      <c r="E1628" s="86">
        <v>8407</v>
      </c>
      <c r="F1628" t="s">
        <v>759</v>
      </c>
      <c r="G1628">
        <v>8778</v>
      </c>
      <c r="H1628" t="s">
        <v>1286</v>
      </c>
    </row>
    <row r="1629" spans="1:8" hidden="1">
      <c r="A1629" s="71">
        <v>45075</v>
      </c>
      <c r="B1629" t="s">
        <v>2287</v>
      </c>
      <c r="C1629" t="s">
        <v>2995</v>
      </c>
      <c r="F1629" t="s">
        <v>759</v>
      </c>
      <c r="G1629">
        <v>10956</v>
      </c>
      <c r="H1629" t="s">
        <v>1244</v>
      </c>
    </row>
    <row r="1630" spans="1:8" hidden="1">
      <c r="A1630" s="71">
        <v>45075</v>
      </c>
      <c r="B1630" t="s">
        <v>211</v>
      </c>
      <c r="C1630" t="s">
        <v>2996</v>
      </c>
      <c r="F1630" t="s">
        <v>759</v>
      </c>
      <c r="G1630">
        <v>10687</v>
      </c>
      <c r="H1630" t="s">
        <v>1286</v>
      </c>
    </row>
    <row r="1631" spans="1:8" hidden="1">
      <c r="A1631" s="71">
        <v>45076</v>
      </c>
      <c r="B1631" t="s">
        <v>211</v>
      </c>
      <c r="C1631" t="s">
        <v>2997</v>
      </c>
      <c r="F1631" t="s">
        <v>759</v>
      </c>
      <c r="G1631">
        <v>10688</v>
      </c>
      <c r="H1631" t="s">
        <v>1286</v>
      </c>
    </row>
    <row r="1632" spans="1:8" hidden="1">
      <c r="A1632" s="71">
        <v>45077</v>
      </c>
      <c r="B1632" t="s">
        <v>143</v>
      </c>
      <c r="C1632" t="s">
        <v>2998</v>
      </c>
      <c r="F1632" t="s">
        <v>759</v>
      </c>
      <c r="G1632">
        <v>10691</v>
      </c>
      <c r="H1632" t="s">
        <v>1286</v>
      </c>
    </row>
    <row r="1633" spans="1:8" hidden="1">
      <c r="A1633" s="71">
        <v>45078</v>
      </c>
      <c r="B1633" t="s">
        <v>259</v>
      </c>
      <c r="C1633" t="s">
        <v>2999</v>
      </c>
      <c r="E1633" s="86">
        <v>18782</v>
      </c>
      <c r="F1633" t="s">
        <v>759</v>
      </c>
      <c r="G1633">
        <v>11405</v>
      </c>
      <c r="H1633" t="s">
        <v>2682</v>
      </c>
    </row>
    <row r="1634" spans="1:8" hidden="1">
      <c r="A1634" s="71">
        <v>45078</v>
      </c>
      <c r="B1634" t="s">
        <v>373</v>
      </c>
      <c r="C1634" t="s">
        <v>3000</v>
      </c>
      <c r="F1634" t="s">
        <v>759</v>
      </c>
      <c r="G1634">
        <v>10692</v>
      </c>
      <c r="H1634" t="s">
        <v>1286</v>
      </c>
    </row>
    <row r="1635" spans="1:8" hidden="1">
      <c r="A1635" s="71">
        <v>45078</v>
      </c>
      <c r="B1635" t="s">
        <v>19</v>
      </c>
      <c r="C1635" t="s">
        <v>3001</v>
      </c>
      <c r="E1635" s="86">
        <v>6823</v>
      </c>
      <c r="F1635" t="s">
        <v>759</v>
      </c>
      <c r="G1635">
        <v>9371</v>
      </c>
      <c r="H1635" t="s">
        <v>1499</v>
      </c>
    </row>
    <row r="1636" spans="1:8" hidden="1">
      <c r="A1636" s="71">
        <v>45078</v>
      </c>
      <c r="B1636" t="s">
        <v>178</v>
      </c>
      <c r="C1636" t="s">
        <v>3002</v>
      </c>
      <c r="E1636" s="86">
        <v>1413</v>
      </c>
      <c r="F1636" t="s">
        <v>759</v>
      </c>
      <c r="G1636">
        <v>9370</v>
      </c>
      <c r="H1636" t="s">
        <v>1499</v>
      </c>
    </row>
    <row r="1637" spans="1:8" hidden="1">
      <c r="A1637" s="71">
        <v>45079</v>
      </c>
      <c r="B1637" t="s">
        <v>373</v>
      </c>
      <c r="C1637" t="s">
        <v>3003</v>
      </c>
      <c r="F1637" t="s">
        <v>759</v>
      </c>
      <c r="G1637">
        <v>10770</v>
      </c>
      <c r="H1637" t="s">
        <v>1286</v>
      </c>
    </row>
    <row r="1638" spans="1:8" hidden="1">
      <c r="A1638" s="71">
        <v>45082</v>
      </c>
      <c r="B1638" t="s">
        <v>691</v>
      </c>
      <c r="C1638" t="s">
        <v>3004</v>
      </c>
      <c r="F1638" t="s">
        <v>759</v>
      </c>
      <c r="G1638">
        <v>10771</v>
      </c>
      <c r="H1638" t="s">
        <v>1286</v>
      </c>
    </row>
    <row r="1639" spans="1:8" hidden="1">
      <c r="A1639" s="71">
        <v>45082</v>
      </c>
      <c r="B1639" t="s">
        <v>35</v>
      </c>
      <c r="C1639" t="s">
        <v>3005</v>
      </c>
      <c r="E1639" s="86">
        <v>4716</v>
      </c>
      <c r="F1639" t="s">
        <v>759</v>
      </c>
      <c r="G1639">
        <v>9375</v>
      </c>
      <c r="H1639" t="s">
        <v>1499</v>
      </c>
    </row>
    <row r="1640" spans="1:8" hidden="1">
      <c r="A1640" s="71">
        <v>45083</v>
      </c>
      <c r="B1640" t="s">
        <v>307</v>
      </c>
      <c r="C1640" t="s">
        <v>3006</v>
      </c>
      <c r="F1640" t="s">
        <v>759</v>
      </c>
      <c r="G1640">
        <v>10773</v>
      </c>
      <c r="H1640" t="s">
        <v>1286</v>
      </c>
    </row>
    <row r="1641" spans="1:8" hidden="1">
      <c r="A1641" s="71">
        <v>45083</v>
      </c>
      <c r="B1641" t="s">
        <v>167</v>
      </c>
      <c r="C1641" t="s">
        <v>3007</v>
      </c>
      <c r="E1641" s="86">
        <v>5507</v>
      </c>
      <c r="F1641" t="s">
        <v>759</v>
      </c>
      <c r="G1641">
        <v>9376</v>
      </c>
      <c r="H1641" t="s">
        <v>1499</v>
      </c>
    </row>
    <row r="1642" spans="1:8" hidden="1">
      <c r="A1642" s="71">
        <v>45084</v>
      </c>
      <c r="B1642" t="s">
        <v>346</v>
      </c>
      <c r="C1642" t="s">
        <v>3008</v>
      </c>
      <c r="E1642" s="86">
        <v>468</v>
      </c>
      <c r="F1642" t="s">
        <v>759</v>
      </c>
      <c r="G1642">
        <v>11410</v>
      </c>
      <c r="H1642" t="s">
        <v>2682</v>
      </c>
    </row>
    <row r="1643" spans="1:8" hidden="1">
      <c r="A1643" s="71">
        <v>45084</v>
      </c>
      <c r="B1643" t="s">
        <v>185</v>
      </c>
      <c r="C1643" t="s">
        <v>3009</v>
      </c>
      <c r="F1643" t="s">
        <v>759</v>
      </c>
      <c r="G1643">
        <v>10961</v>
      </c>
      <c r="H1643" t="s">
        <v>1244</v>
      </c>
    </row>
    <row r="1644" spans="1:8" hidden="1">
      <c r="A1644" s="71">
        <v>45084</v>
      </c>
      <c r="B1644" t="s">
        <v>167</v>
      </c>
      <c r="C1644" t="s">
        <v>3010</v>
      </c>
      <c r="E1644" s="86">
        <v>9377</v>
      </c>
      <c r="F1644" t="s">
        <v>759</v>
      </c>
      <c r="G1644">
        <v>9377</v>
      </c>
      <c r="H1644" t="s">
        <v>1499</v>
      </c>
    </row>
    <row r="1645" spans="1:8" hidden="1">
      <c r="A1645" s="71">
        <v>45084</v>
      </c>
      <c r="B1645" t="s">
        <v>351</v>
      </c>
      <c r="C1645" t="s">
        <v>3011</v>
      </c>
      <c r="E1645" s="86">
        <v>7301</v>
      </c>
      <c r="F1645" t="s">
        <v>759</v>
      </c>
      <c r="G1645">
        <v>9378</v>
      </c>
      <c r="H1645" t="s">
        <v>1499</v>
      </c>
    </row>
    <row r="1646" spans="1:8" hidden="1">
      <c r="A1646" s="71">
        <v>45084</v>
      </c>
      <c r="B1646" t="s">
        <v>65</v>
      </c>
      <c r="C1646" t="s">
        <v>3012</v>
      </c>
      <c r="E1646" s="86">
        <v>1670</v>
      </c>
      <c r="F1646" t="s">
        <v>759</v>
      </c>
      <c r="G1646">
        <v>9327</v>
      </c>
      <c r="H1646" t="s">
        <v>1244</v>
      </c>
    </row>
    <row r="1647" spans="1:8" hidden="1">
      <c r="A1647" s="71">
        <v>45085</v>
      </c>
      <c r="B1647" t="s">
        <v>36</v>
      </c>
      <c r="C1647" t="s">
        <v>3013</v>
      </c>
      <c r="F1647" t="s">
        <v>759</v>
      </c>
      <c r="G1647">
        <v>10776</v>
      </c>
      <c r="H1647" t="s">
        <v>1286</v>
      </c>
    </row>
    <row r="1648" spans="1:8" hidden="1">
      <c r="A1648" s="71">
        <v>45085</v>
      </c>
      <c r="B1648" t="s">
        <v>176</v>
      </c>
      <c r="C1648" t="s">
        <v>3014</v>
      </c>
      <c r="E1648" s="86">
        <v>4498</v>
      </c>
      <c r="F1648" t="s">
        <v>759</v>
      </c>
      <c r="G1648">
        <v>9380</v>
      </c>
      <c r="H1648" t="s">
        <v>1499</v>
      </c>
    </row>
    <row r="1649" spans="1:8" hidden="1">
      <c r="A1649" s="71">
        <v>45085</v>
      </c>
      <c r="B1649" t="s">
        <v>351</v>
      </c>
      <c r="C1649" t="s">
        <v>3015</v>
      </c>
      <c r="E1649" s="86">
        <v>7301</v>
      </c>
      <c r="F1649" t="s">
        <v>759</v>
      </c>
      <c r="G1649">
        <v>9379</v>
      </c>
      <c r="H1649" t="s">
        <v>1499</v>
      </c>
    </row>
    <row r="1650" spans="1:8" hidden="1">
      <c r="A1650" s="71">
        <v>45086</v>
      </c>
      <c r="B1650" t="s">
        <v>167</v>
      </c>
      <c r="C1650" t="s">
        <v>3016</v>
      </c>
      <c r="E1650" s="86">
        <v>5507</v>
      </c>
      <c r="F1650" t="s">
        <v>759</v>
      </c>
      <c r="G1650">
        <v>9382</v>
      </c>
      <c r="H1650" t="s">
        <v>1499</v>
      </c>
    </row>
    <row r="1651" spans="1:8" hidden="1">
      <c r="A1651" s="71">
        <v>45086</v>
      </c>
      <c r="B1651" t="s">
        <v>176</v>
      </c>
      <c r="C1651" t="s">
        <v>3017</v>
      </c>
      <c r="E1651" s="86">
        <v>4492</v>
      </c>
      <c r="F1651" t="s">
        <v>759</v>
      </c>
      <c r="G1651">
        <v>9381</v>
      </c>
      <c r="H1651" t="s">
        <v>1499</v>
      </c>
    </row>
    <row r="1652" spans="1:8" hidden="1">
      <c r="A1652" s="71">
        <v>45087</v>
      </c>
      <c r="B1652" t="s">
        <v>371</v>
      </c>
      <c r="C1652" t="s">
        <v>3018</v>
      </c>
      <c r="E1652" s="86">
        <v>14822</v>
      </c>
      <c r="F1652" t="s">
        <v>759</v>
      </c>
      <c r="G1652">
        <v>11004</v>
      </c>
      <c r="H1652" t="s">
        <v>1235</v>
      </c>
    </row>
    <row r="1653" spans="1:8" hidden="1">
      <c r="A1653" s="71">
        <v>45087</v>
      </c>
      <c r="B1653" t="s">
        <v>698</v>
      </c>
      <c r="C1653" t="s">
        <v>3019</v>
      </c>
      <c r="E1653" s="86">
        <v>18768</v>
      </c>
      <c r="F1653" t="s">
        <v>759</v>
      </c>
      <c r="G1653">
        <v>11005</v>
      </c>
      <c r="H1653" t="s">
        <v>1235</v>
      </c>
    </row>
    <row r="1654" spans="1:8" hidden="1">
      <c r="A1654" s="71">
        <v>45087</v>
      </c>
      <c r="B1654" t="s">
        <v>613</v>
      </c>
      <c r="C1654" t="s">
        <v>3020</v>
      </c>
      <c r="F1654" t="s">
        <v>759</v>
      </c>
      <c r="G1654">
        <v>10678</v>
      </c>
      <c r="H1654" t="s">
        <v>2976</v>
      </c>
    </row>
    <row r="1655" spans="1:8" hidden="1">
      <c r="A1655" s="71">
        <v>45088</v>
      </c>
      <c r="B1655" t="s">
        <v>180</v>
      </c>
      <c r="C1655" t="s">
        <v>3021</v>
      </c>
      <c r="E1655" s="86">
        <v>5088</v>
      </c>
      <c r="F1655" t="s">
        <v>759</v>
      </c>
      <c r="G1655">
        <v>9351</v>
      </c>
      <c r="H1655" t="s">
        <v>1499</v>
      </c>
    </row>
    <row r="1656" spans="1:8" hidden="1">
      <c r="A1656" s="71">
        <v>45089</v>
      </c>
      <c r="B1656" t="s">
        <v>400</v>
      </c>
      <c r="C1656" t="s">
        <v>3022</v>
      </c>
      <c r="F1656" t="s">
        <v>759</v>
      </c>
      <c r="G1656">
        <v>10779</v>
      </c>
      <c r="H1656" t="s">
        <v>1286</v>
      </c>
    </row>
    <row r="1657" spans="1:8" hidden="1">
      <c r="A1657" s="71">
        <v>45089</v>
      </c>
      <c r="B1657" t="s">
        <v>409</v>
      </c>
      <c r="C1657" t="s">
        <v>3023</v>
      </c>
      <c r="F1657" t="s">
        <v>759</v>
      </c>
      <c r="G1657">
        <v>10271</v>
      </c>
      <c r="H1657" t="s">
        <v>1390</v>
      </c>
    </row>
    <row r="1658" spans="1:8" hidden="1">
      <c r="A1658" s="71">
        <v>45089</v>
      </c>
      <c r="B1658" t="s">
        <v>311</v>
      </c>
      <c r="C1658" t="s">
        <v>3024</v>
      </c>
      <c r="F1658" t="s">
        <v>759</v>
      </c>
      <c r="G1658">
        <v>9383</v>
      </c>
      <c r="H1658" t="s">
        <v>1499</v>
      </c>
    </row>
    <row r="1659" spans="1:8" hidden="1">
      <c r="A1659" s="71">
        <v>45089</v>
      </c>
      <c r="B1659" t="s">
        <v>324</v>
      </c>
      <c r="C1659" t="s">
        <v>3025</v>
      </c>
      <c r="E1659" s="86">
        <v>13560</v>
      </c>
      <c r="F1659" t="s">
        <v>759</v>
      </c>
      <c r="G1659">
        <v>9373</v>
      </c>
      <c r="H1659" t="s">
        <v>1499</v>
      </c>
    </row>
    <row r="1660" spans="1:8" hidden="1">
      <c r="A1660" s="71">
        <v>45090</v>
      </c>
      <c r="B1660" t="s">
        <v>307</v>
      </c>
      <c r="C1660" t="s">
        <v>3026</v>
      </c>
      <c r="F1660" t="s">
        <v>759</v>
      </c>
      <c r="G1660">
        <v>10781</v>
      </c>
      <c r="H1660" t="s">
        <v>1286</v>
      </c>
    </row>
    <row r="1661" spans="1:8" hidden="1">
      <c r="A1661" s="71">
        <v>45090</v>
      </c>
      <c r="B1661" t="s">
        <v>36</v>
      </c>
      <c r="C1661" t="s">
        <v>3027</v>
      </c>
      <c r="F1661" t="s">
        <v>759</v>
      </c>
      <c r="G1661">
        <v>10780</v>
      </c>
      <c r="H1661" t="s">
        <v>1286</v>
      </c>
    </row>
    <row r="1662" spans="1:8" hidden="1">
      <c r="A1662" s="71">
        <v>45090</v>
      </c>
      <c r="B1662" t="s">
        <v>311</v>
      </c>
      <c r="C1662" t="s">
        <v>3028</v>
      </c>
      <c r="F1662" t="s">
        <v>759</v>
      </c>
      <c r="G1662">
        <v>9384</v>
      </c>
      <c r="H1662" t="s">
        <v>1499</v>
      </c>
    </row>
    <row r="1663" spans="1:8" hidden="1">
      <c r="A1663" s="71">
        <v>45091</v>
      </c>
      <c r="B1663" t="s">
        <v>391</v>
      </c>
      <c r="C1663" t="s">
        <v>3029</v>
      </c>
      <c r="E1663" s="86">
        <v>6996</v>
      </c>
      <c r="F1663" t="s">
        <v>759</v>
      </c>
      <c r="G1663">
        <v>10964</v>
      </c>
      <c r="H1663" t="s">
        <v>1244</v>
      </c>
    </row>
    <row r="1664" spans="1:8" hidden="1">
      <c r="A1664" s="71">
        <v>45091</v>
      </c>
      <c r="B1664" t="s">
        <v>400</v>
      </c>
      <c r="C1664" t="s">
        <v>3030</v>
      </c>
      <c r="F1664" t="s">
        <v>759</v>
      </c>
      <c r="G1664">
        <v>10783</v>
      </c>
      <c r="H1664" t="s">
        <v>1286</v>
      </c>
    </row>
    <row r="1665" spans="1:8" hidden="1">
      <c r="A1665" s="71">
        <v>45091</v>
      </c>
      <c r="B1665" t="s">
        <v>36</v>
      </c>
      <c r="C1665" t="s">
        <v>3031</v>
      </c>
      <c r="E1665" s="86">
        <v>6862</v>
      </c>
      <c r="F1665" t="s">
        <v>759</v>
      </c>
      <c r="G1665">
        <v>10782</v>
      </c>
      <c r="H1665" t="s">
        <v>1286</v>
      </c>
    </row>
    <row r="1666" spans="1:8" hidden="1">
      <c r="A1666" s="71">
        <v>45091</v>
      </c>
      <c r="B1666" t="s">
        <v>389</v>
      </c>
      <c r="C1666" t="s">
        <v>3032</v>
      </c>
      <c r="E1666" s="86">
        <v>5214</v>
      </c>
      <c r="F1666" t="s">
        <v>759</v>
      </c>
      <c r="G1666">
        <v>9388</v>
      </c>
      <c r="H1666" t="s">
        <v>1499</v>
      </c>
    </row>
    <row r="1667" spans="1:8" hidden="1">
      <c r="A1667" s="71">
        <v>45091</v>
      </c>
      <c r="B1667" t="s">
        <v>800</v>
      </c>
      <c r="C1667" t="s">
        <v>3033</v>
      </c>
      <c r="F1667" t="s">
        <v>759</v>
      </c>
      <c r="H1667" t="s">
        <v>1499</v>
      </c>
    </row>
    <row r="1668" spans="1:8" hidden="1">
      <c r="A1668" s="71">
        <v>45092</v>
      </c>
      <c r="B1668" t="s">
        <v>346</v>
      </c>
      <c r="C1668" t="s">
        <v>3034</v>
      </c>
      <c r="E1668" s="86">
        <v>469</v>
      </c>
      <c r="F1668" t="s">
        <v>759</v>
      </c>
      <c r="G1668">
        <v>11414</v>
      </c>
      <c r="H1668" t="s">
        <v>2682</v>
      </c>
    </row>
    <row r="1669" spans="1:8" hidden="1">
      <c r="A1669" s="71">
        <v>45092</v>
      </c>
      <c r="B1669" t="s">
        <v>400</v>
      </c>
      <c r="C1669" t="s">
        <v>3035</v>
      </c>
      <c r="F1669" t="s">
        <v>759</v>
      </c>
      <c r="G1669">
        <v>10786</v>
      </c>
      <c r="H1669" t="s">
        <v>1286</v>
      </c>
    </row>
    <row r="1670" spans="1:8" hidden="1">
      <c r="A1670" s="71">
        <v>45092</v>
      </c>
      <c r="B1670" t="s">
        <v>163</v>
      </c>
      <c r="C1670" t="s">
        <v>3036</v>
      </c>
      <c r="E1670" s="86">
        <v>6463</v>
      </c>
      <c r="F1670" t="s">
        <v>759</v>
      </c>
      <c r="G1670">
        <v>9390</v>
      </c>
      <c r="H1670" t="s">
        <v>1499</v>
      </c>
    </row>
    <row r="1671" spans="1:8" hidden="1">
      <c r="A1671" s="71">
        <v>45093</v>
      </c>
      <c r="B1671" t="s">
        <v>569</v>
      </c>
      <c r="C1671" t="s">
        <v>3037</v>
      </c>
      <c r="F1671" t="s">
        <v>759</v>
      </c>
      <c r="G1671">
        <v>11416</v>
      </c>
      <c r="H1671" t="s">
        <v>2682</v>
      </c>
    </row>
    <row r="1672" spans="1:8" hidden="1">
      <c r="A1672" s="71">
        <v>45093</v>
      </c>
      <c r="B1672" t="s">
        <v>369</v>
      </c>
      <c r="C1672" t="s">
        <v>3038</v>
      </c>
      <c r="E1672" s="86">
        <v>10879</v>
      </c>
      <c r="F1672" t="s">
        <v>759</v>
      </c>
      <c r="G1672">
        <v>11415</v>
      </c>
      <c r="H1672" t="s">
        <v>2682</v>
      </c>
    </row>
    <row r="1673" spans="1:8" hidden="1">
      <c r="A1673" s="71">
        <v>45093</v>
      </c>
      <c r="B1673" t="s">
        <v>373</v>
      </c>
      <c r="C1673" t="s">
        <v>3039</v>
      </c>
      <c r="F1673" t="s">
        <v>759</v>
      </c>
      <c r="G1673">
        <v>10959</v>
      </c>
      <c r="H1673" t="s">
        <v>1244</v>
      </c>
    </row>
    <row r="1674" spans="1:8" hidden="1">
      <c r="A1674" s="71">
        <v>45093</v>
      </c>
      <c r="B1674" t="s">
        <v>36</v>
      </c>
      <c r="C1674" t="s">
        <v>3040</v>
      </c>
      <c r="E1674" s="86">
        <v>6901</v>
      </c>
      <c r="F1674" t="s">
        <v>759</v>
      </c>
      <c r="G1674">
        <v>9391</v>
      </c>
      <c r="H1674" t="s">
        <v>1499</v>
      </c>
    </row>
    <row r="1675" spans="1:8" hidden="1">
      <c r="A1675" s="71">
        <v>45096</v>
      </c>
      <c r="B1675" t="s">
        <v>175</v>
      </c>
      <c r="C1675" t="s">
        <v>3041</v>
      </c>
      <c r="F1675" t="s">
        <v>759</v>
      </c>
      <c r="G1675">
        <v>10695</v>
      </c>
      <c r="H1675" t="s">
        <v>1286</v>
      </c>
    </row>
    <row r="1676" spans="1:8" hidden="1">
      <c r="A1676" s="71">
        <v>45096</v>
      </c>
      <c r="B1676" t="s">
        <v>29</v>
      </c>
      <c r="C1676" t="s">
        <v>3042</v>
      </c>
      <c r="F1676" t="s">
        <v>759</v>
      </c>
      <c r="G1676">
        <v>10696</v>
      </c>
      <c r="H1676" t="s">
        <v>1286</v>
      </c>
    </row>
    <row r="1677" spans="1:8" hidden="1">
      <c r="A1677" s="71">
        <v>45096</v>
      </c>
      <c r="B1677" t="s">
        <v>328</v>
      </c>
      <c r="C1677" t="s">
        <v>3043</v>
      </c>
      <c r="E1677" s="86">
        <v>7767</v>
      </c>
      <c r="F1677" t="s">
        <v>759</v>
      </c>
      <c r="G1677">
        <v>9392</v>
      </c>
      <c r="H1677" t="s">
        <v>1499</v>
      </c>
    </row>
    <row r="1678" spans="1:8" hidden="1">
      <c r="A1678" s="71">
        <v>45097</v>
      </c>
      <c r="B1678" t="s">
        <v>239</v>
      </c>
      <c r="C1678" t="s">
        <v>3044</v>
      </c>
      <c r="E1678" s="86">
        <v>12643</v>
      </c>
      <c r="F1678" t="s">
        <v>759</v>
      </c>
      <c r="G1678">
        <v>11019</v>
      </c>
      <c r="H1678" t="s">
        <v>1235</v>
      </c>
    </row>
    <row r="1679" spans="1:8" hidden="1">
      <c r="A1679" s="71">
        <v>45097</v>
      </c>
      <c r="B1679" t="s">
        <v>698</v>
      </c>
      <c r="C1679" t="s">
        <v>3045</v>
      </c>
      <c r="E1679" s="86">
        <v>18807</v>
      </c>
      <c r="F1679" t="s">
        <v>759</v>
      </c>
      <c r="G1679">
        <v>11017</v>
      </c>
      <c r="H1679" t="s">
        <v>1235</v>
      </c>
    </row>
    <row r="1680" spans="1:8" hidden="1">
      <c r="A1680" s="71">
        <v>45097</v>
      </c>
      <c r="B1680" t="s">
        <v>698</v>
      </c>
      <c r="C1680" t="s">
        <v>3046</v>
      </c>
      <c r="E1680" s="86">
        <v>18801</v>
      </c>
      <c r="F1680" t="s">
        <v>759</v>
      </c>
      <c r="G1680">
        <v>11016</v>
      </c>
      <c r="H1680" t="s">
        <v>1235</v>
      </c>
    </row>
    <row r="1681" spans="1:8" hidden="1">
      <c r="A1681" s="71">
        <v>45097</v>
      </c>
      <c r="B1681" t="s">
        <v>143</v>
      </c>
      <c r="C1681" t="s">
        <v>3047</v>
      </c>
      <c r="F1681" t="s">
        <v>759</v>
      </c>
      <c r="G1681">
        <v>10697</v>
      </c>
      <c r="H1681" t="s">
        <v>1286</v>
      </c>
    </row>
    <row r="1682" spans="1:8" hidden="1">
      <c r="A1682" s="71">
        <v>45097</v>
      </c>
      <c r="B1682" t="s">
        <v>29</v>
      </c>
      <c r="C1682" t="s">
        <v>3048</v>
      </c>
      <c r="F1682" t="s">
        <v>759</v>
      </c>
      <c r="G1682">
        <v>10698</v>
      </c>
      <c r="H1682" t="s">
        <v>1286</v>
      </c>
    </row>
    <row r="1683" spans="1:8" hidden="1">
      <c r="A1683" s="71">
        <v>45098</v>
      </c>
      <c r="B1683" t="s">
        <v>143</v>
      </c>
      <c r="C1683" t="s">
        <v>3049</v>
      </c>
      <c r="F1683" t="s">
        <v>759</v>
      </c>
      <c r="G1683">
        <v>10699</v>
      </c>
      <c r="H1683" t="s">
        <v>1286</v>
      </c>
    </row>
    <row r="1684" spans="1:8" hidden="1">
      <c r="A1684" s="71">
        <v>45098</v>
      </c>
      <c r="B1684" t="s">
        <v>29</v>
      </c>
      <c r="C1684" t="s">
        <v>3050</v>
      </c>
      <c r="F1684" t="s">
        <v>759</v>
      </c>
      <c r="G1684">
        <v>10700</v>
      </c>
      <c r="H1684" t="s">
        <v>1286</v>
      </c>
    </row>
    <row r="1685" spans="1:8" hidden="1">
      <c r="A1685" s="71">
        <v>45099</v>
      </c>
      <c r="B1685" t="s">
        <v>397</v>
      </c>
      <c r="C1685" t="s">
        <v>3051</v>
      </c>
      <c r="F1685" t="s">
        <v>759</v>
      </c>
      <c r="G1685">
        <v>10745</v>
      </c>
      <c r="H1685" t="s">
        <v>1286</v>
      </c>
    </row>
    <row r="1686" spans="1:8" hidden="1">
      <c r="A1686" s="71">
        <v>45099</v>
      </c>
      <c r="B1686" t="s">
        <v>48</v>
      </c>
      <c r="C1686" t="s">
        <v>3052</v>
      </c>
      <c r="F1686" t="s">
        <v>759</v>
      </c>
      <c r="G1686">
        <v>9395</v>
      </c>
      <c r="H1686" t="s">
        <v>1499</v>
      </c>
    </row>
    <row r="1687" spans="1:8" hidden="1">
      <c r="A1687" s="71">
        <v>45100</v>
      </c>
      <c r="B1687" t="s">
        <v>48</v>
      </c>
      <c r="C1687" t="s">
        <v>3053</v>
      </c>
      <c r="F1687" t="s">
        <v>759</v>
      </c>
      <c r="G1687">
        <v>9396</v>
      </c>
      <c r="H1687" t="s">
        <v>1499</v>
      </c>
    </row>
    <row r="1688" spans="1:8" hidden="1">
      <c r="A1688" s="71">
        <v>45100</v>
      </c>
      <c r="B1688" t="s">
        <v>48</v>
      </c>
      <c r="C1688" t="s">
        <v>3054</v>
      </c>
      <c r="F1688" t="s">
        <v>759</v>
      </c>
      <c r="H1688" t="s">
        <v>1499</v>
      </c>
    </row>
    <row r="1689" spans="1:8" hidden="1">
      <c r="A1689" s="71">
        <v>45103</v>
      </c>
      <c r="B1689" t="s">
        <v>311</v>
      </c>
      <c r="C1689" t="s">
        <v>3055</v>
      </c>
      <c r="E1689" s="86">
        <v>5</v>
      </c>
      <c r="F1689" t="s">
        <v>759</v>
      </c>
      <c r="G1689">
        <v>9397</v>
      </c>
      <c r="H1689" t="s">
        <v>1499</v>
      </c>
    </row>
    <row r="1690" spans="1:8" hidden="1">
      <c r="A1690" s="71">
        <v>45103</v>
      </c>
      <c r="B1690" t="s">
        <v>65</v>
      </c>
      <c r="C1690" t="s">
        <v>3056</v>
      </c>
      <c r="E1690" s="86">
        <v>1815</v>
      </c>
      <c r="F1690" t="s">
        <v>759</v>
      </c>
      <c r="G1690">
        <v>9339</v>
      </c>
      <c r="H1690" t="s">
        <v>1244</v>
      </c>
    </row>
    <row r="1691" spans="1:8" hidden="1">
      <c r="A1691" s="71">
        <v>45104</v>
      </c>
      <c r="B1691" t="s">
        <v>397</v>
      </c>
      <c r="C1691" t="s">
        <v>3057</v>
      </c>
      <c r="F1691" t="s">
        <v>759</v>
      </c>
      <c r="G1691">
        <v>10746</v>
      </c>
      <c r="H1691" t="s">
        <v>1286</v>
      </c>
    </row>
    <row r="1692" spans="1:8" hidden="1">
      <c r="A1692" s="71">
        <v>45104</v>
      </c>
      <c r="B1692" t="s">
        <v>311</v>
      </c>
      <c r="C1692" t="s">
        <v>3058</v>
      </c>
      <c r="E1692" s="86">
        <v>5</v>
      </c>
      <c r="F1692" t="s">
        <v>759</v>
      </c>
      <c r="H1692" t="s">
        <v>1499</v>
      </c>
    </row>
    <row r="1693" spans="1:8" hidden="1">
      <c r="A1693" s="71">
        <v>45104</v>
      </c>
      <c r="B1693" t="s">
        <v>19</v>
      </c>
      <c r="C1693" t="s">
        <v>3059</v>
      </c>
      <c r="F1693" t="s">
        <v>759</v>
      </c>
      <c r="G1693">
        <v>10275</v>
      </c>
      <c r="H1693" t="s">
        <v>1390</v>
      </c>
    </row>
    <row r="1694" spans="1:8" hidden="1">
      <c r="A1694" s="71">
        <v>45104</v>
      </c>
      <c r="B1694" t="s">
        <v>19</v>
      </c>
      <c r="C1694" t="s">
        <v>3060</v>
      </c>
      <c r="F1694" t="s">
        <v>759</v>
      </c>
      <c r="G1694">
        <v>10272</v>
      </c>
      <c r="H1694" t="s">
        <v>1390</v>
      </c>
    </row>
    <row r="1695" spans="1:8" hidden="1">
      <c r="A1695" s="71">
        <v>45105</v>
      </c>
      <c r="B1695" t="s">
        <v>162</v>
      </c>
      <c r="C1695" t="s">
        <v>3061</v>
      </c>
      <c r="E1695" s="86">
        <v>8496</v>
      </c>
      <c r="F1695" t="s">
        <v>759</v>
      </c>
      <c r="G1695">
        <v>11418</v>
      </c>
      <c r="H1695" t="s">
        <v>2682</v>
      </c>
    </row>
    <row r="1696" spans="1:8" hidden="1">
      <c r="A1696" s="71">
        <v>45105</v>
      </c>
      <c r="B1696" t="s">
        <v>162</v>
      </c>
      <c r="C1696" t="s">
        <v>3062</v>
      </c>
      <c r="F1696" t="s">
        <v>759</v>
      </c>
      <c r="G1696">
        <v>11417</v>
      </c>
      <c r="H1696" t="s">
        <v>2682</v>
      </c>
    </row>
    <row r="1697" spans="1:8" hidden="1">
      <c r="A1697" s="71">
        <v>45105</v>
      </c>
      <c r="B1697" t="s">
        <v>690</v>
      </c>
      <c r="C1697" t="s">
        <v>3063</v>
      </c>
      <c r="E1697" s="86">
        <v>6010</v>
      </c>
      <c r="F1697" t="s">
        <v>759</v>
      </c>
      <c r="G1697">
        <v>10748</v>
      </c>
      <c r="H1697" t="s">
        <v>1286</v>
      </c>
    </row>
    <row r="1698" spans="1:8" hidden="1">
      <c r="A1698" s="71">
        <v>45105</v>
      </c>
      <c r="B1698" t="s">
        <v>311</v>
      </c>
      <c r="C1698" t="s">
        <v>3064</v>
      </c>
      <c r="E1698" s="86">
        <v>4</v>
      </c>
      <c r="F1698" t="s">
        <v>759</v>
      </c>
      <c r="G1698">
        <v>10851</v>
      </c>
      <c r="H1698" t="s">
        <v>1560</v>
      </c>
    </row>
    <row r="1699" spans="1:8" hidden="1">
      <c r="A1699" s="71">
        <v>45105</v>
      </c>
      <c r="B1699" t="s">
        <v>599</v>
      </c>
      <c r="C1699" t="s">
        <v>3065</v>
      </c>
      <c r="F1699" t="s">
        <v>759</v>
      </c>
      <c r="G1699">
        <v>9398</v>
      </c>
      <c r="H1699" t="s">
        <v>1499</v>
      </c>
    </row>
    <row r="1700" spans="1:8" hidden="1">
      <c r="A1700" s="71">
        <v>45105</v>
      </c>
      <c r="B1700" t="s">
        <v>803</v>
      </c>
      <c r="C1700" t="s">
        <v>3066</v>
      </c>
      <c r="F1700" t="s">
        <v>759</v>
      </c>
      <c r="H1700" t="s">
        <v>1499</v>
      </c>
    </row>
    <row r="1701" spans="1:8" hidden="1">
      <c r="A1701" s="71">
        <v>45106</v>
      </c>
      <c r="B1701" t="s">
        <v>324</v>
      </c>
      <c r="C1701" t="s">
        <v>3067</v>
      </c>
      <c r="F1701" t="s">
        <v>759</v>
      </c>
      <c r="G1701">
        <v>10790</v>
      </c>
      <c r="H1701" t="s">
        <v>1286</v>
      </c>
    </row>
    <row r="1702" spans="1:8" hidden="1">
      <c r="A1702" s="71">
        <v>45106</v>
      </c>
      <c r="B1702" t="s">
        <v>589</v>
      </c>
      <c r="C1702" t="s">
        <v>3068</v>
      </c>
      <c r="F1702" t="s">
        <v>759</v>
      </c>
      <c r="G1702">
        <v>10750</v>
      </c>
      <c r="H1702" t="s">
        <v>1286</v>
      </c>
    </row>
    <row r="1703" spans="1:8" hidden="1">
      <c r="A1703" s="71">
        <v>45106</v>
      </c>
      <c r="B1703" t="s">
        <v>29</v>
      </c>
      <c r="C1703" t="s">
        <v>3069</v>
      </c>
      <c r="E1703" s="86">
        <v>7945</v>
      </c>
      <c r="F1703" t="s">
        <v>759</v>
      </c>
      <c r="G1703">
        <v>10749</v>
      </c>
      <c r="H1703" t="s">
        <v>1286</v>
      </c>
    </row>
    <row r="1704" spans="1:8" hidden="1">
      <c r="A1704" s="71">
        <v>45106</v>
      </c>
      <c r="B1704" t="s">
        <v>48</v>
      </c>
      <c r="C1704" t="s">
        <v>3070</v>
      </c>
      <c r="F1704" t="s">
        <v>759</v>
      </c>
      <c r="G1704">
        <v>9399</v>
      </c>
      <c r="H1704" t="s">
        <v>1499</v>
      </c>
    </row>
    <row r="1705" spans="1:8" hidden="1">
      <c r="A1705" s="71">
        <v>45106</v>
      </c>
      <c r="B1705" t="s">
        <v>48</v>
      </c>
      <c r="C1705" t="s">
        <v>3071</v>
      </c>
      <c r="F1705" t="s">
        <v>759</v>
      </c>
      <c r="H1705" t="s">
        <v>1499</v>
      </c>
    </row>
    <row r="1706" spans="1:8" hidden="1">
      <c r="A1706" s="71">
        <v>45107</v>
      </c>
      <c r="B1706" t="s">
        <v>352</v>
      </c>
      <c r="C1706" t="s">
        <v>3072</v>
      </c>
      <c r="F1706" t="s">
        <v>759</v>
      </c>
      <c r="G1706">
        <v>10792</v>
      </c>
      <c r="H1706" t="s">
        <v>1286</v>
      </c>
    </row>
    <row r="1707" spans="1:8" hidden="1">
      <c r="A1707" s="71">
        <v>45107</v>
      </c>
      <c r="B1707" t="s">
        <v>356</v>
      </c>
      <c r="C1707" t="s">
        <v>3073</v>
      </c>
      <c r="F1707" t="s">
        <v>759</v>
      </c>
      <c r="G1707">
        <v>10791</v>
      </c>
      <c r="H1707" t="s">
        <v>1286</v>
      </c>
    </row>
    <row r="1708" spans="1:8" hidden="1">
      <c r="A1708" s="71">
        <v>45107</v>
      </c>
      <c r="B1708" t="s">
        <v>369</v>
      </c>
      <c r="C1708" t="s">
        <v>3074</v>
      </c>
      <c r="E1708" s="86">
        <v>45107</v>
      </c>
      <c r="F1708" t="s">
        <v>759</v>
      </c>
      <c r="G1708">
        <v>10274</v>
      </c>
      <c r="H1708" t="s">
        <v>1390</v>
      </c>
    </row>
    <row r="1709" spans="1:8" hidden="1">
      <c r="A1709" s="71">
        <v>45107</v>
      </c>
      <c r="B1709" t="s">
        <v>391</v>
      </c>
      <c r="C1709" t="s">
        <v>3075</v>
      </c>
      <c r="E1709" s="86">
        <v>7032</v>
      </c>
      <c r="F1709" t="s">
        <v>759</v>
      </c>
      <c r="G1709">
        <v>10273</v>
      </c>
      <c r="H1709" t="s">
        <v>1390</v>
      </c>
    </row>
    <row r="1710" spans="1:8" hidden="1">
      <c r="A1710" s="71">
        <v>45108</v>
      </c>
      <c r="B1710" t="s">
        <v>176</v>
      </c>
      <c r="C1710" t="s">
        <v>3076</v>
      </c>
      <c r="E1710" s="86">
        <v>4500</v>
      </c>
      <c r="F1710" t="s">
        <v>759</v>
      </c>
      <c r="G1710">
        <v>9900</v>
      </c>
      <c r="H1710" t="s">
        <v>1246</v>
      </c>
    </row>
    <row r="1711" spans="1:8" hidden="1">
      <c r="A1711" s="71">
        <v>45109</v>
      </c>
      <c r="B1711" t="s">
        <v>2287</v>
      </c>
      <c r="C1711" t="s">
        <v>3077</v>
      </c>
      <c r="E1711" s="86">
        <v>407615</v>
      </c>
      <c r="F1711" t="s">
        <v>759</v>
      </c>
      <c r="G1711">
        <v>10970</v>
      </c>
      <c r="H1711" t="s">
        <v>1244</v>
      </c>
    </row>
    <row r="1712" spans="1:8" hidden="1">
      <c r="A1712" s="71">
        <v>45110</v>
      </c>
      <c r="B1712" t="s">
        <v>162</v>
      </c>
      <c r="C1712" t="s">
        <v>3078</v>
      </c>
      <c r="E1712" s="86">
        <v>7440</v>
      </c>
      <c r="F1712" t="s">
        <v>759</v>
      </c>
      <c r="G1712">
        <v>8051</v>
      </c>
      <c r="H1712" t="s">
        <v>1499</v>
      </c>
    </row>
    <row r="1713" spans="1:8" hidden="1">
      <c r="A1713" s="71">
        <v>45110</v>
      </c>
      <c r="B1713" t="s">
        <v>380</v>
      </c>
      <c r="C1713" t="s">
        <v>3079</v>
      </c>
      <c r="E1713" s="86">
        <v>4078</v>
      </c>
      <c r="F1713" t="s">
        <v>759</v>
      </c>
      <c r="G1713">
        <v>10969</v>
      </c>
      <c r="H1713" t="s">
        <v>1244</v>
      </c>
    </row>
    <row r="1714" spans="1:8" hidden="1">
      <c r="A1714" s="71">
        <v>45110</v>
      </c>
      <c r="B1714" t="s">
        <v>389</v>
      </c>
      <c r="C1714" t="s">
        <v>3080</v>
      </c>
      <c r="F1714" t="s">
        <v>759</v>
      </c>
      <c r="G1714">
        <v>10793</v>
      </c>
      <c r="H1714" t="s">
        <v>1286</v>
      </c>
    </row>
    <row r="1715" spans="1:8" hidden="1">
      <c r="A1715" s="71">
        <v>45111</v>
      </c>
      <c r="B1715" t="s">
        <v>371</v>
      </c>
      <c r="C1715" t="s">
        <v>3081</v>
      </c>
      <c r="E1715" s="86">
        <v>15080</v>
      </c>
      <c r="F1715" t="s">
        <v>759</v>
      </c>
      <c r="G1715">
        <v>8052</v>
      </c>
      <c r="H1715" t="s">
        <v>1499</v>
      </c>
    </row>
    <row r="1716" spans="1:8" hidden="1">
      <c r="A1716" s="71">
        <v>45111</v>
      </c>
      <c r="B1716" t="s">
        <v>143</v>
      </c>
      <c r="C1716" t="s">
        <v>3082</v>
      </c>
      <c r="F1716" t="s">
        <v>759</v>
      </c>
      <c r="G1716">
        <v>10794</v>
      </c>
      <c r="H1716" t="s">
        <v>1286</v>
      </c>
    </row>
    <row r="1717" spans="1:8" hidden="1">
      <c r="A1717" s="71">
        <v>45112</v>
      </c>
      <c r="B1717" t="s">
        <v>389</v>
      </c>
      <c r="C1717" t="s">
        <v>3083</v>
      </c>
      <c r="F1717" t="s">
        <v>759</v>
      </c>
      <c r="G1717">
        <v>10797</v>
      </c>
      <c r="H1717" t="s">
        <v>1286</v>
      </c>
    </row>
    <row r="1718" spans="1:8" hidden="1">
      <c r="A1718" s="71">
        <v>45112</v>
      </c>
      <c r="B1718" t="s">
        <v>324</v>
      </c>
      <c r="C1718" t="s">
        <v>3084</v>
      </c>
      <c r="E1718" s="86">
        <v>13554</v>
      </c>
      <c r="F1718" t="s">
        <v>759</v>
      </c>
      <c r="G1718">
        <v>10795</v>
      </c>
      <c r="H1718" t="s">
        <v>1286</v>
      </c>
    </row>
    <row r="1719" spans="1:8" hidden="1">
      <c r="A1719" s="71">
        <v>45113</v>
      </c>
      <c r="B1719" t="s">
        <v>389</v>
      </c>
      <c r="C1719" t="s">
        <v>3085</v>
      </c>
      <c r="E1719" s="86">
        <v>5275</v>
      </c>
      <c r="F1719" t="s">
        <v>759</v>
      </c>
      <c r="G1719">
        <v>10798</v>
      </c>
      <c r="H1719" t="s">
        <v>1286</v>
      </c>
    </row>
    <row r="1720" spans="1:8" hidden="1">
      <c r="A1720" s="71">
        <v>45113</v>
      </c>
      <c r="B1720" t="s">
        <v>601</v>
      </c>
      <c r="C1720" t="s">
        <v>3086</v>
      </c>
      <c r="E1720" s="86">
        <v>179709</v>
      </c>
      <c r="F1720" t="s">
        <v>759</v>
      </c>
      <c r="G1720">
        <v>8054</v>
      </c>
      <c r="H1720" t="s">
        <v>1499</v>
      </c>
    </row>
    <row r="1721" spans="1:8" hidden="1">
      <c r="A1721" s="71">
        <v>45114</v>
      </c>
      <c r="B1721" t="s">
        <v>311</v>
      </c>
      <c r="C1721" t="s">
        <v>3087</v>
      </c>
      <c r="E1721" s="86">
        <v>40</v>
      </c>
      <c r="F1721" t="s">
        <v>759</v>
      </c>
      <c r="G1721">
        <v>11421</v>
      </c>
      <c r="H1721" t="s">
        <v>2682</v>
      </c>
    </row>
    <row r="1722" spans="1:8" hidden="1">
      <c r="A1722" s="71">
        <v>45116</v>
      </c>
      <c r="B1722" t="s">
        <v>388</v>
      </c>
      <c r="C1722" t="s">
        <v>3088</v>
      </c>
      <c r="E1722" s="86">
        <v>11390</v>
      </c>
      <c r="F1722" t="s">
        <v>759</v>
      </c>
      <c r="G1722">
        <v>10962</v>
      </c>
      <c r="H1722" t="s">
        <v>1244</v>
      </c>
    </row>
    <row r="1723" spans="1:8" hidden="1">
      <c r="A1723" s="71">
        <v>45117</v>
      </c>
      <c r="B1723" t="s">
        <v>162</v>
      </c>
      <c r="C1723" t="s">
        <v>3089</v>
      </c>
      <c r="E1723" s="86">
        <v>7484</v>
      </c>
      <c r="F1723" t="s">
        <v>759</v>
      </c>
      <c r="G1723">
        <v>8055</v>
      </c>
      <c r="H1723" t="s">
        <v>1499</v>
      </c>
    </row>
    <row r="1724" spans="1:8" hidden="1">
      <c r="A1724" s="71">
        <v>45117</v>
      </c>
      <c r="B1724" t="s">
        <v>409</v>
      </c>
      <c r="C1724" t="s">
        <v>3090</v>
      </c>
      <c r="E1724" s="86">
        <v>9414</v>
      </c>
      <c r="F1724" t="s">
        <v>759</v>
      </c>
      <c r="G1724">
        <v>10276</v>
      </c>
      <c r="H1724" t="s">
        <v>1390</v>
      </c>
    </row>
    <row r="1725" spans="1:8" hidden="1">
      <c r="A1725" s="71">
        <v>45119</v>
      </c>
      <c r="B1725" t="s">
        <v>341</v>
      </c>
      <c r="C1725" t="s">
        <v>3091</v>
      </c>
      <c r="E1725" s="86">
        <v>8065</v>
      </c>
      <c r="F1725" t="s">
        <v>759</v>
      </c>
      <c r="G1725">
        <v>8065.1</v>
      </c>
      <c r="H1725" t="s">
        <v>1390</v>
      </c>
    </row>
    <row r="1726" spans="1:8" hidden="1">
      <c r="A1726" s="71">
        <v>45119</v>
      </c>
      <c r="B1726" t="s">
        <v>143</v>
      </c>
      <c r="C1726" t="s">
        <v>3092</v>
      </c>
      <c r="F1726" t="s">
        <v>759</v>
      </c>
      <c r="G1726">
        <v>8057</v>
      </c>
      <c r="H1726" t="s">
        <v>1499</v>
      </c>
    </row>
    <row r="1727" spans="1:8" hidden="1">
      <c r="A1727" s="71">
        <v>45120</v>
      </c>
      <c r="B1727" t="s">
        <v>318</v>
      </c>
      <c r="C1727" t="s">
        <v>3093</v>
      </c>
      <c r="F1727" t="s">
        <v>759</v>
      </c>
      <c r="G1727">
        <v>10409</v>
      </c>
      <c r="H1727" t="s">
        <v>1286</v>
      </c>
    </row>
    <row r="1728" spans="1:8" hidden="1">
      <c r="A1728" s="71">
        <v>45120</v>
      </c>
      <c r="B1728" t="s">
        <v>397</v>
      </c>
      <c r="C1728" t="s">
        <v>3094</v>
      </c>
      <c r="F1728" t="s">
        <v>759</v>
      </c>
      <c r="G1728">
        <v>10408</v>
      </c>
      <c r="H1728" t="s">
        <v>1286</v>
      </c>
    </row>
    <row r="1729" spans="1:8" hidden="1">
      <c r="A1729" s="71">
        <v>45120</v>
      </c>
      <c r="B1729" t="s">
        <v>341</v>
      </c>
      <c r="C1729" t="s">
        <v>3095</v>
      </c>
      <c r="E1729" s="86">
        <v>8067</v>
      </c>
      <c r="F1729" t="s">
        <v>759</v>
      </c>
      <c r="G1729">
        <v>10279</v>
      </c>
      <c r="H1729" t="s">
        <v>1390</v>
      </c>
    </row>
    <row r="1730" spans="1:8" hidden="1">
      <c r="A1730" s="71">
        <v>45121</v>
      </c>
      <c r="B1730" t="s">
        <v>36</v>
      </c>
      <c r="C1730" t="s">
        <v>3096</v>
      </c>
      <c r="E1730" s="86">
        <v>6949</v>
      </c>
      <c r="F1730" t="s">
        <v>759</v>
      </c>
      <c r="G1730">
        <v>8058</v>
      </c>
      <c r="H1730" t="s">
        <v>1499</v>
      </c>
    </row>
    <row r="1731" spans="1:8" hidden="1">
      <c r="A1731" s="71">
        <v>45121</v>
      </c>
      <c r="B1731" t="s">
        <v>388</v>
      </c>
      <c r="C1731" t="s">
        <v>3097</v>
      </c>
      <c r="F1731" t="s">
        <v>759</v>
      </c>
      <c r="G1731">
        <v>10410</v>
      </c>
      <c r="H1731" t="s">
        <v>1286</v>
      </c>
    </row>
    <row r="1732" spans="1:8" hidden="1">
      <c r="A1732" s="71">
        <v>45124</v>
      </c>
      <c r="B1732" t="s">
        <v>42</v>
      </c>
      <c r="C1732" t="s">
        <v>3098</v>
      </c>
      <c r="F1732" t="s">
        <v>759</v>
      </c>
      <c r="G1732">
        <v>10411</v>
      </c>
      <c r="H1732" t="s">
        <v>1286</v>
      </c>
    </row>
    <row r="1733" spans="1:8" hidden="1">
      <c r="A1733" s="71">
        <v>45124</v>
      </c>
      <c r="B1733" t="s">
        <v>260</v>
      </c>
      <c r="C1733" t="s">
        <v>3099</v>
      </c>
      <c r="F1733" t="s">
        <v>759</v>
      </c>
      <c r="G1733">
        <v>10277</v>
      </c>
      <c r="H1733" t="s">
        <v>1390</v>
      </c>
    </row>
    <row r="1734" spans="1:8" hidden="1">
      <c r="A1734" s="71">
        <v>45124</v>
      </c>
      <c r="B1734" t="s">
        <v>152</v>
      </c>
      <c r="C1734" t="s">
        <v>3100</v>
      </c>
      <c r="E1734" s="86">
        <v>8245</v>
      </c>
      <c r="F1734" t="s">
        <v>759</v>
      </c>
      <c r="G1734">
        <v>8060</v>
      </c>
      <c r="H1734" t="s">
        <v>1499</v>
      </c>
    </row>
    <row r="1735" spans="1:8" hidden="1">
      <c r="A1735" s="71">
        <v>45125</v>
      </c>
      <c r="B1735" t="s">
        <v>397</v>
      </c>
      <c r="C1735" t="s">
        <v>3101</v>
      </c>
      <c r="E1735" s="86">
        <v>6169</v>
      </c>
      <c r="F1735" t="s">
        <v>759</v>
      </c>
      <c r="G1735">
        <v>10413</v>
      </c>
      <c r="H1735" t="s">
        <v>1286</v>
      </c>
    </row>
    <row r="1736" spans="1:8" hidden="1">
      <c r="A1736" s="71">
        <v>45125</v>
      </c>
      <c r="B1736" t="s">
        <v>152</v>
      </c>
      <c r="C1736" t="s">
        <v>3102</v>
      </c>
      <c r="E1736" s="86">
        <v>8245</v>
      </c>
      <c r="F1736" t="s">
        <v>759</v>
      </c>
      <c r="G1736">
        <v>8061</v>
      </c>
      <c r="H1736" t="s">
        <v>1499</v>
      </c>
    </row>
    <row r="1737" spans="1:8" hidden="1">
      <c r="A1737" s="71">
        <v>45126</v>
      </c>
      <c r="B1737" t="s">
        <v>162</v>
      </c>
      <c r="C1737" t="s">
        <v>3103</v>
      </c>
      <c r="F1737" t="s">
        <v>759</v>
      </c>
      <c r="G1737">
        <v>10415</v>
      </c>
      <c r="H1737" t="s">
        <v>1286</v>
      </c>
    </row>
    <row r="1738" spans="1:8" hidden="1">
      <c r="A1738" s="71">
        <v>45127</v>
      </c>
      <c r="B1738" t="s">
        <v>35</v>
      </c>
      <c r="C1738" t="s">
        <v>3104</v>
      </c>
      <c r="F1738" t="s">
        <v>759</v>
      </c>
      <c r="G1738">
        <v>10423</v>
      </c>
      <c r="H1738" t="s">
        <v>1286</v>
      </c>
    </row>
    <row r="1739" spans="1:8" hidden="1">
      <c r="A1739" s="71">
        <v>45127</v>
      </c>
      <c r="B1739" t="s">
        <v>389</v>
      </c>
      <c r="C1739" t="s">
        <v>3105</v>
      </c>
      <c r="F1739" t="s">
        <v>759</v>
      </c>
      <c r="G1739">
        <v>10416</v>
      </c>
      <c r="H1739" t="s">
        <v>1286</v>
      </c>
    </row>
    <row r="1740" spans="1:8" hidden="1">
      <c r="A1740" s="71">
        <v>45128</v>
      </c>
      <c r="B1740" t="s">
        <v>311</v>
      </c>
      <c r="C1740" t="s">
        <v>3106</v>
      </c>
      <c r="E1740" s="86">
        <v>101</v>
      </c>
      <c r="F1740" t="s">
        <v>759</v>
      </c>
      <c r="G1740">
        <v>10419</v>
      </c>
      <c r="H1740" t="s">
        <v>1286</v>
      </c>
    </row>
    <row r="1741" spans="1:8" hidden="1">
      <c r="A1741" s="71">
        <v>45128</v>
      </c>
      <c r="B1741" t="s">
        <v>188</v>
      </c>
      <c r="C1741" t="s">
        <v>3107</v>
      </c>
      <c r="F1741" t="s">
        <v>759</v>
      </c>
      <c r="G1741">
        <v>10421</v>
      </c>
      <c r="H1741" t="s">
        <v>1286</v>
      </c>
    </row>
    <row r="1742" spans="1:8" hidden="1">
      <c r="A1742" s="71">
        <v>45128</v>
      </c>
      <c r="B1742" t="s">
        <v>143</v>
      </c>
      <c r="C1742" t="s">
        <v>3108</v>
      </c>
      <c r="F1742" t="s">
        <v>759</v>
      </c>
      <c r="G1742">
        <v>10418</v>
      </c>
      <c r="H1742" t="s">
        <v>1286</v>
      </c>
    </row>
    <row r="1743" spans="1:8" hidden="1">
      <c r="A1743" s="71">
        <v>45129</v>
      </c>
      <c r="B1743" t="s">
        <v>48</v>
      </c>
      <c r="C1743" t="s">
        <v>3109</v>
      </c>
      <c r="F1743" t="s">
        <v>759</v>
      </c>
      <c r="H1743" t="s">
        <v>1499</v>
      </c>
    </row>
    <row r="1744" spans="1:8" hidden="1">
      <c r="A1744" s="71">
        <v>45132</v>
      </c>
      <c r="B1744" t="s">
        <v>371</v>
      </c>
      <c r="C1744" t="s">
        <v>3110</v>
      </c>
      <c r="E1744" s="86">
        <v>15080</v>
      </c>
      <c r="F1744" t="s">
        <v>759</v>
      </c>
      <c r="G1744">
        <v>8067</v>
      </c>
      <c r="H1744" t="s">
        <v>1499</v>
      </c>
    </row>
    <row r="1745" spans="1:8" hidden="1">
      <c r="A1745" s="71">
        <v>45133</v>
      </c>
      <c r="B1745" t="s">
        <v>392</v>
      </c>
      <c r="C1745" t="s">
        <v>3111</v>
      </c>
      <c r="F1745" t="s">
        <v>759</v>
      </c>
      <c r="G1745">
        <v>10854</v>
      </c>
      <c r="H1745" t="s">
        <v>1560</v>
      </c>
    </row>
    <row r="1746" spans="1:8" hidden="1">
      <c r="A1746" s="71">
        <v>45134</v>
      </c>
      <c r="B1746" t="s">
        <v>162</v>
      </c>
      <c r="C1746" t="s">
        <v>3112</v>
      </c>
      <c r="E1746" s="86">
        <v>10691</v>
      </c>
      <c r="F1746" t="s">
        <v>759</v>
      </c>
      <c r="G1746">
        <v>11428</v>
      </c>
      <c r="H1746" t="s">
        <v>2682</v>
      </c>
    </row>
    <row r="1747" spans="1:8" hidden="1">
      <c r="A1747" s="71">
        <v>45134</v>
      </c>
      <c r="B1747" t="s">
        <v>392</v>
      </c>
      <c r="C1747" t="s">
        <v>3113</v>
      </c>
      <c r="E1747" s="86">
        <v>15039</v>
      </c>
      <c r="F1747" t="s">
        <v>759</v>
      </c>
      <c r="G1747">
        <v>8069</v>
      </c>
      <c r="H1747" t="s">
        <v>1499</v>
      </c>
    </row>
    <row r="1748" spans="1:8" hidden="1">
      <c r="A1748" s="71">
        <v>45134</v>
      </c>
      <c r="B1748" t="s">
        <v>157</v>
      </c>
      <c r="C1748" t="s">
        <v>3114</v>
      </c>
      <c r="F1748" t="s">
        <v>759</v>
      </c>
      <c r="G1748">
        <v>8784</v>
      </c>
      <c r="H1748" t="s">
        <v>2976</v>
      </c>
    </row>
    <row r="1749" spans="1:8" hidden="1">
      <c r="A1749" s="71">
        <v>45134</v>
      </c>
      <c r="B1749" t="s">
        <v>157</v>
      </c>
      <c r="C1749" t="s">
        <v>3115</v>
      </c>
      <c r="F1749" t="s">
        <v>759</v>
      </c>
      <c r="G1749">
        <v>8784</v>
      </c>
      <c r="H1749" t="s">
        <v>2976</v>
      </c>
    </row>
    <row r="1750" spans="1:8" hidden="1">
      <c r="A1750" s="71">
        <v>45135</v>
      </c>
      <c r="B1750" t="s">
        <v>39</v>
      </c>
      <c r="C1750" t="s">
        <v>3116</v>
      </c>
      <c r="E1750" s="86">
        <v>8902</v>
      </c>
      <c r="F1750" t="s">
        <v>759</v>
      </c>
      <c r="G1750">
        <v>11430</v>
      </c>
      <c r="H1750" t="s">
        <v>2682</v>
      </c>
    </row>
    <row r="1751" spans="1:8" hidden="1">
      <c r="A1751" s="71">
        <v>45135</v>
      </c>
      <c r="B1751" t="s">
        <v>324</v>
      </c>
      <c r="C1751" t="s">
        <v>3117</v>
      </c>
      <c r="E1751" s="86">
        <v>13557</v>
      </c>
      <c r="F1751" t="s">
        <v>759</v>
      </c>
      <c r="G1751">
        <v>11429</v>
      </c>
      <c r="H1751" t="s">
        <v>2682</v>
      </c>
    </row>
    <row r="1752" spans="1:8" hidden="1">
      <c r="A1752" s="71">
        <v>45135</v>
      </c>
      <c r="B1752" t="s">
        <v>691</v>
      </c>
      <c r="C1752" t="s">
        <v>3118</v>
      </c>
      <c r="F1752" t="s">
        <v>759</v>
      </c>
      <c r="G1752">
        <v>10422</v>
      </c>
      <c r="H1752" t="s">
        <v>1286</v>
      </c>
    </row>
    <row r="1753" spans="1:8" hidden="1">
      <c r="A1753" s="71">
        <v>45135</v>
      </c>
      <c r="B1753" t="s">
        <v>392</v>
      </c>
      <c r="C1753" t="s">
        <v>3119</v>
      </c>
      <c r="E1753" s="86">
        <v>15039</v>
      </c>
      <c r="F1753" t="s">
        <v>759</v>
      </c>
      <c r="G1753">
        <v>8070</v>
      </c>
      <c r="H1753" t="s">
        <v>1499</v>
      </c>
    </row>
    <row r="1754" spans="1:8" hidden="1">
      <c r="A1754" s="71">
        <v>45138</v>
      </c>
      <c r="B1754" t="s">
        <v>388</v>
      </c>
      <c r="C1754" t="s">
        <v>3120</v>
      </c>
      <c r="F1754" t="s">
        <v>759</v>
      </c>
      <c r="G1754">
        <v>10425</v>
      </c>
      <c r="H1754" t="s">
        <v>1286</v>
      </c>
    </row>
    <row r="1755" spans="1:8" hidden="1">
      <c r="A1755" s="71">
        <v>45139</v>
      </c>
      <c r="B1755" t="s">
        <v>143</v>
      </c>
      <c r="C1755" t="s">
        <v>3121</v>
      </c>
      <c r="F1755" t="s">
        <v>759</v>
      </c>
      <c r="G1755">
        <v>10426</v>
      </c>
      <c r="H1755" t="s">
        <v>1286</v>
      </c>
    </row>
    <row r="1756" spans="1:8" hidden="1">
      <c r="A1756" s="71">
        <v>45140</v>
      </c>
      <c r="B1756" t="s">
        <v>307</v>
      </c>
      <c r="C1756" t="s">
        <v>3122</v>
      </c>
      <c r="E1756" s="86">
        <v>13042</v>
      </c>
      <c r="F1756" t="s">
        <v>759</v>
      </c>
      <c r="G1756">
        <v>11432</v>
      </c>
      <c r="H1756" t="s">
        <v>2682</v>
      </c>
    </row>
    <row r="1757" spans="1:8" hidden="1">
      <c r="A1757" s="71">
        <v>45140</v>
      </c>
      <c r="B1757" t="s">
        <v>32</v>
      </c>
      <c r="C1757" t="s">
        <v>3123</v>
      </c>
      <c r="F1757" t="s">
        <v>759</v>
      </c>
      <c r="G1757">
        <v>10428</v>
      </c>
      <c r="H1757" t="s">
        <v>1286</v>
      </c>
    </row>
    <row r="1758" spans="1:8" hidden="1">
      <c r="A1758" s="71">
        <v>45140</v>
      </c>
      <c r="B1758" t="s">
        <v>388</v>
      </c>
      <c r="C1758" t="s">
        <v>3124</v>
      </c>
      <c r="F1758" t="s">
        <v>759</v>
      </c>
      <c r="G1758">
        <v>10429</v>
      </c>
      <c r="H1758" t="s">
        <v>1286</v>
      </c>
    </row>
    <row r="1759" spans="1:8" hidden="1">
      <c r="A1759" s="71">
        <v>45140</v>
      </c>
      <c r="B1759" t="s">
        <v>25</v>
      </c>
      <c r="C1759" t="s">
        <v>3125</v>
      </c>
      <c r="F1759" t="s">
        <v>759</v>
      </c>
      <c r="G1759">
        <v>10427</v>
      </c>
      <c r="H1759" t="s">
        <v>1286</v>
      </c>
    </row>
    <row r="1760" spans="1:8" hidden="1">
      <c r="A1760" s="71">
        <v>45141</v>
      </c>
      <c r="B1760" t="s">
        <v>391</v>
      </c>
      <c r="C1760" t="s">
        <v>3126</v>
      </c>
      <c r="E1760" s="86">
        <v>6319</v>
      </c>
      <c r="F1760" t="s">
        <v>759</v>
      </c>
      <c r="G1760">
        <v>11023</v>
      </c>
      <c r="H1760" t="s">
        <v>1235</v>
      </c>
    </row>
    <row r="1761" spans="1:8" hidden="1">
      <c r="A1761" s="71">
        <v>45141</v>
      </c>
      <c r="B1761" t="s">
        <v>691</v>
      </c>
      <c r="C1761" t="s">
        <v>3127</v>
      </c>
      <c r="E1761" s="86">
        <v>5696</v>
      </c>
      <c r="F1761" t="s">
        <v>759</v>
      </c>
      <c r="G1761">
        <v>11021</v>
      </c>
      <c r="H1761" t="s">
        <v>1235</v>
      </c>
    </row>
    <row r="1762" spans="1:8" hidden="1">
      <c r="A1762" s="71">
        <v>45141</v>
      </c>
      <c r="B1762" t="s">
        <v>409</v>
      </c>
      <c r="C1762" t="s">
        <v>3128</v>
      </c>
      <c r="F1762" t="s">
        <v>759</v>
      </c>
      <c r="G1762">
        <v>10433</v>
      </c>
      <c r="H1762" t="s">
        <v>1286</v>
      </c>
    </row>
    <row r="1763" spans="1:8" hidden="1">
      <c r="A1763" s="71">
        <v>45141</v>
      </c>
      <c r="B1763" t="s">
        <v>388</v>
      </c>
      <c r="C1763" t="s">
        <v>3129</v>
      </c>
      <c r="E1763" s="86">
        <v>11455</v>
      </c>
      <c r="F1763" t="s">
        <v>759</v>
      </c>
      <c r="G1763">
        <v>10430</v>
      </c>
      <c r="H1763" t="s">
        <v>1286</v>
      </c>
    </row>
    <row r="1764" spans="1:8" hidden="1">
      <c r="A1764" s="71">
        <v>45142</v>
      </c>
      <c r="B1764" t="s">
        <v>65</v>
      </c>
      <c r="C1764" t="s">
        <v>3130</v>
      </c>
      <c r="F1764" t="s">
        <v>759</v>
      </c>
      <c r="G1764">
        <v>11434</v>
      </c>
      <c r="H1764" t="s">
        <v>2682</v>
      </c>
    </row>
    <row r="1765" spans="1:8" hidden="1">
      <c r="A1765" s="71">
        <v>45142</v>
      </c>
      <c r="B1765" t="s">
        <v>29</v>
      </c>
      <c r="C1765" t="s">
        <v>3131</v>
      </c>
      <c r="F1765" t="s">
        <v>759</v>
      </c>
      <c r="G1765">
        <v>10436</v>
      </c>
      <c r="H1765" t="s">
        <v>1252</v>
      </c>
    </row>
    <row r="1766" spans="1:8" hidden="1">
      <c r="A1766" s="71">
        <v>45145</v>
      </c>
      <c r="B1766" t="s">
        <v>65</v>
      </c>
      <c r="C1766" t="s">
        <v>3132</v>
      </c>
      <c r="F1766" t="s">
        <v>759</v>
      </c>
      <c r="G1766">
        <v>11435</v>
      </c>
      <c r="H1766" t="s">
        <v>2682</v>
      </c>
    </row>
    <row r="1767" spans="1:8" hidden="1">
      <c r="A1767" s="71">
        <v>45145</v>
      </c>
      <c r="B1767" t="s">
        <v>29</v>
      </c>
      <c r="C1767" t="s">
        <v>3133</v>
      </c>
      <c r="F1767" t="s">
        <v>759</v>
      </c>
      <c r="G1767">
        <v>8789</v>
      </c>
      <c r="H1767" t="s">
        <v>1286</v>
      </c>
    </row>
    <row r="1768" spans="1:8" hidden="1">
      <c r="A1768" s="71">
        <v>45145</v>
      </c>
      <c r="B1768" t="s">
        <v>691</v>
      </c>
      <c r="C1768" t="s">
        <v>3134</v>
      </c>
      <c r="F1768" t="s">
        <v>759</v>
      </c>
      <c r="G1768">
        <v>10438</v>
      </c>
      <c r="H1768" t="s">
        <v>1286</v>
      </c>
    </row>
    <row r="1769" spans="1:8" hidden="1">
      <c r="A1769" s="71">
        <v>45145</v>
      </c>
      <c r="B1769" t="s">
        <v>690</v>
      </c>
      <c r="C1769" t="s">
        <v>3135</v>
      </c>
      <c r="E1769" s="86">
        <v>6158</v>
      </c>
      <c r="F1769" t="s">
        <v>759</v>
      </c>
      <c r="G1769">
        <v>10437</v>
      </c>
      <c r="H1769" t="s">
        <v>1286</v>
      </c>
    </row>
    <row r="1770" spans="1:8" hidden="1">
      <c r="A1770" s="71">
        <v>45145</v>
      </c>
      <c r="B1770" t="s">
        <v>35</v>
      </c>
      <c r="C1770" t="s">
        <v>3136</v>
      </c>
      <c r="F1770" t="s">
        <v>759</v>
      </c>
      <c r="G1770">
        <v>8791</v>
      </c>
      <c r="H1770" t="s">
        <v>1286</v>
      </c>
    </row>
    <row r="1771" spans="1:8" hidden="1">
      <c r="A1771" s="71">
        <v>45146</v>
      </c>
      <c r="B1771" t="s">
        <v>388</v>
      </c>
      <c r="C1771" t="s">
        <v>3137</v>
      </c>
      <c r="F1771" t="s">
        <v>759</v>
      </c>
      <c r="G1771">
        <v>10439</v>
      </c>
      <c r="H1771" t="s">
        <v>1286</v>
      </c>
    </row>
    <row r="1772" spans="1:8" hidden="1">
      <c r="A1772" s="71">
        <v>45146</v>
      </c>
      <c r="B1772" t="s">
        <v>803</v>
      </c>
      <c r="C1772" t="s">
        <v>3138</v>
      </c>
      <c r="F1772" t="s">
        <v>759</v>
      </c>
      <c r="G1772">
        <v>8078</v>
      </c>
      <c r="H1772" t="s">
        <v>1499</v>
      </c>
    </row>
    <row r="1773" spans="1:8" hidden="1">
      <c r="A1773" s="71">
        <v>45147</v>
      </c>
      <c r="B1773" t="s">
        <v>143</v>
      </c>
      <c r="C1773" t="s">
        <v>3139</v>
      </c>
      <c r="F1773" t="s">
        <v>759</v>
      </c>
      <c r="G1773">
        <v>10445</v>
      </c>
      <c r="H1773" t="s">
        <v>1286</v>
      </c>
    </row>
    <row r="1774" spans="1:8" hidden="1">
      <c r="A1774" s="71">
        <v>45147</v>
      </c>
      <c r="B1774" t="s">
        <v>690</v>
      </c>
      <c r="C1774" t="s">
        <v>3140</v>
      </c>
      <c r="F1774" t="s">
        <v>759</v>
      </c>
      <c r="G1774">
        <v>10444</v>
      </c>
      <c r="H1774" t="s">
        <v>1286</v>
      </c>
    </row>
    <row r="1775" spans="1:8" hidden="1">
      <c r="A1775" s="71">
        <v>45147</v>
      </c>
      <c r="B1775" t="s">
        <v>409</v>
      </c>
      <c r="C1775" t="s">
        <v>3141</v>
      </c>
      <c r="F1775" t="s">
        <v>759</v>
      </c>
      <c r="G1775">
        <v>10442</v>
      </c>
      <c r="H1775" t="s">
        <v>1286</v>
      </c>
    </row>
    <row r="1776" spans="1:8" hidden="1">
      <c r="A1776" s="71">
        <v>45147</v>
      </c>
      <c r="B1776" t="s">
        <v>380</v>
      </c>
      <c r="C1776" t="s">
        <v>3142</v>
      </c>
      <c r="F1776" t="s">
        <v>759</v>
      </c>
      <c r="G1776">
        <v>8080</v>
      </c>
      <c r="H1776" t="s">
        <v>1499</v>
      </c>
    </row>
    <row r="1777" spans="1:8" hidden="1">
      <c r="A1777" s="71">
        <v>45148</v>
      </c>
      <c r="B1777" t="s">
        <v>313</v>
      </c>
      <c r="C1777" t="s">
        <v>3143</v>
      </c>
      <c r="E1777" s="86" t="s">
        <v>1427</v>
      </c>
      <c r="F1777" t="s">
        <v>759</v>
      </c>
      <c r="G1777">
        <v>8081</v>
      </c>
      <c r="H1777" t="s">
        <v>1499</v>
      </c>
    </row>
    <row r="1778" spans="1:8" hidden="1">
      <c r="A1778" s="71">
        <v>45149</v>
      </c>
      <c r="B1778" t="s">
        <v>143</v>
      </c>
      <c r="C1778" t="s">
        <v>3144</v>
      </c>
      <c r="F1778" t="s">
        <v>759</v>
      </c>
      <c r="G1778">
        <v>10608</v>
      </c>
      <c r="H1778" t="s">
        <v>1286</v>
      </c>
    </row>
    <row r="1779" spans="1:8" hidden="1">
      <c r="A1779" s="71">
        <v>45149</v>
      </c>
      <c r="B1779" t="s">
        <v>39</v>
      </c>
      <c r="C1779" t="s">
        <v>3145</v>
      </c>
      <c r="E1779" s="86">
        <v>89745</v>
      </c>
      <c r="F1779" t="s">
        <v>759</v>
      </c>
      <c r="G1779">
        <v>8082</v>
      </c>
      <c r="H1779" t="s">
        <v>1499</v>
      </c>
    </row>
    <row r="1780" spans="1:8" hidden="1">
      <c r="A1780" s="71">
        <v>45152</v>
      </c>
      <c r="B1780" t="s">
        <v>36</v>
      </c>
      <c r="C1780" t="s">
        <v>3146</v>
      </c>
      <c r="F1780" t="s">
        <v>759</v>
      </c>
      <c r="G1780">
        <v>10611</v>
      </c>
      <c r="H1780" t="s">
        <v>1286</v>
      </c>
    </row>
    <row r="1781" spans="1:8" hidden="1">
      <c r="A1781" s="71">
        <v>45152</v>
      </c>
      <c r="B1781" t="s">
        <v>388</v>
      </c>
      <c r="C1781" t="s">
        <v>3147</v>
      </c>
      <c r="F1781" t="s">
        <v>759</v>
      </c>
      <c r="G1781">
        <v>10610</v>
      </c>
      <c r="H1781" t="s">
        <v>1286</v>
      </c>
    </row>
    <row r="1782" spans="1:8" hidden="1">
      <c r="A1782" s="71">
        <v>45153</v>
      </c>
      <c r="B1782" t="s">
        <v>691</v>
      </c>
      <c r="C1782" t="s">
        <v>3148</v>
      </c>
      <c r="F1782" t="s">
        <v>759</v>
      </c>
      <c r="G1782">
        <v>10613</v>
      </c>
      <c r="H1782" t="s">
        <v>1286</v>
      </c>
    </row>
    <row r="1783" spans="1:8" hidden="1">
      <c r="A1783" s="71">
        <v>45155</v>
      </c>
      <c r="B1783" t="s">
        <v>400</v>
      </c>
      <c r="C1783" t="s">
        <v>3149</v>
      </c>
      <c r="E1783" s="86">
        <v>6343</v>
      </c>
      <c r="F1783" t="s">
        <v>759</v>
      </c>
      <c r="G1783">
        <v>8086</v>
      </c>
      <c r="H1783" t="s">
        <v>1499</v>
      </c>
    </row>
    <row r="1784" spans="1:8" hidden="1">
      <c r="A1784" s="71">
        <v>45156</v>
      </c>
      <c r="B1784" t="s">
        <v>230</v>
      </c>
      <c r="C1784" t="s">
        <v>3150</v>
      </c>
      <c r="F1784" t="s">
        <v>759</v>
      </c>
      <c r="G1784">
        <v>11025</v>
      </c>
      <c r="H1784" t="s">
        <v>1235</v>
      </c>
    </row>
    <row r="1785" spans="1:8" hidden="1">
      <c r="A1785" s="71">
        <v>45156</v>
      </c>
      <c r="B1785" t="s">
        <v>400</v>
      </c>
      <c r="C1785" t="s">
        <v>3151</v>
      </c>
      <c r="E1785" s="86">
        <v>6343</v>
      </c>
      <c r="F1785" t="s">
        <v>759</v>
      </c>
      <c r="G1785">
        <v>8087</v>
      </c>
      <c r="H1785" t="s">
        <v>1499</v>
      </c>
    </row>
    <row r="1786" spans="1:8" hidden="1">
      <c r="A1786" s="71">
        <v>45160</v>
      </c>
      <c r="B1786" t="s">
        <v>39</v>
      </c>
      <c r="C1786" t="s">
        <v>3152</v>
      </c>
      <c r="E1786" s="86">
        <v>89745</v>
      </c>
      <c r="F1786" t="s">
        <v>759</v>
      </c>
      <c r="G1786">
        <v>8090</v>
      </c>
      <c r="H1786" t="s">
        <v>1499</v>
      </c>
    </row>
    <row r="1787" spans="1:8" hidden="1">
      <c r="A1787" s="71">
        <v>45162</v>
      </c>
      <c r="B1787" t="s">
        <v>380</v>
      </c>
      <c r="C1787" t="s">
        <v>3153</v>
      </c>
      <c r="E1787" s="86">
        <v>4208</v>
      </c>
      <c r="F1787" t="s">
        <v>759</v>
      </c>
      <c r="G1787">
        <v>11026</v>
      </c>
      <c r="H1787" t="s">
        <v>1235</v>
      </c>
    </row>
    <row r="1788" spans="1:8" hidden="1">
      <c r="A1788" s="71">
        <v>45166</v>
      </c>
      <c r="B1788" t="s">
        <v>582</v>
      </c>
      <c r="C1788" t="s">
        <v>3154</v>
      </c>
      <c r="E1788" s="86">
        <v>132629</v>
      </c>
      <c r="F1788" t="s">
        <v>759</v>
      </c>
      <c r="G1788">
        <v>11368</v>
      </c>
      <c r="H1788" t="s">
        <v>1246</v>
      </c>
    </row>
    <row r="1789" spans="1:8" hidden="1">
      <c r="A1789" s="71">
        <v>45167</v>
      </c>
      <c r="B1789" t="s">
        <v>318</v>
      </c>
      <c r="C1789" t="s">
        <v>3155</v>
      </c>
      <c r="E1789" s="86">
        <v>110159</v>
      </c>
      <c r="F1789" t="s">
        <v>759</v>
      </c>
      <c r="G1789">
        <v>10633</v>
      </c>
      <c r="H1789" t="s">
        <v>1560</v>
      </c>
    </row>
    <row r="1790" spans="1:8" hidden="1">
      <c r="A1790" s="71">
        <v>45168</v>
      </c>
      <c r="B1790" t="s">
        <v>29</v>
      </c>
      <c r="C1790" t="s">
        <v>3156</v>
      </c>
      <c r="F1790" t="s">
        <v>759</v>
      </c>
      <c r="G1790">
        <v>10636</v>
      </c>
      <c r="H1790" t="s">
        <v>2976</v>
      </c>
    </row>
    <row r="1791" spans="1:8" hidden="1">
      <c r="A1791" s="71">
        <v>45168</v>
      </c>
      <c r="B1791" t="s">
        <v>324</v>
      </c>
      <c r="C1791" t="s">
        <v>3157</v>
      </c>
      <c r="E1791" s="86">
        <v>10280</v>
      </c>
      <c r="F1791" t="s">
        <v>759</v>
      </c>
      <c r="G1791">
        <v>10280</v>
      </c>
      <c r="H1791" t="s">
        <v>1390</v>
      </c>
    </row>
    <row r="1792" spans="1:8" hidden="1">
      <c r="A1792" s="71">
        <v>45168</v>
      </c>
      <c r="B1792" t="s">
        <v>60</v>
      </c>
      <c r="C1792" t="s">
        <v>3158</v>
      </c>
      <c r="E1792" s="86">
        <v>62326</v>
      </c>
      <c r="F1792" t="s">
        <v>759</v>
      </c>
      <c r="G1792">
        <v>8097</v>
      </c>
      <c r="H1792" t="s">
        <v>1499</v>
      </c>
    </row>
    <row r="1793" spans="1:8" hidden="1">
      <c r="A1793" s="71">
        <v>45168</v>
      </c>
      <c r="B1793" t="s">
        <v>360</v>
      </c>
      <c r="C1793" t="s">
        <v>3159</v>
      </c>
      <c r="F1793" t="s">
        <v>759</v>
      </c>
      <c r="G1793">
        <v>8096</v>
      </c>
      <c r="H1793" t="s">
        <v>1499</v>
      </c>
    </row>
    <row r="1794" spans="1:8" hidden="1">
      <c r="A1794" s="71">
        <v>45169</v>
      </c>
      <c r="B1794" t="s">
        <v>360</v>
      </c>
      <c r="C1794" t="s">
        <v>3160</v>
      </c>
      <c r="F1794" t="s">
        <v>759</v>
      </c>
      <c r="G1794">
        <v>8098</v>
      </c>
      <c r="H1794" t="s">
        <v>1499</v>
      </c>
    </row>
    <row r="1795" spans="1:8" hidden="1">
      <c r="A1795" s="71">
        <v>45170</v>
      </c>
      <c r="B1795" t="s">
        <v>603</v>
      </c>
      <c r="C1795" t="s">
        <v>3161</v>
      </c>
      <c r="F1795" t="s">
        <v>759</v>
      </c>
      <c r="G1795">
        <v>11375</v>
      </c>
      <c r="H1795" t="s">
        <v>1246</v>
      </c>
    </row>
    <row r="1796" spans="1:8" hidden="1">
      <c r="A1796" s="71">
        <v>45170</v>
      </c>
      <c r="B1796" t="s">
        <v>173</v>
      </c>
      <c r="C1796" t="s">
        <v>3162</v>
      </c>
      <c r="E1796" s="86">
        <v>5749</v>
      </c>
      <c r="F1796" t="s">
        <v>759</v>
      </c>
      <c r="G1796">
        <v>11061</v>
      </c>
      <c r="H1796" t="s">
        <v>1252</v>
      </c>
    </row>
    <row r="1797" spans="1:8" hidden="1">
      <c r="A1797" s="71">
        <v>45174</v>
      </c>
      <c r="B1797" t="s">
        <v>334</v>
      </c>
      <c r="C1797" t="s">
        <v>3163</v>
      </c>
      <c r="E1797" s="86">
        <v>19641</v>
      </c>
      <c r="F1797" t="s">
        <v>759</v>
      </c>
      <c r="G1797">
        <v>10281</v>
      </c>
      <c r="H1797" t="s">
        <v>1390</v>
      </c>
    </row>
    <row r="1798" spans="1:8" hidden="1">
      <c r="A1798" s="71">
        <v>45174</v>
      </c>
      <c r="B1798" t="s">
        <v>596</v>
      </c>
      <c r="C1798" t="s">
        <v>3164</v>
      </c>
      <c r="F1798" t="s">
        <v>759</v>
      </c>
      <c r="G1798">
        <v>11385</v>
      </c>
      <c r="H1798" t="s">
        <v>1246</v>
      </c>
    </row>
    <row r="1799" spans="1:8" hidden="1">
      <c r="A1799" s="71">
        <v>45174</v>
      </c>
      <c r="B1799" t="s">
        <v>260</v>
      </c>
      <c r="C1799" t="s">
        <v>3165</v>
      </c>
      <c r="F1799" t="s">
        <v>759</v>
      </c>
      <c r="G1799">
        <v>8353</v>
      </c>
      <c r="H1799" t="s">
        <v>1286</v>
      </c>
    </row>
    <row r="1800" spans="1:8" hidden="1">
      <c r="A1800" s="71">
        <v>45175</v>
      </c>
      <c r="B1800" t="s">
        <v>598</v>
      </c>
      <c r="C1800" t="s">
        <v>3166</v>
      </c>
      <c r="F1800" t="s">
        <v>759</v>
      </c>
      <c r="G1800">
        <v>11376</v>
      </c>
      <c r="H1800" t="s">
        <v>1246</v>
      </c>
    </row>
    <row r="1801" spans="1:8" hidden="1">
      <c r="A1801" s="71">
        <v>45176</v>
      </c>
      <c r="B1801" t="s">
        <v>598</v>
      </c>
      <c r="C1801" t="s">
        <v>3167</v>
      </c>
      <c r="F1801" t="s">
        <v>759</v>
      </c>
      <c r="G1801">
        <v>11370</v>
      </c>
      <c r="H1801" t="s">
        <v>1246</v>
      </c>
    </row>
    <row r="1802" spans="1:8" hidden="1">
      <c r="A1802" s="71">
        <v>45176</v>
      </c>
      <c r="B1802" t="s">
        <v>341</v>
      </c>
      <c r="C1802" t="s">
        <v>3168</v>
      </c>
      <c r="E1802" s="86">
        <v>8321</v>
      </c>
      <c r="F1802" t="s">
        <v>759</v>
      </c>
      <c r="G1802">
        <v>11206</v>
      </c>
      <c r="H1802" t="s">
        <v>1499</v>
      </c>
    </row>
    <row r="1803" spans="1:8" hidden="1">
      <c r="A1803" s="71">
        <v>45176</v>
      </c>
      <c r="B1803" t="s">
        <v>690</v>
      </c>
      <c r="C1803" t="s">
        <v>3169</v>
      </c>
      <c r="E1803" s="86">
        <v>6285</v>
      </c>
      <c r="F1803" t="s">
        <v>759</v>
      </c>
      <c r="G1803">
        <v>11204</v>
      </c>
      <c r="H1803" t="s">
        <v>1499</v>
      </c>
    </row>
    <row r="1804" spans="1:8" hidden="1">
      <c r="A1804" s="71">
        <v>45176</v>
      </c>
      <c r="B1804" t="s">
        <v>157</v>
      </c>
      <c r="C1804" t="s">
        <v>3170</v>
      </c>
      <c r="E1804" s="86">
        <v>13012</v>
      </c>
      <c r="F1804" t="s">
        <v>759</v>
      </c>
      <c r="G1804">
        <v>11202</v>
      </c>
      <c r="H1804" t="s">
        <v>1499</v>
      </c>
    </row>
    <row r="1805" spans="1:8" hidden="1">
      <c r="A1805" s="71">
        <v>45180</v>
      </c>
      <c r="B1805" t="s">
        <v>211</v>
      </c>
      <c r="C1805" t="s">
        <v>3171</v>
      </c>
      <c r="E1805" s="86">
        <v>206</v>
      </c>
      <c r="F1805" t="s">
        <v>759</v>
      </c>
      <c r="G1805">
        <v>11208</v>
      </c>
      <c r="H1805" t="s">
        <v>1235</v>
      </c>
    </row>
    <row r="1806" spans="1:8" hidden="1">
      <c r="A1806" s="71">
        <v>45181</v>
      </c>
      <c r="B1806" t="s">
        <v>25</v>
      </c>
      <c r="C1806" t="s">
        <v>3172</v>
      </c>
      <c r="F1806" t="s">
        <v>759</v>
      </c>
      <c r="G1806">
        <v>8373</v>
      </c>
      <c r="H1806" t="s">
        <v>1286</v>
      </c>
    </row>
    <row r="1807" spans="1:8" hidden="1">
      <c r="A1807" s="71">
        <v>45182</v>
      </c>
      <c r="B1807" t="s">
        <v>598</v>
      </c>
      <c r="C1807" t="s">
        <v>3173</v>
      </c>
      <c r="F1807" t="s">
        <v>759</v>
      </c>
      <c r="G1807">
        <v>11371</v>
      </c>
      <c r="H1807" t="s">
        <v>1246</v>
      </c>
    </row>
    <row r="1808" spans="1:8" hidden="1">
      <c r="A1808" s="71">
        <v>45182</v>
      </c>
      <c r="B1808" t="s">
        <v>397</v>
      </c>
      <c r="C1808" t="s">
        <v>3174</v>
      </c>
      <c r="F1808" t="s">
        <v>759</v>
      </c>
      <c r="G1808">
        <v>8377</v>
      </c>
      <c r="H1808" t="s">
        <v>1286</v>
      </c>
    </row>
    <row r="1809" spans="1:8" hidden="1">
      <c r="A1809" s="71">
        <v>45189</v>
      </c>
      <c r="B1809" t="s">
        <v>395</v>
      </c>
      <c r="C1809" t="s">
        <v>3175</v>
      </c>
      <c r="E1809" s="86">
        <v>9449</v>
      </c>
      <c r="F1809" t="s">
        <v>759</v>
      </c>
      <c r="G1809">
        <v>11108</v>
      </c>
      <c r="H1809" t="s">
        <v>2682</v>
      </c>
    </row>
    <row r="1810" spans="1:8" hidden="1">
      <c r="A1810" s="71">
        <v>45189</v>
      </c>
      <c r="B1810" t="s">
        <v>380</v>
      </c>
      <c r="C1810" t="s">
        <v>3176</v>
      </c>
      <c r="F1810" t="s">
        <v>759</v>
      </c>
      <c r="G1810">
        <v>10448</v>
      </c>
      <c r="H1810" t="s">
        <v>1286</v>
      </c>
    </row>
    <row r="1811" spans="1:8" hidden="1">
      <c r="A1811" s="71">
        <v>45190</v>
      </c>
      <c r="B1811" t="s">
        <v>380</v>
      </c>
      <c r="C1811" t="s">
        <v>3177</v>
      </c>
      <c r="F1811" t="s">
        <v>759</v>
      </c>
      <c r="G1811">
        <v>10450</v>
      </c>
      <c r="H1811" t="s">
        <v>1286</v>
      </c>
    </row>
    <row r="1812" spans="1:8" hidden="1">
      <c r="A1812" s="71">
        <v>45191</v>
      </c>
      <c r="B1812" t="s">
        <v>388</v>
      </c>
      <c r="C1812" t="s">
        <v>3178</v>
      </c>
      <c r="F1812" t="s">
        <v>759</v>
      </c>
      <c r="G1812">
        <v>8395</v>
      </c>
      <c r="H1812" t="s">
        <v>1286</v>
      </c>
    </row>
    <row r="1813" spans="1:8" hidden="1">
      <c r="A1813" s="71">
        <v>45191</v>
      </c>
      <c r="B1813" t="s">
        <v>19</v>
      </c>
      <c r="C1813" t="s">
        <v>3179</v>
      </c>
      <c r="F1813" t="s">
        <v>759</v>
      </c>
      <c r="G1813">
        <v>8392</v>
      </c>
      <c r="H1813" t="s">
        <v>1286</v>
      </c>
    </row>
    <row r="1814" spans="1:8" hidden="1">
      <c r="A1814" s="71">
        <v>45194</v>
      </c>
      <c r="B1814" t="s">
        <v>369</v>
      </c>
      <c r="C1814" t="s">
        <v>3180</v>
      </c>
      <c r="E1814" s="86">
        <v>10961</v>
      </c>
      <c r="F1814" t="s">
        <v>759</v>
      </c>
      <c r="G1814">
        <v>11219</v>
      </c>
      <c r="H1814" t="s">
        <v>1499</v>
      </c>
    </row>
    <row r="1815" spans="1:8" hidden="1">
      <c r="A1815" s="71">
        <v>45194</v>
      </c>
      <c r="B1815" t="s">
        <v>691</v>
      </c>
      <c r="C1815" t="s">
        <v>3181</v>
      </c>
      <c r="F1815" t="s">
        <v>759</v>
      </c>
      <c r="G1815">
        <v>9001</v>
      </c>
      <c r="H1815" t="s">
        <v>1286</v>
      </c>
    </row>
    <row r="1816" spans="1:8" hidden="1">
      <c r="A1816" s="71">
        <v>45195</v>
      </c>
      <c r="B1816" t="s">
        <v>171</v>
      </c>
      <c r="C1816" t="s">
        <v>3182</v>
      </c>
      <c r="E1816" s="86">
        <v>5403</v>
      </c>
      <c r="F1816" t="s">
        <v>759</v>
      </c>
      <c r="G1816">
        <v>11271</v>
      </c>
      <c r="H1816" t="s">
        <v>1499</v>
      </c>
    </row>
    <row r="1817" spans="1:8" hidden="1">
      <c r="A1817" s="71">
        <v>45195</v>
      </c>
      <c r="B1817" t="s">
        <v>48</v>
      </c>
      <c r="C1817" t="s">
        <v>3183</v>
      </c>
      <c r="F1817" t="s">
        <v>759</v>
      </c>
      <c r="G1817">
        <v>11218</v>
      </c>
      <c r="H1817" t="s">
        <v>1560</v>
      </c>
    </row>
    <row r="1818" spans="1:8" hidden="1">
      <c r="A1818" s="71">
        <v>45196</v>
      </c>
      <c r="B1818" t="s">
        <v>400</v>
      </c>
      <c r="C1818" t="s">
        <v>3184</v>
      </c>
      <c r="E1818" s="86">
        <v>6407</v>
      </c>
      <c r="F1818" t="s">
        <v>759</v>
      </c>
      <c r="G1818">
        <v>11106</v>
      </c>
      <c r="H1818" t="s">
        <v>2682</v>
      </c>
    </row>
    <row r="1819" spans="1:8" hidden="1">
      <c r="A1819" s="71">
        <v>45196</v>
      </c>
      <c r="B1819" t="s">
        <v>2566</v>
      </c>
      <c r="C1819" t="s">
        <v>3185</v>
      </c>
      <c r="E1819" s="86">
        <v>8159</v>
      </c>
      <c r="F1819" t="s">
        <v>759</v>
      </c>
      <c r="G1819">
        <v>10035</v>
      </c>
      <c r="H1819" t="s">
        <v>2976</v>
      </c>
    </row>
    <row r="1820" spans="1:8" hidden="1">
      <c r="A1820" s="71">
        <v>45196</v>
      </c>
      <c r="B1820" t="s">
        <v>409</v>
      </c>
      <c r="C1820" t="s">
        <v>3186</v>
      </c>
      <c r="F1820" t="s">
        <v>759</v>
      </c>
      <c r="G1820">
        <v>9007</v>
      </c>
      <c r="H1820" t="s">
        <v>1286</v>
      </c>
    </row>
    <row r="1821" spans="1:8" hidden="1">
      <c r="A1821" s="71">
        <v>45197</v>
      </c>
      <c r="B1821" t="s">
        <v>178</v>
      </c>
      <c r="C1821" t="s">
        <v>3187</v>
      </c>
      <c r="F1821" t="s">
        <v>759</v>
      </c>
      <c r="G1821">
        <v>11382</v>
      </c>
      <c r="H1821" t="s">
        <v>1246</v>
      </c>
    </row>
    <row r="1822" spans="1:8" hidden="1">
      <c r="A1822" s="71">
        <v>45197</v>
      </c>
      <c r="B1822" t="s">
        <v>664</v>
      </c>
      <c r="C1822" t="s">
        <v>3188</v>
      </c>
      <c r="F1822" t="s">
        <v>759</v>
      </c>
      <c r="G1822">
        <v>11110</v>
      </c>
      <c r="H1822" t="s">
        <v>2682</v>
      </c>
    </row>
    <row r="1823" spans="1:8" hidden="1">
      <c r="A1823" s="71">
        <v>45197</v>
      </c>
      <c r="B1823" t="s">
        <v>391</v>
      </c>
      <c r="C1823" t="s">
        <v>3189</v>
      </c>
      <c r="E1823" s="86">
        <v>7166</v>
      </c>
      <c r="F1823" t="s">
        <v>759</v>
      </c>
      <c r="G1823">
        <v>11109</v>
      </c>
      <c r="H1823" t="s">
        <v>2682</v>
      </c>
    </row>
    <row r="1824" spans="1:8" hidden="1">
      <c r="A1824" s="71">
        <v>45197</v>
      </c>
      <c r="B1824" t="s">
        <v>318</v>
      </c>
      <c r="C1824" t="s">
        <v>3190</v>
      </c>
      <c r="E1824" s="86">
        <v>10307</v>
      </c>
      <c r="F1824" t="s">
        <v>759</v>
      </c>
      <c r="G1824">
        <v>9011</v>
      </c>
      <c r="H1824" t="s">
        <v>1286</v>
      </c>
    </row>
    <row r="1825" spans="1:8" hidden="1">
      <c r="A1825" s="71">
        <v>45197</v>
      </c>
      <c r="B1825" t="s">
        <v>19</v>
      </c>
      <c r="C1825" t="s">
        <v>3191</v>
      </c>
      <c r="F1825" t="s">
        <v>759</v>
      </c>
      <c r="G1825">
        <v>9009</v>
      </c>
      <c r="H1825" t="s">
        <v>1286</v>
      </c>
    </row>
    <row r="1826" spans="1:8" hidden="1">
      <c r="A1826" s="71">
        <v>45197</v>
      </c>
      <c r="B1826" t="s">
        <v>388</v>
      </c>
      <c r="C1826" t="s">
        <v>3192</v>
      </c>
      <c r="F1826" t="s">
        <v>759</v>
      </c>
      <c r="G1826">
        <v>9008</v>
      </c>
      <c r="H1826" t="s">
        <v>1286</v>
      </c>
    </row>
    <row r="1827" spans="1:8" hidden="1">
      <c r="A1827" s="71">
        <v>45198</v>
      </c>
      <c r="B1827" t="s">
        <v>388</v>
      </c>
      <c r="C1827" t="s">
        <v>3193</v>
      </c>
      <c r="F1827" t="s">
        <v>759</v>
      </c>
      <c r="G1827">
        <v>9019</v>
      </c>
      <c r="H1827" t="s">
        <v>1286</v>
      </c>
    </row>
    <row r="1828" spans="1:8" hidden="1">
      <c r="A1828" s="71">
        <v>45198</v>
      </c>
      <c r="B1828" t="s">
        <v>412</v>
      </c>
      <c r="C1828" t="s">
        <v>3194</v>
      </c>
      <c r="E1828" s="86">
        <v>1390</v>
      </c>
      <c r="F1828" t="s">
        <v>759</v>
      </c>
      <c r="G1828">
        <v>9015</v>
      </c>
      <c r="H1828" t="s">
        <v>1286</v>
      </c>
    </row>
    <row r="1829" spans="1:8" hidden="1">
      <c r="A1829" s="71">
        <v>45198</v>
      </c>
      <c r="B1829" t="s">
        <v>388</v>
      </c>
      <c r="C1829" t="s">
        <v>3195</v>
      </c>
      <c r="F1829" t="s">
        <v>759</v>
      </c>
      <c r="G1829">
        <v>9013</v>
      </c>
      <c r="H1829" t="s">
        <v>1286</v>
      </c>
    </row>
    <row r="1830" spans="1:8" hidden="1">
      <c r="A1830" s="71">
        <v>45199</v>
      </c>
      <c r="B1830" t="s">
        <v>409</v>
      </c>
      <c r="C1830" t="s">
        <v>3196</v>
      </c>
      <c r="E1830" s="86">
        <v>9725</v>
      </c>
      <c r="F1830" t="s">
        <v>759</v>
      </c>
      <c r="G1830">
        <v>11113</v>
      </c>
      <c r="H1830" t="s">
        <v>2682</v>
      </c>
    </row>
    <row r="1831" spans="1:8" hidden="1">
      <c r="A1831" s="71">
        <v>45199</v>
      </c>
      <c r="B1831" t="s">
        <v>311</v>
      </c>
      <c r="C1831" t="s">
        <v>3197</v>
      </c>
      <c r="E1831" s="86">
        <v>14231</v>
      </c>
      <c r="F1831" t="s">
        <v>759</v>
      </c>
      <c r="G1831">
        <v>11112</v>
      </c>
      <c r="H1831" t="s">
        <v>2682</v>
      </c>
    </row>
    <row r="1832" spans="1:8" hidden="1">
      <c r="A1832" s="71">
        <v>45202</v>
      </c>
      <c r="B1832" t="s">
        <v>311</v>
      </c>
      <c r="C1832" t="s">
        <v>3198</v>
      </c>
      <c r="F1832" t="s">
        <v>759</v>
      </c>
      <c r="G1832">
        <v>9025</v>
      </c>
      <c r="H1832" t="s">
        <v>1286</v>
      </c>
    </row>
    <row r="1833" spans="1:8" hidden="1">
      <c r="A1833" s="71">
        <v>45202</v>
      </c>
      <c r="B1833" t="s">
        <v>380</v>
      </c>
      <c r="C1833" t="s">
        <v>3199</v>
      </c>
      <c r="F1833" t="s">
        <v>759</v>
      </c>
      <c r="G1833">
        <v>9028</v>
      </c>
      <c r="H1833" t="s">
        <v>1286</v>
      </c>
    </row>
    <row r="1834" spans="1:8" hidden="1">
      <c r="A1834" s="71">
        <v>45203</v>
      </c>
      <c r="B1834" t="s">
        <v>397</v>
      </c>
      <c r="C1834" t="s">
        <v>3200</v>
      </c>
      <c r="E1834" s="86">
        <v>6374</v>
      </c>
      <c r="F1834" t="s">
        <v>759</v>
      </c>
      <c r="G1834">
        <v>9033</v>
      </c>
      <c r="H1834" t="s">
        <v>1286</v>
      </c>
    </row>
    <row r="1835" spans="1:8" hidden="1">
      <c r="A1835" s="71">
        <v>45203</v>
      </c>
      <c r="B1835" t="s">
        <v>330</v>
      </c>
      <c r="C1835" t="s">
        <v>3201</v>
      </c>
      <c r="F1835" t="s">
        <v>759</v>
      </c>
      <c r="G1835">
        <v>9032</v>
      </c>
      <c r="H1835" t="s">
        <v>1286</v>
      </c>
    </row>
    <row r="1836" spans="1:8" hidden="1">
      <c r="A1836" s="71">
        <v>45204</v>
      </c>
      <c r="B1836" t="s">
        <v>196</v>
      </c>
      <c r="C1836" t="s">
        <v>3202</v>
      </c>
      <c r="F1836" t="s">
        <v>759</v>
      </c>
      <c r="G1836">
        <v>9034</v>
      </c>
      <c r="H1836" t="s">
        <v>1286</v>
      </c>
    </row>
    <row r="1837" spans="1:8" hidden="1">
      <c r="A1837" s="71">
        <v>45205</v>
      </c>
      <c r="B1837" t="s">
        <v>369</v>
      </c>
      <c r="C1837" t="s">
        <v>3203</v>
      </c>
      <c r="E1837" s="86">
        <v>10988</v>
      </c>
      <c r="F1837" t="s">
        <v>759</v>
      </c>
      <c r="G1837">
        <v>11220</v>
      </c>
      <c r="H1837" t="s">
        <v>1499</v>
      </c>
    </row>
    <row r="1838" spans="1:8" hidden="1">
      <c r="A1838" s="71">
        <v>45205</v>
      </c>
      <c r="B1838" t="s">
        <v>385</v>
      </c>
      <c r="C1838" t="s">
        <v>3204</v>
      </c>
      <c r="E1838" s="86">
        <v>1754</v>
      </c>
      <c r="F1838" t="s">
        <v>759</v>
      </c>
      <c r="G1838">
        <v>11156</v>
      </c>
      <c r="H1838" t="s">
        <v>474</v>
      </c>
    </row>
    <row r="1839" spans="1:8" hidden="1">
      <c r="A1839" s="71">
        <v>45205</v>
      </c>
      <c r="B1839" t="s">
        <v>2566</v>
      </c>
      <c r="C1839" t="s">
        <v>3205</v>
      </c>
      <c r="E1839" s="86">
        <v>8171</v>
      </c>
      <c r="F1839" t="s">
        <v>759</v>
      </c>
      <c r="G1839">
        <v>10030</v>
      </c>
      <c r="H1839" t="s">
        <v>2976</v>
      </c>
    </row>
    <row r="1840" spans="1:8" hidden="1">
      <c r="A1840" s="71">
        <v>45207</v>
      </c>
      <c r="B1840" t="s">
        <v>176</v>
      </c>
      <c r="C1840" t="s">
        <v>3206</v>
      </c>
      <c r="E1840" s="86">
        <v>4940</v>
      </c>
      <c r="F1840" t="s">
        <v>759</v>
      </c>
      <c r="G1840">
        <v>11221</v>
      </c>
      <c r="H1840" t="s">
        <v>1499</v>
      </c>
    </row>
    <row r="1841" spans="1:8" hidden="1">
      <c r="A1841" s="71">
        <v>45209</v>
      </c>
      <c r="B1841" t="s">
        <v>391</v>
      </c>
      <c r="C1841" t="s">
        <v>3207</v>
      </c>
      <c r="E1841" s="86" t="s">
        <v>3208</v>
      </c>
      <c r="F1841" t="s">
        <v>759</v>
      </c>
      <c r="G1841">
        <v>11253</v>
      </c>
      <c r="H1841" t="s">
        <v>1244</v>
      </c>
    </row>
    <row r="1842" spans="1:8" hidden="1">
      <c r="A1842" s="71">
        <v>45209</v>
      </c>
      <c r="B1842" t="s">
        <v>395</v>
      </c>
      <c r="C1842" t="s">
        <v>3209</v>
      </c>
      <c r="E1842" s="86">
        <v>9465</v>
      </c>
      <c r="F1842" t="s">
        <v>759</v>
      </c>
      <c r="G1842">
        <v>11251</v>
      </c>
      <c r="H1842" t="s">
        <v>1244</v>
      </c>
    </row>
    <row r="1843" spans="1:8" hidden="1">
      <c r="A1843" s="71">
        <v>45209</v>
      </c>
      <c r="B1843" t="s">
        <v>328</v>
      </c>
      <c r="C1843" t="s">
        <v>3210</v>
      </c>
      <c r="E1843" s="86">
        <v>7985</v>
      </c>
      <c r="F1843" t="s">
        <v>759</v>
      </c>
      <c r="G1843">
        <v>11222</v>
      </c>
      <c r="H1843" t="s">
        <v>1499</v>
      </c>
    </row>
    <row r="1844" spans="1:8" hidden="1">
      <c r="A1844" s="71">
        <v>45209</v>
      </c>
      <c r="B1844" t="s">
        <v>32</v>
      </c>
      <c r="C1844" t="s">
        <v>3211</v>
      </c>
      <c r="F1844" t="s">
        <v>759</v>
      </c>
      <c r="G1844">
        <v>10001</v>
      </c>
      <c r="H1844" t="s">
        <v>1286</v>
      </c>
    </row>
    <row r="1845" spans="1:8" hidden="1">
      <c r="A1845" s="71">
        <v>45209</v>
      </c>
      <c r="B1845" t="s">
        <v>341</v>
      </c>
      <c r="C1845" t="s">
        <v>3212</v>
      </c>
      <c r="F1845" t="s">
        <v>759</v>
      </c>
      <c r="G1845">
        <v>10003</v>
      </c>
      <c r="H1845" t="s">
        <v>1286</v>
      </c>
    </row>
    <row r="1846" spans="1:8" hidden="1">
      <c r="A1846" s="71">
        <v>45210</v>
      </c>
      <c r="B1846" t="s">
        <v>202</v>
      </c>
      <c r="C1846" t="s">
        <v>3213</v>
      </c>
      <c r="E1846" s="86">
        <v>1262</v>
      </c>
      <c r="F1846" t="s">
        <v>759</v>
      </c>
      <c r="G1846">
        <v>11223</v>
      </c>
      <c r="H1846" t="s">
        <v>1499</v>
      </c>
    </row>
    <row r="1847" spans="1:8" hidden="1">
      <c r="A1847" s="71">
        <v>45210</v>
      </c>
      <c r="B1847" t="s">
        <v>338</v>
      </c>
      <c r="C1847" t="s">
        <v>3214</v>
      </c>
      <c r="F1847" t="s">
        <v>759</v>
      </c>
      <c r="G1847">
        <v>10011</v>
      </c>
      <c r="H1847" t="s">
        <v>1286</v>
      </c>
    </row>
    <row r="1848" spans="1:8" hidden="1">
      <c r="A1848" s="71">
        <v>45210</v>
      </c>
      <c r="B1848" t="s">
        <v>397</v>
      </c>
      <c r="C1848" t="s">
        <v>3215</v>
      </c>
      <c r="F1848" t="s">
        <v>759</v>
      </c>
      <c r="G1848">
        <v>10008</v>
      </c>
      <c r="H1848" t="s">
        <v>1286</v>
      </c>
    </row>
    <row r="1849" spans="1:8" hidden="1">
      <c r="A1849" s="71">
        <v>45210</v>
      </c>
      <c r="B1849" t="s">
        <v>690</v>
      </c>
      <c r="C1849" t="s">
        <v>3216</v>
      </c>
      <c r="F1849" t="s">
        <v>759</v>
      </c>
      <c r="G1849">
        <v>10006</v>
      </c>
      <c r="H1849" t="s">
        <v>1286</v>
      </c>
    </row>
    <row r="1850" spans="1:8" hidden="1">
      <c r="A1850" s="71">
        <v>45211</v>
      </c>
      <c r="B1850" t="s">
        <v>644</v>
      </c>
      <c r="C1850" t="s">
        <v>3217</v>
      </c>
      <c r="F1850" t="s">
        <v>759</v>
      </c>
      <c r="G1850">
        <v>11225</v>
      </c>
      <c r="H1850" t="s">
        <v>1499</v>
      </c>
    </row>
    <row r="1851" spans="1:8" hidden="1">
      <c r="A1851" s="71">
        <v>45211</v>
      </c>
      <c r="B1851" t="s">
        <v>322</v>
      </c>
      <c r="C1851" t="s">
        <v>3218</v>
      </c>
      <c r="E1851" s="86">
        <v>24237</v>
      </c>
      <c r="F1851" t="s">
        <v>759</v>
      </c>
      <c r="G1851">
        <v>11028</v>
      </c>
      <c r="H1851" t="s">
        <v>1235</v>
      </c>
    </row>
    <row r="1852" spans="1:8" hidden="1">
      <c r="A1852" s="71">
        <v>45211</v>
      </c>
      <c r="B1852" t="s">
        <v>175</v>
      </c>
      <c r="C1852" t="s">
        <v>3219</v>
      </c>
      <c r="E1852" s="86">
        <v>6184</v>
      </c>
      <c r="F1852" t="s">
        <v>759</v>
      </c>
      <c r="G1852">
        <v>10031</v>
      </c>
      <c r="H1852" t="s">
        <v>2976</v>
      </c>
    </row>
    <row r="1853" spans="1:8" hidden="1">
      <c r="A1853" s="71">
        <v>45211</v>
      </c>
      <c r="B1853" t="s">
        <v>397</v>
      </c>
      <c r="C1853" t="s">
        <v>3220</v>
      </c>
      <c r="F1853" t="s">
        <v>759</v>
      </c>
      <c r="G1853">
        <v>10029</v>
      </c>
      <c r="H1853" t="s">
        <v>2976</v>
      </c>
    </row>
    <row r="1854" spans="1:8" hidden="1">
      <c r="A1854" s="71">
        <v>45211</v>
      </c>
      <c r="B1854" t="s">
        <v>25</v>
      </c>
      <c r="C1854" t="s">
        <v>3221</v>
      </c>
      <c r="E1854" s="86">
        <v>5885</v>
      </c>
      <c r="F1854" t="s">
        <v>759</v>
      </c>
      <c r="G1854">
        <v>10024</v>
      </c>
      <c r="H1854" t="s">
        <v>1286</v>
      </c>
    </row>
    <row r="1855" spans="1:8" hidden="1">
      <c r="A1855" s="71">
        <v>45211</v>
      </c>
      <c r="B1855" t="s">
        <v>338</v>
      </c>
      <c r="C1855" t="s">
        <v>3222</v>
      </c>
      <c r="F1855" t="s">
        <v>759</v>
      </c>
      <c r="G1855">
        <v>10017</v>
      </c>
      <c r="H1855" t="s">
        <v>1286</v>
      </c>
    </row>
    <row r="1856" spans="1:8" hidden="1">
      <c r="A1856" s="71">
        <v>45211</v>
      </c>
      <c r="B1856" t="s">
        <v>341</v>
      </c>
      <c r="C1856" t="s">
        <v>3223</v>
      </c>
      <c r="F1856" t="s">
        <v>759</v>
      </c>
      <c r="G1856">
        <v>10016</v>
      </c>
      <c r="H1856" t="s">
        <v>1286</v>
      </c>
    </row>
    <row r="1857" spans="1:8" hidden="1">
      <c r="A1857" s="71">
        <v>45211</v>
      </c>
      <c r="B1857" t="s">
        <v>388</v>
      </c>
      <c r="C1857" t="s">
        <v>3223</v>
      </c>
      <c r="F1857" t="s">
        <v>759</v>
      </c>
      <c r="G1857">
        <v>10015</v>
      </c>
      <c r="H1857" t="s">
        <v>1286</v>
      </c>
    </row>
    <row r="1858" spans="1:8" hidden="1">
      <c r="A1858" s="71">
        <v>45211</v>
      </c>
      <c r="B1858" t="s">
        <v>157</v>
      </c>
      <c r="C1858" t="s">
        <v>3224</v>
      </c>
      <c r="F1858" t="s">
        <v>759</v>
      </c>
      <c r="G1858">
        <v>10012</v>
      </c>
      <c r="H1858" t="s">
        <v>1286</v>
      </c>
    </row>
    <row r="1859" spans="1:8" hidden="1">
      <c r="A1859" s="71">
        <v>45212</v>
      </c>
      <c r="B1859" t="s">
        <v>395</v>
      </c>
      <c r="C1859" t="s">
        <v>3225</v>
      </c>
      <c r="E1859" s="86">
        <v>9468</v>
      </c>
      <c r="F1859" t="s">
        <v>759</v>
      </c>
      <c r="G1859">
        <v>11254</v>
      </c>
      <c r="H1859" t="s">
        <v>1244</v>
      </c>
    </row>
    <row r="1860" spans="1:8" hidden="1">
      <c r="A1860" s="71">
        <v>45212</v>
      </c>
      <c r="B1860" t="s">
        <v>780</v>
      </c>
      <c r="C1860" t="s">
        <v>3226</v>
      </c>
      <c r="F1860" t="s">
        <v>759</v>
      </c>
      <c r="G1860">
        <v>11155</v>
      </c>
      <c r="H1860" t="s">
        <v>474</v>
      </c>
    </row>
    <row r="1861" spans="1:8" hidden="1">
      <c r="A1861" s="71">
        <v>45213</v>
      </c>
      <c r="B1861" t="s">
        <v>318</v>
      </c>
      <c r="C1861" t="s">
        <v>3227</v>
      </c>
      <c r="E1861" s="86">
        <v>10365</v>
      </c>
      <c r="F1861" t="s">
        <v>759</v>
      </c>
      <c r="G1861">
        <v>11157</v>
      </c>
      <c r="H1861" t="s">
        <v>474</v>
      </c>
    </row>
    <row r="1862" spans="1:8" hidden="1">
      <c r="A1862" s="71">
        <v>45215</v>
      </c>
      <c r="B1862" t="s">
        <v>692</v>
      </c>
      <c r="C1862" t="s">
        <v>3228</v>
      </c>
      <c r="E1862" s="86">
        <v>183472</v>
      </c>
      <c r="F1862" t="s">
        <v>759</v>
      </c>
      <c r="G1862">
        <v>11030</v>
      </c>
      <c r="H1862" t="s">
        <v>1235</v>
      </c>
    </row>
    <row r="1863" spans="1:8" hidden="1">
      <c r="A1863" s="71">
        <v>45216</v>
      </c>
      <c r="B1863" t="s">
        <v>395</v>
      </c>
      <c r="C1863" t="s">
        <v>3229</v>
      </c>
      <c r="F1863" t="s">
        <v>759</v>
      </c>
      <c r="G1863">
        <v>11255</v>
      </c>
      <c r="H1863" t="s">
        <v>1244</v>
      </c>
    </row>
    <row r="1864" spans="1:8" hidden="1">
      <c r="A1864" s="71">
        <v>45216</v>
      </c>
      <c r="B1864" t="s">
        <v>159</v>
      </c>
      <c r="C1864" t="s">
        <v>3230</v>
      </c>
      <c r="E1864" s="86">
        <v>9206</v>
      </c>
      <c r="F1864" t="s">
        <v>759</v>
      </c>
      <c r="G1864">
        <v>11226</v>
      </c>
      <c r="H1864" t="s">
        <v>1499</v>
      </c>
    </row>
    <row r="1865" spans="1:8" hidden="1">
      <c r="A1865" s="71">
        <v>45217</v>
      </c>
      <c r="B1865" t="s">
        <v>780</v>
      </c>
      <c r="C1865" t="s">
        <v>3231</v>
      </c>
      <c r="F1865" t="s">
        <v>759</v>
      </c>
      <c r="G1865">
        <v>11257</v>
      </c>
      <c r="H1865" t="s">
        <v>1244</v>
      </c>
    </row>
    <row r="1866" spans="1:8" hidden="1">
      <c r="A1866" s="71">
        <v>45217</v>
      </c>
      <c r="B1866" t="s">
        <v>385</v>
      </c>
      <c r="C1866" t="s">
        <v>3232</v>
      </c>
      <c r="E1866" s="86">
        <v>1755</v>
      </c>
      <c r="F1866" t="s">
        <v>759</v>
      </c>
      <c r="G1866">
        <v>11227</v>
      </c>
      <c r="H1866" t="s">
        <v>1499</v>
      </c>
    </row>
    <row r="1867" spans="1:8" hidden="1">
      <c r="A1867" s="71">
        <v>45217</v>
      </c>
      <c r="B1867" t="s">
        <v>373</v>
      </c>
      <c r="C1867" t="s">
        <v>3233</v>
      </c>
      <c r="E1867" s="86">
        <v>3708</v>
      </c>
      <c r="F1867" t="s">
        <v>759</v>
      </c>
      <c r="G1867">
        <v>11159</v>
      </c>
      <c r="H1867" t="s">
        <v>2682</v>
      </c>
    </row>
    <row r="1868" spans="1:8" hidden="1">
      <c r="A1868" s="71">
        <v>45217</v>
      </c>
      <c r="B1868" t="s">
        <v>664</v>
      </c>
      <c r="C1868" t="s">
        <v>3234</v>
      </c>
      <c r="F1868" t="s">
        <v>759</v>
      </c>
      <c r="G1868">
        <v>11158</v>
      </c>
      <c r="H1868" t="s">
        <v>2682</v>
      </c>
    </row>
    <row r="1869" spans="1:8" hidden="1">
      <c r="A1869" s="71">
        <v>45217</v>
      </c>
      <c r="B1869" t="s">
        <v>159</v>
      </c>
      <c r="C1869" t="s">
        <v>3235</v>
      </c>
      <c r="F1869" t="s">
        <v>759</v>
      </c>
      <c r="G1869">
        <v>11068</v>
      </c>
      <c r="H1869" t="s">
        <v>1252</v>
      </c>
    </row>
    <row r="1870" spans="1:8" hidden="1">
      <c r="A1870" s="71">
        <v>45217</v>
      </c>
      <c r="B1870" t="s">
        <v>176</v>
      </c>
      <c r="C1870" t="s">
        <v>3236</v>
      </c>
      <c r="E1870" s="86">
        <v>5008</v>
      </c>
      <c r="F1870" t="s">
        <v>759</v>
      </c>
      <c r="G1870">
        <v>11067</v>
      </c>
      <c r="H1870" t="s">
        <v>1252</v>
      </c>
    </row>
    <row r="1871" spans="1:8" hidden="1">
      <c r="A1871" s="71">
        <v>45217</v>
      </c>
      <c r="B1871" t="s">
        <v>338</v>
      </c>
      <c r="C1871" t="s">
        <v>3237</v>
      </c>
      <c r="F1871" t="s">
        <v>759</v>
      </c>
      <c r="G1871">
        <v>10038</v>
      </c>
      <c r="H1871" t="s">
        <v>1286</v>
      </c>
    </row>
    <row r="1872" spans="1:8" hidden="1">
      <c r="A1872" s="71">
        <v>45218</v>
      </c>
      <c r="B1872" t="s">
        <v>183</v>
      </c>
      <c r="C1872" t="s">
        <v>3238</v>
      </c>
      <c r="E1872" s="86">
        <v>1823</v>
      </c>
      <c r="F1872" t="s">
        <v>759</v>
      </c>
      <c r="G1872">
        <v>11228</v>
      </c>
      <c r="H1872" t="s">
        <v>1499</v>
      </c>
    </row>
    <row r="1873" spans="1:8" hidden="1">
      <c r="A1873" s="71">
        <v>45218</v>
      </c>
      <c r="B1873" t="s">
        <v>664</v>
      </c>
      <c r="C1873" t="s">
        <v>3239</v>
      </c>
      <c r="F1873" t="s">
        <v>759</v>
      </c>
      <c r="G1873">
        <v>11123</v>
      </c>
      <c r="H1873" t="s">
        <v>2682</v>
      </c>
    </row>
    <row r="1874" spans="1:8" hidden="1">
      <c r="A1874" s="71">
        <v>45218</v>
      </c>
      <c r="B1874" t="s">
        <v>313</v>
      </c>
      <c r="C1874" t="s">
        <v>3240</v>
      </c>
      <c r="E1874" s="86">
        <v>19763</v>
      </c>
      <c r="F1874" t="s">
        <v>759</v>
      </c>
      <c r="G1874">
        <v>11032</v>
      </c>
      <c r="H1874" t="s">
        <v>1235</v>
      </c>
    </row>
    <row r="1875" spans="1:8" hidden="1">
      <c r="A1875" s="71">
        <v>45218</v>
      </c>
      <c r="B1875" t="s">
        <v>573</v>
      </c>
      <c r="C1875" t="s">
        <v>3241</v>
      </c>
      <c r="F1875" t="s">
        <v>759</v>
      </c>
      <c r="G1875">
        <v>11381</v>
      </c>
      <c r="H1875" t="s">
        <v>1246</v>
      </c>
    </row>
    <row r="1876" spans="1:8" hidden="1">
      <c r="A1876" s="71">
        <v>45218</v>
      </c>
      <c r="B1876" t="s">
        <v>392</v>
      </c>
      <c r="C1876" t="s">
        <v>3242</v>
      </c>
      <c r="F1876" t="s">
        <v>759</v>
      </c>
      <c r="G1876">
        <v>10041</v>
      </c>
      <c r="H1876" t="s">
        <v>1286</v>
      </c>
    </row>
    <row r="1877" spans="1:8" hidden="1">
      <c r="A1877" s="71">
        <v>45218</v>
      </c>
      <c r="B1877" t="s">
        <v>35</v>
      </c>
      <c r="C1877" t="s">
        <v>3243</v>
      </c>
      <c r="F1877" t="s">
        <v>759</v>
      </c>
      <c r="G1877">
        <v>10042</v>
      </c>
      <c r="H1877" t="s">
        <v>1286</v>
      </c>
    </row>
    <row r="1878" spans="1:8" hidden="1">
      <c r="A1878" s="71">
        <v>45219</v>
      </c>
      <c r="B1878" t="s">
        <v>392</v>
      </c>
      <c r="C1878" t="s">
        <v>3244</v>
      </c>
      <c r="E1878" s="86">
        <v>43</v>
      </c>
      <c r="F1878" t="s">
        <v>759</v>
      </c>
      <c r="G1878">
        <v>10799</v>
      </c>
      <c r="H1878" t="s">
        <v>2976</v>
      </c>
    </row>
    <row r="1879" spans="1:8" hidden="1">
      <c r="A1879" s="71">
        <v>45219</v>
      </c>
      <c r="B1879" t="s">
        <v>360</v>
      </c>
      <c r="C1879" t="s">
        <v>3245</v>
      </c>
      <c r="F1879" t="s">
        <v>759</v>
      </c>
      <c r="G1879">
        <v>10044</v>
      </c>
      <c r="H1879" t="s">
        <v>1286</v>
      </c>
    </row>
    <row r="1880" spans="1:8" hidden="1">
      <c r="A1880" s="71">
        <v>45220</v>
      </c>
      <c r="B1880" t="s">
        <v>371</v>
      </c>
      <c r="C1880" t="s">
        <v>3246</v>
      </c>
      <c r="F1880" t="s">
        <v>759</v>
      </c>
      <c r="G1880">
        <v>11261</v>
      </c>
      <c r="H1880" t="s">
        <v>1244</v>
      </c>
    </row>
    <row r="1881" spans="1:8" hidden="1">
      <c r="A1881" s="71">
        <v>45220</v>
      </c>
      <c r="B1881" t="s">
        <v>698</v>
      </c>
      <c r="C1881" t="s">
        <v>3247</v>
      </c>
      <c r="E1881" s="86">
        <v>12645</v>
      </c>
      <c r="F1881" t="s">
        <v>759</v>
      </c>
      <c r="G1881">
        <v>11041</v>
      </c>
      <c r="H1881" t="s">
        <v>1235</v>
      </c>
    </row>
    <row r="1882" spans="1:8" hidden="1">
      <c r="A1882" s="71">
        <v>45222</v>
      </c>
      <c r="B1882" t="s">
        <v>169</v>
      </c>
      <c r="C1882" t="s">
        <v>3248</v>
      </c>
      <c r="E1882" s="86">
        <v>6487</v>
      </c>
      <c r="F1882" t="s">
        <v>759</v>
      </c>
      <c r="G1882">
        <v>11160</v>
      </c>
      <c r="H1882" t="s">
        <v>2682</v>
      </c>
    </row>
    <row r="1883" spans="1:8" hidden="1">
      <c r="A1883" s="71">
        <v>45222</v>
      </c>
      <c r="B1883" t="s">
        <v>780</v>
      </c>
      <c r="C1883" t="s">
        <v>3249</v>
      </c>
      <c r="E1883" s="86">
        <v>5741</v>
      </c>
      <c r="F1883" t="s">
        <v>759</v>
      </c>
      <c r="G1883">
        <v>11262</v>
      </c>
      <c r="H1883" t="s">
        <v>1244</v>
      </c>
    </row>
    <row r="1884" spans="1:8" hidden="1">
      <c r="A1884" s="71">
        <v>45222</v>
      </c>
      <c r="B1884" t="s">
        <v>333</v>
      </c>
      <c r="C1884" t="s">
        <v>3250</v>
      </c>
      <c r="E1884" s="86">
        <v>5645</v>
      </c>
      <c r="F1884" t="s">
        <v>759</v>
      </c>
      <c r="G1884">
        <v>11229</v>
      </c>
      <c r="H1884" t="s">
        <v>1499</v>
      </c>
    </row>
    <row r="1885" spans="1:8" hidden="1">
      <c r="A1885" s="71">
        <v>45222</v>
      </c>
      <c r="B1885" t="s">
        <v>69</v>
      </c>
      <c r="C1885" t="s">
        <v>3251</v>
      </c>
      <c r="F1885" t="s">
        <v>759</v>
      </c>
      <c r="G1885">
        <v>11034</v>
      </c>
      <c r="H1885" t="s">
        <v>1235</v>
      </c>
    </row>
    <row r="1886" spans="1:8" hidden="1">
      <c r="A1886" s="71">
        <v>45223</v>
      </c>
      <c r="B1886" t="s">
        <v>318</v>
      </c>
      <c r="C1886" t="s">
        <v>3252</v>
      </c>
      <c r="E1886" s="86">
        <v>10408</v>
      </c>
      <c r="F1886" t="s">
        <v>759</v>
      </c>
      <c r="G1886">
        <v>11263</v>
      </c>
      <c r="H1886" t="s">
        <v>1244</v>
      </c>
    </row>
    <row r="1887" spans="1:8" hidden="1">
      <c r="A1887" s="71">
        <v>45223</v>
      </c>
      <c r="B1887" t="s">
        <v>35</v>
      </c>
      <c r="C1887" t="s">
        <v>3253</v>
      </c>
      <c r="F1887" t="s">
        <v>759</v>
      </c>
      <c r="G1887">
        <v>11124</v>
      </c>
      <c r="H1887" t="s">
        <v>2682</v>
      </c>
    </row>
    <row r="1888" spans="1:8" hidden="1">
      <c r="A1888" s="71">
        <v>45223</v>
      </c>
      <c r="B1888" t="s">
        <v>25</v>
      </c>
      <c r="C1888" t="s">
        <v>3254</v>
      </c>
      <c r="F1888" t="s">
        <v>759</v>
      </c>
      <c r="G1888">
        <v>10457</v>
      </c>
      <c r="H1888" t="s">
        <v>1286</v>
      </c>
    </row>
    <row r="1889" spans="1:8" hidden="1">
      <c r="A1889" s="71">
        <v>45223</v>
      </c>
      <c r="B1889" t="s">
        <v>412</v>
      </c>
      <c r="C1889" t="s">
        <v>3255</v>
      </c>
      <c r="E1889" s="86">
        <v>1479</v>
      </c>
      <c r="F1889" t="s">
        <v>759</v>
      </c>
      <c r="G1889">
        <v>10453</v>
      </c>
      <c r="H1889" t="s">
        <v>1286</v>
      </c>
    </row>
    <row r="1890" spans="1:8" hidden="1">
      <c r="A1890" s="71">
        <v>45224</v>
      </c>
      <c r="B1890" t="s">
        <v>389</v>
      </c>
      <c r="C1890" t="s">
        <v>3256</v>
      </c>
      <c r="E1890" s="86">
        <v>5493</v>
      </c>
      <c r="F1890" t="s">
        <v>759</v>
      </c>
      <c r="G1890">
        <v>11230</v>
      </c>
      <c r="H1890" t="s">
        <v>1499</v>
      </c>
    </row>
    <row r="1891" spans="1:8" hidden="1">
      <c r="A1891" s="71">
        <v>45224</v>
      </c>
      <c r="B1891" t="s">
        <v>35</v>
      </c>
      <c r="C1891" t="s">
        <v>3257</v>
      </c>
      <c r="F1891" t="s">
        <v>759</v>
      </c>
      <c r="G1891">
        <v>11125</v>
      </c>
      <c r="H1891" t="s">
        <v>474</v>
      </c>
    </row>
    <row r="1892" spans="1:8" hidden="1">
      <c r="A1892" s="71">
        <v>45224</v>
      </c>
      <c r="B1892" t="s">
        <v>29</v>
      </c>
      <c r="C1892" t="s">
        <v>3258</v>
      </c>
      <c r="F1892" t="s">
        <v>759</v>
      </c>
      <c r="G1892">
        <v>10460</v>
      </c>
      <c r="H1892" t="s">
        <v>1286</v>
      </c>
    </row>
    <row r="1893" spans="1:8" hidden="1">
      <c r="A1893" s="71">
        <v>45224</v>
      </c>
      <c r="B1893" t="s">
        <v>369</v>
      </c>
      <c r="C1893" t="s">
        <v>3259</v>
      </c>
      <c r="F1893" t="s">
        <v>759</v>
      </c>
      <c r="G1893">
        <v>10458</v>
      </c>
      <c r="H1893" t="s">
        <v>1286</v>
      </c>
    </row>
    <row r="1894" spans="1:8" hidden="1">
      <c r="A1894" s="71">
        <v>45225</v>
      </c>
      <c r="B1894" t="s">
        <v>780</v>
      </c>
      <c r="C1894" t="s">
        <v>3260</v>
      </c>
      <c r="F1894" t="s">
        <v>759</v>
      </c>
      <c r="G1894">
        <v>11161</v>
      </c>
      <c r="H1894" t="s">
        <v>2682</v>
      </c>
    </row>
    <row r="1895" spans="1:8" hidden="1">
      <c r="A1895" s="71">
        <v>45226</v>
      </c>
      <c r="B1895" t="s">
        <v>48</v>
      </c>
      <c r="C1895" t="s">
        <v>3261</v>
      </c>
      <c r="F1895" t="s">
        <v>759</v>
      </c>
      <c r="G1895">
        <v>11076</v>
      </c>
      <c r="H1895" t="s">
        <v>1252</v>
      </c>
    </row>
    <row r="1896" spans="1:8" hidden="1">
      <c r="A1896" s="71">
        <v>45229</v>
      </c>
      <c r="B1896" t="s">
        <v>395</v>
      </c>
      <c r="C1896" t="s">
        <v>3262</v>
      </c>
      <c r="E1896" s="86">
        <v>9535</v>
      </c>
      <c r="F1896" t="s">
        <v>759</v>
      </c>
      <c r="G1896">
        <v>11234</v>
      </c>
      <c r="H1896" t="s">
        <v>1499</v>
      </c>
    </row>
    <row r="1897" spans="1:8" hidden="1">
      <c r="A1897" s="71">
        <v>45229</v>
      </c>
      <c r="B1897" t="s">
        <v>421</v>
      </c>
      <c r="C1897" t="s">
        <v>3263</v>
      </c>
      <c r="E1897" s="86">
        <v>4881</v>
      </c>
      <c r="F1897" t="s">
        <v>759</v>
      </c>
      <c r="G1897">
        <v>11233</v>
      </c>
      <c r="H1897" t="s">
        <v>1499</v>
      </c>
    </row>
    <row r="1898" spans="1:8" hidden="1">
      <c r="A1898" s="71">
        <v>45229</v>
      </c>
      <c r="B1898" t="s">
        <v>313</v>
      </c>
      <c r="C1898" t="s">
        <v>3264</v>
      </c>
      <c r="E1898" s="86">
        <v>19808</v>
      </c>
      <c r="F1898" t="s">
        <v>759</v>
      </c>
      <c r="G1898">
        <v>11232</v>
      </c>
      <c r="H1898" t="s">
        <v>1499</v>
      </c>
    </row>
    <row r="1899" spans="1:8" hidden="1">
      <c r="A1899" s="71">
        <v>45229</v>
      </c>
      <c r="B1899" t="s">
        <v>2401</v>
      </c>
      <c r="C1899" t="s">
        <v>3265</v>
      </c>
      <c r="F1899" t="s">
        <v>759</v>
      </c>
      <c r="G1899">
        <v>11163</v>
      </c>
      <c r="H1899" t="s">
        <v>474</v>
      </c>
    </row>
    <row r="1900" spans="1:8" hidden="1">
      <c r="A1900" s="71">
        <v>45229</v>
      </c>
      <c r="B1900" t="s">
        <v>313</v>
      </c>
      <c r="C1900" t="s">
        <v>3266</v>
      </c>
      <c r="E1900" s="86">
        <v>19898</v>
      </c>
      <c r="F1900" t="s">
        <v>759</v>
      </c>
      <c r="G1900">
        <v>11126</v>
      </c>
      <c r="H1900" t="s">
        <v>2682</v>
      </c>
    </row>
    <row r="1901" spans="1:8" hidden="1">
      <c r="A1901" s="71">
        <v>45229</v>
      </c>
      <c r="B1901" t="s">
        <v>188</v>
      </c>
      <c r="C1901" t="s">
        <v>3267</v>
      </c>
      <c r="F1901" t="s">
        <v>759</v>
      </c>
      <c r="G1901">
        <v>10467</v>
      </c>
      <c r="H1901" t="s">
        <v>1286</v>
      </c>
    </row>
    <row r="1902" spans="1:8" hidden="1">
      <c r="A1902" s="71">
        <v>45229</v>
      </c>
      <c r="B1902" t="s">
        <v>157</v>
      </c>
      <c r="C1902" t="s">
        <v>3268</v>
      </c>
      <c r="F1902" t="s">
        <v>759</v>
      </c>
      <c r="G1902">
        <v>10043</v>
      </c>
      <c r="H1902" t="s">
        <v>1286</v>
      </c>
    </row>
    <row r="1903" spans="1:8" hidden="1">
      <c r="A1903" s="71">
        <v>45230</v>
      </c>
      <c r="B1903" t="s">
        <v>389</v>
      </c>
      <c r="C1903" t="s">
        <v>3269</v>
      </c>
      <c r="F1903" t="s">
        <v>759</v>
      </c>
      <c r="G1903">
        <v>11266</v>
      </c>
      <c r="H1903" t="s">
        <v>1244</v>
      </c>
    </row>
    <row r="1904" spans="1:8" hidden="1">
      <c r="A1904" s="71">
        <v>45230</v>
      </c>
      <c r="B1904" t="s">
        <v>48</v>
      </c>
      <c r="C1904" t="s">
        <v>3270</v>
      </c>
      <c r="F1904" t="s">
        <v>759</v>
      </c>
      <c r="G1904">
        <v>11165</v>
      </c>
      <c r="H1904" t="s">
        <v>474</v>
      </c>
    </row>
    <row r="1905" spans="1:8" hidden="1">
      <c r="A1905" s="71">
        <v>45230</v>
      </c>
      <c r="B1905" t="s">
        <v>412</v>
      </c>
      <c r="C1905" t="s">
        <v>3271</v>
      </c>
      <c r="E1905" s="86">
        <v>1498</v>
      </c>
      <c r="F1905" t="s">
        <v>759</v>
      </c>
      <c r="G1905">
        <v>10468</v>
      </c>
      <c r="H1905" t="s">
        <v>1286</v>
      </c>
    </row>
    <row r="1906" spans="1:8" hidden="1">
      <c r="A1906" s="71">
        <v>45232</v>
      </c>
      <c r="B1906" t="s">
        <v>362</v>
      </c>
      <c r="C1906" t="s">
        <v>3272</v>
      </c>
      <c r="E1906" s="86">
        <v>12902</v>
      </c>
      <c r="F1906" t="s">
        <v>759</v>
      </c>
      <c r="G1906">
        <v>11129</v>
      </c>
      <c r="H1906" t="s">
        <v>2682</v>
      </c>
    </row>
    <row r="1907" spans="1:8" hidden="1">
      <c r="A1907" s="71">
        <v>45232</v>
      </c>
      <c r="B1907" t="s">
        <v>690</v>
      </c>
      <c r="C1907" t="s">
        <v>3273</v>
      </c>
      <c r="F1907" t="s">
        <v>759</v>
      </c>
      <c r="G1907">
        <v>10475</v>
      </c>
      <c r="H1907" t="s">
        <v>1286</v>
      </c>
    </row>
    <row r="1908" spans="1:8" hidden="1">
      <c r="A1908" s="71">
        <v>45233</v>
      </c>
      <c r="B1908" t="s">
        <v>380</v>
      </c>
      <c r="C1908" t="s">
        <v>3274</v>
      </c>
      <c r="F1908" t="s">
        <v>759</v>
      </c>
      <c r="G1908">
        <v>11269</v>
      </c>
      <c r="H1908" t="s">
        <v>1244</v>
      </c>
    </row>
    <row r="1909" spans="1:8" hidden="1">
      <c r="A1909" s="71">
        <v>45233</v>
      </c>
      <c r="B1909" t="s">
        <v>202</v>
      </c>
      <c r="C1909" t="s">
        <v>3275</v>
      </c>
      <c r="E1909" s="86">
        <v>1291</v>
      </c>
      <c r="F1909" t="s">
        <v>759</v>
      </c>
      <c r="G1909">
        <v>11130</v>
      </c>
      <c r="H1909" t="s">
        <v>2682</v>
      </c>
    </row>
    <row r="1910" spans="1:8" hidden="1">
      <c r="A1910" s="71">
        <v>45234</v>
      </c>
      <c r="B1910" t="s">
        <v>25</v>
      </c>
      <c r="C1910" t="s">
        <v>3276</v>
      </c>
      <c r="E1910" s="86">
        <v>5942</v>
      </c>
      <c r="F1910" t="s">
        <v>759</v>
      </c>
      <c r="G1910">
        <v>11166</v>
      </c>
      <c r="H1910" t="s">
        <v>474</v>
      </c>
    </row>
    <row r="1911" spans="1:8" hidden="1">
      <c r="A1911" s="71">
        <v>45235</v>
      </c>
      <c r="B1911" t="s">
        <v>69</v>
      </c>
      <c r="C1911" t="s">
        <v>3277</v>
      </c>
      <c r="F1911" t="s">
        <v>759</v>
      </c>
      <c r="G1911">
        <v>10284</v>
      </c>
      <c r="H1911" t="s">
        <v>1390</v>
      </c>
    </row>
    <row r="1912" spans="1:8" hidden="1">
      <c r="A1912" s="71">
        <v>45236</v>
      </c>
      <c r="B1912" t="s">
        <v>592</v>
      </c>
      <c r="C1912" t="s">
        <v>3278</v>
      </c>
      <c r="F1912" t="s">
        <v>759</v>
      </c>
      <c r="G1912">
        <v>11394</v>
      </c>
      <c r="H1912" t="s">
        <v>1246</v>
      </c>
    </row>
    <row r="1913" spans="1:8" hidden="1">
      <c r="A1913" s="71">
        <v>45236</v>
      </c>
      <c r="B1913" t="s">
        <v>380</v>
      </c>
      <c r="C1913" t="s">
        <v>3279</v>
      </c>
      <c r="F1913" t="s">
        <v>759</v>
      </c>
      <c r="G1913">
        <v>11237</v>
      </c>
      <c r="H1913" t="s">
        <v>1499</v>
      </c>
    </row>
    <row r="1914" spans="1:8" hidden="1">
      <c r="A1914" s="71">
        <v>45236</v>
      </c>
      <c r="B1914" t="s">
        <v>211</v>
      </c>
      <c r="C1914" t="s">
        <v>3280</v>
      </c>
      <c r="E1914" s="86">
        <v>30</v>
      </c>
      <c r="F1914" t="s">
        <v>759</v>
      </c>
      <c r="G1914">
        <v>11236</v>
      </c>
      <c r="H1914" t="s">
        <v>1499</v>
      </c>
    </row>
    <row r="1915" spans="1:8" hidden="1">
      <c r="A1915" s="71">
        <v>45236</v>
      </c>
      <c r="B1915" t="s">
        <v>373</v>
      </c>
      <c r="C1915" t="s">
        <v>3281</v>
      </c>
      <c r="E1915" s="86">
        <v>3716</v>
      </c>
      <c r="F1915" t="s">
        <v>759</v>
      </c>
      <c r="G1915">
        <v>11235</v>
      </c>
      <c r="H1915" t="s">
        <v>1499</v>
      </c>
    </row>
    <row r="1916" spans="1:8" hidden="1">
      <c r="A1916" s="71">
        <v>45236</v>
      </c>
      <c r="B1916" t="s">
        <v>185</v>
      </c>
      <c r="C1916" t="s">
        <v>3282</v>
      </c>
      <c r="F1916" t="s">
        <v>759</v>
      </c>
      <c r="G1916">
        <v>11169</v>
      </c>
      <c r="H1916" t="s">
        <v>474</v>
      </c>
    </row>
    <row r="1917" spans="1:8" hidden="1">
      <c r="A1917" s="71">
        <v>45236</v>
      </c>
      <c r="B1917" t="s">
        <v>25</v>
      </c>
      <c r="C1917" t="s">
        <v>3283</v>
      </c>
      <c r="E1917" s="86">
        <v>5942</v>
      </c>
      <c r="F1917" t="s">
        <v>759</v>
      </c>
      <c r="G1917">
        <v>11167</v>
      </c>
      <c r="H1917" t="s">
        <v>474</v>
      </c>
    </row>
    <row r="1918" spans="1:8" hidden="1">
      <c r="A1918" s="71">
        <v>45237</v>
      </c>
      <c r="B1918" t="s">
        <v>32</v>
      </c>
      <c r="C1918" t="s">
        <v>3284</v>
      </c>
      <c r="F1918" t="s">
        <v>759</v>
      </c>
      <c r="G1918">
        <v>10484</v>
      </c>
      <c r="H1918" t="s">
        <v>1286</v>
      </c>
    </row>
    <row r="1919" spans="1:8" hidden="1">
      <c r="A1919" s="71">
        <v>45237</v>
      </c>
      <c r="B1919" t="s">
        <v>373</v>
      </c>
      <c r="C1919" t="s">
        <v>3285</v>
      </c>
      <c r="E1919" s="86">
        <v>3716</v>
      </c>
      <c r="F1919" t="s">
        <v>759</v>
      </c>
      <c r="G1919">
        <v>11238</v>
      </c>
      <c r="H1919" t="s">
        <v>1499</v>
      </c>
    </row>
    <row r="1920" spans="1:8" hidden="1">
      <c r="A1920" s="71">
        <v>45237</v>
      </c>
      <c r="B1920" t="s">
        <v>69</v>
      </c>
      <c r="C1920" t="s">
        <v>3286</v>
      </c>
      <c r="F1920" t="s">
        <v>759</v>
      </c>
      <c r="G1920">
        <v>11171</v>
      </c>
      <c r="H1920" t="s">
        <v>474</v>
      </c>
    </row>
    <row r="1921" spans="1:8" hidden="1">
      <c r="A1921" s="71">
        <v>45238</v>
      </c>
      <c r="B1921" t="s">
        <v>362</v>
      </c>
      <c r="C1921" t="s">
        <v>3287</v>
      </c>
      <c r="E1921" s="86">
        <v>12992</v>
      </c>
      <c r="F1921" t="s">
        <v>759</v>
      </c>
      <c r="G1921">
        <v>11270</v>
      </c>
      <c r="H1921" t="s">
        <v>1244</v>
      </c>
    </row>
    <row r="1922" spans="1:8" hidden="1">
      <c r="A1922" s="71">
        <v>45238</v>
      </c>
      <c r="B1922" t="s">
        <v>341</v>
      </c>
      <c r="C1922" t="s">
        <v>3288</v>
      </c>
      <c r="F1922" t="s">
        <v>759</v>
      </c>
      <c r="G1922">
        <v>10487</v>
      </c>
      <c r="H1922" t="s">
        <v>1286</v>
      </c>
    </row>
    <row r="1923" spans="1:8" hidden="1">
      <c r="A1923" s="71">
        <v>45239</v>
      </c>
      <c r="B1923" t="s">
        <v>159</v>
      </c>
      <c r="C1923" t="s">
        <v>3289</v>
      </c>
      <c r="E1923" s="86">
        <v>9246</v>
      </c>
      <c r="F1923" t="s">
        <v>759</v>
      </c>
      <c r="G1923">
        <v>11274</v>
      </c>
      <c r="H1923" t="s">
        <v>1244</v>
      </c>
    </row>
    <row r="1924" spans="1:8" hidden="1">
      <c r="A1924" s="71">
        <v>45239</v>
      </c>
      <c r="B1924" t="s">
        <v>579</v>
      </c>
      <c r="C1924" t="s">
        <v>3290</v>
      </c>
      <c r="F1924" t="s">
        <v>759</v>
      </c>
      <c r="G1924">
        <v>11239</v>
      </c>
      <c r="H1924" t="s">
        <v>1499</v>
      </c>
    </row>
    <row r="1925" spans="1:8" hidden="1">
      <c r="A1925" s="71">
        <v>45239</v>
      </c>
      <c r="B1925" t="s">
        <v>188</v>
      </c>
      <c r="C1925" t="s">
        <v>3291</v>
      </c>
      <c r="F1925" t="s">
        <v>759</v>
      </c>
      <c r="G1925">
        <v>10490</v>
      </c>
      <c r="H1925" t="s">
        <v>1286</v>
      </c>
    </row>
    <row r="1926" spans="1:8" hidden="1">
      <c r="A1926" s="71">
        <v>45240</v>
      </c>
      <c r="B1926" t="s">
        <v>36</v>
      </c>
      <c r="C1926" t="s">
        <v>3292</v>
      </c>
      <c r="E1926" s="86">
        <v>7466</v>
      </c>
      <c r="F1926" t="s">
        <v>759</v>
      </c>
      <c r="G1926">
        <v>11072</v>
      </c>
      <c r="H1926" t="s">
        <v>1252</v>
      </c>
    </row>
    <row r="1927" spans="1:8" hidden="1">
      <c r="A1927" s="71">
        <v>45240</v>
      </c>
      <c r="B1927" t="s">
        <v>336</v>
      </c>
      <c r="C1927" t="s">
        <v>3293</v>
      </c>
      <c r="F1927" t="s">
        <v>759</v>
      </c>
      <c r="G1927">
        <v>11240</v>
      </c>
      <c r="H1927" t="s">
        <v>1499</v>
      </c>
    </row>
    <row r="1928" spans="1:8" hidden="1">
      <c r="A1928" s="71">
        <v>45240</v>
      </c>
      <c r="B1928" t="s">
        <v>25</v>
      </c>
      <c r="C1928" t="s">
        <v>3294</v>
      </c>
      <c r="E1928" s="86">
        <v>5942</v>
      </c>
      <c r="F1928" t="s">
        <v>759</v>
      </c>
      <c r="G1928">
        <v>11172</v>
      </c>
      <c r="H1928" t="s">
        <v>474</v>
      </c>
    </row>
    <row r="1929" spans="1:8" hidden="1">
      <c r="A1929" s="71">
        <v>45241</v>
      </c>
      <c r="B1929" t="s">
        <v>162</v>
      </c>
      <c r="C1929" t="s">
        <v>3295</v>
      </c>
      <c r="F1929" t="s">
        <v>759</v>
      </c>
      <c r="G1929">
        <v>11132</v>
      </c>
      <c r="H1929" t="s">
        <v>1246</v>
      </c>
    </row>
    <row r="1930" spans="1:8" hidden="1">
      <c r="A1930" s="71">
        <v>45243</v>
      </c>
      <c r="B1930" t="s">
        <v>328</v>
      </c>
      <c r="C1930" t="s">
        <v>3296</v>
      </c>
      <c r="E1930" s="86">
        <v>8053</v>
      </c>
      <c r="F1930" t="s">
        <v>759</v>
      </c>
      <c r="G1930">
        <v>11276</v>
      </c>
      <c r="H1930" t="s">
        <v>1244</v>
      </c>
    </row>
    <row r="1931" spans="1:8" hidden="1">
      <c r="A1931" s="71">
        <v>45244</v>
      </c>
      <c r="B1931" t="s">
        <v>589</v>
      </c>
      <c r="C1931" t="s">
        <v>3297</v>
      </c>
      <c r="F1931" t="s">
        <v>759</v>
      </c>
      <c r="G1931">
        <v>11279</v>
      </c>
      <c r="H1931" t="s">
        <v>1244</v>
      </c>
    </row>
    <row r="1932" spans="1:8" hidden="1">
      <c r="A1932" s="71">
        <v>45244</v>
      </c>
      <c r="B1932" t="s">
        <v>322</v>
      </c>
      <c r="C1932" t="s">
        <v>3298</v>
      </c>
      <c r="E1932" s="86">
        <v>24988</v>
      </c>
      <c r="F1932" t="s">
        <v>759</v>
      </c>
      <c r="G1932">
        <v>11277</v>
      </c>
      <c r="H1932" t="s">
        <v>1244</v>
      </c>
    </row>
    <row r="1933" spans="1:8" hidden="1">
      <c r="A1933" s="71">
        <v>45244</v>
      </c>
      <c r="B1933" t="s">
        <v>48</v>
      </c>
      <c r="C1933" t="s">
        <v>3299</v>
      </c>
      <c r="F1933" t="s">
        <v>759</v>
      </c>
      <c r="G1933">
        <v>11243</v>
      </c>
      <c r="H1933" t="s">
        <v>1499</v>
      </c>
    </row>
    <row r="1934" spans="1:8" hidden="1">
      <c r="A1934" s="71">
        <v>45244</v>
      </c>
      <c r="B1934" t="s">
        <v>569</v>
      </c>
      <c r="C1934" t="s">
        <v>3299</v>
      </c>
      <c r="E1934" s="86">
        <v>519289</v>
      </c>
      <c r="F1934" t="s">
        <v>759</v>
      </c>
      <c r="G1934">
        <v>11242</v>
      </c>
      <c r="H1934" t="s">
        <v>1499</v>
      </c>
    </row>
    <row r="1935" spans="1:8" hidden="1">
      <c r="A1935" s="71">
        <v>45245</v>
      </c>
      <c r="B1935" t="s">
        <v>39</v>
      </c>
      <c r="C1935" t="s">
        <v>3300</v>
      </c>
      <c r="F1935" t="s">
        <v>759</v>
      </c>
      <c r="G1935">
        <v>11244</v>
      </c>
      <c r="H1935" t="s">
        <v>1499</v>
      </c>
    </row>
    <row r="1936" spans="1:8" hidden="1">
      <c r="A1936" s="71">
        <v>45245</v>
      </c>
      <c r="B1936" t="s">
        <v>29</v>
      </c>
      <c r="C1936" t="s">
        <v>3301</v>
      </c>
      <c r="F1936" t="s">
        <v>759</v>
      </c>
      <c r="G1936">
        <v>10499</v>
      </c>
      <c r="H1936" t="s">
        <v>1286</v>
      </c>
    </row>
    <row r="1937" spans="1:8" hidden="1">
      <c r="A1937" s="71">
        <v>45245</v>
      </c>
      <c r="B1937" t="s">
        <v>318</v>
      </c>
      <c r="C1937" t="s">
        <v>3302</v>
      </c>
      <c r="F1937" t="s">
        <v>759</v>
      </c>
      <c r="G1937">
        <v>10873</v>
      </c>
      <c r="H1937" t="s">
        <v>1252</v>
      </c>
    </row>
    <row r="1938" spans="1:8" hidden="1">
      <c r="A1938" s="71">
        <v>45246</v>
      </c>
      <c r="B1938" t="s">
        <v>336</v>
      </c>
      <c r="C1938" t="s">
        <v>3303</v>
      </c>
      <c r="E1938" s="86">
        <v>9746</v>
      </c>
      <c r="F1938" t="s">
        <v>759</v>
      </c>
      <c r="G1938">
        <v>11246</v>
      </c>
      <c r="H1938" t="s">
        <v>1499</v>
      </c>
    </row>
    <row r="1939" spans="1:8" hidden="1">
      <c r="A1939" s="71">
        <v>45246</v>
      </c>
      <c r="B1939" t="s">
        <v>322</v>
      </c>
      <c r="C1939" t="s">
        <v>3304</v>
      </c>
      <c r="E1939" s="86">
        <v>24511</v>
      </c>
      <c r="F1939" t="s">
        <v>759</v>
      </c>
      <c r="G1939">
        <v>11281</v>
      </c>
      <c r="H1939" t="s">
        <v>1244</v>
      </c>
    </row>
    <row r="1940" spans="1:8" hidden="1">
      <c r="A1940" s="71">
        <v>45246</v>
      </c>
      <c r="B1940" t="s">
        <v>691</v>
      </c>
      <c r="C1940" t="s">
        <v>3305</v>
      </c>
      <c r="E1940" s="86">
        <v>6043</v>
      </c>
      <c r="F1940" t="s">
        <v>759</v>
      </c>
      <c r="G1940">
        <v>11248</v>
      </c>
      <c r="H1940" t="s">
        <v>1499</v>
      </c>
    </row>
    <row r="1941" spans="1:8" hidden="1">
      <c r="A1941" s="71">
        <v>45246</v>
      </c>
      <c r="B1941" t="s">
        <v>48</v>
      </c>
      <c r="C1941" t="s">
        <v>3306</v>
      </c>
      <c r="F1941" t="s">
        <v>759</v>
      </c>
      <c r="G1941">
        <v>11247</v>
      </c>
      <c r="H1941" t="s">
        <v>1499</v>
      </c>
    </row>
    <row r="1942" spans="1:8" hidden="1">
      <c r="A1942" s="71">
        <v>45246</v>
      </c>
      <c r="B1942" t="s">
        <v>171</v>
      </c>
      <c r="C1942" t="s">
        <v>3307</v>
      </c>
      <c r="E1942" s="86">
        <v>1972</v>
      </c>
      <c r="F1942" t="s">
        <v>759</v>
      </c>
      <c r="G1942">
        <v>11174</v>
      </c>
      <c r="H1942" t="s">
        <v>474</v>
      </c>
    </row>
    <row r="1943" spans="1:8" hidden="1">
      <c r="A1943" s="71">
        <v>45246</v>
      </c>
      <c r="B1943" t="s">
        <v>388</v>
      </c>
      <c r="C1943" t="s">
        <v>3308</v>
      </c>
      <c r="F1943" t="s">
        <v>759</v>
      </c>
      <c r="G1943">
        <v>10502</v>
      </c>
      <c r="H1943" t="s">
        <v>1286</v>
      </c>
    </row>
    <row r="1944" spans="1:8" hidden="1">
      <c r="A1944" s="71">
        <v>45247</v>
      </c>
      <c r="B1944" t="s">
        <v>388</v>
      </c>
      <c r="C1944" t="s">
        <v>3309</v>
      </c>
      <c r="F1944" t="s">
        <v>759</v>
      </c>
      <c r="G1944">
        <v>10503</v>
      </c>
      <c r="H1944" t="s">
        <v>1286</v>
      </c>
    </row>
    <row r="1945" spans="1:8" hidden="1">
      <c r="A1945" s="71">
        <v>45248</v>
      </c>
      <c r="B1945" t="s">
        <v>569</v>
      </c>
      <c r="C1945" t="s">
        <v>3310</v>
      </c>
      <c r="F1945" t="s">
        <v>759</v>
      </c>
      <c r="G1945">
        <v>11249</v>
      </c>
      <c r="H1945" t="s">
        <v>1499</v>
      </c>
    </row>
    <row r="1946" spans="1:8" hidden="1">
      <c r="A1946" s="71">
        <v>45248</v>
      </c>
      <c r="B1946" t="s">
        <v>171</v>
      </c>
      <c r="C1946" t="s">
        <v>3311</v>
      </c>
      <c r="E1946" s="86">
        <v>1972</v>
      </c>
      <c r="F1946" t="s">
        <v>759</v>
      </c>
      <c r="G1946">
        <v>11175</v>
      </c>
      <c r="H1946" t="s">
        <v>474</v>
      </c>
    </row>
    <row r="1947" spans="1:8" hidden="1">
      <c r="A1947" s="71">
        <v>45250</v>
      </c>
      <c r="B1947" t="s">
        <v>53</v>
      </c>
      <c r="C1947" t="s">
        <v>3312</v>
      </c>
      <c r="F1947" t="s">
        <v>759</v>
      </c>
      <c r="G1947">
        <v>10286</v>
      </c>
      <c r="H1947" t="s">
        <v>1390</v>
      </c>
    </row>
    <row r="1948" spans="1:8" hidden="1">
      <c r="A1948" s="71">
        <v>45251</v>
      </c>
      <c r="B1948" t="s">
        <v>239</v>
      </c>
      <c r="C1948" t="s">
        <v>3313</v>
      </c>
      <c r="F1948" t="s">
        <v>759</v>
      </c>
      <c r="G1948">
        <v>11284</v>
      </c>
      <c r="H1948" t="s">
        <v>1244</v>
      </c>
    </row>
    <row r="1949" spans="1:8" hidden="1">
      <c r="A1949" s="71">
        <v>45251</v>
      </c>
      <c r="B1949" t="s">
        <v>25</v>
      </c>
      <c r="C1949" t="s">
        <v>3314</v>
      </c>
      <c r="E1949" s="86">
        <v>5942</v>
      </c>
      <c r="F1949" t="s">
        <v>759</v>
      </c>
      <c r="G1949">
        <v>11176</v>
      </c>
      <c r="H1949" t="s">
        <v>474</v>
      </c>
    </row>
    <row r="1950" spans="1:8" hidden="1">
      <c r="A1950" s="71">
        <v>45251</v>
      </c>
      <c r="B1950" t="s">
        <v>311</v>
      </c>
      <c r="C1950" t="s">
        <v>3315</v>
      </c>
      <c r="F1950" t="s">
        <v>759</v>
      </c>
      <c r="G1950">
        <v>10509</v>
      </c>
      <c r="H1950" t="s">
        <v>1286</v>
      </c>
    </row>
    <row r="1951" spans="1:8" hidden="1">
      <c r="A1951" s="71">
        <v>45251</v>
      </c>
      <c r="B1951" t="s">
        <v>239</v>
      </c>
      <c r="C1951" t="s">
        <v>3316</v>
      </c>
      <c r="F1951" t="s">
        <v>759</v>
      </c>
      <c r="G1951">
        <v>10287</v>
      </c>
      <c r="H1951" t="s">
        <v>1390</v>
      </c>
    </row>
    <row r="1952" spans="1:8" hidden="1">
      <c r="A1952" s="71">
        <v>45252</v>
      </c>
      <c r="B1952" t="s">
        <v>371</v>
      </c>
      <c r="C1952" t="s">
        <v>3317</v>
      </c>
      <c r="E1952" s="86">
        <v>15069</v>
      </c>
      <c r="F1952" t="s">
        <v>759</v>
      </c>
      <c r="G1952">
        <v>11285</v>
      </c>
      <c r="H1952" t="s">
        <v>1244</v>
      </c>
    </row>
    <row r="1953" spans="1:8" hidden="1">
      <c r="A1953" s="71">
        <v>45252</v>
      </c>
      <c r="B1953" t="s">
        <v>180</v>
      </c>
      <c r="C1953" t="s">
        <v>3318</v>
      </c>
      <c r="E1953" s="86">
        <v>2471</v>
      </c>
      <c r="F1953" t="s">
        <v>759</v>
      </c>
      <c r="G1953">
        <v>11177</v>
      </c>
      <c r="H1953" t="s">
        <v>1597</v>
      </c>
    </row>
    <row r="1954" spans="1:8" hidden="1">
      <c r="A1954" s="71">
        <v>45252</v>
      </c>
      <c r="B1954" t="s">
        <v>373</v>
      </c>
      <c r="C1954" t="s">
        <v>3319</v>
      </c>
      <c r="E1954" s="86">
        <v>3735</v>
      </c>
      <c r="F1954" t="s">
        <v>759</v>
      </c>
      <c r="G1954">
        <v>11137</v>
      </c>
      <c r="H1954" t="s">
        <v>2682</v>
      </c>
    </row>
    <row r="1955" spans="1:8" hidden="1">
      <c r="A1955" s="71">
        <v>45253</v>
      </c>
      <c r="B1955" t="s">
        <v>392</v>
      </c>
      <c r="C1955" t="s">
        <v>3320</v>
      </c>
      <c r="E1955" s="86">
        <v>77</v>
      </c>
      <c r="F1955" t="s">
        <v>759</v>
      </c>
      <c r="G1955">
        <v>10513</v>
      </c>
      <c r="H1955" t="s">
        <v>1286</v>
      </c>
    </row>
    <row r="1956" spans="1:8" hidden="1">
      <c r="A1956" s="71">
        <v>45254</v>
      </c>
      <c r="B1956" t="s">
        <v>32</v>
      </c>
      <c r="C1956" t="s">
        <v>3321</v>
      </c>
      <c r="F1956" t="s">
        <v>759</v>
      </c>
      <c r="G1956">
        <v>10515</v>
      </c>
      <c r="H1956" t="s">
        <v>1286</v>
      </c>
    </row>
    <row r="1957" spans="1:8" hidden="1">
      <c r="A1957" s="71">
        <v>45254</v>
      </c>
      <c r="B1957" t="s">
        <v>180</v>
      </c>
      <c r="C1957" t="s">
        <v>3322</v>
      </c>
      <c r="E1957" s="86">
        <v>2471</v>
      </c>
      <c r="F1957" t="s">
        <v>759</v>
      </c>
      <c r="G1957">
        <v>11178</v>
      </c>
      <c r="H1957" t="s">
        <v>474</v>
      </c>
    </row>
    <row r="1958" spans="1:8" hidden="1">
      <c r="A1958" s="71">
        <v>45256</v>
      </c>
      <c r="B1958" t="s">
        <v>180</v>
      </c>
      <c r="C1958" t="s">
        <v>3323</v>
      </c>
      <c r="E1958" s="86">
        <v>2471</v>
      </c>
      <c r="F1958" t="s">
        <v>759</v>
      </c>
      <c r="G1958">
        <v>11179</v>
      </c>
      <c r="H1958" t="s">
        <v>474</v>
      </c>
    </row>
    <row r="1959" spans="1:8" hidden="1">
      <c r="A1959" s="71">
        <v>45257</v>
      </c>
      <c r="B1959" t="s">
        <v>157</v>
      </c>
      <c r="C1959" t="s">
        <v>3324</v>
      </c>
      <c r="F1959" t="s">
        <v>759</v>
      </c>
      <c r="G1959">
        <v>10519</v>
      </c>
      <c r="H1959" t="s">
        <v>1286</v>
      </c>
    </row>
    <row r="1960" spans="1:8" hidden="1">
      <c r="A1960" s="71">
        <v>45257</v>
      </c>
      <c r="B1960" t="s">
        <v>409</v>
      </c>
      <c r="C1960" t="s">
        <v>3325</v>
      </c>
      <c r="F1960" t="s">
        <v>759</v>
      </c>
      <c r="G1960">
        <v>10518</v>
      </c>
      <c r="H1960" t="s">
        <v>1286</v>
      </c>
    </row>
    <row r="1961" spans="1:8" hidden="1">
      <c r="A1961" s="71">
        <v>45258</v>
      </c>
      <c r="B1961" t="s">
        <v>373</v>
      </c>
      <c r="C1961" t="s">
        <v>3326</v>
      </c>
      <c r="E1961" s="86">
        <v>3708</v>
      </c>
      <c r="F1961" t="s">
        <v>759</v>
      </c>
      <c r="G1961">
        <v>11162</v>
      </c>
      <c r="H1961" t="s">
        <v>474</v>
      </c>
    </row>
    <row r="1962" spans="1:8" hidden="1">
      <c r="A1962" s="71">
        <v>45258</v>
      </c>
      <c r="B1962" t="s">
        <v>369</v>
      </c>
      <c r="C1962" t="s">
        <v>3327</v>
      </c>
      <c r="E1962" s="86">
        <v>11122</v>
      </c>
      <c r="F1962" t="s">
        <v>759</v>
      </c>
      <c r="G1962">
        <v>11140</v>
      </c>
      <c r="H1962" t="s">
        <v>2682</v>
      </c>
    </row>
    <row r="1963" spans="1:8" hidden="1">
      <c r="A1963" s="71">
        <v>45258</v>
      </c>
      <c r="B1963" t="s">
        <v>318</v>
      </c>
      <c r="C1963" t="s">
        <v>3328</v>
      </c>
      <c r="E1963" s="86">
        <v>10526</v>
      </c>
      <c r="F1963" t="s">
        <v>759</v>
      </c>
      <c r="G1963">
        <v>11139</v>
      </c>
      <c r="H1963" t="s">
        <v>2682</v>
      </c>
    </row>
    <row r="1964" spans="1:8" hidden="1">
      <c r="A1964" s="71">
        <v>45259</v>
      </c>
      <c r="B1964" t="s">
        <v>392</v>
      </c>
      <c r="C1964" t="s">
        <v>3329</v>
      </c>
      <c r="E1964" s="86">
        <v>83</v>
      </c>
      <c r="F1964" t="s">
        <v>759</v>
      </c>
      <c r="G1964">
        <v>10524</v>
      </c>
      <c r="H1964" t="s">
        <v>1286</v>
      </c>
    </row>
    <row r="1965" spans="1:8" hidden="1">
      <c r="A1965" s="71">
        <v>45259</v>
      </c>
      <c r="B1965" t="s">
        <v>313</v>
      </c>
      <c r="C1965" t="s">
        <v>3330</v>
      </c>
      <c r="E1965" s="86">
        <v>19870</v>
      </c>
      <c r="F1965" t="s">
        <v>759</v>
      </c>
      <c r="G1965">
        <v>11290</v>
      </c>
      <c r="H1965" t="s">
        <v>1244</v>
      </c>
    </row>
    <row r="1966" spans="1:8" hidden="1">
      <c r="A1966" s="71">
        <v>45259</v>
      </c>
      <c r="B1966" t="s">
        <v>29</v>
      </c>
      <c r="C1966" t="s">
        <v>3331</v>
      </c>
      <c r="E1966" s="86">
        <v>12490</v>
      </c>
      <c r="F1966" t="s">
        <v>759</v>
      </c>
      <c r="G1966">
        <v>11182</v>
      </c>
      <c r="H1966" t="s">
        <v>2682</v>
      </c>
    </row>
    <row r="1967" spans="1:8" hidden="1">
      <c r="A1967" s="71">
        <v>45259</v>
      </c>
      <c r="B1967" t="s">
        <v>333</v>
      </c>
      <c r="C1967" t="s">
        <v>3332</v>
      </c>
      <c r="E1967" s="86">
        <v>5645</v>
      </c>
      <c r="F1967" t="s">
        <v>759</v>
      </c>
      <c r="G1967">
        <v>11180</v>
      </c>
      <c r="H1967" t="s">
        <v>474</v>
      </c>
    </row>
    <row r="1968" spans="1:8" hidden="1">
      <c r="A1968" s="71">
        <v>45259</v>
      </c>
      <c r="B1968" t="s">
        <v>330</v>
      </c>
      <c r="C1968" t="s">
        <v>3333</v>
      </c>
      <c r="E1968" s="86">
        <v>7088</v>
      </c>
      <c r="F1968" t="s">
        <v>759</v>
      </c>
      <c r="G1968">
        <v>11039</v>
      </c>
      <c r="H1968" t="s">
        <v>1235</v>
      </c>
    </row>
    <row r="1969" spans="1:8" hidden="1">
      <c r="A1969" s="71">
        <v>45259</v>
      </c>
      <c r="B1969" t="s">
        <v>391</v>
      </c>
      <c r="C1969" t="s">
        <v>3334</v>
      </c>
      <c r="E1969" s="86">
        <v>7156</v>
      </c>
      <c r="F1969" t="s">
        <v>759</v>
      </c>
      <c r="G1969">
        <v>10290</v>
      </c>
      <c r="H1969" t="s">
        <v>1390</v>
      </c>
    </row>
    <row r="1970" spans="1:8" hidden="1">
      <c r="A1970" s="71">
        <v>45260</v>
      </c>
      <c r="B1970" t="s">
        <v>336</v>
      </c>
      <c r="C1970" t="s">
        <v>3335</v>
      </c>
      <c r="E1970" s="86">
        <v>9786</v>
      </c>
      <c r="F1970" t="s">
        <v>759</v>
      </c>
      <c r="G1970">
        <v>11292</v>
      </c>
      <c r="H1970" t="s">
        <v>1244</v>
      </c>
    </row>
    <row r="1971" spans="1:8" hidden="1">
      <c r="A1971" s="71">
        <v>45260</v>
      </c>
      <c r="B1971" t="s">
        <v>397</v>
      </c>
      <c r="C1971" t="s">
        <v>3336</v>
      </c>
      <c r="E1971" s="86">
        <v>6416</v>
      </c>
      <c r="F1971" t="s">
        <v>759</v>
      </c>
      <c r="G1971">
        <v>11267</v>
      </c>
      <c r="H1971" t="s">
        <v>1244</v>
      </c>
    </row>
    <row r="1972" spans="1:8" hidden="1">
      <c r="A1972" s="71">
        <v>45260</v>
      </c>
      <c r="B1972" t="s">
        <v>369</v>
      </c>
      <c r="C1972" t="s">
        <v>3337</v>
      </c>
      <c r="F1972" t="s">
        <v>759</v>
      </c>
      <c r="G1972">
        <v>11181</v>
      </c>
      <c r="H1972" t="s">
        <v>474</v>
      </c>
    </row>
    <row r="1973" spans="1:8" hidden="1">
      <c r="A1973" s="71">
        <v>45260</v>
      </c>
      <c r="B1973" t="s">
        <v>388</v>
      </c>
      <c r="C1973" t="s">
        <v>3338</v>
      </c>
      <c r="F1973" t="s">
        <v>759</v>
      </c>
      <c r="G1973">
        <v>10527</v>
      </c>
      <c r="H1973" t="s">
        <v>1286</v>
      </c>
    </row>
    <row r="1974" spans="1:8" hidden="1">
      <c r="A1974" s="71">
        <v>45261</v>
      </c>
      <c r="B1974" t="s">
        <v>318</v>
      </c>
      <c r="C1974" t="s">
        <v>3339</v>
      </c>
      <c r="E1974" s="86">
        <v>10526</v>
      </c>
      <c r="F1974" t="s">
        <v>759</v>
      </c>
      <c r="G1974">
        <v>11141</v>
      </c>
      <c r="H1974" t="s">
        <v>2682</v>
      </c>
    </row>
    <row r="1975" spans="1:8" hidden="1">
      <c r="A1975" s="71">
        <v>45261</v>
      </c>
      <c r="B1975" t="s">
        <v>185</v>
      </c>
      <c r="C1975" t="s">
        <v>3340</v>
      </c>
      <c r="F1975" t="s">
        <v>759</v>
      </c>
      <c r="G1975">
        <v>11037</v>
      </c>
      <c r="H1975" t="s">
        <v>1235</v>
      </c>
    </row>
    <row r="1976" spans="1:8" hidden="1">
      <c r="A1976" s="71">
        <v>45262</v>
      </c>
      <c r="B1976" t="s">
        <v>29</v>
      </c>
      <c r="C1976" t="s">
        <v>3341</v>
      </c>
      <c r="E1976" s="86">
        <v>12490</v>
      </c>
      <c r="F1976" t="s">
        <v>759</v>
      </c>
      <c r="G1976">
        <v>11183</v>
      </c>
      <c r="H1976" t="s">
        <v>474</v>
      </c>
    </row>
    <row r="1977" spans="1:8" hidden="1">
      <c r="A1977" s="71">
        <v>45264</v>
      </c>
      <c r="B1977" t="s">
        <v>371</v>
      </c>
      <c r="C1977" t="s">
        <v>3342</v>
      </c>
      <c r="E1977" s="86">
        <v>15075</v>
      </c>
      <c r="F1977" t="s">
        <v>759</v>
      </c>
      <c r="G1977">
        <v>11293</v>
      </c>
      <c r="H1977" t="s">
        <v>1244</v>
      </c>
    </row>
    <row r="1978" spans="1:8" hidden="1">
      <c r="A1978" s="71">
        <v>45264</v>
      </c>
      <c r="B1978" t="s">
        <v>150</v>
      </c>
      <c r="C1978" t="s">
        <v>3343</v>
      </c>
      <c r="F1978" t="s">
        <v>759</v>
      </c>
      <c r="G1978">
        <v>11143</v>
      </c>
      <c r="H1978" t="s">
        <v>2682</v>
      </c>
    </row>
    <row r="1979" spans="1:8" hidden="1">
      <c r="A1979" s="71">
        <v>45265</v>
      </c>
      <c r="B1979" t="s">
        <v>373</v>
      </c>
      <c r="C1979" t="s">
        <v>3344</v>
      </c>
      <c r="E1979" s="86">
        <v>3748</v>
      </c>
      <c r="F1979" t="s">
        <v>759</v>
      </c>
      <c r="G1979">
        <v>11295</v>
      </c>
      <c r="H1979" t="s">
        <v>1244</v>
      </c>
    </row>
    <row r="1980" spans="1:8" hidden="1">
      <c r="A1980" s="71">
        <v>45265</v>
      </c>
      <c r="B1980" t="s">
        <v>341</v>
      </c>
      <c r="C1980" t="s">
        <v>3345</v>
      </c>
      <c r="E1980" s="86">
        <v>8891</v>
      </c>
      <c r="F1980" t="s">
        <v>759</v>
      </c>
      <c r="G1980">
        <v>11186</v>
      </c>
      <c r="H1980" t="s">
        <v>1560</v>
      </c>
    </row>
    <row r="1981" spans="1:8" hidden="1">
      <c r="A1981" s="71">
        <v>45265</v>
      </c>
      <c r="B1981" t="s">
        <v>74</v>
      </c>
      <c r="C1981" t="s">
        <v>3346</v>
      </c>
      <c r="E1981" s="86">
        <v>4794</v>
      </c>
      <c r="F1981" t="s">
        <v>759</v>
      </c>
      <c r="G1981">
        <v>11185</v>
      </c>
      <c r="H1981" t="s">
        <v>474</v>
      </c>
    </row>
    <row r="1982" spans="1:8" hidden="1">
      <c r="A1982" s="71">
        <v>45266</v>
      </c>
      <c r="B1982" t="s">
        <v>318</v>
      </c>
      <c r="C1982" t="s">
        <v>3347</v>
      </c>
      <c r="E1982" s="86">
        <v>10557</v>
      </c>
      <c r="F1982" t="s">
        <v>759</v>
      </c>
      <c r="G1982">
        <v>11296</v>
      </c>
      <c r="H1982" t="s">
        <v>1244</v>
      </c>
    </row>
    <row r="1983" spans="1:8" hidden="1">
      <c r="A1983" s="71">
        <v>45266</v>
      </c>
      <c r="B1983" t="s">
        <v>369</v>
      </c>
      <c r="C1983" t="s">
        <v>3348</v>
      </c>
      <c r="E1983" s="86">
        <v>11126</v>
      </c>
      <c r="F1983" t="s">
        <v>759</v>
      </c>
      <c r="G1983">
        <v>11146</v>
      </c>
      <c r="H1983" t="s">
        <v>2682</v>
      </c>
    </row>
    <row r="1984" spans="1:8" hidden="1">
      <c r="A1984" s="71">
        <v>45266</v>
      </c>
      <c r="B1984" t="s">
        <v>42</v>
      </c>
      <c r="C1984" t="s">
        <v>3349</v>
      </c>
      <c r="F1984" t="s">
        <v>759</v>
      </c>
      <c r="G1984">
        <v>10536</v>
      </c>
      <c r="H1984" t="s">
        <v>1286</v>
      </c>
    </row>
    <row r="1985" spans="1:8" hidden="1">
      <c r="A1985" s="71">
        <v>45266</v>
      </c>
      <c r="B1985" t="s">
        <v>35</v>
      </c>
      <c r="C1985" t="s">
        <v>3350</v>
      </c>
      <c r="F1985" t="s">
        <v>759</v>
      </c>
      <c r="G1985">
        <v>10291</v>
      </c>
      <c r="H1985" t="s">
        <v>1390</v>
      </c>
    </row>
    <row r="1986" spans="1:8" hidden="1">
      <c r="A1986" s="71">
        <v>45267</v>
      </c>
      <c r="B1986" t="s">
        <v>371</v>
      </c>
      <c r="C1986" t="s">
        <v>3351</v>
      </c>
      <c r="E1986" s="86">
        <v>15077</v>
      </c>
      <c r="F1986" t="s">
        <v>759</v>
      </c>
      <c r="G1986">
        <v>11147</v>
      </c>
      <c r="H1986" t="s">
        <v>1286</v>
      </c>
    </row>
    <row r="1987" spans="1:8" hidden="1">
      <c r="A1987" s="71">
        <v>45267</v>
      </c>
      <c r="B1987" t="s">
        <v>392</v>
      </c>
      <c r="C1987" t="s">
        <v>3352</v>
      </c>
      <c r="E1987" s="86">
        <v>10559</v>
      </c>
      <c r="F1987" t="s">
        <v>759</v>
      </c>
      <c r="G1987">
        <v>11298</v>
      </c>
      <c r="H1987" t="s">
        <v>1244</v>
      </c>
    </row>
    <row r="1988" spans="1:8" hidden="1">
      <c r="A1988" s="71">
        <v>45267</v>
      </c>
      <c r="B1988" t="s">
        <v>19</v>
      </c>
      <c r="C1988" t="s">
        <v>3353</v>
      </c>
      <c r="E1988" s="86">
        <v>7588</v>
      </c>
      <c r="F1988" t="s">
        <v>759</v>
      </c>
      <c r="G1988">
        <v>11299</v>
      </c>
      <c r="H1988" t="s">
        <v>1244</v>
      </c>
    </row>
    <row r="1989" spans="1:8" hidden="1">
      <c r="A1989" s="71">
        <v>45271</v>
      </c>
      <c r="B1989" t="s">
        <v>180</v>
      </c>
      <c r="C1989" t="s">
        <v>3354</v>
      </c>
      <c r="E1989" s="86">
        <v>2471</v>
      </c>
      <c r="F1989" t="s">
        <v>759</v>
      </c>
      <c r="G1989">
        <v>11187</v>
      </c>
      <c r="H1989" t="s">
        <v>1252</v>
      </c>
    </row>
    <row r="1990" spans="1:8" hidden="1">
      <c r="A1990" s="71">
        <v>45272</v>
      </c>
      <c r="B1990" t="s">
        <v>400</v>
      </c>
      <c r="C1990" t="s">
        <v>3355</v>
      </c>
      <c r="F1990" t="s">
        <v>759</v>
      </c>
      <c r="G1990">
        <v>10542</v>
      </c>
      <c r="H1990" t="s">
        <v>1286</v>
      </c>
    </row>
    <row r="1991" spans="1:8" hidden="1">
      <c r="A1991" s="71">
        <v>45273</v>
      </c>
      <c r="B1991" t="s">
        <v>143</v>
      </c>
      <c r="C1991" t="s">
        <v>3356</v>
      </c>
      <c r="F1991" t="s">
        <v>759</v>
      </c>
      <c r="G1991">
        <v>11148</v>
      </c>
      <c r="H1991" t="s">
        <v>2682</v>
      </c>
    </row>
    <row r="1992" spans="1:8" hidden="1">
      <c r="A1992" s="71">
        <v>45273</v>
      </c>
      <c r="B1992" t="s">
        <v>35</v>
      </c>
      <c r="C1992" t="s">
        <v>3357</v>
      </c>
      <c r="F1992" t="s">
        <v>759</v>
      </c>
      <c r="G1992">
        <v>10292</v>
      </c>
      <c r="H1992" t="s">
        <v>1390</v>
      </c>
    </row>
    <row r="1993" spans="1:8" hidden="1">
      <c r="A1993" s="71">
        <v>45273</v>
      </c>
      <c r="B1993" t="s">
        <v>322</v>
      </c>
      <c r="C1993" t="s">
        <v>3214</v>
      </c>
      <c r="F1993" t="s">
        <v>759</v>
      </c>
      <c r="G1993">
        <v>10054</v>
      </c>
      <c r="H1993" t="s">
        <v>1286</v>
      </c>
    </row>
    <row r="1994" spans="1:8" hidden="1">
      <c r="A1994" s="71">
        <v>45274</v>
      </c>
      <c r="B1994" t="s">
        <v>307</v>
      </c>
      <c r="C1994" t="s">
        <v>3358</v>
      </c>
      <c r="F1994" t="s">
        <v>759</v>
      </c>
      <c r="G1994">
        <v>11189</v>
      </c>
      <c r="H1994" t="s">
        <v>474</v>
      </c>
    </row>
    <row r="1995" spans="1:8" hidden="1">
      <c r="A1995" s="71">
        <v>45274</v>
      </c>
      <c r="B1995" t="s">
        <v>373</v>
      </c>
      <c r="C1995" t="s">
        <v>3359</v>
      </c>
      <c r="E1995" s="86">
        <v>3762</v>
      </c>
      <c r="F1995" t="s">
        <v>759</v>
      </c>
      <c r="G1995">
        <v>10058</v>
      </c>
      <c r="H1995" t="s">
        <v>1286</v>
      </c>
    </row>
    <row r="1996" spans="1:8" hidden="1">
      <c r="A1996" s="71">
        <v>45274</v>
      </c>
      <c r="B1996" t="s">
        <v>745</v>
      </c>
      <c r="C1996" t="s">
        <v>3360</v>
      </c>
      <c r="F1996" t="s">
        <v>759</v>
      </c>
      <c r="G1996">
        <v>10056</v>
      </c>
      <c r="H1996" t="s">
        <v>1286</v>
      </c>
    </row>
    <row r="1997" spans="1:8" hidden="1">
      <c r="A1997" s="71">
        <v>45275</v>
      </c>
      <c r="B1997" t="s">
        <v>307</v>
      </c>
      <c r="C1997" t="s">
        <v>3361</v>
      </c>
      <c r="F1997" t="s">
        <v>759</v>
      </c>
      <c r="G1997">
        <v>11188</v>
      </c>
      <c r="H1997" t="s">
        <v>1597</v>
      </c>
    </row>
    <row r="1998" spans="1:8" hidden="1">
      <c r="A1998" s="71">
        <v>45275</v>
      </c>
      <c r="B1998" t="s">
        <v>318</v>
      </c>
      <c r="C1998" t="s">
        <v>3362</v>
      </c>
      <c r="F1998" t="s">
        <v>759</v>
      </c>
      <c r="G1998">
        <v>10060</v>
      </c>
      <c r="H1998" t="s">
        <v>1286</v>
      </c>
    </row>
    <row r="1999" spans="1:8" hidden="1">
      <c r="A1999" s="71">
        <v>45275</v>
      </c>
      <c r="B1999" t="s">
        <v>369</v>
      </c>
      <c r="C1999" t="s">
        <v>3363</v>
      </c>
      <c r="F1999" t="s">
        <v>759</v>
      </c>
      <c r="G1999">
        <v>10059</v>
      </c>
      <c r="H1999" t="s">
        <v>1286</v>
      </c>
    </row>
    <row r="2000" spans="1:8" hidden="1">
      <c r="A2000" s="71">
        <v>45278</v>
      </c>
      <c r="B2000" t="s">
        <v>369</v>
      </c>
      <c r="C2000" t="s">
        <v>3364</v>
      </c>
      <c r="E2000" s="86">
        <v>11155</v>
      </c>
      <c r="F2000" t="s">
        <v>759</v>
      </c>
      <c r="G2000">
        <v>10293</v>
      </c>
      <c r="H2000" t="s">
        <v>1390</v>
      </c>
    </row>
    <row r="2001" spans="1:8" hidden="1">
      <c r="A2001" s="71">
        <v>45278</v>
      </c>
      <c r="B2001" t="s">
        <v>318</v>
      </c>
      <c r="C2001" t="s">
        <v>3365</v>
      </c>
      <c r="F2001" t="s">
        <v>759</v>
      </c>
      <c r="G2001">
        <v>10065</v>
      </c>
      <c r="H2001" t="s">
        <v>1286</v>
      </c>
    </row>
    <row r="2002" spans="1:8" hidden="1">
      <c r="A2002" s="71">
        <v>45279</v>
      </c>
      <c r="B2002" t="s">
        <v>82</v>
      </c>
      <c r="C2002" t="s">
        <v>3366</v>
      </c>
      <c r="E2002" s="86">
        <v>8036</v>
      </c>
      <c r="F2002" t="s">
        <v>759</v>
      </c>
      <c r="G2002">
        <v>11190</v>
      </c>
      <c r="H2002" t="s">
        <v>474</v>
      </c>
    </row>
    <row r="2003" spans="1:8" hidden="1">
      <c r="A2003" s="71">
        <v>45279</v>
      </c>
      <c r="B2003" t="s">
        <v>333</v>
      </c>
      <c r="C2003" t="s">
        <v>3367</v>
      </c>
      <c r="E2003" s="86">
        <v>5645</v>
      </c>
      <c r="F2003" t="s">
        <v>759</v>
      </c>
      <c r="G2003">
        <v>11184</v>
      </c>
      <c r="H2003" t="s">
        <v>474</v>
      </c>
    </row>
    <row r="2004" spans="1:8" hidden="1">
      <c r="A2004" s="71">
        <v>45279</v>
      </c>
      <c r="B2004" t="s">
        <v>82</v>
      </c>
      <c r="C2004" t="s">
        <v>3368</v>
      </c>
      <c r="F2004" t="s">
        <v>759</v>
      </c>
      <c r="G2004">
        <v>10070</v>
      </c>
      <c r="H2004" t="s">
        <v>1286</v>
      </c>
    </row>
    <row r="2005" spans="1:8" hidden="1">
      <c r="A2005" s="71">
        <v>45280</v>
      </c>
      <c r="B2005" t="s">
        <v>318</v>
      </c>
      <c r="C2005" t="s">
        <v>3369</v>
      </c>
      <c r="E2005" s="86">
        <v>10576</v>
      </c>
      <c r="F2005" t="s">
        <v>759</v>
      </c>
      <c r="G2005">
        <v>10576</v>
      </c>
      <c r="H2005" t="s">
        <v>1286</v>
      </c>
    </row>
    <row r="2006" spans="1:8" hidden="1">
      <c r="A2006" s="71">
        <v>45282</v>
      </c>
      <c r="B2006" t="s">
        <v>19</v>
      </c>
      <c r="C2006" t="s">
        <v>3370</v>
      </c>
      <c r="F2006" t="s">
        <v>759</v>
      </c>
      <c r="G2006">
        <v>11193</v>
      </c>
      <c r="H2006" t="s">
        <v>1286</v>
      </c>
    </row>
    <row r="2007" spans="1:8" hidden="1">
      <c r="A2007" s="71">
        <v>46197</v>
      </c>
      <c r="B2007" t="s">
        <v>32</v>
      </c>
      <c r="C2007" t="s">
        <v>3371</v>
      </c>
      <c r="E2007" s="86">
        <v>11042</v>
      </c>
      <c r="F2007" t="s">
        <v>759</v>
      </c>
      <c r="G2007">
        <v>17231</v>
      </c>
      <c r="H2007" t="s">
        <v>497</v>
      </c>
    </row>
    <row r="2008" spans="1:8" hidden="1">
      <c r="A2008" s="71">
        <v>46196</v>
      </c>
      <c r="B2008" t="s">
        <v>305</v>
      </c>
      <c r="C2008" t="s">
        <v>3372</v>
      </c>
      <c r="E2008" s="86">
        <v>8950</v>
      </c>
      <c r="F2008" t="s">
        <v>759</v>
      </c>
      <c r="G2008">
        <v>17230</v>
      </c>
      <c r="H2008" t="s">
        <v>1244</v>
      </c>
    </row>
    <row r="2009" spans="1:8" hidden="1">
      <c r="A2009" s="71">
        <v>46192</v>
      </c>
      <c r="B2009" t="s">
        <v>86</v>
      </c>
      <c r="C2009" t="s">
        <v>3373</v>
      </c>
      <c r="E2009" s="86">
        <v>3708</v>
      </c>
      <c r="F2009" t="s">
        <v>759</v>
      </c>
      <c r="G2009">
        <v>17229</v>
      </c>
      <c r="H2009" t="s">
        <v>1244</v>
      </c>
    </row>
    <row r="2010" spans="1:8" hidden="1">
      <c r="A2010" s="71">
        <v>46198</v>
      </c>
      <c r="B2010" t="s">
        <v>609</v>
      </c>
      <c r="C2010" t="s">
        <v>3374</v>
      </c>
      <c r="F2010" t="s">
        <v>759</v>
      </c>
      <c r="G2010">
        <v>17232</v>
      </c>
      <c r="H2010" t="s">
        <v>497</v>
      </c>
    </row>
    <row r="2011" spans="1:8" hidden="1">
      <c r="A2011" s="71">
        <v>46198</v>
      </c>
      <c r="B2011" t="s">
        <v>649</v>
      </c>
      <c r="C2011" t="s">
        <v>3375</v>
      </c>
      <c r="E2011" s="86">
        <v>125735</v>
      </c>
      <c r="F2011" t="s">
        <v>759</v>
      </c>
      <c r="G2011">
        <v>17770</v>
      </c>
      <c r="H2011" t="s">
        <v>474</v>
      </c>
    </row>
    <row r="2012" spans="1:8" hidden="1">
      <c r="A2012" s="71">
        <v>46203</v>
      </c>
      <c r="B2012" t="s">
        <v>388</v>
      </c>
      <c r="C2012" t="s">
        <v>3376</v>
      </c>
      <c r="E2012" s="86">
        <v>13215</v>
      </c>
      <c r="F2012" t="s">
        <v>759</v>
      </c>
      <c r="G2012">
        <v>17772</v>
      </c>
      <c r="H2012" t="s">
        <v>474</v>
      </c>
    </row>
    <row r="2013" spans="1:8" hidden="1">
      <c r="A2013" s="71">
        <v>46205</v>
      </c>
      <c r="B2013" t="s">
        <v>324</v>
      </c>
      <c r="C2013" t="s">
        <v>3377</v>
      </c>
      <c r="E2013" s="86">
        <v>14116</v>
      </c>
      <c r="F2013" t="s">
        <v>759</v>
      </c>
      <c r="G2013">
        <v>17233</v>
      </c>
      <c r="H2013" t="s">
        <v>1390</v>
      </c>
    </row>
    <row r="2014" spans="1:8" hidden="1">
      <c r="A2014" s="71">
        <v>46271</v>
      </c>
      <c r="B2014" t="s">
        <v>646</v>
      </c>
      <c r="C2014" t="s">
        <v>3378</v>
      </c>
      <c r="E2014" s="86">
        <v>162930</v>
      </c>
      <c r="F2014" t="s">
        <v>759</v>
      </c>
      <c r="G2014">
        <v>17236</v>
      </c>
      <c r="H2014" t="s">
        <v>497</v>
      </c>
    </row>
    <row r="2015" spans="1:8" hidden="1">
      <c r="A2015" s="71">
        <v>46199</v>
      </c>
      <c r="B2015" t="s">
        <v>637</v>
      </c>
      <c r="C2015" t="s">
        <v>3379</v>
      </c>
      <c r="F2015" t="s">
        <v>759</v>
      </c>
      <c r="G2015">
        <v>17234</v>
      </c>
      <c r="H2015" t="s">
        <v>497</v>
      </c>
    </row>
    <row r="2016" spans="1:8" hidden="1">
      <c r="A2016" s="71">
        <v>46189</v>
      </c>
      <c r="B2016" t="s">
        <v>373</v>
      </c>
      <c r="C2016" t="s">
        <v>3380</v>
      </c>
      <c r="F2016" t="s">
        <v>759</v>
      </c>
      <c r="G2016">
        <v>17636</v>
      </c>
      <c r="H2016" t="s">
        <v>3381</v>
      </c>
    </row>
    <row r="2017" spans="1:8" hidden="1">
      <c r="A2017" s="71">
        <v>46218</v>
      </c>
      <c r="B2017" t="s">
        <v>65</v>
      </c>
      <c r="C2017" t="s">
        <v>3382</v>
      </c>
      <c r="F2017" t="s">
        <v>759</v>
      </c>
      <c r="G2017">
        <v>17781</v>
      </c>
      <c r="H2017" t="s">
        <v>474</v>
      </c>
    </row>
    <row r="2018" spans="1:8" hidden="1">
      <c r="A2018" s="71">
        <v>46216</v>
      </c>
      <c r="B2018" t="s">
        <v>389</v>
      </c>
      <c r="C2018" t="s">
        <v>3383</v>
      </c>
      <c r="E2018" s="86">
        <v>6575</v>
      </c>
      <c r="F2018" t="s">
        <v>759</v>
      </c>
      <c r="G2018">
        <v>17779</v>
      </c>
      <c r="H2018" t="s">
        <v>474</v>
      </c>
    </row>
    <row r="2019" spans="1:8" hidden="1">
      <c r="A2019" s="71">
        <v>46191</v>
      </c>
      <c r="B2019" t="s">
        <v>82</v>
      </c>
      <c r="C2019" t="s">
        <v>3384</v>
      </c>
      <c r="E2019" s="86">
        <v>41114</v>
      </c>
      <c r="F2019" t="s">
        <v>759</v>
      </c>
      <c r="G2019">
        <v>17638</v>
      </c>
      <c r="H2019" t="s">
        <v>1394</v>
      </c>
    </row>
    <row r="2020" spans="1:8" hidden="1">
      <c r="A2020" s="71">
        <v>46192</v>
      </c>
      <c r="B2020" t="s">
        <v>82</v>
      </c>
      <c r="C2020" t="s">
        <v>3385</v>
      </c>
      <c r="E2020" s="86">
        <v>41114</v>
      </c>
      <c r="F2020" t="s">
        <v>759</v>
      </c>
      <c r="G2020">
        <v>17639</v>
      </c>
      <c r="H2020" t="s">
        <v>1394</v>
      </c>
    </row>
    <row r="2021" spans="1:8" hidden="1">
      <c r="A2021" s="71">
        <v>46223</v>
      </c>
      <c r="B2021" t="s">
        <v>324</v>
      </c>
      <c r="C2021" t="s">
        <v>3386</v>
      </c>
      <c r="E2021" s="86">
        <v>13954</v>
      </c>
      <c r="F2021" t="s">
        <v>759</v>
      </c>
      <c r="G2021">
        <v>17646</v>
      </c>
      <c r="H2021" t="s">
        <v>1394</v>
      </c>
    </row>
    <row r="2022" spans="1:8" hidden="1">
      <c r="A2022" s="71">
        <v>46204</v>
      </c>
      <c r="B2022" t="s">
        <v>615</v>
      </c>
      <c r="C2022" t="s">
        <v>3387</v>
      </c>
      <c r="E2022" s="86">
        <v>147776</v>
      </c>
      <c r="F2022" t="s">
        <v>759</v>
      </c>
      <c r="G2022">
        <v>17235</v>
      </c>
      <c r="H2022" t="s">
        <v>497</v>
      </c>
    </row>
    <row r="2023" spans="1:8" hidden="1">
      <c r="A2023" s="71">
        <v>46209</v>
      </c>
      <c r="B2023" t="s">
        <v>305</v>
      </c>
      <c r="C2023" t="s">
        <v>3388</v>
      </c>
      <c r="E2023" s="86">
        <v>8970</v>
      </c>
      <c r="F2023" t="s">
        <v>759</v>
      </c>
      <c r="G2023">
        <v>17777</v>
      </c>
      <c r="H2023" t="s">
        <v>474</v>
      </c>
    </row>
    <row r="2024" spans="1:8" hidden="1">
      <c r="A2024" s="71">
        <v>46204</v>
      </c>
      <c r="B2024" t="s">
        <v>388</v>
      </c>
      <c r="C2024" t="s">
        <v>3389</v>
      </c>
      <c r="E2024" s="86">
        <v>13286</v>
      </c>
      <c r="F2024" t="s">
        <v>759</v>
      </c>
      <c r="G2024">
        <v>17774</v>
      </c>
      <c r="H2024" t="s">
        <v>474</v>
      </c>
    </row>
    <row r="2025" spans="1:8">
      <c r="A2025" s="71">
        <v>45904</v>
      </c>
      <c r="B2025" t="s">
        <v>444</v>
      </c>
      <c r="C2025" t="s">
        <v>3390</v>
      </c>
      <c r="D2025" s="35">
        <v>69000</v>
      </c>
      <c r="E2025" s="86">
        <v>495</v>
      </c>
      <c r="F2025" t="s">
        <v>759</v>
      </c>
      <c r="H2025" t="s">
        <v>1463</v>
      </c>
    </row>
    <row r="2026" spans="1:8">
      <c r="A2026" s="71">
        <v>45959</v>
      </c>
      <c r="B2026" t="s">
        <v>444</v>
      </c>
      <c r="C2026" t="s">
        <v>3391</v>
      </c>
      <c r="D2026" s="35">
        <v>908000</v>
      </c>
      <c r="E2026" s="86">
        <v>507</v>
      </c>
      <c r="F2026" t="s">
        <v>759</v>
      </c>
      <c r="H2026" t="s">
        <v>769</v>
      </c>
    </row>
    <row r="2027" spans="1:8">
      <c r="A2027" s="71">
        <v>46237</v>
      </c>
      <c r="B2027" t="s">
        <v>444</v>
      </c>
      <c r="C2027" t="s">
        <v>3392</v>
      </c>
      <c r="F2027" t="s">
        <v>759</v>
      </c>
      <c r="H2027" t="s">
        <v>1463</v>
      </c>
    </row>
  </sheetData>
  <mergeCells count="1">
    <mergeCell ref="A1:G2"/>
  </mergeCells>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100" t="s">
        <v>3393</v>
      </c>
      <c r="B1" s="100"/>
      <c r="C1" s="100"/>
      <c r="D1" s="100"/>
      <c r="E1" s="100"/>
      <c r="F1" s="100"/>
      <c r="G1" s="100"/>
      <c r="H1" s="100"/>
      <c r="I1" s="100"/>
      <c r="J1" s="100"/>
      <c r="K1" s="100"/>
      <c r="L1" s="100"/>
      <c r="M1" s="100"/>
      <c r="N1" s="100"/>
    </row>
    <row r="2" spans="1:14">
      <c r="A2" s="100"/>
      <c r="B2" s="100"/>
      <c r="C2" s="100"/>
      <c r="D2" s="100"/>
      <c r="E2" s="100"/>
      <c r="F2" s="100"/>
      <c r="G2" s="100"/>
      <c r="H2" s="100"/>
      <c r="I2" s="100"/>
      <c r="J2" s="100"/>
      <c r="K2" s="100"/>
      <c r="L2" s="100"/>
      <c r="M2" s="100"/>
      <c r="N2" s="100"/>
    </row>
    <row r="4" spans="1:14">
      <c r="A4" s="107" t="s">
        <v>3394</v>
      </c>
      <c r="B4" s="107"/>
      <c r="D4" s="107" t="s">
        <v>3395</v>
      </c>
      <c r="E4" s="107"/>
      <c r="G4" s="107" t="s">
        <v>3396</v>
      </c>
      <c r="H4" s="107"/>
      <c r="J4" s="107" t="s">
        <v>3397</v>
      </c>
      <c r="K4" s="107"/>
      <c r="M4" s="107" t="s">
        <v>3398</v>
      </c>
      <c r="N4" s="107"/>
    </row>
    <row r="5" spans="1:14" ht="21" customHeight="1">
      <c r="A5" s="111" cm="1">
        <f t="array" ref="A5">SUMPRODUCT(--(Maestro_Equipos!A2:A995&lt;&gt;""))</f>
        <v>240</v>
      </c>
      <c r="B5" s="111"/>
      <c r="D5" s="111" cm="1">
        <f t="array" ref="D5">SUMPRODUCT(--(UPPER(TRIM(Maestro_Equipos!V2:V995))="OPERATIVO"))</f>
        <v>176</v>
      </c>
      <c r="E5" s="111"/>
      <c r="G5" s="111" cm="1">
        <f t="array" ref="G5">SUMPRODUCT(--(ISNUMBER(SEARCH("FUERA DE SERVICIO",UPPER(Maestro_Equipos!V2:V995)))))</f>
        <v>49</v>
      </c>
      <c r="H5" s="111"/>
      <c r="J5" s="111" cm="1">
        <f t="array" ref="J5">SUMPRODUCT(--((UPPER(TRIM(Maestro_Equipos!W2:W995))="ATRASADA")+(UPPER(TRIM(Maestro_Equipos!W2:W995))="ATRASADO")&gt;0))</f>
        <v>2</v>
      </c>
      <c r="K5" s="111"/>
      <c r="M5" s="111">
        <f>COUNTIF(Maestro_Equipos!W:W,"PRÓXIMA")</f>
        <v>1</v>
      </c>
      <c r="N5" s="111"/>
    </row>
    <row r="6" spans="1:14" ht="15" customHeight="1">
      <c r="D6" s="103"/>
      <c r="E6" s="103"/>
      <c r="G6" s="103"/>
      <c r="H6" s="103"/>
    </row>
    <row r="8" spans="1:14">
      <c r="A8" s="107" t="s">
        <v>3399</v>
      </c>
      <c r="B8" s="107"/>
      <c r="D8" s="107" t="s">
        <v>3400</v>
      </c>
      <c r="E8" s="107"/>
      <c r="G8" s="107" t="s">
        <v>3401</v>
      </c>
      <c r="H8" s="107"/>
      <c r="J8" s="107" t="s">
        <v>3402</v>
      </c>
      <c r="K8" s="107"/>
      <c r="M8" s="107" t="s">
        <v>3403</v>
      </c>
      <c r="N8" s="107"/>
    </row>
    <row r="9" spans="1:14" ht="21" customHeight="1">
      <c r="A9" s="111">
        <f>COUNTIF(Maestro_Equipos!AE:AE,"POR RECIBIR")</f>
        <v>0</v>
      </c>
      <c r="B9" s="111"/>
      <c r="D9" s="111">
        <f>COUNTIF(Maestro_Equipos!W:W,"*PROCESO*")</f>
        <v>34</v>
      </c>
      <c r="E9" s="111"/>
      <c r="G9" s="111" cm="1">
        <f t="array" ref="G9">SUMPRODUCT(--(UPPER(TRIM(Maestro_Equipos!W2:W995))="AL DÍA"))</f>
        <v>117</v>
      </c>
      <c r="H9" s="111"/>
      <c r="J9" s="111" cm="1">
        <f t="array" ref="J9">SUMPRODUCT(--(ISNUMBER(SEARCH("TALLER",UPPER(Maestro_Equipos!V2:V995)))))</f>
        <v>14</v>
      </c>
      <c r="K9" s="111"/>
      <c r="M9" s="111">
        <f>COUNTIF(Maestro_Equipos!AD:AD,"PENDIENTE")</f>
        <v>23</v>
      </c>
      <c r="N9" s="111"/>
    </row>
    <row r="12" spans="1:14">
      <c r="A12" s="107" t="s">
        <v>3404</v>
      </c>
      <c r="B12" s="107"/>
      <c r="D12" s="107" t="s">
        <v>3405</v>
      </c>
      <c r="E12" s="107"/>
      <c r="G12" s="107" t="s">
        <v>3406</v>
      </c>
      <c r="H12" s="107"/>
      <c r="J12" s="107" t="s">
        <v>3407</v>
      </c>
      <c r="K12" s="107"/>
      <c r="M12" s="104" t="s">
        <v>3408</v>
      </c>
      <c r="N12" s="104"/>
    </row>
    <row r="13" spans="1:14" ht="21" customHeight="1">
      <c r="A13" s="112">
        <f>IFERROR((COUNTIF(Maestro_Equipos!W:W,"AL DÍA")+COUNTIF(Maestro_Equipos!W:W,"PRÓXIMA")+COUNTIF(Maestro_Equipos!W:W,"EN PROCESO")+COUNTIF(Maestro_Equipos!W:W,"EN TALLER")+COUNTIF(Maestro_Equipos!W:W,"POR RECIBIR"))/COUNTIFS(Maestro_Equipos!A:A,"&lt;&gt;",Maestro_Equipos!V:V,"&lt;&gt;Fuera de Servicio"),0)</f>
        <v>0.97916666666666663</v>
      </c>
      <c r="B13" s="112"/>
      <c r="D13" s="112">
        <f>IFERROR((COUNTIF(Maestro_Equipos!W:W,"AL DÍA")+COUNTIF(Maestro_Equipos!W:W,"PRÓXIMA")+COUNTIF(Maestro_Equipos!W:W,"EN PROCESO")+COUNTIF(Maestro_Equipos!W:W,"EN TALLER")+COUNTIF(Maestro_Equipos!W:W,"POR RECIBIR"))/COUNTIFS(Maestro_Equipos!A:A,"&lt;&gt;",Maestro_Equipos!V:V,"&lt;&gt;Fuera de Servicio"),0)</f>
        <v>0.97916666666666663</v>
      </c>
      <c r="E13" s="112"/>
      <c r="G13" s="113">
        <f>IFERROR(COUNTIFS(Maestro_Equipos!W:W,"ATRASADA")/COUNTIFS(Maestro_Equipos!A:A,"&lt;&gt;",Maestro_Equipos!V:V,"&lt;&gt;Fuera de Servicio"),0)</f>
        <v>1.0416666666666666E-2</v>
      </c>
      <c r="H13" s="113"/>
      <c r="J13" s="114">
        <f>SUM(Maestro_Equipos!$U$4:$U$242)</f>
        <v>57414841.915269956</v>
      </c>
      <c r="K13" s="114"/>
      <c r="M13" s="105">
        <f>IFERROR(COUNTIF(Maestro_Equipos!V:V,"Operativo")/(COUNTIF(Maestro_Equipos!V:V,"Operativo")+COUNTIF(Maestro_Equipos!V:V,"*Taller*")+COUNTIF(Maestro_Equipos!V:V,"*Fuera*")),0)</f>
        <v>0.7364016736401674</v>
      </c>
      <c r="N13" s="105"/>
    </row>
    <row r="16" spans="1:14">
      <c r="A16" s="107" t="s">
        <v>3409</v>
      </c>
      <c r="B16" s="107"/>
      <c r="D16" s="107" t="s">
        <v>3410</v>
      </c>
      <c r="E16" s="107"/>
      <c r="G16" s="107" t="s">
        <v>3411</v>
      </c>
      <c r="H16" s="107"/>
      <c r="J16" s="107" t="s">
        <v>3412</v>
      </c>
      <c r="K16" s="107"/>
      <c r="M16" s="106" t="s">
        <v>3413</v>
      </c>
      <c r="N16" s="106"/>
    </row>
    <row r="17" spans="1:14" ht="21" customHeight="1">
      <c r="A17" s="109">
        <f ca="1">IFERROR(AVERAGEIF(Maestro_Equipos!$AB$4:$AB$242,"&gt;0"),0)</f>
        <v>62.322033898305087</v>
      </c>
      <c r="B17" s="109"/>
      <c r="D17" s="109">
        <f ca="1">IFERROR(AVERAGEIF(Maestro_Equipos!$AC$4:$AC$242,"&gt;0"),0)</f>
        <v>45.658227848101269</v>
      </c>
      <c r="E17" s="109"/>
      <c r="G17" s="110">
        <f>COUNTIFS(
Maestro_Equipos!Q:Q,"Sin datos de mantención registrado",
Maestro_Equipos!V:V,"&lt;&gt;Fuera de Servicio",
Maestro_Equipos!V:V,"&lt;&gt;Taller",
Maestro_Equipos!V:V,"&lt;&gt;En Taller"
)</f>
        <v>26</v>
      </c>
      <c r="H17" s="110"/>
      <c r="J17" s="111">
        <f>COUNTIFS(Maestro_Equipos!W:W,"ATRASADA",Maestro_Equipos!Z:Z,"")
+COUNTIFS(Maestro_Equipos!W:W,"PRÓXIMA",Maestro_Equipos!Z:Z,"")</f>
        <v>2</v>
      </c>
      <c r="K17" s="111"/>
      <c r="M17" s="108">
        <f ca="1">NOW()</f>
        <v>46239.049151736108</v>
      </c>
      <c r="N17" s="108"/>
    </row>
    <row r="19" spans="1:14" ht="15" customHeight="1">
      <c r="A19" s="115" t="s">
        <v>3414</v>
      </c>
      <c r="B19" s="115"/>
    </row>
    <row r="20" spans="1:14" ht="21" customHeight="1">
      <c r="A20" s="116">
        <f ca="1">(A17-D17)</f>
        <v>16.663806050203817</v>
      </c>
      <c r="B20" s="117"/>
    </row>
    <row r="33" spans="1:8">
      <c r="A33" t="s">
        <v>756</v>
      </c>
      <c r="B33" t="s">
        <v>3415</v>
      </c>
      <c r="D33" t="s">
        <v>3416</v>
      </c>
      <c r="E33" t="s">
        <v>1352</v>
      </c>
      <c r="G33" t="s">
        <v>3417</v>
      </c>
      <c r="H33" t="s">
        <v>3418</v>
      </c>
    </row>
    <row r="34" spans="1:8">
      <c r="A34" t="s">
        <v>3419</v>
      </c>
      <c r="B34">
        <f>COUNTIFS(Maestro_Equipos!W:W,"AL DÍA",Maestro_Equipos!A:A,"&lt;&gt;")</f>
        <v>117</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3420</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3421</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3422</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3423</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3424</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3425</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3417</v>
      </c>
      <c r="B51" t="s">
        <v>3426</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 ref="A9:B9"/>
    <mergeCell ref="D9:E9"/>
    <mergeCell ref="G9:H9"/>
    <mergeCell ref="J9:K9"/>
    <mergeCell ref="M9:N9"/>
    <mergeCell ref="A12:B12"/>
    <mergeCell ref="D12:E12"/>
    <mergeCell ref="G12:H12"/>
    <mergeCell ref="J12:K12"/>
    <mergeCell ref="A13:B13"/>
    <mergeCell ref="D13:E13"/>
    <mergeCell ref="G13:H13"/>
    <mergeCell ref="J13:K13"/>
    <mergeCell ref="M17:N17"/>
    <mergeCell ref="A16:B16"/>
    <mergeCell ref="D16:E16"/>
    <mergeCell ref="G16:H16"/>
    <mergeCell ref="J16:K16"/>
    <mergeCell ref="A17:B17"/>
    <mergeCell ref="D17:E17"/>
    <mergeCell ref="G17:H17"/>
    <mergeCell ref="J17:K17"/>
    <mergeCell ref="G6:H6"/>
    <mergeCell ref="D6:E6"/>
    <mergeCell ref="M12:N12"/>
    <mergeCell ref="M13:N13"/>
    <mergeCell ref="M16:N16"/>
    <mergeCell ref="J8:K8"/>
    <mergeCell ref="M8:N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2026-08-05T05:11:00Z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