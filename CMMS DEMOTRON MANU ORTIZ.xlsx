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619" documentId="14_{1B04E9C0-1B79-4481-8DF8-317C0E0BDFCB}" xr6:coauthVersionLast="47" xr6:coauthVersionMax="47" xr10:uidLastSave="{A2070A8D-FF77-45B9-8480-E6C13FD176D9}"/>
  <bookViews>
    <workbookView xWindow="-28920" yWindow="-1620" windowWidth="29040" windowHeight="15720" firstSheet="2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115" i="8" s="1"/>
  <c r="A113" i="7" a="1"/>
  <c r="A113" i="7" s="1"/>
  <c r="N113" i="7" s="1" a="1"/>
  <c r="N113" i="7" s="1"/>
  <c r="A198" i="7" a="1"/>
  <c r="A198" i="7" s="1"/>
  <c r="K198" i="7" s="1"/>
  <c r="A247" i="7" a="1"/>
  <c r="A247" i="7" s="1"/>
  <c r="S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A230" i="7" a="1"/>
  <c r="A230" i="7" s="1"/>
  <c r="B230" i="7" s="1"/>
  <c r="B52" i="8" s="1"/>
  <c r="A8" i="7" a="1"/>
  <c r="A8" i="7" s="1"/>
  <c r="K8" i="7" s="1"/>
  <c r="A133" i="7" a="1"/>
  <c r="A133" i="7" s="1"/>
  <c r="A149" i="8" s="1"/>
  <c r="A204" i="7" a="1"/>
  <c r="A204" i="7" s="1"/>
  <c r="A229" i="8" s="1"/>
  <c r="A94" i="7" a="1"/>
  <c r="A94" i="7" s="1"/>
  <c r="K94" i="7" s="1"/>
  <c r="A194" i="7" a="1"/>
  <c r="A194" i="7" s="1"/>
  <c r="K194" i="7" s="1"/>
  <c r="A176" i="7" a="1"/>
  <c r="A176" i="7" s="1"/>
  <c r="A145" i="7" a="1"/>
  <c r="A145" i="7" s="1"/>
  <c r="D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K114" i="7" s="1"/>
  <c r="A53" i="7" a="1"/>
  <c r="A53" i="7" s="1"/>
  <c r="C53" i="7" s="1"/>
  <c r="C193" i="8" s="1"/>
  <c r="A137" i="7" a="1"/>
  <c r="A137" i="7" s="1"/>
  <c r="D137" i="7" s="1"/>
  <c r="A216" i="7" a="1"/>
  <c r="A216" i="7" s="1"/>
  <c r="A5" i="8" s="1"/>
  <c r="A191" i="7" a="1"/>
  <c r="A191" i="7" s="1"/>
  <c r="A205" i="7" a="1"/>
  <c r="A205" i="7" s="1"/>
  <c r="K205" i="7" s="1"/>
  <c r="A179" i="7" a="1"/>
  <c r="A179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25" i="8" s="1"/>
  <c r="A102" i="7" a="1"/>
  <c r="A102" i="7" s="1"/>
  <c r="A16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B56" i="7" s="1"/>
  <c r="B56" i="8" s="1"/>
  <c r="A227" i="7" a="1"/>
  <c r="A227" i="7" s="1"/>
  <c r="A57" i="7" a="1"/>
  <c r="A57" i="7" s="1"/>
  <c r="A208" i="7" a="1"/>
  <c r="A208" i="7" s="1"/>
  <c r="A42" i="7" a="1"/>
  <c r="A42" i="7" s="1"/>
  <c r="C42" i="7" s="1"/>
  <c r="C126" i="8" s="1"/>
  <c r="A129" i="7" a="1"/>
  <c r="A129" i="7" s="1"/>
  <c r="D129" i="7" s="1"/>
  <c r="A118" i="7" a="1"/>
  <c r="A118" i="7" s="1"/>
  <c r="A181" i="7" a="1"/>
  <c r="A181" i="7" s="1"/>
  <c r="A134" i="7" a="1"/>
  <c r="A134" i="7" s="1"/>
  <c r="A231" i="7" a="1"/>
  <c r="A231" i="7" s="1"/>
  <c r="C231" i="7" s="1"/>
  <c r="C73" i="8" s="1"/>
  <c r="A75" i="7" a="1"/>
  <c r="A75" i="7" s="1"/>
  <c r="N75" i="7" s="1" a="1"/>
  <c r="N75" i="7" s="1"/>
  <c r="A229" i="7" a="1"/>
  <c r="A229" i="7" s="1"/>
  <c r="A161" i="7" a="1"/>
  <c r="A161" i="7" s="1"/>
  <c r="A50" i="8" s="1"/>
  <c r="A96" i="7" a="1"/>
  <c r="A96" i="7" s="1"/>
  <c r="C96" i="7" s="1"/>
  <c r="C36" i="8" s="1"/>
  <c r="A97" i="7" a="1"/>
  <c r="A97" i="7" s="1"/>
  <c r="B97" i="7" s="1"/>
  <c r="B94" i="8" s="1"/>
  <c r="A187" i="7" a="1"/>
  <c r="A187" i="7" s="1"/>
  <c r="K187" i="7" s="1"/>
  <c r="A4" i="7" a="1"/>
  <c r="A4" i="7" s="1"/>
  <c r="C4" i="7" s="1"/>
  <c r="C99" i="8" s="1"/>
  <c r="A59" i="7" a="1"/>
  <c r="A59" i="7" s="1"/>
  <c r="B59" i="7" s="1"/>
  <c r="B136" i="8" s="1"/>
  <c r="A32" i="7" a="1"/>
  <c r="A32" i="7" s="1"/>
  <c r="B32" i="7" s="1"/>
  <c r="B218" i="8" s="1"/>
  <c r="A246" i="7" a="1"/>
  <c r="A246" i="7" s="1"/>
  <c r="G246" i="7" s="1"/>
  <c r="A220" i="7" a="1"/>
  <c r="A220" i="7" s="1"/>
  <c r="A17" i="7" a="1"/>
  <c r="A17" i="7" s="1"/>
  <c r="A130" i="7" a="1"/>
  <c r="A130" i="7" s="1"/>
  <c r="D130" i="7" s="1"/>
  <c r="A100" i="7" a="1"/>
  <c r="A100" i="7" s="1"/>
  <c r="A198" i="8" s="1"/>
  <c r="A152" i="7" a="1"/>
  <c r="A152" i="7" s="1"/>
  <c r="C152" i="7" s="1"/>
  <c r="C123" i="8" s="1"/>
  <c r="A27" i="7" a="1"/>
  <c r="A27" i="7" s="1"/>
  <c r="D27" i="7" s="1"/>
  <c r="A165" i="7" a="1"/>
  <c r="A165" i="7" s="1"/>
  <c r="A76" i="8" s="1"/>
  <c r="A120" i="7" a="1"/>
  <c r="A120" i="7" s="1"/>
  <c r="A15" i="7" a="1"/>
  <c r="A15" i="7" s="1"/>
  <c r="A34" i="7" a="1"/>
  <c r="A34" i="7" s="1"/>
  <c r="A131" i="8" s="1"/>
  <c r="A135" i="7" a="1"/>
  <c r="A135" i="7" s="1"/>
  <c r="K135" i="7" s="1"/>
  <c r="A222" i="7" a="1"/>
  <c r="A222" i="7" s="1"/>
  <c r="A132" i="7" a="1"/>
  <c r="A132" i="7" s="1"/>
  <c r="A121" i="7" a="1"/>
  <c r="A121" i="7" s="1"/>
  <c r="N121" i="7" s="1" a="1"/>
  <c r="N121" i="7" s="1"/>
  <c r="P121" i="7" s="1"/>
  <c r="A157" i="7" a="1"/>
  <c r="A157" i="7" s="1"/>
  <c r="B157" i="7" s="1"/>
  <c r="B161" i="8" s="1"/>
  <c r="A82" i="7" a="1"/>
  <c r="A82" i="7" s="1"/>
  <c r="A50" i="7" a="1"/>
  <c r="A50" i="7" s="1"/>
  <c r="A140" i="7" a="1"/>
  <c r="A140" i="7" s="1"/>
  <c r="M140" i="7" s="1" a="1"/>
  <c r="M140" i="7" s="1"/>
  <c r="A58" i="7" a="1"/>
  <c r="A58" i="7" s="1"/>
  <c r="B58" i="7" s="1"/>
  <c r="B162" i="8" s="1"/>
  <c r="A108" i="7" a="1"/>
  <c r="A108" i="7" s="1"/>
  <c r="B108" i="7" s="1"/>
  <c r="B170" i="8" s="1"/>
  <c r="A211" i="7" a="1"/>
  <c r="A211" i="7" s="1"/>
  <c r="C211" i="7" s="1"/>
  <c r="C238" i="8" s="1"/>
  <c r="A52" i="7" a="1"/>
  <c r="A52" i="7" s="1"/>
  <c r="C52" i="7" s="1"/>
  <c r="C185" i="8" s="1"/>
  <c r="A36" i="7" a="1"/>
  <c r="A36" i="7" s="1"/>
  <c r="M36" i="7" s="1" a="1"/>
  <c r="M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K128" i="7" s="1"/>
  <c r="A149" i="7" a="1"/>
  <c r="A149" i="7" s="1"/>
  <c r="A119" i="7" a="1"/>
  <c r="A119" i="7" s="1"/>
  <c r="A203" i="7" a="1"/>
  <c r="A203" i="7" s="1"/>
  <c r="N203" i="7" s="1" a="1"/>
  <c r="N203" i="7" s="1"/>
  <c r="P203" i="7" s="1"/>
  <c r="A172" i="7" a="1"/>
  <c r="A172" i="7" s="1"/>
  <c r="M172" i="7" s="1" a="1"/>
  <c r="M172" i="7" s="1"/>
  <c r="A196" i="7" a="1"/>
  <c r="A196" i="7" s="1"/>
  <c r="A21" i="7" a="1"/>
  <c r="A21" i="7" s="1"/>
  <c r="B21" i="7" s="1"/>
  <c r="B137" i="8" s="1"/>
  <c r="A23" i="7" a="1"/>
  <c r="A23" i="7" s="1"/>
  <c r="M23" i="7" s="1" a="1"/>
  <c r="M23" i="7" s="1"/>
  <c r="A148" i="7" a="1"/>
  <c r="A148" i="7" s="1"/>
  <c r="A46" i="8" s="1"/>
  <c r="A99" i="7" a="1"/>
  <c r="A99" i="7" s="1"/>
  <c r="A178" i="8" s="1"/>
  <c r="A86" i="7" a="1"/>
  <c r="A86" i="7" s="1"/>
  <c r="B86" i="7" s="1"/>
  <c r="B57" i="8" s="1"/>
  <c r="A61" i="7" a="1"/>
  <c r="A61" i="7" s="1"/>
  <c r="A18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N127" i="7" s="1" a="1"/>
  <c r="N127" i="7" s="1"/>
  <c r="P127" i="7" s="1"/>
  <c r="A240" i="7" a="1"/>
  <c r="A240" i="7" s="1"/>
  <c r="A48" i="7" a="1"/>
  <c r="A48" i="7" s="1"/>
  <c r="B48" i="7" s="1"/>
  <c r="B220" i="8" s="1"/>
  <c r="A105" i="7" a="1"/>
  <c r="A105" i="7" s="1"/>
  <c r="M105" i="7" s="1" a="1"/>
  <c r="M105" i="7" s="1"/>
  <c r="A168" i="7" a="1"/>
  <c r="A168" i="7" s="1"/>
  <c r="D168" i="7" s="1"/>
  <c r="A197" i="7" a="1"/>
  <c r="A197" i="7" s="1"/>
  <c r="C197" i="7" s="1"/>
  <c r="C13" i="8" s="1"/>
  <c r="A77" i="7" a="1"/>
  <c r="A77" i="7" s="1"/>
  <c r="N77" i="7" s="1" a="1"/>
  <c r="N77" i="7" s="1"/>
  <c r="P77" i="7" s="1"/>
  <c r="A35" i="7" a="1"/>
  <c r="A35" i="7" s="1"/>
  <c r="B35" i="7" s="1"/>
  <c r="B117" i="8" s="1"/>
  <c r="A163" i="7" a="1"/>
  <c r="A163" i="7" s="1"/>
  <c r="C163" i="7" s="1"/>
  <c r="C14" i="8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55" i="7" a="1"/>
  <c r="A155" i="7" s="1"/>
  <c r="A74" i="7" a="1"/>
  <c r="A74" i="7" s="1"/>
  <c r="M74" i="7" s="1" a="1"/>
  <c r="M74" i="7" s="1"/>
  <c r="A224" i="7" a="1"/>
  <c r="A224" i="7" s="1"/>
  <c r="A6" i="7" a="1"/>
  <c r="A6" i="7" s="1"/>
  <c r="A72" i="7" a="1"/>
  <c r="A72" i="7" s="1"/>
  <c r="N72" i="7" s="1" a="1"/>
  <c r="N72" i="7" s="1"/>
  <c r="P72" i="7" s="1"/>
  <c r="A66" i="7" a="1"/>
  <c r="A66" i="7" s="1"/>
  <c r="A144" i="7" a="1"/>
  <c r="A144" i="7" s="1"/>
  <c r="D144" i="7" s="1"/>
  <c r="A92" i="7" a="1"/>
  <c r="A92" i="7" s="1"/>
  <c r="N92" i="7" s="1" a="1"/>
  <c r="N92" i="7" s="1"/>
  <c r="A83" i="7" a="1"/>
  <c r="A83" i="7" s="1"/>
  <c r="B83" i="7" s="1"/>
  <c r="B24" i="8" s="1"/>
  <c r="A154" i="7" a="1"/>
  <c r="A154" i="7" s="1"/>
  <c r="C154" i="7" s="1"/>
  <c r="C102" i="8" s="1"/>
  <c r="A182" i="7" a="1"/>
  <c r="A182" i="7" s="1"/>
  <c r="C182" i="7" s="1"/>
  <c r="C79" i="8" s="1"/>
  <c r="A29" i="7" a="1"/>
  <c r="A29" i="7" s="1"/>
  <c r="A175" i="8" s="1"/>
  <c r="A123" i="7" a="1"/>
  <c r="A123" i="7" s="1"/>
  <c r="A22" i="7" a="1"/>
  <c r="A22" i="7" s="1"/>
  <c r="A218" i="7" a="1"/>
  <c r="A218" i="7" s="1"/>
  <c r="B218" i="7" s="1"/>
  <c r="B232" i="8" s="1"/>
  <c r="A213" i="7" a="1"/>
  <c r="A213" i="7" s="1"/>
  <c r="C213" i="7" s="1"/>
  <c r="C201" i="8" s="1"/>
  <c r="A107" i="7" a="1"/>
  <c r="A107" i="7" s="1"/>
  <c r="B107" i="7" s="1"/>
  <c r="B172" i="8" s="1"/>
  <c r="A138" i="7" a="1"/>
  <c r="A138" i="7" s="1"/>
  <c r="A169" i="7" a="1"/>
  <c r="A169" i="7" s="1"/>
  <c r="M169" i="7" s="1" a="1"/>
  <c r="M169" i="7" s="1"/>
  <c r="A80" i="7" a="1"/>
  <c r="A80" i="7" s="1"/>
  <c r="A219" i="8" s="1"/>
  <c r="A85" i="7" a="1"/>
  <c r="A85" i="7" s="1"/>
  <c r="A245" i="7" a="1"/>
  <c r="A245" i="7" s="1"/>
  <c r="K245" i="7" s="1"/>
  <c r="A171" i="7" a="1"/>
  <c r="A171" i="7" s="1"/>
  <c r="A68" i="8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B160" i="7" s="1"/>
  <c r="B32" i="8" s="1"/>
  <c r="A76" i="7" a="1"/>
  <c r="A76" i="7" s="1"/>
  <c r="A226" i="7" a="1"/>
  <c r="A226" i="7" s="1"/>
  <c r="A195" i="7" a="1"/>
  <c r="A195" i="7" s="1"/>
  <c r="B195" i="7" s="1"/>
  <c r="B122" i="8" s="1"/>
  <c r="A234" i="7" a="1"/>
  <c r="A234" i="7" s="1"/>
  <c r="B234" i="7" s="1"/>
  <c r="B44" i="8" s="1"/>
  <c r="A54" i="7" a="1"/>
  <c r="A54" i="7" s="1"/>
  <c r="D54" i="7" s="1"/>
  <c r="A71" i="7" a="1"/>
  <c r="A71" i="7" s="1"/>
  <c r="C71" i="7" s="1"/>
  <c r="C202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D239" i="7" s="1"/>
  <c r="A20" i="7" a="1"/>
  <c r="A20" i="7" s="1"/>
  <c r="M20" i="7" s="1" a="1"/>
  <c r="M20" i="7" s="1"/>
  <c r="A139" i="7" a="1"/>
  <c r="A139" i="7" s="1"/>
  <c r="C139" i="7" s="1"/>
  <c r="C70" i="8" s="1"/>
  <c r="A98" i="7" a="1"/>
  <c r="A98" i="7" s="1"/>
  <c r="B98" i="7" s="1"/>
  <c r="B177" i="8" s="1"/>
  <c r="A215" i="7" a="1"/>
  <c r="A215" i="7" s="1"/>
  <c r="C215" i="7" s="1"/>
  <c r="C18" i="8" s="1"/>
  <c r="A30" i="7" a="1"/>
  <c r="A30" i="7" s="1"/>
  <c r="A181" i="8" s="1"/>
  <c r="A91" i="7" a="1"/>
  <c r="A91" i="7" s="1"/>
  <c r="M91" i="7" s="1" a="1"/>
  <c r="M91" i="7" s="1"/>
  <c r="A13" i="7" a="1"/>
  <c r="A13" i="7" s="1"/>
  <c r="C13" i="7" s="1"/>
  <c r="C169" i="8" s="1"/>
  <c r="A10" i="7" a="1"/>
  <c r="A10" i="7" s="1"/>
  <c r="B10" i="7" s="1"/>
  <c r="B82" i="8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D9" i="7" s="1"/>
  <c r="A7" i="7" a="1"/>
  <c r="A7" i="7" s="1"/>
  <c r="A236" i="7" a="1"/>
  <c r="A236" i="7" s="1"/>
  <c r="A12" i="8" s="1"/>
  <c r="A63" i="7" a="1"/>
  <c r="A63" i="7" s="1"/>
  <c r="K63" i="7" s="1"/>
  <c r="A228" i="7" a="1"/>
  <c r="A228" i="7" s="1"/>
  <c r="M228" i="7" s="1" a="1"/>
  <c r="M228" i="7" s="1"/>
  <c r="A38" i="7" a="1"/>
  <c r="A38" i="7" s="1"/>
  <c r="A141" i="8" s="1"/>
  <c r="A24" i="7" a="1"/>
  <c r="A24" i="7" s="1"/>
  <c r="A225" i="7" a="1"/>
  <c r="A225" i="7" s="1"/>
  <c r="B225" i="7" s="1"/>
  <c r="B225" i="8" s="1"/>
  <c r="A11" i="7" a="1"/>
  <c r="A11" i="7" s="1"/>
  <c r="C11" i="7" s="1"/>
  <c r="C204" i="8" s="1"/>
  <c r="A207" i="7" a="1"/>
  <c r="A207" i="7" s="1"/>
  <c r="K207" i="7" s="1"/>
  <c r="A47" i="7" a="1"/>
  <c r="A47" i="7" s="1"/>
  <c r="C47" i="7" s="1"/>
  <c r="C135" i="8" s="1"/>
  <c r="A124" i="7" a="1"/>
  <c r="A124" i="7" s="1"/>
  <c r="N124" i="7" s="1" a="1"/>
  <c r="N124" i="7" s="1"/>
  <c r="P124" i="7" s="1"/>
  <c r="A125" i="7" a="1"/>
  <c r="A125" i="7" s="1"/>
  <c r="B125" i="7" s="1"/>
  <c r="B103" i="8" s="1"/>
  <c r="A188" i="7" a="1"/>
  <c r="A188" i="7" s="1"/>
  <c r="A73" i="7" a="1"/>
  <c r="A73" i="7" s="1"/>
  <c r="N73" i="7" s="1" a="1"/>
  <c r="N73" i="7" s="1"/>
  <c r="A64" i="7" a="1"/>
  <c r="A64" i="7" s="1"/>
  <c r="D64" i="7" s="1"/>
  <c r="A31" i="7" a="1"/>
  <c r="A31" i="7" s="1"/>
  <c r="M31" i="7" s="1" a="1"/>
  <c r="M31" i="7" s="1"/>
  <c r="A136" i="7" a="1"/>
  <c r="A136" i="7" s="1"/>
  <c r="M136" i="7" s="1" a="1"/>
  <c r="M136" i="7" s="1"/>
  <c r="A192" i="7" a="1"/>
  <c r="A192" i="7" s="1"/>
  <c r="A104" i="7" a="1"/>
  <c r="A104" i="7" s="1"/>
  <c r="K104" i="7" s="1"/>
  <c r="A115" i="7" a="1"/>
  <c r="A115" i="7" s="1"/>
  <c r="D115" i="7" s="1"/>
  <c r="A12" i="7" a="1"/>
  <c r="A12" i="7" s="1"/>
  <c r="A117" i="7" a="1"/>
  <c r="A117" i="7" s="1"/>
  <c r="A112" i="7" a="1"/>
  <c r="A112" i="7" s="1"/>
  <c r="D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104" i="8" s="1"/>
  <c r="A70" i="7" a="1"/>
  <c r="A70" i="7" s="1"/>
  <c r="B70" i="7" s="1"/>
  <c r="B190" i="8" s="1"/>
  <c r="A233" i="7" a="1"/>
  <c r="A233" i="7" s="1"/>
  <c r="A232" i="7" a="1"/>
  <c r="A232" i="7" s="1"/>
  <c r="A62" i="7" a="1"/>
  <c r="A62" i="7" s="1"/>
  <c r="B62" i="7" s="1"/>
  <c r="B163" i="8" s="1"/>
  <c r="A219" i="7" a="1"/>
  <c r="A219" i="7" s="1"/>
  <c r="C219" i="7" s="1"/>
  <c r="C239" i="8" s="1"/>
  <c r="A37" i="7" a="1"/>
  <c r="A37" i="7" s="1"/>
  <c r="N37" i="7" s="1" a="1"/>
  <c r="N37" i="7" s="1"/>
  <c r="A177" i="7" a="1"/>
  <c r="A177" i="7" s="1"/>
  <c r="B177" i="7" s="1"/>
  <c r="B67" i="8" s="1"/>
  <c r="A68" i="7" a="1"/>
  <c r="A68" i="7" s="1"/>
  <c r="A8" i="8" s="1"/>
  <c r="A126" i="7" a="1"/>
  <c r="A126" i="7" s="1"/>
  <c r="M126" i="7" s="1" a="1"/>
  <c r="M126" i="7" s="1"/>
  <c r="A223" i="7" a="1"/>
  <c r="A223" i="7" s="1"/>
  <c r="B223" i="7" s="1"/>
  <c r="B4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210" i="8" s="1"/>
  <c r="A69" i="7" a="1"/>
  <c r="A69" i="7" s="1"/>
  <c r="M69" i="7" s="1" a="1"/>
  <c r="M69" i="7" s="1"/>
  <c r="A46" i="7" a="1"/>
  <c r="A46" i="7" s="1"/>
  <c r="D49" i="7" s="1"/>
  <c r="A217" i="7" a="1"/>
  <c r="A217" i="7" s="1"/>
  <c r="M217" i="7" s="1" a="1"/>
  <c r="M217" i="7" s="1"/>
  <c r="A51" i="7" a="1"/>
  <c r="A51" i="7" s="1"/>
  <c r="M51" i="7" s="1" a="1"/>
  <c r="M51" i="7" s="1"/>
  <c r="A212" i="7" a="1"/>
  <c r="A212" i="7" s="1"/>
  <c r="A226" i="8" s="1"/>
  <c r="A122" i="7" a="1"/>
  <c r="A122" i="7" s="1"/>
  <c r="B122" i="7" s="1"/>
  <c r="B164" i="8" s="1"/>
  <c r="A184" i="7" a="1"/>
  <c r="A184" i="7" s="1"/>
  <c r="K184" i="7" s="1"/>
  <c r="A28" i="7" a="1"/>
  <c r="A28" i="7" s="1"/>
  <c r="M28" i="7" s="1" a="1"/>
  <c r="M28" i="7" s="1"/>
  <c r="A44" i="7" a="1"/>
  <c r="A44" i="7" s="1"/>
  <c r="A134" i="8" s="1"/>
  <c r="A147" i="7" a="1"/>
  <c r="A147" i="7" s="1"/>
  <c r="B147" i="7" s="1"/>
  <c r="B75" i="8" s="1"/>
  <c r="A18" i="7" a="1"/>
  <c r="A18" i="7" s="1"/>
  <c r="A129" i="8" s="1"/>
  <c r="A214" i="7" a="1"/>
  <c r="A214" i="7" s="1"/>
  <c r="A107" i="8" s="1"/>
  <c r="A242" i="7" a="1"/>
  <c r="A242" i="7" s="1"/>
  <c r="A87" i="7" a="1"/>
  <c r="A87" i="7" s="1"/>
  <c r="A110" i="7" a="1"/>
  <c r="A110" i="7" s="1"/>
  <c r="A164" i="7" a="1"/>
  <c r="A164" i="7" s="1"/>
  <c r="C164" i="7" s="1"/>
  <c r="C19" i="8" s="1"/>
  <c r="A111" i="7" a="1"/>
  <c r="A111" i="7" s="1"/>
  <c r="A114" i="8" s="1"/>
  <c r="A142" i="7" a="1"/>
  <c r="A142" i="7" s="1"/>
  <c r="K142" i="7" s="1"/>
  <c r="A244" i="7" a="1"/>
  <c r="A244" i="7" s="1"/>
  <c r="B244" i="7" s="1"/>
  <c r="B246" i="8" s="1"/>
  <c r="A84" i="7" a="1"/>
  <c r="A84" i="7" s="1"/>
  <c r="B84" i="7" s="1"/>
  <c r="B130" i="8" s="1"/>
  <c r="A185" i="7" a="1"/>
  <c r="A185" i="7" s="1"/>
  <c r="A95" i="7" a="1"/>
  <c r="A95" i="7" s="1"/>
  <c r="M95" i="7" s="1" a="1"/>
  <c r="M95" i="7" s="1"/>
  <c r="A158" i="7" a="1"/>
  <c r="A158" i="7" s="1"/>
  <c r="A186" i="7" a="1"/>
  <c r="A186" i="7" s="1"/>
  <c r="N186" i="7" s="1" a="1"/>
  <c r="N186" i="7" s="1"/>
  <c r="P186" i="7" s="1"/>
  <c r="A193" i="7" a="1"/>
  <c r="A193" i="7" s="1"/>
  <c r="A106" i="7" a="1"/>
  <c r="A106" i="7" s="1"/>
  <c r="M106" i="7" s="1" a="1"/>
  <c r="M106" i="7" s="1"/>
  <c r="A45" i="7" a="1"/>
  <c r="A45" i="7" s="1"/>
  <c r="N45" i="7" s="1" a="1"/>
  <c r="N45" i="7" s="1"/>
  <c r="A88" i="7" a="1"/>
  <c r="A88" i="7" s="1"/>
  <c r="B88" i="7" s="1"/>
  <c r="B108" i="8" s="1"/>
  <c r="A79" i="7" a="1"/>
  <c r="A79" i="7" s="1"/>
  <c r="A224" i="8" s="1"/>
  <c r="A237" i="7" a="1"/>
  <c r="A237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J213" i="7" s="1"/>
  <c r="L213" i="7" s="1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AD45" i="6" s="1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J178" i="7" s="1"/>
  <c r="F30" i="8" s="1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AD183" i="6" s="1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AC188" i="6" s="1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AD185" i="6" s="1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AB153" i="6" s="1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C79" i="6" s="1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AD238" i="6" s="1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64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J106" i="7" s="1"/>
  <c r="F31" i="8" s="1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B78" i="7"/>
  <c r="B186" i="8" s="1"/>
  <c r="M94" i="7" a="1"/>
  <c r="M94" i="7" s="1"/>
  <c r="M62" i="7" a="1"/>
  <c r="M62" i="7" s="1"/>
  <c r="B31" i="7"/>
  <c r="B125" i="8" s="1"/>
  <c r="K179" i="6" l="1"/>
  <c r="K188" i="6"/>
  <c r="K220" i="6"/>
  <c r="K171" i="6"/>
  <c r="K211" i="6"/>
  <c r="K234" i="6"/>
  <c r="K198" i="6"/>
  <c r="D202" i="7"/>
  <c r="D200" i="7"/>
  <c r="D174" i="7"/>
  <c r="K142" i="6"/>
  <c r="K117" i="6"/>
  <c r="D224" i="7"/>
  <c r="D235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K180" i="6"/>
  <c r="K208" i="6"/>
  <c r="K133" i="6"/>
  <c r="K242" i="6"/>
  <c r="K187" i="6"/>
  <c r="G187" i="7" s="1"/>
  <c r="K196" i="6"/>
  <c r="K4" i="6"/>
  <c r="O214" i="6" a="1"/>
  <c r="O214" i="6" s="1"/>
  <c r="X214" i="6" s="1"/>
  <c r="Y214" i="6" s="1"/>
  <c r="K212" i="6"/>
  <c r="X31" i="6"/>
  <c r="X39" i="6"/>
  <c r="X71" i="6"/>
  <c r="K166" i="6"/>
  <c r="G166" i="7" s="1"/>
  <c r="K195" i="6"/>
  <c r="G195" i="7" s="1"/>
  <c r="X239" i="6"/>
  <c r="D232" i="7"/>
  <c r="E232" i="7" s="1"/>
  <c r="D117" i="7"/>
  <c r="D196" i="7"/>
  <c r="K235" i="6"/>
  <c r="K149" i="6"/>
  <c r="G149" i="7" s="1"/>
  <c r="K160" i="6"/>
  <c r="G160" i="7" s="1"/>
  <c r="K224" i="6"/>
  <c r="K240" i="6"/>
  <c r="G240" i="7" s="1"/>
  <c r="K203" i="6"/>
  <c r="G203" i="7" s="1"/>
  <c r="X159" i="6"/>
  <c r="K238" i="6"/>
  <c r="G238" i="7" s="1"/>
  <c r="K228" i="6"/>
  <c r="K190" i="6"/>
  <c r="K222" i="6"/>
  <c r="G222" i="7" s="1"/>
  <c r="X49" i="6"/>
  <c r="Y49" i="6" s="1"/>
  <c r="X112" i="6"/>
  <c r="D158" i="7"/>
  <c r="E158" i="7" s="1"/>
  <c r="D182" i="7"/>
  <c r="D150" i="7"/>
  <c r="K202" i="6"/>
  <c r="G202" i="7" s="1"/>
  <c r="K170" i="6"/>
  <c r="K182" i="6"/>
  <c r="G182" i="7" s="1"/>
  <c r="K154" i="6"/>
  <c r="K210" i="6"/>
  <c r="K194" i="6"/>
  <c r="G194" i="7" s="1"/>
  <c r="K101" i="6"/>
  <c r="G101" i="7" s="1"/>
  <c r="K157" i="6"/>
  <c r="G157" i="7" s="1"/>
  <c r="K236" i="6"/>
  <c r="X14" i="6"/>
  <c r="Y14" i="6" s="1"/>
  <c r="D242" i="7"/>
  <c r="E242" i="7" s="1"/>
  <c r="K172" i="6"/>
  <c r="K158" i="6"/>
  <c r="G158" i="7" s="1"/>
  <c r="K186" i="6"/>
  <c r="G186" i="7" s="1"/>
  <c r="K162" i="6"/>
  <c r="K93" i="6"/>
  <c r="K206" i="6"/>
  <c r="X208" i="6"/>
  <c r="X96" i="6"/>
  <c r="Y96" i="6" s="1"/>
  <c r="X91" i="6"/>
  <c r="X136" i="6"/>
  <c r="X32" i="6"/>
  <c r="Y32" i="6" s="1"/>
  <c r="X10" i="6"/>
  <c r="X19" i="6"/>
  <c r="X44" i="6"/>
  <c r="Y44" i="6" s="1"/>
  <c r="X6" i="6"/>
  <c r="X33" i="6"/>
  <c r="Y33" i="6" s="1"/>
  <c r="X77" i="6"/>
  <c r="X111" i="6"/>
  <c r="X48" i="6"/>
  <c r="Y48" i="6" s="1"/>
  <c r="X24" i="6"/>
  <c r="Y24" i="6" s="1"/>
  <c r="X191" i="6"/>
  <c r="Y191" i="6" s="1"/>
  <c r="X72" i="6"/>
  <c r="X201" i="6"/>
  <c r="X129" i="6"/>
  <c r="Y129" i="6" s="1"/>
  <c r="X16" i="6"/>
  <c r="X199" i="6"/>
  <c r="Y199" i="6" s="1"/>
  <c r="X64" i="6"/>
  <c r="Y64" i="6" s="1"/>
  <c r="X89" i="6"/>
  <c r="X35" i="6"/>
  <c r="X192" i="6"/>
  <c r="D240" i="7"/>
  <c r="D181" i="7"/>
  <c r="E181" i="7" s="1"/>
  <c r="X167" i="6"/>
  <c r="X104" i="6"/>
  <c r="X115" i="6"/>
  <c r="Y115" i="6" s="1"/>
  <c r="K205" i="6"/>
  <c r="X206" i="6"/>
  <c r="K189" i="6"/>
  <c r="G189" i="7" s="1"/>
  <c r="X193" i="6"/>
  <c r="Y193" i="6" s="1"/>
  <c r="X175" i="6"/>
  <c r="Y175" i="6" s="1"/>
  <c r="X5" i="6"/>
  <c r="X145" i="6"/>
  <c r="Y145" i="6" s="1"/>
  <c r="X135" i="6"/>
  <c r="Y135" i="6" s="1"/>
  <c r="X23" i="6"/>
  <c r="Y23" i="6" s="1"/>
  <c r="K213" i="6"/>
  <c r="K197" i="6"/>
  <c r="X236" i="6"/>
  <c r="Y236" i="6" s="1"/>
  <c r="X203" i="6"/>
  <c r="Y203" i="6" s="1"/>
  <c r="K173" i="6"/>
  <c r="K181" i="6"/>
  <c r="G181" i="7" s="1"/>
  <c r="K221" i="6"/>
  <c r="G221" i="7" s="1"/>
  <c r="X152" i="6"/>
  <c r="X185" i="6"/>
  <c r="X81" i="6"/>
  <c r="Y81" i="6" s="1"/>
  <c r="X123" i="6"/>
  <c r="Y123" i="6" s="1"/>
  <c r="X184" i="6"/>
  <c r="Y184" i="6" s="1"/>
  <c r="X156" i="6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X110" i="6"/>
  <c r="Y110" i="6" s="1"/>
  <c r="X220" i="6"/>
  <c r="F193" i="7"/>
  <c r="F22" i="7"/>
  <c r="X75" i="6"/>
  <c r="Y75" i="6" s="1"/>
  <c r="X109" i="6"/>
  <c r="Y109" i="6" s="1"/>
  <c r="X149" i="6"/>
  <c r="Y149" i="6" s="1"/>
  <c r="X93" i="6"/>
  <c r="Y93" i="6" s="1"/>
  <c r="X100" i="6"/>
  <c r="Y100" i="6" s="1"/>
  <c r="X65" i="6"/>
  <c r="Y65" i="6" s="1"/>
  <c r="X180" i="6"/>
  <c r="Y180" i="6" s="1"/>
  <c r="X108" i="6"/>
  <c r="Y108" i="6" s="1"/>
  <c r="X51" i="6"/>
  <c r="Y51" i="6" s="1"/>
  <c r="X212" i="6"/>
  <c r="Y212" i="6" s="1"/>
  <c r="X198" i="6"/>
  <c r="Y198" i="6" s="1"/>
  <c r="X84" i="6"/>
  <c r="Y84" i="6" s="1"/>
  <c r="X224" i="6"/>
  <c r="Y224" i="6" s="1"/>
  <c r="X196" i="6"/>
  <c r="Y196" i="6" s="1"/>
  <c r="K229" i="6"/>
  <c r="X40" i="6"/>
  <c r="Y40" i="6" s="1"/>
  <c r="X130" i="6"/>
  <c r="Y130" i="6" s="1"/>
  <c r="X142" i="6"/>
  <c r="Y142" i="6" s="1"/>
  <c r="X70" i="6"/>
  <c r="Y70" i="6" s="1"/>
  <c r="X69" i="6"/>
  <c r="Y69" i="6" s="1"/>
  <c r="X118" i="6"/>
  <c r="W118" i="6" s="1"/>
  <c r="AJ118" i="6" s="1"/>
  <c r="X188" i="6"/>
  <c r="Y188" i="6" s="1"/>
  <c r="X98" i="6"/>
  <c r="Y98" i="6" s="1"/>
  <c r="X165" i="6"/>
  <c r="Y165" i="6" s="1"/>
  <c r="X139" i="6"/>
  <c r="Y139" i="6" s="1"/>
  <c r="X36" i="6"/>
  <c r="Y36" i="6" s="1"/>
  <c r="X173" i="6"/>
  <c r="Y173" i="6" s="1"/>
  <c r="X181" i="6"/>
  <c r="X12" i="6"/>
  <c r="Y12" i="6" s="1"/>
  <c r="X231" i="6"/>
  <c r="Y231" i="6" s="1"/>
  <c r="X128" i="6"/>
  <c r="X211" i="6"/>
  <c r="Y211" i="6" s="1"/>
  <c r="X225" i="6"/>
  <c r="Y225" i="6" s="1"/>
  <c r="X176" i="6"/>
  <c r="Y176" i="6" s="1"/>
  <c r="X55" i="6"/>
  <c r="Y55" i="6" s="1"/>
  <c r="X216" i="6"/>
  <c r="Y216" i="6" s="1"/>
  <c r="X124" i="6"/>
  <c r="Y124" i="6" s="1"/>
  <c r="X215" i="6"/>
  <c r="Y215" i="6" s="1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Y222" i="6" s="1"/>
  <c r="X38" i="6"/>
  <c r="Y38" i="6" s="1"/>
  <c r="X60" i="6"/>
  <c r="Y60" i="6" s="1"/>
  <c r="X229" i="6"/>
  <c r="Y229" i="6" s="1"/>
  <c r="X205" i="6"/>
  <c r="Y205" i="6" s="1"/>
  <c r="X18" i="6"/>
  <c r="Y18" i="6" s="1"/>
  <c r="X189" i="6"/>
  <c r="Y189" i="6" s="1"/>
  <c r="X79" i="6"/>
  <c r="Y79" i="6" s="1"/>
  <c r="X120" i="6"/>
  <c r="Y120" i="6" s="1"/>
  <c r="X179" i="6"/>
  <c r="W179" i="6" s="1"/>
  <c r="X58" i="6"/>
  <c r="Y58" i="6" s="1"/>
  <c r="X230" i="6"/>
  <c r="Y230" i="6" s="1"/>
  <c r="X25" i="6"/>
  <c r="Y25" i="6" s="1"/>
  <c r="X26" i="6"/>
  <c r="Y26" i="6" s="1"/>
  <c r="X87" i="6"/>
  <c r="X227" i="6"/>
  <c r="Y227" i="6" s="1"/>
  <c r="X125" i="6"/>
  <c r="Y125" i="6" s="1"/>
  <c r="X92" i="6"/>
  <c r="Y92" i="6" s="1"/>
  <c r="X68" i="6"/>
  <c r="Y68" i="6" s="1"/>
  <c r="X153" i="6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Y78" i="6" s="1"/>
  <c r="X158" i="6"/>
  <c r="Y158" i="6" s="1"/>
  <c r="X86" i="6"/>
  <c r="Y86" i="6" s="1"/>
  <c r="X163" i="6"/>
  <c r="X141" i="6"/>
  <c r="Y141" i="6" s="1"/>
  <c r="X155" i="6"/>
  <c r="W155" i="6" s="1"/>
  <c r="X22" i="6"/>
  <c r="Y22" i="6" s="1"/>
  <c r="X150" i="6"/>
  <c r="Y150" i="6" s="1"/>
  <c r="X102" i="6"/>
  <c r="Y102" i="6" s="1"/>
  <c r="X29" i="6"/>
  <c r="Y29" i="6" s="1"/>
  <c r="X117" i="6"/>
  <c r="Y117" i="6" s="1"/>
  <c r="X174" i="6"/>
  <c r="Y174" i="6" s="1"/>
  <c r="X61" i="6"/>
  <c r="Y61" i="6" s="1"/>
  <c r="X46" i="6"/>
  <c r="Y46" i="6" s="1"/>
  <c r="X45" i="6"/>
  <c r="Y45" i="6" s="1"/>
  <c r="X95" i="6"/>
  <c r="Y95" i="6" s="1"/>
  <c r="X235" i="6"/>
  <c r="Y235" i="6" s="1"/>
  <c r="X140" i="6"/>
  <c r="Y140" i="6" s="1"/>
  <c r="X183" i="6"/>
  <c r="Y183" i="6" s="1"/>
  <c r="X53" i="6"/>
  <c r="X126" i="6"/>
  <c r="Y126" i="6" s="1"/>
  <c r="X54" i="6"/>
  <c r="Y54" i="6" s="1"/>
  <c r="X166" i="6"/>
  <c r="Y166" i="6" s="1"/>
  <c r="X30" i="6"/>
  <c r="Y30" i="6" s="1"/>
  <c r="X113" i="6"/>
  <c r="Y113" i="6" s="1"/>
  <c r="C84" i="7"/>
  <c r="C130" i="8" s="1"/>
  <c r="O162" i="7"/>
  <c r="R162" i="7" s="1"/>
  <c r="N216" i="7" a="1"/>
  <c r="N216" i="7" s="1"/>
  <c r="P216" i="7" s="1"/>
  <c r="B29" i="7"/>
  <c r="B175" i="8" s="1"/>
  <c r="X187" i="6"/>
  <c r="Y187" i="6" s="1"/>
  <c r="M46" i="7" a="1"/>
  <c r="M46" i="7" s="1"/>
  <c r="X67" i="6"/>
  <c r="Y67" i="6" s="1"/>
  <c r="D143" i="7"/>
  <c r="X114" i="6"/>
  <c r="Y114" i="6" s="1"/>
  <c r="C41" i="7"/>
  <c r="C171" i="8" s="1"/>
  <c r="F24" i="7"/>
  <c r="C89" i="7"/>
  <c r="C113" i="8" s="1"/>
  <c r="N9" i="7" a="1"/>
  <c r="N9" i="7" s="1"/>
  <c r="P9" i="7" s="1"/>
  <c r="AC183" i="6"/>
  <c r="J9" i="7"/>
  <c r="F98" i="8" s="1"/>
  <c r="J24" i="7"/>
  <c r="F83" i="8" s="1"/>
  <c r="O93" i="7"/>
  <c r="R93" i="7" s="1"/>
  <c r="J21" i="7"/>
  <c r="F137" i="8" s="1"/>
  <c r="D87" i="7"/>
  <c r="E87" i="7" s="1"/>
  <c r="O109" i="7"/>
  <c r="Q109" i="7" s="1"/>
  <c r="J135" i="7"/>
  <c r="F42" i="8" s="1"/>
  <c r="O207" i="7"/>
  <c r="R207" i="7" s="1"/>
  <c r="J140" i="7"/>
  <c r="F106" i="8" s="1"/>
  <c r="J89" i="7"/>
  <c r="F113" i="8" s="1"/>
  <c r="J215" i="7"/>
  <c r="F18" i="8" s="1"/>
  <c r="J163" i="7"/>
  <c r="F14" i="8" s="1"/>
  <c r="J191" i="7"/>
  <c r="F9" i="8" s="1"/>
  <c r="U13" i="6"/>
  <c r="F87" i="7"/>
  <c r="O76" i="7"/>
  <c r="R76" i="7" s="1"/>
  <c r="J246" i="7"/>
  <c r="F242" i="8" s="1"/>
  <c r="O216" i="7"/>
  <c r="F16" i="7"/>
  <c r="K140" i="7"/>
  <c r="U201" i="6"/>
  <c r="F191" i="7"/>
  <c r="O40" i="7"/>
  <c r="Q40" i="7" s="1"/>
  <c r="X43" i="6"/>
  <c r="Y43" i="6" s="1"/>
  <c r="D83" i="7"/>
  <c r="E83" i="7" s="1"/>
  <c r="D67" i="7"/>
  <c r="E67" i="7" s="1"/>
  <c r="O167" i="7"/>
  <c r="Q167" i="7" s="1"/>
  <c r="F222" i="7"/>
  <c r="A212" i="8"/>
  <c r="B217" i="7"/>
  <c r="B87" i="8" s="1"/>
  <c r="X27" i="6"/>
  <c r="Y27" i="6" s="1"/>
  <c r="F216" i="7"/>
  <c r="M145" i="7" a="1"/>
  <c r="M145" i="7" s="1"/>
  <c r="K217" i="7"/>
  <c r="N35" i="7" a="1"/>
  <c r="N35" i="7" s="1"/>
  <c r="P35" i="7" s="1"/>
  <c r="J244" i="7"/>
  <c r="F246" i="8" s="1"/>
  <c r="F117" i="7"/>
  <c r="D26" i="7"/>
  <c r="E26" i="7" s="1"/>
  <c r="F62" i="7"/>
  <c r="B20" i="7"/>
  <c r="B179" i="8" s="1"/>
  <c r="AC40" i="6"/>
  <c r="AC100" i="6"/>
  <c r="F14" i="7"/>
  <c r="F25" i="7"/>
  <c r="AD240" i="6"/>
  <c r="F247" i="7"/>
  <c r="A13" i="8"/>
  <c r="AC158" i="6"/>
  <c r="AC72" i="6"/>
  <c r="B214" i="7"/>
  <c r="B107" i="8" s="1"/>
  <c r="B93" i="7"/>
  <c r="B118" i="8" s="1"/>
  <c r="C93" i="7"/>
  <c r="C118" i="8" s="1"/>
  <c r="B165" i="7"/>
  <c r="B76" i="8" s="1"/>
  <c r="M215" i="7" a="1"/>
  <c r="M215" i="7" s="1"/>
  <c r="X172" i="6"/>
  <c r="Y172" i="6" s="1"/>
  <c r="D20" i="7"/>
  <c r="E20" i="7" s="1"/>
  <c r="F38" i="7"/>
  <c r="N20" i="7" a="1"/>
  <c r="N20" i="7" s="1"/>
  <c r="P20" i="7" s="1"/>
  <c r="D197" i="7"/>
  <c r="E197" i="7" s="1"/>
  <c r="N197" i="7" a="1"/>
  <c r="N197" i="7" s="1"/>
  <c r="O143" i="7"/>
  <c r="R143" i="7" s="1"/>
  <c r="J172" i="7"/>
  <c r="F49" i="8" s="1"/>
  <c r="J197" i="7"/>
  <c r="F13" i="8" s="1"/>
  <c r="O234" i="7"/>
  <c r="U132" i="6"/>
  <c r="N69" i="7" a="1"/>
  <c r="N69" i="7" s="1"/>
  <c r="AC210" i="6"/>
  <c r="O240" i="7"/>
  <c r="Q240" i="7" s="1"/>
  <c r="D95" i="7"/>
  <c r="E95" i="7" s="1"/>
  <c r="G114" i="7"/>
  <c r="G75" i="7"/>
  <c r="F111" i="7"/>
  <c r="C69" i="7"/>
  <c r="C43" i="8" s="1"/>
  <c r="O75" i="7"/>
  <c r="J165" i="7"/>
  <c r="F76" i="8" s="1"/>
  <c r="AC110" i="6"/>
  <c r="A121" i="8"/>
  <c r="D58" i="7"/>
  <c r="E58" i="7" s="1"/>
  <c r="AC19" i="6"/>
  <c r="K111" i="7"/>
  <c r="D223" i="7"/>
  <c r="E223" i="7" s="1"/>
  <c r="K143" i="7"/>
  <c r="K78" i="7"/>
  <c r="K36" i="7"/>
  <c r="N114" i="7" a="1"/>
  <c r="N114" i="7" s="1"/>
  <c r="AD201" i="6"/>
  <c r="N213" i="7" a="1"/>
  <c r="N213" i="7" s="1"/>
  <c r="P213" i="7" s="1"/>
  <c r="N223" i="7" a="1"/>
  <c r="N223" i="7" s="1"/>
  <c r="O102" i="7"/>
  <c r="O223" i="7"/>
  <c r="O172" i="7"/>
  <c r="Q172" i="7" s="1"/>
  <c r="O197" i="7"/>
  <c r="J49" i="7"/>
  <c r="F124" i="8" s="1"/>
  <c r="G92" i="7"/>
  <c r="G165" i="7"/>
  <c r="B69" i="7"/>
  <c r="B43" i="8" s="1"/>
  <c r="AC118" i="6"/>
  <c r="N157" i="7" a="1"/>
  <c r="N157" i="7" s="1"/>
  <c r="P157" i="7" s="1"/>
  <c r="A4" i="8"/>
  <c r="O118" i="7"/>
  <c r="Q118" i="7" s="1"/>
  <c r="X221" i="6"/>
  <c r="J114" i="7"/>
  <c r="F6" i="8" s="1"/>
  <c r="O165" i="7"/>
  <c r="D32" i="7"/>
  <c r="E32" i="7" s="1"/>
  <c r="A243" i="8"/>
  <c r="A130" i="8"/>
  <c r="C157" i="7"/>
  <c r="C161" i="8" s="1"/>
  <c r="O191" i="7"/>
  <c r="Q191" i="7" s="1"/>
  <c r="N172" i="7" a="1"/>
  <c r="N172" i="7" s="1"/>
  <c r="N102" i="7" a="1"/>
  <c r="N102" i="7" s="1"/>
  <c r="D69" i="7"/>
  <c r="E69" i="7" s="1"/>
  <c r="AC82" i="6"/>
  <c r="A43" i="8"/>
  <c r="F157" i="7"/>
  <c r="K193" i="7"/>
  <c r="K75" i="7"/>
  <c r="B111" i="7"/>
  <c r="B114" i="8" s="1"/>
  <c r="C78" i="7"/>
  <c r="C186" i="8" s="1"/>
  <c r="N88" i="7" a="1"/>
  <c r="N88" i="7" s="1"/>
  <c r="AE136" i="6"/>
  <c r="AF136" i="6" s="1"/>
  <c r="C169" i="7"/>
  <c r="C45" i="8" s="1"/>
  <c r="D36" i="7"/>
  <c r="N247" i="7" a="1"/>
  <c r="N247" i="7" s="1"/>
  <c r="AC194" i="6"/>
  <c r="K102" i="7"/>
  <c r="K157" i="7"/>
  <c r="M214" i="7" a="1"/>
  <c r="M214" i="7" s="1"/>
  <c r="J234" i="7"/>
  <c r="F44" i="8" s="1"/>
  <c r="X37" i="6"/>
  <c r="Y37" i="6" s="1"/>
  <c r="F93" i="7"/>
  <c r="B40" i="7"/>
  <c r="B194" i="8" s="1"/>
  <c r="N145" i="7" a="1"/>
  <c r="N145" i="7" s="1"/>
  <c r="P145" i="7" s="1"/>
  <c r="K93" i="7"/>
  <c r="K73" i="7"/>
  <c r="AC4" i="6"/>
  <c r="J196" i="7"/>
  <c r="F235" i="8" s="1"/>
  <c r="X13" i="6"/>
  <c r="F188" i="7"/>
  <c r="A71" i="8"/>
  <c r="A109" i="8"/>
  <c r="A49" i="8"/>
  <c r="F126" i="7"/>
  <c r="K20" i="7"/>
  <c r="D157" i="7"/>
  <c r="E157" i="7" s="1"/>
  <c r="J31" i="7"/>
  <c r="F125" i="8" s="1"/>
  <c r="K9" i="7"/>
  <c r="F89" i="7"/>
  <c r="N214" i="7" a="1"/>
  <c r="N214" i="7" s="1"/>
  <c r="P214" i="7" s="1"/>
  <c r="O36" i="7"/>
  <c r="R36" i="7" s="1"/>
  <c r="AH210" i="6"/>
  <c r="F112" i="7"/>
  <c r="J235" i="7"/>
  <c r="F160" i="8" s="1"/>
  <c r="F21" i="7"/>
  <c r="F220" i="7"/>
  <c r="G32" i="7"/>
  <c r="D230" i="7"/>
  <c r="E230" i="7" s="1"/>
  <c r="B14" i="7"/>
  <c r="B191" i="8" s="1"/>
  <c r="N29" i="7" a="1"/>
  <c r="N29" i="7" s="1"/>
  <c r="X21" i="6"/>
  <c r="Y21" i="6" s="1"/>
  <c r="F237" i="7"/>
  <c r="K222" i="7"/>
  <c r="M68" i="7" a="1"/>
  <c r="M68" i="7" s="1"/>
  <c r="C146" i="7"/>
  <c r="C143" i="8" s="1"/>
  <c r="F162" i="7"/>
  <c r="AC122" i="6"/>
  <c r="F224" i="7"/>
  <c r="D237" i="7"/>
  <c r="E237" i="7" s="1"/>
  <c r="AD5" i="6"/>
  <c r="K230" i="7"/>
  <c r="AE203" i="6"/>
  <c r="AF203" i="6" s="1"/>
  <c r="F239" i="7"/>
  <c r="K228" i="7"/>
  <c r="A23" i="8"/>
  <c r="AC213" i="6"/>
  <c r="F128" i="7"/>
  <c r="D191" i="7"/>
  <c r="E191" i="7" s="1"/>
  <c r="C9" i="7"/>
  <c r="C98" i="8" s="1"/>
  <c r="D34" i="7"/>
  <c r="E34" i="7" s="1"/>
  <c r="A36" i="8"/>
  <c r="N58" i="7" a="1"/>
  <c r="N58" i="7" s="1"/>
  <c r="F51" i="7"/>
  <c r="F205" i="7"/>
  <c r="F5" i="7"/>
  <c r="D104" i="7"/>
  <c r="E104" i="7" s="1"/>
  <c r="F217" i="7"/>
  <c r="F74" i="7"/>
  <c r="AC76" i="6"/>
  <c r="K210" i="7"/>
  <c r="F88" i="7"/>
  <c r="M89" i="7" a="1"/>
  <c r="M89" i="7" s="1"/>
  <c r="K35" i="7"/>
  <c r="C118" i="7"/>
  <c r="C156" i="8" s="1"/>
  <c r="C127" i="7"/>
  <c r="C95" i="8" s="1"/>
  <c r="A65" i="8"/>
  <c r="S244" i="7"/>
  <c r="AD112" i="6"/>
  <c r="W112" i="6" s="1"/>
  <c r="C33" i="7"/>
  <c r="C210" i="8" s="1"/>
  <c r="F172" i="7"/>
  <c r="K189" i="7"/>
  <c r="N190" i="7" a="1"/>
  <c r="N190" i="7" s="1"/>
  <c r="P190" i="7" s="1"/>
  <c r="F106" i="7"/>
  <c r="AC47" i="6"/>
  <c r="F165" i="7"/>
  <c r="K23" i="7"/>
  <c r="A245" i="8"/>
  <c r="F84" i="7"/>
  <c r="M127" i="7" a="1"/>
  <c r="M127" i="7" s="1"/>
  <c r="K84" i="7"/>
  <c r="A79" i="8"/>
  <c r="O18" i="7"/>
  <c r="C158" i="7"/>
  <c r="C155" i="8" s="1"/>
  <c r="C105" i="7"/>
  <c r="C120" i="8" s="1"/>
  <c r="J68" i="7"/>
  <c r="F8" i="8" s="1"/>
  <c r="J116" i="7"/>
  <c r="F10" i="8" s="1"/>
  <c r="O150" i="7"/>
  <c r="C25" i="7"/>
  <c r="C72" i="8" s="1"/>
  <c r="K122" i="7"/>
  <c r="F150" i="7"/>
  <c r="S245" i="7"/>
  <c r="D68" i="7"/>
  <c r="E68" i="7" s="1"/>
  <c r="M158" i="7" a="1"/>
  <c r="M158" i="7" s="1"/>
  <c r="C63" i="7"/>
  <c r="C208" i="8" s="1"/>
  <c r="F135" i="7"/>
  <c r="D122" i="7"/>
  <c r="E122" i="7" s="1"/>
  <c r="F158" i="7"/>
  <c r="K40" i="7"/>
  <c r="AC61" i="6"/>
  <c r="D152" i="7"/>
  <c r="E152" i="7" s="1"/>
  <c r="J152" i="7"/>
  <c r="F123" i="8" s="1"/>
  <c r="C81" i="7"/>
  <c r="C40" i="8" s="1"/>
  <c r="C116" i="7"/>
  <c r="C10" i="8" s="1"/>
  <c r="N48" i="7" a="1"/>
  <c r="N48" i="7" s="1"/>
  <c r="F86" i="7"/>
  <c r="A208" i="8"/>
  <c r="C40" i="7"/>
  <c r="C194" i="8" s="1"/>
  <c r="K124" i="7"/>
  <c r="M238" i="7" a="1"/>
  <c r="M238" i="7" s="1"/>
  <c r="J56" i="7"/>
  <c r="F56" i="8" s="1"/>
  <c r="K178" i="7"/>
  <c r="K16" i="7"/>
  <c r="B55" i="7"/>
  <c r="B206" i="8" s="1"/>
  <c r="D92" i="7"/>
  <c r="E92" i="7" s="1"/>
  <c r="K31" i="7"/>
  <c r="N31" i="7" a="1"/>
  <c r="N31" i="7" s="1"/>
  <c r="P31" i="7" s="1"/>
  <c r="D11" i="7"/>
  <c r="E11" i="7" s="1"/>
  <c r="A230" i="8"/>
  <c r="C131" i="7"/>
  <c r="C47" i="8" s="1"/>
  <c r="O226" i="7"/>
  <c r="N4" i="7" a="1"/>
  <c r="N4" i="7" s="1"/>
  <c r="D207" i="7"/>
  <c r="E207" i="7" s="1"/>
  <c r="K191" i="7"/>
  <c r="K97" i="7"/>
  <c r="M97" i="7" a="1"/>
  <c r="M97" i="7" s="1"/>
  <c r="AC187" i="6"/>
  <c r="AD20" i="6"/>
  <c r="J179" i="7"/>
  <c r="F85" i="8" s="1"/>
  <c r="J58" i="7"/>
  <c r="F162" i="8" s="1"/>
  <c r="D210" i="7"/>
  <c r="E210" i="7" s="1"/>
  <c r="F69" i="7"/>
  <c r="G245" i="7"/>
  <c r="D97" i="7"/>
  <c r="E97" i="7" s="1"/>
  <c r="W198" i="6"/>
  <c r="AJ198" i="6" s="1"/>
  <c r="AD212" i="6"/>
  <c r="F182" i="7"/>
  <c r="F102" i="7"/>
  <c r="B124" i="7"/>
  <c r="B93" i="8" s="1"/>
  <c r="AC206" i="6"/>
  <c r="B23" i="7"/>
  <c r="B96" i="8" s="1"/>
  <c r="A207" i="8"/>
  <c r="D189" i="7"/>
  <c r="E189" i="7" s="1"/>
  <c r="A154" i="8"/>
  <c r="AC86" i="6"/>
  <c r="A113" i="8"/>
  <c r="B191" i="7"/>
  <c r="B9" i="8" s="1"/>
  <c r="M34" i="7" a="1"/>
  <c r="M34" i="7" s="1"/>
  <c r="B9" i="7"/>
  <c r="B98" i="8" s="1"/>
  <c r="A125" i="8"/>
  <c r="K41" i="7"/>
  <c r="D213" i="7"/>
  <c r="E213" i="7" s="1"/>
  <c r="B169" i="7"/>
  <c r="B45" i="8" s="1"/>
  <c r="J54" i="7"/>
  <c r="F180" i="8" s="1"/>
  <c r="F196" i="7"/>
  <c r="D73" i="7"/>
  <c r="E73" i="7" s="1"/>
  <c r="C31" i="7"/>
  <c r="C125" i="8" s="1"/>
  <c r="B45" i="7"/>
  <c r="B212" i="8" s="1"/>
  <c r="J74" i="7"/>
  <c r="F176" i="8" s="1"/>
  <c r="D169" i="7"/>
  <c r="E169" i="7" s="1"/>
  <c r="J169" i="7"/>
  <c r="F45" i="8" s="1"/>
  <c r="O54" i="7"/>
  <c r="F124" i="7"/>
  <c r="D127" i="7"/>
  <c r="D113" i="7"/>
  <c r="E113" i="7" s="1"/>
  <c r="N23" i="7" a="1"/>
  <c r="N23" i="7" s="1"/>
  <c r="P23" i="7" s="1"/>
  <c r="D245" i="7"/>
  <c r="E245" i="7" s="1"/>
  <c r="D46" i="7"/>
  <c r="E46" i="7" s="1"/>
  <c r="B189" i="7"/>
  <c r="B65" i="8" s="1"/>
  <c r="K147" i="7"/>
  <c r="J77" i="7"/>
  <c r="F144" i="8" s="1"/>
  <c r="O86" i="7"/>
  <c r="R86" i="7" s="1"/>
  <c r="M118" i="7" a="1"/>
  <c r="M118" i="7" s="1"/>
  <c r="C74" i="7"/>
  <c r="C176" i="8" s="1"/>
  <c r="B16" i="7"/>
  <c r="B207" i="8" s="1"/>
  <c r="C246" i="7"/>
  <c r="C242" i="8" s="1"/>
  <c r="M210" i="7" a="1"/>
  <c r="M210" i="7" s="1"/>
  <c r="K238" i="7"/>
  <c r="D179" i="7"/>
  <c r="E179" i="7" s="1"/>
  <c r="J124" i="7"/>
  <c r="F93" i="8" s="1"/>
  <c r="AE206" i="6"/>
  <c r="AF206" i="6" s="1"/>
  <c r="N230" i="7" a="1"/>
  <c r="N230" i="7" s="1"/>
  <c r="M13" i="7" a="1"/>
  <c r="M13" i="7" s="1"/>
  <c r="U35" i="6"/>
  <c r="J122" i="7"/>
  <c r="F164" i="8" s="1"/>
  <c r="J43" i="7"/>
  <c r="F139" i="8" s="1"/>
  <c r="U127" i="6"/>
  <c r="U104" i="6"/>
  <c r="F9" i="7"/>
  <c r="W156" i="6"/>
  <c r="AJ156" i="6" s="1"/>
  <c r="J87" i="7"/>
  <c r="F48" i="8" s="1"/>
  <c r="J64" i="7"/>
  <c r="F213" i="8" s="1"/>
  <c r="A153" i="8"/>
  <c r="S220" i="7"/>
  <c r="J40" i="7"/>
  <c r="F194" i="8" s="1"/>
  <c r="A11" i="8"/>
  <c r="J243" i="7"/>
  <c r="F227" i="8" s="1"/>
  <c r="O122" i="7"/>
  <c r="R122" i="7" s="1"/>
  <c r="D63" i="7"/>
  <c r="E63" i="7" s="1"/>
  <c r="AE14" i="6"/>
  <c r="AH14" i="6" s="1"/>
  <c r="F67" i="7"/>
  <c r="F118" i="7"/>
  <c r="M40" i="7" a="1"/>
  <c r="M40" i="7" s="1"/>
  <c r="N238" i="7" a="1"/>
  <c r="N238" i="7" s="1"/>
  <c r="P238" i="7" s="1"/>
  <c r="D217" i="7"/>
  <c r="E217" i="7" s="1"/>
  <c r="J230" i="7"/>
  <c r="F52" i="8" s="1"/>
  <c r="F125" i="7"/>
  <c r="B145" i="7"/>
  <c r="B142" i="8" s="1"/>
  <c r="F40" i="7"/>
  <c r="B81" i="7"/>
  <c r="B40" i="8" s="1"/>
  <c r="A123" i="8"/>
  <c r="N47" i="7" a="1"/>
  <c r="N47" i="7" s="1"/>
  <c r="P47" i="7" s="1"/>
  <c r="B42" i="7"/>
  <c r="B126" i="8" s="1"/>
  <c r="G243" i="7"/>
  <c r="N87" i="7" a="1"/>
  <c r="N87" i="7" s="1"/>
  <c r="N112" i="7" a="1"/>
  <c r="N112" i="7" s="1"/>
  <c r="P112" i="7" s="1"/>
  <c r="A142" i="8"/>
  <c r="N55" i="7" a="1"/>
  <c r="N55" i="7" s="1"/>
  <c r="B131" i="7"/>
  <c r="B47" i="8" s="1"/>
  <c r="M56" i="7" a="1"/>
  <c r="M56" i="7" s="1"/>
  <c r="D246" i="7"/>
  <c r="E246" i="7" s="1"/>
  <c r="K196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8" i="7"/>
  <c r="B100" i="7"/>
  <c r="B198" i="8" s="1"/>
  <c r="C21" i="7"/>
  <c r="C137" i="8" s="1"/>
  <c r="F234" i="7"/>
  <c r="F210" i="7"/>
  <c r="X154" i="6"/>
  <c r="Y154" i="6" s="1"/>
  <c r="D81" i="7"/>
  <c r="E81" i="7" s="1"/>
  <c r="F108" i="7"/>
  <c r="F35" i="7"/>
  <c r="K42" i="7"/>
  <c r="F139" i="7"/>
  <c r="F109" i="7"/>
  <c r="B28" i="7"/>
  <c r="B215" i="8" s="1"/>
  <c r="AD178" i="6"/>
  <c r="W178" i="6" s="1"/>
  <c r="AE178" i="6" s="1"/>
  <c r="AG178" i="6" s="1"/>
  <c r="S178" i="7" s="1"/>
  <c r="J136" i="7"/>
  <c r="F147" i="8" s="1"/>
  <c r="J142" i="7"/>
  <c r="F89" i="8" s="1"/>
  <c r="D110" i="7"/>
  <c r="E110" i="7" s="1"/>
  <c r="AE205" i="6"/>
  <c r="AG205" i="6" s="1"/>
  <c r="S205" i="7" s="1"/>
  <c r="F53" i="7"/>
  <c r="F70" i="7"/>
  <c r="M190" i="7" a="1"/>
  <c r="M190" i="7" s="1"/>
  <c r="K54" i="7"/>
  <c r="D106" i="7"/>
  <c r="E106" i="7" s="1"/>
  <c r="D148" i="7"/>
  <c r="E148" i="7" s="1"/>
  <c r="M230" i="7" a="1"/>
  <c r="M230" i="7" s="1"/>
  <c r="J207" i="7"/>
  <c r="F230" i="8" s="1"/>
  <c r="B13" i="7"/>
  <c r="B169" i="8" s="1"/>
  <c r="A9" i="8"/>
  <c r="AC38" i="6"/>
  <c r="D142" i="7"/>
  <c r="E142" i="7" s="1"/>
  <c r="F167" i="7"/>
  <c r="K87" i="7"/>
  <c r="N118" i="7" a="1"/>
  <c r="N118" i="7" s="1"/>
  <c r="P118" i="7" s="1"/>
  <c r="D56" i="7"/>
  <c r="E56" i="7" s="1"/>
  <c r="D118" i="7"/>
  <c r="E118" i="7" s="1"/>
  <c r="K179" i="7"/>
  <c r="M187" i="7" a="1"/>
  <c r="M187" i="7" s="1"/>
  <c r="C133" i="7"/>
  <c r="C149" i="8" s="1"/>
  <c r="M135" i="7" a="1"/>
  <c r="M135" i="7" s="1"/>
  <c r="N179" i="7" a="1"/>
  <c r="N179" i="7" s="1"/>
  <c r="P179" i="7" s="1"/>
  <c r="AD55" i="6"/>
  <c r="W55" i="6" s="1"/>
  <c r="AE55" i="6" s="1"/>
  <c r="AH55" i="6" s="1"/>
  <c r="AD91" i="6"/>
  <c r="W91" i="6" s="1"/>
  <c r="AC141" i="6"/>
  <c r="K154" i="7"/>
  <c r="C235" i="7"/>
  <c r="C160" i="8" s="1"/>
  <c r="B190" i="7"/>
  <c r="B115" i="8" s="1"/>
  <c r="A174" i="8"/>
  <c r="K91" i="7"/>
  <c r="D74" i="7"/>
  <c r="E74" i="7" s="1"/>
  <c r="A87" i="8"/>
  <c r="E129" i="7"/>
  <c r="C161" i="7"/>
  <c r="C50" i="8" s="1"/>
  <c r="O133" i="7"/>
  <c r="R133" i="7" s="1"/>
  <c r="K67" i="7"/>
  <c r="C35" i="7"/>
  <c r="C117" i="8" s="1"/>
  <c r="AC193" i="6"/>
  <c r="AD164" i="6"/>
  <c r="AC13" i="6"/>
  <c r="J48" i="7"/>
  <c r="F220" i="8" s="1"/>
  <c r="J98" i="7"/>
  <c r="F177" i="8" s="1"/>
  <c r="J222" i="7"/>
  <c r="F233" i="8" s="1"/>
  <c r="J242" i="7"/>
  <c r="F166" i="8" s="1"/>
  <c r="F68" i="7"/>
  <c r="X151" i="6"/>
  <c r="Y151" i="6" s="1"/>
  <c r="F45" i="7"/>
  <c r="D84" i="7"/>
  <c r="E84" i="7" s="1"/>
  <c r="K71" i="7"/>
  <c r="X234" i="6"/>
  <c r="Y234" i="6" s="1"/>
  <c r="X50" i="6"/>
  <c r="Y50" i="6" s="1"/>
  <c r="F114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178" i="7"/>
  <c r="X82" i="6"/>
  <c r="Y82" i="6" s="1"/>
  <c r="X161" i="6"/>
  <c r="Y161" i="6" s="1"/>
  <c r="X200" i="6"/>
  <c r="Y200" i="6" s="1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89" i="8"/>
  <c r="F203" i="7"/>
  <c r="F209" i="7"/>
  <c r="N168" i="7" a="1"/>
  <c r="N168" i="7" s="1"/>
  <c r="C168" i="7"/>
  <c r="C26" i="8" s="1"/>
  <c r="N195" i="7" a="1"/>
  <c r="N195" i="7" s="1"/>
  <c r="P195" i="7" s="1"/>
  <c r="AD100" i="6"/>
  <c r="F136" i="7"/>
  <c r="S243" i="7"/>
  <c r="D28" i="7"/>
  <c r="E28" i="7" s="1"/>
  <c r="F190" i="7"/>
  <c r="B71" i="7"/>
  <c r="B202" i="8" s="1"/>
  <c r="O23" i="7"/>
  <c r="R23" i="7" s="1"/>
  <c r="D45" i="7"/>
  <c r="E45" i="7" s="1"/>
  <c r="B205" i="7"/>
  <c r="B91" i="8" s="1"/>
  <c r="W127" i="6"/>
  <c r="AJ127" i="6" s="1"/>
  <c r="AE53" i="6"/>
  <c r="AH53" i="6" s="1"/>
  <c r="D100" i="7"/>
  <c r="E100" i="7" s="1"/>
  <c r="D244" i="7"/>
  <c r="E244" i="7" s="1"/>
  <c r="A193" i="8"/>
  <c r="F214" i="7"/>
  <c r="B228" i="7"/>
  <c r="B189" i="8" s="1"/>
  <c r="F104" i="7"/>
  <c r="B103" i="7"/>
  <c r="B174" i="8" s="1"/>
  <c r="D55" i="7"/>
  <c r="J84" i="7"/>
  <c r="F130" i="8" s="1"/>
  <c r="X9" i="6"/>
  <c r="D23" i="7"/>
  <c r="E23" i="7" s="1"/>
  <c r="B18" i="7"/>
  <c r="B129" i="8" s="1"/>
  <c r="K148" i="7"/>
  <c r="D8" i="7"/>
  <c r="E8" i="7" s="1"/>
  <c r="M55" i="7" a="1"/>
  <c r="M55" i="7" s="1"/>
  <c r="P55" i="7" s="1"/>
  <c r="N167" i="7" a="1"/>
  <c r="N167" i="7" s="1"/>
  <c r="P167" i="7" s="1"/>
  <c r="N147" i="7" a="1"/>
  <c r="N147" i="7" s="1"/>
  <c r="K136" i="7"/>
  <c r="F186" i="7"/>
  <c r="D203" i="7"/>
  <c r="E203" i="7" s="1"/>
  <c r="B61" i="7"/>
  <c r="B182" i="8" s="1"/>
  <c r="N21" i="7" a="1"/>
  <c r="N21" i="7" s="1"/>
  <c r="B89" i="7"/>
  <c r="B113" i="8" s="1"/>
  <c r="A206" i="8"/>
  <c r="C18" i="7"/>
  <c r="C129" i="8" s="1"/>
  <c r="M146" i="7" a="1"/>
  <c r="M146" i="7" s="1"/>
  <c r="N164" i="7" a="1"/>
  <c r="N164" i="7" s="1"/>
  <c r="P164" i="7" s="1"/>
  <c r="B80" i="7"/>
  <c r="B219" i="8" s="1"/>
  <c r="M154" i="7" a="1"/>
  <c r="M154" i="7" s="1"/>
  <c r="A85" i="8"/>
  <c r="N18" i="7" a="1"/>
  <c r="N18" i="7" s="1"/>
  <c r="K10" i="7"/>
  <c r="N228" i="7" a="1"/>
  <c r="N228" i="7" s="1"/>
  <c r="P228" i="7" s="1"/>
  <c r="D164" i="7"/>
  <c r="E164" i="7" s="1"/>
  <c r="N133" i="7" a="1"/>
  <c r="N133" i="7" s="1"/>
  <c r="P133" i="7" s="1"/>
  <c r="B231" i="7"/>
  <c r="B73" i="8" s="1"/>
  <c r="O228" i="7"/>
  <c r="R228" i="7" s="1"/>
  <c r="A140" i="8"/>
  <c r="A53" i="8"/>
  <c r="A73" i="8"/>
  <c r="O168" i="7"/>
  <c r="J175" i="7"/>
  <c r="F25" i="8" s="1"/>
  <c r="O28" i="7"/>
  <c r="R28" i="7" s="1"/>
  <c r="O14" i="7"/>
  <c r="R14" i="7" s="1"/>
  <c r="F63" i="7"/>
  <c r="AD141" i="6"/>
  <c r="W141" i="6" s="1"/>
  <c r="AJ141" i="6" s="1"/>
  <c r="A143" i="8"/>
  <c r="F171" i="7"/>
  <c r="F61" i="7"/>
  <c r="M10" i="7" a="1"/>
  <c r="M10" i="7" s="1"/>
  <c r="F231" i="7"/>
  <c r="F81" i="7"/>
  <c r="F116" i="7"/>
  <c r="A190" i="8"/>
  <c r="K70" i="7"/>
  <c r="M171" i="7" a="1"/>
  <c r="M171" i="7" s="1"/>
  <c r="K195" i="7"/>
  <c r="K121" i="7"/>
  <c r="AD127" i="6"/>
  <c r="G140" i="7"/>
  <c r="D171" i="7"/>
  <c r="E171" i="7" s="1"/>
  <c r="B156" i="7"/>
  <c r="B53" i="8" s="1"/>
  <c r="A136" i="8"/>
  <c r="F121" i="7"/>
  <c r="X178" i="6"/>
  <c r="Y178" i="6" s="1"/>
  <c r="D146" i="7"/>
  <c r="E146" i="7" s="1"/>
  <c r="D10" i="7"/>
  <c r="E10" i="7" s="1"/>
  <c r="N10" i="7" a="1"/>
  <c r="N10" i="7" s="1"/>
  <c r="O171" i="7"/>
  <c r="M125" i="7" a="1"/>
  <c r="M125" i="7" s="1"/>
  <c r="Q125" i="7" s="1"/>
  <c r="F20" i="7"/>
  <c r="F189" i="7"/>
  <c r="D195" i="7"/>
  <c r="E195" i="7" s="1"/>
  <c r="N125" i="7" a="1"/>
  <c r="N125" i="7" s="1"/>
  <c r="A26" i="8"/>
  <c r="F175" i="7"/>
  <c r="B133" i="7"/>
  <c r="B149" i="8" s="1"/>
  <c r="F152" i="7"/>
  <c r="B164" i="7"/>
  <c r="B19" i="8" s="1"/>
  <c r="O198" i="7"/>
  <c r="Q198" i="7" s="1"/>
  <c r="D125" i="7"/>
  <c r="E125" i="7" s="1"/>
  <c r="M61" i="7" a="1"/>
  <c r="M61" i="7" s="1"/>
  <c r="J231" i="7"/>
  <c r="F73" i="8" s="1"/>
  <c r="F55" i="7"/>
  <c r="J225" i="7"/>
  <c r="F225" i="8" s="1"/>
  <c r="AE209" i="6"/>
  <c r="AF209" i="6" s="1"/>
  <c r="J238" i="7"/>
  <c r="F104" i="8" s="1"/>
  <c r="W18" i="6"/>
  <c r="AJ18" i="6" s="1"/>
  <c r="D14" i="7"/>
  <c r="E14" i="7" s="1"/>
  <c r="C245" i="7"/>
  <c r="C247" i="8" s="1"/>
  <c r="K125" i="7"/>
  <c r="AB106" i="6"/>
  <c r="AB185" i="6"/>
  <c r="AB188" i="6"/>
  <c r="AB142" i="6"/>
  <c r="J125" i="7"/>
  <c r="F103" i="8" s="1"/>
  <c r="O31" i="7"/>
  <c r="Q31" i="7" s="1"/>
  <c r="AD4" i="6"/>
  <c r="AB44" i="6"/>
  <c r="B8" i="7"/>
  <c r="B29" i="8" s="1"/>
  <c r="AD163" i="6"/>
  <c r="F195" i="7"/>
  <c r="K214" i="7"/>
  <c r="C125" i="7"/>
  <c r="C103" i="8" s="1"/>
  <c r="N237" i="7" a="1"/>
  <c r="N237" i="7" s="1"/>
  <c r="P237" i="7" s="1"/>
  <c r="N209" i="7" a="1"/>
  <c r="N209" i="7" s="1"/>
  <c r="P209" i="7" s="1"/>
  <c r="M168" i="7" a="1"/>
  <c r="M168" i="7" s="1"/>
  <c r="K109" i="7"/>
  <c r="A103" i="8"/>
  <c r="C239" i="7"/>
  <c r="C168" i="8" s="1"/>
  <c r="M239" i="7" a="1"/>
  <c r="M239" i="7" s="1"/>
  <c r="K218" i="7"/>
  <c r="C218" i="7"/>
  <c r="C232" i="8" s="1"/>
  <c r="B144" i="7"/>
  <c r="B140" i="8" s="1"/>
  <c r="C144" i="7"/>
  <c r="C140" i="8" s="1"/>
  <c r="C203" i="7"/>
  <c r="C228" i="8" s="1"/>
  <c r="B203" i="7"/>
  <c r="B228" i="8" s="1"/>
  <c r="AD71" i="6"/>
  <c r="W71" i="6" s="1"/>
  <c r="AC71" i="6"/>
  <c r="AD199" i="6"/>
  <c r="AC199" i="6"/>
  <c r="A155" i="8"/>
  <c r="N158" i="7" a="1"/>
  <c r="N158" i="7" s="1"/>
  <c r="P158" i="7" s="1"/>
  <c r="B158" i="7"/>
  <c r="B155" i="8" s="1"/>
  <c r="D124" i="7"/>
  <c r="E124" i="7" s="1"/>
  <c r="C124" i="7"/>
  <c r="C93" i="8" s="1"/>
  <c r="N226" i="7" a="1"/>
  <c r="N226" i="7" s="1"/>
  <c r="P226" i="7" s="1"/>
  <c r="D226" i="7"/>
  <c r="E226" i="7" s="1"/>
  <c r="C22" i="7"/>
  <c r="C119" i="8" s="1"/>
  <c r="J22" i="7"/>
  <c r="F119" i="8" s="1"/>
  <c r="D4" i="7"/>
  <c r="E4" i="7" s="1"/>
  <c r="B4" i="7"/>
  <c r="B99" i="8" s="1"/>
  <c r="F56" i="7"/>
  <c r="D59" i="7"/>
  <c r="E59" i="7" s="1"/>
  <c r="X213" i="6"/>
  <c r="Y213" i="6" s="1"/>
  <c r="F213" i="7"/>
  <c r="C123" i="7"/>
  <c r="C80" i="8" s="1"/>
  <c r="A80" i="8"/>
  <c r="G59" i="7"/>
  <c r="AD48" i="6"/>
  <c r="W48" i="6" s="1"/>
  <c r="AC48" i="6"/>
  <c r="AD67" i="6"/>
  <c r="AC67" i="6"/>
  <c r="U6" i="6"/>
  <c r="C37" i="7"/>
  <c r="C157" i="8" s="1"/>
  <c r="M37" i="7" a="1"/>
  <c r="M37" i="7" s="1"/>
  <c r="P37" i="7" s="1"/>
  <c r="F37" i="7"/>
  <c r="N7" i="7" a="1"/>
  <c r="N7" i="7" s="1"/>
  <c r="F7" i="7"/>
  <c r="M240" i="7" a="1"/>
  <c r="M240" i="7" s="1"/>
  <c r="A196" i="8"/>
  <c r="A51" i="8"/>
  <c r="J128" i="7"/>
  <c r="F51" i="8" s="1"/>
  <c r="D135" i="7"/>
  <c r="E135" i="7" s="1"/>
  <c r="B135" i="7"/>
  <c r="B42" i="8" s="1"/>
  <c r="D194" i="7"/>
  <c r="E194" i="7" s="1"/>
  <c r="M191" i="7" a="1"/>
  <c r="M191" i="7" s="1"/>
  <c r="K145" i="7"/>
  <c r="O145" i="7"/>
  <c r="R145" i="7" s="1"/>
  <c r="C145" i="7"/>
  <c r="C142" i="8" s="1"/>
  <c r="D40" i="7"/>
  <c r="E40" i="7" s="1"/>
  <c r="N40" i="7" a="1"/>
  <c r="N40" i="7" s="1"/>
  <c r="AB152" i="6"/>
  <c r="B51" i="7"/>
  <c r="B128" i="8" s="1"/>
  <c r="J51" i="7"/>
  <c r="F128" i="8" s="1"/>
  <c r="O219" i="7"/>
  <c r="R219" i="7" s="1"/>
  <c r="M219" i="7" a="1"/>
  <c r="M219" i="7" s="1"/>
  <c r="K219" i="7"/>
  <c r="N11" i="7" a="1"/>
  <c r="N11" i="7" s="1"/>
  <c r="B11" i="7"/>
  <c r="B204" i="8" s="1"/>
  <c r="K215" i="7"/>
  <c r="N215" i="7" a="1"/>
  <c r="N215" i="7" s="1"/>
  <c r="P215" i="7" s="1"/>
  <c r="F215" i="7"/>
  <c r="N224" i="7" a="1"/>
  <c r="N224" i="7" s="1"/>
  <c r="C224" i="7"/>
  <c r="C109" i="8" s="1"/>
  <c r="M163" i="7" a="1"/>
  <c r="M163" i="7" s="1"/>
  <c r="A14" i="8"/>
  <c r="N163" i="7" a="1"/>
  <c r="N163" i="7" s="1"/>
  <c r="P163" i="7" s="1"/>
  <c r="B140" i="7"/>
  <c r="B106" i="8" s="1"/>
  <c r="F140" i="7"/>
  <c r="N96" i="7" a="1"/>
  <c r="N96" i="7" s="1"/>
  <c r="M96" i="7" a="1"/>
  <c r="M96" i="7" s="1"/>
  <c r="N129" i="7" a="1"/>
  <c r="N129" i="7" s="1"/>
  <c r="P129" i="7" s="1"/>
  <c r="J129" i="7"/>
  <c r="F154" i="8" s="1"/>
  <c r="AD108" i="6"/>
  <c r="O70" i="7"/>
  <c r="R70" i="7" s="1"/>
  <c r="O124" i="7"/>
  <c r="K115" i="7"/>
  <c r="N219" i="7" a="1"/>
  <c r="N219" i="7" s="1"/>
  <c r="P219" i="7" s="1"/>
  <c r="C61" i="7"/>
  <c r="C182" i="8" s="1"/>
  <c r="M14" i="7" a="1"/>
  <c r="M14" i="7" s="1"/>
  <c r="B121" i="7"/>
  <c r="B165" i="8" s="1"/>
  <c r="K51" i="7"/>
  <c r="C195" i="7"/>
  <c r="C122" i="8" s="1"/>
  <c r="AD18" i="6"/>
  <c r="AB101" i="6"/>
  <c r="F54" i="7"/>
  <c r="F77" i="7"/>
  <c r="G9" i="7"/>
  <c r="F59" i="7"/>
  <c r="AC241" i="6"/>
  <c r="AD53" i="6"/>
  <c r="AC14" i="6"/>
  <c r="F154" i="7"/>
  <c r="C26" i="7"/>
  <c r="C216" i="8" s="1"/>
  <c r="J189" i="7"/>
  <c r="F65" i="8" s="1"/>
  <c r="O115" i="7"/>
  <c r="G93" i="7"/>
  <c r="G239" i="7"/>
  <c r="G145" i="7"/>
  <c r="G16" i="7"/>
  <c r="J204" i="7"/>
  <c r="F229" i="8" s="1"/>
  <c r="J96" i="7"/>
  <c r="F36" i="8" s="1"/>
  <c r="O73" i="7"/>
  <c r="J23" i="7"/>
  <c r="F96" i="8" s="1"/>
  <c r="O16" i="7"/>
  <c r="J46" i="7"/>
  <c r="F211" i="8" s="1"/>
  <c r="J52" i="7"/>
  <c r="F185" i="8" s="1"/>
  <c r="J72" i="7"/>
  <c r="F197" i="8" s="1"/>
  <c r="S21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152" i="8" s="1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73" i="8" s="1"/>
  <c r="AE38" i="6"/>
  <c r="AG38" i="6" s="1"/>
  <c r="S38" i="7" s="1"/>
  <c r="J37" i="7"/>
  <c r="F157" i="8" s="1"/>
  <c r="W208" i="6"/>
  <c r="AJ208" i="6" s="1"/>
  <c r="W40" i="6"/>
  <c r="AE40" i="6" s="1"/>
  <c r="AH40" i="6" s="1"/>
  <c r="J20" i="7"/>
  <c r="F179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141" i="7"/>
  <c r="AB19" i="6"/>
  <c r="AD23" i="6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1" i="8" s="1"/>
  <c r="J198" i="7"/>
  <c r="F221" i="8" s="1"/>
  <c r="J149" i="7"/>
  <c r="F59" i="8" s="1"/>
  <c r="J100" i="7"/>
  <c r="F198" i="8" s="1"/>
  <c r="W105" i="6"/>
  <c r="AJ105" i="6" s="1"/>
  <c r="W37" i="6"/>
  <c r="AJ37" i="6" s="1"/>
  <c r="AE132" i="6"/>
  <c r="AF132" i="6" s="1"/>
  <c r="J209" i="7"/>
  <c r="F234" i="8" s="1"/>
  <c r="J61" i="7"/>
  <c r="F182" i="8" s="1"/>
  <c r="J118" i="7"/>
  <c r="F156" i="8" s="1"/>
  <c r="AE47" i="6"/>
  <c r="AG47" i="6" s="1"/>
  <c r="S47" i="7" s="1"/>
  <c r="J47" i="7"/>
  <c r="L47" i="7" s="1"/>
  <c r="AE20" i="6"/>
  <c r="AF20" i="6" s="1"/>
  <c r="J15" i="7"/>
  <c r="F184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W50" i="6" s="1"/>
  <c r="AE50" i="6" s="1"/>
  <c r="AH50" i="6" s="1"/>
  <c r="AB65" i="6"/>
  <c r="U47" i="6"/>
  <c r="U112" i="6"/>
  <c r="A211" i="8"/>
  <c r="C46" i="7"/>
  <c r="C211" i="8" s="1"/>
  <c r="B117" i="7"/>
  <c r="B159" i="8" s="1"/>
  <c r="J117" i="7"/>
  <c r="F159" i="8" s="1"/>
  <c r="D24" i="7"/>
  <c r="E24" i="7" s="1"/>
  <c r="C24" i="7"/>
  <c r="C83" i="8" s="1"/>
  <c r="M139" i="7" a="1"/>
  <c r="M139" i="7" s="1"/>
  <c r="D139" i="7"/>
  <c r="E139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5" i="8" s="1"/>
  <c r="W211" i="6"/>
  <c r="AJ211" i="6" s="1"/>
  <c r="J4" i="7"/>
  <c r="F99" i="8" s="1"/>
  <c r="AE77" i="6"/>
  <c r="AF77" i="6" s="1"/>
  <c r="J42" i="7"/>
  <c r="L42" i="7" s="1"/>
  <c r="A169" i="8"/>
  <c r="AD121" i="6"/>
  <c r="W121" i="6" s="1"/>
  <c r="AJ121" i="6" s="1"/>
  <c r="F100" i="7"/>
  <c r="AD132" i="6"/>
  <c r="O149" i="7"/>
  <c r="J229" i="7"/>
  <c r="F61" i="8" s="1"/>
  <c r="N54" i="7" a="1"/>
  <c r="N54" i="7" s="1"/>
  <c r="M104" i="7" a="1"/>
  <c r="M104" i="7" s="1"/>
  <c r="D238" i="7"/>
  <c r="E238" i="7" s="1"/>
  <c r="W225" i="6"/>
  <c r="AJ225" i="6" s="1"/>
  <c r="F240" i="7"/>
  <c r="C109" i="7"/>
  <c r="C86" i="8" s="1"/>
  <c r="C149" i="7"/>
  <c r="C59" i="8" s="1"/>
  <c r="O236" i="7"/>
  <c r="F97" i="7"/>
  <c r="J226" i="7"/>
  <c r="F84" i="8" s="1"/>
  <c r="B95" i="7"/>
  <c r="B11" i="8" s="1"/>
  <c r="C98" i="7"/>
  <c r="C177" i="8" s="1"/>
  <c r="B67" i="7"/>
  <c r="B223" i="8" s="1"/>
  <c r="N60" i="7" a="1"/>
  <c r="N60" i="7" s="1"/>
  <c r="P60" i="7" s="1"/>
  <c r="K46" i="7"/>
  <c r="O243" i="7"/>
  <c r="Q243" i="7" s="1"/>
  <c r="K246" i="7"/>
  <c r="B109" i="7"/>
  <c r="B86" i="8" s="1"/>
  <c r="C5" i="7"/>
  <c r="C66" i="8" s="1"/>
  <c r="M29" i="7" a="1"/>
  <c r="M29" i="7" s="1"/>
  <c r="AC7" i="6"/>
  <c r="J103" i="7"/>
  <c r="F174" i="8" s="1"/>
  <c r="AD56" i="6"/>
  <c r="W56" i="6" s="1"/>
  <c r="AJ56" i="6" s="1"/>
  <c r="AC30" i="6"/>
  <c r="K232" i="7"/>
  <c r="J232" i="7"/>
  <c r="F240" i="8" s="1"/>
  <c r="F82" i="7"/>
  <c r="D82" i="7"/>
  <c r="E82" i="7" s="1"/>
  <c r="C103" i="7"/>
  <c r="C174" i="8" s="1"/>
  <c r="F246" i="7"/>
  <c r="K192" i="7"/>
  <c r="F243" i="7"/>
  <c r="F113" i="7"/>
  <c r="N141" i="7" a="1"/>
  <c r="N141" i="7" s="1"/>
  <c r="D60" i="7"/>
  <c r="E60" i="7" s="1"/>
  <c r="AC16" i="6"/>
  <c r="K82" i="7"/>
  <c r="F156" i="7"/>
  <c r="K242" i="7"/>
  <c r="O146" i="7"/>
  <c r="Q146" i="7" s="1"/>
  <c r="AC45" i="6"/>
  <c r="D192" i="7"/>
  <c r="E192" i="7" s="1"/>
  <c r="J36" i="7"/>
  <c r="F121" i="8" s="1"/>
  <c r="D151" i="7"/>
  <c r="E151" i="7" s="1"/>
  <c r="D243" i="7"/>
  <c r="E243" i="7" s="1"/>
  <c r="B113" i="7"/>
  <c r="B110" i="8" s="1"/>
  <c r="AC146" i="6"/>
  <c r="J18" i="7"/>
  <c r="F129" i="8" s="1"/>
  <c r="B46" i="7"/>
  <c r="B211" i="8" s="1"/>
  <c r="B26" i="7"/>
  <c r="B216" i="8" s="1"/>
  <c r="A244" i="8"/>
  <c r="O20" i="7"/>
  <c r="R20" i="7" s="1"/>
  <c r="B178" i="7"/>
  <c r="B30" i="8" s="1"/>
  <c r="A126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195" i="7"/>
  <c r="Q195" i="7" s="1"/>
  <c r="C14" i="7"/>
  <c r="C191" i="8" s="1"/>
  <c r="K14" i="7"/>
  <c r="N68" i="7" a="1"/>
  <c r="N68" i="7" s="1"/>
  <c r="K68" i="7"/>
  <c r="C104" i="7"/>
  <c r="C173" i="8" s="1"/>
  <c r="N104" i="7" a="1"/>
  <c r="N104" i="7" s="1"/>
  <c r="P104" i="7" s="1"/>
  <c r="A93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49" i="8" s="1"/>
  <c r="N198" i="7" a="1"/>
  <c r="N198" i="7" s="1"/>
  <c r="P198" i="7" s="1"/>
  <c r="M198" i="7" a="1"/>
  <c r="M198" i="7" s="1"/>
  <c r="D201" i="7"/>
  <c r="E201" i="7" s="1"/>
  <c r="X52" i="6"/>
  <c r="Y52" i="6" s="1"/>
  <c r="F52" i="7"/>
  <c r="AC152" i="6"/>
  <c r="AD236" i="6"/>
  <c r="AD124" i="6"/>
  <c r="W124" i="6" s="1"/>
  <c r="AJ124" i="6" s="1"/>
  <c r="AD49" i="6"/>
  <c r="W49" i="6" s="1"/>
  <c r="AD64" i="6"/>
  <c r="AC64" i="6"/>
  <c r="M87" i="7" a="1"/>
  <c r="M87" i="7" s="1"/>
  <c r="D90" i="7"/>
  <c r="E90" i="7" s="1"/>
  <c r="C122" i="7"/>
  <c r="C164" i="8" s="1"/>
  <c r="N122" i="7" a="1"/>
  <c r="N122" i="7" s="1"/>
  <c r="P122" i="7" s="1"/>
  <c r="M177" i="7" a="1"/>
  <c r="M177" i="7" s="1"/>
  <c r="D177" i="7"/>
  <c r="E177" i="7" s="1"/>
  <c r="A135" i="8"/>
  <c r="D50" i="7"/>
  <c r="E50" i="7" s="1"/>
  <c r="B47" i="7"/>
  <c r="B135" i="8" s="1"/>
  <c r="C91" i="7"/>
  <c r="C23" i="8" s="1"/>
  <c r="J91" i="7"/>
  <c r="F23" i="8" s="1"/>
  <c r="B76" i="7"/>
  <c r="B133" i="8" s="1"/>
  <c r="J76" i="7"/>
  <c r="L76" i="7" s="1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E222" i="7" s="1"/>
  <c r="D116" i="7"/>
  <c r="E116" i="7" s="1"/>
  <c r="A10" i="8"/>
  <c r="M116" i="7" a="1"/>
  <c r="M116" i="7" s="1"/>
  <c r="B150" i="7"/>
  <c r="B55" i="8" s="1"/>
  <c r="K150" i="7"/>
  <c r="M8" i="7" a="1"/>
  <c r="M8" i="7" s="1"/>
  <c r="J8" i="7"/>
  <c r="F29" i="8" s="1"/>
  <c r="X168" i="6"/>
  <c r="F168" i="7"/>
  <c r="U197" i="6"/>
  <c r="U56" i="6"/>
  <c r="U30" i="6"/>
  <c r="AC34" i="6"/>
  <c r="AD34" i="6"/>
  <c r="W45" i="6"/>
  <c r="AJ45" i="6" s="1"/>
  <c r="D79" i="7"/>
  <c r="E79" i="7" s="1"/>
  <c r="F79" i="7"/>
  <c r="C136" i="7"/>
  <c r="C147" i="8" s="1"/>
  <c r="A147" i="8"/>
  <c r="K30" i="7"/>
  <c r="M30" i="7" a="1"/>
  <c r="M30" i="7" s="1"/>
  <c r="C80" i="7"/>
  <c r="C219" i="8" s="1"/>
  <c r="O80" i="7"/>
  <c r="Q80" i="7" s="1"/>
  <c r="D80" i="7"/>
  <c r="E80" i="7" s="1"/>
  <c r="C29" i="7"/>
  <c r="C175" i="8" s="1"/>
  <c r="F29" i="7"/>
  <c r="J29" i="7"/>
  <c r="F175" i="8" s="1"/>
  <c r="J5" i="7"/>
  <c r="F66" i="8" s="1"/>
  <c r="M5" i="7" a="1"/>
  <c r="M5" i="7" s="1"/>
  <c r="O5" i="7"/>
  <c r="D5" i="7"/>
  <c r="E5" i="7" s="1"/>
  <c r="A66" i="8"/>
  <c r="D128" i="7"/>
  <c r="E128" i="7" s="1"/>
  <c r="N128" i="7" a="1"/>
  <c r="N128" i="7" s="1"/>
  <c r="M128" i="7" a="1"/>
  <c r="M128" i="7" s="1"/>
  <c r="C58" i="7"/>
  <c r="C162" i="8" s="1"/>
  <c r="K58" i="7"/>
  <c r="A162" i="8"/>
  <c r="A42" i="8"/>
  <c r="N135" i="7" a="1"/>
  <c r="N135" i="7" s="1"/>
  <c r="C135" i="7"/>
  <c r="C42" i="8" s="1"/>
  <c r="K118" i="7"/>
  <c r="A156" i="8"/>
  <c r="J205" i="7"/>
  <c r="F91" i="8" s="1"/>
  <c r="D205" i="7"/>
  <c r="E205" i="7" s="1"/>
  <c r="A40" i="8"/>
  <c r="K81" i="7"/>
  <c r="N81" i="7" a="1"/>
  <c r="N81" i="7" s="1"/>
  <c r="P81" i="7" s="1"/>
  <c r="C230" i="7"/>
  <c r="C52" i="8" s="1"/>
  <c r="A52" i="8"/>
  <c r="C190" i="7"/>
  <c r="C115" i="8" s="1"/>
  <c r="K190" i="7"/>
  <c r="G13" i="7"/>
  <c r="G235" i="7"/>
  <c r="G68" i="7"/>
  <c r="G5" i="7"/>
  <c r="G3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21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D21" i="7"/>
  <c r="E21" i="7" s="1"/>
  <c r="F18" i="7"/>
  <c r="N217" i="7" a="1"/>
  <c r="N217" i="7" s="1"/>
  <c r="P217" i="7" s="1"/>
  <c r="C217" i="7"/>
  <c r="C87" i="8" s="1"/>
  <c r="N103" i="7" a="1"/>
  <c r="N103" i="7" s="1"/>
  <c r="P103" i="7" s="1"/>
  <c r="K103" i="7"/>
  <c r="M112" i="7" a="1"/>
  <c r="M112" i="7" s="1"/>
  <c r="B112" i="7"/>
  <c r="B153" i="8" s="1"/>
  <c r="C225" i="7"/>
  <c r="C225" i="8" s="1"/>
  <c r="D225" i="7"/>
  <c r="E225" i="7" s="1"/>
  <c r="D29" i="7"/>
  <c r="E29" i="7" s="1"/>
  <c r="J26" i="7"/>
  <c r="F216" i="8" s="1"/>
  <c r="M71" i="7" a="1"/>
  <c r="M71" i="7" s="1"/>
  <c r="F71" i="7"/>
  <c r="N154" i="7" a="1"/>
  <c r="N154" i="7" s="1"/>
  <c r="P154" i="7" s="1"/>
  <c r="D154" i="7"/>
  <c r="E154" i="7" s="1"/>
  <c r="B74" i="7"/>
  <c r="B176" i="8" s="1"/>
  <c r="K74" i="7"/>
  <c r="M35" i="7" a="1"/>
  <c r="M35" i="7" s="1"/>
  <c r="D38" i="7"/>
  <c r="E38" i="7" s="1"/>
  <c r="J35" i="7"/>
  <c r="F117" i="8" s="1"/>
  <c r="O35" i="7"/>
  <c r="A117" i="8"/>
  <c r="C243" i="7"/>
  <c r="C227" i="8" s="1"/>
  <c r="A227" i="8"/>
  <c r="K21" i="7"/>
  <c r="A137" i="8"/>
  <c r="K220" i="7"/>
  <c r="B220" i="7"/>
  <c r="B236" i="8" s="1"/>
  <c r="B161" i="7"/>
  <c r="B50" i="8" s="1"/>
  <c r="M161" i="7" a="1"/>
  <c r="M161" i="7" s="1"/>
  <c r="K161" i="7"/>
  <c r="X11" i="6"/>
  <c r="Y11" i="6" s="1"/>
  <c r="F11" i="7"/>
  <c r="X101" i="6"/>
  <c r="Y101" i="6" s="1"/>
  <c r="F101" i="7"/>
  <c r="W87" i="6"/>
  <c r="AJ87" i="6" s="1"/>
  <c r="AD176" i="6"/>
  <c r="W176" i="6" s="1"/>
  <c r="AE176" i="6" s="1"/>
  <c r="AC128" i="6"/>
  <c r="AD189" i="6"/>
  <c r="AC189" i="6"/>
  <c r="U191" i="6"/>
  <c r="U48" i="6"/>
  <c r="C142" i="7"/>
  <c r="C89" i="8" s="1"/>
  <c r="F142" i="7"/>
  <c r="M142" i="7" a="1"/>
  <c r="M142" i="7" s="1"/>
  <c r="C60" i="7"/>
  <c r="C192" i="8" s="1"/>
  <c r="A192" i="8"/>
  <c r="O246" i="7"/>
  <c r="Q246" i="7" s="1"/>
  <c r="S246" i="7"/>
  <c r="J221" i="7"/>
  <c r="F195" i="8" s="1"/>
  <c r="G185" i="7"/>
  <c r="F43" i="7"/>
  <c r="AB135" i="6"/>
  <c r="AB170" i="6"/>
  <c r="AB73" i="6"/>
  <c r="AC126" i="6"/>
  <c r="O235" i="7"/>
  <c r="Q235" i="7" s="1"/>
  <c r="O100" i="7"/>
  <c r="J112" i="7"/>
  <c r="F153" i="8" s="1"/>
  <c r="U206" i="6"/>
  <c r="N193" i="7" a="1"/>
  <c r="N193" i="7" s="1"/>
  <c r="D193" i="7"/>
  <c r="E193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1" i="8" s="1"/>
  <c r="C36" i="7"/>
  <c r="C121" i="8" s="1"/>
  <c r="F75" i="7"/>
  <c r="N94" i="7" a="1"/>
  <c r="N94" i="7" s="1"/>
  <c r="P94" i="7" s="1"/>
  <c r="C94" i="7"/>
  <c r="C64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109" i="8" s="1"/>
  <c r="W79" i="6"/>
  <c r="AJ79" i="6" s="1"/>
  <c r="J75" i="7"/>
  <c r="F38" i="8" s="1"/>
  <c r="AD77" i="6"/>
  <c r="D111" i="7"/>
  <c r="E111" i="7" s="1"/>
  <c r="D219" i="7"/>
  <c r="E219" i="7" s="1"/>
  <c r="F78" i="7"/>
  <c r="F163" i="7"/>
  <c r="F197" i="7"/>
  <c r="F145" i="7"/>
  <c r="D227" i="7"/>
  <c r="E227" i="7" s="1"/>
  <c r="M189" i="7" a="1"/>
  <c r="M189" i="7" s="1"/>
  <c r="B129" i="7"/>
  <c r="B154" i="8" s="1"/>
  <c r="D167" i="7"/>
  <c r="E167" i="7" s="1"/>
  <c r="F36" i="7"/>
  <c r="A106" i="8"/>
  <c r="F92" i="7"/>
  <c r="N89" i="7" a="1"/>
  <c r="N89" i="7" s="1"/>
  <c r="K96" i="7"/>
  <c r="AC205" i="6"/>
  <c r="D91" i="7"/>
  <c r="E91" i="7" s="1"/>
  <c r="J139" i="7"/>
  <c r="F70" i="8" s="1"/>
  <c r="U202" i="6"/>
  <c r="O113" i="7"/>
  <c r="O78" i="7"/>
  <c r="R78" i="7" s="1"/>
  <c r="U158" i="6"/>
  <c r="U215" i="6"/>
  <c r="AD156" i="6"/>
  <c r="U86" i="6"/>
  <c r="U175" i="6"/>
  <c r="J25" i="7"/>
  <c r="F72" i="8" s="1"/>
  <c r="U165" i="6"/>
  <c r="U130" i="6"/>
  <c r="U21" i="6"/>
  <c r="U43" i="6"/>
  <c r="J201" i="7"/>
  <c r="F187" i="8" s="1"/>
  <c r="O84" i="7"/>
  <c r="Q84" i="7" s="1"/>
  <c r="A128" i="8"/>
  <c r="C51" i="7"/>
  <c r="C128" i="8" s="1"/>
  <c r="B219" i="7"/>
  <c r="B239" i="8" s="1"/>
  <c r="F219" i="7"/>
  <c r="J16" i="7"/>
  <c r="F207" i="8" s="1"/>
  <c r="D209" i="7"/>
  <c r="E209" i="7" s="1"/>
  <c r="A234" i="8"/>
  <c r="C209" i="7"/>
  <c r="C234" i="8" s="1"/>
  <c r="N182" i="7" a="1"/>
  <c r="N182" i="7" s="1"/>
  <c r="P182" i="7" s="1"/>
  <c r="M182" i="7" a="1"/>
  <c r="M182" i="7" s="1"/>
  <c r="K127" i="7"/>
  <c r="B127" i="7"/>
  <c r="B95" i="8" s="1"/>
  <c r="F127" i="7"/>
  <c r="C23" i="7"/>
  <c r="C96" i="8" s="1"/>
  <c r="F23" i="7"/>
  <c r="B96" i="7"/>
  <c r="B36" i="8" s="1"/>
  <c r="D96" i="7"/>
  <c r="E96" i="7" s="1"/>
  <c r="F96" i="7"/>
  <c r="C129" i="7"/>
  <c r="C154" i="8" s="1"/>
  <c r="M129" i="7" a="1"/>
  <c r="M129" i="7" s="1"/>
  <c r="O135" i="7"/>
  <c r="O157" i="7"/>
  <c r="J147" i="7"/>
  <c r="F75" i="8" s="1"/>
  <c r="O81" i="7"/>
  <c r="Q81" i="7" s="1"/>
  <c r="O68" i="7"/>
  <c r="Q68" i="7" s="1"/>
  <c r="J148" i="7"/>
  <c r="F46" i="8" s="1"/>
  <c r="O116" i="7"/>
  <c r="U5" i="6"/>
  <c r="J154" i="7"/>
  <c r="F102" i="8" s="1"/>
  <c r="J55" i="7"/>
  <c r="F206" i="8" s="1"/>
  <c r="O215" i="7"/>
  <c r="AB61" i="6"/>
  <c r="M119" i="7" a="1"/>
  <c r="M119" i="7" s="1"/>
  <c r="K119" i="7"/>
  <c r="D119" i="7"/>
  <c r="E119" i="7" s="1"/>
  <c r="B119" i="7"/>
  <c r="B100" i="8" s="1"/>
  <c r="F119" i="7"/>
  <c r="F85" i="7"/>
  <c r="M85" i="7" a="1"/>
  <c r="M85" i="7" s="1"/>
  <c r="AD208" i="6"/>
  <c r="O208" i="7"/>
  <c r="R208" i="7" s="1"/>
  <c r="B173" i="7"/>
  <c r="B37" i="8" s="1"/>
  <c r="C173" i="7"/>
  <c r="C37" i="8" s="1"/>
  <c r="N173" i="7" a="1"/>
  <c r="N173" i="7" s="1"/>
  <c r="B167" i="7"/>
  <c r="B74" i="8" s="1"/>
  <c r="K167" i="7"/>
  <c r="X80" i="6"/>
  <c r="Y80" i="6" s="1"/>
  <c r="F80" i="7"/>
  <c r="J219" i="7"/>
  <c r="F239" i="8" s="1"/>
  <c r="AC18" i="6"/>
  <c r="W60" i="6"/>
  <c r="AJ60" i="6" s="1"/>
  <c r="J60" i="7"/>
  <c r="F192" i="8" s="1"/>
  <c r="AE60" i="6"/>
  <c r="AG60" i="6" s="1"/>
  <c r="S60" i="7" s="1"/>
  <c r="AD16" i="6"/>
  <c r="W16" i="6" s="1"/>
  <c r="AJ16" i="6" s="1"/>
  <c r="O127" i="7"/>
  <c r="AC127" i="6"/>
  <c r="AC65" i="6"/>
  <c r="AD36" i="6"/>
  <c r="AC36" i="6"/>
  <c r="AC104" i="6"/>
  <c r="O104" i="7"/>
  <c r="R104" i="7" s="1"/>
  <c r="K95" i="7"/>
  <c r="N95" i="7" a="1"/>
  <c r="N95" i="7" s="1"/>
  <c r="P95" i="7" s="1"/>
  <c r="C95" i="7"/>
  <c r="C11" i="8" s="1"/>
  <c r="B87" i="7"/>
  <c r="B48" i="8" s="1"/>
  <c r="A48" i="8"/>
  <c r="C87" i="7"/>
  <c r="C48" i="8" s="1"/>
  <c r="A164" i="8"/>
  <c r="M122" i="7" a="1"/>
  <c r="M122" i="7" s="1"/>
  <c r="K202" i="7"/>
  <c r="F202" i="7"/>
  <c r="B202" i="7"/>
  <c r="B77" i="8" s="1"/>
  <c r="C202" i="7"/>
  <c r="C77" i="8" s="1"/>
  <c r="A67" i="8"/>
  <c r="N177" i="7" a="1"/>
  <c r="N177" i="7" s="1"/>
  <c r="O177" i="7"/>
  <c r="F177" i="7"/>
  <c r="J141" i="7"/>
  <c r="F146" i="8" s="1"/>
  <c r="A17" i="8"/>
  <c r="N192" i="7" a="1"/>
  <c r="N192" i="7" s="1"/>
  <c r="M47" i="7" a="1"/>
  <c r="M47" i="7" s="1"/>
  <c r="K47" i="7"/>
  <c r="B236" i="7"/>
  <c r="B12" i="8" s="1"/>
  <c r="D236" i="7"/>
  <c r="E236" i="7" s="1"/>
  <c r="F236" i="7"/>
  <c r="C236" i="7"/>
  <c r="C12" i="8" s="1"/>
  <c r="A187" i="8"/>
  <c r="B201" i="7"/>
  <c r="B187" i="8" s="1"/>
  <c r="F201" i="7"/>
  <c r="M201" i="7" a="1"/>
  <c r="M201" i="7" s="1"/>
  <c r="O201" i="7"/>
  <c r="Q201" i="7" s="1"/>
  <c r="N76" i="7" a="1"/>
  <c r="N76" i="7" s="1"/>
  <c r="K76" i="7"/>
  <c r="A133" i="8"/>
  <c r="N66" i="7" a="1"/>
  <c r="N66" i="7" s="1"/>
  <c r="P66" i="7" s="1"/>
  <c r="C66" i="7"/>
  <c r="C200" i="8" s="1"/>
  <c r="A200" i="8"/>
  <c r="B66" i="7"/>
  <c r="B200" i="8" s="1"/>
  <c r="K66" i="7"/>
  <c r="O66" i="7"/>
  <c r="R66" i="7" s="1"/>
  <c r="D105" i="7"/>
  <c r="E105" i="7" s="1"/>
  <c r="B105" i="7"/>
  <c r="B120" i="8" s="1"/>
  <c r="A120" i="8"/>
  <c r="O105" i="7"/>
  <c r="Q105" i="7" s="1"/>
  <c r="D89" i="7"/>
  <c r="E89" i="7" s="1"/>
  <c r="K86" i="7"/>
  <c r="D52" i="7"/>
  <c r="E52" i="7" s="1"/>
  <c r="O52" i="7"/>
  <c r="R52" i="7" s="1"/>
  <c r="A165" i="8"/>
  <c r="M121" i="7" a="1"/>
  <c r="M121" i="7" s="1"/>
  <c r="D121" i="7"/>
  <c r="E121" i="7" s="1"/>
  <c r="D231" i="7"/>
  <c r="E231" i="7" s="1"/>
  <c r="M231" i="7" a="1"/>
  <c r="M231" i="7" s="1"/>
  <c r="A124" i="8"/>
  <c r="N49" i="7" a="1"/>
  <c r="N49" i="7" s="1"/>
  <c r="B114" i="7"/>
  <c r="B6" i="8" s="1"/>
  <c r="D114" i="7"/>
  <c r="E114" i="7" s="1"/>
  <c r="M114" i="7" a="1"/>
  <c r="M114" i="7" s="1"/>
  <c r="C114" i="7"/>
  <c r="C6" i="8" s="1"/>
  <c r="A6" i="8"/>
  <c r="C204" i="7"/>
  <c r="C229" i="8" s="1"/>
  <c r="D204" i="7"/>
  <c r="E204" i="7" s="1"/>
  <c r="K204" i="7"/>
  <c r="F20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37" i="7"/>
  <c r="B157" i="8" s="1"/>
  <c r="A157" i="8"/>
  <c r="K37" i="7"/>
  <c r="O37" i="7"/>
  <c r="R37" i="7" s="1"/>
  <c r="A86" i="8"/>
  <c r="D109" i="7"/>
  <c r="E109" i="7" s="1"/>
  <c r="N109" i="7" a="1"/>
  <c r="N109" i="7" s="1"/>
  <c r="P109" i="7" s="1"/>
  <c r="N136" i="7" a="1"/>
  <c r="N136" i="7" s="1"/>
  <c r="P136" i="7" s="1"/>
  <c r="B136" i="7"/>
  <c r="B147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4" i="8"/>
  <c r="C7" i="7"/>
  <c r="C214" i="8" s="1"/>
  <c r="D7" i="7"/>
  <c r="E7" i="7" s="1"/>
  <c r="B7" i="7"/>
  <c r="B214" i="8" s="1"/>
  <c r="M7" i="7" a="1"/>
  <c r="M7" i="7" s="1"/>
  <c r="K7" i="7"/>
  <c r="C30" i="7"/>
  <c r="C181" i="8" s="1"/>
  <c r="O30" i="7"/>
  <c r="N30" i="7" a="1"/>
  <c r="N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E72" i="7" s="1"/>
  <c r="A197" i="8"/>
  <c r="F72" i="7"/>
  <c r="A20" i="8"/>
  <c r="M200" i="7" a="1"/>
  <c r="M200" i="7" s="1"/>
  <c r="D48" i="7"/>
  <c r="E48" i="7" s="1"/>
  <c r="F48" i="7"/>
  <c r="K99" i="7"/>
  <c r="C99" i="7"/>
  <c r="C178" i="8" s="1"/>
  <c r="D99" i="7"/>
  <c r="E99" i="7" s="1"/>
  <c r="N99" i="7" a="1"/>
  <c r="N99" i="7" s="1"/>
  <c r="J99" i="7"/>
  <c r="F178" i="8" s="1"/>
  <c r="B132" i="7"/>
  <c r="B151" i="8" s="1"/>
  <c r="D132" i="7"/>
  <c r="E132" i="7" s="1"/>
  <c r="B152" i="7"/>
  <c r="B123" i="8" s="1"/>
  <c r="K152" i="7"/>
  <c r="A99" i="8"/>
  <c r="K4" i="7"/>
  <c r="A25" i="8"/>
  <c r="D175" i="7"/>
  <c r="E175" i="7" s="1"/>
  <c r="B175" i="7"/>
  <c r="B25" i="8" s="1"/>
  <c r="D156" i="7"/>
  <c r="E156" i="7" s="1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C88" i="7"/>
  <c r="C108" i="8" s="1"/>
  <c r="A108" i="8"/>
  <c r="O173" i="7"/>
  <c r="AD128" i="6"/>
  <c r="W128" i="6" s="1"/>
  <c r="AJ128" i="6" s="1"/>
  <c r="O128" i="7"/>
  <c r="AD12" i="6"/>
  <c r="AC12" i="6"/>
  <c r="AE145" i="6"/>
  <c r="AF145" i="6" s="1"/>
  <c r="J145" i="7"/>
  <c r="F142" i="8" s="1"/>
  <c r="J210" i="7"/>
  <c r="F245" i="8" s="1"/>
  <c r="W210" i="6"/>
  <c r="AJ210" i="6" s="1"/>
  <c r="K45" i="7"/>
  <c r="O45" i="7"/>
  <c r="Q45" i="7" s="1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31" i="8" s="1"/>
  <c r="K106" i="7"/>
  <c r="B106" i="7"/>
  <c r="B31" i="8" s="1"/>
  <c r="AC227" i="6"/>
  <c r="C167" i="7"/>
  <c r="C74" i="8" s="1"/>
  <c r="A74" i="8"/>
  <c r="D173" i="7"/>
  <c r="E173" i="7" s="1"/>
  <c r="M44" i="7" a="1"/>
  <c r="M44" i="7" s="1"/>
  <c r="F44" i="7"/>
  <c r="K69" i="7"/>
  <c r="O69" i="7"/>
  <c r="R69" i="7" s="1"/>
  <c r="M223" i="7" a="1"/>
  <c r="M223" i="7" s="1"/>
  <c r="K223" i="7"/>
  <c r="C20" i="7"/>
  <c r="C179" i="8" s="1"/>
  <c r="A179" i="8"/>
  <c r="M234" i="7" a="1"/>
  <c r="M234" i="7" s="1"/>
  <c r="D234" i="7"/>
  <c r="E234" i="7" s="1"/>
  <c r="B101" i="7"/>
  <c r="B127" i="8" s="1"/>
  <c r="N101" i="7" a="1"/>
  <c r="N101" i="7" s="1"/>
  <c r="M101" i="7" a="1"/>
  <c r="M101" i="7" s="1"/>
  <c r="K101" i="7"/>
  <c r="F107" i="7"/>
  <c r="A172" i="8"/>
  <c r="M83" i="7" a="1"/>
  <c r="M83" i="7" s="1"/>
  <c r="N83" i="7" a="1"/>
  <c r="N83" i="7" s="1"/>
  <c r="P83" i="7" s="1"/>
  <c r="A35" i="8"/>
  <c r="B155" i="7"/>
  <c r="B35" i="8" s="1"/>
  <c r="F155" i="7"/>
  <c r="C155" i="7"/>
  <c r="C35" i="8" s="1"/>
  <c r="M77" i="7" a="1"/>
  <c r="M77" i="7" s="1"/>
  <c r="A144" i="8"/>
  <c r="B77" i="7"/>
  <c r="B144" i="8" s="1"/>
  <c r="C77" i="7"/>
  <c r="C144" i="8" s="1"/>
  <c r="K77" i="7"/>
  <c r="O67" i="7"/>
  <c r="R67" i="7" s="1"/>
  <c r="J67" i="7"/>
  <c r="F223" i="8" s="1"/>
  <c r="N67" i="7" a="1"/>
  <c r="N67" i="7" s="1"/>
  <c r="P67" i="7" s="1"/>
  <c r="F50" i="7"/>
  <c r="B50" i="7"/>
  <c r="B167" i="8" s="1"/>
  <c r="A184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E161" i="7" s="1"/>
  <c r="J161" i="7"/>
  <c r="F50" i="8" s="1"/>
  <c r="N41" i="7" a="1"/>
  <c r="N41" i="7" s="1"/>
  <c r="M41" i="7" a="1"/>
  <c r="M41" i="7" s="1"/>
  <c r="A171" i="8"/>
  <c r="F41" i="7"/>
  <c r="B41" i="7"/>
  <c r="B171" i="8" s="1"/>
  <c r="D178" i="7"/>
  <c r="E178" i="7" s="1"/>
  <c r="C178" i="7"/>
  <c r="C30" i="8" s="1"/>
  <c r="N178" i="7" a="1"/>
  <c r="N178" i="7" s="1"/>
  <c r="P178" i="7" s="1"/>
  <c r="M216" i="7" a="1"/>
  <c r="M216" i="7" s="1"/>
  <c r="Q216" i="7" s="1"/>
  <c r="C216" i="7"/>
  <c r="C5" i="8" s="1"/>
  <c r="B216" i="7"/>
  <c r="B5" i="8" s="1"/>
  <c r="J216" i="7"/>
  <c r="F5" i="8" s="1"/>
  <c r="AC208" i="6"/>
  <c r="C186" i="7"/>
  <c r="C105" i="8" s="1"/>
  <c r="K186" i="7"/>
  <c r="M186" i="7" a="1"/>
  <c r="M186" i="7" s="1"/>
  <c r="A105" i="8"/>
  <c r="B186" i="7"/>
  <c r="B105" i="8" s="1"/>
  <c r="X42" i="6"/>
  <c r="Y42" i="6" s="1"/>
  <c r="F42" i="7"/>
  <c r="A177" i="8"/>
  <c r="K26" i="7"/>
  <c r="AD191" i="6"/>
  <c r="W191" i="6" s="1"/>
  <c r="AJ191" i="6" s="1"/>
  <c r="J66" i="7"/>
  <c r="F200" i="8" s="1"/>
  <c r="AD41" i="6"/>
  <c r="W41" i="6" s="1"/>
  <c r="AJ41" i="6" s="1"/>
  <c r="O95" i="7"/>
  <c r="R95" i="7" s="1"/>
  <c r="O202" i="7"/>
  <c r="J171" i="7"/>
  <c r="F68" i="8" s="1"/>
  <c r="O26" i="7"/>
  <c r="Q26" i="7" s="1"/>
  <c r="AC89" i="6"/>
  <c r="J160" i="7"/>
  <c r="F32" i="8" s="1"/>
  <c r="J228" i="7"/>
  <c r="F189" i="8" s="1"/>
  <c r="U231" i="6"/>
  <c r="J236" i="7"/>
  <c r="F12" i="8" s="1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07" i="8" s="1"/>
  <c r="C210" i="7"/>
  <c r="C245" i="8" s="1"/>
  <c r="N210" i="7" a="1"/>
  <c r="N210" i="7" s="1"/>
  <c r="P210" i="7" s="1"/>
  <c r="C16" i="7"/>
  <c r="C207" i="8" s="1"/>
  <c r="N16" i="7" a="1"/>
  <c r="N16" i="7" s="1"/>
  <c r="A204" i="8"/>
  <c r="K11" i="7"/>
  <c r="M9" i="7" a="1"/>
  <c r="M9" i="7" s="1"/>
  <c r="A98" i="8"/>
  <c r="M80" i="7" a="1"/>
  <c r="M80" i="7" s="1"/>
  <c r="N80" i="7" a="1"/>
  <c r="N80" i="7" s="1"/>
  <c r="K80" i="7"/>
  <c r="N56" i="7" a="1"/>
  <c r="N56" i="7" s="1"/>
  <c r="C56" i="7"/>
  <c r="C56" i="8" s="1"/>
  <c r="J69" i="7"/>
  <c r="F43" i="8" s="1"/>
  <c r="O4" i="7"/>
  <c r="AD15" i="6"/>
  <c r="AC15" i="6"/>
  <c r="AC145" i="6"/>
  <c r="AD145" i="6"/>
  <c r="N244" i="7" a="1"/>
  <c r="N244" i="7" s="1"/>
  <c r="K244" i="7"/>
  <c r="K62" i="7"/>
  <c r="C62" i="7"/>
  <c r="C163" i="8" s="1"/>
  <c r="M235" i="7" a="1"/>
  <c r="M235" i="7" s="1"/>
  <c r="N235" i="7" a="1"/>
  <c r="N235" i="7" s="1"/>
  <c r="N169" i="7" a="1"/>
  <c r="N169" i="7" s="1"/>
  <c r="P169" i="7" s="1"/>
  <c r="A45" i="8"/>
  <c r="B128" i="7"/>
  <c r="B51" i="8" s="1"/>
  <c r="C128" i="7"/>
  <c r="C51" i="8" s="1"/>
  <c r="J130" i="7"/>
  <c r="F111" i="8" s="1"/>
  <c r="J97" i="7"/>
  <c r="F94" i="8" s="1"/>
  <c r="B182" i="7"/>
  <c r="B79" i="8" s="1"/>
  <c r="AC185" i="6"/>
  <c r="D98" i="7"/>
  <c r="E98" i="7" s="1"/>
  <c r="AD101" i="6"/>
  <c r="F146" i="7"/>
  <c r="AE42" i="6"/>
  <c r="AF42" i="6" s="1"/>
  <c r="K158" i="7"/>
  <c r="A186" i="8"/>
  <c r="B172" i="7"/>
  <c r="B49" i="8" s="1"/>
  <c r="N97" i="7" a="1"/>
  <c r="N97" i="7" s="1"/>
  <c r="D71" i="7"/>
  <c r="E71" i="7" s="1"/>
  <c r="K169" i="7"/>
  <c r="M16" i="7" a="1"/>
  <c r="M16" i="7" s="1"/>
  <c r="M11" i="7" a="1"/>
  <c r="M11" i="7" s="1"/>
  <c r="N36" i="7" a="1"/>
  <c r="N36" i="7" s="1"/>
  <c r="P36" i="7" s="1"/>
  <c r="J217" i="7"/>
  <c r="F87" i="8" s="1"/>
  <c r="D172" i="7"/>
  <c r="E172" i="7" s="1"/>
  <c r="B118" i="7"/>
  <c r="B156" i="8" s="1"/>
  <c r="M58" i="7" a="1"/>
  <c r="M58" i="7" s="1"/>
  <c r="A96" i="8"/>
  <c r="K56" i="7"/>
  <c r="B235" i="7"/>
  <c r="B160" i="8" s="1"/>
  <c r="AD221" i="6"/>
  <c r="O131" i="7"/>
  <c r="O224" i="7"/>
  <c r="J88" i="7"/>
  <c r="F108" i="8" s="1"/>
  <c r="J62" i="7"/>
  <c r="F163" i="8" s="1"/>
  <c r="AC171" i="6"/>
  <c r="O152" i="7"/>
  <c r="J109" i="7"/>
  <c r="F86" i="8" s="1"/>
  <c r="O106" i="7"/>
  <c r="Q106" i="7" s="1"/>
  <c r="J83" i="7"/>
  <c r="F24" i="8" s="1"/>
  <c r="O204" i="7"/>
  <c r="O200" i="7"/>
  <c r="R200" i="7" s="1"/>
  <c r="O85" i="7"/>
  <c r="W11" i="6"/>
  <c r="AJ11" i="6" s="1"/>
  <c r="O231" i="7"/>
  <c r="O156" i="7"/>
  <c r="J123" i="7"/>
  <c r="F80" i="8" s="1"/>
  <c r="U10" i="6"/>
  <c r="U193" i="6"/>
  <c r="J30" i="7"/>
  <c r="F181" i="8" s="1"/>
  <c r="O22" i="7"/>
  <c r="J50" i="7"/>
  <c r="F167" i="8" s="1"/>
  <c r="U27" i="6"/>
  <c r="U235" i="6"/>
  <c r="AD198" i="6"/>
  <c r="AC198" i="6"/>
  <c r="M195" i="7" a="1"/>
  <c r="M195" i="7" s="1"/>
  <c r="D198" i="7"/>
  <c r="E198" i="7" s="1"/>
  <c r="B171" i="7"/>
  <c r="B68" i="8" s="1"/>
  <c r="K171" i="7"/>
  <c r="K92" i="7"/>
  <c r="A152" i="8"/>
  <c r="N143" i="7" a="1"/>
  <c r="N143" i="7" s="1"/>
  <c r="P143" i="7" s="1"/>
  <c r="B143" i="7"/>
  <c r="B63" i="8" s="1"/>
  <c r="C229" i="7"/>
  <c r="C61" i="8" s="1"/>
  <c r="M229" i="7" a="1"/>
  <c r="M229" i="7" s="1"/>
  <c r="G124" i="7"/>
  <c r="J41" i="7"/>
  <c r="F171" i="8" s="1"/>
  <c r="AB224" i="6"/>
  <c r="U73" i="6"/>
  <c r="U163" i="6"/>
  <c r="AB128" i="6"/>
  <c r="AC52" i="6"/>
  <c r="AD52" i="6"/>
  <c r="O141" i="7"/>
  <c r="J220" i="7"/>
  <c r="F236" i="8" s="1"/>
  <c r="D61" i="7"/>
  <c r="E61" i="7" s="1"/>
  <c r="O61" i="7"/>
  <c r="Q61" i="7" s="1"/>
  <c r="J203" i="7"/>
  <c r="F228" i="8" s="1"/>
  <c r="K165" i="7"/>
  <c r="C165" i="7"/>
  <c r="C76" i="8" s="1"/>
  <c r="D165" i="7"/>
  <c r="E165" i="7" s="1"/>
  <c r="G78" i="7"/>
  <c r="F103" i="7"/>
  <c r="U41" i="6"/>
  <c r="AB95" i="6"/>
  <c r="AB94" i="6"/>
  <c r="AB69" i="6"/>
  <c r="O114" i="7"/>
  <c r="O58" i="7"/>
  <c r="O229" i="7"/>
  <c r="J11" i="7"/>
  <c r="F204" i="8" s="1"/>
  <c r="O169" i="7"/>
  <c r="Q169" i="7" s="1"/>
  <c r="O160" i="7"/>
  <c r="Q160" i="7" s="1"/>
  <c r="O148" i="7"/>
  <c r="AB10" i="6"/>
  <c r="AB193" i="6"/>
  <c r="AB235" i="6"/>
  <c r="J121" i="7"/>
  <c r="F165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R155" i="7" s="1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126" i="7"/>
  <c r="Q126" i="7" s="1"/>
  <c r="O129" i="7"/>
  <c r="R129" i="7" s="1"/>
  <c r="AC28" i="6"/>
  <c r="O89" i="7"/>
  <c r="AD225" i="6"/>
  <c r="AD89" i="6"/>
  <c r="W89" i="6" s="1"/>
  <c r="AJ89" i="6" s="1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AC123" i="6"/>
  <c r="O154" i="7"/>
  <c r="AC176" i="6"/>
  <c r="AD161" i="6"/>
  <c r="AD131" i="6"/>
  <c r="AC57" i="6"/>
  <c r="AC75" i="6"/>
  <c r="O220" i="7"/>
  <c r="R220" i="7" s="1"/>
  <c r="AD39" i="6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39" i="8"/>
  <c r="M134" i="7" a="1"/>
  <c r="M134" i="7" s="1"/>
  <c r="C134" i="7"/>
  <c r="C39" i="8" s="1"/>
  <c r="A58" i="8"/>
  <c r="F227" i="7"/>
  <c r="B183" i="7"/>
  <c r="B7" i="8" s="1"/>
  <c r="M183" i="7" a="1"/>
  <c r="M183" i="7" s="1"/>
  <c r="A7" i="8"/>
  <c r="C183" i="7"/>
  <c r="C7" i="8" s="1"/>
  <c r="O183" i="7"/>
  <c r="Q183" i="7" s="1"/>
  <c r="D183" i="7"/>
  <c r="E183" i="7" s="1"/>
  <c r="J183" i="7"/>
  <c r="F7" i="8" s="1"/>
  <c r="M6" i="7" a="1"/>
  <c r="M6" i="7" s="1"/>
  <c r="K6" i="7"/>
  <c r="O6" i="7"/>
  <c r="Q6" i="7" s="1"/>
  <c r="C6" i="7"/>
  <c r="C217" i="8" s="1"/>
  <c r="D6" i="7"/>
  <c r="E6" i="7" s="1"/>
  <c r="A217" i="8"/>
  <c r="N6" i="7" a="1"/>
  <c r="N6" i="7" s="1"/>
  <c r="B6" i="7"/>
  <c r="B217" i="8" s="1"/>
  <c r="F6" i="7"/>
  <c r="M138" i="7" a="1"/>
  <c r="M138" i="7" s="1"/>
  <c r="K138" i="7"/>
  <c r="C138" i="7"/>
  <c r="C21" i="8" s="1"/>
  <c r="F138" i="7"/>
  <c r="B138" i="7"/>
  <c r="B21" i="8" s="1"/>
  <c r="O17" i="7"/>
  <c r="N17" i="7" a="1"/>
  <c r="N17" i="7" s="1"/>
  <c r="D17" i="7"/>
  <c r="E17" i="7" s="1"/>
  <c r="K17" i="7"/>
  <c r="C17" i="7"/>
  <c r="C92" i="8" s="1"/>
  <c r="B17" i="7"/>
  <c r="B92" i="8" s="1"/>
  <c r="M17" i="7" a="1"/>
  <c r="M17" i="7" s="1"/>
  <c r="B65" i="7"/>
  <c r="B188" i="8" s="1"/>
  <c r="A188" i="8"/>
  <c r="M65" i="7" a="1"/>
  <c r="M65" i="7" s="1"/>
  <c r="O65" i="7"/>
  <c r="D65" i="7"/>
  <c r="E65" i="7" s="1"/>
  <c r="J65" i="7"/>
  <c r="F188" i="8" s="1"/>
  <c r="B120" i="7"/>
  <c r="B116" i="8" s="1"/>
  <c r="D120" i="7"/>
  <c r="E120" i="7" s="1"/>
  <c r="M120" i="7" a="1"/>
  <c r="M120" i="7" s="1"/>
  <c r="C120" i="7"/>
  <c r="C116" i="8" s="1"/>
  <c r="K120" i="7"/>
  <c r="G120" i="7"/>
  <c r="F120" i="7"/>
  <c r="A116" i="8"/>
  <c r="J120" i="7"/>
  <c r="F116" i="8" s="1"/>
  <c r="D166" i="7"/>
  <c r="E166" i="7" s="1"/>
  <c r="C166" i="7"/>
  <c r="C138" i="8" s="1"/>
  <c r="K166" i="7"/>
  <c r="B166" i="7"/>
  <c r="B138" i="8" s="1"/>
  <c r="J166" i="7"/>
  <c r="F138" i="8" s="1"/>
  <c r="N166" i="7" a="1"/>
  <c r="N166" i="7" s="1"/>
  <c r="P166" i="7" s="1"/>
  <c r="F166" i="7"/>
  <c r="B170" i="7"/>
  <c r="B78" i="8" s="1"/>
  <c r="K170" i="7"/>
  <c r="O170" i="7"/>
  <c r="J170" i="7"/>
  <c r="F78" i="8" s="1"/>
  <c r="F170" i="7"/>
  <c r="D170" i="7"/>
  <c r="E170" i="7" s="1"/>
  <c r="K57" i="7"/>
  <c r="B57" i="7"/>
  <c r="B97" i="8" s="1"/>
  <c r="A97" i="8"/>
  <c r="O57" i="7"/>
  <c r="F57" i="7"/>
  <c r="D57" i="7"/>
  <c r="E57" i="7" s="1"/>
  <c r="M57" i="7" a="1"/>
  <c r="M57" i="7" s="1"/>
  <c r="AB23" i="6"/>
  <c r="AC21" i="6"/>
  <c r="O21" i="7"/>
  <c r="R21" i="7" s="1"/>
  <c r="AB46" i="6"/>
  <c r="C10" i="7"/>
  <c r="C82" i="8" s="1"/>
  <c r="A82" i="8"/>
  <c r="N5" i="7" a="1"/>
  <c r="N5" i="7" s="1"/>
  <c r="P5" i="7" s="1"/>
  <c r="B5" i="7"/>
  <c r="B66" i="8" s="1"/>
  <c r="N240" i="7" a="1"/>
  <c r="N240" i="7" s="1"/>
  <c r="P240" i="7" s="1"/>
  <c r="K240" i="7"/>
  <c r="G200" i="7"/>
  <c r="G56" i="7"/>
  <c r="G96" i="7"/>
  <c r="G199" i="7"/>
  <c r="F94" i="7"/>
  <c r="D187" i="7"/>
  <c r="E187" i="7" s="1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40" i="7"/>
  <c r="B196" i="8" s="1"/>
  <c r="O179" i="7"/>
  <c r="R179" i="7" s="1"/>
  <c r="C240" i="7"/>
  <c r="C196" i="8" s="1"/>
  <c r="A94" i="8"/>
  <c r="M179" i="7" a="1"/>
  <c r="M179" i="7" s="1"/>
  <c r="N199" i="7" a="1"/>
  <c r="N199" i="7" s="1"/>
  <c r="P199" i="7" s="1"/>
  <c r="C121" i="7"/>
  <c r="C165" i="8" s="1"/>
  <c r="C179" i="7"/>
  <c r="C85" i="8" s="1"/>
  <c r="D215" i="7"/>
  <c r="E215" i="7" s="1"/>
  <c r="AC41" i="6"/>
  <c r="O41" i="7"/>
  <c r="J57" i="7"/>
  <c r="F97" i="8" s="1"/>
  <c r="J224" i="7"/>
  <c r="F109" i="8" s="1"/>
  <c r="AH238" i="6"/>
  <c r="AD62" i="6"/>
  <c r="U161" i="6"/>
  <c r="U152" i="6"/>
  <c r="J102" i="7"/>
  <c r="F16" i="8" s="1"/>
  <c r="AC166" i="6"/>
  <c r="AD119" i="6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72" i="8" s="1"/>
  <c r="M25" i="7" a="1"/>
  <c r="M25" i="7" s="1"/>
  <c r="A247" i="8"/>
  <c r="F245" i="7"/>
  <c r="A95" i="8"/>
  <c r="J138" i="7"/>
  <c r="F21" i="8" s="1"/>
  <c r="G17" i="7"/>
  <c r="J158" i="7"/>
  <c r="C199" i="7"/>
  <c r="C222" i="8" s="1"/>
  <c r="AD168" i="6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90" i="8" s="1"/>
  <c r="U166" i="6"/>
  <c r="U119" i="6"/>
  <c r="J134" i="7"/>
  <c r="F39" i="8" s="1"/>
  <c r="O96" i="7"/>
  <c r="U177" i="6"/>
  <c r="U123" i="6"/>
  <c r="U25" i="6"/>
  <c r="U93" i="6"/>
  <c r="AB181" i="6"/>
  <c r="AB141" i="6"/>
  <c r="U239" i="6"/>
  <c r="J240" i="7"/>
  <c r="F196" i="8" s="1"/>
  <c r="U195" i="6"/>
  <c r="G183" i="7"/>
  <c r="F198" i="7"/>
  <c r="AD230" i="6"/>
  <c r="W230" i="6" s="1"/>
  <c r="AE230" i="6" s="1"/>
  <c r="AH230" i="6" s="1"/>
  <c r="D37" i="7"/>
  <c r="E37" i="7" s="1"/>
  <c r="K34" i="7"/>
  <c r="AB39" i="6"/>
  <c r="F130" i="7"/>
  <c r="F10" i="7"/>
  <c r="F173" i="7"/>
  <c r="O130" i="7"/>
  <c r="C34" i="7"/>
  <c r="C131" i="8" s="1"/>
  <c r="N130" i="7" a="1"/>
  <c r="N130" i="7" s="1"/>
  <c r="K130" i="7"/>
  <c r="B34" i="7"/>
  <c r="B131" i="8" s="1"/>
  <c r="AD181" i="6"/>
  <c r="W181" i="6" s="1"/>
  <c r="AJ181" i="6" s="1"/>
  <c r="C130" i="7"/>
  <c r="C111" i="8" s="1"/>
  <c r="U187" i="6"/>
  <c r="U218" i="6"/>
  <c r="U155" i="6"/>
  <c r="U232" i="6"/>
  <c r="AD209" i="6"/>
  <c r="AD175" i="6"/>
  <c r="AB130" i="6"/>
  <c r="AD43" i="6"/>
  <c r="W43" i="6" s="1"/>
  <c r="AJ43" i="6" s="1"/>
  <c r="J44" i="7"/>
  <c r="F134" i="8" s="1"/>
  <c r="AC84" i="6"/>
  <c r="AD84" i="6"/>
  <c r="J101" i="7"/>
  <c r="F127" i="8" s="1"/>
  <c r="AB196" i="6"/>
  <c r="A30" i="8"/>
  <c r="O178" i="7"/>
  <c r="Q178" i="7" s="1"/>
  <c r="F91" i="7"/>
  <c r="AC95" i="6"/>
  <c r="N187" i="7" a="1"/>
  <c r="N187" i="7" s="1"/>
  <c r="P187" i="7" s="1"/>
  <c r="B187" i="7"/>
  <c r="B101" i="8" s="1"/>
  <c r="F212" i="7"/>
  <c r="U17" i="6"/>
  <c r="U135" i="6"/>
  <c r="O237" i="7"/>
  <c r="Q237" i="7" s="1"/>
  <c r="U59" i="6"/>
  <c r="N26" i="7" a="1"/>
  <c r="N26" i="7" s="1"/>
  <c r="P26" i="7" s="1"/>
  <c r="A216" i="8"/>
  <c r="N71" i="7" a="1"/>
  <c r="N71" i="7" s="1"/>
  <c r="P71" i="7" s="1"/>
  <c r="J71" i="7"/>
  <c r="F202" i="8" s="1"/>
  <c r="A63" i="8"/>
  <c r="C143" i="7"/>
  <c r="C63" i="8" s="1"/>
  <c r="D18" i="7"/>
  <c r="E18" i="7" s="1"/>
  <c r="N15" i="7" a="1"/>
  <c r="N15" i="7" s="1"/>
  <c r="P15" i="7" s="1"/>
  <c r="B181" i="7"/>
  <c r="B69" i="8" s="1"/>
  <c r="A69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111" i="8"/>
  <c r="O138" i="7"/>
  <c r="A37" i="8"/>
  <c r="M173" i="7" a="1"/>
  <c r="M173" i="7" s="1"/>
  <c r="C90" i="7"/>
  <c r="C145" i="8" s="1"/>
  <c r="A145" i="8"/>
  <c r="K182" i="7"/>
  <c r="J182" i="7"/>
  <c r="F79" i="8" s="1"/>
  <c r="A228" i="8"/>
  <c r="K203" i="7"/>
  <c r="C187" i="7"/>
  <c r="C101" i="8" s="1"/>
  <c r="A101" i="8"/>
  <c r="J187" i="7"/>
  <c r="F101" i="8" s="1"/>
  <c r="O9" i="7"/>
  <c r="AD234" i="6"/>
  <c r="AD120" i="6"/>
  <c r="W120" i="6" s="1"/>
  <c r="AD31" i="6"/>
  <c r="W31" i="6" s="1"/>
  <c r="F12" i="7"/>
  <c r="B154" i="7"/>
  <c r="B102" i="8" s="1"/>
  <c r="A102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1" i="8" s="1"/>
  <c r="U57" i="6"/>
  <c r="J17" i="7"/>
  <c r="F92" i="8" s="1"/>
  <c r="U224" i="6"/>
  <c r="U92" i="6"/>
  <c r="J157" i="7"/>
  <c r="F161" i="8" s="1"/>
  <c r="AC147" i="6"/>
  <c r="U214" i="6"/>
  <c r="U184" i="6"/>
  <c r="J173" i="7"/>
  <c r="F37" i="8" s="1"/>
  <c r="O187" i="7"/>
  <c r="R187" i="7" s="1"/>
  <c r="J167" i="7"/>
  <c r="F74" i="8" s="1"/>
  <c r="J143" i="7"/>
  <c r="F63" i="8" s="1"/>
  <c r="J186" i="7"/>
  <c r="F105" i="8" s="1"/>
  <c r="J85" i="7"/>
  <c r="F34" i="8" s="1"/>
  <c r="AC197" i="6"/>
  <c r="AD134" i="6"/>
  <c r="AB56" i="6"/>
  <c r="AD63" i="6"/>
  <c r="W63" i="6" s="1"/>
  <c r="AC150" i="6"/>
  <c r="AB183" i="6"/>
  <c r="AC124" i="6"/>
  <c r="AB178" i="6"/>
  <c r="J10" i="7"/>
  <c r="F82" i="8" s="1"/>
  <c r="J193" i="7"/>
  <c r="F33" i="8" s="1"/>
  <c r="AD35" i="6"/>
  <c r="AB40" i="6"/>
  <c r="U39" i="6"/>
  <c r="J28" i="7"/>
  <c r="F215" i="8" s="1"/>
  <c r="J190" i="7"/>
  <c r="F115" i="8" s="1"/>
  <c r="AH126" i="6"/>
  <c r="U33" i="6"/>
  <c r="J202" i="7"/>
  <c r="F77" i="8" s="1"/>
  <c r="AD171" i="6"/>
  <c r="U97" i="6"/>
  <c r="U70" i="6"/>
  <c r="O107" i="7"/>
  <c r="Q107" i="7" s="1"/>
  <c r="G143" i="7"/>
  <c r="G211" i="7"/>
  <c r="G121" i="7"/>
  <c r="G14" i="7"/>
  <c r="AC229" i="6"/>
  <c r="AD73" i="6"/>
  <c r="AD109" i="6"/>
  <c r="AD196" i="6"/>
  <c r="AD173" i="6"/>
  <c r="AD54" i="6"/>
  <c r="W54" i="6" s="1"/>
  <c r="AE54" i="6" s="1"/>
  <c r="AF54" i="6" s="1"/>
  <c r="AB30" i="6"/>
  <c r="F225" i="7"/>
  <c r="AB143" i="6"/>
  <c r="F183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31" i="7"/>
  <c r="AB91" i="6"/>
  <c r="AD130" i="6"/>
  <c r="AD216" i="6"/>
  <c r="W216" i="6" s="1"/>
  <c r="AJ216" i="6" s="1"/>
  <c r="AC231" i="6"/>
  <c r="AC177" i="6"/>
  <c r="F95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AC137" i="6"/>
  <c r="AC131" i="6"/>
  <c r="AD13" i="6"/>
  <c r="W13" i="6" s="1"/>
  <c r="AE13" i="6" s="1"/>
  <c r="AG13" i="6" s="1"/>
  <c r="S13" i="7" s="1"/>
  <c r="AB175" i="6"/>
  <c r="AD69" i="6"/>
  <c r="AD93" i="6"/>
  <c r="W93" i="6" s="1"/>
  <c r="AB149" i="6"/>
  <c r="AD115" i="6"/>
  <c r="AD151" i="6"/>
  <c r="AB138" i="6"/>
  <c r="W92" i="6"/>
  <c r="AE92" i="6" s="1"/>
  <c r="AF92" i="6" s="1"/>
  <c r="U63" i="6"/>
  <c r="AD10" i="6"/>
  <c r="W10" i="6" s="1"/>
  <c r="AJ10" i="6" s="1"/>
  <c r="AB81" i="6"/>
  <c r="AB17" i="6"/>
  <c r="AC119" i="6"/>
  <c r="AB192" i="6"/>
  <c r="AD165" i="6"/>
  <c r="AC55" i="6"/>
  <c r="AC116" i="6"/>
  <c r="AC25" i="6"/>
  <c r="AB54" i="6"/>
  <c r="AG79" i="6"/>
  <c r="S79" i="7" s="1"/>
  <c r="AC139" i="6"/>
  <c r="X57" i="6"/>
  <c r="Y57" i="6" s="1"/>
  <c r="U179" i="6"/>
  <c r="AB62" i="6"/>
  <c r="W239" i="6"/>
  <c r="AE239" i="6" s="1"/>
  <c r="AF239" i="6" s="1"/>
  <c r="B57" i="11"/>
  <c r="W183" i="6"/>
  <c r="AJ183" i="6" s="1"/>
  <c r="J214" i="7"/>
  <c r="F107" i="8" s="1"/>
  <c r="J144" i="7"/>
  <c r="F140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AE52" i="6"/>
  <c r="AF52" i="6" s="1"/>
  <c r="AE66" i="6"/>
  <c r="AH66" i="6" s="1"/>
  <c r="W59" i="6"/>
  <c r="AJ59" i="6" s="1"/>
  <c r="W107" i="6"/>
  <c r="AJ107" i="6" s="1"/>
  <c r="J153" i="7"/>
  <c r="F22" i="8" s="1"/>
  <c r="J9" i="11" a="1"/>
  <c r="J9" i="11" s="1"/>
  <c r="J180" i="7"/>
  <c r="F54" i="8" s="1"/>
  <c r="J63" i="7"/>
  <c r="F208" i="8" s="1"/>
  <c r="AB97" i="6"/>
  <c r="AC233" i="6"/>
  <c r="AC218" i="6"/>
  <c r="AC169" i="6"/>
  <c r="AB233" i="6"/>
  <c r="AC43" i="6"/>
  <c r="AD143" i="6"/>
  <c r="AB96" i="6"/>
  <c r="F30" i="7"/>
  <c r="AD22" i="6"/>
  <c r="AD177" i="6"/>
  <c r="AD25" i="6"/>
  <c r="F235" i="7"/>
  <c r="F187" i="7"/>
  <c r="F83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9" i="7"/>
  <c r="A28" i="8"/>
  <c r="O176" i="7"/>
  <c r="N176" i="7" a="1"/>
  <c r="N176" i="7" s="1"/>
  <c r="J176" i="7"/>
  <c r="F28" i="8" s="1"/>
  <c r="D176" i="7"/>
  <c r="E176" i="7" s="1"/>
  <c r="F176" i="7"/>
  <c r="M176" i="7" a="1"/>
  <c r="M176" i="7" s="1"/>
  <c r="B176" i="7"/>
  <c r="B28" i="8" s="1"/>
  <c r="K176" i="7"/>
  <c r="C176" i="7"/>
  <c r="C28" i="8" s="1"/>
  <c r="A62" i="8"/>
  <c r="C137" i="7"/>
  <c r="C62" i="8" s="1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37" i="7" a="1"/>
  <c r="N137" i="7" s="1"/>
  <c r="M137" i="7" a="1"/>
  <c r="M137" i="7" s="1"/>
  <c r="J137" i="7"/>
  <c r="F62" i="8" s="1"/>
  <c r="F137" i="7"/>
  <c r="B137" i="7"/>
  <c r="B62" i="8" s="1"/>
  <c r="K137" i="7"/>
  <c r="A231" i="8"/>
  <c r="M241" i="7" a="1"/>
  <c r="M241" i="7" s="1"/>
  <c r="O241" i="7"/>
  <c r="Q241" i="7" s="1"/>
  <c r="N241" i="7" a="1"/>
  <c r="N241" i="7" s="1"/>
  <c r="P241" i="7" s="1"/>
  <c r="K241" i="7"/>
  <c r="B241" i="7"/>
  <c r="B231" i="8" s="1"/>
  <c r="D241" i="7"/>
  <c r="E241" i="7" s="1"/>
  <c r="C241" i="7"/>
  <c r="C231" i="8" s="1"/>
  <c r="F241" i="7"/>
  <c r="J241" i="7"/>
  <c r="F231" i="8" s="1"/>
  <c r="M153" i="7" a="1"/>
  <c r="M153" i="7" s="1"/>
  <c r="O153" i="7"/>
  <c r="R153" i="7" s="1"/>
  <c r="N153" i="7" a="1"/>
  <c r="N153" i="7" s="1"/>
  <c r="P153" i="7" s="1"/>
  <c r="D153" i="7"/>
  <c r="E153" i="7" s="1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150" i="8"/>
  <c r="K110" i="7"/>
  <c r="M110" i="7" a="1"/>
  <c r="M110" i="7" s="1"/>
  <c r="N110" i="7" a="1"/>
  <c r="N110" i="7" s="1"/>
  <c r="P110" i="7" s="1"/>
  <c r="C110" i="7"/>
  <c r="C150" i="8" s="1"/>
  <c r="G110" i="7"/>
  <c r="J110" i="7"/>
  <c r="B110" i="7"/>
  <c r="B150" i="8" s="1"/>
  <c r="F110" i="7"/>
  <c r="A88" i="8"/>
  <c r="D184" i="7"/>
  <c r="E184" i="7" s="1"/>
  <c r="O184" i="7"/>
  <c r="J184" i="7"/>
  <c r="F88" i="8" s="1"/>
  <c r="N184" i="7" a="1"/>
  <c r="N184" i="7" s="1"/>
  <c r="P184" i="7" s="1"/>
  <c r="M184" i="7" a="1"/>
  <c r="M184" i="7" s="1"/>
  <c r="F184" i="7"/>
  <c r="C184" i="7"/>
  <c r="C88" i="8" s="1"/>
  <c r="B184" i="7"/>
  <c r="B88" i="8" s="1"/>
  <c r="K33" i="7"/>
  <c r="F33" i="7"/>
  <c r="J33" i="7"/>
  <c r="N33" i="7" a="1"/>
  <c r="N33" i="7" s="1"/>
  <c r="P33" i="7" s="1"/>
  <c r="K126" i="7"/>
  <c r="C126" i="7"/>
  <c r="C148" i="8" s="1"/>
  <c r="B126" i="7"/>
  <c r="B148" i="8" s="1"/>
  <c r="N126" i="7" a="1"/>
  <c r="N126" i="7" s="1"/>
  <c r="P126" i="7" s="1"/>
  <c r="A148" i="8"/>
  <c r="D126" i="7"/>
  <c r="E126" i="7" s="1"/>
  <c r="J126" i="7"/>
  <c r="F148" i="8" s="1"/>
  <c r="C233" i="7"/>
  <c r="C41" i="8" s="1"/>
  <c r="J233" i="7"/>
  <c r="F41" i="8" s="1"/>
  <c r="M233" i="7" a="1"/>
  <c r="M233" i="7" s="1"/>
  <c r="A41" i="8"/>
  <c r="D233" i="7"/>
  <c r="E233" i="7" s="1"/>
  <c r="B233" i="7"/>
  <c r="B41" i="8" s="1"/>
  <c r="O233" i="7"/>
  <c r="F233" i="7"/>
  <c r="K233" i="7"/>
  <c r="N233" i="7" a="1"/>
  <c r="N233" i="7" s="1"/>
  <c r="M188" i="7" a="1"/>
  <c r="M188" i="7" s="1"/>
  <c r="K188" i="7"/>
  <c r="A90" i="8"/>
  <c r="J188" i="7"/>
  <c r="F90" i="8" s="1"/>
  <c r="B188" i="7"/>
  <c r="B90" i="8" s="1"/>
  <c r="D188" i="7"/>
  <c r="E188" i="7" s="1"/>
  <c r="J38" i="7"/>
  <c r="D41" i="7"/>
  <c r="E41" i="7" s="1"/>
  <c r="N38" i="7" a="1"/>
  <c r="N38" i="7" s="1"/>
  <c r="P38" i="7" s="1"/>
  <c r="B38" i="7"/>
  <c r="B141" i="8" s="1"/>
  <c r="C38" i="7"/>
  <c r="C141" i="8" s="1"/>
  <c r="A132" i="8"/>
  <c r="D159" i="7"/>
  <c r="E159" i="7" s="1"/>
  <c r="N159" i="7" a="1"/>
  <c r="N159" i="7" s="1"/>
  <c r="P159" i="7" s="1"/>
  <c r="K159" i="7"/>
  <c r="B159" i="7"/>
  <c r="B132" i="8" s="1"/>
  <c r="F159" i="7"/>
  <c r="M159" i="7" a="1"/>
  <c r="M159" i="7" s="1"/>
  <c r="C159" i="7"/>
  <c r="C132" i="8" s="1"/>
  <c r="J159" i="7"/>
  <c r="AD8" i="6"/>
  <c r="AC8" i="6"/>
  <c r="G5" i="11" a="1"/>
  <c r="G5" i="11" s="1"/>
  <c r="D5" i="11" a="1"/>
  <c r="D5" i="11" s="1"/>
  <c r="J7" i="7"/>
  <c r="F214" i="8" s="1"/>
  <c r="M13" i="11"/>
  <c r="G17" i="11"/>
  <c r="F218" i="7"/>
  <c r="C188" i="7"/>
  <c r="C90" i="8" s="1"/>
  <c r="S33" i="7"/>
  <c r="J194" i="7"/>
  <c r="F199" i="8" s="1"/>
  <c r="B227" i="7"/>
  <c r="B58" i="8" s="1"/>
  <c r="J239" i="7"/>
  <c r="F168" i="8" s="1"/>
  <c r="M194" i="7" a="1"/>
  <c r="M194" i="7" s="1"/>
  <c r="N227" i="7" a="1"/>
  <c r="N227" i="7" s="1"/>
  <c r="O136" i="7"/>
  <c r="Q136" i="7" s="1"/>
  <c r="D180" i="7"/>
  <c r="E180" i="7" s="1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38" i="8"/>
  <c r="M75" i="7" a="1"/>
  <c r="M75" i="7" s="1"/>
  <c r="P75" i="7" s="1"/>
  <c r="B116" i="7"/>
  <c r="B10" i="8" s="1"/>
  <c r="N116" i="7" a="1"/>
  <c r="N116" i="7" s="1"/>
  <c r="F122" i="7"/>
  <c r="F26" i="7"/>
  <c r="F230" i="7"/>
  <c r="A61" i="8"/>
  <c r="K160" i="7"/>
  <c r="M160" i="7" a="1"/>
  <c r="M160" i="7" s="1"/>
  <c r="D160" i="7"/>
  <c r="E160" i="7" s="1"/>
  <c r="C160" i="7"/>
  <c r="C32" i="8" s="1"/>
  <c r="K239" i="7"/>
  <c r="M98" i="7" a="1"/>
  <c r="M98" i="7" s="1"/>
  <c r="K98" i="7"/>
  <c r="N98" i="7" a="1"/>
  <c r="N98" i="7" s="1"/>
  <c r="P98" i="7" s="1"/>
  <c r="A118" i="8"/>
  <c r="J93" i="7"/>
  <c r="F118" i="8" s="1"/>
  <c r="N93" i="7" a="1"/>
  <c r="N93" i="7" s="1"/>
  <c r="P93" i="7" s="1"/>
  <c r="B123" i="7"/>
  <c r="B80" i="8" s="1"/>
  <c r="O123" i="7"/>
  <c r="K146" i="7"/>
  <c r="B146" i="7"/>
  <c r="B143" i="8" s="1"/>
  <c r="B197" i="7"/>
  <c r="B13" i="8" s="1"/>
  <c r="K197" i="7"/>
  <c r="M197" i="7" a="1"/>
  <c r="M197" i="7" s="1"/>
  <c r="J151" i="7"/>
  <c r="F112" i="8" s="1"/>
  <c r="B151" i="7"/>
  <c r="B112" i="8" s="1"/>
  <c r="O151" i="7"/>
  <c r="C151" i="7"/>
  <c r="C112" i="8" s="1"/>
  <c r="C196" i="7"/>
  <c r="C235" i="8" s="1"/>
  <c r="D199" i="7"/>
  <c r="E199" i="7" s="1"/>
  <c r="C67" i="7"/>
  <c r="C223" i="8" s="1"/>
  <c r="A223" i="8"/>
  <c r="N140" i="7" a="1"/>
  <c r="N140" i="7" s="1"/>
  <c r="P140" i="7" s="1"/>
  <c r="C140" i="7"/>
  <c r="C106" i="8" s="1"/>
  <c r="D140" i="7"/>
  <c r="E140" i="7" s="1"/>
  <c r="C100" i="7"/>
  <c r="C198" i="8" s="1"/>
  <c r="K100" i="7"/>
  <c r="F221" i="7"/>
  <c r="A168" i="8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4" i="8" s="1"/>
  <c r="M164" i="7" a="1"/>
  <c r="M164" i="7" s="1"/>
  <c r="K164" i="7"/>
  <c r="A19" i="8"/>
  <c r="J164" i="7"/>
  <c r="F19" i="8" s="1"/>
  <c r="O164" i="7"/>
  <c r="Q164" i="7" s="1"/>
  <c r="N28" i="7" a="1"/>
  <c r="N28" i="7" s="1"/>
  <c r="P28" i="7" s="1"/>
  <c r="K28" i="7"/>
  <c r="A215" i="8"/>
  <c r="C223" i="7"/>
  <c r="C4" i="8" s="1"/>
  <c r="J223" i="7"/>
  <c r="F4" i="8" s="1"/>
  <c r="N232" i="7" a="1"/>
  <c r="N232" i="7" s="1"/>
  <c r="C232" i="7"/>
  <c r="C240" i="8" s="1"/>
  <c r="O232" i="7"/>
  <c r="Q232" i="7" s="1"/>
  <c r="M232" i="7" a="1"/>
  <c r="M232" i="7" s="1"/>
  <c r="K117" i="7"/>
  <c r="C117" i="7"/>
  <c r="C159" i="8" s="1"/>
  <c r="M117" i="7" a="1"/>
  <c r="M117" i="7" s="1"/>
  <c r="J73" i="7"/>
  <c r="F71" i="8" s="1"/>
  <c r="J90" i="7"/>
  <c r="F145" i="8" s="1"/>
  <c r="M90" i="7" a="1"/>
  <c r="M90" i="7" s="1"/>
  <c r="O71" i="7"/>
  <c r="R71" i="7" s="1"/>
  <c r="A202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68" i="8" s="1"/>
  <c r="N234" i="7" a="1"/>
  <c r="N234" i="7" s="1"/>
  <c r="K234" i="7"/>
  <c r="A44" i="8"/>
  <c r="C234" i="7"/>
  <c r="C44" i="8" s="1"/>
  <c r="C227" i="7"/>
  <c r="C58" i="8" s="1"/>
  <c r="O227" i="7"/>
  <c r="M227" i="7" a="1"/>
  <c r="M227" i="7" s="1"/>
  <c r="K227" i="7"/>
  <c r="B180" i="7"/>
  <c r="B54" i="8" s="1"/>
  <c r="M180" i="7" a="1"/>
  <c r="M180" i="7" s="1"/>
  <c r="C180" i="7"/>
  <c r="C54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69" i="8" s="1"/>
  <c r="J132" i="7"/>
  <c r="F151" i="8" s="1"/>
  <c r="O239" i="7"/>
  <c r="R239" i="7" s="1"/>
  <c r="F58" i="7"/>
  <c r="M181" i="7" a="1"/>
  <c r="M181" i="7" s="1"/>
  <c r="J19" i="7"/>
  <c r="F205" i="8" s="1"/>
  <c r="A195" i="8"/>
  <c r="AD147" i="6"/>
  <c r="M45" i="7" a="1"/>
  <c r="M45" i="7" s="1"/>
  <c r="P45" i="7" s="1"/>
  <c r="J45" i="7"/>
  <c r="F212" i="8" s="1"/>
  <c r="C185" i="7"/>
  <c r="C81" i="8" s="1"/>
  <c r="J185" i="7"/>
  <c r="F81" i="8" s="1"/>
  <c r="M185" i="7" a="1"/>
  <c r="M185" i="7" s="1"/>
  <c r="B185" i="7"/>
  <c r="B81" i="8" s="1"/>
  <c r="C242" i="7"/>
  <c r="C166" i="8" s="1"/>
  <c r="M242" i="7" a="1"/>
  <c r="M242" i="7" s="1"/>
  <c r="A77" i="8"/>
  <c r="N202" i="7" a="1"/>
  <c r="N202" i="7" s="1"/>
  <c r="P202" i="7" s="1"/>
  <c r="M202" i="7" a="1"/>
  <c r="M202" i="7" s="1"/>
  <c r="C238" i="7"/>
  <c r="C104" i="8" s="1"/>
  <c r="O238" i="7"/>
  <c r="R238" i="7" s="1"/>
  <c r="A104" i="8"/>
  <c r="O13" i="7"/>
  <c r="C171" i="7"/>
  <c r="C68" i="8" s="1"/>
  <c r="N171" i="7" a="1"/>
  <c r="N171" i="7" s="1"/>
  <c r="P171" i="7" s="1"/>
  <c r="A236" i="8"/>
  <c r="D220" i="7"/>
  <c r="E220" i="7" s="1"/>
  <c r="C102" i="7"/>
  <c r="C16" i="8" s="1"/>
  <c r="D102" i="7"/>
  <c r="E102" i="7" s="1"/>
  <c r="B102" i="7"/>
  <c r="B16" i="8" s="1"/>
  <c r="M102" i="7" a="1"/>
  <c r="M102" i="7" s="1"/>
  <c r="O49" i="7"/>
  <c r="M49" i="7" a="1"/>
  <c r="M49" i="7" s="1"/>
  <c r="K49" i="7"/>
  <c r="C49" i="7"/>
  <c r="C124" i="8" s="1"/>
  <c r="B49" i="7"/>
  <c r="B124" i="8" s="1"/>
  <c r="B39" i="7"/>
  <c r="B158" i="8" s="1"/>
  <c r="F181" i="7"/>
  <c r="F39" i="7"/>
  <c r="O19" i="7"/>
  <c r="R19" i="7" s="1"/>
  <c r="W145" i="6"/>
  <c r="AJ145" i="6" s="1"/>
  <c r="O194" i="7"/>
  <c r="R194" i="7" s="1"/>
  <c r="F180" i="7"/>
  <c r="J227" i="7"/>
  <c r="F58" i="8" s="1"/>
  <c r="O140" i="7"/>
  <c r="Q140" i="7" s="1"/>
  <c r="AE6" i="6"/>
  <c r="AF6" i="6" s="1"/>
  <c r="J6" i="7"/>
  <c r="AD74" i="6"/>
  <c r="AC74" i="6"/>
  <c r="A201" i="8"/>
  <c r="O213" i="7"/>
  <c r="R213" i="7" s="1"/>
  <c r="K213" i="7"/>
  <c r="B213" i="7"/>
  <c r="B201" i="8" s="1"/>
  <c r="M213" i="7" a="1"/>
  <c r="M213" i="7" s="1"/>
  <c r="M92" i="7" a="1"/>
  <c r="M92" i="7" s="1"/>
  <c r="P92" i="7" s="1"/>
  <c r="C92" i="7"/>
  <c r="C152" i="8" s="1"/>
  <c r="B92" i="7"/>
  <c r="B152" i="8" s="1"/>
  <c r="D163" i="7"/>
  <c r="E163" i="7" s="1"/>
  <c r="B163" i="7"/>
  <c r="B14" i="8" s="1"/>
  <c r="K163" i="7"/>
  <c r="A59" i="8"/>
  <c r="F149" i="7"/>
  <c r="K211" i="7"/>
  <c r="N211" i="7" a="1"/>
  <c r="N211" i="7" s="1"/>
  <c r="P211" i="7" s="1"/>
  <c r="A238" i="8"/>
  <c r="N165" i="7" a="1"/>
  <c r="N165" i="7" s="1"/>
  <c r="P165" i="7" s="1"/>
  <c r="M165" i="7" a="1"/>
  <c r="M165" i="7" s="1"/>
  <c r="B246" i="7"/>
  <c r="B242" i="8" s="1"/>
  <c r="A242" i="8"/>
  <c r="N246" i="7" a="1"/>
  <c r="N246" i="7" s="1"/>
  <c r="M246" i="7" a="1"/>
  <c r="M246" i="7" s="1"/>
  <c r="B229" i="7"/>
  <c r="B61" i="8" s="1"/>
  <c r="D229" i="7"/>
  <c r="E229" i="7" s="1"/>
  <c r="N229" i="7" a="1"/>
  <c r="N229" i="7" s="1"/>
  <c r="J156" i="7"/>
  <c r="F53" i="8" s="1"/>
  <c r="C156" i="7"/>
  <c r="C53" i="8" s="1"/>
  <c r="M156" i="7" a="1"/>
  <c r="M156" i="7" s="1"/>
  <c r="N183" i="7" a="1"/>
  <c r="N183" i="7" s="1"/>
  <c r="K183" i="7"/>
  <c r="N204" i="7" a="1"/>
  <c r="N204" i="7" s="1"/>
  <c r="P204" i="7" s="1"/>
  <c r="B204" i="7"/>
  <c r="B229" i="8" s="1"/>
  <c r="M204" i="7" a="1"/>
  <c r="M204" i="7" s="1"/>
  <c r="X4" i="6"/>
  <c r="Y4" i="6" s="1"/>
  <c r="F4" i="7"/>
  <c r="AB197" i="6"/>
  <c r="D138" i="7"/>
  <c r="E138" i="7" s="1"/>
  <c r="N138" i="7" a="1"/>
  <c r="N138" i="7" s="1"/>
  <c r="A21" i="8"/>
  <c r="M170" i="7" a="1"/>
  <c r="M170" i="7" s="1"/>
  <c r="C170" i="7"/>
  <c r="C78" i="8" s="1"/>
  <c r="J168" i="7"/>
  <c r="F26" i="8" s="1"/>
  <c r="G49" i="7"/>
  <c r="G122" i="7"/>
  <c r="G106" i="7"/>
  <c r="G63" i="7"/>
  <c r="G161" i="7"/>
  <c r="G155" i="7"/>
  <c r="G102" i="7"/>
  <c r="G197" i="7"/>
  <c r="G180" i="7"/>
  <c r="G125" i="7"/>
  <c r="G213" i="7"/>
  <c r="G133" i="7"/>
  <c r="G67" i="7"/>
  <c r="G127" i="7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111" i="8" s="1"/>
  <c r="M130" i="7" a="1"/>
  <c r="M130" i="7" s="1"/>
  <c r="C55" i="7"/>
  <c r="C206" i="8" s="1"/>
  <c r="O55" i="7"/>
  <c r="B198" i="7"/>
  <c r="B221" i="8" s="1"/>
  <c r="A221" i="8"/>
  <c r="AB57" i="6"/>
  <c r="AB92" i="6"/>
  <c r="AB90" i="6"/>
  <c r="AB87" i="6"/>
  <c r="AB119" i="6"/>
  <c r="AC149" i="6"/>
  <c r="D103" i="7"/>
  <c r="E103" i="7" s="1"/>
  <c r="O103" i="7"/>
  <c r="Q103" i="7" s="1"/>
  <c r="B134" i="7"/>
  <c r="B39" i="8" s="1"/>
  <c r="K134" i="7"/>
  <c r="G113" i="7"/>
  <c r="G179" i="7"/>
  <c r="G58" i="7"/>
  <c r="G230" i="7"/>
  <c r="G167" i="7"/>
  <c r="G233" i="7"/>
  <c r="G224" i="7"/>
  <c r="G196" i="7"/>
  <c r="U83" i="6"/>
  <c r="AB45" i="6"/>
  <c r="U82" i="6"/>
  <c r="U241" i="6"/>
  <c r="N46" i="7" a="1"/>
  <c r="N46" i="7" s="1"/>
  <c r="O46" i="7"/>
  <c r="R46" i="7" s="1"/>
  <c r="C112" i="7"/>
  <c r="C153" i="8" s="1"/>
  <c r="K112" i="7"/>
  <c r="B99" i="7"/>
  <c r="B178" i="8" s="1"/>
  <c r="M99" i="7" a="1"/>
  <c r="M99" i="7" s="1"/>
  <c r="AB75" i="6"/>
  <c r="U168" i="6"/>
  <c r="U118" i="6"/>
  <c r="U198" i="6"/>
  <c r="O211" i="7"/>
  <c r="R211" i="7" s="1"/>
  <c r="G107" i="7"/>
  <c r="G177" i="7"/>
  <c r="G229" i="7"/>
  <c r="G205" i="7"/>
  <c r="G35" i="7"/>
  <c r="G53" i="7"/>
  <c r="G36" i="7"/>
  <c r="G146" i="7"/>
  <c r="G27" i="7"/>
  <c r="U106" i="6"/>
  <c r="U103" i="6"/>
  <c r="U200" i="6"/>
  <c r="J81" i="7"/>
  <c r="F40" i="8" s="1"/>
  <c r="AB114" i="6"/>
  <c r="U99" i="6"/>
  <c r="U78" i="6"/>
  <c r="U96" i="6"/>
  <c r="AD125" i="6"/>
  <c r="W125" i="6" s="1"/>
  <c r="AE125" i="6" s="1"/>
  <c r="U50" i="6"/>
  <c r="AB28" i="6"/>
  <c r="AB27" i="6"/>
  <c r="O110" i="7"/>
  <c r="R110" i="7" s="1"/>
  <c r="U222" i="6"/>
  <c r="G231" i="7"/>
  <c r="G130" i="7"/>
  <c r="G142" i="7"/>
  <c r="G70" i="7"/>
  <c r="G191" i="7"/>
  <c r="G109" i="7"/>
  <c r="G210" i="7"/>
  <c r="G118" i="7"/>
  <c r="G6" i="7"/>
  <c r="E168" i="7"/>
  <c r="Y156" i="6"/>
  <c r="AH105" i="6"/>
  <c r="E127" i="7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203" i="8"/>
  <c r="B82" i="7"/>
  <c r="B203" i="8" s="1"/>
  <c r="J82" i="7"/>
  <c r="F203" i="8" s="1"/>
  <c r="M82" i="7" a="1"/>
  <c r="M82" i="7" s="1"/>
  <c r="C115" i="7"/>
  <c r="C27" i="8" s="1"/>
  <c r="A27" i="8"/>
  <c r="M115" i="7" a="1"/>
  <c r="M115" i="7" s="1"/>
  <c r="J115" i="7"/>
  <c r="F27" i="8" s="1"/>
  <c r="F115" i="7"/>
  <c r="B115" i="7"/>
  <c r="B27" i="8" s="1"/>
  <c r="N115" i="7" a="1"/>
  <c r="N115" i="7" s="1"/>
  <c r="C228" i="7"/>
  <c r="C189" i="8" s="1"/>
  <c r="F228" i="7"/>
  <c r="A232" i="8"/>
  <c r="J218" i="7"/>
  <c r="F232" i="8" s="1"/>
  <c r="M218" i="7" a="1"/>
  <c r="M218" i="7" s="1"/>
  <c r="D218" i="7"/>
  <c r="E218" i="7" s="1"/>
  <c r="N218" i="7" a="1"/>
  <c r="N218" i="7" s="1"/>
  <c r="P218" i="7" s="1"/>
  <c r="D221" i="7"/>
  <c r="E221" i="7" s="1"/>
  <c r="A185" i="8"/>
  <c r="N52" i="7" a="1"/>
  <c r="N52" i="7" s="1"/>
  <c r="P52" i="7" s="1"/>
  <c r="B52" i="7"/>
  <c r="B185" i="8" s="1"/>
  <c r="K52" i="7"/>
  <c r="M52" i="7" a="1"/>
  <c r="M52" i="7" s="1"/>
  <c r="F208" i="7"/>
  <c r="K208" i="7"/>
  <c r="A241" i="8"/>
  <c r="M148" i="7" a="1"/>
  <c r="M148" i="7" s="1"/>
  <c r="C148" i="7"/>
  <c r="C46" i="8" s="1"/>
  <c r="B148" i="7"/>
  <c r="B46" i="8" s="1"/>
  <c r="N148" i="7" a="1"/>
  <c r="N148" i="7" s="1"/>
  <c r="P148" i="7" s="1"/>
  <c r="AF159" i="6"/>
  <c r="AG159" i="6"/>
  <c r="S159" i="7" s="1"/>
  <c r="K12" i="7"/>
  <c r="A176" i="8"/>
  <c r="O142" i="7"/>
  <c r="B142" i="7"/>
  <c r="B89" i="8" s="1"/>
  <c r="D147" i="7"/>
  <c r="E147" i="7" s="1"/>
  <c r="A75" i="8"/>
  <c r="F147" i="7"/>
  <c r="O147" i="7"/>
  <c r="M147" i="7" a="1"/>
  <c r="M147" i="7" s="1"/>
  <c r="C147" i="7"/>
  <c r="C75" i="8" s="1"/>
  <c r="C226" i="7"/>
  <c r="C84" i="8" s="1"/>
  <c r="A84" i="8"/>
  <c r="F226" i="7"/>
  <c r="M226" i="7" a="1"/>
  <c r="M226" i="7" s="1"/>
  <c r="K226" i="7"/>
  <c r="B226" i="7"/>
  <c r="B84" i="8" s="1"/>
  <c r="K153" i="7"/>
  <c r="B153" i="7"/>
  <c r="B22" i="8" s="1"/>
  <c r="A22" i="8"/>
  <c r="C153" i="7"/>
  <c r="C22" i="8" s="1"/>
  <c r="K27" i="7"/>
  <c r="M27" i="7" a="1"/>
  <c r="M27" i="7" s="1"/>
  <c r="O27" i="7"/>
  <c r="Q27" i="7" s="1"/>
  <c r="F27" i="7"/>
  <c r="A213" i="8"/>
  <c r="N64" i="7" a="1"/>
  <c r="N64" i="7" s="1"/>
  <c r="P64" i="7" s="1"/>
  <c r="F64" i="7"/>
  <c r="C64" i="7"/>
  <c r="C213" i="8" s="1"/>
  <c r="B64" i="7"/>
  <c r="B213" i="8" s="1"/>
  <c r="K64" i="7"/>
  <c r="C32" i="7"/>
  <c r="C218" i="8" s="1"/>
  <c r="D35" i="7"/>
  <c r="E35" i="7" s="1"/>
  <c r="M32" i="7" a="1"/>
  <c r="M32" i="7" s="1"/>
  <c r="F32" i="7"/>
  <c r="K32" i="7"/>
  <c r="O32" i="7"/>
  <c r="Q32" i="7" s="1"/>
  <c r="C12" i="7"/>
  <c r="C209" i="8" s="1"/>
  <c r="M33" i="7" a="1"/>
  <c r="M33" i="7" s="1"/>
  <c r="D33" i="7"/>
  <c r="E33" i="7" s="1"/>
  <c r="B33" i="7"/>
  <c r="B210" i="8" s="1"/>
  <c r="D51" i="7"/>
  <c r="E51" i="7" s="1"/>
  <c r="M48" i="7" a="1"/>
  <c r="M48" i="7" s="1"/>
  <c r="A220" i="8"/>
  <c r="K48" i="7"/>
  <c r="C48" i="7"/>
  <c r="C220" i="8" s="1"/>
  <c r="P172" i="7"/>
  <c r="G150" i="7"/>
  <c r="G168" i="7"/>
  <c r="G162" i="7"/>
  <c r="E150" i="7"/>
  <c r="E54" i="7"/>
  <c r="AD21" i="6"/>
  <c r="W21" i="6" s="1"/>
  <c r="AE21" i="6" s="1"/>
  <c r="AF21" i="6" s="1"/>
  <c r="U66" i="6"/>
  <c r="AD95" i="6"/>
  <c r="AD17" i="6"/>
  <c r="U62" i="6"/>
  <c r="AB80" i="6"/>
  <c r="AB161" i="6"/>
  <c r="O218" i="7"/>
  <c r="O137" i="7"/>
  <c r="AB60" i="6"/>
  <c r="O53" i="7"/>
  <c r="Q53" i="7" s="1"/>
  <c r="A191" i="8"/>
  <c r="N14" i="7" a="1"/>
  <c r="N14" i="7" s="1"/>
  <c r="P14" i="7" s="1"/>
  <c r="K229" i="7"/>
  <c r="K201" i="7"/>
  <c r="K53" i="7"/>
  <c r="AH127" i="6"/>
  <c r="N25" i="7" a="1"/>
  <c r="N25" i="7" s="1"/>
  <c r="K25" i="7"/>
  <c r="A72" i="8"/>
  <c r="K151" i="7"/>
  <c r="M151" i="7" a="1"/>
  <c r="M151" i="7" s="1"/>
  <c r="B15" i="7"/>
  <c r="B184" i="8" s="1"/>
  <c r="D15" i="7"/>
  <c r="E15" i="7" s="1"/>
  <c r="C15" i="7"/>
  <c r="C184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E27" i="7"/>
  <c r="K79" i="7"/>
  <c r="AC81" i="6"/>
  <c r="AD102" i="6"/>
  <c r="W102" i="6" s="1"/>
  <c r="AE102" i="6" s="1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28" i="7"/>
  <c r="G30" i="7"/>
  <c r="G103" i="7"/>
  <c r="G7" i="7"/>
  <c r="G170" i="7"/>
  <c r="G11" i="7"/>
  <c r="G128" i="7"/>
  <c r="G115" i="7"/>
  <c r="G23" i="7"/>
  <c r="G69" i="7"/>
  <c r="G44" i="7"/>
  <c r="G33" i="7"/>
  <c r="G37" i="7"/>
  <c r="Y192" i="6"/>
  <c r="Y219" i="6"/>
  <c r="E101" i="7"/>
  <c r="H43" i="11" a="1"/>
  <c r="H43" i="11" s="1"/>
  <c r="G21" i="7"/>
  <c r="G153" i="7"/>
  <c r="G208" i="7"/>
  <c r="E224" i="7"/>
  <c r="E145" i="7"/>
  <c r="C73" i="7"/>
  <c r="C71" i="8" s="1"/>
  <c r="AH79" i="6"/>
  <c r="AC120" i="6"/>
  <c r="B94" i="7"/>
  <c r="B64" i="8" s="1"/>
  <c r="A64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0" i="6"/>
  <c r="Y181" i="6"/>
  <c r="E55" i="7"/>
  <c r="AC32" i="6"/>
  <c r="AC174" i="6"/>
  <c r="K174" i="7"/>
  <c r="J174" i="7"/>
  <c r="F15" i="8" s="1"/>
  <c r="A239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AH211" i="6"/>
  <c r="G18" i="7"/>
  <c r="G40" i="7"/>
  <c r="G99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2" i="7"/>
  <c r="G242" i="7"/>
  <c r="G212" i="7"/>
  <c r="G198" i="7"/>
  <c r="G132" i="7"/>
  <c r="G105" i="7"/>
  <c r="G76" i="7"/>
  <c r="G47" i="7"/>
  <c r="G15" i="7"/>
  <c r="G34" i="7"/>
  <c r="G19" i="7"/>
  <c r="G43" i="7"/>
  <c r="G41" i="7"/>
  <c r="G88" i="7"/>
  <c r="G62" i="7"/>
  <c r="G204" i="7"/>
  <c r="G237" i="7"/>
  <c r="G86" i="7"/>
  <c r="G163" i="7"/>
  <c r="G89" i="7"/>
  <c r="G236" i="7"/>
  <c r="G193" i="7"/>
  <c r="G175" i="7"/>
  <c r="G154" i="7"/>
  <c r="G220" i="7"/>
  <c r="G141" i="7"/>
  <c r="G111" i="7"/>
  <c r="G84" i="7"/>
  <c r="G126" i="7"/>
  <c r="G48" i="7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AD75" i="6"/>
  <c r="AD81" i="6"/>
  <c r="AB102" i="6"/>
  <c r="AB63" i="6"/>
  <c r="AB150" i="6"/>
  <c r="AB76" i="6"/>
  <c r="AD167" i="6"/>
  <c r="W167" i="6" s="1"/>
  <c r="AG78" i="6"/>
  <c r="S78" i="7" s="1"/>
  <c r="AD26" i="6"/>
  <c r="X103" i="6"/>
  <c r="Y103" i="6" s="1"/>
  <c r="X7" i="6"/>
  <c r="Y7" i="6" s="1"/>
  <c r="X59" i="6"/>
  <c r="Y59" i="6" s="1"/>
  <c r="AH15" i="6"/>
  <c r="X131" i="6"/>
  <c r="E44" i="7"/>
  <c r="Y201" i="6"/>
  <c r="Y53" i="6"/>
  <c r="Y163" i="6"/>
  <c r="E130" i="7"/>
  <c r="Y104" i="6"/>
  <c r="Y13" i="6"/>
  <c r="X17" i="6"/>
  <c r="Y17" i="6" s="1"/>
  <c r="X157" i="6"/>
  <c r="Y157" i="6" s="1"/>
  <c r="Y20" i="6"/>
  <c r="AF238" i="6"/>
  <c r="E174" i="7"/>
  <c r="E239" i="7"/>
  <c r="AF219" i="6"/>
  <c r="Y136" i="6"/>
  <c r="W72" i="6"/>
  <c r="AE72" i="6" s="1"/>
  <c r="E49" i="7"/>
  <c r="AF210" i="6"/>
  <c r="AF105" i="6"/>
  <c r="U157" i="6"/>
  <c r="U167" i="6"/>
  <c r="X66" i="6"/>
  <c r="Y66" i="6" s="1"/>
  <c r="X137" i="6"/>
  <c r="Y137" i="6" s="1"/>
  <c r="X94" i="6"/>
  <c r="Y94" i="6" s="1"/>
  <c r="X226" i="6"/>
  <c r="AB107" i="6"/>
  <c r="AB151" i="6"/>
  <c r="X41" i="6"/>
  <c r="Y41" i="6" s="1"/>
  <c r="X107" i="6"/>
  <c r="Y107" i="6" s="1"/>
  <c r="X88" i="6"/>
  <c r="Y88" i="6" s="1"/>
  <c r="X62" i="6"/>
  <c r="Y62" i="6" s="1"/>
  <c r="X204" i="6"/>
  <c r="Y204" i="6" s="1"/>
  <c r="Y128" i="6"/>
  <c r="AF15" i="6"/>
  <c r="AC26" i="6"/>
  <c r="U180" i="6"/>
  <c r="AC154" i="6"/>
  <c r="U12" i="6"/>
  <c r="AB68" i="6"/>
  <c r="F46" i="7"/>
  <c r="AC113" i="6"/>
  <c r="AB111" i="6"/>
  <c r="Y206" i="6"/>
  <c r="Y159" i="6"/>
  <c r="X99" i="6"/>
  <c r="Y99" i="6" s="1"/>
  <c r="X8" i="6"/>
  <c r="AG238" i="6"/>
  <c r="S238" i="7" s="1"/>
  <c r="AG210" i="6"/>
  <c r="S210" i="7" s="1"/>
  <c r="Y35" i="6"/>
  <c r="Y111" i="6"/>
  <c r="X143" i="6"/>
  <c r="X147" i="6"/>
  <c r="AF156" i="6"/>
  <c r="AH156" i="6"/>
  <c r="AH212" i="6"/>
  <c r="AG203" i="6"/>
  <c r="S203" i="7" s="1"/>
  <c r="Y220" i="6"/>
  <c r="Q93" i="7"/>
  <c r="AF220" i="6"/>
  <c r="AF37" i="6"/>
  <c r="AG37" i="6"/>
  <c r="S37" i="7" s="1"/>
  <c r="AH37" i="6"/>
  <c r="Y121" i="6"/>
  <c r="X238" i="6"/>
  <c r="Y238" i="6" s="1"/>
  <c r="AF199" i="6"/>
  <c r="AG199" i="6"/>
  <c r="S199" i="7" s="1"/>
  <c r="AH199" i="6"/>
  <c r="Y89" i="6"/>
  <c r="Y87" i="6"/>
  <c r="E115" i="7"/>
  <c r="W29" i="6"/>
  <c r="E200" i="7"/>
  <c r="AH78" i="6"/>
  <c r="E36" i="7"/>
  <c r="Y112" i="6"/>
  <c r="E235" i="7"/>
  <c r="AF59" i="6"/>
  <c r="AG59" i="6"/>
  <c r="S59" i="7" s="1"/>
  <c r="Y39" i="6"/>
  <c r="Y239" i="6"/>
  <c r="Y71" i="6"/>
  <c r="Y16" i="6"/>
  <c r="Y6" i="6"/>
  <c r="E131" i="7"/>
  <c r="E143" i="7"/>
  <c r="E182" i="7"/>
  <c r="Y77" i="6"/>
  <c r="AF225" i="6"/>
  <c r="AG225" i="6"/>
  <c r="S225" i="7" s="1"/>
  <c r="AG156" i="6"/>
  <c r="S156" i="7" s="1"/>
  <c r="AH203" i="6"/>
  <c r="AH225" i="6"/>
  <c r="AH219" i="6"/>
  <c r="AF33" i="6"/>
  <c r="AH33" i="6"/>
  <c r="AG126" i="6"/>
  <c r="S126" i="7" s="1"/>
  <c r="AF126" i="6"/>
  <c r="Y167" i="6"/>
  <c r="AB37" i="6"/>
  <c r="Y19" i="6"/>
  <c r="E240" i="7"/>
  <c r="U79" i="6"/>
  <c r="AD116" i="6"/>
  <c r="U156" i="6"/>
  <c r="AC24" i="6"/>
  <c r="AB125" i="6"/>
  <c r="AB31" i="6"/>
  <c r="U60" i="6"/>
  <c r="Y153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AG18" i="6"/>
  <c r="S18" i="7" s="1"/>
  <c r="AH18" i="6"/>
  <c r="Y185" i="6"/>
  <c r="W185" i="6"/>
  <c r="E196" i="7"/>
  <c r="W153" i="6"/>
  <c r="AG127" i="6"/>
  <c r="S127" i="7" s="1"/>
  <c r="AF127" i="6"/>
  <c r="AG36" i="6"/>
  <c r="S36" i="7" s="1"/>
  <c r="AF36" i="6"/>
  <c r="AF104" i="6"/>
  <c r="AH104" i="6"/>
  <c r="AH198" i="6"/>
  <c r="AG198" i="6"/>
  <c r="S198" i="7" s="1"/>
  <c r="E137" i="7"/>
  <c r="Y31" i="6"/>
  <c r="E144" i="7"/>
  <c r="E117" i="7"/>
  <c r="E16" i="7"/>
  <c r="AH59" i="6"/>
  <c r="Y208" i="6"/>
  <c r="AH159" i="6"/>
  <c r="E64" i="7"/>
  <c r="Y152" i="6"/>
  <c r="E112" i="7"/>
  <c r="Y5" i="6"/>
  <c r="E202" i="7"/>
  <c r="Y221" i="6"/>
  <c r="AF99" i="6"/>
  <c r="AH99" i="6"/>
  <c r="F201" i="8"/>
  <c r="AH220" i="6"/>
  <c r="AD78" i="6"/>
  <c r="AC78" i="6"/>
  <c r="AC10" i="6"/>
  <c r="O10" i="7"/>
  <c r="AD133" i="6"/>
  <c r="AC133" i="6"/>
  <c r="M162" i="7" a="1"/>
  <c r="M162" i="7" s="1"/>
  <c r="A60" i="8"/>
  <c r="J162" i="7"/>
  <c r="F60" i="8" s="1"/>
  <c r="C70" i="7"/>
  <c r="C190" i="8" s="1"/>
  <c r="M70" i="7" a="1"/>
  <c r="M70" i="7" s="1"/>
  <c r="O29" i="7"/>
  <c r="K29" i="7"/>
  <c r="C72" i="7"/>
  <c r="C197" i="8" s="1"/>
  <c r="D75" i="7"/>
  <c r="E75" i="7" s="1"/>
  <c r="K72" i="7"/>
  <c r="O72" i="7"/>
  <c r="B72" i="7"/>
  <c r="B197" i="8" s="1"/>
  <c r="J108" i="7"/>
  <c r="F170" i="8" s="1"/>
  <c r="A170" i="8"/>
  <c r="C108" i="7"/>
  <c r="C170" i="8" s="1"/>
  <c r="K108" i="7"/>
  <c r="N108" i="7" a="1"/>
  <c r="N108" i="7" s="1"/>
  <c r="P108" i="7" s="1"/>
  <c r="D108" i="7"/>
  <c r="E108" i="7" s="1"/>
  <c r="M108" i="7" a="1"/>
  <c r="M108" i="7" s="1"/>
  <c r="N100" i="7" a="1"/>
  <c r="N100" i="7" s="1"/>
  <c r="P100" i="7" s="1"/>
  <c r="M100" i="7" a="1"/>
  <c r="M100" i="7" s="1"/>
  <c r="C57" i="7"/>
  <c r="C97" i="8" s="1"/>
  <c r="N57" i="7" a="1"/>
  <c r="N57" i="7" s="1"/>
  <c r="M205" i="7" a="1"/>
  <c r="M205" i="7" s="1"/>
  <c r="C205" i="7"/>
  <c r="C91" i="8" s="1"/>
  <c r="C39" i="7"/>
  <c r="C158" i="8" s="1"/>
  <c r="D39" i="7"/>
  <c r="E39" i="7" s="1"/>
  <c r="A158" i="8"/>
  <c r="N70" i="7" a="1"/>
  <c r="N70" i="7" s="1"/>
  <c r="G72" i="7"/>
  <c r="AD79" i="6"/>
  <c r="O79" i="7"/>
  <c r="O111" i="7"/>
  <c r="AD111" i="6"/>
  <c r="W111" i="6" s="1"/>
  <c r="B242" i="7"/>
  <c r="B166" i="8" s="1"/>
  <c r="N242" i="7" a="1"/>
  <c r="N242" i="7" s="1"/>
  <c r="P242" i="7" s="1"/>
  <c r="A166" i="8"/>
  <c r="K38" i="7"/>
  <c r="M38" i="7" a="1"/>
  <c r="M38" i="7" s="1"/>
  <c r="K85" i="7"/>
  <c r="D88" i="7"/>
  <c r="E88" i="7" s="1"/>
  <c r="C85" i="7"/>
  <c r="C34" i="8" s="1"/>
  <c r="A34" i="8"/>
  <c r="K61" i="7"/>
  <c r="N61" i="7" a="1"/>
  <c r="N61" i="7" s="1"/>
  <c r="M21" i="7" a="1"/>
  <c r="M21" i="7" s="1"/>
  <c r="D70" i="7"/>
  <c r="E70" i="7" s="1"/>
  <c r="AC70" i="6"/>
  <c r="N142" i="7" a="1"/>
  <c r="N142" i="7" s="1"/>
  <c r="A89" i="8"/>
  <c r="A209" i="8"/>
  <c r="B12" i="7"/>
  <c r="B209" i="8" s="1"/>
  <c r="J12" i="7"/>
  <c r="B30" i="7"/>
  <c r="B181" i="8" s="1"/>
  <c r="D30" i="7"/>
  <c r="E30" i="7" s="1"/>
  <c r="A160" i="8"/>
  <c r="K235" i="7"/>
  <c r="A57" i="8"/>
  <c r="J86" i="7"/>
  <c r="F57" i="8" s="1"/>
  <c r="C86" i="7"/>
  <c r="C57" i="8" s="1"/>
  <c r="K129" i="7"/>
  <c r="F129" i="7"/>
  <c r="B199" i="7"/>
  <c r="B222" i="8" s="1"/>
  <c r="K199" i="7"/>
  <c r="A222" i="8"/>
  <c r="M199" i="7" a="1"/>
  <c r="M199" i="7" s="1"/>
  <c r="D216" i="7"/>
  <c r="E216" i="7" s="1"/>
  <c r="K216" i="7"/>
  <c r="N150" i="7" a="1"/>
  <c r="N150" i="7" s="1"/>
  <c r="C150" i="7"/>
  <c r="C55" i="8" s="1"/>
  <c r="M150" i="7" a="1"/>
  <c r="M150" i="7" s="1"/>
  <c r="J150" i="7"/>
  <c r="A55" i="8"/>
  <c r="C247" i="7"/>
  <c r="C243" i="8" s="1"/>
  <c r="K247" i="7"/>
  <c r="M72" i="7" a="1"/>
  <c r="M72" i="7" s="1"/>
  <c r="AD162" i="6"/>
  <c r="AC162" i="6"/>
  <c r="O64" i="7"/>
  <c r="M64" i="7" a="1"/>
  <c r="M64" i="7" s="1"/>
  <c r="B215" i="7"/>
  <c r="B18" i="8" s="1"/>
  <c r="A18" i="8"/>
  <c r="A122" i="8"/>
  <c r="J195" i="7"/>
  <c r="A233" i="8"/>
  <c r="C222" i="7"/>
  <c r="C233" i="8" s="1"/>
  <c r="N231" i="7" a="1"/>
  <c r="N231" i="7" s="1"/>
  <c r="K231" i="7"/>
  <c r="M19" i="7" a="1"/>
  <c r="M19" i="7" s="1"/>
  <c r="D19" i="7"/>
  <c r="E19" i="7" s="1"/>
  <c r="A205" i="8"/>
  <c r="D22" i="7"/>
  <c r="E22" i="7" s="1"/>
  <c r="N19" i="7" a="1"/>
  <c r="N19" i="7" s="1"/>
  <c r="B19" i="7"/>
  <c r="B205" i="8" s="1"/>
  <c r="C19" i="7"/>
  <c r="C205" i="8" s="1"/>
  <c r="B60" i="7"/>
  <c r="B192" i="8" s="1"/>
  <c r="K60" i="7"/>
  <c r="N62" i="7" a="1"/>
  <c r="N62" i="7" s="1"/>
  <c r="P62" i="7" s="1"/>
  <c r="O62" i="7"/>
  <c r="A163" i="8"/>
  <c r="D93" i="7"/>
  <c r="E93" i="7" s="1"/>
  <c r="O90" i="7"/>
  <c r="B90" i="7"/>
  <c r="B145" i="8" s="1"/>
  <c r="K90" i="7"/>
  <c r="K83" i="7"/>
  <c r="G83" i="7"/>
  <c r="D86" i="7"/>
  <c r="E86" i="7" s="1"/>
  <c r="C83" i="7"/>
  <c r="C24" i="8" s="1"/>
  <c r="K243" i="7"/>
  <c r="M243" i="7" a="1"/>
  <c r="M243" i="7" s="1"/>
  <c r="P243" i="7" s="1"/>
  <c r="O119" i="7"/>
  <c r="J119" i="7"/>
  <c r="C119" i="7"/>
  <c r="C100" i="8" s="1"/>
  <c r="A100" i="8"/>
  <c r="M50" i="7" a="1"/>
  <c r="M50" i="7" s="1"/>
  <c r="K50" i="7"/>
  <c r="C50" i="7"/>
  <c r="C167" i="8" s="1"/>
  <c r="O50" i="7"/>
  <c r="A167" i="8"/>
  <c r="N50" i="7" a="1"/>
  <c r="N50" i="7" s="1"/>
  <c r="G29" i="7"/>
  <c r="C45" i="7"/>
  <c r="C212" i="8" s="1"/>
  <c r="C162" i="7"/>
  <c r="C60" i="8" s="1"/>
  <c r="AD139" i="6"/>
  <c r="O139" i="7"/>
  <c r="M63" i="7" a="1"/>
  <c r="M63" i="7" s="1"/>
  <c r="N63" i="7" a="1"/>
  <c r="N63" i="7" s="1"/>
  <c r="B63" i="7"/>
  <c r="B208" i="8" s="1"/>
  <c r="O63" i="7"/>
  <c r="B200" i="7"/>
  <c r="B20" i="8" s="1"/>
  <c r="K200" i="7"/>
  <c r="J200" i="7"/>
  <c r="C200" i="7"/>
  <c r="C20" i="8" s="1"/>
  <c r="C27" i="7"/>
  <c r="C183" i="8" s="1"/>
  <c r="N27" i="7" a="1"/>
  <c r="N27" i="7" s="1"/>
  <c r="A183" i="8"/>
  <c r="B27" i="7"/>
  <c r="B183" i="8" s="1"/>
  <c r="J27" i="7"/>
  <c r="K175" i="7"/>
  <c r="N175" i="7" a="1"/>
  <c r="N175" i="7" s="1"/>
  <c r="D43" i="7"/>
  <c r="E43" i="7" s="1"/>
  <c r="A194" i="8"/>
  <c r="N90" i="7" a="1"/>
  <c r="N90" i="7" s="1"/>
  <c r="C44" i="7"/>
  <c r="C134" i="8" s="1"/>
  <c r="D47" i="7"/>
  <c r="E47" i="7" s="1"/>
  <c r="K44" i="7"/>
  <c r="N44" i="7" a="1"/>
  <c r="N44" i="7" s="1"/>
  <c r="N51" i="7" a="1"/>
  <c r="N51" i="7" s="1"/>
  <c r="P51" i="7" s="1"/>
  <c r="N236" i="7" a="1"/>
  <c r="N236" i="7" s="1"/>
  <c r="K236" i="7"/>
  <c r="B209" i="7"/>
  <c r="B234" i="8" s="1"/>
  <c r="M209" i="7" a="1"/>
  <c r="M209" i="7" s="1"/>
  <c r="N149" i="7" a="1"/>
  <c r="N149" i="7" s="1"/>
  <c r="B149" i="7"/>
  <c r="B59" i="8" s="1"/>
  <c r="D149" i="7"/>
  <c r="E14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74" i="7" a="1"/>
  <c r="N174" i="7" s="1"/>
  <c r="A15" i="8"/>
  <c r="C174" i="7"/>
  <c r="C15" i="8" s="1"/>
  <c r="O174" i="7"/>
  <c r="N119" i="7" a="1"/>
  <c r="N119" i="7" s="1"/>
  <c r="A24" i="8"/>
  <c r="H42" i="11" a="1"/>
  <c r="H42" i="11" s="1"/>
  <c r="D31" i="7"/>
  <c r="E31" i="7" s="1"/>
  <c r="C28" i="7"/>
  <c r="C215" i="8" s="1"/>
  <c r="A83" i="8"/>
  <c r="G24" i="7"/>
  <c r="B24" i="7"/>
  <c r="B83" i="8" s="1"/>
  <c r="O24" i="7"/>
  <c r="M24" i="7" a="1"/>
  <c r="M24" i="7" s="1"/>
  <c r="N24" i="7" a="1"/>
  <c r="N24" i="7" s="1"/>
  <c r="K24" i="7"/>
  <c r="N13" i="7" a="1"/>
  <c r="N13" i="7" s="1"/>
  <c r="J13" i="7"/>
  <c r="F169" i="8" s="1"/>
  <c r="K13" i="7"/>
  <c r="D13" i="7"/>
  <c r="E13" i="7" s="1"/>
  <c r="A161" i="8"/>
  <c r="M157" i="7" a="1"/>
  <c r="M157" i="7" s="1"/>
  <c r="N43" i="7" a="1"/>
  <c r="N43" i="7" s="1"/>
  <c r="P43" i="7" s="1"/>
  <c r="O43" i="7"/>
  <c r="C43" i="7"/>
  <c r="C139" i="8" s="1"/>
  <c r="B194" i="7"/>
  <c r="B199" i="8" s="1"/>
  <c r="A199" i="8"/>
  <c r="AC180" i="6"/>
  <c r="O180" i="7"/>
  <c r="U192" i="6"/>
  <c r="AC46" i="6"/>
  <c r="AD46" i="6"/>
  <c r="W46" i="6" s="1"/>
  <c r="D185" i="7"/>
  <c r="E185" i="7" s="1"/>
  <c r="N185" i="7" a="1"/>
  <c r="N185" i="7" s="1"/>
  <c r="K185" i="7"/>
  <c r="O185" i="7"/>
  <c r="B68" i="7"/>
  <c r="B8" i="8" s="1"/>
  <c r="C68" i="7"/>
  <c r="C8" i="8" s="1"/>
  <c r="C192" i="7"/>
  <c r="C17" i="8" s="1"/>
  <c r="J192" i="7"/>
  <c r="B192" i="7"/>
  <c r="B17" i="8" s="1"/>
  <c r="M192" i="7" a="1"/>
  <c r="M192" i="7" s="1"/>
  <c r="A78" i="8"/>
  <c r="N170" i="7" a="1"/>
  <c r="N170" i="7" s="1"/>
  <c r="O120" i="7"/>
  <c r="N120" i="7" a="1"/>
  <c r="N120" i="7" s="1"/>
  <c r="P120" i="7" s="1"/>
  <c r="A56" i="8"/>
  <c r="O56" i="7"/>
  <c r="M113" i="7" a="1"/>
  <c r="M113" i="7" s="1"/>
  <c r="K113" i="7"/>
  <c r="U128" i="6"/>
  <c r="AD217" i="6"/>
  <c r="O217" i="7"/>
  <c r="U122" i="6"/>
  <c r="AD44" i="6"/>
  <c r="W44" i="6" s="1"/>
  <c r="AC44" i="6"/>
  <c r="AC219" i="6"/>
  <c r="AD219" i="6"/>
  <c r="C177" i="7"/>
  <c r="C67" i="8" s="1"/>
  <c r="K177" i="7"/>
  <c r="J177" i="7"/>
  <c r="K181" i="7"/>
  <c r="O181" i="7"/>
  <c r="N221" i="7" a="1"/>
  <c r="N221" i="7" s="1"/>
  <c r="P221" i="7" s="1"/>
  <c r="C221" i="7"/>
  <c r="C195" i="8" s="1"/>
  <c r="B221" i="7"/>
  <c r="B195" i="8" s="1"/>
  <c r="J212" i="7"/>
  <c r="D107" i="7"/>
  <c r="E107" i="7" s="1"/>
  <c r="K107" i="7"/>
  <c r="D155" i="7"/>
  <c r="E155" i="7" s="1"/>
  <c r="N155" i="7" a="1"/>
  <c r="N155" i="7" s="1"/>
  <c r="P155" i="7" s="1"/>
  <c r="A92" i="8"/>
  <c r="F17" i="7"/>
  <c r="B75" i="7"/>
  <c r="B38" i="8" s="1"/>
  <c r="C75" i="7"/>
  <c r="C38" i="8" s="1"/>
  <c r="O166" i="7"/>
  <c r="M166" i="7" a="1"/>
  <c r="M166" i="7" s="1"/>
  <c r="A138" i="8"/>
  <c r="U95" i="6"/>
  <c r="AE32" i="6"/>
  <c r="J32" i="7"/>
  <c r="G95" i="7"/>
  <c r="K139" i="7"/>
  <c r="B139" i="7"/>
  <c r="B70" i="8" s="1"/>
  <c r="N139" i="7" a="1"/>
  <c r="N139" i="7" s="1"/>
  <c r="A70" i="8"/>
  <c r="B196" i="7"/>
  <c r="B235" i="8" s="1"/>
  <c r="M196" i="7" a="1"/>
  <c r="M196" i="7" s="1"/>
  <c r="A235" i="8"/>
  <c r="N196" i="7" a="1"/>
  <c r="N196" i="7" s="1"/>
  <c r="C220" i="7"/>
  <c r="C236" i="8" s="1"/>
  <c r="C97" i="7"/>
  <c r="C94" i="8" s="1"/>
  <c r="O97" i="7"/>
  <c r="Y72" i="6"/>
  <c r="N106" i="7" a="1"/>
  <c r="N106" i="7" s="1"/>
  <c r="P106" i="7" s="1"/>
  <c r="A31" i="8"/>
  <c r="A81" i="8"/>
  <c r="C172" i="7"/>
  <c r="C49" i="8" s="1"/>
  <c r="K172" i="7"/>
  <c r="K65" i="7"/>
  <c r="N65" i="7" a="1"/>
  <c r="N65" i="7" s="1"/>
  <c r="F65" i="7"/>
  <c r="O15" i="7"/>
  <c r="A110" i="8"/>
  <c r="H44" i="11" a="1"/>
  <c r="H44" i="11" s="1"/>
  <c r="B104" i="7"/>
  <c r="B173" i="8" s="1"/>
  <c r="A173" i="8"/>
  <c r="U113" i="6"/>
  <c r="C201" i="7"/>
  <c r="C187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59" i="8"/>
  <c r="AF158" i="6"/>
  <c r="AH158" i="6"/>
  <c r="AG158" i="6"/>
  <c r="S158" i="7" s="1"/>
  <c r="AG208" i="6"/>
  <c r="S208" i="7" s="1"/>
  <c r="AH208" i="6"/>
  <c r="B91" i="7"/>
  <c r="B23" i="8" s="1"/>
  <c r="D94" i="7"/>
  <c r="E94" i="7" s="1"/>
  <c r="N91" i="7" a="1"/>
  <c r="N91" i="7" s="1"/>
  <c r="P91" i="7" s="1"/>
  <c r="O91" i="7"/>
  <c r="C101" i="7"/>
  <c r="C127" i="8" s="1"/>
  <c r="O101" i="7"/>
  <c r="A127" i="8"/>
  <c r="B22" i="7"/>
  <c r="B119" i="8" s="1"/>
  <c r="M22" i="7" a="1"/>
  <c r="M22" i="7" s="1"/>
  <c r="K22" i="7"/>
  <c r="N22" i="7" a="1"/>
  <c r="N22" i="7" s="1"/>
  <c r="D25" i="7"/>
  <c r="E25" i="7" s="1"/>
  <c r="A119" i="8"/>
  <c r="K224" i="7"/>
  <c r="M224" i="7" a="1"/>
  <c r="M224" i="7" s="1"/>
  <c r="J131" i="7"/>
  <c r="A47" i="8"/>
  <c r="N191" i="7" a="1"/>
  <c r="N191" i="7" s="1"/>
  <c r="C191" i="7"/>
  <c r="C9" i="8" s="1"/>
  <c r="N8" i="7" a="1"/>
  <c r="N8" i="7" s="1"/>
  <c r="G8" i="7"/>
  <c r="O8" i="7"/>
  <c r="C8" i="7"/>
  <c r="C29" i="8" s="1"/>
  <c r="A29" i="8"/>
  <c r="A146" i="8"/>
  <c r="B141" i="7"/>
  <c r="B146" i="8" s="1"/>
  <c r="D141" i="7"/>
  <c r="E141" i="7" s="1"/>
  <c r="C141" i="7"/>
  <c r="C146" i="8" s="1"/>
  <c r="M141" i="7" a="1"/>
  <c r="M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136" i="8" s="1"/>
  <c r="K225" i="7"/>
  <c r="N225" i="7" a="1"/>
  <c r="N225" i="7" s="1"/>
  <c r="P225" i="7" s="1"/>
  <c r="A225" i="8"/>
  <c r="D228" i="7"/>
  <c r="E228" i="7" s="1"/>
  <c r="M225" i="7" a="1"/>
  <c r="M225" i="7" s="1"/>
  <c r="C54" i="7"/>
  <c r="C180" i="8" s="1"/>
  <c r="A180" i="8"/>
  <c r="B54" i="7"/>
  <c r="B180" i="8" s="1"/>
  <c r="M54" i="7" a="1"/>
  <c r="M54" i="7" s="1"/>
  <c r="C65" i="7"/>
  <c r="C188" i="8" s="1"/>
  <c r="M222" i="7" a="1"/>
  <c r="M222" i="7" s="1"/>
  <c r="B222" i="7"/>
  <c r="B233" i="8" s="1"/>
  <c r="A54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60" i="8" s="1"/>
  <c r="K162" i="7"/>
  <c r="N162" i="7" a="1"/>
  <c r="N162" i="7" s="1"/>
  <c r="P162" i="7" s="1"/>
  <c r="D162" i="7"/>
  <c r="E162" i="7" s="1"/>
  <c r="O47" i="7"/>
  <c r="A112" i="8"/>
  <c r="N151" i="7" a="1"/>
  <c r="N151" i="7" s="1"/>
  <c r="B174" i="7"/>
  <c r="B15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134" i="8" s="1"/>
  <c r="N107" i="7" a="1"/>
  <c r="N107" i="7" s="1"/>
  <c r="H37" i="11" a="1"/>
  <c r="H37" i="11" s="1"/>
  <c r="B232" i="7"/>
  <c r="B240" i="8" s="1"/>
  <c r="A240" i="8"/>
  <c r="B73" i="7"/>
  <c r="B71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65" i="8" s="1"/>
  <c r="C194" i="7"/>
  <c r="C199" i="8" s="1"/>
  <c r="N194" i="7" a="1"/>
  <c r="N194" i="7" s="1"/>
  <c r="P194" i="7" s="1"/>
  <c r="N85" i="7" a="1"/>
  <c r="N85" i="7" s="1"/>
  <c r="B85" i="7"/>
  <c r="B34" i="8" s="1"/>
  <c r="C107" i="7"/>
  <c r="C172" i="8" s="1"/>
  <c r="J107" i="7"/>
  <c r="M107" i="7" a="1"/>
  <c r="M107" i="7" s="1"/>
  <c r="K168" i="7"/>
  <c r="B168" i="7"/>
  <c r="B26" i="8" s="1"/>
  <c r="U138" i="6"/>
  <c r="N188" i="7" a="1"/>
  <c r="N188" i="7" s="1"/>
  <c r="O188" i="7"/>
  <c r="K39" i="7"/>
  <c r="N39" i="7" a="1"/>
  <c r="N39" i="7" s="1"/>
  <c r="P39" i="7" s="1"/>
  <c r="J39" i="7"/>
  <c r="B79" i="7"/>
  <c r="B224" i="8" s="1"/>
  <c r="C79" i="7"/>
  <c r="C224" i="8" s="1"/>
  <c r="M193" i="7" a="1"/>
  <c r="M193" i="7" s="1"/>
  <c r="C193" i="7"/>
  <c r="C33" i="8" s="1"/>
  <c r="B193" i="7"/>
  <c r="B33" i="8" s="1"/>
  <c r="A33" i="8"/>
  <c r="O193" i="7"/>
  <c r="M111" i="7" a="1"/>
  <c r="M111" i="7" s="1"/>
  <c r="C111" i="7"/>
  <c r="C114" i="8" s="1"/>
  <c r="J111" i="7"/>
  <c r="N86" i="7" a="1"/>
  <c r="N86" i="7" s="1"/>
  <c r="P86" i="7" s="1"/>
  <c r="M86" i="7" a="1"/>
  <c r="M86" i="7" s="1"/>
  <c r="J211" i="7"/>
  <c r="D211" i="7"/>
  <c r="E211" i="7" s="1"/>
  <c r="C181" i="7"/>
  <c r="C69" i="8" s="1"/>
  <c r="A139" i="8"/>
  <c r="M43" i="7" a="1"/>
  <c r="M43" i="7" s="1"/>
  <c r="B43" i="7"/>
  <c r="B139" i="8" s="1"/>
  <c r="B53" i="7"/>
  <c r="B193" i="8" s="1"/>
  <c r="J53" i="7"/>
  <c r="C113" i="7"/>
  <c r="C110" i="8" s="1"/>
  <c r="J113" i="7"/>
  <c r="U233" i="6"/>
  <c r="M236" i="7" a="1"/>
  <c r="M236" i="7" s="1"/>
  <c r="K105" i="7"/>
  <c r="J105" i="7"/>
  <c r="C82" i="7"/>
  <c r="C203" i="8" s="1"/>
  <c r="O82" i="7"/>
  <c r="N132" i="7" a="1"/>
  <c r="N132" i="7" s="1"/>
  <c r="P132" i="7" s="1"/>
  <c r="A151" i="8"/>
  <c r="O132" i="7"/>
  <c r="M76" i="7" a="1"/>
  <c r="M76" i="7" s="1"/>
  <c r="C76" i="7"/>
  <c r="C133" i="8" s="1"/>
  <c r="M152" i="7" a="1"/>
  <c r="M152" i="7" s="1"/>
  <c r="N152" i="7" a="1"/>
  <c r="N152" i="7" s="1"/>
  <c r="N205" i="7" a="1"/>
  <c r="N205" i="7" s="1"/>
  <c r="P205" i="7" s="1"/>
  <c r="A91" i="8"/>
  <c r="N32" i="7" a="1"/>
  <c r="N32" i="7" s="1"/>
  <c r="P32" i="7" s="1"/>
  <c r="A21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26" i="8" s="1"/>
  <c r="N105" i="7" a="1"/>
  <c r="N105" i="7" s="1"/>
  <c r="P105" i="7" s="1"/>
  <c r="N82" i="7" a="1"/>
  <c r="N82" i="7" s="1"/>
  <c r="P82" i="7" s="1"/>
  <c r="C132" i="7"/>
  <c r="C151" i="8" s="1"/>
  <c r="W236" i="6" l="1"/>
  <c r="AE236" i="6" s="1"/>
  <c r="AF236" i="6" s="1"/>
  <c r="W23" i="6"/>
  <c r="AJ23" i="6" s="1"/>
  <c r="W109" i="6"/>
  <c r="W35" i="6"/>
  <c r="W39" i="6"/>
  <c r="W24" i="6"/>
  <c r="W12" i="6"/>
  <c r="AE12" i="6" s="1"/>
  <c r="W189" i="6"/>
  <c r="AJ189" i="6" s="1"/>
  <c r="W62" i="6"/>
  <c r="AE62" i="6" s="1"/>
  <c r="AG62" i="6" s="1"/>
  <c r="S62" i="7" s="1"/>
  <c r="Q223" i="7"/>
  <c r="R167" i="7"/>
  <c r="R172" i="7"/>
  <c r="W5" i="6"/>
  <c r="AE5" i="6" s="1"/>
  <c r="Q16" i="7"/>
  <c r="R198" i="7"/>
  <c r="W113" i="6"/>
  <c r="AE113" i="6" s="1"/>
  <c r="AF113" i="6" s="1"/>
  <c r="W69" i="6"/>
  <c r="W163" i="6"/>
  <c r="Q171" i="7"/>
  <c r="W154" i="6"/>
  <c r="AE154" i="6" s="1"/>
  <c r="W171" i="6"/>
  <c r="AJ171" i="6" s="1"/>
  <c r="W138" i="6"/>
  <c r="AE138" i="6" s="1"/>
  <c r="AG138" i="6" s="1"/>
  <c r="S138" i="7" s="1"/>
  <c r="L136" i="7"/>
  <c r="Q143" i="7"/>
  <c r="W81" i="6"/>
  <c r="AE81" i="6" s="1"/>
  <c r="AH81" i="6" s="1"/>
  <c r="AI81" i="6" s="1"/>
  <c r="W170" i="6"/>
  <c r="AE170" i="6" s="1"/>
  <c r="L84" i="7"/>
  <c r="AG53" i="6"/>
  <c r="S53" i="7" s="1"/>
  <c r="AF53" i="6"/>
  <c r="AF76" i="6"/>
  <c r="P61" i="7"/>
  <c r="R240" i="7"/>
  <c r="W129" i="6"/>
  <c r="AJ129" i="6" s="1"/>
  <c r="W86" i="6"/>
  <c r="Q162" i="7"/>
  <c r="W26" i="6"/>
  <c r="AE26" i="6" s="1"/>
  <c r="W217" i="6"/>
  <c r="AE217" i="6" s="1"/>
  <c r="W184" i="6"/>
  <c r="AJ184" i="6" s="1"/>
  <c r="W65" i="6"/>
  <c r="AJ65" i="6" s="1"/>
  <c r="W74" i="6"/>
  <c r="W150" i="6"/>
  <c r="AJ150" i="6" s="1"/>
  <c r="W197" i="6"/>
  <c r="AE197" i="6" s="1"/>
  <c r="W196" i="6"/>
  <c r="AJ196" i="6" s="1"/>
  <c r="P56" i="7"/>
  <c r="P11" i="7"/>
  <c r="Q145" i="7"/>
  <c r="L222" i="7"/>
  <c r="W97" i="6"/>
  <c r="AE97" i="6" s="1"/>
  <c r="W67" i="6"/>
  <c r="AJ67" i="6" s="1"/>
  <c r="AF180" i="6"/>
  <c r="Y122" i="6"/>
  <c r="Q86" i="7"/>
  <c r="W151" i="6"/>
  <c r="AE151" i="6" s="1"/>
  <c r="AG151" i="6" s="1"/>
  <c r="S151" i="7" s="1"/>
  <c r="W130" i="6"/>
  <c r="AE130" i="6" s="1"/>
  <c r="AH130" i="6" s="1"/>
  <c r="AI130" i="6" s="1"/>
  <c r="W51" i="6"/>
  <c r="AE51" i="6" s="1"/>
  <c r="W68" i="6"/>
  <c r="AE68" i="6" s="1"/>
  <c r="AG68" i="6" s="1"/>
  <c r="S68" i="7" s="1"/>
  <c r="Q128" i="7"/>
  <c r="W187" i="6"/>
  <c r="Y155" i="6"/>
  <c r="W75" i="6"/>
  <c r="AJ75" i="6" s="1"/>
  <c r="R226" i="7"/>
  <c r="P197" i="7"/>
  <c r="W231" i="6"/>
  <c r="AE231" i="6" s="1"/>
  <c r="P247" i="7"/>
  <c r="W139" i="6"/>
  <c r="AJ139" i="6" s="1"/>
  <c r="P10" i="7"/>
  <c r="AG61" i="6"/>
  <c r="S61" i="7" s="1"/>
  <c r="Y83" i="6"/>
  <c r="P173" i="7"/>
  <c r="W58" i="6"/>
  <c r="AE58" i="6" s="1"/>
  <c r="AI210" i="6"/>
  <c r="P68" i="7"/>
  <c r="H93" i="7"/>
  <c r="I93" i="7" s="1"/>
  <c r="D118" i="8" s="1"/>
  <c r="Q36" i="7"/>
  <c r="W82" i="6"/>
  <c r="AE82" i="6" s="1"/>
  <c r="AG82" i="6" s="1"/>
  <c r="S82" i="7" s="1"/>
  <c r="W96" i="6"/>
  <c r="AJ96" i="6" s="1"/>
  <c r="W175" i="6"/>
  <c r="AE175" i="6" s="1"/>
  <c r="W100" i="6"/>
  <c r="AJ100" i="6" s="1"/>
  <c r="W116" i="6"/>
  <c r="AE116" i="6" s="1"/>
  <c r="AG116" i="6" s="1"/>
  <c r="S116" i="7" s="1"/>
  <c r="Y118" i="6"/>
  <c r="AG136" i="6"/>
  <c r="S136" i="7" s="1"/>
  <c r="R31" i="7"/>
  <c r="L77" i="7"/>
  <c r="W224" i="6"/>
  <c r="AJ224" i="6" s="1"/>
  <c r="W200" i="6"/>
  <c r="AE200" i="6" s="1"/>
  <c r="AH200" i="6" s="1"/>
  <c r="AI200" i="6" s="1"/>
  <c r="AF178" i="6"/>
  <c r="AG222" i="6"/>
  <c r="S222" i="7" s="1"/>
  <c r="Y241" i="6"/>
  <c r="Y179" i="6"/>
  <c r="P40" i="7"/>
  <c r="R168" i="7"/>
  <c r="AH178" i="6"/>
  <c r="P147" i="7"/>
  <c r="AJ178" i="6"/>
  <c r="Q55" i="7"/>
  <c r="W114" i="6"/>
  <c r="AE114" i="6" s="1"/>
  <c r="AH114" i="6" s="1"/>
  <c r="AI114" i="6" s="1"/>
  <c r="Q135" i="7"/>
  <c r="P135" i="7"/>
  <c r="R109" i="7"/>
  <c r="R96" i="7"/>
  <c r="P245" i="7"/>
  <c r="P96" i="7"/>
  <c r="H59" i="7"/>
  <c r="E136" i="8" s="1"/>
  <c r="G136" i="8" s="1"/>
  <c r="L238" i="7"/>
  <c r="P244" i="7"/>
  <c r="L237" i="7"/>
  <c r="Q219" i="7"/>
  <c r="Q20" i="7"/>
  <c r="P48" i="7"/>
  <c r="W182" i="6"/>
  <c r="AE182" i="6" s="1"/>
  <c r="AG182" i="6" s="1"/>
  <c r="S182" i="7" s="1"/>
  <c r="P18" i="7"/>
  <c r="W64" i="6"/>
  <c r="AJ64" i="6" s="1"/>
  <c r="P168" i="7"/>
  <c r="H68" i="7"/>
  <c r="W240" i="6"/>
  <c r="AE240" i="6" s="1"/>
  <c r="AH240" i="6" s="1"/>
  <c r="AI240" i="6" s="1"/>
  <c r="AH136" i="6"/>
  <c r="AI136" i="6" s="1"/>
  <c r="R102" i="7"/>
  <c r="R215" i="7"/>
  <c r="H185" i="7"/>
  <c r="Q52" i="7"/>
  <c r="Q133" i="7"/>
  <c r="P97" i="7"/>
  <c r="P76" i="7"/>
  <c r="H108" i="7"/>
  <c r="E170" i="8" s="1"/>
  <c r="G170" i="8" s="1"/>
  <c r="W95" i="6"/>
  <c r="AJ95" i="6" s="1"/>
  <c r="W25" i="6"/>
  <c r="AE25" i="6" s="1"/>
  <c r="W30" i="6"/>
  <c r="AE30" i="6" s="1"/>
  <c r="H222" i="7"/>
  <c r="E233" i="8" s="1"/>
  <c r="G233" i="8" s="1"/>
  <c r="R191" i="7"/>
  <c r="W186" i="6"/>
  <c r="AE186" i="6" s="1"/>
  <c r="Q28" i="7"/>
  <c r="W108" i="6"/>
  <c r="AJ108" i="6" s="1"/>
  <c r="P58" i="7"/>
  <c r="AG206" i="6"/>
  <c r="S206" i="7" s="1"/>
  <c r="R118" i="7"/>
  <c r="L52" i="7"/>
  <c r="W174" i="6"/>
  <c r="W165" i="6"/>
  <c r="AE165" i="6" s="1"/>
  <c r="P114" i="7"/>
  <c r="W85" i="6"/>
  <c r="AJ85" i="6" s="1"/>
  <c r="AH206" i="6"/>
  <c r="AI206" i="6" s="1"/>
  <c r="W115" i="6"/>
  <c r="AE115" i="6" s="1"/>
  <c r="Q70" i="7"/>
  <c r="W134" i="6"/>
  <c r="AE134" i="6" s="1"/>
  <c r="AG134" i="6" s="1"/>
  <c r="S134" i="7" s="1"/>
  <c r="H157" i="7"/>
  <c r="E161" i="8" s="1"/>
  <c r="G161" i="8" s="1"/>
  <c r="R125" i="7"/>
  <c r="H114" i="7"/>
  <c r="P191" i="7"/>
  <c r="AG209" i="6"/>
  <c r="S209" i="7" s="1"/>
  <c r="AG180" i="6"/>
  <c r="S180" i="7" s="1"/>
  <c r="AI180" i="6"/>
  <c r="P231" i="7"/>
  <c r="F222" i="8"/>
  <c r="F135" i="8"/>
  <c r="AH209" i="6"/>
  <c r="AI209" i="6" s="1"/>
  <c r="Q244" i="7"/>
  <c r="Q207" i="7"/>
  <c r="P8" i="7"/>
  <c r="AG76" i="6"/>
  <c r="S76" i="7" s="1"/>
  <c r="AF14" i="6"/>
  <c r="AG14" i="6"/>
  <c r="S14" i="7" s="1"/>
  <c r="P141" i="7"/>
  <c r="P149" i="7"/>
  <c r="Q76" i="7"/>
  <c r="R243" i="7"/>
  <c r="Q122" i="7"/>
  <c r="P46" i="7"/>
  <c r="R165" i="7"/>
  <c r="W22" i="6"/>
  <c r="AJ22" i="6" s="1"/>
  <c r="P88" i="7"/>
  <c r="P21" i="7"/>
  <c r="H189" i="7"/>
  <c r="I189" i="7" s="1"/>
  <c r="D65" i="8" s="1"/>
  <c r="P89" i="7"/>
  <c r="H165" i="7"/>
  <c r="L165" i="7" s="1"/>
  <c r="R127" i="7"/>
  <c r="Q149" i="7"/>
  <c r="AF47" i="6"/>
  <c r="AF84" i="6"/>
  <c r="F126" i="8"/>
  <c r="Q234" i="7"/>
  <c r="P125" i="7"/>
  <c r="W9" i="6"/>
  <c r="AJ9" i="6" s="1"/>
  <c r="AH47" i="6"/>
  <c r="AI47" i="6" s="1"/>
  <c r="W234" i="6"/>
  <c r="AE234" i="6" s="1"/>
  <c r="P119" i="7"/>
  <c r="R246" i="7"/>
  <c r="AG207" i="6"/>
  <c r="S207" i="7" s="1"/>
  <c r="W190" i="6"/>
  <c r="AJ190" i="6" s="1"/>
  <c r="Q89" i="7"/>
  <c r="R195" i="7"/>
  <c r="R40" i="7"/>
  <c r="W177" i="6"/>
  <c r="AE177" i="6" s="1"/>
  <c r="AH177" i="6" s="1"/>
  <c r="AI177" i="6" s="1"/>
  <c r="Q4" i="7"/>
  <c r="R68" i="7"/>
  <c r="W227" i="6"/>
  <c r="AE227" i="6" s="1"/>
  <c r="P13" i="7"/>
  <c r="W173" i="6"/>
  <c r="AJ173" i="6" s="1"/>
  <c r="P29" i="7"/>
  <c r="R171" i="7"/>
  <c r="W202" i="6"/>
  <c r="AJ202" i="6" s="1"/>
  <c r="H117" i="7"/>
  <c r="E159" i="8" s="1"/>
  <c r="G159" i="8" s="1"/>
  <c r="AG40" i="6"/>
  <c r="S40" i="7" s="1"/>
  <c r="Q48" i="7"/>
  <c r="W172" i="6"/>
  <c r="AJ172" i="6" s="1"/>
  <c r="W149" i="6"/>
  <c r="AJ149" i="6" s="1"/>
  <c r="L219" i="7"/>
  <c r="W195" i="6"/>
  <c r="AE195" i="6" s="1"/>
  <c r="AG77" i="6"/>
  <c r="S77" i="7" s="1"/>
  <c r="AJ40" i="6"/>
  <c r="H92" i="7"/>
  <c r="I92" i="7" s="1"/>
  <c r="D152" i="8" s="1"/>
  <c r="H139" i="7"/>
  <c r="AJ180" i="6"/>
  <c r="AJ70" i="6"/>
  <c r="R124" i="7"/>
  <c r="Q23" i="7"/>
  <c r="H152" i="7"/>
  <c r="E123" i="8" s="1"/>
  <c r="G123" i="8" s="1"/>
  <c r="AH132" i="6"/>
  <c r="AI132" i="6" s="1"/>
  <c r="Q168" i="7"/>
  <c r="F133" i="8"/>
  <c r="W226" i="6"/>
  <c r="P87" i="7"/>
  <c r="Y194" i="6"/>
  <c r="Q17" i="7"/>
  <c r="AF205" i="6"/>
  <c r="W131" i="6"/>
  <c r="AJ131" i="6" s="1"/>
  <c r="W221" i="6"/>
  <c r="AE221" i="6" s="1"/>
  <c r="AG221" i="6" s="1"/>
  <c r="S221" i="7" s="1"/>
  <c r="W162" i="6"/>
  <c r="AE162" i="6" s="1"/>
  <c r="AE56" i="6"/>
  <c r="AH56" i="6" s="1"/>
  <c r="AI56" i="6" s="1"/>
  <c r="L207" i="7"/>
  <c r="Q124" i="7"/>
  <c r="H16" i="7"/>
  <c r="L16" i="7" s="1"/>
  <c r="H182" i="7"/>
  <c r="E79" i="8" s="1"/>
  <c r="G79" i="8" s="1"/>
  <c r="P230" i="7"/>
  <c r="P193" i="7"/>
  <c r="P44" i="7"/>
  <c r="R10" i="7"/>
  <c r="R149" i="7"/>
  <c r="L14" i="7"/>
  <c r="Q41" i="7"/>
  <c r="P139" i="7"/>
  <c r="AH205" i="6"/>
  <c r="AI205" i="6" s="1"/>
  <c r="Q228" i="7"/>
  <c r="R112" i="7"/>
  <c r="Q14" i="7"/>
  <c r="R13" i="7"/>
  <c r="H245" i="7"/>
  <c r="I245" i="7" s="1"/>
  <c r="D247" i="8" s="1"/>
  <c r="P192" i="7"/>
  <c r="AF40" i="6"/>
  <c r="H140" i="7"/>
  <c r="L140" i="7" s="1"/>
  <c r="L61" i="7"/>
  <c r="L225" i="7"/>
  <c r="Q154" i="7"/>
  <c r="R30" i="7"/>
  <c r="R35" i="7"/>
  <c r="H96" i="7"/>
  <c r="I96" i="7" s="1"/>
  <c r="D36" i="8" s="1"/>
  <c r="P25" i="7"/>
  <c r="AG132" i="6"/>
  <c r="S132" i="7" s="1"/>
  <c r="H145" i="7"/>
  <c r="E142" i="8" s="1"/>
  <c r="G142" i="8" s="1"/>
  <c r="L209" i="7"/>
  <c r="P7" i="7"/>
  <c r="AH61" i="6"/>
  <c r="AI61" i="6" s="1"/>
  <c r="Y9" i="6"/>
  <c r="P128" i="7"/>
  <c r="P99" i="7"/>
  <c r="P130" i="7"/>
  <c r="H100" i="7"/>
  <c r="L100" i="7" s="1"/>
  <c r="L15" i="7"/>
  <c r="L66" i="7"/>
  <c r="H186" i="7"/>
  <c r="L186" i="7" s="1"/>
  <c r="H82" i="7"/>
  <c r="L82" i="7" s="1"/>
  <c r="W233" i="6"/>
  <c r="AJ233" i="6" s="1"/>
  <c r="AF161" i="6"/>
  <c r="H9" i="7"/>
  <c r="L9" i="7" s="1"/>
  <c r="H239" i="7"/>
  <c r="I239" i="7" s="1"/>
  <c r="D168" i="8" s="1"/>
  <c r="H97" i="7"/>
  <c r="E94" i="8" s="1"/>
  <c r="G94" i="8" s="1"/>
  <c r="AF38" i="6"/>
  <c r="AH222" i="6"/>
  <c r="AI222" i="6" s="1"/>
  <c r="H14" i="7"/>
  <c r="I14" i="7" s="1"/>
  <c r="D191" i="8" s="1"/>
  <c r="AI14" i="6"/>
  <c r="AH38" i="6"/>
  <c r="AI38" i="6" s="1"/>
  <c r="H116" i="7"/>
  <c r="E10" i="8" s="1"/>
  <c r="G10" i="8" s="1"/>
  <c r="H25" i="7"/>
  <c r="L25" i="7" s="1"/>
  <c r="H197" i="7"/>
  <c r="I197" i="7" s="1"/>
  <c r="D13" i="8" s="1"/>
  <c r="P80" i="7"/>
  <c r="P142" i="7"/>
  <c r="H167" i="7"/>
  <c r="E74" i="8" s="1"/>
  <c r="G74" i="8" s="1"/>
  <c r="L133" i="7"/>
  <c r="AG50" i="6"/>
  <c r="S50" i="7" s="1"/>
  <c r="L214" i="7"/>
  <c r="R16" i="7"/>
  <c r="L201" i="7"/>
  <c r="P49" i="7"/>
  <c r="AE124" i="6"/>
  <c r="AH124" i="6" s="1"/>
  <c r="AI124" i="6" s="1"/>
  <c r="Q95" i="7"/>
  <c r="AE16" i="6"/>
  <c r="AG16" i="6" s="1"/>
  <c r="S16" i="7" s="1"/>
  <c r="W119" i="6"/>
  <c r="AJ119" i="6" s="1"/>
  <c r="R81" i="7"/>
  <c r="AH34" i="6"/>
  <c r="AI34" i="6" s="1"/>
  <c r="P185" i="7"/>
  <c r="P17" i="7"/>
  <c r="Q35" i="7"/>
  <c r="R58" i="7"/>
  <c r="H71" i="7"/>
  <c r="I71" i="7" s="1"/>
  <c r="D202" i="8" s="1"/>
  <c r="H246" i="7"/>
  <c r="E242" i="8" s="1"/>
  <c r="G242" i="8" s="1"/>
  <c r="R18" i="7"/>
  <c r="R234" i="7"/>
  <c r="P188" i="7"/>
  <c r="P152" i="7"/>
  <c r="R38" i="7"/>
  <c r="AG34" i="6"/>
  <c r="S34" i="7" s="1"/>
  <c r="P30" i="7"/>
  <c r="H67" i="7"/>
  <c r="E223" i="8" s="1"/>
  <c r="G223" i="8" s="1"/>
  <c r="P235" i="7"/>
  <c r="P229" i="7"/>
  <c r="P177" i="7"/>
  <c r="P57" i="7"/>
  <c r="AF133" i="6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I52" i="7" s="1"/>
  <c r="D185" i="8" s="1"/>
  <c r="H247" i="7"/>
  <c r="L247" i="7" s="1"/>
  <c r="H112" i="7"/>
  <c r="L112" i="7" s="1"/>
  <c r="H62" i="7"/>
  <c r="L62" i="7" s="1"/>
  <c r="Q114" i="7"/>
  <c r="P176" i="7"/>
  <c r="P137" i="7"/>
  <c r="P161" i="7"/>
  <c r="R77" i="7"/>
  <c r="Q208" i="7"/>
  <c r="Q187" i="7"/>
  <c r="Q25" i="7"/>
  <c r="AH161" i="6"/>
  <c r="AI161" i="6" s="1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45" i="7"/>
  <c r="F131" i="8"/>
  <c r="Q65" i="7"/>
  <c r="AH135" i="6"/>
  <c r="AI135" i="6" s="1"/>
  <c r="R126" i="7"/>
  <c r="AH84" i="6"/>
  <c r="AI84" i="6" s="1"/>
  <c r="Q199" i="7"/>
  <c r="Q33" i="7"/>
  <c r="L205" i="7"/>
  <c r="Q96" i="7"/>
  <c r="L36" i="7"/>
  <c r="L220" i="7"/>
  <c r="AF27" i="6"/>
  <c r="AG20" i="6"/>
  <c r="S20" i="7" s="1"/>
  <c r="R159" i="7"/>
  <c r="R4" i="7"/>
  <c r="H56" i="7"/>
  <c r="I56" i="7" s="1"/>
  <c r="D56" i="8" s="1"/>
  <c r="R17" i="7"/>
  <c r="AH62" i="6"/>
  <c r="AI62" i="6" s="1"/>
  <c r="Q229" i="7"/>
  <c r="R131" i="7"/>
  <c r="R108" i="7"/>
  <c r="Q30" i="7"/>
  <c r="H94" i="7"/>
  <c r="I94" i="7" s="1"/>
  <c r="D64" i="8" s="1"/>
  <c r="R154" i="7"/>
  <c r="Q179" i="7"/>
  <c r="H51" i="7"/>
  <c r="E128" i="8" s="1"/>
  <c r="G128" i="8" s="1"/>
  <c r="H121" i="7"/>
  <c r="E165" i="8" s="1"/>
  <c r="G165" i="8" s="1"/>
  <c r="R221" i="7"/>
  <c r="AH204" i="6"/>
  <c r="AI204" i="6" s="1"/>
  <c r="Q87" i="7"/>
  <c r="H214" i="7"/>
  <c r="E107" i="8" s="1"/>
  <c r="G107" i="8" s="1"/>
  <c r="H215" i="7"/>
  <c r="E18" i="8" s="1"/>
  <c r="G18" i="8" s="1"/>
  <c r="H119" i="7"/>
  <c r="I119" i="7" s="1"/>
  <c r="D100" i="8" s="1"/>
  <c r="Q78" i="7"/>
  <c r="Q225" i="7"/>
  <c r="Q116" i="7"/>
  <c r="H138" i="7"/>
  <c r="I138" i="7" s="1"/>
  <c r="D21" i="8" s="1"/>
  <c r="AG110" i="6"/>
  <c r="S110" i="7" s="1"/>
  <c r="H196" i="7"/>
  <c r="E235" i="8" s="1"/>
  <c r="G235" i="8" s="1"/>
  <c r="R230" i="7"/>
  <c r="AJ62" i="6"/>
  <c r="H135" i="7"/>
  <c r="L135" i="7" s="1"/>
  <c r="Q152" i="7"/>
  <c r="H129" i="7"/>
  <c r="E154" i="8" s="1"/>
  <c r="G154" i="8" s="1"/>
  <c r="AF62" i="6"/>
  <c r="Q69" i="7"/>
  <c r="R201" i="7"/>
  <c r="Q11" i="7"/>
  <c r="H125" i="7"/>
  <c r="E103" i="8" s="1"/>
  <c r="G103" i="8" s="1"/>
  <c r="H212" i="7"/>
  <c r="I212" i="7" s="1"/>
  <c r="D226" i="8" s="1"/>
  <c r="H61" i="7"/>
  <c r="E182" i="8" s="1"/>
  <c r="G182" i="8" s="1"/>
  <c r="H78" i="7"/>
  <c r="E186" i="8" s="1"/>
  <c r="G186" i="8" s="1"/>
  <c r="H172" i="7"/>
  <c r="I172" i="7" s="1"/>
  <c r="D49" i="8" s="1"/>
  <c r="H63" i="7"/>
  <c r="I63" i="7" s="1"/>
  <c r="D208" i="8" s="1"/>
  <c r="H207" i="7"/>
  <c r="E230" i="8" s="1"/>
  <c r="G230" i="8" s="1"/>
  <c r="W101" i="6"/>
  <c r="AE101" i="6" s="1"/>
  <c r="H244" i="7"/>
  <c r="L244" i="7" s="1"/>
  <c r="H200" i="7"/>
  <c r="L200" i="7" s="1"/>
  <c r="H22" i="7"/>
  <c r="L22" i="7" s="1"/>
  <c r="AJ204" i="6"/>
  <c r="H113" i="7"/>
  <c r="E110" i="8" s="1"/>
  <c r="G110" i="8" s="1"/>
  <c r="H35" i="7"/>
  <c r="I35" i="7" s="1"/>
  <c r="D117" i="8" s="1"/>
  <c r="H211" i="7"/>
  <c r="I211" i="7" s="1"/>
  <c r="D238" i="8" s="1"/>
  <c r="AJ232" i="6"/>
  <c r="R26" i="7"/>
  <c r="Q59" i="7"/>
  <c r="W57" i="6"/>
  <c r="AJ57" i="6" s="1"/>
  <c r="Q85" i="7"/>
  <c r="H243" i="7"/>
  <c r="L243" i="7" s="1"/>
  <c r="H77" i="7"/>
  <c r="I77" i="7" s="1"/>
  <c r="D144" i="8" s="1"/>
  <c r="Q104" i="7"/>
  <c r="Y168" i="6"/>
  <c r="H124" i="7"/>
  <c r="I124" i="7" s="1"/>
  <c r="D93" i="8" s="1"/>
  <c r="H65" i="7"/>
  <c r="I65" i="7" s="1"/>
  <c r="D188" i="8" s="1"/>
  <c r="Q42" i="7"/>
  <c r="AF13" i="6"/>
  <c r="H191" i="7"/>
  <c r="I191" i="7" s="1"/>
  <c r="D9" i="8" s="1"/>
  <c r="Q67" i="7"/>
  <c r="AI144" i="6"/>
  <c r="AH92" i="6"/>
  <c r="AI92" i="6" s="1"/>
  <c r="Q245" i="7"/>
  <c r="H205" i="7"/>
  <c r="E91" i="8" s="1"/>
  <c r="G91" i="8" s="1"/>
  <c r="R170" i="7"/>
  <c r="H5" i="7"/>
  <c r="I5" i="7" s="1"/>
  <c r="D66" i="8" s="1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I166" i="6" s="1"/>
  <c r="AF144" i="6"/>
  <c r="H75" i="7"/>
  <c r="E38" i="8" s="1"/>
  <c r="G38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AI239" i="6" s="1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AJ13" i="6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H13" i="6"/>
  <c r="AI13" i="6" s="1"/>
  <c r="AE19" i="6"/>
  <c r="AG19" i="6" s="1"/>
  <c r="S19" i="7" s="1"/>
  <c r="Q134" i="7"/>
  <c r="R106" i="7"/>
  <c r="AJ92" i="6"/>
  <c r="AE193" i="6"/>
  <c r="AF193" i="6" s="1"/>
  <c r="H143" i="7"/>
  <c r="E63" i="8" s="1"/>
  <c r="G63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E62" i="8" s="1"/>
  <c r="G62" i="8" s="1"/>
  <c r="AF146" i="6"/>
  <c r="AI238" i="6"/>
  <c r="H98" i="7"/>
  <c r="E177" i="8" s="1"/>
  <c r="G177" i="8" s="1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189" i="6"/>
  <c r="AG189" i="6" s="1"/>
  <c r="S189" i="7" s="1"/>
  <c r="AE45" i="6"/>
  <c r="AG45" i="6" s="1"/>
  <c r="S45" i="7" s="1"/>
  <c r="AG237" i="6"/>
  <c r="S237" i="7" s="1"/>
  <c r="R183" i="7"/>
  <c r="R61" i="7"/>
  <c r="Q66" i="7"/>
  <c r="Q131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H146" i="7"/>
  <c r="I146" i="7" s="1"/>
  <c r="D143" i="8" s="1"/>
  <c r="H220" i="7"/>
  <c r="E236" i="8" s="1"/>
  <c r="G236" i="8" s="1"/>
  <c r="W148" i="6"/>
  <c r="AE148" i="6" s="1"/>
  <c r="H171" i="7"/>
  <c r="E68" i="8" s="1"/>
  <c r="G68" i="8" s="1"/>
  <c r="AG239" i="6"/>
  <c r="S239" i="7" s="1"/>
  <c r="H70" i="7"/>
  <c r="I70" i="7" s="1"/>
  <c r="D190" i="8" s="1"/>
  <c r="AF55" i="6"/>
  <c r="H240" i="7"/>
  <c r="I240" i="7" s="1"/>
  <c r="D196" i="8" s="1"/>
  <c r="R75" i="7"/>
  <c r="AJ166" i="6"/>
  <c r="AE181" i="6"/>
  <c r="AF181" i="6" s="1"/>
  <c r="AE192" i="6"/>
  <c r="AF192" i="6" s="1"/>
  <c r="AJ55" i="6"/>
  <c r="H10" i="7"/>
  <c r="I10" i="7" s="1"/>
  <c r="D82" i="8" s="1"/>
  <c r="H217" i="7"/>
  <c r="I217" i="7" s="1"/>
  <c r="D87" i="8" s="1"/>
  <c r="R41" i="7"/>
  <c r="P41" i="7"/>
  <c r="AJ239" i="6"/>
  <c r="H230" i="7"/>
  <c r="E52" i="8" s="1"/>
  <c r="G52" i="8" s="1"/>
  <c r="H130" i="7"/>
  <c r="L130" i="7" s="1"/>
  <c r="P134" i="7"/>
  <c r="R169" i="7"/>
  <c r="Q200" i="7"/>
  <c r="H179" i="7"/>
  <c r="I179" i="7" s="1"/>
  <c r="D85" i="8" s="1"/>
  <c r="H20" i="7"/>
  <c r="I20" i="7" s="1"/>
  <c r="D179" i="8" s="1"/>
  <c r="H42" i="7"/>
  <c r="I42" i="7" s="1"/>
  <c r="D126" i="8" s="1"/>
  <c r="H234" i="7"/>
  <c r="I234" i="7" s="1"/>
  <c r="D44" i="8" s="1"/>
  <c r="H155" i="7"/>
  <c r="L155" i="7" s="1"/>
  <c r="H47" i="7"/>
  <c r="I47" i="7" s="1"/>
  <c r="D135" i="8" s="1"/>
  <c r="AJ135" i="6"/>
  <c r="AE141" i="6"/>
  <c r="AF141" i="6" s="1"/>
  <c r="AF204" i="6"/>
  <c r="H183" i="7"/>
  <c r="L183" i="7" s="1"/>
  <c r="AI55" i="6"/>
  <c r="F186" i="8"/>
  <c r="L78" i="7"/>
  <c r="AJ103" i="6"/>
  <c r="AE103" i="6"/>
  <c r="AG103" i="6" s="1"/>
  <c r="S103" i="7" s="1"/>
  <c r="AE152" i="6"/>
  <c r="AG152" i="6" s="1"/>
  <c r="S152" i="7" s="1"/>
  <c r="AJ152" i="6"/>
  <c r="W160" i="6"/>
  <c r="AJ160" i="6" s="1"/>
  <c r="H89" i="7"/>
  <c r="L89" i="7" s="1"/>
  <c r="R57" i="7"/>
  <c r="H195" i="7"/>
  <c r="E122" i="8" s="1"/>
  <c r="G122" i="8" s="1"/>
  <c r="H213" i="7"/>
  <c r="I213" i="7" s="1"/>
  <c r="D201" i="8" s="1"/>
  <c r="H210" i="7"/>
  <c r="I210" i="7" s="1"/>
  <c r="D245" i="8" s="1"/>
  <c r="H69" i="7"/>
  <c r="E43" i="8" s="1"/>
  <c r="G43" i="8" s="1"/>
  <c r="Q138" i="7"/>
  <c r="AG145" i="6"/>
  <c r="S145" i="7" s="1"/>
  <c r="AH145" i="6"/>
  <c r="AI145" i="6" s="1"/>
  <c r="Y148" i="6"/>
  <c r="R173" i="7"/>
  <c r="H174" i="7"/>
  <c r="E15" i="8" s="1"/>
  <c r="G15" i="8" s="1"/>
  <c r="P227" i="7"/>
  <c r="L210" i="7"/>
  <c r="H158" i="7"/>
  <c r="I158" i="7" s="1"/>
  <c r="D155" i="8" s="1"/>
  <c r="H231" i="7"/>
  <c r="L231" i="7" s="1"/>
  <c r="H49" i="7"/>
  <c r="E124" i="8" s="1"/>
  <c r="G124" i="8" s="1"/>
  <c r="H107" i="7"/>
  <c r="I107" i="7" s="1"/>
  <c r="D172" i="8" s="1"/>
  <c r="P90" i="7"/>
  <c r="H199" i="7"/>
  <c r="E222" i="8" s="1"/>
  <c r="G222" i="8" s="1"/>
  <c r="Q121" i="7"/>
  <c r="P131" i="7"/>
  <c r="R202" i="7"/>
  <c r="AG113" i="6"/>
  <c r="S113" i="7" s="1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AH113" i="6"/>
  <c r="AI113" i="6" s="1"/>
  <c r="H187" i="7"/>
  <c r="I187" i="7" s="1"/>
  <c r="D101" i="8" s="1"/>
  <c r="H166" i="7"/>
  <c r="E138" i="8" s="1"/>
  <c r="G138" i="8" s="1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5" i="6"/>
  <c r="AJ35" i="6"/>
  <c r="AE31" i="6"/>
  <c r="AJ31" i="6"/>
  <c r="AJ157" i="6"/>
  <c r="AE157" i="6"/>
  <c r="AF157" i="6" s="1"/>
  <c r="H224" i="7"/>
  <c r="E109" i="8" s="1"/>
  <c r="G109" i="8" s="1"/>
  <c r="H53" i="7"/>
  <c r="E193" i="8" s="1"/>
  <c r="G193" i="8" s="1"/>
  <c r="P232" i="7"/>
  <c r="H169" i="7"/>
  <c r="I169" i="7" s="1"/>
  <c r="D45" i="8" s="1"/>
  <c r="H88" i="7"/>
  <c r="E108" i="8" s="1"/>
  <c r="G108" i="8" s="1"/>
  <c r="H106" i="7"/>
  <c r="E31" i="8" s="1"/>
  <c r="G31" i="8" s="1"/>
  <c r="H192" i="7"/>
  <c r="I192" i="7" s="1"/>
  <c r="D17" i="8" s="1"/>
  <c r="Q60" i="7"/>
  <c r="Q75" i="7"/>
  <c r="H6" i="7"/>
  <c r="I6" i="7" s="1"/>
  <c r="D217" i="8" s="1"/>
  <c r="H133" i="7"/>
  <c r="I133" i="7" s="1"/>
  <c r="D149" i="8" s="1"/>
  <c r="H37" i="7"/>
  <c r="E157" i="8" s="1"/>
  <c r="G157" i="8" s="1"/>
  <c r="H128" i="7"/>
  <c r="L128" i="7" s="1"/>
  <c r="P115" i="7"/>
  <c r="H102" i="7"/>
  <c r="E16" i="8" s="1"/>
  <c r="G16" i="8" s="1"/>
  <c r="P181" i="7"/>
  <c r="Q173" i="7"/>
  <c r="P6" i="7"/>
  <c r="F136" i="8"/>
  <c r="H156" i="7"/>
  <c r="L156" i="7" s="1"/>
  <c r="H136" i="7"/>
  <c r="E147" i="8" s="1"/>
  <c r="G147" i="8" s="1"/>
  <c r="H188" i="7"/>
  <c r="E90" i="8" s="1"/>
  <c r="G90" i="8" s="1"/>
  <c r="H203" i="7"/>
  <c r="E228" i="8" s="1"/>
  <c r="G228" i="8" s="1"/>
  <c r="H233" i="7"/>
  <c r="L233" i="7" s="1"/>
  <c r="H38" i="7"/>
  <c r="I38" i="7" s="1"/>
  <c r="D141" i="8" s="1"/>
  <c r="H159" i="7"/>
  <c r="I159" i="7" s="1"/>
  <c r="D132" i="8" s="1"/>
  <c r="P233" i="7"/>
  <c r="F155" i="8"/>
  <c r="L158" i="7"/>
  <c r="F219" i="8"/>
  <c r="L80" i="7"/>
  <c r="R94" i="7"/>
  <c r="H223" i="7"/>
  <c r="E4" i="8" s="1"/>
  <c r="G4" i="8" s="1"/>
  <c r="AE235" i="6"/>
  <c r="AH235" i="6" s="1"/>
  <c r="AI235" i="6" s="1"/>
  <c r="Q117" i="7"/>
  <c r="H228" i="7"/>
  <c r="I228" i="7" s="1"/>
  <c r="D189" i="8" s="1"/>
  <c r="AJ113" i="6"/>
  <c r="R176" i="7"/>
  <c r="AI50" i="6"/>
  <c r="R140" i="7"/>
  <c r="P170" i="7"/>
  <c r="H148" i="7"/>
  <c r="I148" i="7" s="1"/>
  <c r="D46" i="8" s="1"/>
  <c r="W106" i="6"/>
  <c r="AJ106" i="6" s="1"/>
  <c r="AJ5" i="6"/>
  <c r="Q71" i="7"/>
  <c r="H110" i="7"/>
  <c r="I110" i="7" s="1"/>
  <c r="D150" i="8" s="1"/>
  <c r="P151" i="7"/>
  <c r="H13" i="7"/>
  <c r="L13" i="7" s="1"/>
  <c r="Q238" i="7"/>
  <c r="H26" i="7"/>
  <c r="E216" i="8" s="1"/>
  <c r="G216" i="8" s="1"/>
  <c r="L189" i="7"/>
  <c r="Q204" i="7"/>
  <c r="Q115" i="7"/>
  <c r="R184" i="7"/>
  <c r="R232" i="7"/>
  <c r="Q123" i="7"/>
  <c r="H242" i="7"/>
  <c r="L242" i="7" s="1"/>
  <c r="W8" i="6"/>
  <c r="AE8" i="6" s="1"/>
  <c r="AG8" i="6" s="1"/>
  <c r="S8" i="7" s="1"/>
  <c r="AF68" i="6"/>
  <c r="H181" i="7"/>
  <c r="L181" i="7" s="1"/>
  <c r="R136" i="7"/>
  <c r="Q239" i="7"/>
  <c r="AJ68" i="6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64" i="8" s="1"/>
  <c r="G164" i="8" s="1"/>
  <c r="R117" i="7"/>
  <c r="R206" i="7"/>
  <c r="AE108" i="6"/>
  <c r="AF108" i="6" s="1"/>
  <c r="Q12" i="7"/>
  <c r="H101" i="7"/>
  <c r="I101" i="7" s="1"/>
  <c r="D127" i="8" s="1"/>
  <c r="H236" i="7"/>
  <c r="E12" i="8" s="1"/>
  <c r="G12" i="8" s="1"/>
  <c r="H151" i="7"/>
  <c r="I151" i="7" s="1"/>
  <c r="D112" i="8" s="1"/>
  <c r="H18" i="7"/>
  <c r="L18" i="7" s="1"/>
  <c r="H141" i="7"/>
  <c r="E146" i="8" s="1"/>
  <c r="G146" i="8" s="1"/>
  <c r="H131" i="7"/>
  <c r="L131" i="7" s="1"/>
  <c r="H176" i="7"/>
  <c r="L176" i="7" s="1"/>
  <c r="H111" i="7"/>
  <c r="E114" i="8" s="1"/>
  <c r="G114" i="8" s="1"/>
  <c r="H85" i="7"/>
  <c r="E34" i="8" s="1"/>
  <c r="G34" i="8" s="1"/>
  <c r="H127" i="7"/>
  <c r="L127" i="7" s="1"/>
  <c r="H161" i="7"/>
  <c r="I161" i="7" s="1"/>
  <c r="D50" i="8" s="1"/>
  <c r="Q88" i="7"/>
  <c r="R227" i="7"/>
  <c r="Q211" i="7"/>
  <c r="R144" i="7"/>
  <c r="AJ228" i="6"/>
  <c r="AG66" i="6"/>
  <c r="S66" i="7" s="1"/>
  <c r="AE241" i="6"/>
  <c r="AH241" i="6" s="1"/>
  <c r="AI241" i="6" s="1"/>
  <c r="AE128" i="6"/>
  <c r="AH128" i="6" s="1"/>
  <c r="AI128" i="6" s="1"/>
  <c r="AF228" i="6"/>
  <c r="AH213" i="6"/>
  <c r="AI213" i="6" s="1"/>
  <c r="AG228" i="6"/>
  <c r="S228" i="7" s="1"/>
  <c r="F143" i="8"/>
  <c r="L146" i="7"/>
  <c r="R164" i="7"/>
  <c r="AE43" i="6"/>
  <c r="AG43" i="6" s="1"/>
  <c r="S43" i="7" s="1"/>
  <c r="R55" i="7"/>
  <c r="AI203" i="6"/>
  <c r="AE23" i="6"/>
  <c r="AH23" i="6" s="1"/>
  <c r="AI23" i="6" s="1"/>
  <c r="R74" i="7"/>
  <c r="Q222" i="7"/>
  <c r="R27" i="7"/>
  <c r="R151" i="7"/>
  <c r="AI105" i="6"/>
  <c r="H208" i="7"/>
  <c r="I208" i="7" s="1"/>
  <c r="D241" i="8" s="1"/>
  <c r="Q214" i="7"/>
  <c r="Q194" i="7"/>
  <c r="H149" i="7"/>
  <c r="L149" i="7" s="1"/>
  <c r="AG6" i="6"/>
  <c r="S6" i="7" s="1"/>
  <c r="AI76" i="6"/>
  <c r="E65" i="8"/>
  <c r="G65" i="8" s="1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58" i="8" s="1"/>
  <c r="G158" i="8" s="1"/>
  <c r="W4" i="6"/>
  <c r="AE4" i="6" s="1"/>
  <c r="W147" i="6"/>
  <c r="AE147" i="6" s="1"/>
  <c r="AJ83" i="6"/>
  <c r="R233" i="7"/>
  <c r="Q165" i="7"/>
  <c r="AH6" i="6"/>
  <c r="AI6" i="6" s="1"/>
  <c r="AJ186" i="6"/>
  <c r="R103" i="7"/>
  <c r="R147" i="7"/>
  <c r="AE123" i="6"/>
  <c r="AF123" i="6" s="1"/>
  <c r="Q151" i="7"/>
  <c r="H4" i="7"/>
  <c r="E99" i="8" s="1"/>
  <c r="G99" i="8" s="1"/>
  <c r="H32" i="7"/>
  <c r="I32" i="7" s="1"/>
  <c r="D218" i="8" s="1"/>
  <c r="Q130" i="7"/>
  <c r="P79" i="7"/>
  <c r="AI156" i="6"/>
  <c r="AE196" i="6"/>
  <c r="AH196" i="6" s="1"/>
  <c r="AI196" i="6" s="1"/>
  <c r="H86" i="7"/>
  <c r="L86" i="7" s="1"/>
  <c r="H221" i="7"/>
  <c r="L221" i="7" s="1"/>
  <c r="AI18" i="6"/>
  <c r="Q46" i="7"/>
  <c r="AH116" i="6"/>
  <c r="AI116" i="6" s="1"/>
  <c r="H202" i="7"/>
  <c r="E77" i="8" s="1"/>
  <c r="G77" i="8" s="1"/>
  <c r="H190" i="7"/>
  <c r="E115" i="8" s="1"/>
  <c r="G115" i="8" s="1"/>
  <c r="H118" i="7"/>
  <c r="E156" i="8" s="1"/>
  <c r="G156" i="8" s="1"/>
  <c r="H55" i="7"/>
  <c r="L55" i="7" s="1"/>
  <c r="H206" i="7"/>
  <c r="I206" i="7" s="1"/>
  <c r="D237" i="8" s="1"/>
  <c r="H229" i="7"/>
  <c r="L229" i="7" s="1"/>
  <c r="H81" i="7"/>
  <c r="E40" i="8" s="1"/>
  <c r="G40" i="8" s="1"/>
  <c r="H163" i="7"/>
  <c r="E14" i="8" s="1"/>
  <c r="G14" i="8" s="1"/>
  <c r="H160" i="7"/>
  <c r="I160" i="7" s="1"/>
  <c r="D32" i="8" s="1"/>
  <c r="H76" i="7"/>
  <c r="I76" i="7" s="1"/>
  <c r="D133" i="8" s="1"/>
  <c r="H12" i="7"/>
  <c r="L12" i="7" s="1"/>
  <c r="H27" i="7"/>
  <c r="E183" i="8" s="1"/>
  <c r="G183" i="8" s="1"/>
  <c r="H177" i="7"/>
  <c r="I177" i="7" s="1"/>
  <c r="D67" i="8" s="1"/>
  <c r="H170" i="7"/>
  <c r="E78" i="8" s="1"/>
  <c r="G78" i="8" s="1"/>
  <c r="H134" i="7"/>
  <c r="L134" i="7" s="1"/>
  <c r="H17" i="7"/>
  <c r="L17" i="7" s="1"/>
  <c r="H30" i="7"/>
  <c r="E181" i="8" s="1"/>
  <c r="G181" i="8" s="1"/>
  <c r="Y226" i="6"/>
  <c r="AI127" i="6"/>
  <c r="AJ21" i="6"/>
  <c r="H109" i="7"/>
  <c r="E86" i="8" s="1"/>
  <c r="G86" i="8" s="1"/>
  <c r="H154" i="7"/>
  <c r="L154" i="7" s="1"/>
  <c r="H105" i="7"/>
  <c r="E120" i="8" s="1"/>
  <c r="G120" i="8" s="1"/>
  <c r="H164" i="7"/>
  <c r="L164" i="7" s="1"/>
  <c r="H232" i="7"/>
  <c r="E240" i="8" s="1"/>
  <c r="G240" i="8" s="1"/>
  <c r="H79" i="7"/>
  <c r="I79" i="7" s="1"/>
  <c r="D224" i="8" s="1"/>
  <c r="H54" i="7"/>
  <c r="L54" i="7" s="1"/>
  <c r="H209" i="7"/>
  <c r="E234" i="8" s="1"/>
  <c r="G234" i="8" s="1"/>
  <c r="H225" i="7"/>
  <c r="E225" i="8" s="1"/>
  <c r="G225" i="8" s="1"/>
  <c r="H194" i="7"/>
  <c r="I194" i="7" s="1"/>
  <c r="D199" i="8" s="1"/>
  <c r="H64" i="7"/>
  <c r="L64" i="7" s="1"/>
  <c r="AF138" i="6"/>
  <c r="H48" i="7"/>
  <c r="I48" i="7" s="1"/>
  <c r="D220" i="8" s="1"/>
  <c r="H184" i="7"/>
  <c r="I184" i="7" s="1"/>
  <c r="D88" i="8" s="1"/>
  <c r="R32" i="7"/>
  <c r="R148" i="7"/>
  <c r="Q203" i="7"/>
  <c r="R203" i="7"/>
  <c r="H66" i="7"/>
  <c r="I66" i="7" s="1"/>
  <c r="D200" i="8" s="1"/>
  <c r="H226" i="7"/>
  <c r="I226" i="7" s="1"/>
  <c r="D84" i="8" s="1"/>
  <c r="Q158" i="7"/>
  <c r="F132" i="8"/>
  <c r="L159" i="7"/>
  <c r="H162" i="7"/>
  <c r="E60" i="8" s="1"/>
  <c r="G60" i="8" s="1"/>
  <c r="AE118" i="6"/>
  <c r="AG118" i="6" s="1"/>
  <c r="S118" i="7" s="1"/>
  <c r="AE140" i="6"/>
  <c r="AH140" i="6" s="1"/>
  <c r="AI140" i="6" s="1"/>
  <c r="Q137" i="7"/>
  <c r="Q226" i="7"/>
  <c r="H91" i="7"/>
  <c r="E23" i="8" s="1"/>
  <c r="G23" i="8" s="1"/>
  <c r="H36" i="7"/>
  <c r="I36" i="7" s="1"/>
  <c r="D121" i="8" s="1"/>
  <c r="H28" i="7"/>
  <c r="I28" i="7" s="1"/>
  <c r="D215" i="8" s="1"/>
  <c r="H238" i="7"/>
  <c r="E104" i="8" s="1"/>
  <c r="G104" i="8" s="1"/>
  <c r="H90" i="7"/>
  <c r="I90" i="7" s="1"/>
  <c r="D145" i="8" s="1"/>
  <c r="H193" i="7"/>
  <c r="L193" i="7" s="1"/>
  <c r="H44" i="7"/>
  <c r="E134" i="8" s="1"/>
  <c r="G134" i="8" s="1"/>
  <c r="H73" i="7"/>
  <c r="E71" i="8" s="1"/>
  <c r="G71" i="8" s="1"/>
  <c r="H168" i="7"/>
  <c r="E26" i="8" s="1"/>
  <c r="G26" i="8" s="1"/>
  <c r="L132" i="7"/>
  <c r="F224" i="8"/>
  <c r="L79" i="7"/>
  <c r="H83" i="7"/>
  <c r="I83" i="7" s="1"/>
  <c r="D24" i="8" s="1"/>
  <c r="H45" i="7"/>
  <c r="I45" i="7" s="1"/>
  <c r="D212" i="8" s="1"/>
  <c r="H132" i="7"/>
  <c r="E151" i="8" s="1"/>
  <c r="G151" i="8" s="1"/>
  <c r="H21" i="7"/>
  <c r="L21" i="7" s="1"/>
  <c r="W137" i="6"/>
  <c r="AJ137" i="6" s="1"/>
  <c r="Q218" i="7"/>
  <c r="H173" i="7"/>
  <c r="L173" i="7" s="1"/>
  <c r="F217" i="8"/>
  <c r="L6" i="7"/>
  <c r="L110" i="7"/>
  <c r="F150" i="8"/>
  <c r="F237" i="8"/>
  <c r="L206" i="7"/>
  <c r="H15" i="7"/>
  <c r="I15" i="7" s="1"/>
  <c r="D184" i="8" s="1"/>
  <c r="H7" i="7"/>
  <c r="E214" i="8" s="1"/>
  <c r="G214" i="8" s="1"/>
  <c r="P246" i="7"/>
  <c r="R49" i="7"/>
  <c r="L38" i="7"/>
  <c r="F141" i="8"/>
  <c r="H237" i="7"/>
  <c r="E244" i="8" s="1"/>
  <c r="G244" i="8" s="1"/>
  <c r="H103" i="7"/>
  <c r="L103" i="7" s="1"/>
  <c r="Q102" i="7"/>
  <c r="P102" i="7"/>
  <c r="L33" i="7"/>
  <c r="F210" i="8"/>
  <c r="H8" i="7"/>
  <c r="E29" i="8" s="1"/>
  <c r="G29" i="8" s="1"/>
  <c r="AI225" i="6"/>
  <c r="H84" i="7"/>
  <c r="I84" i="7" s="1"/>
  <c r="D130" i="8" s="1"/>
  <c r="H147" i="7"/>
  <c r="E75" i="8" s="1"/>
  <c r="G75" i="8" s="1"/>
  <c r="H219" i="7"/>
  <c r="I219" i="7" s="1"/>
  <c r="D239" i="8" s="1"/>
  <c r="H123" i="7"/>
  <c r="L123" i="7" s="1"/>
  <c r="H115" i="7"/>
  <c r="H178" i="7"/>
  <c r="E30" i="8" s="1"/>
  <c r="G30" i="8" s="1"/>
  <c r="H218" i="7"/>
  <c r="E232" i="8" s="1"/>
  <c r="G232" i="8" s="1"/>
  <c r="AI79" i="6"/>
  <c r="H198" i="7"/>
  <c r="L198" i="7" s="1"/>
  <c r="H80" i="7"/>
  <c r="I80" i="7" s="1"/>
  <c r="D219" i="8" s="1"/>
  <c r="W17" i="6"/>
  <c r="AE17" i="6" s="1"/>
  <c r="H72" i="7"/>
  <c r="I72" i="7" s="1"/>
  <c r="D197" i="8" s="1"/>
  <c r="AI53" i="6"/>
  <c r="H126" i="7"/>
  <c r="E148" i="8" s="1"/>
  <c r="G148" i="8" s="1"/>
  <c r="H150" i="7"/>
  <c r="I150" i="7" s="1"/>
  <c r="D55" i="8" s="1"/>
  <c r="H144" i="7"/>
  <c r="E140" i="8" s="1"/>
  <c r="G140" i="8" s="1"/>
  <c r="H11" i="7"/>
  <c r="L11" i="7" s="1"/>
  <c r="AI219" i="6"/>
  <c r="AI230" i="6"/>
  <c r="H87" i="7"/>
  <c r="L87" i="7" s="1"/>
  <c r="H104" i="7"/>
  <c r="L104" i="7" s="1"/>
  <c r="AG240" i="6"/>
  <c r="S240" i="7" s="1"/>
  <c r="AI36" i="6"/>
  <c r="H40" i="7"/>
  <c r="L40" i="7" s="1"/>
  <c r="H23" i="7"/>
  <c r="E96" i="8" s="1"/>
  <c r="G96" i="8" s="1"/>
  <c r="H99" i="7"/>
  <c r="P24" i="7"/>
  <c r="H19" i="7"/>
  <c r="L19" i="7" s="1"/>
  <c r="H216" i="7"/>
  <c r="I216" i="7" s="1"/>
  <c r="D5" i="8" s="1"/>
  <c r="AI220" i="6"/>
  <c r="H175" i="7"/>
  <c r="E25" i="8" s="1"/>
  <c r="G25" i="8" s="1"/>
  <c r="H227" i="7"/>
  <c r="I227" i="7" s="1"/>
  <c r="D58" i="8" s="1"/>
  <c r="H41" i="7"/>
  <c r="H201" i="7"/>
  <c r="I201" i="7" s="1"/>
  <c r="D187" i="8" s="1"/>
  <c r="Q142" i="7"/>
  <c r="R142" i="7"/>
  <c r="H33" i="7"/>
  <c r="I33" i="7" s="1"/>
  <c r="D210" i="8" s="1"/>
  <c r="P12" i="7"/>
  <c r="H43" i="7"/>
  <c r="E139" i="8" s="1"/>
  <c r="G139" i="8" s="1"/>
  <c r="AE67" i="6"/>
  <c r="AG67" i="6" s="1"/>
  <c r="S67" i="7" s="1"/>
  <c r="H34" i="7"/>
  <c r="I34" i="7" s="1"/>
  <c r="D131" i="8" s="1"/>
  <c r="H204" i="7"/>
  <c r="E229" i="8" s="1"/>
  <c r="G229" i="8" s="1"/>
  <c r="H153" i="7"/>
  <c r="E22" i="8" s="1"/>
  <c r="G22" i="8" s="1"/>
  <c r="H241" i="7"/>
  <c r="H60" i="7"/>
  <c r="E192" i="8" s="1"/>
  <c r="G192" i="8" s="1"/>
  <c r="H74" i="7"/>
  <c r="AI212" i="6"/>
  <c r="Q147" i="7"/>
  <c r="H57" i="7"/>
  <c r="E97" i="8" s="1"/>
  <c r="G97" i="8" s="1"/>
  <c r="AJ81" i="6"/>
  <c r="AJ114" i="6"/>
  <c r="AI159" i="6"/>
  <c r="P22" i="7"/>
  <c r="AI99" i="6"/>
  <c r="AI33" i="6"/>
  <c r="W7" i="6"/>
  <c r="Y8" i="6"/>
  <c r="AI214" i="6"/>
  <c r="H29" i="7"/>
  <c r="L29" i="7" s="1"/>
  <c r="AJ116" i="6"/>
  <c r="AH21" i="6"/>
  <c r="AI21" i="6" s="1"/>
  <c r="Y131" i="6"/>
  <c r="AH83" i="6"/>
  <c r="AI83" i="6" s="1"/>
  <c r="AI37" i="6"/>
  <c r="AF240" i="6"/>
  <c r="AI158" i="6"/>
  <c r="E198" i="8"/>
  <c r="G198" i="8" s="1"/>
  <c r="AI104" i="6"/>
  <c r="AG83" i="6"/>
  <c r="S83" i="7" s="1"/>
  <c r="AE121" i="6"/>
  <c r="AI15" i="6"/>
  <c r="AI178" i="6"/>
  <c r="I222" i="7"/>
  <c r="D233" i="8" s="1"/>
  <c r="AI78" i="6"/>
  <c r="AE89" i="6"/>
  <c r="AG89" i="6" s="1"/>
  <c r="S89" i="7" s="1"/>
  <c r="AE122" i="6"/>
  <c r="AF122" i="6" s="1"/>
  <c r="AE190" i="6"/>
  <c r="AG190" i="6" s="1"/>
  <c r="S190" i="7" s="1"/>
  <c r="AE194" i="6"/>
  <c r="AF194" i="6" s="1"/>
  <c r="A17" i="11"/>
  <c r="H95" i="7"/>
  <c r="E11" i="8" s="1"/>
  <c r="G11" i="8" s="1"/>
  <c r="AE85" i="6"/>
  <c r="AG85" i="6" s="1"/>
  <c r="S85" i="7" s="1"/>
  <c r="AH72" i="6"/>
  <c r="AI72" i="6" s="1"/>
  <c r="AF72" i="6"/>
  <c r="AG72" i="6"/>
  <c r="S72" i="7" s="1"/>
  <c r="L114" i="7"/>
  <c r="I114" i="7"/>
  <c r="D6" i="8" s="1"/>
  <c r="E6" i="8"/>
  <c r="G6" i="8" s="1"/>
  <c r="AE223" i="6"/>
  <c r="AG223" i="6" s="1"/>
  <c r="S223" i="7" s="1"/>
  <c r="AE49" i="6"/>
  <c r="AJ49" i="6"/>
  <c r="AI208" i="6"/>
  <c r="AI199" i="6"/>
  <c r="AJ72" i="6"/>
  <c r="AJ69" i="6"/>
  <c r="AE69" i="6"/>
  <c r="H24" i="7"/>
  <c r="L24" i="7" s="1"/>
  <c r="AE191" i="6"/>
  <c r="AH191" i="6" s="1"/>
  <c r="AI191" i="6" s="1"/>
  <c r="AI59" i="6"/>
  <c r="H46" i="7"/>
  <c r="E211" i="8" s="1"/>
  <c r="G211" i="8" s="1"/>
  <c r="AG21" i="6"/>
  <c r="S21" i="7" s="1"/>
  <c r="I59" i="7"/>
  <c r="D136" i="8" s="1"/>
  <c r="AI228" i="6"/>
  <c r="Y147" i="6"/>
  <c r="Y143" i="6"/>
  <c r="AI198" i="6"/>
  <c r="W94" i="6"/>
  <c r="AJ94" i="6" s="1"/>
  <c r="W88" i="6"/>
  <c r="AJ88" i="6" s="1"/>
  <c r="AE10" i="6"/>
  <c r="AE179" i="6"/>
  <c r="AJ179" i="6"/>
  <c r="AJ39" i="6"/>
  <c r="AE39" i="6"/>
  <c r="AJ165" i="6"/>
  <c r="L92" i="7"/>
  <c r="AE29" i="6"/>
  <c r="AJ29" i="6"/>
  <c r="AE71" i="6"/>
  <c r="AJ71" i="6"/>
  <c r="AJ91" i="6"/>
  <c r="AE91" i="6"/>
  <c r="L108" i="7"/>
  <c r="AJ125" i="6"/>
  <c r="AJ236" i="6"/>
  <c r="I108" i="7"/>
  <c r="D170" i="8" s="1"/>
  <c r="AJ102" i="6"/>
  <c r="AJ93" i="6"/>
  <c r="AE93" i="6"/>
  <c r="AF56" i="6"/>
  <c r="AG215" i="6"/>
  <c r="S215" i="7" s="1"/>
  <c r="AF215" i="6"/>
  <c r="AH215" i="6"/>
  <c r="AI215" i="6" s="1"/>
  <c r="E17" i="8"/>
  <c r="G17" i="8" s="1"/>
  <c r="AI40" i="6"/>
  <c r="AE96" i="6"/>
  <c r="AE155" i="6"/>
  <c r="AJ155" i="6"/>
  <c r="AE150" i="6"/>
  <c r="AE224" i="6"/>
  <c r="AJ30" i="6"/>
  <c r="AE65" i="6"/>
  <c r="AE163" i="6"/>
  <c r="AJ163" i="6"/>
  <c r="AJ167" i="6"/>
  <c r="AE167" i="6"/>
  <c r="AJ97" i="6"/>
  <c r="AE142" i="6"/>
  <c r="AJ142" i="6"/>
  <c r="P70" i="7"/>
  <c r="AE184" i="6"/>
  <c r="AG236" i="6"/>
  <c r="S236" i="7" s="1"/>
  <c r="AH236" i="6"/>
  <c r="AI236" i="6" s="1"/>
  <c r="AE120" i="6"/>
  <c r="AJ120" i="6"/>
  <c r="AJ170" i="6"/>
  <c r="AF82" i="6"/>
  <c r="AJ229" i="6"/>
  <c r="AE229" i="6"/>
  <c r="AJ12" i="6"/>
  <c r="AJ227" i="6"/>
  <c r="AE24" i="6"/>
  <c r="AJ24" i="6"/>
  <c r="AJ185" i="6"/>
  <c r="AE185" i="6"/>
  <c r="I145" i="7"/>
  <c r="D142" i="8" s="1"/>
  <c r="AJ188" i="6"/>
  <c r="AE188" i="6"/>
  <c r="AJ153" i="6"/>
  <c r="AE153" i="6"/>
  <c r="E8" i="8"/>
  <c r="G8" i="8" s="1"/>
  <c r="I68" i="7"/>
  <c r="D8" i="8" s="1"/>
  <c r="L68" i="7"/>
  <c r="AJ109" i="6"/>
  <c r="AE109" i="6"/>
  <c r="AE187" i="6"/>
  <c r="AJ187" i="6"/>
  <c r="AJ51" i="6"/>
  <c r="AJ115" i="6"/>
  <c r="AE64" i="6"/>
  <c r="I157" i="7"/>
  <c r="D161" i="8" s="1"/>
  <c r="L157" i="7"/>
  <c r="AJ74" i="6"/>
  <c r="AE74" i="6"/>
  <c r="AF125" i="6"/>
  <c r="AH125" i="6"/>
  <c r="AI125" i="6" s="1"/>
  <c r="AG125" i="6"/>
  <c r="S125" i="7" s="1"/>
  <c r="Q111" i="7"/>
  <c r="E93" i="8"/>
  <c r="G93" i="8" s="1"/>
  <c r="L137" i="7"/>
  <c r="AI133" i="6"/>
  <c r="D17" i="11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AJ111" i="6"/>
  <c r="AE111" i="6"/>
  <c r="F226" i="8"/>
  <c r="L212" i="7"/>
  <c r="R185" i="7"/>
  <c r="Q185" i="7"/>
  <c r="F241" i="8"/>
  <c r="L208" i="7"/>
  <c r="L239" i="7"/>
  <c r="AF12" i="6"/>
  <c r="AH12" i="6"/>
  <c r="AI12" i="6" s="1"/>
  <c r="AG12" i="6"/>
  <c r="S12" i="7" s="1"/>
  <c r="F218" i="8"/>
  <c r="L32" i="7"/>
  <c r="B56" i="11"/>
  <c r="B60" i="11"/>
  <c r="AJ231" i="6"/>
  <c r="P63" i="7"/>
  <c r="P50" i="7"/>
  <c r="F100" i="8"/>
  <c r="AJ86" i="6"/>
  <c r="AE86" i="6"/>
  <c r="R29" i="7"/>
  <c r="Q29" i="7"/>
  <c r="AE112" i="6"/>
  <c r="AJ112" i="6"/>
  <c r="B55" i="11"/>
  <c r="R119" i="7"/>
  <c r="Q119" i="7"/>
  <c r="Q100" i="7"/>
  <c r="R100" i="7"/>
  <c r="R113" i="7"/>
  <c r="R196" i="7"/>
  <c r="B52" i="11"/>
  <c r="P113" i="7"/>
  <c r="F35" i="8"/>
  <c r="AH32" i="6"/>
  <c r="AI32" i="6" s="1"/>
  <c r="AG32" i="6"/>
  <c r="S32" i="7" s="1"/>
  <c r="AF32" i="6"/>
  <c r="E81" i="8"/>
  <c r="G81" i="8" s="1"/>
  <c r="L185" i="7"/>
  <c r="I185" i="7"/>
  <c r="D81" i="8" s="1"/>
  <c r="Q139" i="7"/>
  <c r="R139" i="7"/>
  <c r="Q50" i="7"/>
  <c r="R50" i="7"/>
  <c r="Q90" i="7"/>
  <c r="R90" i="7"/>
  <c r="R64" i="7"/>
  <c r="Q64" i="7"/>
  <c r="F55" i="8"/>
  <c r="Q10" i="7"/>
  <c r="Q97" i="7"/>
  <c r="R97" i="7"/>
  <c r="Q181" i="7"/>
  <c r="R181" i="7"/>
  <c r="AE44" i="6"/>
  <c r="AJ44" i="6"/>
  <c r="R56" i="7"/>
  <c r="Q56" i="7"/>
  <c r="F17" i="8"/>
  <c r="AJ46" i="6"/>
  <c r="AE46" i="6"/>
  <c r="F20" i="8"/>
  <c r="L93" i="7"/>
  <c r="E118" i="8"/>
  <c r="G118" i="8" s="1"/>
  <c r="P150" i="7"/>
  <c r="R150" i="7"/>
  <c r="Q150" i="7"/>
  <c r="R72" i="7"/>
  <c r="Q72" i="7"/>
  <c r="J13" i="11"/>
  <c r="B59" i="11"/>
  <c r="P19" i="7"/>
  <c r="R79" i="7"/>
  <c r="Q79" i="7"/>
  <c r="I135" i="7"/>
  <c r="D42" i="8" s="1"/>
  <c r="AE226" i="6"/>
  <c r="AJ226" i="6"/>
  <c r="Q15" i="7"/>
  <c r="R15" i="7"/>
  <c r="F67" i="8"/>
  <c r="Q217" i="7"/>
  <c r="R217" i="7"/>
  <c r="R157" i="7"/>
  <c r="Q157" i="7"/>
  <c r="F183" i="8"/>
  <c r="L27" i="7"/>
  <c r="R62" i="7"/>
  <c r="Q62" i="7"/>
  <c r="F122" i="8"/>
  <c r="F209" i="8"/>
  <c r="AE48" i="6"/>
  <c r="AJ48" i="6"/>
  <c r="P196" i="7"/>
  <c r="R166" i="7"/>
  <c r="Q166" i="7"/>
  <c r="AJ217" i="6"/>
  <c r="R120" i="7"/>
  <c r="Q120" i="7"/>
  <c r="Q180" i="7"/>
  <c r="R180" i="7"/>
  <c r="Q24" i="7"/>
  <c r="R24" i="7"/>
  <c r="Q63" i="7"/>
  <c r="R63" i="7"/>
  <c r="F120" i="8"/>
  <c r="Q44" i="7"/>
  <c r="R44" i="7"/>
  <c r="Q224" i="7"/>
  <c r="P224" i="7"/>
  <c r="R224" i="7"/>
  <c r="E226" i="8"/>
  <c r="G226" i="8" s="1"/>
  <c r="F114" i="8"/>
  <c r="P73" i="7"/>
  <c r="Q73" i="7"/>
  <c r="R73" i="7"/>
  <c r="R111" i="7"/>
  <c r="Q174" i="7"/>
  <c r="P174" i="7"/>
  <c r="P59" i="7"/>
  <c r="R101" i="7"/>
  <c r="Q101" i="7"/>
  <c r="R236" i="7"/>
  <c r="P236" i="7"/>
  <c r="Q236" i="7"/>
  <c r="R43" i="7"/>
  <c r="Q43" i="7"/>
  <c r="M9" i="11"/>
  <c r="A52" i="11" a="1"/>
  <c r="A52" i="11" s="1"/>
  <c r="R152" i="7"/>
  <c r="AJ154" i="6"/>
  <c r="AH232" i="6"/>
  <c r="AI232" i="6" s="1"/>
  <c r="AF232" i="6"/>
  <c r="AG232" i="6"/>
  <c r="S232" i="7" s="1"/>
  <c r="AH151" i="6"/>
  <c r="AI151" i="6" s="1"/>
  <c r="AF151" i="6"/>
  <c r="F193" i="8"/>
  <c r="L53" i="7"/>
  <c r="R132" i="7"/>
  <c r="Q132" i="7"/>
  <c r="AJ174" i="6"/>
  <c r="AE174" i="6"/>
  <c r="F158" i="8"/>
  <c r="R189" i="7"/>
  <c r="Q189" i="7"/>
  <c r="E72" i="8"/>
  <c r="G72" i="8" s="1"/>
  <c r="Q91" i="7"/>
  <c r="R91" i="7"/>
  <c r="L139" i="7"/>
  <c r="I139" i="7"/>
  <c r="D70" i="8" s="1"/>
  <c r="E70" i="8"/>
  <c r="G70" i="8" s="1"/>
  <c r="Q92" i="7"/>
  <c r="R92" i="7"/>
  <c r="F172" i="8"/>
  <c r="Q161" i="7"/>
  <c r="R161" i="7"/>
  <c r="R54" i="7"/>
  <c r="Q54" i="7"/>
  <c r="AH70" i="6"/>
  <c r="AI70" i="6" s="1"/>
  <c r="AG70" i="6"/>
  <c r="S70" i="7" s="1"/>
  <c r="AF70" i="6"/>
  <c r="Q193" i="7"/>
  <c r="R193" i="7"/>
  <c r="F110" i="8"/>
  <c r="Q47" i="7"/>
  <c r="R47" i="7"/>
  <c r="P111" i="7"/>
  <c r="R174" i="7"/>
  <c r="AF134" i="6"/>
  <c r="R82" i="7"/>
  <c r="Q82" i="7"/>
  <c r="F238" i="8"/>
  <c r="L211" i="7"/>
  <c r="Q188" i="7"/>
  <c r="R188" i="7"/>
  <c r="P107" i="7"/>
  <c r="R8" i="7"/>
  <c r="Q8" i="7"/>
  <c r="R22" i="7"/>
  <c r="Q22" i="7"/>
  <c r="AG114" i="6"/>
  <c r="S114" i="7" s="1"/>
  <c r="P54" i="7"/>
  <c r="R141" i="7"/>
  <c r="Q141" i="7"/>
  <c r="F47" i="8"/>
  <c r="AH186" i="6"/>
  <c r="AI186" i="6" s="1"/>
  <c r="AG186" i="6"/>
  <c r="S186" i="7" s="1"/>
  <c r="AF186" i="6"/>
  <c r="AH5" i="6"/>
  <c r="AI5" i="6" s="1"/>
  <c r="AG5" i="6"/>
  <c r="S5" i="7" s="1"/>
  <c r="AF5" i="6"/>
  <c r="I203" i="7" l="1"/>
  <c r="D228" i="8" s="1"/>
  <c r="E163" i="8"/>
  <c r="G163" i="8" s="1"/>
  <c r="AE149" i="6"/>
  <c r="AJ240" i="6"/>
  <c r="AJ138" i="6"/>
  <c r="AF116" i="6"/>
  <c r="AH138" i="6"/>
  <c r="AI138" i="6" s="1"/>
  <c r="AH221" i="6"/>
  <c r="AI221" i="6" s="1"/>
  <c r="AF114" i="6"/>
  <c r="AH134" i="6"/>
  <c r="AI134" i="6" s="1"/>
  <c r="I25" i="7"/>
  <c r="D72" i="8" s="1"/>
  <c r="AJ26" i="6"/>
  <c r="AG56" i="6"/>
  <c r="S56" i="7" s="1"/>
  <c r="AJ197" i="6"/>
  <c r="AE129" i="6"/>
  <c r="E152" i="8"/>
  <c r="G152" i="8" s="1"/>
  <c r="AE171" i="6"/>
  <c r="AF171" i="6" s="1"/>
  <c r="AJ134" i="6"/>
  <c r="AE172" i="6"/>
  <c r="AH172" i="6" s="1"/>
  <c r="AI172" i="6" s="1"/>
  <c r="AE139" i="6"/>
  <c r="AH139" i="6" s="1"/>
  <c r="AI139" i="6" s="1"/>
  <c r="AH82" i="6"/>
  <c r="AI82" i="6" s="1"/>
  <c r="AE75" i="6"/>
  <c r="AG75" i="6" s="1"/>
  <c r="S75" i="7" s="1"/>
  <c r="AJ82" i="6"/>
  <c r="AH143" i="6"/>
  <c r="AH68" i="6"/>
  <c r="AI68" i="6" s="1"/>
  <c r="AJ175" i="6"/>
  <c r="AF200" i="6"/>
  <c r="AJ200" i="6"/>
  <c r="AJ151" i="6"/>
  <c r="AE173" i="6"/>
  <c r="AG173" i="6" s="1"/>
  <c r="S173" i="7" s="1"/>
  <c r="AE95" i="6"/>
  <c r="AF95" i="6" s="1"/>
  <c r="AG200" i="6"/>
  <c r="S200" i="7" s="1"/>
  <c r="I167" i="7"/>
  <c r="D74" i="8" s="1"/>
  <c r="I113" i="7"/>
  <c r="D110" i="8" s="1"/>
  <c r="L143" i="7"/>
  <c r="L167" i="7"/>
  <c r="AF182" i="6"/>
  <c r="E247" i="8"/>
  <c r="G247" i="8" s="1"/>
  <c r="E111" i="8"/>
  <c r="G111" i="8" s="1"/>
  <c r="L245" i="7"/>
  <c r="AH182" i="6"/>
  <c r="AI182" i="6" s="1"/>
  <c r="E203" i="8"/>
  <c r="G203" i="8" s="1"/>
  <c r="I165" i="7"/>
  <c r="D76" i="8" s="1"/>
  <c r="AJ25" i="6"/>
  <c r="E76" i="8"/>
  <c r="G76" i="8" s="1"/>
  <c r="AJ130" i="6"/>
  <c r="AE9" i="6"/>
  <c r="AG9" i="6" s="1"/>
  <c r="S9" i="7" s="1"/>
  <c r="E44" i="8"/>
  <c r="G44" i="8" s="1"/>
  <c r="AJ182" i="6"/>
  <c r="AE100" i="6"/>
  <c r="AF100" i="6" s="1"/>
  <c r="E191" i="8"/>
  <c r="G191" i="8" s="1"/>
  <c r="L192" i="7"/>
  <c r="E202" i="8"/>
  <c r="G202" i="8" s="1"/>
  <c r="L70" i="7"/>
  <c r="E208" i="8"/>
  <c r="G208" i="8" s="1"/>
  <c r="L10" i="7"/>
  <c r="E127" i="8"/>
  <c r="G127" i="8" s="1"/>
  <c r="I106" i="7"/>
  <c r="D31" i="8" s="1"/>
  <c r="I188" i="7"/>
  <c r="D90" i="8" s="1"/>
  <c r="AF16" i="6"/>
  <c r="L96" i="7"/>
  <c r="L106" i="7"/>
  <c r="L188" i="7"/>
  <c r="L71" i="7"/>
  <c r="I231" i="7"/>
  <c r="D73" i="8" s="1"/>
  <c r="AJ195" i="6"/>
  <c r="AH16" i="6"/>
  <c r="AI16" i="6" s="1"/>
  <c r="I16" i="7"/>
  <c r="D207" i="8" s="1"/>
  <c r="L234" i="7"/>
  <c r="E207" i="8"/>
  <c r="G207" i="8" s="1"/>
  <c r="E36" i="8"/>
  <c r="G36" i="8" s="1"/>
  <c r="I117" i="7"/>
  <c r="D159" i="8" s="1"/>
  <c r="E98" i="8"/>
  <c r="G98" i="8" s="1"/>
  <c r="L117" i="7"/>
  <c r="E106" i="8"/>
  <c r="G106" i="8" s="1"/>
  <c r="AE131" i="6"/>
  <c r="AH131" i="6" s="1"/>
  <c r="AI131" i="6" s="1"/>
  <c r="L116" i="7"/>
  <c r="I120" i="7"/>
  <c r="D116" i="8" s="1"/>
  <c r="L56" i="7"/>
  <c r="AE22" i="6"/>
  <c r="AH22" i="6" s="1"/>
  <c r="AI22" i="6" s="1"/>
  <c r="I140" i="7"/>
  <c r="D106" i="8" s="1"/>
  <c r="AH19" i="6"/>
  <c r="AI19" i="6" s="1"/>
  <c r="I9" i="7"/>
  <c r="D98" i="8" s="1"/>
  <c r="I235" i="7"/>
  <c r="D160" i="8" s="1"/>
  <c r="E241" i="8"/>
  <c r="G241" i="8" s="1"/>
  <c r="E56" i="8"/>
  <c r="G56" i="8" s="1"/>
  <c r="I116" i="7"/>
  <c r="D10" i="8" s="1"/>
  <c r="I246" i="7"/>
  <c r="D242" i="8" s="1"/>
  <c r="AG177" i="6"/>
  <c r="S177" i="7" s="1"/>
  <c r="I182" i="7"/>
  <c r="D79" i="8" s="1"/>
  <c r="L182" i="7"/>
  <c r="E172" i="8"/>
  <c r="G172" i="8" s="1"/>
  <c r="I247" i="7"/>
  <c r="D243" i="8" s="1"/>
  <c r="AE202" i="6"/>
  <c r="AH202" i="6" s="1"/>
  <c r="AI202" i="6" s="1"/>
  <c r="AJ177" i="6"/>
  <c r="AE119" i="6"/>
  <c r="AG119" i="6" s="1"/>
  <c r="S119" i="7" s="1"/>
  <c r="AJ234" i="6"/>
  <c r="I152" i="7"/>
  <c r="D123" i="8" s="1"/>
  <c r="AF177" i="6"/>
  <c r="L107" i="7"/>
  <c r="L67" i="7"/>
  <c r="L152" i="7"/>
  <c r="I214" i="7"/>
  <c r="D107" i="8" s="1"/>
  <c r="AF8" i="6"/>
  <c r="L102" i="7"/>
  <c r="I102" i="7"/>
  <c r="D16" i="8" s="1"/>
  <c r="I62" i="7"/>
  <c r="D163" i="8" s="1"/>
  <c r="E168" i="8"/>
  <c r="G168" i="8" s="1"/>
  <c r="L197" i="7"/>
  <c r="L97" i="7"/>
  <c r="AJ221" i="6"/>
  <c r="E190" i="8"/>
  <c r="G190" i="8" s="1"/>
  <c r="L65" i="7"/>
  <c r="AJ162" i="6"/>
  <c r="AE164" i="6"/>
  <c r="AH164" i="6" s="1"/>
  <c r="AI164" i="6" s="1"/>
  <c r="L145" i="7"/>
  <c r="I97" i="7"/>
  <c r="D94" i="8" s="1"/>
  <c r="I100" i="7"/>
  <c r="D198" i="8" s="1"/>
  <c r="AJ143" i="6"/>
  <c r="AG143" i="6"/>
  <c r="S143" i="7" s="1"/>
  <c r="I200" i="7"/>
  <c r="D20" i="8" s="1"/>
  <c r="E188" i="8"/>
  <c r="G188" i="8" s="1"/>
  <c r="E82" i="8"/>
  <c r="G82" i="8" s="1"/>
  <c r="E20" i="8"/>
  <c r="G20" i="8" s="1"/>
  <c r="E13" i="8"/>
  <c r="G13" i="8" s="1"/>
  <c r="AG41" i="6"/>
  <c r="S41" i="7" s="1"/>
  <c r="I137" i="7"/>
  <c r="D62" i="8" s="1"/>
  <c r="I205" i="7"/>
  <c r="D91" i="8" s="1"/>
  <c r="E42" i="8"/>
  <c r="G42" i="8" s="1"/>
  <c r="AF221" i="6"/>
  <c r="E121" i="8"/>
  <c r="G121" i="8" s="1"/>
  <c r="E143" i="8"/>
  <c r="G143" i="8" s="1"/>
  <c r="E59" i="8"/>
  <c r="G59" i="8" s="1"/>
  <c r="AG124" i="6"/>
  <c r="S124" i="7" s="1"/>
  <c r="I78" i="7"/>
  <c r="D186" i="8" s="1"/>
  <c r="E217" i="8"/>
  <c r="G217" i="8" s="1"/>
  <c r="L129" i="7"/>
  <c r="E47" i="8"/>
  <c r="G47" i="8" s="1"/>
  <c r="AF152" i="6"/>
  <c r="AH107" i="6"/>
  <c r="AI107" i="6" s="1"/>
  <c r="E243" i="8"/>
  <c r="G243" i="8" s="1"/>
  <c r="I67" i="7"/>
  <c r="D223" i="8" s="1"/>
  <c r="E53" i="8"/>
  <c r="G53" i="8" s="1"/>
  <c r="L246" i="7"/>
  <c r="L121" i="7"/>
  <c r="AF172" i="6"/>
  <c r="AJ168" i="6"/>
  <c r="I121" i="7"/>
  <c r="D165" i="8" s="1"/>
  <c r="AF103" i="6"/>
  <c r="E105" i="8"/>
  <c r="G105" i="8" s="1"/>
  <c r="L195" i="7"/>
  <c r="I61" i="7"/>
  <c r="D182" i="8" s="1"/>
  <c r="E87" i="8"/>
  <c r="G87" i="8" s="1"/>
  <c r="I186" i="7"/>
  <c r="D105" i="8" s="1"/>
  <c r="AE57" i="6"/>
  <c r="AH57" i="6" s="1"/>
  <c r="AI57" i="6" s="1"/>
  <c r="AG168" i="6"/>
  <c r="S168" i="7" s="1"/>
  <c r="I22" i="7"/>
  <c r="D119" i="8" s="1"/>
  <c r="E119" i="8"/>
  <c r="G119" i="8" s="1"/>
  <c r="AF124" i="6"/>
  <c r="L217" i="7"/>
  <c r="I195" i="7"/>
  <c r="D122" i="8" s="1"/>
  <c r="AH168" i="6"/>
  <c r="AI168" i="6" s="1"/>
  <c r="L5" i="7"/>
  <c r="I82" i="7"/>
  <c r="D203" i="8" s="1"/>
  <c r="E66" i="8"/>
  <c r="G66" i="8" s="1"/>
  <c r="AG107" i="6"/>
  <c r="S107" i="7" s="1"/>
  <c r="AG193" i="6"/>
  <c r="S193" i="7" s="1"/>
  <c r="I129" i="7"/>
  <c r="D154" i="8" s="1"/>
  <c r="E196" i="8"/>
  <c r="G196" i="8" s="1"/>
  <c r="I170" i="7"/>
  <c r="D78" i="8" s="1"/>
  <c r="AH193" i="6"/>
  <c r="AI193" i="6" s="1"/>
  <c r="AE233" i="6"/>
  <c r="AF233" i="6" s="1"/>
  <c r="L170" i="7"/>
  <c r="E219" i="8"/>
  <c r="G219" i="8" s="1"/>
  <c r="I183" i="7"/>
  <c r="D7" i="8" s="1"/>
  <c r="I130" i="7"/>
  <c r="D111" i="8" s="1"/>
  <c r="L101" i="7"/>
  <c r="I223" i="7"/>
  <c r="D4" i="8" s="1"/>
  <c r="L171" i="7"/>
  <c r="E160" i="8"/>
  <c r="G160" i="8" s="1"/>
  <c r="E116" i="8"/>
  <c r="G116" i="8" s="1"/>
  <c r="E197" i="8"/>
  <c r="G197" i="8" s="1"/>
  <c r="E73" i="8"/>
  <c r="G73" i="8" s="1"/>
  <c r="I171" i="7"/>
  <c r="D68" i="8" s="1"/>
  <c r="L187" i="7"/>
  <c r="I174" i="7"/>
  <c r="D15" i="8" s="1"/>
  <c r="I175" i="7"/>
  <c r="D25" i="8" s="1"/>
  <c r="E101" i="8"/>
  <c r="G101" i="8" s="1"/>
  <c r="I204" i="7"/>
  <c r="D229" i="8" s="1"/>
  <c r="I164" i="7"/>
  <c r="D19" i="8" s="1"/>
  <c r="I156" i="7"/>
  <c r="D53" i="8" s="1"/>
  <c r="L169" i="7"/>
  <c r="L69" i="7"/>
  <c r="E169" i="8"/>
  <c r="G169" i="8" s="1"/>
  <c r="L94" i="7"/>
  <c r="I149" i="7"/>
  <c r="D59" i="8" s="1"/>
  <c r="E153" i="8"/>
  <c r="G153" i="8" s="1"/>
  <c r="E132" i="8"/>
  <c r="G132" i="8" s="1"/>
  <c r="I155" i="7"/>
  <c r="D35" i="8" s="1"/>
  <c r="E92" i="8"/>
  <c r="G92" i="8" s="1"/>
  <c r="E35" i="8"/>
  <c r="G35" i="8" s="1"/>
  <c r="I17" i="7"/>
  <c r="D92" i="8" s="1"/>
  <c r="I144" i="7"/>
  <c r="D140" i="8" s="1"/>
  <c r="L26" i="7"/>
  <c r="I89" i="7"/>
  <c r="D113" i="8" s="1"/>
  <c r="L119" i="7"/>
  <c r="I125" i="7"/>
  <c r="D103" i="8" s="1"/>
  <c r="E213" i="8"/>
  <c r="G213" i="8" s="1"/>
  <c r="L125" i="7"/>
  <c r="I136" i="7"/>
  <c r="D147" i="8" s="1"/>
  <c r="E246" i="8"/>
  <c r="G246" i="8" s="1"/>
  <c r="L124" i="7"/>
  <c r="E100" i="8"/>
  <c r="G100" i="8" s="1"/>
  <c r="I244" i="7"/>
  <c r="D246" i="8" s="1"/>
  <c r="L105" i="7"/>
  <c r="I105" i="7"/>
  <c r="D120" i="8" s="1"/>
  <c r="I132" i="7"/>
  <c r="D151" i="8" s="1"/>
  <c r="L202" i="7"/>
  <c r="E45" i="8"/>
  <c r="G45" i="8" s="1"/>
  <c r="L148" i="7"/>
  <c r="I19" i="7"/>
  <c r="D205" i="8" s="1"/>
  <c r="E210" i="8"/>
  <c r="G210" i="8" s="1"/>
  <c r="E149" i="8"/>
  <c r="G149" i="8" s="1"/>
  <c r="I128" i="7"/>
  <c r="D51" i="8" s="1"/>
  <c r="L150" i="7"/>
  <c r="I225" i="7"/>
  <c r="D225" i="8" s="1"/>
  <c r="E88" i="8"/>
  <c r="G88" i="8" s="1"/>
  <c r="L151" i="7"/>
  <c r="I12" i="7"/>
  <c r="D209" i="8" s="1"/>
  <c r="L138" i="7"/>
  <c r="L226" i="7"/>
  <c r="E21" i="8"/>
  <c r="G21" i="8" s="1"/>
  <c r="L98" i="7"/>
  <c r="E85" i="8"/>
  <c r="G85" i="8" s="1"/>
  <c r="E209" i="8"/>
  <c r="G209" i="8" s="1"/>
  <c r="L118" i="7"/>
  <c r="E37" i="8"/>
  <c r="G37" i="8" s="1"/>
  <c r="E112" i="8"/>
  <c r="G112" i="8" s="1"/>
  <c r="E46" i="8"/>
  <c r="G46" i="8" s="1"/>
  <c r="L111" i="7"/>
  <c r="I143" i="7"/>
  <c r="D63" i="8" s="1"/>
  <c r="E227" i="8"/>
  <c r="G227" i="8" s="1"/>
  <c r="L172" i="7"/>
  <c r="I98" i="7"/>
  <c r="D177" i="8" s="1"/>
  <c r="I111" i="7"/>
  <c r="D114" i="8" s="1"/>
  <c r="I243" i="7"/>
  <c r="D227" i="8" s="1"/>
  <c r="E9" i="8"/>
  <c r="G9" i="8" s="1"/>
  <c r="L113" i="7"/>
  <c r="L191" i="7"/>
  <c r="E185" i="8"/>
  <c r="G185" i="8" s="1"/>
  <c r="E49" i="8"/>
  <c r="G49" i="8" s="1"/>
  <c r="E245" i="8"/>
  <c r="G245" i="8" s="1"/>
  <c r="L179" i="7"/>
  <c r="I166" i="7"/>
  <c r="D138" i="8" s="1"/>
  <c r="L30" i="7"/>
  <c r="L204" i="7"/>
  <c r="E200" i="8"/>
  <c r="G200" i="8" s="1"/>
  <c r="L166" i="7"/>
  <c r="E5" i="8"/>
  <c r="G5" i="8" s="1"/>
  <c r="I64" i="7"/>
  <c r="D213" i="8" s="1"/>
  <c r="I118" i="7"/>
  <c r="D156" i="8" s="1"/>
  <c r="E51" i="8"/>
  <c r="G51" i="8" s="1"/>
  <c r="I69" i="7"/>
  <c r="D43" i="8" s="1"/>
  <c r="I13" i="7"/>
  <c r="D169" i="8" s="1"/>
  <c r="L196" i="7"/>
  <c r="I112" i="7"/>
  <c r="D153" i="8" s="1"/>
  <c r="E212" i="8"/>
  <c r="G212" i="8" s="1"/>
  <c r="L73" i="7"/>
  <c r="E179" i="8"/>
  <c r="G179" i="8" s="1"/>
  <c r="E224" i="8"/>
  <c r="G224" i="8" s="1"/>
  <c r="I73" i="7"/>
  <c r="D71" i="8" s="1"/>
  <c r="L177" i="7"/>
  <c r="E67" i="8"/>
  <c r="G67" i="8" s="1"/>
  <c r="I49" i="7"/>
  <c r="D124" i="8" s="1"/>
  <c r="AH189" i="6"/>
  <c r="AI189" i="6" s="1"/>
  <c r="AF189" i="6"/>
  <c r="AH152" i="6"/>
  <c r="AI152" i="6" s="1"/>
  <c r="AF87" i="6"/>
  <c r="E199" i="8"/>
  <c r="G199" i="8" s="1"/>
  <c r="AH11" i="6"/>
  <c r="AI11" i="6" s="1"/>
  <c r="AF11" i="6"/>
  <c r="AH87" i="6"/>
  <c r="AI87" i="6" s="1"/>
  <c r="L194" i="7"/>
  <c r="E113" i="8"/>
  <c r="G113" i="8" s="1"/>
  <c r="L49" i="7"/>
  <c r="AG235" i="6"/>
  <c r="S235" i="7" s="1"/>
  <c r="AF41" i="6"/>
  <c r="E195" i="8"/>
  <c r="G195" i="8" s="1"/>
  <c r="L240" i="7"/>
  <c r="I37" i="7"/>
  <c r="D157" i="8" s="1"/>
  <c r="AG141" i="6"/>
  <c r="S141" i="7" s="1"/>
  <c r="AG28" i="6"/>
  <c r="S28" i="7" s="1"/>
  <c r="AG196" i="6"/>
  <c r="S196" i="7" s="1"/>
  <c r="AG100" i="6"/>
  <c r="S100" i="7" s="1"/>
  <c r="L228" i="7"/>
  <c r="L88" i="7"/>
  <c r="L85" i="7"/>
  <c r="AF81" i="6"/>
  <c r="I199" i="7"/>
  <c r="D222" i="8" s="1"/>
  <c r="AH141" i="6"/>
  <c r="AI141" i="6" s="1"/>
  <c r="AJ242" i="6"/>
  <c r="AH90" i="6"/>
  <c r="AI90" i="6" s="1"/>
  <c r="AF196" i="6"/>
  <c r="I221" i="7"/>
  <c r="D195" i="8" s="1"/>
  <c r="E135" i="8"/>
  <c r="G135" i="8" s="1"/>
  <c r="E201" i="8"/>
  <c r="G201" i="8" s="1"/>
  <c r="AH103" i="6"/>
  <c r="AI103" i="6" s="1"/>
  <c r="E189" i="8"/>
  <c r="G189" i="8" s="1"/>
  <c r="AH28" i="6"/>
  <c r="AI28" i="6" s="1"/>
  <c r="I88" i="7"/>
  <c r="D108" i="8" s="1"/>
  <c r="L37" i="7"/>
  <c r="AF19" i="6"/>
  <c r="AG192" i="6"/>
  <c r="S192" i="7" s="1"/>
  <c r="I85" i="7"/>
  <c r="D34" i="8" s="1"/>
  <c r="AF118" i="6"/>
  <c r="E133" i="8"/>
  <c r="G133" i="8" s="1"/>
  <c r="I41" i="7"/>
  <c r="D171" i="8" s="1"/>
  <c r="L41" i="7"/>
  <c r="AJ101" i="6"/>
  <c r="AH192" i="6"/>
  <c r="AI192" i="6" s="1"/>
  <c r="AE137" i="6"/>
  <c r="AF137" i="6" s="1"/>
  <c r="AE160" i="6"/>
  <c r="L215" i="7"/>
  <c r="I215" i="7"/>
  <c r="D18" i="8" s="1"/>
  <c r="E64" i="8"/>
  <c r="G64" i="8" s="1"/>
  <c r="L35" i="7"/>
  <c r="E117" i="8"/>
  <c r="G117" i="8" s="1"/>
  <c r="AF130" i="6"/>
  <c r="AG130" i="6"/>
  <c r="S130" i="7" s="1"/>
  <c r="AH169" i="6"/>
  <c r="AI169" i="6" s="1"/>
  <c r="L51" i="7"/>
  <c r="L75" i="7"/>
  <c r="AJ73" i="6"/>
  <c r="E125" i="8"/>
  <c r="G125" i="8" s="1"/>
  <c r="I31" i="7"/>
  <c r="D125" i="8" s="1"/>
  <c r="I75" i="7"/>
  <c r="D38" i="8" s="1"/>
  <c r="I51" i="7"/>
  <c r="D128" i="8" s="1"/>
  <c r="AF90" i="6"/>
  <c r="E173" i="8"/>
  <c r="G173" i="8" s="1"/>
  <c r="AF117" i="6"/>
  <c r="I230" i="7"/>
  <c r="D52" i="8" s="1"/>
  <c r="L63" i="7"/>
  <c r="AG117" i="6"/>
  <c r="S117" i="7" s="1"/>
  <c r="L223" i="7"/>
  <c r="I196" i="7"/>
  <c r="D235" i="8" s="1"/>
  <c r="L230" i="7"/>
  <c r="E89" i="8"/>
  <c r="G89" i="8" s="1"/>
  <c r="E180" i="8"/>
  <c r="G180" i="8" s="1"/>
  <c r="AF45" i="6"/>
  <c r="I220" i="7"/>
  <c r="D236" i="8" s="1"/>
  <c r="E126" i="8"/>
  <c r="G126" i="8" s="1"/>
  <c r="L224" i="7"/>
  <c r="I53" i="7"/>
  <c r="D193" i="8" s="1"/>
  <c r="AJ169" i="6"/>
  <c r="I224" i="7"/>
  <c r="D109" i="8" s="1"/>
  <c r="AG181" i="6"/>
  <c r="S181" i="7" s="1"/>
  <c r="I141" i="7"/>
  <c r="D146" i="8" s="1"/>
  <c r="AJ148" i="6"/>
  <c r="E144" i="8"/>
  <c r="G144" i="8" s="1"/>
  <c r="AH216" i="6"/>
  <c r="AI216" i="6" s="1"/>
  <c r="E137" i="8"/>
  <c r="G137" i="8" s="1"/>
  <c r="I142" i="7"/>
  <c r="D89" i="8" s="1"/>
  <c r="AF183" i="6"/>
  <c r="AG183" i="6"/>
  <c r="S183" i="7" s="1"/>
  <c r="L174" i="7"/>
  <c r="E141" i="8"/>
  <c r="G141" i="8" s="1"/>
  <c r="I162" i="7"/>
  <c r="D60" i="8" s="1"/>
  <c r="E238" i="8"/>
  <c r="G238" i="8" s="1"/>
  <c r="L141" i="7"/>
  <c r="E155" i="8"/>
  <c r="G155" i="8" s="1"/>
  <c r="I154" i="7"/>
  <c r="D102" i="8" s="1"/>
  <c r="L153" i="7"/>
  <c r="AF216" i="6"/>
  <c r="I23" i="7"/>
  <c r="D96" i="8" s="1"/>
  <c r="E69" i="8"/>
  <c r="G69" i="8" s="1"/>
  <c r="AH181" i="6"/>
  <c r="AI181" i="6" s="1"/>
  <c r="I131" i="7"/>
  <c r="D47" i="8" s="1"/>
  <c r="L162" i="7"/>
  <c r="L109" i="7"/>
  <c r="AJ17" i="6"/>
  <c r="E102" i="8"/>
  <c r="G102" i="8" s="1"/>
  <c r="I209" i="7"/>
  <c r="D234" i="8" s="1"/>
  <c r="I153" i="7"/>
  <c r="D22" i="8" s="1"/>
  <c r="I207" i="7"/>
  <c r="D230" i="8" s="1"/>
  <c r="E7" i="8"/>
  <c r="G7" i="8" s="1"/>
  <c r="I181" i="7"/>
  <c r="D69" i="8" s="1"/>
  <c r="L72" i="7"/>
  <c r="I109" i="7"/>
  <c r="D86" i="8" s="1"/>
  <c r="L163" i="7"/>
  <c r="AF169" i="6"/>
  <c r="E39" i="8"/>
  <c r="G39" i="8" s="1"/>
  <c r="AH45" i="6"/>
  <c r="AI45" i="6" s="1"/>
  <c r="L23" i="7"/>
  <c r="L144" i="7"/>
  <c r="L45" i="7"/>
  <c r="I176" i="7"/>
  <c r="D28" i="8" s="1"/>
  <c r="E19" i="8"/>
  <c r="G19" i="8" s="1"/>
  <c r="E28" i="8"/>
  <c r="G28" i="8" s="1"/>
  <c r="AF235" i="6"/>
  <c r="AH123" i="6"/>
  <c r="AI123" i="6" s="1"/>
  <c r="I229" i="7"/>
  <c r="D61" i="8" s="1"/>
  <c r="E54" i="8"/>
  <c r="G54" i="8" s="1"/>
  <c r="I180" i="7"/>
  <c r="D54" i="8" s="1"/>
  <c r="AG108" i="6"/>
  <c r="S108" i="7" s="1"/>
  <c r="AG123" i="6"/>
  <c r="S123" i="7" s="1"/>
  <c r="AI143" i="6"/>
  <c r="AF190" i="6"/>
  <c r="AF43" i="6"/>
  <c r="AJ8" i="6"/>
  <c r="AE106" i="6"/>
  <c r="L39" i="7"/>
  <c r="AH8" i="6"/>
  <c r="AI8" i="6" s="1"/>
  <c r="I39" i="7"/>
  <c r="D158" i="8" s="1"/>
  <c r="AG81" i="6"/>
  <c r="S81" i="7" s="1"/>
  <c r="I198" i="7"/>
  <c r="D221" i="8" s="1"/>
  <c r="E150" i="8"/>
  <c r="G150" i="8" s="1"/>
  <c r="AF128" i="6"/>
  <c r="AG128" i="6"/>
  <c r="S128" i="7" s="1"/>
  <c r="AH63" i="6"/>
  <c r="AI63" i="6" s="1"/>
  <c r="E221" i="8"/>
  <c r="G221" i="8" s="1"/>
  <c r="E130" i="8"/>
  <c r="G130" i="8" s="1"/>
  <c r="AF63" i="6"/>
  <c r="I44" i="7"/>
  <c r="D134" i="8" s="1"/>
  <c r="AH43" i="6"/>
  <c r="AI43" i="6" s="1"/>
  <c r="E129" i="8"/>
  <c r="G129" i="8" s="1"/>
  <c r="E131" i="8"/>
  <c r="G131" i="8" s="1"/>
  <c r="I233" i="7"/>
  <c r="D41" i="8" s="1"/>
  <c r="E84" i="8"/>
  <c r="G84" i="8" s="1"/>
  <c r="AH118" i="6"/>
  <c r="AI118" i="6" s="1"/>
  <c r="I18" i="7"/>
  <c r="D129" i="8" s="1"/>
  <c r="I237" i="7"/>
  <c r="D244" i="8" s="1"/>
  <c r="AG157" i="6"/>
  <c r="S157" i="7" s="1"/>
  <c r="AJ4" i="6"/>
  <c r="I238" i="7"/>
  <c r="D104" i="8" s="1"/>
  <c r="AF31" i="6"/>
  <c r="AG31" i="6"/>
  <c r="S31" i="7" s="1"/>
  <c r="AH31" i="6"/>
  <c r="AI31" i="6" s="1"/>
  <c r="E237" i="8"/>
  <c r="G237" i="8" s="1"/>
  <c r="E167" i="8"/>
  <c r="G167" i="8" s="1"/>
  <c r="AH157" i="6"/>
  <c r="AI157" i="6" s="1"/>
  <c r="I50" i="7"/>
  <c r="D167" i="8" s="1"/>
  <c r="AG35" i="6"/>
  <c r="S35" i="7" s="1"/>
  <c r="AH35" i="6"/>
  <c r="AI35" i="6" s="1"/>
  <c r="AF35" i="6"/>
  <c r="I40" i="7"/>
  <c r="D194" i="8" s="1"/>
  <c r="E218" i="8"/>
  <c r="G218" i="8" s="1"/>
  <c r="E41" i="8"/>
  <c r="G41" i="8" s="1"/>
  <c r="I104" i="7"/>
  <c r="D173" i="8" s="1"/>
  <c r="I54" i="7"/>
  <c r="D180" i="8" s="1"/>
  <c r="L161" i="7"/>
  <c r="L81" i="7"/>
  <c r="E50" i="8"/>
  <c r="G50" i="8" s="1"/>
  <c r="I81" i="7"/>
  <c r="D40" i="8" s="1"/>
  <c r="E61" i="8"/>
  <c r="G61" i="8" s="1"/>
  <c r="AH108" i="6"/>
  <c r="AI108" i="6" s="1"/>
  <c r="I190" i="7"/>
  <c r="D115" i="8" s="1"/>
  <c r="I21" i="7"/>
  <c r="D137" i="8" s="1"/>
  <c r="I43" i="7"/>
  <c r="D139" i="8" s="1"/>
  <c r="L160" i="7"/>
  <c r="I236" i="7"/>
  <c r="D12" i="8" s="1"/>
  <c r="E32" i="8"/>
  <c r="G32" i="8" s="1"/>
  <c r="L43" i="7"/>
  <c r="I87" i="7"/>
  <c r="D48" i="8" s="1"/>
  <c r="L122" i="7"/>
  <c r="E80" i="8"/>
  <c r="G80" i="8" s="1"/>
  <c r="I123" i="7"/>
  <c r="D80" i="8" s="1"/>
  <c r="L4" i="7"/>
  <c r="I29" i="7"/>
  <c r="D175" i="8" s="1"/>
  <c r="E48" i="8"/>
  <c r="G48" i="8" s="1"/>
  <c r="I122" i="7"/>
  <c r="D164" i="8" s="1"/>
  <c r="I134" i="7"/>
  <c r="D39" i="8" s="1"/>
  <c r="AG23" i="6"/>
  <c r="S23" i="7" s="1"/>
  <c r="E57" i="8"/>
  <c r="G57" i="8" s="1"/>
  <c r="E58" i="8"/>
  <c r="G58" i="8" s="1"/>
  <c r="I4" i="7"/>
  <c r="D99" i="8" s="1"/>
  <c r="E95" i="8"/>
  <c r="G95" i="8" s="1"/>
  <c r="L227" i="7"/>
  <c r="AF23" i="6"/>
  <c r="I86" i="7"/>
  <c r="D57" i="8" s="1"/>
  <c r="E166" i="8"/>
  <c r="G166" i="8" s="1"/>
  <c r="L236" i="7"/>
  <c r="I127" i="7"/>
  <c r="D95" i="8" s="1"/>
  <c r="I202" i="7"/>
  <c r="D77" i="8" s="1"/>
  <c r="I58" i="7"/>
  <c r="D162" i="8" s="1"/>
  <c r="E162" i="8"/>
  <c r="G162" i="8" s="1"/>
  <c r="I26" i="7"/>
  <c r="D216" i="8" s="1"/>
  <c r="I242" i="7"/>
  <c r="D166" i="8" s="1"/>
  <c r="E55" i="8"/>
  <c r="G55" i="8" s="1"/>
  <c r="I163" i="7"/>
  <c r="D14" i="8" s="1"/>
  <c r="L57" i="7"/>
  <c r="L175" i="7"/>
  <c r="I57" i="7"/>
  <c r="D97" i="8" s="1"/>
  <c r="L147" i="7"/>
  <c r="I232" i="7"/>
  <c r="D240" i="8" s="1"/>
  <c r="E215" i="8"/>
  <c r="G215" i="8" s="1"/>
  <c r="L28" i="7"/>
  <c r="L190" i="7"/>
  <c r="I27" i="7"/>
  <c r="D183" i="8" s="1"/>
  <c r="I178" i="7"/>
  <c r="D30" i="8" s="1"/>
  <c r="E175" i="8"/>
  <c r="G175" i="8" s="1"/>
  <c r="L232" i="7"/>
  <c r="AG191" i="6"/>
  <c r="S191" i="7" s="1"/>
  <c r="AH223" i="6"/>
  <c r="AI223" i="6" s="1"/>
  <c r="AH190" i="6"/>
  <c r="AI190" i="6" s="1"/>
  <c r="L178" i="7"/>
  <c r="L8" i="7"/>
  <c r="B36" i="11"/>
  <c r="AH67" i="6"/>
  <c r="AI67" i="6" s="1"/>
  <c r="I30" i="7"/>
  <c r="D181" i="8" s="1"/>
  <c r="E171" i="8"/>
  <c r="G171" i="8" s="1"/>
  <c r="L126" i="7"/>
  <c r="I8" i="7"/>
  <c r="D29" i="8" s="1"/>
  <c r="AF67" i="6"/>
  <c r="AF241" i="6"/>
  <c r="I126" i="7"/>
  <c r="D148" i="8" s="1"/>
  <c r="AJ147" i="6"/>
  <c r="AG140" i="6"/>
  <c r="S140" i="7" s="1"/>
  <c r="L168" i="7"/>
  <c r="E204" i="8"/>
  <c r="G204" i="8" s="1"/>
  <c r="AG241" i="6"/>
  <c r="S241" i="7" s="1"/>
  <c r="I11" i="7"/>
  <c r="D204" i="8" s="1"/>
  <c r="L48" i="7"/>
  <c r="L90" i="7"/>
  <c r="E220" i="8"/>
  <c r="G220" i="8" s="1"/>
  <c r="E145" i="8"/>
  <c r="G145" i="8" s="1"/>
  <c r="AG95" i="6"/>
  <c r="S95" i="7" s="1"/>
  <c r="I55" i="7"/>
  <c r="D206" i="8" s="1"/>
  <c r="E205" i="8"/>
  <c r="G205" i="8" s="1"/>
  <c r="AF140" i="6"/>
  <c r="AF191" i="6"/>
  <c r="AH75" i="6"/>
  <c r="AI75" i="6" s="1"/>
  <c r="I147" i="7"/>
  <c r="D75" i="8" s="1"/>
  <c r="AF223" i="6"/>
  <c r="AH85" i="6"/>
  <c r="AI85" i="6" s="1"/>
  <c r="L218" i="7"/>
  <c r="I168" i="7"/>
  <c r="D26" i="8" s="1"/>
  <c r="E206" i="8"/>
  <c r="G206" i="8" s="1"/>
  <c r="E174" i="8"/>
  <c r="G174" i="8" s="1"/>
  <c r="I103" i="7"/>
  <c r="D174" i="8" s="1"/>
  <c r="L216" i="7"/>
  <c r="I7" i="7"/>
  <c r="D214" i="8" s="1"/>
  <c r="E239" i="8"/>
  <c r="G239" i="8" s="1"/>
  <c r="E187" i="8"/>
  <c r="G187" i="8" s="1"/>
  <c r="I173" i="7"/>
  <c r="D37" i="8" s="1"/>
  <c r="L184" i="7"/>
  <c r="E33" i="8"/>
  <c r="G33" i="8" s="1"/>
  <c r="AG171" i="6"/>
  <c r="S171" i="7" s="1"/>
  <c r="AG122" i="6"/>
  <c r="S122" i="7" s="1"/>
  <c r="I193" i="7"/>
  <c r="D33" i="8" s="1"/>
  <c r="L83" i="7"/>
  <c r="E24" i="8"/>
  <c r="G24" i="8" s="1"/>
  <c r="E194" i="8"/>
  <c r="G194" i="8" s="1"/>
  <c r="E184" i="8"/>
  <c r="G184" i="8" s="1"/>
  <c r="L44" i="7"/>
  <c r="I218" i="7"/>
  <c r="D232" i="8" s="1"/>
  <c r="I91" i="7"/>
  <c r="D23" i="8" s="1"/>
  <c r="L91" i="7"/>
  <c r="L7" i="7"/>
  <c r="I60" i="7"/>
  <c r="D192" i="8" s="1"/>
  <c r="E27" i="8"/>
  <c r="G27" i="8" s="1"/>
  <c r="I115" i="7"/>
  <c r="D27" i="8" s="1"/>
  <c r="L115" i="7"/>
  <c r="AH122" i="6"/>
  <c r="AI122" i="6" s="1"/>
  <c r="E231" i="8"/>
  <c r="G231" i="8" s="1"/>
  <c r="L241" i="7"/>
  <c r="I241" i="7"/>
  <c r="D231" i="8" s="1"/>
  <c r="E178" i="8"/>
  <c r="G178" i="8" s="1"/>
  <c r="I99" i="7"/>
  <c r="D178" i="8" s="1"/>
  <c r="L99" i="7"/>
  <c r="AF85" i="6"/>
  <c r="E176" i="8"/>
  <c r="G176" i="8" s="1"/>
  <c r="L74" i="7"/>
  <c r="I74" i="7"/>
  <c r="D176" i="8" s="1"/>
  <c r="AH173" i="6"/>
  <c r="AI173" i="6" s="1"/>
  <c r="A20" i="11"/>
  <c r="AF173" i="6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1" i="8" s="1"/>
  <c r="I46" i="7"/>
  <c r="D211" i="8" s="1"/>
  <c r="I24" i="7"/>
  <c r="D83" i="8" s="1"/>
  <c r="E83" i="8"/>
  <c r="G83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G131" i="6"/>
  <c r="S131" i="7" s="1"/>
  <c r="AG227" i="6"/>
  <c r="S227" i="7" s="1"/>
  <c r="AH227" i="6"/>
  <c r="AI227" i="6" s="1"/>
  <c r="AF227" i="6"/>
  <c r="AG109" i="6"/>
  <c r="S109" i="7" s="1"/>
  <c r="AF109" i="6"/>
  <c r="AH109" i="6"/>
  <c r="AI109" i="6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F174" i="6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G57" i="6" l="1"/>
  <c r="S57" i="7" s="1"/>
  <c r="AH171" i="6"/>
  <c r="AI171" i="6" s="1"/>
  <c r="AH95" i="6"/>
  <c r="AI95" i="6" s="1"/>
  <c r="AF75" i="6"/>
  <c r="AH9" i="6"/>
  <c r="AI9" i="6" s="1"/>
  <c r="AF9" i="6"/>
  <c r="AH100" i="6"/>
  <c r="AI100" i="6" s="1"/>
  <c r="AG172" i="6"/>
  <c r="S172" i="7" s="1"/>
  <c r="AF22" i="6"/>
  <c r="AG22" i="6"/>
  <c r="S22" i="7" s="1"/>
  <c r="AF164" i="6"/>
  <c r="AF57" i="6"/>
  <c r="AG137" i="6"/>
  <c r="S137" i="7" s="1"/>
  <c r="AG164" i="6"/>
  <c r="S164" i="7" s="1"/>
  <c r="AF131" i="6"/>
  <c r="AF202" i="6"/>
  <c r="AG202" i="6"/>
  <c r="S202" i="7" s="1"/>
  <c r="AH119" i="6"/>
  <c r="AI119" i="6" s="1"/>
  <c r="AF119" i="6"/>
  <c r="AH233" i="6"/>
  <c r="AI233" i="6" s="1"/>
  <c r="AG233" i="6"/>
  <c r="S233" i="7" s="1"/>
  <c r="AH137" i="6"/>
  <c r="AI137" i="6" s="1"/>
  <c r="AG94" i="6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G13" i="1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<sst xmlns="http://schemas.openxmlformats.org/spreadsheetml/2006/main" count="8412" uniqueCount="1426">
  <si>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</si>
  <si>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</si>
  <si>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</si>
  <si>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</si>
  <si>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</si>
  <si>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</si>
  <si>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</si>
  <si>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</si>
  <si>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</si>
  <si>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</si>
  <si>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</si>
  <si>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</si>
  <si>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</si>
  <si>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</si>
  <si>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</si>
  <si>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</si>
  <si>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</si>
  <si>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</si>
  <si>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</si>
  <si>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</si>
  <si>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</si>
  <si>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</si>
  <si>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</si>
  <si>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</si>
  <si>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</si>
  <si>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</si>
  <si>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</si>
  <si>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</si>
  <si>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</si>
  <si>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</si>
  <si>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</si>
  <si>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</si>
  <si>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</si>
  <si>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</si>
  <si>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</si>
  <si>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</si>
  <si>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</si>
  <si>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</si>
  <si>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</si>
  <si>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</si>
  <si>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</si>
  <si>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</si>
  <si>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</si>
  <si>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</si>
  <si>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</si>
  <si>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</si>
  <si>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</si>
  <si>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</si>
  <si>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</si>
  <si>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</si>
  <si>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</si>
  <si>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</si>
  <si>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</si>
  <si>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</si>
  <si>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</si>
  <si>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</si>
  <si>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</si>
  <si>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</si>
  <si>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</si>
  <si>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</si>
  <si>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</si>
  <si>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</si>
  <si>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</si>
  <si>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</si>
  <si>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</si>
  <si>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</si>
  <si>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</si>
  <si>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</si>
  <si>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</si>
  <si>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</si>
  <si>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</si>
  <si>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</si>
  <si>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</si>
  <si>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</si>
  <si>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</si>
  <si>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</si>
  <si>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</si>
  <si>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</si>
  <si>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</si>
  <si>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</si>
  <si>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</si>
  <si>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</si>
  <si>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</si>
  <si>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</si>
  <si>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</si>
  <si>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</si>
  <si>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</si>
  <si>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</si>
  <si>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</si>
  <si>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</si>
  <si>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</si>
  <si>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</si>
  <si>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</si>
  <si>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</si>
  <si>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</si>
  <si>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</si>
  <si>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</si>
  <si>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</si>
  <si>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</si>
  <si>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</si>
  <si>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</si>
  <si>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</si>
  <si>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</si>
  <si>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</si>
  <si>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</si>
  <si>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</si>
  <si>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</si>
  <si>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</si>
  <si>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</si>
  <si>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</si>
  <si>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</si>
  <si>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</si>
  <si>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</si>
  <si>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</si>
  <si>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</si>
  <si>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</si>
  <si>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</si>
  <si>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</si>
  <si>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</si>
  <si>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</si>
  <si>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</si>
  <si>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</si>
  <si>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</si>
  <si>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</si>
  <si>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</si>
  <si>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</si>
  <si>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</si>
  <si>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</si>
  <si>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</si>
  <si>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</si>
  <si>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</si>
  <si>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</si>
  <si>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</si>
  <si>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</si>
  <si>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</si>
  <si>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</si>
  <si>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</si>
  <si>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</si>
  <si>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</si>
  <si>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</si>
  <si>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</si>
  <si>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</si>
  <si>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</si>
  <si>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</si>
  <si>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</si>
  <si>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</si>
  <si>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</si>
  <si>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</si>
  <si>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</si>
  <si>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</si>
  <si>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</si>
  <si>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</si>
  <si>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</si>
  <si>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</si>
  <si>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</si>
  <si>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</si>
  <si>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</si>
  <si>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</si>
  <si>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</si>
  <si>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</si>
  <si>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</si>
  <si>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</si>
  <si>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</si>
  <si>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</si>
  <si>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</si>
  <si>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</si>
  <si>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</si>
  <si>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</si>
  <si>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</si>
  <si>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</si>
  <si>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</si>
  <si>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</si>
  <si>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</si>
  <si>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</si>
  <si>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</si>
  <si>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</si>
  <si>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</si>
  <si>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</si>
  <si>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</si>
  <si>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</si>
  <si>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</si>
  <si>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</si>
  <si>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</si>
  <si>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</si>
  <si>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</si>
  <si>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</si>
  <si>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</si>
  <si>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</si>
  <si>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</si>
  <si>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</si>
  <si>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</si>
  <si>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</si>
  <si>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</si>
  <si>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</si>
  <si>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</si>
  <si>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</si>
  <si>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</si>
  <si>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</si>
  <si>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</si>
  <si>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</si>
  <si>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</si>
  <si>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</si>
  <si>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</si>
  <si>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</si>
  <si>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</si>
  <si>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</si>
  <si>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</si>
  <si>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</si>
  <si>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</si>
  <si>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</si>
  <si>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</si>
  <si>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</si>
  <si>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</si>
  <si>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</si>
  <si>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</si>
  <si>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</si>
  <si>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</si>
  <si>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</si>
  <si>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</si>
  <si>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</si>
  <si>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</si>
  <si>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</si>
  <si>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</si>
  <si>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</si>
  <si>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</si>
  <si>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</si>
  <si>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</si>
  <si>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ED-74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</si>
  <si>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</si>
  <si>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</si>
  <si>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</si>
  <si>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</si>
  <si>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</si>
  <si>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</si>
  <si>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</si>
  <si>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</si>
  <si>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</si>
  <si>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</si>
  <si>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</si>
  <si>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</si>
  <si>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</si>
  <si>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</si>
  <si>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</si>
  <si>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</si>
  <si>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</si>
  <si>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</si>
  <si>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</si>
  <si>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</si>
  <si>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</si>
  <si>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</si>
  <si>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</si>
  <si>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</si>
  <si>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</si>
  <si>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</si>
  <si>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</si>
  <si>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</si>
  <si>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</si>
  <si>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</si>
  <si>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</si>
  <si>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</si>
  <si>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</si>
  <si>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</si>
  <si>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</si>
  <si>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</si>
  <si>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</si>
  <si>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</si>
  <si>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</si>
  <si>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</si>
  <si>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</si>
  <si>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</si>
  <si>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</si>
  <si>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</si>
  <si>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</si>
  <si>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</si>
  <si>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</si>
  <si>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</si>
  <si>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</si>
  <si>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</si>
  <si>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</si>
  <si>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</si>
  <si>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</si>
  <si>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</si>
  <si>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</si>
  <si>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</si>
  <si>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</si>
  <si>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</si>
  <si>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</si>
  <si>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</si>
  <si>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</si>
  <si>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</si>
  <si>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</si>
  <si>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</si>
  <si>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</si>
  <si>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</si>
  <si>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</si>
  <si>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</si>
  <si>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</si>
  <si>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</si>
  <si>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</si>
  <si>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</si>
  <si>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</si>
  <si>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</si>
  <si>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</si>
  <si>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</si>
  <si>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</si>
  <si>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</si>
  <si>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</si>
  <si>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</si>
  <si>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</si>
  <si>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</si>
  <si>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</si>
  <si>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</si>
  <si>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</si>
  <si>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</si>
  <si>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</si>
  <si>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</si>
  <si>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</si>
  <si>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</si>
  <si>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</si>
  <si>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</si>
  <si>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</si>
  <si>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</si>
  <si>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</si>
  <si>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</si>
  <si>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</si>
  <si>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</si>
  <si>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</si>
  <si>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</si>
  <si>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</si>
  <si>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</si>
  <si>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</si>
  <si>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</si>
  <si>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</si>
  <si>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</si>
  <si>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</si>
  <si>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</si>
  <si>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</si>
  <si>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</si>
  <si>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</si>
  <si>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</si>
  <si>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</si>
  <si>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</si>
  <si>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</si>
  <si>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</si>
  <si>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</si>
  <si>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</si>
  <si>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</si>
  <si>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</si>
  <si>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</si>
  <si>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</si>
  <si>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</si>
  <si>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</si>
  <si>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</si>
  <si>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</si>
  <si>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</si>
  <si>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</si>
  <si>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</si>
  <si>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</si>
  <si>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</si>
  <si>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</si>
  <si>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</si>
  <si>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</si>
  <si>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</si>
  <si>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</si>
  <si>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</si>
  <si>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</si>
  <si>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</si>
  <si>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</si>
  <si>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</si>
  <si>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</si>
  <si>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</si>
  <si>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</si>
  <si>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</si>
  <si>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</si>
  <si>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</si>
  <si>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</si>
  <si>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</si>
  <si>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</si>
  <si>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</si>
  <si>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</si>
  <si>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</si>
  <si>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</si>
  <si>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</si>
  <si>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</si>
  <si>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</si>
  <si>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</si>
  <si>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</si>
  <si>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</si>
  <si>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</si>
  <si>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</si>
  <si>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</si>
  <si>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</si>
  <si>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</si>
  <si>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</si>
  <si>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</si>
  <si>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</si>
  <si>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</si>
  <si>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</si>
  <si>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</si>
  <si>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</si>
  <si>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</si>
  <si>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</si>
  <si>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</si>
  <si>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</si>
  <si>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</si>
  <si>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</si>
  <si>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</si>
  <si>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</si>
  <si>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</si>
  <si>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</si>
  <si>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</si>
  <si>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</si>
  <si>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</si>
  <si>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</si>
  <si>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</si>
  <si>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</si>
  <si>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</si>
  <si>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</si>
  <si>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</si>
  <si>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</si>
  <si>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</si>
  <si>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</si>
  <si>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</si>
  <si>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</si>
  <si>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</si>
  <si>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</si>
  <si>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</si>
  <si>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</si>
  <si>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</si>
  <si>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</si>
  <si>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</si>
  <si>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</si>
  <si>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</si>
  <si>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</si>
  <si>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</si>
  <si>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</si>
  <si>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</si>
  <si>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</si>
  <si>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</si>
  <si>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</si>
  <si>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</si>
  <si>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</si>
  <si>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</si>
  <si>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</si>
  <si>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</si>
  <si>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</si>
  <si>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</si>
  <si>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</si>
  <si>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</si>
  <si>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</si>
  <si>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</si>
  <si>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</si>
  <si>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</si>
  <si>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</si>
  <si>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</si>
  <si>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</si>
  <si>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</si>
  <si>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</si>
  <si>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</si>
  <si>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</si>
  <si>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</si>
  <si>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</si>
  <si>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</si>
  <si>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</si>
  <si>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</si>
  <si>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</si>
  <si>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</si>
  <si>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</si>
  <si>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</si>
  <si>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</si>
  <si>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</si>
  <si>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</si>
  <si>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</si>
  <si>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</si>
  <si>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</si>
  <si>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</si>
  <si>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</si>
  <si>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</si>
  <si>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</si>
  <si>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</si>
  <si>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</si>
  <si>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</si>
  <si>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</si>
  <si>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</si>
  <si>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</si>
  <si>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</si>
  <si>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</si>
  <si>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</si>
  <si>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</si>
  <si>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</si>
  <si>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</si>
  <si>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</si>
  <si>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</si>
  <si>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</si>
  <si>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</si>
  <si>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</si>
  <si>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</si>
  <si>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</si>
  <si>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</si>
  <si>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</si>
  <si>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</si>
  <si>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</si>
  <si>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</si>
  <si>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</si>
  <si>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</si>
  <si>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</si>
  <si>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</si>
  <si>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</si>
  <si>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</si>
  <si>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</si>
  <si>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</si>
  <si>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</si>
  <si>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</si>
  <si>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</si>
  <si>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</si>
  <si>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</si>
  <si>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</si>
  <si>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</si>
  <si>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</si>
  <si>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</si>
  <si>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</si>
  <si>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</si>
  <si>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</si>
  <si>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</si>
  <si>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</si>
  <si>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</si>
  <si>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</si>
  <si>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</si>
  <si>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</si>
  <si>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</si>
  <si>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</si>
  <si>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</si>
  <si>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</si>
  <si>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</si>
  <si>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</si>
  <si>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</si>
  <si>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</si>
  <si>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</si>
  <si>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</si>
  <si>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</si>
  <si>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</si>
  <si>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</si>
  <si>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</si>
  <si>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</si>
  <si>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</si>
  <si>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</si>
  <si>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</si>
  <si>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</si>
  <si>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</si>
  <si>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</si>
  <si>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</si>
  <si>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</si>
  <si>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</si>
  <si>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</si>
  <si>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</si>
  <si>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</si>
  <si>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</si>
  <si>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</si>
  <si>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</si>
  <si>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</si>
  <si>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</si>
  <si>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</si>
  <si>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</si>
  <si>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</si>
  <si>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</si>
  <si>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</si>
  <si>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</si>
  <si>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</si>
  <si>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</si>
  <si>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</si>
  <si>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</si>
  <si>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</si>
  <si>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</si>
  <si>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</si>
  <si>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</si>
  <si>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</si>
  <si>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</si>
  <si>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</si>
  <si>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</si>
  <si>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</si>
  <si>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</si>
  <si>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</si>
  <si>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</si>
  <si>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</si>
  <si>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</si>
  <si>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</si>
  <si>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</si>
  <si>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</si>
  <si>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</si>
  <si>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</si>
  <si>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</si>
  <si>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</si>
  <si>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</si>
  <si>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</si>
  <si>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</si>
  <si>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</si>
  <si>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</si>
  <si>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</si>
  <si>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</si>
  <si>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</si>
  <si>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</si>
  <si>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</si>
  <si>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</si>
  <si>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</si>
  <si>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</si>
  <si>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</si>
  <si>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</si>
  <si>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</si>
  <si>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</si>
  <si>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</si>
  <si>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</si>
  <si>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</si>
  <si>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</si>
  <si>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</si>
  <si>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</si>
  <si>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</si>
  <si>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</si>
  <si>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</si>
  <si>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</si>
  <si>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</si>
  <si>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</si>
  <si>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</si>
  <si>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</si>
  <si>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</si>
  <si>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</si>
  <si>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</si>
  <si>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</si>
  <si>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</si>
  <si>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</si>
  <si>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</si>
  <si>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</si>
  <si>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</si>
  <si>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</si>
  <si>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</si>
  <si>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</si>
  <si>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</si>
  <si>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</si>
  <si>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</si>
  <si>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</si>
  <si>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</si>
  <si>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</si>
  <si>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</si>
  <si>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</si>
  <si>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</si>
  <si>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</si>
  <si>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</si>
  <si>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</si>
  <si>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</si>
  <si>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</si>
  <si>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</si>
  <si>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</si>
  <si>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</si>
  <si>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</si>
  <si>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</si>
  <si>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</si>
  <si>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</si>
  <si>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</si>
  <si>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</si>
  <si>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</si>
  <si>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</si>
  <si>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</si>
  <si>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</si>
  <si>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</si>
  <si>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</si>
  <si>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</si>
  <si>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ED-73</t>
  </si>
  <si>
    <t>Horas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</si>
  <si>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</si>
  <si>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</si>
  <si>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</si>
  <si>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</si>
  <si>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</si>
  <si>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</si>
  <si>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</si>
  <si>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</si>
  <si>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</si>
  <si>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</si>
  <si>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</si>
  <si>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</si>
  <si>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</si>
  <si>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</si>
  <si>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</si>
  <si>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</si>
  <si>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</si>
  <si>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</si>
  <si>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</si>
  <si>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</si>
  <si>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</si>
  <si>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</si>
  <si>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</si>
  <si>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</si>
  <si>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</si>
  <si>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</si>
  <si>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</si>
  <si>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</si>
  <si>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</si>
  <si>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</si>
  <si>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</si>
  <si>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</si>
  <si>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</si>
  <si>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</si>
  <si>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</si>
  <si>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</si>
  <si>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</si>
  <si>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</si>
  <si>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</si>
  <si>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</si>
  <si>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</si>
  <si>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</si>
  <si>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</si>
  <si>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</si>
  <si>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</si>
  <si>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</si>
  <si>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</si>
  <si>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</si>
  <si>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</si>
  <si>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</si>
  <si>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</si>
  <si>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</si>
  <si>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</si>
  <si>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</si>
  <si>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</si>
  <si>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</si>
  <si>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</si>
  <si>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</si>
  <si>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</si>
  <si>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</si>
  <si>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</si>
  <si>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</si>
  <si>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</si>
  <si>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</si>
  <si>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</si>
  <si>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</si>
  <si>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</si>
  <si>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</si>
  <si>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</si>
  <si>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</si>
  <si>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</si>
  <si>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</si>
  <si>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</si>
  <si>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Mantencion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</si>
  <si>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</si>
  <si>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</si>
  <si>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</si>
  <si>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</si>
  <si>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</si>
  <si>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</si>
  <si>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</si>
  <si>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</si>
  <si>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</si>
  <si>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</si>
  <si>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</si>
  <si>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</si>
  <si>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</si>
  <si>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</si>
  <si>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</si>
  <si>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</si>
  <si>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</si>
  <si>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</si>
  <si>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</si>
  <si>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</si>
  <si>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</si>
  <si>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</si>
  <si>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</si>
  <si>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</si>
  <si>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</si>
  <si>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</si>
  <si>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</si>
  <si>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</si>
  <si>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</si>
  <si>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</si>
  <si>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</si>
  <si>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</si>
  <si>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</si>
  <si>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</si>
  <si>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</si>
  <si>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</si>
  <si>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500Hrs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</si>
  <si>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</si>
  <si>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</si>
  <si>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</si>
  <si>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</si>
  <si>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</si>
  <si>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</si>
  <si>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</si>
  <si>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</si>
  <si>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</si>
  <si>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</si>
  <si>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</si>
  <si>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</si>
  <si>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Taller Central</t>
  </si>
  <si>
    <t>Molina</t>
  </si>
  <si>
    <t>Mantencion PM1</t>
  </si>
  <si>
    <t>Taller Externo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</si>
  <si>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</si>
  <si>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</si>
  <si>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</si>
  <si>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</si>
  <si>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</si>
  <si>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</si>
  <si>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</si>
  <si>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</si>
  <si>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</si>
  <si>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</si>
  <si>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</si>
  <si>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</si>
  <si>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</si>
  <si>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</si>
  <si>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</si>
  <si>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</si>
  <si>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</si>
  <si>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</si>
  <si>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</si>
  <si>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</si>
  <si>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</si>
  <si>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</si>
  <si>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</si>
  <si>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</si>
  <si>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</si>
  <si>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</si>
  <si>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</si>
  <si>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</si>
  <si>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</si>
  <si>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</si>
  <si>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</si>
  <si>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</si>
  <si>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</si>
  <si>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</si>
  <si>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</si>
  <si>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</si>
  <si>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</si>
  <si>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</si>
  <si>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</si>
  <si>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</si>
  <si>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</si>
  <si>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</si>
  <si>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</si>
  <si>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</si>
  <si>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</si>
  <si>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</si>
  <si>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</si>
  <si>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</si>
  <si>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</si>
  <si>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</si>
  <si>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</si>
  <si>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</si>
  <si>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</si>
  <si>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</si>
  <si>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</si>
  <si>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</si>
  <si>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</si>
  <si>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</si>
  <si>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</si>
  <si>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</si>
  <si>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</si>
  <si>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</si>
  <si>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</si>
  <si>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</si>
  <si>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</si>
  <si>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</si>
  <si>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</si>
  <si>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</si>
  <si>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</si>
  <si>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</si>
  <si>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</si>
  <si>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</si>
  <si>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</si>
  <si>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</si>
  <si>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</si>
  <si>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</si>
  <si>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</si>
  <si>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</si>
  <si>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</si>
  <si>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</si>
  <si>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</si>
  <si>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</si>
  <si>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</si>
  <si>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</si>
  <si>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</si>
  <si>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</si>
  <si>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</si>
  <si>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</si>
  <si>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</si>
  <si>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</si>
  <si>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</si>
  <si>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</si>
  <si>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</si>
  <si>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</si>
  <si>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</si>
  <si>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</si>
  <si>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</si>
  <si>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</si>
  <si>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</si>
  <si>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</si>
  <si>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</si>
  <si>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</si>
  <si>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</si>
  <si>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</si>
  <si>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</si>
  <si>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</si>
  <si>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</si>
  <si>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</si>
  <si>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</si>
  <si>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</si>
  <si>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</si>
  <si>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</si>
  <si>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</si>
  <si>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</si>
  <si>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</si>
  <si>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</si>
  <si>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</si>
  <si>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</si>
  <si>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</si>
  <si>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</si>
  <si>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</si>
  <si>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</si>
  <si>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</si>
  <si>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</si>
  <si>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</si>
  <si>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</si>
  <si>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</si>
  <si>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</si>
  <si>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</si>
  <si>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</si>
  <si>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</si>
  <si>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</si>
  <si>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</si>
  <si>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</si>
  <si>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</si>
  <si>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</si>
  <si>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</si>
  <si>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</si>
  <si>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</si>
  <si>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</si>
  <si>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</si>
  <si>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</si>
  <si>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</si>
  <si>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</si>
  <si>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</si>
  <si>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</si>
  <si>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</si>
  <si>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</si>
  <si>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</si>
  <si>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</si>
  <si>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</si>
  <si>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</si>
  <si>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</si>
  <si>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</si>
  <si>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</si>
  <si>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</si>
  <si>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</si>
  <si>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</si>
  <si>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</si>
  <si>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</si>
  <si>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</si>
  <si>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</si>
  <si>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</si>
  <si>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</si>
  <si>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</si>
  <si>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</si>
  <si>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</si>
  <si>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</si>
  <si>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</si>
  <si>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</si>
  <si>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</si>
  <si>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</si>
  <si>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</si>
  <si>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</si>
  <si>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</si>
  <si>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</si>
  <si>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</si>
  <si>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</si>
  <si>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</si>
  <si>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</si>
  <si>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</si>
  <si>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</si>
  <si>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</si>
  <si>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</si>
  <si>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</si>
  <si>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</si>
  <si>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</si>
  <si>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</si>
  <si>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</si>
  <si>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</si>
  <si>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</si>
  <si>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</si>
  <si>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</si>
  <si>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</si>
  <si>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</si>
  <si>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</si>
  <si>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</si>
  <si>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</si>
  <si>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</si>
  <si>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</si>
  <si>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</si>
  <si>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</si>
  <si>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</si>
  <si>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</si>
  <si>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</si>
  <si>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</si>
  <si>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</si>
  <si>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</si>
  <si>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</si>
  <si>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</si>
  <si>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</si>
  <si>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</si>
  <si>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</si>
  <si>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</si>
  <si>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</si>
  <si>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</si>
  <si>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</si>
  <si>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</si>
  <si>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</si>
  <si>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</si>
  <si>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</si>
  <si>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</si>
  <si>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</si>
  <si>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</si>
  <si>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</si>
  <si>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</si>
  <si>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</si>
  <si>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</si>
  <si>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</si>
  <si>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</si>
  <si>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55,490.89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</si>
  <si>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</si>
  <si>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</si>
  <si>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</si>
  <si>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</si>
  <si>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</si>
  <si>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</si>
  <si>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</si>
  <si>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</si>
  <si>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</si>
  <si>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</si>
  <si>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</si>
  <si>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</si>
  <si>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</si>
  <si>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</si>
  <si>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</si>
  <si>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</si>
  <si>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</si>
  <si>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</si>
  <si>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</si>
  <si>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</si>
  <si>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</si>
  <si>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</si>
  <si>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</si>
  <si>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</si>
  <si>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</si>
  <si>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</si>
  <si>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</si>
  <si>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</si>
  <si>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</si>
  <si>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</si>
  <si>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</si>
  <si>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</si>
  <si>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</si>
  <si>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</si>
  <si>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</si>
  <si>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</si>
  <si>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</si>
  <si>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</si>
  <si>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</si>
  <si>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</si>
  <si>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</si>
  <si>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</si>
  <si>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</si>
  <si>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</si>
  <si>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</si>
  <si>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</si>
  <si>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</si>
  <si>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</si>
  <si>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</si>
  <si>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</si>
  <si>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</si>
  <si>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</si>
  <si>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</si>
  <si>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</si>
  <si>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</si>
  <si>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</si>
  <si>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</si>
  <si>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</si>
  <si>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</si>
  <si>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</si>
  <si>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</si>
  <si>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</si>
  <si>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MD-140</t>
  </si>
  <si>
    <t>SC-02 FILTROS MD-140</t>
  </si>
  <si>
    <t>DEMO-02-8221</t>
  </si>
  <si>
    <t>CD-101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</si>
  <si>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</si>
  <si>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</si>
  <si>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</si>
  <si>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</si>
  <si>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</si>
  <si>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</si>
  <si>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MD-66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</si>
  <si>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</si>
  <si>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</si>
  <si>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</si>
  <si>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</si>
  <si>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</si>
  <si>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</si>
  <si>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</si>
  <si>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</si>
  <si>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</si>
  <si>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</si>
  <si>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</si>
  <si>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</si>
  <si>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</si>
  <si>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</si>
  <si>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</si>
  <si>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ED-15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</si>
  <si>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</si>
  <si>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</si>
  <si>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</si>
  <si>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</si>
  <si>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</si>
  <si>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</si>
  <si>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</si>
  <si>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</si>
  <si>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</si>
  <si>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</si>
  <si>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</si>
  <si>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ED-82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</si>
  <si>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</si>
  <si>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</si>
  <si>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</si>
  <si>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</si>
  <si>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</si>
  <si>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</si>
  <si>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</si>
  <si>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</si>
  <si>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</si>
  <si>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</si>
  <si>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</si>
  <si>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</si>
  <si>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</si>
  <si>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</si>
  <si>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</si>
  <si>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</si>
  <si>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</si>
  <si>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</si>
  <si>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</si>
  <si>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</si>
  <si>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</si>
  <si>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ED-23</t>
  </si>
  <si>
    <t>SC-02 FILTROS ED-23</t>
  </si>
  <si>
    <t>DEMO-02-8496</t>
  </si>
  <si>
    <t>ZX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</si>
  <si>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</si>
  <si>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</si>
  <si>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</si>
  <si>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</si>
  <si>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</si>
  <si>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</si>
  <si>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</si>
  <si>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</si>
  <si>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MAN</t>
  </si>
  <si>
    <t>SC-02 FILTROS POLEN MAN</t>
  </si>
  <si>
    <t>DEMO-02-8483</t>
  </si>
  <si>
    <t>DEMO-02-8471</t>
  </si>
  <si>
    <t>MAHINDRA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</si>
  <si>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</si>
  <si>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</si>
  <si>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</si>
  <si>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</si>
  <si>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</si>
  <si>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</si>
  <si>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</si>
  <si>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</si>
  <si>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</si>
  <si>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</si>
  <si>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</si>
  <si>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</si>
  <si>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</si>
  <si>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</si>
  <si>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</si>
  <si>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</si>
  <si>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</si>
  <si>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</si>
  <si>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</si>
  <si>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</si>
  <si>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</si>
  <si>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</si>
  <si>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</si>
  <si>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</si>
  <si>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</si>
  <si>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</si>
  <si>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</si>
  <si>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</si>
  <si>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</si>
  <si>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</si>
  <si>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</si>
  <si>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</si>
  <si>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</si>
  <si>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</si>
  <si>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</si>
  <si>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</si>
  <si>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</si>
  <si>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</si>
  <si>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</si>
  <si>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</si>
  <si>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</si>
  <si>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</si>
  <si>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</si>
  <si>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</si>
  <si>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</si>
  <si>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</si>
  <si>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</si>
  <si>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</si>
  <si>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</si>
  <si>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</si>
  <si>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</si>
  <si>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</si>
  <si>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</si>
  <si>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</si>
  <si>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</si>
  <si>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</si>
  <si>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</si>
  <si>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</si>
  <si>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</si>
  <si>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</si>
  <si>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</si>
  <si>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</si>
  <si>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</si>
  <si>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</si>
  <si>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</si>
  <si>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</si>
  <si>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</si>
  <si>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</si>
  <si>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</si>
  <si>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</si>
  <si>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</si>
  <si>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</si>
  <si>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</si>
  <si>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</si>
  <si>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</si>
  <si>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</si>
  <si>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</si>
  <si>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</si>
  <si>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</si>
  <si>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</si>
  <si>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</si>
  <si>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</si>
  <si>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</si>
  <si>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</si>
  <si>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</si>
  <si>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</si>
  <si>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</si>
  <si>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</si>
  <si>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</si>
  <si>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</si>
  <si>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</si>
  <si>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</si>
  <si>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</si>
  <si>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</si>
  <si>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</si>
  <si>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</si>
  <si>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</si>
  <si>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</si>
  <si>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</si>
  <si>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</si>
  <si>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</si>
  <si>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</si>
  <si>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</si>
  <si>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</si>
  <si>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</si>
  <si>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</si>
  <si>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</si>
  <si>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</si>
  <si>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</si>
  <si>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</si>
  <si>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</si>
  <si>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</si>
  <si>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</si>
  <si>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</si>
  <si>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</si>
  <si>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</si>
  <si>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</si>
  <si>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</si>
  <si>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</si>
  <si>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</si>
  <si>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</si>
  <si>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</si>
  <si>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</si>
  <si>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</si>
  <si>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</si>
  <si>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</si>
  <si>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</si>
  <si>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</si>
  <si>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</si>
  <si>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</si>
  <si>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</si>
  <si>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</si>
  <si>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</si>
  <si>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</si>
  <si>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</si>
  <si>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</si>
  <si>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</si>
  <si>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</si>
  <si>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</si>
  <si>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</si>
  <si>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</si>
  <si>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</si>
  <si>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</si>
  <si>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</si>
  <si>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</si>
  <si>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</si>
  <si>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</si>
  <si>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</si>
  <si>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</si>
  <si>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</si>
  <si>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</si>
  <si>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</si>
  <si>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</si>
  <si>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</si>
  <si>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</si>
  <si>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</si>
  <si>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</si>
  <si>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</si>
  <si>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</si>
  <si>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</si>
  <si>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</si>
  <si>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</si>
  <si>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</si>
  <si>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</si>
  <si>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</si>
  <si>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</si>
  <si>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</si>
  <si>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</si>
  <si>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</si>
  <si>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</si>
  <si>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</si>
  <si>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</si>
  <si>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</si>
  <si>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</si>
  <si>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</si>
  <si>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</si>
  <si>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</si>
  <si>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</si>
  <si>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</si>
  <si>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</si>
  <si>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</si>
  <si>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</si>
  <si>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</si>
  <si>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</si>
  <si>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</si>
  <si>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</si>
  <si>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</si>
  <si>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</si>
  <si>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</si>
  <si>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</si>
  <si>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</si>
  <si>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Cambio Portafiltro de Petroleo y Purga</t>
  </si>
  <si>
    <t>Reparacion en General de sistema electrico</t>
  </si>
  <si>
    <t>Marcelo Alegria</t>
  </si>
  <si>
    <t>Reparacion de Aire Acondicionado</t>
  </si>
  <si>
    <t>Reparacion de luces Delanteras y Traseras</t>
  </si>
  <si>
    <t>Cambio de bomba surtidora de Petroleo</t>
  </si>
  <si>
    <t>Averia en Polea y Correa de Accesorios</t>
  </si>
  <si>
    <t>Instalacion de Alarma de Retroceso</t>
  </si>
  <si>
    <t>Retiro de Niple Cilindro Articulacion</t>
  </si>
  <si>
    <t>Retiro de Bomba de Agua</t>
  </si>
  <si>
    <t>Instalacion de Espejo</t>
  </si>
  <si>
    <t>Cambio de Bomba de Agua y Relleno de Anticongelante</t>
  </si>
  <si>
    <t>Instalacion de Niple Cilindro Articulacion Y Relleno de Aceite Hidraulico</t>
  </si>
  <si>
    <t>Soprte Cilindro de Articulacion Quebrado, Equipo fuera de Servicio</t>
  </si>
  <si>
    <t>Reparo de Bomba Hidraulica, Reparacion de Direccion, Instalacion de Chapa lado derecho</t>
  </si>
  <si>
    <t>Instalacion de Soporte Nuevo de Tambor Trasero derecho</t>
  </si>
  <si>
    <t>Cambio balatas de Estacionamiento, Cambio Cruceta de Entrada al Diferencial delatero</t>
  </si>
  <si>
    <t>Reparacion fuga de Aceite hidraulico de caja de Control y Filtro</t>
  </si>
  <si>
    <t>Desmontar Cardan Trasero</t>
  </si>
  <si>
    <t>Instalacion Termostato, Relleno aceite Transmision, Relleno de Refrigerante, Instalacion Respiradero Hidraulico</t>
  </si>
  <si>
    <t>Regulacion de Frenos, Valvula de Freno entre puente con Fuga</t>
  </si>
  <si>
    <t>Relleno de Aceite Hidraulico, Bombas Hidraulicas con Ruidos</t>
  </si>
  <si>
    <t>Cambio de Motor Reparado</t>
  </si>
  <si>
    <t>Reparacion de Luces Exteriores</t>
  </si>
  <si>
    <t>Relleno de Adblue 25 Lts</t>
  </si>
  <si>
    <t>Juan Medel</t>
  </si>
  <si>
    <t>Se saco perno cortado y se realiza Hilo Sobre Medida (No especifica Eje o rueda)</t>
  </si>
  <si>
    <t>Pugar Circuito de Inyeccion de Combustible, Se relleno Aceite de Motor 1,5 Lts</t>
  </si>
  <si>
    <t>Instalacion de Escalificadores y Calzas</t>
  </si>
  <si>
    <t>Instalacion de Cruceta de Cardan</t>
  </si>
  <si>
    <t>Flexible en mal estado asi como la cremallera de Direccion</t>
  </si>
  <si>
    <t>Vehiculo se queda sin Direccion debido a cremallera y estrias dañadas</t>
  </si>
  <si>
    <t>Se cambia Piñon del Rodamiento de Correa de Accesorios</t>
  </si>
  <si>
    <t>Cambio del Flexible de Cremallera de direccion</t>
  </si>
  <si>
    <t>Instalacion de Pala y Cilindro Desplazante, Se rellena filtro Hidraulico</t>
  </si>
  <si>
    <t>Engrase y Revision de niveles</t>
  </si>
  <si>
    <t xml:space="preserve"> 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</si>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</sst>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5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3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 wrapText="1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14" fontId="23" fillId="1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0" formatCode="General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8" totalsRowShown="0">
  <autoFilter ref="A3:K248" xr:uid="{00000000-0009-0000-0100-000003000000}"/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>
    <filterColumn colId="1">
      <filters>
        <filter val="CD-107"/>
      </filters>
    </filterColumn>
  </autoFilter>
  <sortState xmlns:xlrd2="http://schemas.microsoft.com/office/spreadsheetml/2017/richdata2" ref="A4:G3989">
    <sortCondition ref="A3:A3989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26" totalsRowShown="0">
  <autoFilter ref="A3:J226" xr:uid="{00000000-0009-0000-0100-000006000000}">
    <filterColumn colId="1">
      <filters>
        <filter val="CD-107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02" totalsRowShown="0">
  <autoFilter ref="A3:H302" xr:uid="{00000000-0009-0000-0100-000002000000}">
    <filterColumn colId="2">
      <filters>
        <filter val="CD-105"/>
        <filter val="MD-105"/>
      </filters>
    </filterColumn>
  </autoFilter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5" totalsRowShown="0">
  <autoFilter ref="A3:H145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IFERROR(_xlfn.AGGREGATE(14,6,Mantenciones!$A$2:$A$9993/(Mantenciones!$B$2:$B$9993=$A4),1),"")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72" totalsRowShown="0" headerRowDxfId="3">
  <autoFilter ref="A3:H72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8"/>
  <sheetViews>
    <sheetView tabSelected="1" zoomScaleNormal="100" workbookViewId="0">
      <pane ySplit="3" topLeftCell="A55" activePane="bottomLeft" state="frozen"/>
      <selection pane="bottomLeft" activeCell="B251" sqref="B251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4.7109375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28</v>
      </c>
      <c r="I82" s="48" t="s">
        <v>18</v>
      </c>
      <c r="J82" s="3">
        <v>250</v>
      </c>
      <c r="K82">
        <v>2.74</v>
      </c>
    </row>
    <row r="83" spans="1:1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>
      <c r="A120" t="s">
        <v>363</v>
      </c>
      <c r="B120" t="s">
        <v>263</v>
      </c>
      <c r="C120" t="s">
        <v>313</v>
      </c>
      <c r="D120" t="s">
        <v>314</v>
      </c>
      <c r="E120">
        <v>2013</v>
      </c>
      <c r="F120" t="s">
        <v>364</v>
      </c>
      <c r="G120" t="s">
        <v>365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>
      <c r="A121" t="s">
        <v>366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>
      <c r="A122" t="s">
        <v>367</v>
      </c>
      <c r="B122" t="s">
        <v>283</v>
      </c>
      <c r="C122" t="s">
        <v>307</v>
      </c>
      <c r="D122" t="s">
        <v>368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>
      <c r="A123" t="s">
        <v>369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370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>
      <c r="A124" t="s">
        <v>371</v>
      </c>
      <c r="B124" t="s">
        <v>372</v>
      </c>
      <c r="C124" t="s">
        <v>373</v>
      </c>
      <c r="D124" t="s">
        <v>374</v>
      </c>
      <c r="E124">
        <v>2006</v>
      </c>
      <c r="F124" t="s">
        <v>30</v>
      </c>
      <c r="G124" t="s">
        <v>365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>
      <c r="A125" t="s">
        <v>375</v>
      </c>
      <c r="B125" t="s">
        <v>346</v>
      </c>
      <c r="C125" t="s">
        <v>376</v>
      </c>
      <c r="D125" t="s">
        <v>377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>
      <c r="A126" t="s">
        <v>378</v>
      </c>
      <c r="B126" t="s">
        <v>283</v>
      </c>
      <c r="C126" t="s">
        <v>379</v>
      </c>
      <c r="D126" t="s">
        <v>380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>
      <c r="A127" t="s">
        <v>381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382</v>
      </c>
      <c r="H127" t="s">
        <v>17</v>
      </c>
      <c r="I127" s="48" t="s">
        <v>18</v>
      </c>
      <c r="J127" s="4">
        <v>300</v>
      </c>
      <c r="K127">
        <v>2.19</v>
      </c>
    </row>
    <row r="128" spans="1:11">
      <c r="A128" t="s">
        <v>383</v>
      </c>
      <c r="B128" t="s">
        <v>273</v>
      </c>
      <c r="C128" t="s">
        <v>274</v>
      </c>
      <c r="D128" t="s">
        <v>384</v>
      </c>
      <c r="E128">
        <v>2012</v>
      </c>
      <c r="F128" t="s">
        <v>15</v>
      </c>
      <c r="G128" t="s">
        <v>385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>
      <c r="A129" t="s">
        <v>386</v>
      </c>
      <c r="B129" t="s">
        <v>372</v>
      </c>
      <c r="C129" t="s">
        <v>313</v>
      </c>
      <c r="D129" t="s">
        <v>374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>
      <c r="A130" t="s">
        <v>387</v>
      </c>
      <c r="B130" t="s">
        <v>346</v>
      </c>
      <c r="C130" t="s">
        <v>376</v>
      </c>
      <c r="D130" t="s">
        <v>388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>
      <c r="A131" t="s">
        <v>389</v>
      </c>
      <c r="B131" t="s">
        <v>346</v>
      </c>
      <c r="C131" t="s">
        <v>376</v>
      </c>
      <c r="D131" t="s">
        <v>388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>
      <c r="A132" t="s">
        <v>390</v>
      </c>
      <c r="B132" t="s">
        <v>268</v>
      </c>
      <c r="C132" t="s">
        <v>324</v>
      </c>
      <c r="D132" t="s">
        <v>391</v>
      </c>
      <c r="E132">
        <v>2007</v>
      </c>
      <c r="F132" t="s">
        <v>30</v>
      </c>
      <c r="G132" t="s">
        <v>392</v>
      </c>
      <c r="H132" t="s">
        <v>17</v>
      </c>
      <c r="I132" s="48" t="s">
        <v>18</v>
      </c>
      <c r="J132" s="4">
        <v>250</v>
      </c>
      <c r="K132">
        <v>0</v>
      </c>
    </row>
    <row r="133" spans="1:11">
      <c r="A133" t="s">
        <v>393</v>
      </c>
      <c r="B133" t="s">
        <v>263</v>
      </c>
      <c r="C133" t="s">
        <v>269</v>
      </c>
      <c r="D133" t="s">
        <v>394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>
      <c r="A134" t="s">
        <v>395</v>
      </c>
      <c r="B134" t="s">
        <v>346</v>
      </c>
      <c r="C134" t="s">
        <v>301</v>
      </c>
      <c r="D134" t="s">
        <v>396</v>
      </c>
      <c r="E134">
        <v>2015</v>
      </c>
      <c r="F134" t="s">
        <v>30</v>
      </c>
      <c r="G134" t="s">
        <v>397</v>
      </c>
      <c r="H134" t="s">
        <v>17</v>
      </c>
      <c r="I134" s="48" t="s">
        <v>18</v>
      </c>
      <c r="J134" s="4">
        <v>250</v>
      </c>
      <c r="K134">
        <v>0.75</v>
      </c>
    </row>
    <row r="135" spans="1:11">
      <c r="A135" t="s">
        <v>398</v>
      </c>
      <c r="B135" t="s">
        <v>346</v>
      </c>
      <c r="C135" t="s">
        <v>379</v>
      </c>
      <c r="D135" t="s">
        <v>399</v>
      </c>
      <c r="E135">
        <v>2015</v>
      </c>
      <c r="F135" t="s">
        <v>33</v>
      </c>
      <c r="G135" t="s">
        <v>400</v>
      </c>
      <c r="H135" t="s">
        <v>17</v>
      </c>
      <c r="I135" s="48" t="s">
        <v>18</v>
      </c>
      <c r="J135" s="4">
        <v>250</v>
      </c>
      <c r="K135">
        <v>1.18</v>
      </c>
    </row>
    <row r="136" spans="1:11">
      <c r="A136" t="s">
        <v>401</v>
      </c>
      <c r="B136" t="s">
        <v>268</v>
      </c>
      <c r="C136" t="s">
        <v>307</v>
      </c>
      <c r="D136" t="s">
        <v>402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>
      <c r="A137" t="s">
        <v>403</v>
      </c>
      <c r="B137" t="s">
        <v>404</v>
      </c>
      <c r="C137" t="s">
        <v>405</v>
      </c>
      <c r="D137" t="s">
        <v>406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>
      <c r="A138" t="s">
        <v>407</v>
      </c>
      <c r="B138" t="s">
        <v>268</v>
      </c>
      <c r="C138" t="s">
        <v>307</v>
      </c>
      <c r="D138" t="s">
        <v>408</v>
      </c>
      <c r="E138">
        <v>2011</v>
      </c>
      <c r="F138" t="s">
        <v>50</v>
      </c>
      <c r="G138" t="s">
        <v>409</v>
      </c>
      <c r="H138" t="s">
        <v>17</v>
      </c>
      <c r="I138" s="48" t="s">
        <v>18</v>
      </c>
      <c r="J138" s="4">
        <v>250</v>
      </c>
      <c r="K138">
        <v>1.95</v>
      </c>
    </row>
    <row r="139" spans="1:11">
      <c r="A139" t="s">
        <v>410</v>
      </c>
      <c r="B139" t="s">
        <v>346</v>
      </c>
      <c r="C139" t="s">
        <v>379</v>
      </c>
      <c r="D139" t="s">
        <v>399</v>
      </c>
      <c r="E139">
        <v>2019</v>
      </c>
      <c r="F139" t="s">
        <v>33</v>
      </c>
      <c r="G139" t="s">
        <v>411</v>
      </c>
      <c r="H139" t="s">
        <v>17</v>
      </c>
      <c r="I139" s="48" t="s">
        <v>18</v>
      </c>
      <c r="J139" s="4">
        <v>250</v>
      </c>
      <c r="K139">
        <v>2.42</v>
      </c>
    </row>
    <row r="140" spans="1:11">
      <c r="A140" t="s">
        <v>412</v>
      </c>
      <c r="B140" t="s">
        <v>413</v>
      </c>
      <c r="C140" t="s">
        <v>414</v>
      </c>
      <c r="D140" t="s">
        <v>415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>
      <c r="A141" t="s">
        <v>416</v>
      </c>
      <c r="B141" t="s">
        <v>263</v>
      </c>
      <c r="C141" t="s">
        <v>313</v>
      </c>
      <c r="D141" t="s">
        <v>417</v>
      </c>
      <c r="E141">
        <v>2019</v>
      </c>
      <c r="F141" t="s">
        <v>33</v>
      </c>
      <c r="G141" t="s">
        <v>418</v>
      </c>
      <c r="H141" t="s">
        <v>17</v>
      </c>
      <c r="I141" s="48" t="s">
        <v>18</v>
      </c>
      <c r="J141" s="4">
        <v>250</v>
      </c>
      <c r="K141">
        <v>3.02</v>
      </c>
    </row>
    <row r="142" spans="1:11">
      <c r="A142" t="s">
        <v>419</v>
      </c>
      <c r="B142" t="s">
        <v>263</v>
      </c>
      <c r="C142" t="s">
        <v>313</v>
      </c>
      <c r="D142" t="s">
        <v>420</v>
      </c>
      <c r="E142">
        <v>2020</v>
      </c>
      <c r="F142" t="s">
        <v>23</v>
      </c>
      <c r="G142" t="s">
        <v>421</v>
      </c>
      <c r="H142" t="s">
        <v>17</v>
      </c>
      <c r="I142" s="48" t="s">
        <v>18</v>
      </c>
      <c r="J142" s="4">
        <v>250</v>
      </c>
      <c r="K142">
        <v>4.84</v>
      </c>
    </row>
    <row r="143" spans="1:11">
      <c r="A143" t="s">
        <v>422</v>
      </c>
      <c r="B143" t="s">
        <v>263</v>
      </c>
      <c r="C143" t="s">
        <v>423</v>
      </c>
      <c r="D143" t="s">
        <v>424</v>
      </c>
      <c r="E143">
        <v>2019</v>
      </c>
      <c r="F143" t="s">
        <v>50</v>
      </c>
      <c r="G143" t="s">
        <v>425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>
      <c r="A144" t="s">
        <v>426</v>
      </c>
      <c r="B144" t="s">
        <v>268</v>
      </c>
      <c r="C144" t="s">
        <v>301</v>
      </c>
      <c r="D144" t="s">
        <v>427</v>
      </c>
      <c r="E144">
        <v>2009</v>
      </c>
      <c r="F144" t="s">
        <v>15</v>
      </c>
      <c r="G144" t="s">
        <v>428</v>
      </c>
      <c r="H144" t="s">
        <v>17</v>
      </c>
      <c r="I144" s="48" t="s">
        <v>18</v>
      </c>
      <c r="J144" s="4">
        <v>250</v>
      </c>
      <c r="K144">
        <v>1.72</v>
      </c>
    </row>
    <row r="145" spans="1:11">
      <c r="A145" t="s">
        <v>429</v>
      </c>
      <c r="B145" t="s">
        <v>263</v>
      </c>
      <c r="C145" t="s">
        <v>423</v>
      </c>
      <c r="D145" t="s">
        <v>430</v>
      </c>
      <c r="E145">
        <v>2019</v>
      </c>
      <c r="F145" t="s">
        <v>326</v>
      </c>
      <c r="G145" t="s">
        <v>431</v>
      </c>
      <c r="H145" t="s">
        <v>17</v>
      </c>
      <c r="I145" s="48" t="s">
        <v>18</v>
      </c>
      <c r="J145" s="4">
        <v>250</v>
      </c>
      <c r="K145" s="3"/>
    </row>
    <row r="146" spans="1:11">
      <c r="A146" t="s">
        <v>432</v>
      </c>
      <c r="B146" t="s">
        <v>263</v>
      </c>
      <c r="C146" t="s">
        <v>423</v>
      </c>
      <c r="D146" t="s">
        <v>430</v>
      </c>
      <c r="E146">
        <v>2019</v>
      </c>
      <c r="F146" t="s">
        <v>30</v>
      </c>
      <c r="G146" t="s">
        <v>421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>
      <c r="A147" t="s">
        <v>433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434</v>
      </c>
      <c r="H147" t="s">
        <v>17</v>
      </c>
      <c r="I147" s="48" t="s">
        <v>18</v>
      </c>
      <c r="J147" s="4">
        <v>250</v>
      </c>
      <c r="K147">
        <v>3.86</v>
      </c>
    </row>
    <row r="148" spans="1:11">
      <c r="A148" t="s">
        <v>435</v>
      </c>
      <c r="B148" t="s">
        <v>263</v>
      </c>
      <c r="C148" t="s">
        <v>301</v>
      </c>
      <c r="D148" t="s">
        <v>436</v>
      </c>
      <c r="E148">
        <v>2007</v>
      </c>
      <c r="F148" t="s">
        <v>37</v>
      </c>
      <c r="G148" t="s">
        <v>437</v>
      </c>
      <c r="H148" t="s">
        <v>37</v>
      </c>
      <c r="I148" s="48" t="s">
        <v>18</v>
      </c>
      <c r="J148" s="4">
        <v>250</v>
      </c>
    </row>
    <row r="149" spans="1:11">
      <c r="A149" t="s">
        <v>438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>
      <c r="A150" t="s">
        <v>439</v>
      </c>
      <c r="B150" t="s">
        <v>283</v>
      </c>
      <c r="C150" t="s">
        <v>307</v>
      </c>
      <c r="D150" t="s">
        <v>440</v>
      </c>
      <c r="E150">
        <v>2013</v>
      </c>
      <c r="F150" t="s">
        <v>37</v>
      </c>
      <c r="G150" t="s">
        <v>441</v>
      </c>
      <c r="H150" t="s">
        <v>28</v>
      </c>
      <c r="I150" s="48" t="s">
        <v>18</v>
      </c>
      <c r="J150" s="4">
        <v>250</v>
      </c>
      <c r="K150">
        <v>0</v>
      </c>
    </row>
    <row r="151" spans="1:11">
      <c r="A151" t="s">
        <v>442</v>
      </c>
      <c r="B151" t="s">
        <v>346</v>
      </c>
      <c r="C151" t="s">
        <v>264</v>
      </c>
      <c r="D151" t="s">
        <v>443</v>
      </c>
      <c r="E151">
        <v>2023</v>
      </c>
      <c r="F151" t="s">
        <v>33</v>
      </c>
      <c r="G151" t="s">
        <v>444</v>
      </c>
      <c r="H151" t="s">
        <v>17</v>
      </c>
      <c r="I151" s="48" t="s">
        <v>18</v>
      </c>
      <c r="J151" s="4">
        <v>250</v>
      </c>
      <c r="K151">
        <v>2.64</v>
      </c>
    </row>
    <row r="152" spans="1:11">
      <c r="A152" t="s">
        <v>445</v>
      </c>
      <c r="B152" t="s">
        <v>346</v>
      </c>
      <c r="C152" t="s">
        <v>284</v>
      </c>
      <c r="D152" t="s">
        <v>446</v>
      </c>
      <c r="E152">
        <v>2023</v>
      </c>
      <c r="F152" t="s">
        <v>50</v>
      </c>
      <c r="G152" t="s">
        <v>447</v>
      </c>
      <c r="H152" t="s">
        <v>17</v>
      </c>
      <c r="I152" s="48" t="s">
        <v>18</v>
      </c>
      <c r="J152" s="4">
        <v>250</v>
      </c>
      <c r="K152">
        <v>2.78</v>
      </c>
    </row>
    <row r="153" spans="1:11">
      <c r="A153" t="s">
        <v>448</v>
      </c>
      <c r="B153" t="s">
        <v>346</v>
      </c>
      <c r="C153" t="s">
        <v>284</v>
      </c>
      <c r="D153" t="s">
        <v>446</v>
      </c>
      <c r="E153">
        <v>2023</v>
      </c>
      <c r="F153" t="s">
        <v>62</v>
      </c>
      <c r="G153" t="s">
        <v>449</v>
      </c>
      <c r="H153" t="s">
        <v>17</v>
      </c>
      <c r="I153" s="48" t="s">
        <v>18</v>
      </c>
      <c r="J153" s="4">
        <v>250</v>
      </c>
      <c r="K153">
        <v>2.99</v>
      </c>
    </row>
    <row r="154" spans="1:11">
      <c r="A154" t="s">
        <v>450</v>
      </c>
      <c r="B154" t="s">
        <v>346</v>
      </c>
      <c r="C154" t="s">
        <v>264</v>
      </c>
      <c r="D154" t="s">
        <v>443</v>
      </c>
      <c r="E154">
        <v>2023</v>
      </c>
      <c r="F154" t="s">
        <v>15</v>
      </c>
      <c r="G154" t="s">
        <v>451</v>
      </c>
      <c r="H154" t="s">
        <v>17</v>
      </c>
      <c r="I154" s="48" t="s">
        <v>18</v>
      </c>
      <c r="J154" s="4">
        <v>250</v>
      </c>
      <c r="K154">
        <v>1.9</v>
      </c>
    </row>
    <row r="155" spans="1:11">
      <c r="A155" t="s">
        <v>452</v>
      </c>
      <c r="B155" t="s">
        <v>453</v>
      </c>
      <c r="C155" t="s">
        <v>297</v>
      </c>
      <c r="D155" t="s">
        <v>454</v>
      </c>
      <c r="E155">
        <v>2011</v>
      </c>
      <c r="F155" t="s">
        <v>15</v>
      </c>
      <c r="G155" t="s">
        <v>455</v>
      </c>
      <c r="H155" t="s">
        <v>17</v>
      </c>
      <c r="I155" s="48" t="s">
        <v>18</v>
      </c>
      <c r="J155" s="4">
        <v>250</v>
      </c>
      <c r="K155">
        <v>2.68</v>
      </c>
    </row>
    <row r="156" spans="1:11">
      <c r="A156" t="s">
        <v>456</v>
      </c>
      <c r="B156" t="s">
        <v>453</v>
      </c>
      <c r="C156" t="s">
        <v>297</v>
      </c>
      <c r="D156" t="s">
        <v>454</v>
      </c>
      <c r="E156">
        <v>2011</v>
      </c>
      <c r="F156" t="s">
        <v>33</v>
      </c>
      <c r="G156" t="s">
        <v>457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>
      <c r="A157" t="s">
        <v>458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459</v>
      </c>
      <c r="H157" t="s">
        <v>17</v>
      </c>
      <c r="I157" s="48" t="s">
        <v>18</v>
      </c>
      <c r="J157" s="4">
        <v>250</v>
      </c>
      <c r="K157">
        <v>4.38</v>
      </c>
    </row>
    <row r="158" spans="1:11">
      <c r="A158" t="s">
        <v>460</v>
      </c>
      <c r="B158" t="s">
        <v>461</v>
      </c>
      <c r="C158" t="s">
        <v>98</v>
      </c>
      <c r="D158" t="s">
        <v>462</v>
      </c>
      <c r="E158">
        <v>2023</v>
      </c>
      <c r="F158" t="s">
        <v>124</v>
      </c>
      <c r="G158" t="s">
        <v>463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>
      <c r="A159" t="s">
        <v>464</v>
      </c>
      <c r="B159" t="s">
        <v>461</v>
      </c>
      <c r="C159" t="s">
        <v>98</v>
      </c>
      <c r="D159" t="s">
        <v>462</v>
      </c>
      <c r="E159">
        <v>2023</v>
      </c>
      <c r="F159" t="s">
        <v>326</v>
      </c>
      <c r="G159" t="s">
        <v>465</v>
      </c>
      <c r="H159" t="s">
        <v>17</v>
      </c>
      <c r="I159" s="48" t="s">
        <v>73</v>
      </c>
      <c r="J159" s="4">
        <v>15000</v>
      </c>
      <c r="K159">
        <v>469</v>
      </c>
    </row>
    <row r="160" spans="1:11">
      <c r="A160" t="s">
        <v>466</v>
      </c>
      <c r="B160" t="s">
        <v>461</v>
      </c>
      <c r="C160" t="s">
        <v>467</v>
      </c>
      <c r="D160" t="s">
        <v>468</v>
      </c>
      <c r="E160">
        <v>2024</v>
      </c>
      <c r="F160" t="s">
        <v>469</v>
      </c>
      <c r="G160" t="s">
        <v>470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>
      <c r="A161" t="s">
        <v>471</v>
      </c>
      <c r="B161" t="s">
        <v>461</v>
      </c>
      <c r="C161" t="s">
        <v>467</v>
      </c>
      <c r="D161" t="s">
        <v>468</v>
      </c>
      <c r="E161">
        <v>2024</v>
      </c>
      <c r="F161" t="s">
        <v>37</v>
      </c>
      <c r="G161" t="s">
        <v>472</v>
      </c>
      <c r="H161" t="s">
        <v>17</v>
      </c>
      <c r="I161" s="48" t="s">
        <v>73</v>
      </c>
      <c r="J161" s="4">
        <v>15000</v>
      </c>
      <c r="K161">
        <v>57.54</v>
      </c>
    </row>
    <row r="162" spans="1:11">
      <c r="A162" t="s">
        <v>473</v>
      </c>
      <c r="B162" t="s">
        <v>474</v>
      </c>
      <c r="C162" t="s">
        <v>475</v>
      </c>
      <c r="D162" t="s">
        <v>476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>
      <c r="A163" t="s">
        <v>477</v>
      </c>
      <c r="B163" t="s">
        <v>461</v>
      </c>
      <c r="C163" t="s">
        <v>478</v>
      </c>
      <c r="D163" t="s">
        <v>479</v>
      </c>
      <c r="E163">
        <v>2019</v>
      </c>
      <c r="F163" t="s">
        <v>480</v>
      </c>
      <c r="G163" t="s">
        <v>481</v>
      </c>
      <c r="H163" t="s">
        <v>28</v>
      </c>
      <c r="I163" s="48" t="s">
        <v>73</v>
      </c>
      <c r="J163" s="4">
        <v>15000</v>
      </c>
      <c r="K163">
        <v>0</v>
      </c>
    </row>
    <row r="164" spans="1:11">
      <c r="A164" t="s">
        <v>482</v>
      </c>
      <c r="B164" t="s">
        <v>461</v>
      </c>
      <c r="C164" t="s">
        <v>75</v>
      </c>
      <c r="D164" t="s">
        <v>483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>
      <c r="A165" t="s">
        <v>484</v>
      </c>
      <c r="B165" t="s">
        <v>461</v>
      </c>
      <c r="C165" t="s">
        <v>485</v>
      </c>
      <c r="D165" t="s">
        <v>486</v>
      </c>
      <c r="E165">
        <v>2024</v>
      </c>
      <c r="F165" t="s">
        <v>480</v>
      </c>
      <c r="G165" t="s">
        <v>487</v>
      </c>
      <c r="H165" t="s">
        <v>17</v>
      </c>
      <c r="I165" s="48" t="s">
        <v>73</v>
      </c>
      <c r="J165" s="4">
        <v>15000</v>
      </c>
      <c r="K165">
        <v>82.2</v>
      </c>
    </row>
    <row r="166" spans="1:11">
      <c r="A166" t="s">
        <v>488</v>
      </c>
      <c r="B166" t="s">
        <v>461</v>
      </c>
      <c r="C166" t="s">
        <v>485</v>
      </c>
      <c r="D166" t="s">
        <v>486</v>
      </c>
      <c r="E166">
        <v>2024</v>
      </c>
      <c r="F166" t="s">
        <v>489</v>
      </c>
      <c r="G166" t="s">
        <v>490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>
      <c r="A167" t="s">
        <v>491</v>
      </c>
      <c r="B167" t="s">
        <v>461</v>
      </c>
      <c r="C167" t="s">
        <v>485</v>
      </c>
      <c r="D167" t="s">
        <v>486</v>
      </c>
      <c r="E167">
        <v>2024</v>
      </c>
      <c r="F167" t="s">
        <v>480</v>
      </c>
      <c r="G167" t="s">
        <v>492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>
      <c r="A168" t="s">
        <v>493</v>
      </c>
      <c r="B168" t="s">
        <v>461</v>
      </c>
      <c r="C168" t="s">
        <v>467</v>
      </c>
      <c r="D168" t="s">
        <v>494</v>
      </c>
      <c r="E168">
        <v>2024</v>
      </c>
      <c r="F168" t="s">
        <v>37</v>
      </c>
      <c r="G168" t="s">
        <v>495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>
      <c r="A169" t="s">
        <v>496</v>
      </c>
      <c r="B169" t="s">
        <v>461</v>
      </c>
      <c r="C169" t="s">
        <v>467</v>
      </c>
      <c r="D169" t="s">
        <v>494</v>
      </c>
      <c r="E169">
        <v>2024</v>
      </c>
      <c r="F169" t="s">
        <v>364</v>
      </c>
      <c r="G169" t="s">
        <v>497</v>
      </c>
      <c r="H169" t="s">
        <v>17</v>
      </c>
      <c r="I169" s="48" t="s">
        <v>73</v>
      </c>
      <c r="J169" s="4">
        <v>15000</v>
      </c>
      <c r="K169">
        <v>95.64</v>
      </c>
    </row>
    <row r="170" spans="1:11">
      <c r="A170" t="s">
        <v>498</v>
      </c>
      <c r="B170" t="s">
        <v>461</v>
      </c>
      <c r="C170" t="s">
        <v>467</v>
      </c>
      <c r="D170" t="s">
        <v>494</v>
      </c>
      <c r="E170">
        <v>2024</v>
      </c>
      <c r="F170" t="s">
        <v>124</v>
      </c>
      <c r="G170" t="s">
        <v>499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>
      <c r="A171" t="s">
        <v>500</v>
      </c>
      <c r="B171" t="s">
        <v>461</v>
      </c>
      <c r="C171" t="s">
        <v>467</v>
      </c>
      <c r="D171" t="s">
        <v>501</v>
      </c>
      <c r="E171">
        <v>2024</v>
      </c>
      <c r="F171" t="s">
        <v>62</v>
      </c>
      <c r="G171" t="s">
        <v>502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>
      <c r="A172" t="s">
        <v>503</v>
      </c>
      <c r="B172" t="s">
        <v>461</v>
      </c>
      <c r="C172" t="s">
        <v>467</v>
      </c>
      <c r="D172" t="s">
        <v>501</v>
      </c>
      <c r="E172">
        <v>2024</v>
      </c>
      <c r="F172" t="s">
        <v>33</v>
      </c>
      <c r="G172" t="s">
        <v>504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>
      <c r="A173" t="s">
        <v>505</v>
      </c>
      <c r="B173" t="s">
        <v>506</v>
      </c>
      <c r="C173" t="s">
        <v>507</v>
      </c>
      <c r="D173" t="s">
        <v>508</v>
      </c>
      <c r="E173">
        <v>2025</v>
      </c>
      <c r="F173" t="s">
        <v>480</v>
      </c>
      <c r="G173" t="s">
        <v>509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>
      <c r="A174" t="s">
        <v>510</v>
      </c>
      <c r="B174" t="s">
        <v>506</v>
      </c>
      <c r="C174" t="s">
        <v>507</v>
      </c>
      <c r="D174" t="s">
        <v>508</v>
      </c>
      <c r="E174">
        <v>2025</v>
      </c>
      <c r="F174" t="s">
        <v>33</v>
      </c>
      <c r="G174" t="s">
        <v>511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>
      <c r="A175" t="s">
        <v>512</v>
      </c>
      <c r="B175" t="s">
        <v>506</v>
      </c>
      <c r="C175" t="s">
        <v>507</v>
      </c>
      <c r="D175" t="s">
        <v>508</v>
      </c>
      <c r="E175">
        <v>2025</v>
      </c>
      <c r="F175" t="s">
        <v>15</v>
      </c>
      <c r="G175" t="s">
        <v>513</v>
      </c>
      <c r="H175" t="s">
        <v>17</v>
      </c>
      <c r="I175" s="48" t="s">
        <v>73</v>
      </c>
      <c r="J175" s="4">
        <v>10000</v>
      </c>
      <c r="K175">
        <v>41.34</v>
      </c>
    </row>
    <row r="176" spans="1:11">
      <c r="A176" t="s">
        <v>514</v>
      </c>
      <c r="B176" t="s">
        <v>506</v>
      </c>
      <c r="C176" t="s">
        <v>507</v>
      </c>
      <c r="D176" t="s">
        <v>508</v>
      </c>
      <c r="E176">
        <v>2025</v>
      </c>
      <c r="F176" t="s">
        <v>515</v>
      </c>
      <c r="G176" t="s">
        <v>516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>
      <c r="A177" t="s">
        <v>517</v>
      </c>
      <c r="B177" t="s">
        <v>506</v>
      </c>
      <c r="C177" t="s">
        <v>507</v>
      </c>
      <c r="D177" t="s">
        <v>508</v>
      </c>
      <c r="E177">
        <v>2025</v>
      </c>
      <c r="F177" t="s">
        <v>30</v>
      </c>
      <c r="G177" t="s">
        <v>518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>
      <c r="A178" t="s">
        <v>519</v>
      </c>
      <c r="B178" t="s">
        <v>506</v>
      </c>
      <c r="C178" t="s">
        <v>507</v>
      </c>
      <c r="D178" t="s">
        <v>508</v>
      </c>
      <c r="E178">
        <v>2025</v>
      </c>
      <c r="F178" t="s">
        <v>62</v>
      </c>
      <c r="G178" t="s">
        <v>520</v>
      </c>
      <c r="H178" t="s">
        <v>17</v>
      </c>
      <c r="I178" s="48" t="s">
        <v>73</v>
      </c>
      <c r="J178" s="4">
        <v>10000</v>
      </c>
      <c r="K178">
        <v>141.5</v>
      </c>
    </row>
    <row r="179" spans="1:11">
      <c r="A179" t="s">
        <v>521</v>
      </c>
      <c r="B179" t="s">
        <v>506</v>
      </c>
      <c r="C179" t="s">
        <v>507</v>
      </c>
      <c r="D179" t="s">
        <v>508</v>
      </c>
      <c r="E179">
        <v>2025</v>
      </c>
      <c r="F179" t="s">
        <v>15</v>
      </c>
      <c r="G179" t="s">
        <v>522</v>
      </c>
      <c r="H179" t="s">
        <v>17</v>
      </c>
      <c r="I179" s="48" t="s">
        <v>73</v>
      </c>
      <c r="J179" s="4">
        <v>10000</v>
      </c>
      <c r="K179">
        <v>62.98</v>
      </c>
    </row>
    <row r="180" spans="1:11">
      <c r="A180" t="s">
        <v>523</v>
      </c>
      <c r="B180" t="s">
        <v>506</v>
      </c>
      <c r="C180" t="s">
        <v>507</v>
      </c>
      <c r="D180" t="s">
        <v>508</v>
      </c>
      <c r="E180">
        <v>2025</v>
      </c>
      <c r="F180" t="s">
        <v>62</v>
      </c>
      <c r="G180" t="s">
        <v>524</v>
      </c>
      <c r="H180" t="s">
        <v>17</v>
      </c>
      <c r="I180" s="48" t="s">
        <v>73</v>
      </c>
      <c r="J180" s="4">
        <v>10000</v>
      </c>
      <c r="K180">
        <v>98.65</v>
      </c>
    </row>
    <row r="181" spans="1:11">
      <c r="A181" t="s">
        <v>525</v>
      </c>
      <c r="B181" t="s">
        <v>506</v>
      </c>
      <c r="C181" t="s">
        <v>507</v>
      </c>
      <c r="D181" t="s">
        <v>508</v>
      </c>
      <c r="E181">
        <v>2025</v>
      </c>
      <c r="F181" t="s">
        <v>30</v>
      </c>
      <c r="G181" t="s">
        <v>526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>
      <c r="A182" t="s">
        <v>527</v>
      </c>
      <c r="B182" t="s">
        <v>506</v>
      </c>
      <c r="C182" t="s">
        <v>507</v>
      </c>
      <c r="D182" t="s">
        <v>508</v>
      </c>
      <c r="E182">
        <v>2025</v>
      </c>
      <c r="F182" t="s">
        <v>50</v>
      </c>
      <c r="G182" t="s">
        <v>528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>
      <c r="A183" t="s">
        <v>529</v>
      </c>
      <c r="B183" t="s">
        <v>461</v>
      </c>
      <c r="C183" t="s">
        <v>98</v>
      </c>
      <c r="D183" t="s">
        <v>530</v>
      </c>
      <c r="E183">
        <v>2025</v>
      </c>
      <c r="F183" t="s">
        <v>515</v>
      </c>
      <c r="G183" t="s">
        <v>531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>
      <c r="A184" t="s">
        <v>532</v>
      </c>
      <c r="B184" t="s">
        <v>461</v>
      </c>
      <c r="C184" t="s">
        <v>98</v>
      </c>
      <c r="D184" t="s">
        <v>530</v>
      </c>
      <c r="E184">
        <v>2025</v>
      </c>
      <c r="F184" t="s">
        <v>15</v>
      </c>
      <c r="G184" t="s">
        <v>533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>
      <c r="A185" t="s">
        <v>534</v>
      </c>
      <c r="B185" t="s">
        <v>461</v>
      </c>
      <c r="C185" t="s">
        <v>98</v>
      </c>
      <c r="D185" t="s">
        <v>530</v>
      </c>
      <c r="E185">
        <v>2025</v>
      </c>
      <c r="F185" t="s">
        <v>15</v>
      </c>
      <c r="G185" t="s">
        <v>535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>
      <c r="A186" t="s">
        <v>536</v>
      </c>
      <c r="B186" t="s">
        <v>461</v>
      </c>
      <c r="C186" t="s">
        <v>98</v>
      </c>
      <c r="D186" t="s">
        <v>530</v>
      </c>
      <c r="E186">
        <v>2025</v>
      </c>
      <c r="F186" t="s">
        <v>326</v>
      </c>
      <c r="G186" t="s">
        <v>537</v>
      </c>
      <c r="H186" t="s">
        <v>17</v>
      </c>
      <c r="I186" s="48" t="s">
        <v>73</v>
      </c>
      <c r="J186" s="4">
        <v>15000</v>
      </c>
    </row>
    <row r="187" spans="1:11">
      <c r="A187" t="s">
        <v>538</v>
      </c>
      <c r="B187" t="s">
        <v>461</v>
      </c>
      <c r="C187" t="s">
        <v>98</v>
      </c>
      <c r="D187" t="s">
        <v>530</v>
      </c>
      <c r="E187">
        <v>2025</v>
      </c>
      <c r="F187" t="s">
        <v>315</v>
      </c>
      <c r="G187" t="s">
        <v>539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>
      <c r="A188" t="s">
        <v>540</v>
      </c>
      <c r="B188" s="48" t="s">
        <v>461</v>
      </c>
      <c r="C188" s="48" t="s">
        <v>98</v>
      </c>
      <c r="D188" s="48" t="s">
        <v>530</v>
      </c>
      <c r="E188" s="3">
        <v>2025</v>
      </c>
      <c r="F188" s="48" t="s">
        <v>30</v>
      </c>
      <c r="G188" s="48" t="s">
        <v>541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>
      <c r="A189" t="s">
        <v>542</v>
      </c>
      <c r="B189" t="s">
        <v>461</v>
      </c>
      <c r="C189" t="s">
        <v>98</v>
      </c>
      <c r="D189" t="s">
        <v>530</v>
      </c>
      <c r="E189">
        <v>2025</v>
      </c>
      <c r="F189" t="s">
        <v>480</v>
      </c>
      <c r="G189" t="s">
        <v>543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>
      <c r="A190" t="s">
        <v>544</v>
      </c>
      <c r="B190" t="s">
        <v>461</v>
      </c>
      <c r="C190" t="s">
        <v>98</v>
      </c>
      <c r="D190" t="s">
        <v>530</v>
      </c>
      <c r="E190">
        <v>2025</v>
      </c>
      <c r="F190" t="s">
        <v>62</v>
      </c>
      <c r="G190" t="s">
        <v>545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>
      <c r="A191" t="s">
        <v>546</v>
      </c>
      <c r="B191" t="s">
        <v>461</v>
      </c>
      <c r="C191" t="s">
        <v>98</v>
      </c>
      <c r="D191" t="s">
        <v>530</v>
      </c>
      <c r="E191">
        <v>2025</v>
      </c>
      <c r="F191" t="s">
        <v>30</v>
      </c>
      <c r="G191" t="s">
        <v>547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>
      <c r="A192" t="s">
        <v>548</v>
      </c>
      <c r="B192" t="s">
        <v>461</v>
      </c>
      <c r="C192" t="s">
        <v>98</v>
      </c>
      <c r="D192" t="s">
        <v>530</v>
      </c>
      <c r="E192">
        <v>2025</v>
      </c>
      <c r="F192" t="s">
        <v>480</v>
      </c>
      <c r="G192" t="s">
        <v>490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>
      <c r="A193" t="s">
        <v>549</v>
      </c>
      <c r="B193" t="s">
        <v>461</v>
      </c>
      <c r="C193" t="s">
        <v>550</v>
      </c>
      <c r="D193" t="s">
        <v>551</v>
      </c>
      <c r="E193">
        <v>2023</v>
      </c>
      <c r="F193" t="s">
        <v>480</v>
      </c>
      <c r="G193" t="s">
        <v>552</v>
      </c>
      <c r="H193" t="s">
        <v>17</v>
      </c>
      <c r="I193" s="48" t="s">
        <v>73</v>
      </c>
      <c r="J193" s="4">
        <v>15000</v>
      </c>
      <c r="K193">
        <v>70.44</v>
      </c>
    </row>
    <row r="194" spans="1:11">
      <c r="A194" t="s">
        <v>553</v>
      </c>
      <c r="B194" t="s">
        <v>461</v>
      </c>
      <c r="C194" t="s">
        <v>98</v>
      </c>
      <c r="D194" t="s">
        <v>462</v>
      </c>
      <c r="E194">
        <v>2026</v>
      </c>
      <c r="F194" t="s">
        <v>15</v>
      </c>
      <c r="G194" t="s">
        <v>554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>
      <c r="A195" t="s">
        <v>555</v>
      </c>
      <c r="B195" t="s">
        <v>461</v>
      </c>
      <c r="C195" t="s">
        <v>98</v>
      </c>
      <c r="D195" t="s">
        <v>462</v>
      </c>
      <c r="E195">
        <v>2026</v>
      </c>
      <c r="F195" t="s">
        <v>50</v>
      </c>
      <c r="G195" t="s">
        <v>409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>
      <c r="A196" t="s">
        <v>556</v>
      </c>
      <c r="B196" t="s">
        <v>461</v>
      </c>
      <c r="C196" t="s">
        <v>98</v>
      </c>
      <c r="D196" t="s">
        <v>462</v>
      </c>
      <c r="E196">
        <v>2026</v>
      </c>
      <c r="F196" t="s">
        <v>33</v>
      </c>
      <c r="G196" t="s">
        <v>557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>
      <c r="A197" t="s">
        <v>558</v>
      </c>
      <c r="B197" t="s">
        <v>461</v>
      </c>
      <c r="C197" t="s">
        <v>98</v>
      </c>
      <c r="D197" t="s">
        <v>462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>
      <c r="A198" t="s">
        <v>559</v>
      </c>
      <c r="B198" t="s">
        <v>461</v>
      </c>
      <c r="C198" t="s">
        <v>98</v>
      </c>
      <c r="D198" t="s">
        <v>462</v>
      </c>
      <c r="E198">
        <v>2026</v>
      </c>
      <c r="F198" t="s">
        <v>30</v>
      </c>
      <c r="G198" t="s">
        <v>560</v>
      </c>
      <c r="H198" t="s">
        <v>17</v>
      </c>
      <c r="I198" s="48" t="s">
        <v>73</v>
      </c>
      <c r="J198" s="4">
        <v>15000</v>
      </c>
      <c r="K198">
        <v>52.18</v>
      </c>
    </row>
    <row r="199" spans="1:11">
      <c r="A199" t="s">
        <v>561</v>
      </c>
      <c r="B199" t="s">
        <v>461</v>
      </c>
      <c r="C199" t="s">
        <v>98</v>
      </c>
      <c r="D199" t="s">
        <v>562</v>
      </c>
      <c r="E199">
        <v>2026</v>
      </c>
      <c r="F199" t="s">
        <v>480</v>
      </c>
      <c r="G199" t="s">
        <v>563</v>
      </c>
      <c r="H199" t="s">
        <v>17</v>
      </c>
      <c r="I199" s="48" t="s">
        <v>73</v>
      </c>
      <c r="J199" s="4">
        <v>15000</v>
      </c>
    </row>
    <row r="200" spans="1:11">
      <c r="A200" t="s">
        <v>564</v>
      </c>
      <c r="B200" t="s">
        <v>461</v>
      </c>
      <c r="C200" t="s">
        <v>98</v>
      </c>
      <c r="D200" t="s">
        <v>565</v>
      </c>
      <c r="E200">
        <v>2022</v>
      </c>
      <c r="F200" t="s">
        <v>566</v>
      </c>
      <c r="H200" t="s">
        <v>17</v>
      </c>
      <c r="I200" s="48" t="s">
        <v>73</v>
      </c>
      <c r="J200" s="4">
        <v>15000</v>
      </c>
    </row>
    <row r="201" spans="1:11">
      <c r="A201" t="s">
        <v>567</v>
      </c>
      <c r="B201" t="s">
        <v>568</v>
      </c>
      <c r="C201" t="s">
        <v>53</v>
      </c>
      <c r="D201" t="s">
        <v>569</v>
      </c>
      <c r="E201">
        <v>2017</v>
      </c>
      <c r="F201" t="s">
        <v>50</v>
      </c>
      <c r="G201" t="s">
        <v>570</v>
      </c>
      <c r="H201" t="s">
        <v>17</v>
      </c>
      <c r="I201" s="48" t="s">
        <v>73</v>
      </c>
      <c r="J201" s="4">
        <v>15000</v>
      </c>
    </row>
    <row r="202" spans="1:11">
      <c r="A202" t="s">
        <v>571</v>
      </c>
      <c r="B202" t="s">
        <v>568</v>
      </c>
      <c r="C202" t="s">
        <v>53</v>
      </c>
      <c r="D202" t="s">
        <v>572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>
      <c r="A203" t="s">
        <v>573</v>
      </c>
      <c r="B203" t="s">
        <v>568</v>
      </c>
      <c r="C203" t="s">
        <v>53</v>
      </c>
      <c r="D203" t="s">
        <v>574</v>
      </c>
      <c r="E203">
        <v>2020</v>
      </c>
      <c r="F203" t="s">
        <v>575</v>
      </c>
      <c r="G203" t="s">
        <v>576</v>
      </c>
      <c r="H203" t="s">
        <v>37</v>
      </c>
      <c r="I203" s="48" t="s">
        <v>73</v>
      </c>
      <c r="J203" s="4">
        <v>15000</v>
      </c>
    </row>
    <row r="204" spans="1:11">
      <c r="A204" t="s">
        <v>577</v>
      </c>
      <c r="B204" t="s">
        <v>461</v>
      </c>
      <c r="C204" t="s">
        <v>98</v>
      </c>
      <c r="D204" t="s">
        <v>578</v>
      </c>
      <c r="E204">
        <v>2021</v>
      </c>
      <c r="F204" t="s">
        <v>26</v>
      </c>
      <c r="G204" t="s">
        <v>579</v>
      </c>
      <c r="H204" t="s">
        <v>28</v>
      </c>
      <c r="I204" s="48" t="s">
        <v>73</v>
      </c>
      <c r="J204" s="4">
        <v>15000</v>
      </c>
    </row>
    <row r="205" spans="1:11">
      <c r="A205" t="s">
        <v>580</v>
      </c>
      <c r="B205" t="s">
        <v>461</v>
      </c>
      <c r="C205" t="s">
        <v>98</v>
      </c>
      <c r="D205" t="s">
        <v>581</v>
      </c>
      <c r="E205">
        <v>2021</v>
      </c>
      <c r="F205" t="s">
        <v>582</v>
      </c>
      <c r="G205" t="s">
        <v>583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>
      <c r="A206" t="s">
        <v>584</v>
      </c>
      <c r="B206" t="s">
        <v>461</v>
      </c>
      <c r="C206" t="s">
        <v>98</v>
      </c>
      <c r="D206" t="s">
        <v>578</v>
      </c>
      <c r="E206">
        <v>2021</v>
      </c>
      <c r="H206" t="s">
        <v>28</v>
      </c>
      <c r="I206" s="48" t="s">
        <v>73</v>
      </c>
      <c r="J206" s="4">
        <v>15000</v>
      </c>
    </row>
    <row r="207" spans="1:11">
      <c r="A207" t="s">
        <v>585</v>
      </c>
      <c r="B207" t="s">
        <v>461</v>
      </c>
      <c r="C207" t="s">
        <v>98</v>
      </c>
      <c r="D207" t="s">
        <v>578</v>
      </c>
      <c r="E207">
        <v>2021</v>
      </c>
      <c r="F207" t="s">
        <v>364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>
      <c r="A208" t="s">
        <v>586</v>
      </c>
      <c r="B208" t="s">
        <v>461</v>
      </c>
      <c r="C208" t="s">
        <v>98</v>
      </c>
      <c r="D208" t="s">
        <v>581</v>
      </c>
      <c r="E208">
        <v>2021</v>
      </c>
      <c r="H208" t="s">
        <v>28</v>
      </c>
      <c r="I208" s="48" t="s">
        <v>73</v>
      </c>
      <c r="J208" s="4">
        <v>15000</v>
      </c>
    </row>
    <row r="209" spans="1:11">
      <c r="A209" t="s">
        <v>587</v>
      </c>
      <c r="B209" t="s">
        <v>461</v>
      </c>
      <c r="C209" t="s">
        <v>98</v>
      </c>
      <c r="D209" t="s">
        <v>578</v>
      </c>
      <c r="E209">
        <v>2021</v>
      </c>
      <c r="F209" t="s">
        <v>582</v>
      </c>
      <c r="G209" t="s">
        <v>588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>
      <c r="A210" t="s">
        <v>589</v>
      </c>
      <c r="B210" t="s">
        <v>461</v>
      </c>
      <c r="C210" t="s">
        <v>98</v>
      </c>
      <c r="D210" t="s">
        <v>578</v>
      </c>
      <c r="E210">
        <v>2021</v>
      </c>
      <c r="F210" t="s">
        <v>23</v>
      </c>
      <c r="G210" t="s">
        <v>579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>
      <c r="A211" t="s">
        <v>590</v>
      </c>
      <c r="B211" t="s">
        <v>461</v>
      </c>
      <c r="C211" t="s">
        <v>98</v>
      </c>
      <c r="D211" t="s">
        <v>578</v>
      </c>
      <c r="E211">
        <v>2021</v>
      </c>
      <c r="H211" t="s">
        <v>28</v>
      </c>
      <c r="I211" s="48" t="s">
        <v>73</v>
      </c>
      <c r="J211" s="4">
        <v>15000</v>
      </c>
    </row>
    <row r="212" spans="1:11">
      <c r="A212" t="s">
        <v>591</v>
      </c>
      <c r="B212" t="s">
        <v>461</v>
      </c>
      <c r="C212" t="s">
        <v>98</v>
      </c>
      <c r="D212" t="s">
        <v>578</v>
      </c>
      <c r="E212">
        <v>2021</v>
      </c>
      <c r="F212" t="s">
        <v>592</v>
      </c>
      <c r="G212" t="s">
        <v>593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>
      <c r="A213" t="s">
        <v>594</v>
      </c>
      <c r="B213" t="s">
        <v>461</v>
      </c>
      <c r="C213" t="s">
        <v>98</v>
      </c>
      <c r="D213" t="s">
        <v>595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>
      <c r="A214" t="s">
        <v>596</v>
      </c>
      <c r="B214" t="s">
        <v>461</v>
      </c>
      <c r="C214" t="s">
        <v>98</v>
      </c>
      <c r="D214" t="s">
        <v>595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>
      <c r="A215" t="s">
        <v>597</v>
      </c>
      <c r="B215" t="s">
        <v>506</v>
      </c>
      <c r="C215" t="s">
        <v>53</v>
      </c>
      <c r="D215" t="s">
        <v>598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>
      <c r="A216" t="s">
        <v>599</v>
      </c>
      <c r="B216" t="s">
        <v>506</v>
      </c>
      <c r="C216" t="s">
        <v>53</v>
      </c>
      <c r="D216" t="s">
        <v>600</v>
      </c>
      <c r="E216">
        <v>2017</v>
      </c>
      <c r="H216" t="s">
        <v>28</v>
      </c>
      <c r="I216" s="48" t="s">
        <v>73</v>
      </c>
      <c r="J216" s="4">
        <v>15000</v>
      </c>
    </row>
    <row r="217" spans="1:11">
      <c r="A217" t="s">
        <v>601</v>
      </c>
      <c r="B217" t="s">
        <v>506</v>
      </c>
      <c r="C217" t="s">
        <v>53</v>
      </c>
      <c r="D217" t="s">
        <v>602</v>
      </c>
      <c r="E217">
        <v>2013</v>
      </c>
      <c r="H217" t="s">
        <v>28</v>
      </c>
      <c r="I217" s="48" t="s">
        <v>73</v>
      </c>
      <c r="J217" s="4">
        <v>15000</v>
      </c>
    </row>
    <row r="218" spans="1:11">
      <c r="A218" t="s">
        <v>603</v>
      </c>
      <c r="B218" t="s">
        <v>461</v>
      </c>
      <c r="C218" t="s">
        <v>604</v>
      </c>
      <c r="D218" t="s">
        <v>605</v>
      </c>
      <c r="E218">
        <v>2023</v>
      </c>
      <c r="H218" t="s">
        <v>28</v>
      </c>
      <c r="I218" s="48" t="s">
        <v>73</v>
      </c>
      <c r="J218" s="4">
        <v>15000</v>
      </c>
    </row>
    <row r="219" spans="1:11">
      <c r="A219" t="s">
        <v>606</v>
      </c>
      <c r="B219" t="s">
        <v>461</v>
      </c>
      <c r="C219" t="s">
        <v>604</v>
      </c>
      <c r="D219" t="s">
        <v>605</v>
      </c>
      <c r="E219">
        <v>2023</v>
      </c>
      <c r="F219" t="s">
        <v>26</v>
      </c>
      <c r="G219" t="s">
        <v>588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>
      <c r="A220" t="s">
        <v>607</v>
      </c>
      <c r="B220" t="s">
        <v>461</v>
      </c>
      <c r="C220" t="s">
        <v>604</v>
      </c>
      <c r="D220" t="s">
        <v>605</v>
      </c>
      <c r="E220">
        <v>2023</v>
      </c>
      <c r="F220" t="s">
        <v>30</v>
      </c>
      <c r="G220" t="s">
        <v>608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>
      <c r="A221" t="s">
        <v>609</v>
      </c>
      <c r="B221" t="s">
        <v>461</v>
      </c>
      <c r="C221" t="s">
        <v>604</v>
      </c>
      <c r="D221" t="s">
        <v>605</v>
      </c>
      <c r="E221">
        <v>2023</v>
      </c>
      <c r="F221" t="s">
        <v>582</v>
      </c>
      <c r="G221" t="s">
        <v>610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>
      <c r="A222" t="s">
        <v>611</v>
      </c>
      <c r="B222" t="s">
        <v>461</v>
      </c>
      <c r="C222" t="s">
        <v>604</v>
      </c>
      <c r="D222" t="s">
        <v>605</v>
      </c>
      <c r="E222">
        <v>2023</v>
      </c>
      <c r="F222" t="s">
        <v>30</v>
      </c>
      <c r="G222" t="s">
        <v>612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>
      <c r="A223" t="s">
        <v>613</v>
      </c>
      <c r="B223" t="s">
        <v>461</v>
      </c>
      <c r="C223" t="s">
        <v>604</v>
      </c>
      <c r="D223" t="s">
        <v>605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>
      <c r="A224" t="s">
        <v>614</v>
      </c>
      <c r="B224" t="s">
        <v>506</v>
      </c>
      <c r="C224" t="s">
        <v>507</v>
      </c>
      <c r="D224" t="s">
        <v>615</v>
      </c>
      <c r="E224">
        <v>2015</v>
      </c>
      <c r="H224" t="s">
        <v>28</v>
      </c>
      <c r="I224" s="48" t="s">
        <v>73</v>
      </c>
      <c r="J224" s="4">
        <v>10000</v>
      </c>
    </row>
    <row r="225" spans="1:11">
      <c r="A225" t="s">
        <v>616</v>
      </c>
      <c r="B225" t="s">
        <v>506</v>
      </c>
      <c r="C225" t="s">
        <v>478</v>
      </c>
      <c r="D225" t="s">
        <v>617</v>
      </c>
      <c r="E225">
        <v>2019</v>
      </c>
      <c r="H225" t="s">
        <v>28</v>
      </c>
      <c r="I225" s="48" t="s">
        <v>73</v>
      </c>
      <c r="J225" s="4">
        <v>15000</v>
      </c>
    </row>
    <row r="226" spans="1:11">
      <c r="A226" t="s">
        <v>618</v>
      </c>
      <c r="B226" t="s">
        <v>461</v>
      </c>
      <c r="C226" t="s">
        <v>619</v>
      </c>
      <c r="D226" t="s">
        <v>620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>
      <c r="A227" t="s">
        <v>621</v>
      </c>
      <c r="B227" t="s">
        <v>506</v>
      </c>
      <c r="C227" t="s">
        <v>115</v>
      </c>
      <c r="D227" t="s">
        <v>622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>
      <c r="A228" t="s">
        <v>623</v>
      </c>
      <c r="B228" t="s">
        <v>506</v>
      </c>
      <c r="C228" t="s">
        <v>115</v>
      </c>
      <c r="D228" t="s">
        <v>624</v>
      </c>
      <c r="E228">
        <v>2017</v>
      </c>
      <c r="F228" t="s">
        <v>37</v>
      </c>
      <c r="G228" t="s">
        <v>625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>
      <c r="A229" t="s">
        <v>626</v>
      </c>
      <c r="B229" t="s">
        <v>506</v>
      </c>
      <c r="C229" t="s">
        <v>115</v>
      </c>
      <c r="D229" t="s">
        <v>624</v>
      </c>
      <c r="E229">
        <v>2017</v>
      </c>
      <c r="F229" t="s">
        <v>582</v>
      </c>
      <c r="G229" t="s">
        <v>627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>
      <c r="A230" t="s">
        <v>628</v>
      </c>
      <c r="B230" t="s">
        <v>506</v>
      </c>
      <c r="C230" t="s">
        <v>115</v>
      </c>
      <c r="D230" t="s">
        <v>624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>
      <c r="A231" t="s">
        <v>629</v>
      </c>
      <c r="B231" t="s">
        <v>461</v>
      </c>
      <c r="C231" t="s">
        <v>98</v>
      </c>
      <c r="D231" t="s">
        <v>578</v>
      </c>
      <c r="E231">
        <v>2023</v>
      </c>
      <c r="F231" t="s">
        <v>30</v>
      </c>
      <c r="G231" t="s">
        <v>630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>
      <c r="A232" t="s">
        <v>631</v>
      </c>
      <c r="B232" t="s">
        <v>461</v>
      </c>
      <c r="C232" t="s">
        <v>98</v>
      </c>
      <c r="D232" t="s">
        <v>578</v>
      </c>
      <c r="E232">
        <v>2023</v>
      </c>
      <c r="F232" t="s">
        <v>33</v>
      </c>
      <c r="G232" t="s">
        <v>632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>
      <c r="A233" t="s">
        <v>633</v>
      </c>
      <c r="B233" t="s">
        <v>461</v>
      </c>
      <c r="C233" t="s">
        <v>98</v>
      </c>
      <c r="D233" t="s">
        <v>578</v>
      </c>
      <c r="E233">
        <v>2023</v>
      </c>
      <c r="F233" t="s">
        <v>364</v>
      </c>
      <c r="G233" t="s">
        <v>634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>
      <c r="A234" t="s">
        <v>635</v>
      </c>
      <c r="B234" t="s">
        <v>461</v>
      </c>
      <c r="C234" t="s">
        <v>98</v>
      </c>
      <c r="D234" t="s">
        <v>578</v>
      </c>
      <c r="E234">
        <v>2023</v>
      </c>
      <c r="F234" t="s">
        <v>62</v>
      </c>
      <c r="G234" t="s">
        <v>636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>
      <c r="A235" t="s">
        <v>637</v>
      </c>
      <c r="B235" t="s">
        <v>461</v>
      </c>
      <c r="C235" t="s">
        <v>98</v>
      </c>
      <c r="D235" t="s">
        <v>578</v>
      </c>
      <c r="E235">
        <v>2023</v>
      </c>
      <c r="F235" t="s">
        <v>30</v>
      </c>
      <c r="G235" t="s">
        <v>638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>
      <c r="A236" t="s">
        <v>639</v>
      </c>
      <c r="B236" t="s">
        <v>461</v>
      </c>
      <c r="C236" t="s">
        <v>98</v>
      </c>
      <c r="D236" t="s">
        <v>578</v>
      </c>
      <c r="E236">
        <v>2023</v>
      </c>
      <c r="F236" t="s">
        <v>50</v>
      </c>
      <c r="G236" t="s">
        <v>640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>
      <c r="A237" t="s">
        <v>641</v>
      </c>
      <c r="B237" t="s">
        <v>461</v>
      </c>
      <c r="C237" t="s">
        <v>98</v>
      </c>
      <c r="D237" t="s">
        <v>578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>
      <c r="A238" t="s">
        <v>642</v>
      </c>
      <c r="B238" t="s">
        <v>461</v>
      </c>
      <c r="C238" t="s">
        <v>98</v>
      </c>
      <c r="D238" t="s">
        <v>578</v>
      </c>
      <c r="E238">
        <v>2023</v>
      </c>
      <c r="F238" t="s">
        <v>33</v>
      </c>
      <c r="G238" t="s">
        <v>643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>
      <c r="A239" t="s">
        <v>644</v>
      </c>
      <c r="B239" t="s">
        <v>461</v>
      </c>
      <c r="C239" t="s">
        <v>98</v>
      </c>
      <c r="D239" t="s">
        <v>578</v>
      </c>
      <c r="E239">
        <v>2023</v>
      </c>
      <c r="F239" t="s">
        <v>62</v>
      </c>
      <c r="G239" t="s">
        <v>645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>
      <c r="A240" t="s">
        <v>646</v>
      </c>
      <c r="B240" t="s">
        <v>461</v>
      </c>
      <c r="C240" t="s">
        <v>98</v>
      </c>
      <c r="D240" t="s">
        <v>581</v>
      </c>
      <c r="E240">
        <v>2023</v>
      </c>
      <c r="F240" t="s">
        <v>37</v>
      </c>
      <c r="G240" t="s">
        <v>470</v>
      </c>
      <c r="H240" t="s">
        <v>17</v>
      </c>
      <c r="I240" s="48" t="s">
        <v>73</v>
      </c>
      <c r="J240" s="4">
        <v>15000</v>
      </c>
      <c r="K240">
        <v>0</v>
      </c>
    </row>
    <row r="241" spans="1:11">
      <c r="A241" t="s">
        <v>647</v>
      </c>
      <c r="B241" t="s">
        <v>461</v>
      </c>
      <c r="C241" t="s">
        <v>98</v>
      </c>
      <c r="D241" t="s">
        <v>578</v>
      </c>
      <c r="E241">
        <v>2023</v>
      </c>
      <c r="F241" t="s">
        <v>124</v>
      </c>
      <c r="G241" t="s">
        <v>648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>
      <c r="A242" t="s">
        <v>649</v>
      </c>
      <c r="B242" t="s">
        <v>461</v>
      </c>
      <c r="C242" t="s">
        <v>98</v>
      </c>
      <c r="D242" t="s">
        <v>462</v>
      </c>
      <c r="E242">
        <v>2023</v>
      </c>
      <c r="F242" t="s">
        <v>575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customHeight="1">
      <c r="A243" t="s">
        <v>650</v>
      </c>
      <c r="B243" t="s">
        <v>461</v>
      </c>
      <c r="C243" t="s">
        <v>98</v>
      </c>
      <c r="D243" t="s">
        <v>462</v>
      </c>
      <c r="E243">
        <v>2023</v>
      </c>
      <c r="F243" t="s">
        <v>566</v>
      </c>
      <c r="G243" t="s">
        <v>651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customHeight="1">
      <c r="A244" t="s">
        <v>652</v>
      </c>
      <c r="B244" t="s">
        <v>653</v>
      </c>
      <c r="C244" t="s">
        <v>654</v>
      </c>
      <c r="D244" t="s">
        <v>655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customHeight="1">
      <c r="A245" t="s">
        <v>656</v>
      </c>
      <c r="B245" t="s">
        <v>653</v>
      </c>
      <c r="C245" t="s">
        <v>657</v>
      </c>
      <c r="D245" t="s">
        <v>658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customHeight="1">
      <c r="A246" t="s">
        <v>659</v>
      </c>
      <c r="B246" t="s">
        <v>653</v>
      </c>
      <c r="C246" t="s">
        <v>660</v>
      </c>
      <c r="D246" t="s">
        <v>661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customHeight="1">
      <c r="A247" t="s">
        <v>662</v>
      </c>
      <c r="B247" t="s">
        <v>653</v>
      </c>
      <c r="C247" t="s">
        <v>663</v>
      </c>
      <c r="D247" t="s">
        <v>664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  <row r="248" spans="1:11" ht="15" customHeight="1">
      <c r="A248" t="s">
        <v>665</v>
      </c>
      <c r="B248" t="s">
        <v>202</v>
      </c>
      <c r="F248" t="s">
        <v>15</v>
      </c>
      <c r="H248" t="s">
        <v>37</v>
      </c>
      <c r="I248" s="48" t="s">
        <v>666</v>
      </c>
      <c r="J248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6"/>
  <sheetViews>
    <sheetView zoomScaleNormal="100" workbookViewId="0">
      <pane ySplit="3" topLeftCell="A25" activePane="bottomLeft" state="frozen"/>
      <selection pane="bottomLeft" activeCell="E2082" sqref="E2082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2" t="s">
        <v>667</v>
      </c>
      <c r="B1" s="92"/>
      <c r="C1" s="92"/>
      <c r="D1" s="92"/>
      <c r="E1" s="92"/>
      <c r="F1" s="92"/>
      <c r="G1" s="92"/>
    </row>
    <row r="3" spans="1:7">
      <c r="A3" s="7" t="s">
        <v>668</v>
      </c>
      <c r="B3" s="1" t="s">
        <v>1</v>
      </c>
      <c r="C3" s="1" t="s">
        <v>669</v>
      </c>
      <c r="D3" s="1" t="s">
        <v>670</v>
      </c>
      <c r="E3" s="1" t="s">
        <v>671</v>
      </c>
      <c r="F3" s="1" t="s">
        <v>7</v>
      </c>
      <c r="G3" s="1" t="s">
        <v>672</v>
      </c>
    </row>
    <row r="4" spans="1:7" hidden="1">
      <c r="A4" s="74">
        <v>46065</v>
      </c>
      <c r="B4" t="s">
        <v>12</v>
      </c>
      <c r="C4">
        <v>2852</v>
      </c>
    </row>
    <row r="5" spans="1:7" hidden="1">
      <c r="A5" s="74">
        <v>44607</v>
      </c>
      <c r="B5" t="s">
        <v>12</v>
      </c>
      <c r="C5">
        <v>1937</v>
      </c>
    </row>
    <row r="6" spans="1:7" hidden="1">
      <c r="A6" s="74">
        <v>44553</v>
      </c>
      <c r="B6" t="s">
        <v>12</v>
      </c>
      <c r="C6">
        <v>1683</v>
      </c>
    </row>
    <row r="7" spans="1:7" hidden="1">
      <c r="A7" s="74">
        <v>44329</v>
      </c>
      <c r="B7" t="s">
        <v>12</v>
      </c>
      <c r="C7">
        <v>985</v>
      </c>
    </row>
    <row r="8" spans="1:7" hidden="1">
      <c r="A8" s="74">
        <v>46132</v>
      </c>
      <c r="B8" t="s">
        <v>19</v>
      </c>
      <c r="C8">
        <v>10496</v>
      </c>
      <c r="E8" t="s">
        <v>673</v>
      </c>
    </row>
    <row r="9" spans="1:7" hidden="1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 hidden="1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 hidden="1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 hidden="1">
      <c r="A12" s="74">
        <v>45056</v>
      </c>
      <c r="B12" t="s">
        <v>25</v>
      </c>
      <c r="C12">
        <v>5327</v>
      </c>
      <c r="D12">
        <v>126893</v>
      </c>
    </row>
    <row r="13" spans="1:7" hidden="1">
      <c r="A13" s="74">
        <v>46114</v>
      </c>
      <c r="B13" t="s">
        <v>29</v>
      </c>
      <c r="D13">
        <v>261250</v>
      </c>
      <c r="E13" t="s">
        <v>674</v>
      </c>
    </row>
    <row r="14" spans="1:7" hidden="1">
      <c r="A14" s="74">
        <v>46113</v>
      </c>
      <c r="B14" t="s">
        <v>29</v>
      </c>
      <c r="D14">
        <v>260933</v>
      </c>
      <c r="E14" t="s">
        <v>674</v>
      </c>
    </row>
    <row r="15" spans="1:7" hidden="1">
      <c r="A15" s="74">
        <v>46108</v>
      </c>
      <c r="B15" t="s">
        <v>29</v>
      </c>
      <c r="E15" t="s">
        <v>674</v>
      </c>
      <c r="F15" t="s">
        <v>675</v>
      </c>
      <c r="G15" t="s">
        <v>676</v>
      </c>
    </row>
    <row r="16" spans="1:7" hidden="1">
      <c r="A16" s="74">
        <v>46083</v>
      </c>
      <c r="B16" t="s">
        <v>29</v>
      </c>
      <c r="C16">
        <v>10709</v>
      </c>
      <c r="D16">
        <v>258456</v>
      </c>
    </row>
    <row r="17" spans="1:5" hidden="1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>
      <c r="A21" s="74">
        <v>46105</v>
      </c>
      <c r="B21" t="s">
        <v>35</v>
      </c>
      <c r="C21">
        <v>8345</v>
      </c>
      <c r="E21" t="s">
        <v>37</v>
      </c>
    </row>
    <row r="22" spans="1:5" hidden="1">
      <c r="A22" s="74">
        <v>46070</v>
      </c>
      <c r="B22" t="s">
        <v>35</v>
      </c>
      <c r="D22">
        <v>250115</v>
      </c>
    </row>
    <row r="23" spans="1:5" hidden="1">
      <c r="A23" s="74">
        <v>46052</v>
      </c>
      <c r="B23" t="s">
        <v>35</v>
      </c>
      <c r="C23">
        <v>8328</v>
      </c>
      <c r="D23">
        <v>168556</v>
      </c>
    </row>
    <row r="24" spans="1:5" hidden="1">
      <c r="A24" s="74">
        <v>46049</v>
      </c>
      <c r="B24" t="s">
        <v>35</v>
      </c>
      <c r="C24">
        <v>8221</v>
      </c>
      <c r="D24">
        <v>168332</v>
      </c>
    </row>
    <row r="25" spans="1:5">
      <c r="A25" s="74">
        <v>46092</v>
      </c>
      <c r="B25" t="s">
        <v>36</v>
      </c>
      <c r="C25">
        <v>10923</v>
      </c>
      <c r="E25" t="s">
        <v>23</v>
      </c>
    </row>
    <row r="26" spans="1:5">
      <c r="A26" s="74">
        <v>46087</v>
      </c>
      <c r="B26" t="s">
        <v>36</v>
      </c>
      <c r="C26">
        <v>10837</v>
      </c>
    </row>
    <row r="27" spans="1:5">
      <c r="A27" s="74">
        <v>46086</v>
      </c>
      <c r="B27" t="s">
        <v>36</v>
      </c>
      <c r="C27">
        <v>10820</v>
      </c>
    </row>
    <row r="28" spans="1:5">
      <c r="A28" s="74">
        <v>46065</v>
      </c>
      <c r="B28" t="s">
        <v>36</v>
      </c>
      <c r="C28">
        <v>10863</v>
      </c>
    </row>
    <row r="29" spans="1:5" hidden="1">
      <c r="A29" s="74">
        <v>46107</v>
      </c>
      <c r="B29" t="s">
        <v>39</v>
      </c>
      <c r="D29">
        <v>48763</v>
      </c>
      <c r="E29" t="s">
        <v>33</v>
      </c>
    </row>
    <row r="30" spans="1:5" hidden="1">
      <c r="A30" s="74">
        <v>46077</v>
      </c>
      <c r="B30" t="s">
        <v>39</v>
      </c>
      <c r="D30">
        <v>98639</v>
      </c>
    </row>
    <row r="31" spans="1:5" hidden="1">
      <c r="A31" s="74">
        <v>46077</v>
      </c>
      <c r="B31" t="s">
        <v>39</v>
      </c>
      <c r="D31">
        <v>98639</v>
      </c>
    </row>
    <row r="32" spans="1:5" hidden="1">
      <c r="A32" s="74">
        <v>46062</v>
      </c>
      <c r="B32" t="s">
        <v>39</v>
      </c>
      <c r="C32" s="49"/>
      <c r="D32">
        <v>98550</v>
      </c>
    </row>
    <row r="33" spans="1:5" hidden="1">
      <c r="A33" s="74">
        <v>46106</v>
      </c>
      <c r="B33" t="s">
        <v>42</v>
      </c>
      <c r="D33">
        <v>190409</v>
      </c>
      <c r="E33" t="s">
        <v>33</v>
      </c>
    </row>
    <row r="34" spans="1:5" hidden="1">
      <c r="A34" s="74">
        <v>46101</v>
      </c>
      <c r="B34" t="s">
        <v>42</v>
      </c>
      <c r="D34">
        <v>190215</v>
      </c>
      <c r="E34" t="s">
        <v>33</v>
      </c>
    </row>
    <row r="35" spans="1:5" hidden="1">
      <c r="A35" s="74">
        <v>46098</v>
      </c>
      <c r="B35" t="s">
        <v>42</v>
      </c>
      <c r="D35">
        <v>190022</v>
      </c>
      <c r="E35" t="s">
        <v>33</v>
      </c>
    </row>
    <row r="36" spans="1:5" hidden="1">
      <c r="A36" s="74">
        <v>46080</v>
      </c>
      <c r="B36" t="s">
        <v>42</v>
      </c>
      <c r="D36">
        <v>189344</v>
      </c>
    </row>
    <row r="37" spans="1:5" hidden="1">
      <c r="A37" s="74">
        <v>46111</v>
      </c>
      <c r="B37" t="s">
        <v>47</v>
      </c>
      <c r="D37">
        <v>275886</v>
      </c>
      <c r="E37" t="s">
        <v>50</v>
      </c>
    </row>
    <row r="38" spans="1:5" hidden="1">
      <c r="A38" s="74">
        <v>46101</v>
      </c>
      <c r="B38" t="s">
        <v>47</v>
      </c>
      <c r="D38">
        <v>275095</v>
      </c>
      <c r="E38" t="s">
        <v>50</v>
      </c>
    </row>
    <row r="39" spans="1:5" hidden="1">
      <c r="A39" s="74">
        <v>46098</v>
      </c>
      <c r="B39" t="s">
        <v>47</v>
      </c>
      <c r="D39">
        <v>274769</v>
      </c>
      <c r="E39" t="s">
        <v>50</v>
      </c>
    </row>
    <row r="40" spans="1:5" hidden="1">
      <c r="A40" s="74">
        <v>46078</v>
      </c>
      <c r="B40" t="s">
        <v>47</v>
      </c>
      <c r="D40">
        <v>274320</v>
      </c>
    </row>
    <row r="41" spans="1:5" hidden="1">
      <c r="A41" s="74">
        <v>46050</v>
      </c>
      <c r="B41" t="s">
        <v>59</v>
      </c>
      <c r="D41">
        <v>121065</v>
      </c>
    </row>
    <row r="42" spans="1:5" hidden="1">
      <c r="A42" s="74">
        <v>46043</v>
      </c>
      <c r="B42" t="s">
        <v>59</v>
      </c>
      <c r="D42">
        <v>802320</v>
      </c>
    </row>
    <row r="43" spans="1:5" hidden="1">
      <c r="A43" s="74">
        <v>46036</v>
      </c>
      <c r="B43" t="s">
        <v>59</v>
      </c>
      <c r="D43">
        <v>802920</v>
      </c>
    </row>
    <row r="44" spans="1:5" hidden="1">
      <c r="A44" s="74">
        <v>45994</v>
      </c>
      <c r="B44" t="s">
        <v>59</v>
      </c>
      <c r="D44">
        <v>802920</v>
      </c>
    </row>
    <row r="45" spans="1:5" hidden="1">
      <c r="A45" s="74">
        <v>46107</v>
      </c>
      <c r="B45" t="s">
        <v>64</v>
      </c>
      <c r="C45">
        <v>3882</v>
      </c>
      <c r="E45" t="s">
        <v>33</v>
      </c>
    </row>
    <row r="46" spans="1:5" hidden="1">
      <c r="A46" s="74">
        <v>46107</v>
      </c>
      <c r="B46" t="s">
        <v>64</v>
      </c>
      <c r="C46">
        <v>3887</v>
      </c>
      <c r="E46" t="s">
        <v>33</v>
      </c>
    </row>
    <row r="47" spans="1:5" hidden="1">
      <c r="A47" s="74">
        <v>46106</v>
      </c>
      <c r="B47" t="s">
        <v>64</v>
      </c>
      <c r="C47">
        <v>3877</v>
      </c>
      <c r="E47" t="s">
        <v>33</v>
      </c>
    </row>
    <row r="48" spans="1:5" hidden="1">
      <c r="A48" s="74">
        <v>46099</v>
      </c>
      <c r="B48" t="s">
        <v>64</v>
      </c>
      <c r="C48">
        <v>3868</v>
      </c>
      <c r="E48" t="s">
        <v>33</v>
      </c>
    </row>
    <row r="49" spans="1:7" hidden="1">
      <c r="A49" s="74">
        <v>46064</v>
      </c>
      <c r="B49" t="s">
        <v>68</v>
      </c>
      <c r="D49">
        <v>333912</v>
      </c>
      <c r="E49" t="s">
        <v>37</v>
      </c>
    </row>
    <row r="50" spans="1:7" hidden="1">
      <c r="A50" s="74">
        <v>46058</v>
      </c>
      <c r="B50" t="s">
        <v>68</v>
      </c>
      <c r="D50">
        <v>330885</v>
      </c>
    </row>
    <row r="51" spans="1:7" hidden="1">
      <c r="A51" s="74">
        <v>46050</v>
      </c>
      <c r="B51" t="s">
        <v>68</v>
      </c>
      <c r="D51">
        <v>340286</v>
      </c>
    </row>
    <row r="52" spans="1:7" hidden="1">
      <c r="A52" s="74">
        <v>46043</v>
      </c>
      <c r="B52" t="s">
        <v>68</v>
      </c>
      <c r="D52">
        <v>329180</v>
      </c>
    </row>
    <row r="53" spans="1:7" hidden="1">
      <c r="A53" s="74">
        <v>46100</v>
      </c>
      <c r="B53" t="s">
        <v>74</v>
      </c>
      <c r="E53" t="s">
        <v>315</v>
      </c>
      <c r="F53" t="s">
        <v>677</v>
      </c>
      <c r="G53" t="s">
        <v>676</v>
      </c>
    </row>
    <row r="54" spans="1:7" hidden="1">
      <c r="A54" s="74">
        <v>46094</v>
      </c>
      <c r="B54" t="s">
        <v>74</v>
      </c>
      <c r="E54" t="s">
        <v>315</v>
      </c>
      <c r="F54" t="s">
        <v>677</v>
      </c>
      <c r="G54" t="s">
        <v>676</v>
      </c>
    </row>
    <row r="55" spans="1:7" hidden="1">
      <c r="A55" s="74">
        <v>46044</v>
      </c>
      <c r="B55" t="s">
        <v>74</v>
      </c>
      <c r="D55">
        <v>329583</v>
      </c>
    </row>
    <row r="56" spans="1:7" hidden="1">
      <c r="A56" s="74">
        <v>46034</v>
      </c>
      <c r="B56" t="s">
        <v>78</v>
      </c>
      <c r="D56">
        <v>114148</v>
      </c>
    </row>
    <row r="57" spans="1:7" hidden="1">
      <c r="A57" s="74">
        <v>46099</v>
      </c>
      <c r="B57" t="s">
        <v>79</v>
      </c>
      <c r="D57">
        <v>917261</v>
      </c>
      <c r="E57" t="s">
        <v>62</v>
      </c>
    </row>
    <row r="58" spans="1:7" hidden="1">
      <c r="A58" s="74">
        <v>46086</v>
      </c>
      <c r="B58" t="s">
        <v>79</v>
      </c>
      <c r="D58">
        <v>512848</v>
      </c>
    </row>
    <row r="59" spans="1:7" hidden="1">
      <c r="A59" s="74">
        <v>46085</v>
      </c>
      <c r="B59" t="s">
        <v>79</v>
      </c>
      <c r="D59">
        <v>516492</v>
      </c>
    </row>
    <row r="60" spans="1:7" hidden="1">
      <c r="A60" s="74">
        <v>46083</v>
      </c>
      <c r="B60" t="s">
        <v>79</v>
      </c>
      <c r="D60">
        <v>514492</v>
      </c>
    </row>
    <row r="61" spans="1:7" hidden="1">
      <c r="A61" s="74">
        <v>46115</v>
      </c>
      <c r="B61" t="s">
        <v>82</v>
      </c>
      <c r="D61">
        <v>194120</v>
      </c>
      <c r="E61" t="s">
        <v>62</v>
      </c>
    </row>
    <row r="62" spans="1:7" hidden="1">
      <c r="A62" s="74">
        <v>46104</v>
      </c>
      <c r="B62" t="s">
        <v>82</v>
      </c>
      <c r="C62">
        <v>2841</v>
      </c>
      <c r="E62" t="s">
        <v>15</v>
      </c>
    </row>
    <row r="63" spans="1:7" hidden="1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 hidden="1">
      <c r="A64" s="74">
        <v>46101</v>
      </c>
      <c r="B64" t="s">
        <v>82</v>
      </c>
      <c r="D64">
        <v>195800</v>
      </c>
      <c r="E64" t="s">
        <v>15</v>
      </c>
      <c r="F64" t="s">
        <v>678</v>
      </c>
      <c r="G64" t="s">
        <v>676</v>
      </c>
    </row>
    <row r="65" spans="1:5" hidden="1">
      <c r="A65" s="74">
        <v>46070</v>
      </c>
      <c r="B65" t="s">
        <v>86</v>
      </c>
      <c r="C65">
        <v>3360</v>
      </c>
    </row>
    <row r="66" spans="1:5" hidden="1">
      <c r="A66" s="74">
        <v>46060</v>
      </c>
      <c r="B66" t="s">
        <v>86</v>
      </c>
      <c r="C66">
        <v>3340</v>
      </c>
    </row>
    <row r="67" spans="1:5" hidden="1">
      <c r="A67" s="74">
        <v>46056</v>
      </c>
      <c r="B67" t="s">
        <v>86</v>
      </c>
      <c r="C67">
        <v>3324</v>
      </c>
    </row>
    <row r="68" spans="1:5" hidden="1">
      <c r="A68" s="74">
        <v>46111</v>
      </c>
      <c r="B68" t="s">
        <v>89</v>
      </c>
      <c r="C68">
        <v>3552</v>
      </c>
      <c r="D68">
        <v>89291</v>
      </c>
      <c r="E68" t="s">
        <v>50</v>
      </c>
    </row>
    <row r="69" spans="1:5" hidden="1">
      <c r="A69" s="74">
        <v>46098</v>
      </c>
      <c r="B69" t="s">
        <v>89</v>
      </c>
      <c r="C69">
        <v>3502</v>
      </c>
      <c r="D69">
        <v>88762</v>
      </c>
      <c r="E69" t="s">
        <v>50</v>
      </c>
    </row>
    <row r="70" spans="1:5" hidden="1">
      <c r="A70" s="74">
        <v>46077</v>
      </c>
      <c r="B70" t="s">
        <v>89</v>
      </c>
      <c r="C70">
        <v>3440</v>
      </c>
      <c r="D70">
        <v>88032</v>
      </c>
    </row>
    <row r="71" spans="1:5" hidden="1">
      <c r="A71" s="74">
        <v>46072</v>
      </c>
      <c r="B71" t="s">
        <v>89</v>
      </c>
      <c r="C71">
        <v>3431</v>
      </c>
      <c r="D71">
        <v>87953</v>
      </c>
    </row>
    <row r="72" spans="1:5" hidden="1">
      <c r="A72" s="74">
        <v>46106</v>
      </c>
      <c r="B72" t="s">
        <v>91</v>
      </c>
      <c r="C72">
        <v>3774</v>
      </c>
      <c r="D72">
        <v>97492</v>
      </c>
      <c r="E72" t="s">
        <v>15</v>
      </c>
    </row>
    <row r="73" spans="1:5" hidden="1">
      <c r="A73" s="74">
        <v>46100</v>
      </c>
      <c r="B73" t="s">
        <v>91</v>
      </c>
      <c r="C73">
        <v>3759</v>
      </c>
      <c r="D73">
        <v>97224</v>
      </c>
      <c r="E73" t="s">
        <v>62</v>
      </c>
    </row>
    <row r="74" spans="1:5" hidden="1">
      <c r="A74" s="74">
        <v>46098</v>
      </c>
      <c r="B74" t="s">
        <v>91</v>
      </c>
      <c r="C74">
        <v>3751</v>
      </c>
      <c r="D74">
        <v>97036</v>
      </c>
      <c r="E74" t="s">
        <v>62</v>
      </c>
    </row>
    <row r="75" spans="1:5" hidden="1">
      <c r="A75" s="74">
        <v>46093</v>
      </c>
      <c r="B75" t="s">
        <v>91</v>
      </c>
      <c r="C75">
        <v>3694</v>
      </c>
    </row>
    <row r="76" spans="1:5" hidden="1">
      <c r="A76" s="74">
        <v>46101</v>
      </c>
      <c r="B76" t="s">
        <v>93</v>
      </c>
      <c r="C76">
        <v>3720</v>
      </c>
      <c r="E76" t="s">
        <v>205</v>
      </c>
    </row>
    <row r="77" spans="1:5" hidden="1">
      <c r="A77" s="74">
        <v>46087</v>
      </c>
      <c r="B77" t="s">
        <v>93</v>
      </c>
      <c r="D77">
        <v>99818</v>
      </c>
    </row>
    <row r="78" spans="1:5" hidden="1">
      <c r="A78" s="74">
        <v>46076</v>
      </c>
      <c r="B78" t="s">
        <v>93</v>
      </c>
      <c r="D78">
        <v>99221</v>
      </c>
    </row>
    <row r="79" spans="1:5" hidden="1">
      <c r="A79" s="74">
        <v>46072</v>
      </c>
      <c r="B79" t="s">
        <v>93</v>
      </c>
      <c r="D79">
        <v>98782</v>
      </c>
    </row>
    <row r="80" spans="1:5" hidden="1">
      <c r="A80" s="74">
        <v>46048</v>
      </c>
      <c r="B80" t="s">
        <v>95</v>
      </c>
      <c r="D80">
        <v>48160</v>
      </c>
    </row>
    <row r="81" spans="1:7" hidden="1">
      <c r="A81" s="74">
        <v>46100</v>
      </c>
      <c r="B81" t="s">
        <v>96</v>
      </c>
      <c r="D81">
        <v>79301</v>
      </c>
      <c r="E81" t="s">
        <v>50</v>
      </c>
    </row>
    <row r="82" spans="1:7" hidden="1">
      <c r="A82" s="74">
        <v>46100</v>
      </c>
      <c r="B82" t="s">
        <v>96</v>
      </c>
      <c r="D82">
        <v>79301</v>
      </c>
      <c r="E82" t="s">
        <v>679</v>
      </c>
      <c r="F82" t="s">
        <v>680</v>
      </c>
      <c r="G82" t="s">
        <v>676</v>
      </c>
    </row>
    <row r="83" spans="1:7" hidden="1">
      <c r="A83" s="74">
        <v>46072</v>
      </c>
      <c r="B83" t="s">
        <v>96</v>
      </c>
      <c r="C83">
        <v>1471</v>
      </c>
      <c r="D83">
        <v>75372</v>
      </c>
    </row>
    <row r="84" spans="1:7" hidden="1">
      <c r="A84" s="74">
        <v>46070</v>
      </c>
      <c r="B84" t="s">
        <v>96</v>
      </c>
      <c r="D84">
        <v>74376</v>
      </c>
    </row>
    <row r="85" spans="1:7" hidden="1">
      <c r="A85" s="74">
        <v>46114</v>
      </c>
      <c r="B85" t="s">
        <v>104</v>
      </c>
      <c r="D85">
        <v>126821</v>
      </c>
      <c r="E85" t="s">
        <v>679</v>
      </c>
    </row>
    <row r="86" spans="1:7" hidden="1">
      <c r="A86" s="74">
        <v>46107</v>
      </c>
      <c r="B86" t="s">
        <v>104</v>
      </c>
      <c r="D86">
        <v>125252</v>
      </c>
      <c r="E86" t="s">
        <v>33</v>
      </c>
    </row>
    <row r="87" spans="1:7" hidden="1">
      <c r="A87" s="74">
        <v>46106</v>
      </c>
      <c r="B87" t="s">
        <v>104</v>
      </c>
      <c r="D87">
        <v>125001</v>
      </c>
      <c r="E87" t="s">
        <v>33</v>
      </c>
    </row>
    <row r="88" spans="1:7" hidden="1">
      <c r="A88" s="74">
        <v>46100</v>
      </c>
      <c r="B88" t="s">
        <v>104</v>
      </c>
      <c r="D88">
        <v>123978</v>
      </c>
      <c r="E88" t="s">
        <v>679</v>
      </c>
    </row>
    <row r="89" spans="1:7" hidden="1">
      <c r="A89" s="74">
        <v>46105</v>
      </c>
      <c r="B89" t="s">
        <v>107</v>
      </c>
      <c r="D89">
        <v>141791</v>
      </c>
      <c r="E89" t="s">
        <v>33</v>
      </c>
    </row>
    <row r="90" spans="1:7" hidden="1">
      <c r="A90" s="74">
        <v>46090</v>
      </c>
      <c r="B90" t="s">
        <v>107</v>
      </c>
      <c r="D90">
        <v>141196</v>
      </c>
      <c r="E90" t="s">
        <v>592</v>
      </c>
      <c r="F90" t="s">
        <v>681</v>
      </c>
      <c r="G90" t="s">
        <v>676</v>
      </c>
    </row>
    <row r="91" spans="1:7" hidden="1">
      <c r="A91" s="74">
        <v>46086</v>
      </c>
      <c r="B91" t="s">
        <v>107</v>
      </c>
      <c r="D91">
        <v>140968</v>
      </c>
    </row>
    <row r="92" spans="1:7" hidden="1">
      <c r="A92" s="74">
        <v>46078</v>
      </c>
      <c r="B92" t="s">
        <v>107</v>
      </c>
      <c r="D92">
        <v>140754</v>
      </c>
    </row>
    <row r="93" spans="1:7" hidden="1">
      <c r="A93" s="74">
        <v>46020</v>
      </c>
      <c r="B93" t="s">
        <v>114</v>
      </c>
      <c r="D93">
        <v>80732</v>
      </c>
    </row>
    <row r="94" spans="1:7" hidden="1">
      <c r="A94" s="74">
        <v>45996</v>
      </c>
      <c r="B94" t="s">
        <v>114</v>
      </c>
      <c r="D94">
        <v>79323</v>
      </c>
    </row>
    <row r="95" spans="1:7" hidden="1">
      <c r="A95" s="74">
        <v>46003</v>
      </c>
      <c r="B95" t="s">
        <v>117</v>
      </c>
      <c r="D95">
        <v>80500</v>
      </c>
    </row>
    <row r="96" spans="1:7" hidden="1">
      <c r="A96" s="74">
        <v>46000</v>
      </c>
      <c r="B96" t="s">
        <v>117</v>
      </c>
      <c r="D96">
        <v>79675</v>
      </c>
    </row>
    <row r="97" spans="1:7" hidden="1">
      <c r="A97" s="74">
        <v>46115</v>
      </c>
      <c r="B97" t="s">
        <v>118</v>
      </c>
      <c r="C97">
        <v>7602</v>
      </c>
      <c r="D97">
        <v>193220</v>
      </c>
      <c r="E97" t="s">
        <v>62</v>
      </c>
    </row>
    <row r="98" spans="1:7" hidden="1">
      <c r="A98" s="74">
        <v>46104</v>
      </c>
      <c r="B98" t="s">
        <v>118</v>
      </c>
      <c r="C98">
        <v>7962</v>
      </c>
      <c r="D98">
        <v>195464</v>
      </c>
      <c r="E98" t="s">
        <v>33</v>
      </c>
    </row>
    <row r="99" spans="1:7" hidden="1">
      <c r="A99" s="74">
        <v>46100</v>
      </c>
      <c r="B99" t="s">
        <v>118</v>
      </c>
      <c r="C99">
        <v>7678</v>
      </c>
      <c r="D99">
        <v>195090</v>
      </c>
      <c r="E99" t="s">
        <v>33</v>
      </c>
    </row>
    <row r="100" spans="1:7" hidden="1">
      <c r="A100" s="74">
        <v>46099</v>
      </c>
      <c r="B100" t="s">
        <v>118</v>
      </c>
      <c r="C100">
        <v>7674</v>
      </c>
      <c r="D100">
        <v>195002</v>
      </c>
      <c r="E100" t="s">
        <v>33</v>
      </c>
    </row>
    <row r="101" spans="1:7" hidden="1">
      <c r="A101" s="74">
        <v>46050</v>
      </c>
      <c r="B101" t="s">
        <v>120</v>
      </c>
      <c r="D101">
        <v>121065</v>
      </c>
    </row>
    <row r="102" spans="1:7" hidden="1">
      <c r="A102" s="74">
        <v>46037</v>
      </c>
      <c r="B102" t="s">
        <v>120</v>
      </c>
      <c r="D102">
        <v>22982</v>
      </c>
    </row>
    <row r="103" spans="1:7" hidden="1">
      <c r="A103" s="74">
        <v>46077</v>
      </c>
      <c r="B103" t="s">
        <v>122</v>
      </c>
      <c r="D103">
        <v>62298</v>
      </c>
    </row>
    <row r="104" spans="1:7" hidden="1">
      <c r="A104" s="74">
        <v>46070</v>
      </c>
      <c r="B104" t="s">
        <v>122</v>
      </c>
      <c r="D104">
        <v>61755</v>
      </c>
    </row>
    <row r="105" spans="1:7" hidden="1">
      <c r="A105" s="74">
        <v>46064</v>
      </c>
      <c r="B105" t="s">
        <v>122</v>
      </c>
      <c r="D105">
        <v>61167</v>
      </c>
    </row>
    <row r="106" spans="1:7" hidden="1">
      <c r="A106" s="74">
        <v>46062</v>
      </c>
      <c r="B106" t="s">
        <v>122</v>
      </c>
      <c r="D106">
        <v>60862</v>
      </c>
    </row>
    <row r="107" spans="1:7" hidden="1">
      <c r="A107" s="74">
        <v>46100</v>
      </c>
      <c r="B107" t="s">
        <v>126</v>
      </c>
      <c r="D107">
        <v>649418</v>
      </c>
      <c r="E107" t="s">
        <v>679</v>
      </c>
    </row>
    <row r="108" spans="1:7" hidden="1">
      <c r="A108" s="74">
        <v>46100</v>
      </c>
      <c r="B108" t="s">
        <v>126</v>
      </c>
      <c r="D108">
        <v>649418</v>
      </c>
      <c r="E108" t="s">
        <v>679</v>
      </c>
      <c r="F108" t="s">
        <v>72</v>
      </c>
      <c r="G108" t="s">
        <v>676</v>
      </c>
    </row>
    <row r="109" spans="1:7" hidden="1">
      <c r="A109" s="74">
        <v>46086</v>
      </c>
      <c r="B109" t="s">
        <v>126</v>
      </c>
      <c r="D109">
        <v>647481</v>
      </c>
    </row>
    <row r="110" spans="1:7" hidden="1">
      <c r="A110" s="74">
        <v>46085</v>
      </c>
      <c r="B110" t="s">
        <v>126</v>
      </c>
      <c r="D110">
        <v>646986</v>
      </c>
    </row>
    <row r="111" spans="1:7" hidden="1">
      <c r="A111" s="74">
        <v>46098</v>
      </c>
      <c r="B111" t="s">
        <v>128</v>
      </c>
      <c r="E111" t="s">
        <v>15</v>
      </c>
      <c r="F111" t="s">
        <v>132</v>
      </c>
      <c r="G111" t="s">
        <v>676</v>
      </c>
    </row>
    <row r="112" spans="1:7" hidden="1">
      <c r="A112" s="74">
        <v>46091</v>
      </c>
      <c r="B112" t="s">
        <v>128</v>
      </c>
      <c r="D112">
        <v>121996</v>
      </c>
    </row>
    <row r="113" spans="1:5" hidden="1">
      <c r="A113" s="74">
        <v>46087</v>
      </c>
      <c r="B113" t="s">
        <v>128</v>
      </c>
      <c r="D113">
        <v>121800</v>
      </c>
    </row>
    <row r="114" spans="1:5" hidden="1">
      <c r="A114" s="74">
        <v>46034</v>
      </c>
      <c r="B114" t="s">
        <v>128</v>
      </c>
    </row>
    <row r="115" spans="1:5" hidden="1">
      <c r="A115" s="74">
        <v>46111</v>
      </c>
      <c r="B115" t="s">
        <v>136</v>
      </c>
      <c r="D115">
        <v>298159</v>
      </c>
      <c r="E115" t="s">
        <v>33</v>
      </c>
    </row>
    <row r="116" spans="1:5" hidden="1">
      <c r="A116" s="74">
        <v>46108</v>
      </c>
      <c r="B116" t="s">
        <v>136</v>
      </c>
      <c r="D116">
        <v>297881</v>
      </c>
      <c r="E116" t="s">
        <v>50</v>
      </c>
    </row>
    <row r="117" spans="1:5" hidden="1">
      <c r="A117" s="74">
        <v>46099</v>
      </c>
      <c r="B117" t="s">
        <v>136</v>
      </c>
      <c r="D117">
        <v>296470</v>
      </c>
      <c r="E117" t="s">
        <v>50</v>
      </c>
    </row>
    <row r="118" spans="1:5" hidden="1">
      <c r="A118" s="74">
        <v>46079</v>
      </c>
      <c r="B118" t="s">
        <v>136</v>
      </c>
      <c r="D118">
        <v>293891</v>
      </c>
      <c r="E118" t="s">
        <v>37</v>
      </c>
    </row>
    <row r="119" spans="1:5" hidden="1">
      <c r="A119" s="74">
        <v>46107</v>
      </c>
      <c r="B119" t="s">
        <v>143</v>
      </c>
      <c r="D119">
        <v>805073</v>
      </c>
      <c r="E119" t="s">
        <v>33</v>
      </c>
    </row>
    <row r="120" spans="1:5" hidden="1">
      <c r="A120" s="74">
        <v>46104</v>
      </c>
      <c r="B120" t="s">
        <v>143</v>
      </c>
      <c r="D120">
        <v>804683</v>
      </c>
      <c r="E120" t="s">
        <v>33</v>
      </c>
    </row>
    <row r="121" spans="1:5" hidden="1">
      <c r="A121" s="74">
        <v>46100</v>
      </c>
      <c r="B121" t="s">
        <v>143</v>
      </c>
      <c r="D121">
        <v>804423</v>
      </c>
      <c r="E121" t="s">
        <v>33</v>
      </c>
    </row>
    <row r="122" spans="1:5" hidden="1">
      <c r="A122" s="74">
        <v>46099</v>
      </c>
      <c r="B122" t="s">
        <v>143</v>
      </c>
      <c r="D122">
        <v>804235</v>
      </c>
      <c r="E122" t="s">
        <v>33</v>
      </c>
    </row>
    <row r="123" spans="1:5" hidden="1">
      <c r="A123" s="74">
        <v>44218</v>
      </c>
      <c r="B123" t="s">
        <v>146</v>
      </c>
      <c r="D123">
        <v>169355</v>
      </c>
    </row>
    <row r="124" spans="1:5" hidden="1">
      <c r="A124" s="74">
        <v>43983</v>
      </c>
      <c r="B124" t="s">
        <v>682</v>
      </c>
      <c r="C124">
        <v>6797</v>
      </c>
      <c r="D124">
        <v>211988</v>
      </c>
    </row>
    <row r="125" spans="1:5" hidden="1">
      <c r="A125" s="74">
        <v>43900</v>
      </c>
      <c r="B125" t="s">
        <v>683</v>
      </c>
      <c r="C125">
        <v>6157</v>
      </c>
    </row>
    <row r="126" spans="1:5" hidden="1">
      <c r="A126" s="74">
        <v>44001</v>
      </c>
      <c r="B126" t="s">
        <v>684</v>
      </c>
      <c r="C126">
        <v>6579</v>
      </c>
      <c r="D126">
        <v>214768</v>
      </c>
    </row>
    <row r="127" spans="1:5" hidden="1">
      <c r="A127" s="74">
        <v>43913</v>
      </c>
      <c r="B127" t="s">
        <v>684</v>
      </c>
      <c r="C127">
        <v>6217</v>
      </c>
    </row>
    <row r="128" spans="1:5" hidden="1">
      <c r="A128" s="74">
        <v>43956</v>
      </c>
      <c r="B128" t="s">
        <v>685</v>
      </c>
      <c r="C128">
        <v>6517</v>
      </c>
    </row>
    <row r="129" spans="1:5" hidden="1">
      <c r="A129" s="74">
        <v>44596</v>
      </c>
      <c r="B129" t="s">
        <v>686</v>
      </c>
      <c r="C129">
        <v>8305</v>
      </c>
    </row>
    <row r="130" spans="1:5" hidden="1">
      <c r="A130" s="74">
        <v>43987</v>
      </c>
      <c r="B130" t="s">
        <v>686</v>
      </c>
      <c r="C130">
        <v>6274</v>
      </c>
    </row>
    <row r="131" spans="1:5" hidden="1">
      <c r="A131" s="74">
        <v>46108</v>
      </c>
      <c r="B131" t="s">
        <v>150</v>
      </c>
      <c r="C131">
        <v>481560</v>
      </c>
      <c r="E131" t="s">
        <v>15</v>
      </c>
    </row>
    <row r="132" spans="1:5" hidden="1">
      <c r="A132" s="74">
        <v>46058</v>
      </c>
      <c r="B132" t="s">
        <v>150</v>
      </c>
      <c r="D132">
        <v>261307</v>
      </c>
    </row>
    <row r="133" spans="1:5" hidden="1">
      <c r="A133" s="74">
        <v>46056</v>
      </c>
      <c r="B133" t="s">
        <v>150</v>
      </c>
      <c r="D133">
        <v>261266</v>
      </c>
    </row>
    <row r="134" spans="1:5" hidden="1">
      <c r="A134" s="74">
        <v>46052</v>
      </c>
      <c r="B134" t="s">
        <v>150</v>
      </c>
      <c r="D134">
        <v>261206</v>
      </c>
    </row>
    <row r="135" spans="1:5" hidden="1">
      <c r="A135" s="74">
        <v>46107</v>
      </c>
      <c r="B135" t="s">
        <v>152</v>
      </c>
      <c r="D135">
        <v>481018</v>
      </c>
      <c r="E135" t="s">
        <v>33</v>
      </c>
    </row>
    <row r="136" spans="1:5" hidden="1">
      <c r="A136" s="74">
        <v>46104</v>
      </c>
      <c r="B136" t="s">
        <v>152</v>
      </c>
      <c r="D136">
        <v>480980</v>
      </c>
      <c r="E136" t="s">
        <v>33</v>
      </c>
    </row>
    <row r="137" spans="1:5" hidden="1">
      <c r="A137" s="74">
        <v>46090</v>
      </c>
      <c r="B137" t="s">
        <v>152</v>
      </c>
      <c r="D137">
        <v>478563</v>
      </c>
      <c r="E137" t="s">
        <v>33</v>
      </c>
    </row>
    <row r="138" spans="1:5" hidden="1">
      <c r="A138" s="74">
        <v>46085</v>
      </c>
      <c r="B138" t="s">
        <v>152</v>
      </c>
      <c r="D138">
        <v>477620</v>
      </c>
      <c r="E138" t="s">
        <v>33</v>
      </c>
    </row>
    <row r="139" spans="1:5" hidden="1">
      <c r="A139" s="74">
        <v>46107</v>
      </c>
      <c r="B139" t="s">
        <v>156</v>
      </c>
      <c r="D139">
        <v>141119</v>
      </c>
      <c r="E139" t="s">
        <v>33</v>
      </c>
    </row>
    <row r="140" spans="1:5" hidden="1">
      <c r="A140" s="74">
        <v>46104</v>
      </c>
      <c r="B140" t="s">
        <v>156</v>
      </c>
      <c r="D140">
        <v>140936</v>
      </c>
      <c r="E140" t="s">
        <v>33</v>
      </c>
    </row>
    <row r="141" spans="1:5" hidden="1">
      <c r="A141" s="74">
        <v>46079</v>
      </c>
      <c r="B141" t="s">
        <v>156</v>
      </c>
      <c r="D141">
        <v>140245</v>
      </c>
      <c r="E141" t="s">
        <v>33</v>
      </c>
    </row>
    <row r="142" spans="1:5" hidden="1">
      <c r="A142" s="74">
        <v>46077</v>
      </c>
      <c r="B142" t="s">
        <v>156</v>
      </c>
      <c r="D142">
        <v>140128</v>
      </c>
    </row>
    <row r="143" spans="1:5" hidden="1">
      <c r="A143" s="74">
        <v>44308</v>
      </c>
      <c r="B143" t="s">
        <v>158</v>
      </c>
      <c r="C143">
        <v>7867</v>
      </c>
      <c r="D143">
        <v>112495</v>
      </c>
    </row>
    <row r="144" spans="1:5" hidden="1">
      <c r="A144" s="74">
        <v>43977</v>
      </c>
      <c r="B144" t="s">
        <v>687</v>
      </c>
      <c r="D144">
        <v>171044</v>
      </c>
    </row>
    <row r="145" spans="1:5" hidden="1">
      <c r="A145" s="74">
        <v>45005</v>
      </c>
      <c r="B145" t="s">
        <v>688</v>
      </c>
      <c r="C145">
        <v>5728</v>
      </c>
      <c r="D145">
        <v>207869</v>
      </c>
    </row>
    <row r="146" spans="1:5" hidden="1">
      <c r="A146" s="74">
        <v>46078</v>
      </c>
      <c r="B146" t="s">
        <v>689</v>
      </c>
      <c r="D146">
        <v>315180</v>
      </c>
    </row>
    <row r="147" spans="1:5" hidden="1">
      <c r="A147" s="74">
        <v>46077</v>
      </c>
      <c r="B147" t="s">
        <v>689</v>
      </c>
      <c r="D147">
        <v>314811</v>
      </c>
    </row>
    <row r="148" spans="1:5" hidden="1">
      <c r="A148" s="74">
        <v>46076</v>
      </c>
      <c r="B148" t="s">
        <v>689</v>
      </c>
      <c r="D148">
        <v>314044</v>
      </c>
    </row>
    <row r="149" spans="1:5" hidden="1">
      <c r="A149" s="74">
        <v>46072</v>
      </c>
      <c r="B149" t="s">
        <v>689</v>
      </c>
      <c r="D149">
        <v>313697</v>
      </c>
    </row>
    <row r="150" spans="1:5" hidden="1">
      <c r="A150" s="74">
        <v>45014</v>
      </c>
      <c r="B150" t="s">
        <v>690</v>
      </c>
      <c r="C150">
        <v>5680</v>
      </c>
      <c r="D150">
        <v>174589</v>
      </c>
    </row>
    <row r="151" spans="1:5" hidden="1">
      <c r="A151" s="74">
        <v>45014</v>
      </c>
      <c r="B151" t="s">
        <v>690</v>
      </c>
      <c r="C151">
        <v>5680</v>
      </c>
      <c r="D151">
        <v>174589</v>
      </c>
    </row>
    <row r="152" spans="1:5" hidden="1">
      <c r="A152" s="74">
        <v>44991</v>
      </c>
      <c r="B152" t="s">
        <v>161</v>
      </c>
      <c r="C152">
        <v>10625</v>
      </c>
      <c r="D152">
        <v>237000</v>
      </c>
    </row>
    <row r="153" spans="1:5" hidden="1">
      <c r="A153" s="74">
        <v>44398</v>
      </c>
      <c r="B153" t="s">
        <v>161</v>
      </c>
      <c r="D153">
        <v>148794</v>
      </c>
    </row>
    <row r="154" spans="1:5" hidden="1">
      <c r="A154" s="74">
        <v>44209</v>
      </c>
      <c r="B154" t="s">
        <v>161</v>
      </c>
      <c r="D154">
        <v>122456</v>
      </c>
    </row>
    <row r="155" spans="1:5" hidden="1">
      <c r="A155" s="74">
        <v>44067</v>
      </c>
      <c r="B155" t="s">
        <v>691</v>
      </c>
      <c r="C155">
        <v>3313</v>
      </c>
      <c r="D155">
        <v>155149</v>
      </c>
    </row>
    <row r="156" spans="1:5" hidden="1">
      <c r="A156" s="74">
        <v>46072</v>
      </c>
      <c r="B156" t="s">
        <v>162</v>
      </c>
      <c r="D156">
        <v>106761</v>
      </c>
      <c r="E156" t="s">
        <v>62</v>
      </c>
    </row>
    <row r="157" spans="1:5" hidden="1">
      <c r="A157" s="74">
        <v>46056</v>
      </c>
      <c r="B157" t="s">
        <v>162</v>
      </c>
      <c r="C157">
        <v>1626</v>
      </c>
    </row>
    <row r="158" spans="1:5" hidden="1">
      <c r="A158" s="74">
        <v>46006</v>
      </c>
      <c r="B158" t="s">
        <v>162</v>
      </c>
      <c r="D158">
        <v>106761</v>
      </c>
    </row>
    <row r="159" spans="1:5" hidden="1">
      <c r="A159" s="74">
        <v>45019</v>
      </c>
      <c r="B159" t="s">
        <v>162</v>
      </c>
      <c r="C159">
        <v>6418</v>
      </c>
      <c r="E159" t="s">
        <v>62</v>
      </c>
    </row>
    <row r="160" spans="1:5" hidden="1">
      <c r="A160" s="74">
        <v>46108</v>
      </c>
      <c r="B160" t="s">
        <v>166</v>
      </c>
      <c r="D160">
        <v>199190</v>
      </c>
      <c r="E160" t="s">
        <v>674</v>
      </c>
    </row>
    <row r="161" spans="1:7" hidden="1">
      <c r="A161" s="74">
        <v>46107</v>
      </c>
      <c r="B161" t="s">
        <v>166</v>
      </c>
      <c r="D161">
        <v>199097</v>
      </c>
      <c r="E161" t="s">
        <v>674</v>
      </c>
    </row>
    <row r="162" spans="1:7" hidden="1">
      <c r="A162" s="74">
        <v>46107</v>
      </c>
      <c r="B162" t="s">
        <v>166</v>
      </c>
      <c r="D162">
        <v>199097</v>
      </c>
      <c r="E162" t="s">
        <v>674</v>
      </c>
      <c r="F162" t="s">
        <v>167</v>
      </c>
      <c r="G162" t="s">
        <v>676</v>
      </c>
    </row>
    <row r="163" spans="1:7" hidden="1">
      <c r="A163" s="74">
        <v>46092</v>
      </c>
      <c r="B163" t="s">
        <v>166</v>
      </c>
      <c r="D163">
        <v>192388</v>
      </c>
      <c r="E163" t="s">
        <v>33</v>
      </c>
      <c r="F163" t="s">
        <v>692</v>
      </c>
      <c r="G163" t="s">
        <v>676</v>
      </c>
    </row>
    <row r="164" spans="1:7" hidden="1">
      <c r="A164" s="74">
        <v>46133</v>
      </c>
      <c r="B164" t="s">
        <v>168</v>
      </c>
      <c r="D164">
        <v>212042</v>
      </c>
      <c r="E164" t="s">
        <v>37</v>
      </c>
    </row>
    <row r="165" spans="1:7" hidden="1">
      <c r="A165" s="74">
        <v>46115</v>
      </c>
      <c r="B165" t="s">
        <v>168</v>
      </c>
      <c r="C165">
        <v>1990</v>
      </c>
      <c r="D165">
        <v>208014</v>
      </c>
      <c r="E165" t="s">
        <v>62</v>
      </c>
    </row>
    <row r="166" spans="1:7" hidden="1">
      <c r="A166" s="74">
        <v>46112</v>
      </c>
      <c r="B166" t="s">
        <v>168</v>
      </c>
      <c r="C166">
        <v>2125</v>
      </c>
      <c r="D166">
        <v>219496</v>
      </c>
      <c r="E166" t="s">
        <v>62</v>
      </c>
    </row>
    <row r="167" spans="1:7" hidden="1">
      <c r="A167" s="74">
        <v>46100</v>
      </c>
      <c r="B167" t="s">
        <v>168</v>
      </c>
      <c r="C167">
        <v>2072</v>
      </c>
      <c r="D167">
        <v>209627</v>
      </c>
      <c r="E167" t="s">
        <v>62</v>
      </c>
    </row>
    <row r="168" spans="1:7" hidden="1">
      <c r="A168" s="74">
        <v>46107</v>
      </c>
      <c r="B168" t="s">
        <v>170</v>
      </c>
      <c r="C168">
        <v>8634</v>
      </c>
      <c r="D168">
        <v>166100</v>
      </c>
      <c r="E168" t="s">
        <v>33</v>
      </c>
    </row>
    <row r="169" spans="1:7" hidden="1">
      <c r="A169" s="74">
        <v>46106</v>
      </c>
      <c r="B169" t="s">
        <v>170</v>
      </c>
      <c r="C169">
        <v>8625</v>
      </c>
      <c r="D169">
        <v>165946</v>
      </c>
      <c r="E169" t="s">
        <v>33</v>
      </c>
    </row>
    <row r="170" spans="1:7" hidden="1">
      <c r="A170" s="74">
        <v>46100</v>
      </c>
      <c r="B170" t="s">
        <v>170</v>
      </c>
      <c r="C170">
        <v>8612</v>
      </c>
      <c r="D170">
        <v>165673</v>
      </c>
      <c r="E170" t="s">
        <v>33</v>
      </c>
    </row>
    <row r="171" spans="1:7" hidden="1">
      <c r="A171" s="74">
        <v>46099</v>
      </c>
      <c r="B171" t="s">
        <v>170</v>
      </c>
      <c r="C171">
        <v>8606</v>
      </c>
      <c r="D171">
        <v>165567</v>
      </c>
      <c r="E171" t="s">
        <v>33</v>
      </c>
    </row>
    <row r="172" spans="1:7" hidden="1">
      <c r="A172" s="74">
        <v>46114</v>
      </c>
      <c r="B172" t="s">
        <v>172</v>
      </c>
      <c r="D172">
        <v>212344</v>
      </c>
      <c r="E172" t="s">
        <v>674</v>
      </c>
    </row>
    <row r="173" spans="1:7" hidden="1">
      <c r="A173" s="74">
        <v>46112</v>
      </c>
      <c r="B173" t="s">
        <v>172</v>
      </c>
      <c r="D173">
        <v>211790</v>
      </c>
      <c r="E173" t="s">
        <v>674</v>
      </c>
    </row>
    <row r="174" spans="1:7" hidden="1">
      <c r="A174" s="74">
        <v>46106</v>
      </c>
      <c r="B174" t="s">
        <v>172</v>
      </c>
      <c r="D174">
        <v>210873</v>
      </c>
      <c r="E174" t="s">
        <v>674</v>
      </c>
    </row>
    <row r="175" spans="1:7" hidden="1">
      <c r="A175" s="74">
        <v>46106</v>
      </c>
      <c r="B175" t="s">
        <v>172</v>
      </c>
      <c r="E175" t="s">
        <v>674</v>
      </c>
      <c r="F175" t="s">
        <v>693</v>
      </c>
      <c r="G175" t="s">
        <v>676</v>
      </c>
    </row>
    <row r="176" spans="1:7" hidden="1">
      <c r="A176" s="74">
        <v>46085</v>
      </c>
      <c r="B176" t="s">
        <v>174</v>
      </c>
    </row>
    <row r="177" spans="1:5" hidden="1">
      <c r="A177" s="74">
        <v>46078</v>
      </c>
      <c r="B177" t="s">
        <v>174</v>
      </c>
      <c r="D177">
        <v>193551</v>
      </c>
    </row>
    <row r="178" spans="1:5" hidden="1">
      <c r="A178" s="74">
        <v>46059</v>
      </c>
      <c r="B178" t="s">
        <v>174</v>
      </c>
      <c r="C178">
        <v>8719</v>
      </c>
      <c r="D178">
        <v>193520</v>
      </c>
    </row>
    <row r="179" spans="1:5" hidden="1">
      <c r="A179" s="74">
        <v>46051</v>
      </c>
      <c r="B179" t="s">
        <v>174</v>
      </c>
      <c r="D179">
        <v>193247</v>
      </c>
    </row>
    <row r="180" spans="1:5" hidden="1">
      <c r="A180" s="74">
        <v>46056</v>
      </c>
      <c r="B180" t="s">
        <v>175</v>
      </c>
      <c r="D180">
        <v>87289</v>
      </c>
    </row>
    <row r="181" spans="1:5" hidden="1">
      <c r="A181" s="74">
        <v>46107</v>
      </c>
      <c r="B181" t="s">
        <v>179</v>
      </c>
      <c r="C181">
        <v>8894</v>
      </c>
      <c r="D181">
        <v>167802</v>
      </c>
      <c r="E181" t="s">
        <v>33</v>
      </c>
    </row>
    <row r="182" spans="1:5" hidden="1">
      <c r="A182" s="74">
        <v>46105</v>
      </c>
      <c r="B182" t="s">
        <v>179</v>
      </c>
      <c r="C182">
        <v>8877</v>
      </c>
      <c r="D182">
        <v>167522</v>
      </c>
      <c r="E182" t="s">
        <v>33</v>
      </c>
    </row>
    <row r="183" spans="1:5" hidden="1">
      <c r="A183" s="74">
        <v>46100</v>
      </c>
      <c r="B183" t="s">
        <v>179</v>
      </c>
      <c r="C183">
        <v>8864</v>
      </c>
      <c r="D183">
        <v>167286</v>
      </c>
      <c r="E183" t="s">
        <v>33</v>
      </c>
    </row>
    <row r="184" spans="1:5" hidden="1">
      <c r="A184" s="74">
        <v>46099</v>
      </c>
      <c r="B184" t="s">
        <v>179</v>
      </c>
      <c r="C184">
        <v>8850</v>
      </c>
      <c r="D184">
        <v>167002</v>
      </c>
      <c r="E184" t="s">
        <v>33</v>
      </c>
    </row>
    <row r="185" spans="1:5" hidden="1">
      <c r="A185" s="74">
        <v>46065</v>
      </c>
      <c r="B185" t="s">
        <v>182</v>
      </c>
      <c r="E185" t="s">
        <v>33</v>
      </c>
    </row>
    <row r="186" spans="1:5" hidden="1">
      <c r="A186" s="74">
        <v>46063</v>
      </c>
      <c r="B186" t="s">
        <v>182</v>
      </c>
      <c r="C186">
        <v>3148</v>
      </c>
      <c r="D186">
        <v>571151</v>
      </c>
    </row>
    <row r="187" spans="1:5" hidden="1">
      <c r="A187" s="74">
        <v>46058</v>
      </c>
      <c r="B187" t="s">
        <v>182</v>
      </c>
      <c r="C187">
        <v>3273</v>
      </c>
      <c r="D187">
        <v>570280</v>
      </c>
    </row>
    <row r="188" spans="1:5" hidden="1">
      <c r="A188" s="74">
        <v>46052</v>
      </c>
      <c r="B188" t="s">
        <v>182</v>
      </c>
      <c r="C188">
        <v>3122</v>
      </c>
      <c r="D188">
        <v>569319</v>
      </c>
    </row>
    <row r="189" spans="1:5" hidden="1">
      <c r="A189" s="74">
        <v>46080</v>
      </c>
      <c r="B189" t="s">
        <v>184</v>
      </c>
      <c r="D189">
        <v>534934</v>
      </c>
    </row>
    <row r="190" spans="1:5" hidden="1">
      <c r="A190" s="74">
        <v>46053</v>
      </c>
      <c r="B190" t="s">
        <v>184</v>
      </c>
      <c r="D190">
        <v>534403</v>
      </c>
    </row>
    <row r="191" spans="1:5" hidden="1">
      <c r="A191" s="74">
        <v>46051</v>
      </c>
      <c r="B191" t="s">
        <v>184</v>
      </c>
      <c r="D191">
        <v>433790</v>
      </c>
    </row>
    <row r="192" spans="1:5" hidden="1">
      <c r="A192" s="74">
        <v>46048</v>
      </c>
      <c r="B192" t="s">
        <v>184</v>
      </c>
      <c r="D192">
        <v>533309</v>
      </c>
    </row>
    <row r="193" spans="1:7" hidden="1">
      <c r="A193" s="74">
        <v>46114</v>
      </c>
      <c r="B193" t="s">
        <v>187</v>
      </c>
      <c r="D193">
        <v>342905</v>
      </c>
      <c r="E193" t="s">
        <v>674</v>
      </c>
    </row>
    <row r="194" spans="1:7" hidden="1">
      <c r="A194" s="74">
        <v>46111</v>
      </c>
      <c r="B194" t="s">
        <v>187</v>
      </c>
      <c r="D194">
        <v>342589</v>
      </c>
      <c r="E194" t="s">
        <v>674</v>
      </c>
    </row>
    <row r="195" spans="1:7" hidden="1">
      <c r="A195" s="74">
        <v>46107</v>
      </c>
      <c r="B195" t="s">
        <v>187</v>
      </c>
      <c r="D195">
        <v>342347</v>
      </c>
      <c r="E195" t="s">
        <v>674</v>
      </c>
    </row>
    <row r="196" spans="1:7" hidden="1">
      <c r="A196" s="74">
        <v>46107</v>
      </c>
      <c r="B196" t="s">
        <v>187</v>
      </c>
      <c r="D196">
        <v>342347</v>
      </c>
      <c r="E196" t="s">
        <v>674</v>
      </c>
      <c r="F196" t="s">
        <v>189</v>
      </c>
      <c r="G196" t="s">
        <v>676</v>
      </c>
    </row>
    <row r="197" spans="1:7" hidden="1">
      <c r="A197" s="74">
        <v>46092</v>
      </c>
      <c r="B197" t="s">
        <v>190</v>
      </c>
      <c r="D197">
        <v>132950</v>
      </c>
      <c r="E197" t="s">
        <v>33</v>
      </c>
      <c r="F197" t="s">
        <v>191</v>
      </c>
      <c r="G197" t="s">
        <v>676</v>
      </c>
    </row>
    <row r="198" spans="1:7" hidden="1">
      <c r="A198" s="74">
        <v>46078</v>
      </c>
      <c r="B198" t="s">
        <v>190</v>
      </c>
      <c r="D198">
        <v>132835</v>
      </c>
    </row>
    <row r="199" spans="1:7" hidden="1">
      <c r="A199" s="74">
        <v>46063</v>
      </c>
      <c r="B199" t="s">
        <v>190</v>
      </c>
      <c r="D199">
        <v>132655</v>
      </c>
    </row>
    <row r="200" spans="1:7" hidden="1">
      <c r="A200" s="74">
        <v>46052</v>
      </c>
      <c r="B200" t="s">
        <v>190</v>
      </c>
      <c r="D200">
        <v>132557</v>
      </c>
    </row>
    <row r="201" spans="1:7" hidden="1">
      <c r="A201" s="74">
        <v>46062</v>
      </c>
      <c r="B201" t="s">
        <v>694</v>
      </c>
      <c r="C201">
        <v>422</v>
      </c>
    </row>
    <row r="202" spans="1:7" hidden="1">
      <c r="A202" s="74">
        <v>46104</v>
      </c>
      <c r="B202" t="s">
        <v>195</v>
      </c>
      <c r="D202">
        <v>352</v>
      </c>
      <c r="E202" t="s">
        <v>15</v>
      </c>
    </row>
    <row r="203" spans="1:7" hidden="1">
      <c r="A203" s="74">
        <v>46001</v>
      </c>
      <c r="B203" t="s">
        <v>195</v>
      </c>
      <c r="C203">
        <v>609</v>
      </c>
    </row>
    <row r="204" spans="1:7" hidden="1">
      <c r="A204" s="74">
        <v>46101</v>
      </c>
      <c r="B204" t="s">
        <v>201</v>
      </c>
      <c r="C204">
        <v>604</v>
      </c>
      <c r="E204" t="s">
        <v>205</v>
      </c>
    </row>
    <row r="205" spans="1:7" hidden="1">
      <c r="A205" s="74">
        <v>46087</v>
      </c>
      <c r="B205" t="s">
        <v>201</v>
      </c>
      <c r="C205">
        <v>589</v>
      </c>
      <c r="E205" t="s">
        <v>62</v>
      </c>
    </row>
    <row r="206" spans="1:7" hidden="1">
      <c r="A206" s="74">
        <v>46045</v>
      </c>
      <c r="B206" t="s">
        <v>201</v>
      </c>
      <c r="C206">
        <v>691</v>
      </c>
      <c r="E206" t="s">
        <v>62</v>
      </c>
    </row>
    <row r="207" spans="1:7" hidden="1">
      <c r="A207" s="74">
        <v>46028</v>
      </c>
      <c r="B207" t="s">
        <v>201</v>
      </c>
      <c r="C207">
        <v>381</v>
      </c>
      <c r="E207" t="s">
        <v>62</v>
      </c>
    </row>
    <row r="208" spans="1:7" hidden="1">
      <c r="A208" s="74">
        <v>45009</v>
      </c>
      <c r="B208" t="s">
        <v>695</v>
      </c>
      <c r="C208">
        <v>1173</v>
      </c>
    </row>
    <row r="209" spans="1:5" hidden="1">
      <c r="A209" s="74">
        <v>46106</v>
      </c>
      <c r="B209" t="s">
        <v>207</v>
      </c>
      <c r="C209">
        <v>1537</v>
      </c>
      <c r="E209" t="s">
        <v>33</v>
      </c>
    </row>
    <row r="210" spans="1:5" hidden="1">
      <c r="A210" s="74">
        <v>46079</v>
      </c>
      <c r="B210" t="s">
        <v>207</v>
      </c>
      <c r="C210">
        <v>1323</v>
      </c>
    </row>
    <row r="211" spans="1:5" hidden="1">
      <c r="A211" s="74">
        <v>46050</v>
      </c>
      <c r="B211" t="s">
        <v>207</v>
      </c>
      <c r="C211">
        <v>1509</v>
      </c>
    </row>
    <row r="212" spans="1:5" hidden="1">
      <c r="A212" s="74">
        <v>46048</v>
      </c>
      <c r="B212" t="s">
        <v>207</v>
      </c>
      <c r="D212">
        <v>58585</v>
      </c>
    </row>
    <row r="213" spans="1:5" hidden="1">
      <c r="A213" s="74">
        <v>46104</v>
      </c>
      <c r="B213" t="s">
        <v>210</v>
      </c>
      <c r="D213">
        <v>2555</v>
      </c>
      <c r="E213" t="s">
        <v>15</v>
      </c>
    </row>
    <row r="214" spans="1:5" hidden="1">
      <c r="A214" s="74">
        <v>46098</v>
      </c>
      <c r="B214" t="s">
        <v>210</v>
      </c>
      <c r="C214">
        <v>31</v>
      </c>
      <c r="E214" t="s">
        <v>62</v>
      </c>
    </row>
    <row r="215" spans="1:5" hidden="1">
      <c r="A215" s="74">
        <v>46086</v>
      </c>
      <c r="B215" t="s">
        <v>210</v>
      </c>
    </row>
    <row r="216" spans="1:5" hidden="1">
      <c r="A216" s="74">
        <v>46079</v>
      </c>
      <c r="B216" t="s">
        <v>210</v>
      </c>
      <c r="C216">
        <v>208</v>
      </c>
    </row>
    <row r="217" spans="1:5" hidden="1">
      <c r="A217" s="74">
        <v>46079</v>
      </c>
      <c r="B217" t="s">
        <v>665</v>
      </c>
      <c r="C217">
        <v>785</v>
      </c>
    </row>
    <row r="218" spans="1:5" hidden="1">
      <c r="A218" s="74">
        <v>46066</v>
      </c>
      <c r="B218" t="s">
        <v>665</v>
      </c>
      <c r="C218">
        <v>744</v>
      </c>
    </row>
    <row r="219" spans="1:5" hidden="1">
      <c r="A219" s="74">
        <v>46064</v>
      </c>
      <c r="B219" t="s">
        <v>665</v>
      </c>
      <c r="C219">
        <v>733</v>
      </c>
    </row>
    <row r="220" spans="1:5" hidden="1">
      <c r="A220" s="74">
        <v>46057</v>
      </c>
      <c r="B220" t="s">
        <v>665</v>
      </c>
      <c r="C220">
        <v>716</v>
      </c>
    </row>
    <row r="221" spans="1:5" hidden="1">
      <c r="A221" s="74">
        <v>46100</v>
      </c>
      <c r="B221" t="s">
        <v>696</v>
      </c>
      <c r="C221">
        <v>15747</v>
      </c>
      <c r="E221" t="s">
        <v>23</v>
      </c>
    </row>
    <row r="222" spans="1:5" hidden="1">
      <c r="A222" s="74">
        <v>46107</v>
      </c>
      <c r="B222" t="s">
        <v>234</v>
      </c>
      <c r="C222">
        <v>2050</v>
      </c>
      <c r="E222" t="s">
        <v>33</v>
      </c>
    </row>
    <row r="223" spans="1:5" hidden="1">
      <c r="A223" s="74">
        <v>46105</v>
      </c>
      <c r="B223" t="s">
        <v>234</v>
      </c>
      <c r="C223">
        <v>2037</v>
      </c>
      <c r="E223" t="s">
        <v>33</v>
      </c>
    </row>
    <row r="224" spans="1:5" hidden="1">
      <c r="A224" s="74">
        <v>46101</v>
      </c>
      <c r="B224" t="s">
        <v>234</v>
      </c>
      <c r="C224">
        <v>2030</v>
      </c>
      <c r="E224" t="s">
        <v>33</v>
      </c>
    </row>
    <row r="225" spans="1:5" hidden="1">
      <c r="A225" s="74">
        <v>46099</v>
      </c>
      <c r="B225" t="s">
        <v>234</v>
      </c>
      <c r="C225">
        <v>2018</v>
      </c>
      <c r="E225" t="s">
        <v>33</v>
      </c>
    </row>
    <row r="226" spans="1:5" hidden="1">
      <c r="A226" s="74">
        <v>46100</v>
      </c>
      <c r="B226" t="s">
        <v>244</v>
      </c>
      <c r="C226">
        <v>5170</v>
      </c>
      <c r="E226" t="s">
        <v>62</v>
      </c>
    </row>
    <row r="227" spans="1:5" hidden="1">
      <c r="A227" s="74">
        <v>46079</v>
      </c>
      <c r="B227" t="s">
        <v>244</v>
      </c>
      <c r="C227">
        <v>5141</v>
      </c>
    </row>
    <row r="228" spans="1:5" hidden="1">
      <c r="A228" s="74">
        <v>46077</v>
      </c>
      <c r="B228" t="s">
        <v>244</v>
      </c>
      <c r="C228">
        <v>5737</v>
      </c>
    </row>
    <row r="229" spans="1:5" hidden="1">
      <c r="A229" s="74">
        <v>46071</v>
      </c>
      <c r="B229" t="s">
        <v>244</v>
      </c>
      <c r="C229">
        <v>512195</v>
      </c>
    </row>
    <row r="230" spans="1:5" hidden="1">
      <c r="A230" s="74">
        <v>46107</v>
      </c>
      <c r="B230" t="s">
        <v>248</v>
      </c>
      <c r="C230">
        <v>6556</v>
      </c>
      <c r="E230" t="s">
        <v>33</v>
      </c>
    </row>
    <row r="231" spans="1:5" hidden="1">
      <c r="A231" s="74">
        <v>46105</v>
      </c>
      <c r="B231" t="s">
        <v>248</v>
      </c>
      <c r="C231">
        <v>6543</v>
      </c>
      <c r="E231" t="s">
        <v>33</v>
      </c>
    </row>
    <row r="232" spans="1:5" hidden="1">
      <c r="A232" s="74">
        <v>46101</v>
      </c>
      <c r="B232" t="s">
        <v>248</v>
      </c>
      <c r="C232">
        <v>6535</v>
      </c>
      <c r="E232" t="s">
        <v>33</v>
      </c>
    </row>
    <row r="233" spans="1:5" hidden="1">
      <c r="A233" s="74">
        <v>46099</v>
      </c>
      <c r="B233" t="s">
        <v>248</v>
      </c>
      <c r="C233">
        <v>16523</v>
      </c>
      <c r="E233" t="s">
        <v>33</v>
      </c>
    </row>
    <row r="234" spans="1:5" hidden="1">
      <c r="A234" s="74">
        <v>46029</v>
      </c>
      <c r="B234" t="s">
        <v>250</v>
      </c>
      <c r="C234">
        <v>3727</v>
      </c>
    </row>
    <row r="235" spans="1:5" hidden="1">
      <c r="A235" s="74">
        <v>46020</v>
      </c>
      <c r="B235" t="s">
        <v>250</v>
      </c>
      <c r="C235">
        <v>3741</v>
      </c>
    </row>
    <row r="236" spans="1:5" hidden="1">
      <c r="A236" s="74">
        <v>46008</v>
      </c>
      <c r="B236" t="s">
        <v>250</v>
      </c>
      <c r="C236">
        <v>3964</v>
      </c>
    </row>
    <row r="237" spans="1:5" hidden="1">
      <c r="A237" s="74">
        <v>46001</v>
      </c>
      <c r="B237" t="s">
        <v>250</v>
      </c>
      <c r="C237">
        <v>3723</v>
      </c>
    </row>
    <row r="238" spans="1:5" hidden="1">
      <c r="A238" s="74">
        <v>46107</v>
      </c>
      <c r="B238" t="s">
        <v>252</v>
      </c>
      <c r="C238">
        <v>4916</v>
      </c>
      <c r="E238" t="s">
        <v>33</v>
      </c>
    </row>
    <row r="239" spans="1:5" hidden="1">
      <c r="A239" s="74">
        <v>46105</v>
      </c>
      <c r="B239" t="s">
        <v>252</v>
      </c>
      <c r="C239">
        <v>4903</v>
      </c>
      <c r="E239" t="s">
        <v>33</v>
      </c>
    </row>
    <row r="240" spans="1:5" hidden="1">
      <c r="A240" s="74">
        <v>46101</v>
      </c>
      <c r="B240" t="s">
        <v>252</v>
      </c>
      <c r="C240">
        <v>4896</v>
      </c>
      <c r="E240" t="s">
        <v>33</v>
      </c>
    </row>
    <row r="241" spans="1:5" hidden="1">
      <c r="A241" s="74">
        <v>46099</v>
      </c>
      <c r="B241" t="s">
        <v>252</v>
      </c>
      <c r="C241">
        <v>4884</v>
      </c>
      <c r="E241" t="s">
        <v>33</v>
      </c>
    </row>
    <row r="242" spans="1:5" hidden="1">
      <c r="A242" s="74">
        <v>46135</v>
      </c>
      <c r="B242" t="s">
        <v>258</v>
      </c>
      <c r="C242">
        <v>15846</v>
      </c>
      <c r="E242" t="s">
        <v>673</v>
      </c>
    </row>
    <row r="243" spans="1:5" hidden="1">
      <c r="A243" s="74">
        <v>46115</v>
      </c>
      <c r="B243" t="s">
        <v>258</v>
      </c>
      <c r="C243">
        <v>15686</v>
      </c>
      <c r="E243" t="s">
        <v>62</v>
      </c>
    </row>
    <row r="244" spans="1:5" hidden="1">
      <c r="A244" s="74">
        <v>46112</v>
      </c>
      <c r="B244" t="s">
        <v>258</v>
      </c>
      <c r="C244" s="49">
        <v>15801</v>
      </c>
      <c r="E244" t="s">
        <v>62</v>
      </c>
    </row>
    <row r="245" spans="1:5" hidden="1">
      <c r="A245" s="74">
        <v>46099</v>
      </c>
      <c r="B245" t="s">
        <v>258</v>
      </c>
      <c r="C245">
        <v>15747</v>
      </c>
      <c r="E245" t="s">
        <v>62</v>
      </c>
    </row>
    <row r="246" spans="1:5" hidden="1">
      <c r="A246" s="74">
        <v>46135</v>
      </c>
      <c r="B246" t="s">
        <v>262</v>
      </c>
      <c r="C246">
        <v>3006</v>
      </c>
      <c r="E246" t="s">
        <v>697</v>
      </c>
    </row>
    <row r="247" spans="1:5" hidden="1">
      <c r="A247" s="74">
        <v>46115</v>
      </c>
      <c r="B247" t="s">
        <v>262</v>
      </c>
      <c r="C247">
        <v>2727</v>
      </c>
      <c r="E247" t="s">
        <v>62</v>
      </c>
    </row>
    <row r="248" spans="1:5" hidden="1">
      <c r="A248" s="74">
        <v>46101</v>
      </c>
      <c r="B248" t="s">
        <v>262</v>
      </c>
      <c r="C248">
        <v>2830</v>
      </c>
      <c r="E248" t="s">
        <v>62</v>
      </c>
    </row>
    <row r="249" spans="1:5" hidden="1">
      <c r="A249" s="74">
        <v>46100</v>
      </c>
      <c r="B249" t="s">
        <v>262</v>
      </c>
      <c r="C249">
        <v>2838</v>
      </c>
      <c r="E249" t="s">
        <v>23</v>
      </c>
    </row>
    <row r="250" spans="1:5" hidden="1">
      <c r="A250" s="74">
        <v>46107</v>
      </c>
      <c r="B250" t="s">
        <v>267</v>
      </c>
      <c r="C250">
        <v>10057</v>
      </c>
      <c r="E250" t="s">
        <v>33</v>
      </c>
    </row>
    <row r="251" spans="1:5" hidden="1">
      <c r="A251" s="74">
        <v>46105</v>
      </c>
      <c r="B251" t="s">
        <v>267</v>
      </c>
      <c r="C251">
        <v>10045</v>
      </c>
      <c r="E251" t="s">
        <v>33</v>
      </c>
    </row>
    <row r="252" spans="1:5" hidden="1">
      <c r="A252" s="74">
        <v>46101</v>
      </c>
      <c r="B252" t="s">
        <v>267</v>
      </c>
      <c r="C252">
        <v>10034</v>
      </c>
      <c r="E252" t="s">
        <v>33</v>
      </c>
    </row>
    <row r="253" spans="1:5" hidden="1">
      <c r="A253" s="74">
        <v>46099</v>
      </c>
      <c r="B253" t="s">
        <v>267</v>
      </c>
      <c r="C253">
        <v>10025</v>
      </c>
      <c r="E253" t="s">
        <v>33</v>
      </c>
    </row>
    <row r="254" spans="1:5" hidden="1">
      <c r="A254" s="74">
        <v>46111</v>
      </c>
      <c r="B254" t="s">
        <v>272</v>
      </c>
      <c r="C254">
        <v>5690</v>
      </c>
      <c r="E254" t="s">
        <v>50</v>
      </c>
    </row>
    <row r="255" spans="1:5" hidden="1">
      <c r="A255" s="74">
        <v>46108</v>
      </c>
      <c r="B255" t="s">
        <v>272</v>
      </c>
      <c r="C255">
        <v>5686</v>
      </c>
      <c r="E255" t="s">
        <v>50</v>
      </c>
    </row>
    <row r="256" spans="1:5" hidden="1">
      <c r="A256" s="74">
        <v>46101</v>
      </c>
      <c r="B256" t="s">
        <v>272</v>
      </c>
      <c r="C256">
        <v>5658</v>
      </c>
      <c r="E256" t="s">
        <v>50</v>
      </c>
    </row>
    <row r="257" spans="1:7" hidden="1">
      <c r="A257" s="74">
        <v>46099</v>
      </c>
      <c r="B257" t="s">
        <v>272</v>
      </c>
      <c r="C257">
        <v>5651</v>
      </c>
      <c r="E257" t="s">
        <v>50</v>
      </c>
    </row>
    <row r="258" spans="1:7" hidden="1">
      <c r="A258" s="74">
        <v>46098</v>
      </c>
      <c r="B258" t="s">
        <v>277</v>
      </c>
      <c r="D258">
        <v>4226</v>
      </c>
      <c r="E258" t="s">
        <v>62</v>
      </c>
    </row>
    <row r="259" spans="1:7" hidden="1">
      <c r="A259" s="74">
        <v>46080</v>
      </c>
      <c r="B259" t="s">
        <v>277</v>
      </c>
      <c r="C259">
        <v>4168</v>
      </c>
      <c r="E259" t="s">
        <v>50</v>
      </c>
    </row>
    <row r="260" spans="1:7" hidden="1">
      <c r="A260" s="74">
        <v>46078</v>
      </c>
      <c r="B260" t="s">
        <v>277</v>
      </c>
      <c r="C260">
        <v>4156</v>
      </c>
    </row>
    <row r="261" spans="1:7" hidden="1">
      <c r="A261" s="74">
        <v>46076</v>
      </c>
      <c r="B261" t="s">
        <v>277</v>
      </c>
      <c r="C261">
        <v>4148</v>
      </c>
    </row>
    <row r="262" spans="1:7" hidden="1">
      <c r="A262" s="74">
        <v>46099</v>
      </c>
      <c r="B262" t="s">
        <v>280</v>
      </c>
      <c r="C262">
        <v>1474</v>
      </c>
      <c r="E262" t="s">
        <v>515</v>
      </c>
    </row>
    <row r="263" spans="1:7" hidden="1">
      <c r="A263" s="74">
        <v>46099</v>
      </c>
      <c r="B263" t="s">
        <v>280</v>
      </c>
      <c r="C263">
        <v>1474</v>
      </c>
      <c r="E263" t="s">
        <v>515</v>
      </c>
      <c r="F263" t="s">
        <v>698</v>
      </c>
      <c r="G263" t="s">
        <v>676</v>
      </c>
    </row>
    <row r="264" spans="1:7" hidden="1">
      <c r="A264" s="74">
        <v>46094</v>
      </c>
      <c r="B264" t="s">
        <v>280</v>
      </c>
      <c r="C264">
        <v>1472</v>
      </c>
      <c r="E264" t="s">
        <v>515</v>
      </c>
      <c r="F264" t="s">
        <v>698</v>
      </c>
      <c r="G264" t="s">
        <v>676</v>
      </c>
    </row>
    <row r="265" spans="1:7" hidden="1">
      <c r="A265" s="74">
        <v>46094</v>
      </c>
      <c r="B265" t="s">
        <v>280</v>
      </c>
      <c r="C265">
        <v>1472</v>
      </c>
      <c r="E265" t="s">
        <v>515</v>
      </c>
    </row>
    <row r="266" spans="1:7" hidden="1">
      <c r="A266" s="74">
        <v>46029</v>
      </c>
      <c r="B266" t="s">
        <v>282</v>
      </c>
      <c r="C266">
        <v>771</v>
      </c>
    </row>
    <row r="267" spans="1:7" hidden="1">
      <c r="A267" s="74">
        <v>46028</v>
      </c>
      <c r="B267" t="s">
        <v>282</v>
      </c>
      <c r="C267">
        <v>761</v>
      </c>
    </row>
    <row r="268" spans="1:7" hidden="1">
      <c r="A268" s="74">
        <v>46020</v>
      </c>
      <c r="B268" t="s">
        <v>282</v>
      </c>
      <c r="C268">
        <v>761</v>
      </c>
    </row>
    <row r="269" spans="1:7" hidden="1">
      <c r="A269" s="74">
        <v>46015</v>
      </c>
      <c r="B269" t="s">
        <v>282</v>
      </c>
      <c r="C269">
        <v>760</v>
      </c>
    </row>
    <row r="270" spans="1:7" hidden="1">
      <c r="A270" s="74">
        <v>46135</v>
      </c>
      <c r="B270" t="s">
        <v>292</v>
      </c>
      <c r="C270">
        <v>1743</v>
      </c>
      <c r="E270" t="s">
        <v>23</v>
      </c>
    </row>
    <row r="271" spans="1:7" hidden="1">
      <c r="A271" s="74">
        <v>46115</v>
      </c>
      <c r="B271" t="s">
        <v>292</v>
      </c>
      <c r="C271">
        <v>1457</v>
      </c>
      <c r="E271" t="s">
        <v>62</v>
      </c>
    </row>
    <row r="272" spans="1:7" hidden="1">
      <c r="A272" s="74">
        <v>46112</v>
      </c>
      <c r="B272" t="s">
        <v>292</v>
      </c>
      <c r="C272">
        <v>1637</v>
      </c>
      <c r="E272" t="s">
        <v>62</v>
      </c>
    </row>
    <row r="273" spans="1:7" hidden="1">
      <c r="A273" s="74">
        <v>46106</v>
      </c>
      <c r="B273" t="s">
        <v>292</v>
      </c>
      <c r="C273">
        <v>1592</v>
      </c>
      <c r="E273" t="s">
        <v>15</v>
      </c>
    </row>
    <row r="274" spans="1:7" hidden="1">
      <c r="A274" s="74">
        <v>46099</v>
      </c>
      <c r="B274" t="s">
        <v>295</v>
      </c>
      <c r="C274">
        <v>5326</v>
      </c>
      <c r="E274" t="s">
        <v>15</v>
      </c>
    </row>
    <row r="275" spans="1:7" hidden="1">
      <c r="A275" s="74">
        <v>46099</v>
      </c>
      <c r="B275" t="s">
        <v>295</v>
      </c>
      <c r="E275" t="s">
        <v>15</v>
      </c>
      <c r="F275" t="s">
        <v>699</v>
      </c>
      <c r="G275" t="s">
        <v>676</v>
      </c>
    </row>
    <row r="276" spans="1:7" hidden="1">
      <c r="A276" s="74">
        <v>46098</v>
      </c>
      <c r="B276" t="s">
        <v>295</v>
      </c>
      <c r="C276">
        <v>1896</v>
      </c>
      <c r="E276" t="s">
        <v>62</v>
      </c>
    </row>
    <row r="277" spans="1:7" hidden="1">
      <c r="A277" s="74">
        <v>46078</v>
      </c>
      <c r="B277" t="s">
        <v>295</v>
      </c>
      <c r="C277">
        <v>1882</v>
      </c>
    </row>
    <row r="278" spans="1:7" hidden="1">
      <c r="A278" s="74">
        <v>46092</v>
      </c>
      <c r="B278" t="s">
        <v>300</v>
      </c>
      <c r="C278">
        <v>8958</v>
      </c>
      <c r="E278" t="s">
        <v>33</v>
      </c>
      <c r="F278" t="s">
        <v>700</v>
      </c>
      <c r="G278" t="s">
        <v>676</v>
      </c>
    </row>
    <row r="279" spans="1:7" hidden="1">
      <c r="A279" s="74">
        <v>46083</v>
      </c>
      <c r="B279" t="s">
        <v>300</v>
      </c>
      <c r="C279">
        <v>8919</v>
      </c>
    </row>
    <row r="280" spans="1:7" hidden="1">
      <c r="A280" s="74">
        <v>46101</v>
      </c>
      <c r="B280" t="s">
        <v>304</v>
      </c>
      <c r="C280">
        <v>8701</v>
      </c>
      <c r="E280" t="s">
        <v>62</v>
      </c>
    </row>
    <row r="281" spans="1:7" hidden="1">
      <c r="A281" s="74">
        <v>46098</v>
      </c>
      <c r="B281" t="s">
        <v>304</v>
      </c>
      <c r="C281">
        <v>8683</v>
      </c>
      <c r="E281" t="s">
        <v>62</v>
      </c>
    </row>
    <row r="282" spans="1:7" hidden="1">
      <c r="A282" s="74">
        <v>46080</v>
      </c>
      <c r="B282" t="s">
        <v>304</v>
      </c>
      <c r="C282">
        <v>8620</v>
      </c>
    </row>
    <row r="283" spans="1:7" hidden="1">
      <c r="A283" s="74">
        <v>46078</v>
      </c>
      <c r="B283" t="s">
        <v>304</v>
      </c>
      <c r="C283">
        <v>8607</v>
      </c>
    </row>
    <row r="284" spans="1:7" hidden="1">
      <c r="A284" s="74">
        <v>46108</v>
      </c>
      <c r="B284" t="s">
        <v>306</v>
      </c>
      <c r="C284">
        <v>14614</v>
      </c>
      <c r="E284" t="s">
        <v>15</v>
      </c>
    </row>
    <row r="285" spans="1:7" hidden="1">
      <c r="A285" s="74">
        <v>46106</v>
      </c>
      <c r="B285" t="s">
        <v>306</v>
      </c>
      <c r="C285">
        <v>14530</v>
      </c>
      <c r="E285" t="s">
        <v>15</v>
      </c>
    </row>
    <row r="286" spans="1:7" hidden="1">
      <c r="A286" s="74">
        <v>46111</v>
      </c>
      <c r="B286" t="s">
        <v>310</v>
      </c>
      <c r="C286">
        <v>17019</v>
      </c>
      <c r="E286" t="s">
        <v>50</v>
      </c>
    </row>
    <row r="287" spans="1:7" hidden="1">
      <c r="A287" s="74">
        <v>46099</v>
      </c>
      <c r="B287" t="s">
        <v>310</v>
      </c>
      <c r="C287">
        <v>16984</v>
      </c>
      <c r="E287" t="s">
        <v>50</v>
      </c>
    </row>
    <row r="288" spans="1:7" hidden="1">
      <c r="A288" s="74">
        <v>46098</v>
      </c>
      <c r="B288" t="s">
        <v>310</v>
      </c>
      <c r="C288">
        <v>16977</v>
      </c>
      <c r="E288" t="s">
        <v>50</v>
      </c>
    </row>
    <row r="289" spans="1:7" hidden="1">
      <c r="A289" s="74">
        <v>46076</v>
      </c>
      <c r="B289" t="s">
        <v>310</v>
      </c>
      <c r="C289">
        <v>16911</v>
      </c>
    </row>
    <row r="290" spans="1:7" hidden="1">
      <c r="A290" s="74">
        <v>46139</v>
      </c>
      <c r="B290" t="s">
        <v>312</v>
      </c>
      <c r="C290">
        <v>21474</v>
      </c>
      <c r="E290" t="s">
        <v>701</v>
      </c>
    </row>
    <row r="291" spans="1:7" hidden="1">
      <c r="A291" s="74">
        <v>46106</v>
      </c>
      <c r="B291" t="s">
        <v>312</v>
      </c>
      <c r="C291">
        <v>21437</v>
      </c>
      <c r="E291" t="s">
        <v>315</v>
      </c>
      <c r="F291" t="s">
        <v>316</v>
      </c>
      <c r="G291" t="s">
        <v>676</v>
      </c>
    </row>
    <row r="292" spans="1:7" hidden="1">
      <c r="A292" s="74">
        <v>46104</v>
      </c>
      <c r="B292" t="s">
        <v>312</v>
      </c>
      <c r="C292">
        <v>21430</v>
      </c>
      <c r="E292" t="s">
        <v>701</v>
      </c>
    </row>
    <row r="293" spans="1:7" hidden="1">
      <c r="A293" s="74">
        <v>46100</v>
      </c>
      <c r="B293" t="s">
        <v>312</v>
      </c>
      <c r="C293">
        <v>21428</v>
      </c>
      <c r="E293" t="s">
        <v>315</v>
      </c>
      <c r="F293" t="s">
        <v>316</v>
      </c>
      <c r="G293" t="s">
        <v>676</v>
      </c>
    </row>
    <row r="294" spans="1:7" hidden="1">
      <c r="A294" s="74">
        <v>45061</v>
      </c>
      <c r="B294" t="s">
        <v>317</v>
      </c>
      <c r="C294">
        <v>10128</v>
      </c>
    </row>
    <row r="295" spans="1:7" hidden="1">
      <c r="A295" s="74">
        <v>44309</v>
      </c>
      <c r="B295" t="s">
        <v>702</v>
      </c>
      <c r="C295">
        <v>11587</v>
      </c>
    </row>
    <row r="296" spans="1:7" hidden="1">
      <c r="A296" s="74">
        <v>46079</v>
      </c>
      <c r="B296" t="s">
        <v>321</v>
      </c>
      <c r="C296">
        <v>27779</v>
      </c>
    </row>
    <row r="297" spans="1:7" hidden="1">
      <c r="A297" s="74">
        <v>46077</v>
      </c>
      <c r="B297" t="s">
        <v>321</v>
      </c>
      <c r="C297">
        <v>27767</v>
      </c>
    </row>
    <row r="298" spans="1:7" hidden="1">
      <c r="A298" s="74">
        <v>46073</v>
      </c>
      <c r="B298" t="s">
        <v>321</v>
      </c>
      <c r="C298">
        <v>27759</v>
      </c>
    </row>
    <row r="299" spans="1:7" hidden="1">
      <c r="A299" s="74">
        <v>46071</v>
      </c>
      <c r="B299" t="s">
        <v>321</v>
      </c>
      <c r="C299">
        <v>27747</v>
      </c>
    </row>
    <row r="300" spans="1:7" hidden="1">
      <c r="A300" s="74">
        <v>46108</v>
      </c>
      <c r="B300" t="s">
        <v>323</v>
      </c>
      <c r="C300">
        <v>14098</v>
      </c>
      <c r="E300" t="s">
        <v>326</v>
      </c>
    </row>
    <row r="301" spans="1:7" hidden="1">
      <c r="A301" s="74">
        <v>45189</v>
      </c>
      <c r="B301" t="s">
        <v>327</v>
      </c>
      <c r="C301">
        <v>7947</v>
      </c>
    </row>
    <row r="302" spans="1:7" hidden="1">
      <c r="A302" s="74">
        <v>46108</v>
      </c>
      <c r="B302" t="s">
        <v>329</v>
      </c>
      <c r="C302">
        <v>9000.5</v>
      </c>
      <c r="E302" t="s">
        <v>326</v>
      </c>
    </row>
    <row r="303" spans="1:7" hidden="1">
      <c r="A303" s="74">
        <v>46044</v>
      </c>
      <c r="B303" t="s">
        <v>329</v>
      </c>
      <c r="C303">
        <v>6835</v>
      </c>
    </row>
    <row r="304" spans="1:7" hidden="1">
      <c r="A304" s="74">
        <v>46038</v>
      </c>
      <c r="B304" t="s">
        <v>329</v>
      </c>
      <c r="C304">
        <v>8929</v>
      </c>
    </row>
    <row r="305" spans="1:7" hidden="1">
      <c r="A305" s="74">
        <v>46031</v>
      </c>
      <c r="B305" t="s">
        <v>329</v>
      </c>
      <c r="C305">
        <v>8923</v>
      </c>
    </row>
    <row r="306" spans="1:7" hidden="1">
      <c r="A306" s="74">
        <v>44426</v>
      </c>
      <c r="B306" t="s">
        <v>703</v>
      </c>
      <c r="C306">
        <v>2655</v>
      </c>
    </row>
    <row r="307" spans="1:7" hidden="1">
      <c r="A307" s="74">
        <v>46107</v>
      </c>
      <c r="B307" t="s">
        <v>332</v>
      </c>
      <c r="C307">
        <v>7073</v>
      </c>
      <c r="E307" t="s">
        <v>33</v>
      </c>
    </row>
    <row r="308" spans="1:7" hidden="1">
      <c r="A308" s="74">
        <v>46097</v>
      </c>
      <c r="B308" t="s">
        <v>332</v>
      </c>
      <c r="C308">
        <v>7060</v>
      </c>
      <c r="E308" t="s">
        <v>33</v>
      </c>
      <c r="F308" t="s">
        <v>704</v>
      </c>
      <c r="G308" t="s">
        <v>676</v>
      </c>
    </row>
    <row r="309" spans="1:7" hidden="1">
      <c r="A309" s="74">
        <v>46092</v>
      </c>
      <c r="B309" t="s">
        <v>332</v>
      </c>
      <c r="C309">
        <v>7049</v>
      </c>
      <c r="E309" t="s">
        <v>33</v>
      </c>
      <c r="F309" t="s">
        <v>704</v>
      </c>
      <c r="G309" t="s">
        <v>676</v>
      </c>
    </row>
    <row r="310" spans="1:7" hidden="1">
      <c r="A310" s="74">
        <v>46078</v>
      </c>
      <c r="B310" t="s">
        <v>332</v>
      </c>
      <c r="C310">
        <v>7036</v>
      </c>
    </row>
    <row r="311" spans="1:7" hidden="1">
      <c r="A311" s="74">
        <v>46107</v>
      </c>
      <c r="B311" t="s">
        <v>337</v>
      </c>
      <c r="C311">
        <v>26059</v>
      </c>
      <c r="E311" t="s">
        <v>33</v>
      </c>
    </row>
    <row r="312" spans="1:7" hidden="1">
      <c r="A312" s="74">
        <v>46106</v>
      </c>
      <c r="B312" t="s">
        <v>337</v>
      </c>
      <c r="C312">
        <v>26049</v>
      </c>
      <c r="E312" t="s">
        <v>33</v>
      </c>
    </row>
    <row r="313" spans="1:7" hidden="1">
      <c r="A313" s="74">
        <v>46105</v>
      </c>
      <c r="B313" t="s">
        <v>337</v>
      </c>
      <c r="C313">
        <v>26043</v>
      </c>
      <c r="E313" t="s">
        <v>33</v>
      </c>
    </row>
    <row r="314" spans="1:7" hidden="1">
      <c r="A314" s="74">
        <v>46104</v>
      </c>
      <c r="B314" t="s">
        <v>337</v>
      </c>
      <c r="C314">
        <v>26036</v>
      </c>
      <c r="E314" t="s">
        <v>33</v>
      </c>
    </row>
    <row r="315" spans="1:7" hidden="1">
      <c r="A315" s="74">
        <v>46079</v>
      </c>
      <c r="B315" t="s">
        <v>340</v>
      </c>
      <c r="C315">
        <v>11880</v>
      </c>
    </row>
    <row r="316" spans="1:7" hidden="1">
      <c r="A316" s="74">
        <v>46076</v>
      </c>
      <c r="B316" t="s">
        <v>340</v>
      </c>
      <c r="C316">
        <v>11867</v>
      </c>
    </row>
    <row r="317" spans="1:7" hidden="1">
      <c r="A317" s="74">
        <v>46072</v>
      </c>
      <c r="B317" t="s">
        <v>340</v>
      </c>
      <c r="C317">
        <v>11863</v>
      </c>
    </row>
    <row r="318" spans="1:7" hidden="1">
      <c r="A318" s="74">
        <v>46070</v>
      </c>
      <c r="B318" t="s">
        <v>340</v>
      </c>
      <c r="C318">
        <v>11866</v>
      </c>
    </row>
    <row r="319" spans="1:7" hidden="1">
      <c r="A319" s="74">
        <v>46104</v>
      </c>
      <c r="B319" t="s">
        <v>345</v>
      </c>
      <c r="C319">
        <v>1965</v>
      </c>
      <c r="E319" t="s">
        <v>15</v>
      </c>
    </row>
    <row r="320" spans="1:7" hidden="1">
      <c r="A320" s="74">
        <v>46101</v>
      </c>
      <c r="B320" t="s">
        <v>345</v>
      </c>
      <c r="E320" t="s">
        <v>205</v>
      </c>
    </row>
    <row r="321" spans="1:7" hidden="1">
      <c r="A321" s="74">
        <v>46087</v>
      </c>
      <c r="B321" t="s">
        <v>345</v>
      </c>
      <c r="C321">
        <v>1932</v>
      </c>
    </row>
    <row r="322" spans="1:7" hidden="1">
      <c r="A322" s="74">
        <v>46085</v>
      </c>
      <c r="B322" t="s">
        <v>345</v>
      </c>
      <c r="C322">
        <v>1929</v>
      </c>
    </row>
    <row r="323" spans="1:7" hidden="1">
      <c r="A323" s="74">
        <v>46094</v>
      </c>
      <c r="B323" t="s">
        <v>351</v>
      </c>
      <c r="C323">
        <v>8627</v>
      </c>
      <c r="E323" t="s">
        <v>315</v>
      </c>
      <c r="F323" t="s">
        <v>705</v>
      </c>
      <c r="G323" t="s">
        <v>676</v>
      </c>
    </row>
    <row r="324" spans="1:7" hidden="1">
      <c r="A324" s="74">
        <v>45152</v>
      </c>
      <c r="B324" t="s">
        <v>351</v>
      </c>
      <c r="C324">
        <v>8411</v>
      </c>
    </row>
    <row r="325" spans="1:7" hidden="1">
      <c r="A325" s="74">
        <v>44995</v>
      </c>
      <c r="B325" t="s">
        <v>351</v>
      </c>
      <c r="C325">
        <v>8368</v>
      </c>
    </row>
    <row r="326" spans="1:7" hidden="1">
      <c r="A326" s="74">
        <v>46101</v>
      </c>
      <c r="B326" t="s">
        <v>358</v>
      </c>
      <c r="E326" t="s">
        <v>205</v>
      </c>
    </row>
    <row r="327" spans="1:7" hidden="1">
      <c r="A327" s="74">
        <v>46087</v>
      </c>
      <c r="B327" t="s">
        <v>358</v>
      </c>
      <c r="C327">
        <v>8282</v>
      </c>
    </row>
    <row r="328" spans="1:7" hidden="1">
      <c r="A328" s="74">
        <v>46064</v>
      </c>
      <c r="B328" t="s">
        <v>358</v>
      </c>
      <c r="C328">
        <v>8263</v>
      </c>
    </row>
    <row r="329" spans="1:7" hidden="1">
      <c r="A329" s="74">
        <v>46009</v>
      </c>
      <c r="B329" t="s">
        <v>358</v>
      </c>
      <c r="C329">
        <v>8239.6</v>
      </c>
    </row>
    <row r="330" spans="1:7" hidden="1">
      <c r="A330" s="74">
        <v>46136</v>
      </c>
      <c r="B330" t="s">
        <v>359</v>
      </c>
      <c r="C330">
        <v>7120</v>
      </c>
      <c r="E330" t="s">
        <v>706</v>
      </c>
    </row>
    <row r="331" spans="1:7" hidden="1">
      <c r="A331" s="74">
        <v>46105</v>
      </c>
      <c r="B331" t="s">
        <v>359</v>
      </c>
      <c r="C331">
        <v>7054</v>
      </c>
      <c r="E331" t="s">
        <v>33</v>
      </c>
    </row>
    <row r="332" spans="1:7" hidden="1">
      <c r="A332" s="74">
        <v>46101</v>
      </c>
      <c r="B332" t="s">
        <v>359</v>
      </c>
      <c r="C332">
        <v>7046</v>
      </c>
      <c r="E332" t="s">
        <v>33</v>
      </c>
    </row>
    <row r="333" spans="1:7" hidden="1">
      <c r="A333" s="74">
        <v>46107</v>
      </c>
      <c r="B333" t="s">
        <v>361</v>
      </c>
      <c r="C333">
        <v>15666</v>
      </c>
      <c r="E333" t="s">
        <v>33</v>
      </c>
    </row>
    <row r="334" spans="1:7" hidden="1">
      <c r="A334" s="74">
        <v>46105</v>
      </c>
      <c r="B334" t="s">
        <v>361</v>
      </c>
      <c r="C334">
        <v>15652</v>
      </c>
      <c r="E334" t="s">
        <v>33</v>
      </c>
    </row>
    <row r="335" spans="1:7" hidden="1">
      <c r="A335" s="74">
        <v>46101</v>
      </c>
      <c r="B335" t="s">
        <v>361</v>
      </c>
      <c r="C335">
        <v>15644</v>
      </c>
      <c r="E335" t="s">
        <v>33</v>
      </c>
    </row>
    <row r="336" spans="1:7" hidden="1">
      <c r="A336" s="74">
        <v>46099</v>
      </c>
      <c r="B336" t="s">
        <v>361</v>
      </c>
      <c r="C336">
        <v>15634</v>
      </c>
      <c r="E336" t="s">
        <v>33</v>
      </c>
    </row>
    <row r="337" spans="1:7" hidden="1">
      <c r="A337" s="74">
        <v>46107</v>
      </c>
      <c r="B337" t="s">
        <v>363</v>
      </c>
      <c r="C337">
        <v>6537</v>
      </c>
      <c r="E337" t="s">
        <v>674</v>
      </c>
    </row>
    <row r="338" spans="1:7" hidden="1">
      <c r="A338" s="74">
        <v>46107</v>
      </c>
      <c r="B338" t="s">
        <v>363</v>
      </c>
      <c r="E338" t="s">
        <v>674</v>
      </c>
      <c r="F338" t="s">
        <v>707</v>
      </c>
      <c r="G338" t="s">
        <v>676</v>
      </c>
    </row>
    <row r="339" spans="1:7" hidden="1">
      <c r="A339" s="74">
        <v>46100</v>
      </c>
      <c r="B339" t="s">
        <v>363</v>
      </c>
      <c r="C339">
        <v>13660</v>
      </c>
      <c r="E339" t="s">
        <v>674</v>
      </c>
    </row>
    <row r="340" spans="1:7" hidden="1">
      <c r="A340" s="74">
        <v>46100</v>
      </c>
      <c r="B340" t="s">
        <v>363</v>
      </c>
      <c r="C340">
        <v>13660</v>
      </c>
      <c r="E340" t="s">
        <v>674</v>
      </c>
      <c r="F340" t="s">
        <v>708</v>
      </c>
      <c r="G340" t="s">
        <v>676</v>
      </c>
    </row>
    <row r="341" spans="1:7" hidden="1">
      <c r="A341" s="74">
        <v>44385</v>
      </c>
      <c r="B341" t="s">
        <v>709</v>
      </c>
      <c r="C341">
        <v>16489</v>
      </c>
    </row>
    <row r="342" spans="1:7" hidden="1">
      <c r="A342" s="74">
        <v>46107</v>
      </c>
      <c r="B342" t="s">
        <v>369</v>
      </c>
      <c r="C342">
        <v>16889</v>
      </c>
      <c r="E342" t="s">
        <v>33</v>
      </c>
    </row>
    <row r="343" spans="1:7" hidden="1">
      <c r="A343" s="74">
        <v>46099</v>
      </c>
      <c r="B343" t="s">
        <v>369</v>
      </c>
      <c r="C343">
        <v>16871</v>
      </c>
      <c r="E343" t="s">
        <v>33</v>
      </c>
    </row>
    <row r="344" spans="1:7" hidden="1">
      <c r="A344" s="74">
        <v>46072</v>
      </c>
      <c r="B344" t="s">
        <v>369</v>
      </c>
      <c r="C344">
        <v>16815</v>
      </c>
    </row>
    <row r="345" spans="1:7" hidden="1">
      <c r="A345" s="74">
        <v>46029</v>
      </c>
      <c r="B345" t="s">
        <v>369</v>
      </c>
      <c r="C345">
        <v>16778</v>
      </c>
    </row>
    <row r="346" spans="1:7" hidden="1">
      <c r="A346" s="74">
        <v>46111</v>
      </c>
      <c r="B346" t="s">
        <v>371</v>
      </c>
      <c r="C346">
        <v>4871</v>
      </c>
      <c r="E346" t="s">
        <v>674</v>
      </c>
    </row>
    <row r="347" spans="1:7" hidden="1">
      <c r="A347" s="74">
        <v>46107</v>
      </c>
      <c r="B347" t="s">
        <v>371</v>
      </c>
      <c r="C347">
        <v>4861</v>
      </c>
      <c r="E347" t="s">
        <v>674</v>
      </c>
    </row>
    <row r="348" spans="1:7" hidden="1">
      <c r="A348" s="74">
        <v>46107</v>
      </c>
      <c r="B348" t="s">
        <v>371</v>
      </c>
      <c r="C348">
        <v>4861</v>
      </c>
      <c r="E348" t="s">
        <v>674</v>
      </c>
      <c r="F348" t="s">
        <v>710</v>
      </c>
      <c r="G348" t="s">
        <v>676</v>
      </c>
    </row>
    <row r="349" spans="1:7" hidden="1">
      <c r="A349" s="74">
        <v>44343</v>
      </c>
      <c r="B349" t="s">
        <v>711</v>
      </c>
      <c r="C349">
        <v>12060</v>
      </c>
    </row>
    <row r="350" spans="1:7" hidden="1">
      <c r="A350" s="74">
        <v>46084</v>
      </c>
      <c r="B350" t="s">
        <v>378</v>
      </c>
      <c r="C350">
        <v>5671</v>
      </c>
    </row>
    <row r="351" spans="1:7" hidden="1">
      <c r="A351" s="74">
        <v>45040</v>
      </c>
      <c r="B351" t="s">
        <v>378</v>
      </c>
      <c r="C351">
        <v>4000</v>
      </c>
    </row>
    <row r="352" spans="1:7" hidden="1">
      <c r="A352" s="74">
        <v>46107</v>
      </c>
      <c r="B352" t="s">
        <v>381</v>
      </c>
      <c r="C352">
        <v>3774</v>
      </c>
      <c r="E352" t="s">
        <v>33</v>
      </c>
    </row>
    <row r="353" spans="1:7" hidden="1">
      <c r="A353" s="74">
        <v>46105</v>
      </c>
      <c r="B353" t="s">
        <v>381</v>
      </c>
      <c r="C353">
        <v>3763</v>
      </c>
      <c r="E353" t="s">
        <v>33</v>
      </c>
    </row>
    <row r="354" spans="1:7" hidden="1">
      <c r="A354" s="74">
        <v>46099</v>
      </c>
      <c r="B354" t="s">
        <v>381</v>
      </c>
      <c r="C354">
        <v>3745</v>
      </c>
      <c r="E354" t="s">
        <v>33</v>
      </c>
    </row>
    <row r="355" spans="1:7" hidden="1">
      <c r="A355" s="74">
        <v>46083</v>
      </c>
      <c r="B355" t="s">
        <v>381</v>
      </c>
      <c r="C355">
        <v>3724</v>
      </c>
      <c r="E355" t="s">
        <v>33</v>
      </c>
    </row>
    <row r="356" spans="1:7" hidden="1">
      <c r="A356" s="74">
        <v>46129</v>
      </c>
      <c r="B356" t="s">
        <v>383</v>
      </c>
      <c r="C356">
        <v>3578</v>
      </c>
      <c r="E356" t="s">
        <v>15</v>
      </c>
    </row>
    <row r="357" spans="1:7" hidden="1">
      <c r="A357" s="74">
        <v>46112</v>
      </c>
      <c r="B357" t="s">
        <v>383</v>
      </c>
      <c r="C357">
        <v>3558</v>
      </c>
      <c r="E357" t="s">
        <v>15</v>
      </c>
    </row>
    <row r="358" spans="1:7" hidden="1">
      <c r="A358" s="74">
        <v>46101</v>
      </c>
      <c r="B358" t="s">
        <v>383</v>
      </c>
      <c r="C358">
        <v>3545</v>
      </c>
      <c r="E358" t="s">
        <v>205</v>
      </c>
    </row>
    <row r="359" spans="1:7" hidden="1">
      <c r="A359" s="74">
        <v>46099</v>
      </c>
      <c r="B359" t="s">
        <v>383</v>
      </c>
      <c r="C359">
        <v>3544</v>
      </c>
    </row>
    <row r="360" spans="1:7" hidden="1">
      <c r="A360" s="74">
        <v>46094</v>
      </c>
      <c r="B360" t="s">
        <v>386</v>
      </c>
      <c r="C360">
        <v>13040</v>
      </c>
      <c r="E360" t="s">
        <v>515</v>
      </c>
    </row>
    <row r="361" spans="1:7" hidden="1">
      <c r="A361" s="74">
        <v>46093</v>
      </c>
      <c r="B361" t="s">
        <v>386</v>
      </c>
      <c r="C361">
        <v>13039</v>
      </c>
      <c r="E361" t="s">
        <v>515</v>
      </c>
      <c r="F361" t="s">
        <v>712</v>
      </c>
      <c r="G361" t="s">
        <v>676</v>
      </c>
    </row>
    <row r="362" spans="1:7" hidden="1">
      <c r="A362" s="74">
        <v>46093</v>
      </c>
      <c r="B362" t="s">
        <v>386</v>
      </c>
      <c r="C362">
        <v>13039</v>
      </c>
      <c r="E362" t="s">
        <v>515</v>
      </c>
    </row>
    <row r="363" spans="1:7" hidden="1">
      <c r="A363" s="74">
        <v>46087</v>
      </c>
      <c r="B363" t="s">
        <v>386</v>
      </c>
      <c r="C363">
        <v>13034</v>
      </c>
    </row>
    <row r="364" spans="1:7" hidden="1">
      <c r="A364" s="74">
        <v>46027</v>
      </c>
      <c r="B364" t="s">
        <v>387</v>
      </c>
      <c r="C364">
        <v>5937</v>
      </c>
    </row>
    <row r="365" spans="1:7" hidden="1">
      <c r="A365" s="74">
        <v>46042</v>
      </c>
      <c r="B365" t="s">
        <v>389</v>
      </c>
      <c r="C365">
        <v>7950</v>
      </c>
    </row>
    <row r="366" spans="1:7" hidden="1">
      <c r="A366" s="74">
        <v>45021</v>
      </c>
      <c r="B366" t="s">
        <v>389</v>
      </c>
      <c r="C366">
        <v>6823</v>
      </c>
    </row>
    <row r="367" spans="1:7" hidden="1">
      <c r="A367" s="74">
        <v>44505</v>
      </c>
      <c r="B367" t="s">
        <v>389</v>
      </c>
      <c r="C367">
        <v>5757</v>
      </c>
    </row>
    <row r="368" spans="1:7" hidden="1">
      <c r="A368" s="74">
        <v>46114</v>
      </c>
      <c r="B368" t="s">
        <v>390</v>
      </c>
      <c r="C368">
        <v>17345</v>
      </c>
      <c r="E368" t="s">
        <v>674</v>
      </c>
    </row>
    <row r="369" spans="1:7" hidden="1">
      <c r="A369" s="74">
        <v>46108</v>
      </c>
      <c r="B369" t="s">
        <v>390</v>
      </c>
      <c r="C369">
        <v>17337</v>
      </c>
      <c r="E369" t="s">
        <v>674</v>
      </c>
    </row>
    <row r="370" spans="1:7" hidden="1">
      <c r="A370" s="74">
        <v>46105</v>
      </c>
      <c r="B370" t="s">
        <v>390</v>
      </c>
      <c r="C370">
        <v>17322</v>
      </c>
      <c r="E370" t="s">
        <v>674</v>
      </c>
    </row>
    <row r="371" spans="1:7" hidden="1">
      <c r="A371" s="74">
        <v>46101</v>
      </c>
      <c r="B371" t="s">
        <v>390</v>
      </c>
      <c r="C371">
        <v>17312</v>
      </c>
      <c r="E371" t="s">
        <v>674</v>
      </c>
    </row>
    <row r="372" spans="1:7" hidden="1">
      <c r="A372" s="74">
        <v>45996</v>
      </c>
      <c r="B372" t="s">
        <v>393</v>
      </c>
      <c r="D372">
        <v>227056</v>
      </c>
    </row>
    <row r="373" spans="1:7" hidden="1">
      <c r="A373" s="74">
        <v>45085</v>
      </c>
      <c r="B373" t="s">
        <v>393</v>
      </c>
      <c r="C373">
        <v>9276</v>
      </c>
    </row>
    <row r="374" spans="1:7" hidden="1">
      <c r="A374" s="74">
        <v>46139</v>
      </c>
      <c r="B374" t="s">
        <v>395</v>
      </c>
      <c r="C374">
        <v>169</v>
      </c>
      <c r="E374" t="s">
        <v>713</v>
      </c>
    </row>
    <row r="375" spans="1:7" hidden="1">
      <c r="A375" s="74">
        <v>46113</v>
      </c>
      <c r="B375" t="s">
        <v>395</v>
      </c>
      <c r="C375">
        <v>91</v>
      </c>
      <c r="E375" t="s">
        <v>674</v>
      </c>
    </row>
    <row r="376" spans="1:7" hidden="1">
      <c r="A376" s="74">
        <v>46111</v>
      </c>
      <c r="B376" t="s">
        <v>395</v>
      </c>
      <c r="C376">
        <v>75</v>
      </c>
      <c r="E376" t="s">
        <v>674</v>
      </c>
    </row>
    <row r="377" spans="1:7" hidden="1">
      <c r="A377" s="74">
        <v>46107</v>
      </c>
      <c r="B377" t="s">
        <v>395</v>
      </c>
      <c r="E377" t="s">
        <v>674</v>
      </c>
      <c r="F377" t="s">
        <v>397</v>
      </c>
      <c r="G377" t="s">
        <v>676</v>
      </c>
    </row>
    <row r="378" spans="1:7" hidden="1">
      <c r="A378" s="74">
        <v>46107</v>
      </c>
      <c r="B378" t="s">
        <v>398</v>
      </c>
      <c r="C378">
        <v>8660</v>
      </c>
      <c r="E378" t="s">
        <v>33</v>
      </c>
    </row>
    <row r="379" spans="1:7" hidden="1">
      <c r="A379" s="74">
        <v>46105</v>
      </c>
      <c r="B379" t="s">
        <v>398</v>
      </c>
      <c r="C379">
        <v>8647</v>
      </c>
      <c r="E379" t="s">
        <v>33</v>
      </c>
    </row>
    <row r="380" spans="1:7" hidden="1">
      <c r="A380" s="74">
        <v>46104</v>
      </c>
      <c r="B380" t="s">
        <v>398</v>
      </c>
      <c r="C380">
        <v>8642</v>
      </c>
      <c r="E380" t="s">
        <v>33</v>
      </c>
    </row>
    <row r="381" spans="1:7" hidden="1">
      <c r="A381" s="74">
        <v>46100</v>
      </c>
      <c r="B381" t="s">
        <v>398</v>
      </c>
      <c r="C381">
        <v>8632</v>
      </c>
      <c r="E381" t="s">
        <v>33</v>
      </c>
    </row>
    <row r="382" spans="1:7" hidden="1">
      <c r="A382" s="74">
        <v>46111</v>
      </c>
      <c r="B382" t="s">
        <v>407</v>
      </c>
      <c r="C382">
        <v>12802</v>
      </c>
      <c r="E382" t="s">
        <v>50</v>
      </c>
    </row>
    <row r="383" spans="1:7" hidden="1">
      <c r="A383" s="74">
        <v>46108</v>
      </c>
      <c r="B383" t="s">
        <v>407</v>
      </c>
      <c r="C383">
        <v>12798</v>
      </c>
      <c r="E383" t="s">
        <v>50</v>
      </c>
    </row>
    <row r="384" spans="1:7" hidden="1">
      <c r="A384" s="74">
        <v>46099</v>
      </c>
      <c r="B384" t="s">
        <v>407</v>
      </c>
      <c r="C384">
        <v>12760</v>
      </c>
      <c r="E384" t="s">
        <v>50</v>
      </c>
    </row>
    <row r="385" spans="1:5" hidden="1">
      <c r="A385" s="74">
        <v>46098</v>
      </c>
      <c r="B385" t="s">
        <v>407</v>
      </c>
      <c r="C385">
        <v>12756</v>
      </c>
      <c r="E385" t="s">
        <v>50</v>
      </c>
    </row>
    <row r="386" spans="1:5" hidden="1">
      <c r="A386" s="74">
        <v>46107</v>
      </c>
      <c r="B386" t="s">
        <v>410</v>
      </c>
      <c r="C386">
        <v>4470</v>
      </c>
      <c r="E386" t="s">
        <v>33</v>
      </c>
    </row>
    <row r="387" spans="1:5" hidden="1">
      <c r="A387" s="74">
        <v>46105</v>
      </c>
      <c r="B387" t="s">
        <v>410</v>
      </c>
      <c r="C387">
        <v>4459</v>
      </c>
      <c r="E387" t="s">
        <v>33</v>
      </c>
    </row>
    <row r="388" spans="1:5" hidden="1">
      <c r="A388" s="74">
        <v>46101</v>
      </c>
      <c r="B388" t="s">
        <v>410</v>
      </c>
      <c r="C388">
        <v>4450</v>
      </c>
      <c r="E388" t="s">
        <v>33</v>
      </c>
    </row>
    <row r="389" spans="1:5" hidden="1">
      <c r="A389" s="74">
        <v>46099</v>
      </c>
      <c r="B389" t="s">
        <v>410</v>
      </c>
      <c r="C389">
        <v>4441</v>
      </c>
      <c r="E389" t="s">
        <v>33</v>
      </c>
    </row>
    <row r="390" spans="1:5" hidden="1">
      <c r="A390" s="74">
        <v>46106</v>
      </c>
      <c r="B390" t="s">
        <v>416</v>
      </c>
      <c r="C390">
        <v>10358</v>
      </c>
      <c r="E390" t="s">
        <v>33</v>
      </c>
    </row>
    <row r="391" spans="1:5" hidden="1">
      <c r="A391" s="74">
        <v>46105</v>
      </c>
      <c r="B391" t="s">
        <v>416</v>
      </c>
      <c r="C391">
        <v>10350</v>
      </c>
      <c r="E391" t="s">
        <v>33</v>
      </c>
    </row>
    <row r="392" spans="1:5" hidden="1">
      <c r="A392" s="74">
        <v>46104</v>
      </c>
      <c r="B392" t="s">
        <v>416</v>
      </c>
      <c r="C392">
        <v>10342</v>
      </c>
      <c r="E392" t="s">
        <v>33</v>
      </c>
    </row>
    <row r="393" spans="1:5" hidden="1">
      <c r="A393" s="74">
        <v>46101</v>
      </c>
      <c r="B393" t="s">
        <v>416</v>
      </c>
      <c r="C393">
        <v>10339</v>
      </c>
      <c r="E393" t="s">
        <v>33</v>
      </c>
    </row>
    <row r="394" spans="1:5" hidden="1">
      <c r="A394" s="74">
        <v>46135</v>
      </c>
      <c r="B394" t="s">
        <v>419</v>
      </c>
      <c r="C394">
        <v>8457</v>
      </c>
      <c r="E394" t="s">
        <v>673</v>
      </c>
    </row>
    <row r="395" spans="1:5" hidden="1">
      <c r="A395" s="74">
        <v>46115</v>
      </c>
      <c r="B395" t="s">
        <v>419</v>
      </c>
      <c r="C395">
        <v>8264</v>
      </c>
      <c r="E395" t="s">
        <v>62</v>
      </c>
    </row>
    <row r="396" spans="1:5" hidden="1">
      <c r="A396" s="74">
        <v>46112</v>
      </c>
      <c r="B396" t="s">
        <v>419</v>
      </c>
      <c r="C396">
        <v>8376</v>
      </c>
      <c r="E396" t="s">
        <v>62</v>
      </c>
    </row>
    <row r="397" spans="1:5" hidden="1">
      <c r="A397" s="74">
        <v>46100</v>
      </c>
      <c r="B397" t="s">
        <v>419</v>
      </c>
      <c r="C397">
        <v>8326</v>
      </c>
      <c r="E397" t="s">
        <v>23</v>
      </c>
    </row>
    <row r="398" spans="1:5" hidden="1">
      <c r="A398" s="74">
        <v>46098</v>
      </c>
      <c r="B398" t="s">
        <v>422</v>
      </c>
      <c r="C398">
        <v>5695</v>
      </c>
      <c r="E398" t="s">
        <v>62</v>
      </c>
    </row>
    <row r="399" spans="1:5" hidden="1">
      <c r="A399" s="74">
        <v>46076</v>
      </c>
      <c r="B399" t="s">
        <v>422</v>
      </c>
      <c r="C399">
        <v>5633</v>
      </c>
      <c r="E399" t="s">
        <v>50</v>
      </c>
    </row>
    <row r="400" spans="1:5" hidden="1">
      <c r="A400" s="74">
        <v>46072</v>
      </c>
      <c r="B400" t="s">
        <v>422</v>
      </c>
      <c r="C400">
        <v>5621</v>
      </c>
    </row>
    <row r="401" spans="1:7" hidden="1">
      <c r="A401" s="74">
        <v>46070</v>
      </c>
      <c r="B401" t="s">
        <v>422</v>
      </c>
      <c r="C401">
        <v>5609</v>
      </c>
    </row>
    <row r="402" spans="1:7" hidden="1">
      <c r="A402" s="74">
        <v>46129</v>
      </c>
      <c r="B402" t="s">
        <v>426</v>
      </c>
      <c r="C402">
        <v>589</v>
      </c>
      <c r="E402" t="s">
        <v>15</v>
      </c>
    </row>
    <row r="403" spans="1:7" hidden="1">
      <c r="A403" s="74">
        <v>46112</v>
      </c>
      <c r="B403" t="s">
        <v>426</v>
      </c>
      <c r="C403">
        <v>580</v>
      </c>
      <c r="E403" t="s">
        <v>15</v>
      </c>
    </row>
    <row r="404" spans="1:7" hidden="1">
      <c r="A404" s="74">
        <v>46106</v>
      </c>
      <c r="B404" t="s">
        <v>426</v>
      </c>
      <c r="C404">
        <v>568</v>
      </c>
      <c r="E404" t="s">
        <v>15</v>
      </c>
    </row>
    <row r="405" spans="1:7" hidden="1">
      <c r="A405" s="74">
        <v>46101</v>
      </c>
      <c r="B405" t="s">
        <v>426</v>
      </c>
      <c r="C405">
        <v>567</v>
      </c>
      <c r="E405" t="s">
        <v>205</v>
      </c>
    </row>
    <row r="406" spans="1:7" hidden="1">
      <c r="A406" s="74">
        <v>46108</v>
      </c>
      <c r="B406" t="s">
        <v>429</v>
      </c>
      <c r="C406">
        <v>6777</v>
      </c>
      <c r="E406" t="s">
        <v>326</v>
      </c>
    </row>
    <row r="407" spans="1:7" hidden="1">
      <c r="A407" s="74">
        <v>46113</v>
      </c>
      <c r="B407" t="s">
        <v>432</v>
      </c>
      <c r="C407">
        <v>6553</v>
      </c>
      <c r="E407" t="s">
        <v>674</v>
      </c>
    </row>
    <row r="408" spans="1:7" hidden="1">
      <c r="A408" s="74">
        <v>46106</v>
      </c>
      <c r="B408" t="s">
        <v>432</v>
      </c>
      <c r="C408">
        <v>6529</v>
      </c>
      <c r="E408" t="s">
        <v>674</v>
      </c>
    </row>
    <row r="409" spans="1:7" hidden="1">
      <c r="A409" s="74">
        <v>46106</v>
      </c>
      <c r="B409" t="s">
        <v>432</v>
      </c>
      <c r="C409">
        <v>6529</v>
      </c>
      <c r="E409" t="s">
        <v>674</v>
      </c>
      <c r="F409" t="s">
        <v>707</v>
      </c>
      <c r="G409" t="s">
        <v>676</v>
      </c>
    </row>
    <row r="410" spans="1:7" hidden="1">
      <c r="A410" s="74">
        <v>46104</v>
      </c>
      <c r="B410" t="s">
        <v>432</v>
      </c>
      <c r="C410">
        <v>6530</v>
      </c>
      <c r="E410" t="s">
        <v>674</v>
      </c>
    </row>
    <row r="411" spans="1:7" hidden="1">
      <c r="A411" s="74">
        <v>46098</v>
      </c>
      <c r="B411" t="s">
        <v>433</v>
      </c>
      <c r="C411">
        <v>10101</v>
      </c>
      <c r="E411" t="s">
        <v>62</v>
      </c>
    </row>
    <row r="412" spans="1:7" hidden="1">
      <c r="A412" s="74">
        <v>46080</v>
      </c>
      <c r="B412" t="s">
        <v>433</v>
      </c>
      <c r="C412">
        <v>10041</v>
      </c>
      <c r="E412" t="s">
        <v>50</v>
      </c>
    </row>
    <row r="413" spans="1:7" hidden="1">
      <c r="A413" s="74">
        <v>46078</v>
      </c>
      <c r="B413" t="s">
        <v>433</v>
      </c>
      <c r="C413">
        <v>10028</v>
      </c>
    </row>
    <row r="414" spans="1:7" hidden="1">
      <c r="A414" s="74">
        <v>46076</v>
      </c>
      <c r="B414" t="s">
        <v>433</v>
      </c>
      <c r="C414">
        <v>10014</v>
      </c>
    </row>
    <row r="415" spans="1:7" hidden="1">
      <c r="A415" s="74">
        <v>45994</v>
      </c>
      <c r="B415" t="s">
        <v>439</v>
      </c>
      <c r="C415">
        <v>1733</v>
      </c>
    </row>
    <row r="416" spans="1:7" hidden="1">
      <c r="A416" s="74">
        <v>46107</v>
      </c>
      <c r="B416" t="s">
        <v>442</v>
      </c>
      <c r="C416">
        <v>2054</v>
      </c>
      <c r="E416" t="s">
        <v>33</v>
      </c>
    </row>
    <row r="417" spans="1:5" hidden="1">
      <c r="A417" s="74">
        <v>46105</v>
      </c>
      <c r="B417" t="s">
        <v>442</v>
      </c>
      <c r="C417">
        <v>2044</v>
      </c>
      <c r="E417" t="s">
        <v>33</v>
      </c>
    </row>
    <row r="418" spans="1:5" hidden="1">
      <c r="A418" s="74">
        <v>46101</v>
      </c>
      <c r="B418" t="s">
        <v>442</v>
      </c>
      <c r="C418">
        <v>2037</v>
      </c>
      <c r="E418" t="s">
        <v>33</v>
      </c>
    </row>
    <row r="419" spans="1:5" hidden="1">
      <c r="A419" s="74">
        <v>46099</v>
      </c>
      <c r="B419" t="s">
        <v>442</v>
      </c>
      <c r="C419">
        <v>2028</v>
      </c>
      <c r="E419" t="s">
        <v>33</v>
      </c>
    </row>
    <row r="420" spans="1:5" hidden="1">
      <c r="A420" s="74">
        <v>46111</v>
      </c>
      <c r="B420" t="s">
        <v>445</v>
      </c>
      <c r="C420">
        <v>2396</v>
      </c>
      <c r="E420" t="s">
        <v>50</v>
      </c>
    </row>
    <row r="421" spans="1:5" hidden="1">
      <c r="A421" s="74">
        <v>46101</v>
      </c>
      <c r="B421" t="s">
        <v>445</v>
      </c>
      <c r="C421">
        <v>2363</v>
      </c>
      <c r="E421" t="s">
        <v>50</v>
      </c>
    </row>
    <row r="422" spans="1:5" hidden="1">
      <c r="A422" s="74">
        <v>46099</v>
      </c>
      <c r="B422" t="s">
        <v>445</v>
      </c>
      <c r="C422">
        <v>2354</v>
      </c>
      <c r="E422" t="s">
        <v>50</v>
      </c>
    </row>
    <row r="423" spans="1:5" hidden="1">
      <c r="A423" s="74">
        <v>46076</v>
      </c>
      <c r="B423" t="s">
        <v>445</v>
      </c>
      <c r="C423">
        <v>2293</v>
      </c>
      <c r="E423" t="s">
        <v>50</v>
      </c>
    </row>
    <row r="424" spans="1:5" hidden="1">
      <c r="A424" s="74">
        <v>46101</v>
      </c>
      <c r="B424" t="s">
        <v>448</v>
      </c>
      <c r="C424">
        <v>1742</v>
      </c>
      <c r="E424" t="s">
        <v>62</v>
      </c>
    </row>
    <row r="425" spans="1:5" hidden="1">
      <c r="A425" s="74">
        <v>46098</v>
      </c>
      <c r="B425" t="s">
        <v>448</v>
      </c>
      <c r="C425">
        <v>1735</v>
      </c>
      <c r="E425" t="s">
        <v>62</v>
      </c>
    </row>
    <row r="426" spans="1:5" hidden="1">
      <c r="A426" s="74">
        <v>46078</v>
      </c>
      <c r="B426" t="s">
        <v>448</v>
      </c>
      <c r="C426">
        <v>1678</v>
      </c>
    </row>
    <row r="427" spans="1:5" hidden="1">
      <c r="A427" s="74">
        <v>46072</v>
      </c>
      <c r="B427" t="s">
        <v>448</v>
      </c>
      <c r="C427">
        <v>1670</v>
      </c>
    </row>
    <row r="428" spans="1:5" hidden="1">
      <c r="A428" s="74">
        <v>46129</v>
      </c>
      <c r="B428" t="s">
        <v>450</v>
      </c>
      <c r="C428">
        <v>1861</v>
      </c>
      <c r="E428" t="s">
        <v>15</v>
      </c>
    </row>
    <row r="429" spans="1:5" hidden="1">
      <c r="A429" s="74">
        <v>46112</v>
      </c>
      <c r="B429" t="s">
        <v>450</v>
      </c>
      <c r="C429">
        <v>1804</v>
      </c>
      <c r="E429" t="s">
        <v>15</v>
      </c>
    </row>
    <row r="430" spans="1:5" hidden="1">
      <c r="A430" s="74">
        <v>46108</v>
      </c>
      <c r="B430" t="s">
        <v>450</v>
      </c>
      <c r="C430">
        <v>1794</v>
      </c>
      <c r="E430" t="s">
        <v>15</v>
      </c>
    </row>
    <row r="431" spans="1:5" hidden="1">
      <c r="A431" s="74">
        <v>46106</v>
      </c>
      <c r="B431" t="s">
        <v>450</v>
      </c>
      <c r="C431">
        <v>1781</v>
      </c>
      <c r="E431" t="s">
        <v>15</v>
      </c>
    </row>
    <row r="432" spans="1:5" hidden="1">
      <c r="A432" s="74">
        <v>46104</v>
      </c>
      <c r="B432" t="s">
        <v>452</v>
      </c>
      <c r="C432">
        <v>1950</v>
      </c>
      <c r="E432" t="s">
        <v>15</v>
      </c>
    </row>
    <row r="433" spans="1:5" hidden="1">
      <c r="A433" s="74">
        <v>46101</v>
      </c>
      <c r="B433" t="s">
        <v>452</v>
      </c>
      <c r="C433">
        <v>1947</v>
      </c>
      <c r="E433" t="s">
        <v>205</v>
      </c>
    </row>
    <row r="434" spans="1:5" hidden="1">
      <c r="A434" s="74">
        <v>46073</v>
      </c>
      <c r="B434" t="s">
        <v>452</v>
      </c>
      <c r="C434">
        <v>1926</v>
      </c>
    </row>
    <row r="435" spans="1:5" hidden="1">
      <c r="A435" s="74">
        <v>46056</v>
      </c>
      <c r="B435" t="s">
        <v>452</v>
      </c>
      <c r="C435">
        <v>1930</v>
      </c>
    </row>
    <row r="436" spans="1:5" hidden="1">
      <c r="A436" s="74">
        <v>46079</v>
      </c>
      <c r="B436" t="s">
        <v>456</v>
      </c>
      <c r="C436">
        <v>2405</v>
      </c>
      <c r="E436" t="s">
        <v>15</v>
      </c>
    </row>
    <row r="437" spans="1:5" hidden="1">
      <c r="A437" s="74">
        <v>46043</v>
      </c>
      <c r="B437" t="s">
        <v>456</v>
      </c>
      <c r="C437">
        <v>2386</v>
      </c>
    </row>
    <row r="438" spans="1:5" hidden="1">
      <c r="A438" s="74">
        <v>46009</v>
      </c>
      <c r="B438" t="s">
        <v>456</v>
      </c>
      <c r="C438">
        <v>1830</v>
      </c>
    </row>
    <row r="439" spans="1:5" hidden="1">
      <c r="A439" s="74">
        <v>45994</v>
      </c>
      <c r="B439" t="s">
        <v>456</v>
      </c>
      <c r="C439">
        <v>2363</v>
      </c>
    </row>
    <row r="440" spans="1:5" hidden="1">
      <c r="A440" s="74">
        <v>46107</v>
      </c>
      <c r="B440" t="s">
        <v>458</v>
      </c>
      <c r="C440">
        <v>2285</v>
      </c>
      <c r="E440" t="s">
        <v>33</v>
      </c>
    </row>
    <row r="441" spans="1:5" hidden="1">
      <c r="A441" s="74">
        <v>46106</v>
      </c>
      <c r="B441" t="s">
        <v>458</v>
      </c>
      <c r="C441">
        <v>2274</v>
      </c>
      <c r="E441" t="s">
        <v>33</v>
      </c>
    </row>
    <row r="442" spans="1:5" hidden="1">
      <c r="A442" s="74">
        <v>46105</v>
      </c>
      <c r="B442" t="s">
        <v>458</v>
      </c>
      <c r="C442">
        <v>2267</v>
      </c>
      <c r="E442" t="s">
        <v>33</v>
      </c>
    </row>
    <row r="443" spans="1:5" hidden="1">
      <c r="A443" s="74">
        <v>46104</v>
      </c>
      <c r="B443" t="s">
        <v>458</v>
      </c>
      <c r="C443">
        <v>2259</v>
      </c>
      <c r="E443" t="s">
        <v>33</v>
      </c>
    </row>
    <row r="444" spans="1:5" hidden="1">
      <c r="A444" s="74">
        <v>46133</v>
      </c>
      <c r="B444" t="s">
        <v>714</v>
      </c>
      <c r="D444">
        <v>307623</v>
      </c>
    </row>
    <row r="445" spans="1:5" hidden="1">
      <c r="A445" s="74">
        <v>44328</v>
      </c>
      <c r="B445" t="s">
        <v>715</v>
      </c>
      <c r="D445">
        <v>623700</v>
      </c>
    </row>
    <row r="446" spans="1:5" hidden="1">
      <c r="A446" s="74">
        <v>44242</v>
      </c>
      <c r="B446" t="s">
        <v>715</v>
      </c>
      <c r="D446">
        <v>612317</v>
      </c>
    </row>
    <row r="447" spans="1:5" hidden="1">
      <c r="A447" s="74">
        <v>46139</v>
      </c>
      <c r="B447" t="s">
        <v>460</v>
      </c>
      <c r="D447">
        <v>99450</v>
      </c>
      <c r="E447" t="s">
        <v>701</v>
      </c>
    </row>
    <row r="448" spans="1:5" hidden="1">
      <c r="A448" s="74">
        <v>46133</v>
      </c>
      <c r="B448" t="s">
        <v>460</v>
      </c>
      <c r="D448">
        <v>99063</v>
      </c>
      <c r="E448" t="s">
        <v>26</v>
      </c>
    </row>
    <row r="449" spans="1:7" hidden="1">
      <c r="A449" s="74">
        <v>46108</v>
      </c>
      <c r="B449" t="s">
        <v>460</v>
      </c>
      <c r="D449">
        <v>97630</v>
      </c>
      <c r="E449" t="s">
        <v>315</v>
      </c>
      <c r="F449" t="s">
        <v>716</v>
      </c>
      <c r="G449" t="s">
        <v>676</v>
      </c>
    </row>
    <row r="450" spans="1:7" hidden="1">
      <c r="A450" s="74">
        <v>46104</v>
      </c>
      <c r="B450" t="s">
        <v>460</v>
      </c>
      <c r="D450">
        <v>97507</v>
      </c>
      <c r="E450" t="s">
        <v>315</v>
      </c>
      <c r="F450" t="s">
        <v>716</v>
      </c>
      <c r="G450" t="s">
        <v>676</v>
      </c>
    </row>
    <row r="451" spans="1:7" hidden="1">
      <c r="A451" s="74">
        <v>46073</v>
      </c>
      <c r="B451" t="s">
        <v>464</v>
      </c>
      <c r="D451">
        <v>104779</v>
      </c>
    </row>
    <row r="452" spans="1:7" hidden="1">
      <c r="A452" s="74">
        <v>46071</v>
      </c>
      <c r="B452" t="s">
        <v>464</v>
      </c>
      <c r="D452">
        <v>103841</v>
      </c>
    </row>
    <row r="453" spans="1:7" hidden="1">
      <c r="A453" s="74">
        <v>46105</v>
      </c>
      <c r="B453" t="s">
        <v>466</v>
      </c>
      <c r="D453">
        <v>108622</v>
      </c>
      <c r="E453" t="s">
        <v>37</v>
      </c>
    </row>
    <row r="454" spans="1:7" hidden="1">
      <c r="A454" s="74">
        <v>46086</v>
      </c>
      <c r="B454" t="s">
        <v>466</v>
      </c>
      <c r="D454">
        <v>105926</v>
      </c>
    </row>
    <row r="455" spans="1:7" hidden="1">
      <c r="A455" s="74">
        <v>46085</v>
      </c>
      <c r="B455" t="s">
        <v>466</v>
      </c>
      <c r="D455">
        <v>105517</v>
      </c>
    </row>
    <row r="456" spans="1:7" hidden="1">
      <c r="A456" s="74">
        <v>46083</v>
      </c>
      <c r="B456" t="s">
        <v>466</v>
      </c>
      <c r="D456">
        <v>105293</v>
      </c>
    </row>
    <row r="457" spans="1:7" hidden="1">
      <c r="A457" s="74">
        <v>46133</v>
      </c>
      <c r="B457" t="s">
        <v>471</v>
      </c>
      <c r="D457">
        <v>77882</v>
      </c>
      <c r="E457" t="s">
        <v>26</v>
      </c>
    </row>
    <row r="458" spans="1:7" hidden="1">
      <c r="A458" s="74">
        <v>46100</v>
      </c>
      <c r="B458" t="s">
        <v>471</v>
      </c>
      <c r="D458">
        <v>73803</v>
      </c>
      <c r="E458" t="s">
        <v>679</v>
      </c>
    </row>
    <row r="459" spans="1:7" hidden="1">
      <c r="A459" s="74">
        <v>46100</v>
      </c>
      <c r="B459" t="s">
        <v>471</v>
      </c>
      <c r="D459">
        <v>73803</v>
      </c>
      <c r="E459" t="s">
        <v>679</v>
      </c>
      <c r="F459" t="s">
        <v>717</v>
      </c>
      <c r="G459" t="s">
        <v>676</v>
      </c>
    </row>
    <row r="460" spans="1:7" hidden="1">
      <c r="A460" s="74">
        <v>46099</v>
      </c>
      <c r="B460" t="s">
        <v>471</v>
      </c>
      <c r="D460">
        <v>73362</v>
      </c>
      <c r="E460" t="s">
        <v>33</v>
      </c>
    </row>
    <row r="461" spans="1:7" hidden="1">
      <c r="A461" s="74">
        <v>46048</v>
      </c>
      <c r="B461" t="s">
        <v>473</v>
      </c>
      <c r="D461">
        <v>58660</v>
      </c>
    </row>
    <row r="462" spans="1:7" hidden="1">
      <c r="A462" s="74">
        <v>46055</v>
      </c>
      <c r="B462" t="s">
        <v>477</v>
      </c>
      <c r="D462">
        <v>77781</v>
      </c>
    </row>
    <row r="463" spans="1:7" hidden="1">
      <c r="A463" s="74">
        <v>46021</v>
      </c>
      <c r="B463" t="s">
        <v>477</v>
      </c>
      <c r="C463">
        <v>10283</v>
      </c>
      <c r="D463">
        <v>246005</v>
      </c>
    </row>
    <row r="464" spans="1:7" hidden="1">
      <c r="A464" s="74">
        <v>45994</v>
      </c>
      <c r="B464" t="s">
        <v>482</v>
      </c>
      <c r="D464">
        <v>66902</v>
      </c>
    </row>
    <row r="465" spans="1:5" hidden="1">
      <c r="A465" s="74">
        <v>46133</v>
      </c>
      <c r="B465" t="s">
        <v>484</v>
      </c>
      <c r="D465">
        <v>82711</v>
      </c>
      <c r="E465" t="s">
        <v>343</v>
      </c>
    </row>
    <row r="466" spans="1:5" hidden="1">
      <c r="A466" s="74">
        <v>46105</v>
      </c>
      <c r="B466" t="s">
        <v>484</v>
      </c>
      <c r="D466">
        <v>78946</v>
      </c>
      <c r="E466" t="s">
        <v>679</v>
      </c>
    </row>
    <row r="467" spans="1:5" hidden="1">
      <c r="A467" s="74">
        <v>46084</v>
      </c>
      <c r="B467" t="s">
        <v>484</v>
      </c>
      <c r="D467">
        <v>75328</v>
      </c>
    </row>
    <row r="468" spans="1:5" hidden="1">
      <c r="A468" s="74">
        <v>46079</v>
      </c>
      <c r="B468" t="s">
        <v>484</v>
      </c>
      <c r="D468">
        <v>74616</v>
      </c>
    </row>
    <row r="469" spans="1:5" hidden="1">
      <c r="A469" s="74">
        <v>46114</v>
      </c>
      <c r="B469" t="s">
        <v>488</v>
      </c>
      <c r="D469">
        <v>88308</v>
      </c>
      <c r="E469" t="s">
        <v>679</v>
      </c>
    </row>
    <row r="470" spans="1:5" hidden="1">
      <c r="A470" s="74">
        <v>46108</v>
      </c>
      <c r="B470" t="s">
        <v>488</v>
      </c>
      <c r="D470">
        <v>86162</v>
      </c>
      <c r="E470" t="s">
        <v>679</v>
      </c>
    </row>
    <row r="471" spans="1:5" hidden="1">
      <c r="A471" s="74">
        <v>46098</v>
      </c>
      <c r="B471" t="s">
        <v>488</v>
      </c>
      <c r="D471">
        <v>84571</v>
      </c>
      <c r="E471" t="s">
        <v>33</v>
      </c>
    </row>
    <row r="472" spans="1:5" hidden="1">
      <c r="A472" s="74">
        <v>46090</v>
      </c>
      <c r="B472" t="s">
        <v>488</v>
      </c>
      <c r="D472">
        <v>83200</v>
      </c>
    </row>
    <row r="473" spans="1:5" hidden="1">
      <c r="A473" s="74">
        <v>46133</v>
      </c>
      <c r="B473" t="s">
        <v>491</v>
      </c>
      <c r="D473">
        <v>110641</v>
      </c>
      <c r="E473" t="s">
        <v>718</v>
      </c>
    </row>
    <row r="474" spans="1:5" hidden="1">
      <c r="A474" s="74">
        <v>46078</v>
      </c>
      <c r="B474" t="s">
        <v>491</v>
      </c>
      <c r="D474">
        <v>104318</v>
      </c>
    </row>
    <row r="475" spans="1:5" hidden="1">
      <c r="A475" s="74">
        <v>46077</v>
      </c>
      <c r="B475" t="s">
        <v>491</v>
      </c>
      <c r="D475">
        <v>103822</v>
      </c>
    </row>
    <row r="476" spans="1:5" hidden="1">
      <c r="A476" s="74">
        <v>46076</v>
      </c>
      <c r="B476" t="s">
        <v>491</v>
      </c>
      <c r="D476">
        <v>103262</v>
      </c>
    </row>
    <row r="477" spans="1:5" hidden="1">
      <c r="A477" s="74">
        <v>46133</v>
      </c>
      <c r="B477" t="s">
        <v>493</v>
      </c>
      <c r="D477">
        <v>98245</v>
      </c>
      <c r="E477" t="s">
        <v>199</v>
      </c>
    </row>
    <row r="478" spans="1:5" hidden="1">
      <c r="A478" s="74">
        <v>46115</v>
      </c>
      <c r="B478" t="s">
        <v>493</v>
      </c>
      <c r="D478">
        <v>88567</v>
      </c>
      <c r="E478" t="s">
        <v>62</v>
      </c>
    </row>
    <row r="479" spans="1:5" hidden="1">
      <c r="A479" s="74">
        <v>46112</v>
      </c>
      <c r="B479" t="s">
        <v>493</v>
      </c>
      <c r="D479">
        <v>95135</v>
      </c>
      <c r="E479" t="s">
        <v>62</v>
      </c>
    </row>
    <row r="480" spans="1:5" hidden="1">
      <c r="A480" s="74">
        <v>46108</v>
      </c>
      <c r="B480" t="s">
        <v>493</v>
      </c>
      <c r="D480">
        <v>94201</v>
      </c>
      <c r="E480" t="s">
        <v>50</v>
      </c>
    </row>
    <row r="481" spans="1:5" hidden="1">
      <c r="A481" s="74">
        <v>46079</v>
      </c>
      <c r="B481" t="s">
        <v>496</v>
      </c>
      <c r="D481">
        <v>38582</v>
      </c>
    </row>
    <row r="482" spans="1:5" hidden="1">
      <c r="A482" s="74">
        <v>46059</v>
      </c>
      <c r="B482" t="s">
        <v>496</v>
      </c>
      <c r="D482">
        <v>56286</v>
      </c>
    </row>
    <row r="483" spans="1:5" hidden="1">
      <c r="A483" s="74">
        <v>46056</v>
      </c>
      <c r="B483" t="s">
        <v>496</v>
      </c>
      <c r="D483">
        <v>55822</v>
      </c>
    </row>
    <row r="484" spans="1:5" hidden="1">
      <c r="A484" s="74">
        <v>46053</v>
      </c>
      <c r="B484" t="s">
        <v>496</v>
      </c>
      <c r="D484">
        <v>55070</v>
      </c>
    </row>
    <row r="485" spans="1:5" hidden="1">
      <c r="A485" s="74">
        <v>46072</v>
      </c>
      <c r="B485" t="s">
        <v>498</v>
      </c>
      <c r="D485">
        <v>107331</v>
      </c>
    </row>
    <row r="486" spans="1:5" hidden="1">
      <c r="A486" s="74">
        <v>46066</v>
      </c>
      <c r="B486" t="s">
        <v>498</v>
      </c>
      <c r="D486">
        <v>106707</v>
      </c>
    </row>
    <row r="487" spans="1:5" hidden="1">
      <c r="A487" s="74">
        <v>46065</v>
      </c>
      <c r="B487" t="s">
        <v>498</v>
      </c>
      <c r="D487">
        <v>106355</v>
      </c>
    </row>
    <row r="488" spans="1:5" hidden="1">
      <c r="A488" s="74">
        <v>46044</v>
      </c>
      <c r="B488" t="s">
        <v>498</v>
      </c>
      <c r="D488">
        <v>100870</v>
      </c>
    </row>
    <row r="489" spans="1:5" hidden="1">
      <c r="A489" s="74">
        <v>46136</v>
      </c>
      <c r="B489" t="s">
        <v>500</v>
      </c>
      <c r="D489">
        <v>122790</v>
      </c>
      <c r="E489" t="s">
        <v>706</v>
      </c>
    </row>
    <row r="490" spans="1:5" hidden="1">
      <c r="A490" s="74">
        <v>46133</v>
      </c>
      <c r="B490" t="s">
        <v>500</v>
      </c>
      <c r="D490">
        <v>122354</v>
      </c>
      <c r="E490" t="s">
        <v>719</v>
      </c>
    </row>
    <row r="491" spans="1:5" hidden="1">
      <c r="A491" s="74">
        <v>46101</v>
      </c>
      <c r="B491" t="s">
        <v>500</v>
      </c>
      <c r="D491">
        <v>116537</v>
      </c>
      <c r="E491" t="s">
        <v>62</v>
      </c>
    </row>
    <row r="492" spans="1:5" hidden="1">
      <c r="A492" s="74">
        <v>46080</v>
      </c>
      <c r="B492" t="s">
        <v>500</v>
      </c>
      <c r="D492">
        <v>112584</v>
      </c>
    </row>
    <row r="493" spans="1:5" hidden="1">
      <c r="A493" s="74">
        <v>46105</v>
      </c>
      <c r="B493" t="s">
        <v>503</v>
      </c>
      <c r="D493">
        <v>67095</v>
      </c>
      <c r="E493" t="s">
        <v>33</v>
      </c>
    </row>
    <row r="494" spans="1:5" hidden="1">
      <c r="A494" s="74">
        <v>46101</v>
      </c>
      <c r="B494" t="s">
        <v>503</v>
      </c>
      <c r="D494">
        <v>66205</v>
      </c>
      <c r="E494" t="s">
        <v>33</v>
      </c>
    </row>
    <row r="495" spans="1:5" hidden="1">
      <c r="A495" s="74">
        <v>46083</v>
      </c>
      <c r="B495" t="s">
        <v>503</v>
      </c>
      <c r="D495">
        <v>64032</v>
      </c>
    </row>
    <row r="496" spans="1:5" hidden="1">
      <c r="A496" s="74">
        <v>46077</v>
      </c>
      <c r="B496" t="s">
        <v>503</v>
      </c>
      <c r="D496">
        <v>62985</v>
      </c>
    </row>
    <row r="497" spans="1:6" hidden="1">
      <c r="A497" s="74">
        <v>46133</v>
      </c>
      <c r="B497" t="s">
        <v>505</v>
      </c>
      <c r="D497">
        <v>105494</v>
      </c>
      <c r="E497" t="s">
        <v>26</v>
      </c>
    </row>
    <row r="498" spans="1:6" hidden="1">
      <c r="A498" s="74">
        <v>46107</v>
      </c>
      <c r="B498" t="s">
        <v>505</v>
      </c>
      <c r="D498">
        <v>99837</v>
      </c>
      <c r="E498" t="s">
        <v>37</v>
      </c>
      <c r="F498" t="s">
        <v>720</v>
      </c>
    </row>
    <row r="499" spans="1:6" hidden="1">
      <c r="A499" s="74">
        <v>46090</v>
      </c>
      <c r="B499" t="s">
        <v>505</v>
      </c>
      <c r="D499">
        <v>94990</v>
      </c>
      <c r="E499" t="s">
        <v>37</v>
      </c>
      <c r="F499" t="s">
        <v>720</v>
      </c>
    </row>
    <row r="500" spans="1:6" hidden="1">
      <c r="A500" s="74">
        <v>46086</v>
      </c>
      <c r="B500" t="s">
        <v>505</v>
      </c>
      <c r="D500">
        <v>93455</v>
      </c>
      <c r="E500" t="s">
        <v>37</v>
      </c>
      <c r="F500" t="s">
        <v>720</v>
      </c>
    </row>
    <row r="501" spans="1:6" hidden="1">
      <c r="A501" s="74">
        <v>46107</v>
      </c>
      <c r="B501" t="s">
        <v>510</v>
      </c>
      <c r="D501">
        <v>67530</v>
      </c>
      <c r="E501" t="s">
        <v>33</v>
      </c>
    </row>
    <row r="502" spans="1:6" hidden="1">
      <c r="A502" s="74">
        <v>46099</v>
      </c>
      <c r="B502" t="s">
        <v>510</v>
      </c>
      <c r="D502">
        <v>66415</v>
      </c>
      <c r="E502" t="s">
        <v>33</v>
      </c>
    </row>
    <row r="503" spans="1:6" hidden="1">
      <c r="A503" s="74">
        <v>46090</v>
      </c>
      <c r="B503" t="s">
        <v>510</v>
      </c>
      <c r="D503">
        <v>64682</v>
      </c>
    </row>
    <row r="504" spans="1:6" hidden="1">
      <c r="A504" s="74">
        <v>46086</v>
      </c>
      <c r="B504" t="s">
        <v>510</v>
      </c>
      <c r="D504">
        <v>62939</v>
      </c>
    </row>
    <row r="505" spans="1:6" hidden="1">
      <c r="A505" s="74">
        <v>46133</v>
      </c>
      <c r="B505" t="s">
        <v>512</v>
      </c>
      <c r="D505">
        <v>54674</v>
      </c>
      <c r="E505" t="s">
        <v>26</v>
      </c>
    </row>
    <row r="506" spans="1:6" hidden="1">
      <c r="A506" s="74">
        <v>46112</v>
      </c>
      <c r="B506" t="s">
        <v>512</v>
      </c>
      <c r="D506">
        <v>52367</v>
      </c>
      <c r="E506" t="s">
        <v>15</v>
      </c>
    </row>
    <row r="507" spans="1:6" hidden="1">
      <c r="A507" s="74">
        <v>46108</v>
      </c>
      <c r="B507" t="s">
        <v>512</v>
      </c>
      <c r="D507">
        <v>52054</v>
      </c>
      <c r="E507" t="s">
        <v>15</v>
      </c>
    </row>
    <row r="508" spans="1:6" hidden="1">
      <c r="A508" s="74">
        <v>46106</v>
      </c>
      <c r="B508" t="s">
        <v>512</v>
      </c>
      <c r="D508">
        <v>51643</v>
      </c>
      <c r="E508" t="s">
        <v>15</v>
      </c>
    </row>
    <row r="509" spans="1:6" hidden="1">
      <c r="A509" s="74">
        <v>46120</v>
      </c>
      <c r="B509" t="s">
        <v>514</v>
      </c>
      <c r="D509">
        <v>47499</v>
      </c>
      <c r="E509" t="s">
        <v>515</v>
      </c>
    </row>
    <row r="510" spans="1:6" hidden="1">
      <c r="A510" s="74">
        <v>46111</v>
      </c>
      <c r="B510" t="s">
        <v>514</v>
      </c>
      <c r="D510">
        <v>46849</v>
      </c>
      <c r="E510" t="s">
        <v>515</v>
      </c>
    </row>
    <row r="511" spans="1:6" hidden="1">
      <c r="A511" s="74">
        <v>46107</v>
      </c>
      <c r="B511" t="s">
        <v>514</v>
      </c>
      <c r="D511">
        <v>46500</v>
      </c>
      <c r="E511" t="s">
        <v>515</v>
      </c>
    </row>
    <row r="512" spans="1:6" hidden="1">
      <c r="A512" s="74">
        <v>46101</v>
      </c>
      <c r="B512" t="s">
        <v>514</v>
      </c>
      <c r="D512">
        <v>45856</v>
      </c>
      <c r="E512" t="s">
        <v>515</v>
      </c>
    </row>
    <row r="513" spans="1:5" hidden="1">
      <c r="A513" s="74">
        <v>46139</v>
      </c>
      <c r="B513" t="s">
        <v>517</v>
      </c>
      <c r="D513">
        <v>60235</v>
      </c>
      <c r="E513" t="s">
        <v>713</v>
      </c>
    </row>
    <row r="514" spans="1:5" hidden="1">
      <c r="A514" s="74">
        <v>46133</v>
      </c>
      <c r="B514" t="s">
        <v>517</v>
      </c>
      <c r="D514">
        <v>58685</v>
      </c>
      <c r="E514" t="s">
        <v>26</v>
      </c>
    </row>
    <row r="515" spans="1:5" hidden="1">
      <c r="A515" s="74">
        <v>46113</v>
      </c>
      <c r="B515" t="s">
        <v>517</v>
      </c>
      <c r="D515">
        <v>56097</v>
      </c>
      <c r="E515" t="s">
        <v>674</v>
      </c>
    </row>
    <row r="516" spans="1:5" hidden="1">
      <c r="A516" s="74">
        <v>46111</v>
      </c>
      <c r="B516" t="s">
        <v>517</v>
      </c>
      <c r="D516">
        <v>55483</v>
      </c>
      <c r="E516" t="s">
        <v>674</v>
      </c>
    </row>
    <row r="517" spans="1:5" hidden="1">
      <c r="A517" s="74">
        <v>46136</v>
      </c>
      <c r="B517" t="s">
        <v>519</v>
      </c>
      <c r="D517">
        <v>70545</v>
      </c>
      <c r="E517" t="s">
        <v>706</v>
      </c>
    </row>
    <row r="518" spans="1:5" hidden="1">
      <c r="A518" s="74">
        <v>46133</v>
      </c>
      <c r="B518" t="s">
        <v>519</v>
      </c>
      <c r="D518">
        <v>69717</v>
      </c>
      <c r="E518" t="s">
        <v>26</v>
      </c>
    </row>
    <row r="519" spans="1:5" hidden="1">
      <c r="A519" s="74">
        <v>46111</v>
      </c>
      <c r="B519" t="s">
        <v>519</v>
      </c>
      <c r="D519">
        <v>66650</v>
      </c>
      <c r="E519" t="s">
        <v>679</v>
      </c>
    </row>
    <row r="520" spans="1:5" hidden="1">
      <c r="A520" s="74">
        <v>46101</v>
      </c>
      <c r="B520" t="s">
        <v>519</v>
      </c>
      <c r="D520">
        <v>65192</v>
      </c>
      <c r="E520" t="s">
        <v>62</v>
      </c>
    </row>
    <row r="521" spans="1:5" hidden="1">
      <c r="A521" s="74">
        <v>46133</v>
      </c>
      <c r="B521" t="s">
        <v>521</v>
      </c>
      <c r="D521">
        <v>80272</v>
      </c>
      <c r="E521" t="s">
        <v>26</v>
      </c>
    </row>
    <row r="522" spans="1:5" hidden="1">
      <c r="A522" s="74">
        <v>46112</v>
      </c>
      <c r="B522" t="s">
        <v>521</v>
      </c>
      <c r="D522">
        <v>76555</v>
      </c>
      <c r="E522" t="s">
        <v>15</v>
      </c>
    </row>
    <row r="523" spans="1:5" hidden="1">
      <c r="A523" s="74">
        <v>46108</v>
      </c>
      <c r="B523" t="s">
        <v>521</v>
      </c>
      <c r="D523">
        <v>75418</v>
      </c>
      <c r="E523" t="s">
        <v>15</v>
      </c>
    </row>
    <row r="524" spans="1:5" hidden="1">
      <c r="A524" s="74">
        <v>46106</v>
      </c>
      <c r="B524" t="s">
        <v>521</v>
      </c>
      <c r="D524">
        <v>75279</v>
      </c>
      <c r="E524" t="s">
        <v>15</v>
      </c>
    </row>
    <row r="525" spans="1:5" hidden="1">
      <c r="A525" s="74">
        <v>46136</v>
      </c>
      <c r="B525" t="s">
        <v>523</v>
      </c>
      <c r="D525">
        <v>46461</v>
      </c>
      <c r="E525" t="s">
        <v>706</v>
      </c>
    </row>
    <row r="526" spans="1:5" hidden="1">
      <c r="A526" s="74">
        <v>46101</v>
      </c>
      <c r="B526" t="s">
        <v>523</v>
      </c>
      <c r="D526">
        <v>42979</v>
      </c>
      <c r="E526" t="s">
        <v>62</v>
      </c>
    </row>
    <row r="527" spans="1:5" hidden="1">
      <c r="A527" s="74">
        <v>46098</v>
      </c>
      <c r="B527" t="s">
        <v>523</v>
      </c>
      <c r="D527">
        <v>42560</v>
      </c>
      <c r="E527" t="s">
        <v>62</v>
      </c>
    </row>
    <row r="528" spans="1:5" hidden="1">
      <c r="A528" s="74">
        <v>46078</v>
      </c>
      <c r="B528" t="s">
        <v>523</v>
      </c>
      <c r="D528">
        <v>40452</v>
      </c>
    </row>
    <row r="529" spans="1:7" hidden="1">
      <c r="A529" s="74">
        <v>46133</v>
      </c>
      <c r="B529" t="s">
        <v>525</v>
      </c>
      <c r="D529">
        <v>84545</v>
      </c>
      <c r="E529" t="s">
        <v>706</v>
      </c>
    </row>
    <row r="530" spans="1:7" hidden="1">
      <c r="A530" s="74">
        <v>46111</v>
      </c>
      <c r="B530" t="s">
        <v>525</v>
      </c>
      <c r="D530">
        <v>81278</v>
      </c>
      <c r="E530" t="s">
        <v>674</v>
      </c>
    </row>
    <row r="531" spans="1:7" hidden="1">
      <c r="A531" s="74">
        <v>46107</v>
      </c>
      <c r="B531" t="s">
        <v>525</v>
      </c>
      <c r="E531" t="s">
        <v>674</v>
      </c>
      <c r="F531" t="s">
        <v>721</v>
      </c>
      <c r="G531" t="s">
        <v>676</v>
      </c>
    </row>
    <row r="532" spans="1:7" hidden="1">
      <c r="A532" s="74">
        <v>46105</v>
      </c>
      <c r="B532" t="s">
        <v>525</v>
      </c>
      <c r="E532" t="s">
        <v>674</v>
      </c>
      <c r="F532" t="s">
        <v>721</v>
      </c>
      <c r="G532" t="s">
        <v>676</v>
      </c>
    </row>
    <row r="533" spans="1:7" hidden="1">
      <c r="A533" s="74">
        <v>46108</v>
      </c>
      <c r="B533" t="s">
        <v>527</v>
      </c>
      <c r="D533">
        <v>55477</v>
      </c>
      <c r="E533" t="s">
        <v>50</v>
      </c>
    </row>
    <row r="534" spans="1:7" hidden="1">
      <c r="A534" s="74">
        <v>46101</v>
      </c>
      <c r="B534" t="s">
        <v>527</v>
      </c>
      <c r="D534">
        <v>54468</v>
      </c>
      <c r="E534" t="s">
        <v>50</v>
      </c>
    </row>
    <row r="535" spans="1:7" hidden="1">
      <c r="A535" s="74">
        <v>46099</v>
      </c>
      <c r="B535" t="s">
        <v>527</v>
      </c>
      <c r="D535">
        <v>54233</v>
      </c>
      <c r="E535" t="s">
        <v>50</v>
      </c>
    </row>
    <row r="536" spans="1:7" hidden="1">
      <c r="A536" s="74">
        <v>46078</v>
      </c>
      <c r="B536" t="s">
        <v>527</v>
      </c>
      <c r="D536">
        <v>51537</v>
      </c>
      <c r="E536" t="s">
        <v>50</v>
      </c>
    </row>
    <row r="537" spans="1:7" hidden="1">
      <c r="A537" s="74">
        <v>46120</v>
      </c>
      <c r="B537" t="s">
        <v>529</v>
      </c>
      <c r="D537">
        <v>67281</v>
      </c>
      <c r="E537" t="s">
        <v>515</v>
      </c>
    </row>
    <row r="538" spans="1:7" hidden="1">
      <c r="A538" s="74">
        <v>46118</v>
      </c>
      <c r="B538" t="s">
        <v>529</v>
      </c>
      <c r="D538">
        <v>67020</v>
      </c>
      <c r="E538" t="s">
        <v>515</v>
      </c>
    </row>
    <row r="539" spans="1:7" hidden="1">
      <c r="A539" s="74">
        <v>46113</v>
      </c>
      <c r="B539" t="s">
        <v>529</v>
      </c>
      <c r="D539">
        <v>66381</v>
      </c>
      <c r="E539" t="s">
        <v>515</v>
      </c>
    </row>
    <row r="540" spans="1:7" hidden="1">
      <c r="A540" s="74">
        <v>46111</v>
      </c>
      <c r="B540" t="s">
        <v>529</v>
      </c>
      <c r="D540">
        <v>65840</v>
      </c>
      <c r="E540" t="s">
        <v>515</v>
      </c>
    </row>
    <row r="541" spans="1:7" hidden="1">
      <c r="A541" s="74">
        <v>46133</v>
      </c>
      <c r="B541" t="s">
        <v>532</v>
      </c>
      <c r="D541">
        <v>69314</v>
      </c>
      <c r="E541" t="s">
        <v>719</v>
      </c>
    </row>
    <row r="542" spans="1:7" hidden="1">
      <c r="A542" s="74">
        <v>46106</v>
      </c>
      <c r="B542" t="s">
        <v>532</v>
      </c>
      <c r="D542">
        <v>65604</v>
      </c>
      <c r="E542" t="s">
        <v>15</v>
      </c>
    </row>
    <row r="543" spans="1:7" hidden="1">
      <c r="A543" s="74">
        <v>46104</v>
      </c>
      <c r="B543" t="s">
        <v>532</v>
      </c>
      <c r="D543">
        <v>65434</v>
      </c>
      <c r="E543" t="s">
        <v>15</v>
      </c>
    </row>
    <row r="544" spans="1:7" hidden="1">
      <c r="A544" s="74">
        <v>46101</v>
      </c>
      <c r="B544" t="s">
        <v>532</v>
      </c>
      <c r="D544">
        <v>64890</v>
      </c>
      <c r="E544" t="s">
        <v>205</v>
      </c>
    </row>
    <row r="545" spans="1:7" hidden="1">
      <c r="A545" s="74">
        <v>46136</v>
      </c>
      <c r="B545" t="s">
        <v>534</v>
      </c>
      <c r="D545">
        <v>74968</v>
      </c>
      <c r="E545" t="s">
        <v>706</v>
      </c>
    </row>
    <row r="546" spans="1:7" hidden="1">
      <c r="A546" s="74">
        <v>46133</v>
      </c>
      <c r="B546" t="s">
        <v>534</v>
      </c>
      <c r="D546">
        <v>74126</v>
      </c>
      <c r="E546" t="s">
        <v>722</v>
      </c>
    </row>
    <row r="547" spans="1:7" hidden="1">
      <c r="A547" s="74">
        <v>46112</v>
      </c>
      <c r="B547" t="s">
        <v>534</v>
      </c>
      <c r="D547">
        <v>71317</v>
      </c>
      <c r="E547" t="s">
        <v>15</v>
      </c>
    </row>
    <row r="548" spans="1:7" hidden="1">
      <c r="A548" s="74">
        <v>46108</v>
      </c>
      <c r="B548" t="s">
        <v>534</v>
      </c>
      <c r="D548">
        <v>70810</v>
      </c>
      <c r="E548" t="s">
        <v>15</v>
      </c>
    </row>
    <row r="549" spans="1:7" hidden="1">
      <c r="A549" s="74">
        <v>46105</v>
      </c>
      <c r="B549" t="s">
        <v>536</v>
      </c>
      <c r="D549">
        <v>86820</v>
      </c>
      <c r="E549" t="s">
        <v>326</v>
      </c>
      <c r="F549" t="s">
        <v>537</v>
      </c>
    </row>
    <row r="550" spans="1:7" hidden="1">
      <c r="A550" s="74">
        <v>46097</v>
      </c>
      <c r="B550" t="s">
        <v>536</v>
      </c>
      <c r="D550">
        <v>85654</v>
      </c>
      <c r="E550" t="s">
        <v>326</v>
      </c>
      <c r="F550" t="s">
        <v>537</v>
      </c>
    </row>
    <row r="551" spans="1:7" hidden="1">
      <c r="A551" s="74">
        <v>46139</v>
      </c>
      <c r="B551" t="s">
        <v>538</v>
      </c>
      <c r="D551">
        <v>81234</v>
      </c>
      <c r="E551" t="s">
        <v>701</v>
      </c>
    </row>
    <row r="552" spans="1:7" hidden="1">
      <c r="A552" s="74">
        <v>46108</v>
      </c>
      <c r="B552" t="s">
        <v>538</v>
      </c>
      <c r="D552">
        <v>77393</v>
      </c>
      <c r="E552" t="s">
        <v>315</v>
      </c>
      <c r="F552" t="s">
        <v>723</v>
      </c>
      <c r="G552" t="s">
        <v>676</v>
      </c>
    </row>
    <row r="553" spans="1:7" hidden="1">
      <c r="A553" s="74">
        <v>46098</v>
      </c>
      <c r="B553" t="s">
        <v>538</v>
      </c>
      <c r="D553">
        <v>75766</v>
      </c>
      <c r="E553" t="s">
        <v>315</v>
      </c>
      <c r="F553" t="s">
        <v>723</v>
      </c>
      <c r="G553" t="s">
        <v>676</v>
      </c>
    </row>
    <row r="554" spans="1:7" hidden="1">
      <c r="A554" s="74">
        <v>46094</v>
      </c>
      <c r="B554" t="s">
        <v>538</v>
      </c>
      <c r="D554">
        <v>75164</v>
      </c>
      <c r="E554" t="s">
        <v>315</v>
      </c>
      <c r="F554" t="s">
        <v>723</v>
      </c>
      <c r="G554" t="s">
        <v>676</v>
      </c>
    </row>
    <row r="555" spans="1:7" hidden="1">
      <c r="A555" s="74">
        <v>46133</v>
      </c>
      <c r="B555" t="s">
        <v>540</v>
      </c>
      <c r="D555">
        <v>87236</v>
      </c>
      <c r="E555" t="s">
        <v>26</v>
      </c>
    </row>
    <row r="556" spans="1:7" hidden="1">
      <c r="A556" s="74">
        <v>46114</v>
      </c>
      <c r="B556" t="s">
        <v>540</v>
      </c>
      <c r="D556">
        <v>83133</v>
      </c>
      <c r="E556" t="s">
        <v>674</v>
      </c>
    </row>
    <row r="557" spans="1:7" hidden="1">
      <c r="A557" s="74">
        <v>46113</v>
      </c>
      <c r="B557" t="s">
        <v>540</v>
      </c>
      <c r="D557">
        <v>82742</v>
      </c>
      <c r="E557" t="s">
        <v>674</v>
      </c>
    </row>
    <row r="558" spans="1:7" hidden="1">
      <c r="A558" s="74">
        <v>46111</v>
      </c>
      <c r="B558" t="s">
        <v>540</v>
      </c>
      <c r="D558">
        <v>820891</v>
      </c>
      <c r="E558" t="s">
        <v>674</v>
      </c>
    </row>
    <row r="559" spans="1:7" hidden="1">
      <c r="A559" s="74">
        <v>46133</v>
      </c>
      <c r="B559" t="s">
        <v>542</v>
      </c>
      <c r="D559">
        <v>99814</v>
      </c>
      <c r="E559" t="s">
        <v>718</v>
      </c>
    </row>
    <row r="560" spans="1:7" hidden="1">
      <c r="A560" s="74">
        <v>46073</v>
      </c>
      <c r="B560" t="s">
        <v>542</v>
      </c>
      <c r="D560">
        <v>94450</v>
      </c>
    </row>
    <row r="561" spans="1:7" hidden="1">
      <c r="A561" s="74">
        <v>46065</v>
      </c>
      <c r="B561" t="s">
        <v>542</v>
      </c>
      <c r="D561">
        <v>92773</v>
      </c>
    </row>
    <row r="562" spans="1:7" hidden="1">
      <c r="A562" s="74">
        <v>46064</v>
      </c>
      <c r="B562" t="s">
        <v>542</v>
      </c>
      <c r="D562">
        <v>92092</v>
      </c>
    </row>
    <row r="563" spans="1:7" hidden="1">
      <c r="A563" s="74">
        <v>46133</v>
      </c>
      <c r="B563" t="s">
        <v>544</v>
      </c>
      <c r="D563">
        <v>48159</v>
      </c>
      <c r="E563" t="s">
        <v>718</v>
      </c>
    </row>
    <row r="564" spans="1:7" hidden="1">
      <c r="A564" s="74">
        <v>46104</v>
      </c>
      <c r="B564" t="s">
        <v>544</v>
      </c>
      <c r="D564">
        <v>43874</v>
      </c>
      <c r="E564" t="s">
        <v>15</v>
      </c>
    </row>
    <row r="565" spans="1:7" hidden="1">
      <c r="A565" s="74">
        <v>46099</v>
      </c>
      <c r="B565" t="s">
        <v>544</v>
      </c>
      <c r="D565">
        <v>42906</v>
      </c>
      <c r="E565" t="s">
        <v>15</v>
      </c>
    </row>
    <row r="566" spans="1:7" hidden="1">
      <c r="A566" s="74">
        <v>46099</v>
      </c>
      <c r="B566" t="s">
        <v>544</v>
      </c>
      <c r="D566">
        <v>42906</v>
      </c>
      <c r="E566" t="s">
        <v>15</v>
      </c>
      <c r="F566" t="s">
        <v>724</v>
      </c>
      <c r="G566" t="s">
        <v>676</v>
      </c>
    </row>
    <row r="567" spans="1:7" hidden="1">
      <c r="A567" s="74">
        <v>46063</v>
      </c>
      <c r="B567" t="s">
        <v>546</v>
      </c>
      <c r="D567">
        <v>60050</v>
      </c>
    </row>
    <row r="568" spans="1:7" hidden="1">
      <c r="A568" s="74">
        <v>46062</v>
      </c>
      <c r="B568" t="s">
        <v>546</v>
      </c>
      <c r="D568">
        <v>59630</v>
      </c>
    </row>
    <row r="569" spans="1:7" hidden="1">
      <c r="A569" s="74">
        <v>46031</v>
      </c>
      <c r="B569" t="s">
        <v>546</v>
      </c>
      <c r="D569">
        <v>59377</v>
      </c>
    </row>
    <row r="570" spans="1:7" hidden="1">
      <c r="A570" s="74">
        <v>46031</v>
      </c>
      <c r="B570" t="s">
        <v>546</v>
      </c>
      <c r="D570">
        <v>59243</v>
      </c>
    </row>
    <row r="571" spans="1:7" hidden="1">
      <c r="A571" s="74">
        <v>46104</v>
      </c>
      <c r="B571" t="s">
        <v>548</v>
      </c>
      <c r="E571" t="s">
        <v>33</v>
      </c>
      <c r="F571" t="s">
        <v>725</v>
      </c>
      <c r="G571" t="s">
        <v>676</v>
      </c>
    </row>
    <row r="572" spans="1:7" hidden="1">
      <c r="A572" s="74">
        <v>46097</v>
      </c>
      <c r="B572" t="s">
        <v>548</v>
      </c>
      <c r="D572">
        <v>93371</v>
      </c>
      <c r="E572" t="s">
        <v>33</v>
      </c>
      <c r="F572" t="s">
        <v>726</v>
      </c>
      <c r="G572" t="s">
        <v>676</v>
      </c>
    </row>
    <row r="573" spans="1:7" hidden="1">
      <c r="A573" s="74">
        <v>46094</v>
      </c>
      <c r="B573" t="s">
        <v>548</v>
      </c>
      <c r="D573">
        <v>92535</v>
      </c>
      <c r="E573" t="s">
        <v>33</v>
      </c>
      <c r="F573" t="s">
        <v>727</v>
      </c>
      <c r="G573" t="s">
        <v>676</v>
      </c>
    </row>
    <row r="574" spans="1:7" hidden="1">
      <c r="A574" s="74">
        <v>46094</v>
      </c>
      <c r="B574" t="s">
        <v>548</v>
      </c>
      <c r="D574">
        <v>92535</v>
      </c>
      <c r="E574" t="s">
        <v>728</v>
      </c>
    </row>
    <row r="575" spans="1:7" hidden="1">
      <c r="A575" s="74">
        <v>46085</v>
      </c>
      <c r="B575" t="s">
        <v>549</v>
      </c>
      <c r="D575">
        <v>34811</v>
      </c>
    </row>
    <row r="576" spans="1:7" hidden="1">
      <c r="A576" s="74">
        <v>46066</v>
      </c>
      <c r="B576" t="s">
        <v>549</v>
      </c>
      <c r="D576">
        <v>33419</v>
      </c>
    </row>
    <row r="577" spans="1:7" hidden="1">
      <c r="A577" s="74">
        <v>46021</v>
      </c>
      <c r="B577" t="s">
        <v>549</v>
      </c>
      <c r="D577">
        <v>30303</v>
      </c>
    </row>
    <row r="578" spans="1:7" hidden="1">
      <c r="A578" s="74">
        <v>46133</v>
      </c>
      <c r="B578" t="s">
        <v>553</v>
      </c>
      <c r="D578">
        <v>22731</v>
      </c>
    </row>
    <row r="579" spans="1:7" hidden="1">
      <c r="A579" s="74">
        <v>46112</v>
      </c>
      <c r="B579" t="s">
        <v>553</v>
      </c>
      <c r="D579">
        <v>19788</v>
      </c>
      <c r="E579" t="s">
        <v>15</v>
      </c>
    </row>
    <row r="580" spans="1:7" hidden="1">
      <c r="A580" s="74">
        <v>46108</v>
      </c>
      <c r="B580" t="s">
        <v>553</v>
      </c>
      <c r="D580">
        <v>19236</v>
      </c>
      <c r="E580" t="s">
        <v>15</v>
      </c>
    </row>
    <row r="581" spans="1:7" hidden="1">
      <c r="A581" s="74">
        <v>46106</v>
      </c>
      <c r="B581" t="s">
        <v>553</v>
      </c>
      <c r="D581">
        <v>19065</v>
      </c>
      <c r="E581" t="s">
        <v>15</v>
      </c>
    </row>
    <row r="582" spans="1:7" hidden="1">
      <c r="A582" s="74">
        <v>46101</v>
      </c>
      <c r="B582" t="s">
        <v>555</v>
      </c>
      <c r="D582">
        <v>23789</v>
      </c>
    </row>
    <row r="583" spans="1:7" hidden="1">
      <c r="A583" s="74">
        <v>46057</v>
      </c>
      <c r="B583" t="s">
        <v>555</v>
      </c>
      <c r="D583">
        <v>23669</v>
      </c>
    </row>
    <row r="584" spans="1:7" hidden="1">
      <c r="A584" s="74">
        <v>46107</v>
      </c>
      <c r="B584" t="s">
        <v>556</v>
      </c>
      <c r="D584">
        <v>18053</v>
      </c>
      <c r="E584" t="s">
        <v>33</v>
      </c>
    </row>
    <row r="585" spans="1:7" hidden="1">
      <c r="A585" s="74">
        <v>46101</v>
      </c>
      <c r="B585" t="s">
        <v>556</v>
      </c>
      <c r="D585">
        <v>17406</v>
      </c>
      <c r="E585" t="s">
        <v>33</v>
      </c>
    </row>
    <row r="586" spans="1:7" hidden="1">
      <c r="A586" s="74">
        <v>46101</v>
      </c>
      <c r="B586" t="s">
        <v>556</v>
      </c>
      <c r="D586">
        <v>17406</v>
      </c>
      <c r="E586" t="s">
        <v>33</v>
      </c>
      <c r="F586" t="s">
        <v>729</v>
      </c>
      <c r="G586" t="s">
        <v>676</v>
      </c>
    </row>
    <row r="587" spans="1:7" hidden="1">
      <c r="A587" s="74">
        <v>46097</v>
      </c>
      <c r="B587" t="s">
        <v>556</v>
      </c>
      <c r="D587">
        <v>16420</v>
      </c>
      <c r="E587" t="s">
        <v>33</v>
      </c>
      <c r="F587" t="s">
        <v>730</v>
      </c>
      <c r="G587" t="s">
        <v>676</v>
      </c>
    </row>
    <row r="588" spans="1:7" hidden="1">
      <c r="A588" s="74">
        <v>46133</v>
      </c>
      <c r="B588" t="s">
        <v>558</v>
      </c>
      <c r="D588">
        <v>24785</v>
      </c>
    </row>
    <row r="589" spans="1:7" hidden="1">
      <c r="A589" s="74">
        <v>46076</v>
      </c>
      <c r="B589" t="s">
        <v>558</v>
      </c>
      <c r="D589">
        <v>18398</v>
      </c>
    </row>
    <row r="590" spans="1:7" hidden="1">
      <c r="A590" s="74">
        <v>46072</v>
      </c>
      <c r="B590" t="s">
        <v>558</v>
      </c>
      <c r="D590">
        <v>17698</v>
      </c>
    </row>
    <row r="591" spans="1:7" hidden="1">
      <c r="A591" s="74">
        <v>46070</v>
      </c>
      <c r="B591" t="s">
        <v>558</v>
      </c>
      <c r="D591">
        <v>17513</v>
      </c>
    </row>
    <row r="592" spans="1:7" hidden="1">
      <c r="A592" s="74">
        <v>46133</v>
      </c>
      <c r="B592" t="s">
        <v>559</v>
      </c>
      <c r="D592">
        <v>28123</v>
      </c>
    </row>
    <row r="593" spans="1:7" hidden="1">
      <c r="A593" s="74">
        <v>46114</v>
      </c>
      <c r="B593" t="s">
        <v>559</v>
      </c>
      <c r="D593">
        <v>25212</v>
      </c>
      <c r="E593" t="s">
        <v>674</v>
      </c>
    </row>
    <row r="594" spans="1:7" hidden="1">
      <c r="A594" s="74">
        <v>46107</v>
      </c>
      <c r="B594" t="s">
        <v>559</v>
      </c>
      <c r="D594">
        <v>23813</v>
      </c>
      <c r="E594" t="s">
        <v>674</v>
      </c>
    </row>
    <row r="595" spans="1:7" hidden="1">
      <c r="A595" s="74">
        <v>46107</v>
      </c>
      <c r="B595" t="s">
        <v>559</v>
      </c>
      <c r="D595">
        <v>23813</v>
      </c>
      <c r="E595" t="s">
        <v>674</v>
      </c>
      <c r="F595" t="s">
        <v>731</v>
      </c>
      <c r="G595" t="s">
        <v>676</v>
      </c>
    </row>
    <row r="596" spans="1:7" hidden="1">
      <c r="A596" s="74">
        <v>44998</v>
      </c>
      <c r="B596" t="s">
        <v>567</v>
      </c>
      <c r="D596">
        <v>510507</v>
      </c>
    </row>
    <row r="597" spans="1:7" hidden="1">
      <c r="A597" s="74">
        <v>46133</v>
      </c>
      <c r="B597" t="s">
        <v>571</v>
      </c>
      <c r="D597">
        <v>1</v>
      </c>
      <c r="E597" t="s">
        <v>199</v>
      </c>
    </row>
    <row r="598" spans="1:7" hidden="1">
      <c r="A598" s="74">
        <v>46080</v>
      </c>
      <c r="B598" t="s">
        <v>571</v>
      </c>
      <c r="D598">
        <v>559749</v>
      </c>
    </row>
    <row r="599" spans="1:7" hidden="1">
      <c r="A599" s="74">
        <v>46078</v>
      </c>
      <c r="B599" t="s">
        <v>571</v>
      </c>
      <c r="D599">
        <v>559552</v>
      </c>
    </row>
    <row r="600" spans="1:7" hidden="1">
      <c r="A600" s="74">
        <v>46076</v>
      </c>
      <c r="B600" t="s">
        <v>571</v>
      </c>
      <c r="D600">
        <v>559311</v>
      </c>
    </row>
    <row r="601" spans="1:7" hidden="1">
      <c r="A601" s="74">
        <v>45000</v>
      </c>
      <c r="B601" t="s">
        <v>573</v>
      </c>
      <c r="D601">
        <v>256600</v>
      </c>
    </row>
    <row r="602" spans="1:7" hidden="1">
      <c r="A602" s="74">
        <v>44320</v>
      </c>
      <c r="B602" t="s">
        <v>732</v>
      </c>
      <c r="D602">
        <v>106150</v>
      </c>
    </row>
    <row r="603" spans="1:7" hidden="1">
      <c r="A603" s="74">
        <v>45190</v>
      </c>
      <c r="B603" t="s">
        <v>577</v>
      </c>
      <c r="D603">
        <v>113489</v>
      </c>
    </row>
    <row r="604" spans="1:7" hidden="1">
      <c r="A604" s="74">
        <v>46105</v>
      </c>
      <c r="B604" t="s">
        <v>580</v>
      </c>
      <c r="D604">
        <v>172378</v>
      </c>
      <c r="E604" t="s">
        <v>33</v>
      </c>
    </row>
    <row r="605" spans="1:7" hidden="1">
      <c r="A605" s="74">
        <v>46101</v>
      </c>
      <c r="B605" t="s">
        <v>580</v>
      </c>
      <c r="D605">
        <v>161723</v>
      </c>
      <c r="E605" t="s">
        <v>33</v>
      </c>
    </row>
    <row r="606" spans="1:7" hidden="1">
      <c r="A606" s="74">
        <v>46083</v>
      </c>
      <c r="B606" t="s">
        <v>580</v>
      </c>
      <c r="D606">
        <v>159213</v>
      </c>
    </row>
    <row r="607" spans="1:7" hidden="1">
      <c r="A607" s="74">
        <v>46080</v>
      </c>
      <c r="B607" t="s">
        <v>580</v>
      </c>
      <c r="D607">
        <v>158585</v>
      </c>
    </row>
    <row r="608" spans="1:7" hidden="1">
      <c r="A608" s="74">
        <v>46104</v>
      </c>
      <c r="B608" t="s">
        <v>585</v>
      </c>
      <c r="D608">
        <v>153871</v>
      </c>
      <c r="E608" t="s">
        <v>33</v>
      </c>
    </row>
    <row r="609" spans="1:7" hidden="1">
      <c r="A609" s="74">
        <v>46101</v>
      </c>
      <c r="B609" t="s">
        <v>585</v>
      </c>
      <c r="D609">
        <v>152842</v>
      </c>
      <c r="E609" t="s">
        <v>33</v>
      </c>
    </row>
    <row r="610" spans="1:7" hidden="1">
      <c r="A610" s="74">
        <v>46083</v>
      </c>
      <c r="B610" t="s">
        <v>585</v>
      </c>
      <c r="D610">
        <v>150457</v>
      </c>
      <c r="E610" t="s">
        <v>33</v>
      </c>
    </row>
    <row r="611" spans="1:7" hidden="1">
      <c r="A611" s="74">
        <v>46080</v>
      </c>
      <c r="B611" t="s">
        <v>585</v>
      </c>
      <c r="D611">
        <v>149771</v>
      </c>
    </row>
    <row r="612" spans="1:7" hidden="1">
      <c r="A612" s="74">
        <v>46133</v>
      </c>
      <c r="B612" t="s">
        <v>587</v>
      </c>
      <c r="D612">
        <v>188442</v>
      </c>
      <c r="E612" t="s">
        <v>26</v>
      </c>
    </row>
    <row r="613" spans="1:7" hidden="1">
      <c r="A613" s="74">
        <v>46104</v>
      </c>
      <c r="B613" t="s">
        <v>587</v>
      </c>
      <c r="D613">
        <v>227000</v>
      </c>
      <c r="E613" t="s">
        <v>15</v>
      </c>
    </row>
    <row r="614" spans="1:7" hidden="1">
      <c r="A614" s="74">
        <v>46034</v>
      </c>
      <c r="B614" t="s">
        <v>587</v>
      </c>
      <c r="D614">
        <v>187031</v>
      </c>
    </row>
    <row r="615" spans="1:7" hidden="1">
      <c r="A615" s="74">
        <v>46030</v>
      </c>
      <c r="B615" t="s">
        <v>587</v>
      </c>
      <c r="D615">
        <v>186218</v>
      </c>
    </row>
    <row r="616" spans="1:7" hidden="1">
      <c r="A616" s="74">
        <v>46133</v>
      </c>
      <c r="B616" t="s">
        <v>589</v>
      </c>
      <c r="D616">
        <v>242494</v>
      </c>
      <c r="E616" t="s">
        <v>26</v>
      </c>
    </row>
    <row r="617" spans="1:7" hidden="1">
      <c r="A617" s="74">
        <v>46100</v>
      </c>
      <c r="B617" t="s">
        <v>589</v>
      </c>
      <c r="C617">
        <v>240293</v>
      </c>
      <c r="E617" t="s">
        <v>62</v>
      </c>
    </row>
    <row r="618" spans="1:7" hidden="1">
      <c r="A618" s="74">
        <v>46079</v>
      </c>
      <c r="B618" t="s">
        <v>589</v>
      </c>
      <c r="D618">
        <v>237260</v>
      </c>
    </row>
    <row r="619" spans="1:7" hidden="1">
      <c r="A619" s="74">
        <v>46076</v>
      </c>
      <c r="B619" t="s">
        <v>589</v>
      </c>
      <c r="D619">
        <v>237160</v>
      </c>
    </row>
    <row r="620" spans="1:7" hidden="1">
      <c r="A620" s="74">
        <v>46098</v>
      </c>
      <c r="B620" t="s">
        <v>591</v>
      </c>
      <c r="D620">
        <v>227541</v>
      </c>
      <c r="E620" t="s">
        <v>62</v>
      </c>
    </row>
    <row r="621" spans="1:7" hidden="1">
      <c r="A621" s="74">
        <v>46092</v>
      </c>
      <c r="B621" t="s">
        <v>591</v>
      </c>
      <c r="D621">
        <v>226726</v>
      </c>
      <c r="E621" t="s">
        <v>592</v>
      </c>
      <c r="F621" t="s">
        <v>593</v>
      </c>
      <c r="G621" t="s">
        <v>676</v>
      </c>
    </row>
    <row r="622" spans="1:7" hidden="1">
      <c r="A622" s="74">
        <v>46077</v>
      </c>
      <c r="B622" t="s">
        <v>591</v>
      </c>
      <c r="D622">
        <v>224814</v>
      </c>
    </row>
    <row r="623" spans="1:7" hidden="1">
      <c r="A623" s="74">
        <v>46076</v>
      </c>
      <c r="B623" t="s">
        <v>591</v>
      </c>
      <c r="D623">
        <v>224581</v>
      </c>
    </row>
    <row r="624" spans="1:7" hidden="1">
      <c r="A624" s="74">
        <v>46066</v>
      </c>
      <c r="B624" t="s">
        <v>596</v>
      </c>
      <c r="D624">
        <v>147597</v>
      </c>
    </row>
    <row r="625" spans="1:7" hidden="1">
      <c r="A625" s="74">
        <v>46009</v>
      </c>
      <c r="B625" t="s">
        <v>596</v>
      </c>
      <c r="D625">
        <v>138220</v>
      </c>
    </row>
    <row r="626" spans="1:7" hidden="1">
      <c r="A626" s="74">
        <v>44851</v>
      </c>
      <c r="B626" t="s">
        <v>599</v>
      </c>
      <c r="D626" t="s">
        <v>733</v>
      </c>
    </row>
    <row r="627" spans="1:7" hidden="1">
      <c r="A627" s="74">
        <v>44643</v>
      </c>
      <c r="B627" t="s">
        <v>599</v>
      </c>
      <c r="D627">
        <v>118036</v>
      </c>
    </row>
    <row r="628" spans="1:7" hidden="1">
      <c r="A628" s="74">
        <v>45064</v>
      </c>
      <c r="B628" t="s">
        <v>734</v>
      </c>
      <c r="D628">
        <v>246972</v>
      </c>
    </row>
    <row r="629" spans="1:7" hidden="1">
      <c r="A629" s="74">
        <v>46045</v>
      </c>
      <c r="B629" t="s">
        <v>606</v>
      </c>
      <c r="D629">
        <v>137077</v>
      </c>
    </row>
    <row r="630" spans="1:7" hidden="1">
      <c r="A630" s="74">
        <v>46043</v>
      </c>
      <c r="B630" t="s">
        <v>606</v>
      </c>
      <c r="D630">
        <v>135845</v>
      </c>
    </row>
    <row r="631" spans="1:7" hidden="1">
      <c r="A631" s="74">
        <v>46041</v>
      </c>
      <c r="B631" t="s">
        <v>606</v>
      </c>
      <c r="D631">
        <v>136563</v>
      </c>
    </row>
    <row r="632" spans="1:7" hidden="1">
      <c r="A632" s="74">
        <v>46035</v>
      </c>
      <c r="B632" t="s">
        <v>606</v>
      </c>
      <c r="D632">
        <v>136003</v>
      </c>
    </row>
    <row r="633" spans="1:7" hidden="1">
      <c r="A633" s="74">
        <v>46133</v>
      </c>
      <c r="B633" t="s">
        <v>607</v>
      </c>
      <c r="D633">
        <v>170476</v>
      </c>
      <c r="E633" t="s">
        <v>26</v>
      </c>
    </row>
    <row r="634" spans="1:7" hidden="1">
      <c r="A634" s="74">
        <v>46113</v>
      </c>
      <c r="B634" t="s">
        <v>607</v>
      </c>
      <c r="D634">
        <v>168135</v>
      </c>
      <c r="E634" t="s">
        <v>674</v>
      </c>
    </row>
    <row r="635" spans="1:7" hidden="1">
      <c r="A635" s="74">
        <v>46111</v>
      </c>
      <c r="B635" t="s">
        <v>607</v>
      </c>
      <c r="D635">
        <v>167753</v>
      </c>
      <c r="E635" t="s">
        <v>674</v>
      </c>
    </row>
    <row r="636" spans="1:7" hidden="1">
      <c r="A636" s="74">
        <v>46091</v>
      </c>
      <c r="B636" t="s">
        <v>607</v>
      </c>
      <c r="D636">
        <v>166412</v>
      </c>
    </row>
    <row r="637" spans="1:7" hidden="1">
      <c r="A637" s="74">
        <v>46133</v>
      </c>
      <c r="B637" t="s">
        <v>609</v>
      </c>
      <c r="D637">
        <v>148370</v>
      </c>
      <c r="E637" t="s">
        <v>722</v>
      </c>
    </row>
    <row r="638" spans="1:7" hidden="1">
      <c r="A638" s="74">
        <v>46112</v>
      </c>
      <c r="B638" t="s">
        <v>609</v>
      </c>
      <c r="D638">
        <v>144264</v>
      </c>
      <c r="E638" t="s">
        <v>15</v>
      </c>
    </row>
    <row r="639" spans="1:7" hidden="1">
      <c r="A639" s="74">
        <v>46106</v>
      </c>
      <c r="B639" t="s">
        <v>609</v>
      </c>
      <c r="D639">
        <v>143843</v>
      </c>
      <c r="E639" t="s">
        <v>15</v>
      </c>
    </row>
    <row r="640" spans="1:7" hidden="1">
      <c r="A640" s="74">
        <v>46092</v>
      </c>
      <c r="B640" t="s">
        <v>609</v>
      </c>
      <c r="D640">
        <v>140796</v>
      </c>
      <c r="E640" t="s">
        <v>592</v>
      </c>
      <c r="G640" t="s">
        <v>676</v>
      </c>
    </row>
    <row r="641" spans="1:7" hidden="1">
      <c r="A641" s="74">
        <v>46133</v>
      </c>
      <c r="B641" t="s">
        <v>611</v>
      </c>
      <c r="D641">
        <v>150214</v>
      </c>
      <c r="E641" t="s">
        <v>343</v>
      </c>
    </row>
    <row r="642" spans="1:7" hidden="1">
      <c r="A642" s="74">
        <v>46113</v>
      </c>
      <c r="B642" t="s">
        <v>611</v>
      </c>
      <c r="D642">
        <v>148559</v>
      </c>
      <c r="E642" t="s">
        <v>674</v>
      </c>
    </row>
    <row r="643" spans="1:7" hidden="1">
      <c r="A643" s="74">
        <v>46111</v>
      </c>
      <c r="B643" t="s">
        <v>611</v>
      </c>
      <c r="D643">
        <v>149192</v>
      </c>
      <c r="E643" t="s">
        <v>674</v>
      </c>
    </row>
    <row r="644" spans="1:7" hidden="1">
      <c r="A644" s="74">
        <v>46108</v>
      </c>
      <c r="B644" t="s">
        <v>611</v>
      </c>
      <c r="D644">
        <v>147793</v>
      </c>
      <c r="E644" t="s">
        <v>674</v>
      </c>
    </row>
    <row r="645" spans="1:7" hidden="1">
      <c r="A645" s="74">
        <v>46107</v>
      </c>
      <c r="B645" t="s">
        <v>613</v>
      </c>
      <c r="D645">
        <v>143354</v>
      </c>
      <c r="E645" t="s">
        <v>33</v>
      </c>
    </row>
    <row r="646" spans="1:7" hidden="1">
      <c r="A646" s="74">
        <v>46104</v>
      </c>
      <c r="B646" t="s">
        <v>613</v>
      </c>
      <c r="D646">
        <v>142813</v>
      </c>
      <c r="E646" t="s">
        <v>33</v>
      </c>
    </row>
    <row r="647" spans="1:7" hidden="1">
      <c r="A647" s="74">
        <v>46101</v>
      </c>
      <c r="B647" t="s">
        <v>613</v>
      </c>
      <c r="D647">
        <v>142418</v>
      </c>
      <c r="E647" t="s">
        <v>33</v>
      </c>
    </row>
    <row r="648" spans="1:7" hidden="1">
      <c r="A648" s="74">
        <v>46083</v>
      </c>
      <c r="B648" t="s">
        <v>613</v>
      </c>
      <c r="D648">
        <v>139427</v>
      </c>
      <c r="E648" t="s">
        <v>33</v>
      </c>
    </row>
    <row r="649" spans="1:7" hidden="1">
      <c r="A649" s="74">
        <v>46007</v>
      </c>
      <c r="B649" t="s">
        <v>618</v>
      </c>
      <c r="D649">
        <v>153679</v>
      </c>
    </row>
    <row r="650" spans="1:7" hidden="1">
      <c r="A650" s="74">
        <v>46114</v>
      </c>
      <c r="B650" t="s">
        <v>623</v>
      </c>
      <c r="D650">
        <v>306341</v>
      </c>
      <c r="E650" t="s">
        <v>679</v>
      </c>
    </row>
    <row r="651" spans="1:7" hidden="1">
      <c r="A651" s="74">
        <v>46099</v>
      </c>
      <c r="B651" t="s">
        <v>623</v>
      </c>
      <c r="D651">
        <v>303885</v>
      </c>
      <c r="E651" t="s">
        <v>679</v>
      </c>
    </row>
    <row r="652" spans="1:7" hidden="1">
      <c r="A652" s="74">
        <v>46099</v>
      </c>
      <c r="B652" t="s">
        <v>623</v>
      </c>
      <c r="D652">
        <v>303885</v>
      </c>
      <c r="E652" t="s">
        <v>679</v>
      </c>
      <c r="F652" t="s">
        <v>735</v>
      </c>
      <c r="G652" t="s">
        <v>676</v>
      </c>
    </row>
    <row r="653" spans="1:7" hidden="1">
      <c r="A653" s="74">
        <v>46091</v>
      </c>
      <c r="B653" t="s">
        <v>623</v>
      </c>
      <c r="D653">
        <v>302604</v>
      </c>
    </row>
    <row r="654" spans="1:7" hidden="1">
      <c r="A654" s="74">
        <v>46133</v>
      </c>
      <c r="B654" t="s">
        <v>626</v>
      </c>
      <c r="D654">
        <v>266420</v>
      </c>
      <c r="E654" t="s">
        <v>26</v>
      </c>
    </row>
    <row r="655" spans="1:7" hidden="1">
      <c r="A655" s="74">
        <v>46112</v>
      </c>
      <c r="B655" t="s">
        <v>626</v>
      </c>
      <c r="D655">
        <v>264620</v>
      </c>
      <c r="E655" t="s">
        <v>15</v>
      </c>
    </row>
    <row r="656" spans="1:7" hidden="1">
      <c r="A656" s="74">
        <v>46101</v>
      </c>
      <c r="B656" t="s">
        <v>626</v>
      </c>
      <c r="D656">
        <v>263250</v>
      </c>
      <c r="E656" t="s">
        <v>15</v>
      </c>
    </row>
    <row r="657" spans="1:7" hidden="1">
      <c r="A657" s="74">
        <v>46101</v>
      </c>
      <c r="B657" t="s">
        <v>626</v>
      </c>
      <c r="D657">
        <v>263250</v>
      </c>
      <c r="E657" t="s">
        <v>15</v>
      </c>
      <c r="F657" t="s">
        <v>627</v>
      </c>
      <c r="G657" t="s">
        <v>676</v>
      </c>
    </row>
    <row r="658" spans="1:7" hidden="1">
      <c r="A658" s="74">
        <v>46104</v>
      </c>
      <c r="B658" t="s">
        <v>628</v>
      </c>
      <c r="D658">
        <v>263620</v>
      </c>
      <c r="E658" t="s">
        <v>15</v>
      </c>
    </row>
    <row r="659" spans="1:7" hidden="1">
      <c r="A659" s="74">
        <v>45993</v>
      </c>
      <c r="B659" t="s">
        <v>628</v>
      </c>
      <c r="D659">
        <v>133930</v>
      </c>
    </row>
    <row r="660" spans="1:7" hidden="1">
      <c r="A660" s="74">
        <v>46133</v>
      </c>
      <c r="B660" t="s">
        <v>629</v>
      </c>
      <c r="D660">
        <v>155441</v>
      </c>
      <c r="E660" t="s">
        <v>736</v>
      </c>
    </row>
    <row r="661" spans="1:7" hidden="1">
      <c r="A661" s="74">
        <v>46111</v>
      </c>
      <c r="B661" t="s">
        <v>629</v>
      </c>
      <c r="D661">
        <v>152955</v>
      </c>
      <c r="E661" t="s">
        <v>674</v>
      </c>
    </row>
    <row r="662" spans="1:7" hidden="1">
      <c r="A662" s="74">
        <v>46108</v>
      </c>
      <c r="B662" t="s">
        <v>629</v>
      </c>
      <c r="D662">
        <v>152564</v>
      </c>
      <c r="E662" t="s">
        <v>674</v>
      </c>
    </row>
    <row r="663" spans="1:7" hidden="1">
      <c r="A663" s="74">
        <v>46105</v>
      </c>
      <c r="B663" t="s">
        <v>629</v>
      </c>
      <c r="D663">
        <v>152100</v>
      </c>
      <c r="E663" t="s">
        <v>674</v>
      </c>
    </row>
    <row r="664" spans="1:7" hidden="1">
      <c r="A664" s="74">
        <v>46104</v>
      </c>
      <c r="B664" t="s">
        <v>631</v>
      </c>
      <c r="D664">
        <v>125496</v>
      </c>
      <c r="E664" t="s">
        <v>33</v>
      </c>
    </row>
    <row r="665" spans="1:7" hidden="1">
      <c r="A665" s="74">
        <v>46101</v>
      </c>
      <c r="B665" t="s">
        <v>631</v>
      </c>
      <c r="D665">
        <v>124575</v>
      </c>
      <c r="E665" t="s">
        <v>33</v>
      </c>
    </row>
    <row r="666" spans="1:7" hidden="1">
      <c r="A666" s="74">
        <v>46099</v>
      </c>
      <c r="B666" t="s">
        <v>631</v>
      </c>
      <c r="D666">
        <v>124330</v>
      </c>
      <c r="E666" t="s">
        <v>33</v>
      </c>
    </row>
    <row r="667" spans="1:7" hidden="1">
      <c r="A667" s="74">
        <v>46083</v>
      </c>
      <c r="B667" t="s">
        <v>631</v>
      </c>
      <c r="D667">
        <v>122294</v>
      </c>
    </row>
    <row r="668" spans="1:7" hidden="1">
      <c r="A668" s="74">
        <v>46069</v>
      </c>
      <c r="B668" t="s">
        <v>633</v>
      </c>
      <c r="D668">
        <v>105621</v>
      </c>
    </row>
    <row r="669" spans="1:7" hidden="1">
      <c r="A669" s="74">
        <v>46059</v>
      </c>
      <c r="B669" t="s">
        <v>633</v>
      </c>
      <c r="D669">
        <v>108975</v>
      </c>
    </row>
    <row r="670" spans="1:7" hidden="1">
      <c r="A670" s="74">
        <v>46058</v>
      </c>
      <c r="B670" t="s">
        <v>633</v>
      </c>
      <c r="D670">
        <v>108837</v>
      </c>
    </row>
    <row r="671" spans="1:7" hidden="1">
      <c r="A671" s="74">
        <v>46049</v>
      </c>
      <c r="B671" t="s">
        <v>633</v>
      </c>
      <c r="D671">
        <v>107827</v>
      </c>
    </row>
    <row r="672" spans="1:7" hidden="1">
      <c r="A672" s="74">
        <v>46136</v>
      </c>
      <c r="B672" t="s">
        <v>635</v>
      </c>
      <c r="E672" t="s">
        <v>706</v>
      </c>
    </row>
    <row r="673" spans="1:5" hidden="1">
      <c r="A673" s="74">
        <v>46133</v>
      </c>
      <c r="B673" t="s">
        <v>635</v>
      </c>
      <c r="D673">
        <v>134800</v>
      </c>
      <c r="E673" t="s">
        <v>199</v>
      </c>
    </row>
    <row r="674" spans="1:5" hidden="1">
      <c r="A674" s="74">
        <v>46111</v>
      </c>
      <c r="B674" t="s">
        <v>635</v>
      </c>
      <c r="D674">
        <v>131346</v>
      </c>
    </row>
    <row r="675" spans="1:5" hidden="1">
      <c r="A675" s="74">
        <v>46101</v>
      </c>
      <c r="B675" t="s">
        <v>635</v>
      </c>
      <c r="D675">
        <v>129410</v>
      </c>
      <c r="E675" t="s">
        <v>62</v>
      </c>
    </row>
    <row r="676" spans="1:5" hidden="1">
      <c r="A676" s="74">
        <v>46133</v>
      </c>
      <c r="B676" t="s">
        <v>637</v>
      </c>
      <c r="D676">
        <v>114573</v>
      </c>
      <c r="E676" t="s">
        <v>26</v>
      </c>
    </row>
    <row r="677" spans="1:5" hidden="1">
      <c r="A677" s="74">
        <v>46114</v>
      </c>
      <c r="B677" t="s">
        <v>637</v>
      </c>
      <c r="D677">
        <v>113324</v>
      </c>
      <c r="E677" t="s">
        <v>674</v>
      </c>
    </row>
    <row r="678" spans="1:5" hidden="1">
      <c r="A678" s="74">
        <v>46111</v>
      </c>
      <c r="B678" t="s">
        <v>637</v>
      </c>
      <c r="D678">
        <v>112901</v>
      </c>
      <c r="E678" t="s">
        <v>674</v>
      </c>
    </row>
    <row r="679" spans="1:5" hidden="1">
      <c r="A679" s="74">
        <v>46108</v>
      </c>
      <c r="B679" t="s">
        <v>637</v>
      </c>
      <c r="D679">
        <v>112676</v>
      </c>
      <c r="E679" t="s">
        <v>674</v>
      </c>
    </row>
    <row r="680" spans="1:5" hidden="1">
      <c r="A680" s="74">
        <v>46111</v>
      </c>
      <c r="B680" t="s">
        <v>639</v>
      </c>
      <c r="D680">
        <v>95862</v>
      </c>
      <c r="E680" t="s">
        <v>50</v>
      </c>
    </row>
    <row r="681" spans="1:5" hidden="1">
      <c r="A681" s="74">
        <v>46108</v>
      </c>
      <c r="B681" t="s">
        <v>639</v>
      </c>
      <c r="D681">
        <v>95309</v>
      </c>
      <c r="E681" t="s">
        <v>50</v>
      </c>
    </row>
    <row r="682" spans="1:5" hidden="1">
      <c r="A682" s="74">
        <v>46101</v>
      </c>
      <c r="B682" t="s">
        <v>639</v>
      </c>
      <c r="D682">
        <v>95091</v>
      </c>
      <c r="E682" t="s">
        <v>50</v>
      </c>
    </row>
    <row r="683" spans="1:5" hidden="1">
      <c r="A683" s="74">
        <v>46076</v>
      </c>
      <c r="B683" t="s">
        <v>639</v>
      </c>
      <c r="D683">
        <v>90312</v>
      </c>
      <c r="E683" t="s">
        <v>50</v>
      </c>
    </row>
    <row r="684" spans="1:5" hidden="1">
      <c r="A684" s="74">
        <v>46107</v>
      </c>
      <c r="B684" t="s">
        <v>641</v>
      </c>
      <c r="D684">
        <v>110977</v>
      </c>
      <c r="E684" t="s">
        <v>33</v>
      </c>
    </row>
    <row r="685" spans="1:5" hidden="1">
      <c r="A685" s="74">
        <v>46101</v>
      </c>
      <c r="B685" t="s">
        <v>641</v>
      </c>
      <c r="D685">
        <v>109773</v>
      </c>
      <c r="E685" t="s">
        <v>33</v>
      </c>
    </row>
    <row r="686" spans="1:5" hidden="1">
      <c r="A686" s="74">
        <v>46080</v>
      </c>
      <c r="B686" t="s">
        <v>641</v>
      </c>
      <c r="D686">
        <v>107236</v>
      </c>
    </row>
    <row r="687" spans="1:5" hidden="1">
      <c r="A687" s="74">
        <v>46079</v>
      </c>
      <c r="B687" t="s">
        <v>641</v>
      </c>
      <c r="D687">
        <v>106998</v>
      </c>
    </row>
    <row r="688" spans="1:5" hidden="1">
      <c r="A688" s="74">
        <v>46104</v>
      </c>
      <c r="B688" t="s">
        <v>642</v>
      </c>
      <c r="D688">
        <v>93964</v>
      </c>
      <c r="E688" t="s">
        <v>33</v>
      </c>
    </row>
    <row r="689" spans="1:7" hidden="1">
      <c r="A689" s="74">
        <v>46101</v>
      </c>
      <c r="B689" t="s">
        <v>642</v>
      </c>
      <c r="D689">
        <v>93231</v>
      </c>
      <c r="E689" t="s">
        <v>33</v>
      </c>
    </row>
    <row r="690" spans="1:7" hidden="1">
      <c r="A690" s="74">
        <v>46101</v>
      </c>
      <c r="B690" t="s">
        <v>642</v>
      </c>
      <c r="D690">
        <v>92994</v>
      </c>
      <c r="E690" t="s">
        <v>33</v>
      </c>
      <c r="F690" t="s">
        <v>737</v>
      </c>
      <c r="G690" t="s">
        <v>738</v>
      </c>
    </row>
    <row r="691" spans="1:7" hidden="1">
      <c r="A691" s="74">
        <v>46098</v>
      </c>
      <c r="B691" t="s">
        <v>642</v>
      </c>
      <c r="D691">
        <v>92723</v>
      </c>
      <c r="E691" t="s">
        <v>33</v>
      </c>
    </row>
    <row r="692" spans="1:7" hidden="1">
      <c r="A692" s="74">
        <v>46136</v>
      </c>
      <c r="B692" t="s">
        <v>644</v>
      </c>
      <c r="D692">
        <v>151721</v>
      </c>
      <c r="E692" t="s">
        <v>706</v>
      </c>
    </row>
    <row r="693" spans="1:7" hidden="1">
      <c r="A693" s="74">
        <v>46133</v>
      </c>
      <c r="B693" t="s">
        <v>644</v>
      </c>
      <c r="D693">
        <v>150765</v>
      </c>
      <c r="E693" t="s">
        <v>706</v>
      </c>
    </row>
    <row r="694" spans="1:7" hidden="1">
      <c r="A694" s="74">
        <v>46101</v>
      </c>
      <c r="B694" t="s">
        <v>644</v>
      </c>
      <c r="D694">
        <v>146056</v>
      </c>
      <c r="E694" t="s">
        <v>62</v>
      </c>
    </row>
    <row r="695" spans="1:7" hidden="1">
      <c r="A695" s="74">
        <v>46098</v>
      </c>
      <c r="B695" t="s">
        <v>644</v>
      </c>
      <c r="D695">
        <v>145462</v>
      </c>
      <c r="E695" t="s">
        <v>62</v>
      </c>
    </row>
    <row r="696" spans="1:7" hidden="1">
      <c r="A696" s="74">
        <v>46133</v>
      </c>
      <c r="B696" t="s">
        <v>646</v>
      </c>
      <c r="D696">
        <v>133636</v>
      </c>
      <c r="E696" t="s">
        <v>722</v>
      </c>
    </row>
    <row r="697" spans="1:7" hidden="1">
      <c r="A697" s="74">
        <v>46105</v>
      </c>
      <c r="B697" t="s">
        <v>646</v>
      </c>
      <c r="D697">
        <v>129880</v>
      </c>
      <c r="E697" t="s">
        <v>37</v>
      </c>
    </row>
    <row r="698" spans="1:7" hidden="1">
      <c r="A698" s="74">
        <v>46104</v>
      </c>
      <c r="B698" t="s">
        <v>646</v>
      </c>
      <c r="D698">
        <v>123029</v>
      </c>
      <c r="E698" t="s">
        <v>15</v>
      </c>
    </row>
    <row r="699" spans="1:7" hidden="1">
      <c r="A699" s="74">
        <v>46009</v>
      </c>
      <c r="B699" t="s">
        <v>646</v>
      </c>
      <c r="D699">
        <v>96224</v>
      </c>
    </row>
    <row r="700" spans="1:7" hidden="1">
      <c r="A700" s="74">
        <v>46108</v>
      </c>
      <c r="B700" t="s">
        <v>647</v>
      </c>
      <c r="D700">
        <v>112051</v>
      </c>
      <c r="E700" t="s">
        <v>315</v>
      </c>
      <c r="F700" t="s">
        <v>739</v>
      </c>
      <c r="G700" t="s">
        <v>676</v>
      </c>
    </row>
    <row r="701" spans="1:7" hidden="1">
      <c r="A701" s="74">
        <v>46106</v>
      </c>
      <c r="B701" t="s">
        <v>647</v>
      </c>
      <c r="D701">
        <v>111602</v>
      </c>
      <c r="E701" t="s">
        <v>315</v>
      </c>
      <c r="F701" t="s">
        <v>739</v>
      </c>
      <c r="G701" t="s">
        <v>676</v>
      </c>
    </row>
    <row r="702" spans="1:7" hidden="1">
      <c r="A702" s="74">
        <v>46104</v>
      </c>
      <c r="B702" t="s">
        <v>647</v>
      </c>
      <c r="D702">
        <v>111189</v>
      </c>
      <c r="E702" t="s">
        <v>315</v>
      </c>
      <c r="F702" t="s">
        <v>739</v>
      </c>
      <c r="G702" t="s">
        <v>676</v>
      </c>
    </row>
    <row r="703" spans="1:7" hidden="1">
      <c r="A703" s="74">
        <v>46100</v>
      </c>
      <c r="B703" t="s">
        <v>647</v>
      </c>
      <c r="D703">
        <v>78279</v>
      </c>
      <c r="E703" t="s">
        <v>679</v>
      </c>
    </row>
    <row r="704" spans="1:7" hidden="1">
      <c r="A704" s="74">
        <v>46015</v>
      </c>
      <c r="B704" t="s">
        <v>649</v>
      </c>
      <c r="D704">
        <v>110259</v>
      </c>
    </row>
    <row r="705" spans="1:4" hidden="1">
      <c r="A705" s="74">
        <v>46013</v>
      </c>
      <c r="B705" t="s">
        <v>649</v>
      </c>
      <c r="D705">
        <v>105907</v>
      </c>
    </row>
    <row r="706" spans="1:4" hidden="1">
      <c r="A706" s="74">
        <v>46003</v>
      </c>
      <c r="B706" t="s">
        <v>649</v>
      </c>
      <c r="D706">
        <v>102384</v>
      </c>
    </row>
    <row r="707" spans="1:4" hidden="1">
      <c r="A707" s="74">
        <v>46002</v>
      </c>
      <c r="B707" t="s">
        <v>649</v>
      </c>
      <c r="D707">
        <v>102679</v>
      </c>
    </row>
    <row r="708" spans="1:4" hidden="1">
      <c r="A708" s="74">
        <v>46015</v>
      </c>
      <c r="B708" t="s">
        <v>650</v>
      </c>
      <c r="D708">
        <v>96800</v>
      </c>
    </row>
    <row r="709" spans="1:4" hidden="1">
      <c r="A709" s="74">
        <v>46011</v>
      </c>
      <c r="B709" t="s">
        <v>650</v>
      </c>
      <c r="D709">
        <v>96458</v>
      </c>
    </row>
    <row r="710" spans="1:4" hidden="1">
      <c r="A710" s="74">
        <v>46003</v>
      </c>
      <c r="B710" t="s">
        <v>650</v>
      </c>
      <c r="D710">
        <v>96340</v>
      </c>
    </row>
    <row r="711" spans="1:4" hidden="1">
      <c r="A711" s="74">
        <v>46000</v>
      </c>
      <c r="B711" t="s">
        <v>650</v>
      </c>
      <c r="D711">
        <v>95914</v>
      </c>
    </row>
    <row r="712" spans="1:4" ht="15" hidden="1" customHeight="1">
      <c r="A712" s="74"/>
    </row>
    <row r="713" spans="1:4" ht="15" hidden="1" customHeight="1">
      <c r="A713" s="74"/>
    </row>
    <row r="714" spans="1:4" ht="15" hidden="1" customHeight="1">
      <c r="A714" s="74"/>
    </row>
    <row r="715" spans="1:4" ht="15" hidden="1" customHeight="1">
      <c r="A715" s="74"/>
    </row>
    <row r="716" spans="1:4" ht="15" hidden="1" customHeight="1">
      <c r="A716" s="74"/>
    </row>
    <row r="717" spans="1:4" ht="15" hidden="1" customHeight="1">
      <c r="A717" s="74"/>
    </row>
    <row r="718" spans="1:4" ht="15" hidden="1" customHeight="1">
      <c r="A718" s="74"/>
    </row>
    <row r="719" spans="1:4" ht="15" hidden="1" customHeight="1">
      <c r="A719" s="74"/>
    </row>
    <row r="720" spans="1:4" ht="15" hidden="1" customHeight="1">
      <c r="A720" s="74"/>
    </row>
    <row r="721" spans="1:1" ht="15" hidden="1" customHeight="1">
      <c r="A721" s="74"/>
    </row>
    <row r="722" spans="1:1" ht="15" hidden="1" customHeight="1">
      <c r="A722" s="74"/>
    </row>
    <row r="723" spans="1:1" ht="15" hidden="1" customHeight="1">
      <c r="A723" s="74"/>
    </row>
    <row r="724" spans="1:1" ht="15" hidden="1" customHeight="1">
      <c r="A724" s="74"/>
    </row>
    <row r="725" spans="1:1" ht="15" hidden="1" customHeight="1">
      <c r="A725" s="74"/>
    </row>
    <row r="726" spans="1:1" ht="15" hidden="1" customHeight="1">
      <c r="A726" s="74"/>
    </row>
    <row r="727" spans="1:1" ht="15" hidden="1" customHeight="1">
      <c r="A727" s="74"/>
    </row>
    <row r="728" spans="1:1" ht="15" hidden="1" customHeight="1">
      <c r="A728" s="74"/>
    </row>
    <row r="729" spans="1:1" ht="15" hidden="1" customHeight="1">
      <c r="A729" s="74"/>
    </row>
    <row r="730" spans="1:1" ht="15" hidden="1" customHeight="1">
      <c r="A730" s="74"/>
    </row>
    <row r="731" spans="1:1" ht="15" hidden="1" customHeight="1">
      <c r="A731" s="74"/>
    </row>
    <row r="732" spans="1:1" ht="15" hidden="1" customHeight="1">
      <c r="A732" s="74"/>
    </row>
    <row r="733" spans="1:1" ht="15" hidden="1" customHeight="1">
      <c r="A733" s="74"/>
    </row>
    <row r="734" spans="1:1" ht="15" hidden="1" customHeight="1">
      <c r="A734" s="74"/>
    </row>
    <row r="735" spans="1:1" ht="15" hidden="1" customHeight="1">
      <c r="A735" s="74"/>
    </row>
    <row r="736" spans="1:1" ht="15" hidden="1" customHeight="1">
      <c r="A736" s="74"/>
    </row>
    <row r="737" spans="1:1" ht="15" hidden="1" customHeight="1">
      <c r="A737" s="74"/>
    </row>
    <row r="738" spans="1:1" ht="15" hidden="1" customHeight="1">
      <c r="A738" s="74"/>
    </row>
    <row r="739" spans="1:1" ht="15" hidden="1" customHeight="1">
      <c r="A739" s="74"/>
    </row>
    <row r="740" spans="1:1" ht="15" hidden="1" customHeight="1">
      <c r="A740" s="74"/>
    </row>
    <row r="741" spans="1:1" ht="15" hidden="1" customHeight="1">
      <c r="A741" s="74"/>
    </row>
    <row r="742" spans="1:1" ht="15" hidden="1" customHeight="1">
      <c r="A742" s="74"/>
    </row>
    <row r="743" spans="1:1" ht="15" hidden="1" customHeight="1">
      <c r="A743" s="74"/>
    </row>
    <row r="744" spans="1:1" ht="15" hidden="1" customHeight="1">
      <c r="A744" s="74"/>
    </row>
    <row r="745" spans="1:1" ht="15" hidden="1" customHeight="1">
      <c r="A745" s="74"/>
    </row>
    <row r="746" spans="1:1" ht="15" hidden="1" customHeight="1">
      <c r="A746" s="74"/>
    </row>
    <row r="747" spans="1:1" ht="15" hidden="1" customHeight="1">
      <c r="A747" s="74"/>
    </row>
    <row r="748" spans="1:1" ht="15" hidden="1" customHeight="1">
      <c r="A748" s="74"/>
    </row>
    <row r="749" spans="1:1" ht="15" hidden="1" customHeight="1">
      <c r="A749" s="74"/>
    </row>
    <row r="750" spans="1:1" ht="15" hidden="1" customHeight="1">
      <c r="A750" s="74"/>
    </row>
    <row r="751" spans="1:1" ht="15" hidden="1" customHeight="1">
      <c r="A751" s="74"/>
    </row>
    <row r="752" spans="1:1" ht="15" hidden="1" customHeight="1">
      <c r="A752" s="74"/>
    </row>
    <row r="753" spans="1:1" ht="15" hidden="1" customHeight="1">
      <c r="A753" s="74"/>
    </row>
    <row r="754" spans="1:1" ht="15" hidden="1" customHeight="1">
      <c r="A754" s="74"/>
    </row>
    <row r="755" spans="1:1" ht="15" hidden="1" customHeight="1">
      <c r="A755" s="74"/>
    </row>
    <row r="756" spans="1:1" ht="15" hidden="1" customHeight="1">
      <c r="A756" s="74"/>
    </row>
    <row r="757" spans="1:1" ht="15" hidden="1" customHeight="1">
      <c r="A757" s="74"/>
    </row>
    <row r="758" spans="1:1" ht="15" hidden="1" customHeight="1">
      <c r="A758" s="74"/>
    </row>
    <row r="759" spans="1:1" ht="15" hidden="1" customHeight="1">
      <c r="A759" s="74"/>
    </row>
    <row r="760" spans="1:1" ht="15" hidden="1" customHeight="1">
      <c r="A760" s="74"/>
    </row>
    <row r="761" spans="1:1" ht="15" hidden="1" customHeight="1">
      <c r="A761" s="74"/>
    </row>
    <row r="762" spans="1:1" ht="15" hidden="1" customHeight="1">
      <c r="A762" s="74"/>
    </row>
    <row r="763" spans="1:1" ht="15" hidden="1" customHeight="1">
      <c r="A763" s="74"/>
    </row>
    <row r="764" spans="1:1" ht="15" hidden="1" customHeight="1">
      <c r="A764" s="74"/>
    </row>
    <row r="765" spans="1:1" ht="15" hidden="1" customHeight="1">
      <c r="A765" s="74"/>
    </row>
    <row r="766" spans="1:1" ht="15" hidden="1" customHeight="1">
      <c r="A766" s="74"/>
    </row>
    <row r="767" spans="1:1" ht="15" hidden="1" customHeight="1">
      <c r="A767" s="74"/>
    </row>
    <row r="768" spans="1:1" ht="15" hidden="1" customHeight="1">
      <c r="A768" s="74"/>
    </row>
    <row r="769" spans="1:1" ht="15" hidden="1" customHeight="1">
      <c r="A769" s="74"/>
    </row>
    <row r="770" spans="1:1" ht="15" hidden="1" customHeight="1">
      <c r="A770" s="74"/>
    </row>
    <row r="771" spans="1:1" ht="15" hidden="1" customHeight="1">
      <c r="A771" s="74"/>
    </row>
    <row r="772" spans="1:1" ht="15" hidden="1" customHeight="1">
      <c r="A772" s="74"/>
    </row>
    <row r="773" spans="1:1" ht="15" hidden="1" customHeight="1">
      <c r="A773" s="74"/>
    </row>
    <row r="774" spans="1:1" ht="15" hidden="1" customHeight="1">
      <c r="A774" s="74"/>
    </row>
    <row r="775" spans="1:1" ht="15" hidden="1" customHeight="1">
      <c r="A775" s="74"/>
    </row>
    <row r="776" spans="1:1" ht="15" hidden="1" customHeight="1">
      <c r="A776" s="74"/>
    </row>
    <row r="777" spans="1:1" ht="15" hidden="1" customHeight="1">
      <c r="A777" s="74"/>
    </row>
    <row r="778" spans="1:1" ht="15" hidden="1" customHeight="1">
      <c r="A778" s="74"/>
    </row>
    <row r="779" spans="1:1" ht="15" hidden="1" customHeight="1">
      <c r="A779" s="74"/>
    </row>
    <row r="780" spans="1:1" ht="15" hidden="1" customHeight="1">
      <c r="A780" s="74"/>
    </row>
    <row r="781" spans="1:1" ht="15" hidden="1" customHeight="1">
      <c r="A781" s="74"/>
    </row>
    <row r="782" spans="1:1" ht="15" hidden="1" customHeight="1">
      <c r="A782" s="74"/>
    </row>
    <row r="783" spans="1:1" ht="15" hidden="1" customHeight="1">
      <c r="A783" s="74"/>
    </row>
    <row r="784" spans="1:1" ht="15" hidden="1" customHeight="1">
      <c r="A784" s="74"/>
    </row>
    <row r="785" spans="1:1" ht="15" hidden="1" customHeight="1">
      <c r="A785" s="74"/>
    </row>
    <row r="786" spans="1:1" ht="15" hidden="1" customHeight="1">
      <c r="A786" s="74"/>
    </row>
    <row r="787" spans="1:1" ht="15" hidden="1" customHeight="1">
      <c r="A787" s="74"/>
    </row>
    <row r="788" spans="1:1" ht="15" hidden="1" customHeight="1">
      <c r="A788" s="74"/>
    </row>
    <row r="789" spans="1:1" ht="15" hidden="1" customHeight="1">
      <c r="A789" s="74"/>
    </row>
    <row r="790" spans="1:1" ht="15" hidden="1" customHeight="1">
      <c r="A790" s="74"/>
    </row>
    <row r="791" spans="1:1" ht="15" hidden="1" customHeight="1">
      <c r="A791" s="74"/>
    </row>
    <row r="792" spans="1:1" ht="15" hidden="1" customHeight="1">
      <c r="A792" s="74"/>
    </row>
    <row r="793" spans="1:1" ht="15" hidden="1" customHeight="1">
      <c r="A793" s="74"/>
    </row>
    <row r="794" spans="1:1" ht="15" hidden="1" customHeight="1">
      <c r="A794" s="74"/>
    </row>
    <row r="795" spans="1:1" ht="15" hidden="1" customHeight="1">
      <c r="A795" s="74"/>
    </row>
    <row r="796" spans="1:1" ht="15" hidden="1" customHeight="1">
      <c r="A796" s="74"/>
    </row>
    <row r="797" spans="1:1" ht="15" hidden="1" customHeight="1">
      <c r="A797" s="74"/>
    </row>
    <row r="798" spans="1:1" ht="15" hidden="1" customHeight="1">
      <c r="A798" s="74"/>
    </row>
    <row r="799" spans="1:1" ht="15" hidden="1" customHeight="1">
      <c r="A799" s="74"/>
    </row>
    <row r="800" spans="1:1" ht="15" hidden="1" customHeight="1">
      <c r="A800" s="74"/>
    </row>
    <row r="801" spans="1:1" ht="15" hidden="1" customHeight="1">
      <c r="A801" s="74"/>
    </row>
    <row r="802" spans="1:1" ht="15" hidden="1" customHeight="1">
      <c r="A802" s="74"/>
    </row>
    <row r="803" spans="1:1" ht="15" hidden="1" customHeight="1">
      <c r="A803" s="74"/>
    </row>
    <row r="804" spans="1:1" ht="15" hidden="1" customHeight="1">
      <c r="A804" s="74"/>
    </row>
    <row r="805" spans="1:1" ht="15" hidden="1" customHeight="1">
      <c r="A805" s="74"/>
    </row>
    <row r="806" spans="1:1" ht="15" hidden="1" customHeight="1">
      <c r="A806" s="74"/>
    </row>
    <row r="807" spans="1:1" ht="15" hidden="1" customHeight="1">
      <c r="A807" s="74"/>
    </row>
    <row r="808" spans="1:1" ht="15" hidden="1" customHeight="1">
      <c r="A808" s="74"/>
    </row>
    <row r="809" spans="1:1" ht="15" hidden="1" customHeight="1">
      <c r="A809" s="74"/>
    </row>
    <row r="810" spans="1:1" ht="15" hidden="1" customHeight="1">
      <c r="A810" s="74"/>
    </row>
    <row r="811" spans="1:1" ht="15" hidden="1" customHeight="1">
      <c r="A811" s="74"/>
    </row>
    <row r="812" spans="1:1" ht="15" hidden="1" customHeight="1">
      <c r="A812" s="74"/>
    </row>
    <row r="813" spans="1:1" ht="15" hidden="1" customHeight="1">
      <c r="A813" s="74"/>
    </row>
    <row r="814" spans="1:1" ht="15" hidden="1" customHeight="1">
      <c r="A814" s="74"/>
    </row>
    <row r="815" spans="1:1" ht="15" hidden="1" customHeight="1">
      <c r="A815" s="74"/>
    </row>
    <row r="816" spans="1:1" ht="15" hidden="1" customHeight="1">
      <c r="A816" s="74"/>
    </row>
    <row r="817" spans="1:1" ht="15" hidden="1" customHeight="1">
      <c r="A817" s="74"/>
    </row>
    <row r="818" spans="1:1" ht="15" hidden="1" customHeight="1">
      <c r="A818" s="74"/>
    </row>
    <row r="819" spans="1:1" ht="15" hidden="1" customHeight="1">
      <c r="A819" s="74"/>
    </row>
    <row r="820" spans="1:1" ht="15" hidden="1" customHeight="1">
      <c r="A820" s="74"/>
    </row>
    <row r="821" spans="1:1" ht="15" hidden="1" customHeight="1">
      <c r="A821" s="74"/>
    </row>
    <row r="822" spans="1:1" ht="15" hidden="1" customHeight="1">
      <c r="A822" s="74"/>
    </row>
    <row r="823" spans="1:1" ht="15" hidden="1" customHeight="1">
      <c r="A823" s="74"/>
    </row>
    <row r="824" spans="1:1" ht="15" hidden="1" customHeight="1">
      <c r="A824" s="74"/>
    </row>
    <row r="825" spans="1:1" ht="15" hidden="1" customHeight="1">
      <c r="A825" s="74"/>
    </row>
    <row r="826" spans="1:1" ht="15" hidden="1" customHeight="1">
      <c r="A826" s="74"/>
    </row>
    <row r="827" spans="1:1" ht="15" hidden="1" customHeight="1">
      <c r="A827" s="74"/>
    </row>
    <row r="828" spans="1:1" ht="15" hidden="1" customHeight="1">
      <c r="A828" s="74"/>
    </row>
    <row r="829" spans="1:1" ht="15" hidden="1" customHeight="1">
      <c r="A829" s="74"/>
    </row>
    <row r="830" spans="1:1" ht="15" hidden="1" customHeight="1">
      <c r="A830" s="74"/>
    </row>
    <row r="831" spans="1:1" ht="15" hidden="1" customHeight="1">
      <c r="A831" s="74"/>
    </row>
    <row r="832" spans="1:1" ht="15" hidden="1" customHeight="1">
      <c r="A832" s="74"/>
    </row>
    <row r="833" spans="1:1" ht="15" hidden="1" customHeight="1">
      <c r="A833" s="74"/>
    </row>
    <row r="834" spans="1:1" ht="15" hidden="1" customHeight="1">
      <c r="A834" s="74"/>
    </row>
    <row r="835" spans="1:1" ht="15" hidden="1" customHeight="1">
      <c r="A835" s="74"/>
    </row>
    <row r="836" spans="1:1" ht="15" hidden="1" customHeight="1">
      <c r="A836" s="74"/>
    </row>
    <row r="837" spans="1:1" hidden="1">
      <c r="A837" s="74"/>
    </row>
    <row r="838" spans="1:1" ht="15" hidden="1" customHeight="1">
      <c r="A838" s="74"/>
    </row>
    <row r="839" spans="1:1" ht="15" hidden="1" customHeight="1">
      <c r="A839" s="74"/>
    </row>
    <row r="840" spans="1:1" ht="15" hidden="1" customHeight="1">
      <c r="A840" s="74"/>
    </row>
    <row r="841" spans="1:1" ht="15" hidden="1" customHeight="1">
      <c r="A841" s="74"/>
    </row>
    <row r="842" spans="1:1" ht="15" hidden="1" customHeight="1">
      <c r="A842" s="74"/>
    </row>
    <row r="843" spans="1:1" ht="15" hidden="1" customHeight="1">
      <c r="A843" s="74"/>
    </row>
    <row r="844" spans="1:1" ht="15" hidden="1" customHeight="1">
      <c r="A844" s="74"/>
    </row>
    <row r="845" spans="1:1" ht="15" hidden="1" customHeight="1">
      <c r="A845" s="74"/>
    </row>
    <row r="846" spans="1:1" ht="15" hidden="1" customHeight="1">
      <c r="A846" s="74"/>
    </row>
    <row r="847" spans="1:1" ht="15" hidden="1" customHeight="1">
      <c r="A847" s="74"/>
    </row>
    <row r="848" spans="1:1" ht="15" hidden="1" customHeight="1">
      <c r="A848" s="74"/>
    </row>
    <row r="849" spans="1:1" ht="15" hidden="1" customHeight="1">
      <c r="A849" s="74"/>
    </row>
    <row r="850" spans="1:1" ht="15" hidden="1" customHeight="1">
      <c r="A850" s="74"/>
    </row>
    <row r="851" spans="1:1" ht="15" hidden="1" customHeight="1">
      <c r="A851" s="74"/>
    </row>
    <row r="852" spans="1:1" ht="15" hidden="1" customHeight="1">
      <c r="A852" s="74"/>
    </row>
    <row r="853" spans="1:1" ht="15" hidden="1" customHeight="1">
      <c r="A853" s="74"/>
    </row>
    <row r="854" spans="1:1" ht="15" hidden="1" customHeight="1">
      <c r="A854" s="74"/>
    </row>
    <row r="855" spans="1:1" ht="15" hidden="1" customHeight="1">
      <c r="A855" s="74"/>
    </row>
    <row r="856" spans="1:1" ht="15" hidden="1" customHeight="1">
      <c r="A856" s="74"/>
    </row>
    <row r="857" spans="1:1" ht="15" hidden="1" customHeight="1">
      <c r="A857" s="74"/>
    </row>
    <row r="858" spans="1:1" ht="15" hidden="1" customHeight="1">
      <c r="A858" s="74"/>
    </row>
    <row r="859" spans="1:1" ht="15" hidden="1" customHeight="1">
      <c r="A859" s="74"/>
    </row>
    <row r="860" spans="1:1" ht="15" hidden="1" customHeight="1">
      <c r="A860" s="74"/>
    </row>
    <row r="861" spans="1:1" ht="15" hidden="1" customHeight="1">
      <c r="A861" s="74"/>
    </row>
    <row r="862" spans="1:1" ht="15" hidden="1" customHeight="1">
      <c r="A862" s="74"/>
    </row>
    <row r="863" spans="1:1" ht="15" hidden="1" customHeight="1">
      <c r="A863" s="74"/>
    </row>
    <row r="864" spans="1:1" ht="15" hidden="1" customHeight="1">
      <c r="A864" s="74"/>
    </row>
    <row r="865" spans="1:1" ht="15" hidden="1" customHeight="1">
      <c r="A865" s="74"/>
    </row>
    <row r="866" spans="1:1" ht="15" hidden="1" customHeight="1">
      <c r="A866" s="74"/>
    </row>
    <row r="867" spans="1:1" ht="15" hidden="1" customHeight="1">
      <c r="A867" s="74"/>
    </row>
    <row r="868" spans="1:1" ht="15" hidden="1" customHeight="1">
      <c r="A868" s="74"/>
    </row>
    <row r="869" spans="1:1" ht="15" hidden="1" customHeight="1">
      <c r="A869" s="74"/>
    </row>
    <row r="870" spans="1:1" ht="15" hidden="1" customHeight="1">
      <c r="A870" s="74"/>
    </row>
    <row r="871" spans="1:1" ht="15" hidden="1" customHeight="1">
      <c r="A871" s="74"/>
    </row>
    <row r="872" spans="1:1" ht="15" hidden="1" customHeight="1">
      <c r="A872" s="74"/>
    </row>
    <row r="873" spans="1:1" ht="15" hidden="1" customHeight="1">
      <c r="A873" s="74"/>
    </row>
    <row r="874" spans="1:1" ht="15" hidden="1" customHeight="1">
      <c r="A874" s="74"/>
    </row>
    <row r="875" spans="1:1" ht="15" hidden="1" customHeight="1">
      <c r="A875" s="74"/>
    </row>
    <row r="876" spans="1:1" ht="15" hidden="1" customHeight="1">
      <c r="A876" s="74"/>
    </row>
    <row r="877" spans="1:1" ht="15" hidden="1" customHeight="1">
      <c r="A877" s="74"/>
    </row>
    <row r="878" spans="1:1" ht="15" hidden="1" customHeight="1">
      <c r="A878" s="74"/>
    </row>
    <row r="879" spans="1:1" ht="15" hidden="1" customHeight="1">
      <c r="A879" s="74"/>
    </row>
    <row r="880" spans="1:1" ht="15" hidden="1" customHeight="1">
      <c r="A880" s="74"/>
    </row>
    <row r="881" spans="1:1" ht="15" hidden="1" customHeight="1">
      <c r="A881" s="74"/>
    </row>
    <row r="882" spans="1:1" ht="15" hidden="1" customHeight="1">
      <c r="A882" s="74"/>
    </row>
    <row r="883" spans="1:1" ht="15" hidden="1" customHeight="1">
      <c r="A883" s="74"/>
    </row>
    <row r="884" spans="1:1" ht="15" hidden="1" customHeight="1">
      <c r="A884" s="74"/>
    </row>
    <row r="885" spans="1:1" ht="15" hidden="1" customHeight="1">
      <c r="A885" s="74"/>
    </row>
    <row r="886" spans="1:1" ht="15" hidden="1" customHeight="1">
      <c r="A886" s="74"/>
    </row>
    <row r="887" spans="1:1" ht="15" hidden="1" customHeight="1">
      <c r="A887" s="74"/>
    </row>
    <row r="888" spans="1:1" ht="15" hidden="1" customHeight="1">
      <c r="A888" s="74"/>
    </row>
    <row r="889" spans="1:1" ht="15" hidden="1" customHeight="1">
      <c r="A889" s="74"/>
    </row>
    <row r="890" spans="1:1" ht="15" hidden="1" customHeight="1">
      <c r="A890" s="74"/>
    </row>
    <row r="891" spans="1:1" ht="15" hidden="1" customHeight="1">
      <c r="A891" s="74"/>
    </row>
    <row r="892" spans="1:1" ht="15" hidden="1" customHeight="1">
      <c r="A892" s="74"/>
    </row>
    <row r="893" spans="1:1" ht="15" hidden="1" customHeight="1">
      <c r="A893" s="74"/>
    </row>
    <row r="894" spans="1:1" ht="15" hidden="1" customHeight="1">
      <c r="A894" s="74"/>
    </row>
    <row r="895" spans="1:1" ht="15" hidden="1" customHeight="1">
      <c r="A895" s="74"/>
    </row>
    <row r="896" spans="1:1" ht="15" hidden="1" customHeight="1">
      <c r="A896" s="74"/>
    </row>
    <row r="897" spans="1:1" ht="15" hidden="1" customHeight="1">
      <c r="A897" s="74"/>
    </row>
    <row r="898" spans="1:1" ht="15" hidden="1" customHeight="1">
      <c r="A898" s="74"/>
    </row>
    <row r="899" spans="1:1" ht="15" hidden="1" customHeight="1">
      <c r="A899" s="74"/>
    </row>
    <row r="900" spans="1:1" ht="15" hidden="1" customHeight="1">
      <c r="A900" s="74"/>
    </row>
    <row r="901" spans="1:1" ht="15" hidden="1" customHeight="1">
      <c r="A901" s="74"/>
    </row>
    <row r="902" spans="1:1" ht="15" hidden="1" customHeight="1">
      <c r="A902" s="74"/>
    </row>
    <row r="903" spans="1:1" ht="15" hidden="1" customHeight="1">
      <c r="A903" s="74"/>
    </row>
    <row r="904" spans="1:1" ht="15" hidden="1" customHeight="1">
      <c r="A904" s="74"/>
    </row>
    <row r="905" spans="1:1" ht="15" hidden="1" customHeight="1">
      <c r="A905" s="74"/>
    </row>
    <row r="906" spans="1:1" ht="15" hidden="1" customHeight="1">
      <c r="A906" s="74"/>
    </row>
    <row r="907" spans="1:1" ht="15" hidden="1" customHeight="1">
      <c r="A907" s="74"/>
    </row>
    <row r="908" spans="1:1" ht="15" hidden="1" customHeight="1">
      <c r="A908" s="74"/>
    </row>
    <row r="909" spans="1:1" ht="15" hidden="1" customHeight="1">
      <c r="A909" s="74"/>
    </row>
    <row r="910" spans="1:1" ht="15" hidden="1" customHeight="1">
      <c r="A910" s="74"/>
    </row>
    <row r="911" spans="1:1" ht="15" hidden="1" customHeight="1">
      <c r="A911" s="74"/>
    </row>
    <row r="912" spans="1:1" ht="15" hidden="1" customHeight="1">
      <c r="A912" s="74"/>
    </row>
    <row r="913" spans="1:1" ht="15" hidden="1" customHeight="1">
      <c r="A913" s="74"/>
    </row>
    <row r="914" spans="1:1" ht="15" hidden="1" customHeight="1">
      <c r="A914" s="74"/>
    </row>
    <row r="915" spans="1:1" ht="15" hidden="1" customHeight="1">
      <c r="A915" s="74"/>
    </row>
    <row r="916" spans="1:1" ht="15" hidden="1" customHeight="1">
      <c r="A916" s="74"/>
    </row>
    <row r="917" spans="1:1" ht="15" hidden="1" customHeight="1">
      <c r="A917" s="74"/>
    </row>
    <row r="918" spans="1:1" ht="15" hidden="1" customHeight="1">
      <c r="A918" s="74"/>
    </row>
    <row r="919" spans="1:1" hidden="1">
      <c r="A919" s="74"/>
    </row>
    <row r="920" spans="1:1" ht="15" hidden="1" customHeight="1">
      <c r="A920" s="74"/>
    </row>
    <row r="921" spans="1:1" ht="15" hidden="1" customHeight="1">
      <c r="A921" s="74"/>
    </row>
    <row r="922" spans="1:1" ht="15" hidden="1" customHeight="1">
      <c r="A922" s="74"/>
    </row>
    <row r="923" spans="1:1" ht="15" hidden="1" customHeight="1">
      <c r="A923" s="74"/>
    </row>
    <row r="924" spans="1:1" ht="15" hidden="1" customHeight="1">
      <c r="A924" s="74"/>
    </row>
    <row r="925" spans="1:1" ht="15" hidden="1" customHeight="1">
      <c r="A925" s="74"/>
    </row>
    <row r="926" spans="1:1" ht="15" hidden="1" customHeight="1">
      <c r="A926" s="74"/>
    </row>
    <row r="927" spans="1:1" ht="15" hidden="1" customHeight="1">
      <c r="A927" s="74"/>
    </row>
    <row r="928" spans="1:1" ht="15" hidden="1" customHeight="1">
      <c r="A928" s="74"/>
    </row>
    <row r="929" spans="1:1" ht="15" hidden="1" customHeight="1">
      <c r="A929" s="74"/>
    </row>
    <row r="930" spans="1:1" ht="15" hidden="1" customHeight="1">
      <c r="A930" s="74"/>
    </row>
    <row r="931" spans="1:1" ht="15" hidden="1" customHeight="1">
      <c r="A931" s="74"/>
    </row>
    <row r="932" spans="1:1" ht="15" hidden="1" customHeight="1">
      <c r="A932" s="74"/>
    </row>
    <row r="933" spans="1:1" ht="15" hidden="1" customHeight="1">
      <c r="A933" s="74"/>
    </row>
    <row r="934" spans="1:1" ht="15" hidden="1" customHeight="1">
      <c r="A934" s="74"/>
    </row>
    <row r="935" spans="1:1" ht="15" hidden="1" customHeight="1">
      <c r="A935" s="74"/>
    </row>
    <row r="936" spans="1:1" ht="15" hidden="1" customHeight="1">
      <c r="A936" s="74"/>
    </row>
    <row r="937" spans="1:1" ht="15" hidden="1" customHeight="1">
      <c r="A937" s="74"/>
    </row>
    <row r="938" spans="1:1" ht="15" hidden="1" customHeight="1">
      <c r="A938" s="74"/>
    </row>
    <row r="939" spans="1:1" ht="15" hidden="1" customHeight="1">
      <c r="A939" s="74"/>
    </row>
    <row r="940" spans="1:1" ht="15" hidden="1" customHeight="1">
      <c r="A940" s="74"/>
    </row>
    <row r="941" spans="1:1" ht="15" hidden="1" customHeight="1">
      <c r="A941" s="74"/>
    </row>
    <row r="942" spans="1:1" ht="15" hidden="1" customHeight="1">
      <c r="A942" s="74"/>
    </row>
    <row r="943" spans="1:1" ht="15" hidden="1" customHeight="1">
      <c r="A943" s="74"/>
    </row>
    <row r="944" spans="1:1" ht="15" hidden="1" customHeight="1">
      <c r="A944" s="74"/>
    </row>
    <row r="945" spans="1:1" ht="15" hidden="1" customHeight="1">
      <c r="A945" s="74"/>
    </row>
    <row r="946" spans="1:1" ht="15" hidden="1" customHeight="1">
      <c r="A946" s="74"/>
    </row>
    <row r="947" spans="1:1" ht="15" hidden="1" customHeight="1">
      <c r="A947" s="74"/>
    </row>
    <row r="948" spans="1:1" ht="15" hidden="1" customHeight="1">
      <c r="A948" s="74"/>
    </row>
    <row r="949" spans="1:1" ht="15" hidden="1" customHeight="1">
      <c r="A949" s="74"/>
    </row>
    <row r="950" spans="1:1" ht="15" hidden="1" customHeight="1">
      <c r="A950" s="74"/>
    </row>
    <row r="951" spans="1:1" ht="15" hidden="1" customHeight="1">
      <c r="A951" s="74"/>
    </row>
    <row r="952" spans="1:1" ht="15" hidden="1" customHeight="1">
      <c r="A952" s="74"/>
    </row>
    <row r="953" spans="1:1" ht="15" hidden="1" customHeight="1">
      <c r="A953" s="74"/>
    </row>
    <row r="954" spans="1:1" ht="15" hidden="1" customHeight="1">
      <c r="A954" s="74"/>
    </row>
    <row r="955" spans="1:1" ht="15" hidden="1" customHeight="1">
      <c r="A955" s="74"/>
    </row>
    <row r="956" spans="1:1" ht="15" hidden="1" customHeight="1">
      <c r="A956" s="74"/>
    </row>
    <row r="957" spans="1:1" ht="15" hidden="1" customHeight="1">
      <c r="A957" s="74"/>
    </row>
    <row r="958" spans="1:1" ht="15" hidden="1" customHeight="1">
      <c r="A958" s="74"/>
    </row>
    <row r="959" spans="1:1" ht="15" hidden="1" customHeight="1">
      <c r="A959" s="74"/>
    </row>
    <row r="960" spans="1:1" ht="15" hidden="1" customHeight="1">
      <c r="A960" s="74"/>
    </row>
    <row r="961" spans="1:1" ht="15" hidden="1" customHeight="1">
      <c r="A961" s="74"/>
    </row>
    <row r="962" spans="1:1" ht="15" hidden="1" customHeight="1">
      <c r="A962" s="74"/>
    </row>
    <row r="963" spans="1:1" ht="15" hidden="1" customHeight="1">
      <c r="A963" s="74"/>
    </row>
    <row r="964" spans="1:1" ht="15" hidden="1" customHeight="1">
      <c r="A964" s="74"/>
    </row>
    <row r="965" spans="1:1" ht="15" hidden="1" customHeight="1">
      <c r="A965" s="74"/>
    </row>
    <row r="966" spans="1:1" hidden="1">
      <c r="A966" s="74"/>
    </row>
    <row r="967" spans="1:1" ht="15" hidden="1" customHeight="1">
      <c r="A967" s="74"/>
    </row>
    <row r="968" spans="1:1" ht="15" hidden="1" customHeight="1">
      <c r="A968" s="74"/>
    </row>
    <row r="969" spans="1:1" ht="15" hidden="1" customHeight="1">
      <c r="A969" s="74"/>
    </row>
    <row r="970" spans="1:1" ht="15" hidden="1" customHeight="1">
      <c r="A970" s="74"/>
    </row>
    <row r="971" spans="1:1" ht="15" hidden="1" customHeight="1">
      <c r="A971" s="74"/>
    </row>
    <row r="972" spans="1:1" ht="15" hidden="1" customHeight="1">
      <c r="A972" s="74"/>
    </row>
    <row r="973" spans="1:1" ht="15" hidden="1" customHeight="1">
      <c r="A973" s="74"/>
    </row>
    <row r="974" spans="1:1" ht="15" hidden="1" customHeight="1">
      <c r="A974" s="74"/>
    </row>
    <row r="975" spans="1:1" ht="15" hidden="1" customHeight="1">
      <c r="A975" s="74"/>
    </row>
    <row r="976" spans="1:1" ht="15" hidden="1" customHeight="1">
      <c r="A976" s="74"/>
    </row>
    <row r="977" spans="1:1" ht="15" hidden="1" customHeight="1">
      <c r="A977" s="74"/>
    </row>
    <row r="978" spans="1:1" ht="15" hidden="1" customHeight="1">
      <c r="A978" s="74"/>
    </row>
    <row r="979" spans="1:1" ht="15" hidden="1" customHeight="1">
      <c r="A979" s="74"/>
    </row>
    <row r="980" spans="1:1" ht="15" hidden="1" customHeight="1">
      <c r="A980" s="74"/>
    </row>
    <row r="981" spans="1:1" ht="15" hidden="1" customHeight="1">
      <c r="A981" s="74"/>
    </row>
    <row r="982" spans="1:1" ht="15" hidden="1" customHeight="1">
      <c r="A982" s="74"/>
    </row>
    <row r="983" spans="1:1" ht="15" hidden="1" customHeight="1">
      <c r="A983" s="74"/>
    </row>
    <row r="984" spans="1:1" ht="15" hidden="1" customHeight="1">
      <c r="A984" s="74"/>
    </row>
    <row r="985" spans="1:1" ht="15" hidden="1" customHeight="1">
      <c r="A985" s="74"/>
    </row>
    <row r="986" spans="1:1" ht="15" hidden="1" customHeight="1">
      <c r="A986" s="74"/>
    </row>
    <row r="987" spans="1:1" ht="15" hidden="1" customHeight="1">
      <c r="A987" s="74"/>
    </row>
    <row r="988" spans="1:1" ht="15" hidden="1" customHeight="1">
      <c r="A988" s="74"/>
    </row>
    <row r="989" spans="1:1" ht="15" hidden="1" customHeight="1">
      <c r="A989" s="74"/>
    </row>
    <row r="990" spans="1:1" ht="15" hidden="1" customHeight="1">
      <c r="A990" s="74"/>
    </row>
    <row r="991" spans="1:1" ht="15" hidden="1" customHeight="1">
      <c r="A991" s="74"/>
    </row>
    <row r="992" spans="1:1" ht="15" hidden="1" customHeight="1">
      <c r="A992" s="74"/>
    </row>
    <row r="993" spans="1:1" ht="15" hidden="1" customHeight="1">
      <c r="A993" s="74"/>
    </row>
    <row r="994" spans="1:1" ht="15" hidden="1" customHeight="1">
      <c r="A994" s="74"/>
    </row>
    <row r="995" spans="1:1" ht="15" hidden="1" customHeight="1">
      <c r="A995" s="74"/>
    </row>
    <row r="996" spans="1:1" ht="15" hidden="1" customHeight="1">
      <c r="A996" s="74"/>
    </row>
    <row r="997" spans="1:1" ht="15" hidden="1" customHeight="1">
      <c r="A997" s="74"/>
    </row>
    <row r="998" spans="1:1" ht="15" hidden="1" customHeight="1">
      <c r="A998" s="74"/>
    </row>
    <row r="999" spans="1:1" ht="15" hidden="1" customHeight="1">
      <c r="A999" s="74"/>
    </row>
    <row r="1000" spans="1:1" ht="15" hidden="1" customHeight="1">
      <c r="A1000" s="74"/>
    </row>
    <row r="1001" spans="1:1" ht="15" hidden="1" customHeight="1">
      <c r="A1001" s="74"/>
    </row>
    <row r="1002" spans="1:1" ht="15" hidden="1" customHeight="1">
      <c r="A1002" s="74"/>
    </row>
    <row r="1003" spans="1:1" ht="15" hidden="1" customHeight="1">
      <c r="A1003" s="74"/>
    </row>
    <row r="1004" spans="1:1" ht="15" hidden="1" customHeight="1">
      <c r="A1004" s="74"/>
    </row>
    <row r="1005" spans="1:1" ht="15" hidden="1" customHeight="1">
      <c r="A1005" s="74"/>
    </row>
    <row r="1006" spans="1:1" ht="15" hidden="1" customHeight="1">
      <c r="A1006" s="74"/>
    </row>
    <row r="1007" spans="1:1" ht="15" hidden="1" customHeight="1">
      <c r="A1007" s="74"/>
    </row>
    <row r="1008" spans="1:1" ht="15" hidden="1" customHeight="1">
      <c r="A1008" s="74"/>
    </row>
    <row r="1009" spans="1:1" ht="15" hidden="1" customHeight="1">
      <c r="A1009" s="74"/>
    </row>
    <row r="1010" spans="1:1" ht="15" hidden="1" customHeight="1">
      <c r="A1010" s="74"/>
    </row>
    <row r="1011" spans="1:1" ht="15" hidden="1" customHeight="1">
      <c r="A1011" s="74"/>
    </row>
    <row r="1012" spans="1:1" ht="15" hidden="1" customHeight="1">
      <c r="A1012" s="74"/>
    </row>
    <row r="1013" spans="1:1" ht="15" hidden="1" customHeight="1">
      <c r="A1013" s="74"/>
    </row>
    <row r="1014" spans="1:1" ht="15" hidden="1" customHeight="1">
      <c r="A1014" s="74"/>
    </row>
    <row r="1015" spans="1:1" ht="15" hidden="1" customHeight="1">
      <c r="A1015" s="74"/>
    </row>
    <row r="1016" spans="1:1" ht="15" hidden="1" customHeight="1">
      <c r="A1016" s="74"/>
    </row>
    <row r="1017" spans="1:1" ht="15" hidden="1" customHeight="1">
      <c r="A1017" s="74"/>
    </row>
    <row r="1018" spans="1:1" ht="15" hidden="1" customHeight="1">
      <c r="A1018" s="74"/>
    </row>
    <row r="1019" spans="1:1" ht="15" hidden="1" customHeight="1">
      <c r="A1019" s="74"/>
    </row>
    <row r="1020" spans="1:1" ht="15" hidden="1" customHeight="1">
      <c r="A1020" s="74"/>
    </row>
    <row r="1021" spans="1:1" ht="15" hidden="1" customHeight="1">
      <c r="A1021" s="74"/>
    </row>
    <row r="1022" spans="1:1" ht="15" hidden="1" customHeight="1">
      <c r="A1022" s="74"/>
    </row>
    <row r="1023" spans="1:1" ht="15" hidden="1" customHeight="1">
      <c r="A1023" s="74"/>
    </row>
    <row r="1024" spans="1:1" ht="15" hidden="1" customHeight="1">
      <c r="A1024" s="74"/>
    </row>
    <row r="1025" spans="1:1" ht="15" hidden="1" customHeight="1">
      <c r="A1025" s="74"/>
    </row>
    <row r="1026" spans="1:1" ht="15" hidden="1" customHeight="1">
      <c r="A1026" s="74"/>
    </row>
    <row r="1027" spans="1:1" ht="15" hidden="1" customHeight="1">
      <c r="A1027" s="74"/>
    </row>
    <row r="1028" spans="1:1" ht="15" hidden="1" customHeight="1">
      <c r="A1028" s="74"/>
    </row>
    <row r="1029" spans="1:1" ht="15" hidden="1" customHeight="1">
      <c r="A1029" s="74"/>
    </row>
    <row r="1030" spans="1:1" ht="15" hidden="1" customHeight="1">
      <c r="A1030" s="74"/>
    </row>
    <row r="1031" spans="1:1" ht="15" hidden="1" customHeight="1">
      <c r="A1031" s="74"/>
    </row>
    <row r="1032" spans="1:1" ht="15" hidden="1" customHeight="1">
      <c r="A1032" s="74"/>
    </row>
    <row r="1033" spans="1:1" ht="15" hidden="1" customHeight="1">
      <c r="A1033" s="74"/>
    </row>
    <row r="1034" spans="1:1" ht="15" hidden="1" customHeight="1">
      <c r="A1034" s="74"/>
    </row>
    <row r="1035" spans="1:1" ht="15" hidden="1" customHeight="1">
      <c r="A1035" s="74"/>
    </row>
    <row r="1036" spans="1:1" ht="15" hidden="1" customHeight="1">
      <c r="A1036" s="74"/>
    </row>
    <row r="1037" spans="1:1" ht="15" hidden="1" customHeight="1">
      <c r="A1037" s="74"/>
    </row>
    <row r="1038" spans="1:1" ht="15" hidden="1" customHeight="1">
      <c r="A1038" s="74"/>
    </row>
    <row r="1039" spans="1:1" ht="15" hidden="1" customHeight="1">
      <c r="A1039" s="74"/>
    </row>
    <row r="1040" spans="1:1" ht="15" hidden="1" customHeight="1">
      <c r="A1040" s="74"/>
    </row>
    <row r="1041" spans="1:1" ht="15" hidden="1" customHeight="1">
      <c r="A1041" s="74"/>
    </row>
    <row r="1042" spans="1:1" ht="15" hidden="1" customHeight="1">
      <c r="A1042" s="74"/>
    </row>
    <row r="1043" spans="1:1" ht="15" hidden="1" customHeight="1">
      <c r="A1043" s="74"/>
    </row>
    <row r="1044" spans="1:1" ht="15" hidden="1" customHeight="1">
      <c r="A1044" s="74"/>
    </row>
    <row r="1045" spans="1:1" ht="15" hidden="1" customHeight="1">
      <c r="A1045" s="74"/>
    </row>
    <row r="1046" spans="1:1" ht="15" hidden="1" customHeight="1">
      <c r="A1046" s="74"/>
    </row>
    <row r="1047" spans="1:1" ht="15" hidden="1" customHeight="1">
      <c r="A1047" s="74"/>
    </row>
    <row r="1048" spans="1:1" ht="15" hidden="1" customHeight="1">
      <c r="A1048" s="74"/>
    </row>
    <row r="1049" spans="1:1" ht="15" hidden="1" customHeight="1">
      <c r="A1049" s="74"/>
    </row>
    <row r="1050" spans="1:1" ht="15" hidden="1" customHeight="1">
      <c r="A1050" s="74"/>
    </row>
    <row r="1051" spans="1:1" ht="15" hidden="1" customHeight="1">
      <c r="A1051" s="74"/>
    </row>
    <row r="1052" spans="1:1" ht="15" hidden="1" customHeight="1">
      <c r="A1052" s="74"/>
    </row>
    <row r="1053" spans="1:1" ht="15" hidden="1" customHeight="1">
      <c r="A1053" s="74"/>
    </row>
    <row r="1054" spans="1:1" ht="15" hidden="1" customHeight="1">
      <c r="A1054" s="74"/>
    </row>
    <row r="1055" spans="1:1" ht="15" hidden="1" customHeight="1">
      <c r="A1055" s="74"/>
    </row>
    <row r="1056" spans="1:1" ht="15" hidden="1" customHeight="1">
      <c r="A1056" s="74"/>
    </row>
    <row r="1057" spans="1:1" ht="15" hidden="1" customHeight="1">
      <c r="A1057" s="74"/>
    </row>
    <row r="1058" spans="1:1" ht="15" hidden="1" customHeight="1">
      <c r="A1058" s="74"/>
    </row>
    <row r="1059" spans="1:1" ht="15" hidden="1" customHeight="1">
      <c r="A1059" s="74"/>
    </row>
    <row r="1060" spans="1:1" ht="15" hidden="1" customHeight="1">
      <c r="A1060" s="74"/>
    </row>
    <row r="1061" spans="1:1" ht="15" hidden="1" customHeight="1">
      <c r="A1061" s="74"/>
    </row>
    <row r="1062" spans="1:1" ht="15" hidden="1" customHeight="1">
      <c r="A1062" s="74"/>
    </row>
    <row r="1063" spans="1:1" ht="15" hidden="1" customHeight="1">
      <c r="A1063" s="74"/>
    </row>
    <row r="1064" spans="1:1" ht="15" hidden="1" customHeight="1">
      <c r="A1064" s="74"/>
    </row>
    <row r="1065" spans="1:1" ht="15" hidden="1" customHeight="1">
      <c r="A1065" s="74"/>
    </row>
    <row r="1066" spans="1:1" ht="15" hidden="1" customHeight="1">
      <c r="A1066" s="74"/>
    </row>
    <row r="1067" spans="1:1" ht="15" hidden="1" customHeight="1">
      <c r="A1067" s="74"/>
    </row>
    <row r="1068" spans="1:1" ht="15" hidden="1" customHeight="1">
      <c r="A1068" s="74"/>
    </row>
    <row r="1069" spans="1:1" ht="15" hidden="1" customHeight="1">
      <c r="A1069" s="74"/>
    </row>
    <row r="1070" spans="1:1" ht="15" hidden="1" customHeight="1">
      <c r="A1070" s="74"/>
    </row>
    <row r="1071" spans="1:1" ht="15" hidden="1" customHeight="1">
      <c r="A1071" s="74"/>
    </row>
    <row r="1072" spans="1:1" ht="15" hidden="1" customHeight="1">
      <c r="A1072" s="74"/>
    </row>
    <row r="1073" spans="1:1" ht="15" hidden="1" customHeight="1">
      <c r="A1073" s="74"/>
    </row>
    <row r="1074" spans="1:1" ht="15" hidden="1" customHeight="1">
      <c r="A1074" s="74"/>
    </row>
    <row r="1075" spans="1:1" ht="15" hidden="1" customHeight="1">
      <c r="A1075" s="74"/>
    </row>
    <row r="1076" spans="1:1" ht="15" hidden="1" customHeight="1">
      <c r="A1076" s="74"/>
    </row>
    <row r="1077" spans="1:1" ht="15" hidden="1" customHeight="1">
      <c r="A1077" s="74"/>
    </row>
    <row r="1078" spans="1:1" ht="15" hidden="1" customHeight="1">
      <c r="A1078" s="74"/>
    </row>
    <row r="1079" spans="1:1" ht="15" hidden="1" customHeight="1">
      <c r="A1079" s="74"/>
    </row>
    <row r="1080" spans="1:1" ht="15" hidden="1" customHeight="1">
      <c r="A1080" s="74"/>
    </row>
    <row r="1081" spans="1:1" ht="15" hidden="1" customHeight="1">
      <c r="A1081" s="74"/>
    </row>
    <row r="1082" spans="1:1" ht="15" hidden="1" customHeight="1">
      <c r="A1082" s="74"/>
    </row>
    <row r="1083" spans="1:1" ht="15" hidden="1" customHeight="1">
      <c r="A1083" s="74"/>
    </row>
    <row r="1084" spans="1:1" ht="15" hidden="1" customHeight="1">
      <c r="A1084" s="74"/>
    </row>
    <row r="1085" spans="1:1" ht="15" hidden="1" customHeight="1">
      <c r="A1085" s="74"/>
    </row>
    <row r="1086" spans="1:1" ht="15" hidden="1" customHeight="1">
      <c r="A1086" s="74"/>
    </row>
    <row r="1087" spans="1:1" ht="15" hidden="1" customHeight="1">
      <c r="A1087" s="74"/>
    </row>
    <row r="1088" spans="1:1" hidden="1">
      <c r="A1088" s="74"/>
    </row>
    <row r="1089" spans="1:1" ht="15" hidden="1" customHeight="1">
      <c r="A1089" s="74"/>
    </row>
    <row r="1090" spans="1:1" ht="15" hidden="1" customHeight="1">
      <c r="A1090" s="74"/>
    </row>
    <row r="1091" spans="1:1" ht="15" hidden="1" customHeight="1">
      <c r="A1091" s="74"/>
    </row>
    <row r="1092" spans="1:1" ht="15" hidden="1" customHeight="1">
      <c r="A1092" s="74"/>
    </row>
    <row r="1093" spans="1:1" ht="15" hidden="1" customHeight="1">
      <c r="A1093" s="74"/>
    </row>
    <row r="1094" spans="1:1" ht="15" hidden="1" customHeight="1">
      <c r="A1094" s="74"/>
    </row>
    <row r="1095" spans="1:1" ht="15" hidden="1" customHeight="1">
      <c r="A1095" s="74"/>
    </row>
    <row r="1096" spans="1:1" ht="15" hidden="1" customHeight="1">
      <c r="A1096" s="74"/>
    </row>
    <row r="1097" spans="1:1" ht="15" hidden="1" customHeight="1">
      <c r="A1097" s="74"/>
    </row>
    <row r="1098" spans="1:1" ht="15" hidden="1" customHeight="1">
      <c r="A1098" s="74"/>
    </row>
    <row r="1099" spans="1:1" ht="15" hidden="1" customHeight="1">
      <c r="A1099" s="74"/>
    </row>
    <row r="1100" spans="1:1" ht="15" hidden="1" customHeight="1">
      <c r="A1100" s="74"/>
    </row>
    <row r="1101" spans="1:1" ht="15" hidden="1" customHeight="1">
      <c r="A1101" s="74"/>
    </row>
    <row r="1102" spans="1:1" ht="15" hidden="1" customHeight="1">
      <c r="A1102" s="74"/>
    </row>
    <row r="1103" spans="1:1" ht="15" hidden="1" customHeight="1">
      <c r="A1103" s="74"/>
    </row>
    <row r="1104" spans="1:1" ht="15" hidden="1" customHeight="1">
      <c r="A1104" s="74"/>
    </row>
    <row r="1105" spans="1:1" ht="15" hidden="1" customHeight="1">
      <c r="A1105" s="74"/>
    </row>
    <row r="1106" spans="1:1" ht="15" hidden="1" customHeight="1">
      <c r="A1106" s="74"/>
    </row>
    <row r="1107" spans="1:1" ht="15" hidden="1" customHeight="1">
      <c r="A1107" s="74"/>
    </row>
    <row r="1108" spans="1:1" ht="15" hidden="1" customHeight="1">
      <c r="A1108" s="74"/>
    </row>
    <row r="1109" spans="1:1" ht="15" hidden="1" customHeight="1">
      <c r="A1109" s="74"/>
    </row>
    <row r="1110" spans="1:1" ht="15" hidden="1" customHeight="1">
      <c r="A1110" s="74"/>
    </row>
    <row r="1111" spans="1:1" ht="15" hidden="1" customHeight="1">
      <c r="A1111" s="74"/>
    </row>
    <row r="1112" spans="1:1" ht="15" hidden="1" customHeight="1">
      <c r="A1112" s="74"/>
    </row>
    <row r="1113" spans="1:1" ht="15" hidden="1" customHeight="1">
      <c r="A1113" s="74"/>
    </row>
    <row r="1114" spans="1:1" ht="15" hidden="1" customHeight="1">
      <c r="A1114" s="74"/>
    </row>
    <row r="1115" spans="1:1" ht="15" hidden="1" customHeight="1">
      <c r="A1115" s="74"/>
    </row>
    <row r="1116" spans="1:1" ht="15" hidden="1" customHeight="1">
      <c r="A1116" s="74"/>
    </row>
    <row r="1117" spans="1:1" ht="15" hidden="1" customHeight="1">
      <c r="A1117" s="74"/>
    </row>
    <row r="1118" spans="1:1" ht="15" hidden="1" customHeight="1">
      <c r="A1118" s="74"/>
    </row>
    <row r="1119" spans="1:1" ht="15" hidden="1" customHeight="1">
      <c r="A1119" s="74"/>
    </row>
    <row r="1120" spans="1:1" ht="15" hidden="1" customHeight="1">
      <c r="A1120" s="74"/>
    </row>
    <row r="1121" spans="1:1" ht="15" hidden="1" customHeight="1">
      <c r="A1121" s="74"/>
    </row>
    <row r="1122" spans="1:1" ht="15" hidden="1" customHeight="1">
      <c r="A1122" s="74"/>
    </row>
    <row r="1123" spans="1:1" ht="15" hidden="1" customHeight="1">
      <c r="A1123" s="74"/>
    </row>
    <row r="1124" spans="1:1" ht="15" hidden="1" customHeight="1">
      <c r="A1124" s="74"/>
    </row>
    <row r="1125" spans="1:1" ht="15" hidden="1" customHeight="1">
      <c r="A1125" s="74"/>
    </row>
    <row r="1126" spans="1:1" ht="15" hidden="1" customHeight="1">
      <c r="A1126" s="74"/>
    </row>
    <row r="1127" spans="1:1" ht="15" hidden="1" customHeight="1">
      <c r="A1127" s="74"/>
    </row>
    <row r="1128" spans="1:1" ht="15" hidden="1" customHeight="1">
      <c r="A1128" s="74"/>
    </row>
    <row r="1129" spans="1:1" ht="15" hidden="1" customHeight="1">
      <c r="A1129" s="74"/>
    </row>
    <row r="1130" spans="1:1" ht="15" hidden="1" customHeight="1">
      <c r="A1130" s="74"/>
    </row>
    <row r="1131" spans="1:1" ht="15" hidden="1" customHeight="1">
      <c r="A1131" s="74"/>
    </row>
    <row r="1132" spans="1:1" ht="15" hidden="1" customHeight="1">
      <c r="A1132" s="74"/>
    </row>
    <row r="1133" spans="1:1" ht="15" hidden="1" customHeight="1">
      <c r="A1133" s="74"/>
    </row>
    <row r="1134" spans="1:1" ht="15" hidden="1" customHeight="1">
      <c r="A1134" s="74"/>
    </row>
    <row r="1135" spans="1:1" ht="15" hidden="1" customHeight="1">
      <c r="A1135" s="74"/>
    </row>
    <row r="1136" spans="1:1" ht="15" hidden="1" customHeight="1">
      <c r="A1136" s="74"/>
    </row>
    <row r="1137" spans="1:1" ht="15" hidden="1" customHeight="1">
      <c r="A1137" s="74"/>
    </row>
    <row r="1138" spans="1:1" ht="15" hidden="1" customHeight="1">
      <c r="A1138" s="74"/>
    </row>
    <row r="1139" spans="1:1" ht="15" hidden="1" customHeight="1">
      <c r="A1139" s="74"/>
    </row>
    <row r="1140" spans="1:1" ht="15" hidden="1" customHeight="1">
      <c r="A1140" s="74"/>
    </row>
    <row r="1141" spans="1:1" ht="15" hidden="1" customHeight="1">
      <c r="A1141" s="74"/>
    </row>
    <row r="1142" spans="1:1" ht="15" hidden="1" customHeight="1">
      <c r="A1142" s="74"/>
    </row>
    <row r="1143" spans="1:1" ht="15" hidden="1" customHeight="1">
      <c r="A1143" s="74"/>
    </row>
    <row r="1144" spans="1:1" ht="15" hidden="1" customHeight="1">
      <c r="A1144" s="74"/>
    </row>
    <row r="1145" spans="1:1" ht="15" hidden="1" customHeight="1">
      <c r="A1145" s="74"/>
    </row>
    <row r="1146" spans="1:1" ht="15" hidden="1" customHeight="1">
      <c r="A1146" s="74"/>
    </row>
    <row r="1147" spans="1:1" ht="15" hidden="1" customHeight="1">
      <c r="A1147" s="74"/>
    </row>
    <row r="1148" spans="1:1" ht="15" hidden="1" customHeight="1">
      <c r="A1148" s="74"/>
    </row>
    <row r="1149" spans="1:1" ht="15" hidden="1" customHeight="1">
      <c r="A1149" s="74"/>
    </row>
    <row r="1150" spans="1:1" ht="15" hidden="1" customHeight="1">
      <c r="A1150" s="74"/>
    </row>
    <row r="1151" spans="1:1" ht="15" hidden="1" customHeight="1">
      <c r="A1151" s="74"/>
    </row>
    <row r="1152" spans="1:1" ht="15" hidden="1" customHeight="1">
      <c r="A1152" s="74"/>
    </row>
    <row r="1153" spans="1:4" ht="15" hidden="1" customHeight="1">
      <c r="A1153" s="74"/>
    </row>
    <row r="1154" spans="1:4" ht="15" hidden="1" customHeight="1">
      <c r="A1154" s="74"/>
    </row>
    <row r="1155" spans="1:4" ht="15" hidden="1" customHeight="1">
      <c r="A1155" s="74"/>
    </row>
    <row r="1156" spans="1:4" ht="15" hidden="1" customHeight="1">
      <c r="A1156" s="74"/>
    </row>
    <row r="1157" spans="1:4" ht="15" hidden="1" customHeight="1">
      <c r="A1157" s="74"/>
    </row>
    <row r="1158" spans="1:4" ht="15" hidden="1" customHeight="1">
      <c r="A1158" s="74"/>
    </row>
    <row r="1159" spans="1:4" ht="15" hidden="1" customHeight="1">
      <c r="A1159" s="74"/>
    </row>
    <row r="1160" spans="1:4" hidden="1">
      <c r="A1160" s="74"/>
    </row>
    <row r="1161" spans="1:4" hidden="1">
      <c r="A1161" s="74"/>
      <c r="D1161" s="49"/>
    </row>
    <row r="1162" spans="1:4" ht="15" hidden="1" customHeight="1">
      <c r="A1162" s="74"/>
    </row>
    <row r="1163" spans="1:4" ht="15" hidden="1" customHeight="1">
      <c r="A1163" s="74"/>
    </row>
    <row r="1164" spans="1:4" ht="15" hidden="1" customHeight="1">
      <c r="A1164" s="74"/>
    </row>
    <row r="1165" spans="1:4" ht="15" hidden="1" customHeight="1">
      <c r="A1165" s="74"/>
    </row>
    <row r="1166" spans="1:4" ht="15" hidden="1" customHeight="1">
      <c r="A1166" s="74"/>
    </row>
    <row r="1167" spans="1:4" ht="15" hidden="1" customHeight="1">
      <c r="A1167" s="74"/>
    </row>
    <row r="1168" spans="1:4" ht="15" hidden="1" customHeight="1">
      <c r="A1168" s="74"/>
    </row>
    <row r="1169" spans="1:1" ht="15" hidden="1" customHeight="1">
      <c r="A1169" s="74"/>
    </row>
    <row r="1170" spans="1:1" ht="15" hidden="1" customHeight="1">
      <c r="A1170" s="74"/>
    </row>
    <row r="1171" spans="1:1" ht="15" hidden="1" customHeight="1">
      <c r="A1171" s="74"/>
    </row>
    <row r="1172" spans="1:1" ht="15" hidden="1" customHeight="1">
      <c r="A1172" s="74"/>
    </row>
    <row r="1173" spans="1:1" ht="15" hidden="1" customHeight="1">
      <c r="A1173" s="74"/>
    </row>
    <row r="1174" spans="1:1" ht="15" hidden="1" customHeight="1">
      <c r="A1174" s="74"/>
    </row>
    <row r="1175" spans="1:1" ht="15" hidden="1" customHeight="1">
      <c r="A1175" s="74"/>
    </row>
    <row r="1176" spans="1:1" ht="15" hidden="1" customHeight="1">
      <c r="A1176" s="74"/>
    </row>
    <row r="1177" spans="1:1" ht="15" hidden="1" customHeight="1">
      <c r="A1177" s="74"/>
    </row>
    <row r="1178" spans="1:1" ht="15" hidden="1" customHeight="1">
      <c r="A1178" s="74"/>
    </row>
    <row r="1179" spans="1:1" ht="15" hidden="1" customHeight="1">
      <c r="A1179" s="74"/>
    </row>
    <row r="1180" spans="1:1" ht="15" hidden="1" customHeight="1">
      <c r="A1180" s="74"/>
    </row>
    <row r="1181" spans="1:1" ht="15" hidden="1" customHeight="1">
      <c r="A1181" s="74"/>
    </row>
    <row r="1182" spans="1:1" ht="15" hidden="1" customHeight="1">
      <c r="A1182" s="74"/>
    </row>
    <row r="1183" spans="1:1" ht="15" hidden="1" customHeight="1">
      <c r="A1183" s="74"/>
    </row>
    <row r="1184" spans="1:1" ht="15" hidden="1" customHeight="1">
      <c r="A1184" s="74"/>
    </row>
    <row r="1185" spans="1:1" ht="15" hidden="1" customHeight="1">
      <c r="A1185" s="74"/>
    </row>
    <row r="1186" spans="1:1" ht="15" hidden="1" customHeight="1">
      <c r="A1186" s="74"/>
    </row>
    <row r="1187" spans="1:1" ht="15" hidden="1" customHeight="1">
      <c r="A1187" s="74"/>
    </row>
    <row r="1188" spans="1:1" ht="15" hidden="1" customHeight="1">
      <c r="A1188" s="74"/>
    </row>
    <row r="1189" spans="1:1" ht="15" hidden="1" customHeight="1">
      <c r="A1189" s="74"/>
    </row>
    <row r="1190" spans="1:1" ht="15" hidden="1" customHeight="1">
      <c r="A1190" s="74"/>
    </row>
    <row r="1191" spans="1:1" ht="15" hidden="1" customHeight="1">
      <c r="A1191" s="74"/>
    </row>
    <row r="1192" spans="1:1" ht="15" hidden="1" customHeight="1">
      <c r="A1192" s="74"/>
    </row>
    <row r="1193" spans="1:1" ht="15" hidden="1" customHeight="1">
      <c r="A1193" s="74"/>
    </row>
    <row r="1194" spans="1:1" ht="15" hidden="1" customHeight="1">
      <c r="A1194" s="74"/>
    </row>
    <row r="1195" spans="1:1" ht="15" hidden="1" customHeight="1">
      <c r="A1195" s="74"/>
    </row>
    <row r="1196" spans="1:1" ht="15" hidden="1" customHeight="1">
      <c r="A1196" s="74"/>
    </row>
    <row r="1197" spans="1:1" ht="15" hidden="1" customHeight="1">
      <c r="A1197" s="74"/>
    </row>
    <row r="1198" spans="1:1" ht="15" hidden="1" customHeight="1">
      <c r="A1198" s="74"/>
    </row>
    <row r="1199" spans="1:1" hidden="1">
      <c r="A1199" s="74"/>
    </row>
    <row r="1200" spans="1:1" ht="15" hidden="1" customHeight="1">
      <c r="A1200" s="74"/>
    </row>
    <row r="1201" spans="1:1" ht="15" hidden="1" customHeight="1">
      <c r="A1201" s="74"/>
    </row>
    <row r="1202" spans="1:1" ht="15" hidden="1" customHeight="1">
      <c r="A1202" s="74"/>
    </row>
    <row r="1203" spans="1:1" ht="15" hidden="1" customHeight="1">
      <c r="A1203" s="74"/>
    </row>
    <row r="1204" spans="1:1" ht="15" hidden="1" customHeight="1">
      <c r="A1204" s="74"/>
    </row>
    <row r="1205" spans="1:1" ht="15" hidden="1" customHeight="1">
      <c r="A1205" s="74"/>
    </row>
    <row r="1206" spans="1:1" ht="15" hidden="1" customHeight="1">
      <c r="A1206" s="74"/>
    </row>
    <row r="1207" spans="1:1" ht="15" hidden="1" customHeight="1">
      <c r="A1207" s="74"/>
    </row>
    <row r="1208" spans="1:1" ht="15" hidden="1" customHeight="1">
      <c r="A1208" s="74"/>
    </row>
    <row r="1209" spans="1:1" ht="15" hidden="1" customHeight="1">
      <c r="A1209" s="74"/>
    </row>
    <row r="1210" spans="1:1" ht="15" hidden="1" customHeight="1">
      <c r="A1210" s="74"/>
    </row>
    <row r="1211" spans="1:1" ht="15" hidden="1" customHeight="1">
      <c r="A1211" s="74"/>
    </row>
    <row r="1212" spans="1:1" ht="15" hidden="1" customHeight="1">
      <c r="A1212" s="74"/>
    </row>
    <row r="1213" spans="1:1" ht="15" hidden="1" customHeight="1">
      <c r="A1213" s="74"/>
    </row>
    <row r="1214" spans="1:1" ht="15" hidden="1" customHeight="1">
      <c r="A1214" s="74"/>
    </row>
    <row r="1215" spans="1:1" ht="15" hidden="1" customHeight="1">
      <c r="A1215" s="74"/>
    </row>
    <row r="1216" spans="1:1" ht="15" hidden="1" customHeight="1">
      <c r="A1216" s="74"/>
    </row>
    <row r="1217" spans="1:1" ht="15" hidden="1" customHeight="1">
      <c r="A1217" s="74"/>
    </row>
    <row r="1218" spans="1:1" ht="15" hidden="1" customHeight="1">
      <c r="A1218" s="74"/>
    </row>
    <row r="1219" spans="1:1" ht="15" hidden="1" customHeight="1">
      <c r="A1219" s="74"/>
    </row>
    <row r="1220" spans="1:1" ht="15" hidden="1" customHeight="1">
      <c r="A1220" s="74"/>
    </row>
    <row r="1221" spans="1:1" ht="15" hidden="1" customHeight="1">
      <c r="A1221" s="74"/>
    </row>
    <row r="1222" spans="1:1" ht="15" hidden="1" customHeight="1">
      <c r="A1222" s="74"/>
    </row>
    <row r="1223" spans="1:1" ht="15" hidden="1" customHeight="1">
      <c r="A1223" s="74"/>
    </row>
    <row r="1224" spans="1:1" ht="15" hidden="1" customHeight="1">
      <c r="A1224" s="74"/>
    </row>
    <row r="1225" spans="1:1" ht="15" hidden="1" customHeight="1">
      <c r="A1225" s="74"/>
    </row>
    <row r="1226" spans="1:1" ht="15" hidden="1" customHeight="1">
      <c r="A1226" s="74"/>
    </row>
    <row r="1227" spans="1:1" ht="15" hidden="1" customHeight="1">
      <c r="A1227" s="74"/>
    </row>
    <row r="1228" spans="1:1" ht="15" hidden="1" customHeight="1">
      <c r="A1228" s="74"/>
    </row>
    <row r="1229" spans="1:1" ht="15" hidden="1" customHeight="1">
      <c r="A1229" s="74"/>
    </row>
    <row r="1230" spans="1:1" ht="15" hidden="1" customHeight="1">
      <c r="A1230" s="74"/>
    </row>
    <row r="1231" spans="1:1" ht="15" hidden="1" customHeight="1">
      <c r="A1231" s="74"/>
    </row>
    <row r="1232" spans="1:1" ht="15" hidden="1" customHeight="1">
      <c r="A1232" s="74"/>
    </row>
    <row r="1233" spans="1:1" ht="15" hidden="1" customHeight="1">
      <c r="A1233" s="74"/>
    </row>
    <row r="1234" spans="1:1" ht="15" hidden="1" customHeight="1">
      <c r="A1234" s="74"/>
    </row>
    <row r="1235" spans="1:1" ht="15" hidden="1" customHeight="1">
      <c r="A1235" s="74"/>
    </row>
    <row r="1236" spans="1:1" ht="15" hidden="1" customHeight="1">
      <c r="A1236" s="74"/>
    </row>
    <row r="1237" spans="1:1" ht="15" hidden="1" customHeight="1">
      <c r="A1237" s="74"/>
    </row>
    <row r="1238" spans="1:1" ht="15" hidden="1" customHeight="1">
      <c r="A1238" s="74"/>
    </row>
    <row r="1239" spans="1:1" ht="15" hidden="1" customHeight="1">
      <c r="A1239" s="74"/>
    </row>
    <row r="1240" spans="1:1" ht="15" hidden="1" customHeight="1">
      <c r="A1240" s="74"/>
    </row>
    <row r="1241" spans="1:1" ht="15" hidden="1" customHeight="1">
      <c r="A1241" s="74"/>
    </row>
    <row r="1242" spans="1:1" ht="15" hidden="1" customHeight="1">
      <c r="A1242" s="74"/>
    </row>
    <row r="1243" spans="1:1" ht="15" hidden="1" customHeight="1">
      <c r="A1243" s="74"/>
    </row>
    <row r="1244" spans="1:1" ht="15" hidden="1" customHeight="1">
      <c r="A1244" s="74"/>
    </row>
    <row r="1245" spans="1:1" ht="15" hidden="1" customHeight="1">
      <c r="A1245" s="74"/>
    </row>
    <row r="1246" spans="1:1" ht="15" hidden="1" customHeight="1">
      <c r="A1246" s="74"/>
    </row>
    <row r="1247" spans="1:1" ht="15" hidden="1" customHeight="1">
      <c r="A1247" s="74"/>
    </row>
    <row r="1248" spans="1:1" ht="15" hidden="1" customHeight="1">
      <c r="A1248" s="74"/>
    </row>
    <row r="1249" spans="1:1" ht="15" hidden="1" customHeight="1">
      <c r="A1249" s="74"/>
    </row>
    <row r="1250" spans="1:1" ht="15" hidden="1" customHeight="1">
      <c r="A1250" s="74"/>
    </row>
    <row r="1251" spans="1:1" ht="15" hidden="1" customHeight="1">
      <c r="A1251" s="74"/>
    </row>
    <row r="1252" spans="1:1" ht="15" hidden="1" customHeight="1">
      <c r="A1252" s="74"/>
    </row>
    <row r="1253" spans="1:1" ht="15" hidden="1" customHeight="1">
      <c r="A1253" s="74"/>
    </row>
    <row r="1254" spans="1:1" ht="15" hidden="1" customHeight="1">
      <c r="A1254" s="74"/>
    </row>
    <row r="1255" spans="1:1" ht="15" hidden="1" customHeight="1">
      <c r="A1255" s="74"/>
    </row>
    <row r="1256" spans="1:1" ht="15" hidden="1" customHeight="1">
      <c r="A1256" s="74"/>
    </row>
    <row r="1257" spans="1:1" ht="15" hidden="1" customHeight="1">
      <c r="A1257" s="74"/>
    </row>
    <row r="1258" spans="1:1" ht="15" hidden="1" customHeight="1">
      <c r="A1258" s="74"/>
    </row>
    <row r="1259" spans="1:1" ht="15" hidden="1" customHeight="1">
      <c r="A1259" s="74"/>
    </row>
    <row r="1260" spans="1:1" ht="15" hidden="1" customHeight="1">
      <c r="A1260" s="74"/>
    </row>
    <row r="1261" spans="1:1" ht="15" hidden="1" customHeight="1">
      <c r="A1261" s="74"/>
    </row>
    <row r="1262" spans="1:1" ht="15" hidden="1" customHeight="1">
      <c r="A1262" s="74"/>
    </row>
    <row r="1263" spans="1:1" ht="15" hidden="1" customHeight="1">
      <c r="A1263" s="74"/>
    </row>
    <row r="1264" spans="1:1" ht="15" hidden="1" customHeight="1">
      <c r="A1264" s="74"/>
    </row>
    <row r="1265" spans="1:1" ht="15" hidden="1" customHeight="1">
      <c r="A1265" s="74"/>
    </row>
    <row r="1266" spans="1:1" ht="15" hidden="1" customHeight="1">
      <c r="A1266" s="74"/>
    </row>
    <row r="1267" spans="1:1" ht="15" hidden="1" customHeight="1">
      <c r="A1267" s="74"/>
    </row>
    <row r="1268" spans="1:1" ht="15" hidden="1" customHeight="1">
      <c r="A1268" s="74"/>
    </row>
    <row r="1269" spans="1:1" ht="15" hidden="1" customHeight="1">
      <c r="A1269" s="74"/>
    </row>
    <row r="1270" spans="1:1" ht="15" hidden="1" customHeight="1">
      <c r="A1270" s="74"/>
    </row>
    <row r="1271" spans="1:1" ht="15" hidden="1" customHeight="1">
      <c r="A1271" s="74"/>
    </row>
    <row r="1272" spans="1:1" ht="15" hidden="1" customHeight="1">
      <c r="A1272" s="74"/>
    </row>
    <row r="1273" spans="1:1" ht="15" hidden="1" customHeight="1">
      <c r="A1273" s="74"/>
    </row>
    <row r="1274" spans="1:1" ht="15" hidden="1" customHeight="1">
      <c r="A1274" s="74"/>
    </row>
    <row r="1275" spans="1:1" ht="15" hidden="1" customHeight="1">
      <c r="A1275" s="74"/>
    </row>
    <row r="1276" spans="1:1" ht="15" hidden="1" customHeight="1">
      <c r="A1276" s="74"/>
    </row>
    <row r="1277" spans="1:1" ht="15" hidden="1" customHeight="1">
      <c r="A1277" s="74"/>
    </row>
    <row r="1278" spans="1:1" ht="15" hidden="1" customHeight="1">
      <c r="A1278" s="74"/>
    </row>
    <row r="1279" spans="1:1" ht="15" hidden="1" customHeight="1">
      <c r="A1279" s="74"/>
    </row>
    <row r="1280" spans="1:1" ht="15" hidden="1" customHeight="1">
      <c r="A1280" s="74"/>
    </row>
    <row r="1281" spans="1:1" ht="15" hidden="1" customHeight="1">
      <c r="A1281" s="74"/>
    </row>
    <row r="1282" spans="1:1" ht="15" hidden="1" customHeight="1">
      <c r="A1282" s="74"/>
    </row>
    <row r="1283" spans="1:1" ht="15" hidden="1" customHeight="1">
      <c r="A1283" s="74"/>
    </row>
    <row r="1284" spans="1:1" ht="15" hidden="1" customHeight="1">
      <c r="A1284" s="74"/>
    </row>
    <row r="1285" spans="1:1" ht="15" hidden="1" customHeight="1">
      <c r="A1285" s="74"/>
    </row>
    <row r="1286" spans="1:1" ht="15" hidden="1" customHeight="1">
      <c r="A1286" s="74"/>
    </row>
    <row r="1287" spans="1:1" ht="15" hidden="1" customHeight="1">
      <c r="A1287" s="74"/>
    </row>
    <row r="1288" spans="1:1" ht="15" hidden="1" customHeight="1">
      <c r="A1288" s="74"/>
    </row>
    <row r="1289" spans="1:1" ht="15" hidden="1" customHeight="1">
      <c r="A1289" s="74"/>
    </row>
    <row r="1290" spans="1:1" ht="15" hidden="1" customHeight="1">
      <c r="A1290" s="74"/>
    </row>
    <row r="1291" spans="1:1" ht="15" hidden="1" customHeight="1">
      <c r="A1291" s="74"/>
    </row>
    <row r="1292" spans="1:1" ht="15" hidden="1" customHeight="1">
      <c r="A1292" s="74"/>
    </row>
    <row r="1293" spans="1:1" ht="15" hidden="1" customHeight="1">
      <c r="A1293" s="74"/>
    </row>
    <row r="1294" spans="1:1" ht="15" hidden="1" customHeight="1">
      <c r="A1294" s="74"/>
    </row>
    <row r="1295" spans="1:1" ht="15" hidden="1" customHeight="1">
      <c r="A1295" s="74"/>
    </row>
    <row r="1296" spans="1:1" ht="15" hidden="1" customHeight="1">
      <c r="A1296" s="74"/>
    </row>
    <row r="1297" spans="1:1" ht="15" hidden="1" customHeight="1">
      <c r="A1297" s="74"/>
    </row>
    <row r="1298" spans="1:1" ht="15" hidden="1" customHeight="1">
      <c r="A1298" s="74"/>
    </row>
    <row r="1299" spans="1:1" ht="15" hidden="1" customHeight="1">
      <c r="A1299" s="74"/>
    </row>
    <row r="1300" spans="1:1" ht="15" hidden="1" customHeight="1">
      <c r="A1300" s="74"/>
    </row>
    <row r="1301" spans="1:1" ht="15" hidden="1" customHeight="1">
      <c r="A1301" s="74"/>
    </row>
    <row r="1302" spans="1:1" ht="15" hidden="1" customHeight="1">
      <c r="A1302" s="74"/>
    </row>
    <row r="1303" spans="1:1" ht="15" hidden="1" customHeight="1">
      <c r="A1303" s="74"/>
    </row>
    <row r="1304" spans="1:1" ht="15" hidden="1" customHeight="1">
      <c r="A1304" s="74"/>
    </row>
    <row r="1305" spans="1:1" ht="15" hidden="1" customHeight="1">
      <c r="A1305" s="74"/>
    </row>
    <row r="1306" spans="1:1" ht="15" hidden="1" customHeight="1">
      <c r="A1306" s="74"/>
    </row>
    <row r="1307" spans="1:1" ht="15" hidden="1" customHeight="1">
      <c r="A1307" s="74"/>
    </row>
    <row r="1308" spans="1:1" ht="15" hidden="1" customHeight="1">
      <c r="A1308" s="74"/>
    </row>
    <row r="1309" spans="1:1" hidden="1">
      <c r="A1309" s="74"/>
    </row>
    <row r="1310" spans="1:1" ht="15" hidden="1" customHeight="1">
      <c r="A1310" s="74"/>
    </row>
    <row r="1311" spans="1:1" ht="15" hidden="1" customHeight="1">
      <c r="A1311" s="74"/>
    </row>
    <row r="1312" spans="1:1" ht="15" hidden="1" customHeight="1">
      <c r="A1312" s="74"/>
    </row>
    <row r="1313" spans="1:1" ht="15" hidden="1" customHeight="1">
      <c r="A1313" s="74"/>
    </row>
    <row r="1314" spans="1:1" ht="15" hidden="1" customHeight="1">
      <c r="A1314" s="74"/>
    </row>
    <row r="1315" spans="1:1" ht="15" hidden="1" customHeight="1">
      <c r="A1315" s="74"/>
    </row>
    <row r="1316" spans="1:1" ht="15" hidden="1" customHeight="1">
      <c r="A1316" s="74"/>
    </row>
    <row r="1317" spans="1:1" ht="15" hidden="1" customHeight="1">
      <c r="A1317" s="74"/>
    </row>
    <row r="1318" spans="1:1" ht="15" hidden="1" customHeight="1">
      <c r="A1318" s="74"/>
    </row>
    <row r="1319" spans="1:1" ht="15" hidden="1" customHeight="1">
      <c r="A1319" s="74"/>
    </row>
    <row r="1320" spans="1:1" ht="15" hidden="1" customHeight="1">
      <c r="A1320" s="74"/>
    </row>
    <row r="1321" spans="1:1" ht="15" hidden="1" customHeight="1">
      <c r="A1321" s="74"/>
    </row>
    <row r="1322" spans="1:1" ht="15" hidden="1" customHeight="1">
      <c r="A1322" s="74"/>
    </row>
    <row r="1323" spans="1:1" ht="15" hidden="1" customHeight="1">
      <c r="A1323" s="74"/>
    </row>
    <row r="1324" spans="1:1" ht="15" hidden="1" customHeight="1">
      <c r="A1324" s="74"/>
    </row>
    <row r="1325" spans="1:1" ht="15" hidden="1" customHeight="1">
      <c r="A1325" s="74"/>
    </row>
    <row r="1326" spans="1:1" ht="15" hidden="1" customHeight="1">
      <c r="A1326" s="74"/>
    </row>
    <row r="1327" spans="1:1" ht="15" hidden="1" customHeight="1">
      <c r="A1327" s="74"/>
    </row>
    <row r="1328" spans="1:1" ht="15" hidden="1" customHeight="1">
      <c r="A1328" s="74"/>
    </row>
    <row r="1329" spans="1:1" ht="15" hidden="1" customHeight="1">
      <c r="A1329" s="74"/>
    </row>
    <row r="1330" spans="1:1" ht="15" hidden="1" customHeight="1">
      <c r="A1330" s="74"/>
    </row>
    <row r="1331" spans="1:1" ht="15" hidden="1" customHeight="1">
      <c r="A1331" s="74"/>
    </row>
    <row r="1332" spans="1:1" ht="15" hidden="1" customHeight="1">
      <c r="A1332" s="74"/>
    </row>
    <row r="1333" spans="1:1" ht="15" hidden="1" customHeight="1">
      <c r="A1333" s="74"/>
    </row>
    <row r="1334" spans="1:1" ht="15" hidden="1" customHeight="1">
      <c r="A1334" s="74"/>
    </row>
    <row r="1335" spans="1:1" ht="15" hidden="1" customHeight="1">
      <c r="A1335" s="74"/>
    </row>
    <row r="1336" spans="1:1" ht="15" hidden="1" customHeight="1">
      <c r="A1336" s="74"/>
    </row>
    <row r="1337" spans="1:1" ht="15" hidden="1" customHeight="1">
      <c r="A1337" s="74"/>
    </row>
    <row r="1338" spans="1:1" ht="15" hidden="1" customHeight="1">
      <c r="A1338" s="74"/>
    </row>
    <row r="1339" spans="1:1" ht="15" hidden="1" customHeight="1">
      <c r="A1339" s="74"/>
    </row>
    <row r="1340" spans="1:1" ht="15" hidden="1" customHeight="1">
      <c r="A1340" s="74"/>
    </row>
    <row r="1341" spans="1:1" ht="15" hidden="1" customHeight="1">
      <c r="A1341" s="74"/>
    </row>
    <row r="1342" spans="1:1" ht="15" hidden="1" customHeight="1">
      <c r="A1342" s="74"/>
    </row>
    <row r="1343" spans="1:1" ht="15" hidden="1" customHeight="1">
      <c r="A1343" s="74"/>
    </row>
    <row r="1344" spans="1:1" ht="15" hidden="1" customHeight="1">
      <c r="A1344" s="74"/>
    </row>
    <row r="1345" spans="1:1" ht="15" hidden="1" customHeight="1">
      <c r="A1345" s="74"/>
    </row>
    <row r="1346" spans="1:1" ht="15" hidden="1" customHeight="1">
      <c r="A1346" s="74"/>
    </row>
    <row r="1347" spans="1:1" ht="15" hidden="1" customHeight="1">
      <c r="A1347" s="74"/>
    </row>
    <row r="1348" spans="1:1" ht="15" hidden="1" customHeight="1">
      <c r="A1348" s="74"/>
    </row>
    <row r="1349" spans="1:1" ht="15" hidden="1" customHeight="1">
      <c r="A1349" s="74"/>
    </row>
    <row r="1350" spans="1:1" ht="15" hidden="1" customHeight="1">
      <c r="A1350" s="74"/>
    </row>
    <row r="1351" spans="1:1" ht="15" hidden="1" customHeight="1">
      <c r="A1351" s="74"/>
    </row>
    <row r="1352" spans="1:1" ht="15" hidden="1" customHeight="1">
      <c r="A1352" s="74"/>
    </row>
    <row r="1353" spans="1:1" ht="15" hidden="1" customHeight="1">
      <c r="A1353" s="74"/>
    </row>
    <row r="1354" spans="1:1" ht="15" hidden="1" customHeight="1">
      <c r="A1354" s="74"/>
    </row>
    <row r="1355" spans="1:1" ht="15" hidden="1" customHeight="1">
      <c r="A1355" s="74"/>
    </row>
    <row r="1356" spans="1:1" ht="15" hidden="1" customHeight="1">
      <c r="A1356" s="74"/>
    </row>
    <row r="1357" spans="1:1" ht="15" hidden="1" customHeight="1">
      <c r="A1357" s="74"/>
    </row>
    <row r="1358" spans="1:1" ht="15" hidden="1" customHeight="1">
      <c r="A1358" s="74"/>
    </row>
    <row r="1359" spans="1:1" ht="15" hidden="1" customHeight="1">
      <c r="A1359" s="74"/>
    </row>
    <row r="1360" spans="1:1" ht="15" hidden="1" customHeight="1">
      <c r="A1360" s="74"/>
    </row>
    <row r="1361" spans="1:1" ht="15" hidden="1" customHeight="1">
      <c r="A1361" s="74"/>
    </row>
    <row r="1362" spans="1:1" ht="15" hidden="1" customHeight="1">
      <c r="A1362" s="74"/>
    </row>
    <row r="1363" spans="1:1" ht="15" hidden="1" customHeight="1">
      <c r="A1363" s="74"/>
    </row>
    <row r="1364" spans="1:1" ht="15" hidden="1" customHeight="1">
      <c r="A1364" s="74"/>
    </row>
    <row r="1365" spans="1:1" ht="15" hidden="1" customHeight="1">
      <c r="A1365" s="74"/>
    </row>
    <row r="1366" spans="1:1" ht="15" hidden="1" customHeight="1">
      <c r="A1366" s="74"/>
    </row>
    <row r="1367" spans="1:1" ht="15" hidden="1" customHeight="1">
      <c r="A1367" s="74"/>
    </row>
    <row r="1368" spans="1:1" ht="15" hidden="1" customHeight="1">
      <c r="A1368" s="74"/>
    </row>
    <row r="1369" spans="1:1" ht="15" hidden="1" customHeight="1">
      <c r="A1369" s="74"/>
    </row>
    <row r="1370" spans="1:1" ht="15" hidden="1" customHeight="1">
      <c r="A1370" s="74"/>
    </row>
    <row r="1371" spans="1:1" ht="15" hidden="1" customHeight="1">
      <c r="A1371" s="74"/>
    </row>
    <row r="1372" spans="1:1" ht="15" hidden="1" customHeight="1">
      <c r="A1372" s="74"/>
    </row>
    <row r="1373" spans="1:1" ht="15" hidden="1" customHeight="1">
      <c r="A1373" s="74"/>
    </row>
    <row r="1374" spans="1:1" ht="15" hidden="1" customHeight="1">
      <c r="A1374" s="74"/>
    </row>
    <row r="1375" spans="1:1" ht="15" hidden="1" customHeight="1">
      <c r="A1375" s="74"/>
    </row>
    <row r="1376" spans="1:1" ht="15" hidden="1" customHeight="1">
      <c r="A1376" s="74"/>
    </row>
    <row r="1377" spans="1:1" ht="15" hidden="1" customHeight="1">
      <c r="A1377" s="74"/>
    </row>
    <row r="1378" spans="1:1" hidden="1">
      <c r="A1378" s="74"/>
    </row>
    <row r="1379" spans="1:1" ht="15" hidden="1" customHeight="1">
      <c r="A1379" s="74"/>
    </row>
    <row r="1380" spans="1:1" ht="15" hidden="1" customHeight="1">
      <c r="A1380" s="74"/>
    </row>
    <row r="1381" spans="1:1" ht="15" hidden="1" customHeight="1">
      <c r="A1381" s="74"/>
    </row>
    <row r="1382" spans="1:1" ht="15" hidden="1" customHeight="1">
      <c r="A1382" s="74"/>
    </row>
    <row r="1383" spans="1:1" ht="15" hidden="1" customHeight="1">
      <c r="A1383" s="74"/>
    </row>
    <row r="1384" spans="1:1" ht="15" hidden="1" customHeight="1">
      <c r="A1384" s="74"/>
    </row>
    <row r="1385" spans="1:1" ht="15" hidden="1" customHeight="1">
      <c r="A1385" s="74"/>
    </row>
    <row r="1386" spans="1:1" ht="15" hidden="1" customHeight="1">
      <c r="A1386" s="74"/>
    </row>
    <row r="1387" spans="1:1" ht="15" hidden="1" customHeight="1">
      <c r="A1387" s="74"/>
    </row>
    <row r="1388" spans="1:1" ht="15" hidden="1" customHeight="1">
      <c r="A1388" s="74"/>
    </row>
    <row r="1389" spans="1:1" ht="15" hidden="1" customHeight="1">
      <c r="A1389" s="74"/>
    </row>
    <row r="1390" spans="1:1" ht="15" hidden="1" customHeight="1">
      <c r="A1390" s="74"/>
    </row>
    <row r="1391" spans="1:1" ht="15" hidden="1" customHeight="1">
      <c r="A1391" s="74"/>
    </row>
    <row r="1392" spans="1:1" ht="15" hidden="1" customHeight="1">
      <c r="A1392" s="74"/>
    </row>
    <row r="1393" spans="1:1" ht="15" hidden="1" customHeight="1">
      <c r="A1393" s="74"/>
    </row>
    <row r="1394" spans="1:1" ht="15" hidden="1" customHeight="1">
      <c r="A1394" s="74"/>
    </row>
    <row r="1395" spans="1:1" ht="15" hidden="1" customHeight="1">
      <c r="A1395" s="74"/>
    </row>
    <row r="1396" spans="1:1" ht="15" hidden="1" customHeight="1">
      <c r="A1396" s="74"/>
    </row>
    <row r="1397" spans="1:1" ht="15" hidden="1" customHeight="1">
      <c r="A1397" s="74"/>
    </row>
    <row r="1398" spans="1:1" ht="15" hidden="1" customHeight="1">
      <c r="A1398" s="74"/>
    </row>
    <row r="1399" spans="1:1" ht="15" hidden="1" customHeight="1">
      <c r="A1399" s="74"/>
    </row>
    <row r="1400" spans="1:1" ht="15" hidden="1" customHeight="1">
      <c r="A1400" s="74"/>
    </row>
    <row r="1401" spans="1:1" ht="15" hidden="1" customHeight="1">
      <c r="A1401" s="74"/>
    </row>
    <row r="1402" spans="1:1" ht="15" hidden="1" customHeight="1">
      <c r="A1402" s="74"/>
    </row>
    <row r="1403" spans="1:1" ht="15" hidden="1" customHeight="1">
      <c r="A1403" s="74"/>
    </row>
    <row r="1404" spans="1:1" ht="15" hidden="1" customHeight="1">
      <c r="A1404" s="74"/>
    </row>
    <row r="1405" spans="1:1" ht="15" hidden="1" customHeight="1">
      <c r="A1405" s="74"/>
    </row>
    <row r="1406" spans="1:1" ht="15" hidden="1" customHeight="1">
      <c r="A1406" s="74"/>
    </row>
    <row r="1407" spans="1:1" ht="15" hidden="1" customHeight="1">
      <c r="A1407" s="74"/>
    </row>
    <row r="1408" spans="1:1" ht="15" hidden="1" customHeight="1">
      <c r="A1408" s="74"/>
    </row>
    <row r="1409" spans="1:1" ht="15" hidden="1" customHeight="1">
      <c r="A1409" s="74"/>
    </row>
    <row r="1410" spans="1:1" ht="15" hidden="1" customHeight="1">
      <c r="A1410" s="74"/>
    </row>
    <row r="1411" spans="1:1" ht="15" hidden="1" customHeight="1">
      <c r="A1411" s="74"/>
    </row>
    <row r="1412" spans="1:1" ht="15" hidden="1" customHeight="1">
      <c r="A1412" s="74"/>
    </row>
    <row r="1413" spans="1:1" ht="15" hidden="1" customHeight="1">
      <c r="A1413" s="74"/>
    </row>
    <row r="1414" spans="1:1" ht="15" hidden="1" customHeight="1">
      <c r="A1414" s="74"/>
    </row>
    <row r="1415" spans="1:1" ht="15" hidden="1" customHeight="1">
      <c r="A1415" s="74"/>
    </row>
    <row r="1416" spans="1:1" ht="15" hidden="1" customHeight="1">
      <c r="A1416" s="74"/>
    </row>
    <row r="1417" spans="1:1" ht="15" hidden="1" customHeight="1">
      <c r="A1417" s="74"/>
    </row>
    <row r="1418" spans="1:1" hidden="1">
      <c r="A1418" s="74"/>
    </row>
    <row r="1419" spans="1:1" ht="15" hidden="1" customHeight="1">
      <c r="A1419" s="74"/>
    </row>
    <row r="1420" spans="1:1" ht="15" hidden="1" customHeight="1">
      <c r="A1420" s="74"/>
    </row>
    <row r="1421" spans="1:1" ht="15" hidden="1" customHeight="1">
      <c r="A1421" s="74"/>
    </row>
    <row r="1422" spans="1:1" ht="15" hidden="1" customHeight="1">
      <c r="A1422" s="74"/>
    </row>
    <row r="1423" spans="1:1" ht="15" hidden="1" customHeight="1">
      <c r="A1423" s="74"/>
    </row>
    <row r="1424" spans="1:1" ht="15" hidden="1" customHeight="1">
      <c r="A1424" s="74"/>
    </row>
    <row r="1425" spans="1:1" ht="15" hidden="1" customHeight="1">
      <c r="A1425" s="74"/>
    </row>
    <row r="1426" spans="1:1" ht="15" hidden="1" customHeight="1">
      <c r="A1426" s="74"/>
    </row>
    <row r="1427" spans="1:1" ht="15" hidden="1" customHeight="1">
      <c r="A1427" s="74"/>
    </row>
    <row r="1428" spans="1:1" ht="15" hidden="1" customHeight="1">
      <c r="A1428" s="74"/>
    </row>
    <row r="1429" spans="1:1" ht="15" hidden="1" customHeight="1">
      <c r="A1429" s="74"/>
    </row>
    <row r="1430" spans="1:1" ht="15" hidden="1" customHeight="1">
      <c r="A1430" s="74"/>
    </row>
    <row r="1431" spans="1:1" ht="15" hidden="1" customHeight="1">
      <c r="A1431" s="74"/>
    </row>
    <row r="1432" spans="1:1" ht="15" hidden="1" customHeight="1">
      <c r="A1432" s="74"/>
    </row>
    <row r="1433" spans="1:1" ht="15" hidden="1" customHeight="1">
      <c r="A1433" s="74"/>
    </row>
    <row r="1434" spans="1:1" ht="15" hidden="1" customHeight="1">
      <c r="A1434" s="74"/>
    </row>
    <row r="1435" spans="1:1" ht="15" hidden="1" customHeight="1">
      <c r="A1435" s="74"/>
    </row>
    <row r="1436" spans="1:1" ht="15" hidden="1" customHeight="1">
      <c r="A1436" s="74"/>
    </row>
    <row r="1437" spans="1:1" ht="15" hidden="1" customHeight="1">
      <c r="A1437" s="74"/>
    </row>
    <row r="1438" spans="1:1" ht="15" hidden="1" customHeight="1">
      <c r="A1438" s="74"/>
    </row>
    <row r="1439" spans="1:1" ht="15" hidden="1" customHeight="1">
      <c r="A1439" s="74"/>
    </row>
    <row r="1440" spans="1:1" ht="15" hidden="1" customHeight="1">
      <c r="A1440" s="74"/>
    </row>
    <row r="1441" spans="1:1" ht="15" hidden="1" customHeight="1">
      <c r="A1441" s="74"/>
    </row>
    <row r="1442" spans="1:1" ht="15" hidden="1" customHeight="1">
      <c r="A1442" s="74"/>
    </row>
    <row r="1443" spans="1:1" ht="15" hidden="1" customHeight="1">
      <c r="A1443" s="74"/>
    </row>
    <row r="1444" spans="1:1" ht="15" hidden="1" customHeight="1">
      <c r="A1444" s="74"/>
    </row>
    <row r="1445" spans="1:1" ht="15" hidden="1" customHeight="1">
      <c r="A1445" s="74"/>
    </row>
    <row r="1446" spans="1:1" ht="15" hidden="1" customHeight="1">
      <c r="A1446" s="74"/>
    </row>
    <row r="1447" spans="1:1" ht="15" hidden="1" customHeight="1">
      <c r="A1447" s="74"/>
    </row>
    <row r="1448" spans="1:1" ht="15" hidden="1" customHeight="1">
      <c r="A1448" s="74"/>
    </row>
    <row r="1449" spans="1:1" ht="15" hidden="1" customHeight="1">
      <c r="A1449" s="74"/>
    </row>
    <row r="1450" spans="1:1" ht="15" hidden="1" customHeight="1">
      <c r="A1450" s="74"/>
    </row>
    <row r="1451" spans="1:1" ht="15" hidden="1" customHeight="1">
      <c r="A1451" s="74"/>
    </row>
    <row r="1452" spans="1:1" ht="15" hidden="1" customHeight="1">
      <c r="A1452" s="74"/>
    </row>
    <row r="1453" spans="1:1" ht="15" hidden="1" customHeight="1">
      <c r="A1453" s="74"/>
    </row>
    <row r="1454" spans="1:1" ht="15" hidden="1" customHeight="1">
      <c r="A1454" s="74"/>
    </row>
    <row r="1455" spans="1:1" ht="15" hidden="1" customHeight="1">
      <c r="A1455" s="74"/>
    </row>
    <row r="1456" spans="1:1" ht="15" hidden="1" customHeight="1">
      <c r="A1456" s="74"/>
    </row>
    <row r="1457" spans="1:1" ht="15" hidden="1" customHeight="1">
      <c r="A1457" s="74"/>
    </row>
    <row r="1458" spans="1:1" ht="15" hidden="1" customHeight="1">
      <c r="A1458" s="74"/>
    </row>
    <row r="1459" spans="1:1" ht="15" hidden="1" customHeight="1">
      <c r="A1459" s="74"/>
    </row>
    <row r="1460" spans="1:1" ht="15" hidden="1" customHeight="1">
      <c r="A1460" s="74"/>
    </row>
    <row r="1461" spans="1:1" ht="15" hidden="1" customHeight="1">
      <c r="A1461" s="74"/>
    </row>
    <row r="1462" spans="1:1" ht="15" hidden="1" customHeight="1">
      <c r="A1462" s="74"/>
    </row>
    <row r="1463" spans="1:1" ht="15" hidden="1" customHeight="1">
      <c r="A1463" s="74"/>
    </row>
    <row r="1464" spans="1:1" ht="15" hidden="1" customHeight="1">
      <c r="A1464" s="74"/>
    </row>
    <row r="1465" spans="1:1" ht="15" hidden="1" customHeight="1">
      <c r="A1465" s="74"/>
    </row>
    <row r="1466" spans="1:1" ht="15" hidden="1" customHeight="1">
      <c r="A1466" s="74"/>
    </row>
    <row r="1467" spans="1:1" ht="15" hidden="1" customHeight="1">
      <c r="A1467" s="74"/>
    </row>
    <row r="1468" spans="1:1" ht="15" hidden="1" customHeight="1">
      <c r="A1468" s="74"/>
    </row>
    <row r="1469" spans="1:1" ht="15" hidden="1" customHeight="1">
      <c r="A1469" s="74"/>
    </row>
    <row r="1470" spans="1:1" ht="15" hidden="1" customHeight="1">
      <c r="A1470" s="74"/>
    </row>
    <row r="1471" spans="1:1" ht="15" hidden="1" customHeight="1">
      <c r="A1471" s="74"/>
    </row>
    <row r="1472" spans="1:1" ht="15" hidden="1" customHeight="1">
      <c r="A1472" s="74"/>
    </row>
    <row r="1473" spans="1:1" ht="15" hidden="1" customHeight="1">
      <c r="A1473" s="74"/>
    </row>
    <row r="1474" spans="1:1" ht="15" hidden="1" customHeight="1">
      <c r="A1474" s="74"/>
    </row>
    <row r="1475" spans="1:1" ht="15" hidden="1" customHeight="1">
      <c r="A1475" s="74"/>
    </row>
    <row r="1476" spans="1:1" ht="15" hidden="1" customHeight="1">
      <c r="A1476" s="74"/>
    </row>
    <row r="1477" spans="1:1" ht="15" hidden="1" customHeight="1">
      <c r="A1477" s="74"/>
    </row>
    <row r="1478" spans="1:1" ht="15" hidden="1" customHeight="1">
      <c r="A1478" s="74"/>
    </row>
    <row r="1479" spans="1:1" ht="15" hidden="1" customHeight="1">
      <c r="A1479" s="74"/>
    </row>
    <row r="1480" spans="1:1" ht="15" hidden="1" customHeight="1">
      <c r="A1480" s="74"/>
    </row>
    <row r="1481" spans="1:1" ht="15" hidden="1" customHeight="1">
      <c r="A1481" s="74"/>
    </row>
    <row r="1482" spans="1:1" ht="15" hidden="1" customHeight="1">
      <c r="A1482" s="74"/>
    </row>
    <row r="1483" spans="1:1" ht="15" hidden="1" customHeight="1">
      <c r="A1483" s="74"/>
    </row>
    <row r="1484" spans="1:1" ht="15" hidden="1" customHeight="1">
      <c r="A1484" s="74"/>
    </row>
    <row r="1485" spans="1:1" ht="15" hidden="1" customHeight="1">
      <c r="A1485" s="74"/>
    </row>
    <row r="1486" spans="1:1" ht="15" hidden="1" customHeight="1">
      <c r="A1486" s="74"/>
    </row>
    <row r="1487" spans="1:1" ht="15" hidden="1" customHeight="1">
      <c r="A1487" s="74"/>
    </row>
    <row r="1488" spans="1:1" ht="15" hidden="1" customHeight="1">
      <c r="A1488" s="74"/>
    </row>
    <row r="1489" spans="1:1" ht="15" hidden="1" customHeight="1">
      <c r="A1489" s="74"/>
    </row>
    <row r="1490" spans="1:1" ht="15" hidden="1" customHeight="1">
      <c r="A1490" s="74"/>
    </row>
    <row r="1491" spans="1:1" ht="15" hidden="1" customHeight="1">
      <c r="A1491" s="74"/>
    </row>
    <row r="1492" spans="1:1" ht="15" hidden="1" customHeight="1">
      <c r="A1492" s="74"/>
    </row>
    <row r="1493" spans="1:1" ht="15" hidden="1" customHeight="1">
      <c r="A1493" s="74"/>
    </row>
    <row r="1494" spans="1:1" ht="15" hidden="1" customHeight="1">
      <c r="A1494" s="74"/>
    </row>
    <row r="1495" spans="1:1" ht="15" hidden="1" customHeight="1">
      <c r="A1495" s="74"/>
    </row>
    <row r="1496" spans="1:1" ht="15" hidden="1" customHeight="1">
      <c r="A1496" s="74"/>
    </row>
    <row r="1497" spans="1:1" ht="15" hidden="1" customHeight="1">
      <c r="A1497" s="74"/>
    </row>
    <row r="1498" spans="1:1" ht="15" hidden="1" customHeight="1">
      <c r="A1498" s="74"/>
    </row>
    <row r="1499" spans="1:1" ht="15" hidden="1" customHeight="1">
      <c r="A1499" s="74"/>
    </row>
    <row r="1500" spans="1:1" ht="15" hidden="1" customHeight="1">
      <c r="A1500" s="74"/>
    </row>
    <row r="1501" spans="1:1" ht="15" hidden="1" customHeight="1">
      <c r="A1501" s="74"/>
    </row>
    <row r="1502" spans="1:1" ht="15" hidden="1" customHeight="1">
      <c r="A1502" s="74"/>
    </row>
    <row r="1503" spans="1:1" ht="15" hidden="1" customHeight="1">
      <c r="A1503" s="74"/>
    </row>
    <row r="1504" spans="1:1" ht="15" hidden="1" customHeight="1">
      <c r="A1504" s="74"/>
    </row>
    <row r="1505" spans="1:1" ht="15" hidden="1" customHeight="1">
      <c r="A1505" s="74"/>
    </row>
    <row r="1506" spans="1:1" ht="15" hidden="1" customHeight="1">
      <c r="A1506" s="74"/>
    </row>
    <row r="1507" spans="1:1" ht="15" hidden="1" customHeight="1">
      <c r="A1507" s="74"/>
    </row>
    <row r="1508" spans="1:1" ht="15" hidden="1" customHeight="1">
      <c r="A1508" s="74"/>
    </row>
    <row r="1509" spans="1:1" ht="15" hidden="1" customHeight="1">
      <c r="A1509" s="74"/>
    </row>
    <row r="1510" spans="1:1" ht="15" hidden="1" customHeight="1">
      <c r="A1510" s="74"/>
    </row>
    <row r="1511" spans="1:1" ht="15" hidden="1" customHeight="1">
      <c r="A1511" s="74"/>
    </row>
    <row r="1512" spans="1:1" ht="15" hidden="1" customHeight="1">
      <c r="A1512" s="74"/>
    </row>
    <row r="1513" spans="1:1" ht="15" hidden="1" customHeight="1">
      <c r="A1513" s="74"/>
    </row>
    <row r="1514" spans="1:1" ht="15" hidden="1" customHeight="1">
      <c r="A1514" s="74"/>
    </row>
    <row r="1515" spans="1:1" ht="15" hidden="1" customHeight="1">
      <c r="A1515" s="74"/>
    </row>
    <row r="1516" spans="1:1" ht="15" hidden="1" customHeight="1">
      <c r="A1516" s="74"/>
    </row>
    <row r="1517" spans="1:1" ht="15" hidden="1" customHeight="1">
      <c r="A1517" s="74"/>
    </row>
    <row r="1518" spans="1:1" ht="15" hidden="1" customHeight="1">
      <c r="A1518" s="74"/>
    </row>
    <row r="1519" spans="1:1" ht="15" hidden="1" customHeight="1">
      <c r="A1519" s="74"/>
    </row>
    <row r="1520" spans="1:1" ht="15" hidden="1" customHeight="1">
      <c r="A1520" s="74"/>
    </row>
    <row r="1521" spans="1:1" ht="15" hidden="1" customHeight="1">
      <c r="A1521" s="74"/>
    </row>
    <row r="1522" spans="1:1" ht="15" hidden="1" customHeight="1">
      <c r="A1522" s="74"/>
    </row>
    <row r="1523" spans="1:1" ht="15" hidden="1" customHeight="1">
      <c r="A1523" s="74"/>
    </row>
    <row r="1524" spans="1:1" ht="15" hidden="1" customHeight="1">
      <c r="A1524" s="74"/>
    </row>
    <row r="1525" spans="1:1" ht="15" hidden="1" customHeight="1">
      <c r="A1525" s="74"/>
    </row>
    <row r="1526" spans="1:1" ht="15" hidden="1" customHeight="1">
      <c r="A1526" s="74"/>
    </row>
    <row r="1527" spans="1:1" ht="15" hidden="1" customHeight="1">
      <c r="A1527" s="74"/>
    </row>
    <row r="1528" spans="1:1" ht="15" hidden="1" customHeight="1">
      <c r="A1528" s="74"/>
    </row>
    <row r="1529" spans="1:1" ht="15" hidden="1" customHeight="1">
      <c r="A1529" s="74"/>
    </row>
    <row r="1530" spans="1:1" ht="15" hidden="1" customHeight="1">
      <c r="A1530" s="74"/>
    </row>
    <row r="1531" spans="1:1" ht="15" hidden="1" customHeight="1">
      <c r="A1531" s="74"/>
    </row>
    <row r="1532" spans="1:1" ht="15" hidden="1" customHeight="1">
      <c r="A1532" s="74"/>
    </row>
    <row r="1533" spans="1:1" ht="15" hidden="1" customHeight="1">
      <c r="A1533" s="74"/>
    </row>
    <row r="1534" spans="1:1" ht="15" hidden="1" customHeight="1">
      <c r="A1534" s="74"/>
    </row>
    <row r="1535" spans="1:1" ht="15" hidden="1" customHeight="1">
      <c r="A1535" s="74"/>
    </row>
    <row r="1536" spans="1:1" ht="15" hidden="1" customHeight="1">
      <c r="A1536" s="74"/>
    </row>
    <row r="1537" spans="1:1" ht="15" hidden="1" customHeight="1">
      <c r="A1537" s="74"/>
    </row>
    <row r="1538" spans="1:1" ht="15" hidden="1" customHeight="1">
      <c r="A1538" s="74"/>
    </row>
    <row r="1539" spans="1:1" ht="15" hidden="1" customHeight="1">
      <c r="A1539" s="74"/>
    </row>
    <row r="1540" spans="1:1" ht="15" hidden="1" customHeight="1">
      <c r="A1540" s="74"/>
    </row>
    <row r="1541" spans="1:1" ht="15" hidden="1" customHeight="1">
      <c r="A1541" s="74"/>
    </row>
    <row r="1542" spans="1:1" ht="15" hidden="1" customHeight="1">
      <c r="A1542" s="74"/>
    </row>
    <row r="1543" spans="1:1" ht="15" hidden="1" customHeight="1">
      <c r="A1543" s="74"/>
    </row>
    <row r="1544" spans="1:1" ht="15" hidden="1" customHeight="1">
      <c r="A1544" s="74"/>
    </row>
    <row r="1545" spans="1:1" ht="15" hidden="1" customHeight="1">
      <c r="A1545" s="74"/>
    </row>
    <row r="1546" spans="1:1" ht="15" hidden="1" customHeight="1">
      <c r="A1546" s="74"/>
    </row>
    <row r="1547" spans="1:1" ht="15" hidden="1" customHeight="1">
      <c r="A1547" s="74"/>
    </row>
    <row r="1548" spans="1:1" ht="15" hidden="1" customHeight="1">
      <c r="A1548" s="74"/>
    </row>
    <row r="1549" spans="1:1" ht="15" hidden="1" customHeight="1">
      <c r="A1549" s="74"/>
    </row>
    <row r="1550" spans="1:1" ht="15" hidden="1" customHeight="1">
      <c r="A1550" s="74"/>
    </row>
    <row r="1551" spans="1:1" ht="15" hidden="1" customHeight="1">
      <c r="A1551" s="74"/>
    </row>
    <row r="1552" spans="1:1" ht="15" hidden="1" customHeight="1">
      <c r="A1552" s="74"/>
    </row>
    <row r="1553" spans="1:1" ht="15" hidden="1" customHeight="1">
      <c r="A1553" s="74"/>
    </row>
    <row r="1554" spans="1:1" ht="15" hidden="1" customHeight="1">
      <c r="A1554" s="74"/>
    </row>
    <row r="1555" spans="1:1" ht="15" hidden="1" customHeight="1">
      <c r="A1555" s="74"/>
    </row>
    <row r="1556" spans="1:1" ht="15" hidden="1" customHeight="1">
      <c r="A1556" s="74"/>
    </row>
    <row r="1557" spans="1:1" ht="15" hidden="1" customHeight="1">
      <c r="A1557" s="74"/>
    </row>
    <row r="1558" spans="1:1" ht="15" hidden="1" customHeight="1">
      <c r="A1558" s="74"/>
    </row>
    <row r="1559" spans="1:1" ht="15" hidden="1" customHeight="1">
      <c r="A1559" s="74"/>
    </row>
    <row r="1560" spans="1:1" ht="15" hidden="1" customHeight="1">
      <c r="A1560" s="74"/>
    </row>
    <row r="1561" spans="1:1" ht="15" hidden="1" customHeight="1">
      <c r="A1561" s="74"/>
    </row>
    <row r="1562" spans="1:1" ht="15" hidden="1" customHeight="1">
      <c r="A1562" s="74"/>
    </row>
    <row r="1563" spans="1:1" ht="15" hidden="1" customHeight="1">
      <c r="A1563" s="74"/>
    </row>
    <row r="1564" spans="1:1" ht="15" hidden="1" customHeight="1">
      <c r="A1564" s="74"/>
    </row>
    <row r="1565" spans="1:1" ht="15" hidden="1" customHeight="1">
      <c r="A1565" s="74"/>
    </row>
    <row r="1566" spans="1:1" ht="15" hidden="1" customHeight="1">
      <c r="A1566" s="74"/>
    </row>
    <row r="1567" spans="1:1" ht="15" hidden="1" customHeight="1">
      <c r="A1567" s="74"/>
    </row>
    <row r="1568" spans="1:1" ht="15" hidden="1" customHeight="1">
      <c r="A1568" s="74"/>
    </row>
    <row r="1569" spans="1:1" ht="15" hidden="1" customHeight="1">
      <c r="A1569" s="74"/>
    </row>
    <row r="1570" spans="1:1" ht="15" hidden="1" customHeight="1">
      <c r="A1570" s="74"/>
    </row>
    <row r="1571" spans="1:1" ht="15" hidden="1" customHeight="1">
      <c r="A1571" s="74"/>
    </row>
    <row r="1572" spans="1:1" ht="15" hidden="1" customHeight="1">
      <c r="A1572" s="74"/>
    </row>
    <row r="1573" spans="1:1" ht="15" hidden="1" customHeight="1">
      <c r="A1573" s="74"/>
    </row>
    <row r="1574" spans="1:1" ht="15" hidden="1" customHeight="1">
      <c r="A1574" s="74"/>
    </row>
    <row r="1575" spans="1:1" ht="15" hidden="1" customHeight="1">
      <c r="A1575" s="74"/>
    </row>
    <row r="1576" spans="1:1" ht="15" hidden="1" customHeight="1">
      <c r="A1576" s="74"/>
    </row>
    <row r="1577" spans="1:1" ht="15" hidden="1" customHeight="1">
      <c r="A1577" s="74"/>
    </row>
    <row r="1578" spans="1:1" ht="15" hidden="1" customHeight="1">
      <c r="A1578" s="74"/>
    </row>
    <row r="1579" spans="1:1" ht="15" hidden="1" customHeight="1">
      <c r="A1579" s="74"/>
    </row>
    <row r="1580" spans="1:1" ht="15" hidden="1" customHeight="1">
      <c r="A1580" s="74"/>
    </row>
    <row r="1581" spans="1:1" ht="15" hidden="1" customHeight="1">
      <c r="A1581" s="74"/>
    </row>
    <row r="1582" spans="1:1" hidden="1">
      <c r="A1582" s="74"/>
    </row>
    <row r="1583" spans="1:1" ht="15" hidden="1" customHeight="1">
      <c r="A1583" s="74"/>
    </row>
    <row r="1584" spans="1:1" ht="15" hidden="1" customHeight="1">
      <c r="A1584" s="74"/>
    </row>
    <row r="1585" spans="1:1" ht="15" hidden="1" customHeight="1">
      <c r="A1585" s="74"/>
    </row>
    <row r="1586" spans="1:1" ht="15" hidden="1" customHeight="1">
      <c r="A1586" s="74"/>
    </row>
    <row r="1587" spans="1:1" ht="15" hidden="1" customHeight="1">
      <c r="A1587" s="74"/>
    </row>
    <row r="1588" spans="1:1" ht="15" hidden="1" customHeight="1">
      <c r="A1588" s="74"/>
    </row>
    <row r="1589" spans="1:1" ht="15" hidden="1" customHeight="1">
      <c r="A1589" s="74"/>
    </row>
    <row r="1590" spans="1:1" ht="15" hidden="1" customHeight="1">
      <c r="A1590" s="74"/>
    </row>
    <row r="1591" spans="1:1" ht="15" hidden="1" customHeight="1">
      <c r="A1591" s="74"/>
    </row>
    <row r="1592" spans="1:1" ht="15" hidden="1" customHeight="1">
      <c r="A1592" s="74"/>
    </row>
    <row r="1593" spans="1:1" ht="15" hidden="1" customHeight="1">
      <c r="A1593" s="74"/>
    </row>
    <row r="1594" spans="1:1" ht="15" hidden="1" customHeight="1">
      <c r="A1594" s="74"/>
    </row>
    <row r="1595" spans="1:1" ht="15" hidden="1" customHeight="1">
      <c r="A1595" s="74"/>
    </row>
    <row r="1596" spans="1:1" ht="15" hidden="1" customHeight="1">
      <c r="A1596" s="74"/>
    </row>
    <row r="1597" spans="1:1" ht="15" hidden="1" customHeight="1">
      <c r="A1597" s="74"/>
    </row>
    <row r="1598" spans="1:1" ht="15" hidden="1" customHeight="1">
      <c r="A1598" s="74"/>
    </row>
    <row r="1599" spans="1:1" ht="15" hidden="1" customHeight="1">
      <c r="A1599" s="74"/>
    </row>
    <row r="1600" spans="1:1" ht="15" hidden="1" customHeight="1">
      <c r="A1600" s="74"/>
    </row>
    <row r="1601" spans="1:1" ht="15" hidden="1" customHeight="1">
      <c r="A1601" s="74"/>
    </row>
    <row r="1602" spans="1:1" ht="15" hidden="1" customHeight="1">
      <c r="A1602" s="74"/>
    </row>
    <row r="1603" spans="1:1" ht="15" hidden="1" customHeight="1">
      <c r="A1603" s="74"/>
    </row>
    <row r="1604" spans="1:1" ht="15" hidden="1" customHeight="1">
      <c r="A1604" s="74"/>
    </row>
    <row r="1605" spans="1:1" ht="15" hidden="1" customHeight="1">
      <c r="A1605" s="74"/>
    </row>
    <row r="1606" spans="1:1" ht="15" hidden="1" customHeight="1">
      <c r="A1606" s="74"/>
    </row>
    <row r="1607" spans="1:1" ht="15" hidden="1" customHeight="1">
      <c r="A1607" s="74"/>
    </row>
    <row r="1608" spans="1:1" ht="15" hidden="1" customHeight="1">
      <c r="A1608" s="74"/>
    </row>
    <row r="1609" spans="1:1" ht="15" hidden="1" customHeight="1">
      <c r="A1609" s="74"/>
    </row>
    <row r="1610" spans="1:1" ht="15" hidden="1" customHeight="1">
      <c r="A1610" s="74"/>
    </row>
    <row r="1611" spans="1:1" ht="15" hidden="1" customHeight="1">
      <c r="A1611" s="74"/>
    </row>
    <row r="1612" spans="1:1" ht="15" hidden="1" customHeight="1">
      <c r="A1612" s="74"/>
    </row>
    <row r="1613" spans="1:1" ht="15" hidden="1" customHeight="1">
      <c r="A1613" s="74"/>
    </row>
    <row r="1614" spans="1:1" ht="15" hidden="1" customHeight="1">
      <c r="A1614" s="74"/>
    </row>
    <row r="1615" spans="1:1" ht="15" hidden="1" customHeight="1">
      <c r="A1615" s="74"/>
    </row>
    <row r="1616" spans="1:1" ht="15" hidden="1" customHeight="1">
      <c r="A1616" s="74"/>
    </row>
    <row r="1617" spans="1:1" ht="15" hidden="1" customHeight="1">
      <c r="A1617" s="74"/>
    </row>
    <row r="1618" spans="1:1" ht="15" hidden="1" customHeight="1">
      <c r="A1618" s="74"/>
    </row>
    <row r="1619" spans="1:1" ht="15" hidden="1" customHeight="1">
      <c r="A1619" s="74"/>
    </row>
    <row r="1620" spans="1:1" ht="15" hidden="1" customHeight="1">
      <c r="A1620" s="74"/>
    </row>
    <row r="1621" spans="1:1" ht="15" hidden="1" customHeight="1">
      <c r="A1621" s="74"/>
    </row>
    <row r="1622" spans="1:1" ht="15" hidden="1" customHeight="1">
      <c r="A1622" s="74"/>
    </row>
    <row r="1623" spans="1:1" ht="15" hidden="1" customHeight="1">
      <c r="A1623" s="74"/>
    </row>
    <row r="1624" spans="1:1" ht="15" hidden="1" customHeight="1">
      <c r="A1624" s="74"/>
    </row>
    <row r="1625" spans="1:1" ht="15" hidden="1" customHeight="1">
      <c r="A1625" s="74"/>
    </row>
    <row r="1626" spans="1:1" ht="15" hidden="1" customHeight="1">
      <c r="A1626" s="74"/>
    </row>
    <row r="1627" spans="1:1" ht="15" hidden="1" customHeight="1">
      <c r="A1627" s="74"/>
    </row>
    <row r="1628" spans="1:1" ht="15" hidden="1" customHeight="1">
      <c r="A1628" s="74"/>
    </row>
    <row r="1629" spans="1:1" ht="15" hidden="1" customHeight="1">
      <c r="A1629" s="74"/>
    </row>
    <row r="1630" spans="1:1" ht="15" hidden="1" customHeight="1">
      <c r="A1630" s="74"/>
    </row>
    <row r="1631" spans="1:1" ht="15" hidden="1" customHeight="1">
      <c r="A1631" s="74"/>
    </row>
    <row r="1632" spans="1:1" ht="15" hidden="1" customHeight="1">
      <c r="A1632" s="74"/>
    </row>
    <row r="1633" spans="1:1" ht="15" hidden="1" customHeight="1">
      <c r="A1633" s="74"/>
    </row>
    <row r="1634" spans="1:1" ht="15" hidden="1" customHeight="1">
      <c r="A1634" s="74"/>
    </row>
    <row r="1635" spans="1:1" ht="15" hidden="1" customHeight="1">
      <c r="A1635" s="74"/>
    </row>
    <row r="1636" spans="1:1" ht="15" hidden="1" customHeight="1">
      <c r="A1636" s="74"/>
    </row>
    <row r="1637" spans="1:1" ht="15" hidden="1" customHeight="1">
      <c r="A1637" s="74"/>
    </row>
    <row r="1638" spans="1:1" ht="15" hidden="1" customHeight="1">
      <c r="A1638" s="74"/>
    </row>
    <row r="1639" spans="1:1" hidden="1">
      <c r="A1639" s="74"/>
    </row>
    <row r="1640" spans="1:1" ht="15" hidden="1" customHeight="1">
      <c r="A1640" s="74"/>
    </row>
    <row r="1641" spans="1:1" ht="15" hidden="1" customHeight="1">
      <c r="A1641" s="74"/>
    </row>
    <row r="1642" spans="1:1" ht="15" hidden="1" customHeight="1">
      <c r="A1642" s="74"/>
    </row>
    <row r="1643" spans="1:1" ht="15" hidden="1" customHeight="1">
      <c r="A1643" s="74"/>
    </row>
    <row r="1644" spans="1:1" ht="15" hidden="1" customHeight="1">
      <c r="A1644" s="74"/>
    </row>
    <row r="1645" spans="1:1" ht="15" hidden="1" customHeight="1">
      <c r="A1645" s="74"/>
    </row>
    <row r="1646" spans="1:1" ht="15" hidden="1" customHeight="1">
      <c r="A1646" s="74"/>
    </row>
    <row r="1647" spans="1:1" ht="15" hidden="1" customHeight="1">
      <c r="A1647" s="74"/>
    </row>
    <row r="1648" spans="1:1" ht="15" hidden="1" customHeight="1">
      <c r="A1648" s="74"/>
    </row>
    <row r="1649" spans="1:1" ht="15" hidden="1" customHeight="1">
      <c r="A1649" s="74"/>
    </row>
    <row r="1650" spans="1:1" ht="15" hidden="1" customHeight="1">
      <c r="A1650" s="74"/>
    </row>
    <row r="1651" spans="1:1" ht="15" hidden="1" customHeight="1">
      <c r="A1651" s="74"/>
    </row>
    <row r="1652" spans="1:1" ht="15" hidden="1" customHeight="1">
      <c r="A1652" s="74"/>
    </row>
    <row r="1653" spans="1:1" ht="15" hidden="1" customHeight="1">
      <c r="A1653" s="74"/>
    </row>
    <row r="1654" spans="1:1" ht="15" hidden="1" customHeight="1">
      <c r="A1654" s="74"/>
    </row>
    <row r="1655" spans="1:1" ht="15" hidden="1" customHeight="1">
      <c r="A1655" s="74"/>
    </row>
    <row r="1656" spans="1:1" ht="15" hidden="1" customHeight="1">
      <c r="A1656" s="74"/>
    </row>
    <row r="1657" spans="1:1" ht="15" hidden="1" customHeight="1">
      <c r="A1657" s="74"/>
    </row>
    <row r="1658" spans="1:1" ht="15" hidden="1" customHeight="1">
      <c r="A1658" s="74"/>
    </row>
    <row r="1659" spans="1:1" ht="15" hidden="1" customHeight="1">
      <c r="A1659" s="74"/>
    </row>
    <row r="1660" spans="1:1" ht="15" hidden="1" customHeight="1">
      <c r="A1660" s="74"/>
    </row>
    <row r="1661" spans="1:1" ht="15" hidden="1" customHeight="1">
      <c r="A1661" s="74"/>
    </row>
    <row r="1662" spans="1:1" ht="15" hidden="1" customHeight="1">
      <c r="A1662" s="74"/>
    </row>
    <row r="1663" spans="1:1" ht="15" hidden="1" customHeight="1">
      <c r="A1663" s="74"/>
    </row>
    <row r="1664" spans="1:1" ht="15" hidden="1" customHeight="1">
      <c r="A1664" s="74"/>
    </row>
    <row r="1665" spans="1:1" ht="15" hidden="1" customHeight="1">
      <c r="A1665" s="74"/>
    </row>
    <row r="1666" spans="1:1" ht="15" hidden="1" customHeight="1">
      <c r="A1666" s="74"/>
    </row>
    <row r="1667" spans="1:1" ht="15" hidden="1" customHeight="1">
      <c r="A1667" s="74"/>
    </row>
    <row r="1668" spans="1:1" ht="15" hidden="1" customHeight="1">
      <c r="A1668" s="74"/>
    </row>
    <row r="1669" spans="1:1" ht="15" hidden="1" customHeight="1">
      <c r="A1669" s="74"/>
    </row>
    <row r="1670" spans="1:1" ht="15" hidden="1" customHeight="1">
      <c r="A1670" s="74"/>
    </row>
    <row r="1671" spans="1:1" ht="15" hidden="1" customHeight="1">
      <c r="A1671" s="74"/>
    </row>
    <row r="1672" spans="1:1" ht="15" hidden="1" customHeight="1">
      <c r="A1672" s="74"/>
    </row>
    <row r="1673" spans="1:1" ht="15" hidden="1" customHeight="1">
      <c r="A1673" s="74"/>
    </row>
    <row r="1674" spans="1:1" ht="15" hidden="1" customHeight="1">
      <c r="A1674" s="74"/>
    </row>
    <row r="1675" spans="1:1" ht="15" hidden="1" customHeight="1">
      <c r="A1675" s="74"/>
    </row>
    <row r="1676" spans="1:1" ht="15" hidden="1" customHeight="1">
      <c r="A1676" s="74"/>
    </row>
    <row r="1677" spans="1:1" ht="15" hidden="1" customHeight="1">
      <c r="A1677" s="74"/>
    </row>
    <row r="1678" spans="1:1" ht="15" hidden="1" customHeight="1">
      <c r="A1678" s="74"/>
    </row>
    <row r="1679" spans="1:1" ht="15" hidden="1" customHeight="1">
      <c r="A1679" s="74"/>
    </row>
    <row r="1680" spans="1:1" ht="15" hidden="1" customHeight="1">
      <c r="A1680" s="74"/>
    </row>
    <row r="1681" spans="1:1" ht="15" hidden="1" customHeight="1">
      <c r="A1681" s="74"/>
    </row>
    <row r="1682" spans="1:1" ht="15" hidden="1" customHeight="1">
      <c r="A1682" s="74"/>
    </row>
    <row r="1683" spans="1:1" ht="15" hidden="1" customHeight="1">
      <c r="A1683" s="74"/>
    </row>
    <row r="1684" spans="1:1" ht="15" hidden="1" customHeight="1">
      <c r="A1684" s="74"/>
    </row>
    <row r="1685" spans="1:1" ht="15" hidden="1" customHeight="1">
      <c r="A1685" s="74"/>
    </row>
    <row r="1686" spans="1:1" ht="15" hidden="1" customHeight="1">
      <c r="A1686" s="74"/>
    </row>
    <row r="1687" spans="1:1" ht="15" hidden="1" customHeight="1">
      <c r="A1687" s="74"/>
    </row>
    <row r="1688" spans="1:1" ht="15" hidden="1" customHeight="1">
      <c r="A1688" s="74"/>
    </row>
    <row r="1689" spans="1:1" ht="15" hidden="1" customHeight="1">
      <c r="A1689" s="74"/>
    </row>
    <row r="1690" spans="1:1" ht="15" hidden="1" customHeight="1">
      <c r="A1690" s="74"/>
    </row>
    <row r="1691" spans="1:1" hidden="1">
      <c r="A1691" s="74"/>
    </row>
    <row r="1692" spans="1:1" ht="15" hidden="1" customHeight="1">
      <c r="A1692" s="74"/>
    </row>
    <row r="1693" spans="1:1" ht="15" hidden="1" customHeight="1">
      <c r="A1693" s="74"/>
    </row>
    <row r="1694" spans="1:1" ht="15" hidden="1" customHeight="1">
      <c r="A1694" s="74"/>
    </row>
    <row r="1695" spans="1:1" ht="15" hidden="1" customHeight="1">
      <c r="A1695" s="74"/>
    </row>
    <row r="1696" spans="1:1" ht="15" hidden="1" customHeight="1">
      <c r="A1696" s="74"/>
    </row>
    <row r="1697" spans="1:1" ht="15" hidden="1" customHeight="1">
      <c r="A1697" s="74"/>
    </row>
    <row r="1698" spans="1:1" ht="15" hidden="1" customHeight="1">
      <c r="A1698" s="74"/>
    </row>
    <row r="1699" spans="1:1" ht="15" hidden="1" customHeight="1">
      <c r="A1699" s="74"/>
    </row>
    <row r="1700" spans="1:1" ht="15" hidden="1" customHeight="1">
      <c r="A1700" s="74"/>
    </row>
    <row r="1701" spans="1:1" ht="15" hidden="1" customHeight="1">
      <c r="A1701" s="74"/>
    </row>
    <row r="1702" spans="1:1" ht="15" hidden="1" customHeight="1">
      <c r="A1702" s="74"/>
    </row>
    <row r="1703" spans="1:1" ht="15" hidden="1" customHeight="1">
      <c r="A1703" s="74"/>
    </row>
    <row r="1704" spans="1:1" ht="15" hidden="1" customHeight="1">
      <c r="A1704" s="74"/>
    </row>
    <row r="1705" spans="1:1" ht="15" hidden="1" customHeight="1">
      <c r="A1705" s="74"/>
    </row>
    <row r="1706" spans="1:1" ht="15" hidden="1" customHeight="1">
      <c r="A1706" s="74"/>
    </row>
    <row r="1707" spans="1:1" ht="15" hidden="1" customHeight="1">
      <c r="A1707" s="74"/>
    </row>
    <row r="1708" spans="1:1" ht="15" hidden="1" customHeight="1">
      <c r="A1708" s="74"/>
    </row>
    <row r="1709" spans="1:1" ht="15" hidden="1" customHeight="1">
      <c r="A1709" s="74"/>
    </row>
    <row r="1710" spans="1:1" ht="15" hidden="1" customHeight="1">
      <c r="A1710" s="74"/>
    </row>
    <row r="1711" spans="1:1" ht="15" hidden="1" customHeight="1">
      <c r="A1711" s="74"/>
    </row>
    <row r="1712" spans="1:1" ht="15" hidden="1" customHeight="1">
      <c r="A1712" s="74"/>
    </row>
    <row r="1713" spans="1:1" ht="15" hidden="1" customHeight="1">
      <c r="A1713" s="74"/>
    </row>
    <row r="1714" spans="1:1" ht="15" hidden="1" customHeight="1">
      <c r="A1714" s="74"/>
    </row>
    <row r="1715" spans="1:1" ht="15" hidden="1" customHeight="1">
      <c r="A1715" s="74"/>
    </row>
    <row r="1716" spans="1:1" ht="15" hidden="1" customHeight="1">
      <c r="A1716" s="74"/>
    </row>
    <row r="1717" spans="1:1" ht="15" hidden="1" customHeight="1">
      <c r="A1717" s="74"/>
    </row>
    <row r="1718" spans="1:1" ht="15" hidden="1" customHeight="1">
      <c r="A1718" s="74"/>
    </row>
    <row r="1719" spans="1:1" ht="15" hidden="1" customHeight="1">
      <c r="A1719" s="74"/>
    </row>
    <row r="1720" spans="1:1" ht="15" hidden="1" customHeight="1">
      <c r="A1720" s="74"/>
    </row>
    <row r="1721" spans="1:1" ht="15" hidden="1" customHeight="1">
      <c r="A1721" s="74"/>
    </row>
    <row r="1722" spans="1:1" ht="15" hidden="1" customHeight="1">
      <c r="A1722" s="74"/>
    </row>
    <row r="1723" spans="1:1" ht="15" hidden="1" customHeight="1">
      <c r="A1723" s="74"/>
    </row>
    <row r="1724" spans="1:1" ht="15" hidden="1" customHeight="1">
      <c r="A1724" s="74"/>
    </row>
    <row r="1725" spans="1:1" ht="15" hidden="1" customHeight="1">
      <c r="A1725" s="74"/>
    </row>
    <row r="1726" spans="1:1" ht="15" hidden="1" customHeight="1">
      <c r="A1726" s="74"/>
    </row>
    <row r="1727" spans="1:1" ht="15" hidden="1" customHeight="1">
      <c r="A1727" s="74"/>
    </row>
    <row r="1728" spans="1:1" ht="15" hidden="1" customHeight="1">
      <c r="A1728" s="74"/>
    </row>
    <row r="1729" spans="1:1" ht="15" hidden="1" customHeight="1">
      <c r="A1729" s="74"/>
    </row>
    <row r="1730" spans="1:1" ht="15" hidden="1" customHeight="1">
      <c r="A1730" s="74"/>
    </row>
    <row r="1731" spans="1:1" ht="15" hidden="1" customHeight="1">
      <c r="A1731" s="74"/>
    </row>
    <row r="1732" spans="1:1" ht="15" hidden="1" customHeight="1">
      <c r="A1732" s="74"/>
    </row>
    <row r="1733" spans="1:1" ht="15" hidden="1" customHeight="1">
      <c r="A1733" s="74"/>
    </row>
    <row r="1734" spans="1:1" ht="15" hidden="1" customHeight="1">
      <c r="A1734" s="74"/>
    </row>
    <row r="1735" spans="1:1" ht="15" hidden="1" customHeight="1">
      <c r="A1735" s="74"/>
    </row>
    <row r="1736" spans="1:1" hidden="1">
      <c r="A1736" s="74"/>
    </row>
    <row r="1737" spans="1:1" ht="15" hidden="1" customHeight="1">
      <c r="A1737" s="74"/>
    </row>
    <row r="1738" spans="1:1" ht="15" hidden="1" customHeight="1">
      <c r="A1738" s="74"/>
    </row>
    <row r="1739" spans="1:1" ht="15" hidden="1" customHeight="1">
      <c r="A1739" s="74"/>
    </row>
    <row r="1740" spans="1:1" ht="15" hidden="1" customHeight="1">
      <c r="A1740" s="74"/>
    </row>
    <row r="1741" spans="1:1" ht="15" hidden="1" customHeight="1">
      <c r="A1741" s="74"/>
    </row>
    <row r="1742" spans="1:1" ht="15" hidden="1" customHeight="1">
      <c r="A1742" s="74"/>
    </row>
    <row r="1743" spans="1:1" ht="15" hidden="1" customHeight="1">
      <c r="A1743" s="74"/>
    </row>
    <row r="1744" spans="1:1" ht="15" hidden="1" customHeight="1">
      <c r="A1744" s="74"/>
    </row>
    <row r="1745" spans="1:1" ht="15" hidden="1" customHeight="1">
      <c r="A1745" s="74"/>
    </row>
    <row r="1746" spans="1:1" ht="15" hidden="1" customHeight="1">
      <c r="A1746" s="74"/>
    </row>
    <row r="1747" spans="1:1" ht="15" hidden="1" customHeight="1">
      <c r="A1747" s="74"/>
    </row>
    <row r="1748" spans="1:1" ht="15" hidden="1" customHeight="1">
      <c r="A1748" s="74"/>
    </row>
    <row r="1749" spans="1:1" ht="15" hidden="1" customHeight="1">
      <c r="A1749" s="74"/>
    </row>
    <row r="1750" spans="1:1" ht="15" hidden="1" customHeight="1">
      <c r="A1750" s="74"/>
    </row>
    <row r="1751" spans="1:1" ht="15" hidden="1" customHeight="1">
      <c r="A1751" s="74"/>
    </row>
    <row r="1752" spans="1:1" ht="15" hidden="1" customHeight="1">
      <c r="A1752" s="74"/>
    </row>
    <row r="1753" spans="1:1" ht="15" hidden="1" customHeight="1">
      <c r="A1753" s="74"/>
    </row>
    <row r="1754" spans="1:1" ht="15" hidden="1" customHeight="1">
      <c r="A1754" s="74"/>
    </row>
    <row r="1755" spans="1:1" ht="15" hidden="1" customHeight="1">
      <c r="A1755" s="74"/>
    </row>
    <row r="1756" spans="1:1" ht="15" hidden="1" customHeight="1">
      <c r="A1756" s="74"/>
    </row>
    <row r="1757" spans="1:1" ht="15" hidden="1" customHeight="1">
      <c r="A1757" s="74"/>
    </row>
    <row r="1758" spans="1:1" ht="15" hidden="1" customHeight="1">
      <c r="A1758" s="74"/>
    </row>
    <row r="1759" spans="1:1" ht="15" hidden="1" customHeight="1">
      <c r="A1759" s="74"/>
    </row>
    <row r="1760" spans="1:1" ht="15" hidden="1" customHeight="1">
      <c r="A1760" s="74"/>
    </row>
    <row r="1761" spans="1:1" ht="15" hidden="1" customHeight="1">
      <c r="A1761" s="74"/>
    </row>
    <row r="1762" spans="1:1" ht="15" hidden="1" customHeight="1">
      <c r="A1762" s="74"/>
    </row>
    <row r="1763" spans="1:1" ht="15" hidden="1" customHeight="1">
      <c r="A1763" s="74"/>
    </row>
    <row r="1764" spans="1:1" ht="15" hidden="1" customHeight="1">
      <c r="A1764" s="74"/>
    </row>
    <row r="1765" spans="1:1" ht="15" hidden="1" customHeight="1">
      <c r="A1765" s="74"/>
    </row>
    <row r="1766" spans="1:1" ht="15" hidden="1" customHeight="1">
      <c r="A1766" s="74"/>
    </row>
    <row r="1767" spans="1:1" ht="15" hidden="1" customHeight="1">
      <c r="A1767" s="74"/>
    </row>
    <row r="1768" spans="1:1" ht="15" hidden="1" customHeight="1">
      <c r="A1768" s="74"/>
    </row>
    <row r="1769" spans="1:1" ht="15" hidden="1" customHeight="1">
      <c r="A1769" s="74"/>
    </row>
    <row r="1770" spans="1:1" ht="15" hidden="1" customHeight="1">
      <c r="A1770" s="74"/>
    </row>
    <row r="1771" spans="1:1" ht="15" hidden="1" customHeight="1">
      <c r="A1771" s="74"/>
    </row>
    <row r="1772" spans="1:1" ht="15" hidden="1" customHeight="1">
      <c r="A1772" s="74"/>
    </row>
    <row r="1773" spans="1:1" ht="15" hidden="1" customHeight="1">
      <c r="A1773" s="74"/>
    </row>
    <row r="1774" spans="1:1" ht="15" hidden="1" customHeight="1">
      <c r="A1774" s="74"/>
    </row>
    <row r="1775" spans="1:1" ht="15" hidden="1" customHeight="1">
      <c r="A1775" s="74"/>
    </row>
    <row r="1776" spans="1:1" ht="15" hidden="1" customHeight="1">
      <c r="A1776" s="74"/>
    </row>
    <row r="1777" spans="1:1" ht="15" hidden="1" customHeight="1">
      <c r="A1777" s="74"/>
    </row>
    <row r="1778" spans="1:1" ht="15" hidden="1" customHeight="1">
      <c r="A1778" s="74"/>
    </row>
    <row r="1779" spans="1:1" ht="15" hidden="1" customHeight="1">
      <c r="A1779" s="74"/>
    </row>
    <row r="1780" spans="1:1" ht="15" hidden="1" customHeight="1">
      <c r="A1780" s="74"/>
    </row>
    <row r="1781" spans="1:1" ht="15" hidden="1" customHeight="1">
      <c r="A1781" s="74"/>
    </row>
    <row r="1782" spans="1:1" hidden="1">
      <c r="A1782" s="74"/>
    </row>
    <row r="1783" spans="1:1" ht="15" hidden="1" customHeight="1">
      <c r="A1783" s="74"/>
    </row>
    <row r="1784" spans="1:1" ht="15" hidden="1" customHeight="1">
      <c r="A1784" s="74"/>
    </row>
    <row r="1785" spans="1:1" ht="15" hidden="1" customHeight="1">
      <c r="A1785" s="74"/>
    </row>
    <row r="1786" spans="1:1" ht="15" hidden="1" customHeight="1">
      <c r="A1786" s="74"/>
    </row>
    <row r="1787" spans="1:1" ht="15" hidden="1" customHeight="1">
      <c r="A1787" s="74"/>
    </row>
    <row r="1788" spans="1:1" ht="15" hidden="1" customHeight="1">
      <c r="A1788" s="74"/>
    </row>
    <row r="1789" spans="1:1" ht="15" hidden="1" customHeight="1">
      <c r="A1789" s="74"/>
    </row>
    <row r="1790" spans="1:1" ht="15" hidden="1" customHeight="1">
      <c r="A1790" s="74"/>
    </row>
    <row r="1791" spans="1:1" ht="15" hidden="1" customHeight="1">
      <c r="A1791" s="74"/>
    </row>
    <row r="1792" spans="1:1" ht="15" hidden="1" customHeight="1">
      <c r="A1792" s="74"/>
    </row>
    <row r="1793" spans="1:1" ht="15" hidden="1" customHeight="1">
      <c r="A1793" s="74"/>
    </row>
    <row r="1794" spans="1:1" ht="15" hidden="1" customHeight="1">
      <c r="A1794" s="74"/>
    </row>
    <row r="1795" spans="1:1" ht="15" hidden="1" customHeight="1">
      <c r="A1795" s="74"/>
    </row>
    <row r="1796" spans="1:1" ht="15" hidden="1" customHeight="1">
      <c r="A1796" s="74"/>
    </row>
    <row r="1797" spans="1:1" ht="15" hidden="1" customHeight="1">
      <c r="A1797" s="74"/>
    </row>
    <row r="1798" spans="1:1" ht="15" hidden="1" customHeight="1">
      <c r="A1798" s="74"/>
    </row>
    <row r="1799" spans="1:1" ht="15" hidden="1" customHeight="1">
      <c r="A1799" s="74"/>
    </row>
    <row r="1800" spans="1:1" ht="15" hidden="1" customHeight="1">
      <c r="A1800" s="74"/>
    </row>
    <row r="1801" spans="1:1" ht="15" hidden="1" customHeight="1">
      <c r="A1801" s="74"/>
    </row>
    <row r="1802" spans="1:1" ht="15" hidden="1" customHeight="1">
      <c r="A1802" s="74"/>
    </row>
    <row r="1803" spans="1:1" ht="15" hidden="1" customHeight="1">
      <c r="A1803" s="74"/>
    </row>
    <row r="1804" spans="1:1" ht="15" hidden="1" customHeight="1">
      <c r="A1804" s="74"/>
    </row>
    <row r="1805" spans="1:1" ht="15" hidden="1" customHeight="1">
      <c r="A1805" s="74"/>
    </row>
    <row r="1806" spans="1:1" ht="15" hidden="1" customHeight="1">
      <c r="A1806" s="74"/>
    </row>
    <row r="1807" spans="1:1" ht="15" hidden="1" customHeight="1">
      <c r="A1807" s="74"/>
    </row>
    <row r="1808" spans="1:1" ht="15" hidden="1" customHeight="1">
      <c r="A1808" s="74"/>
    </row>
    <row r="1809" spans="1:1" ht="15" hidden="1" customHeight="1">
      <c r="A1809" s="74"/>
    </row>
    <row r="1810" spans="1:1" ht="15" hidden="1" customHeight="1">
      <c r="A1810" s="74"/>
    </row>
    <row r="1811" spans="1:1" ht="15" hidden="1" customHeight="1">
      <c r="A1811" s="74"/>
    </row>
    <row r="1812" spans="1:1" ht="15" hidden="1" customHeight="1">
      <c r="A1812" s="74"/>
    </row>
    <row r="1813" spans="1:1" ht="15" hidden="1" customHeight="1">
      <c r="A1813" s="74"/>
    </row>
    <row r="1814" spans="1:1" ht="15" hidden="1" customHeight="1">
      <c r="A1814" s="74"/>
    </row>
    <row r="1815" spans="1:1" ht="15" hidden="1" customHeight="1">
      <c r="A1815" s="74"/>
    </row>
    <row r="1816" spans="1:1" ht="15" hidden="1" customHeight="1">
      <c r="A1816" s="74"/>
    </row>
    <row r="1817" spans="1:1" ht="15" hidden="1" customHeight="1">
      <c r="A1817" s="74"/>
    </row>
    <row r="1818" spans="1:1" ht="15" hidden="1" customHeight="1">
      <c r="A1818" s="74"/>
    </row>
    <row r="1819" spans="1:1" ht="15" hidden="1" customHeight="1">
      <c r="A1819" s="74"/>
    </row>
    <row r="1820" spans="1:1" ht="15" hidden="1" customHeight="1">
      <c r="A1820" s="74"/>
    </row>
    <row r="1821" spans="1:1" ht="15" hidden="1" customHeight="1">
      <c r="A1821" s="74"/>
    </row>
    <row r="1822" spans="1:1" ht="15" hidden="1" customHeight="1">
      <c r="A1822" s="74"/>
    </row>
    <row r="1823" spans="1:1" ht="15" hidden="1" customHeight="1">
      <c r="A1823" s="74"/>
    </row>
    <row r="1824" spans="1:1" ht="15" hidden="1" customHeight="1">
      <c r="A1824" s="74"/>
    </row>
    <row r="1825" spans="1:1" ht="15" hidden="1" customHeight="1">
      <c r="A1825" s="74"/>
    </row>
    <row r="1826" spans="1:1" ht="15" hidden="1" customHeight="1">
      <c r="A1826" s="74"/>
    </row>
    <row r="1827" spans="1:1" ht="15" hidden="1" customHeight="1">
      <c r="A1827" s="74"/>
    </row>
    <row r="1828" spans="1:1" ht="15" hidden="1" customHeight="1">
      <c r="A1828" s="74"/>
    </row>
    <row r="1829" spans="1:1" ht="15" hidden="1" customHeight="1">
      <c r="A1829" s="74"/>
    </row>
    <row r="1830" spans="1:1" ht="15" hidden="1" customHeight="1">
      <c r="A1830" s="74"/>
    </row>
    <row r="1831" spans="1:1" ht="15" hidden="1" customHeight="1">
      <c r="A1831" s="74"/>
    </row>
    <row r="1832" spans="1:1" ht="15" hidden="1" customHeight="1">
      <c r="A1832" s="74"/>
    </row>
    <row r="1833" spans="1:1" ht="15" hidden="1" customHeight="1">
      <c r="A1833" s="74"/>
    </row>
    <row r="1834" spans="1:1" ht="15" hidden="1" customHeight="1">
      <c r="A1834" s="74"/>
    </row>
    <row r="1835" spans="1:1" ht="15" hidden="1" customHeight="1">
      <c r="A1835" s="74"/>
    </row>
    <row r="1836" spans="1:1" ht="15" hidden="1" customHeight="1">
      <c r="A1836" s="74"/>
    </row>
    <row r="1837" spans="1:1" hidden="1">
      <c r="A1837" s="74"/>
    </row>
    <row r="1838" spans="1:1" ht="15" hidden="1" customHeight="1">
      <c r="A1838" s="74"/>
    </row>
    <row r="1839" spans="1:1" ht="15" hidden="1" customHeight="1">
      <c r="A1839" s="74"/>
    </row>
    <row r="1840" spans="1:1" ht="15" hidden="1" customHeight="1">
      <c r="A1840" s="74"/>
    </row>
    <row r="1841" spans="1:1" ht="15" hidden="1" customHeight="1">
      <c r="A1841" s="74"/>
    </row>
    <row r="1842" spans="1:1" ht="15" hidden="1" customHeight="1">
      <c r="A1842" s="74"/>
    </row>
    <row r="1843" spans="1:1" ht="15" hidden="1" customHeight="1">
      <c r="A1843" s="74"/>
    </row>
    <row r="1844" spans="1:1" ht="15" hidden="1" customHeight="1">
      <c r="A1844" s="74"/>
    </row>
    <row r="1845" spans="1:1" ht="15" hidden="1" customHeight="1">
      <c r="A1845" s="74"/>
    </row>
    <row r="1846" spans="1:1" ht="15" hidden="1" customHeight="1">
      <c r="A1846" s="74"/>
    </row>
    <row r="1847" spans="1:1" ht="15" hidden="1" customHeight="1">
      <c r="A1847" s="74"/>
    </row>
    <row r="1848" spans="1:1" ht="15" hidden="1" customHeight="1">
      <c r="A1848" s="74"/>
    </row>
    <row r="1849" spans="1:1" ht="15" hidden="1" customHeight="1">
      <c r="A1849" s="74"/>
    </row>
    <row r="1850" spans="1:1" ht="15" hidden="1" customHeight="1">
      <c r="A1850" s="74"/>
    </row>
    <row r="1851" spans="1:1" ht="15" hidden="1" customHeight="1">
      <c r="A1851" s="74"/>
    </row>
    <row r="1852" spans="1:1" ht="15" hidden="1" customHeight="1">
      <c r="A1852" s="74"/>
    </row>
    <row r="1853" spans="1:1" ht="15" hidden="1" customHeight="1">
      <c r="A1853" s="74"/>
    </row>
    <row r="1854" spans="1:1" ht="15" hidden="1" customHeight="1">
      <c r="A1854" s="74"/>
    </row>
    <row r="1855" spans="1:1" ht="15" hidden="1" customHeight="1">
      <c r="A1855" s="74"/>
    </row>
    <row r="1856" spans="1:1" ht="15" hidden="1" customHeight="1">
      <c r="A1856" s="74"/>
    </row>
    <row r="1857" spans="1:1" ht="15" hidden="1" customHeight="1">
      <c r="A1857" s="74"/>
    </row>
    <row r="1858" spans="1:1" ht="15" hidden="1" customHeight="1">
      <c r="A1858" s="74"/>
    </row>
    <row r="1859" spans="1:1" ht="15" hidden="1" customHeight="1">
      <c r="A1859" s="74"/>
    </row>
    <row r="1860" spans="1:1" ht="15" hidden="1" customHeight="1">
      <c r="A1860" s="74"/>
    </row>
    <row r="1861" spans="1:1" ht="15" hidden="1" customHeight="1">
      <c r="A1861" s="74"/>
    </row>
    <row r="1862" spans="1:1" ht="15" hidden="1" customHeight="1">
      <c r="A1862" s="74"/>
    </row>
    <row r="1863" spans="1:1" ht="15" hidden="1" customHeight="1">
      <c r="A1863" s="74"/>
    </row>
    <row r="1864" spans="1:1" ht="15" hidden="1" customHeight="1">
      <c r="A1864" s="74"/>
    </row>
    <row r="1865" spans="1:1" ht="15" hidden="1" customHeight="1">
      <c r="A1865" s="74"/>
    </row>
    <row r="1866" spans="1:1" ht="15" hidden="1" customHeight="1">
      <c r="A1866" s="74"/>
    </row>
    <row r="1867" spans="1:1" ht="15" hidden="1" customHeight="1">
      <c r="A1867" s="74"/>
    </row>
    <row r="1868" spans="1:1" ht="15" hidden="1" customHeight="1">
      <c r="A1868" s="74"/>
    </row>
    <row r="1869" spans="1:1" ht="15" hidden="1" customHeight="1">
      <c r="A1869" s="74"/>
    </row>
    <row r="1870" spans="1:1" ht="15" hidden="1" customHeight="1">
      <c r="A1870" s="74"/>
    </row>
    <row r="1871" spans="1:1" ht="15" hidden="1" customHeight="1">
      <c r="A1871" s="74"/>
    </row>
    <row r="1872" spans="1:1" ht="15" hidden="1" customHeight="1">
      <c r="A1872" s="74"/>
    </row>
    <row r="1873" spans="1:1" ht="15" hidden="1" customHeight="1">
      <c r="A1873" s="74"/>
    </row>
    <row r="1874" spans="1:1" ht="15" hidden="1" customHeight="1">
      <c r="A1874" s="74"/>
    </row>
    <row r="1875" spans="1:1" ht="15" hidden="1" customHeight="1">
      <c r="A1875" s="74"/>
    </row>
    <row r="1876" spans="1:1" ht="15" hidden="1" customHeight="1">
      <c r="A1876" s="74"/>
    </row>
    <row r="1877" spans="1:1" ht="15" hidden="1" customHeight="1">
      <c r="A1877" s="74"/>
    </row>
    <row r="1878" spans="1:1" ht="15" hidden="1" customHeight="1">
      <c r="A1878" s="74"/>
    </row>
    <row r="1879" spans="1:1" ht="15" hidden="1" customHeight="1">
      <c r="A1879" s="74"/>
    </row>
    <row r="1880" spans="1:1" ht="15" hidden="1" customHeight="1">
      <c r="A1880" s="74"/>
    </row>
    <row r="1881" spans="1:1" ht="15" hidden="1" customHeight="1">
      <c r="A1881" s="74"/>
    </row>
    <row r="1882" spans="1:1" ht="15" hidden="1" customHeight="1">
      <c r="A1882" s="74"/>
    </row>
    <row r="1883" spans="1:1" ht="15" hidden="1" customHeight="1">
      <c r="A1883" s="74"/>
    </row>
    <row r="1884" spans="1:1" ht="15" hidden="1" customHeight="1">
      <c r="A1884" s="74"/>
    </row>
    <row r="1885" spans="1:1" ht="15" hidden="1" customHeight="1">
      <c r="A1885" s="74"/>
    </row>
    <row r="1886" spans="1:1" ht="15" hidden="1" customHeight="1">
      <c r="A1886" s="74"/>
    </row>
    <row r="1887" spans="1:1" ht="15" hidden="1" customHeight="1">
      <c r="A1887" s="74"/>
    </row>
    <row r="1888" spans="1:1" ht="15" hidden="1" customHeight="1">
      <c r="A1888" s="74"/>
    </row>
    <row r="1889" spans="1:1" ht="15" hidden="1" customHeight="1">
      <c r="A1889" s="74"/>
    </row>
    <row r="1890" spans="1:1" ht="15" hidden="1" customHeight="1">
      <c r="A1890" s="74"/>
    </row>
    <row r="1891" spans="1:1" ht="15" hidden="1" customHeight="1">
      <c r="A1891" s="74"/>
    </row>
    <row r="1892" spans="1:1" ht="15" hidden="1" customHeight="1">
      <c r="A1892" s="74"/>
    </row>
    <row r="1893" spans="1:1" ht="15" hidden="1" customHeight="1">
      <c r="A1893" s="74"/>
    </row>
    <row r="1894" spans="1:1" ht="15" hidden="1" customHeight="1">
      <c r="A1894" s="74"/>
    </row>
    <row r="1895" spans="1:1" hidden="1">
      <c r="A1895" s="74"/>
    </row>
    <row r="1896" spans="1:1" ht="15" hidden="1" customHeight="1">
      <c r="A1896" s="74"/>
    </row>
    <row r="1897" spans="1:1" ht="15" hidden="1" customHeight="1">
      <c r="A1897" s="74"/>
    </row>
    <row r="1898" spans="1:1" ht="15" hidden="1" customHeight="1">
      <c r="A1898" s="74"/>
    </row>
    <row r="1899" spans="1:1" ht="15" hidden="1" customHeight="1">
      <c r="A1899" s="74"/>
    </row>
    <row r="1900" spans="1:1" ht="15" hidden="1" customHeight="1">
      <c r="A1900" s="74"/>
    </row>
    <row r="1901" spans="1:1" ht="15" hidden="1" customHeight="1">
      <c r="A1901" s="74"/>
    </row>
    <row r="1902" spans="1:1" ht="15" hidden="1" customHeight="1">
      <c r="A1902" s="74"/>
    </row>
    <row r="1903" spans="1:1" ht="15" hidden="1" customHeight="1">
      <c r="A1903" s="74"/>
    </row>
    <row r="1904" spans="1:1" ht="15" hidden="1" customHeight="1">
      <c r="A1904" s="74"/>
    </row>
    <row r="1905" spans="1:1" ht="15" hidden="1" customHeight="1">
      <c r="A1905" s="74"/>
    </row>
    <row r="1906" spans="1:1" ht="15" hidden="1" customHeight="1">
      <c r="A1906" s="74"/>
    </row>
    <row r="1907" spans="1:1" ht="15" hidden="1" customHeight="1">
      <c r="A1907" s="74"/>
    </row>
    <row r="1908" spans="1:1" ht="15" hidden="1" customHeight="1">
      <c r="A1908" s="74"/>
    </row>
    <row r="1909" spans="1:1" ht="15" hidden="1" customHeight="1">
      <c r="A1909" s="74"/>
    </row>
    <row r="1910" spans="1:1" ht="15" hidden="1" customHeight="1">
      <c r="A1910" s="74"/>
    </row>
    <row r="1911" spans="1:1" ht="15" hidden="1" customHeight="1">
      <c r="A1911" s="74"/>
    </row>
    <row r="1912" spans="1:1" ht="15" hidden="1" customHeight="1">
      <c r="A1912" s="74"/>
    </row>
    <row r="1913" spans="1:1" ht="15" hidden="1" customHeight="1">
      <c r="A1913" s="74"/>
    </row>
    <row r="1914" spans="1:1" ht="15" hidden="1" customHeight="1">
      <c r="A1914" s="74"/>
    </row>
    <row r="1915" spans="1:1" ht="15" hidden="1" customHeight="1">
      <c r="A1915" s="74"/>
    </row>
    <row r="1916" spans="1:1" ht="15" hidden="1" customHeight="1">
      <c r="A1916" s="74"/>
    </row>
    <row r="1917" spans="1:1" ht="15" hidden="1" customHeight="1">
      <c r="A1917" s="74"/>
    </row>
    <row r="1918" spans="1:1" ht="15" hidden="1" customHeight="1">
      <c r="A1918" s="74"/>
    </row>
    <row r="1919" spans="1:1" ht="15" hidden="1" customHeight="1">
      <c r="A1919" s="74"/>
    </row>
    <row r="1920" spans="1:1" ht="15" hidden="1" customHeight="1">
      <c r="A1920" s="74"/>
    </row>
    <row r="1921" spans="1:1" ht="15" hidden="1" customHeight="1">
      <c r="A1921" s="74"/>
    </row>
    <row r="1922" spans="1:1" ht="15" hidden="1" customHeight="1">
      <c r="A1922" s="74"/>
    </row>
    <row r="1923" spans="1:1" ht="15" hidden="1" customHeight="1">
      <c r="A1923" s="74"/>
    </row>
    <row r="1924" spans="1:1" ht="15" hidden="1" customHeight="1">
      <c r="A1924" s="74"/>
    </row>
    <row r="1925" spans="1:1" ht="15" hidden="1" customHeight="1">
      <c r="A1925" s="74"/>
    </row>
    <row r="1926" spans="1:1" ht="15" hidden="1" customHeight="1">
      <c r="A1926" s="74"/>
    </row>
    <row r="1927" spans="1:1" ht="15" hidden="1" customHeight="1">
      <c r="A1927" s="74"/>
    </row>
    <row r="1928" spans="1:1" ht="15" hidden="1" customHeight="1">
      <c r="A1928" s="74"/>
    </row>
    <row r="1929" spans="1:1" ht="15" hidden="1" customHeight="1">
      <c r="A1929" s="74"/>
    </row>
    <row r="1930" spans="1:1" ht="15" hidden="1" customHeight="1">
      <c r="A1930" s="74"/>
    </row>
    <row r="1931" spans="1:1" ht="15" hidden="1" customHeight="1">
      <c r="A1931" s="74"/>
    </row>
    <row r="1932" spans="1:1" ht="15" hidden="1" customHeight="1">
      <c r="A1932" s="74"/>
    </row>
    <row r="1933" spans="1:1" ht="15" hidden="1" customHeight="1">
      <c r="A1933" s="74"/>
    </row>
    <row r="1934" spans="1:1" ht="15" hidden="1" customHeight="1">
      <c r="A1934" s="74"/>
    </row>
    <row r="1935" spans="1:1" ht="15" hidden="1" customHeight="1">
      <c r="A1935" s="74"/>
    </row>
    <row r="1936" spans="1:1" ht="15" hidden="1" customHeight="1">
      <c r="A1936" s="74"/>
    </row>
    <row r="1937" spans="1:1" ht="15" hidden="1" customHeight="1">
      <c r="A1937" s="74"/>
    </row>
    <row r="1938" spans="1:1" ht="15" hidden="1" customHeight="1">
      <c r="A1938" s="74"/>
    </row>
    <row r="1939" spans="1:1" ht="15" hidden="1" customHeight="1">
      <c r="A1939" s="74"/>
    </row>
    <row r="1940" spans="1:1" ht="15" hidden="1" customHeight="1">
      <c r="A1940" s="74"/>
    </row>
    <row r="1941" spans="1:1" ht="15" hidden="1" customHeight="1">
      <c r="A1941" s="74"/>
    </row>
    <row r="1942" spans="1:1" ht="15" hidden="1" customHeight="1">
      <c r="A1942" s="74"/>
    </row>
    <row r="1943" spans="1:1" ht="15" hidden="1" customHeight="1">
      <c r="A1943" s="74"/>
    </row>
    <row r="1944" spans="1:1" ht="15" hidden="1" customHeight="1">
      <c r="A1944" s="74"/>
    </row>
    <row r="1945" spans="1:1" ht="15" hidden="1" customHeight="1">
      <c r="A1945" s="74"/>
    </row>
    <row r="1946" spans="1:1" hidden="1">
      <c r="A1946" s="74"/>
    </row>
    <row r="1947" spans="1:1" ht="15" hidden="1" customHeight="1">
      <c r="A1947" s="74"/>
    </row>
    <row r="1948" spans="1:1" ht="15" hidden="1" customHeight="1">
      <c r="A1948" s="74"/>
    </row>
    <row r="1949" spans="1:1" ht="15" hidden="1" customHeight="1">
      <c r="A1949" s="74"/>
    </row>
    <row r="1950" spans="1:1" ht="15" hidden="1" customHeight="1">
      <c r="A1950" s="74"/>
    </row>
    <row r="1951" spans="1:1" ht="15" hidden="1" customHeight="1">
      <c r="A1951" s="74"/>
    </row>
    <row r="1952" spans="1:1" ht="15" hidden="1" customHeight="1">
      <c r="A1952" s="74"/>
    </row>
    <row r="1953" spans="1:1" ht="15" hidden="1" customHeight="1">
      <c r="A1953" s="74"/>
    </row>
    <row r="1954" spans="1:1" ht="15" hidden="1" customHeight="1">
      <c r="A1954" s="74"/>
    </row>
    <row r="1955" spans="1:1" ht="15" hidden="1" customHeight="1">
      <c r="A1955" s="74"/>
    </row>
    <row r="1956" spans="1:1" ht="15" hidden="1" customHeight="1">
      <c r="A1956" s="74"/>
    </row>
    <row r="1957" spans="1:1" ht="15" hidden="1" customHeight="1">
      <c r="A1957" s="74"/>
    </row>
    <row r="1958" spans="1:1" ht="15" hidden="1" customHeight="1">
      <c r="A1958" s="74"/>
    </row>
    <row r="1959" spans="1:1" ht="15" hidden="1" customHeight="1">
      <c r="A1959" s="74"/>
    </row>
    <row r="1960" spans="1:1" ht="15" hidden="1" customHeight="1">
      <c r="A1960" s="74"/>
    </row>
    <row r="1961" spans="1:1" ht="15" hidden="1" customHeight="1">
      <c r="A1961" s="74"/>
    </row>
    <row r="1962" spans="1:1" ht="15" hidden="1" customHeight="1">
      <c r="A1962" s="74"/>
    </row>
    <row r="1963" spans="1:1" ht="15" hidden="1" customHeight="1">
      <c r="A1963" s="74"/>
    </row>
    <row r="1964" spans="1:1" ht="15" hidden="1" customHeight="1">
      <c r="A1964" s="74"/>
    </row>
    <row r="1965" spans="1:1" ht="15" hidden="1" customHeight="1">
      <c r="A1965" s="74"/>
    </row>
    <row r="1966" spans="1:1" ht="15" hidden="1" customHeight="1">
      <c r="A1966" s="74"/>
    </row>
    <row r="1967" spans="1:1" ht="15" hidden="1" customHeight="1">
      <c r="A1967" s="74"/>
    </row>
    <row r="1968" spans="1:1" ht="15" hidden="1" customHeight="1">
      <c r="A1968" s="74"/>
    </row>
    <row r="1969" spans="1:1" ht="15" hidden="1" customHeight="1">
      <c r="A1969" s="74"/>
    </row>
    <row r="1970" spans="1:1" ht="15" hidden="1" customHeight="1">
      <c r="A1970" s="74"/>
    </row>
    <row r="1971" spans="1:1" ht="15" hidden="1" customHeight="1">
      <c r="A1971" s="74"/>
    </row>
    <row r="1972" spans="1:1" ht="15" hidden="1" customHeight="1">
      <c r="A1972" s="74"/>
    </row>
    <row r="1973" spans="1:1" ht="15" hidden="1" customHeight="1">
      <c r="A1973" s="74"/>
    </row>
    <row r="1974" spans="1:1" ht="15" hidden="1" customHeight="1">
      <c r="A1974" s="74"/>
    </row>
    <row r="1975" spans="1:1" ht="15" hidden="1" customHeight="1">
      <c r="A1975" s="74"/>
    </row>
    <row r="1976" spans="1:1" ht="15" hidden="1" customHeight="1">
      <c r="A1976" s="74"/>
    </row>
    <row r="1977" spans="1:1" ht="15" hidden="1" customHeight="1">
      <c r="A1977" s="74"/>
    </row>
    <row r="1978" spans="1:1" ht="15" hidden="1" customHeight="1">
      <c r="A1978" s="74"/>
    </row>
    <row r="1979" spans="1:1" ht="15" hidden="1" customHeight="1">
      <c r="A1979" s="74"/>
    </row>
    <row r="1980" spans="1:1" ht="15" hidden="1" customHeight="1">
      <c r="A1980" s="74"/>
    </row>
    <row r="1981" spans="1:1" ht="15" hidden="1" customHeight="1">
      <c r="A1981" s="74"/>
    </row>
    <row r="1982" spans="1:1" ht="15" hidden="1" customHeight="1">
      <c r="A1982" s="74"/>
    </row>
    <row r="1983" spans="1:1" ht="15" hidden="1" customHeight="1">
      <c r="A1983" s="74"/>
    </row>
    <row r="1984" spans="1:1" ht="15" hidden="1" customHeight="1">
      <c r="A1984" s="74"/>
    </row>
    <row r="1985" spans="1:1" ht="15" hidden="1" customHeight="1">
      <c r="A1985" s="74"/>
    </row>
    <row r="1986" spans="1:1" ht="15" hidden="1" customHeight="1">
      <c r="A1986" s="74"/>
    </row>
    <row r="1987" spans="1:1" ht="15" hidden="1" customHeight="1">
      <c r="A1987" s="74"/>
    </row>
    <row r="1988" spans="1:1" ht="15" hidden="1" customHeight="1">
      <c r="A1988" s="74"/>
    </row>
    <row r="1989" spans="1:1" ht="15" hidden="1" customHeight="1">
      <c r="A1989" s="74"/>
    </row>
    <row r="1990" spans="1:1" ht="15" hidden="1" customHeight="1">
      <c r="A1990" s="74"/>
    </row>
    <row r="1991" spans="1:1" ht="15" hidden="1" customHeight="1">
      <c r="A1991" s="74"/>
    </row>
    <row r="1992" spans="1:1" ht="15" hidden="1" customHeight="1">
      <c r="A1992" s="74"/>
    </row>
    <row r="1993" spans="1:1" ht="15" hidden="1" customHeight="1">
      <c r="A1993" s="74"/>
    </row>
    <row r="1994" spans="1:1" ht="15" hidden="1" customHeight="1">
      <c r="A1994" s="74"/>
    </row>
    <row r="1995" spans="1:1" ht="15" hidden="1" customHeight="1">
      <c r="A1995" s="74"/>
    </row>
    <row r="1996" spans="1:1" ht="15" hidden="1" customHeight="1">
      <c r="A1996" s="74"/>
    </row>
    <row r="1997" spans="1:1" ht="15" hidden="1" customHeight="1">
      <c r="A1997" s="74"/>
    </row>
    <row r="1998" spans="1:1" ht="15" hidden="1" customHeight="1">
      <c r="A1998" s="74"/>
    </row>
    <row r="1999" spans="1:1" ht="15" hidden="1" customHeight="1">
      <c r="A1999" s="74"/>
    </row>
    <row r="2000" spans="1:1" ht="15" hidden="1" customHeight="1">
      <c r="A2000" s="74"/>
    </row>
    <row r="2001" spans="1:1" ht="15" hidden="1" customHeight="1">
      <c r="A2001" s="74"/>
    </row>
    <row r="2002" spans="1:1" ht="15" hidden="1" customHeight="1">
      <c r="A2002" s="74"/>
    </row>
    <row r="2003" spans="1:1" hidden="1">
      <c r="A2003" s="74"/>
    </row>
    <row r="2004" spans="1:1" ht="15" hidden="1" customHeight="1">
      <c r="A2004" s="74"/>
    </row>
    <row r="2005" spans="1:1" ht="15" hidden="1" customHeight="1">
      <c r="A2005" s="74"/>
    </row>
    <row r="2006" spans="1:1" ht="15" hidden="1" customHeight="1">
      <c r="A2006" s="74"/>
    </row>
    <row r="2007" spans="1:1" ht="15" hidden="1" customHeight="1">
      <c r="A2007" s="74"/>
    </row>
    <row r="2008" spans="1:1" ht="15" hidden="1" customHeight="1">
      <c r="A2008" s="74"/>
    </row>
    <row r="2009" spans="1:1" ht="15" hidden="1" customHeight="1">
      <c r="A2009" s="74"/>
    </row>
    <row r="2010" spans="1:1" ht="15" hidden="1" customHeight="1">
      <c r="A2010" s="74"/>
    </row>
    <row r="2011" spans="1:1" ht="15" hidden="1" customHeight="1">
      <c r="A2011" s="74"/>
    </row>
    <row r="2012" spans="1:1" ht="15" hidden="1" customHeight="1">
      <c r="A2012" s="74"/>
    </row>
    <row r="2013" spans="1:1" ht="15" hidden="1" customHeight="1">
      <c r="A2013" s="74"/>
    </row>
    <row r="2014" spans="1:1" ht="15" hidden="1" customHeight="1">
      <c r="A2014" s="74"/>
    </row>
    <row r="2015" spans="1:1" ht="15" hidden="1" customHeight="1">
      <c r="A2015" s="74"/>
    </row>
    <row r="2016" spans="1:1" ht="15" hidden="1" customHeight="1">
      <c r="A2016" s="74"/>
    </row>
    <row r="2017" spans="1:1" ht="15" hidden="1" customHeight="1">
      <c r="A2017" s="74"/>
    </row>
    <row r="2018" spans="1:1" ht="15" hidden="1" customHeight="1">
      <c r="A2018" s="74"/>
    </row>
    <row r="2019" spans="1:1" ht="15" hidden="1" customHeight="1">
      <c r="A2019" s="74"/>
    </row>
    <row r="2020" spans="1:1" ht="15" hidden="1" customHeight="1">
      <c r="A2020" s="74"/>
    </row>
    <row r="2021" spans="1:1" ht="15" hidden="1" customHeight="1">
      <c r="A2021" s="74"/>
    </row>
    <row r="2022" spans="1:1" ht="15" hidden="1" customHeight="1">
      <c r="A2022" s="74"/>
    </row>
    <row r="2023" spans="1:1" ht="15" hidden="1" customHeight="1">
      <c r="A2023" s="74"/>
    </row>
    <row r="2024" spans="1:1" ht="15" hidden="1" customHeight="1">
      <c r="A2024" s="74"/>
    </row>
    <row r="2025" spans="1:1" ht="15" hidden="1" customHeight="1">
      <c r="A2025" s="74"/>
    </row>
    <row r="2026" spans="1:1" ht="15" hidden="1" customHeight="1">
      <c r="A2026" s="74"/>
    </row>
    <row r="2027" spans="1:1" ht="15" hidden="1" customHeight="1">
      <c r="A2027" s="74"/>
    </row>
    <row r="2028" spans="1:1" ht="15" hidden="1" customHeight="1">
      <c r="A2028" s="74"/>
    </row>
    <row r="2029" spans="1:1" ht="15" hidden="1" customHeight="1">
      <c r="A2029" s="74"/>
    </row>
    <row r="2030" spans="1:1" ht="15" hidden="1" customHeight="1">
      <c r="A2030" s="74"/>
    </row>
    <row r="2031" spans="1:1" ht="15" hidden="1" customHeight="1">
      <c r="A2031" s="74"/>
    </row>
    <row r="2032" spans="1:1" ht="15" hidden="1" customHeight="1">
      <c r="A2032" s="74"/>
    </row>
    <row r="2033" spans="1:1" ht="15" hidden="1" customHeight="1">
      <c r="A2033" s="74"/>
    </row>
    <row r="2034" spans="1:1" ht="15" hidden="1" customHeight="1">
      <c r="A2034" s="74"/>
    </row>
    <row r="2035" spans="1:1" ht="15" hidden="1" customHeight="1">
      <c r="A2035" s="74"/>
    </row>
    <row r="2036" spans="1:1" ht="15" hidden="1" customHeight="1">
      <c r="A2036" s="74"/>
    </row>
    <row r="2037" spans="1:1" ht="15" hidden="1" customHeight="1">
      <c r="A2037" s="74"/>
    </row>
    <row r="2038" spans="1:1" ht="15" hidden="1" customHeight="1">
      <c r="A2038" s="74"/>
    </row>
    <row r="2039" spans="1:1" ht="15" hidden="1" customHeight="1">
      <c r="A2039" s="74"/>
    </row>
    <row r="2040" spans="1:1" ht="15" hidden="1" customHeight="1">
      <c r="A2040" s="74"/>
    </row>
    <row r="2041" spans="1:1" ht="15" hidden="1" customHeight="1">
      <c r="A2041" s="74"/>
    </row>
    <row r="2042" spans="1:1" hidden="1">
      <c r="A2042" s="74"/>
    </row>
    <row r="2043" spans="1:1" ht="15" hidden="1" customHeight="1">
      <c r="A2043" s="74"/>
    </row>
    <row r="2044" spans="1:1" ht="15" hidden="1" customHeight="1">
      <c r="A2044" s="74"/>
    </row>
    <row r="2045" spans="1:1" ht="15" hidden="1" customHeight="1">
      <c r="A2045" s="74"/>
    </row>
    <row r="2046" spans="1:1" ht="15" hidden="1" customHeight="1">
      <c r="A2046" s="74"/>
    </row>
    <row r="2047" spans="1:1" ht="15" hidden="1" customHeight="1">
      <c r="A2047" s="74"/>
    </row>
    <row r="2048" spans="1:1" ht="15" hidden="1" customHeight="1">
      <c r="A2048" s="74"/>
    </row>
    <row r="2049" spans="1:1" ht="15" hidden="1" customHeight="1">
      <c r="A2049" s="74"/>
    </row>
    <row r="2050" spans="1:1" ht="15" hidden="1" customHeight="1">
      <c r="A2050" s="74"/>
    </row>
    <row r="2051" spans="1:1" ht="15" hidden="1" customHeight="1">
      <c r="A2051" s="74"/>
    </row>
    <row r="2052" spans="1:1" ht="15" hidden="1" customHeight="1">
      <c r="A2052" s="74"/>
    </row>
    <row r="2053" spans="1:1" ht="15" hidden="1" customHeight="1">
      <c r="A2053" s="74"/>
    </row>
    <row r="2054" spans="1:1" ht="15" hidden="1" customHeight="1">
      <c r="A2054" s="74"/>
    </row>
    <row r="2055" spans="1:1" ht="15" hidden="1" customHeight="1">
      <c r="A2055" s="74"/>
    </row>
    <row r="2056" spans="1:1" ht="15" hidden="1" customHeight="1">
      <c r="A2056" s="74"/>
    </row>
    <row r="2057" spans="1:1" ht="15" hidden="1" customHeight="1">
      <c r="A2057" s="74"/>
    </row>
    <row r="2058" spans="1:1" ht="15" hidden="1" customHeight="1">
      <c r="A2058" s="74"/>
    </row>
    <row r="2059" spans="1:1" ht="15" hidden="1" customHeight="1">
      <c r="A2059" s="74"/>
    </row>
    <row r="2060" spans="1:1" ht="15" hidden="1" customHeight="1">
      <c r="A2060" s="74"/>
    </row>
    <row r="2061" spans="1:1" ht="15" hidden="1" customHeight="1">
      <c r="A2061" s="74"/>
    </row>
    <row r="2062" spans="1:1" ht="15" hidden="1" customHeight="1">
      <c r="A2062" s="74"/>
    </row>
    <row r="2063" spans="1:1" ht="15" hidden="1" customHeight="1">
      <c r="A2063" s="74"/>
    </row>
    <row r="2064" spans="1:1" ht="15" hidden="1" customHeight="1">
      <c r="A2064" s="74"/>
    </row>
    <row r="2065" spans="1:1" ht="15" hidden="1" customHeight="1">
      <c r="A2065" s="74"/>
    </row>
    <row r="2066" spans="1:1" ht="15" hidden="1" customHeight="1">
      <c r="A2066" s="74"/>
    </row>
    <row r="2067" spans="1:1" ht="15" hidden="1" customHeight="1">
      <c r="A2067" s="74"/>
    </row>
    <row r="2068" spans="1:1" ht="15" hidden="1" customHeight="1">
      <c r="A2068" s="74"/>
    </row>
    <row r="2069" spans="1:1" ht="15" hidden="1" customHeight="1">
      <c r="A2069" s="74"/>
    </row>
    <row r="2070" spans="1:1" ht="15" hidden="1" customHeight="1">
      <c r="A2070" s="74"/>
    </row>
    <row r="2071" spans="1:1" ht="15" hidden="1" customHeight="1">
      <c r="A2071" s="74"/>
    </row>
    <row r="2072" spans="1:1" ht="15" hidden="1" customHeight="1">
      <c r="A2072" s="74"/>
    </row>
    <row r="2073" spans="1:1" ht="15" hidden="1" customHeight="1">
      <c r="A2073" s="74"/>
    </row>
    <row r="2074" spans="1:1" ht="15" hidden="1" customHeight="1">
      <c r="A2074" s="74"/>
    </row>
    <row r="2075" spans="1:1" ht="15" hidden="1" customHeight="1">
      <c r="A2075" s="74"/>
    </row>
    <row r="2076" spans="1:1" ht="15" hidden="1" customHeight="1">
      <c r="A2076" s="74"/>
    </row>
    <row r="2077" spans="1:1" ht="15" hidden="1" customHeight="1">
      <c r="A2077" s="74"/>
    </row>
    <row r="2078" spans="1:1" ht="15" hidden="1" customHeight="1">
      <c r="A2078" s="74"/>
    </row>
    <row r="2079" spans="1:1" ht="15" hidden="1" customHeight="1">
      <c r="A2079" s="74"/>
    </row>
    <row r="2080" spans="1:1" ht="15" hidden="1" customHeight="1">
      <c r="A2080" s="74"/>
    </row>
    <row r="2081" spans="1:1" ht="15" hidden="1" customHeight="1">
      <c r="A2081" s="74"/>
    </row>
    <row r="2082" spans="1:1" ht="15" hidden="1" customHeight="1">
      <c r="A2082" s="74"/>
    </row>
    <row r="2083" spans="1:1" ht="15" hidden="1" customHeight="1">
      <c r="A2083" s="74"/>
    </row>
    <row r="2084" spans="1:1" ht="15" hidden="1" customHeight="1">
      <c r="A2084" s="74"/>
    </row>
    <row r="2085" spans="1:1" ht="15" hidden="1" customHeight="1">
      <c r="A2085" s="74"/>
    </row>
    <row r="2086" spans="1:1" ht="15" hidden="1" customHeight="1">
      <c r="A2086" s="74"/>
    </row>
    <row r="2087" spans="1:1" ht="15" hidden="1" customHeight="1">
      <c r="A2087" s="74"/>
    </row>
    <row r="2088" spans="1:1" ht="15" hidden="1" customHeight="1">
      <c r="A2088" s="74"/>
    </row>
    <row r="2089" spans="1:1" ht="15" hidden="1" customHeight="1">
      <c r="A2089" s="74"/>
    </row>
    <row r="2090" spans="1:1" ht="15" hidden="1" customHeight="1">
      <c r="A2090" s="74"/>
    </row>
    <row r="2091" spans="1:1" ht="15" hidden="1" customHeight="1">
      <c r="A2091" s="74"/>
    </row>
    <row r="2092" spans="1:1" ht="15" hidden="1" customHeight="1">
      <c r="A2092" s="74"/>
    </row>
    <row r="2093" spans="1:1" ht="15" hidden="1" customHeight="1">
      <c r="A2093" s="74"/>
    </row>
    <row r="2094" spans="1:1" ht="15" hidden="1" customHeight="1">
      <c r="A2094" s="74"/>
    </row>
    <row r="2095" spans="1:1" ht="15" hidden="1" customHeight="1">
      <c r="A2095" s="74"/>
    </row>
    <row r="2096" spans="1:1" ht="15" hidden="1" customHeight="1">
      <c r="A2096" s="74"/>
    </row>
    <row r="2097" spans="1:1" ht="15" hidden="1" customHeight="1">
      <c r="A2097" s="74"/>
    </row>
    <row r="2098" spans="1:1" ht="15" hidden="1" customHeight="1">
      <c r="A2098" s="74"/>
    </row>
    <row r="2099" spans="1:1" ht="15" hidden="1" customHeight="1">
      <c r="A2099" s="74"/>
    </row>
    <row r="2100" spans="1:1" ht="15" hidden="1" customHeight="1">
      <c r="A2100" s="74"/>
    </row>
    <row r="2101" spans="1:1" ht="15" hidden="1" customHeight="1">
      <c r="A2101" s="74"/>
    </row>
    <row r="2102" spans="1:1" ht="15" hidden="1" customHeight="1">
      <c r="A2102" s="74"/>
    </row>
    <row r="2103" spans="1:1" ht="15" hidden="1" customHeight="1">
      <c r="A2103" s="74"/>
    </row>
    <row r="2104" spans="1:1" ht="15" hidden="1" customHeight="1">
      <c r="A2104" s="74"/>
    </row>
    <row r="2105" spans="1:1" ht="15" hidden="1" customHeight="1">
      <c r="A2105" s="74"/>
    </row>
    <row r="2106" spans="1:1" ht="15" hidden="1" customHeight="1">
      <c r="A2106" s="74"/>
    </row>
    <row r="2107" spans="1:1" ht="15" hidden="1" customHeight="1">
      <c r="A2107" s="74"/>
    </row>
    <row r="2108" spans="1:1" ht="15" hidden="1" customHeight="1">
      <c r="A2108" s="74"/>
    </row>
    <row r="2109" spans="1:1" ht="15" hidden="1" customHeight="1">
      <c r="A2109" s="74"/>
    </row>
    <row r="2110" spans="1:1" ht="15" hidden="1" customHeight="1">
      <c r="A2110" s="74"/>
    </row>
    <row r="2111" spans="1:1" ht="15" hidden="1" customHeight="1">
      <c r="A2111" s="74"/>
    </row>
    <row r="2112" spans="1:1" ht="15" hidden="1" customHeight="1">
      <c r="A2112" s="74"/>
    </row>
    <row r="2113" spans="1:1" ht="15" hidden="1" customHeight="1">
      <c r="A2113" s="74"/>
    </row>
    <row r="2114" spans="1:1" ht="15" hidden="1" customHeight="1">
      <c r="A2114" s="74"/>
    </row>
    <row r="2115" spans="1:1" ht="15" hidden="1" customHeight="1">
      <c r="A2115" s="74"/>
    </row>
    <row r="2116" spans="1:1" ht="15" hidden="1" customHeight="1">
      <c r="A2116" s="74"/>
    </row>
    <row r="2117" spans="1:1" ht="15" hidden="1" customHeight="1">
      <c r="A2117" s="74"/>
    </row>
    <row r="2118" spans="1:1" ht="15" hidden="1" customHeight="1">
      <c r="A2118" s="74"/>
    </row>
    <row r="2119" spans="1:1" ht="15" hidden="1" customHeight="1">
      <c r="A2119" s="74"/>
    </row>
    <row r="2120" spans="1:1" ht="15" hidden="1" customHeight="1">
      <c r="A2120" s="74"/>
    </row>
    <row r="2121" spans="1:1" ht="15" hidden="1" customHeight="1">
      <c r="A2121" s="74"/>
    </row>
    <row r="2122" spans="1:1" ht="15" hidden="1" customHeight="1">
      <c r="A2122" s="74"/>
    </row>
    <row r="2123" spans="1:1" ht="15" hidden="1" customHeight="1">
      <c r="A2123" s="74"/>
    </row>
    <row r="2124" spans="1:1" ht="15" hidden="1" customHeight="1">
      <c r="A2124" s="74"/>
    </row>
    <row r="2125" spans="1:1" ht="15" hidden="1" customHeight="1">
      <c r="A2125" s="74"/>
    </row>
    <row r="2126" spans="1:1" ht="15" hidden="1" customHeight="1">
      <c r="A2126" s="74"/>
    </row>
    <row r="2127" spans="1:1" ht="15" hidden="1" customHeight="1">
      <c r="A2127" s="74"/>
    </row>
    <row r="2128" spans="1:1" ht="15" hidden="1" customHeight="1">
      <c r="A2128" s="74"/>
    </row>
    <row r="2129" spans="1:1" ht="15" hidden="1" customHeight="1">
      <c r="A2129" s="74"/>
    </row>
    <row r="2130" spans="1:1" ht="15" hidden="1" customHeight="1">
      <c r="A2130" s="74"/>
    </row>
    <row r="2131" spans="1:1" ht="15" hidden="1" customHeight="1">
      <c r="A2131" s="74"/>
    </row>
    <row r="2132" spans="1:1" ht="15" hidden="1" customHeight="1">
      <c r="A2132" s="74"/>
    </row>
    <row r="2133" spans="1:1" ht="15" hidden="1" customHeight="1">
      <c r="A2133" s="74"/>
    </row>
    <row r="2134" spans="1:1" ht="15" hidden="1" customHeight="1">
      <c r="A2134" s="74"/>
    </row>
    <row r="2135" spans="1:1" ht="15" hidden="1" customHeight="1">
      <c r="A2135" s="74"/>
    </row>
    <row r="2136" spans="1:1" ht="15" hidden="1" customHeight="1">
      <c r="A2136" s="74"/>
    </row>
    <row r="2137" spans="1:1" ht="15" hidden="1" customHeight="1">
      <c r="A2137" s="74"/>
    </row>
    <row r="2138" spans="1:1" ht="15" hidden="1" customHeight="1">
      <c r="A2138" s="74"/>
    </row>
    <row r="2139" spans="1:1" ht="15" hidden="1" customHeight="1">
      <c r="A2139" s="74"/>
    </row>
    <row r="2140" spans="1:1" ht="15" hidden="1" customHeight="1">
      <c r="A2140" s="74"/>
    </row>
    <row r="2141" spans="1:1" ht="15" hidden="1" customHeight="1">
      <c r="A2141" s="74"/>
    </row>
    <row r="2142" spans="1:1" ht="15" hidden="1" customHeight="1">
      <c r="A2142" s="74"/>
    </row>
    <row r="2143" spans="1:1" ht="15" hidden="1" customHeight="1">
      <c r="A2143" s="74"/>
    </row>
    <row r="2144" spans="1:1" ht="15" hidden="1" customHeight="1">
      <c r="A2144" s="74"/>
    </row>
    <row r="2145" spans="1:1" ht="15" hidden="1" customHeight="1">
      <c r="A2145" s="74"/>
    </row>
    <row r="2146" spans="1:1" ht="15" hidden="1" customHeight="1">
      <c r="A2146" s="74"/>
    </row>
    <row r="2147" spans="1:1" ht="15" hidden="1" customHeight="1">
      <c r="A2147" s="74"/>
    </row>
    <row r="2148" spans="1:1" ht="15" hidden="1" customHeight="1">
      <c r="A2148" s="74"/>
    </row>
    <row r="2149" spans="1:1" ht="15" hidden="1" customHeight="1">
      <c r="A2149" s="74"/>
    </row>
    <row r="2150" spans="1:1" ht="15" hidden="1" customHeight="1">
      <c r="A2150" s="74"/>
    </row>
    <row r="2151" spans="1:1" ht="15" hidden="1" customHeight="1">
      <c r="A2151" s="74"/>
    </row>
    <row r="2152" spans="1:1" ht="15" hidden="1" customHeight="1">
      <c r="A2152" s="74"/>
    </row>
    <row r="2153" spans="1:1" ht="15" hidden="1" customHeight="1">
      <c r="A2153" s="74"/>
    </row>
    <row r="2154" spans="1:1" ht="15" hidden="1" customHeight="1">
      <c r="A2154" s="74"/>
    </row>
    <row r="2155" spans="1:1" ht="15" hidden="1" customHeight="1">
      <c r="A2155" s="74"/>
    </row>
    <row r="2156" spans="1:1" ht="15" hidden="1" customHeight="1">
      <c r="A2156" s="74"/>
    </row>
    <row r="2157" spans="1:1" ht="15" hidden="1" customHeight="1">
      <c r="A2157" s="74"/>
    </row>
    <row r="2158" spans="1:1" ht="15" hidden="1" customHeight="1">
      <c r="A2158" s="74"/>
    </row>
    <row r="2159" spans="1:1" ht="15" hidden="1" customHeight="1">
      <c r="A2159" s="74"/>
    </row>
    <row r="2160" spans="1:1" ht="15" hidden="1" customHeight="1">
      <c r="A2160" s="74"/>
    </row>
    <row r="2161" spans="1:1" ht="15" hidden="1" customHeight="1">
      <c r="A2161" s="74"/>
    </row>
    <row r="2162" spans="1:1" ht="15" hidden="1" customHeight="1">
      <c r="A2162" s="74"/>
    </row>
    <row r="2163" spans="1:1" ht="15" hidden="1" customHeight="1">
      <c r="A2163" s="74"/>
    </row>
    <row r="2164" spans="1:1" ht="15" hidden="1" customHeight="1">
      <c r="A2164" s="74"/>
    </row>
    <row r="2165" spans="1:1" ht="15" hidden="1" customHeight="1">
      <c r="A2165" s="74"/>
    </row>
    <row r="2166" spans="1:1" ht="15" hidden="1" customHeight="1">
      <c r="A2166" s="74"/>
    </row>
    <row r="2167" spans="1:1" ht="15" hidden="1" customHeight="1">
      <c r="A2167" s="74"/>
    </row>
    <row r="2168" spans="1:1" ht="15" hidden="1" customHeight="1">
      <c r="A2168" s="74"/>
    </row>
    <row r="2169" spans="1:1" ht="15" hidden="1" customHeight="1">
      <c r="A2169" s="74"/>
    </row>
    <row r="2170" spans="1:1" ht="15" hidden="1" customHeight="1">
      <c r="A2170" s="74"/>
    </row>
    <row r="2171" spans="1:1" ht="15" hidden="1" customHeight="1">
      <c r="A2171" s="74"/>
    </row>
    <row r="2172" spans="1:1" ht="15" hidden="1" customHeight="1">
      <c r="A2172" s="74"/>
    </row>
    <row r="2173" spans="1:1" ht="15" hidden="1" customHeight="1">
      <c r="A2173" s="74"/>
    </row>
    <row r="2174" spans="1:1" ht="15" hidden="1" customHeight="1">
      <c r="A2174" s="74"/>
    </row>
    <row r="2175" spans="1:1" ht="15" hidden="1" customHeight="1">
      <c r="A2175" s="74"/>
    </row>
    <row r="2176" spans="1:1" ht="15" hidden="1" customHeight="1">
      <c r="A2176" s="74"/>
    </row>
    <row r="2177" spans="1:1" ht="15" hidden="1" customHeight="1">
      <c r="A2177" s="74"/>
    </row>
    <row r="2178" spans="1:1" ht="15" hidden="1" customHeight="1">
      <c r="A2178" s="74"/>
    </row>
    <row r="2179" spans="1:1" ht="15" hidden="1" customHeight="1">
      <c r="A2179" s="74"/>
    </row>
    <row r="2180" spans="1:1" ht="15" hidden="1" customHeight="1">
      <c r="A2180" s="74"/>
    </row>
    <row r="2181" spans="1:1" ht="15" hidden="1" customHeight="1">
      <c r="A2181" s="74"/>
    </row>
    <row r="2182" spans="1:1" ht="15" hidden="1" customHeight="1">
      <c r="A2182" s="74"/>
    </row>
    <row r="2183" spans="1:1" ht="15" hidden="1" customHeight="1">
      <c r="A2183" s="74"/>
    </row>
    <row r="2184" spans="1:1" ht="15" hidden="1" customHeight="1">
      <c r="A2184" s="74"/>
    </row>
    <row r="2185" spans="1:1" ht="15" hidden="1" customHeight="1">
      <c r="A2185" s="74"/>
    </row>
    <row r="2186" spans="1:1" ht="15" hidden="1" customHeight="1">
      <c r="A2186" s="74"/>
    </row>
    <row r="2187" spans="1:1" ht="15" hidden="1" customHeight="1">
      <c r="A2187" s="74"/>
    </row>
    <row r="2188" spans="1:1" ht="15" hidden="1" customHeight="1">
      <c r="A2188" s="74"/>
    </row>
    <row r="2189" spans="1:1" ht="15" hidden="1" customHeight="1">
      <c r="A2189" s="74"/>
    </row>
    <row r="2190" spans="1:1" ht="15" hidden="1" customHeight="1">
      <c r="A2190" s="74"/>
    </row>
    <row r="2191" spans="1:1" ht="15" hidden="1" customHeight="1">
      <c r="A2191" s="74"/>
    </row>
    <row r="2192" spans="1:1" ht="15" hidden="1" customHeight="1">
      <c r="A2192" s="74"/>
    </row>
    <row r="2193" spans="1:1" ht="15" hidden="1" customHeight="1">
      <c r="A2193" s="74"/>
    </row>
    <row r="2194" spans="1:1" ht="15" hidden="1" customHeight="1">
      <c r="A2194" s="74"/>
    </row>
    <row r="2195" spans="1:1" ht="15" hidden="1" customHeight="1">
      <c r="A2195" s="74"/>
    </row>
    <row r="2196" spans="1:1" ht="15" hidden="1" customHeight="1">
      <c r="A2196" s="74"/>
    </row>
    <row r="2197" spans="1:1" ht="15" hidden="1" customHeight="1">
      <c r="A2197" s="74"/>
    </row>
    <row r="2198" spans="1:1" ht="15" hidden="1" customHeight="1">
      <c r="A2198" s="74"/>
    </row>
    <row r="2199" spans="1:1" ht="15" hidden="1" customHeight="1">
      <c r="A2199" s="74"/>
    </row>
    <row r="2200" spans="1:1" ht="15" hidden="1" customHeight="1">
      <c r="A2200" s="74"/>
    </row>
    <row r="2201" spans="1:1" ht="15" hidden="1" customHeight="1">
      <c r="A2201" s="74"/>
    </row>
    <row r="2202" spans="1:1" ht="15" hidden="1" customHeight="1">
      <c r="A2202" s="74"/>
    </row>
    <row r="2203" spans="1:1" ht="15" hidden="1" customHeight="1">
      <c r="A2203" s="74"/>
    </row>
    <row r="2204" spans="1:1" ht="15" hidden="1" customHeight="1">
      <c r="A2204" s="74"/>
    </row>
    <row r="2205" spans="1:1" ht="15" hidden="1" customHeight="1">
      <c r="A2205" s="74"/>
    </row>
    <row r="2206" spans="1:1" ht="15" hidden="1" customHeight="1">
      <c r="A2206" s="74"/>
    </row>
    <row r="2207" spans="1:1" ht="15" hidden="1" customHeight="1">
      <c r="A2207" s="74"/>
    </row>
    <row r="2208" spans="1:1" ht="15" hidden="1" customHeight="1">
      <c r="A2208" s="74"/>
    </row>
    <row r="2209" spans="1:1" ht="15" hidden="1" customHeight="1">
      <c r="A2209" s="74"/>
    </row>
    <row r="2210" spans="1:1" ht="15" hidden="1" customHeight="1">
      <c r="A2210" s="74"/>
    </row>
    <row r="2211" spans="1:1" ht="15" hidden="1" customHeight="1">
      <c r="A2211" s="74"/>
    </row>
    <row r="2212" spans="1:1" ht="15" hidden="1" customHeight="1">
      <c r="A2212" s="74"/>
    </row>
    <row r="2213" spans="1:1" ht="15" hidden="1" customHeight="1">
      <c r="A2213" s="74"/>
    </row>
    <row r="2214" spans="1:1" ht="15" hidden="1" customHeight="1">
      <c r="A2214" s="74"/>
    </row>
    <row r="2215" spans="1:1" ht="15" hidden="1" customHeight="1">
      <c r="A2215" s="74"/>
    </row>
    <row r="2216" spans="1:1" ht="15" hidden="1" customHeight="1">
      <c r="A2216" s="74"/>
    </row>
    <row r="2217" spans="1:1" ht="15" hidden="1" customHeight="1">
      <c r="A2217" s="74"/>
    </row>
    <row r="2218" spans="1:1" ht="15" hidden="1" customHeight="1">
      <c r="A2218" s="74"/>
    </row>
    <row r="2219" spans="1:1" ht="15" hidden="1" customHeight="1">
      <c r="A2219" s="74"/>
    </row>
    <row r="2220" spans="1:1" ht="15" hidden="1" customHeight="1">
      <c r="A2220" s="74"/>
    </row>
    <row r="2221" spans="1:1" ht="15" hidden="1" customHeight="1">
      <c r="A2221" s="74"/>
    </row>
    <row r="2222" spans="1:1" ht="15" hidden="1" customHeight="1">
      <c r="A2222" s="74"/>
    </row>
    <row r="2223" spans="1:1" ht="15" hidden="1" customHeight="1">
      <c r="A2223" s="74"/>
    </row>
    <row r="2224" spans="1:1" ht="15" hidden="1" customHeight="1">
      <c r="A2224" s="74"/>
    </row>
    <row r="2225" spans="1:1" ht="15" hidden="1" customHeight="1">
      <c r="A2225" s="74"/>
    </row>
    <row r="2226" spans="1:1" ht="15" hidden="1" customHeight="1">
      <c r="A2226" s="74"/>
    </row>
    <row r="2227" spans="1:1" ht="15" hidden="1" customHeight="1">
      <c r="A2227" s="74"/>
    </row>
    <row r="2228" spans="1:1" ht="15" hidden="1" customHeight="1">
      <c r="A2228" s="74"/>
    </row>
    <row r="2229" spans="1:1" ht="15" hidden="1" customHeight="1">
      <c r="A2229" s="74"/>
    </row>
    <row r="2230" spans="1:1" ht="15" hidden="1" customHeight="1">
      <c r="A2230" s="74"/>
    </row>
    <row r="2231" spans="1:1" ht="15" hidden="1" customHeight="1">
      <c r="A2231" s="74"/>
    </row>
    <row r="2232" spans="1:1" ht="15" hidden="1" customHeight="1">
      <c r="A2232" s="74"/>
    </row>
    <row r="2233" spans="1:1" ht="15" hidden="1" customHeight="1">
      <c r="A2233" s="74"/>
    </row>
    <row r="2234" spans="1:1" ht="15" hidden="1" customHeight="1">
      <c r="A2234" s="74"/>
    </row>
    <row r="2235" spans="1:1" ht="15" hidden="1" customHeight="1">
      <c r="A2235" s="74"/>
    </row>
    <row r="2236" spans="1:1" ht="15" hidden="1" customHeight="1">
      <c r="A2236" s="74"/>
    </row>
    <row r="2237" spans="1:1" ht="15" hidden="1" customHeight="1">
      <c r="A2237" s="74"/>
    </row>
    <row r="2238" spans="1:1" ht="15" hidden="1" customHeight="1">
      <c r="A2238" s="74"/>
    </row>
    <row r="2239" spans="1:1" ht="15" hidden="1" customHeight="1">
      <c r="A2239" s="74"/>
    </row>
    <row r="2240" spans="1:1" hidden="1">
      <c r="A2240" s="74"/>
    </row>
    <row r="2241" spans="1:1" ht="15" hidden="1" customHeight="1">
      <c r="A2241" s="74"/>
    </row>
    <row r="2242" spans="1:1" ht="15" hidden="1" customHeight="1">
      <c r="A2242" s="74"/>
    </row>
    <row r="2243" spans="1:1" ht="15" hidden="1" customHeight="1">
      <c r="A2243" s="74"/>
    </row>
    <row r="2244" spans="1:1" ht="15" hidden="1" customHeight="1">
      <c r="A2244" s="74"/>
    </row>
    <row r="2245" spans="1:1" ht="15" hidden="1" customHeight="1">
      <c r="A2245" s="74"/>
    </row>
    <row r="2246" spans="1:1" ht="15" hidden="1" customHeight="1">
      <c r="A2246" s="74"/>
    </row>
    <row r="2247" spans="1:1" ht="15" hidden="1" customHeight="1">
      <c r="A2247" s="74"/>
    </row>
    <row r="2248" spans="1:1" ht="15" hidden="1" customHeight="1">
      <c r="A2248" s="74"/>
    </row>
    <row r="2249" spans="1:1" ht="15" hidden="1" customHeight="1">
      <c r="A2249" s="74"/>
    </row>
    <row r="2250" spans="1:1" ht="15" hidden="1" customHeight="1">
      <c r="A2250" s="74"/>
    </row>
    <row r="2251" spans="1:1" ht="15" hidden="1" customHeight="1">
      <c r="A2251" s="74"/>
    </row>
    <row r="2252" spans="1:1" ht="15" hidden="1" customHeight="1">
      <c r="A2252" s="74"/>
    </row>
    <row r="2253" spans="1:1" ht="15" hidden="1" customHeight="1">
      <c r="A2253" s="74"/>
    </row>
    <row r="2254" spans="1:1" ht="15" hidden="1" customHeight="1">
      <c r="A2254" s="74"/>
    </row>
    <row r="2255" spans="1:1" ht="15" hidden="1" customHeight="1">
      <c r="A2255" s="74"/>
    </row>
    <row r="2256" spans="1:1" ht="15" hidden="1" customHeight="1">
      <c r="A2256" s="74"/>
    </row>
    <row r="2257" spans="1:1" ht="15" hidden="1" customHeight="1">
      <c r="A2257" s="74"/>
    </row>
    <row r="2258" spans="1:1" ht="15" hidden="1" customHeight="1">
      <c r="A2258" s="74"/>
    </row>
    <row r="2259" spans="1:1" ht="15" hidden="1" customHeight="1">
      <c r="A2259" s="74"/>
    </row>
    <row r="2260" spans="1:1" ht="15" hidden="1" customHeight="1">
      <c r="A2260" s="74"/>
    </row>
    <row r="2261" spans="1:1" ht="15" hidden="1" customHeight="1">
      <c r="A2261" s="74"/>
    </row>
    <row r="2262" spans="1:1" ht="15" hidden="1" customHeight="1">
      <c r="A2262" s="74"/>
    </row>
    <row r="2263" spans="1:1" ht="15" hidden="1" customHeight="1">
      <c r="A2263" s="74"/>
    </row>
    <row r="2264" spans="1:1" ht="15" hidden="1" customHeight="1">
      <c r="A2264" s="74"/>
    </row>
    <row r="2265" spans="1:1" ht="15" hidden="1" customHeight="1">
      <c r="A2265" s="74"/>
    </row>
    <row r="2266" spans="1:1" ht="15" hidden="1" customHeight="1">
      <c r="A2266" s="74"/>
    </row>
    <row r="2267" spans="1:1" ht="15" hidden="1" customHeight="1">
      <c r="A2267" s="74"/>
    </row>
    <row r="2268" spans="1:1" ht="15" hidden="1" customHeight="1">
      <c r="A2268" s="74"/>
    </row>
    <row r="2269" spans="1:1" ht="15" hidden="1" customHeight="1">
      <c r="A2269" s="74"/>
    </row>
    <row r="2270" spans="1:1" ht="15" hidden="1" customHeight="1">
      <c r="A2270" s="74"/>
    </row>
    <row r="2271" spans="1:1" ht="15" hidden="1" customHeight="1">
      <c r="A2271" s="74"/>
    </row>
    <row r="2272" spans="1:1" ht="15" hidden="1" customHeight="1">
      <c r="A2272" s="74"/>
    </row>
    <row r="2273" spans="1:1" hidden="1">
      <c r="A2273" s="74"/>
    </row>
    <row r="2274" spans="1:1" ht="15" hidden="1" customHeight="1">
      <c r="A2274" s="74"/>
    </row>
    <row r="2275" spans="1:1" ht="15" hidden="1" customHeight="1">
      <c r="A2275" s="74"/>
    </row>
    <row r="2276" spans="1:1" ht="15" hidden="1" customHeight="1">
      <c r="A2276" s="74"/>
    </row>
    <row r="2277" spans="1:1" ht="15" hidden="1" customHeight="1">
      <c r="A2277" s="74"/>
    </row>
    <row r="2278" spans="1:1" ht="15" hidden="1" customHeight="1">
      <c r="A2278" s="74"/>
    </row>
    <row r="2279" spans="1:1" ht="15" hidden="1" customHeight="1">
      <c r="A2279" s="74"/>
    </row>
    <row r="2280" spans="1:1" ht="15" hidden="1" customHeight="1">
      <c r="A2280" s="74"/>
    </row>
    <row r="2281" spans="1:1" ht="15" hidden="1" customHeight="1">
      <c r="A2281" s="74"/>
    </row>
    <row r="2282" spans="1:1" ht="15" hidden="1" customHeight="1">
      <c r="A2282" s="74"/>
    </row>
    <row r="2283" spans="1:1" ht="15" hidden="1" customHeight="1">
      <c r="A2283" s="74"/>
    </row>
    <row r="2284" spans="1:1" ht="15" hidden="1" customHeight="1">
      <c r="A2284" s="74"/>
    </row>
    <row r="2285" spans="1:1" ht="15" hidden="1" customHeight="1">
      <c r="A2285" s="74"/>
    </row>
    <row r="2286" spans="1:1" ht="15" hidden="1" customHeight="1">
      <c r="A2286" s="74"/>
    </row>
    <row r="2287" spans="1:1" ht="15" hidden="1" customHeight="1">
      <c r="A2287" s="74"/>
    </row>
    <row r="2288" spans="1:1" ht="15" hidden="1" customHeight="1">
      <c r="A2288" s="74"/>
    </row>
    <row r="2289" spans="1:1" ht="15" hidden="1" customHeight="1">
      <c r="A2289" s="74"/>
    </row>
    <row r="2290" spans="1:1" ht="15" hidden="1" customHeight="1">
      <c r="A2290" s="74"/>
    </row>
    <row r="2291" spans="1:1" ht="15" hidden="1" customHeight="1">
      <c r="A2291" s="74"/>
    </row>
    <row r="2292" spans="1:1" ht="15" hidden="1" customHeight="1">
      <c r="A2292" s="74"/>
    </row>
    <row r="2293" spans="1:1" ht="15" hidden="1" customHeight="1">
      <c r="A2293" s="74"/>
    </row>
    <row r="2294" spans="1:1" ht="15" hidden="1" customHeight="1">
      <c r="A2294" s="74"/>
    </row>
    <row r="2295" spans="1:1" ht="15" hidden="1" customHeight="1">
      <c r="A2295" s="74"/>
    </row>
    <row r="2296" spans="1:1" ht="15" hidden="1" customHeight="1">
      <c r="A2296" s="74"/>
    </row>
    <row r="2297" spans="1:1" ht="15" hidden="1" customHeight="1">
      <c r="A2297" s="74"/>
    </row>
    <row r="2298" spans="1:1" ht="15" hidden="1" customHeight="1">
      <c r="A2298" s="74"/>
    </row>
    <row r="2299" spans="1:1" ht="15" hidden="1" customHeight="1">
      <c r="A2299" s="74"/>
    </row>
    <row r="2300" spans="1:1" ht="15" hidden="1" customHeight="1">
      <c r="A2300" s="74"/>
    </row>
    <row r="2301" spans="1:1" ht="15" hidden="1" customHeight="1">
      <c r="A2301" s="74"/>
    </row>
    <row r="2302" spans="1:1" ht="15" hidden="1" customHeight="1">
      <c r="A2302" s="74"/>
    </row>
    <row r="2303" spans="1:1" ht="15" hidden="1" customHeight="1">
      <c r="A2303" s="74"/>
    </row>
    <row r="2304" spans="1:1" ht="15" hidden="1" customHeight="1">
      <c r="A2304" s="74"/>
    </row>
    <row r="2305" spans="1:1" ht="15" hidden="1" customHeight="1">
      <c r="A2305" s="74"/>
    </row>
    <row r="2306" spans="1:1" ht="15" hidden="1" customHeight="1">
      <c r="A2306" s="74"/>
    </row>
    <row r="2307" spans="1:1" ht="15" hidden="1" customHeight="1">
      <c r="A2307" s="74"/>
    </row>
    <row r="2308" spans="1:1" ht="15" hidden="1" customHeight="1">
      <c r="A2308" s="74"/>
    </row>
    <row r="2309" spans="1:1" ht="15" hidden="1" customHeight="1">
      <c r="A2309" s="74"/>
    </row>
    <row r="2310" spans="1:1" ht="15" hidden="1" customHeight="1">
      <c r="A2310" s="74"/>
    </row>
    <row r="2311" spans="1:1" ht="15" hidden="1" customHeight="1">
      <c r="A2311" s="74"/>
    </row>
    <row r="2312" spans="1:1" ht="15" hidden="1" customHeight="1">
      <c r="A2312" s="74"/>
    </row>
    <row r="2313" spans="1:1" ht="15" hidden="1" customHeight="1">
      <c r="A2313" s="74"/>
    </row>
    <row r="2314" spans="1:1" ht="15" hidden="1" customHeight="1">
      <c r="A2314" s="74"/>
    </row>
    <row r="2315" spans="1:1" ht="15" hidden="1" customHeight="1">
      <c r="A2315" s="74"/>
    </row>
    <row r="2316" spans="1:1" ht="15" hidden="1" customHeight="1">
      <c r="A2316" s="74"/>
    </row>
    <row r="2317" spans="1:1" ht="15" hidden="1" customHeight="1">
      <c r="A2317" s="74"/>
    </row>
    <row r="2318" spans="1:1" ht="15" hidden="1" customHeight="1">
      <c r="A2318" s="74"/>
    </row>
    <row r="2319" spans="1:1" ht="15" hidden="1" customHeight="1">
      <c r="A2319" s="74"/>
    </row>
    <row r="2320" spans="1:1" ht="15" hidden="1" customHeight="1">
      <c r="A2320" s="74"/>
    </row>
    <row r="2321" spans="1:1" ht="15" hidden="1" customHeight="1">
      <c r="A2321" s="74"/>
    </row>
    <row r="2322" spans="1:1" ht="15" hidden="1" customHeight="1">
      <c r="A2322" s="74"/>
    </row>
    <row r="2323" spans="1:1" ht="15" hidden="1" customHeight="1">
      <c r="A2323" s="74"/>
    </row>
    <row r="2324" spans="1:1" ht="15" hidden="1" customHeight="1">
      <c r="A2324" s="74"/>
    </row>
    <row r="2325" spans="1:1" ht="15" hidden="1" customHeight="1">
      <c r="A2325" s="74"/>
    </row>
    <row r="2326" spans="1:1" ht="15" hidden="1" customHeight="1">
      <c r="A2326" s="74"/>
    </row>
    <row r="2327" spans="1:1" ht="15" hidden="1" customHeight="1">
      <c r="A2327" s="74"/>
    </row>
    <row r="2328" spans="1:1" ht="15" hidden="1" customHeight="1">
      <c r="A2328" s="74"/>
    </row>
    <row r="2329" spans="1:1" ht="15" hidden="1" customHeight="1">
      <c r="A2329" s="74"/>
    </row>
    <row r="2330" spans="1:1" ht="15" hidden="1" customHeight="1">
      <c r="A2330" s="74"/>
    </row>
    <row r="2331" spans="1:1" ht="15" hidden="1" customHeight="1">
      <c r="A2331" s="74"/>
    </row>
    <row r="2332" spans="1:1" ht="15" hidden="1" customHeight="1">
      <c r="A2332" s="74"/>
    </row>
    <row r="2333" spans="1:1" ht="15" hidden="1" customHeight="1">
      <c r="A2333" s="74"/>
    </row>
    <row r="2334" spans="1:1" ht="15" hidden="1" customHeight="1">
      <c r="A2334" s="74"/>
    </row>
    <row r="2335" spans="1:1" ht="15" hidden="1" customHeight="1">
      <c r="A2335" s="74"/>
    </row>
    <row r="2336" spans="1:1" ht="15" hidden="1" customHeight="1">
      <c r="A2336" s="74"/>
    </row>
    <row r="2337" spans="1:5" ht="15" hidden="1" customHeight="1">
      <c r="A2337" s="74"/>
    </row>
    <row r="2338" spans="1:5" ht="15" hidden="1" customHeight="1">
      <c r="A2338" s="74"/>
    </row>
    <row r="2339" spans="1:5" ht="15" hidden="1" customHeight="1">
      <c r="A2339" s="74"/>
    </row>
    <row r="2340" spans="1:5" ht="15" hidden="1" customHeight="1">
      <c r="A2340" s="74"/>
    </row>
    <row r="2341" spans="1:5" ht="15" hidden="1" customHeight="1">
      <c r="A2341" s="74"/>
    </row>
    <row r="2342" spans="1:5" ht="15" hidden="1" customHeight="1">
      <c r="A2342" s="74"/>
    </row>
    <row r="2343" spans="1:5" ht="15" hidden="1" customHeight="1">
      <c r="A2343" s="74"/>
    </row>
    <row r="2344" spans="1:5" ht="15" hidden="1" customHeight="1">
      <c r="A2344" s="74"/>
    </row>
    <row r="2345" spans="1:5" ht="15" hidden="1" customHeight="1">
      <c r="A2345" s="74"/>
    </row>
    <row r="2346" spans="1:5" ht="15" hidden="1" customHeight="1">
      <c r="A2346" s="74"/>
    </row>
    <row r="2347" spans="1:5" ht="15" hidden="1" customHeight="1">
      <c r="A2347" s="74"/>
    </row>
    <row r="2348" spans="1:5" ht="15" hidden="1" customHeight="1">
      <c r="A2348" s="74"/>
    </row>
    <row r="2349" spans="1:5" ht="15" hidden="1" customHeight="1">
      <c r="A2349" s="74"/>
    </row>
    <row r="2350" spans="1:5" ht="15" hidden="1" customHeight="1">
      <c r="A2350" s="74"/>
    </row>
    <row r="2351" spans="1:5" hidden="1">
      <c r="A2351" s="74"/>
      <c r="E2351" s="59"/>
    </row>
    <row r="2352" spans="1:5" ht="15" hidden="1" customHeight="1">
      <c r="A2352" s="74"/>
    </row>
    <row r="2353" spans="1:1" ht="15" hidden="1" customHeight="1">
      <c r="A2353" s="74"/>
    </row>
    <row r="2354" spans="1:1" ht="15" hidden="1" customHeight="1">
      <c r="A2354" s="74"/>
    </row>
    <row r="2355" spans="1:1" ht="15" hidden="1" customHeight="1">
      <c r="A2355" s="74"/>
    </row>
    <row r="2356" spans="1:1" ht="15" hidden="1" customHeight="1">
      <c r="A2356" s="74"/>
    </row>
    <row r="2357" spans="1:1" ht="15" hidden="1" customHeight="1">
      <c r="A2357" s="74"/>
    </row>
    <row r="2358" spans="1:1" ht="15" hidden="1" customHeight="1">
      <c r="A2358" s="74"/>
    </row>
    <row r="2359" spans="1:1" ht="15" hidden="1" customHeight="1">
      <c r="A2359" s="74"/>
    </row>
    <row r="2360" spans="1:1" ht="15" hidden="1" customHeight="1">
      <c r="A2360" s="74"/>
    </row>
    <row r="2361" spans="1:1" ht="15" hidden="1" customHeight="1">
      <c r="A2361" s="74"/>
    </row>
    <row r="2362" spans="1:1" ht="15" hidden="1" customHeight="1">
      <c r="A2362" s="74"/>
    </row>
    <row r="2363" spans="1:1" ht="15" hidden="1" customHeight="1">
      <c r="A2363" s="74"/>
    </row>
    <row r="2364" spans="1:1" ht="15" hidden="1" customHeight="1">
      <c r="A2364" s="74"/>
    </row>
    <row r="2365" spans="1:1" ht="15" hidden="1" customHeight="1">
      <c r="A2365" s="74"/>
    </row>
    <row r="2366" spans="1:1" ht="15" hidden="1" customHeight="1">
      <c r="A2366" s="74"/>
    </row>
    <row r="2367" spans="1:1" ht="15" hidden="1" customHeight="1">
      <c r="A2367" s="74"/>
    </row>
    <row r="2368" spans="1:1" ht="15" hidden="1" customHeight="1">
      <c r="A2368" s="74"/>
    </row>
    <row r="2369" spans="1:1" ht="15" hidden="1" customHeight="1">
      <c r="A2369" s="74"/>
    </row>
    <row r="2370" spans="1:1" ht="15" hidden="1" customHeight="1">
      <c r="A2370" s="74"/>
    </row>
    <row r="2371" spans="1:1" ht="15" hidden="1" customHeight="1">
      <c r="A2371" s="74"/>
    </row>
    <row r="2372" spans="1:1" ht="15" hidden="1" customHeight="1">
      <c r="A2372" s="74"/>
    </row>
    <row r="2373" spans="1:1" ht="15" hidden="1" customHeight="1">
      <c r="A2373" s="74"/>
    </row>
    <row r="2374" spans="1:1" ht="15" hidden="1" customHeight="1">
      <c r="A2374" s="74"/>
    </row>
    <row r="2375" spans="1:1" ht="15" hidden="1" customHeight="1">
      <c r="A2375" s="74"/>
    </row>
    <row r="2376" spans="1:1" ht="15" hidden="1" customHeight="1">
      <c r="A2376" s="74"/>
    </row>
    <row r="2377" spans="1:1" ht="15" hidden="1" customHeight="1">
      <c r="A2377" s="74"/>
    </row>
    <row r="2378" spans="1:1" ht="15" hidden="1" customHeight="1">
      <c r="A2378" s="74"/>
    </row>
    <row r="2379" spans="1:1" ht="15" hidden="1" customHeight="1">
      <c r="A2379" s="74"/>
    </row>
    <row r="2380" spans="1:1" ht="15" hidden="1" customHeight="1">
      <c r="A2380" s="74"/>
    </row>
    <row r="2381" spans="1:1" ht="15" hidden="1" customHeight="1">
      <c r="A2381" s="74"/>
    </row>
    <row r="2382" spans="1:1" ht="15" hidden="1" customHeight="1">
      <c r="A2382" s="74"/>
    </row>
    <row r="2383" spans="1:1" ht="15" hidden="1" customHeight="1">
      <c r="A2383" s="74"/>
    </row>
    <row r="2384" spans="1:1" ht="15" hidden="1" customHeight="1">
      <c r="A2384" s="74"/>
    </row>
    <row r="2385" spans="1:1" ht="15" hidden="1" customHeight="1">
      <c r="A2385" s="74"/>
    </row>
    <row r="2386" spans="1:1" hidden="1">
      <c r="A2386" s="74"/>
    </row>
    <row r="2387" spans="1:1" hidden="1">
      <c r="A2387" s="74"/>
    </row>
    <row r="2388" spans="1:1" ht="15" hidden="1" customHeight="1">
      <c r="A2388" s="74"/>
    </row>
    <row r="2389" spans="1:1" ht="15" hidden="1" customHeight="1">
      <c r="A2389" s="74"/>
    </row>
    <row r="2390" spans="1:1" ht="15" hidden="1" customHeight="1">
      <c r="A2390" s="74"/>
    </row>
    <row r="2391" spans="1:1" ht="15" hidden="1" customHeight="1">
      <c r="A2391" s="74"/>
    </row>
    <row r="2392" spans="1:1" ht="15" hidden="1" customHeight="1">
      <c r="A2392" s="74"/>
    </row>
    <row r="2393" spans="1:1" ht="15" hidden="1" customHeight="1">
      <c r="A2393" s="74"/>
    </row>
    <row r="2394" spans="1:1" ht="15" hidden="1" customHeight="1">
      <c r="A2394" s="74"/>
    </row>
    <row r="2395" spans="1:1" ht="15" hidden="1" customHeight="1">
      <c r="A2395" s="74"/>
    </row>
    <row r="2396" spans="1:1" ht="15" hidden="1" customHeight="1">
      <c r="A2396" s="74"/>
    </row>
    <row r="2397" spans="1:1" ht="15" hidden="1" customHeight="1">
      <c r="A2397" s="74"/>
    </row>
    <row r="2398" spans="1:1" ht="15" hidden="1" customHeight="1">
      <c r="A2398" s="74"/>
    </row>
    <row r="2399" spans="1:1" ht="15" hidden="1" customHeight="1">
      <c r="A2399" s="74"/>
    </row>
    <row r="2400" spans="1:1" ht="15" hidden="1" customHeight="1">
      <c r="A2400" s="74"/>
    </row>
    <row r="2401" spans="1:1" ht="15" hidden="1" customHeight="1">
      <c r="A2401" s="74"/>
    </row>
    <row r="2402" spans="1:1" ht="15" hidden="1" customHeight="1">
      <c r="A2402" s="74"/>
    </row>
    <row r="2403" spans="1:1" ht="15" hidden="1" customHeight="1">
      <c r="A2403" s="74"/>
    </row>
    <row r="2404" spans="1:1" ht="15" hidden="1" customHeight="1">
      <c r="A2404" s="74"/>
    </row>
    <row r="2405" spans="1:1" ht="15" hidden="1" customHeight="1">
      <c r="A2405" s="74"/>
    </row>
    <row r="2406" spans="1:1" ht="15" hidden="1" customHeight="1">
      <c r="A2406" s="74"/>
    </row>
    <row r="2407" spans="1:1" ht="15" hidden="1" customHeight="1">
      <c r="A2407" s="74"/>
    </row>
    <row r="2408" spans="1:1" ht="15" hidden="1" customHeight="1">
      <c r="A2408" s="74"/>
    </row>
    <row r="2409" spans="1:1" ht="15" hidden="1" customHeight="1">
      <c r="A2409" s="74"/>
    </row>
    <row r="2410" spans="1:1" ht="15" hidden="1" customHeight="1">
      <c r="A2410" s="74"/>
    </row>
    <row r="2411" spans="1:1" ht="15" hidden="1" customHeight="1">
      <c r="A2411" s="74"/>
    </row>
    <row r="2412" spans="1:1" ht="15" hidden="1" customHeight="1">
      <c r="A2412" s="74"/>
    </row>
    <row r="2413" spans="1:1" ht="15" hidden="1" customHeight="1">
      <c r="A2413" s="74"/>
    </row>
    <row r="2414" spans="1:1" ht="15" hidden="1" customHeight="1">
      <c r="A2414" s="74"/>
    </row>
    <row r="2415" spans="1:1" ht="15" hidden="1" customHeight="1">
      <c r="A2415" s="74"/>
    </row>
    <row r="2416" spans="1:1" ht="15" hidden="1" customHeight="1">
      <c r="A2416" s="74"/>
    </row>
    <row r="2417" spans="1:5" ht="15" hidden="1" customHeight="1">
      <c r="A2417" s="74"/>
    </row>
    <row r="2418" spans="1:5" ht="15" hidden="1" customHeight="1">
      <c r="A2418" s="74"/>
    </row>
    <row r="2419" spans="1:5" ht="15" hidden="1" customHeight="1">
      <c r="A2419" s="74"/>
    </row>
    <row r="2420" spans="1:5" ht="15" hidden="1" customHeight="1">
      <c r="A2420" s="74"/>
    </row>
    <row r="2421" spans="1:5" ht="15" hidden="1" customHeight="1">
      <c r="A2421" s="74"/>
    </row>
    <row r="2422" spans="1:5" hidden="1">
      <c r="A2422" s="74"/>
      <c r="E2422" s="59"/>
    </row>
    <row r="2423" spans="1:5" ht="15" hidden="1" customHeight="1">
      <c r="A2423" s="74"/>
    </row>
    <row r="2424" spans="1:5" ht="15" hidden="1" customHeight="1">
      <c r="A2424" s="74"/>
    </row>
    <row r="2425" spans="1:5" ht="15" hidden="1" customHeight="1">
      <c r="A2425" s="74"/>
    </row>
    <row r="2426" spans="1:5" ht="15" hidden="1" customHeight="1">
      <c r="A2426" s="74"/>
    </row>
    <row r="2427" spans="1:5" ht="15" hidden="1" customHeight="1">
      <c r="A2427" s="74"/>
    </row>
    <row r="2428" spans="1:5" ht="15" hidden="1" customHeight="1">
      <c r="A2428" s="74"/>
    </row>
    <row r="2429" spans="1:5" ht="15" hidden="1" customHeight="1">
      <c r="A2429" s="74"/>
    </row>
    <row r="2430" spans="1:5" ht="15" hidden="1" customHeight="1">
      <c r="A2430" s="74"/>
    </row>
    <row r="2431" spans="1:5" ht="15" hidden="1" customHeight="1">
      <c r="A2431" s="74"/>
    </row>
    <row r="2432" spans="1:5" ht="15" hidden="1" customHeight="1">
      <c r="A2432" s="74"/>
    </row>
    <row r="2433" spans="1:1" ht="15" hidden="1" customHeight="1">
      <c r="A2433" s="74"/>
    </row>
    <row r="2434" spans="1:1" ht="15" hidden="1" customHeight="1">
      <c r="A2434" s="74"/>
    </row>
    <row r="2435" spans="1:1" ht="15" hidden="1" customHeight="1">
      <c r="A2435" s="74"/>
    </row>
    <row r="2436" spans="1:1" ht="15" hidden="1" customHeight="1">
      <c r="A2436" s="74"/>
    </row>
    <row r="2437" spans="1:1" ht="15" hidden="1" customHeight="1">
      <c r="A2437" s="74"/>
    </row>
    <row r="2438" spans="1:1" ht="15" hidden="1" customHeight="1">
      <c r="A2438" s="74"/>
    </row>
    <row r="2439" spans="1:1" ht="15" hidden="1" customHeight="1">
      <c r="A2439" s="74"/>
    </row>
    <row r="2440" spans="1:1" ht="15" hidden="1" customHeight="1">
      <c r="A2440" s="74"/>
    </row>
    <row r="2441" spans="1:1" ht="15" hidden="1" customHeight="1">
      <c r="A2441" s="74"/>
    </row>
    <row r="2442" spans="1:1" ht="15" hidden="1" customHeight="1">
      <c r="A2442" s="74"/>
    </row>
    <row r="2443" spans="1:1" ht="15" hidden="1" customHeight="1">
      <c r="A2443" s="74"/>
    </row>
    <row r="2444" spans="1:1" ht="15" hidden="1" customHeight="1">
      <c r="A2444" s="74"/>
    </row>
    <row r="2445" spans="1:1" ht="15" hidden="1" customHeight="1">
      <c r="A2445" s="74"/>
    </row>
    <row r="2446" spans="1:1" ht="15" hidden="1" customHeight="1">
      <c r="A2446" s="74"/>
    </row>
    <row r="2447" spans="1:1" ht="15" hidden="1" customHeight="1">
      <c r="A2447" s="74"/>
    </row>
    <row r="2448" spans="1:1" ht="15" hidden="1" customHeight="1">
      <c r="A2448" s="74"/>
    </row>
    <row r="2449" spans="1:1" hidden="1">
      <c r="A2449" s="74"/>
    </row>
    <row r="2450" spans="1:1" ht="15" hidden="1" customHeight="1">
      <c r="A2450" s="74"/>
    </row>
    <row r="2451" spans="1:1" ht="15" hidden="1" customHeight="1">
      <c r="A2451" s="74"/>
    </row>
    <row r="2452" spans="1:1" ht="15" hidden="1" customHeight="1">
      <c r="A2452" s="74"/>
    </row>
    <row r="2453" spans="1:1" ht="15" hidden="1" customHeight="1">
      <c r="A2453" s="74"/>
    </row>
    <row r="2454" spans="1:1" ht="15" hidden="1" customHeight="1">
      <c r="A2454" s="74"/>
    </row>
    <row r="2455" spans="1:1" ht="15" hidden="1" customHeight="1">
      <c r="A2455" s="74"/>
    </row>
    <row r="2456" spans="1:1" ht="15" hidden="1" customHeight="1">
      <c r="A2456" s="74"/>
    </row>
    <row r="2457" spans="1:1" ht="15" hidden="1" customHeight="1">
      <c r="A2457" s="74"/>
    </row>
    <row r="2458" spans="1:1" ht="15" hidden="1" customHeight="1">
      <c r="A2458" s="74"/>
    </row>
    <row r="2459" spans="1:1" ht="15" hidden="1" customHeight="1">
      <c r="A2459" s="74"/>
    </row>
    <row r="2460" spans="1:1" ht="15" hidden="1" customHeight="1">
      <c r="A2460" s="74"/>
    </row>
    <row r="2461" spans="1:1" ht="15" hidden="1" customHeight="1">
      <c r="A2461" s="74"/>
    </row>
    <row r="2462" spans="1:1" ht="15" hidden="1" customHeight="1">
      <c r="A2462" s="74"/>
    </row>
    <row r="2463" spans="1:1" ht="15" hidden="1" customHeight="1">
      <c r="A2463" s="74"/>
    </row>
    <row r="2464" spans="1:1" ht="15" hidden="1" customHeight="1">
      <c r="A2464" s="74"/>
    </row>
    <row r="2465" spans="1:1" ht="15" hidden="1" customHeight="1">
      <c r="A2465" s="74"/>
    </row>
    <row r="2466" spans="1:1" ht="15" hidden="1" customHeight="1">
      <c r="A2466" s="74"/>
    </row>
    <row r="2467" spans="1:1" ht="15" hidden="1" customHeight="1">
      <c r="A2467" s="74"/>
    </row>
    <row r="2468" spans="1:1" ht="15" hidden="1" customHeight="1">
      <c r="A2468" s="74"/>
    </row>
    <row r="2469" spans="1:1" ht="15" hidden="1" customHeight="1">
      <c r="A2469" s="74"/>
    </row>
    <row r="2470" spans="1:1" ht="15" hidden="1" customHeight="1">
      <c r="A2470" s="74"/>
    </row>
    <row r="2471" spans="1:1" ht="15" hidden="1" customHeight="1">
      <c r="A2471" s="74"/>
    </row>
    <row r="2472" spans="1:1" ht="15" hidden="1" customHeight="1">
      <c r="A2472" s="74"/>
    </row>
    <row r="2473" spans="1:1" ht="15" hidden="1" customHeight="1">
      <c r="A2473" s="74"/>
    </row>
    <row r="2474" spans="1:1" ht="15" hidden="1" customHeight="1">
      <c r="A2474" s="74"/>
    </row>
    <row r="2475" spans="1:1" ht="15" hidden="1" customHeight="1">
      <c r="A2475" s="74"/>
    </row>
    <row r="2476" spans="1:1" ht="15" hidden="1" customHeight="1">
      <c r="A2476" s="74"/>
    </row>
    <row r="2477" spans="1:1" ht="15" hidden="1" customHeight="1">
      <c r="A2477" s="74"/>
    </row>
    <row r="2478" spans="1:1" ht="15" hidden="1" customHeight="1">
      <c r="A2478" s="74"/>
    </row>
    <row r="2479" spans="1:1" ht="15" hidden="1" customHeight="1">
      <c r="A2479" s="74"/>
    </row>
    <row r="2480" spans="1:1" ht="15" hidden="1" customHeight="1">
      <c r="A2480" s="74"/>
    </row>
    <row r="2481" spans="1:1" ht="15" hidden="1" customHeight="1">
      <c r="A2481" s="74"/>
    </row>
    <row r="2482" spans="1:1" ht="15" hidden="1" customHeight="1">
      <c r="A2482" s="74"/>
    </row>
    <row r="2483" spans="1:1" ht="15" hidden="1" customHeight="1">
      <c r="A2483" s="74"/>
    </row>
    <row r="2484" spans="1:1" ht="15" hidden="1" customHeight="1">
      <c r="A2484" s="74"/>
    </row>
    <row r="2485" spans="1:1" ht="15" hidden="1" customHeight="1">
      <c r="A2485" s="74"/>
    </row>
    <row r="2486" spans="1:1" ht="15" hidden="1" customHeight="1">
      <c r="A2486" s="74"/>
    </row>
    <row r="2487" spans="1:1" ht="15" hidden="1" customHeight="1">
      <c r="A2487" s="74"/>
    </row>
    <row r="2488" spans="1:1" ht="15" hidden="1" customHeight="1">
      <c r="A2488" s="74"/>
    </row>
    <row r="2489" spans="1:1" ht="15" hidden="1" customHeight="1">
      <c r="A2489" s="74"/>
    </row>
    <row r="2490" spans="1:1" ht="15" hidden="1" customHeight="1">
      <c r="A2490" s="74"/>
    </row>
    <row r="2491" spans="1:1" ht="15" hidden="1" customHeight="1">
      <c r="A2491" s="74"/>
    </row>
    <row r="2492" spans="1:1" ht="15" hidden="1" customHeight="1">
      <c r="A2492" s="74"/>
    </row>
    <row r="2493" spans="1:1" ht="15" hidden="1" customHeight="1">
      <c r="A2493" s="74"/>
    </row>
    <row r="2494" spans="1:1" ht="15" hidden="1" customHeight="1">
      <c r="A2494" s="74"/>
    </row>
    <row r="2495" spans="1:1" ht="15" hidden="1" customHeight="1">
      <c r="A2495" s="74"/>
    </row>
    <row r="2496" spans="1:1" ht="15" hidden="1" customHeight="1">
      <c r="A2496" s="74"/>
    </row>
    <row r="2497" spans="1:1" hidden="1">
      <c r="A2497" s="74"/>
    </row>
    <row r="2498" spans="1:1" ht="15" hidden="1" customHeight="1">
      <c r="A2498" s="74"/>
    </row>
    <row r="2499" spans="1:1" ht="15" hidden="1" customHeight="1">
      <c r="A2499" s="74"/>
    </row>
    <row r="2500" spans="1:1" ht="15" hidden="1" customHeight="1">
      <c r="A2500" s="74"/>
    </row>
    <row r="2501" spans="1:1" ht="15" hidden="1" customHeight="1">
      <c r="A2501" s="74"/>
    </row>
    <row r="2502" spans="1:1" ht="15" hidden="1" customHeight="1">
      <c r="A2502" s="74"/>
    </row>
    <row r="2503" spans="1:1" ht="15" hidden="1" customHeight="1">
      <c r="A2503" s="74"/>
    </row>
    <row r="2504" spans="1:1" ht="15" hidden="1" customHeight="1">
      <c r="A2504" s="74"/>
    </row>
    <row r="2505" spans="1:1" ht="15" hidden="1" customHeight="1">
      <c r="A2505" s="74"/>
    </row>
    <row r="2506" spans="1:1" ht="15" hidden="1" customHeight="1">
      <c r="A2506" s="74"/>
    </row>
    <row r="2507" spans="1:1" ht="15" hidden="1" customHeight="1">
      <c r="A2507" s="74"/>
    </row>
    <row r="2508" spans="1:1" ht="15" hidden="1" customHeight="1">
      <c r="A2508" s="74"/>
    </row>
    <row r="2509" spans="1:1" ht="15" hidden="1" customHeight="1">
      <c r="A2509" s="74"/>
    </row>
    <row r="2510" spans="1:1" ht="15" hidden="1" customHeight="1">
      <c r="A2510" s="74"/>
    </row>
    <row r="2511" spans="1:1" ht="15" hidden="1" customHeight="1">
      <c r="A2511" s="74"/>
    </row>
    <row r="2512" spans="1:1" ht="15" hidden="1" customHeight="1">
      <c r="A2512" s="74"/>
    </row>
    <row r="2513" spans="1:1" ht="15" hidden="1" customHeight="1">
      <c r="A2513" s="74"/>
    </row>
    <row r="2514" spans="1:1" ht="15" hidden="1" customHeight="1">
      <c r="A2514" s="74"/>
    </row>
    <row r="2515" spans="1:1" ht="15" hidden="1" customHeight="1">
      <c r="A2515" s="74"/>
    </row>
    <row r="2516" spans="1:1" ht="15" hidden="1" customHeight="1">
      <c r="A2516" s="74"/>
    </row>
    <row r="2517" spans="1:1" ht="15" hidden="1" customHeight="1">
      <c r="A2517" s="74"/>
    </row>
    <row r="2518" spans="1:1" ht="15" hidden="1" customHeight="1">
      <c r="A2518" s="74"/>
    </row>
    <row r="2519" spans="1:1" ht="15" hidden="1" customHeight="1">
      <c r="A2519" s="74"/>
    </row>
    <row r="2520" spans="1:1" ht="15" hidden="1" customHeight="1">
      <c r="A2520" s="74"/>
    </row>
    <row r="2521" spans="1:1" ht="15" hidden="1" customHeight="1">
      <c r="A2521" s="74"/>
    </row>
    <row r="2522" spans="1:1" ht="15" hidden="1" customHeight="1">
      <c r="A2522" s="74"/>
    </row>
    <row r="2523" spans="1:1" ht="15" hidden="1" customHeight="1">
      <c r="A2523" s="74"/>
    </row>
    <row r="2524" spans="1:1" ht="15" hidden="1" customHeight="1">
      <c r="A2524" s="74"/>
    </row>
    <row r="2525" spans="1:1" ht="15" hidden="1" customHeight="1">
      <c r="A2525" s="74"/>
    </row>
    <row r="2526" spans="1:1" ht="15" hidden="1" customHeight="1">
      <c r="A2526" s="74"/>
    </row>
    <row r="2527" spans="1:1" ht="15" hidden="1" customHeight="1">
      <c r="A2527" s="74"/>
    </row>
    <row r="2528" spans="1:1" ht="15" hidden="1" customHeight="1">
      <c r="A2528" s="74"/>
    </row>
    <row r="2529" spans="1:5" ht="15" hidden="1" customHeight="1">
      <c r="A2529" s="74"/>
    </row>
    <row r="2530" spans="1:5" ht="15" hidden="1" customHeight="1">
      <c r="A2530" s="74"/>
    </row>
    <row r="2531" spans="1:5" hidden="1">
      <c r="A2531" s="74"/>
      <c r="E2531" s="59"/>
    </row>
    <row r="2532" spans="1:5" hidden="1">
      <c r="A2532" s="74"/>
      <c r="E2532" s="59"/>
    </row>
    <row r="2533" spans="1:5" ht="15" hidden="1" customHeight="1">
      <c r="A2533" s="74"/>
    </row>
    <row r="2534" spans="1:5" ht="15" hidden="1" customHeight="1">
      <c r="A2534" s="74"/>
    </row>
    <row r="2535" spans="1:5" ht="15" hidden="1" customHeight="1">
      <c r="A2535" s="74"/>
    </row>
    <row r="2536" spans="1:5" ht="15" hidden="1" customHeight="1">
      <c r="A2536" s="74"/>
    </row>
    <row r="2537" spans="1:5" ht="15" hidden="1" customHeight="1">
      <c r="A2537" s="74"/>
    </row>
    <row r="2538" spans="1:5" ht="15" hidden="1" customHeight="1">
      <c r="A2538" s="74"/>
    </row>
    <row r="2539" spans="1:5" ht="15" hidden="1" customHeight="1">
      <c r="A2539" s="74"/>
    </row>
    <row r="2540" spans="1:5" ht="15" hidden="1" customHeight="1">
      <c r="A2540" s="74"/>
    </row>
    <row r="2541" spans="1:5" ht="15" hidden="1" customHeight="1">
      <c r="A2541" s="74"/>
    </row>
    <row r="2542" spans="1:5" ht="15" hidden="1" customHeight="1">
      <c r="A2542" s="74"/>
    </row>
    <row r="2543" spans="1:5" ht="15" hidden="1" customHeight="1">
      <c r="A2543" s="74"/>
    </row>
    <row r="2544" spans="1:5" ht="15" hidden="1" customHeight="1">
      <c r="A2544" s="74"/>
    </row>
    <row r="2545" spans="1:1" ht="15" hidden="1" customHeight="1">
      <c r="A2545" s="74"/>
    </row>
    <row r="2546" spans="1:1" ht="15" hidden="1" customHeight="1">
      <c r="A2546" s="74"/>
    </row>
    <row r="2547" spans="1:1" ht="15" hidden="1" customHeight="1">
      <c r="A2547" s="74"/>
    </row>
    <row r="2548" spans="1:1" ht="15" hidden="1" customHeight="1">
      <c r="A2548" s="74"/>
    </row>
    <row r="2549" spans="1:1" ht="15" hidden="1" customHeight="1">
      <c r="A2549" s="74"/>
    </row>
    <row r="2550" spans="1:1" ht="15" hidden="1" customHeight="1">
      <c r="A2550" s="74"/>
    </row>
    <row r="2551" spans="1:1" ht="15" hidden="1" customHeight="1">
      <c r="A2551" s="74"/>
    </row>
    <row r="2552" spans="1:1" ht="15" hidden="1" customHeight="1">
      <c r="A2552" s="74"/>
    </row>
    <row r="2553" spans="1:1" ht="15" hidden="1" customHeight="1">
      <c r="A2553" s="74"/>
    </row>
    <row r="2554" spans="1:1" ht="15" hidden="1" customHeight="1">
      <c r="A2554" s="74"/>
    </row>
    <row r="2555" spans="1:1" ht="15" hidden="1" customHeight="1">
      <c r="A2555" s="74"/>
    </row>
    <row r="2556" spans="1:1" ht="15" hidden="1" customHeight="1">
      <c r="A2556" s="74"/>
    </row>
    <row r="2557" spans="1:1" ht="15" hidden="1" customHeight="1">
      <c r="A2557" s="74"/>
    </row>
    <row r="2558" spans="1:1" ht="15" hidden="1" customHeight="1">
      <c r="A2558" s="74"/>
    </row>
    <row r="2559" spans="1:1" ht="15" hidden="1" customHeight="1">
      <c r="A2559" s="74"/>
    </row>
    <row r="2560" spans="1:1" ht="15" hidden="1" customHeight="1">
      <c r="A2560" s="74"/>
    </row>
    <row r="2561" spans="1:5" ht="15" hidden="1" customHeight="1">
      <c r="A2561" s="74"/>
    </row>
    <row r="2562" spans="1:5" ht="15" hidden="1" customHeight="1">
      <c r="A2562" s="74"/>
    </row>
    <row r="2563" spans="1:5" ht="15" hidden="1" customHeight="1">
      <c r="A2563" s="74"/>
    </row>
    <row r="2564" spans="1:5" ht="15" hidden="1" customHeight="1">
      <c r="A2564" s="74"/>
    </row>
    <row r="2565" spans="1:5" ht="15" hidden="1" customHeight="1">
      <c r="A2565" s="74"/>
    </row>
    <row r="2566" spans="1:5" ht="15" hidden="1" customHeight="1">
      <c r="A2566" s="74"/>
    </row>
    <row r="2567" spans="1:5" ht="15" hidden="1" customHeight="1">
      <c r="A2567" s="74"/>
    </row>
    <row r="2568" spans="1:5" ht="15" hidden="1" customHeight="1">
      <c r="A2568" s="74"/>
    </row>
    <row r="2569" spans="1:5" ht="15" hidden="1" customHeight="1">
      <c r="A2569" s="74"/>
    </row>
    <row r="2570" spans="1:5" ht="15" hidden="1" customHeight="1">
      <c r="A2570" s="74"/>
    </row>
    <row r="2571" spans="1:5" ht="15" hidden="1" customHeight="1">
      <c r="A2571" s="74"/>
    </row>
    <row r="2572" spans="1:5" ht="15" hidden="1" customHeight="1">
      <c r="A2572" s="74"/>
    </row>
    <row r="2573" spans="1:5" ht="15" hidden="1" customHeight="1">
      <c r="A2573" s="74"/>
    </row>
    <row r="2574" spans="1:5" ht="15" hidden="1" customHeight="1">
      <c r="A2574" s="74"/>
    </row>
    <row r="2575" spans="1:5" hidden="1">
      <c r="A2575" s="74"/>
      <c r="E2575" s="59"/>
    </row>
    <row r="2576" spans="1:5" ht="15" hidden="1" customHeight="1">
      <c r="A2576" s="74"/>
    </row>
    <row r="2577" spans="1:1" ht="15" hidden="1" customHeight="1">
      <c r="A2577" s="74"/>
    </row>
    <row r="2578" spans="1:1" ht="15" hidden="1" customHeight="1">
      <c r="A2578" s="74"/>
    </row>
    <row r="2579" spans="1:1" ht="15" hidden="1" customHeight="1">
      <c r="A2579" s="74"/>
    </row>
    <row r="2580" spans="1:1" ht="15" hidden="1" customHeight="1">
      <c r="A2580" s="74"/>
    </row>
    <row r="2581" spans="1:1" ht="15" hidden="1" customHeight="1">
      <c r="A2581" s="74"/>
    </row>
    <row r="2582" spans="1:1" ht="15" hidden="1" customHeight="1">
      <c r="A2582" s="74"/>
    </row>
    <row r="2583" spans="1:1" ht="15" hidden="1" customHeight="1">
      <c r="A2583" s="74"/>
    </row>
    <row r="2584" spans="1:1" ht="15" hidden="1" customHeight="1">
      <c r="A2584" s="74"/>
    </row>
    <row r="2585" spans="1:1" ht="15" hidden="1" customHeight="1">
      <c r="A2585" s="74"/>
    </row>
    <row r="2586" spans="1:1" ht="15" hidden="1" customHeight="1">
      <c r="A2586" s="74"/>
    </row>
    <row r="2587" spans="1:1" ht="15" hidden="1" customHeight="1">
      <c r="A2587" s="74"/>
    </row>
    <row r="2588" spans="1:1" ht="15" hidden="1" customHeight="1">
      <c r="A2588" s="74"/>
    </row>
    <row r="2589" spans="1:1" ht="15" hidden="1" customHeight="1">
      <c r="A2589" s="74"/>
    </row>
    <row r="2590" spans="1:1" ht="15" hidden="1" customHeight="1">
      <c r="A2590" s="74"/>
    </row>
    <row r="2591" spans="1:1" ht="15" hidden="1" customHeight="1">
      <c r="A2591" s="74"/>
    </row>
    <row r="2592" spans="1:1" ht="15" hidden="1" customHeight="1">
      <c r="A2592" s="74"/>
    </row>
    <row r="2593" spans="1:1" ht="15" hidden="1" customHeight="1">
      <c r="A2593" s="74"/>
    </row>
    <row r="2594" spans="1:1" ht="15" hidden="1" customHeight="1">
      <c r="A2594" s="74"/>
    </row>
    <row r="2595" spans="1:1" ht="15" hidden="1" customHeight="1">
      <c r="A2595" s="74"/>
    </row>
    <row r="2596" spans="1:1" ht="15" hidden="1" customHeight="1">
      <c r="A2596" s="74"/>
    </row>
    <row r="2597" spans="1:1" ht="15" hidden="1" customHeight="1">
      <c r="A2597" s="74"/>
    </row>
    <row r="2598" spans="1:1" ht="15" hidden="1" customHeight="1">
      <c r="A2598" s="74"/>
    </row>
    <row r="2599" spans="1:1" ht="15" hidden="1" customHeight="1">
      <c r="A2599" s="74"/>
    </row>
    <row r="2600" spans="1:1" ht="15" hidden="1" customHeight="1">
      <c r="A2600" s="74"/>
    </row>
    <row r="2601" spans="1:1" ht="15" hidden="1" customHeight="1">
      <c r="A2601" s="74"/>
    </row>
    <row r="2602" spans="1:1" ht="15" hidden="1" customHeight="1">
      <c r="A2602" s="74"/>
    </row>
    <row r="2603" spans="1:1" ht="15" hidden="1" customHeight="1">
      <c r="A2603" s="74"/>
    </row>
    <row r="2604" spans="1:1" ht="15" hidden="1" customHeight="1">
      <c r="A2604" s="74"/>
    </row>
    <row r="2605" spans="1:1" ht="15" hidden="1" customHeight="1">
      <c r="A2605" s="74"/>
    </row>
    <row r="2606" spans="1:1" ht="15" hidden="1" customHeight="1">
      <c r="A2606" s="74"/>
    </row>
    <row r="2607" spans="1:1" ht="15" hidden="1" customHeight="1">
      <c r="A2607" s="74"/>
    </row>
    <row r="2608" spans="1:1" ht="15" hidden="1" customHeight="1">
      <c r="A2608" s="74"/>
    </row>
    <row r="2609" spans="1:1" ht="15" hidden="1" customHeight="1">
      <c r="A2609" s="74"/>
    </row>
    <row r="2610" spans="1:1" ht="15" hidden="1" customHeight="1">
      <c r="A2610" s="74"/>
    </row>
    <row r="2611" spans="1:1" ht="15" hidden="1" customHeight="1">
      <c r="A2611" s="74"/>
    </row>
    <row r="2612" spans="1:1" ht="15" hidden="1" customHeight="1">
      <c r="A2612" s="74"/>
    </row>
    <row r="2613" spans="1:1" ht="15" hidden="1" customHeight="1">
      <c r="A2613" s="74"/>
    </row>
    <row r="2614" spans="1:1" ht="15" hidden="1" customHeight="1">
      <c r="A2614" s="74"/>
    </row>
    <row r="2615" spans="1:1" ht="15" hidden="1" customHeight="1">
      <c r="A2615" s="74"/>
    </row>
    <row r="2616" spans="1:1" ht="15" hidden="1" customHeight="1">
      <c r="A2616" s="74"/>
    </row>
    <row r="2617" spans="1:1" ht="15" hidden="1" customHeight="1">
      <c r="A2617" s="74"/>
    </row>
    <row r="2618" spans="1:1" ht="15" hidden="1" customHeight="1">
      <c r="A2618" s="74"/>
    </row>
    <row r="2619" spans="1:1" ht="15" hidden="1" customHeight="1">
      <c r="A2619" s="74"/>
    </row>
    <row r="2620" spans="1:1" ht="15" hidden="1" customHeight="1">
      <c r="A2620" s="74"/>
    </row>
    <row r="2621" spans="1:1" ht="15" hidden="1" customHeight="1">
      <c r="A2621" s="74"/>
    </row>
    <row r="2622" spans="1:1" ht="15" hidden="1" customHeight="1">
      <c r="A2622" s="74"/>
    </row>
    <row r="2623" spans="1:1" ht="15" hidden="1" customHeight="1">
      <c r="A2623" s="74"/>
    </row>
    <row r="2624" spans="1:1" ht="15" hidden="1" customHeight="1">
      <c r="A2624" s="74"/>
    </row>
    <row r="2625" spans="1:5" ht="15" hidden="1" customHeight="1">
      <c r="A2625" s="74"/>
    </row>
    <row r="2626" spans="1:5" ht="15" hidden="1" customHeight="1">
      <c r="A2626" s="74"/>
    </row>
    <row r="2627" spans="1:5" ht="15" hidden="1" customHeight="1">
      <c r="A2627" s="74"/>
    </row>
    <row r="2628" spans="1:5" ht="15" hidden="1" customHeight="1">
      <c r="A2628" s="74"/>
    </row>
    <row r="2629" spans="1:5" ht="15" hidden="1" customHeight="1">
      <c r="A2629" s="74"/>
    </row>
    <row r="2630" spans="1:5" ht="15" hidden="1" customHeight="1">
      <c r="A2630" s="74"/>
    </row>
    <row r="2631" spans="1:5" hidden="1">
      <c r="A2631" s="74"/>
      <c r="E2631" s="59"/>
    </row>
    <row r="2632" spans="1:5" ht="15" hidden="1" customHeight="1">
      <c r="A2632" s="74"/>
    </row>
    <row r="2633" spans="1:5" ht="15" hidden="1" customHeight="1">
      <c r="A2633" s="74"/>
    </row>
    <row r="2634" spans="1:5" ht="15" hidden="1" customHeight="1">
      <c r="A2634" s="74"/>
    </row>
    <row r="2635" spans="1:5" ht="15" hidden="1" customHeight="1">
      <c r="A2635" s="74"/>
    </row>
    <row r="2636" spans="1:5" ht="15" hidden="1" customHeight="1">
      <c r="A2636" s="74"/>
    </row>
    <row r="2637" spans="1:5" ht="15" hidden="1" customHeight="1">
      <c r="A2637" s="74"/>
    </row>
    <row r="2638" spans="1:5" ht="15" hidden="1" customHeight="1">
      <c r="A2638" s="74"/>
    </row>
    <row r="2639" spans="1:5" ht="15" hidden="1" customHeight="1">
      <c r="A2639" s="74"/>
    </row>
    <row r="2640" spans="1:5" ht="15" hidden="1" customHeight="1">
      <c r="A2640" s="74"/>
    </row>
    <row r="2641" spans="1:1" ht="15" hidden="1" customHeight="1">
      <c r="A2641" s="74"/>
    </row>
    <row r="2642" spans="1:1" ht="15" hidden="1" customHeight="1">
      <c r="A2642" s="74"/>
    </row>
    <row r="2643" spans="1:1" ht="15" hidden="1" customHeight="1">
      <c r="A2643" s="74"/>
    </row>
    <row r="2644" spans="1:1" ht="15" hidden="1" customHeight="1">
      <c r="A2644" s="74"/>
    </row>
    <row r="2645" spans="1:1" ht="15" hidden="1" customHeight="1">
      <c r="A2645" s="74"/>
    </row>
    <row r="2646" spans="1:1" ht="15" hidden="1" customHeight="1">
      <c r="A2646" s="74"/>
    </row>
    <row r="2647" spans="1:1" ht="15" hidden="1" customHeight="1">
      <c r="A2647" s="74"/>
    </row>
    <row r="2648" spans="1:1" ht="15" hidden="1" customHeight="1">
      <c r="A2648" s="74"/>
    </row>
    <row r="2649" spans="1:1" ht="15" hidden="1" customHeight="1">
      <c r="A2649" s="74"/>
    </row>
    <row r="2650" spans="1:1" ht="15" hidden="1" customHeight="1">
      <c r="A2650" s="74"/>
    </row>
    <row r="2651" spans="1:1" ht="15" hidden="1" customHeight="1">
      <c r="A2651" s="74"/>
    </row>
    <row r="2652" spans="1:1" ht="15" hidden="1" customHeight="1">
      <c r="A2652" s="74"/>
    </row>
    <row r="2653" spans="1:1" ht="15" hidden="1" customHeight="1">
      <c r="A2653" s="74"/>
    </row>
    <row r="2654" spans="1:1" ht="15" hidden="1" customHeight="1">
      <c r="A2654" s="74"/>
    </row>
    <row r="2655" spans="1:1" ht="15" hidden="1" customHeight="1">
      <c r="A2655" s="74"/>
    </row>
    <row r="2656" spans="1:1" ht="15" hidden="1" customHeight="1">
      <c r="A2656" s="74"/>
    </row>
    <row r="2657" spans="1:1" ht="15" hidden="1" customHeight="1">
      <c r="A2657" s="74"/>
    </row>
    <row r="2658" spans="1:1" ht="15" hidden="1" customHeight="1">
      <c r="A2658" s="74"/>
    </row>
    <row r="2659" spans="1:1" ht="15" hidden="1" customHeight="1">
      <c r="A2659" s="74"/>
    </row>
    <row r="2660" spans="1:1" ht="15" hidden="1" customHeight="1">
      <c r="A2660" s="74"/>
    </row>
    <row r="2661" spans="1:1" ht="15" hidden="1" customHeight="1">
      <c r="A2661" s="74"/>
    </row>
    <row r="2662" spans="1:1" ht="15" hidden="1" customHeight="1">
      <c r="A2662" s="74"/>
    </row>
    <row r="2663" spans="1:1" ht="15" hidden="1" customHeight="1">
      <c r="A2663" s="74"/>
    </row>
    <row r="2664" spans="1:1" ht="15" hidden="1" customHeight="1">
      <c r="A2664" s="74"/>
    </row>
    <row r="2665" spans="1:1" ht="15" hidden="1" customHeight="1">
      <c r="A2665" s="74"/>
    </row>
    <row r="2666" spans="1:1" ht="15" hidden="1" customHeight="1">
      <c r="A2666" s="74"/>
    </row>
    <row r="2667" spans="1:1" ht="15" hidden="1" customHeight="1">
      <c r="A2667" s="74"/>
    </row>
    <row r="2668" spans="1:1" ht="15" hidden="1" customHeight="1">
      <c r="A2668" s="74"/>
    </row>
    <row r="2669" spans="1:1" ht="15" hidden="1" customHeight="1">
      <c r="A2669" s="74"/>
    </row>
    <row r="2670" spans="1:1" ht="15" hidden="1" customHeight="1">
      <c r="A2670" s="74"/>
    </row>
    <row r="2671" spans="1:1" ht="15" hidden="1" customHeight="1">
      <c r="A2671" s="74"/>
    </row>
    <row r="2672" spans="1:1" ht="15" hidden="1" customHeight="1">
      <c r="A2672" s="74"/>
    </row>
    <row r="2673" spans="1:3" ht="15" hidden="1" customHeight="1">
      <c r="A2673" s="74"/>
    </row>
    <row r="2674" spans="1:3" ht="15" hidden="1" customHeight="1">
      <c r="A2674" s="74"/>
    </row>
    <row r="2675" spans="1:3" ht="15" hidden="1" customHeight="1">
      <c r="A2675" s="74"/>
    </row>
    <row r="2676" spans="1:3" ht="15" hidden="1" customHeight="1">
      <c r="A2676" s="74"/>
    </row>
    <row r="2677" spans="1:3" ht="15" hidden="1" customHeight="1">
      <c r="A2677" s="74"/>
    </row>
    <row r="2678" spans="1:3" ht="15" hidden="1" customHeight="1">
      <c r="A2678" s="74"/>
    </row>
    <row r="2679" spans="1:3" ht="15" hidden="1" customHeight="1">
      <c r="A2679" s="74"/>
    </row>
    <row r="2680" spans="1:3" ht="15" hidden="1" customHeight="1">
      <c r="A2680" s="74"/>
    </row>
    <row r="2681" spans="1:3" ht="15" hidden="1" customHeight="1">
      <c r="A2681" s="74"/>
    </row>
    <row r="2682" spans="1:3" ht="15" hidden="1" customHeight="1">
      <c r="A2682" s="74"/>
    </row>
    <row r="2683" spans="1:3" ht="15" hidden="1" customHeight="1">
      <c r="A2683" s="74"/>
    </row>
    <row r="2684" spans="1:3" ht="15" hidden="1" customHeight="1">
      <c r="A2684" s="74"/>
    </row>
    <row r="2685" spans="1:3" ht="15" hidden="1" customHeight="1">
      <c r="A2685" s="74"/>
    </row>
    <row r="2686" spans="1:3" ht="15" hidden="1" customHeight="1">
      <c r="A2686" s="74"/>
    </row>
    <row r="2687" spans="1:3" ht="15" hidden="1" customHeight="1">
      <c r="A2687" s="74"/>
    </row>
    <row r="2688" spans="1:3" hidden="1">
      <c r="A2688" s="74"/>
      <c r="C2688" s="49"/>
    </row>
    <row r="2689" spans="1:1" ht="15" hidden="1" customHeight="1">
      <c r="A2689" s="74"/>
    </row>
    <row r="2690" spans="1:1" ht="15" hidden="1" customHeight="1">
      <c r="A2690" s="74"/>
    </row>
    <row r="2691" spans="1:1" ht="15" hidden="1" customHeight="1">
      <c r="A2691" s="74"/>
    </row>
    <row r="2692" spans="1:1" ht="15" hidden="1" customHeight="1">
      <c r="A2692" s="74"/>
    </row>
    <row r="2693" spans="1:1" ht="15" hidden="1" customHeight="1">
      <c r="A2693" s="74"/>
    </row>
    <row r="2694" spans="1:1" ht="15" hidden="1" customHeight="1">
      <c r="A2694" s="74"/>
    </row>
    <row r="2695" spans="1:1" ht="15" hidden="1" customHeight="1">
      <c r="A2695" s="74"/>
    </row>
    <row r="2696" spans="1:1" ht="15" hidden="1" customHeight="1">
      <c r="A2696" s="74"/>
    </row>
    <row r="2697" spans="1:1" hidden="1">
      <c r="A2697" s="74"/>
    </row>
    <row r="2698" spans="1:1" hidden="1">
      <c r="A2698" s="74"/>
    </row>
    <row r="2699" spans="1:1" ht="15" hidden="1" customHeight="1">
      <c r="A2699" s="74"/>
    </row>
    <row r="2700" spans="1:1" ht="15" hidden="1" customHeight="1">
      <c r="A2700" s="74"/>
    </row>
    <row r="2701" spans="1:1" ht="15" hidden="1" customHeight="1">
      <c r="A2701" s="74"/>
    </row>
    <row r="2702" spans="1:1" ht="15" hidden="1" customHeight="1">
      <c r="A2702" s="74"/>
    </row>
    <row r="2703" spans="1:1" ht="15" hidden="1" customHeight="1">
      <c r="A2703" s="74"/>
    </row>
    <row r="2704" spans="1:1" ht="15" hidden="1" customHeight="1">
      <c r="A2704" s="74"/>
    </row>
    <row r="2705" spans="1:1" ht="15" hidden="1" customHeight="1">
      <c r="A2705" s="74"/>
    </row>
    <row r="2706" spans="1:1" ht="15" hidden="1" customHeight="1">
      <c r="A2706" s="74"/>
    </row>
    <row r="2707" spans="1:1" ht="15" hidden="1" customHeight="1">
      <c r="A2707" s="74"/>
    </row>
    <row r="2708" spans="1:1" ht="15" hidden="1" customHeight="1">
      <c r="A2708" s="74"/>
    </row>
    <row r="2709" spans="1:1" ht="15" hidden="1" customHeight="1">
      <c r="A2709" s="74"/>
    </row>
    <row r="2710" spans="1:1" ht="15" hidden="1" customHeight="1">
      <c r="A2710" s="74"/>
    </row>
    <row r="2711" spans="1:1" ht="15" hidden="1" customHeight="1">
      <c r="A2711" s="74"/>
    </row>
    <row r="2712" spans="1:1" ht="15" hidden="1" customHeight="1">
      <c r="A2712" s="74"/>
    </row>
    <row r="2713" spans="1:1" ht="15" hidden="1" customHeight="1">
      <c r="A2713" s="74"/>
    </row>
    <row r="2714" spans="1:1" ht="15" hidden="1" customHeight="1">
      <c r="A2714" s="74"/>
    </row>
    <row r="2715" spans="1:1" ht="15" hidden="1" customHeight="1">
      <c r="A2715" s="74"/>
    </row>
    <row r="2716" spans="1:1" ht="15" hidden="1" customHeight="1">
      <c r="A2716" s="74"/>
    </row>
    <row r="2717" spans="1:1" ht="15" hidden="1" customHeight="1">
      <c r="A2717" s="74"/>
    </row>
    <row r="2718" spans="1:1" ht="15" hidden="1" customHeight="1">
      <c r="A2718" s="74"/>
    </row>
    <row r="2719" spans="1:1" ht="15" hidden="1" customHeight="1">
      <c r="A2719" s="74"/>
    </row>
    <row r="2720" spans="1:1" ht="15" hidden="1" customHeight="1">
      <c r="A2720" s="74"/>
    </row>
    <row r="2721" spans="1:1" ht="15" hidden="1" customHeight="1">
      <c r="A2721" s="74"/>
    </row>
    <row r="2722" spans="1:1" ht="15" hidden="1" customHeight="1">
      <c r="A2722" s="74"/>
    </row>
    <row r="2723" spans="1:1" ht="15" hidden="1" customHeight="1">
      <c r="A2723" s="74"/>
    </row>
    <row r="2724" spans="1:1" ht="15" hidden="1" customHeight="1">
      <c r="A2724" s="74"/>
    </row>
    <row r="2725" spans="1:1" ht="15" hidden="1" customHeight="1">
      <c r="A2725" s="74"/>
    </row>
    <row r="2726" spans="1:1" ht="15" hidden="1" customHeight="1">
      <c r="A2726" s="74"/>
    </row>
    <row r="2727" spans="1:1" ht="15" hidden="1" customHeight="1">
      <c r="A2727" s="74"/>
    </row>
    <row r="2728" spans="1:1" ht="15" hidden="1" customHeight="1">
      <c r="A2728" s="74"/>
    </row>
    <row r="2729" spans="1:1" ht="15" hidden="1" customHeight="1">
      <c r="A2729" s="74"/>
    </row>
    <row r="2730" spans="1:1" ht="15" hidden="1" customHeight="1">
      <c r="A2730" s="74"/>
    </row>
    <row r="2731" spans="1:1" ht="15" hidden="1" customHeight="1">
      <c r="A2731" s="74"/>
    </row>
    <row r="2732" spans="1:1" ht="15" hidden="1" customHeight="1">
      <c r="A2732" s="74"/>
    </row>
    <row r="2733" spans="1:1" ht="15" hidden="1" customHeight="1">
      <c r="A2733" s="74"/>
    </row>
    <row r="2734" spans="1:1" ht="15" hidden="1" customHeight="1">
      <c r="A2734" s="74"/>
    </row>
    <row r="2735" spans="1:1" ht="15" hidden="1" customHeight="1">
      <c r="A2735" s="74"/>
    </row>
    <row r="2736" spans="1:1" ht="15" hidden="1" customHeight="1">
      <c r="A2736" s="74"/>
    </row>
    <row r="2737" spans="1:1" ht="15" hidden="1" customHeight="1">
      <c r="A2737" s="74"/>
    </row>
    <row r="2738" spans="1:1" ht="15" hidden="1" customHeight="1">
      <c r="A2738" s="74"/>
    </row>
    <row r="2739" spans="1:1" ht="15" hidden="1" customHeight="1">
      <c r="A2739" s="74"/>
    </row>
    <row r="2740" spans="1:1" ht="15" hidden="1" customHeight="1">
      <c r="A2740" s="74"/>
    </row>
    <row r="2741" spans="1:1" ht="15" hidden="1" customHeight="1">
      <c r="A2741" s="74"/>
    </row>
    <row r="2742" spans="1:1" ht="15" hidden="1" customHeight="1">
      <c r="A2742" s="74"/>
    </row>
    <row r="2743" spans="1:1" ht="15" hidden="1" customHeight="1">
      <c r="A2743" s="74"/>
    </row>
    <row r="2744" spans="1:1" ht="15" hidden="1" customHeight="1">
      <c r="A2744" s="74"/>
    </row>
    <row r="2745" spans="1:1" ht="15" hidden="1" customHeight="1">
      <c r="A2745" s="74"/>
    </row>
    <row r="2746" spans="1:1" ht="15" hidden="1" customHeight="1">
      <c r="A2746" s="74"/>
    </row>
    <row r="2747" spans="1:1" ht="15" hidden="1" customHeight="1">
      <c r="A2747" s="74"/>
    </row>
    <row r="2748" spans="1:1" hidden="1">
      <c r="A2748" s="74"/>
    </row>
    <row r="2749" spans="1:1" ht="15" hidden="1" customHeight="1">
      <c r="A2749" s="74"/>
    </row>
    <row r="2750" spans="1:1" ht="15" hidden="1" customHeight="1">
      <c r="A2750" s="74"/>
    </row>
    <row r="2751" spans="1:1" ht="15" hidden="1" customHeight="1">
      <c r="A2751" s="74"/>
    </row>
    <row r="2752" spans="1:1" ht="15" hidden="1" customHeight="1">
      <c r="A2752" s="74"/>
    </row>
    <row r="2753" spans="1:1" ht="15" hidden="1" customHeight="1">
      <c r="A2753" s="74"/>
    </row>
    <row r="2754" spans="1:1" ht="15" hidden="1" customHeight="1">
      <c r="A2754" s="74"/>
    </row>
    <row r="2755" spans="1:1" ht="15" hidden="1" customHeight="1">
      <c r="A2755" s="74"/>
    </row>
    <row r="2756" spans="1:1" ht="15" hidden="1" customHeight="1">
      <c r="A2756" s="74"/>
    </row>
    <row r="2757" spans="1:1" ht="15" hidden="1" customHeight="1">
      <c r="A2757" s="74"/>
    </row>
    <row r="2758" spans="1:1" ht="15" hidden="1" customHeight="1">
      <c r="A2758" s="74"/>
    </row>
    <row r="2759" spans="1:1" ht="15" hidden="1" customHeight="1">
      <c r="A2759" s="74"/>
    </row>
    <row r="2760" spans="1:1" ht="15" hidden="1" customHeight="1">
      <c r="A2760" s="74"/>
    </row>
    <row r="2761" spans="1:1" ht="15" hidden="1" customHeight="1">
      <c r="A2761" s="74"/>
    </row>
    <row r="2762" spans="1:1" ht="15" hidden="1" customHeight="1">
      <c r="A2762" s="74"/>
    </row>
    <row r="2763" spans="1:1" ht="15" hidden="1" customHeight="1">
      <c r="A2763" s="74"/>
    </row>
    <row r="2764" spans="1:1" ht="15" hidden="1" customHeight="1">
      <c r="A2764" s="74"/>
    </row>
    <row r="2765" spans="1:1" ht="15" hidden="1" customHeight="1">
      <c r="A2765" s="74"/>
    </row>
    <row r="2766" spans="1:1" ht="15" hidden="1" customHeight="1">
      <c r="A2766" s="74"/>
    </row>
    <row r="2767" spans="1:1" ht="15" hidden="1" customHeight="1">
      <c r="A2767" s="74"/>
    </row>
    <row r="2768" spans="1:1" ht="15" hidden="1" customHeight="1">
      <c r="A2768" s="74"/>
    </row>
    <row r="2769" spans="1:1" ht="15" hidden="1" customHeight="1">
      <c r="A2769" s="74"/>
    </row>
    <row r="2770" spans="1:1" ht="15" hidden="1" customHeight="1">
      <c r="A2770" s="74"/>
    </row>
    <row r="2771" spans="1:1" ht="15" hidden="1" customHeight="1">
      <c r="A2771" s="74"/>
    </row>
    <row r="2772" spans="1:1" ht="15" hidden="1" customHeight="1">
      <c r="A2772" s="74"/>
    </row>
    <row r="2773" spans="1:1" ht="15" hidden="1" customHeight="1">
      <c r="A2773" s="74"/>
    </row>
    <row r="2774" spans="1:1" ht="15" hidden="1" customHeight="1">
      <c r="A2774" s="74"/>
    </row>
    <row r="2775" spans="1:1" ht="15" hidden="1" customHeight="1">
      <c r="A2775" s="74"/>
    </row>
    <row r="2776" spans="1:1" ht="15" hidden="1" customHeight="1">
      <c r="A2776" s="74"/>
    </row>
    <row r="2777" spans="1:1" ht="15" hidden="1" customHeight="1">
      <c r="A2777" s="74"/>
    </row>
    <row r="2778" spans="1:1" ht="15" hidden="1" customHeight="1">
      <c r="A2778" s="74"/>
    </row>
    <row r="2779" spans="1:1" ht="15" hidden="1" customHeight="1">
      <c r="A2779" s="74"/>
    </row>
    <row r="2780" spans="1:1" ht="15" hidden="1" customHeight="1">
      <c r="A2780" s="74"/>
    </row>
    <row r="2781" spans="1:1" ht="15" hidden="1" customHeight="1">
      <c r="A2781" s="74"/>
    </row>
    <row r="2782" spans="1:1" ht="15" hidden="1" customHeight="1">
      <c r="A2782" s="74"/>
    </row>
    <row r="2783" spans="1:1" ht="15" hidden="1" customHeight="1">
      <c r="A2783" s="74"/>
    </row>
    <row r="2784" spans="1:1" ht="15" hidden="1" customHeight="1">
      <c r="A2784" s="74"/>
    </row>
    <row r="2785" spans="1:1" ht="15" hidden="1" customHeight="1">
      <c r="A2785" s="74"/>
    </row>
    <row r="2786" spans="1:1" ht="15" hidden="1" customHeight="1">
      <c r="A2786" s="74"/>
    </row>
    <row r="2787" spans="1:1" ht="15" hidden="1" customHeight="1">
      <c r="A2787" s="74"/>
    </row>
    <row r="2788" spans="1:1" ht="15" hidden="1" customHeight="1">
      <c r="A2788" s="74"/>
    </row>
    <row r="2789" spans="1:1" ht="15" hidden="1" customHeight="1">
      <c r="A2789" s="74"/>
    </row>
    <row r="2790" spans="1:1" ht="15" hidden="1" customHeight="1">
      <c r="A2790" s="74"/>
    </row>
    <row r="2791" spans="1:1" ht="15" hidden="1" customHeight="1">
      <c r="A2791" s="74"/>
    </row>
    <row r="2792" spans="1:1" hidden="1">
      <c r="A2792" s="74"/>
    </row>
    <row r="2793" spans="1:1" ht="15" hidden="1" customHeight="1">
      <c r="A2793" s="74"/>
    </row>
    <row r="2794" spans="1:1" ht="15" hidden="1" customHeight="1">
      <c r="A2794" s="74"/>
    </row>
    <row r="2795" spans="1:1" ht="15" hidden="1" customHeight="1">
      <c r="A2795" s="74"/>
    </row>
    <row r="2796" spans="1:1" ht="15" hidden="1" customHeight="1">
      <c r="A2796" s="74"/>
    </row>
    <row r="2797" spans="1:1" ht="15" hidden="1" customHeight="1">
      <c r="A2797" s="74"/>
    </row>
    <row r="2798" spans="1:1" ht="15" hidden="1" customHeight="1">
      <c r="A2798" s="74"/>
    </row>
    <row r="2799" spans="1:1" ht="15" hidden="1" customHeight="1">
      <c r="A2799" s="74"/>
    </row>
    <row r="2800" spans="1:1" ht="15" hidden="1" customHeight="1">
      <c r="A2800" s="74"/>
    </row>
    <row r="2801" spans="1:1" ht="15" hidden="1" customHeight="1">
      <c r="A2801" s="74"/>
    </row>
    <row r="2802" spans="1:1" ht="15" hidden="1" customHeight="1">
      <c r="A2802" s="74"/>
    </row>
    <row r="2803" spans="1:1" ht="15" hidden="1" customHeight="1">
      <c r="A2803" s="74"/>
    </row>
    <row r="2804" spans="1:1" ht="15" hidden="1" customHeight="1">
      <c r="A2804" s="74"/>
    </row>
    <row r="2805" spans="1:1" ht="15" hidden="1" customHeight="1">
      <c r="A2805" s="74"/>
    </row>
    <row r="2806" spans="1:1" ht="15" hidden="1" customHeight="1">
      <c r="A2806" s="74"/>
    </row>
    <row r="2807" spans="1:1" ht="15" hidden="1" customHeight="1">
      <c r="A2807" s="74"/>
    </row>
    <row r="2808" spans="1:1" ht="15" hidden="1" customHeight="1">
      <c r="A2808" s="74"/>
    </row>
    <row r="2809" spans="1:1" ht="15" hidden="1" customHeight="1">
      <c r="A2809" s="74"/>
    </row>
    <row r="2810" spans="1:1" ht="15" hidden="1" customHeight="1">
      <c r="A2810" s="74"/>
    </row>
    <row r="2811" spans="1:1" ht="15" hidden="1" customHeight="1">
      <c r="A2811" s="74"/>
    </row>
    <row r="2812" spans="1:1" ht="15" hidden="1" customHeight="1">
      <c r="A2812" s="74"/>
    </row>
    <row r="2813" spans="1:1" ht="15" hidden="1" customHeight="1">
      <c r="A2813" s="74"/>
    </row>
    <row r="2814" spans="1:1" ht="15" hidden="1" customHeight="1">
      <c r="A2814" s="74"/>
    </row>
    <row r="2815" spans="1:1" ht="15" hidden="1" customHeight="1">
      <c r="A2815" s="74"/>
    </row>
    <row r="2816" spans="1:1" ht="15" hidden="1" customHeight="1">
      <c r="A2816" s="74"/>
    </row>
    <row r="2817" spans="1:5" ht="15" hidden="1" customHeight="1">
      <c r="A2817" s="74"/>
    </row>
    <row r="2818" spans="1:5" ht="15" hidden="1" customHeight="1">
      <c r="A2818" s="74"/>
    </row>
    <row r="2819" spans="1:5" ht="15" hidden="1" customHeight="1">
      <c r="A2819" s="74"/>
    </row>
    <row r="2820" spans="1:5" ht="15" hidden="1" customHeight="1">
      <c r="A2820" s="74"/>
    </row>
    <row r="2821" spans="1:5" ht="15" hidden="1" customHeight="1">
      <c r="A2821" s="74"/>
    </row>
    <row r="2822" spans="1:5" ht="15" hidden="1" customHeight="1">
      <c r="A2822" s="74"/>
    </row>
    <row r="2823" spans="1:5" ht="15" hidden="1" customHeight="1">
      <c r="A2823" s="74"/>
    </row>
    <row r="2824" spans="1:5" ht="15" hidden="1" customHeight="1">
      <c r="A2824" s="74"/>
    </row>
    <row r="2825" spans="1:5" ht="15" hidden="1" customHeight="1">
      <c r="A2825" s="74"/>
    </row>
    <row r="2826" spans="1:5" ht="15" hidden="1" customHeight="1">
      <c r="A2826" s="74"/>
    </row>
    <row r="2827" spans="1:5" ht="15" hidden="1" customHeight="1">
      <c r="A2827" s="74"/>
    </row>
    <row r="2828" spans="1:5" ht="15" hidden="1" customHeight="1">
      <c r="A2828" s="74"/>
    </row>
    <row r="2829" spans="1:5" ht="15" hidden="1" customHeight="1">
      <c r="A2829" s="74"/>
    </row>
    <row r="2830" spans="1:5" ht="15" hidden="1" customHeight="1">
      <c r="A2830" s="74"/>
    </row>
    <row r="2831" spans="1:5" hidden="1">
      <c r="A2831" s="74"/>
      <c r="E2831" s="59"/>
    </row>
    <row r="2832" spans="1:5" hidden="1">
      <c r="A2832" s="74"/>
      <c r="E2832" s="59"/>
    </row>
    <row r="2833" spans="1:1" ht="15" hidden="1" customHeight="1">
      <c r="A2833" s="74"/>
    </row>
    <row r="2834" spans="1:1" ht="15" hidden="1" customHeight="1">
      <c r="A2834" s="74"/>
    </row>
    <row r="2835" spans="1:1" ht="15" hidden="1" customHeight="1">
      <c r="A2835" s="74"/>
    </row>
    <row r="2836" spans="1:1" ht="15" hidden="1" customHeight="1">
      <c r="A2836" s="74"/>
    </row>
    <row r="2837" spans="1:1" ht="15" hidden="1" customHeight="1">
      <c r="A2837" s="74"/>
    </row>
    <row r="2838" spans="1:1" ht="15" hidden="1" customHeight="1">
      <c r="A2838" s="74"/>
    </row>
    <row r="2839" spans="1:1" ht="15" hidden="1" customHeight="1">
      <c r="A2839" s="74"/>
    </row>
    <row r="2840" spans="1:1" ht="15" hidden="1" customHeight="1">
      <c r="A2840" s="74"/>
    </row>
    <row r="2841" spans="1:1" ht="15" hidden="1" customHeight="1">
      <c r="A2841" s="74"/>
    </row>
    <row r="2842" spans="1:1" ht="15" hidden="1" customHeight="1">
      <c r="A2842" s="74"/>
    </row>
    <row r="2843" spans="1:1" hidden="1">
      <c r="A2843" s="74"/>
    </row>
    <row r="2844" spans="1:1" ht="15" hidden="1" customHeight="1">
      <c r="A2844" s="74"/>
    </row>
    <row r="2845" spans="1:1" ht="15" hidden="1" customHeight="1">
      <c r="A2845" s="74"/>
    </row>
    <row r="2846" spans="1:1" ht="15" hidden="1" customHeight="1">
      <c r="A2846" s="74"/>
    </row>
    <row r="2847" spans="1:1" ht="15" hidden="1" customHeight="1">
      <c r="A2847" s="74"/>
    </row>
    <row r="2848" spans="1:1" ht="15" hidden="1" customHeight="1">
      <c r="A2848" s="74"/>
    </row>
    <row r="2849" spans="1:1" ht="15" hidden="1" customHeight="1">
      <c r="A2849" s="74"/>
    </row>
    <row r="2850" spans="1:1" ht="15" hidden="1" customHeight="1">
      <c r="A2850" s="74"/>
    </row>
    <row r="2851" spans="1:1" ht="15" hidden="1" customHeight="1">
      <c r="A2851" s="74"/>
    </row>
    <row r="2852" spans="1:1" ht="15" hidden="1" customHeight="1">
      <c r="A2852" s="74"/>
    </row>
    <row r="2853" spans="1:1" ht="15" hidden="1" customHeight="1">
      <c r="A2853" s="74"/>
    </row>
    <row r="2854" spans="1:1" ht="15" hidden="1" customHeight="1">
      <c r="A2854" s="74"/>
    </row>
    <row r="2855" spans="1:1" ht="15" hidden="1" customHeight="1">
      <c r="A2855" s="74"/>
    </row>
    <row r="2856" spans="1:1" ht="15" hidden="1" customHeight="1">
      <c r="A2856" s="74"/>
    </row>
    <row r="2857" spans="1:1" ht="15" hidden="1" customHeight="1">
      <c r="A2857" s="74"/>
    </row>
    <row r="2858" spans="1:1" ht="15" hidden="1" customHeight="1">
      <c r="A2858" s="74"/>
    </row>
    <row r="2859" spans="1:1" ht="15" hidden="1" customHeight="1">
      <c r="A2859" s="74"/>
    </row>
    <row r="2860" spans="1:1" ht="15" hidden="1" customHeight="1">
      <c r="A2860" s="74"/>
    </row>
    <row r="2861" spans="1:1" ht="15" hidden="1" customHeight="1">
      <c r="A2861" s="74"/>
    </row>
    <row r="2862" spans="1:1" ht="15" hidden="1" customHeight="1">
      <c r="A2862" s="74"/>
    </row>
    <row r="2863" spans="1:1" ht="15" hidden="1" customHeight="1">
      <c r="A2863" s="74"/>
    </row>
    <row r="2864" spans="1:1" ht="15" hidden="1" customHeight="1">
      <c r="A2864" s="74"/>
    </row>
    <row r="2865" spans="1:5" ht="15" hidden="1" customHeight="1">
      <c r="A2865" s="74"/>
    </row>
    <row r="2866" spans="1:5" ht="15" hidden="1" customHeight="1">
      <c r="A2866" s="74"/>
    </row>
    <row r="2867" spans="1:5" ht="15" hidden="1" customHeight="1">
      <c r="A2867" s="74"/>
    </row>
    <row r="2868" spans="1:5" ht="15" hidden="1" customHeight="1">
      <c r="A2868" s="74"/>
    </row>
    <row r="2869" spans="1:5" ht="15" hidden="1" customHeight="1">
      <c r="A2869" s="74"/>
    </row>
    <row r="2870" spans="1:5" ht="15" hidden="1" customHeight="1">
      <c r="A2870" s="74"/>
    </row>
    <row r="2871" spans="1:5" ht="15" hidden="1" customHeight="1">
      <c r="A2871" s="74"/>
    </row>
    <row r="2872" spans="1:5" ht="15" hidden="1" customHeight="1">
      <c r="A2872" s="74"/>
    </row>
    <row r="2873" spans="1:5" ht="15" hidden="1" customHeight="1">
      <c r="A2873" s="74"/>
    </row>
    <row r="2874" spans="1:5" ht="15" hidden="1" customHeight="1">
      <c r="A2874" s="74"/>
    </row>
    <row r="2875" spans="1:5" hidden="1">
      <c r="A2875" s="74"/>
      <c r="E2875" s="59"/>
    </row>
    <row r="2876" spans="1:5" ht="15" hidden="1" customHeight="1">
      <c r="A2876" s="74"/>
    </row>
    <row r="2877" spans="1:5" ht="15" hidden="1" customHeight="1">
      <c r="A2877" s="74"/>
    </row>
    <row r="2878" spans="1:5" ht="15" hidden="1" customHeight="1">
      <c r="A2878" s="74"/>
    </row>
    <row r="2879" spans="1:5" ht="15" hidden="1" customHeight="1">
      <c r="A2879" s="74"/>
    </row>
    <row r="2880" spans="1:5" ht="15" hidden="1" customHeight="1">
      <c r="A2880" s="74"/>
    </row>
    <row r="2881" spans="1:1" ht="15" hidden="1" customHeight="1">
      <c r="A2881" s="74"/>
    </row>
    <row r="2882" spans="1:1" ht="15" hidden="1" customHeight="1">
      <c r="A2882" s="74"/>
    </row>
    <row r="2883" spans="1:1" ht="15" hidden="1" customHeight="1">
      <c r="A2883" s="74"/>
    </row>
    <row r="2884" spans="1:1" ht="15" hidden="1" customHeight="1">
      <c r="A2884" s="74"/>
    </row>
    <row r="2885" spans="1:1" ht="15" hidden="1" customHeight="1">
      <c r="A2885" s="74"/>
    </row>
    <row r="2886" spans="1:1" ht="15" hidden="1" customHeight="1">
      <c r="A2886" s="74"/>
    </row>
    <row r="2887" spans="1:1" ht="15" hidden="1" customHeight="1">
      <c r="A2887" s="74"/>
    </row>
    <row r="2888" spans="1:1" ht="15" hidden="1" customHeight="1">
      <c r="A2888" s="74"/>
    </row>
    <row r="2889" spans="1:1" ht="15" hidden="1" customHeight="1">
      <c r="A2889" s="74"/>
    </row>
    <row r="2890" spans="1:1" ht="15" hidden="1" customHeight="1">
      <c r="A2890" s="74"/>
    </row>
    <row r="2891" spans="1:1" ht="15" hidden="1" customHeight="1">
      <c r="A2891" s="74"/>
    </row>
    <row r="2892" spans="1:1" ht="15" hidden="1" customHeight="1">
      <c r="A2892" s="74"/>
    </row>
    <row r="2893" spans="1:1" ht="15" hidden="1" customHeight="1">
      <c r="A2893" s="74"/>
    </row>
    <row r="2894" spans="1:1" hidden="1">
      <c r="A2894" s="74"/>
    </row>
    <row r="2895" spans="1:1" ht="15" hidden="1" customHeight="1">
      <c r="A2895" s="74"/>
    </row>
    <row r="2896" spans="1:1" ht="15" hidden="1" customHeight="1">
      <c r="A2896" s="74"/>
    </row>
    <row r="2897" spans="1:1" ht="15" hidden="1" customHeight="1">
      <c r="A2897" s="74"/>
    </row>
    <row r="2898" spans="1:1" ht="15" hidden="1" customHeight="1">
      <c r="A2898" s="74"/>
    </row>
    <row r="2899" spans="1:1" ht="15" hidden="1" customHeight="1">
      <c r="A2899" s="74"/>
    </row>
    <row r="2900" spans="1:1" ht="15" hidden="1" customHeight="1">
      <c r="A2900" s="74"/>
    </row>
    <row r="2901" spans="1:1" ht="15" hidden="1" customHeight="1">
      <c r="A2901" s="74"/>
    </row>
    <row r="2902" spans="1:1" ht="15" hidden="1" customHeight="1">
      <c r="A2902" s="74"/>
    </row>
    <row r="2903" spans="1:1" ht="15" hidden="1" customHeight="1">
      <c r="A2903" s="74"/>
    </row>
    <row r="2904" spans="1:1" ht="15" hidden="1" customHeight="1">
      <c r="A2904" s="74"/>
    </row>
    <row r="2905" spans="1:1" ht="15" hidden="1" customHeight="1">
      <c r="A2905" s="74"/>
    </row>
    <row r="2906" spans="1:1" ht="15" hidden="1" customHeight="1">
      <c r="A2906" s="74"/>
    </row>
    <row r="2907" spans="1:1" ht="15" hidden="1" customHeight="1">
      <c r="A2907" s="74"/>
    </row>
    <row r="2908" spans="1:1" ht="15" hidden="1" customHeight="1">
      <c r="A2908" s="74"/>
    </row>
    <row r="2909" spans="1:1" ht="15" hidden="1" customHeight="1">
      <c r="A2909" s="74"/>
    </row>
    <row r="2910" spans="1:1" ht="15" hidden="1" customHeight="1">
      <c r="A2910" s="74"/>
    </row>
    <row r="2911" spans="1:1" ht="15" hidden="1" customHeight="1">
      <c r="A2911" s="74"/>
    </row>
    <row r="2912" spans="1:1" ht="15" hidden="1" customHeight="1">
      <c r="A2912" s="74"/>
    </row>
    <row r="2913" spans="1:1" ht="15" hidden="1" customHeight="1">
      <c r="A2913" s="74"/>
    </row>
    <row r="2914" spans="1:1" ht="15" hidden="1" customHeight="1">
      <c r="A2914" s="74"/>
    </row>
    <row r="2915" spans="1:1" ht="15" hidden="1" customHeight="1">
      <c r="A2915" s="74"/>
    </row>
    <row r="2916" spans="1:1" ht="15" hidden="1" customHeight="1">
      <c r="A2916" s="74"/>
    </row>
    <row r="2917" spans="1:1" ht="15" hidden="1" customHeight="1">
      <c r="A2917" s="74"/>
    </row>
    <row r="2918" spans="1:1" ht="15" hidden="1" customHeight="1">
      <c r="A2918" s="74"/>
    </row>
    <row r="2919" spans="1:1" ht="15" hidden="1" customHeight="1">
      <c r="A2919" s="74"/>
    </row>
    <row r="2920" spans="1:1" ht="15" hidden="1" customHeight="1">
      <c r="A2920" s="74"/>
    </row>
    <row r="2921" spans="1:1" ht="15" hidden="1" customHeight="1">
      <c r="A2921" s="74"/>
    </row>
    <row r="2922" spans="1:1" ht="15" hidden="1" customHeight="1">
      <c r="A2922" s="74"/>
    </row>
    <row r="2923" spans="1:1" ht="15" hidden="1" customHeight="1">
      <c r="A2923" s="74"/>
    </row>
    <row r="2924" spans="1:1" ht="15" hidden="1" customHeight="1">
      <c r="A2924" s="74"/>
    </row>
    <row r="2925" spans="1:1" ht="15" hidden="1" customHeight="1">
      <c r="A2925" s="74"/>
    </row>
    <row r="2926" spans="1:1" ht="15" hidden="1" customHeight="1">
      <c r="A2926" s="74"/>
    </row>
    <row r="2927" spans="1:1" ht="15" hidden="1" customHeight="1">
      <c r="A2927" s="74"/>
    </row>
    <row r="2928" spans="1:1" ht="15" hidden="1" customHeight="1">
      <c r="A2928" s="74"/>
    </row>
    <row r="2929" spans="1:5" hidden="1">
      <c r="A2929" s="74"/>
      <c r="E2929" s="59"/>
    </row>
    <row r="2930" spans="1:5" ht="15" hidden="1" customHeight="1">
      <c r="A2930" s="74"/>
    </row>
    <row r="2931" spans="1:5" ht="15" hidden="1" customHeight="1">
      <c r="A2931" s="74"/>
    </row>
    <row r="2932" spans="1:5" ht="15" hidden="1" customHeight="1">
      <c r="A2932" s="74"/>
    </row>
    <row r="2933" spans="1:5" ht="15" hidden="1" customHeight="1">
      <c r="A2933" s="74"/>
    </row>
    <row r="2934" spans="1:5" ht="15" hidden="1" customHeight="1">
      <c r="A2934" s="74"/>
    </row>
    <row r="2935" spans="1:5" ht="15" hidden="1" customHeight="1">
      <c r="A2935" s="74"/>
    </row>
    <row r="2936" spans="1:5" ht="15" hidden="1" customHeight="1">
      <c r="A2936" s="74"/>
    </row>
    <row r="2937" spans="1:5" ht="15" hidden="1" customHeight="1">
      <c r="A2937" s="74"/>
    </row>
    <row r="2938" spans="1:5" ht="15" hidden="1" customHeight="1">
      <c r="A2938" s="74"/>
    </row>
    <row r="2939" spans="1:5" ht="15" hidden="1" customHeight="1">
      <c r="A2939" s="74"/>
    </row>
    <row r="2940" spans="1:5" ht="15" hidden="1" customHeight="1">
      <c r="A2940" s="74"/>
    </row>
    <row r="2941" spans="1:5" ht="15" hidden="1" customHeight="1">
      <c r="A2941" s="74"/>
    </row>
    <row r="2942" spans="1:5" ht="15" hidden="1" customHeight="1">
      <c r="A2942" s="74"/>
    </row>
    <row r="2943" spans="1:5" ht="15" hidden="1" customHeight="1">
      <c r="A2943" s="74"/>
    </row>
    <row r="2944" spans="1:5" ht="15" hidden="1" customHeight="1">
      <c r="A2944" s="74"/>
    </row>
    <row r="2945" spans="1:1" ht="15" hidden="1" customHeight="1">
      <c r="A2945" s="74"/>
    </row>
    <row r="2946" spans="1:1" ht="15" hidden="1" customHeight="1">
      <c r="A2946" s="74"/>
    </row>
    <row r="2947" spans="1:1" ht="15" hidden="1" customHeight="1">
      <c r="A2947" s="74"/>
    </row>
    <row r="2948" spans="1:1" ht="15" hidden="1" customHeight="1">
      <c r="A2948" s="74"/>
    </row>
    <row r="2949" spans="1:1" ht="15" hidden="1" customHeight="1">
      <c r="A2949" s="74"/>
    </row>
    <row r="2950" spans="1:1" ht="15" hidden="1" customHeight="1">
      <c r="A2950" s="74"/>
    </row>
    <row r="2951" spans="1:1" ht="15" hidden="1" customHeight="1">
      <c r="A2951" s="74"/>
    </row>
    <row r="2952" spans="1:1" ht="15" hidden="1" customHeight="1">
      <c r="A2952" s="74"/>
    </row>
    <row r="2953" spans="1:1" ht="15" hidden="1" customHeight="1">
      <c r="A2953" s="74"/>
    </row>
    <row r="2954" spans="1:1" ht="15" hidden="1" customHeight="1">
      <c r="A2954" s="74"/>
    </row>
    <row r="2955" spans="1:1" ht="15" hidden="1" customHeight="1">
      <c r="A2955" s="74"/>
    </row>
    <row r="2956" spans="1:1" ht="15" hidden="1" customHeight="1">
      <c r="A2956" s="74"/>
    </row>
    <row r="2957" spans="1:1" ht="15" hidden="1" customHeight="1">
      <c r="A2957" s="74"/>
    </row>
    <row r="2958" spans="1:1" ht="15" hidden="1" customHeight="1">
      <c r="A2958" s="74"/>
    </row>
    <row r="2959" spans="1:1" ht="15" hidden="1" customHeight="1">
      <c r="A2959" s="74"/>
    </row>
    <row r="2960" spans="1:1" ht="15" hidden="1" customHeight="1">
      <c r="A2960" s="74"/>
    </row>
    <row r="2961" spans="1:5" ht="15" hidden="1" customHeight="1">
      <c r="A2961" s="74"/>
    </row>
    <row r="2962" spans="1:5" ht="15" hidden="1" customHeight="1">
      <c r="A2962" s="74"/>
    </row>
    <row r="2963" spans="1:5" ht="15" hidden="1" customHeight="1">
      <c r="A2963" s="74"/>
    </row>
    <row r="2964" spans="1:5" ht="15" hidden="1" customHeight="1">
      <c r="A2964" s="74"/>
    </row>
    <row r="2965" spans="1:5" ht="15" hidden="1" customHeight="1">
      <c r="A2965" s="74"/>
    </row>
    <row r="2966" spans="1:5" ht="15" hidden="1" customHeight="1">
      <c r="A2966" s="74"/>
    </row>
    <row r="2967" spans="1:5" ht="15" hidden="1" customHeight="1">
      <c r="A2967" s="74"/>
    </row>
    <row r="2968" spans="1:5" ht="15" hidden="1" customHeight="1">
      <c r="A2968" s="74"/>
    </row>
    <row r="2969" spans="1:5" ht="15" hidden="1" customHeight="1">
      <c r="A2969" s="74"/>
    </row>
    <row r="2970" spans="1:5" ht="15" hidden="1" customHeight="1">
      <c r="A2970" s="74"/>
    </row>
    <row r="2971" spans="1:5" ht="15" hidden="1" customHeight="1">
      <c r="A2971" s="74"/>
    </row>
    <row r="2972" spans="1:5" ht="15" hidden="1" customHeight="1">
      <c r="A2972" s="74"/>
    </row>
    <row r="2973" spans="1:5" ht="15" hidden="1" customHeight="1">
      <c r="A2973" s="74"/>
    </row>
    <row r="2974" spans="1:5" ht="15" hidden="1" customHeight="1">
      <c r="A2974" s="74"/>
    </row>
    <row r="2975" spans="1:5" hidden="1">
      <c r="A2975" s="74"/>
      <c r="E2975" s="59"/>
    </row>
    <row r="2976" spans="1:5" ht="15" hidden="1" customHeight="1">
      <c r="A2976" s="74"/>
    </row>
    <row r="2977" spans="1:1" ht="15" hidden="1" customHeight="1">
      <c r="A2977" s="74"/>
    </row>
    <row r="2978" spans="1:1" ht="15" hidden="1" customHeight="1">
      <c r="A2978" s="74"/>
    </row>
    <row r="2979" spans="1:1" ht="15" hidden="1" customHeight="1">
      <c r="A2979" s="74"/>
    </row>
    <row r="2980" spans="1:1" ht="15" hidden="1" customHeight="1">
      <c r="A2980" s="74"/>
    </row>
    <row r="2981" spans="1:1" ht="15" hidden="1" customHeight="1">
      <c r="A2981" s="74"/>
    </row>
    <row r="2982" spans="1:1" ht="15" hidden="1" customHeight="1">
      <c r="A2982" s="74"/>
    </row>
    <row r="2983" spans="1:1" ht="15" hidden="1" customHeight="1">
      <c r="A2983" s="74"/>
    </row>
    <row r="2984" spans="1:1" ht="15" hidden="1" customHeight="1">
      <c r="A2984" s="74"/>
    </row>
    <row r="2985" spans="1:1" ht="15" hidden="1" customHeight="1">
      <c r="A2985" s="74"/>
    </row>
    <row r="2986" spans="1:1" ht="15" hidden="1" customHeight="1">
      <c r="A2986" s="74"/>
    </row>
    <row r="2987" spans="1:1" ht="15" hidden="1" customHeight="1">
      <c r="A2987" s="74"/>
    </row>
    <row r="2988" spans="1:1" ht="15" hidden="1" customHeight="1">
      <c r="A2988" s="74"/>
    </row>
    <row r="2989" spans="1:1" ht="15" hidden="1" customHeight="1">
      <c r="A2989" s="74"/>
    </row>
    <row r="2990" spans="1:1" ht="15" hidden="1" customHeight="1">
      <c r="A2990" s="74"/>
    </row>
    <row r="2991" spans="1:1" ht="15" hidden="1" customHeight="1">
      <c r="A2991" s="74"/>
    </row>
    <row r="2992" spans="1:1" ht="15" hidden="1" customHeight="1">
      <c r="A2992" s="74"/>
    </row>
    <row r="2993" spans="1:1" ht="15" hidden="1" customHeight="1">
      <c r="A2993" s="74"/>
    </row>
    <row r="2994" spans="1:1" ht="15" hidden="1" customHeight="1">
      <c r="A2994" s="74"/>
    </row>
    <row r="2995" spans="1:1" ht="15" hidden="1" customHeight="1">
      <c r="A2995" s="74"/>
    </row>
    <row r="2996" spans="1:1" ht="15" hidden="1" customHeight="1">
      <c r="A2996" s="74"/>
    </row>
    <row r="2997" spans="1:1" ht="15" hidden="1" customHeight="1">
      <c r="A2997" s="74"/>
    </row>
    <row r="2998" spans="1:1" ht="15" hidden="1" customHeight="1">
      <c r="A2998" s="74"/>
    </row>
    <row r="2999" spans="1:1" ht="15" hidden="1" customHeight="1">
      <c r="A2999" s="74"/>
    </row>
    <row r="3000" spans="1:1" ht="15" hidden="1" customHeight="1">
      <c r="A3000" s="74"/>
    </row>
    <row r="3001" spans="1:1" ht="15" hidden="1" customHeight="1">
      <c r="A3001" s="74"/>
    </row>
    <row r="3002" spans="1:1" ht="15" hidden="1" customHeight="1">
      <c r="A3002" s="74"/>
    </row>
    <row r="3003" spans="1:1" ht="15" hidden="1" customHeight="1">
      <c r="A3003" s="74"/>
    </row>
    <row r="3004" spans="1:1" ht="15" hidden="1" customHeight="1">
      <c r="A3004" s="74"/>
    </row>
    <row r="3005" spans="1:1" ht="15" hidden="1" customHeight="1">
      <c r="A3005" s="74"/>
    </row>
    <row r="3006" spans="1:1" ht="15" hidden="1" customHeight="1">
      <c r="A3006" s="74"/>
    </row>
    <row r="3007" spans="1:1" ht="15" hidden="1" customHeight="1">
      <c r="A3007" s="74"/>
    </row>
    <row r="3008" spans="1:1" ht="15" hidden="1" customHeight="1">
      <c r="A3008" s="74"/>
    </row>
    <row r="3009" spans="1:1" ht="15" hidden="1" customHeight="1">
      <c r="A3009" s="74"/>
    </row>
    <row r="3010" spans="1:1" ht="15" hidden="1" customHeight="1">
      <c r="A3010" s="74"/>
    </row>
    <row r="3011" spans="1:1" ht="15" hidden="1" customHeight="1">
      <c r="A3011" s="74"/>
    </row>
    <row r="3012" spans="1:1" ht="15" hidden="1" customHeight="1">
      <c r="A3012" s="74"/>
    </row>
    <row r="3013" spans="1:1" ht="15" hidden="1" customHeight="1">
      <c r="A3013" s="74"/>
    </row>
    <row r="3014" spans="1:1" ht="15" hidden="1" customHeight="1">
      <c r="A3014" s="74"/>
    </row>
    <row r="3015" spans="1:1" ht="15" hidden="1" customHeight="1">
      <c r="A3015" s="74"/>
    </row>
    <row r="3016" spans="1:1" ht="15" hidden="1" customHeight="1">
      <c r="A3016" s="74"/>
    </row>
    <row r="3017" spans="1:1" ht="15" hidden="1" customHeight="1">
      <c r="A3017" s="74"/>
    </row>
    <row r="3018" spans="1:1" ht="15" hidden="1" customHeight="1">
      <c r="A3018" s="74"/>
    </row>
    <row r="3019" spans="1:1" ht="15" hidden="1" customHeight="1">
      <c r="A3019" s="74"/>
    </row>
    <row r="3020" spans="1:1" ht="15" hidden="1" customHeight="1">
      <c r="A3020" s="74"/>
    </row>
    <row r="3021" spans="1:1" ht="15" hidden="1" customHeight="1">
      <c r="A3021" s="74"/>
    </row>
    <row r="3022" spans="1:1" ht="15" hidden="1" customHeight="1">
      <c r="A3022" s="74"/>
    </row>
    <row r="3023" spans="1:1" ht="15" hidden="1" customHeight="1">
      <c r="A3023" s="74"/>
    </row>
    <row r="3024" spans="1:1" ht="15" hidden="1" customHeight="1">
      <c r="A3024" s="74"/>
    </row>
    <row r="3025" spans="1:5" ht="15" hidden="1" customHeight="1">
      <c r="A3025" s="74"/>
    </row>
    <row r="3026" spans="1:5" ht="15" hidden="1" customHeight="1">
      <c r="A3026" s="74"/>
    </row>
    <row r="3027" spans="1:5" ht="15" hidden="1" customHeight="1">
      <c r="A3027" s="74"/>
    </row>
    <row r="3028" spans="1:5" ht="15" hidden="1" customHeight="1">
      <c r="A3028" s="74"/>
    </row>
    <row r="3029" spans="1:5" ht="15" hidden="1" customHeight="1">
      <c r="A3029" s="74"/>
    </row>
    <row r="3030" spans="1:5" ht="15" hidden="1" customHeight="1">
      <c r="A3030" s="74"/>
    </row>
    <row r="3031" spans="1:5" ht="15" hidden="1" customHeight="1">
      <c r="A3031" s="74"/>
    </row>
    <row r="3032" spans="1:5" ht="15" hidden="1" customHeight="1">
      <c r="A3032" s="74"/>
    </row>
    <row r="3033" spans="1:5" ht="15" hidden="1" customHeight="1">
      <c r="A3033" s="74"/>
    </row>
    <row r="3034" spans="1:5" ht="15" hidden="1" customHeight="1">
      <c r="A3034" s="74"/>
    </row>
    <row r="3035" spans="1:5" hidden="1">
      <c r="A3035" s="74"/>
      <c r="E3035" s="59"/>
    </row>
    <row r="3036" spans="1:5" ht="15" hidden="1" customHeight="1">
      <c r="A3036" s="74"/>
    </row>
    <row r="3037" spans="1:5" ht="15" hidden="1" customHeight="1">
      <c r="A3037" s="74"/>
    </row>
    <row r="3038" spans="1:5" ht="15" hidden="1" customHeight="1">
      <c r="A3038" s="74"/>
    </row>
    <row r="3039" spans="1:5" ht="15" hidden="1" customHeight="1">
      <c r="A3039" s="74"/>
    </row>
    <row r="3040" spans="1:5" ht="15" hidden="1" customHeight="1">
      <c r="A3040" s="74"/>
    </row>
    <row r="3041" spans="1:1" ht="15" hidden="1" customHeight="1">
      <c r="A3041" s="74"/>
    </row>
    <row r="3042" spans="1:1" ht="15" hidden="1" customHeight="1">
      <c r="A3042" s="74"/>
    </row>
    <row r="3043" spans="1:1" ht="15" hidden="1" customHeight="1">
      <c r="A3043" s="74"/>
    </row>
    <row r="3044" spans="1:1" ht="15" hidden="1" customHeight="1">
      <c r="A3044" s="74"/>
    </row>
    <row r="3045" spans="1:1" ht="15" hidden="1" customHeight="1">
      <c r="A3045" s="74"/>
    </row>
    <row r="3046" spans="1:1" ht="15" hidden="1" customHeight="1">
      <c r="A3046" s="74"/>
    </row>
    <row r="3047" spans="1:1" ht="15" hidden="1" customHeight="1">
      <c r="A3047" s="74"/>
    </row>
    <row r="3048" spans="1:1" ht="15" hidden="1" customHeight="1">
      <c r="A3048" s="74"/>
    </row>
    <row r="3049" spans="1:1" ht="15" hidden="1" customHeight="1">
      <c r="A3049" s="74"/>
    </row>
    <row r="3050" spans="1:1" ht="15" hidden="1" customHeight="1">
      <c r="A3050" s="74"/>
    </row>
    <row r="3051" spans="1:1" ht="15" hidden="1" customHeight="1">
      <c r="A3051" s="74"/>
    </row>
    <row r="3052" spans="1:1" ht="15" hidden="1" customHeight="1">
      <c r="A3052" s="74"/>
    </row>
    <row r="3053" spans="1:1" ht="15" hidden="1" customHeight="1">
      <c r="A3053" s="74"/>
    </row>
    <row r="3054" spans="1:1" ht="15" hidden="1" customHeight="1">
      <c r="A3054" s="74"/>
    </row>
    <row r="3055" spans="1:1" ht="15" hidden="1" customHeight="1">
      <c r="A3055" s="74"/>
    </row>
    <row r="3056" spans="1:1" ht="15" hidden="1" customHeight="1">
      <c r="A3056" s="74"/>
    </row>
    <row r="3057" spans="1:1" ht="15" hidden="1" customHeight="1">
      <c r="A3057" s="74"/>
    </row>
    <row r="3058" spans="1:1" ht="15" hidden="1" customHeight="1">
      <c r="A3058" s="74"/>
    </row>
    <row r="3059" spans="1:1" ht="15" hidden="1" customHeight="1">
      <c r="A3059" s="74"/>
    </row>
    <row r="3060" spans="1:1" ht="15" hidden="1" customHeight="1">
      <c r="A3060" s="74"/>
    </row>
    <row r="3061" spans="1:1" ht="15" hidden="1" customHeight="1">
      <c r="A3061" s="74"/>
    </row>
    <row r="3062" spans="1:1" ht="15" hidden="1" customHeight="1">
      <c r="A3062" s="74"/>
    </row>
    <row r="3063" spans="1:1" ht="15" hidden="1" customHeight="1">
      <c r="A3063" s="74"/>
    </row>
    <row r="3064" spans="1:1" ht="15" hidden="1" customHeight="1">
      <c r="A3064" s="74"/>
    </row>
    <row r="3065" spans="1:1" ht="15" hidden="1" customHeight="1">
      <c r="A3065" s="74"/>
    </row>
    <row r="3066" spans="1:1" ht="15" hidden="1" customHeight="1">
      <c r="A3066" s="74"/>
    </row>
    <row r="3067" spans="1:1" ht="15" hidden="1" customHeight="1">
      <c r="A3067" s="74"/>
    </row>
    <row r="3068" spans="1:1" ht="15" hidden="1" customHeight="1">
      <c r="A3068" s="74"/>
    </row>
    <row r="3069" spans="1:1" ht="15" hidden="1" customHeight="1">
      <c r="A3069" s="74"/>
    </row>
    <row r="3070" spans="1:1" ht="15" hidden="1" customHeight="1">
      <c r="A3070" s="74"/>
    </row>
    <row r="3071" spans="1:1" ht="15" hidden="1" customHeight="1">
      <c r="A3071" s="74"/>
    </row>
    <row r="3072" spans="1:1" ht="15" hidden="1" customHeight="1">
      <c r="A3072" s="74"/>
    </row>
    <row r="3073" spans="1:1" ht="15" hidden="1" customHeight="1">
      <c r="A3073" s="74"/>
    </row>
    <row r="3074" spans="1:1" ht="15" hidden="1" customHeight="1">
      <c r="A3074" s="74"/>
    </row>
    <row r="3075" spans="1:1" ht="15" hidden="1" customHeight="1">
      <c r="A3075" s="74"/>
    </row>
    <row r="3076" spans="1:1" ht="15" hidden="1" customHeight="1">
      <c r="A3076" s="74"/>
    </row>
    <row r="3077" spans="1:1" ht="15" hidden="1" customHeight="1">
      <c r="A3077" s="74"/>
    </row>
    <row r="3078" spans="1:1" ht="15" hidden="1" customHeight="1">
      <c r="A3078" s="74"/>
    </row>
    <row r="3079" spans="1:1" ht="15" hidden="1" customHeight="1">
      <c r="A3079" s="74"/>
    </row>
    <row r="3080" spans="1:1" ht="15" hidden="1" customHeight="1">
      <c r="A3080" s="74"/>
    </row>
    <row r="3081" spans="1:1" ht="15" hidden="1" customHeight="1">
      <c r="A3081" s="74"/>
    </row>
    <row r="3082" spans="1:1" ht="15" hidden="1" customHeight="1">
      <c r="A3082" s="74"/>
    </row>
    <row r="3083" spans="1:1" ht="15" hidden="1" customHeight="1">
      <c r="A3083" s="74"/>
    </row>
    <row r="3084" spans="1:1" ht="15" hidden="1" customHeight="1">
      <c r="A3084" s="74"/>
    </row>
    <row r="3085" spans="1:1" ht="15" hidden="1" customHeight="1">
      <c r="A3085" s="74"/>
    </row>
    <row r="3086" spans="1:1" ht="15" hidden="1" customHeight="1">
      <c r="A3086" s="74"/>
    </row>
    <row r="3087" spans="1:1" ht="15" hidden="1" customHeight="1">
      <c r="A3087" s="74"/>
    </row>
    <row r="3088" spans="1:1" ht="15" hidden="1" customHeight="1">
      <c r="A3088" s="74"/>
    </row>
    <row r="3089" spans="1:1" ht="15" hidden="1" customHeight="1">
      <c r="A3089" s="74"/>
    </row>
    <row r="3090" spans="1:1" ht="15" hidden="1" customHeight="1">
      <c r="A3090" s="74"/>
    </row>
    <row r="3091" spans="1:1" ht="15" hidden="1" customHeight="1">
      <c r="A3091" s="74"/>
    </row>
    <row r="3092" spans="1:1" ht="15" hidden="1" customHeight="1">
      <c r="A3092" s="74"/>
    </row>
    <row r="3093" spans="1:1" ht="15" hidden="1" customHeight="1">
      <c r="A3093" s="74"/>
    </row>
    <row r="3094" spans="1:1" ht="15" hidden="1" customHeight="1">
      <c r="A3094" s="74"/>
    </row>
    <row r="3095" spans="1:1" ht="15" hidden="1" customHeight="1">
      <c r="A3095" s="74"/>
    </row>
    <row r="3096" spans="1:1" ht="15" hidden="1" customHeight="1">
      <c r="A3096" s="74"/>
    </row>
    <row r="3097" spans="1:1" ht="15" hidden="1" customHeight="1">
      <c r="A3097" s="74"/>
    </row>
    <row r="3098" spans="1:1" ht="15" hidden="1" customHeight="1">
      <c r="A3098" s="74"/>
    </row>
    <row r="3099" spans="1:1" ht="15" hidden="1" customHeight="1">
      <c r="A3099" s="74"/>
    </row>
    <row r="3100" spans="1:1" ht="15" hidden="1" customHeight="1">
      <c r="A3100" s="74"/>
    </row>
    <row r="3101" spans="1:1" ht="15" hidden="1" customHeight="1">
      <c r="A3101" s="74"/>
    </row>
    <row r="3102" spans="1:1" ht="15" hidden="1" customHeight="1">
      <c r="A3102" s="74"/>
    </row>
    <row r="3103" spans="1:1" ht="15" hidden="1" customHeight="1">
      <c r="A3103" s="74"/>
    </row>
    <row r="3104" spans="1:1" ht="15" hidden="1" customHeight="1">
      <c r="A3104" s="74"/>
    </row>
    <row r="3105" spans="1:1" ht="15" hidden="1" customHeight="1">
      <c r="A3105" s="74"/>
    </row>
    <row r="3106" spans="1:1" ht="15" hidden="1" customHeight="1">
      <c r="A3106" s="74"/>
    </row>
    <row r="3107" spans="1:1" ht="15" hidden="1" customHeight="1">
      <c r="A3107" s="74"/>
    </row>
    <row r="3108" spans="1:1" ht="15" hidden="1" customHeight="1">
      <c r="A3108" s="74"/>
    </row>
    <row r="3109" spans="1:1" ht="15" hidden="1" customHeight="1">
      <c r="A3109" s="74"/>
    </row>
    <row r="3110" spans="1:1" ht="15" hidden="1" customHeight="1">
      <c r="A3110" s="74"/>
    </row>
    <row r="3111" spans="1:1" ht="15" hidden="1" customHeight="1">
      <c r="A3111" s="74"/>
    </row>
    <row r="3112" spans="1:1" ht="15" hidden="1" customHeight="1">
      <c r="A3112" s="74"/>
    </row>
    <row r="3113" spans="1:1" ht="15" hidden="1" customHeight="1">
      <c r="A3113" s="74"/>
    </row>
    <row r="3114" spans="1:1" ht="15" hidden="1" customHeight="1">
      <c r="A3114" s="74"/>
    </row>
    <row r="3115" spans="1:1" ht="15" hidden="1" customHeight="1">
      <c r="A3115" s="74"/>
    </row>
    <row r="3116" spans="1:1" ht="15" hidden="1" customHeight="1">
      <c r="A3116" s="74"/>
    </row>
    <row r="3117" spans="1:1" ht="15" hidden="1" customHeight="1">
      <c r="A3117" s="74"/>
    </row>
    <row r="3118" spans="1:1" ht="15" hidden="1" customHeight="1">
      <c r="A3118" s="74"/>
    </row>
    <row r="3119" spans="1:1" ht="15" hidden="1" customHeight="1">
      <c r="A3119" s="74"/>
    </row>
    <row r="3120" spans="1:1" ht="15" hidden="1" customHeight="1">
      <c r="A3120" s="74"/>
    </row>
    <row r="3121" spans="1:1" ht="15" hidden="1" customHeight="1">
      <c r="A3121" s="74"/>
    </row>
    <row r="3122" spans="1:1" ht="15" hidden="1" customHeight="1">
      <c r="A3122" s="74"/>
    </row>
    <row r="3123" spans="1:1" ht="15" hidden="1" customHeight="1">
      <c r="A3123" s="74"/>
    </row>
    <row r="3124" spans="1:1" ht="15" hidden="1" customHeight="1">
      <c r="A3124" s="74"/>
    </row>
    <row r="3125" spans="1:1" ht="15" hidden="1" customHeight="1">
      <c r="A3125" s="74"/>
    </row>
    <row r="3126" spans="1:1" hidden="1">
      <c r="A3126" s="74"/>
    </row>
    <row r="3127" spans="1:1" ht="15" hidden="1" customHeight="1">
      <c r="A3127" s="74"/>
    </row>
    <row r="3128" spans="1:1" ht="15" hidden="1" customHeight="1">
      <c r="A3128" s="74"/>
    </row>
    <row r="3129" spans="1:1" ht="15" hidden="1" customHeight="1">
      <c r="A3129" s="74"/>
    </row>
    <row r="3130" spans="1:1" ht="15" hidden="1" customHeight="1">
      <c r="A3130" s="74"/>
    </row>
    <row r="3131" spans="1:1" ht="15" hidden="1" customHeight="1">
      <c r="A3131" s="74"/>
    </row>
    <row r="3132" spans="1:1" ht="15" hidden="1" customHeight="1">
      <c r="A3132" s="74"/>
    </row>
    <row r="3133" spans="1:1" ht="15" hidden="1" customHeight="1">
      <c r="A3133" s="74"/>
    </row>
    <row r="3134" spans="1:1" ht="15" hidden="1" customHeight="1">
      <c r="A3134" s="74"/>
    </row>
    <row r="3135" spans="1:1" ht="15" hidden="1" customHeight="1">
      <c r="A3135" s="74"/>
    </row>
    <row r="3136" spans="1:1" ht="15" hidden="1" customHeight="1">
      <c r="A3136" s="74"/>
    </row>
    <row r="3137" spans="1:1" ht="15" hidden="1" customHeight="1">
      <c r="A3137" s="74"/>
    </row>
    <row r="3138" spans="1:1" ht="15" hidden="1" customHeight="1">
      <c r="A3138" s="74"/>
    </row>
    <row r="3139" spans="1:1" ht="15" hidden="1" customHeight="1">
      <c r="A3139" s="74"/>
    </row>
    <row r="3140" spans="1:1" ht="15" hidden="1" customHeight="1">
      <c r="A3140" s="74"/>
    </row>
    <row r="3141" spans="1:1" ht="15" hidden="1" customHeight="1">
      <c r="A3141" s="74"/>
    </row>
    <row r="3142" spans="1:1" ht="15" hidden="1" customHeight="1">
      <c r="A3142" s="74"/>
    </row>
    <row r="3143" spans="1:1" ht="15" hidden="1" customHeight="1">
      <c r="A3143" s="74"/>
    </row>
    <row r="3144" spans="1:1" ht="15" hidden="1" customHeight="1">
      <c r="A3144" s="74"/>
    </row>
    <row r="3145" spans="1:1" ht="15" hidden="1" customHeight="1">
      <c r="A3145" s="74"/>
    </row>
    <row r="3146" spans="1:1" ht="15" hidden="1" customHeight="1">
      <c r="A3146" s="74"/>
    </row>
    <row r="3147" spans="1:1" ht="15" hidden="1" customHeight="1">
      <c r="A3147" s="74"/>
    </row>
    <row r="3148" spans="1:1" ht="15" hidden="1" customHeight="1">
      <c r="A3148" s="74"/>
    </row>
    <row r="3149" spans="1:1" ht="15" hidden="1" customHeight="1">
      <c r="A3149" s="74"/>
    </row>
    <row r="3150" spans="1:1" ht="15" hidden="1" customHeight="1">
      <c r="A3150" s="74"/>
    </row>
    <row r="3151" spans="1:1" ht="15" hidden="1" customHeight="1">
      <c r="A3151" s="74"/>
    </row>
    <row r="3152" spans="1:1" ht="15" hidden="1" customHeight="1">
      <c r="A3152" s="74"/>
    </row>
    <row r="3153" spans="1:1" ht="15" hidden="1" customHeight="1">
      <c r="A3153" s="74"/>
    </row>
    <row r="3154" spans="1:1" ht="15" hidden="1" customHeight="1">
      <c r="A3154" s="74"/>
    </row>
    <row r="3155" spans="1:1" ht="15" hidden="1" customHeight="1">
      <c r="A3155" s="74"/>
    </row>
    <row r="3156" spans="1:1" ht="15" hidden="1" customHeight="1">
      <c r="A3156" s="74"/>
    </row>
    <row r="3157" spans="1:1" ht="15" hidden="1" customHeight="1">
      <c r="A3157" s="74"/>
    </row>
    <row r="3158" spans="1:1" ht="15" hidden="1" customHeight="1">
      <c r="A3158" s="74"/>
    </row>
    <row r="3159" spans="1:1" ht="15" hidden="1" customHeight="1">
      <c r="A3159" s="74"/>
    </row>
    <row r="3160" spans="1:1" ht="15" hidden="1" customHeight="1">
      <c r="A3160" s="74"/>
    </row>
    <row r="3161" spans="1:1" ht="15" hidden="1" customHeight="1">
      <c r="A3161" s="74"/>
    </row>
    <row r="3162" spans="1:1" ht="15" hidden="1" customHeight="1">
      <c r="A3162" s="74"/>
    </row>
    <row r="3163" spans="1:1" ht="15" hidden="1" customHeight="1">
      <c r="A3163" s="74"/>
    </row>
    <row r="3164" spans="1:1" ht="15" hidden="1" customHeight="1">
      <c r="A3164" s="74"/>
    </row>
    <row r="3165" spans="1:1" ht="15" hidden="1" customHeight="1">
      <c r="A3165" s="74"/>
    </row>
    <row r="3166" spans="1:1" ht="15" hidden="1" customHeight="1">
      <c r="A3166" s="74"/>
    </row>
    <row r="3167" spans="1:1" ht="15" hidden="1" customHeight="1">
      <c r="A3167" s="74"/>
    </row>
    <row r="3168" spans="1:1" ht="15" hidden="1" customHeight="1">
      <c r="A3168" s="74"/>
    </row>
    <row r="3169" spans="1:1" ht="15" hidden="1" customHeight="1">
      <c r="A3169" s="74"/>
    </row>
    <row r="3170" spans="1:1" hidden="1">
      <c r="A3170" s="74"/>
    </row>
    <row r="3171" spans="1:1" ht="15" hidden="1" customHeight="1">
      <c r="A3171" s="74"/>
    </row>
    <row r="3172" spans="1:1" ht="15" hidden="1" customHeight="1">
      <c r="A3172" s="74"/>
    </row>
    <row r="3173" spans="1:1" ht="15" hidden="1" customHeight="1">
      <c r="A3173" s="74"/>
    </row>
    <row r="3174" spans="1:1" ht="15" hidden="1" customHeight="1">
      <c r="A3174" s="74"/>
    </row>
    <row r="3175" spans="1:1" ht="15" hidden="1" customHeight="1">
      <c r="A3175" s="74"/>
    </row>
    <row r="3176" spans="1:1" ht="15" hidden="1" customHeight="1">
      <c r="A3176" s="74"/>
    </row>
    <row r="3177" spans="1:1" ht="15" hidden="1" customHeight="1">
      <c r="A3177" s="74"/>
    </row>
    <row r="3178" spans="1:1" ht="15" hidden="1" customHeight="1">
      <c r="A3178" s="74"/>
    </row>
    <row r="3179" spans="1:1" ht="15" hidden="1" customHeight="1">
      <c r="A3179" s="74"/>
    </row>
    <row r="3180" spans="1:1" ht="15" hidden="1" customHeight="1">
      <c r="A3180" s="74"/>
    </row>
    <row r="3181" spans="1:1" ht="15" hidden="1" customHeight="1">
      <c r="A3181" s="74"/>
    </row>
    <row r="3182" spans="1:1" ht="15" hidden="1" customHeight="1">
      <c r="A3182" s="74"/>
    </row>
    <row r="3183" spans="1:1" ht="15" hidden="1" customHeight="1">
      <c r="A3183" s="74"/>
    </row>
    <row r="3184" spans="1:1" ht="15" hidden="1" customHeight="1">
      <c r="A3184" s="74"/>
    </row>
    <row r="3185" spans="1:1" ht="15" hidden="1" customHeight="1">
      <c r="A3185" s="74"/>
    </row>
    <row r="3186" spans="1:1" ht="15" hidden="1" customHeight="1">
      <c r="A3186" s="74"/>
    </row>
    <row r="3187" spans="1:1" ht="15" hidden="1" customHeight="1">
      <c r="A3187" s="74"/>
    </row>
    <row r="3188" spans="1:1" ht="15" hidden="1" customHeight="1">
      <c r="A3188" s="74"/>
    </row>
    <row r="3189" spans="1:1" ht="15" hidden="1" customHeight="1">
      <c r="A3189" s="74"/>
    </row>
    <row r="3190" spans="1:1" ht="15" hidden="1" customHeight="1">
      <c r="A3190" s="74"/>
    </row>
    <row r="3191" spans="1:1" ht="15" hidden="1" customHeight="1">
      <c r="A3191" s="74"/>
    </row>
    <row r="3192" spans="1:1" ht="15" hidden="1" customHeight="1">
      <c r="A3192" s="74"/>
    </row>
    <row r="3193" spans="1:1" ht="15" hidden="1" customHeight="1">
      <c r="A3193" s="74"/>
    </row>
    <row r="3194" spans="1:1" ht="15" hidden="1" customHeight="1">
      <c r="A3194" s="74"/>
    </row>
    <row r="3195" spans="1:1" ht="15" hidden="1" customHeight="1">
      <c r="A3195" s="74"/>
    </row>
    <row r="3196" spans="1:1" ht="15" hidden="1" customHeight="1">
      <c r="A3196" s="74"/>
    </row>
    <row r="3197" spans="1:1" ht="15" hidden="1" customHeight="1">
      <c r="A3197" s="74"/>
    </row>
    <row r="3198" spans="1:1" ht="15" hidden="1" customHeight="1">
      <c r="A3198" s="74"/>
    </row>
    <row r="3199" spans="1:1" ht="15" hidden="1" customHeight="1">
      <c r="A3199" s="74"/>
    </row>
    <row r="3200" spans="1:1" ht="15" hidden="1" customHeight="1">
      <c r="A3200" s="74"/>
    </row>
    <row r="3201" spans="1:1" ht="15" hidden="1" customHeight="1">
      <c r="A3201" s="74"/>
    </row>
    <row r="3202" spans="1:1" ht="15" hidden="1" customHeight="1">
      <c r="A3202" s="74"/>
    </row>
    <row r="3203" spans="1:1" ht="15" hidden="1" customHeight="1">
      <c r="A3203" s="74"/>
    </row>
    <row r="3204" spans="1:1" ht="15" hidden="1" customHeight="1">
      <c r="A3204" s="74"/>
    </row>
    <row r="3205" spans="1:1" ht="15" hidden="1" customHeight="1">
      <c r="A3205" s="74"/>
    </row>
    <row r="3206" spans="1:1" ht="15" hidden="1" customHeight="1">
      <c r="A3206" s="74"/>
    </row>
    <row r="3207" spans="1:1" ht="15" hidden="1" customHeight="1">
      <c r="A3207" s="74"/>
    </row>
    <row r="3208" spans="1:1" ht="15" hidden="1" customHeight="1">
      <c r="A3208" s="74"/>
    </row>
    <row r="3209" spans="1:1" ht="15" hidden="1" customHeight="1">
      <c r="A3209" s="74"/>
    </row>
    <row r="3210" spans="1:1" ht="15" hidden="1" customHeight="1">
      <c r="A3210" s="74"/>
    </row>
    <row r="3211" spans="1:1" ht="15" hidden="1" customHeight="1">
      <c r="A3211" s="74"/>
    </row>
    <row r="3212" spans="1:1" ht="15" hidden="1" customHeight="1">
      <c r="A3212" s="74"/>
    </row>
    <row r="3213" spans="1:1" ht="15" hidden="1" customHeight="1">
      <c r="A3213" s="74"/>
    </row>
    <row r="3214" spans="1:1" ht="15" hidden="1" customHeight="1">
      <c r="A3214" s="74"/>
    </row>
    <row r="3215" spans="1:1" ht="15" hidden="1" customHeight="1">
      <c r="A3215" s="74"/>
    </row>
    <row r="3216" spans="1:1" ht="15" hidden="1" customHeight="1">
      <c r="A3216" s="74"/>
    </row>
    <row r="3217" spans="1:1" ht="15" hidden="1" customHeight="1">
      <c r="A3217" s="74"/>
    </row>
    <row r="3218" spans="1:1" ht="15" hidden="1" customHeight="1">
      <c r="A3218" s="74"/>
    </row>
    <row r="3219" spans="1:1" ht="15" hidden="1" customHeight="1">
      <c r="A3219" s="74"/>
    </row>
    <row r="3220" spans="1:1" ht="15" hidden="1" customHeight="1">
      <c r="A3220" s="74"/>
    </row>
    <row r="3221" spans="1:1" ht="15" hidden="1" customHeight="1">
      <c r="A3221" s="74"/>
    </row>
    <row r="3222" spans="1:1" ht="15" hidden="1" customHeight="1">
      <c r="A3222" s="74"/>
    </row>
    <row r="3223" spans="1:1" ht="15" hidden="1" customHeight="1">
      <c r="A3223" s="74"/>
    </row>
    <row r="3224" spans="1:1" ht="15" hidden="1" customHeight="1">
      <c r="A3224" s="74"/>
    </row>
    <row r="3225" spans="1:1" ht="15" hidden="1" customHeight="1">
      <c r="A3225" s="74"/>
    </row>
    <row r="3226" spans="1:1" ht="15" hidden="1" customHeight="1">
      <c r="A3226" s="74"/>
    </row>
    <row r="3227" spans="1:1" ht="15" hidden="1" customHeight="1">
      <c r="A3227" s="74"/>
    </row>
    <row r="3228" spans="1:1" ht="15" hidden="1" customHeight="1">
      <c r="A3228" s="74"/>
    </row>
    <row r="3229" spans="1:1" ht="15" hidden="1" customHeight="1">
      <c r="A3229" s="74"/>
    </row>
    <row r="3230" spans="1:1" hidden="1">
      <c r="A3230" s="74"/>
    </row>
    <row r="3231" spans="1:1" ht="15" hidden="1" customHeight="1">
      <c r="A3231" s="74"/>
    </row>
    <row r="3232" spans="1:1" ht="15" hidden="1" customHeight="1">
      <c r="A3232" s="74"/>
    </row>
    <row r="3233" spans="1:5" ht="15" hidden="1" customHeight="1">
      <c r="A3233" s="74"/>
    </row>
    <row r="3234" spans="1:5" ht="15" hidden="1" customHeight="1">
      <c r="A3234" s="74"/>
    </row>
    <row r="3235" spans="1:5" ht="15" hidden="1" customHeight="1">
      <c r="A3235" s="74"/>
    </row>
    <row r="3236" spans="1:5" ht="15" hidden="1" customHeight="1">
      <c r="A3236" s="74"/>
    </row>
    <row r="3237" spans="1:5" ht="15" hidden="1" customHeight="1">
      <c r="A3237" s="74"/>
    </row>
    <row r="3238" spans="1:5" ht="15" hidden="1" customHeight="1">
      <c r="A3238" s="74"/>
    </row>
    <row r="3239" spans="1:5" ht="15" hidden="1" customHeight="1">
      <c r="A3239" s="74"/>
    </row>
    <row r="3240" spans="1:5" ht="15" hidden="1" customHeight="1">
      <c r="A3240" s="74"/>
    </row>
    <row r="3241" spans="1:5" ht="15" hidden="1" customHeight="1">
      <c r="A3241" s="74"/>
    </row>
    <row r="3242" spans="1:5" ht="15" hidden="1" customHeight="1">
      <c r="A3242" s="74"/>
    </row>
    <row r="3243" spans="1:5" ht="15" hidden="1" customHeight="1">
      <c r="A3243" s="74"/>
    </row>
    <row r="3244" spans="1:5" hidden="1">
      <c r="A3244" s="74"/>
      <c r="E3244" s="59"/>
    </row>
    <row r="3245" spans="1:5" ht="15" hidden="1" customHeight="1">
      <c r="A3245" s="74"/>
    </row>
    <row r="3246" spans="1:5" ht="15" hidden="1" customHeight="1">
      <c r="A3246" s="74"/>
    </row>
    <row r="3247" spans="1:5" ht="15" hidden="1" customHeight="1">
      <c r="A3247" s="74"/>
    </row>
    <row r="3248" spans="1:5" ht="15" hidden="1" customHeight="1">
      <c r="A3248" s="74"/>
    </row>
    <row r="3249" spans="1:1" ht="15" hidden="1" customHeight="1">
      <c r="A3249" s="74"/>
    </row>
    <row r="3250" spans="1:1" ht="15" hidden="1" customHeight="1">
      <c r="A3250" s="74"/>
    </row>
    <row r="3251" spans="1:1" ht="15" hidden="1" customHeight="1">
      <c r="A3251" s="74"/>
    </row>
    <row r="3252" spans="1:1" ht="15" hidden="1" customHeight="1">
      <c r="A3252" s="74"/>
    </row>
    <row r="3253" spans="1:1" ht="15" hidden="1" customHeight="1">
      <c r="A3253" s="74"/>
    </row>
    <row r="3254" spans="1:1" ht="15" hidden="1" customHeight="1">
      <c r="A3254" s="74"/>
    </row>
    <row r="3255" spans="1:1" ht="15" hidden="1" customHeight="1">
      <c r="A3255" s="74"/>
    </row>
    <row r="3256" spans="1:1" ht="15" hidden="1" customHeight="1">
      <c r="A3256" s="74"/>
    </row>
    <row r="3257" spans="1:1" ht="15" hidden="1" customHeight="1">
      <c r="A3257" s="74"/>
    </row>
    <row r="3258" spans="1:1" ht="15" hidden="1" customHeight="1">
      <c r="A3258" s="74"/>
    </row>
    <row r="3259" spans="1:1" ht="15" hidden="1" customHeight="1">
      <c r="A3259" s="74"/>
    </row>
    <row r="3260" spans="1:1" ht="15" hidden="1" customHeight="1">
      <c r="A3260" s="74"/>
    </row>
    <row r="3261" spans="1:1" ht="15" hidden="1" customHeight="1">
      <c r="A3261" s="74"/>
    </row>
    <row r="3262" spans="1:1" ht="15" hidden="1" customHeight="1">
      <c r="A3262" s="74"/>
    </row>
    <row r="3263" spans="1:1" ht="15" hidden="1" customHeight="1">
      <c r="A3263" s="74"/>
    </row>
    <row r="3264" spans="1:1" ht="15" hidden="1" customHeight="1">
      <c r="A3264" s="74"/>
    </row>
    <row r="3265" spans="1:1" ht="15" hidden="1" customHeight="1">
      <c r="A3265" s="74"/>
    </row>
    <row r="3266" spans="1:1" ht="15" hidden="1" customHeight="1">
      <c r="A3266" s="74"/>
    </row>
    <row r="3267" spans="1:1" ht="15" hidden="1" customHeight="1">
      <c r="A3267" s="74"/>
    </row>
    <row r="3268" spans="1:1" ht="15" hidden="1" customHeight="1">
      <c r="A3268" s="74"/>
    </row>
    <row r="3269" spans="1:1" ht="15" hidden="1" customHeight="1">
      <c r="A3269" s="74"/>
    </row>
    <row r="3270" spans="1:1" ht="15" hidden="1" customHeight="1">
      <c r="A3270" s="74"/>
    </row>
    <row r="3271" spans="1:1" ht="15" hidden="1" customHeight="1">
      <c r="A3271" s="74"/>
    </row>
    <row r="3272" spans="1:1" ht="15" hidden="1" customHeight="1">
      <c r="A3272" s="74"/>
    </row>
    <row r="3273" spans="1:1" ht="15" hidden="1" customHeight="1">
      <c r="A3273" s="74"/>
    </row>
    <row r="3274" spans="1:1" ht="15" hidden="1" customHeight="1">
      <c r="A3274" s="74"/>
    </row>
    <row r="3275" spans="1:1" ht="15" hidden="1" customHeight="1">
      <c r="A3275" s="74"/>
    </row>
    <row r="3276" spans="1:1" ht="15" hidden="1" customHeight="1">
      <c r="A3276" s="74"/>
    </row>
    <row r="3277" spans="1:1" ht="15" hidden="1" customHeight="1">
      <c r="A3277" s="74"/>
    </row>
    <row r="3278" spans="1:1" ht="15" hidden="1" customHeight="1">
      <c r="A3278" s="74"/>
    </row>
    <row r="3279" spans="1:1" ht="15" hidden="1" customHeight="1">
      <c r="A3279" s="74"/>
    </row>
    <row r="3280" spans="1:1" ht="15" hidden="1" customHeight="1">
      <c r="A3280" s="74"/>
    </row>
    <row r="3281" spans="1:5" hidden="1">
      <c r="A3281" s="74"/>
      <c r="E3281" s="59"/>
    </row>
    <row r="3282" spans="1:5" ht="15" hidden="1" customHeight="1">
      <c r="A3282" s="74"/>
    </row>
    <row r="3283" spans="1:5" ht="15" hidden="1" customHeight="1">
      <c r="A3283" s="74"/>
    </row>
    <row r="3284" spans="1:5" ht="15" hidden="1" customHeight="1">
      <c r="A3284" s="74"/>
    </row>
    <row r="3285" spans="1:5" ht="15" hidden="1" customHeight="1">
      <c r="A3285" s="74"/>
    </row>
    <row r="3286" spans="1:5" ht="15" hidden="1" customHeight="1">
      <c r="A3286" s="74"/>
    </row>
    <row r="3287" spans="1:5" ht="15" hidden="1" customHeight="1">
      <c r="A3287" s="74"/>
    </row>
    <row r="3288" spans="1:5" ht="15" hidden="1" customHeight="1">
      <c r="A3288" s="74"/>
    </row>
    <row r="3289" spans="1:5" ht="15" hidden="1" customHeight="1">
      <c r="A3289" s="74"/>
    </row>
    <row r="3290" spans="1:5" ht="15" hidden="1" customHeight="1">
      <c r="A3290" s="74"/>
    </row>
    <row r="3291" spans="1:5" ht="15" hidden="1" customHeight="1">
      <c r="A3291" s="74"/>
    </row>
    <row r="3292" spans="1:5" ht="15" hidden="1" customHeight="1">
      <c r="A3292" s="74"/>
    </row>
    <row r="3293" spans="1:5" ht="15" hidden="1" customHeight="1">
      <c r="A3293" s="74"/>
    </row>
    <row r="3294" spans="1:5" ht="15" hidden="1" customHeight="1">
      <c r="A3294" s="74"/>
    </row>
    <row r="3295" spans="1:5" ht="15" hidden="1" customHeight="1">
      <c r="A3295" s="74"/>
    </row>
    <row r="3296" spans="1:5" ht="15" hidden="1" customHeight="1">
      <c r="A3296" s="74"/>
    </row>
    <row r="3297" spans="1:1" ht="15" hidden="1" customHeight="1">
      <c r="A3297" s="74"/>
    </row>
    <row r="3298" spans="1:1" ht="15" hidden="1" customHeight="1">
      <c r="A3298" s="74"/>
    </row>
    <row r="3299" spans="1:1" ht="15" hidden="1" customHeight="1">
      <c r="A3299" s="74"/>
    </row>
    <row r="3300" spans="1:1" ht="15" hidden="1" customHeight="1">
      <c r="A3300" s="74"/>
    </row>
    <row r="3301" spans="1:1" ht="15" hidden="1" customHeight="1">
      <c r="A3301" s="74"/>
    </row>
    <row r="3302" spans="1:1" ht="15" hidden="1" customHeight="1">
      <c r="A3302" s="74"/>
    </row>
    <row r="3303" spans="1:1" ht="15" hidden="1" customHeight="1">
      <c r="A3303" s="74"/>
    </row>
    <row r="3304" spans="1:1" ht="15" hidden="1" customHeight="1">
      <c r="A3304" s="74"/>
    </row>
    <row r="3305" spans="1:1" ht="15" hidden="1" customHeight="1">
      <c r="A3305" s="74"/>
    </row>
    <row r="3306" spans="1:1" ht="15" hidden="1" customHeight="1">
      <c r="A3306" s="74"/>
    </row>
    <row r="3307" spans="1:1" ht="15" hidden="1" customHeight="1">
      <c r="A3307" s="74"/>
    </row>
    <row r="3308" spans="1:1" ht="15" hidden="1" customHeight="1">
      <c r="A3308" s="74"/>
    </row>
    <row r="3309" spans="1:1" ht="15" hidden="1" customHeight="1">
      <c r="A3309" s="74"/>
    </row>
    <row r="3310" spans="1:1" ht="15" hidden="1" customHeight="1">
      <c r="A3310" s="74"/>
    </row>
    <row r="3311" spans="1:1" ht="15" hidden="1" customHeight="1">
      <c r="A3311" s="74"/>
    </row>
    <row r="3312" spans="1:1" ht="15" hidden="1" customHeight="1">
      <c r="A3312" s="74"/>
    </row>
    <row r="3313" spans="1:1" ht="15" hidden="1" customHeight="1">
      <c r="A3313" s="74"/>
    </row>
    <row r="3314" spans="1:1" ht="15" hidden="1" customHeight="1">
      <c r="A3314" s="74"/>
    </row>
    <row r="3315" spans="1:1" ht="15" hidden="1" customHeight="1">
      <c r="A3315" s="74"/>
    </row>
    <row r="3316" spans="1:1" ht="15" hidden="1" customHeight="1">
      <c r="A3316" s="74"/>
    </row>
    <row r="3317" spans="1:1" ht="15" hidden="1" customHeight="1">
      <c r="A3317" s="74"/>
    </row>
    <row r="3318" spans="1:1" ht="15" hidden="1" customHeight="1">
      <c r="A3318" s="74"/>
    </row>
    <row r="3319" spans="1:1" ht="15" hidden="1" customHeight="1">
      <c r="A3319" s="74"/>
    </row>
    <row r="3320" spans="1:1" ht="15" hidden="1" customHeight="1">
      <c r="A3320" s="74"/>
    </row>
    <row r="3321" spans="1:1" ht="15" hidden="1" customHeight="1">
      <c r="A3321" s="74"/>
    </row>
    <row r="3322" spans="1:1" ht="15" hidden="1" customHeight="1">
      <c r="A3322" s="74"/>
    </row>
    <row r="3323" spans="1:1" ht="15" hidden="1" customHeight="1">
      <c r="A3323" s="74"/>
    </row>
    <row r="3324" spans="1:1" ht="15" hidden="1" customHeight="1">
      <c r="A3324" s="74"/>
    </row>
    <row r="3325" spans="1:1" ht="15" hidden="1" customHeight="1">
      <c r="A3325" s="74"/>
    </row>
    <row r="3326" spans="1:1" ht="15" hidden="1" customHeight="1">
      <c r="A3326" s="74"/>
    </row>
    <row r="3327" spans="1:1" ht="15" hidden="1" customHeight="1">
      <c r="A3327" s="74"/>
    </row>
    <row r="3328" spans="1:1" ht="15" hidden="1" customHeight="1">
      <c r="A3328" s="74"/>
    </row>
    <row r="3329" spans="1:5" ht="15" hidden="1" customHeight="1">
      <c r="A3329" s="74"/>
    </row>
    <row r="3330" spans="1:5" ht="15" hidden="1" customHeight="1">
      <c r="A3330" s="74"/>
    </row>
    <row r="3331" spans="1:5" ht="15" hidden="1" customHeight="1">
      <c r="A3331" s="74"/>
    </row>
    <row r="3332" spans="1:5" ht="15" hidden="1" customHeight="1">
      <c r="A3332" s="74"/>
    </row>
    <row r="3333" spans="1:5" ht="15" hidden="1" customHeight="1">
      <c r="A3333" s="74"/>
    </row>
    <row r="3334" spans="1:5" ht="15" hidden="1" customHeight="1">
      <c r="A3334" s="74"/>
    </row>
    <row r="3335" spans="1:5" ht="15" hidden="1" customHeight="1">
      <c r="A3335" s="74"/>
    </row>
    <row r="3336" spans="1:5" ht="15" hidden="1" customHeight="1">
      <c r="A3336" s="74"/>
    </row>
    <row r="3337" spans="1:5" ht="15" hidden="1" customHeight="1">
      <c r="A3337" s="74"/>
    </row>
    <row r="3338" spans="1:5" ht="15" hidden="1" customHeight="1">
      <c r="A3338" s="74"/>
    </row>
    <row r="3339" spans="1:5" ht="15" hidden="1" customHeight="1">
      <c r="A3339" s="74"/>
    </row>
    <row r="3340" spans="1:5" ht="15" hidden="1" customHeight="1">
      <c r="A3340" s="74"/>
    </row>
    <row r="3341" spans="1:5" ht="15" hidden="1" customHeight="1">
      <c r="A3341" s="74"/>
      <c r="E3341" s="59"/>
    </row>
    <row r="3342" spans="1:5" ht="15" hidden="1" customHeight="1">
      <c r="A3342" s="74"/>
    </row>
    <row r="3343" spans="1:5" ht="15" hidden="1" customHeight="1">
      <c r="A3343" s="74"/>
    </row>
    <row r="3344" spans="1:5" ht="15" hidden="1" customHeight="1">
      <c r="A3344" s="74"/>
    </row>
    <row r="3345" spans="1:1" ht="15" hidden="1" customHeight="1">
      <c r="A3345" s="74"/>
    </row>
    <row r="3346" spans="1:1" ht="15" hidden="1" customHeight="1">
      <c r="A3346" s="74"/>
    </row>
    <row r="3347" spans="1:1" ht="15" hidden="1" customHeight="1">
      <c r="A3347" s="74"/>
    </row>
    <row r="3348" spans="1:1" ht="15" hidden="1" customHeight="1">
      <c r="A3348" s="74"/>
    </row>
    <row r="3349" spans="1:1" ht="15" hidden="1" customHeight="1">
      <c r="A3349" s="74"/>
    </row>
    <row r="3350" spans="1:1" ht="15" hidden="1" customHeight="1">
      <c r="A3350" s="74"/>
    </row>
    <row r="3351" spans="1:1" ht="15" hidden="1" customHeight="1">
      <c r="A3351" s="74"/>
    </row>
    <row r="3352" spans="1:1" ht="15" hidden="1" customHeight="1">
      <c r="A3352" s="74"/>
    </row>
    <row r="3353" spans="1:1" ht="15" hidden="1" customHeight="1">
      <c r="A3353" s="74"/>
    </row>
    <row r="3354" spans="1:1" ht="15" hidden="1" customHeight="1">
      <c r="A3354" s="74"/>
    </row>
    <row r="3355" spans="1:1" ht="15" hidden="1" customHeight="1">
      <c r="A3355" s="74"/>
    </row>
    <row r="3356" spans="1:1" ht="15" hidden="1" customHeight="1">
      <c r="A3356" s="74"/>
    </row>
    <row r="3357" spans="1:1" ht="15" hidden="1" customHeight="1">
      <c r="A3357" s="74"/>
    </row>
    <row r="3358" spans="1:1" ht="15" hidden="1" customHeight="1">
      <c r="A3358" s="74"/>
    </row>
    <row r="3359" spans="1:1" ht="15" hidden="1" customHeight="1">
      <c r="A3359" s="74"/>
    </row>
    <row r="3360" spans="1:1" ht="15" hidden="1" customHeight="1">
      <c r="A3360" s="74"/>
    </row>
    <row r="3361" spans="1:1" ht="15" hidden="1" customHeight="1">
      <c r="A3361" s="74"/>
    </row>
    <row r="3362" spans="1:1" ht="15" hidden="1" customHeight="1">
      <c r="A3362" s="74"/>
    </row>
    <row r="3363" spans="1:1" ht="15" hidden="1" customHeight="1">
      <c r="A3363" s="74"/>
    </row>
    <row r="3364" spans="1:1" ht="15" hidden="1" customHeight="1">
      <c r="A3364" s="74"/>
    </row>
    <row r="3365" spans="1:1" ht="15" hidden="1" customHeight="1">
      <c r="A3365" s="74"/>
    </row>
    <row r="3366" spans="1:1" ht="15" hidden="1" customHeight="1">
      <c r="A3366" s="74"/>
    </row>
    <row r="3367" spans="1:1" ht="15" hidden="1" customHeight="1">
      <c r="A3367" s="74"/>
    </row>
    <row r="3368" spans="1:1" ht="15" hidden="1" customHeight="1">
      <c r="A3368" s="74"/>
    </row>
    <row r="3369" spans="1:1" ht="15" hidden="1" customHeight="1">
      <c r="A3369" s="74"/>
    </row>
    <row r="3370" spans="1:1" ht="15" hidden="1" customHeight="1">
      <c r="A3370" s="74"/>
    </row>
    <row r="3371" spans="1:1" ht="15" hidden="1" customHeight="1">
      <c r="A3371" s="74"/>
    </row>
    <row r="3372" spans="1:1" ht="15" hidden="1" customHeight="1">
      <c r="A3372" s="74"/>
    </row>
    <row r="3373" spans="1:1" ht="15" hidden="1" customHeight="1">
      <c r="A3373" s="74"/>
    </row>
    <row r="3374" spans="1:1" ht="15" hidden="1" customHeight="1">
      <c r="A3374" s="74"/>
    </row>
    <row r="3375" spans="1:1" ht="15" hidden="1" customHeight="1">
      <c r="A3375" s="74"/>
    </row>
    <row r="3376" spans="1:1" ht="15" hidden="1" customHeight="1">
      <c r="A3376" s="74"/>
    </row>
    <row r="3377" spans="1:1" ht="15" hidden="1" customHeight="1">
      <c r="A3377" s="74"/>
    </row>
    <row r="3378" spans="1:1" ht="15" hidden="1" customHeight="1">
      <c r="A3378" s="74"/>
    </row>
    <row r="3379" spans="1:1" ht="15" hidden="1" customHeight="1">
      <c r="A3379" s="74"/>
    </row>
    <row r="3380" spans="1:1" ht="15" hidden="1" customHeight="1">
      <c r="A3380" s="74"/>
    </row>
    <row r="3381" spans="1:1" ht="15" hidden="1" customHeight="1">
      <c r="A3381" s="74"/>
    </row>
    <row r="3382" spans="1:1" ht="15" hidden="1" customHeight="1">
      <c r="A3382" s="74"/>
    </row>
    <row r="3383" spans="1:1" ht="15" hidden="1" customHeight="1">
      <c r="A3383" s="74"/>
    </row>
    <row r="3384" spans="1:1" ht="15" hidden="1" customHeight="1">
      <c r="A3384" s="74"/>
    </row>
    <row r="3385" spans="1:1" ht="15" hidden="1" customHeight="1">
      <c r="A3385" s="74"/>
    </row>
    <row r="3386" spans="1:1" ht="15" hidden="1" customHeight="1">
      <c r="A3386" s="74"/>
    </row>
    <row r="3387" spans="1:1" ht="15" hidden="1" customHeight="1">
      <c r="A3387" s="74"/>
    </row>
    <row r="3388" spans="1:1" ht="15" hidden="1" customHeight="1">
      <c r="A3388" s="74"/>
    </row>
    <row r="3389" spans="1:1" ht="15" hidden="1" customHeight="1">
      <c r="A3389" s="74"/>
    </row>
    <row r="3390" spans="1:1" ht="15" hidden="1" customHeight="1">
      <c r="A3390" s="74"/>
    </row>
    <row r="3391" spans="1:1" ht="15" hidden="1" customHeight="1">
      <c r="A3391" s="74"/>
    </row>
    <row r="3392" spans="1:1" ht="15" hidden="1" customHeight="1">
      <c r="A3392" s="74"/>
    </row>
    <row r="3393" spans="1:1" ht="15" hidden="1" customHeight="1">
      <c r="A3393" s="74"/>
    </row>
    <row r="3394" spans="1:1" ht="15" hidden="1" customHeight="1">
      <c r="A3394" s="74"/>
    </row>
    <row r="3395" spans="1:1" ht="15" hidden="1" customHeight="1">
      <c r="A3395" s="74"/>
    </row>
    <row r="3396" spans="1:1" ht="15" hidden="1" customHeight="1">
      <c r="A3396" s="74"/>
    </row>
    <row r="3397" spans="1:1" ht="15" hidden="1" customHeight="1">
      <c r="A3397" s="74"/>
    </row>
    <row r="3398" spans="1:1" ht="15" hidden="1" customHeight="1">
      <c r="A3398" s="74"/>
    </row>
    <row r="3399" spans="1:1" ht="15" hidden="1" customHeight="1">
      <c r="A3399" s="74"/>
    </row>
    <row r="3400" spans="1:1" ht="15" hidden="1" customHeight="1">
      <c r="A3400" s="74"/>
    </row>
    <row r="3401" spans="1:1" ht="15" hidden="1" customHeight="1">
      <c r="A3401" s="74"/>
    </row>
    <row r="3402" spans="1:1" ht="15" hidden="1" customHeight="1">
      <c r="A3402" s="74"/>
    </row>
    <row r="3403" spans="1:1" ht="15" hidden="1" customHeight="1">
      <c r="A3403" s="74"/>
    </row>
    <row r="3404" spans="1:1" ht="15" hidden="1" customHeight="1">
      <c r="A3404" s="74"/>
    </row>
    <row r="3405" spans="1:1" ht="15" hidden="1" customHeight="1">
      <c r="A3405" s="74"/>
    </row>
    <row r="3406" spans="1:1" ht="15" hidden="1" customHeight="1">
      <c r="A3406" s="74"/>
    </row>
    <row r="3407" spans="1:1" ht="15" hidden="1" customHeight="1">
      <c r="A3407" s="74"/>
    </row>
    <row r="3408" spans="1:1" ht="15" hidden="1" customHeight="1">
      <c r="A3408" s="74"/>
    </row>
    <row r="3409" spans="1:7" ht="15" hidden="1" customHeight="1">
      <c r="A3409" s="74"/>
    </row>
    <row r="3410" spans="1:7" ht="15" hidden="1" customHeight="1">
      <c r="A3410" s="74"/>
    </row>
    <row r="3411" spans="1:7" ht="15" hidden="1" customHeight="1">
      <c r="A3411" s="74"/>
    </row>
    <row r="3412" spans="1:7" ht="15" hidden="1" customHeight="1">
      <c r="A3412" s="74"/>
    </row>
    <row r="3413" spans="1:7" ht="15" hidden="1" customHeight="1">
      <c r="A3413" s="74"/>
      <c r="E3413" s="8"/>
      <c r="G3413" s="89"/>
    </row>
    <row r="3414" spans="1:7" ht="15" hidden="1" customHeight="1">
      <c r="A3414" s="74"/>
    </row>
    <row r="3415" spans="1:7" ht="15" hidden="1" customHeight="1">
      <c r="A3415" s="74"/>
    </row>
    <row r="3416" spans="1:7" ht="15" hidden="1" customHeight="1">
      <c r="A3416" s="74"/>
    </row>
    <row r="3417" spans="1:7" ht="15" hidden="1" customHeight="1">
      <c r="A3417" s="74"/>
    </row>
    <row r="3418" spans="1:7" ht="15" hidden="1" customHeight="1">
      <c r="A3418" s="74"/>
    </row>
    <row r="3419" spans="1:7" ht="15" hidden="1" customHeight="1">
      <c r="A3419" s="74"/>
    </row>
    <row r="3420" spans="1:7" ht="15" hidden="1" customHeight="1">
      <c r="A3420" s="74"/>
    </row>
    <row r="3421" spans="1:7" ht="15" hidden="1" customHeight="1">
      <c r="A3421" s="74"/>
    </row>
    <row r="3422" spans="1:7" ht="15" hidden="1" customHeight="1">
      <c r="A3422" s="74"/>
    </row>
    <row r="3423" spans="1:7" ht="15" hidden="1" customHeight="1">
      <c r="A3423" s="74"/>
    </row>
    <row r="3424" spans="1:7" ht="15" hidden="1" customHeight="1">
      <c r="A3424" s="74"/>
    </row>
    <row r="3425" spans="1:1" ht="15" hidden="1" customHeight="1">
      <c r="A3425" s="74"/>
    </row>
    <row r="3426" spans="1:1" ht="15" hidden="1" customHeight="1">
      <c r="A3426" s="74"/>
    </row>
    <row r="3427" spans="1:1" ht="15" hidden="1" customHeight="1">
      <c r="A3427" s="74"/>
    </row>
    <row r="3428" spans="1:1" ht="15" hidden="1" customHeight="1">
      <c r="A3428" s="74"/>
    </row>
    <row r="3429" spans="1:1" ht="15" hidden="1" customHeight="1">
      <c r="A3429" s="74"/>
    </row>
    <row r="3430" spans="1:1" ht="15" hidden="1" customHeight="1">
      <c r="A3430" s="74"/>
    </row>
    <row r="3431" spans="1:1" ht="15" hidden="1" customHeight="1">
      <c r="A3431" s="74"/>
    </row>
    <row r="3432" spans="1:1" ht="15" hidden="1" customHeight="1">
      <c r="A3432" s="74"/>
    </row>
    <row r="3433" spans="1:1" ht="15" hidden="1" customHeight="1">
      <c r="A3433" s="74"/>
    </row>
    <row r="3434" spans="1:1" ht="15" hidden="1" customHeight="1">
      <c r="A3434" s="74"/>
    </row>
    <row r="3435" spans="1:1" ht="15" hidden="1" customHeight="1">
      <c r="A3435" s="74"/>
    </row>
    <row r="3436" spans="1:1" ht="15" hidden="1" customHeight="1">
      <c r="A3436" s="74"/>
    </row>
    <row r="3437" spans="1:1" ht="15" hidden="1" customHeight="1">
      <c r="A3437" s="74"/>
    </row>
    <row r="3438" spans="1:1" ht="15" hidden="1" customHeight="1">
      <c r="A3438" s="74"/>
    </row>
    <row r="3439" spans="1:1" ht="15" hidden="1" customHeight="1">
      <c r="A3439" s="74"/>
    </row>
    <row r="3440" spans="1:1" ht="15" hidden="1" customHeight="1">
      <c r="A3440" s="74"/>
    </row>
    <row r="3441" spans="1:5" ht="15" hidden="1" customHeight="1">
      <c r="A3441" s="74"/>
    </row>
    <row r="3442" spans="1:5" ht="15" hidden="1" customHeight="1">
      <c r="A3442" s="74"/>
    </row>
    <row r="3443" spans="1:5" ht="15" hidden="1" customHeight="1">
      <c r="A3443" s="74"/>
    </row>
    <row r="3444" spans="1:5" ht="15" hidden="1" customHeight="1">
      <c r="A3444" s="74"/>
    </row>
    <row r="3445" spans="1:5" ht="15" hidden="1" customHeight="1">
      <c r="A3445" s="74"/>
    </row>
    <row r="3446" spans="1:5" ht="15" hidden="1" customHeight="1">
      <c r="A3446" s="74"/>
    </row>
    <row r="3447" spans="1:5" ht="15" hidden="1" customHeight="1">
      <c r="A3447" s="74"/>
    </row>
    <row r="3448" spans="1:5" ht="15" hidden="1" customHeight="1">
      <c r="A3448" s="63"/>
      <c r="B3448" s="59"/>
      <c r="C3448" s="60"/>
      <c r="D3448" s="62"/>
      <c r="E3448" s="59"/>
    </row>
    <row r="3449" spans="1:5" ht="15" hidden="1" customHeight="1">
      <c r="A3449" s="63"/>
      <c r="B3449" s="59"/>
      <c r="C3449" s="60"/>
      <c r="D3449" s="62"/>
      <c r="E3449" s="59"/>
    </row>
    <row r="3450" spans="1:5" ht="15" hidden="1" customHeight="1">
      <c r="A3450" s="63"/>
      <c r="B3450" s="59"/>
      <c r="C3450" s="60"/>
      <c r="D3450" s="62"/>
      <c r="E3450" s="59"/>
    </row>
    <row r="3451" spans="1:5" ht="15" hidden="1" customHeight="1">
      <c r="A3451" s="63"/>
      <c r="B3451" s="59"/>
      <c r="C3451" s="60"/>
      <c r="D3451" s="62"/>
      <c r="E3451" s="59"/>
    </row>
    <row r="3452" spans="1:5" ht="15" hidden="1" customHeight="1">
      <c r="A3452" s="63"/>
      <c r="B3452" s="59"/>
      <c r="C3452" s="62"/>
      <c r="D3452" s="62"/>
      <c r="E3452" s="59"/>
    </row>
    <row r="3453" spans="1:5" ht="15" hidden="1" customHeight="1">
      <c r="A3453" s="63"/>
      <c r="B3453" s="59"/>
      <c r="C3453" s="62"/>
      <c r="D3453" s="62"/>
      <c r="E3453" s="59"/>
    </row>
    <row r="3454" spans="1:5" ht="15" hidden="1" customHeight="1">
      <c r="A3454" s="63"/>
      <c r="B3454" s="59"/>
      <c r="C3454" s="62"/>
      <c r="D3454" s="62"/>
      <c r="E3454" s="59"/>
    </row>
    <row r="3455" spans="1:5" ht="15" hidden="1" customHeight="1">
      <c r="A3455" s="63"/>
      <c r="B3455" s="59"/>
      <c r="C3455" s="62"/>
      <c r="D3455" s="62"/>
      <c r="E3455" s="59"/>
    </row>
    <row r="3456" spans="1:5" ht="15" hidden="1" customHeight="1">
      <c r="A3456" s="63"/>
      <c r="B3456" s="59"/>
      <c r="C3456" s="62"/>
      <c r="D3456" s="62"/>
      <c r="E3456" s="59"/>
    </row>
    <row r="3457" spans="1:5" ht="15" hidden="1" customHeight="1">
      <c r="A3457" s="75"/>
      <c r="B3457" s="57"/>
      <c r="C3457" s="61"/>
      <c r="D3457" s="61"/>
      <c r="E3457" s="57"/>
    </row>
    <row r="3458" spans="1:5" ht="15" hidden="1" customHeight="1">
      <c r="A3458" s="75"/>
      <c r="B3458" s="57"/>
      <c r="C3458" s="61"/>
      <c r="D3458" s="61"/>
      <c r="E3458" s="57"/>
    </row>
    <row r="3459" spans="1:5" ht="15" hidden="1" customHeight="1">
      <c r="A3459" s="75"/>
      <c r="B3459" s="57"/>
      <c r="C3459" s="61"/>
      <c r="D3459" s="61"/>
      <c r="E3459" s="57"/>
    </row>
    <row r="3460" spans="1:5" ht="15" hidden="1" customHeight="1">
      <c r="A3460" s="75"/>
      <c r="B3460" s="57"/>
      <c r="C3460" s="61"/>
      <c r="D3460" s="61"/>
      <c r="E3460" s="57"/>
    </row>
    <row r="3461" spans="1:5" ht="15" hidden="1" customHeight="1">
      <c r="A3461" s="75"/>
      <c r="B3461" s="57"/>
      <c r="C3461" s="61"/>
      <c r="D3461" s="61"/>
      <c r="E3461" s="57"/>
    </row>
    <row r="3462" spans="1:5" ht="15" hidden="1" customHeight="1">
      <c r="A3462" s="75"/>
      <c r="B3462" s="57"/>
      <c r="C3462" s="61"/>
      <c r="D3462" s="61"/>
      <c r="E3462" s="57"/>
    </row>
    <row r="3463" spans="1:5" ht="15" hidden="1" customHeight="1">
      <c r="A3463" s="75"/>
      <c r="B3463" s="57"/>
      <c r="C3463" s="61"/>
      <c r="D3463" s="61"/>
      <c r="E3463" s="57"/>
    </row>
    <row r="3464" spans="1:5" ht="15" hidden="1" customHeight="1">
      <c r="A3464" s="75"/>
      <c r="B3464" s="57"/>
      <c r="C3464" s="61"/>
      <c r="D3464" s="61"/>
      <c r="E3464" s="57"/>
    </row>
    <row r="3465" spans="1:5" ht="15" hidden="1" customHeight="1">
      <c r="A3465" s="75"/>
      <c r="B3465" s="57"/>
      <c r="C3465" s="61"/>
      <c r="D3465" s="61"/>
      <c r="E3465" s="57"/>
    </row>
    <row r="3466" spans="1:5" ht="15" hidden="1" customHeight="1">
      <c r="A3466" s="75"/>
      <c r="B3466" s="57"/>
      <c r="C3466" s="61"/>
      <c r="D3466" s="61"/>
      <c r="E3466" s="57"/>
    </row>
    <row r="3467" spans="1:5" ht="15" hidden="1" customHeight="1">
      <c r="A3467" s="75"/>
      <c r="B3467" s="57"/>
      <c r="C3467" s="61"/>
      <c r="D3467" s="61"/>
      <c r="E3467" s="57"/>
    </row>
    <row r="3468" spans="1:5" ht="15" hidden="1" customHeight="1">
      <c r="A3468" s="75"/>
      <c r="B3468" s="57"/>
      <c r="C3468" s="61"/>
      <c r="D3468" s="61"/>
      <c r="E3468" s="57"/>
    </row>
    <row r="3469" spans="1:5" ht="15" hidden="1" customHeight="1">
      <c r="A3469" s="75"/>
      <c r="B3469" s="57"/>
      <c r="C3469" s="61"/>
      <c r="D3469" s="61"/>
      <c r="E3469" s="57"/>
    </row>
    <row r="3470" spans="1:5" ht="15" hidden="1" customHeight="1">
      <c r="A3470" s="75"/>
      <c r="B3470" s="57"/>
      <c r="C3470" s="61"/>
      <c r="D3470" s="61"/>
      <c r="E3470" s="57"/>
    </row>
    <row r="3471" spans="1:5" ht="15" hidden="1" customHeight="1">
      <c r="A3471" s="75"/>
      <c r="B3471" s="57"/>
      <c r="C3471" s="61"/>
      <c r="D3471" s="61"/>
      <c r="E3471" s="57"/>
    </row>
    <row r="3472" spans="1:5" ht="15" hidden="1" customHeight="1">
      <c r="A3472" s="75"/>
      <c r="B3472" s="57"/>
      <c r="C3472" s="61"/>
      <c r="D3472" s="61"/>
      <c r="E3472" s="57"/>
    </row>
    <row r="3473" spans="1:5" ht="15" hidden="1" customHeight="1">
      <c r="A3473" s="75"/>
      <c r="B3473" s="57"/>
      <c r="C3473" s="61"/>
      <c r="D3473" s="61"/>
      <c r="E3473" s="57"/>
    </row>
    <row r="3474" spans="1:5" ht="15" hidden="1" customHeight="1">
      <c r="A3474" s="75"/>
      <c r="B3474" s="57"/>
      <c r="C3474" s="61"/>
      <c r="D3474" s="61"/>
      <c r="E3474" s="57"/>
    </row>
    <row r="3475" spans="1:5" ht="15" hidden="1" customHeight="1">
      <c r="A3475" s="75"/>
      <c r="B3475" s="57"/>
      <c r="C3475" s="61"/>
      <c r="D3475" s="61"/>
      <c r="E3475" s="57"/>
    </row>
    <row r="3476" spans="1:5" ht="15" hidden="1" customHeight="1">
      <c r="A3476" s="75"/>
      <c r="B3476" s="57"/>
      <c r="C3476" s="61"/>
      <c r="D3476" s="61"/>
      <c r="E3476" s="57"/>
    </row>
    <row r="3477" spans="1:5" ht="15" hidden="1" customHeight="1">
      <c r="A3477" s="75"/>
      <c r="B3477" s="57"/>
      <c r="C3477" s="61"/>
      <c r="D3477" s="61"/>
      <c r="E3477" s="57"/>
    </row>
    <row r="3478" spans="1:5" ht="15" hidden="1" customHeight="1">
      <c r="A3478" s="75"/>
      <c r="B3478" s="57"/>
      <c r="C3478" s="61"/>
      <c r="D3478" s="61"/>
      <c r="E3478" s="57"/>
    </row>
    <row r="3479" spans="1:5" ht="15" hidden="1" customHeight="1">
      <c r="A3479" s="75"/>
      <c r="B3479" s="57"/>
      <c r="C3479" s="61"/>
      <c r="D3479" s="61"/>
      <c r="E3479" s="57"/>
    </row>
    <row r="3480" spans="1:5" ht="15" hidden="1" customHeight="1">
      <c r="A3480" s="75"/>
      <c r="B3480" s="57"/>
      <c r="C3480" s="61"/>
      <c r="D3480" s="61"/>
      <c r="E3480" s="57"/>
    </row>
    <row r="3481" spans="1:5" ht="15" hidden="1" customHeight="1">
      <c r="A3481" s="75"/>
      <c r="B3481" s="57"/>
      <c r="C3481" s="61"/>
      <c r="D3481" s="61"/>
      <c r="E3481" s="57"/>
    </row>
    <row r="3482" spans="1:5" ht="15" hidden="1" customHeight="1">
      <c r="A3482" s="75"/>
      <c r="B3482" s="57"/>
      <c r="C3482" s="61"/>
      <c r="D3482" s="61"/>
      <c r="E3482" s="57"/>
    </row>
    <row r="3483" spans="1:5" ht="15" hidden="1" customHeight="1">
      <c r="A3483" s="75"/>
      <c r="B3483" s="57"/>
      <c r="C3483" s="61"/>
      <c r="D3483" s="61"/>
      <c r="E3483" s="57"/>
    </row>
    <row r="3484" spans="1:5" ht="15" hidden="1" customHeight="1">
      <c r="A3484" s="75"/>
      <c r="B3484" s="57"/>
      <c r="C3484" s="61"/>
      <c r="D3484" s="61"/>
      <c r="E3484" s="57"/>
    </row>
    <row r="3485" spans="1:5" ht="15" hidden="1" customHeight="1">
      <c r="A3485" s="75"/>
      <c r="B3485" s="57"/>
      <c r="C3485" s="58"/>
      <c r="D3485" s="61"/>
      <c r="E3485" s="57"/>
    </row>
    <row r="3486" spans="1:5" ht="15" hidden="1" customHeight="1">
      <c r="A3486" s="75"/>
      <c r="B3486" s="57"/>
      <c r="C3486" s="58"/>
      <c r="D3486" s="61"/>
      <c r="E3486" s="57"/>
    </row>
    <row r="3487" spans="1:5" ht="15" hidden="1" customHeight="1">
      <c r="A3487" s="75"/>
      <c r="B3487" s="57"/>
      <c r="C3487" s="58"/>
      <c r="D3487" s="61"/>
      <c r="E3487" s="57"/>
    </row>
    <row r="3488" spans="1:5" ht="15" hidden="1" customHeight="1">
      <c r="A3488" s="75"/>
      <c r="B3488" s="57"/>
      <c r="C3488" s="58"/>
      <c r="D3488" s="61"/>
      <c r="E3488" s="57"/>
    </row>
    <row r="3489" spans="1:5" ht="15" hidden="1" customHeight="1">
      <c r="A3489" s="75"/>
      <c r="B3489" s="57"/>
      <c r="C3489" s="57"/>
      <c r="D3489" s="57"/>
      <c r="E3489" s="57"/>
    </row>
    <row r="3490" spans="1:5" ht="15" hidden="1" customHeight="1">
      <c r="A3490" s="75"/>
      <c r="B3490" s="57"/>
      <c r="C3490" s="57"/>
      <c r="D3490" s="57"/>
      <c r="E3490" s="57"/>
    </row>
    <row r="3491" spans="1:5" ht="15" hidden="1" customHeight="1">
      <c r="A3491" s="75"/>
      <c r="B3491" s="57"/>
      <c r="C3491" s="57"/>
      <c r="D3491" s="57"/>
      <c r="E3491" s="57"/>
    </row>
    <row r="3492" spans="1:5" ht="15" hidden="1" customHeight="1">
      <c r="A3492" s="75"/>
      <c r="B3492" s="57"/>
      <c r="C3492" s="57"/>
      <c r="D3492" s="57"/>
      <c r="E3492" s="57"/>
    </row>
    <row r="3493" spans="1:5" ht="15" hidden="1" customHeight="1">
      <c r="A3493" s="75"/>
      <c r="B3493" s="57"/>
      <c r="C3493" s="57"/>
      <c r="D3493" s="57"/>
      <c r="E3493" s="57"/>
    </row>
    <row r="3494" spans="1:5" ht="15" hidden="1" customHeight="1">
      <c r="A3494" s="75"/>
      <c r="B3494" s="57"/>
      <c r="C3494" s="57"/>
      <c r="D3494" s="57"/>
      <c r="E3494" s="57"/>
    </row>
    <row r="3495" spans="1:5" ht="15" hidden="1" customHeight="1">
      <c r="A3495" s="75"/>
      <c r="B3495" s="57"/>
      <c r="C3495" s="57"/>
      <c r="D3495" s="57"/>
      <c r="E3495" s="57"/>
    </row>
    <row r="3496" spans="1:5" ht="15" hidden="1" customHeight="1">
      <c r="A3496" s="75"/>
      <c r="B3496" s="57"/>
      <c r="C3496" s="57"/>
      <c r="D3496" s="57"/>
      <c r="E3496" s="57"/>
    </row>
    <row r="3497" spans="1:5" ht="15" hidden="1" customHeight="1">
      <c r="A3497" s="75"/>
      <c r="B3497" s="57"/>
      <c r="C3497" s="57"/>
      <c r="D3497" s="57"/>
      <c r="E3497" s="57"/>
    </row>
    <row r="3498" spans="1:5" ht="15" hidden="1" customHeight="1">
      <c r="A3498" s="75"/>
      <c r="B3498" s="57"/>
      <c r="C3498" s="57"/>
      <c r="D3498" s="57"/>
      <c r="E3498" s="57"/>
    </row>
    <row r="3499" spans="1:5" ht="15" hidden="1" customHeight="1">
      <c r="A3499" s="75"/>
      <c r="B3499" s="57"/>
      <c r="C3499" s="57"/>
      <c r="D3499" s="57"/>
      <c r="E3499" s="57"/>
    </row>
    <row r="3500" spans="1:5" ht="15" hidden="1" customHeight="1">
      <c r="A3500" s="75"/>
      <c r="B3500" s="57"/>
      <c r="C3500" s="57"/>
      <c r="D3500" s="57"/>
      <c r="E3500" s="57"/>
    </row>
    <row r="3501" spans="1:5" ht="15" hidden="1" customHeight="1">
      <c r="A3501" s="75"/>
      <c r="B3501" s="57"/>
      <c r="C3501" s="57"/>
      <c r="D3501" s="57"/>
      <c r="E3501" s="57"/>
    </row>
    <row r="3502" spans="1:5" ht="15" hidden="1" customHeight="1">
      <c r="A3502" s="75"/>
      <c r="B3502" s="57"/>
      <c r="C3502" s="57"/>
      <c r="D3502" s="57"/>
      <c r="E3502" s="57"/>
    </row>
    <row r="3503" spans="1:5" ht="15" hidden="1" customHeight="1">
      <c r="A3503" s="75"/>
      <c r="B3503" s="57"/>
      <c r="C3503" s="58"/>
      <c r="D3503" s="61"/>
      <c r="E3503" s="57"/>
    </row>
    <row r="3504" spans="1:5" ht="15" hidden="1" customHeight="1">
      <c r="A3504" s="75"/>
      <c r="B3504" s="57"/>
      <c r="C3504" s="58"/>
      <c r="D3504" s="61"/>
      <c r="E3504" s="57"/>
    </row>
    <row r="3505" spans="1:5" ht="15" hidden="1" customHeight="1">
      <c r="A3505" s="75"/>
      <c r="B3505" s="57"/>
      <c r="C3505" s="61"/>
      <c r="D3505" s="61"/>
      <c r="E3505" s="57"/>
    </row>
    <row r="3506" spans="1:5" ht="15" hidden="1" customHeight="1">
      <c r="A3506" s="75"/>
      <c r="B3506" s="57"/>
      <c r="C3506" s="61"/>
      <c r="D3506" s="61"/>
      <c r="E3506" s="57"/>
    </row>
    <row r="3507" spans="1:5" ht="15" hidden="1" customHeight="1">
      <c r="A3507" s="75"/>
      <c r="B3507" s="57"/>
      <c r="C3507" s="61"/>
      <c r="D3507" s="61"/>
      <c r="E3507" s="57"/>
    </row>
    <row r="3508" spans="1:5" ht="15" hidden="1" customHeight="1">
      <c r="A3508" s="75"/>
      <c r="B3508" s="57"/>
      <c r="C3508" s="61"/>
      <c r="D3508" s="61"/>
      <c r="E3508" s="57"/>
    </row>
    <row r="3509" spans="1:5" ht="15" hidden="1" customHeight="1">
      <c r="A3509" s="75"/>
      <c r="B3509" s="57"/>
      <c r="C3509" s="61"/>
      <c r="D3509" s="61"/>
      <c r="E3509" s="57"/>
    </row>
    <row r="3510" spans="1:5" ht="15" hidden="1" customHeight="1">
      <c r="A3510" s="75"/>
      <c r="B3510" s="57"/>
      <c r="C3510" s="61"/>
      <c r="D3510" s="61"/>
      <c r="E3510" s="57"/>
    </row>
    <row r="3511" spans="1:5" ht="15" hidden="1" customHeight="1">
      <c r="A3511" s="75"/>
      <c r="B3511" s="57"/>
      <c r="C3511" s="61"/>
      <c r="D3511" s="61"/>
      <c r="E3511" s="57"/>
    </row>
    <row r="3512" spans="1:5" ht="15" hidden="1" customHeight="1">
      <c r="A3512" s="75"/>
      <c r="B3512" s="57"/>
      <c r="C3512" s="61"/>
      <c r="D3512" s="61"/>
      <c r="E3512" s="57"/>
    </row>
    <row r="3513" spans="1:5" ht="15" hidden="1" customHeight="1">
      <c r="A3513" s="75"/>
      <c r="B3513" s="57"/>
      <c r="C3513" s="61"/>
      <c r="D3513" s="61"/>
      <c r="E3513" s="57"/>
    </row>
    <row r="3514" spans="1:5" ht="15" hidden="1" customHeight="1">
      <c r="A3514" s="75"/>
      <c r="B3514" s="57"/>
      <c r="C3514" s="61"/>
      <c r="D3514" s="61"/>
      <c r="E3514" s="57"/>
    </row>
    <row r="3515" spans="1:5" ht="15" hidden="1" customHeight="1">
      <c r="A3515" s="75"/>
      <c r="B3515" s="57"/>
      <c r="C3515" s="61"/>
      <c r="D3515" s="61"/>
      <c r="E3515" s="57"/>
    </row>
    <row r="3516" spans="1:5" ht="15" hidden="1" customHeight="1">
      <c r="A3516" s="75"/>
      <c r="B3516" s="57"/>
      <c r="C3516" s="61"/>
      <c r="D3516" s="61"/>
      <c r="E3516" s="57"/>
    </row>
    <row r="3517" spans="1:5" ht="15" hidden="1" customHeight="1">
      <c r="A3517" s="75"/>
      <c r="B3517" s="57"/>
      <c r="C3517" s="61"/>
      <c r="D3517" s="61"/>
      <c r="E3517" s="57"/>
    </row>
    <row r="3518" spans="1:5" ht="15" hidden="1" customHeight="1">
      <c r="A3518" s="75"/>
      <c r="B3518" s="57"/>
      <c r="C3518" s="61"/>
      <c r="D3518" s="61"/>
      <c r="E3518" s="57"/>
    </row>
    <row r="3519" spans="1:5" ht="15" hidden="1" customHeight="1">
      <c r="A3519" s="75"/>
      <c r="B3519" s="57"/>
      <c r="C3519" s="61"/>
      <c r="D3519" s="61"/>
      <c r="E3519" s="57"/>
    </row>
    <row r="3520" spans="1:5" ht="15" hidden="1" customHeight="1">
      <c r="A3520" s="75"/>
      <c r="B3520" s="57"/>
      <c r="C3520" s="61"/>
      <c r="D3520" s="61"/>
      <c r="E3520" s="57"/>
    </row>
    <row r="3521" spans="1:5" ht="15" hidden="1" customHeight="1">
      <c r="A3521" s="75"/>
      <c r="B3521" s="57"/>
      <c r="C3521" s="61"/>
      <c r="D3521" s="61"/>
      <c r="E3521" s="57"/>
    </row>
    <row r="3522" spans="1:5" ht="15" hidden="1" customHeight="1">
      <c r="A3522" s="75"/>
      <c r="B3522" s="57"/>
      <c r="C3522" s="61"/>
      <c r="D3522" s="61"/>
      <c r="E3522" s="57"/>
    </row>
    <row r="3523" spans="1:5" ht="15" hidden="1" customHeight="1">
      <c r="A3523" s="75"/>
      <c r="B3523" s="57"/>
      <c r="C3523" s="61"/>
      <c r="D3523" s="61"/>
      <c r="E3523" s="57"/>
    </row>
    <row r="3524" spans="1:5" ht="15" hidden="1" customHeight="1">
      <c r="A3524" s="75"/>
      <c r="B3524" s="57"/>
      <c r="C3524" s="61"/>
      <c r="D3524" s="61"/>
      <c r="E3524" s="57"/>
    </row>
    <row r="3525" spans="1:5" ht="15" hidden="1" customHeight="1">
      <c r="A3525" s="75"/>
      <c r="B3525" s="57"/>
      <c r="C3525" s="61"/>
      <c r="D3525" s="61"/>
      <c r="E3525" s="57"/>
    </row>
    <row r="3526" spans="1:5" ht="15" hidden="1" customHeight="1">
      <c r="A3526" s="75"/>
      <c r="B3526" s="57"/>
      <c r="C3526" s="61"/>
      <c r="D3526" s="61"/>
      <c r="E3526" s="57"/>
    </row>
    <row r="3527" spans="1:5" ht="15" hidden="1" customHeight="1">
      <c r="A3527" s="75"/>
      <c r="B3527" s="57"/>
      <c r="C3527" s="61"/>
      <c r="D3527" s="61"/>
      <c r="E3527" s="57"/>
    </row>
    <row r="3528" spans="1:5" ht="15" hidden="1" customHeight="1">
      <c r="A3528" s="75"/>
      <c r="B3528" s="57"/>
      <c r="C3528" s="61"/>
      <c r="D3528" s="61"/>
      <c r="E3528" s="57"/>
    </row>
    <row r="3529" spans="1:5" ht="15" hidden="1" customHeight="1">
      <c r="A3529" s="75"/>
      <c r="B3529" s="57"/>
      <c r="C3529" s="61"/>
      <c r="D3529" s="61"/>
      <c r="E3529" s="57"/>
    </row>
    <row r="3530" spans="1:5" ht="15" hidden="1" customHeight="1">
      <c r="A3530" s="75"/>
      <c r="B3530" s="57"/>
      <c r="C3530" s="61"/>
      <c r="D3530" s="61"/>
      <c r="E3530" s="57"/>
    </row>
    <row r="3531" spans="1:5" ht="15" hidden="1" customHeight="1">
      <c r="A3531" s="75"/>
      <c r="B3531" s="57"/>
      <c r="C3531" s="61"/>
      <c r="D3531" s="61"/>
      <c r="E3531" s="57"/>
    </row>
    <row r="3532" spans="1:5" ht="15" hidden="1" customHeight="1">
      <c r="A3532" s="75"/>
      <c r="B3532" s="57"/>
      <c r="C3532" s="61"/>
      <c r="D3532" s="61"/>
      <c r="E3532" s="57"/>
    </row>
    <row r="3533" spans="1:5" ht="15" hidden="1" customHeight="1">
      <c r="A3533" s="75"/>
      <c r="B3533" s="57"/>
      <c r="C3533" s="61"/>
      <c r="D3533" s="61"/>
      <c r="E3533" s="57"/>
    </row>
    <row r="3534" spans="1:5" ht="15" hidden="1" customHeight="1">
      <c r="A3534" s="75"/>
      <c r="B3534" s="57"/>
      <c r="C3534" s="61"/>
      <c r="D3534" s="61"/>
      <c r="E3534" s="57"/>
    </row>
    <row r="3535" spans="1:5" ht="15" hidden="1" customHeight="1">
      <c r="A3535" s="75"/>
      <c r="B3535" s="57"/>
      <c r="C3535" s="61"/>
      <c r="D3535" s="61"/>
      <c r="E3535" s="57"/>
    </row>
    <row r="3536" spans="1:5" ht="15" hidden="1" customHeight="1">
      <c r="A3536" s="75"/>
      <c r="B3536" s="57"/>
      <c r="C3536" s="61"/>
      <c r="D3536" s="61"/>
      <c r="E3536" s="57"/>
    </row>
    <row r="3537" spans="1:5" ht="15" hidden="1" customHeight="1">
      <c r="A3537" s="75"/>
      <c r="B3537" s="57"/>
      <c r="C3537" s="61"/>
      <c r="D3537" s="61"/>
      <c r="E3537" s="57"/>
    </row>
    <row r="3538" spans="1:5" ht="15" hidden="1" customHeight="1">
      <c r="A3538" s="75"/>
      <c r="B3538" s="57"/>
      <c r="C3538" s="61"/>
      <c r="D3538" s="61"/>
      <c r="E3538" s="57"/>
    </row>
    <row r="3539" spans="1:5" ht="15" hidden="1" customHeight="1">
      <c r="A3539" s="75"/>
      <c r="B3539" s="57"/>
      <c r="C3539" s="61"/>
      <c r="D3539" s="61"/>
      <c r="E3539" s="57"/>
    </row>
    <row r="3540" spans="1:5" ht="15" hidden="1" customHeight="1">
      <c r="A3540" s="75"/>
      <c r="B3540" s="57"/>
      <c r="C3540" s="61"/>
      <c r="D3540" s="61"/>
      <c r="E3540" s="57"/>
    </row>
    <row r="3541" spans="1:5" ht="15" hidden="1" customHeight="1">
      <c r="A3541" s="75"/>
      <c r="B3541" s="57"/>
      <c r="C3541" s="61"/>
      <c r="D3541" s="61"/>
      <c r="E3541" s="57"/>
    </row>
    <row r="3542" spans="1:5" ht="15" hidden="1" customHeight="1">
      <c r="A3542" s="75"/>
      <c r="B3542" s="57"/>
      <c r="C3542" s="61"/>
      <c r="D3542" s="61"/>
      <c r="E3542" s="57"/>
    </row>
    <row r="3543" spans="1:5" ht="15" hidden="1" customHeight="1">
      <c r="A3543" s="75"/>
      <c r="B3543" s="57"/>
      <c r="C3543" s="61"/>
      <c r="D3543" s="61"/>
      <c r="E3543" s="57"/>
    </row>
    <row r="3544" spans="1:5" ht="15" hidden="1" customHeight="1">
      <c r="A3544" s="75"/>
      <c r="B3544" s="57"/>
      <c r="C3544" s="61"/>
      <c r="D3544" s="61"/>
      <c r="E3544" s="57"/>
    </row>
    <row r="3545" spans="1:5" ht="15" hidden="1" customHeight="1">
      <c r="A3545" s="75"/>
      <c r="B3545" s="57"/>
      <c r="C3545" s="61"/>
      <c r="D3545" s="61"/>
      <c r="E3545" s="57"/>
    </row>
    <row r="3546" spans="1:5" ht="15" hidden="1" customHeight="1">
      <c r="A3546" s="75"/>
      <c r="B3546" s="57"/>
      <c r="C3546" s="61"/>
      <c r="D3546" s="61"/>
      <c r="E3546" s="57"/>
    </row>
    <row r="3547" spans="1:5" ht="15" hidden="1" customHeight="1">
      <c r="A3547" s="75"/>
      <c r="B3547" s="57"/>
      <c r="C3547" s="61"/>
      <c r="D3547" s="61"/>
      <c r="E3547" s="57"/>
    </row>
    <row r="3548" spans="1:5" ht="15" hidden="1" customHeight="1">
      <c r="A3548" s="75"/>
      <c r="B3548" s="57"/>
      <c r="C3548" s="58"/>
      <c r="D3548" s="61"/>
      <c r="E3548" s="57"/>
    </row>
    <row r="3549" spans="1:5" ht="15" hidden="1" customHeight="1">
      <c r="A3549" s="75"/>
      <c r="B3549" s="57"/>
      <c r="C3549" s="58"/>
      <c r="D3549" s="61"/>
      <c r="E3549" s="57"/>
    </row>
    <row r="3550" spans="1:5" ht="15" hidden="1" customHeight="1">
      <c r="A3550" s="75"/>
      <c r="B3550" s="57"/>
      <c r="C3550" s="58"/>
      <c r="D3550" s="61"/>
      <c r="E3550" s="57"/>
    </row>
    <row r="3551" spans="1:5" ht="15" hidden="1" customHeight="1">
      <c r="A3551" s="75"/>
      <c r="B3551" s="57"/>
      <c r="C3551" s="57"/>
      <c r="D3551" s="57"/>
      <c r="E3551" s="57"/>
    </row>
    <row r="3552" spans="1:5" ht="15" hidden="1" customHeight="1">
      <c r="A3552" s="75"/>
      <c r="B3552" s="57"/>
      <c r="C3552" s="57"/>
      <c r="D3552" s="57"/>
      <c r="E3552" s="57"/>
    </row>
    <row r="3553" spans="1:5" ht="15" hidden="1" customHeight="1">
      <c r="A3553" s="75"/>
      <c r="B3553" s="57"/>
      <c r="C3553" s="57"/>
      <c r="D3553" s="57"/>
      <c r="E3553" s="57"/>
    </row>
    <row r="3554" spans="1:5" ht="15" hidden="1" customHeight="1">
      <c r="A3554" s="75"/>
      <c r="B3554" s="57"/>
      <c r="C3554" s="57"/>
      <c r="D3554" s="57"/>
      <c r="E3554" s="57"/>
    </row>
    <row r="3555" spans="1:5" ht="15" hidden="1" customHeight="1">
      <c r="A3555" s="75"/>
      <c r="B3555" s="57"/>
      <c r="C3555" s="57"/>
      <c r="D3555" s="57"/>
      <c r="E3555" s="57"/>
    </row>
    <row r="3556" spans="1:5" ht="15" hidden="1" customHeight="1">
      <c r="A3556" s="75"/>
      <c r="B3556" s="57"/>
      <c r="C3556" s="57"/>
      <c r="D3556" s="57"/>
      <c r="E3556" s="57"/>
    </row>
    <row r="3557" spans="1:5" ht="15" hidden="1" customHeight="1">
      <c r="A3557" s="75"/>
      <c r="B3557" s="57"/>
      <c r="C3557" s="57"/>
      <c r="D3557" s="57"/>
      <c r="E3557" s="57"/>
    </row>
    <row r="3558" spans="1:5" ht="15" hidden="1" customHeight="1">
      <c r="A3558" s="75"/>
      <c r="B3558" s="57"/>
      <c r="C3558" s="57"/>
      <c r="D3558" s="57"/>
      <c r="E3558" s="57"/>
    </row>
    <row r="3559" spans="1:5" ht="15" hidden="1" customHeight="1">
      <c r="A3559" s="75"/>
      <c r="B3559" s="57"/>
      <c r="C3559" s="57"/>
      <c r="D3559" s="57"/>
      <c r="E3559" s="57"/>
    </row>
    <row r="3560" spans="1:5" ht="15" hidden="1" customHeight="1">
      <c r="A3560" s="75"/>
      <c r="B3560" s="57"/>
      <c r="C3560" s="57"/>
      <c r="D3560" s="57"/>
      <c r="E3560" s="57"/>
    </row>
    <row r="3561" spans="1:5" ht="15" hidden="1" customHeight="1">
      <c r="A3561" s="75"/>
      <c r="B3561" s="57"/>
      <c r="C3561" s="57"/>
      <c r="D3561" s="57"/>
      <c r="E3561" s="57"/>
    </row>
    <row r="3562" spans="1:5" ht="15" hidden="1" customHeight="1">
      <c r="A3562" s="75"/>
      <c r="B3562" s="57"/>
      <c r="C3562" s="57"/>
      <c r="D3562" s="57"/>
      <c r="E3562" s="57"/>
    </row>
    <row r="3563" spans="1:5" ht="15" hidden="1" customHeight="1">
      <c r="A3563" s="75"/>
      <c r="B3563" s="57"/>
      <c r="C3563" s="57"/>
      <c r="D3563" s="57"/>
      <c r="E3563" s="57"/>
    </row>
    <row r="3564" spans="1:5" ht="15" hidden="1" customHeight="1">
      <c r="A3564" s="75"/>
      <c r="B3564" s="57"/>
      <c r="C3564" s="57"/>
      <c r="D3564" s="57"/>
      <c r="E3564" s="57"/>
    </row>
    <row r="3565" spans="1:5" ht="15" hidden="1" customHeight="1">
      <c r="A3565" s="75"/>
      <c r="B3565" s="57"/>
      <c r="C3565" s="57"/>
      <c r="D3565" s="57"/>
      <c r="E3565" s="57"/>
    </row>
    <row r="3566" spans="1:5" ht="15" hidden="1" customHeight="1">
      <c r="A3566" s="75"/>
      <c r="B3566" s="57"/>
      <c r="C3566" s="57"/>
      <c r="D3566" s="57"/>
      <c r="E3566" s="57"/>
    </row>
    <row r="3567" spans="1:5" ht="15" hidden="1" customHeight="1">
      <c r="A3567" s="75"/>
      <c r="B3567" s="57"/>
      <c r="C3567" s="57"/>
      <c r="D3567" s="57"/>
      <c r="E3567" s="57"/>
    </row>
    <row r="3568" spans="1:5" ht="15" hidden="1" customHeight="1">
      <c r="A3568" s="75"/>
      <c r="B3568" s="57"/>
      <c r="C3568" s="57"/>
      <c r="D3568" s="57"/>
      <c r="E3568" s="57"/>
    </row>
    <row r="3569" spans="1:5" ht="15" hidden="1" customHeight="1">
      <c r="A3569" s="75"/>
      <c r="B3569" s="57"/>
      <c r="C3569" s="57"/>
      <c r="D3569" s="57"/>
      <c r="E3569" s="57"/>
    </row>
    <row r="3570" spans="1:5" ht="15" hidden="1" customHeight="1">
      <c r="A3570" s="75"/>
      <c r="B3570" s="57"/>
      <c r="C3570" s="57"/>
      <c r="D3570" s="57"/>
      <c r="E3570" s="57"/>
    </row>
    <row r="3571" spans="1:5" ht="15" hidden="1" customHeight="1">
      <c r="A3571" s="75"/>
      <c r="B3571" s="57"/>
      <c r="C3571" s="57"/>
      <c r="D3571" s="57"/>
      <c r="E3571" s="57"/>
    </row>
    <row r="3572" spans="1:5" ht="15" hidden="1" customHeight="1">
      <c r="A3572" s="75"/>
      <c r="B3572" s="57"/>
      <c r="C3572" s="57"/>
      <c r="D3572" s="57"/>
      <c r="E3572" s="57"/>
    </row>
    <row r="3573" spans="1:5" ht="15" hidden="1" customHeight="1">
      <c r="A3573" s="75"/>
      <c r="B3573" s="57"/>
      <c r="C3573" s="58"/>
      <c r="D3573" s="61"/>
      <c r="E3573" s="57"/>
    </row>
    <row r="3574" spans="1:5" ht="15" hidden="1" customHeight="1">
      <c r="A3574" s="75"/>
      <c r="B3574" s="57"/>
      <c r="C3574" s="61"/>
      <c r="D3574" s="61"/>
      <c r="E3574" s="57"/>
    </row>
    <row r="3575" spans="1:5" ht="15" hidden="1" customHeight="1">
      <c r="A3575" s="75"/>
      <c r="B3575" s="57"/>
      <c r="C3575" s="61"/>
      <c r="D3575" s="61"/>
      <c r="E3575" s="57"/>
    </row>
    <row r="3576" spans="1:5" ht="15" hidden="1" customHeight="1">
      <c r="A3576" s="75"/>
      <c r="B3576" s="57"/>
      <c r="C3576" s="61"/>
      <c r="D3576" s="61"/>
      <c r="E3576" s="57"/>
    </row>
    <row r="3577" spans="1:5" ht="15" hidden="1" customHeight="1">
      <c r="A3577" s="75"/>
      <c r="B3577" s="57"/>
      <c r="C3577" s="61"/>
      <c r="D3577" s="61"/>
      <c r="E3577" s="57"/>
    </row>
    <row r="3578" spans="1:5" ht="15" hidden="1" customHeight="1">
      <c r="A3578" s="75"/>
      <c r="B3578" s="57"/>
      <c r="C3578" s="61"/>
      <c r="D3578" s="61"/>
      <c r="E3578" s="57"/>
    </row>
    <row r="3579" spans="1:5" ht="15" hidden="1" customHeight="1">
      <c r="A3579" s="75"/>
      <c r="B3579" s="57"/>
      <c r="C3579" s="61"/>
      <c r="D3579" s="61"/>
      <c r="E3579" s="57"/>
    </row>
    <row r="3580" spans="1:5" ht="15" hidden="1" customHeight="1">
      <c r="A3580" s="75"/>
      <c r="B3580" s="57"/>
      <c r="C3580" s="61"/>
      <c r="D3580" s="61"/>
      <c r="E3580" s="57"/>
    </row>
    <row r="3581" spans="1:5" ht="15" hidden="1" customHeight="1">
      <c r="A3581" s="75"/>
      <c r="B3581" s="57"/>
      <c r="C3581" s="61"/>
      <c r="D3581" s="61"/>
      <c r="E3581" s="57"/>
    </row>
    <row r="3582" spans="1:5" ht="15" hidden="1" customHeight="1">
      <c r="A3582" s="75"/>
      <c r="B3582" s="57"/>
      <c r="C3582" s="61"/>
      <c r="D3582" s="61"/>
      <c r="E3582" s="57"/>
    </row>
    <row r="3583" spans="1:5" ht="15" hidden="1" customHeight="1">
      <c r="A3583" s="75"/>
      <c r="B3583" s="57"/>
      <c r="C3583" s="61"/>
      <c r="D3583" s="61"/>
      <c r="E3583" s="57"/>
    </row>
    <row r="3584" spans="1:5" ht="15" hidden="1" customHeight="1">
      <c r="A3584" s="75"/>
      <c r="B3584" s="57"/>
      <c r="C3584" s="61"/>
      <c r="D3584" s="61"/>
      <c r="E3584" s="57"/>
    </row>
    <row r="3585" spans="1:5" ht="15" hidden="1" customHeight="1">
      <c r="A3585" s="75"/>
      <c r="B3585" s="57"/>
      <c r="C3585" s="61"/>
      <c r="D3585" s="61"/>
      <c r="E3585" s="57"/>
    </row>
    <row r="3586" spans="1:5" ht="15" hidden="1" customHeight="1">
      <c r="A3586" s="75"/>
      <c r="B3586" s="57"/>
      <c r="C3586" s="61"/>
      <c r="D3586" s="61"/>
      <c r="E3586" s="57"/>
    </row>
    <row r="3587" spans="1:5" ht="15" hidden="1" customHeight="1">
      <c r="A3587" s="75"/>
      <c r="B3587" s="57"/>
      <c r="C3587" s="61"/>
      <c r="D3587" s="61"/>
      <c r="E3587" s="57"/>
    </row>
    <row r="3588" spans="1:5" ht="15" hidden="1" customHeight="1">
      <c r="A3588" s="75"/>
      <c r="B3588" s="57"/>
      <c r="C3588" s="61"/>
      <c r="D3588" s="61"/>
      <c r="E3588" s="57"/>
    </row>
    <row r="3589" spans="1:5" ht="15" hidden="1" customHeight="1">
      <c r="A3589" s="75"/>
      <c r="B3589" s="57"/>
      <c r="C3589" s="61"/>
      <c r="D3589" s="61"/>
      <c r="E3589" s="57"/>
    </row>
    <row r="3590" spans="1:5" ht="15" hidden="1" customHeight="1">
      <c r="A3590" s="75"/>
      <c r="B3590" s="57"/>
      <c r="C3590" s="61"/>
      <c r="D3590" s="61"/>
      <c r="E3590" s="57"/>
    </row>
    <row r="3591" spans="1:5" ht="15" hidden="1" customHeight="1">
      <c r="A3591" s="75"/>
      <c r="B3591" s="57"/>
      <c r="C3591" s="61"/>
      <c r="D3591" s="61"/>
      <c r="E3591" s="57"/>
    </row>
    <row r="3592" spans="1:5" ht="15" hidden="1" customHeight="1">
      <c r="A3592" s="75"/>
      <c r="B3592" s="57"/>
      <c r="C3592" s="61"/>
      <c r="D3592" s="61"/>
      <c r="E3592" s="57"/>
    </row>
    <row r="3593" spans="1:5" ht="15" hidden="1" customHeight="1">
      <c r="A3593" s="75"/>
      <c r="B3593" s="57"/>
      <c r="C3593" s="61"/>
      <c r="D3593" s="61"/>
      <c r="E3593" s="57"/>
    </row>
    <row r="3594" spans="1:5" ht="15" hidden="1" customHeight="1">
      <c r="A3594" s="75"/>
      <c r="B3594" s="57"/>
      <c r="C3594" s="61"/>
      <c r="D3594" s="61"/>
      <c r="E3594" s="57"/>
    </row>
    <row r="3595" spans="1:5" ht="15" hidden="1" customHeight="1">
      <c r="A3595" s="75"/>
      <c r="B3595" s="57"/>
      <c r="C3595" s="61"/>
      <c r="D3595" s="61"/>
      <c r="E3595" s="57"/>
    </row>
    <row r="3596" spans="1:5" ht="15" hidden="1" customHeight="1">
      <c r="A3596" s="75"/>
      <c r="B3596" s="57"/>
      <c r="C3596" s="61"/>
      <c r="D3596" s="61"/>
      <c r="E3596" s="57"/>
    </row>
    <row r="3597" spans="1:5" ht="15" hidden="1" customHeight="1">
      <c r="A3597" s="75"/>
      <c r="B3597" s="57"/>
      <c r="C3597" s="61"/>
      <c r="D3597" s="61"/>
      <c r="E3597" s="57"/>
    </row>
    <row r="3598" spans="1:5" ht="15" hidden="1" customHeight="1">
      <c r="A3598" s="75"/>
      <c r="B3598" s="57"/>
      <c r="C3598" s="61"/>
      <c r="D3598" s="61"/>
      <c r="E3598" s="57"/>
    </row>
    <row r="3599" spans="1:5" ht="15" hidden="1" customHeight="1">
      <c r="A3599" s="75"/>
      <c r="B3599" s="57"/>
      <c r="C3599" s="61"/>
      <c r="D3599" s="61"/>
      <c r="E3599" s="57"/>
    </row>
    <row r="3600" spans="1:5" ht="15" hidden="1" customHeight="1">
      <c r="A3600" s="75"/>
      <c r="B3600" s="57"/>
      <c r="C3600" s="61"/>
      <c r="D3600" s="61"/>
      <c r="E3600" s="57"/>
    </row>
    <row r="3601" spans="1:7" ht="15" hidden="1" customHeight="1">
      <c r="A3601" s="75"/>
      <c r="B3601" s="57"/>
      <c r="C3601" s="61"/>
      <c r="D3601" s="61"/>
      <c r="E3601" s="57"/>
    </row>
    <row r="3602" spans="1:7" ht="15" hidden="1" customHeight="1">
      <c r="A3602" s="75"/>
      <c r="B3602" s="57"/>
      <c r="C3602" s="61"/>
      <c r="D3602" s="61"/>
      <c r="E3602" s="57"/>
    </row>
    <row r="3603" spans="1:7" ht="15" hidden="1" customHeight="1">
      <c r="A3603" s="75"/>
      <c r="B3603" s="57"/>
      <c r="C3603" s="61"/>
      <c r="D3603" s="61"/>
      <c r="E3603" s="57"/>
    </row>
    <row r="3604" spans="1:7" ht="15" hidden="1" customHeight="1">
      <c r="A3604" s="75"/>
      <c r="B3604" s="57"/>
      <c r="C3604" s="61"/>
      <c r="D3604" s="61"/>
      <c r="E3604" s="57"/>
    </row>
    <row r="3605" spans="1:7" ht="15" hidden="1" customHeight="1">
      <c r="A3605" s="75"/>
      <c r="B3605" s="57"/>
      <c r="C3605" s="58"/>
      <c r="D3605" s="61"/>
      <c r="E3605" s="57"/>
    </row>
    <row r="3606" spans="1:7" ht="15" hidden="1" customHeight="1">
      <c r="A3606" s="75"/>
      <c r="B3606" s="57"/>
      <c r="C3606" s="58"/>
      <c r="D3606" s="61"/>
      <c r="E3606" s="57"/>
      <c r="F3606" s="59"/>
      <c r="G3606" s="59"/>
    </row>
    <row r="3607" spans="1:7" ht="15" hidden="1" customHeight="1">
      <c r="A3607" s="75"/>
      <c r="B3607" s="57"/>
      <c r="C3607" s="57"/>
      <c r="D3607" s="57"/>
      <c r="E3607" s="57"/>
    </row>
    <row r="3608" spans="1:7" ht="15" hidden="1" customHeight="1">
      <c r="A3608" s="75"/>
      <c r="B3608" s="57"/>
      <c r="C3608" s="57"/>
      <c r="D3608" s="57"/>
      <c r="E3608" s="57"/>
    </row>
    <row r="3609" spans="1:7" ht="15" hidden="1" customHeight="1">
      <c r="A3609" s="75"/>
      <c r="B3609" s="57"/>
      <c r="C3609" s="57"/>
      <c r="D3609" s="57"/>
      <c r="E3609" s="57"/>
    </row>
    <row r="3610" spans="1:7" ht="15" hidden="1" customHeight="1">
      <c r="A3610" s="75"/>
      <c r="B3610" s="57"/>
      <c r="C3610" s="57"/>
      <c r="D3610" s="57"/>
      <c r="E3610" s="57"/>
    </row>
    <row r="3611" spans="1:7" ht="15" hidden="1" customHeight="1">
      <c r="A3611" s="75"/>
      <c r="B3611" s="57"/>
      <c r="C3611" s="57"/>
      <c r="D3611" s="57"/>
      <c r="E3611" s="57"/>
    </row>
    <row r="3612" spans="1:7" ht="15" hidden="1" customHeight="1">
      <c r="A3612" s="75"/>
      <c r="B3612" s="57"/>
      <c r="C3612" s="57"/>
      <c r="D3612" s="57"/>
      <c r="E3612" s="57"/>
    </row>
    <row r="3613" spans="1:7" ht="15" hidden="1" customHeight="1">
      <c r="A3613" s="75"/>
      <c r="B3613" s="57"/>
      <c r="C3613" s="57"/>
      <c r="D3613" s="57"/>
      <c r="E3613" s="57"/>
    </row>
    <row r="3614" spans="1:7" ht="15" hidden="1" customHeight="1">
      <c r="A3614" s="75"/>
      <c r="B3614" s="57"/>
      <c r="C3614" s="57"/>
      <c r="D3614" s="57"/>
      <c r="E3614" s="57"/>
    </row>
    <row r="3615" spans="1:7" ht="15" hidden="1" customHeight="1">
      <c r="A3615" s="75"/>
      <c r="B3615" s="57"/>
      <c r="C3615" s="57"/>
      <c r="D3615" s="57"/>
      <c r="E3615" s="57"/>
    </row>
    <row r="3616" spans="1:7" ht="15" hidden="1" customHeight="1">
      <c r="A3616" s="75"/>
      <c r="B3616" s="57"/>
      <c r="C3616" s="57"/>
      <c r="D3616" s="57"/>
      <c r="E3616" s="57"/>
    </row>
    <row r="3617" spans="1:5" ht="15" hidden="1" customHeight="1">
      <c r="A3617" s="75"/>
      <c r="B3617" s="57"/>
      <c r="C3617" s="57"/>
      <c r="D3617" s="57"/>
      <c r="E3617" s="57"/>
    </row>
    <row r="3618" spans="1:5" ht="15" hidden="1" customHeight="1">
      <c r="A3618" s="75"/>
      <c r="B3618" s="57"/>
      <c r="C3618" s="57"/>
      <c r="D3618" s="57"/>
      <c r="E3618" s="57"/>
    </row>
    <row r="3619" spans="1:5" ht="15" hidden="1" customHeight="1">
      <c r="A3619" s="75"/>
      <c r="B3619" s="57"/>
      <c r="C3619" s="57"/>
      <c r="D3619" s="57"/>
      <c r="E3619" s="57"/>
    </row>
    <row r="3620" spans="1:5" ht="15" hidden="1" customHeight="1">
      <c r="A3620" s="75"/>
      <c r="B3620" s="57"/>
      <c r="C3620" s="57"/>
      <c r="D3620" s="57"/>
      <c r="E3620" s="57"/>
    </row>
    <row r="3621" spans="1:5" ht="15" hidden="1" customHeight="1">
      <c r="A3621" s="75"/>
      <c r="B3621" s="57"/>
      <c r="C3621" s="57"/>
      <c r="D3621" s="57"/>
      <c r="E3621" s="57"/>
    </row>
    <row r="3622" spans="1:5" ht="15" hidden="1" customHeight="1">
      <c r="A3622" s="75"/>
      <c r="B3622" s="57"/>
      <c r="C3622" s="57"/>
      <c r="D3622" s="57"/>
      <c r="E3622" s="57"/>
    </row>
    <row r="3623" spans="1:5" ht="15" hidden="1" customHeight="1">
      <c r="A3623" s="75"/>
      <c r="B3623" s="57"/>
      <c r="C3623" s="57"/>
      <c r="D3623" s="57"/>
      <c r="E3623" s="57"/>
    </row>
    <row r="3624" spans="1:5" ht="15" hidden="1" customHeight="1">
      <c r="A3624" s="75"/>
      <c r="B3624" s="57"/>
      <c r="C3624" s="57"/>
      <c r="D3624" s="57"/>
      <c r="E3624" s="57"/>
    </row>
    <row r="3625" spans="1:5" ht="15" hidden="1" customHeight="1">
      <c r="A3625" s="75"/>
      <c r="B3625" s="57"/>
      <c r="C3625" s="57"/>
      <c r="D3625" s="57"/>
      <c r="E3625" s="57"/>
    </row>
    <row r="3626" spans="1:5" ht="15" hidden="1" customHeight="1">
      <c r="A3626" s="75"/>
      <c r="B3626" s="57"/>
      <c r="C3626" s="57"/>
      <c r="E3626" s="57"/>
    </row>
    <row r="3627" spans="1:5" ht="15" hidden="1" customHeight="1">
      <c r="A3627" s="75"/>
      <c r="B3627" s="57"/>
      <c r="C3627" s="57"/>
      <c r="D3627" s="57"/>
      <c r="E3627" s="57"/>
    </row>
    <row r="3628" spans="1:5" ht="15" hidden="1" customHeight="1">
      <c r="A3628" s="75"/>
      <c r="B3628" s="57"/>
      <c r="C3628" s="57"/>
      <c r="D3628" s="57"/>
      <c r="E3628" s="57"/>
    </row>
    <row r="3629" spans="1:5" ht="15" hidden="1" customHeight="1">
      <c r="A3629" s="75"/>
      <c r="B3629" s="57"/>
      <c r="C3629" s="57"/>
      <c r="D3629" s="57"/>
      <c r="E3629" s="57"/>
    </row>
    <row r="3630" spans="1:5" ht="15" hidden="1" customHeight="1">
      <c r="A3630" s="75"/>
      <c r="B3630" s="57"/>
      <c r="C3630" s="57"/>
      <c r="D3630" s="57"/>
      <c r="E3630" s="57"/>
    </row>
    <row r="3631" spans="1:5" ht="15" hidden="1" customHeight="1">
      <c r="A3631" s="75"/>
      <c r="B3631" s="57"/>
      <c r="C3631" s="57"/>
      <c r="D3631" s="57"/>
      <c r="E3631" s="57"/>
    </row>
    <row r="3632" spans="1:5" ht="15" hidden="1" customHeight="1">
      <c r="A3632" s="75"/>
      <c r="B3632" s="57"/>
      <c r="C3632" s="57"/>
      <c r="D3632" s="57"/>
      <c r="E3632" s="57"/>
    </row>
    <row r="3633" spans="1:5" ht="15" hidden="1" customHeight="1">
      <c r="A3633" s="75"/>
      <c r="B3633" s="57"/>
      <c r="C3633" s="57"/>
      <c r="D3633" s="57"/>
      <c r="E3633" s="57"/>
    </row>
    <row r="3634" spans="1:5" ht="15" hidden="1" customHeight="1">
      <c r="A3634" s="75"/>
      <c r="B3634" s="57"/>
      <c r="C3634" s="57"/>
      <c r="D3634" s="57"/>
      <c r="E3634" s="57"/>
    </row>
    <row r="3635" spans="1:5" ht="15" hidden="1" customHeight="1">
      <c r="A3635" s="75"/>
      <c r="B3635" s="57"/>
      <c r="C3635" s="57"/>
      <c r="D3635" s="57"/>
      <c r="E3635" s="57"/>
    </row>
    <row r="3636" spans="1:5" ht="15" hidden="1" customHeight="1">
      <c r="A3636" s="75"/>
      <c r="B3636" s="57"/>
      <c r="C3636" s="57"/>
      <c r="D3636" s="57"/>
      <c r="E3636" s="57"/>
    </row>
    <row r="3637" spans="1:5" ht="15" hidden="1" customHeight="1">
      <c r="A3637" s="75"/>
      <c r="B3637" s="57"/>
      <c r="C3637" s="57"/>
      <c r="D3637" s="57"/>
      <c r="E3637" s="57"/>
    </row>
    <row r="3638" spans="1:5" ht="15" hidden="1" customHeight="1">
      <c r="A3638" s="75"/>
      <c r="B3638" s="57"/>
      <c r="C3638" s="57"/>
      <c r="D3638" s="57"/>
      <c r="E3638" s="57"/>
    </row>
    <row r="3639" spans="1:5" ht="15" hidden="1" customHeight="1">
      <c r="A3639" s="75"/>
      <c r="B3639" s="57"/>
      <c r="C3639" s="57"/>
      <c r="D3639" s="57"/>
      <c r="E3639" s="57"/>
    </row>
    <row r="3640" spans="1:5" ht="15" hidden="1" customHeight="1">
      <c r="A3640" s="75"/>
      <c r="B3640" s="57"/>
      <c r="C3640" s="58"/>
      <c r="D3640" s="61"/>
      <c r="E3640" s="57"/>
    </row>
    <row r="3641" spans="1:5" ht="15" hidden="1" customHeight="1">
      <c r="A3641" s="75"/>
      <c r="B3641" s="57"/>
      <c r="C3641" s="58"/>
      <c r="D3641" s="61"/>
      <c r="E3641" s="57"/>
    </row>
    <row r="3642" spans="1:5" ht="15" hidden="1" customHeight="1">
      <c r="A3642" s="75"/>
      <c r="B3642" s="57"/>
      <c r="C3642" s="58"/>
      <c r="D3642" s="61"/>
      <c r="E3642" s="57"/>
    </row>
    <row r="3643" spans="1:5" ht="15" hidden="1" customHeight="1">
      <c r="A3643" s="75"/>
      <c r="B3643" s="57"/>
      <c r="C3643" s="58"/>
      <c r="D3643" s="61"/>
      <c r="E3643" s="57"/>
    </row>
    <row r="3644" spans="1:5" ht="15" hidden="1" customHeight="1">
      <c r="A3644" s="75"/>
      <c r="B3644" s="57"/>
      <c r="C3644" s="61"/>
      <c r="D3644" s="61"/>
      <c r="E3644" s="57"/>
    </row>
    <row r="3645" spans="1:5" ht="15" hidden="1" customHeight="1">
      <c r="A3645" s="75"/>
      <c r="B3645" s="57"/>
      <c r="C3645" s="61"/>
      <c r="D3645" s="61"/>
      <c r="E3645" s="57"/>
    </row>
    <row r="3646" spans="1:5" ht="15" hidden="1" customHeight="1">
      <c r="A3646" s="75"/>
      <c r="B3646" s="57"/>
      <c r="C3646" s="61"/>
      <c r="D3646" s="61"/>
      <c r="E3646" s="57"/>
    </row>
    <row r="3647" spans="1:5" ht="15" hidden="1" customHeight="1">
      <c r="A3647" s="75"/>
      <c r="B3647" s="57"/>
      <c r="C3647" s="61"/>
      <c r="D3647" s="61"/>
      <c r="E3647" s="57"/>
    </row>
    <row r="3648" spans="1:5" ht="15" hidden="1" customHeight="1">
      <c r="A3648" s="75"/>
      <c r="B3648" s="57"/>
      <c r="C3648" s="61"/>
      <c r="D3648" s="61"/>
      <c r="E3648" s="57"/>
    </row>
    <row r="3649" spans="1:5" ht="15" hidden="1" customHeight="1">
      <c r="A3649" s="75"/>
      <c r="B3649" s="57"/>
      <c r="C3649" s="61"/>
      <c r="D3649" s="61"/>
      <c r="E3649" s="57"/>
    </row>
    <row r="3650" spans="1:5" ht="15" hidden="1" customHeight="1">
      <c r="A3650" s="75"/>
      <c r="B3650" s="57"/>
      <c r="C3650" s="61"/>
      <c r="D3650" s="61"/>
      <c r="E3650" s="57"/>
    </row>
    <row r="3651" spans="1:5" ht="15" hidden="1" customHeight="1">
      <c r="A3651" s="75"/>
      <c r="B3651" s="57"/>
      <c r="C3651" s="61"/>
      <c r="D3651" s="61"/>
      <c r="E3651" s="57"/>
    </row>
    <row r="3652" spans="1:5" ht="15" hidden="1" customHeight="1">
      <c r="A3652" s="75"/>
      <c r="B3652" s="57"/>
      <c r="C3652" s="61"/>
      <c r="D3652" s="61"/>
      <c r="E3652" s="57"/>
    </row>
    <row r="3653" spans="1:5" ht="15" hidden="1" customHeight="1">
      <c r="A3653" s="75"/>
      <c r="B3653" s="57"/>
      <c r="C3653" s="61"/>
      <c r="D3653" s="61"/>
      <c r="E3653" s="57"/>
    </row>
    <row r="3654" spans="1:5" ht="15" hidden="1" customHeight="1">
      <c r="A3654" s="75"/>
      <c r="B3654" s="57"/>
      <c r="C3654" s="61"/>
      <c r="D3654" s="61"/>
      <c r="E3654" s="57"/>
    </row>
    <row r="3655" spans="1:5" ht="15" hidden="1" customHeight="1">
      <c r="A3655" s="75"/>
      <c r="B3655" s="57"/>
      <c r="C3655" s="61"/>
      <c r="D3655" s="61"/>
      <c r="E3655" s="57"/>
    </row>
    <row r="3656" spans="1:5" ht="15" hidden="1" customHeight="1">
      <c r="A3656" s="75"/>
      <c r="B3656" s="57"/>
      <c r="C3656" s="61"/>
      <c r="D3656" s="61"/>
      <c r="E3656" s="57"/>
    </row>
    <row r="3657" spans="1:5" ht="15" hidden="1" customHeight="1">
      <c r="A3657" s="75"/>
      <c r="B3657" s="57"/>
      <c r="C3657" s="61"/>
      <c r="D3657" s="61"/>
      <c r="E3657" s="57"/>
    </row>
    <row r="3658" spans="1:5" ht="15" hidden="1" customHeight="1">
      <c r="A3658" s="75"/>
      <c r="B3658" s="57"/>
      <c r="C3658" s="61"/>
      <c r="D3658" s="61"/>
      <c r="E3658" s="57"/>
    </row>
    <row r="3659" spans="1:5" ht="15" hidden="1" customHeight="1">
      <c r="A3659" s="75"/>
      <c r="B3659" s="57"/>
      <c r="C3659" s="61"/>
      <c r="D3659" s="61"/>
      <c r="E3659" s="57"/>
    </row>
    <row r="3660" spans="1:5" ht="15" hidden="1" customHeight="1">
      <c r="A3660" s="75"/>
      <c r="B3660" s="57"/>
      <c r="C3660" s="61"/>
      <c r="D3660" s="61"/>
      <c r="E3660" s="57"/>
    </row>
    <row r="3661" spans="1:5" ht="15" hidden="1" customHeight="1">
      <c r="A3661" s="75"/>
      <c r="B3661" s="57"/>
      <c r="C3661" s="61"/>
      <c r="D3661" s="61"/>
      <c r="E3661" s="57"/>
    </row>
    <row r="3662" spans="1:5" ht="15" hidden="1" customHeight="1">
      <c r="A3662" s="75"/>
      <c r="B3662" s="57"/>
      <c r="C3662" s="61"/>
      <c r="D3662" s="61"/>
      <c r="E3662" s="57"/>
    </row>
    <row r="3663" spans="1:5" ht="15" hidden="1" customHeight="1">
      <c r="A3663" s="75"/>
      <c r="B3663" s="57"/>
      <c r="C3663" s="61"/>
      <c r="D3663" s="61"/>
      <c r="E3663" s="57"/>
    </row>
    <row r="3664" spans="1:5" ht="15" hidden="1" customHeight="1">
      <c r="A3664" s="75"/>
      <c r="B3664" s="57"/>
      <c r="C3664" s="61"/>
      <c r="D3664" s="61"/>
      <c r="E3664" s="57"/>
    </row>
    <row r="3665" spans="1:5" ht="15" hidden="1" customHeight="1">
      <c r="A3665" s="75"/>
      <c r="B3665" s="57"/>
      <c r="C3665" s="61"/>
      <c r="D3665" s="61"/>
      <c r="E3665" s="57"/>
    </row>
    <row r="3666" spans="1:5" ht="15" hidden="1" customHeight="1">
      <c r="A3666" s="75"/>
      <c r="B3666" s="57"/>
      <c r="C3666" s="61"/>
      <c r="D3666" s="61"/>
      <c r="E3666" s="57"/>
    </row>
    <row r="3667" spans="1:5" ht="15" hidden="1" customHeight="1">
      <c r="A3667" s="75"/>
      <c r="B3667" s="57"/>
      <c r="C3667" s="61"/>
      <c r="D3667" s="61"/>
      <c r="E3667" s="57"/>
    </row>
    <row r="3668" spans="1:5" ht="15" hidden="1" customHeight="1">
      <c r="A3668" s="75"/>
      <c r="B3668" s="57"/>
      <c r="C3668" s="61"/>
      <c r="D3668" s="61"/>
      <c r="E3668" s="57"/>
    </row>
    <row r="3669" spans="1:5" ht="15" hidden="1" customHeight="1">
      <c r="A3669" s="75"/>
      <c r="B3669" s="57"/>
      <c r="C3669" s="61"/>
      <c r="D3669" s="61"/>
      <c r="E3669" s="57"/>
    </row>
    <row r="3670" spans="1:5" ht="15" hidden="1" customHeight="1">
      <c r="A3670" s="75"/>
      <c r="B3670" s="57"/>
      <c r="C3670" s="61"/>
      <c r="D3670" s="61"/>
      <c r="E3670" s="57"/>
    </row>
    <row r="3671" spans="1:5" ht="15" hidden="1" customHeight="1">
      <c r="A3671" s="75"/>
      <c r="B3671" s="57"/>
      <c r="C3671" s="61"/>
      <c r="D3671" s="61"/>
      <c r="E3671" s="57"/>
    </row>
    <row r="3672" spans="1:5" ht="15" hidden="1" customHeight="1">
      <c r="A3672" s="75"/>
      <c r="B3672" s="57"/>
      <c r="C3672" s="61"/>
      <c r="D3672" s="61"/>
      <c r="E3672" s="57"/>
    </row>
    <row r="3673" spans="1:5" ht="15" hidden="1" customHeight="1">
      <c r="A3673" s="75"/>
      <c r="B3673" s="57"/>
      <c r="C3673" s="61"/>
      <c r="D3673" s="61"/>
      <c r="E3673" s="57"/>
    </row>
    <row r="3674" spans="1:5" ht="15" hidden="1" customHeight="1">
      <c r="A3674" s="75"/>
      <c r="B3674" s="57"/>
      <c r="C3674" s="58"/>
      <c r="D3674" s="61"/>
      <c r="E3674" s="57"/>
    </row>
    <row r="3675" spans="1:5" ht="15" hidden="1" customHeight="1">
      <c r="A3675" s="75"/>
      <c r="B3675" s="57"/>
      <c r="C3675" s="58"/>
      <c r="D3675" s="61"/>
      <c r="E3675" s="57"/>
    </row>
    <row r="3676" spans="1:5" ht="15" hidden="1" customHeight="1">
      <c r="A3676" s="75"/>
      <c r="B3676" s="57"/>
      <c r="C3676" s="58"/>
      <c r="D3676" s="61"/>
      <c r="E3676" s="57"/>
    </row>
    <row r="3677" spans="1:5" ht="15" hidden="1" customHeight="1">
      <c r="A3677" s="75"/>
      <c r="B3677" s="57"/>
      <c r="C3677" s="58"/>
      <c r="D3677" s="61"/>
      <c r="E3677" s="57"/>
    </row>
    <row r="3678" spans="1:5" ht="15" hidden="1" customHeight="1">
      <c r="A3678" s="75"/>
      <c r="B3678" s="57"/>
      <c r="C3678" s="58"/>
      <c r="D3678" s="61"/>
      <c r="E3678" s="57"/>
    </row>
    <row r="3679" spans="1:5" ht="15" hidden="1" customHeight="1">
      <c r="A3679" s="75"/>
      <c r="B3679" s="57"/>
      <c r="C3679" s="58"/>
      <c r="D3679" s="61"/>
      <c r="E3679" s="57"/>
    </row>
    <row r="3680" spans="1:5" ht="15" hidden="1" customHeight="1">
      <c r="A3680" s="75"/>
      <c r="B3680" s="57"/>
      <c r="C3680" s="58"/>
      <c r="D3680" s="61"/>
      <c r="E3680" s="57"/>
    </row>
    <row r="3681" spans="1:5" ht="15" hidden="1" customHeight="1">
      <c r="A3681" s="75"/>
      <c r="B3681" s="57"/>
      <c r="C3681" s="58"/>
      <c r="D3681" s="61"/>
      <c r="E3681" s="57"/>
    </row>
    <row r="3682" spans="1:5" ht="15" hidden="1" customHeight="1">
      <c r="A3682" s="75"/>
      <c r="B3682" s="57"/>
      <c r="C3682" s="57"/>
      <c r="D3682" s="57"/>
      <c r="E3682" s="57"/>
    </row>
    <row r="3683" spans="1:5" ht="15" hidden="1" customHeight="1">
      <c r="A3683" s="75"/>
      <c r="B3683" s="57"/>
      <c r="C3683" s="57"/>
      <c r="D3683" s="57"/>
      <c r="E3683" s="57"/>
    </row>
    <row r="3684" spans="1:5" ht="15" hidden="1" customHeight="1">
      <c r="A3684" s="75"/>
      <c r="B3684" s="57"/>
      <c r="C3684" s="57"/>
      <c r="D3684" s="57"/>
      <c r="E3684" s="57"/>
    </row>
    <row r="3685" spans="1:5" ht="15" hidden="1" customHeight="1">
      <c r="A3685" s="75"/>
      <c r="B3685" s="57"/>
      <c r="C3685" s="57"/>
      <c r="D3685" s="57"/>
      <c r="E3685" s="57"/>
    </row>
    <row r="3686" spans="1:5" ht="15" hidden="1" customHeight="1">
      <c r="A3686" s="75"/>
      <c r="B3686" s="57"/>
      <c r="C3686" s="57"/>
      <c r="D3686" s="57"/>
      <c r="E3686" s="57"/>
    </row>
    <row r="3687" spans="1:5" ht="15" hidden="1" customHeight="1">
      <c r="A3687" s="75"/>
      <c r="B3687" s="57"/>
      <c r="C3687" s="57"/>
      <c r="D3687" s="57"/>
      <c r="E3687" s="57"/>
    </row>
    <row r="3688" spans="1:5" ht="15" hidden="1" customHeight="1">
      <c r="A3688" s="75"/>
      <c r="B3688" s="57"/>
      <c r="C3688" s="57"/>
      <c r="D3688" s="57"/>
      <c r="E3688" s="57"/>
    </row>
    <row r="3689" spans="1:5" ht="15" hidden="1" customHeight="1">
      <c r="A3689" s="75"/>
      <c r="B3689" s="57"/>
      <c r="C3689" s="58"/>
      <c r="D3689" s="61"/>
      <c r="E3689" s="57"/>
    </row>
    <row r="3690" spans="1:5" ht="15" hidden="1" customHeight="1">
      <c r="A3690" s="75"/>
      <c r="B3690" s="57"/>
      <c r="C3690" s="61"/>
      <c r="D3690" s="61"/>
      <c r="E3690" s="57"/>
    </row>
    <row r="3691" spans="1:5" ht="15" hidden="1" customHeight="1">
      <c r="A3691" s="75"/>
      <c r="B3691" s="57"/>
      <c r="C3691" s="61"/>
      <c r="D3691" s="61"/>
      <c r="E3691" s="57"/>
    </row>
    <row r="3692" spans="1:5" ht="15" hidden="1" customHeight="1">
      <c r="A3692" s="75"/>
      <c r="B3692" s="57"/>
      <c r="C3692" s="61"/>
      <c r="D3692" s="61"/>
      <c r="E3692" s="57"/>
    </row>
    <row r="3693" spans="1:5" ht="15" hidden="1" customHeight="1">
      <c r="A3693" s="75"/>
      <c r="B3693" s="57"/>
      <c r="C3693" s="61"/>
      <c r="D3693" s="61"/>
      <c r="E3693" s="57"/>
    </row>
    <row r="3694" spans="1:5" ht="15" hidden="1" customHeight="1">
      <c r="A3694" s="75"/>
      <c r="B3694" s="57"/>
      <c r="C3694" s="61"/>
      <c r="D3694" s="61"/>
      <c r="E3694" s="57"/>
    </row>
    <row r="3695" spans="1:5" ht="15" hidden="1" customHeight="1">
      <c r="A3695" s="75"/>
      <c r="B3695" s="57"/>
      <c r="C3695" s="61"/>
      <c r="D3695" s="61"/>
      <c r="E3695" s="57"/>
    </row>
    <row r="3696" spans="1:5" ht="15" hidden="1" customHeight="1">
      <c r="A3696" s="75"/>
      <c r="B3696" s="57"/>
      <c r="C3696" s="61"/>
      <c r="D3696" s="61"/>
      <c r="E3696" s="57"/>
    </row>
    <row r="3697" spans="1:5" ht="15" hidden="1" customHeight="1">
      <c r="A3697" s="75"/>
      <c r="B3697" s="57"/>
      <c r="C3697" s="61"/>
      <c r="D3697" s="61"/>
      <c r="E3697" s="57"/>
    </row>
    <row r="3698" spans="1:5" ht="15" hidden="1" customHeight="1">
      <c r="A3698" s="75"/>
      <c r="B3698" s="57"/>
      <c r="C3698" s="61"/>
      <c r="D3698" s="61"/>
      <c r="E3698" s="57"/>
    </row>
    <row r="3699" spans="1:5" ht="15" hidden="1" customHeight="1">
      <c r="A3699" s="75"/>
      <c r="B3699" s="57"/>
      <c r="C3699" s="61"/>
      <c r="D3699" s="61"/>
      <c r="E3699" s="57"/>
    </row>
    <row r="3700" spans="1:5" ht="15" hidden="1" customHeight="1">
      <c r="A3700" s="75"/>
      <c r="B3700" s="57"/>
      <c r="C3700" s="61"/>
      <c r="D3700" s="61"/>
      <c r="E3700" s="57"/>
    </row>
    <row r="3701" spans="1:5" ht="15" hidden="1" customHeight="1">
      <c r="A3701" s="75"/>
      <c r="B3701" s="57"/>
      <c r="C3701" s="61"/>
      <c r="D3701" s="61"/>
      <c r="E3701" s="57"/>
    </row>
    <row r="3702" spans="1:5" ht="15" hidden="1" customHeight="1">
      <c r="A3702" s="75"/>
      <c r="B3702" s="57"/>
      <c r="C3702" s="61"/>
      <c r="D3702" s="61"/>
      <c r="E3702" s="57"/>
    </row>
    <row r="3703" spans="1:5" ht="15" hidden="1" customHeight="1">
      <c r="A3703" s="75"/>
      <c r="B3703" s="57"/>
      <c r="C3703" s="61"/>
      <c r="D3703" s="61"/>
      <c r="E3703" s="57"/>
    </row>
    <row r="3704" spans="1:5" ht="15" hidden="1" customHeight="1">
      <c r="A3704" s="75"/>
      <c r="B3704" s="57"/>
      <c r="C3704" s="61"/>
      <c r="D3704" s="61"/>
      <c r="E3704" s="57"/>
    </row>
    <row r="3705" spans="1:5" ht="15" hidden="1" customHeight="1">
      <c r="A3705" s="75"/>
      <c r="B3705" s="57"/>
      <c r="C3705" s="61"/>
      <c r="D3705" s="61"/>
      <c r="E3705" s="57"/>
    </row>
    <row r="3706" spans="1:5" ht="15" hidden="1" customHeight="1">
      <c r="A3706" s="75"/>
      <c r="B3706" s="57"/>
      <c r="C3706" s="61"/>
      <c r="D3706" s="61"/>
      <c r="E3706" s="57"/>
    </row>
    <row r="3707" spans="1:5" ht="15" hidden="1" customHeight="1">
      <c r="A3707" s="75"/>
      <c r="B3707" s="57"/>
      <c r="C3707" s="61"/>
      <c r="D3707" s="61"/>
      <c r="E3707" s="57"/>
    </row>
    <row r="3708" spans="1:5" ht="15" hidden="1" customHeight="1">
      <c r="A3708" s="75"/>
      <c r="B3708" s="57"/>
      <c r="C3708" s="61"/>
      <c r="D3708" s="61"/>
      <c r="E3708" s="57"/>
    </row>
    <row r="3709" spans="1:5" ht="15" hidden="1" customHeight="1">
      <c r="A3709" s="75"/>
      <c r="B3709" s="57"/>
      <c r="C3709" s="61"/>
      <c r="D3709" s="61"/>
      <c r="E3709" s="57"/>
    </row>
    <row r="3710" spans="1:5" ht="15" hidden="1" customHeight="1">
      <c r="A3710" s="75"/>
      <c r="B3710" s="57"/>
      <c r="C3710" s="61"/>
      <c r="D3710" s="61"/>
      <c r="E3710" s="57"/>
    </row>
    <row r="3711" spans="1:5" ht="15" hidden="1" customHeight="1">
      <c r="A3711" s="75"/>
      <c r="B3711" s="57"/>
      <c r="C3711" s="61"/>
      <c r="D3711" s="61"/>
      <c r="E3711" s="57"/>
    </row>
    <row r="3712" spans="1:5" ht="15" hidden="1" customHeight="1">
      <c r="A3712" s="75"/>
      <c r="B3712" s="57"/>
      <c r="C3712" s="61"/>
      <c r="D3712" s="61"/>
      <c r="E3712" s="57"/>
    </row>
    <row r="3713" spans="1:5" ht="15" hidden="1" customHeight="1">
      <c r="A3713" s="75"/>
      <c r="B3713" s="57"/>
      <c r="C3713" s="61"/>
      <c r="D3713" s="61"/>
      <c r="E3713" s="57"/>
    </row>
    <row r="3714" spans="1:5" ht="15" hidden="1" customHeight="1">
      <c r="A3714" s="75"/>
      <c r="B3714" s="57"/>
      <c r="C3714" s="61"/>
      <c r="D3714" s="61"/>
      <c r="E3714" s="57"/>
    </row>
    <row r="3715" spans="1:5" ht="15" hidden="1" customHeight="1">
      <c r="A3715" s="75"/>
      <c r="B3715" s="57"/>
      <c r="C3715" s="61"/>
      <c r="D3715" s="61"/>
      <c r="E3715" s="57"/>
    </row>
    <row r="3716" spans="1:5" ht="15" hidden="1" customHeight="1">
      <c r="A3716" s="75"/>
      <c r="B3716" s="57"/>
      <c r="C3716" s="58"/>
      <c r="D3716" s="61"/>
      <c r="E3716" s="57"/>
    </row>
    <row r="3717" spans="1:5" ht="15" hidden="1" customHeight="1">
      <c r="A3717" s="75"/>
      <c r="B3717" s="57"/>
      <c r="C3717" s="58"/>
      <c r="D3717" s="61"/>
      <c r="E3717" s="57"/>
    </row>
    <row r="3718" spans="1:5" ht="15" hidden="1" customHeight="1">
      <c r="A3718" s="75"/>
      <c r="B3718" s="57"/>
      <c r="C3718" s="58"/>
      <c r="D3718" s="61"/>
      <c r="E3718" s="57"/>
    </row>
    <row r="3719" spans="1:5" ht="15" hidden="1" customHeight="1">
      <c r="A3719" s="75"/>
      <c r="B3719" s="57"/>
      <c r="C3719" s="58"/>
      <c r="D3719" s="61"/>
      <c r="E3719" s="57"/>
    </row>
    <row r="3720" spans="1:5" ht="15" hidden="1" customHeight="1">
      <c r="A3720" s="75"/>
      <c r="B3720" s="57"/>
      <c r="C3720" s="58"/>
      <c r="D3720" s="61"/>
      <c r="E3720" s="57"/>
    </row>
    <row r="3721" spans="1:5" ht="15" hidden="1" customHeight="1">
      <c r="A3721" s="75"/>
      <c r="B3721" s="57"/>
      <c r="C3721" s="61"/>
      <c r="D3721" s="61"/>
      <c r="E3721" s="57"/>
    </row>
    <row r="3722" spans="1:5" ht="15" hidden="1" customHeight="1">
      <c r="A3722" s="75"/>
      <c r="B3722" s="57"/>
      <c r="C3722" s="57"/>
      <c r="D3722" s="57"/>
      <c r="E3722" s="57"/>
    </row>
    <row r="3723" spans="1:5" ht="15" hidden="1" customHeight="1">
      <c r="A3723" s="75"/>
      <c r="B3723" s="57"/>
      <c r="C3723" s="57"/>
      <c r="D3723" s="57"/>
      <c r="E3723" s="57"/>
    </row>
    <row r="3724" spans="1:5" ht="15" hidden="1" customHeight="1">
      <c r="A3724" s="75"/>
      <c r="B3724" s="57"/>
      <c r="C3724" s="57"/>
      <c r="D3724" s="57"/>
      <c r="E3724" s="57"/>
    </row>
    <row r="3725" spans="1:5" ht="15" hidden="1" customHeight="1">
      <c r="A3725" s="75"/>
      <c r="B3725" s="57"/>
      <c r="C3725" s="57"/>
      <c r="D3725" s="57"/>
      <c r="E3725" s="57"/>
    </row>
    <row r="3726" spans="1:5" ht="15" hidden="1" customHeight="1">
      <c r="A3726" s="75"/>
      <c r="B3726" s="57"/>
      <c r="C3726" s="57"/>
      <c r="D3726" s="57"/>
      <c r="E3726" s="57"/>
    </row>
    <row r="3727" spans="1:5" ht="15" hidden="1" customHeight="1">
      <c r="A3727" s="75"/>
      <c r="B3727" s="57"/>
      <c r="C3727" s="58"/>
      <c r="D3727" s="61"/>
      <c r="E3727" s="57"/>
    </row>
    <row r="3728" spans="1:5" ht="15" hidden="1" customHeight="1">
      <c r="A3728" s="75"/>
      <c r="B3728" s="57"/>
      <c r="C3728" s="58"/>
      <c r="D3728" s="61"/>
      <c r="E3728" s="57"/>
    </row>
    <row r="3729" spans="1:5" ht="15" hidden="1" customHeight="1">
      <c r="A3729" s="75"/>
      <c r="B3729" s="57"/>
      <c r="C3729" s="61"/>
      <c r="D3729" s="61"/>
      <c r="E3729" s="57"/>
    </row>
    <row r="3730" spans="1:5" ht="15" hidden="1" customHeight="1">
      <c r="A3730" s="75"/>
      <c r="B3730" s="57"/>
      <c r="C3730" s="61"/>
      <c r="D3730" s="61"/>
      <c r="E3730" s="57"/>
    </row>
    <row r="3731" spans="1:5" ht="15" hidden="1" customHeight="1">
      <c r="A3731" s="75"/>
      <c r="B3731" s="57"/>
      <c r="C3731" s="61"/>
      <c r="D3731" s="61"/>
      <c r="E3731" s="57"/>
    </row>
    <row r="3732" spans="1:5" ht="15" hidden="1" customHeight="1">
      <c r="A3732" s="75"/>
      <c r="B3732" s="57"/>
      <c r="C3732" s="61"/>
      <c r="D3732" s="61"/>
      <c r="E3732" s="57"/>
    </row>
    <row r="3733" spans="1:5" ht="15" hidden="1" customHeight="1">
      <c r="A3733" s="75"/>
      <c r="B3733" s="57"/>
      <c r="C3733" s="61"/>
      <c r="D3733" s="61"/>
      <c r="E3733" s="57"/>
    </row>
    <row r="3734" spans="1:5" ht="15" hidden="1" customHeight="1">
      <c r="A3734" s="75"/>
      <c r="B3734" s="57"/>
      <c r="C3734" s="61"/>
      <c r="D3734" s="61"/>
      <c r="E3734" s="57"/>
    </row>
    <row r="3735" spans="1:5" ht="15" hidden="1" customHeight="1">
      <c r="A3735" s="75"/>
      <c r="B3735" s="57"/>
      <c r="C3735" s="61"/>
      <c r="D3735" s="61"/>
      <c r="E3735" s="57"/>
    </row>
    <row r="3736" spans="1:5" ht="15" hidden="1" customHeight="1">
      <c r="A3736" s="75"/>
      <c r="B3736" s="57"/>
      <c r="C3736" s="61"/>
      <c r="D3736" s="61"/>
      <c r="E3736" s="57"/>
    </row>
    <row r="3737" spans="1:5" ht="15" hidden="1" customHeight="1">
      <c r="A3737" s="75"/>
      <c r="B3737" s="57"/>
      <c r="C3737" s="61"/>
      <c r="D3737" s="61"/>
      <c r="E3737" s="57"/>
    </row>
    <row r="3738" spans="1:5" ht="15" hidden="1" customHeight="1">
      <c r="A3738" s="75"/>
      <c r="B3738" s="57"/>
      <c r="C3738" s="61"/>
      <c r="D3738" s="61"/>
      <c r="E3738" s="57"/>
    </row>
    <row r="3739" spans="1:5" ht="15" hidden="1" customHeight="1">
      <c r="A3739" s="75"/>
      <c r="B3739" s="57"/>
      <c r="C3739" s="61"/>
      <c r="D3739" s="61"/>
      <c r="E3739" s="57"/>
    </row>
    <row r="3740" spans="1:5" ht="15" hidden="1" customHeight="1">
      <c r="A3740" s="75"/>
      <c r="B3740" s="57"/>
      <c r="C3740" s="61"/>
      <c r="D3740" s="61"/>
      <c r="E3740" s="57"/>
    </row>
    <row r="3741" spans="1:5" ht="15" hidden="1" customHeight="1">
      <c r="A3741" s="75"/>
      <c r="B3741" s="57"/>
      <c r="C3741" s="61"/>
      <c r="D3741" s="61"/>
      <c r="E3741" s="57"/>
    </row>
    <row r="3742" spans="1:5" ht="15" hidden="1" customHeight="1">
      <c r="A3742" s="75"/>
      <c r="B3742" s="57"/>
      <c r="C3742" s="61"/>
      <c r="D3742" s="61"/>
      <c r="E3742" s="57"/>
    </row>
    <row r="3743" spans="1:5" ht="15" hidden="1" customHeight="1">
      <c r="A3743" s="75"/>
      <c r="B3743" s="57"/>
      <c r="C3743" s="61"/>
      <c r="D3743" s="61"/>
      <c r="E3743" s="57"/>
    </row>
    <row r="3744" spans="1:5" ht="15" hidden="1" customHeight="1">
      <c r="A3744" s="75"/>
      <c r="B3744" s="57"/>
      <c r="C3744" s="61"/>
      <c r="D3744" s="61"/>
      <c r="E3744" s="57"/>
    </row>
    <row r="3745" spans="1:5" ht="15" hidden="1" customHeight="1">
      <c r="A3745" s="75"/>
      <c r="B3745" s="57"/>
      <c r="C3745" s="61"/>
      <c r="D3745" s="61"/>
      <c r="E3745" s="57"/>
    </row>
    <row r="3746" spans="1:5" ht="15" hidden="1" customHeight="1">
      <c r="A3746" s="75"/>
      <c r="B3746" s="57"/>
      <c r="C3746" s="61"/>
      <c r="D3746" s="61"/>
      <c r="E3746" s="57"/>
    </row>
    <row r="3747" spans="1:5" ht="15" hidden="1" customHeight="1">
      <c r="A3747" s="75"/>
      <c r="B3747" s="57"/>
      <c r="C3747" s="61"/>
      <c r="D3747" s="61"/>
      <c r="E3747" s="57"/>
    </row>
    <row r="3748" spans="1:5" ht="15" hidden="1" customHeight="1">
      <c r="A3748" s="75"/>
      <c r="B3748" s="57"/>
      <c r="C3748" s="61"/>
      <c r="D3748" s="61"/>
      <c r="E3748" s="57"/>
    </row>
    <row r="3749" spans="1:5" ht="15" hidden="1" customHeight="1">
      <c r="A3749" s="75"/>
      <c r="B3749" s="57"/>
      <c r="C3749" s="61"/>
      <c r="D3749" s="61"/>
      <c r="E3749" s="57"/>
    </row>
    <row r="3750" spans="1:5" ht="15" hidden="1" customHeight="1">
      <c r="A3750" s="75"/>
      <c r="B3750" s="57"/>
      <c r="C3750" s="58"/>
      <c r="D3750" s="61"/>
      <c r="E3750" s="57"/>
    </row>
    <row r="3751" spans="1:5" ht="15" hidden="1" customHeight="1">
      <c r="A3751" s="75"/>
      <c r="B3751" s="57"/>
      <c r="C3751" s="58"/>
      <c r="D3751" s="61"/>
      <c r="E3751" s="57"/>
    </row>
    <row r="3752" spans="1:5" ht="15" hidden="1" customHeight="1">
      <c r="A3752" s="75"/>
      <c r="B3752" s="57"/>
      <c r="C3752" s="58"/>
      <c r="D3752" s="61"/>
      <c r="E3752" s="57"/>
    </row>
    <row r="3753" spans="1:5" ht="15" hidden="1" customHeight="1">
      <c r="A3753" s="75"/>
      <c r="B3753" s="57"/>
      <c r="C3753" s="57"/>
      <c r="D3753" s="57"/>
      <c r="E3753" s="57"/>
    </row>
    <row r="3754" spans="1:5" ht="15" hidden="1" customHeight="1">
      <c r="A3754" s="75"/>
      <c r="B3754" s="57"/>
      <c r="C3754" s="57"/>
      <c r="D3754" s="57"/>
      <c r="E3754" s="57"/>
    </row>
    <row r="3755" spans="1:5" ht="15" hidden="1" customHeight="1">
      <c r="A3755" s="75"/>
      <c r="B3755" s="57"/>
      <c r="C3755" s="57"/>
      <c r="D3755" s="57"/>
      <c r="E3755" s="57"/>
    </row>
    <row r="3756" spans="1:5" ht="15" hidden="1" customHeight="1">
      <c r="A3756" s="75"/>
      <c r="B3756" s="57"/>
      <c r="C3756" s="57"/>
      <c r="D3756" s="57"/>
      <c r="E3756" s="57"/>
    </row>
    <row r="3757" spans="1:5" ht="15" hidden="1" customHeight="1">
      <c r="A3757" s="75"/>
      <c r="B3757" s="57"/>
      <c r="C3757" s="57"/>
      <c r="D3757" s="57"/>
      <c r="E3757" s="57"/>
    </row>
    <row r="3758" spans="1:5" ht="15" hidden="1" customHeight="1">
      <c r="A3758" s="75"/>
      <c r="B3758" s="57"/>
      <c r="C3758" s="57"/>
      <c r="D3758" s="57"/>
      <c r="E3758" s="57"/>
    </row>
    <row r="3759" spans="1:5" ht="15" hidden="1" customHeight="1">
      <c r="A3759" s="75"/>
      <c r="B3759" s="57"/>
      <c r="C3759" s="57"/>
      <c r="D3759" s="57"/>
      <c r="E3759" s="57"/>
    </row>
    <row r="3760" spans="1:5" ht="15" hidden="1" customHeight="1">
      <c r="A3760" s="75"/>
      <c r="B3760" s="57"/>
      <c r="C3760" s="58"/>
      <c r="D3760" s="61"/>
      <c r="E3760" s="57"/>
    </row>
    <row r="3761" spans="1:5" ht="15" hidden="1" customHeight="1">
      <c r="A3761" s="75"/>
      <c r="B3761" s="57"/>
      <c r="C3761" s="61"/>
      <c r="D3761" s="61"/>
      <c r="E3761" s="57"/>
    </row>
    <row r="3762" spans="1:5" ht="15" hidden="1" customHeight="1">
      <c r="A3762" s="75"/>
      <c r="B3762" s="57"/>
      <c r="C3762" s="61"/>
      <c r="D3762" s="61"/>
      <c r="E3762" s="57"/>
    </row>
    <row r="3763" spans="1:5" ht="15" hidden="1" customHeight="1">
      <c r="A3763" s="75"/>
      <c r="B3763" s="57"/>
      <c r="C3763" s="61"/>
      <c r="D3763" s="61"/>
      <c r="E3763" s="57"/>
    </row>
    <row r="3764" spans="1:5" ht="15" hidden="1" customHeight="1">
      <c r="A3764" s="75"/>
      <c r="B3764" s="57"/>
      <c r="C3764" s="61"/>
      <c r="D3764" s="61"/>
      <c r="E3764" s="57"/>
    </row>
    <row r="3765" spans="1:5" ht="15" hidden="1" customHeight="1">
      <c r="A3765" s="75"/>
      <c r="B3765" s="57"/>
      <c r="C3765" s="61"/>
      <c r="D3765" s="61"/>
      <c r="E3765" s="57"/>
    </row>
    <row r="3766" spans="1:5" ht="15" hidden="1" customHeight="1">
      <c r="A3766" s="75"/>
      <c r="B3766" s="57"/>
      <c r="C3766" s="61"/>
      <c r="D3766" s="61"/>
      <c r="E3766" s="57"/>
    </row>
    <row r="3767" spans="1:5" ht="15" hidden="1" customHeight="1">
      <c r="A3767" s="75"/>
      <c r="B3767" s="57"/>
      <c r="C3767" s="61"/>
      <c r="D3767" s="61"/>
      <c r="E3767" s="57"/>
    </row>
    <row r="3768" spans="1:5" ht="15" hidden="1" customHeight="1">
      <c r="A3768" s="75"/>
      <c r="B3768" s="57"/>
      <c r="C3768" s="61"/>
      <c r="D3768" s="61"/>
      <c r="E3768" s="57"/>
    </row>
    <row r="3769" spans="1:5" ht="15" hidden="1" customHeight="1">
      <c r="A3769" s="75"/>
      <c r="B3769" s="57"/>
      <c r="C3769" s="61"/>
      <c r="D3769" s="61"/>
      <c r="E3769" s="57"/>
    </row>
    <row r="3770" spans="1:5" ht="15" hidden="1" customHeight="1">
      <c r="A3770" s="75"/>
      <c r="B3770" s="57"/>
      <c r="C3770" s="61"/>
      <c r="D3770" s="61"/>
      <c r="E3770" s="57"/>
    </row>
    <row r="3771" spans="1:5" ht="15" hidden="1" customHeight="1">
      <c r="A3771" s="75"/>
      <c r="B3771" s="57"/>
      <c r="C3771" s="61"/>
      <c r="D3771" s="61"/>
      <c r="E3771" s="57"/>
    </row>
    <row r="3772" spans="1:5" ht="15" hidden="1" customHeight="1">
      <c r="A3772" s="75"/>
      <c r="B3772" s="57"/>
      <c r="C3772" s="61"/>
      <c r="D3772" s="61"/>
      <c r="E3772" s="57"/>
    </row>
    <row r="3773" spans="1:5" ht="15" hidden="1" customHeight="1">
      <c r="A3773" s="75"/>
      <c r="B3773" s="57"/>
      <c r="C3773" s="61"/>
      <c r="D3773" s="61"/>
      <c r="E3773" s="57"/>
    </row>
    <row r="3774" spans="1:5" ht="15" hidden="1" customHeight="1">
      <c r="A3774" s="75"/>
      <c r="B3774" s="57"/>
      <c r="C3774" s="61"/>
      <c r="D3774" s="61"/>
      <c r="E3774" s="57"/>
    </row>
    <row r="3775" spans="1:5" ht="15" hidden="1" customHeight="1">
      <c r="A3775" s="75"/>
      <c r="B3775" s="57"/>
      <c r="C3775" s="61"/>
      <c r="D3775" s="61"/>
      <c r="E3775" s="57"/>
    </row>
    <row r="3776" spans="1:5" ht="15" hidden="1" customHeight="1">
      <c r="A3776" s="75"/>
      <c r="B3776" s="57"/>
      <c r="C3776" s="61"/>
      <c r="D3776" s="61"/>
      <c r="E3776" s="57"/>
    </row>
    <row r="3777" spans="1:5" ht="15" hidden="1" customHeight="1">
      <c r="A3777" s="75"/>
      <c r="B3777" s="57"/>
      <c r="C3777" s="61"/>
      <c r="D3777" s="61"/>
      <c r="E3777" s="57"/>
    </row>
    <row r="3778" spans="1:5" ht="15" hidden="1" customHeight="1">
      <c r="A3778" s="75"/>
      <c r="B3778" s="57"/>
      <c r="C3778" s="61"/>
      <c r="D3778" s="61"/>
      <c r="E3778" s="57"/>
    </row>
    <row r="3779" spans="1:5" ht="15" hidden="1" customHeight="1">
      <c r="A3779" s="75"/>
      <c r="B3779" s="57"/>
      <c r="C3779" s="61"/>
      <c r="D3779" s="61"/>
      <c r="E3779" s="57"/>
    </row>
    <row r="3780" spans="1:5" ht="15" hidden="1" customHeight="1">
      <c r="A3780" s="75"/>
      <c r="B3780" s="57"/>
      <c r="C3780" s="61"/>
      <c r="D3780" s="61"/>
      <c r="E3780" s="57"/>
    </row>
    <row r="3781" spans="1:5" ht="15" hidden="1" customHeight="1">
      <c r="A3781" s="75"/>
      <c r="B3781" s="57"/>
      <c r="C3781" s="61"/>
      <c r="D3781" s="61"/>
      <c r="E3781" s="57"/>
    </row>
    <row r="3782" spans="1:5" ht="15" hidden="1" customHeight="1">
      <c r="A3782" s="75"/>
      <c r="B3782" s="57"/>
      <c r="C3782" s="61"/>
      <c r="D3782" s="61"/>
      <c r="E3782" s="57"/>
    </row>
    <row r="3783" spans="1:5" ht="15" hidden="1" customHeight="1">
      <c r="A3783" s="75"/>
      <c r="B3783" s="57"/>
      <c r="C3783" s="61"/>
      <c r="D3783" s="61"/>
      <c r="E3783" s="57"/>
    </row>
    <row r="3784" spans="1:5" ht="15" hidden="1" customHeight="1">
      <c r="A3784" s="75"/>
      <c r="B3784" s="57"/>
      <c r="C3784" s="58"/>
      <c r="D3784" s="61"/>
      <c r="E3784" s="57"/>
    </row>
    <row r="3785" spans="1:5" ht="15" hidden="1" customHeight="1">
      <c r="A3785" s="75"/>
      <c r="B3785" s="57"/>
      <c r="C3785" s="57"/>
      <c r="D3785" s="57"/>
      <c r="E3785" s="57"/>
    </row>
    <row r="3786" spans="1:5" ht="15" hidden="1" customHeight="1">
      <c r="A3786" s="75"/>
      <c r="B3786" s="57"/>
      <c r="C3786" s="57"/>
      <c r="D3786" s="57"/>
      <c r="E3786" s="57"/>
    </row>
    <row r="3787" spans="1:5" ht="15" hidden="1" customHeight="1">
      <c r="A3787" s="75"/>
      <c r="B3787" s="57"/>
      <c r="C3787" s="57"/>
      <c r="D3787" s="57"/>
      <c r="E3787" s="57"/>
    </row>
    <row r="3788" spans="1:5" ht="15" hidden="1" customHeight="1">
      <c r="A3788" s="75"/>
      <c r="B3788" s="57"/>
      <c r="C3788" s="57"/>
      <c r="D3788" s="57"/>
      <c r="E3788" s="57"/>
    </row>
    <row r="3789" spans="1:5" ht="15" hidden="1" customHeight="1">
      <c r="A3789" s="75"/>
      <c r="B3789" s="57"/>
      <c r="C3789" s="57"/>
      <c r="D3789" s="57"/>
      <c r="E3789" s="57"/>
    </row>
    <row r="3790" spans="1:5" ht="15" hidden="1" customHeight="1">
      <c r="A3790" s="75"/>
      <c r="B3790" s="57"/>
      <c r="C3790" s="57"/>
      <c r="D3790" s="57"/>
      <c r="E3790" s="57"/>
    </row>
    <row r="3791" spans="1:5" ht="15" hidden="1" customHeight="1">
      <c r="A3791" s="75"/>
      <c r="B3791" s="57"/>
      <c r="C3791" s="57"/>
      <c r="D3791" s="57"/>
      <c r="E3791" s="57"/>
    </row>
    <row r="3792" spans="1:5" ht="15" hidden="1" customHeight="1">
      <c r="A3792" s="75"/>
      <c r="B3792" s="57"/>
      <c r="C3792" s="57"/>
      <c r="D3792" s="57"/>
      <c r="E3792" s="57"/>
    </row>
    <row r="3793" spans="1:5" ht="15" hidden="1" customHeight="1">
      <c r="A3793" s="75"/>
      <c r="B3793" s="57"/>
      <c r="C3793" s="57"/>
      <c r="D3793" s="57"/>
      <c r="E3793" s="57"/>
    </row>
    <row r="3794" spans="1:5" ht="15" hidden="1" customHeight="1">
      <c r="A3794" s="75"/>
      <c r="B3794" s="57"/>
      <c r="C3794" s="58"/>
      <c r="D3794" s="61"/>
      <c r="E3794" s="57"/>
    </row>
    <row r="3795" spans="1:5" ht="15" hidden="1" customHeight="1">
      <c r="A3795" s="75"/>
      <c r="B3795" s="57"/>
      <c r="C3795" s="58"/>
      <c r="D3795" s="61"/>
      <c r="E3795" s="57"/>
    </row>
    <row r="3796" spans="1:5" ht="15" hidden="1" customHeight="1">
      <c r="A3796" s="75"/>
      <c r="B3796" s="57"/>
      <c r="C3796" s="58"/>
      <c r="D3796" s="61"/>
      <c r="E3796" s="57"/>
    </row>
    <row r="3797" spans="1:5" ht="15" hidden="1" customHeight="1">
      <c r="A3797" s="75"/>
      <c r="B3797" s="57"/>
      <c r="C3797" s="61"/>
      <c r="D3797" s="61"/>
      <c r="E3797" s="57"/>
    </row>
    <row r="3798" spans="1:5" ht="15" hidden="1" customHeight="1">
      <c r="A3798" s="75"/>
      <c r="B3798" s="57"/>
      <c r="C3798" s="61"/>
      <c r="D3798" s="61"/>
      <c r="E3798" s="57"/>
    </row>
    <row r="3799" spans="1:5" ht="15" hidden="1" customHeight="1">
      <c r="A3799" s="75"/>
      <c r="B3799" s="57"/>
      <c r="C3799" s="61"/>
      <c r="D3799" s="61"/>
      <c r="E3799" s="57"/>
    </row>
    <row r="3800" spans="1:5" ht="15" hidden="1" customHeight="1">
      <c r="A3800" s="75"/>
      <c r="B3800" s="57"/>
      <c r="C3800" s="61"/>
      <c r="D3800" s="61"/>
      <c r="E3800" s="57"/>
    </row>
    <row r="3801" spans="1:5" ht="15" hidden="1" customHeight="1">
      <c r="A3801" s="75"/>
      <c r="B3801" s="57"/>
      <c r="C3801" s="61"/>
      <c r="D3801" s="61"/>
      <c r="E3801" s="57"/>
    </row>
    <row r="3802" spans="1:5" ht="15" hidden="1" customHeight="1">
      <c r="A3802" s="75"/>
      <c r="B3802" s="57"/>
      <c r="C3802" s="61"/>
      <c r="D3802" s="61"/>
      <c r="E3802" s="57"/>
    </row>
    <row r="3803" spans="1:5" ht="15" hidden="1" customHeight="1">
      <c r="A3803" s="75"/>
      <c r="B3803" s="57"/>
      <c r="C3803" s="61"/>
      <c r="D3803" s="61"/>
      <c r="E3803" s="57"/>
    </row>
    <row r="3804" spans="1:5" ht="15" hidden="1" customHeight="1">
      <c r="A3804" s="75"/>
      <c r="B3804" s="57"/>
      <c r="C3804" s="61"/>
      <c r="D3804" s="61"/>
      <c r="E3804" s="57"/>
    </row>
    <row r="3805" spans="1:5" ht="15" hidden="1" customHeight="1">
      <c r="A3805" s="75"/>
      <c r="B3805" s="57"/>
      <c r="C3805" s="61"/>
      <c r="D3805" s="61"/>
      <c r="E3805" s="57"/>
    </row>
    <row r="3806" spans="1:5" ht="15" hidden="1" customHeight="1">
      <c r="A3806" s="75"/>
      <c r="B3806" s="57"/>
      <c r="C3806" s="61"/>
      <c r="D3806" s="61"/>
      <c r="E3806" s="57"/>
    </row>
    <row r="3807" spans="1:5" ht="15" hidden="1" customHeight="1">
      <c r="A3807" s="75"/>
      <c r="B3807" s="57"/>
      <c r="C3807" s="61"/>
      <c r="D3807" s="61"/>
      <c r="E3807" s="57"/>
    </row>
    <row r="3808" spans="1:5" ht="15" hidden="1" customHeight="1">
      <c r="A3808" s="75"/>
      <c r="B3808" s="57"/>
      <c r="C3808" s="61"/>
      <c r="D3808" s="61"/>
      <c r="E3808" s="57"/>
    </row>
    <row r="3809" spans="1:5" ht="15" hidden="1" customHeight="1">
      <c r="A3809" s="75"/>
      <c r="B3809" s="57"/>
      <c r="C3809" s="61"/>
      <c r="D3809" s="61"/>
      <c r="E3809" s="57"/>
    </row>
    <row r="3810" spans="1:5" ht="15" hidden="1" customHeight="1">
      <c r="A3810" s="75"/>
      <c r="B3810" s="57"/>
      <c r="C3810" s="61"/>
      <c r="D3810" s="61"/>
      <c r="E3810" s="57"/>
    </row>
    <row r="3811" spans="1:5" ht="15" hidden="1" customHeight="1">
      <c r="A3811" s="75"/>
      <c r="B3811" s="57"/>
      <c r="C3811" s="61"/>
      <c r="D3811" s="61"/>
      <c r="E3811" s="57"/>
    </row>
    <row r="3812" spans="1:5" ht="15" hidden="1" customHeight="1">
      <c r="A3812" s="75"/>
      <c r="B3812" s="57"/>
      <c r="C3812" s="61"/>
      <c r="D3812" s="61"/>
      <c r="E3812" s="57"/>
    </row>
    <row r="3813" spans="1:5" ht="15" hidden="1" customHeight="1">
      <c r="A3813" s="75"/>
      <c r="B3813" s="57"/>
      <c r="C3813" s="61"/>
      <c r="D3813" s="61"/>
      <c r="E3813" s="57"/>
    </row>
    <row r="3814" spans="1:5" ht="15" hidden="1" customHeight="1">
      <c r="A3814" s="75"/>
      <c r="B3814" s="57"/>
      <c r="C3814" s="61"/>
      <c r="D3814" s="57"/>
      <c r="E3814" s="57"/>
    </row>
    <row r="3815" spans="1:5" ht="15" hidden="1" customHeight="1">
      <c r="A3815" s="75"/>
      <c r="B3815" s="57"/>
      <c r="C3815" s="61"/>
      <c r="D3815" s="61"/>
      <c r="E3815" s="57"/>
    </row>
    <row r="3816" spans="1:5" ht="15" hidden="1" customHeight="1">
      <c r="A3816" s="75"/>
      <c r="B3816" s="57"/>
      <c r="C3816" s="61"/>
      <c r="D3816" s="61"/>
      <c r="E3816" s="57"/>
    </row>
    <row r="3817" spans="1:5" ht="15" hidden="1" customHeight="1">
      <c r="A3817" s="75"/>
      <c r="B3817" s="57"/>
      <c r="C3817" s="61"/>
      <c r="D3817" s="61"/>
      <c r="E3817" s="57"/>
    </row>
    <row r="3818" spans="1:5" ht="15" hidden="1" customHeight="1">
      <c r="A3818" s="75"/>
      <c r="B3818" s="57"/>
      <c r="C3818" s="61"/>
      <c r="D3818" s="61"/>
      <c r="E3818" s="57"/>
    </row>
    <row r="3819" spans="1:5" ht="15" hidden="1" customHeight="1">
      <c r="A3819" s="75"/>
      <c r="B3819" s="57"/>
      <c r="C3819" s="61"/>
      <c r="D3819" s="61"/>
      <c r="E3819" s="57"/>
    </row>
    <row r="3820" spans="1:5" ht="15" hidden="1" customHeight="1">
      <c r="A3820" s="75"/>
      <c r="B3820" s="57"/>
      <c r="C3820" s="61"/>
      <c r="D3820" s="61"/>
      <c r="E3820" s="57"/>
    </row>
    <row r="3821" spans="1:5" ht="15" hidden="1" customHeight="1">
      <c r="A3821" s="75"/>
      <c r="B3821" s="57"/>
      <c r="C3821" s="61"/>
      <c r="D3821" s="61"/>
      <c r="E3821" s="57"/>
    </row>
    <row r="3822" spans="1:5" ht="15" hidden="1" customHeight="1">
      <c r="A3822" s="75"/>
      <c r="B3822" s="57"/>
      <c r="C3822" s="61"/>
      <c r="D3822" s="61"/>
      <c r="E3822" s="57"/>
    </row>
    <row r="3823" spans="1:5" ht="15" hidden="1" customHeight="1">
      <c r="A3823" s="75"/>
      <c r="B3823" s="57"/>
      <c r="C3823" s="61"/>
      <c r="D3823" s="61"/>
      <c r="E3823" s="57"/>
    </row>
    <row r="3824" spans="1:5" ht="15" hidden="1" customHeight="1">
      <c r="A3824" s="75"/>
      <c r="B3824" s="57"/>
      <c r="C3824" s="61"/>
      <c r="D3824" s="61"/>
      <c r="E3824" s="57"/>
    </row>
    <row r="3825" spans="1:5" ht="15" hidden="1" customHeight="1">
      <c r="A3825" s="75"/>
      <c r="B3825" s="57"/>
      <c r="C3825" s="61"/>
      <c r="D3825" s="61"/>
      <c r="E3825" s="57"/>
    </row>
    <row r="3826" spans="1:5" ht="15" hidden="1" customHeight="1">
      <c r="A3826" s="75"/>
      <c r="B3826" s="57"/>
      <c r="C3826" s="61"/>
      <c r="D3826" s="61"/>
      <c r="E3826" s="57"/>
    </row>
    <row r="3827" spans="1:5" ht="15" hidden="1" customHeight="1">
      <c r="A3827" s="75"/>
      <c r="B3827" s="57"/>
      <c r="C3827" s="61"/>
      <c r="D3827" s="61"/>
      <c r="E3827" s="57"/>
    </row>
    <row r="3828" spans="1:5" ht="15" hidden="1" customHeight="1">
      <c r="A3828" s="75"/>
      <c r="B3828" s="57"/>
      <c r="C3828" s="58"/>
      <c r="D3828" s="61"/>
      <c r="E3828" s="57"/>
    </row>
    <row r="3829" spans="1:5" ht="15" hidden="1" customHeight="1">
      <c r="A3829" s="75"/>
      <c r="B3829" s="57"/>
      <c r="C3829" s="58"/>
      <c r="D3829" s="61"/>
      <c r="E3829" s="57"/>
    </row>
    <row r="3830" spans="1:5" ht="15" hidden="1" customHeight="1">
      <c r="A3830" s="63"/>
      <c r="B3830" s="59"/>
      <c r="C3830" s="62"/>
      <c r="D3830" s="62"/>
      <c r="E3830" s="59"/>
    </row>
    <row r="3831" spans="1:5" ht="15" hidden="1" customHeight="1">
      <c r="A3831" s="74"/>
    </row>
    <row r="3832" spans="1:5" ht="15" hidden="1" customHeight="1">
      <c r="A3832" s="74"/>
    </row>
    <row r="3833" spans="1:5" ht="15" hidden="1" customHeight="1">
      <c r="A3833" s="74"/>
    </row>
    <row r="3834" spans="1:5" ht="15" hidden="1" customHeight="1">
      <c r="A3834" s="74"/>
    </row>
    <row r="3835" spans="1:5" ht="15" hidden="1" customHeight="1">
      <c r="A3835" s="63"/>
      <c r="B3835" s="59"/>
      <c r="C3835" s="62"/>
      <c r="D3835" s="62"/>
      <c r="E3835" s="59"/>
    </row>
    <row r="3836" spans="1:5" ht="15" hidden="1" customHeight="1">
      <c r="A3836" s="63"/>
      <c r="B3836" s="59"/>
      <c r="C3836" s="62"/>
      <c r="D3836" s="62"/>
      <c r="E3836" s="59"/>
    </row>
    <row r="3837" spans="1:5" ht="15" hidden="1" customHeight="1">
      <c r="A3837" s="63"/>
      <c r="B3837" s="59"/>
      <c r="C3837" s="62"/>
      <c r="D3837" s="62"/>
      <c r="E3837" s="59"/>
    </row>
    <row r="3838" spans="1:5" ht="15" hidden="1" customHeight="1">
      <c r="A3838" s="63"/>
      <c r="B3838" s="59"/>
      <c r="C3838" s="62"/>
      <c r="D3838" s="62"/>
      <c r="E3838" s="59"/>
    </row>
    <row r="3839" spans="1:5" ht="15" hidden="1" customHeight="1">
      <c r="A3839" s="63"/>
      <c r="B3839" s="59"/>
      <c r="C3839" s="62"/>
      <c r="D3839" s="62"/>
      <c r="E3839" s="59"/>
    </row>
    <row r="3840" spans="1:5" ht="15" hidden="1" customHeight="1">
      <c r="A3840" s="63"/>
      <c r="B3840" s="59"/>
      <c r="C3840" s="62"/>
      <c r="D3840" s="62"/>
      <c r="E3840" s="59"/>
    </row>
    <row r="3841" spans="1:5" ht="15" hidden="1" customHeight="1">
      <c r="A3841" s="63"/>
      <c r="B3841" s="59"/>
      <c r="C3841" s="62"/>
      <c r="D3841" s="62"/>
      <c r="E3841" s="59"/>
    </row>
    <row r="3842" spans="1:5" ht="15" hidden="1" customHeight="1">
      <c r="A3842" s="63"/>
      <c r="B3842" s="59"/>
      <c r="C3842" s="62"/>
      <c r="D3842" s="62"/>
      <c r="E3842" s="59"/>
    </row>
    <row r="3843" spans="1:5" ht="15" hidden="1" customHeight="1">
      <c r="A3843" s="63"/>
      <c r="B3843" s="59"/>
      <c r="C3843" s="62"/>
      <c r="D3843" s="62"/>
      <c r="E3843" s="59"/>
    </row>
    <row r="3844" spans="1:5" ht="15" hidden="1" customHeight="1">
      <c r="A3844" s="63"/>
      <c r="B3844" s="59"/>
      <c r="C3844" s="62"/>
      <c r="D3844" s="62"/>
      <c r="E3844" s="59"/>
    </row>
    <row r="3845" spans="1:5" ht="15" hidden="1" customHeight="1">
      <c r="A3845" s="63"/>
      <c r="B3845" s="59"/>
      <c r="C3845" s="62"/>
      <c r="D3845" s="62"/>
      <c r="E3845" s="59"/>
    </row>
    <row r="3846" spans="1:5" ht="15" hidden="1" customHeight="1">
      <c r="A3846" s="63"/>
      <c r="B3846" s="59"/>
      <c r="C3846" s="62"/>
      <c r="D3846" s="62"/>
      <c r="E3846" s="59"/>
    </row>
    <row r="3847" spans="1:5" ht="15" hidden="1" customHeight="1">
      <c r="A3847" s="63"/>
      <c r="B3847" s="59"/>
      <c r="C3847" s="62"/>
      <c r="D3847" s="62"/>
      <c r="E3847" s="59"/>
    </row>
    <row r="3848" spans="1:5" ht="15" hidden="1" customHeight="1">
      <c r="A3848" s="63"/>
      <c r="B3848" s="59"/>
      <c r="C3848" s="62"/>
      <c r="D3848" s="62"/>
      <c r="E3848" s="59"/>
    </row>
    <row r="3849" spans="1:5" ht="15" hidden="1" customHeight="1">
      <c r="A3849" s="63"/>
      <c r="B3849" s="59"/>
      <c r="C3849" s="62"/>
      <c r="D3849" s="62"/>
      <c r="E3849" s="59"/>
    </row>
    <row r="3850" spans="1:5" ht="15" hidden="1" customHeight="1">
      <c r="A3850" s="63"/>
      <c r="B3850" s="59"/>
      <c r="C3850" s="62"/>
      <c r="D3850" s="62"/>
      <c r="E3850" s="59"/>
    </row>
    <row r="3851" spans="1:5" ht="15" hidden="1" customHeight="1">
      <c r="A3851" s="63"/>
      <c r="B3851" s="59"/>
      <c r="C3851" s="60"/>
      <c r="D3851" s="62"/>
      <c r="E3851" s="59"/>
    </row>
    <row r="3852" spans="1:5" ht="15" hidden="1" customHeight="1">
      <c r="A3852" s="63"/>
      <c r="B3852" s="59"/>
      <c r="C3852" s="60"/>
      <c r="D3852" s="62"/>
      <c r="E3852" s="59"/>
    </row>
    <row r="3853" spans="1:5" ht="15" hidden="1" customHeight="1">
      <c r="A3853" s="63"/>
      <c r="B3853" s="59"/>
      <c r="C3853" s="60"/>
      <c r="D3853" s="62"/>
      <c r="E3853" s="59"/>
    </row>
    <row r="3854" spans="1:5" ht="15" hidden="1" customHeight="1">
      <c r="A3854" s="63"/>
      <c r="B3854" s="59"/>
      <c r="C3854" s="60"/>
      <c r="D3854" s="62"/>
      <c r="E3854" s="59"/>
    </row>
    <row r="3855" spans="1:5" ht="15" hidden="1" customHeight="1">
      <c r="A3855" s="74"/>
    </row>
    <row r="3856" spans="1:5" ht="15" hidden="1" customHeight="1">
      <c r="A3856" s="74"/>
    </row>
    <row r="3857" spans="1:5" ht="15" hidden="1" customHeight="1">
      <c r="A3857" s="74"/>
    </row>
    <row r="3858" spans="1:5" ht="15" hidden="1" customHeight="1">
      <c r="A3858" s="74"/>
    </row>
    <row r="3859" spans="1:5" ht="15" hidden="1" customHeight="1">
      <c r="A3859" s="63"/>
      <c r="B3859" s="59"/>
      <c r="C3859" s="60"/>
      <c r="D3859" s="62"/>
      <c r="E3859" s="59"/>
    </row>
    <row r="3860" spans="1:5" ht="15" hidden="1" customHeight="1">
      <c r="A3860" s="63"/>
      <c r="B3860" s="59"/>
      <c r="C3860" s="62"/>
      <c r="D3860" s="62"/>
      <c r="E3860" s="59"/>
    </row>
    <row r="3861" spans="1:5" ht="15" hidden="1" customHeight="1">
      <c r="A3861" s="63"/>
      <c r="B3861" s="59"/>
      <c r="C3861" s="62"/>
      <c r="D3861" s="62"/>
      <c r="E3861" s="59"/>
    </row>
    <row r="3862" spans="1:5" ht="15" hidden="1" customHeight="1">
      <c r="A3862" s="63"/>
      <c r="B3862" s="59"/>
      <c r="C3862" s="62"/>
      <c r="D3862" s="62"/>
      <c r="E3862" s="59"/>
    </row>
    <row r="3863" spans="1:5" ht="15" hidden="1" customHeight="1">
      <c r="A3863" s="63"/>
      <c r="B3863" s="59"/>
      <c r="C3863" s="62"/>
      <c r="D3863" s="62"/>
      <c r="E3863" s="59"/>
    </row>
    <row r="3864" spans="1:5" ht="15" hidden="1" customHeight="1">
      <c r="A3864" s="63"/>
      <c r="B3864" s="59"/>
      <c r="C3864" s="62"/>
      <c r="D3864" s="62"/>
      <c r="E3864" s="59"/>
    </row>
    <row r="3865" spans="1:5" ht="15" hidden="1" customHeight="1">
      <c r="A3865" s="63"/>
      <c r="B3865" s="59"/>
      <c r="C3865" s="62"/>
      <c r="D3865" s="62"/>
      <c r="E3865" s="59"/>
    </row>
    <row r="3866" spans="1:5" ht="15" hidden="1" customHeight="1">
      <c r="A3866" s="63"/>
      <c r="B3866" s="59"/>
      <c r="C3866" s="62"/>
      <c r="D3866" s="62"/>
      <c r="E3866" s="59"/>
    </row>
    <row r="3867" spans="1:5" ht="15" hidden="1" customHeight="1">
      <c r="A3867" s="63"/>
      <c r="B3867" s="59"/>
      <c r="C3867" s="62"/>
      <c r="D3867" s="62"/>
      <c r="E3867" s="59"/>
    </row>
    <row r="3868" spans="1:5" ht="15" hidden="1" customHeight="1">
      <c r="A3868" s="63"/>
      <c r="B3868" s="59"/>
      <c r="C3868" s="62"/>
      <c r="D3868" s="62"/>
      <c r="E3868" s="59"/>
    </row>
    <row r="3869" spans="1:5" ht="15" hidden="1" customHeight="1">
      <c r="A3869" s="63"/>
      <c r="B3869" s="59"/>
      <c r="C3869" s="62"/>
      <c r="D3869" s="62"/>
      <c r="E3869" s="59"/>
    </row>
    <row r="3870" spans="1:5" ht="15" hidden="1" customHeight="1">
      <c r="A3870" s="63"/>
      <c r="B3870" s="59"/>
      <c r="C3870" s="62"/>
      <c r="D3870" s="62"/>
      <c r="E3870" s="59"/>
    </row>
    <row r="3871" spans="1:5" ht="15" hidden="1" customHeight="1">
      <c r="A3871" s="63"/>
      <c r="B3871" s="59"/>
      <c r="C3871" s="62"/>
      <c r="D3871" s="62"/>
      <c r="E3871" s="59"/>
    </row>
    <row r="3872" spans="1:5" ht="15" hidden="1" customHeight="1">
      <c r="A3872" s="63"/>
      <c r="B3872" s="59"/>
      <c r="C3872" s="62"/>
      <c r="D3872" s="62"/>
      <c r="E3872" s="59"/>
    </row>
    <row r="3873" spans="1:5" ht="15" hidden="1" customHeight="1">
      <c r="A3873" s="63"/>
      <c r="B3873" s="59"/>
      <c r="C3873" s="62"/>
      <c r="D3873" s="62"/>
      <c r="E3873" s="59"/>
    </row>
    <row r="3874" spans="1:5" ht="15" hidden="1" customHeight="1">
      <c r="A3874" s="63"/>
      <c r="B3874" s="59"/>
      <c r="C3874" s="62"/>
      <c r="D3874" s="62"/>
      <c r="E3874" s="59"/>
    </row>
    <row r="3875" spans="1:5" ht="15" hidden="1" customHeight="1">
      <c r="A3875" s="63"/>
      <c r="B3875" s="59"/>
      <c r="C3875" s="62"/>
      <c r="D3875" s="62"/>
      <c r="E3875" s="59"/>
    </row>
    <row r="3876" spans="1:5" ht="15" hidden="1" customHeight="1">
      <c r="A3876" s="63"/>
      <c r="B3876" s="59"/>
      <c r="C3876" s="60"/>
      <c r="D3876" s="62"/>
      <c r="E3876" s="59"/>
    </row>
    <row r="3877" spans="1:5" ht="15" hidden="1" customHeight="1">
      <c r="A3877" s="63"/>
      <c r="B3877" s="59"/>
      <c r="C3877" s="60"/>
      <c r="D3877" s="62"/>
      <c r="E3877" s="59"/>
    </row>
    <row r="3878" spans="1:5" ht="15" hidden="1" customHeight="1">
      <c r="A3878" s="63"/>
      <c r="B3878" s="59"/>
      <c r="C3878" s="60"/>
      <c r="D3878" s="62"/>
      <c r="E3878" s="59"/>
    </row>
    <row r="3879" spans="1:5" ht="15" hidden="1" customHeight="1">
      <c r="A3879" s="63"/>
      <c r="B3879" s="59"/>
      <c r="C3879" s="60"/>
      <c r="D3879" s="62"/>
      <c r="E3879" s="59"/>
    </row>
    <row r="3880" spans="1:5" ht="15" hidden="1" customHeight="1">
      <c r="A3880" s="63"/>
      <c r="B3880" s="59"/>
      <c r="C3880" s="60"/>
      <c r="D3880" s="62"/>
      <c r="E3880" s="59"/>
    </row>
    <row r="3881" spans="1:5" ht="15" hidden="1" customHeight="1">
      <c r="A3881" s="63"/>
      <c r="B3881" s="59"/>
      <c r="C3881" s="62"/>
      <c r="D3881" s="62"/>
      <c r="E3881" s="59"/>
    </row>
    <row r="3882" spans="1:5" ht="15" hidden="1" customHeight="1">
      <c r="A3882" s="63"/>
      <c r="B3882" s="59"/>
      <c r="C3882" s="62"/>
      <c r="D3882" s="62"/>
      <c r="E3882" s="59"/>
    </row>
    <row r="3883" spans="1:5" ht="15" hidden="1" customHeight="1">
      <c r="A3883" s="63"/>
      <c r="B3883" s="59"/>
      <c r="C3883" s="62"/>
      <c r="D3883" s="62"/>
      <c r="E3883" s="59"/>
    </row>
    <row r="3884" spans="1:5" ht="15" hidden="1" customHeight="1">
      <c r="A3884" s="63"/>
      <c r="B3884" s="59"/>
      <c r="C3884" s="62"/>
      <c r="D3884" s="62"/>
      <c r="E3884" s="59"/>
    </row>
    <row r="3885" spans="1:5" ht="15" hidden="1" customHeight="1">
      <c r="A3885" s="63"/>
      <c r="B3885" s="59"/>
      <c r="C3885" s="62"/>
      <c r="D3885" s="62"/>
      <c r="E3885" s="59"/>
    </row>
    <row r="3886" spans="1:5" ht="15" hidden="1" customHeight="1">
      <c r="A3886" s="63"/>
      <c r="B3886" s="59"/>
      <c r="C3886" s="62"/>
      <c r="D3886" s="62"/>
      <c r="E3886" s="59"/>
    </row>
    <row r="3887" spans="1:5" ht="15" hidden="1" customHeight="1">
      <c r="A3887" s="63"/>
      <c r="B3887" s="59"/>
      <c r="C3887" s="62"/>
      <c r="D3887" s="62"/>
      <c r="E3887" s="59"/>
    </row>
    <row r="3888" spans="1:5" ht="15" hidden="1" customHeight="1">
      <c r="A3888" s="63"/>
      <c r="B3888" s="59"/>
      <c r="C3888" s="62"/>
      <c r="D3888" s="62"/>
      <c r="E3888" s="59"/>
    </row>
    <row r="3889" spans="1:5" ht="15" hidden="1" customHeight="1">
      <c r="A3889" s="63"/>
      <c r="B3889" s="59"/>
      <c r="C3889" s="62"/>
      <c r="D3889" s="62"/>
      <c r="E3889" s="59"/>
    </row>
    <row r="3890" spans="1:5" ht="15" hidden="1" customHeight="1">
      <c r="A3890" s="63"/>
      <c r="B3890" s="59"/>
      <c r="C3890" s="62"/>
      <c r="D3890" s="62"/>
      <c r="E3890" s="59"/>
    </row>
    <row r="3891" spans="1:5" ht="15" hidden="1" customHeight="1">
      <c r="A3891" s="63"/>
      <c r="B3891" s="59"/>
      <c r="C3891" s="62"/>
      <c r="D3891" s="62"/>
      <c r="E3891" s="59"/>
    </row>
    <row r="3892" spans="1:5" ht="15" hidden="1" customHeight="1">
      <c r="A3892" s="63"/>
      <c r="B3892" s="59"/>
      <c r="C3892" s="62"/>
      <c r="D3892" s="62"/>
      <c r="E3892" s="59"/>
    </row>
    <row r="3893" spans="1:5" ht="15" hidden="1" customHeight="1">
      <c r="A3893" s="63"/>
      <c r="B3893" s="59"/>
      <c r="C3893" s="62"/>
      <c r="D3893" s="62"/>
      <c r="E3893" s="59"/>
    </row>
    <row r="3894" spans="1:5" ht="15" hidden="1" customHeight="1">
      <c r="A3894" s="63"/>
      <c r="B3894" s="59"/>
      <c r="C3894" s="62"/>
      <c r="D3894" s="62"/>
      <c r="E3894" s="59"/>
    </row>
    <row r="3895" spans="1:5" ht="15" hidden="1" customHeight="1">
      <c r="A3895" s="63"/>
      <c r="B3895" s="59"/>
      <c r="C3895" s="60"/>
      <c r="D3895" s="62"/>
      <c r="E3895" s="59"/>
    </row>
    <row r="3896" spans="1:5" ht="15" hidden="1" customHeight="1">
      <c r="A3896" s="63"/>
      <c r="B3896" s="59"/>
      <c r="C3896" s="60"/>
      <c r="D3896" s="62"/>
      <c r="E3896" s="59"/>
    </row>
    <row r="3897" spans="1:5" ht="15" hidden="1" customHeight="1">
      <c r="A3897" s="63"/>
      <c r="B3897" s="59"/>
      <c r="C3897" s="60"/>
      <c r="D3897" s="62"/>
      <c r="E3897" s="59"/>
    </row>
    <row r="3898" spans="1:5" ht="15" hidden="1" customHeight="1">
      <c r="A3898" s="63"/>
      <c r="B3898" s="59"/>
      <c r="C3898" s="62"/>
      <c r="D3898" s="62"/>
      <c r="E3898" s="59"/>
    </row>
    <row r="3899" spans="1:5" ht="15" hidden="1" customHeight="1">
      <c r="A3899" s="63"/>
      <c r="B3899" s="59"/>
      <c r="C3899" s="62"/>
      <c r="D3899" s="62"/>
      <c r="E3899" s="59"/>
    </row>
    <row r="3900" spans="1:5" ht="15" hidden="1" customHeight="1">
      <c r="A3900" s="63"/>
      <c r="B3900" s="59"/>
      <c r="C3900" s="62"/>
      <c r="D3900" s="62"/>
      <c r="E3900" s="59"/>
    </row>
    <row r="3901" spans="1:5" ht="15" hidden="1" customHeight="1">
      <c r="A3901" s="63"/>
      <c r="B3901" s="59"/>
      <c r="C3901" s="62"/>
      <c r="D3901" s="62"/>
      <c r="E3901" s="59"/>
    </row>
    <row r="3902" spans="1:5" ht="15" hidden="1" customHeight="1">
      <c r="A3902" s="63"/>
      <c r="B3902" s="59"/>
      <c r="C3902" s="62"/>
      <c r="D3902" s="62"/>
      <c r="E3902" s="59"/>
    </row>
    <row r="3903" spans="1:5" ht="15" hidden="1" customHeight="1">
      <c r="A3903" s="63"/>
      <c r="B3903" s="59"/>
      <c r="C3903" s="62"/>
      <c r="D3903" s="62"/>
      <c r="E3903" s="59"/>
    </row>
    <row r="3904" spans="1:5" ht="15" hidden="1" customHeight="1">
      <c r="A3904" s="63"/>
      <c r="B3904" s="59"/>
      <c r="C3904" s="60"/>
      <c r="D3904" s="62"/>
      <c r="E3904" s="59"/>
    </row>
    <row r="3905" spans="1:5" ht="15" hidden="1" customHeight="1">
      <c r="A3905" s="63"/>
      <c r="B3905" s="59"/>
      <c r="C3905" s="60"/>
      <c r="D3905" s="62"/>
      <c r="E3905" s="59"/>
    </row>
    <row r="3906" spans="1:5" ht="15" hidden="1" customHeight="1">
      <c r="A3906" s="63"/>
      <c r="B3906" s="59"/>
      <c r="C3906" s="60"/>
      <c r="D3906" s="62"/>
      <c r="E3906" s="59"/>
    </row>
    <row r="3907" spans="1:5" ht="15" hidden="1" customHeight="1">
      <c r="A3907" s="63"/>
      <c r="B3907" s="59"/>
      <c r="C3907" s="62"/>
      <c r="D3907" s="62"/>
      <c r="E3907" s="59"/>
    </row>
    <row r="3908" spans="1:5" ht="15" hidden="1" customHeight="1">
      <c r="A3908" s="63"/>
      <c r="B3908" s="59"/>
      <c r="C3908" s="62"/>
      <c r="D3908" s="62"/>
      <c r="E3908" s="59"/>
    </row>
    <row r="3909" spans="1:5" ht="15" hidden="1" customHeight="1">
      <c r="A3909" s="63"/>
      <c r="B3909" s="59"/>
      <c r="C3909" s="62"/>
      <c r="D3909" s="62"/>
      <c r="E3909" s="59"/>
    </row>
    <row r="3910" spans="1:5" ht="15" hidden="1" customHeight="1">
      <c r="A3910" s="63"/>
      <c r="B3910" s="59"/>
      <c r="C3910" s="62"/>
      <c r="D3910" s="62"/>
      <c r="E3910" s="59"/>
    </row>
    <row r="3911" spans="1:5" ht="15" hidden="1" customHeight="1">
      <c r="A3911" s="63"/>
      <c r="B3911" s="59"/>
      <c r="C3911" s="62"/>
      <c r="D3911" s="62"/>
      <c r="E3911" s="59"/>
    </row>
    <row r="3912" spans="1:5" ht="15" hidden="1" customHeight="1">
      <c r="A3912" s="63"/>
      <c r="B3912" s="59"/>
      <c r="C3912" s="62"/>
      <c r="D3912" s="62"/>
      <c r="E3912" s="59"/>
    </row>
    <row r="3913" spans="1:5" ht="15" hidden="1" customHeight="1">
      <c r="A3913" s="63"/>
      <c r="B3913" s="59"/>
      <c r="C3913" s="62"/>
      <c r="D3913" s="62"/>
      <c r="E3913" s="59"/>
    </row>
    <row r="3914" spans="1:5" ht="15" hidden="1" customHeight="1">
      <c r="A3914" s="63"/>
      <c r="B3914" s="59"/>
      <c r="C3914" s="60"/>
      <c r="D3914" s="62"/>
      <c r="E3914" s="59"/>
    </row>
    <row r="3915" spans="1:5" ht="15" hidden="1" customHeight="1">
      <c r="A3915" s="63"/>
      <c r="B3915" s="59"/>
      <c r="C3915" s="60"/>
      <c r="D3915" s="62"/>
      <c r="E3915" s="59"/>
    </row>
    <row r="3916" spans="1:5" ht="15" hidden="1" customHeight="1">
      <c r="A3916" s="63"/>
      <c r="B3916" s="59"/>
      <c r="C3916" s="60"/>
      <c r="D3916" s="62"/>
      <c r="E3916" s="59"/>
    </row>
    <row r="3917" spans="1:5" ht="15" hidden="1" customHeight="1">
      <c r="A3917" s="63"/>
      <c r="B3917" s="59"/>
      <c r="C3917" s="62"/>
      <c r="D3917" s="62"/>
      <c r="E3917" s="59"/>
    </row>
    <row r="3918" spans="1:5" ht="15" hidden="1" customHeight="1">
      <c r="A3918" s="63"/>
      <c r="B3918" s="59"/>
      <c r="C3918" s="62"/>
      <c r="D3918" s="62"/>
      <c r="E3918" s="59"/>
    </row>
    <row r="3919" spans="1:5" ht="15" hidden="1" customHeight="1">
      <c r="A3919" s="63"/>
      <c r="B3919" s="59"/>
      <c r="C3919" s="62"/>
      <c r="D3919" s="62"/>
      <c r="E3919" s="59"/>
    </row>
    <row r="3920" spans="1:5" ht="15" hidden="1" customHeight="1">
      <c r="A3920" s="63"/>
      <c r="B3920" s="59"/>
      <c r="C3920" s="62"/>
      <c r="D3920" s="62"/>
      <c r="E3920" s="59"/>
    </row>
    <row r="3921" spans="1:5" ht="15" hidden="1" customHeight="1">
      <c r="A3921" s="63"/>
      <c r="B3921" s="59"/>
      <c r="C3921" s="62"/>
      <c r="D3921" s="62"/>
      <c r="E3921" s="59"/>
    </row>
    <row r="3922" spans="1:5" ht="15" hidden="1" customHeight="1">
      <c r="A3922" s="63"/>
      <c r="B3922" s="59"/>
      <c r="C3922" s="62"/>
      <c r="D3922" s="62"/>
      <c r="E3922" s="59"/>
    </row>
    <row r="3923" spans="1:5" ht="15" hidden="1" customHeight="1">
      <c r="A3923" s="63"/>
      <c r="B3923" s="59"/>
      <c r="C3923" s="62"/>
      <c r="D3923" s="62"/>
      <c r="E3923" s="59"/>
    </row>
    <row r="3924" spans="1:5" ht="15" hidden="1" customHeight="1">
      <c r="A3924" s="63"/>
      <c r="B3924" s="59"/>
      <c r="C3924" s="62"/>
      <c r="D3924" s="62"/>
      <c r="E3924" s="59"/>
    </row>
    <row r="3925" spans="1:5" ht="15" hidden="1" customHeight="1">
      <c r="A3925" s="63"/>
      <c r="B3925" s="59"/>
      <c r="C3925" s="62"/>
      <c r="D3925" s="62"/>
      <c r="E3925" s="59"/>
    </row>
    <row r="3926" spans="1:5" ht="15" hidden="1" customHeight="1">
      <c r="A3926" s="63"/>
      <c r="B3926" s="59"/>
      <c r="C3926" s="62"/>
      <c r="D3926" s="62"/>
      <c r="E3926" s="59"/>
    </row>
    <row r="3927" spans="1:5" ht="15" hidden="1" customHeight="1">
      <c r="A3927" s="74"/>
    </row>
    <row r="3928" spans="1:5" ht="15" hidden="1" customHeight="1">
      <c r="A3928" s="74"/>
    </row>
    <row r="3929" spans="1:5" ht="15" hidden="1" customHeight="1">
      <c r="A3929" s="74"/>
    </row>
    <row r="3930" spans="1:5" ht="15" hidden="1" customHeight="1">
      <c r="A3930" s="74"/>
    </row>
    <row r="3931" spans="1:5" ht="15" hidden="1" customHeight="1">
      <c r="A3931" s="74"/>
    </row>
    <row r="3932" spans="1:5" ht="15" hidden="1" customHeight="1">
      <c r="A3932" s="74"/>
    </row>
    <row r="3933" spans="1:5" ht="15" hidden="1" customHeight="1">
      <c r="A3933" s="74"/>
    </row>
    <row r="3934" spans="1:5" ht="15" hidden="1" customHeight="1">
      <c r="A3934" s="74"/>
    </row>
    <row r="3935" spans="1:5" ht="15" hidden="1" customHeight="1">
      <c r="A3935" s="74"/>
    </row>
    <row r="3936" spans="1:5" ht="15" hidden="1" customHeight="1">
      <c r="A3936" s="74"/>
    </row>
    <row r="3937" spans="1:1" ht="15" hidden="1" customHeight="1">
      <c r="A3937" s="74"/>
    </row>
    <row r="3938" spans="1:1" ht="15" hidden="1" customHeight="1">
      <c r="A3938" s="74"/>
    </row>
    <row r="3939" spans="1:1" ht="15" hidden="1" customHeight="1">
      <c r="A3939" s="74"/>
    </row>
    <row r="3940" spans="1:1" ht="15" hidden="1" customHeight="1">
      <c r="A3940" s="74"/>
    </row>
    <row r="3941" spans="1:1" ht="15" hidden="1" customHeight="1">
      <c r="A3941" s="74"/>
    </row>
    <row r="3942" spans="1:1" ht="15" hidden="1" customHeight="1">
      <c r="A3942" s="74"/>
    </row>
    <row r="3943" spans="1:1" ht="15" hidden="1" customHeight="1">
      <c r="A3943" s="74"/>
    </row>
    <row r="3944" spans="1:1" ht="15" hidden="1" customHeight="1">
      <c r="A3944" s="74"/>
    </row>
    <row r="3945" spans="1:1" ht="15" hidden="1" customHeight="1">
      <c r="A3945" s="74"/>
    </row>
    <row r="3946" spans="1:1" ht="15" hidden="1" customHeight="1">
      <c r="A3946" s="74"/>
    </row>
    <row r="3947" spans="1:1" ht="15" hidden="1" customHeight="1">
      <c r="A3947" s="74"/>
    </row>
    <row r="3948" spans="1:1" ht="15" hidden="1" customHeight="1">
      <c r="A3948" s="74"/>
    </row>
    <row r="3949" spans="1:1" ht="15" hidden="1" customHeight="1">
      <c r="A3949" s="74"/>
    </row>
    <row r="3950" spans="1:1" ht="15" hidden="1" customHeight="1">
      <c r="A3950" s="74"/>
    </row>
    <row r="3951" spans="1:1" ht="15" hidden="1" customHeight="1">
      <c r="A3951" s="74"/>
    </row>
    <row r="3952" spans="1:1" ht="15" hidden="1" customHeight="1">
      <c r="A3952" s="74"/>
    </row>
    <row r="3953" spans="1:1" ht="15" hidden="1" customHeight="1">
      <c r="A3953" s="74"/>
    </row>
    <row r="3954" spans="1:1" ht="15" hidden="1" customHeight="1">
      <c r="A3954" s="74"/>
    </row>
    <row r="3955" spans="1:1" ht="15" hidden="1" customHeight="1">
      <c r="A3955" s="74"/>
    </row>
    <row r="3956" spans="1:1" ht="15" hidden="1" customHeight="1">
      <c r="A3956" s="74"/>
    </row>
    <row r="3957" spans="1:1" ht="15" hidden="1" customHeight="1">
      <c r="A3957" s="74"/>
    </row>
    <row r="3958" spans="1:1" ht="15" hidden="1" customHeight="1">
      <c r="A3958" s="74"/>
    </row>
    <row r="3959" spans="1:1" ht="15" hidden="1" customHeight="1">
      <c r="A3959" s="74"/>
    </row>
    <row r="3960" spans="1:1" ht="15" hidden="1" customHeight="1">
      <c r="A3960" s="74"/>
    </row>
    <row r="3961" spans="1:1" ht="15" hidden="1" customHeight="1">
      <c r="A3961" s="74"/>
    </row>
    <row r="3962" spans="1:1" ht="15" hidden="1" customHeight="1">
      <c r="A3962" s="74"/>
    </row>
    <row r="3963" spans="1:1" ht="15" hidden="1" customHeight="1">
      <c r="A3963" s="74"/>
    </row>
    <row r="3964" spans="1:1" ht="15" hidden="1" customHeight="1">
      <c r="A3964" s="74"/>
    </row>
    <row r="3965" spans="1:1" ht="15" hidden="1" customHeight="1">
      <c r="A3965" s="74"/>
    </row>
    <row r="3966" spans="1:1" ht="15" hidden="1" customHeight="1">
      <c r="A3966" s="74"/>
    </row>
    <row r="3967" spans="1:1" ht="15" hidden="1" customHeight="1">
      <c r="A3967" s="74"/>
    </row>
    <row r="3968" spans="1:1" ht="15" hidden="1" customHeight="1">
      <c r="A3968" s="74"/>
    </row>
    <row r="3969" spans="1:1" ht="15" hidden="1" customHeight="1">
      <c r="A3969" s="74"/>
    </row>
    <row r="3970" spans="1:1" ht="15" hidden="1" customHeight="1">
      <c r="A3970" s="74"/>
    </row>
    <row r="3971" spans="1:1" ht="15" hidden="1" customHeight="1">
      <c r="A3971" s="74"/>
    </row>
    <row r="3972" spans="1:1" ht="15" hidden="1" customHeight="1">
      <c r="A3972" s="74"/>
    </row>
    <row r="3973" spans="1:1" ht="15" hidden="1" customHeight="1">
      <c r="A3973" s="74"/>
    </row>
    <row r="3974" spans="1:1" ht="15" hidden="1" customHeight="1">
      <c r="A3974" s="74"/>
    </row>
    <row r="3975" spans="1:1" ht="15" hidden="1" customHeight="1">
      <c r="A3975" s="74"/>
    </row>
    <row r="3976" spans="1:1" ht="15" hidden="1" customHeight="1">
      <c r="A3976" s="74"/>
    </row>
    <row r="3977" spans="1:1" ht="15" hidden="1" customHeight="1">
      <c r="A3977" s="74"/>
    </row>
    <row r="3978" spans="1:1" ht="15" hidden="1" customHeight="1">
      <c r="A3978" s="74"/>
    </row>
    <row r="3979" spans="1:1" ht="15" hidden="1" customHeight="1">
      <c r="A3979" s="74"/>
    </row>
    <row r="3980" spans="1:1" ht="15" hidden="1" customHeight="1">
      <c r="A3980" s="74"/>
    </row>
    <row r="3981" spans="1:1" ht="15" hidden="1" customHeight="1">
      <c r="A3981" s="74"/>
    </row>
    <row r="3982" spans="1:1" ht="15" hidden="1" customHeight="1">
      <c r="A3982" s="74"/>
    </row>
    <row r="3983" spans="1:1" ht="15" hidden="1" customHeight="1">
      <c r="A3983" s="74"/>
    </row>
    <row r="3984" spans="1:1" ht="15" hidden="1" customHeight="1">
      <c r="A3984" s="74"/>
    </row>
    <row r="3985" spans="1:7" ht="15" hidden="1" customHeight="1">
      <c r="A3985" s="74"/>
    </row>
    <row r="3986" spans="1:7" ht="15" hidden="1" customHeight="1">
      <c r="A3986" s="74"/>
    </row>
    <row r="3987" spans="1:7" ht="15" hidden="1" customHeight="1">
      <c r="A3987" s="74"/>
    </row>
    <row r="3988" spans="1:7" ht="15" hidden="1" customHeight="1">
      <c r="A3988" s="74"/>
    </row>
    <row r="3989" spans="1:7" ht="15" hidden="1" customHeight="1">
      <c r="A3989" s="74"/>
    </row>
    <row r="3990" spans="1:7" ht="15" hidden="1" customHeight="1">
      <c r="A3990" s="82">
        <v>46169</v>
      </c>
      <c r="B3990" t="s">
        <v>556</v>
      </c>
      <c r="D3990">
        <v>30138</v>
      </c>
    </row>
    <row r="3991" spans="1:7" ht="15" hidden="1" customHeight="1">
      <c r="A3991" s="82">
        <v>46199</v>
      </c>
      <c r="B3991" t="s">
        <v>101</v>
      </c>
      <c r="D3991">
        <v>52959</v>
      </c>
      <c r="E3991" t="s">
        <v>37</v>
      </c>
    </row>
    <row r="3992" spans="1:7" ht="15" hidden="1" customHeight="1">
      <c r="A3992" s="82">
        <v>46162</v>
      </c>
      <c r="B3992" t="s">
        <v>306</v>
      </c>
      <c r="C3992" s="88">
        <v>14740</v>
      </c>
    </row>
    <row r="3993" spans="1:7" ht="15" hidden="1" customHeight="1">
      <c r="A3993" s="82">
        <v>46086</v>
      </c>
      <c r="B3993" t="s">
        <v>86</v>
      </c>
      <c r="C3993">
        <v>3406</v>
      </c>
    </row>
    <row r="3994" spans="1:7" ht="15" hidden="1" customHeight="1">
      <c r="A3994" s="82">
        <v>46154</v>
      </c>
      <c r="B3994" t="s">
        <v>300</v>
      </c>
      <c r="C3994">
        <v>8971</v>
      </c>
      <c r="G3994" t="s">
        <v>740</v>
      </c>
    </row>
    <row r="3995" spans="1:7" ht="15" hidden="1" customHeight="1">
      <c r="A3995" s="82">
        <v>46136</v>
      </c>
      <c r="B3995" t="s">
        <v>304</v>
      </c>
      <c r="C3995">
        <v>8832</v>
      </c>
      <c r="G3995" t="s">
        <v>740</v>
      </c>
    </row>
    <row r="3996" spans="1:7" ht="15" customHeight="1">
      <c r="A3996" s="7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6"/>
  <sheetViews>
    <sheetView zoomScaleNormal="100" workbookViewId="0">
      <pane ySplit="3" topLeftCell="A101" activePane="bottomLeft" state="frozen"/>
      <selection pane="bottomLeft" activeCell="H228" sqref="H228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3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2" t="s">
        <v>741</v>
      </c>
      <c r="B1" s="92"/>
      <c r="C1" s="92"/>
      <c r="D1" s="93"/>
      <c r="E1" s="92"/>
      <c r="F1" s="93"/>
      <c r="G1" s="92"/>
      <c r="H1" s="92"/>
      <c r="I1" s="92"/>
      <c r="J1" s="92"/>
    </row>
    <row r="3" spans="1:10">
      <c r="A3" s="1" t="s">
        <v>668</v>
      </c>
      <c r="B3" s="1" t="s">
        <v>1</v>
      </c>
      <c r="C3" s="1" t="s">
        <v>742</v>
      </c>
      <c r="D3" s="83" t="s">
        <v>743</v>
      </c>
      <c r="E3" s="1" t="s">
        <v>744</v>
      </c>
      <c r="F3" s="83" t="s">
        <v>745</v>
      </c>
      <c r="G3" s="1" t="s">
        <v>746</v>
      </c>
      <c r="H3" s="1" t="s">
        <v>747</v>
      </c>
      <c r="I3" s="10" t="s">
        <v>748</v>
      </c>
      <c r="J3" s="1" t="s">
        <v>749</v>
      </c>
    </row>
    <row r="4" spans="1:10" hidden="1">
      <c r="A4" s="74">
        <v>45967</v>
      </c>
      <c r="B4" t="s">
        <v>363</v>
      </c>
      <c r="C4" t="s">
        <v>750</v>
      </c>
      <c r="D4" s="3">
        <v>13469</v>
      </c>
      <c r="E4" t="s">
        <v>751</v>
      </c>
      <c r="F4" s="3">
        <v>15910</v>
      </c>
      <c r="J4" t="s">
        <v>752</v>
      </c>
    </row>
    <row r="5" spans="1:10" hidden="1">
      <c r="A5" s="74">
        <v>45954</v>
      </c>
      <c r="B5" t="s">
        <v>419</v>
      </c>
      <c r="C5" t="s">
        <v>750</v>
      </c>
      <c r="D5" s="3">
        <v>7636</v>
      </c>
      <c r="E5" t="s">
        <v>751</v>
      </c>
      <c r="F5" s="3">
        <v>15906</v>
      </c>
      <c r="J5" t="s">
        <v>752</v>
      </c>
    </row>
    <row r="6" spans="1:10" hidden="1">
      <c r="A6" s="74">
        <v>45967</v>
      </c>
      <c r="B6" t="s">
        <v>383</v>
      </c>
      <c r="C6" t="s">
        <v>750</v>
      </c>
      <c r="D6" s="3">
        <v>3240</v>
      </c>
      <c r="E6" t="s">
        <v>751</v>
      </c>
      <c r="F6" s="3">
        <v>15908</v>
      </c>
      <c r="J6" t="s">
        <v>752</v>
      </c>
    </row>
    <row r="7" spans="1:10" hidden="1">
      <c r="A7" s="74">
        <v>45994</v>
      </c>
      <c r="B7" t="s">
        <v>419</v>
      </c>
      <c r="C7" t="s">
        <v>753</v>
      </c>
      <c r="D7">
        <v>7843</v>
      </c>
      <c r="E7" t="s">
        <v>754</v>
      </c>
      <c r="F7"/>
      <c r="J7" t="s">
        <v>752</v>
      </c>
    </row>
    <row r="8" spans="1:10" hidden="1">
      <c r="A8" s="74">
        <v>46042</v>
      </c>
      <c r="B8" t="s">
        <v>419</v>
      </c>
      <c r="C8" t="s">
        <v>750</v>
      </c>
      <c r="D8" s="3">
        <v>8046</v>
      </c>
      <c r="E8" t="s">
        <v>751</v>
      </c>
      <c r="J8" t="s">
        <v>752</v>
      </c>
    </row>
    <row r="9" spans="1:10" hidden="1">
      <c r="A9" s="74">
        <v>46042</v>
      </c>
      <c r="B9" t="s">
        <v>433</v>
      </c>
      <c r="C9" t="s">
        <v>755</v>
      </c>
      <c r="D9">
        <v>9878</v>
      </c>
      <c r="E9" t="s">
        <v>754</v>
      </c>
      <c r="F9"/>
      <c r="J9" t="s">
        <v>752</v>
      </c>
    </row>
    <row r="10" spans="1:10" hidden="1">
      <c r="A10" s="74">
        <v>45972</v>
      </c>
      <c r="B10" t="s">
        <v>168</v>
      </c>
      <c r="C10" t="s">
        <v>750</v>
      </c>
      <c r="D10" s="3">
        <v>1453</v>
      </c>
      <c r="E10" t="s">
        <v>751</v>
      </c>
      <c r="F10" s="3">
        <v>15913</v>
      </c>
      <c r="J10" t="s">
        <v>752</v>
      </c>
    </row>
    <row r="11" spans="1:10" hidden="1">
      <c r="A11" s="74">
        <v>45980</v>
      </c>
      <c r="B11" t="s">
        <v>19</v>
      </c>
      <c r="C11" t="s">
        <v>756</v>
      </c>
      <c r="D11" s="3">
        <v>9695</v>
      </c>
      <c r="E11" t="s">
        <v>751</v>
      </c>
      <c r="F11" s="3">
        <v>15914</v>
      </c>
      <c r="J11" t="s">
        <v>752</v>
      </c>
    </row>
    <row r="12" spans="1:10" hidden="1">
      <c r="A12" s="74">
        <v>45982</v>
      </c>
      <c r="B12" t="s">
        <v>448</v>
      </c>
      <c r="C12" t="s">
        <v>756</v>
      </c>
      <c r="D12" s="3">
        <v>1413</v>
      </c>
      <c r="E12" t="s">
        <v>751</v>
      </c>
      <c r="F12" s="3">
        <v>15178</v>
      </c>
      <c r="J12" t="s">
        <v>752</v>
      </c>
    </row>
    <row r="13" spans="1:10" hidden="1">
      <c r="A13" s="74">
        <v>45985</v>
      </c>
      <c r="B13" t="s">
        <v>432</v>
      </c>
      <c r="C13" t="s">
        <v>756</v>
      </c>
      <c r="D13" s="3">
        <v>6327</v>
      </c>
      <c r="E13" t="s">
        <v>751</v>
      </c>
      <c r="F13" s="3">
        <v>15179</v>
      </c>
      <c r="J13" t="s">
        <v>752</v>
      </c>
    </row>
    <row r="14" spans="1:10" hidden="1">
      <c r="A14" s="74">
        <v>45989</v>
      </c>
      <c r="B14" t="s">
        <v>375</v>
      </c>
      <c r="C14" t="s">
        <v>757</v>
      </c>
      <c r="D14">
        <v>11688</v>
      </c>
      <c r="E14" t="s">
        <v>754</v>
      </c>
      <c r="F14">
        <v>15756</v>
      </c>
      <c r="J14" t="s">
        <v>752</v>
      </c>
    </row>
    <row r="15" spans="1:10" hidden="1">
      <c r="A15" s="74">
        <v>46042</v>
      </c>
      <c r="B15" t="s">
        <v>433</v>
      </c>
      <c r="C15" t="s">
        <v>758</v>
      </c>
      <c r="D15">
        <v>9878</v>
      </c>
      <c r="E15" t="s">
        <v>754</v>
      </c>
      <c r="F15"/>
      <c r="J15" t="s">
        <v>752</v>
      </c>
    </row>
    <row r="16" spans="1:10" hidden="1">
      <c r="A16" s="74">
        <v>45993</v>
      </c>
      <c r="B16" t="s">
        <v>91</v>
      </c>
      <c r="C16" t="s">
        <v>759</v>
      </c>
      <c r="D16">
        <v>85284</v>
      </c>
      <c r="E16" t="s">
        <v>754</v>
      </c>
      <c r="F16">
        <v>15761</v>
      </c>
      <c r="J16" t="s">
        <v>752</v>
      </c>
    </row>
    <row r="17" spans="1:10" hidden="1">
      <c r="A17" s="74">
        <v>45993</v>
      </c>
      <c r="B17" t="s">
        <v>272</v>
      </c>
      <c r="C17" t="s">
        <v>756</v>
      </c>
      <c r="D17" s="3">
        <v>5321</v>
      </c>
      <c r="E17" t="s">
        <v>751</v>
      </c>
      <c r="F17" s="3">
        <v>15184</v>
      </c>
      <c r="J17" t="s">
        <v>752</v>
      </c>
    </row>
    <row r="18" spans="1:10" hidden="1">
      <c r="A18" s="74">
        <v>46043</v>
      </c>
      <c r="B18" t="s">
        <v>419</v>
      </c>
      <c r="C18" t="s">
        <v>760</v>
      </c>
      <c r="D18">
        <v>8047</v>
      </c>
      <c r="E18" t="s">
        <v>754</v>
      </c>
      <c r="F18"/>
      <c r="J18" t="s">
        <v>752</v>
      </c>
    </row>
    <row r="19" spans="1:10" hidden="1">
      <c r="A19" s="74">
        <v>45995</v>
      </c>
      <c r="B19" t="s">
        <v>445</v>
      </c>
      <c r="C19" t="s">
        <v>756</v>
      </c>
      <c r="D19" s="3">
        <v>2060</v>
      </c>
      <c r="E19" t="s">
        <v>751</v>
      </c>
      <c r="F19" s="3">
        <v>15186</v>
      </c>
      <c r="J19" t="s">
        <v>752</v>
      </c>
    </row>
    <row r="20" spans="1:10" hidden="1">
      <c r="A20" s="74">
        <v>46008</v>
      </c>
      <c r="B20" t="s">
        <v>611</v>
      </c>
      <c r="C20" t="s">
        <v>761</v>
      </c>
      <c r="D20" s="3">
        <v>128090</v>
      </c>
      <c r="E20" t="s">
        <v>751</v>
      </c>
      <c r="F20" s="3" t="s">
        <v>762</v>
      </c>
      <c r="J20" t="s">
        <v>752</v>
      </c>
    </row>
    <row r="21" spans="1:10" hidden="1">
      <c r="A21" s="74">
        <v>46009</v>
      </c>
      <c r="B21" t="s">
        <v>609</v>
      </c>
      <c r="C21" t="s">
        <v>763</v>
      </c>
      <c r="D21" s="3">
        <v>128838</v>
      </c>
      <c r="E21" t="s">
        <v>751</v>
      </c>
      <c r="F21" s="3" t="s">
        <v>762</v>
      </c>
      <c r="J21" t="s">
        <v>752</v>
      </c>
    </row>
    <row r="22" spans="1:10" hidden="1">
      <c r="A22" s="74">
        <v>46014</v>
      </c>
      <c r="B22" t="s">
        <v>184</v>
      </c>
      <c r="C22" t="s">
        <v>763</v>
      </c>
      <c r="D22" s="3">
        <v>530211</v>
      </c>
      <c r="E22" t="s">
        <v>751</v>
      </c>
      <c r="F22" s="3" t="s">
        <v>762</v>
      </c>
      <c r="J22" t="s">
        <v>752</v>
      </c>
    </row>
    <row r="23" spans="1:10" hidden="1">
      <c r="A23" s="74">
        <v>46015</v>
      </c>
      <c r="B23" t="s">
        <v>152</v>
      </c>
      <c r="C23" t="s">
        <v>756</v>
      </c>
      <c r="D23" s="3">
        <v>461588</v>
      </c>
      <c r="E23" t="s">
        <v>751</v>
      </c>
      <c r="F23" s="3">
        <v>389</v>
      </c>
      <c r="J23" t="s">
        <v>752</v>
      </c>
    </row>
    <row r="24" spans="1:10" hidden="1">
      <c r="A24" s="74">
        <v>46028</v>
      </c>
      <c r="B24" t="s">
        <v>390</v>
      </c>
      <c r="C24" t="s">
        <v>763</v>
      </c>
      <c r="D24" s="3">
        <v>17076</v>
      </c>
      <c r="E24" t="s">
        <v>751</v>
      </c>
      <c r="F24" s="3">
        <v>389</v>
      </c>
      <c r="J24" t="s">
        <v>752</v>
      </c>
    </row>
    <row r="25" spans="1:10" hidden="1">
      <c r="A25" s="74">
        <v>46028</v>
      </c>
      <c r="B25" t="s">
        <v>141</v>
      </c>
      <c r="C25" t="s">
        <v>763</v>
      </c>
      <c r="D25" s="3">
        <v>331891</v>
      </c>
      <c r="E25" t="s">
        <v>751</v>
      </c>
      <c r="F25" s="3">
        <v>389</v>
      </c>
      <c r="J25" t="s">
        <v>752</v>
      </c>
    </row>
    <row r="26" spans="1:10" hidden="1">
      <c r="A26" s="74">
        <v>45971</v>
      </c>
      <c r="B26" t="s">
        <v>450</v>
      </c>
      <c r="C26" t="s">
        <v>763</v>
      </c>
      <c r="D26" s="3">
        <v>1496</v>
      </c>
      <c r="E26" t="s">
        <v>751</v>
      </c>
      <c r="F26" s="3">
        <v>15912</v>
      </c>
      <c r="J26" t="s">
        <v>752</v>
      </c>
    </row>
    <row r="27" spans="1:10" hidden="1">
      <c r="A27" s="74">
        <v>46031</v>
      </c>
      <c r="B27" t="s">
        <v>300</v>
      </c>
      <c r="C27" t="s">
        <v>763</v>
      </c>
      <c r="D27" s="3">
        <v>87661</v>
      </c>
      <c r="E27" t="s">
        <v>751</v>
      </c>
      <c r="F27" s="3">
        <v>389</v>
      </c>
      <c r="J27" t="s">
        <v>752</v>
      </c>
    </row>
    <row r="28" spans="1:10" hidden="1">
      <c r="A28" s="74">
        <v>46034</v>
      </c>
      <c r="B28" t="s">
        <v>517</v>
      </c>
      <c r="C28" t="s">
        <v>763</v>
      </c>
      <c r="E28" t="s">
        <v>751</v>
      </c>
      <c r="F28" s="3">
        <v>389</v>
      </c>
      <c r="J28" t="s">
        <v>752</v>
      </c>
    </row>
    <row r="29" spans="1:10" hidden="1">
      <c r="A29" s="74">
        <v>46034</v>
      </c>
      <c r="B29" t="s">
        <v>623</v>
      </c>
      <c r="C29" t="s">
        <v>761</v>
      </c>
      <c r="D29" s="3">
        <v>118530</v>
      </c>
      <c r="E29" t="s">
        <v>751</v>
      </c>
      <c r="F29" s="3" t="s">
        <v>762</v>
      </c>
      <c r="J29" t="s">
        <v>752</v>
      </c>
    </row>
    <row r="30" spans="1:10" hidden="1">
      <c r="A30" s="74">
        <v>46034</v>
      </c>
      <c r="B30" t="s">
        <v>665</v>
      </c>
      <c r="C30" t="s">
        <v>763</v>
      </c>
      <c r="D30" s="3">
        <v>681</v>
      </c>
      <c r="E30" t="s">
        <v>751</v>
      </c>
      <c r="J30" t="s">
        <v>752</v>
      </c>
    </row>
    <row r="31" spans="1:10" hidden="1">
      <c r="A31" s="74">
        <v>45908</v>
      </c>
      <c r="B31" t="s">
        <v>292</v>
      </c>
      <c r="C31" t="s">
        <v>763</v>
      </c>
      <c r="D31" s="3">
        <v>393</v>
      </c>
      <c r="E31" t="s">
        <v>751</v>
      </c>
      <c r="F31" s="3">
        <v>15911</v>
      </c>
      <c r="J31" t="s">
        <v>752</v>
      </c>
    </row>
    <row r="32" spans="1:10" hidden="1">
      <c r="A32" s="74">
        <v>46035</v>
      </c>
      <c r="B32" t="s">
        <v>637</v>
      </c>
      <c r="C32" t="s">
        <v>761</v>
      </c>
      <c r="D32" s="3">
        <v>105667</v>
      </c>
      <c r="E32" t="s">
        <v>751</v>
      </c>
      <c r="F32" s="3">
        <v>389</v>
      </c>
      <c r="J32" t="s">
        <v>752</v>
      </c>
    </row>
    <row r="33" spans="1:10" hidden="1">
      <c r="A33" s="74">
        <v>46036</v>
      </c>
      <c r="B33" t="s">
        <v>647</v>
      </c>
      <c r="C33">
        <v>138841</v>
      </c>
      <c r="D33">
        <v>99553</v>
      </c>
      <c r="E33" t="s">
        <v>754</v>
      </c>
      <c r="F33">
        <v>389</v>
      </c>
      <c r="J33" t="s">
        <v>752</v>
      </c>
    </row>
    <row r="34" spans="1:10" hidden="1">
      <c r="A34" s="74">
        <v>46036</v>
      </c>
      <c r="B34" t="s">
        <v>607</v>
      </c>
      <c r="C34" t="s">
        <v>761</v>
      </c>
      <c r="D34" s="3">
        <v>157018</v>
      </c>
      <c r="E34" t="s">
        <v>751</v>
      </c>
      <c r="F34" s="3">
        <v>389</v>
      </c>
      <c r="J34" t="s">
        <v>752</v>
      </c>
    </row>
    <row r="35" spans="1:10" hidden="1">
      <c r="A35" s="74">
        <v>46037</v>
      </c>
      <c r="B35" t="s">
        <v>306</v>
      </c>
      <c r="C35" t="s">
        <v>764</v>
      </c>
      <c r="D35"/>
      <c r="E35" t="s">
        <v>754</v>
      </c>
      <c r="F35">
        <v>15429</v>
      </c>
      <c r="J35" t="s">
        <v>752</v>
      </c>
    </row>
    <row r="36" spans="1:10" hidden="1">
      <c r="A36" s="74">
        <v>46037</v>
      </c>
      <c r="B36" t="s">
        <v>42</v>
      </c>
      <c r="C36" t="s">
        <v>765</v>
      </c>
      <c r="D36"/>
      <c r="E36" t="s">
        <v>754</v>
      </c>
      <c r="F36">
        <v>15428</v>
      </c>
      <c r="J36" t="s">
        <v>752</v>
      </c>
    </row>
    <row r="37" spans="1:10" hidden="1">
      <c r="A37" s="74">
        <v>45967</v>
      </c>
      <c r="B37" t="s">
        <v>292</v>
      </c>
      <c r="C37" t="s">
        <v>763</v>
      </c>
      <c r="D37" s="3">
        <v>748</v>
      </c>
      <c r="E37" t="s">
        <v>751</v>
      </c>
      <c r="F37" s="3">
        <v>15911</v>
      </c>
      <c r="J37" t="s">
        <v>752</v>
      </c>
    </row>
    <row r="38" spans="1:10" hidden="1">
      <c r="A38" s="74">
        <v>46037</v>
      </c>
      <c r="B38" t="s">
        <v>644</v>
      </c>
      <c r="C38" t="s">
        <v>766</v>
      </c>
      <c r="D38" s="3">
        <v>136208</v>
      </c>
      <c r="E38" t="s">
        <v>751</v>
      </c>
      <c r="F38" s="3">
        <v>389</v>
      </c>
      <c r="J38" t="s">
        <v>752</v>
      </c>
    </row>
    <row r="39" spans="1:10" hidden="1">
      <c r="A39" s="74">
        <v>45967</v>
      </c>
      <c r="B39" t="s">
        <v>262</v>
      </c>
      <c r="C39" t="s">
        <v>756</v>
      </c>
      <c r="D39" s="3">
        <v>2000</v>
      </c>
      <c r="E39" t="s">
        <v>751</v>
      </c>
      <c r="F39" s="3">
        <v>15909</v>
      </c>
      <c r="J39" t="s">
        <v>752</v>
      </c>
    </row>
    <row r="40" spans="1:10" hidden="1">
      <c r="A40" s="74">
        <v>46041</v>
      </c>
      <c r="B40" t="s">
        <v>82</v>
      </c>
      <c r="C40" t="s">
        <v>759</v>
      </c>
      <c r="D40"/>
      <c r="E40" t="s">
        <v>754</v>
      </c>
      <c r="F40"/>
      <c r="J40" t="s">
        <v>752</v>
      </c>
    </row>
    <row r="41" spans="1:10" hidden="1">
      <c r="A41" s="74">
        <v>45992</v>
      </c>
      <c r="B41" t="s">
        <v>280</v>
      </c>
      <c r="D41"/>
      <c r="E41" t="s">
        <v>754</v>
      </c>
      <c r="F41"/>
      <c r="J41" t="s">
        <v>752</v>
      </c>
    </row>
    <row r="42" spans="1:10" hidden="1">
      <c r="A42" s="74">
        <v>46028</v>
      </c>
      <c r="B42" t="s">
        <v>262</v>
      </c>
      <c r="C42" t="s">
        <v>756</v>
      </c>
      <c r="D42" s="3">
        <v>2600</v>
      </c>
      <c r="E42" t="s">
        <v>751</v>
      </c>
      <c r="F42" s="3">
        <v>15920</v>
      </c>
      <c r="J42" t="s">
        <v>752</v>
      </c>
    </row>
    <row r="43" spans="1:10" hidden="1">
      <c r="A43" s="74">
        <v>46035</v>
      </c>
      <c r="B43" t="s">
        <v>292</v>
      </c>
      <c r="C43" t="s">
        <v>763</v>
      </c>
      <c r="D43" s="3">
        <v>1112</v>
      </c>
      <c r="E43" t="s">
        <v>751</v>
      </c>
      <c r="F43" s="3">
        <v>15921</v>
      </c>
      <c r="J43" t="s">
        <v>752</v>
      </c>
    </row>
    <row r="44" spans="1:10" hidden="1">
      <c r="A44" s="74">
        <v>46043</v>
      </c>
      <c r="B44" t="s">
        <v>300</v>
      </c>
      <c r="C44" t="s">
        <v>767</v>
      </c>
      <c r="D44"/>
      <c r="E44" t="s">
        <v>754</v>
      </c>
      <c r="F44"/>
      <c r="J44" t="s">
        <v>752</v>
      </c>
    </row>
    <row r="45" spans="1:10" hidden="1">
      <c r="A45" s="74">
        <v>46044</v>
      </c>
      <c r="B45" t="s">
        <v>118</v>
      </c>
      <c r="C45" t="s">
        <v>763</v>
      </c>
      <c r="D45" s="3">
        <v>189042</v>
      </c>
      <c r="E45" t="s">
        <v>751</v>
      </c>
      <c r="J45" t="s">
        <v>752</v>
      </c>
    </row>
    <row r="46" spans="1:10" hidden="1">
      <c r="A46" s="74">
        <v>46044</v>
      </c>
      <c r="B46" t="s">
        <v>510</v>
      </c>
      <c r="C46" t="s">
        <v>768</v>
      </c>
      <c r="D46">
        <v>76996</v>
      </c>
      <c r="E46" t="s">
        <v>754</v>
      </c>
      <c r="F46"/>
      <c r="J46" t="s">
        <v>752</v>
      </c>
    </row>
    <row r="47" spans="1:10" hidden="1">
      <c r="A47" s="74">
        <v>46044</v>
      </c>
      <c r="B47" t="s">
        <v>35</v>
      </c>
      <c r="C47" t="s">
        <v>740</v>
      </c>
      <c r="D47" s="3">
        <v>8319</v>
      </c>
      <c r="E47" t="s">
        <v>751</v>
      </c>
      <c r="J47" t="s">
        <v>752</v>
      </c>
    </row>
    <row r="48" spans="1:10" hidden="1">
      <c r="A48" s="74">
        <v>46045</v>
      </c>
      <c r="B48" t="s">
        <v>91</v>
      </c>
      <c r="C48" t="s">
        <v>769</v>
      </c>
      <c r="D48">
        <v>3458</v>
      </c>
      <c r="E48" t="s">
        <v>754</v>
      </c>
      <c r="F48"/>
      <c r="J48" t="s">
        <v>752</v>
      </c>
    </row>
    <row r="49" spans="1:10" hidden="1">
      <c r="A49" s="74">
        <v>46045</v>
      </c>
      <c r="B49" t="s">
        <v>118</v>
      </c>
      <c r="C49" t="s">
        <v>770</v>
      </c>
      <c r="D49">
        <v>96939</v>
      </c>
      <c r="E49" t="s">
        <v>754</v>
      </c>
      <c r="F49">
        <v>15946</v>
      </c>
      <c r="J49" t="s">
        <v>752</v>
      </c>
    </row>
    <row r="50" spans="1:10" hidden="1">
      <c r="A50" s="74">
        <v>46049</v>
      </c>
      <c r="B50" t="s">
        <v>395</v>
      </c>
      <c r="C50" t="s">
        <v>756</v>
      </c>
      <c r="E50" t="s">
        <v>751</v>
      </c>
      <c r="F50" s="3">
        <v>15440</v>
      </c>
      <c r="J50" t="s">
        <v>752</v>
      </c>
    </row>
    <row r="51" spans="1:10" hidden="1">
      <c r="A51" s="74">
        <v>46050</v>
      </c>
      <c r="B51" t="s">
        <v>267</v>
      </c>
      <c r="C51" t="s">
        <v>740</v>
      </c>
      <c r="D51" s="3">
        <v>9814</v>
      </c>
      <c r="E51" t="s">
        <v>751</v>
      </c>
      <c r="J51" t="s">
        <v>752</v>
      </c>
    </row>
    <row r="52" spans="1:10" hidden="1">
      <c r="A52" s="74">
        <v>46050</v>
      </c>
      <c r="B52" t="s">
        <v>496</v>
      </c>
      <c r="C52" t="s">
        <v>740</v>
      </c>
      <c r="D52" s="3">
        <v>54500</v>
      </c>
      <c r="E52" t="s">
        <v>751</v>
      </c>
      <c r="J52" t="s">
        <v>752</v>
      </c>
    </row>
    <row r="53" spans="1:10" hidden="1">
      <c r="A53" s="74">
        <v>46057</v>
      </c>
      <c r="B53" t="s">
        <v>361</v>
      </c>
      <c r="C53" t="s">
        <v>740</v>
      </c>
      <c r="D53" s="3">
        <v>15554</v>
      </c>
      <c r="E53" t="s">
        <v>751</v>
      </c>
      <c r="J53" t="s">
        <v>752</v>
      </c>
    </row>
    <row r="54" spans="1:10" hidden="1">
      <c r="A54" s="74">
        <v>46065</v>
      </c>
      <c r="B54" t="s">
        <v>611</v>
      </c>
      <c r="C54" t="s">
        <v>761</v>
      </c>
      <c r="D54" s="3">
        <v>138841</v>
      </c>
      <c r="E54" t="s">
        <v>751</v>
      </c>
      <c r="J54" t="s">
        <v>752</v>
      </c>
    </row>
    <row r="55" spans="1:10" hidden="1">
      <c r="A55" s="74">
        <v>46066</v>
      </c>
      <c r="B55" t="s">
        <v>300</v>
      </c>
      <c r="C55" t="s">
        <v>771</v>
      </c>
      <c r="D55">
        <v>8780</v>
      </c>
      <c r="E55" t="s">
        <v>754</v>
      </c>
      <c r="F55"/>
      <c r="J55" t="s">
        <v>752</v>
      </c>
    </row>
    <row r="56" spans="1:10" hidden="1">
      <c r="A56" s="74">
        <v>46066</v>
      </c>
      <c r="B56" t="s">
        <v>166</v>
      </c>
      <c r="C56" t="s">
        <v>740</v>
      </c>
      <c r="D56" s="3">
        <v>9302</v>
      </c>
      <c r="E56" t="s">
        <v>751</v>
      </c>
      <c r="J56" t="s">
        <v>752</v>
      </c>
    </row>
    <row r="57" spans="1:10" hidden="1">
      <c r="A57" s="74">
        <v>46072</v>
      </c>
      <c r="B57" t="s">
        <v>523</v>
      </c>
      <c r="C57" t="s">
        <v>772</v>
      </c>
      <c r="D57" s="3">
        <v>39996</v>
      </c>
      <c r="E57" t="s">
        <v>751</v>
      </c>
      <c r="F57" s="3">
        <v>16152</v>
      </c>
      <c r="J57" t="s">
        <v>752</v>
      </c>
    </row>
    <row r="58" spans="1:10" hidden="1">
      <c r="A58" s="74">
        <v>46073</v>
      </c>
      <c r="B58" t="s">
        <v>529</v>
      </c>
      <c r="C58" t="s">
        <v>772</v>
      </c>
      <c r="D58" s="3">
        <v>58306</v>
      </c>
      <c r="E58" t="s">
        <v>751</v>
      </c>
      <c r="F58" s="3" t="s">
        <v>773</v>
      </c>
      <c r="J58" t="s">
        <v>752</v>
      </c>
    </row>
    <row r="59" spans="1:10" hidden="1">
      <c r="A59" s="74">
        <v>46073</v>
      </c>
      <c r="B59" t="s">
        <v>152</v>
      </c>
      <c r="C59" t="s">
        <v>756</v>
      </c>
      <c r="D59" s="3">
        <v>12750</v>
      </c>
      <c r="E59" t="s">
        <v>751</v>
      </c>
      <c r="F59" s="3">
        <v>15104</v>
      </c>
      <c r="J59" t="s">
        <v>752</v>
      </c>
    </row>
    <row r="60" spans="1:10" hidden="1">
      <c r="A60" s="74">
        <v>46073</v>
      </c>
      <c r="B60" t="s">
        <v>505</v>
      </c>
      <c r="C60" t="s">
        <v>772</v>
      </c>
      <c r="D60" s="3">
        <v>61470</v>
      </c>
      <c r="E60" t="s">
        <v>751</v>
      </c>
      <c r="F60" s="3">
        <v>15102</v>
      </c>
      <c r="J60" t="s">
        <v>752</v>
      </c>
    </row>
    <row r="61" spans="1:10" hidden="1">
      <c r="A61" s="74">
        <v>46074</v>
      </c>
      <c r="B61" t="s">
        <v>510</v>
      </c>
      <c r="C61" t="s">
        <v>772</v>
      </c>
      <c r="D61" s="3">
        <v>61948</v>
      </c>
      <c r="E61" t="s">
        <v>751</v>
      </c>
      <c r="F61" s="3">
        <v>15101</v>
      </c>
      <c r="J61" t="s">
        <v>752</v>
      </c>
    </row>
    <row r="62" spans="1:10" hidden="1">
      <c r="A62" s="74">
        <v>45965</v>
      </c>
      <c r="B62" t="s">
        <v>498</v>
      </c>
      <c r="C62" t="s">
        <v>772</v>
      </c>
      <c r="D62" s="3">
        <v>81949</v>
      </c>
      <c r="E62" t="s">
        <v>751</v>
      </c>
      <c r="F62" s="3">
        <v>389</v>
      </c>
      <c r="J62" t="s">
        <v>752</v>
      </c>
    </row>
    <row r="63" spans="1:10" hidden="1">
      <c r="A63" s="74">
        <v>45618</v>
      </c>
      <c r="B63" t="s">
        <v>403</v>
      </c>
      <c r="D63">
        <v>4240</v>
      </c>
      <c r="E63" t="s">
        <v>754</v>
      </c>
      <c r="F63"/>
      <c r="J63" t="s">
        <v>752</v>
      </c>
    </row>
    <row r="64" spans="1:10" hidden="1">
      <c r="A64" s="74">
        <v>46043</v>
      </c>
      <c r="B64" t="s">
        <v>300</v>
      </c>
      <c r="C64" t="s">
        <v>774</v>
      </c>
      <c r="D64"/>
      <c r="E64" t="s">
        <v>754</v>
      </c>
      <c r="F64"/>
      <c r="J64" t="s">
        <v>752</v>
      </c>
    </row>
    <row r="65" spans="1:10" hidden="1">
      <c r="A65" s="74">
        <v>45859</v>
      </c>
      <c r="B65" t="s">
        <v>611</v>
      </c>
      <c r="C65" t="s">
        <v>772</v>
      </c>
      <c r="D65" s="3">
        <v>110210</v>
      </c>
      <c r="E65" t="s">
        <v>751</v>
      </c>
      <c r="J65" t="s">
        <v>752</v>
      </c>
    </row>
    <row r="66" spans="1:10" hidden="1">
      <c r="A66" s="74">
        <v>45860</v>
      </c>
      <c r="B66" t="s">
        <v>120</v>
      </c>
      <c r="D66">
        <v>73978</v>
      </c>
      <c r="E66" t="s">
        <v>754</v>
      </c>
      <c r="F66"/>
      <c r="J66" t="s">
        <v>752</v>
      </c>
    </row>
    <row r="67" spans="1:10" hidden="1">
      <c r="A67" s="74">
        <v>46066</v>
      </c>
      <c r="B67" t="s">
        <v>262</v>
      </c>
      <c r="C67" t="s">
        <v>756</v>
      </c>
      <c r="D67" s="3">
        <v>2610</v>
      </c>
      <c r="E67" t="s">
        <v>751</v>
      </c>
      <c r="F67" s="3">
        <v>15961</v>
      </c>
      <c r="J67" t="s">
        <v>752</v>
      </c>
    </row>
    <row r="68" spans="1:10" hidden="1">
      <c r="A68" s="74">
        <v>46055</v>
      </c>
      <c r="B68" t="s">
        <v>493</v>
      </c>
      <c r="C68" t="s">
        <v>761</v>
      </c>
      <c r="D68" s="3">
        <v>79968</v>
      </c>
      <c r="E68" t="s">
        <v>751</v>
      </c>
      <c r="F68" s="3">
        <v>15956</v>
      </c>
      <c r="J68" t="s">
        <v>752</v>
      </c>
    </row>
    <row r="69" spans="1:10" hidden="1">
      <c r="A69" s="74">
        <v>46062</v>
      </c>
      <c r="B69" t="s">
        <v>19</v>
      </c>
      <c r="C69" t="s">
        <v>756</v>
      </c>
      <c r="E69" t="s">
        <v>751</v>
      </c>
      <c r="F69" s="3">
        <v>15959</v>
      </c>
      <c r="J69" t="s">
        <v>752</v>
      </c>
    </row>
    <row r="70" spans="1:10" hidden="1">
      <c r="A70" s="74">
        <v>46060</v>
      </c>
      <c r="B70" t="s">
        <v>29</v>
      </c>
      <c r="C70" t="s">
        <v>756</v>
      </c>
      <c r="E70" t="s">
        <v>751</v>
      </c>
      <c r="F70" s="3" t="s">
        <v>775</v>
      </c>
      <c r="J70" t="s">
        <v>752</v>
      </c>
    </row>
    <row r="71" spans="1:10" hidden="1">
      <c r="A71" s="74">
        <v>46078</v>
      </c>
      <c r="B71" t="s">
        <v>567</v>
      </c>
      <c r="C71" t="s">
        <v>761</v>
      </c>
      <c r="E71" t="s">
        <v>751</v>
      </c>
      <c r="F71" s="3" t="s">
        <v>775</v>
      </c>
      <c r="J71" t="s">
        <v>752</v>
      </c>
    </row>
    <row r="72" spans="1:10" hidden="1">
      <c r="A72" s="74"/>
      <c r="B72" t="s">
        <v>519</v>
      </c>
      <c r="D72"/>
      <c r="E72" t="s">
        <v>754</v>
      </c>
      <c r="F72"/>
      <c r="J72" t="s">
        <v>752</v>
      </c>
    </row>
    <row r="73" spans="1:10" hidden="1">
      <c r="A73" s="74"/>
      <c r="B73" t="s">
        <v>460</v>
      </c>
      <c r="C73" t="s">
        <v>761</v>
      </c>
      <c r="D73" s="3">
        <v>89665</v>
      </c>
      <c r="E73" t="s">
        <v>751</v>
      </c>
      <c r="J73" t="s">
        <v>752</v>
      </c>
    </row>
    <row r="74" spans="1:10" hidden="1">
      <c r="A74" s="74">
        <v>46086</v>
      </c>
      <c r="B74" t="s">
        <v>310</v>
      </c>
      <c r="C74" t="s">
        <v>750</v>
      </c>
      <c r="D74" s="3">
        <v>16953</v>
      </c>
      <c r="E74" t="s">
        <v>751</v>
      </c>
      <c r="J74" t="s">
        <v>752</v>
      </c>
    </row>
    <row r="75" spans="1:10" hidden="1">
      <c r="A75" s="74">
        <v>46086</v>
      </c>
      <c r="B75" t="s">
        <v>86</v>
      </c>
      <c r="C75" t="s">
        <v>750</v>
      </c>
      <c r="D75" s="3">
        <v>3406</v>
      </c>
      <c r="E75" t="s">
        <v>751</v>
      </c>
      <c r="J75" t="s">
        <v>752</v>
      </c>
    </row>
    <row r="76" spans="1:10" hidden="1">
      <c r="A76" s="74">
        <v>46085</v>
      </c>
      <c r="B76" t="s">
        <v>89</v>
      </c>
      <c r="C76" t="s">
        <v>750</v>
      </c>
      <c r="D76" s="3">
        <v>3468</v>
      </c>
      <c r="E76" t="s">
        <v>751</v>
      </c>
      <c r="J76" t="s">
        <v>752</v>
      </c>
    </row>
    <row r="77" spans="1:10" hidden="1">
      <c r="A77" s="74">
        <v>46086</v>
      </c>
      <c r="B77" t="s">
        <v>136</v>
      </c>
      <c r="C77" t="s">
        <v>776</v>
      </c>
      <c r="D77" s="3">
        <v>295000</v>
      </c>
      <c r="E77" t="s">
        <v>751</v>
      </c>
      <c r="J77" t="s">
        <v>752</v>
      </c>
    </row>
    <row r="78" spans="1:10" hidden="1">
      <c r="A78" s="74">
        <v>46084</v>
      </c>
      <c r="B78" t="s">
        <v>91</v>
      </c>
      <c r="C78" t="s">
        <v>777</v>
      </c>
      <c r="D78" s="3">
        <v>3654</v>
      </c>
      <c r="E78" t="s">
        <v>751</v>
      </c>
      <c r="J78" t="s">
        <v>752</v>
      </c>
    </row>
    <row r="79" spans="1:10" hidden="1">
      <c r="A79" s="74">
        <v>46083</v>
      </c>
      <c r="B79" t="s">
        <v>168</v>
      </c>
      <c r="C79" t="s">
        <v>750</v>
      </c>
      <c r="D79" s="3">
        <v>1978</v>
      </c>
      <c r="E79" t="s">
        <v>751</v>
      </c>
      <c r="J79" t="s">
        <v>752</v>
      </c>
    </row>
    <row r="80" spans="1:10" hidden="1">
      <c r="A80" s="74"/>
      <c r="B80" t="s">
        <v>96</v>
      </c>
      <c r="D80"/>
      <c r="E80" t="s">
        <v>754</v>
      </c>
      <c r="F80"/>
      <c r="J80" t="s">
        <v>752</v>
      </c>
    </row>
    <row r="81" spans="1:10" hidden="1">
      <c r="A81" s="74">
        <v>46086</v>
      </c>
      <c r="B81" t="s">
        <v>484</v>
      </c>
      <c r="C81" t="s">
        <v>778</v>
      </c>
      <c r="D81" s="3">
        <v>75400</v>
      </c>
      <c r="E81" t="s">
        <v>751</v>
      </c>
      <c r="G81" t="s">
        <v>779</v>
      </c>
      <c r="I81" s="9">
        <v>425505</v>
      </c>
      <c r="J81" t="s">
        <v>752</v>
      </c>
    </row>
    <row r="82" spans="1:10" hidden="1">
      <c r="A82" s="74">
        <v>46071</v>
      </c>
      <c r="B82" t="s">
        <v>498</v>
      </c>
      <c r="C82" t="s">
        <v>778</v>
      </c>
      <c r="D82" s="3">
        <v>107335</v>
      </c>
      <c r="E82" t="s">
        <v>751</v>
      </c>
      <c r="J82" t="s">
        <v>752</v>
      </c>
    </row>
    <row r="83" spans="1:10" hidden="1">
      <c r="A83" s="74">
        <v>46087</v>
      </c>
      <c r="B83" t="s">
        <v>466</v>
      </c>
      <c r="C83" t="s">
        <v>778</v>
      </c>
      <c r="D83" s="3">
        <v>105962</v>
      </c>
      <c r="E83" t="s">
        <v>751</v>
      </c>
      <c r="F83" s="3">
        <v>105962</v>
      </c>
      <c r="J83" t="s">
        <v>752</v>
      </c>
    </row>
    <row r="84" spans="1:10" hidden="1">
      <c r="A84" s="74">
        <v>46093</v>
      </c>
      <c r="B84" t="s">
        <v>631</v>
      </c>
      <c r="C84" t="s">
        <v>778</v>
      </c>
      <c r="D84" s="3">
        <v>123772</v>
      </c>
      <c r="E84" t="s">
        <v>751</v>
      </c>
      <c r="G84" t="s">
        <v>33</v>
      </c>
      <c r="J84" t="s">
        <v>752</v>
      </c>
    </row>
    <row r="85" spans="1:10" hidden="1">
      <c r="A85" s="74">
        <v>46093</v>
      </c>
      <c r="B85" t="s">
        <v>42</v>
      </c>
      <c r="C85" t="s">
        <v>776</v>
      </c>
      <c r="D85" s="3">
        <v>189849</v>
      </c>
      <c r="E85" t="s">
        <v>751</v>
      </c>
      <c r="G85" t="s">
        <v>728</v>
      </c>
      <c r="J85" t="s">
        <v>752</v>
      </c>
    </row>
    <row r="86" spans="1:10" hidden="1">
      <c r="A86" s="74">
        <v>46092</v>
      </c>
      <c r="B86" t="s">
        <v>381</v>
      </c>
      <c r="C86" t="s">
        <v>750</v>
      </c>
      <c r="D86" s="3">
        <v>3745</v>
      </c>
      <c r="E86" t="s">
        <v>751</v>
      </c>
      <c r="G86" t="s">
        <v>728</v>
      </c>
      <c r="H86" t="s">
        <v>780</v>
      </c>
      <c r="I86" s="9">
        <v>177476</v>
      </c>
      <c r="J86" t="s">
        <v>752</v>
      </c>
    </row>
    <row r="87" spans="1:10" hidden="1">
      <c r="A87" s="74">
        <v>46097</v>
      </c>
      <c r="B87" t="s">
        <v>258</v>
      </c>
      <c r="C87" t="s">
        <v>750</v>
      </c>
      <c r="D87" s="3">
        <v>15727</v>
      </c>
      <c r="E87" t="s">
        <v>751</v>
      </c>
      <c r="G87" t="s">
        <v>23</v>
      </c>
      <c r="I87" s="9">
        <v>866929</v>
      </c>
      <c r="J87" t="s">
        <v>752</v>
      </c>
    </row>
    <row r="88" spans="1:10" hidden="1">
      <c r="A88" s="74">
        <v>46094</v>
      </c>
      <c r="B88" t="s">
        <v>491</v>
      </c>
      <c r="C88" t="s">
        <v>778</v>
      </c>
      <c r="D88" s="3">
        <v>107210</v>
      </c>
      <c r="E88" t="s">
        <v>751</v>
      </c>
      <c r="G88" t="s">
        <v>779</v>
      </c>
      <c r="I88" s="9">
        <v>405817</v>
      </c>
      <c r="J88" t="s">
        <v>752</v>
      </c>
    </row>
    <row r="89" spans="1:10" hidden="1">
      <c r="A89" s="74">
        <v>46094</v>
      </c>
      <c r="B89" t="s">
        <v>386</v>
      </c>
      <c r="C89" t="s">
        <v>750</v>
      </c>
      <c r="D89" s="3">
        <v>13040</v>
      </c>
      <c r="E89" t="s">
        <v>751</v>
      </c>
      <c r="F89" s="3">
        <v>17151</v>
      </c>
      <c r="G89" t="s">
        <v>515</v>
      </c>
      <c r="H89" t="s">
        <v>781</v>
      </c>
      <c r="I89" s="9">
        <v>89099.98</v>
      </c>
      <c r="J89" t="s">
        <v>752</v>
      </c>
    </row>
    <row r="90" spans="1:10" hidden="1">
      <c r="A90" s="74">
        <v>46098</v>
      </c>
      <c r="B90" t="s">
        <v>390</v>
      </c>
      <c r="C90" t="s">
        <v>750</v>
      </c>
      <c r="D90" s="3">
        <v>17296</v>
      </c>
      <c r="E90" t="s">
        <v>751</v>
      </c>
      <c r="F90" s="3">
        <v>17155</v>
      </c>
      <c r="G90" t="s">
        <v>713</v>
      </c>
      <c r="H90" t="s">
        <v>780</v>
      </c>
      <c r="I90" s="9">
        <v>289773.33</v>
      </c>
      <c r="J90" t="s">
        <v>752</v>
      </c>
    </row>
    <row r="91" spans="1:10" hidden="1">
      <c r="A91" s="74">
        <v>46094</v>
      </c>
      <c r="B91" t="s">
        <v>371</v>
      </c>
      <c r="C91" t="s">
        <v>750</v>
      </c>
      <c r="D91" s="3">
        <v>17152</v>
      </c>
      <c r="E91" t="s">
        <v>751</v>
      </c>
      <c r="F91" s="3">
        <v>17152</v>
      </c>
      <c r="G91" t="s">
        <v>713</v>
      </c>
      <c r="H91" t="s">
        <v>782</v>
      </c>
      <c r="I91" s="9">
        <v>277000</v>
      </c>
      <c r="J91" t="s">
        <v>752</v>
      </c>
    </row>
    <row r="92" spans="1:10" hidden="1">
      <c r="A92" s="74">
        <v>46094</v>
      </c>
      <c r="B92" t="s">
        <v>363</v>
      </c>
      <c r="C92" t="s">
        <v>750</v>
      </c>
      <c r="D92" s="3">
        <v>13650</v>
      </c>
      <c r="E92" t="s">
        <v>751</v>
      </c>
      <c r="F92" s="3">
        <v>17153</v>
      </c>
      <c r="G92" t="s">
        <v>713</v>
      </c>
      <c r="H92" t="s">
        <v>783</v>
      </c>
      <c r="I92" s="9">
        <v>125352</v>
      </c>
      <c r="J92" t="s">
        <v>752</v>
      </c>
    </row>
    <row r="93" spans="1:10" hidden="1">
      <c r="A93" s="74">
        <v>46057</v>
      </c>
      <c r="B93" t="s">
        <v>383</v>
      </c>
      <c r="C93" t="s">
        <v>750</v>
      </c>
      <c r="D93" s="3">
        <v>3472</v>
      </c>
      <c r="E93" t="s">
        <v>751</v>
      </c>
      <c r="H93" t="s">
        <v>780</v>
      </c>
      <c r="I93" s="9">
        <v>177476</v>
      </c>
      <c r="J93" t="s">
        <v>752</v>
      </c>
    </row>
    <row r="94" spans="1:10" hidden="1">
      <c r="A94" s="74">
        <v>46098</v>
      </c>
      <c r="B94" t="s">
        <v>272</v>
      </c>
      <c r="C94" t="s">
        <v>750</v>
      </c>
      <c r="D94" s="3">
        <v>5648</v>
      </c>
      <c r="E94" t="s">
        <v>751</v>
      </c>
      <c r="F94" s="3">
        <v>15994</v>
      </c>
      <c r="G94" t="s">
        <v>50</v>
      </c>
      <c r="H94" t="s">
        <v>780</v>
      </c>
      <c r="I94" s="9">
        <v>177476</v>
      </c>
      <c r="J94" t="s">
        <v>752</v>
      </c>
    </row>
    <row r="95" spans="1:10" hidden="1">
      <c r="A95" s="74">
        <v>46093</v>
      </c>
      <c r="B95" t="s">
        <v>395</v>
      </c>
      <c r="C95" t="s">
        <v>777</v>
      </c>
      <c r="D95" s="3">
        <v>1713</v>
      </c>
      <c r="E95" t="s">
        <v>751</v>
      </c>
      <c r="G95" t="s">
        <v>62</v>
      </c>
      <c r="H95" t="s">
        <v>780</v>
      </c>
      <c r="I95" s="9">
        <v>133882.14000000001</v>
      </c>
      <c r="J95" t="s">
        <v>752</v>
      </c>
    </row>
    <row r="96" spans="1:10" hidden="1">
      <c r="A96" s="74">
        <v>46086</v>
      </c>
      <c r="B96" t="s">
        <v>556</v>
      </c>
      <c r="C96" t="s">
        <v>778</v>
      </c>
      <c r="D96" s="3">
        <v>14872</v>
      </c>
      <c r="E96" t="s">
        <v>751</v>
      </c>
      <c r="G96" t="s">
        <v>784</v>
      </c>
      <c r="H96" t="s">
        <v>785</v>
      </c>
      <c r="I96" s="9">
        <v>252383</v>
      </c>
      <c r="J96" t="s">
        <v>752</v>
      </c>
    </row>
    <row r="97" spans="1:10" hidden="1">
      <c r="A97" s="74">
        <v>46099</v>
      </c>
      <c r="B97" t="s">
        <v>559</v>
      </c>
      <c r="C97" t="s">
        <v>778</v>
      </c>
      <c r="D97" s="3">
        <v>22254</v>
      </c>
      <c r="E97" t="s">
        <v>751</v>
      </c>
      <c r="G97" t="s">
        <v>784</v>
      </c>
      <c r="H97" t="s">
        <v>785</v>
      </c>
      <c r="I97" s="9">
        <v>310988</v>
      </c>
      <c r="J97" t="s">
        <v>752</v>
      </c>
    </row>
    <row r="98" spans="1:10" hidden="1">
      <c r="A98" s="74">
        <v>46099</v>
      </c>
      <c r="B98" t="s">
        <v>540</v>
      </c>
      <c r="C98" t="s">
        <v>778</v>
      </c>
      <c r="D98" s="3">
        <v>78670</v>
      </c>
      <c r="E98" t="s">
        <v>751</v>
      </c>
      <c r="G98" t="s">
        <v>784</v>
      </c>
      <c r="H98" t="s">
        <v>785</v>
      </c>
      <c r="I98" s="9">
        <v>487719</v>
      </c>
      <c r="J98" t="s">
        <v>752</v>
      </c>
    </row>
    <row r="99" spans="1:10" hidden="1">
      <c r="A99" s="74">
        <v>46099</v>
      </c>
      <c r="B99" t="s">
        <v>647</v>
      </c>
      <c r="C99" t="s">
        <v>778</v>
      </c>
      <c r="D99" s="3">
        <v>110602</v>
      </c>
      <c r="E99" t="s">
        <v>751</v>
      </c>
      <c r="G99" t="s">
        <v>784</v>
      </c>
      <c r="H99" t="s">
        <v>785</v>
      </c>
      <c r="I99" s="9">
        <v>276888</v>
      </c>
      <c r="J99" t="s">
        <v>752</v>
      </c>
    </row>
    <row r="100" spans="1:10" hidden="1">
      <c r="A100" s="74">
        <v>46099</v>
      </c>
      <c r="B100" t="s">
        <v>525</v>
      </c>
      <c r="C100" t="s">
        <v>776</v>
      </c>
      <c r="D100" s="3">
        <v>78795</v>
      </c>
      <c r="E100" t="s">
        <v>751</v>
      </c>
      <c r="F100" s="3">
        <v>15106</v>
      </c>
      <c r="G100" t="s">
        <v>37</v>
      </c>
      <c r="H100" t="s">
        <v>781</v>
      </c>
      <c r="I100" s="9">
        <v>32014</v>
      </c>
      <c r="J100" t="s">
        <v>752</v>
      </c>
    </row>
    <row r="101" spans="1:10">
      <c r="A101" s="74">
        <v>46092</v>
      </c>
      <c r="B101" t="s">
        <v>36</v>
      </c>
      <c r="C101" t="s">
        <v>750</v>
      </c>
      <c r="D101" s="3">
        <v>10923</v>
      </c>
      <c r="E101" t="s">
        <v>751</v>
      </c>
      <c r="F101" s="3">
        <v>15107</v>
      </c>
      <c r="G101" t="s">
        <v>37</v>
      </c>
      <c r="J101" t="s">
        <v>752</v>
      </c>
    </row>
    <row r="102" spans="1:10" hidden="1">
      <c r="A102" s="74">
        <v>46093</v>
      </c>
      <c r="B102" t="s">
        <v>448</v>
      </c>
      <c r="C102" t="s">
        <v>750</v>
      </c>
      <c r="D102" s="3">
        <v>1713</v>
      </c>
      <c r="E102" t="s">
        <v>751</v>
      </c>
      <c r="F102" s="3">
        <v>15991</v>
      </c>
      <c r="G102" t="s">
        <v>62</v>
      </c>
      <c r="H102" t="s">
        <v>780</v>
      </c>
      <c r="I102" s="9">
        <v>133882.14000000001</v>
      </c>
      <c r="J102" t="s">
        <v>752</v>
      </c>
    </row>
    <row r="103" spans="1:10" hidden="1">
      <c r="A103" s="74">
        <v>46086</v>
      </c>
      <c r="B103" t="s">
        <v>292</v>
      </c>
      <c r="C103" t="s">
        <v>750</v>
      </c>
      <c r="D103" s="3">
        <v>1462</v>
      </c>
      <c r="E103" t="s">
        <v>751</v>
      </c>
      <c r="H103" t="s">
        <v>785</v>
      </c>
      <c r="I103" s="9">
        <v>249078</v>
      </c>
      <c r="J103" t="s">
        <v>752</v>
      </c>
    </row>
    <row r="104" spans="1:10" hidden="1">
      <c r="A104" s="74">
        <v>46100</v>
      </c>
      <c r="B104" t="s">
        <v>172</v>
      </c>
      <c r="C104" t="s">
        <v>750</v>
      </c>
      <c r="D104" s="3">
        <v>9317</v>
      </c>
      <c r="E104" t="s">
        <v>751</v>
      </c>
      <c r="G104" t="s">
        <v>37</v>
      </c>
      <c r="J104" t="s">
        <v>752</v>
      </c>
    </row>
    <row r="105" spans="1:10" hidden="1">
      <c r="A105" s="74">
        <v>46099</v>
      </c>
      <c r="B105" t="s">
        <v>82</v>
      </c>
      <c r="C105" t="s">
        <v>776</v>
      </c>
      <c r="D105" s="3">
        <v>195600</v>
      </c>
      <c r="E105" t="s">
        <v>751</v>
      </c>
      <c r="H105" t="s">
        <v>786</v>
      </c>
      <c r="I105" s="9">
        <v>143221</v>
      </c>
      <c r="J105" t="s">
        <v>752</v>
      </c>
    </row>
    <row r="106" spans="1:10" hidden="1">
      <c r="A106" s="74">
        <v>46100</v>
      </c>
      <c r="B106" t="s">
        <v>429</v>
      </c>
      <c r="C106" t="s">
        <v>750</v>
      </c>
      <c r="D106" s="3">
        <v>6683</v>
      </c>
      <c r="E106" t="s">
        <v>751</v>
      </c>
      <c r="F106" s="3">
        <v>17156</v>
      </c>
      <c r="G106" t="s">
        <v>326</v>
      </c>
      <c r="J106" t="s">
        <v>752</v>
      </c>
    </row>
    <row r="107" spans="1:10" hidden="1">
      <c r="A107" s="74">
        <v>46058</v>
      </c>
      <c r="B107" t="s">
        <v>304</v>
      </c>
      <c r="C107" t="s">
        <v>750</v>
      </c>
      <c r="D107" s="3">
        <v>8547</v>
      </c>
      <c r="E107" t="s">
        <v>751</v>
      </c>
      <c r="G107" t="s">
        <v>62</v>
      </c>
      <c r="J107" t="s">
        <v>752</v>
      </c>
    </row>
    <row r="108" spans="1:10" hidden="1">
      <c r="A108" s="74">
        <v>46072</v>
      </c>
      <c r="B108" t="s">
        <v>519</v>
      </c>
      <c r="C108" t="s">
        <v>787</v>
      </c>
      <c r="D108" s="3">
        <v>61470</v>
      </c>
      <c r="E108" t="s">
        <v>751</v>
      </c>
      <c r="G108" t="s">
        <v>62</v>
      </c>
      <c r="J108" t="s">
        <v>752</v>
      </c>
    </row>
    <row r="109" spans="1:10" hidden="1">
      <c r="A109" s="74">
        <v>45974</v>
      </c>
      <c r="B109" t="s">
        <v>312</v>
      </c>
      <c r="C109" t="s">
        <v>750</v>
      </c>
      <c r="D109" s="3">
        <v>21210</v>
      </c>
      <c r="E109" t="s">
        <v>751</v>
      </c>
      <c r="G109" t="s">
        <v>701</v>
      </c>
      <c r="J109" t="s">
        <v>752</v>
      </c>
    </row>
    <row r="110" spans="1:10" hidden="1">
      <c r="A110" s="74">
        <v>46087</v>
      </c>
      <c r="B110" t="s">
        <v>521</v>
      </c>
      <c r="C110" t="s">
        <v>776</v>
      </c>
      <c r="D110" s="3">
        <v>71838</v>
      </c>
      <c r="E110" t="s">
        <v>751</v>
      </c>
      <c r="F110" s="3">
        <v>16205</v>
      </c>
      <c r="G110" t="s">
        <v>15</v>
      </c>
      <c r="J110" t="s">
        <v>752</v>
      </c>
    </row>
    <row r="111" spans="1:10" hidden="1">
      <c r="A111" s="74">
        <v>46085</v>
      </c>
      <c r="B111" t="s">
        <v>329</v>
      </c>
      <c r="C111" t="s">
        <v>750</v>
      </c>
      <c r="D111" s="3">
        <v>8980</v>
      </c>
      <c r="E111" t="s">
        <v>751</v>
      </c>
      <c r="F111" s="3">
        <v>16202</v>
      </c>
      <c r="J111" t="s">
        <v>752</v>
      </c>
    </row>
    <row r="112" spans="1:10" hidden="1">
      <c r="A112" s="74">
        <v>46031</v>
      </c>
      <c r="B112" t="s">
        <v>558</v>
      </c>
      <c r="C112" t="s">
        <v>788</v>
      </c>
      <c r="D112" s="3">
        <v>11406</v>
      </c>
      <c r="E112" t="s">
        <v>751</v>
      </c>
      <c r="G112" t="s">
        <v>784</v>
      </c>
      <c r="H112" t="s">
        <v>785</v>
      </c>
      <c r="I112" s="9">
        <v>254792</v>
      </c>
      <c r="J112" t="s">
        <v>752</v>
      </c>
    </row>
    <row r="113" spans="1:10" hidden="1">
      <c r="A113" s="74">
        <v>46020</v>
      </c>
      <c r="B113" t="s">
        <v>538</v>
      </c>
      <c r="C113" t="s">
        <v>788</v>
      </c>
      <c r="D113" s="3">
        <v>65636</v>
      </c>
      <c r="E113" t="s">
        <v>751</v>
      </c>
      <c r="G113" t="s">
        <v>784</v>
      </c>
      <c r="H113" t="s">
        <v>785</v>
      </c>
      <c r="I113" s="9">
        <v>573317</v>
      </c>
      <c r="J113" t="s">
        <v>752</v>
      </c>
    </row>
    <row r="114" spans="1:10" ht="15" hidden="1" customHeight="1">
      <c r="A114" s="74">
        <v>46027</v>
      </c>
      <c r="B114" t="s">
        <v>529</v>
      </c>
      <c r="C114" t="s">
        <v>776</v>
      </c>
      <c r="D114" s="3">
        <v>30210</v>
      </c>
      <c r="E114" t="s">
        <v>751</v>
      </c>
      <c r="J114" t="s">
        <v>752</v>
      </c>
    </row>
    <row r="115" spans="1:10" ht="15" hidden="1" customHeight="1">
      <c r="A115" s="74">
        <v>46029</v>
      </c>
      <c r="B115" t="s">
        <v>542</v>
      </c>
      <c r="C115" t="s">
        <v>778</v>
      </c>
      <c r="D115" s="3">
        <v>85271</v>
      </c>
      <c r="E115" t="s">
        <v>751</v>
      </c>
      <c r="G115" t="s">
        <v>784</v>
      </c>
      <c r="H115" t="s">
        <v>785</v>
      </c>
      <c r="I115" s="9">
        <v>725040</v>
      </c>
      <c r="J115" t="s">
        <v>752</v>
      </c>
    </row>
    <row r="116" spans="1:10" ht="15" hidden="1" customHeight="1">
      <c r="A116" s="74">
        <v>46105</v>
      </c>
      <c r="B116" t="s">
        <v>536</v>
      </c>
      <c r="C116" t="s">
        <v>778</v>
      </c>
      <c r="D116" s="84">
        <v>86820</v>
      </c>
      <c r="E116" t="s">
        <v>751</v>
      </c>
      <c r="G116" t="s">
        <v>784</v>
      </c>
      <c r="H116" t="s">
        <v>785</v>
      </c>
      <c r="I116" s="9">
        <v>698466</v>
      </c>
      <c r="J116" t="s">
        <v>752</v>
      </c>
    </row>
    <row r="117" spans="1:10" ht="15" hidden="1" customHeight="1">
      <c r="A117" s="74">
        <v>46101</v>
      </c>
      <c r="B117" t="s">
        <v>642</v>
      </c>
      <c r="C117" t="s">
        <v>778</v>
      </c>
      <c r="D117" s="3">
        <v>92994</v>
      </c>
      <c r="E117" t="s">
        <v>751</v>
      </c>
      <c r="J117" t="s">
        <v>752</v>
      </c>
    </row>
    <row r="118" spans="1:10" ht="15" hidden="1" customHeight="1">
      <c r="A118" s="74">
        <v>46077</v>
      </c>
      <c r="B118" t="s">
        <v>505</v>
      </c>
      <c r="C118" t="s">
        <v>776</v>
      </c>
      <c r="D118" s="3">
        <v>90248</v>
      </c>
      <c r="E118" t="s">
        <v>751</v>
      </c>
      <c r="J118" t="s">
        <v>752</v>
      </c>
    </row>
    <row r="119" spans="1:10" ht="15" hidden="1" customHeight="1">
      <c r="A119" s="74">
        <v>46105</v>
      </c>
      <c r="B119" t="s">
        <v>47</v>
      </c>
      <c r="C119" t="s">
        <v>776</v>
      </c>
      <c r="D119" s="3">
        <v>275548</v>
      </c>
      <c r="E119" t="s">
        <v>751</v>
      </c>
      <c r="G119" t="s">
        <v>50</v>
      </c>
      <c r="J119" t="s">
        <v>752</v>
      </c>
    </row>
    <row r="120" spans="1:10" ht="15" hidden="1" customHeight="1">
      <c r="A120" s="74">
        <v>46101</v>
      </c>
      <c r="B120" t="s">
        <v>635</v>
      </c>
      <c r="C120" t="s">
        <v>778</v>
      </c>
      <c r="D120">
        <v>129410</v>
      </c>
      <c r="E120" t="s">
        <v>754</v>
      </c>
      <c r="F120"/>
      <c r="J120" t="s">
        <v>752</v>
      </c>
    </row>
    <row r="121" spans="1:10" ht="15" hidden="1" customHeight="1">
      <c r="A121" s="74">
        <v>46099</v>
      </c>
      <c r="B121" t="s">
        <v>493</v>
      </c>
      <c r="C121" t="s">
        <v>789</v>
      </c>
      <c r="D121" s="3">
        <v>90000</v>
      </c>
      <c r="E121" t="s">
        <v>751</v>
      </c>
      <c r="J121" t="s">
        <v>752</v>
      </c>
    </row>
    <row r="122" spans="1:10" ht="15" hidden="1" customHeight="1">
      <c r="A122" s="74">
        <v>46099</v>
      </c>
      <c r="B122" t="s">
        <v>82</v>
      </c>
      <c r="C122" t="s">
        <v>776</v>
      </c>
      <c r="D122" s="3">
        <v>195600</v>
      </c>
      <c r="E122" t="s">
        <v>751</v>
      </c>
      <c r="G122" t="s">
        <v>23</v>
      </c>
      <c r="H122" t="s">
        <v>786</v>
      </c>
      <c r="I122" s="9">
        <v>170432.99</v>
      </c>
      <c r="J122" t="s">
        <v>752</v>
      </c>
    </row>
    <row r="123" spans="1:10" ht="15" hidden="1" customHeight="1">
      <c r="A123" s="74"/>
      <c r="B123" t="s">
        <v>635</v>
      </c>
      <c r="C123" t="s">
        <v>778</v>
      </c>
      <c r="D123" s="3">
        <v>118530</v>
      </c>
      <c r="E123" t="s">
        <v>751</v>
      </c>
      <c r="J123" t="s">
        <v>752</v>
      </c>
    </row>
    <row r="124" spans="1:10" ht="15" hidden="1" customHeight="1">
      <c r="A124" s="74">
        <v>46105</v>
      </c>
      <c r="B124" t="s">
        <v>118</v>
      </c>
      <c r="C124" t="s">
        <v>750</v>
      </c>
      <c r="D124" s="3">
        <v>7682</v>
      </c>
      <c r="E124" t="s">
        <v>751</v>
      </c>
      <c r="G124" t="s">
        <v>33</v>
      </c>
      <c r="J124" t="s">
        <v>752</v>
      </c>
    </row>
    <row r="125" spans="1:10" ht="15" hidden="1" customHeight="1">
      <c r="A125" s="74">
        <v>46106</v>
      </c>
      <c r="B125" t="s">
        <v>458</v>
      </c>
      <c r="C125" t="s">
        <v>750</v>
      </c>
      <c r="D125" s="3">
        <v>2277</v>
      </c>
      <c r="E125" t="s">
        <v>751</v>
      </c>
      <c r="G125" t="s">
        <v>33</v>
      </c>
      <c r="J125" t="s">
        <v>752</v>
      </c>
    </row>
    <row r="126" spans="1:10" ht="15" hidden="1" customHeight="1">
      <c r="A126" s="74">
        <v>46107</v>
      </c>
      <c r="B126" t="s">
        <v>234</v>
      </c>
      <c r="C126" t="s">
        <v>750</v>
      </c>
      <c r="D126" s="3">
        <v>2050</v>
      </c>
      <c r="E126" t="s">
        <v>751</v>
      </c>
      <c r="G126" t="s">
        <v>33</v>
      </c>
      <c r="J126" t="s">
        <v>752</v>
      </c>
    </row>
    <row r="127" spans="1:10" ht="15" hidden="1" customHeight="1">
      <c r="A127" s="74">
        <v>46108</v>
      </c>
      <c r="B127" t="s">
        <v>207</v>
      </c>
      <c r="C127" t="s">
        <v>750</v>
      </c>
      <c r="D127" s="3">
        <v>1541</v>
      </c>
      <c r="E127" t="s">
        <v>751</v>
      </c>
      <c r="G127" t="s">
        <v>33</v>
      </c>
      <c r="J127" t="s">
        <v>752</v>
      </c>
    </row>
    <row r="128" spans="1:10" ht="15" hidden="1" customHeight="1">
      <c r="A128" s="74">
        <v>46050</v>
      </c>
      <c r="B128" t="s">
        <v>555</v>
      </c>
      <c r="C128" t="s">
        <v>778</v>
      </c>
      <c r="D128" s="3">
        <v>12362</v>
      </c>
      <c r="E128" t="s">
        <v>751</v>
      </c>
      <c r="G128" t="s">
        <v>784</v>
      </c>
      <c r="I128" s="9">
        <v>263017</v>
      </c>
      <c r="J128" t="s">
        <v>752</v>
      </c>
    </row>
    <row r="129" spans="1:10" ht="15" hidden="1" customHeight="1">
      <c r="A129" s="74">
        <v>46054</v>
      </c>
      <c r="B129" t="s">
        <v>549</v>
      </c>
      <c r="C129" t="s">
        <v>776</v>
      </c>
      <c r="D129" s="3">
        <v>30000</v>
      </c>
      <c r="E129" t="s">
        <v>751</v>
      </c>
      <c r="J129" t="s">
        <v>752</v>
      </c>
    </row>
    <row r="130" spans="1:10" ht="15" hidden="1" customHeight="1">
      <c r="A130" s="74">
        <v>46105</v>
      </c>
      <c r="B130" t="s">
        <v>514</v>
      </c>
      <c r="C130" t="s">
        <v>776</v>
      </c>
      <c r="D130" s="3">
        <v>46246</v>
      </c>
      <c r="E130" t="s">
        <v>751</v>
      </c>
      <c r="J130" t="s">
        <v>752</v>
      </c>
    </row>
    <row r="131" spans="1:10" ht="15" hidden="1" customHeight="1">
      <c r="A131" s="74">
        <v>46105</v>
      </c>
      <c r="B131" t="s">
        <v>323</v>
      </c>
      <c r="C131" t="s">
        <v>750</v>
      </c>
      <c r="D131" s="3">
        <v>14082</v>
      </c>
      <c r="E131" t="s">
        <v>751</v>
      </c>
      <c r="G131" t="s">
        <v>326</v>
      </c>
      <c r="J131" t="s">
        <v>752</v>
      </c>
    </row>
    <row r="132" spans="1:10" ht="15" hidden="1" customHeight="1">
      <c r="A132" s="74">
        <v>46106</v>
      </c>
      <c r="B132" t="s">
        <v>571</v>
      </c>
      <c r="C132" t="s">
        <v>776</v>
      </c>
      <c r="D132" s="3">
        <v>561359</v>
      </c>
      <c r="E132" t="s">
        <v>751</v>
      </c>
      <c r="G132" t="s">
        <v>37</v>
      </c>
      <c r="J132" t="s">
        <v>752</v>
      </c>
    </row>
    <row r="133" spans="1:10" ht="15" hidden="1" customHeight="1">
      <c r="A133" s="74">
        <v>46111</v>
      </c>
      <c r="B133" t="s">
        <v>262</v>
      </c>
      <c r="C133" t="s">
        <v>750</v>
      </c>
      <c r="D133" s="3">
        <v>2885</v>
      </c>
      <c r="E133" t="s">
        <v>751</v>
      </c>
      <c r="G133" t="s">
        <v>23</v>
      </c>
      <c r="J133" t="s">
        <v>752</v>
      </c>
    </row>
    <row r="134" spans="1:10" ht="15" hidden="1" customHeight="1">
      <c r="A134" s="74">
        <v>46107</v>
      </c>
      <c r="B134" t="s">
        <v>419</v>
      </c>
      <c r="C134" t="s">
        <v>750</v>
      </c>
      <c r="D134" s="3">
        <v>8346</v>
      </c>
      <c r="E134" t="s">
        <v>751</v>
      </c>
      <c r="G134" t="s">
        <v>23</v>
      </c>
      <c r="J134" t="s">
        <v>752</v>
      </c>
    </row>
    <row r="135" spans="1:10" ht="15" hidden="1" customHeight="1">
      <c r="A135" s="74">
        <v>46104</v>
      </c>
      <c r="B135" t="s">
        <v>407</v>
      </c>
      <c r="C135" t="s">
        <v>750</v>
      </c>
      <c r="D135" s="3">
        <v>12775</v>
      </c>
      <c r="E135" t="s">
        <v>751</v>
      </c>
      <c r="G135" t="s">
        <v>50</v>
      </c>
      <c r="J135" t="s">
        <v>752</v>
      </c>
    </row>
    <row r="136" spans="1:10" ht="15" hidden="1" customHeight="1">
      <c r="A136" s="74">
        <v>46112</v>
      </c>
      <c r="B136" t="s">
        <v>187</v>
      </c>
      <c r="C136" t="s">
        <v>776</v>
      </c>
      <c r="D136" s="3">
        <v>342684</v>
      </c>
      <c r="E136" t="s">
        <v>751</v>
      </c>
      <c r="G136" t="s">
        <v>713</v>
      </c>
      <c r="J136" t="s">
        <v>752</v>
      </c>
    </row>
    <row r="137" spans="1:10" ht="15" hidden="1" customHeight="1">
      <c r="A137" s="74">
        <v>46099</v>
      </c>
      <c r="B137" t="s">
        <v>589</v>
      </c>
      <c r="C137" t="s">
        <v>776</v>
      </c>
      <c r="D137" s="3">
        <v>241448</v>
      </c>
      <c r="E137" t="s">
        <v>751</v>
      </c>
      <c r="G137" t="s">
        <v>23</v>
      </c>
      <c r="J137" t="s">
        <v>752</v>
      </c>
    </row>
    <row r="138" spans="1:10" ht="15" hidden="1" customHeight="1">
      <c r="A138" s="74">
        <v>46112</v>
      </c>
      <c r="B138" t="s">
        <v>626</v>
      </c>
      <c r="C138" t="s">
        <v>776</v>
      </c>
      <c r="D138" s="3">
        <v>306311</v>
      </c>
      <c r="E138" t="s">
        <v>751</v>
      </c>
      <c r="G138" t="s">
        <v>37</v>
      </c>
      <c r="J138" t="s">
        <v>752</v>
      </c>
    </row>
    <row r="139" spans="1:10" ht="15" hidden="1" customHeight="1">
      <c r="A139" s="74">
        <v>46113</v>
      </c>
      <c r="B139" t="s">
        <v>503</v>
      </c>
      <c r="C139" t="s">
        <v>776</v>
      </c>
      <c r="D139" s="3">
        <v>68137</v>
      </c>
      <c r="E139" t="s">
        <v>751</v>
      </c>
      <c r="G139" t="s">
        <v>33</v>
      </c>
      <c r="J139" t="s">
        <v>752</v>
      </c>
    </row>
    <row r="140" spans="1:10" ht="15" hidden="1" customHeight="1">
      <c r="A140" s="74">
        <v>46111</v>
      </c>
      <c r="B140" t="s">
        <v>252</v>
      </c>
      <c r="C140" t="s">
        <v>750</v>
      </c>
      <c r="D140" s="3">
        <v>4924</v>
      </c>
      <c r="E140" t="s">
        <v>751</v>
      </c>
      <c r="G140" t="s">
        <v>33</v>
      </c>
      <c r="J140" t="s">
        <v>752</v>
      </c>
    </row>
    <row r="141" spans="1:10" ht="15" hidden="1" customHeight="1">
      <c r="A141" s="74">
        <v>46120</v>
      </c>
      <c r="B141" t="s">
        <v>548</v>
      </c>
      <c r="C141" t="s">
        <v>778</v>
      </c>
      <c r="E141" t="s">
        <v>751</v>
      </c>
      <c r="G141" t="s">
        <v>784</v>
      </c>
    </row>
    <row r="142" spans="1:10" ht="15" hidden="1" customHeight="1">
      <c r="A142" s="74">
        <v>46118</v>
      </c>
      <c r="B142" t="s">
        <v>644</v>
      </c>
      <c r="C142" t="s">
        <v>776</v>
      </c>
      <c r="D142" s="3">
        <v>148168</v>
      </c>
      <c r="E142" t="s">
        <v>751</v>
      </c>
      <c r="G142" t="s">
        <v>37</v>
      </c>
      <c r="J142" t="s">
        <v>752</v>
      </c>
    </row>
    <row r="143" spans="1:10" ht="15" hidden="1" customHeight="1">
      <c r="A143" s="74">
        <v>46113</v>
      </c>
      <c r="B143" t="s">
        <v>12</v>
      </c>
      <c r="C143" t="s">
        <v>750</v>
      </c>
      <c r="D143" s="3">
        <v>2882</v>
      </c>
      <c r="E143" t="s">
        <v>751</v>
      </c>
      <c r="G143" t="s">
        <v>15</v>
      </c>
      <c r="J143" t="s">
        <v>752</v>
      </c>
    </row>
    <row r="144" spans="1:10" ht="15" hidden="1" customHeight="1">
      <c r="A144" s="74">
        <v>46118</v>
      </c>
      <c r="B144" t="s">
        <v>488</v>
      </c>
      <c r="C144" t="s">
        <v>778</v>
      </c>
      <c r="D144" s="3">
        <v>90200</v>
      </c>
      <c r="E144" t="s">
        <v>751</v>
      </c>
      <c r="G144" t="s">
        <v>779</v>
      </c>
    </row>
    <row r="145" spans="1:10" ht="15" hidden="1" customHeight="1">
      <c r="A145" s="74">
        <v>45944</v>
      </c>
      <c r="B145" t="s">
        <v>532</v>
      </c>
      <c r="C145" t="s">
        <v>778</v>
      </c>
      <c r="D145" s="3">
        <v>39117</v>
      </c>
      <c r="E145" t="s">
        <v>751</v>
      </c>
      <c r="G145" t="s">
        <v>784</v>
      </c>
      <c r="H145" t="s">
        <v>785</v>
      </c>
      <c r="I145" s="9">
        <v>405603</v>
      </c>
      <c r="J145" t="s">
        <v>752</v>
      </c>
    </row>
    <row r="146" spans="1:10" ht="15" hidden="1" customHeight="1">
      <c r="A146" s="74">
        <v>45986</v>
      </c>
      <c r="B146" t="s">
        <v>546</v>
      </c>
      <c r="C146" t="s">
        <v>778</v>
      </c>
      <c r="D146" s="3">
        <v>52833</v>
      </c>
      <c r="E146" t="s">
        <v>751</v>
      </c>
      <c r="G146" t="s">
        <v>784</v>
      </c>
      <c r="H146" t="s">
        <v>785</v>
      </c>
      <c r="I146" s="9">
        <v>546131</v>
      </c>
      <c r="J146" t="s">
        <v>752</v>
      </c>
    </row>
    <row r="147" spans="1:10" ht="15" hidden="1" customHeight="1">
      <c r="A147" s="74">
        <v>46118</v>
      </c>
      <c r="B147" t="s">
        <v>611</v>
      </c>
      <c r="C147" t="s">
        <v>776</v>
      </c>
      <c r="D147" s="3">
        <v>148444</v>
      </c>
      <c r="E147" t="s">
        <v>751</v>
      </c>
      <c r="J147" t="s">
        <v>752</v>
      </c>
    </row>
    <row r="148" spans="1:10" ht="15" hidden="1" customHeight="1">
      <c r="A148" s="74">
        <v>46093</v>
      </c>
      <c r="B148" t="s">
        <v>93</v>
      </c>
      <c r="C148" t="s">
        <v>750</v>
      </c>
      <c r="D148" s="3">
        <v>3693</v>
      </c>
      <c r="E148" t="s">
        <v>751</v>
      </c>
      <c r="J148" t="s">
        <v>752</v>
      </c>
    </row>
    <row r="149" spans="1:10" ht="15" hidden="1" customHeight="1">
      <c r="A149" s="74">
        <v>46108</v>
      </c>
      <c r="B149" t="s">
        <v>345</v>
      </c>
      <c r="C149" t="s">
        <v>750</v>
      </c>
      <c r="D149" s="3">
        <v>1974</v>
      </c>
      <c r="E149" t="s">
        <v>751</v>
      </c>
      <c r="J149" t="s">
        <v>752</v>
      </c>
    </row>
    <row r="150" spans="1:10" ht="15" hidden="1" customHeight="1">
      <c r="A150" s="74">
        <v>46121</v>
      </c>
      <c r="B150" t="s">
        <v>553</v>
      </c>
      <c r="C150" t="s">
        <v>778</v>
      </c>
      <c r="D150" s="3">
        <v>21224</v>
      </c>
      <c r="E150" t="s">
        <v>751</v>
      </c>
      <c r="G150" t="s">
        <v>784</v>
      </c>
      <c r="H150" t="s">
        <v>785</v>
      </c>
      <c r="I150" s="9">
        <v>499644</v>
      </c>
      <c r="J150" t="s">
        <v>752</v>
      </c>
    </row>
    <row r="151" spans="1:10" ht="15" hidden="1" customHeight="1">
      <c r="A151" s="74">
        <v>46121</v>
      </c>
      <c r="B151" t="s">
        <v>534</v>
      </c>
      <c r="C151" t="s">
        <v>778</v>
      </c>
      <c r="D151" s="3">
        <v>72423</v>
      </c>
      <c r="E151" t="s">
        <v>751</v>
      </c>
      <c r="G151" t="s">
        <v>784</v>
      </c>
      <c r="H151" t="s">
        <v>785</v>
      </c>
      <c r="I151" s="9">
        <v>607478</v>
      </c>
      <c r="J151" t="s">
        <v>752</v>
      </c>
    </row>
    <row r="152" spans="1:10" ht="15" hidden="1" customHeight="1">
      <c r="A152" s="74">
        <v>46121</v>
      </c>
      <c r="B152" t="s">
        <v>505</v>
      </c>
      <c r="C152" t="s">
        <v>776</v>
      </c>
      <c r="D152" s="3">
        <v>104090</v>
      </c>
      <c r="E152" t="s">
        <v>751</v>
      </c>
      <c r="G152" t="s">
        <v>37</v>
      </c>
      <c r="J152" t="s">
        <v>752</v>
      </c>
    </row>
    <row r="153" spans="1:10" ht="15" hidden="1" customHeight="1">
      <c r="A153" s="74">
        <v>46121</v>
      </c>
      <c r="B153" t="s">
        <v>312</v>
      </c>
      <c r="C153" t="s">
        <v>750</v>
      </c>
      <c r="D153" s="3">
        <v>21445</v>
      </c>
      <c r="E153" t="s">
        <v>751</v>
      </c>
      <c r="G153" t="s">
        <v>701</v>
      </c>
      <c r="J153" t="s">
        <v>752</v>
      </c>
    </row>
    <row r="154" spans="1:10" ht="15" hidden="1" customHeight="1">
      <c r="A154" s="74">
        <v>46125</v>
      </c>
      <c r="B154" t="s">
        <v>635</v>
      </c>
      <c r="C154" t="s">
        <v>776</v>
      </c>
      <c r="D154" s="3">
        <v>133477</v>
      </c>
      <c r="E154" t="s">
        <v>751</v>
      </c>
      <c r="G154" t="s">
        <v>37</v>
      </c>
      <c r="J154" t="s">
        <v>752</v>
      </c>
    </row>
    <row r="155" spans="1:10" ht="15" hidden="1" customHeight="1">
      <c r="A155" s="74">
        <v>46126</v>
      </c>
      <c r="B155" t="s">
        <v>498</v>
      </c>
      <c r="C155" t="s">
        <v>776</v>
      </c>
      <c r="D155" s="3">
        <v>117843</v>
      </c>
      <c r="E155" t="s">
        <v>751</v>
      </c>
      <c r="J155" t="s">
        <v>752</v>
      </c>
    </row>
    <row r="156" spans="1:10" ht="15" hidden="1" customHeight="1">
      <c r="A156" s="74">
        <v>46121</v>
      </c>
      <c r="B156" t="s">
        <v>122</v>
      </c>
      <c r="C156" t="s">
        <v>776</v>
      </c>
      <c r="D156" s="3">
        <v>67550</v>
      </c>
      <c r="E156" t="s">
        <v>751</v>
      </c>
      <c r="J156" t="s">
        <v>752</v>
      </c>
    </row>
    <row r="157" spans="1:10" ht="15" hidden="1" customHeight="1">
      <c r="A157" s="74">
        <v>46125</v>
      </c>
      <c r="B157" t="s">
        <v>422</v>
      </c>
      <c r="C157" t="s">
        <v>750</v>
      </c>
      <c r="D157" s="3">
        <v>5770</v>
      </c>
      <c r="E157" t="s">
        <v>751</v>
      </c>
      <c r="G157" t="s">
        <v>62</v>
      </c>
      <c r="J157" t="s">
        <v>752</v>
      </c>
    </row>
    <row r="158" spans="1:10" ht="15" hidden="1" customHeight="1">
      <c r="A158" s="74">
        <v>46106</v>
      </c>
      <c r="B158" t="s">
        <v>387</v>
      </c>
      <c r="C158" t="s">
        <v>777</v>
      </c>
      <c r="D158" s="3">
        <v>6071</v>
      </c>
      <c r="E158" t="s">
        <v>751</v>
      </c>
      <c r="G158" t="s">
        <v>37</v>
      </c>
      <c r="J158" t="s">
        <v>752</v>
      </c>
    </row>
    <row r="159" spans="1:10" ht="15" hidden="1" customHeight="1">
      <c r="A159" s="74">
        <v>46125</v>
      </c>
      <c r="B159" t="s">
        <v>19</v>
      </c>
      <c r="C159" t="s">
        <v>750</v>
      </c>
      <c r="D159" s="85">
        <v>10400</v>
      </c>
      <c r="E159" t="s">
        <v>751</v>
      </c>
      <c r="G159" t="s">
        <v>37</v>
      </c>
      <c r="J159" t="s">
        <v>752</v>
      </c>
    </row>
    <row r="160" spans="1:10" ht="15" hidden="1" customHeight="1">
      <c r="A160" s="74">
        <v>46121</v>
      </c>
      <c r="B160" t="s">
        <v>201</v>
      </c>
      <c r="C160" t="s">
        <v>750</v>
      </c>
      <c r="D160" s="3">
        <v>402</v>
      </c>
      <c r="E160" t="s">
        <v>751</v>
      </c>
      <c r="G160" t="s">
        <v>37</v>
      </c>
      <c r="J160" t="s">
        <v>752</v>
      </c>
    </row>
    <row r="161" spans="1:10" ht="15" hidden="1" customHeight="1">
      <c r="A161" s="74">
        <v>46120</v>
      </c>
      <c r="B161" t="s">
        <v>280</v>
      </c>
      <c r="C161" t="s">
        <v>750</v>
      </c>
      <c r="D161" s="3">
        <v>1540</v>
      </c>
      <c r="E161" t="s">
        <v>751</v>
      </c>
      <c r="J161" t="s">
        <v>752</v>
      </c>
    </row>
    <row r="162" spans="1:10" ht="15" hidden="1" customHeight="1">
      <c r="A162" s="74">
        <v>46124</v>
      </c>
      <c r="B162" t="s">
        <v>626</v>
      </c>
      <c r="C162" t="s">
        <v>776</v>
      </c>
      <c r="D162" s="3">
        <v>266000</v>
      </c>
      <c r="E162" t="s">
        <v>751</v>
      </c>
      <c r="G162" t="s">
        <v>15</v>
      </c>
      <c r="J162" t="s">
        <v>752</v>
      </c>
    </row>
    <row r="163" spans="1:10" ht="15" hidden="1" customHeight="1">
      <c r="A163" s="74">
        <v>46127</v>
      </c>
      <c r="B163" t="s">
        <v>665</v>
      </c>
      <c r="C163" t="s">
        <v>750</v>
      </c>
      <c r="D163" s="3">
        <v>867</v>
      </c>
      <c r="E163" t="s">
        <v>751</v>
      </c>
      <c r="G163" t="s">
        <v>15</v>
      </c>
      <c r="J163" t="s">
        <v>752</v>
      </c>
    </row>
    <row r="164" spans="1:10" ht="15" hidden="1" customHeight="1">
      <c r="A164" s="74">
        <v>46127</v>
      </c>
      <c r="B164" t="s">
        <v>32</v>
      </c>
      <c r="C164" t="s">
        <v>776</v>
      </c>
      <c r="D164" s="3">
        <v>10738</v>
      </c>
      <c r="E164" t="s">
        <v>751</v>
      </c>
      <c r="G164" t="s">
        <v>33</v>
      </c>
      <c r="J164" t="s">
        <v>752</v>
      </c>
    </row>
    <row r="165" spans="1:10" ht="15" hidden="1" customHeight="1">
      <c r="A165" s="74">
        <v>46132</v>
      </c>
      <c r="B165" t="s">
        <v>519</v>
      </c>
      <c r="C165" t="s">
        <v>776</v>
      </c>
      <c r="D165" s="3">
        <v>69677</v>
      </c>
      <c r="E165" t="s">
        <v>751</v>
      </c>
      <c r="G165" t="s">
        <v>33</v>
      </c>
      <c r="J165" t="s">
        <v>752</v>
      </c>
    </row>
    <row r="166" spans="1:10" ht="15" hidden="1" customHeight="1">
      <c r="A166" s="74">
        <v>46129</v>
      </c>
      <c r="B166" t="s">
        <v>606</v>
      </c>
      <c r="C166" t="s">
        <v>776</v>
      </c>
      <c r="D166" s="3">
        <v>170002</v>
      </c>
      <c r="E166" t="s">
        <v>751</v>
      </c>
      <c r="G166" t="s">
        <v>37</v>
      </c>
      <c r="J166" t="s">
        <v>752</v>
      </c>
    </row>
    <row r="167" spans="1:10" ht="15" hidden="1" customHeight="1">
      <c r="A167" s="74">
        <v>46129</v>
      </c>
      <c r="B167" t="s">
        <v>104</v>
      </c>
      <c r="C167" t="s">
        <v>776</v>
      </c>
      <c r="D167" s="3">
        <v>138500</v>
      </c>
      <c r="E167" t="s">
        <v>751</v>
      </c>
      <c r="G167" t="s">
        <v>37</v>
      </c>
      <c r="J167" t="s">
        <v>752</v>
      </c>
    </row>
    <row r="168" spans="1:10" ht="15" hidden="1" customHeight="1">
      <c r="A168" s="74">
        <v>46126</v>
      </c>
      <c r="B168" t="s">
        <v>639</v>
      </c>
      <c r="C168" t="s">
        <v>776</v>
      </c>
      <c r="D168" s="3">
        <v>98151</v>
      </c>
      <c r="E168" t="s">
        <v>751</v>
      </c>
      <c r="G168" t="s">
        <v>50</v>
      </c>
      <c r="J168" t="s">
        <v>752</v>
      </c>
    </row>
    <row r="169" spans="1:10" ht="15" hidden="1" customHeight="1">
      <c r="A169" s="74">
        <v>46100</v>
      </c>
      <c r="B169" t="s">
        <v>445</v>
      </c>
      <c r="C169" t="s">
        <v>750</v>
      </c>
      <c r="D169" s="3">
        <v>2360</v>
      </c>
      <c r="E169" t="s">
        <v>751</v>
      </c>
      <c r="J169" t="s">
        <v>752</v>
      </c>
    </row>
    <row r="170" spans="1:10" ht="15" hidden="1" customHeight="1">
      <c r="A170" s="74">
        <v>46133</v>
      </c>
      <c r="B170" t="s">
        <v>416</v>
      </c>
      <c r="C170" t="s">
        <v>750</v>
      </c>
      <c r="D170" s="3">
        <v>10453</v>
      </c>
      <c r="E170" t="s">
        <v>751</v>
      </c>
      <c r="G170" t="s">
        <v>33</v>
      </c>
      <c r="J170" t="s">
        <v>752</v>
      </c>
    </row>
    <row r="171" spans="1:10" ht="15" hidden="1" customHeight="1">
      <c r="A171" s="74">
        <v>46134</v>
      </c>
      <c r="B171" t="s">
        <v>267</v>
      </c>
      <c r="C171" t="s">
        <v>750</v>
      </c>
      <c r="D171" s="3">
        <v>10154</v>
      </c>
      <c r="E171" t="s">
        <v>751</v>
      </c>
      <c r="G171" t="s">
        <v>33</v>
      </c>
      <c r="J171" t="s">
        <v>752</v>
      </c>
    </row>
    <row r="172" spans="1:10" ht="15" hidden="1" customHeight="1">
      <c r="A172" s="74">
        <v>46135</v>
      </c>
      <c r="B172" t="s">
        <v>542</v>
      </c>
      <c r="C172" t="s">
        <v>776</v>
      </c>
      <c r="D172" s="3">
        <v>100657</v>
      </c>
      <c r="E172" t="s">
        <v>751</v>
      </c>
      <c r="G172" t="s">
        <v>37</v>
      </c>
      <c r="J172" t="s">
        <v>752</v>
      </c>
    </row>
    <row r="173" spans="1:10" ht="15" hidden="1" customHeight="1">
      <c r="A173" s="74">
        <v>46133</v>
      </c>
      <c r="B173" t="s">
        <v>433</v>
      </c>
      <c r="C173" t="s">
        <v>750</v>
      </c>
      <c r="D173" s="3">
        <v>10222</v>
      </c>
      <c r="E173" t="s">
        <v>751</v>
      </c>
      <c r="G173" t="s">
        <v>62</v>
      </c>
      <c r="J173" t="s">
        <v>752</v>
      </c>
    </row>
    <row r="174" spans="1:10" ht="15" hidden="1" customHeight="1">
      <c r="A174" s="74">
        <v>46132</v>
      </c>
      <c r="B174" t="s">
        <v>277</v>
      </c>
      <c r="C174" t="s">
        <v>750</v>
      </c>
      <c r="D174" s="3">
        <v>4308</v>
      </c>
      <c r="E174" t="s">
        <v>751</v>
      </c>
      <c r="G174" t="s">
        <v>62</v>
      </c>
      <c r="J174" t="s">
        <v>752</v>
      </c>
    </row>
    <row r="175" spans="1:10" ht="15" hidden="1" customHeight="1">
      <c r="A175" s="74">
        <v>46133</v>
      </c>
      <c r="B175" t="s">
        <v>359</v>
      </c>
      <c r="C175" t="s">
        <v>750</v>
      </c>
      <c r="D175" s="3">
        <v>7113</v>
      </c>
      <c r="E175" t="s">
        <v>751</v>
      </c>
      <c r="G175" t="s">
        <v>62</v>
      </c>
      <c r="J175" t="s">
        <v>752</v>
      </c>
    </row>
    <row r="176" spans="1:10" ht="15" hidden="1" customHeight="1">
      <c r="A176" s="74">
        <v>46136</v>
      </c>
      <c r="B176" t="s">
        <v>398</v>
      </c>
      <c r="C176" t="s">
        <v>750</v>
      </c>
      <c r="D176" s="3">
        <v>8705</v>
      </c>
      <c r="E176" t="s">
        <v>751</v>
      </c>
      <c r="G176" t="s">
        <v>33</v>
      </c>
      <c r="J176" t="s">
        <v>752</v>
      </c>
    </row>
    <row r="177" spans="1:10" ht="15" hidden="1" customHeight="1">
      <c r="A177" s="74">
        <v>46139</v>
      </c>
      <c r="B177" t="s">
        <v>510</v>
      </c>
      <c r="C177" t="s">
        <v>772</v>
      </c>
      <c r="D177" s="3">
        <v>73245</v>
      </c>
      <c r="E177" t="s">
        <v>751</v>
      </c>
      <c r="J177" t="s">
        <v>752</v>
      </c>
    </row>
    <row r="178" spans="1:10" ht="15" hidden="1" customHeight="1">
      <c r="A178" s="74">
        <v>46147</v>
      </c>
      <c r="B178" t="s">
        <v>442</v>
      </c>
      <c r="C178" t="s">
        <v>750</v>
      </c>
      <c r="D178" s="3">
        <v>2163</v>
      </c>
      <c r="E178" t="s">
        <v>751</v>
      </c>
      <c r="G178" t="s">
        <v>33</v>
      </c>
      <c r="J178" t="s">
        <v>752</v>
      </c>
    </row>
    <row r="179" spans="1:10" ht="15" hidden="1" customHeight="1">
      <c r="A179" s="74">
        <v>46146</v>
      </c>
      <c r="B179" t="s">
        <v>548</v>
      </c>
      <c r="C179" t="s">
        <v>789</v>
      </c>
      <c r="D179" s="3">
        <v>100000</v>
      </c>
      <c r="E179" t="s">
        <v>751</v>
      </c>
      <c r="G179" t="s">
        <v>790</v>
      </c>
      <c r="J179" t="s">
        <v>752</v>
      </c>
    </row>
    <row r="180" spans="1:10" ht="15" hidden="1" customHeight="1">
      <c r="A180" s="74">
        <v>46147</v>
      </c>
      <c r="B180" t="s">
        <v>64</v>
      </c>
      <c r="C180" t="s">
        <v>750</v>
      </c>
      <c r="D180" s="3">
        <v>4010</v>
      </c>
      <c r="E180" t="s">
        <v>751</v>
      </c>
      <c r="G180" t="s">
        <v>15</v>
      </c>
      <c r="J180" t="s">
        <v>752</v>
      </c>
    </row>
    <row r="181" spans="1:10" ht="15" hidden="1" customHeight="1">
      <c r="A181" s="74">
        <v>46147</v>
      </c>
      <c r="B181" t="s">
        <v>580</v>
      </c>
      <c r="C181" t="s">
        <v>789</v>
      </c>
      <c r="D181" s="3">
        <v>169260</v>
      </c>
      <c r="E181" t="s">
        <v>751</v>
      </c>
      <c r="G181" t="s">
        <v>15</v>
      </c>
      <c r="J181" t="s">
        <v>752</v>
      </c>
    </row>
    <row r="182" spans="1:10" ht="15" hidden="1" customHeight="1">
      <c r="A182" s="74">
        <v>46147</v>
      </c>
      <c r="B182" t="s">
        <v>460</v>
      </c>
      <c r="C182" t="s">
        <v>776</v>
      </c>
      <c r="D182" s="3">
        <v>99593</v>
      </c>
      <c r="E182" t="s">
        <v>751</v>
      </c>
      <c r="G182" t="s">
        <v>790</v>
      </c>
      <c r="J182" t="s">
        <v>752</v>
      </c>
    </row>
    <row r="183" spans="1:10" ht="15" hidden="1" customHeight="1">
      <c r="A183" s="74">
        <v>46141</v>
      </c>
      <c r="B183" t="s">
        <v>389</v>
      </c>
      <c r="C183" t="s">
        <v>750</v>
      </c>
      <c r="D183" s="3">
        <v>7968</v>
      </c>
      <c r="E183" t="s">
        <v>751</v>
      </c>
      <c r="G183" t="s">
        <v>790</v>
      </c>
      <c r="J183" t="s">
        <v>752</v>
      </c>
    </row>
    <row r="184" spans="1:10" ht="15" hidden="1" customHeight="1">
      <c r="A184" s="74">
        <v>46141</v>
      </c>
      <c r="B184" t="s">
        <v>585</v>
      </c>
      <c r="C184" t="s">
        <v>776</v>
      </c>
      <c r="D184" s="3">
        <v>158018</v>
      </c>
      <c r="E184" t="s">
        <v>751</v>
      </c>
      <c r="G184" t="s">
        <v>790</v>
      </c>
      <c r="J184" t="s">
        <v>752</v>
      </c>
    </row>
    <row r="185" spans="1:10" ht="15" hidden="1" customHeight="1">
      <c r="A185" s="74">
        <v>46141</v>
      </c>
      <c r="B185" t="s">
        <v>304</v>
      </c>
      <c r="C185" t="s">
        <v>750</v>
      </c>
      <c r="D185" s="3">
        <v>8832</v>
      </c>
      <c r="E185" t="s">
        <v>751</v>
      </c>
      <c r="G185" t="s">
        <v>62</v>
      </c>
      <c r="J185" t="s">
        <v>752</v>
      </c>
    </row>
    <row r="186" spans="1:10" ht="15" hidden="1" customHeight="1">
      <c r="A186" s="74">
        <v>46146</v>
      </c>
      <c r="B186" t="s">
        <v>450</v>
      </c>
      <c r="C186" t="s">
        <v>750</v>
      </c>
      <c r="D186" s="3">
        <v>1905</v>
      </c>
      <c r="E186" t="s">
        <v>751</v>
      </c>
      <c r="G186" t="s">
        <v>15</v>
      </c>
      <c r="J186" t="s">
        <v>752</v>
      </c>
    </row>
    <row r="187" spans="1:10" ht="15" hidden="1" customHeight="1">
      <c r="A187" s="74">
        <v>46146</v>
      </c>
      <c r="B187" t="s">
        <v>122</v>
      </c>
      <c r="C187" t="s">
        <v>776</v>
      </c>
      <c r="D187" s="3">
        <v>72839</v>
      </c>
      <c r="E187" t="s">
        <v>751</v>
      </c>
      <c r="G187" t="s">
        <v>790</v>
      </c>
      <c r="J187" t="s">
        <v>752</v>
      </c>
    </row>
    <row r="188" spans="1:10" ht="15" hidden="1" customHeight="1">
      <c r="A188" s="74">
        <v>46140</v>
      </c>
      <c r="B188" t="s">
        <v>426</v>
      </c>
      <c r="C188" t="s">
        <v>750</v>
      </c>
      <c r="D188" s="3">
        <v>596</v>
      </c>
      <c r="E188" t="s">
        <v>751</v>
      </c>
      <c r="G188" t="s">
        <v>23</v>
      </c>
      <c r="J188" t="s">
        <v>752</v>
      </c>
    </row>
    <row r="189" spans="1:10" ht="15" hidden="1" customHeight="1">
      <c r="A189" s="74">
        <v>46149</v>
      </c>
      <c r="B189" t="s">
        <v>170</v>
      </c>
      <c r="C189" t="s">
        <v>750</v>
      </c>
      <c r="D189" s="3">
        <v>8875</v>
      </c>
      <c r="E189" t="s">
        <v>751</v>
      </c>
      <c r="G189" t="s">
        <v>33</v>
      </c>
      <c r="J189" t="s">
        <v>752</v>
      </c>
    </row>
    <row r="190" spans="1:10" ht="15" hidden="1" customHeight="1">
      <c r="A190" s="74">
        <v>46106</v>
      </c>
      <c r="B190" t="s">
        <v>458</v>
      </c>
      <c r="C190" t="s">
        <v>750</v>
      </c>
      <c r="D190" s="3">
        <v>2277</v>
      </c>
      <c r="E190" t="s">
        <v>751</v>
      </c>
      <c r="G190" t="s">
        <v>33</v>
      </c>
      <c r="J190" t="s">
        <v>752</v>
      </c>
    </row>
    <row r="191" spans="1:10" ht="15" hidden="1" customHeight="1">
      <c r="A191" s="74">
        <v>46106</v>
      </c>
      <c r="B191" t="s">
        <v>410</v>
      </c>
      <c r="C191" t="s">
        <v>750</v>
      </c>
      <c r="D191" s="3">
        <v>4469</v>
      </c>
      <c r="E191" t="s">
        <v>751</v>
      </c>
      <c r="G191" t="s">
        <v>33</v>
      </c>
      <c r="J191" t="s">
        <v>752</v>
      </c>
    </row>
    <row r="192" spans="1:10" ht="15" hidden="1" customHeight="1">
      <c r="A192" s="74">
        <v>46154</v>
      </c>
      <c r="B192" t="s">
        <v>152</v>
      </c>
      <c r="C192" t="s">
        <v>776</v>
      </c>
      <c r="D192" s="3">
        <v>491662</v>
      </c>
      <c r="E192" t="s">
        <v>751</v>
      </c>
      <c r="G192" t="s">
        <v>790</v>
      </c>
      <c r="J192" t="s">
        <v>752</v>
      </c>
    </row>
    <row r="193" spans="1:10" ht="15" hidden="1" customHeight="1">
      <c r="A193" s="74">
        <v>46154</v>
      </c>
      <c r="B193" t="s">
        <v>300</v>
      </c>
      <c r="C193" t="s">
        <v>750</v>
      </c>
      <c r="D193" s="3">
        <v>8971</v>
      </c>
      <c r="E193" t="s">
        <v>751</v>
      </c>
      <c r="G193" t="s">
        <v>33</v>
      </c>
      <c r="J193" t="s">
        <v>752</v>
      </c>
    </row>
    <row r="194" spans="1:10" ht="15" hidden="1" customHeight="1">
      <c r="A194" s="74">
        <v>46154</v>
      </c>
      <c r="B194" t="s">
        <v>337</v>
      </c>
      <c r="C194" t="s">
        <v>750</v>
      </c>
      <c r="D194" s="3">
        <v>26181</v>
      </c>
      <c r="E194" t="s">
        <v>751</v>
      </c>
      <c r="G194" t="s">
        <v>33</v>
      </c>
      <c r="J194" t="s">
        <v>752</v>
      </c>
    </row>
    <row r="195" spans="1:10" ht="15" hidden="1" customHeight="1">
      <c r="A195" s="74">
        <v>46156</v>
      </c>
      <c r="B195" t="s">
        <v>538</v>
      </c>
      <c r="C195" t="s">
        <v>778</v>
      </c>
      <c r="D195" s="3">
        <v>83032</v>
      </c>
      <c r="E195" t="s">
        <v>751</v>
      </c>
      <c r="G195" t="s">
        <v>784</v>
      </c>
      <c r="H195" t="s">
        <v>785</v>
      </c>
      <c r="I195" s="9">
        <v>684542</v>
      </c>
      <c r="J195" t="s">
        <v>752</v>
      </c>
    </row>
    <row r="196" spans="1:10" ht="15" hidden="1" customHeight="1">
      <c r="A196" s="74">
        <v>46155</v>
      </c>
      <c r="B196" t="s">
        <v>532</v>
      </c>
      <c r="C196" t="s">
        <v>778</v>
      </c>
      <c r="D196" s="3">
        <v>72991</v>
      </c>
      <c r="E196" t="s">
        <v>751</v>
      </c>
      <c r="G196" t="s">
        <v>784</v>
      </c>
      <c r="H196" s="52" t="s">
        <v>785</v>
      </c>
      <c r="I196" s="9">
        <v>659905</v>
      </c>
      <c r="J196" t="s">
        <v>752</v>
      </c>
    </row>
    <row r="197" spans="1:10" ht="15" hidden="1" customHeight="1">
      <c r="A197" s="74">
        <v>46134</v>
      </c>
      <c r="B197" t="s">
        <v>527</v>
      </c>
      <c r="C197" t="s">
        <v>776</v>
      </c>
      <c r="D197" s="3">
        <v>58786</v>
      </c>
      <c r="E197" t="s">
        <v>751</v>
      </c>
      <c r="G197" t="s">
        <v>37</v>
      </c>
      <c r="J197" t="s">
        <v>752</v>
      </c>
    </row>
    <row r="198" spans="1:10" ht="15" hidden="1" customHeight="1">
      <c r="A198" s="74">
        <v>46133</v>
      </c>
      <c r="B198" t="s">
        <v>629</v>
      </c>
      <c r="C198" t="s">
        <v>776</v>
      </c>
      <c r="D198" s="3">
        <v>156473</v>
      </c>
      <c r="E198" t="s">
        <v>751</v>
      </c>
      <c r="F198" s="3">
        <v>16221</v>
      </c>
      <c r="G198" t="s">
        <v>790</v>
      </c>
      <c r="J198" t="s">
        <v>752</v>
      </c>
    </row>
    <row r="199" spans="1:10" ht="15" hidden="1" customHeight="1">
      <c r="A199" s="74">
        <v>46153</v>
      </c>
      <c r="B199" t="s">
        <v>358</v>
      </c>
      <c r="C199" t="s">
        <v>750</v>
      </c>
      <c r="D199" s="3">
        <v>8324</v>
      </c>
      <c r="E199" t="s">
        <v>751</v>
      </c>
      <c r="F199" s="3">
        <v>17197</v>
      </c>
      <c r="G199" t="s">
        <v>15</v>
      </c>
      <c r="J199" t="s">
        <v>752</v>
      </c>
    </row>
    <row r="200" spans="1:10" ht="15" hidden="1" customHeight="1">
      <c r="A200" s="74">
        <v>46150</v>
      </c>
      <c r="B200" t="s">
        <v>452</v>
      </c>
      <c r="C200" t="s">
        <v>750</v>
      </c>
      <c r="D200" s="3">
        <v>2012</v>
      </c>
      <c r="E200" t="s">
        <v>751</v>
      </c>
      <c r="F200" s="3">
        <v>1712</v>
      </c>
      <c r="G200" t="s">
        <v>15</v>
      </c>
      <c r="J200" t="s">
        <v>752</v>
      </c>
    </row>
    <row r="201" spans="1:10" ht="15" hidden="1" customHeight="1">
      <c r="A201" s="74">
        <v>46153</v>
      </c>
      <c r="B201" t="s">
        <v>292</v>
      </c>
      <c r="C201" t="s">
        <v>750</v>
      </c>
      <c r="D201" s="3">
        <v>1794</v>
      </c>
      <c r="E201" t="s">
        <v>751</v>
      </c>
      <c r="F201" s="3">
        <v>17198</v>
      </c>
      <c r="G201" t="s">
        <v>286</v>
      </c>
      <c r="J201" t="s">
        <v>752</v>
      </c>
    </row>
    <row r="202" spans="1:10" ht="15" hidden="1" customHeight="1">
      <c r="A202" s="74">
        <v>46155</v>
      </c>
      <c r="B202" t="s">
        <v>351</v>
      </c>
      <c r="C202" t="s">
        <v>750</v>
      </c>
      <c r="D202" s="3">
        <v>8627</v>
      </c>
      <c r="E202" t="s">
        <v>751</v>
      </c>
      <c r="F202" s="3">
        <v>17616</v>
      </c>
      <c r="G202" t="s">
        <v>790</v>
      </c>
      <c r="J202" t="s">
        <v>752</v>
      </c>
    </row>
    <row r="203" spans="1:10" ht="15" hidden="1" customHeight="1">
      <c r="A203" s="74">
        <v>46157</v>
      </c>
      <c r="B203" t="s">
        <v>91</v>
      </c>
      <c r="C203" t="s">
        <v>750</v>
      </c>
      <c r="D203" s="3">
        <v>3941</v>
      </c>
      <c r="E203" t="s">
        <v>751</v>
      </c>
      <c r="F203" s="3">
        <v>16604</v>
      </c>
      <c r="G203" t="s">
        <v>62</v>
      </c>
      <c r="J203" t="s">
        <v>752</v>
      </c>
    </row>
    <row r="204" spans="1:10" ht="15" hidden="1" customHeight="1">
      <c r="A204" s="74">
        <v>46155</v>
      </c>
      <c r="B204" t="s">
        <v>665</v>
      </c>
      <c r="C204" t="s">
        <v>750</v>
      </c>
      <c r="D204" s="3">
        <v>322</v>
      </c>
      <c r="E204" t="s">
        <v>751</v>
      </c>
      <c r="F204" s="3">
        <v>16602</v>
      </c>
      <c r="G204" t="s">
        <v>15</v>
      </c>
      <c r="J204" t="s">
        <v>752</v>
      </c>
    </row>
    <row r="205" spans="1:10" ht="15" hidden="1" customHeight="1">
      <c r="A205" s="74">
        <v>46160</v>
      </c>
      <c r="B205" t="s">
        <v>141</v>
      </c>
      <c r="C205" t="s">
        <v>750</v>
      </c>
      <c r="D205" s="3">
        <v>1944</v>
      </c>
      <c r="E205" t="s">
        <v>751</v>
      </c>
      <c r="F205" s="3">
        <v>16342</v>
      </c>
      <c r="G205" t="s">
        <v>33</v>
      </c>
      <c r="J205" t="s">
        <v>752</v>
      </c>
    </row>
    <row r="206" spans="1:10" ht="15" hidden="1" customHeight="1">
      <c r="A206" s="74">
        <v>46162</v>
      </c>
      <c r="B206" t="s">
        <v>138</v>
      </c>
      <c r="C206" t="s">
        <v>750</v>
      </c>
      <c r="D206" s="3">
        <v>34909</v>
      </c>
      <c r="E206" t="s">
        <v>751</v>
      </c>
      <c r="F206" s="3">
        <v>16351</v>
      </c>
      <c r="G206" t="s">
        <v>33</v>
      </c>
      <c r="J206" t="s">
        <v>752</v>
      </c>
    </row>
    <row r="207" spans="1:10" ht="15" hidden="1" customHeight="1">
      <c r="A207" s="74">
        <v>46167</v>
      </c>
      <c r="B207" t="s">
        <v>59</v>
      </c>
      <c r="C207" t="s">
        <v>750</v>
      </c>
      <c r="D207" s="3">
        <v>802920</v>
      </c>
      <c r="E207" t="s">
        <v>751</v>
      </c>
      <c r="F207" s="3">
        <v>16612</v>
      </c>
      <c r="G207" t="s">
        <v>15</v>
      </c>
      <c r="J207" t="s">
        <v>752</v>
      </c>
    </row>
    <row r="208" spans="1:10" ht="15" hidden="1" customHeight="1">
      <c r="A208" s="74">
        <v>46161</v>
      </c>
      <c r="B208" t="s">
        <v>464</v>
      </c>
      <c r="C208" t="s">
        <v>776</v>
      </c>
      <c r="D208" s="3">
        <v>116347</v>
      </c>
      <c r="E208" t="s">
        <v>751</v>
      </c>
      <c r="F208" s="3">
        <v>17205</v>
      </c>
      <c r="G208" t="s">
        <v>790</v>
      </c>
      <c r="J208" t="s">
        <v>752</v>
      </c>
    </row>
    <row r="209" spans="1:10" ht="15" hidden="1" customHeight="1">
      <c r="A209" s="74">
        <v>46167</v>
      </c>
      <c r="B209" t="s">
        <v>517</v>
      </c>
      <c r="C209" t="s">
        <v>776</v>
      </c>
      <c r="D209" s="3">
        <v>63698</v>
      </c>
      <c r="E209" t="s">
        <v>751</v>
      </c>
      <c r="F209" s="3">
        <v>17208</v>
      </c>
      <c r="G209" t="s">
        <v>790</v>
      </c>
      <c r="J209" t="s">
        <v>752</v>
      </c>
    </row>
    <row r="210" spans="1:10" ht="15" hidden="1" customHeight="1">
      <c r="A210" s="74">
        <v>46167</v>
      </c>
      <c r="B210" t="s">
        <v>544</v>
      </c>
      <c r="C210" t="s">
        <v>776</v>
      </c>
      <c r="D210" s="3">
        <v>53548</v>
      </c>
      <c r="E210" t="s">
        <v>751</v>
      </c>
      <c r="F210" s="3">
        <v>17209</v>
      </c>
      <c r="G210" t="s">
        <v>790</v>
      </c>
      <c r="J210" t="s">
        <v>752</v>
      </c>
    </row>
    <row r="211" spans="1:10" ht="15" hidden="1" customHeight="1">
      <c r="A211" s="74">
        <v>46162</v>
      </c>
      <c r="B211" t="s">
        <v>184</v>
      </c>
      <c r="C211" t="s">
        <v>776</v>
      </c>
      <c r="D211" s="3">
        <v>120593</v>
      </c>
      <c r="E211" t="s">
        <v>751</v>
      </c>
      <c r="F211" s="3">
        <v>15125</v>
      </c>
      <c r="G211" t="s">
        <v>790</v>
      </c>
      <c r="J211" t="s">
        <v>752</v>
      </c>
    </row>
    <row r="212" spans="1:10" ht="15" hidden="1" customHeight="1">
      <c r="A212" s="74">
        <v>46162</v>
      </c>
      <c r="B212" t="s">
        <v>512</v>
      </c>
      <c r="C212" t="s">
        <v>776</v>
      </c>
      <c r="D212" s="3">
        <v>57384</v>
      </c>
      <c r="E212" t="s">
        <v>751</v>
      </c>
      <c r="F212" s="3">
        <v>15126</v>
      </c>
      <c r="G212" t="s">
        <v>790</v>
      </c>
      <c r="J212" t="s">
        <v>752</v>
      </c>
    </row>
    <row r="213" spans="1:10" ht="15" hidden="1" customHeight="1">
      <c r="A213" s="74">
        <v>46161</v>
      </c>
      <c r="B213" t="s">
        <v>432</v>
      </c>
      <c r="C213" t="s">
        <v>750</v>
      </c>
      <c r="D213" s="3">
        <v>6689</v>
      </c>
      <c r="E213" t="s">
        <v>751</v>
      </c>
      <c r="F213" s="3">
        <v>16607</v>
      </c>
      <c r="G213" t="s">
        <v>791</v>
      </c>
      <c r="J213" t="s">
        <v>752</v>
      </c>
    </row>
    <row r="214" spans="1:10" ht="15" hidden="1" customHeight="1">
      <c r="A214" s="74">
        <v>46162</v>
      </c>
      <c r="B214" t="s">
        <v>306</v>
      </c>
      <c r="C214" t="s">
        <v>750</v>
      </c>
      <c r="D214" s="3">
        <v>14740</v>
      </c>
      <c r="E214" t="s">
        <v>751</v>
      </c>
      <c r="F214" s="3">
        <v>16610</v>
      </c>
      <c r="G214" t="s">
        <v>15</v>
      </c>
      <c r="J214" t="s">
        <v>752</v>
      </c>
    </row>
    <row r="215" spans="1:10" ht="15" hidden="1" customHeight="1">
      <c r="A215" s="74">
        <v>46161</v>
      </c>
      <c r="B215" t="s">
        <v>650</v>
      </c>
      <c r="C215" t="s">
        <v>776</v>
      </c>
      <c r="D215" s="3">
        <v>98889</v>
      </c>
      <c r="E215" t="s">
        <v>751</v>
      </c>
      <c r="F215" s="3">
        <v>19000</v>
      </c>
      <c r="G215" t="s">
        <v>790</v>
      </c>
      <c r="J215" t="s">
        <v>752</v>
      </c>
    </row>
    <row r="216" spans="1:10" ht="15" hidden="1" customHeight="1">
      <c r="A216" s="74">
        <v>46169</v>
      </c>
      <c r="B216" t="s">
        <v>369</v>
      </c>
      <c r="C216" t="s">
        <v>750</v>
      </c>
      <c r="D216" s="3">
        <v>17000</v>
      </c>
      <c r="E216" t="s">
        <v>751</v>
      </c>
      <c r="G216" t="s">
        <v>33</v>
      </c>
      <c r="J216" t="s">
        <v>752</v>
      </c>
    </row>
    <row r="217" spans="1:10" ht="15" hidden="1" customHeight="1">
      <c r="A217" s="74">
        <v>46169</v>
      </c>
      <c r="B217" t="s">
        <v>262</v>
      </c>
      <c r="C217" t="s">
        <v>792</v>
      </c>
      <c r="D217" s="3">
        <v>3193</v>
      </c>
      <c r="E217" t="s">
        <v>751</v>
      </c>
      <c r="F217" s="3">
        <v>16615</v>
      </c>
      <c r="G217" t="s">
        <v>326</v>
      </c>
      <c r="J217" t="s">
        <v>752</v>
      </c>
    </row>
    <row r="218" spans="1:10" ht="15" hidden="1" customHeight="1">
      <c r="A218" s="74">
        <v>46168</v>
      </c>
      <c r="B218" t="s">
        <v>128</v>
      </c>
      <c r="C218" t="s">
        <v>792</v>
      </c>
      <c r="D218" s="3">
        <v>5845</v>
      </c>
      <c r="E218" t="s">
        <v>751</v>
      </c>
      <c r="G218" t="s">
        <v>15</v>
      </c>
      <c r="J218" t="s">
        <v>752</v>
      </c>
    </row>
    <row r="219" spans="1:10" ht="15" hidden="1" customHeight="1">
      <c r="A219" s="74">
        <v>46133</v>
      </c>
      <c r="B219" t="s">
        <v>74</v>
      </c>
      <c r="C219" t="s">
        <v>792</v>
      </c>
      <c r="E219" t="s">
        <v>751</v>
      </c>
      <c r="F219" s="3">
        <v>15118</v>
      </c>
      <c r="G219" t="s">
        <v>37</v>
      </c>
      <c r="J219" t="s">
        <v>752</v>
      </c>
    </row>
    <row r="220" spans="1:10" ht="15" hidden="1" customHeight="1">
      <c r="A220" s="74">
        <v>46177</v>
      </c>
      <c r="B220" t="s">
        <v>556</v>
      </c>
      <c r="C220" t="s">
        <v>778</v>
      </c>
      <c r="D220" s="3">
        <v>31381</v>
      </c>
      <c r="E220" t="s">
        <v>751</v>
      </c>
      <c r="G220" t="s">
        <v>793</v>
      </c>
      <c r="H220" s="52" t="s">
        <v>785</v>
      </c>
      <c r="I220" s="9">
        <v>598471</v>
      </c>
      <c r="J220" t="s">
        <v>752</v>
      </c>
    </row>
    <row r="221" spans="1:10" ht="15" hidden="1" customHeight="1">
      <c r="A221" s="74">
        <v>46177</v>
      </c>
      <c r="B221" t="s">
        <v>553</v>
      </c>
      <c r="C221" t="s">
        <v>778</v>
      </c>
      <c r="D221" s="3">
        <v>32100</v>
      </c>
      <c r="E221" t="s">
        <v>751</v>
      </c>
      <c r="G221" t="s">
        <v>793</v>
      </c>
      <c r="H221" s="52" t="s">
        <v>785</v>
      </c>
      <c r="I221" s="9">
        <v>383324</v>
      </c>
      <c r="J221" t="s">
        <v>752</v>
      </c>
    </row>
    <row r="222" spans="1:10" ht="15" hidden="1" customHeight="1">
      <c r="A222" s="74">
        <v>46178</v>
      </c>
      <c r="B222" t="s">
        <v>540</v>
      </c>
      <c r="C222" t="s">
        <v>776</v>
      </c>
      <c r="D222" s="3">
        <v>98990</v>
      </c>
      <c r="E222" t="s">
        <v>751</v>
      </c>
      <c r="G222" t="s">
        <v>790</v>
      </c>
      <c r="J222" t="s">
        <v>752</v>
      </c>
    </row>
    <row r="223" spans="1:10" ht="15" hidden="1" customHeight="1">
      <c r="A223" s="74">
        <v>46181</v>
      </c>
      <c r="B223" t="s">
        <v>558</v>
      </c>
      <c r="C223" t="s">
        <v>778</v>
      </c>
      <c r="D223" s="3">
        <v>33065</v>
      </c>
      <c r="E223" t="s">
        <v>751</v>
      </c>
      <c r="G223" t="s">
        <v>793</v>
      </c>
      <c r="H223" s="52" t="s">
        <v>785</v>
      </c>
      <c r="I223" s="9">
        <v>330257</v>
      </c>
      <c r="J223" t="s">
        <v>752</v>
      </c>
    </row>
    <row r="224" spans="1:10" ht="15" hidden="1" customHeight="1">
      <c r="A224" s="74">
        <v>46181</v>
      </c>
      <c r="B224" t="s">
        <v>644</v>
      </c>
      <c r="C224" t="s">
        <v>776</v>
      </c>
      <c r="D224" s="3">
        <v>159017</v>
      </c>
      <c r="E224" t="s">
        <v>751</v>
      </c>
      <c r="G224" t="s">
        <v>790</v>
      </c>
      <c r="J224" t="s">
        <v>752</v>
      </c>
    </row>
    <row r="225" spans="1:10" ht="15" hidden="1" customHeight="1">
      <c r="A225" s="74">
        <v>46181</v>
      </c>
      <c r="B225" t="s">
        <v>179</v>
      </c>
      <c r="C225" t="s">
        <v>777</v>
      </c>
      <c r="D225" s="3">
        <v>9251</v>
      </c>
      <c r="E225" t="s">
        <v>751</v>
      </c>
      <c r="G225" t="s">
        <v>33</v>
      </c>
      <c r="J225" t="s">
        <v>752</v>
      </c>
    </row>
    <row r="226" spans="1:10" ht="15" hidden="1" customHeight="1">
      <c r="A226" s="74">
        <v>46174</v>
      </c>
      <c r="B226" t="s">
        <v>122</v>
      </c>
      <c r="C226" t="s">
        <v>776</v>
      </c>
      <c r="D226" s="3">
        <v>78050</v>
      </c>
      <c r="E226" t="s">
        <v>751</v>
      </c>
      <c r="G226" t="s">
        <v>790</v>
      </c>
      <c r="J226" t="s">
        <v>752</v>
      </c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02"/>
  <sheetViews>
    <sheetView zoomScaleNormal="100" workbookViewId="0">
      <pane ySplit="3" topLeftCell="A9" activePane="bottomLeft" state="frozen"/>
      <selection pane="bottomLeft" activeCell="E310" sqref="E310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2" t="s">
        <v>794</v>
      </c>
      <c r="B1" s="92"/>
      <c r="C1" s="92"/>
      <c r="D1" s="92"/>
      <c r="E1" s="92"/>
      <c r="F1" s="92"/>
      <c r="G1" s="92"/>
      <c r="H1" s="92"/>
    </row>
    <row r="3" spans="1:23">
      <c r="A3" s="7" t="s">
        <v>668</v>
      </c>
      <c r="B3" s="1" t="s">
        <v>795</v>
      </c>
      <c r="C3" s="1" t="s">
        <v>1</v>
      </c>
      <c r="D3" s="1" t="s">
        <v>796</v>
      </c>
      <c r="E3" s="1" t="s">
        <v>747</v>
      </c>
      <c r="F3" s="1" t="s">
        <v>797</v>
      </c>
      <c r="G3" s="1" t="s">
        <v>798</v>
      </c>
      <c r="H3" s="1" t="s">
        <v>799</v>
      </c>
    </row>
    <row r="4" spans="1:23" hidden="1">
      <c r="A4" s="74">
        <v>46065.423698645798</v>
      </c>
      <c r="B4" t="s">
        <v>800</v>
      </c>
      <c r="C4" t="s">
        <v>152</v>
      </c>
      <c r="D4" t="s">
        <v>801</v>
      </c>
      <c r="E4" t="s">
        <v>802</v>
      </c>
      <c r="F4" s="37">
        <v>16422</v>
      </c>
      <c r="G4" t="s">
        <v>803</v>
      </c>
      <c r="H4" t="s">
        <v>804</v>
      </c>
    </row>
    <row r="5" spans="1:23" hidden="1">
      <c r="A5" s="11">
        <v>46065.519203044001</v>
      </c>
      <c r="B5" s="12" t="s">
        <v>805</v>
      </c>
      <c r="C5" s="12"/>
      <c r="D5" s="12" t="s">
        <v>806</v>
      </c>
      <c r="E5" s="12" t="s">
        <v>781</v>
      </c>
      <c r="F5" s="53">
        <v>322014</v>
      </c>
      <c r="G5" s="12" t="s">
        <v>807</v>
      </c>
      <c r="H5" s="12" t="s">
        <v>808</v>
      </c>
    </row>
    <row r="6" spans="1:23" hidden="1">
      <c r="A6" s="74">
        <v>46069.442026967597</v>
      </c>
      <c r="B6" t="s">
        <v>809</v>
      </c>
      <c r="D6" t="s">
        <v>810</v>
      </c>
      <c r="E6" t="s">
        <v>781</v>
      </c>
      <c r="F6" s="37">
        <v>21999.995500000001</v>
      </c>
      <c r="G6" t="s">
        <v>811</v>
      </c>
      <c r="H6" t="s">
        <v>804</v>
      </c>
    </row>
    <row r="7" spans="1:23" hidden="1">
      <c r="A7" s="74">
        <v>46069.442026967597</v>
      </c>
      <c r="B7" t="s">
        <v>809</v>
      </c>
      <c r="C7" t="s">
        <v>25</v>
      </c>
      <c r="D7" t="s">
        <v>810</v>
      </c>
      <c r="E7" t="s">
        <v>781</v>
      </c>
      <c r="F7" s="37">
        <v>21999.995500000001</v>
      </c>
      <c r="G7" t="s">
        <v>811</v>
      </c>
      <c r="H7" t="s">
        <v>804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>
      <c r="A8" s="74">
        <v>46069.442026967597</v>
      </c>
      <c r="B8" t="s">
        <v>809</v>
      </c>
      <c r="C8" t="s">
        <v>29</v>
      </c>
      <c r="D8" t="s">
        <v>810</v>
      </c>
      <c r="E8" t="s">
        <v>781</v>
      </c>
      <c r="F8" s="37">
        <v>21999.995500000001</v>
      </c>
      <c r="G8" t="s">
        <v>811</v>
      </c>
      <c r="H8" t="s">
        <v>804</v>
      </c>
    </row>
    <row r="9" spans="1:23">
      <c r="A9" s="74">
        <v>46069.442026967597</v>
      </c>
      <c r="B9" t="s">
        <v>809</v>
      </c>
      <c r="C9" t="s">
        <v>32</v>
      </c>
      <c r="D9" t="s">
        <v>810</v>
      </c>
      <c r="E9" t="s">
        <v>781</v>
      </c>
      <c r="F9" s="37">
        <v>21999.995500000001</v>
      </c>
      <c r="G9" t="s">
        <v>811</v>
      </c>
      <c r="H9" t="s">
        <v>804</v>
      </c>
    </row>
    <row r="10" spans="1:23" hidden="1">
      <c r="A10" s="74">
        <v>46069.442026967597</v>
      </c>
      <c r="B10" t="s">
        <v>809</v>
      </c>
      <c r="D10" t="s">
        <v>810</v>
      </c>
      <c r="E10" t="s">
        <v>781</v>
      </c>
      <c r="F10" s="37">
        <v>21999.995500000001</v>
      </c>
      <c r="G10" t="s">
        <v>811</v>
      </c>
      <c r="H10" t="s">
        <v>804</v>
      </c>
    </row>
    <row r="11" spans="1:23" hidden="1">
      <c r="A11" s="74">
        <v>46069.442026967597</v>
      </c>
      <c r="B11" t="s">
        <v>809</v>
      </c>
      <c r="C11" t="s">
        <v>36</v>
      </c>
      <c r="D11" t="s">
        <v>810</v>
      </c>
      <c r="E11" t="s">
        <v>781</v>
      </c>
      <c r="F11" s="37">
        <v>21999.995500000001</v>
      </c>
      <c r="G11" t="s">
        <v>811</v>
      </c>
      <c r="H11" t="s">
        <v>804</v>
      </c>
    </row>
    <row r="12" spans="1:23" hidden="1">
      <c r="A12" s="74">
        <v>46069.442026967597</v>
      </c>
      <c r="B12" t="s">
        <v>809</v>
      </c>
      <c r="C12" t="s">
        <v>86</v>
      </c>
      <c r="D12" t="s">
        <v>810</v>
      </c>
      <c r="E12" t="s">
        <v>781</v>
      </c>
      <c r="F12" s="37">
        <v>21999.995500000001</v>
      </c>
      <c r="G12" t="s">
        <v>811</v>
      </c>
      <c r="H12" t="s">
        <v>804</v>
      </c>
    </row>
    <row r="13" spans="1:23" hidden="1">
      <c r="A13" s="74">
        <v>46069.442026967597</v>
      </c>
      <c r="B13" t="s">
        <v>809</v>
      </c>
      <c r="C13" t="s">
        <v>89</v>
      </c>
      <c r="D13" t="s">
        <v>810</v>
      </c>
      <c r="E13" t="s">
        <v>781</v>
      </c>
      <c r="F13" s="37">
        <v>21999.995500000001</v>
      </c>
      <c r="G13" t="s">
        <v>811</v>
      </c>
      <c r="H13" t="s">
        <v>804</v>
      </c>
    </row>
    <row r="14" spans="1:23" hidden="1">
      <c r="A14" s="74">
        <v>46069.442026967597</v>
      </c>
      <c r="B14" t="s">
        <v>809</v>
      </c>
      <c r="C14" t="s">
        <v>91</v>
      </c>
      <c r="D14" t="s">
        <v>810</v>
      </c>
      <c r="E14" t="s">
        <v>781</v>
      </c>
      <c r="F14" s="37">
        <v>21999.995500000001</v>
      </c>
      <c r="G14" t="s">
        <v>811</v>
      </c>
      <c r="H14" t="s">
        <v>804</v>
      </c>
    </row>
    <row r="15" spans="1:23" hidden="1">
      <c r="A15" s="74">
        <v>46069.442026967597</v>
      </c>
      <c r="B15" t="s">
        <v>809</v>
      </c>
      <c r="C15" t="s">
        <v>93</v>
      </c>
      <c r="D15" t="s">
        <v>810</v>
      </c>
      <c r="E15" t="s">
        <v>781</v>
      </c>
      <c r="F15" s="37">
        <v>21999.995500000001</v>
      </c>
      <c r="G15" t="s">
        <v>811</v>
      </c>
      <c r="H15" t="s">
        <v>804</v>
      </c>
    </row>
    <row r="16" spans="1:23" hidden="1">
      <c r="A16" s="74">
        <v>46069.442026967597</v>
      </c>
      <c r="B16" t="s">
        <v>809</v>
      </c>
      <c r="C16" t="s">
        <v>95</v>
      </c>
      <c r="D16" t="s">
        <v>810</v>
      </c>
      <c r="E16" t="s">
        <v>781</v>
      </c>
      <c r="F16" s="37">
        <v>21999.995500000001</v>
      </c>
      <c r="G16" t="s">
        <v>811</v>
      </c>
      <c r="H16" t="s">
        <v>804</v>
      </c>
    </row>
    <row r="17" spans="1:8" hidden="1">
      <c r="A17" s="74">
        <v>46069.442026967597</v>
      </c>
      <c r="B17" t="s">
        <v>809</v>
      </c>
      <c r="C17" t="s">
        <v>166</v>
      </c>
      <c r="D17" t="s">
        <v>810</v>
      </c>
      <c r="E17" t="s">
        <v>781</v>
      </c>
      <c r="F17" s="37">
        <v>21999.995500000001</v>
      </c>
      <c r="G17" t="s">
        <v>811</v>
      </c>
      <c r="H17" t="s">
        <v>804</v>
      </c>
    </row>
    <row r="18" spans="1:8" hidden="1">
      <c r="A18" s="74">
        <v>46069.442026967597</v>
      </c>
      <c r="B18" t="s">
        <v>809</v>
      </c>
      <c r="C18" t="s">
        <v>168</v>
      </c>
      <c r="D18" t="s">
        <v>810</v>
      </c>
      <c r="E18" t="s">
        <v>781</v>
      </c>
      <c r="F18" s="37">
        <v>21999.995500000001</v>
      </c>
      <c r="G18" t="s">
        <v>811</v>
      </c>
      <c r="H18" t="s">
        <v>804</v>
      </c>
    </row>
    <row r="19" spans="1:8" hidden="1">
      <c r="A19" s="74">
        <v>46069.442026967597</v>
      </c>
      <c r="B19" t="s">
        <v>809</v>
      </c>
      <c r="C19" t="s">
        <v>170</v>
      </c>
      <c r="D19" t="s">
        <v>810</v>
      </c>
      <c r="E19" t="s">
        <v>781</v>
      </c>
      <c r="F19" s="37">
        <v>21999.995500000001</v>
      </c>
      <c r="G19" t="s">
        <v>811</v>
      </c>
      <c r="H19" t="s">
        <v>804</v>
      </c>
    </row>
    <row r="20" spans="1:8" hidden="1">
      <c r="A20" s="74">
        <v>46069.442026967597</v>
      </c>
      <c r="B20" t="s">
        <v>809</v>
      </c>
      <c r="C20" t="s">
        <v>172</v>
      </c>
      <c r="D20" t="s">
        <v>810</v>
      </c>
      <c r="E20" t="s">
        <v>781</v>
      </c>
      <c r="F20" s="37">
        <v>21999.995500000001</v>
      </c>
      <c r="G20" t="s">
        <v>811</v>
      </c>
      <c r="H20" t="s">
        <v>804</v>
      </c>
    </row>
    <row r="21" spans="1:8" hidden="1">
      <c r="A21" s="74">
        <v>46069.442026967597</v>
      </c>
      <c r="B21" t="s">
        <v>809</v>
      </c>
      <c r="C21" t="s">
        <v>174</v>
      </c>
      <c r="D21" t="s">
        <v>810</v>
      </c>
      <c r="E21" t="s">
        <v>781</v>
      </c>
      <c r="F21" s="37">
        <v>21999.995500000001</v>
      </c>
      <c r="G21" t="s">
        <v>811</v>
      </c>
      <c r="H21" t="s">
        <v>804</v>
      </c>
    </row>
    <row r="22" spans="1:8" hidden="1">
      <c r="A22" s="74">
        <v>46069.442026967597</v>
      </c>
      <c r="B22" t="s">
        <v>809</v>
      </c>
      <c r="C22" t="s">
        <v>179</v>
      </c>
      <c r="D22" t="s">
        <v>810</v>
      </c>
      <c r="E22" t="s">
        <v>781</v>
      </c>
      <c r="F22" s="37">
        <v>21999.995500000001</v>
      </c>
      <c r="G22" t="s">
        <v>811</v>
      </c>
      <c r="H22" t="s">
        <v>804</v>
      </c>
    </row>
    <row r="23" spans="1:8" hidden="1">
      <c r="A23" s="74">
        <v>46069.447153738402</v>
      </c>
      <c r="B23" t="s">
        <v>812</v>
      </c>
      <c r="D23" t="s">
        <v>813</v>
      </c>
      <c r="E23" t="s">
        <v>781</v>
      </c>
      <c r="F23" s="37">
        <v>5764.6988000000001</v>
      </c>
      <c r="G23" t="s">
        <v>811</v>
      </c>
      <c r="H23" t="s">
        <v>808</v>
      </c>
    </row>
    <row r="24" spans="1:8" hidden="1">
      <c r="A24" s="74">
        <v>46069.447153738402</v>
      </c>
      <c r="B24" t="s">
        <v>812</v>
      </c>
      <c r="C24" t="s">
        <v>25</v>
      </c>
      <c r="D24" t="s">
        <v>813</v>
      </c>
      <c r="E24" t="s">
        <v>781</v>
      </c>
      <c r="F24" s="37">
        <v>5764.6988000000001</v>
      </c>
      <c r="G24" t="s">
        <v>811</v>
      </c>
      <c r="H24" t="s">
        <v>808</v>
      </c>
    </row>
    <row r="25" spans="1:8" hidden="1">
      <c r="A25" s="74">
        <v>46069.447153738402</v>
      </c>
      <c r="B25" t="s">
        <v>812</v>
      </c>
      <c r="C25" t="s">
        <v>29</v>
      </c>
      <c r="D25" t="s">
        <v>813</v>
      </c>
      <c r="E25" t="s">
        <v>781</v>
      </c>
      <c r="F25" s="37">
        <v>5764.6988000000001</v>
      </c>
      <c r="G25" t="s">
        <v>811</v>
      </c>
      <c r="H25" t="s">
        <v>808</v>
      </c>
    </row>
    <row r="26" spans="1:8">
      <c r="A26" s="74">
        <v>46069.447153738402</v>
      </c>
      <c r="B26" t="s">
        <v>812</v>
      </c>
      <c r="C26" t="s">
        <v>32</v>
      </c>
      <c r="D26" t="s">
        <v>813</v>
      </c>
      <c r="E26" t="s">
        <v>781</v>
      </c>
      <c r="F26" s="37">
        <v>5764.6988000000001</v>
      </c>
      <c r="G26" t="s">
        <v>811</v>
      </c>
      <c r="H26" t="s">
        <v>808</v>
      </c>
    </row>
    <row r="27" spans="1:8" hidden="1">
      <c r="A27" s="74">
        <v>46069.447153738402</v>
      </c>
      <c r="B27" t="s">
        <v>812</v>
      </c>
      <c r="D27" t="s">
        <v>813</v>
      </c>
      <c r="E27" t="s">
        <v>781</v>
      </c>
      <c r="F27" s="37">
        <v>5764.6988000000001</v>
      </c>
      <c r="G27" t="s">
        <v>811</v>
      </c>
      <c r="H27" t="s">
        <v>808</v>
      </c>
    </row>
    <row r="28" spans="1:8" hidden="1">
      <c r="A28" s="74">
        <v>46069.447153738402</v>
      </c>
      <c r="B28" t="s">
        <v>812</v>
      </c>
      <c r="C28" t="s">
        <v>36</v>
      </c>
      <c r="D28" t="s">
        <v>813</v>
      </c>
      <c r="E28" t="s">
        <v>781</v>
      </c>
      <c r="F28" s="37">
        <v>5764.6988000000001</v>
      </c>
      <c r="G28" t="s">
        <v>811</v>
      </c>
      <c r="H28" t="s">
        <v>808</v>
      </c>
    </row>
    <row r="29" spans="1:8" hidden="1">
      <c r="A29" s="74">
        <v>46069.447153738402</v>
      </c>
      <c r="B29" t="s">
        <v>812</v>
      </c>
      <c r="C29" t="s">
        <v>86</v>
      </c>
      <c r="D29" t="s">
        <v>813</v>
      </c>
      <c r="E29" t="s">
        <v>781</v>
      </c>
      <c r="F29" s="37">
        <v>5764.6988000000001</v>
      </c>
      <c r="G29" t="s">
        <v>811</v>
      </c>
      <c r="H29" t="s">
        <v>808</v>
      </c>
    </row>
    <row r="30" spans="1:8" hidden="1">
      <c r="A30" s="74">
        <v>46069.447153738402</v>
      </c>
      <c r="B30" t="s">
        <v>812</v>
      </c>
      <c r="C30" t="s">
        <v>89</v>
      </c>
      <c r="D30" t="s">
        <v>813</v>
      </c>
      <c r="E30" t="s">
        <v>781</v>
      </c>
      <c r="F30" s="37">
        <v>5764.6988000000001</v>
      </c>
      <c r="G30" t="s">
        <v>811</v>
      </c>
      <c r="H30" t="s">
        <v>808</v>
      </c>
    </row>
    <row r="31" spans="1:8" hidden="1">
      <c r="A31" s="74">
        <v>46069.447153738402</v>
      </c>
      <c r="B31" t="s">
        <v>812</v>
      </c>
      <c r="C31" t="s">
        <v>91</v>
      </c>
      <c r="D31" t="s">
        <v>813</v>
      </c>
      <c r="E31" t="s">
        <v>781</v>
      </c>
      <c r="F31" s="37">
        <v>5764.6988000000001</v>
      </c>
      <c r="G31" t="s">
        <v>811</v>
      </c>
      <c r="H31" t="s">
        <v>808</v>
      </c>
    </row>
    <row r="32" spans="1:8" hidden="1">
      <c r="A32" s="74">
        <v>46069.447153738402</v>
      </c>
      <c r="B32" t="s">
        <v>812</v>
      </c>
      <c r="C32" t="s">
        <v>93</v>
      </c>
      <c r="D32" t="s">
        <v>813</v>
      </c>
      <c r="E32" t="s">
        <v>781</v>
      </c>
      <c r="F32" s="37">
        <v>5764.6988000000001</v>
      </c>
      <c r="G32" t="s">
        <v>811</v>
      </c>
      <c r="H32" t="s">
        <v>808</v>
      </c>
    </row>
    <row r="33" spans="1:8" hidden="1">
      <c r="A33" s="74">
        <v>46069.447153738402</v>
      </c>
      <c r="B33" t="s">
        <v>812</v>
      </c>
      <c r="C33" t="s">
        <v>95</v>
      </c>
      <c r="D33" t="s">
        <v>813</v>
      </c>
      <c r="E33" t="s">
        <v>781</v>
      </c>
      <c r="F33" s="37">
        <v>5764.6988000000001</v>
      </c>
      <c r="G33" t="s">
        <v>811</v>
      </c>
      <c r="H33" t="s">
        <v>808</v>
      </c>
    </row>
    <row r="34" spans="1:8" hidden="1">
      <c r="A34" s="74">
        <v>46069.447153738402</v>
      </c>
      <c r="B34" t="s">
        <v>812</v>
      </c>
      <c r="C34" t="s">
        <v>166</v>
      </c>
      <c r="D34" t="s">
        <v>813</v>
      </c>
      <c r="E34" t="s">
        <v>781</v>
      </c>
      <c r="F34" s="37">
        <v>5764.6988000000001</v>
      </c>
      <c r="G34" t="s">
        <v>811</v>
      </c>
      <c r="H34" t="s">
        <v>808</v>
      </c>
    </row>
    <row r="35" spans="1:8" hidden="1">
      <c r="A35" s="74">
        <v>46069.447153738402</v>
      </c>
      <c r="B35" t="s">
        <v>812</v>
      </c>
      <c r="C35" t="s">
        <v>168</v>
      </c>
      <c r="D35" t="s">
        <v>813</v>
      </c>
      <c r="E35" t="s">
        <v>781</v>
      </c>
      <c r="F35" s="37">
        <v>5764.6988000000001</v>
      </c>
      <c r="G35" t="s">
        <v>811</v>
      </c>
      <c r="H35" t="s">
        <v>808</v>
      </c>
    </row>
    <row r="36" spans="1:8" hidden="1">
      <c r="A36" s="74">
        <v>46069.447153738402</v>
      </c>
      <c r="B36" t="s">
        <v>812</v>
      </c>
      <c r="C36" t="s">
        <v>170</v>
      </c>
      <c r="D36" t="s">
        <v>813</v>
      </c>
      <c r="E36" t="s">
        <v>781</v>
      </c>
      <c r="F36" s="37">
        <v>5764.6988000000001</v>
      </c>
      <c r="G36" t="s">
        <v>811</v>
      </c>
      <c r="H36" t="s">
        <v>808</v>
      </c>
    </row>
    <row r="37" spans="1:8" hidden="1">
      <c r="A37" s="74">
        <v>46069.447153738402</v>
      </c>
      <c r="B37" t="s">
        <v>812</v>
      </c>
      <c r="C37" t="s">
        <v>172</v>
      </c>
      <c r="D37" t="s">
        <v>813</v>
      </c>
      <c r="E37" t="s">
        <v>781</v>
      </c>
      <c r="F37" s="37">
        <v>5764.6988000000001</v>
      </c>
      <c r="G37" t="s">
        <v>811</v>
      </c>
      <c r="H37" t="s">
        <v>808</v>
      </c>
    </row>
    <row r="38" spans="1:8" hidden="1">
      <c r="A38" s="74">
        <v>46069.447153738402</v>
      </c>
      <c r="B38" t="s">
        <v>812</v>
      </c>
      <c r="C38" t="s">
        <v>174</v>
      </c>
      <c r="D38" t="s">
        <v>813</v>
      </c>
      <c r="E38" t="s">
        <v>781</v>
      </c>
      <c r="F38" s="37">
        <v>5764.6988000000001</v>
      </c>
      <c r="G38" t="s">
        <v>811</v>
      </c>
      <c r="H38" t="s">
        <v>808</v>
      </c>
    </row>
    <row r="39" spans="1:8" hidden="1">
      <c r="A39" s="74">
        <v>46069.447153738402</v>
      </c>
      <c r="B39" t="s">
        <v>812</v>
      </c>
      <c r="C39" t="s">
        <v>179</v>
      </c>
      <c r="D39" t="s">
        <v>813</v>
      </c>
      <c r="E39" t="s">
        <v>781</v>
      </c>
      <c r="F39" s="37">
        <v>5764.6988000000001</v>
      </c>
      <c r="G39" t="s">
        <v>811</v>
      </c>
      <c r="H39" t="s">
        <v>808</v>
      </c>
    </row>
    <row r="40" spans="1:8" hidden="1">
      <c r="A40" s="74">
        <v>46069.640180520801</v>
      </c>
      <c r="B40" t="s">
        <v>814</v>
      </c>
      <c r="C40" t="s">
        <v>152</v>
      </c>
      <c r="D40" t="s">
        <v>815</v>
      </c>
      <c r="E40" t="s">
        <v>780</v>
      </c>
      <c r="F40" s="37">
        <v>162393.35</v>
      </c>
      <c r="G40" t="s">
        <v>803</v>
      </c>
      <c r="H40" t="s">
        <v>808</v>
      </c>
    </row>
    <row r="41" spans="1:8" hidden="1">
      <c r="A41" s="74">
        <v>46070.7495109144</v>
      </c>
      <c r="B41" t="s">
        <v>816</v>
      </c>
      <c r="C41" t="s">
        <v>817</v>
      </c>
      <c r="D41" t="s">
        <v>818</v>
      </c>
      <c r="E41" t="s">
        <v>780</v>
      </c>
      <c r="F41" s="37">
        <v>108651.76</v>
      </c>
      <c r="G41" t="s">
        <v>803</v>
      </c>
      <c r="H41" t="s">
        <v>808</v>
      </c>
    </row>
    <row r="42" spans="1:8" hidden="1">
      <c r="A42" s="74">
        <v>46071.352886226901</v>
      </c>
      <c r="B42" t="s">
        <v>819</v>
      </c>
      <c r="C42" t="s">
        <v>817</v>
      </c>
      <c r="D42" t="s">
        <v>818</v>
      </c>
      <c r="E42" t="s">
        <v>820</v>
      </c>
      <c r="F42" s="37">
        <v>59673.74</v>
      </c>
      <c r="G42" t="s">
        <v>803</v>
      </c>
      <c r="H42" t="s">
        <v>821</v>
      </c>
    </row>
    <row r="43" spans="1:8" hidden="1">
      <c r="A43" s="74">
        <v>46071.627082372703</v>
      </c>
      <c r="B43" t="s">
        <v>822</v>
      </c>
      <c r="C43" t="s">
        <v>82</v>
      </c>
      <c r="D43" t="s">
        <v>823</v>
      </c>
      <c r="E43" t="s">
        <v>786</v>
      </c>
      <c r="F43" s="37">
        <v>201663.35</v>
      </c>
      <c r="G43" t="s">
        <v>803</v>
      </c>
      <c r="H43" t="s">
        <v>808</v>
      </c>
    </row>
    <row r="44" spans="1:8" hidden="1">
      <c r="A44" s="74">
        <v>46072.422364780097</v>
      </c>
      <c r="B44" t="s">
        <v>824</v>
      </c>
      <c r="C44" t="s">
        <v>168</v>
      </c>
      <c r="D44" t="s">
        <v>825</v>
      </c>
      <c r="E44" t="s">
        <v>786</v>
      </c>
      <c r="F44" s="37">
        <v>402316.39</v>
      </c>
      <c r="G44" t="s">
        <v>803</v>
      </c>
      <c r="H44" t="s">
        <v>808</v>
      </c>
    </row>
    <row r="45" spans="1:8" hidden="1">
      <c r="A45" s="74">
        <v>46072.696969097196</v>
      </c>
      <c r="B45" t="s">
        <v>826</v>
      </c>
      <c r="C45" t="s">
        <v>422</v>
      </c>
      <c r="D45" t="s">
        <v>827</v>
      </c>
      <c r="E45" t="s">
        <v>820</v>
      </c>
      <c r="F45" s="37">
        <v>456581.58</v>
      </c>
      <c r="G45" t="s">
        <v>803</v>
      </c>
      <c r="H45" t="s">
        <v>821</v>
      </c>
    </row>
    <row r="46" spans="1:8" hidden="1">
      <c r="A46" s="74">
        <v>46073.410563310201</v>
      </c>
      <c r="B46" t="s">
        <v>828</v>
      </c>
      <c r="D46" t="s">
        <v>829</v>
      </c>
      <c r="E46" t="s">
        <v>786</v>
      </c>
      <c r="F46" s="37">
        <v>13095.53</v>
      </c>
      <c r="G46" t="s">
        <v>811</v>
      </c>
      <c r="H46" t="s">
        <v>808</v>
      </c>
    </row>
    <row r="47" spans="1:8" hidden="1">
      <c r="A47" s="74">
        <v>46073.410563310201</v>
      </c>
      <c r="B47" t="s">
        <v>828</v>
      </c>
      <c r="C47" t="s">
        <v>25</v>
      </c>
      <c r="D47" t="s">
        <v>829</v>
      </c>
      <c r="E47" t="s">
        <v>786</v>
      </c>
      <c r="F47" s="37">
        <v>13095.53</v>
      </c>
      <c r="G47" t="s">
        <v>811</v>
      </c>
      <c r="H47" t="s">
        <v>808</v>
      </c>
    </row>
    <row r="48" spans="1:8" hidden="1">
      <c r="A48" s="74">
        <v>46073.410563310201</v>
      </c>
      <c r="B48" t="s">
        <v>828</v>
      </c>
      <c r="C48" t="s">
        <v>29</v>
      </c>
      <c r="D48" t="s">
        <v>829</v>
      </c>
      <c r="E48" t="s">
        <v>786</v>
      </c>
      <c r="F48" s="37">
        <v>13095.53</v>
      </c>
      <c r="G48" t="s">
        <v>811</v>
      </c>
      <c r="H48" t="s">
        <v>808</v>
      </c>
    </row>
    <row r="49" spans="1:8">
      <c r="A49" s="74">
        <v>46073.410563310201</v>
      </c>
      <c r="B49" t="s">
        <v>828</v>
      </c>
      <c r="C49" t="s">
        <v>32</v>
      </c>
      <c r="D49" t="s">
        <v>829</v>
      </c>
      <c r="E49" t="s">
        <v>786</v>
      </c>
      <c r="F49" s="37">
        <v>13095.53</v>
      </c>
      <c r="G49" t="s">
        <v>811</v>
      </c>
      <c r="H49" t="s">
        <v>808</v>
      </c>
    </row>
    <row r="50" spans="1:8" hidden="1">
      <c r="A50" s="74">
        <v>46073.410563310201</v>
      </c>
      <c r="B50" t="s">
        <v>828</v>
      </c>
      <c r="D50" t="s">
        <v>829</v>
      </c>
      <c r="E50" t="s">
        <v>786</v>
      </c>
      <c r="F50" s="37">
        <v>13095.53</v>
      </c>
      <c r="G50" t="s">
        <v>811</v>
      </c>
      <c r="H50" t="s">
        <v>808</v>
      </c>
    </row>
    <row r="51" spans="1:8" hidden="1">
      <c r="A51" s="74">
        <v>46073.410563310201</v>
      </c>
      <c r="B51" t="s">
        <v>828</v>
      </c>
      <c r="C51" t="s">
        <v>36</v>
      </c>
      <c r="D51" t="s">
        <v>829</v>
      </c>
      <c r="E51" t="s">
        <v>786</v>
      </c>
      <c r="F51" s="37">
        <v>13095.53</v>
      </c>
      <c r="G51" t="s">
        <v>811</v>
      </c>
      <c r="H51" t="s">
        <v>808</v>
      </c>
    </row>
    <row r="52" spans="1:8" hidden="1">
      <c r="A52" s="74">
        <v>46073.410563310201</v>
      </c>
      <c r="B52" t="s">
        <v>828</v>
      </c>
      <c r="C52" t="s">
        <v>86</v>
      </c>
      <c r="D52" t="s">
        <v>829</v>
      </c>
      <c r="E52" t="s">
        <v>786</v>
      </c>
      <c r="F52" s="37">
        <v>13095.53</v>
      </c>
      <c r="G52" t="s">
        <v>811</v>
      </c>
      <c r="H52" t="s">
        <v>808</v>
      </c>
    </row>
    <row r="53" spans="1:8" hidden="1">
      <c r="A53" s="74">
        <v>46073.410563310201</v>
      </c>
      <c r="B53" t="s">
        <v>828</v>
      </c>
      <c r="C53" t="s">
        <v>89</v>
      </c>
      <c r="D53" t="s">
        <v>829</v>
      </c>
      <c r="E53" t="s">
        <v>786</v>
      </c>
      <c r="F53" s="37">
        <v>13095.53</v>
      </c>
      <c r="G53" t="s">
        <v>811</v>
      </c>
      <c r="H53" t="s">
        <v>808</v>
      </c>
    </row>
    <row r="54" spans="1:8" hidden="1">
      <c r="A54" s="74">
        <v>46073.410563310201</v>
      </c>
      <c r="B54" t="s">
        <v>828</v>
      </c>
      <c r="C54" t="s">
        <v>91</v>
      </c>
      <c r="D54" t="s">
        <v>829</v>
      </c>
      <c r="E54" t="s">
        <v>786</v>
      </c>
      <c r="F54" s="37">
        <v>13095.53</v>
      </c>
      <c r="G54" t="s">
        <v>811</v>
      </c>
      <c r="H54" t="s">
        <v>808</v>
      </c>
    </row>
    <row r="55" spans="1:8" hidden="1">
      <c r="A55" s="74">
        <v>46073.410563310201</v>
      </c>
      <c r="B55" t="s">
        <v>828</v>
      </c>
      <c r="C55" t="s">
        <v>93</v>
      </c>
      <c r="D55" t="s">
        <v>829</v>
      </c>
      <c r="E55" t="s">
        <v>786</v>
      </c>
      <c r="F55" s="37">
        <v>13095.53</v>
      </c>
      <c r="G55" t="s">
        <v>811</v>
      </c>
      <c r="H55" t="s">
        <v>808</v>
      </c>
    </row>
    <row r="56" spans="1:8" hidden="1">
      <c r="A56" s="74">
        <v>46073.410563310201</v>
      </c>
      <c r="B56" t="s">
        <v>828</v>
      </c>
      <c r="C56" t="s">
        <v>95</v>
      </c>
      <c r="D56" t="s">
        <v>829</v>
      </c>
      <c r="E56" t="s">
        <v>786</v>
      </c>
      <c r="F56" s="37">
        <v>13095.53</v>
      </c>
      <c r="G56" t="s">
        <v>811</v>
      </c>
      <c r="H56" t="s">
        <v>808</v>
      </c>
    </row>
    <row r="57" spans="1:8" hidden="1">
      <c r="A57" s="74">
        <v>46073.410563310201</v>
      </c>
      <c r="B57" t="s">
        <v>828</v>
      </c>
      <c r="C57" t="s">
        <v>166</v>
      </c>
      <c r="D57" t="s">
        <v>829</v>
      </c>
      <c r="E57" t="s">
        <v>786</v>
      </c>
      <c r="F57" s="37">
        <v>13095.53</v>
      </c>
      <c r="G57" t="s">
        <v>811</v>
      </c>
      <c r="H57" t="s">
        <v>808</v>
      </c>
    </row>
    <row r="58" spans="1:8" hidden="1">
      <c r="A58" s="74">
        <v>46073.410563310201</v>
      </c>
      <c r="B58" t="s">
        <v>828</v>
      </c>
      <c r="C58" t="s">
        <v>168</v>
      </c>
      <c r="D58" t="s">
        <v>829</v>
      </c>
      <c r="E58" t="s">
        <v>786</v>
      </c>
      <c r="F58" s="37">
        <v>13095.53</v>
      </c>
      <c r="G58" t="s">
        <v>811</v>
      </c>
      <c r="H58" t="s">
        <v>808</v>
      </c>
    </row>
    <row r="59" spans="1:8" hidden="1">
      <c r="A59" s="74">
        <v>46073.410563310201</v>
      </c>
      <c r="B59" t="s">
        <v>828</v>
      </c>
      <c r="C59" t="s">
        <v>170</v>
      </c>
      <c r="D59" t="s">
        <v>829</v>
      </c>
      <c r="E59" t="s">
        <v>786</v>
      </c>
      <c r="F59" s="37">
        <v>13095.53</v>
      </c>
      <c r="G59" t="s">
        <v>811</v>
      </c>
      <c r="H59" t="s">
        <v>808</v>
      </c>
    </row>
    <row r="60" spans="1:8" hidden="1">
      <c r="A60" s="74">
        <v>46073.410563310201</v>
      </c>
      <c r="B60" t="s">
        <v>828</v>
      </c>
      <c r="C60" t="s">
        <v>172</v>
      </c>
      <c r="D60" t="s">
        <v>829</v>
      </c>
      <c r="E60" t="s">
        <v>786</v>
      </c>
      <c r="F60" s="37">
        <v>13095.53</v>
      </c>
      <c r="G60" t="s">
        <v>811</v>
      </c>
      <c r="H60" t="s">
        <v>808</v>
      </c>
    </row>
    <row r="61" spans="1:8" hidden="1">
      <c r="A61" s="74">
        <v>46073.410563310201</v>
      </c>
      <c r="B61" t="s">
        <v>828</v>
      </c>
      <c r="C61" t="s">
        <v>174</v>
      </c>
      <c r="D61" t="s">
        <v>829</v>
      </c>
      <c r="E61" t="s">
        <v>786</v>
      </c>
      <c r="F61" s="37">
        <v>13095.53</v>
      </c>
      <c r="G61" t="s">
        <v>811</v>
      </c>
      <c r="H61" t="s">
        <v>808</v>
      </c>
    </row>
    <row r="62" spans="1:8" hidden="1">
      <c r="A62" s="74">
        <v>46073.410563310201</v>
      </c>
      <c r="B62" t="s">
        <v>828</v>
      </c>
      <c r="C62" t="s">
        <v>179</v>
      </c>
      <c r="D62" t="s">
        <v>829</v>
      </c>
      <c r="E62" t="s">
        <v>786</v>
      </c>
      <c r="F62" s="37">
        <v>13095.53</v>
      </c>
      <c r="G62" t="s">
        <v>811</v>
      </c>
      <c r="H62" t="s">
        <v>808</v>
      </c>
    </row>
    <row r="63" spans="1:8" hidden="1">
      <c r="A63" s="74">
        <v>46073.523869641198</v>
      </c>
      <c r="B63" t="s">
        <v>830</v>
      </c>
      <c r="C63" t="s">
        <v>567</v>
      </c>
      <c r="D63" t="s">
        <v>831</v>
      </c>
      <c r="E63" t="s">
        <v>785</v>
      </c>
      <c r="F63" s="37">
        <v>61356.4</v>
      </c>
      <c r="G63" t="s">
        <v>803</v>
      </c>
      <c r="H63" t="s">
        <v>808</v>
      </c>
    </row>
    <row r="64" spans="1:8" hidden="1">
      <c r="A64" s="74">
        <v>46073.540666631998</v>
      </c>
      <c r="B64" t="s">
        <v>832</v>
      </c>
      <c r="D64" t="s">
        <v>833</v>
      </c>
      <c r="E64" t="s">
        <v>834</v>
      </c>
      <c r="F64" s="37">
        <v>7700</v>
      </c>
      <c r="G64" t="s">
        <v>811</v>
      </c>
      <c r="H64" t="s">
        <v>808</v>
      </c>
    </row>
    <row r="65" spans="1:8" hidden="1">
      <c r="A65" s="74">
        <v>46073.540666631998</v>
      </c>
      <c r="B65" t="s">
        <v>832</v>
      </c>
      <c r="C65" t="s">
        <v>25</v>
      </c>
      <c r="D65" t="s">
        <v>833</v>
      </c>
      <c r="E65" t="s">
        <v>834</v>
      </c>
      <c r="F65" s="37">
        <v>7700</v>
      </c>
      <c r="G65" t="s">
        <v>811</v>
      </c>
      <c r="H65" t="s">
        <v>808</v>
      </c>
    </row>
    <row r="66" spans="1:8" hidden="1">
      <c r="A66" s="74">
        <v>46073.540666631998</v>
      </c>
      <c r="B66" t="s">
        <v>832</v>
      </c>
      <c r="C66" t="s">
        <v>29</v>
      </c>
      <c r="D66" t="s">
        <v>833</v>
      </c>
      <c r="E66" t="s">
        <v>834</v>
      </c>
      <c r="F66" s="37">
        <v>7700</v>
      </c>
      <c r="G66" t="s">
        <v>811</v>
      </c>
      <c r="H66" t="s">
        <v>808</v>
      </c>
    </row>
    <row r="67" spans="1:8">
      <c r="A67" s="74">
        <v>46073.540666631998</v>
      </c>
      <c r="B67" t="s">
        <v>832</v>
      </c>
      <c r="C67" t="s">
        <v>32</v>
      </c>
      <c r="D67" t="s">
        <v>833</v>
      </c>
      <c r="E67" t="s">
        <v>834</v>
      </c>
      <c r="F67" s="37">
        <v>7700</v>
      </c>
      <c r="G67" t="s">
        <v>811</v>
      </c>
      <c r="H67" t="s">
        <v>808</v>
      </c>
    </row>
    <row r="68" spans="1:8" hidden="1">
      <c r="A68" s="74">
        <v>46073.540666631998</v>
      </c>
      <c r="B68" t="s">
        <v>832</v>
      </c>
      <c r="D68" t="s">
        <v>833</v>
      </c>
      <c r="E68" t="s">
        <v>834</v>
      </c>
      <c r="F68" s="37">
        <v>7700</v>
      </c>
      <c r="G68" t="s">
        <v>811</v>
      </c>
      <c r="H68" t="s">
        <v>808</v>
      </c>
    </row>
    <row r="69" spans="1:8" hidden="1">
      <c r="A69" s="74">
        <v>46073.540666631998</v>
      </c>
      <c r="B69" t="s">
        <v>832</v>
      </c>
      <c r="C69" t="s">
        <v>36</v>
      </c>
      <c r="D69" t="s">
        <v>833</v>
      </c>
      <c r="E69" t="s">
        <v>834</v>
      </c>
      <c r="F69" s="37">
        <v>7700</v>
      </c>
      <c r="G69" t="s">
        <v>811</v>
      </c>
      <c r="H69" t="s">
        <v>808</v>
      </c>
    </row>
    <row r="70" spans="1:8" hidden="1">
      <c r="A70" s="74">
        <v>46073.540666631998</v>
      </c>
      <c r="B70" t="s">
        <v>832</v>
      </c>
      <c r="C70" t="s">
        <v>86</v>
      </c>
      <c r="D70" t="s">
        <v>833</v>
      </c>
      <c r="E70" t="s">
        <v>834</v>
      </c>
      <c r="F70" s="37">
        <v>7700</v>
      </c>
      <c r="G70" t="s">
        <v>811</v>
      </c>
      <c r="H70" t="s">
        <v>808</v>
      </c>
    </row>
    <row r="71" spans="1:8" hidden="1">
      <c r="A71" s="74">
        <v>46073.540666631998</v>
      </c>
      <c r="B71" t="s">
        <v>832</v>
      </c>
      <c r="C71" t="s">
        <v>89</v>
      </c>
      <c r="D71" t="s">
        <v>833</v>
      </c>
      <c r="E71" t="s">
        <v>834</v>
      </c>
      <c r="F71" s="37">
        <v>7700</v>
      </c>
      <c r="G71" t="s">
        <v>811</v>
      </c>
      <c r="H71" t="s">
        <v>808</v>
      </c>
    </row>
    <row r="72" spans="1:8" hidden="1">
      <c r="A72" s="74">
        <v>46073.540666631998</v>
      </c>
      <c r="B72" t="s">
        <v>832</v>
      </c>
      <c r="C72" t="s">
        <v>91</v>
      </c>
      <c r="D72" t="s">
        <v>833</v>
      </c>
      <c r="E72" t="s">
        <v>834</v>
      </c>
      <c r="F72" s="37">
        <v>7700</v>
      </c>
      <c r="G72" t="s">
        <v>811</v>
      </c>
      <c r="H72" t="s">
        <v>808</v>
      </c>
    </row>
    <row r="73" spans="1:8" hidden="1">
      <c r="A73" s="74">
        <v>46073.540666631998</v>
      </c>
      <c r="B73" t="s">
        <v>832</v>
      </c>
      <c r="C73" t="s">
        <v>93</v>
      </c>
      <c r="D73" t="s">
        <v>833</v>
      </c>
      <c r="E73" t="s">
        <v>834</v>
      </c>
      <c r="F73" s="37">
        <v>7700</v>
      </c>
      <c r="G73" t="s">
        <v>811</v>
      </c>
      <c r="H73" t="s">
        <v>808</v>
      </c>
    </row>
    <row r="74" spans="1:8" hidden="1">
      <c r="A74" s="74">
        <v>46073.540666631998</v>
      </c>
      <c r="B74" t="s">
        <v>832</v>
      </c>
      <c r="C74" t="s">
        <v>95</v>
      </c>
      <c r="D74" t="s">
        <v>833</v>
      </c>
      <c r="E74" t="s">
        <v>834</v>
      </c>
      <c r="F74" s="37">
        <v>7700</v>
      </c>
      <c r="G74" t="s">
        <v>811</v>
      </c>
      <c r="H74" t="s">
        <v>808</v>
      </c>
    </row>
    <row r="75" spans="1:8" hidden="1">
      <c r="A75" s="74">
        <v>46073.540666631998</v>
      </c>
      <c r="B75" t="s">
        <v>832</v>
      </c>
      <c r="C75" t="s">
        <v>166</v>
      </c>
      <c r="D75" t="s">
        <v>833</v>
      </c>
      <c r="E75" t="s">
        <v>834</v>
      </c>
      <c r="F75" s="37">
        <v>7700</v>
      </c>
      <c r="G75" t="s">
        <v>811</v>
      </c>
      <c r="H75" t="s">
        <v>808</v>
      </c>
    </row>
    <row r="76" spans="1:8" hidden="1">
      <c r="A76" s="74">
        <v>46073.540666631998</v>
      </c>
      <c r="B76" t="s">
        <v>832</v>
      </c>
      <c r="C76" t="s">
        <v>168</v>
      </c>
      <c r="D76" t="s">
        <v>833</v>
      </c>
      <c r="E76" t="s">
        <v>834</v>
      </c>
      <c r="F76" s="37">
        <v>7700</v>
      </c>
      <c r="G76" t="s">
        <v>811</v>
      </c>
      <c r="H76" t="s">
        <v>808</v>
      </c>
    </row>
    <row r="77" spans="1:8" hidden="1">
      <c r="A77" s="74">
        <v>46073.540666631998</v>
      </c>
      <c r="B77" t="s">
        <v>832</v>
      </c>
      <c r="C77" t="s">
        <v>170</v>
      </c>
      <c r="D77" t="s">
        <v>833</v>
      </c>
      <c r="E77" t="s">
        <v>834</v>
      </c>
      <c r="F77" s="37">
        <v>7700</v>
      </c>
      <c r="G77" t="s">
        <v>811</v>
      </c>
      <c r="H77" t="s">
        <v>808</v>
      </c>
    </row>
    <row r="78" spans="1:8" hidden="1">
      <c r="A78" s="74">
        <v>46073.540666631998</v>
      </c>
      <c r="B78" t="s">
        <v>832</v>
      </c>
      <c r="C78" t="s">
        <v>172</v>
      </c>
      <c r="D78" t="s">
        <v>833</v>
      </c>
      <c r="E78" t="s">
        <v>834</v>
      </c>
      <c r="F78" s="37">
        <v>7700</v>
      </c>
      <c r="G78" t="s">
        <v>811</v>
      </c>
      <c r="H78" t="s">
        <v>808</v>
      </c>
    </row>
    <row r="79" spans="1:8" hidden="1">
      <c r="A79" s="74">
        <v>46073.540666631998</v>
      </c>
      <c r="B79" t="s">
        <v>832</v>
      </c>
      <c r="C79" t="s">
        <v>174</v>
      </c>
      <c r="D79" t="s">
        <v>833</v>
      </c>
      <c r="E79" t="s">
        <v>834</v>
      </c>
      <c r="F79" s="37">
        <v>7700</v>
      </c>
      <c r="G79" t="s">
        <v>811</v>
      </c>
      <c r="H79" t="s">
        <v>808</v>
      </c>
    </row>
    <row r="80" spans="1:8" hidden="1">
      <c r="A80" s="74">
        <v>46073.540666631998</v>
      </c>
      <c r="B80" t="s">
        <v>832</v>
      </c>
      <c r="C80" t="s">
        <v>179</v>
      </c>
      <c r="D80" t="s">
        <v>833</v>
      </c>
      <c r="E80" t="s">
        <v>834</v>
      </c>
      <c r="F80" s="37">
        <v>7700</v>
      </c>
      <c r="G80" t="s">
        <v>811</v>
      </c>
      <c r="H80" t="s">
        <v>808</v>
      </c>
    </row>
    <row r="81" spans="1:8" hidden="1">
      <c r="A81" s="74">
        <v>46073.685945798599</v>
      </c>
      <c r="B81" t="s">
        <v>835</v>
      </c>
      <c r="C81" t="s">
        <v>529</v>
      </c>
      <c r="D81" t="s">
        <v>836</v>
      </c>
      <c r="E81" t="s">
        <v>785</v>
      </c>
      <c r="F81" s="37">
        <v>426593.58</v>
      </c>
      <c r="G81" t="s">
        <v>803</v>
      </c>
      <c r="H81" t="s">
        <v>808</v>
      </c>
    </row>
    <row r="82" spans="1:8" hidden="1">
      <c r="A82" s="74">
        <v>46076.363726701398</v>
      </c>
      <c r="B82" t="s">
        <v>837</v>
      </c>
      <c r="C82" t="s">
        <v>47</v>
      </c>
      <c r="D82" t="s">
        <v>838</v>
      </c>
      <c r="E82" t="s">
        <v>781</v>
      </c>
      <c r="F82" s="37">
        <v>21301</v>
      </c>
      <c r="G82" t="s">
        <v>803</v>
      </c>
      <c r="H82" t="s">
        <v>808</v>
      </c>
    </row>
    <row r="83" spans="1:8" hidden="1">
      <c r="A83" s="74">
        <v>46076.407432673601</v>
      </c>
      <c r="B83" t="s">
        <v>839</v>
      </c>
      <c r="C83" t="s">
        <v>187</v>
      </c>
      <c r="D83" t="s">
        <v>840</v>
      </c>
      <c r="E83" t="s">
        <v>786</v>
      </c>
      <c r="F83" s="37">
        <v>271270.02</v>
      </c>
      <c r="G83" t="s">
        <v>803</v>
      </c>
      <c r="H83" t="s">
        <v>808</v>
      </c>
    </row>
    <row r="84" spans="1:8" hidden="1">
      <c r="A84" s="74">
        <v>46076.468356400503</v>
      </c>
      <c r="B84" t="s">
        <v>841</v>
      </c>
      <c r="C84" t="s">
        <v>152</v>
      </c>
      <c r="D84" t="s">
        <v>842</v>
      </c>
      <c r="E84" t="s">
        <v>781</v>
      </c>
      <c r="F84" s="37">
        <v>76299.824999999997</v>
      </c>
      <c r="G84" t="s">
        <v>803</v>
      </c>
      <c r="H84" t="s">
        <v>808</v>
      </c>
    </row>
    <row r="85" spans="1:8" hidden="1">
      <c r="A85" s="74">
        <v>46076.483925694498</v>
      </c>
      <c r="B85" t="s">
        <v>843</v>
      </c>
      <c r="C85" t="s">
        <v>162</v>
      </c>
      <c r="D85" t="s">
        <v>844</v>
      </c>
      <c r="E85" t="s">
        <v>781</v>
      </c>
      <c r="F85" s="37">
        <v>288199.9596</v>
      </c>
      <c r="G85" t="s">
        <v>803</v>
      </c>
      <c r="H85" t="s">
        <v>808</v>
      </c>
    </row>
    <row r="86" spans="1:8" hidden="1">
      <c r="A86" s="74">
        <v>46076.552599768504</v>
      </c>
      <c r="B86" t="s">
        <v>845</v>
      </c>
      <c r="C86" t="s">
        <v>488</v>
      </c>
      <c r="D86" t="s">
        <v>846</v>
      </c>
      <c r="E86" t="s">
        <v>847</v>
      </c>
      <c r="F86" s="37">
        <v>387603.23</v>
      </c>
      <c r="G86" t="s">
        <v>803</v>
      </c>
      <c r="H86" t="s">
        <v>808</v>
      </c>
    </row>
    <row r="87" spans="1:8" hidden="1">
      <c r="A87" s="74">
        <v>46076.736264895801</v>
      </c>
      <c r="B87" t="s">
        <v>848</v>
      </c>
      <c r="C87" t="s">
        <v>450</v>
      </c>
      <c r="D87" t="s">
        <v>849</v>
      </c>
      <c r="E87" t="s">
        <v>781</v>
      </c>
      <c r="F87" s="37">
        <v>258526.31</v>
      </c>
      <c r="G87" t="s">
        <v>803</v>
      </c>
      <c r="H87" t="s">
        <v>804</v>
      </c>
    </row>
    <row r="88" spans="1:8" hidden="1">
      <c r="A88" s="74">
        <v>46077.542049965297</v>
      </c>
      <c r="B88" t="s">
        <v>850</v>
      </c>
      <c r="C88" t="s">
        <v>36</v>
      </c>
      <c r="D88" t="s">
        <v>851</v>
      </c>
      <c r="E88" t="s">
        <v>852</v>
      </c>
      <c r="F88" s="37">
        <v>2451400</v>
      </c>
      <c r="G88" t="s">
        <v>803</v>
      </c>
      <c r="H88" t="s">
        <v>808</v>
      </c>
    </row>
    <row r="89" spans="1:8" hidden="1">
      <c r="A89" s="74">
        <v>46078.357904513898</v>
      </c>
      <c r="B89" t="s">
        <v>853</v>
      </c>
      <c r="C89" t="s">
        <v>74</v>
      </c>
      <c r="D89" t="s">
        <v>854</v>
      </c>
      <c r="E89" t="s">
        <v>781</v>
      </c>
      <c r="F89" s="37">
        <v>94000.004000000001</v>
      </c>
      <c r="G89" t="s">
        <v>803</v>
      </c>
      <c r="H89" t="s">
        <v>808</v>
      </c>
    </row>
    <row r="90" spans="1:8" hidden="1">
      <c r="A90" s="74">
        <v>46078.424829247699</v>
      </c>
      <c r="B90" t="s">
        <v>855</v>
      </c>
      <c r="C90" t="s">
        <v>395</v>
      </c>
      <c r="D90" t="s">
        <v>856</v>
      </c>
      <c r="E90" t="s">
        <v>780</v>
      </c>
      <c r="F90" s="37">
        <v>357653.31</v>
      </c>
      <c r="G90" t="s">
        <v>803</v>
      </c>
      <c r="H90" t="s">
        <v>808</v>
      </c>
    </row>
    <row r="91" spans="1:8" hidden="1">
      <c r="A91" s="74">
        <v>46078.648084178203</v>
      </c>
      <c r="B91" t="s">
        <v>857</v>
      </c>
      <c r="C91" t="s">
        <v>450</v>
      </c>
      <c r="D91" t="s">
        <v>849</v>
      </c>
      <c r="E91" t="s">
        <v>785</v>
      </c>
      <c r="F91" s="37">
        <v>258526.31</v>
      </c>
      <c r="G91" t="s">
        <v>803</v>
      </c>
      <c r="H91" t="s">
        <v>808</v>
      </c>
    </row>
    <row r="92" spans="1:8" hidden="1">
      <c r="A92" s="74">
        <v>46078.661368634297</v>
      </c>
      <c r="B92" t="s">
        <v>858</v>
      </c>
      <c r="C92" t="s">
        <v>156</v>
      </c>
      <c r="D92" t="s">
        <v>859</v>
      </c>
      <c r="E92" t="s">
        <v>780</v>
      </c>
      <c r="F92" s="37">
        <v>393830.5</v>
      </c>
      <c r="G92" t="s">
        <v>803</v>
      </c>
      <c r="H92" t="s">
        <v>808</v>
      </c>
    </row>
    <row r="93" spans="1:8" hidden="1">
      <c r="A93" s="74">
        <v>46079.431099421301</v>
      </c>
      <c r="B93" t="s">
        <v>860</v>
      </c>
      <c r="C93" t="s">
        <v>177</v>
      </c>
      <c r="D93" t="s">
        <v>861</v>
      </c>
      <c r="E93" t="s">
        <v>786</v>
      </c>
      <c r="F93" s="37">
        <v>170432.99</v>
      </c>
      <c r="G93" t="s">
        <v>803</v>
      </c>
      <c r="H93" t="s">
        <v>808</v>
      </c>
    </row>
    <row r="94" spans="1:8" hidden="1">
      <c r="A94" s="74">
        <v>46079.4319211806</v>
      </c>
      <c r="B94" t="s">
        <v>862</v>
      </c>
      <c r="C94" t="s">
        <v>143</v>
      </c>
      <c r="D94" t="s">
        <v>863</v>
      </c>
      <c r="E94" t="s">
        <v>786</v>
      </c>
      <c r="F94" s="37">
        <v>131994.79999999999</v>
      </c>
      <c r="G94" t="s">
        <v>803</v>
      </c>
      <c r="H94" t="s">
        <v>808</v>
      </c>
    </row>
    <row r="95" spans="1:8" hidden="1">
      <c r="A95" s="74">
        <v>46079.451422071797</v>
      </c>
      <c r="B95" t="s">
        <v>864</v>
      </c>
      <c r="C95" t="s">
        <v>182</v>
      </c>
      <c r="D95" t="s">
        <v>865</v>
      </c>
      <c r="E95" t="s">
        <v>781</v>
      </c>
      <c r="F95" s="37">
        <v>75899.973100000003</v>
      </c>
      <c r="G95" t="s">
        <v>803</v>
      </c>
      <c r="H95" t="s">
        <v>808</v>
      </c>
    </row>
    <row r="96" spans="1:8" hidden="1">
      <c r="A96" s="74">
        <v>46079.682637534701</v>
      </c>
      <c r="B96" t="s">
        <v>866</v>
      </c>
      <c r="C96" t="s">
        <v>407</v>
      </c>
      <c r="D96" t="s">
        <v>867</v>
      </c>
      <c r="E96" t="s">
        <v>781</v>
      </c>
      <c r="F96" s="37">
        <v>337399.95030000003</v>
      </c>
      <c r="G96" t="s">
        <v>803</v>
      </c>
      <c r="H96" t="s">
        <v>808</v>
      </c>
    </row>
    <row r="97" spans="1:8" hidden="1">
      <c r="A97" s="74">
        <v>46079.691275543999</v>
      </c>
      <c r="B97" t="s">
        <v>868</v>
      </c>
      <c r="C97" t="s">
        <v>59</v>
      </c>
      <c r="D97" t="s">
        <v>869</v>
      </c>
      <c r="E97" t="s">
        <v>781</v>
      </c>
      <c r="F97" s="37">
        <v>92199.974300000002</v>
      </c>
      <c r="G97" t="s">
        <v>803</v>
      </c>
      <c r="H97" t="s">
        <v>808</v>
      </c>
    </row>
    <row r="98" spans="1:8" hidden="1">
      <c r="A98" s="74">
        <v>46080.468502974501</v>
      </c>
      <c r="B98" t="s">
        <v>870</v>
      </c>
      <c r="C98" t="s">
        <v>306</v>
      </c>
      <c r="D98" t="s">
        <v>871</v>
      </c>
      <c r="E98" t="s">
        <v>780</v>
      </c>
      <c r="F98" s="37">
        <v>736402.94</v>
      </c>
      <c r="G98" t="s">
        <v>803</v>
      </c>
      <c r="H98" t="s">
        <v>808</v>
      </c>
    </row>
    <row r="99" spans="1:8" hidden="1">
      <c r="A99" s="74">
        <v>46083.444348263904</v>
      </c>
      <c r="B99" t="s">
        <v>872</v>
      </c>
      <c r="C99" t="s">
        <v>277</v>
      </c>
      <c r="D99" t="s">
        <v>873</v>
      </c>
      <c r="E99" t="s">
        <v>780</v>
      </c>
      <c r="F99" s="37">
        <v>263781.34999999998</v>
      </c>
      <c r="G99" t="s">
        <v>803</v>
      </c>
      <c r="H99" t="s">
        <v>808</v>
      </c>
    </row>
    <row r="100" spans="1:8" hidden="1">
      <c r="A100" s="74">
        <v>46083.486454513899</v>
      </c>
      <c r="B100" t="s">
        <v>874</v>
      </c>
      <c r="C100" t="s">
        <v>361</v>
      </c>
      <c r="D100" t="s">
        <v>875</v>
      </c>
      <c r="E100" t="s">
        <v>876</v>
      </c>
      <c r="F100" s="37">
        <v>669327.4</v>
      </c>
      <c r="G100" t="s">
        <v>803</v>
      </c>
      <c r="H100" t="s">
        <v>808</v>
      </c>
    </row>
    <row r="101" spans="1:8" hidden="1">
      <c r="A101" s="74">
        <v>46083.500426041697</v>
      </c>
      <c r="B101" t="s">
        <v>877</v>
      </c>
      <c r="C101" t="s">
        <v>329</v>
      </c>
      <c r="D101" t="s">
        <v>878</v>
      </c>
      <c r="E101" t="s">
        <v>780</v>
      </c>
      <c r="F101" s="37">
        <v>237325.27</v>
      </c>
      <c r="G101" t="s">
        <v>803</v>
      </c>
      <c r="H101" t="s">
        <v>808</v>
      </c>
    </row>
    <row r="102" spans="1:8" hidden="1">
      <c r="A102" s="74">
        <v>46083.514697685197</v>
      </c>
      <c r="B102" t="s">
        <v>879</v>
      </c>
      <c r="C102" t="s">
        <v>93</v>
      </c>
      <c r="D102" t="s">
        <v>880</v>
      </c>
      <c r="E102" t="s">
        <v>881</v>
      </c>
      <c r="F102" s="37">
        <v>2116390.0099999998</v>
      </c>
      <c r="G102" t="s">
        <v>803</v>
      </c>
      <c r="H102" t="s">
        <v>808</v>
      </c>
    </row>
    <row r="103" spans="1:8" hidden="1">
      <c r="A103" s="74">
        <v>46083.550651423597</v>
      </c>
      <c r="B103" t="s">
        <v>882</v>
      </c>
      <c r="C103" t="s">
        <v>91</v>
      </c>
      <c r="D103" t="s">
        <v>883</v>
      </c>
      <c r="E103" t="s">
        <v>781</v>
      </c>
      <c r="F103" s="37">
        <v>26999.91</v>
      </c>
      <c r="G103" t="s">
        <v>803</v>
      </c>
      <c r="H103" t="s">
        <v>808</v>
      </c>
    </row>
    <row r="104" spans="1:8" hidden="1">
      <c r="A104" s="74">
        <v>46083.615776238403</v>
      </c>
      <c r="B104" t="s">
        <v>884</v>
      </c>
      <c r="C104" t="s">
        <v>179</v>
      </c>
      <c r="D104" t="s">
        <v>885</v>
      </c>
      <c r="E104" t="s">
        <v>881</v>
      </c>
      <c r="F104" s="37">
        <v>458830.68</v>
      </c>
      <c r="G104" t="s">
        <v>803</v>
      </c>
      <c r="H104" t="s">
        <v>808</v>
      </c>
    </row>
    <row r="105" spans="1:8" hidden="1">
      <c r="A105" s="74">
        <v>46083.669711955998</v>
      </c>
      <c r="B105" t="s">
        <v>886</v>
      </c>
      <c r="C105" t="s">
        <v>633</v>
      </c>
      <c r="D105" t="s">
        <v>887</v>
      </c>
      <c r="E105" t="s">
        <v>785</v>
      </c>
      <c r="F105" s="37">
        <v>312029.90000000002</v>
      </c>
      <c r="G105" t="s">
        <v>803</v>
      </c>
      <c r="H105" t="s">
        <v>808</v>
      </c>
    </row>
    <row r="106" spans="1:8" hidden="1">
      <c r="A106" s="74">
        <v>46084.554178669001</v>
      </c>
      <c r="B106" t="s">
        <v>888</v>
      </c>
      <c r="C106" t="s">
        <v>433</v>
      </c>
      <c r="D106" t="s">
        <v>889</v>
      </c>
      <c r="E106" t="s">
        <v>780</v>
      </c>
      <c r="F106" s="37">
        <v>237325.27</v>
      </c>
      <c r="G106" t="s">
        <v>803</v>
      </c>
      <c r="H106" t="s">
        <v>808</v>
      </c>
    </row>
    <row r="107" spans="1:8" hidden="1">
      <c r="A107" s="74">
        <v>46084.6612838773</v>
      </c>
      <c r="B107" t="s">
        <v>890</v>
      </c>
      <c r="C107" t="s">
        <v>369</v>
      </c>
      <c r="D107" t="s">
        <v>891</v>
      </c>
      <c r="E107" t="s">
        <v>780</v>
      </c>
      <c r="F107" s="37">
        <v>115923.85</v>
      </c>
      <c r="G107" t="s">
        <v>803</v>
      </c>
      <c r="H107" t="s">
        <v>808</v>
      </c>
    </row>
    <row r="108" spans="1:8" hidden="1">
      <c r="A108" s="74">
        <v>46084.6612838773</v>
      </c>
      <c r="B108" t="s">
        <v>890</v>
      </c>
      <c r="C108" t="s">
        <v>312</v>
      </c>
      <c r="D108" t="s">
        <v>891</v>
      </c>
      <c r="E108" t="s">
        <v>780</v>
      </c>
      <c r="F108" s="37">
        <v>115923.85</v>
      </c>
      <c r="G108" t="s">
        <v>803</v>
      </c>
      <c r="H108" t="s">
        <v>808</v>
      </c>
    </row>
    <row r="109" spans="1:8" hidden="1">
      <c r="A109" s="74">
        <v>46084.685665543999</v>
      </c>
      <c r="B109" t="s">
        <v>892</v>
      </c>
      <c r="C109" t="s">
        <v>893</v>
      </c>
      <c r="D109" t="s">
        <v>894</v>
      </c>
      <c r="E109" t="s">
        <v>780</v>
      </c>
      <c r="F109" s="37">
        <v>63816.13</v>
      </c>
      <c r="G109" t="s">
        <v>803</v>
      </c>
      <c r="H109" t="s">
        <v>808</v>
      </c>
    </row>
    <row r="110" spans="1:8" hidden="1">
      <c r="A110" s="74">
        <v>46084.6933587616</v>
      </c>
      <c r="B110" t="s">
        <v>895</v>
      </c>
      <c r="C110" t="s">
        <v>345</v>
      </c>
      <c r="D110" t="s">
        <v>896</v>
      </c>
      <c r="E110" t="s">
        <v>780</v>
      </c>
      <c r="F110" s="37">
        <v>204885.87</v>
      </c>
      <c r="G110" t="s">
        <v>803</v>
      </c>
      <c r="H110" t="s">
        <v>808</v>
      </c>
    </row>
    <row r="111" spans="1:8" hidden="1">
      <c r="A111" s="74">
        <v>46085.464667673601</v>
      </c>
      <c r="B111" t="s">
        <v>897</v>
      </c>
      <c r="C111" t="s">
        <v>292</v>
      </c>
      <c r="D111" t="s">
        <v>898</v>
      </c>
      <c r="E111" t="s">
        <v>785</v>
      </c>
      <c r="F111" s="37">
        <v>211515.36</v>
      </c>
      <c r="G111" t="s">
        <v>803</v>
      </c>
      <c r="H111" t="s">
        <v>808</v>
      </c>
    </row>
    <row r="112" spans="1:8" hidden="1">
      <c r="A112" s="74">
        <v>46085.498313113399</v>
      </c>
      <c r="B112" t="s">
        <v>899</v>
      </c>
      <c r="C112" t="s">
        <v>429</v>
      </c>
      <c r="D112" t="s">
        <v>900</v>
      </c>
      <c r="E112" t="s">
        <v>780</v>
      </c>
      <c r="F112" s="37">
        <v>450580.41</v>
      </c>
      <c r="G112" t="s">
        <v>803</v>
      </c>
      <c r="H112" t="s">
        <v>808</v>
      </c>
    </row>
    <row r="113" spans="1:8" hidden="1">
      <c r="A113" s="74">
        <v>46085.547314004602</v>
      </c>
      <c r="B113" t="s">
        <v>901</v>
      </c>
      <c r="C113" t="s">
        <v>310</v>
      </c>
      <c r="D113" t="s">
        <v>902</v>
      </c>
      <c r="E113" t="s">
        <v>780</v>
      </c>
      <c r="F113" s="37">
        <v>496871.41</v>
      </c>
      <c r="G113" t="s">
        <v>803</v>
      </c>
      <c r="H113" t="s">
        <v>808</v>
      </c>
    </row>
    <row r="114" spans="1:8" hidden="1">
      <c r="A114" s="74">
        <v>46085.559944872701</v>
      </c>
      <c r="B114" t="s">
        <v>903</v>
      </c>
      <c r="C114" t="s">
        <v>390</v>
      </c>
      <c r="D114" t="s">
        <v>904</v>
      </c>
      <c r="E114" t="s">
        <v>780</v>
      </c>
      <c r="F114" s="37">
        <v>289773.33</v>
      </c>
      <c r="G114" t="s">
        <v>803</v>
      </c>
      <c r="H114" t="s">
        <v>808</v>
      </c>
    </row>
    <row r="115" spans="1:8" hidden="1">
      <c r="A115" s="74">
        <v>46085.626711226898</v>
      </c>
      <c r="B115" t="s">
        <v>905</v>
      </c>
      <c r="C115" t="s">
        <v>12</v>
      </c>
      <c r="D115" t="s">
        <v>906</v>
      </c>
      <c r="E115" t="s">
        <v>780</v>
      </c>
      <c r="F115" s="37">
        <v>199255.98</v>
      </c>
      <c r="G115" t="s">
        <v>803</v>
      </c>
      <c r="H115" t="s">
        <v>808</v>
      </c>
    </row>
    <row r="116" spans="1:8" hidden="1">
      <c r="A116" s="74">
        <v>46085.664697835702</v>
      </c>
      <c r="B116" t="s">
        <v>907</v>
      </c>
      <c r="C116" t="s">
        <v>262</v>
      </c>
      <c r="D116" t="s">
        <v>908</v>
      </c>
      <c r="E116" t="s">
        <v>785</v>
      </c>
      <c r="F116" s="37">
        <v>360956.75</v>
      </c>
      <c r="G116" t="s">
        <v>803</v>
      </c>
      <c r="H116" t="s">
        <v>808</v>
      </c>
    </row>
    <row r="117" spans="1:8" hidden="1">
      <c r="A117" s="74">
        <v>46086.416198495397</v>
      </c>
      <c r="B117" t="s">
        <v>909</v>
      </c>
      <c r="D117" t="s">
        <v>910</v>
      </c>
      <c r="E117" t="s">
        <v>781</v>
      </c>
      <c r="F117" s="37">
        <v>18800.036499999998</v>
      </c>
      <c r="G117" t="s">
        <v>807</v>
      </c>
      <c r="H117" t="s">
        <v>808</v>
      </c>
    </row>
    <row r="118" spans="1:8" hidden="1">
      <c r="A118" s="74">
        <v>46086.422014780102</v>
      </c>
      <c r="B118" t="s">
        <v>911</v>
      </c>
      <c r="C118" t="s">
        <v>306</v>
      </c>
      <c r="D118" t="s">
        <v>912</v>
      </c>
      <c r="E118" t="s">
        <v>781</v>
      </c>
      <c r="F118" s="37">
        <v>26999.91</v>
      </c>
      <c r="G118" t="s">
        <v>803</v>
      </c>
      <c r="H118" t="s">
        <v>808</v>
      </c>
    </row>
    <row r="119" spans="1:8" hidden="1">
      <c r="A119" s="74">
        <v>46086.422014780102</v>
      </c>
      <c r="B119" t="s">
        <v>911</v>
      </c>
      <c r="C119" t="s">
        <v>292</v>
      </c>
      <c r="D119" t="s">
        <v>912</v>
      </c>
      <c r="E119" t="s">
        <v>781</v>
      </c>
      <c r="F119" s="37">
        <v>26999.91</v>
      </c>
      <c r="G119" t="s">
        <v>803</v>
      </c>
      <c r="H119" t="s">
        <v>808</v>
      </c>
    </row>
    <row r="120" spans="1:8" hidden="1">
      <c r="A120" s="74">
        <v>46086.516942939801</v>
      </c>
      <c r="B120" t="s">
        <v>913</v>
      </c>
      <c r="C120" t="s">
        <v>556</v>
      </c>
      <c r="D120" t="s">
        <v>914</v>
      </c>
      <c r="E120" t="s">
        <v>785</v>
      </c>
      <c r="F120" s="37">
        <v>300335.77</v>
      </c>
      <c r="G120" t="s">
        <v>803</v>
      </c>
      <c r="H120" t="s">
        <v>808</v>
      </c>
    </row>
    <row r="121" spans="1:8" hidden="1">
      <c r="A121" s="74">
        <v>46086.626455555597</v>
      </c>
      <c r="B121" t="s">
        <v>915</v>
      </c>
      <c r="C121" t="s">
        <v>571</v>
      </c>
      <c r="D121" t="s">
        <v>916</v>
      </c>
      <c r="E121" t="s">
        <v>781</v>
      </c>
      <c r="F121" s="37">
        <v>40499.972099999999</v>
      </c>
      <c r="G121" t="s">
        <v>803</v>
      </c>
      <c r="H121" t="s">
        <v>808</v>
      </c>
    </row>
    <row r="122" spans="1:8" hidden="1">
      <c r="A122" s="74">
        <v>46086.684334803198</v>
      </c>
      <c r="B122" t="s">
        <v>917</v>
      </c>
      <c r="C122" t="s">
        <v>416</v>
      </c>
      <c r="D122" t="s">
        <v>918</v>
      </c>
      <c r="E122" t="s">
        <v>780</v>
      </c>
      <c r="F122" s="37">
        <v>321247.64</v>
      </c>
      <c r="G122" t="s">
        <v>803</v>
      </c>
      <c r="H122" t="s">
        <v>808</v>
      </c>
    </row>
    <row r="123" spans="1:8">
      <c r="A123" s="74">
        <v>46086.696630439801</v>
      </c>
      <c r="B123" t="s">
        <v>919</v>
      </c>
      <c r="C123" t="s">
        <v>282</v>
      </c>
      <c r="D123" t="s">
        <v>920</v>
      </c>
      <c r="E123" t="s">
        <v>780</v>
      </c>
      <c r="F123" s="37">
        <v>255083.64</v>
      </c>
      <c r="G123" t="s">
        <v>803</v>
      </c>
      <c r="H123" t="s">
        <v>808</v>
      </c>
    </row>
    <row r="124" spans="1:8" hidden="1">
      <c r="A124" s="74">
        <v>46086.701264432901</v>
      </c>
      <c r="B124" t="s">
        <v>921</v>
      </c>
      <c r="C124" t="s">
        <v>398</v>
      </c>
      <c r="D124" t="s">
        <v>922</v>
      </c>
      <c r="E124" t="s">
        <v>780</v>
      </c>
      <c r="F124" s="37">
        <v>283936.38</v>
      </c>
      <c r="G124" t="s">
        <v>803</v>
      </c>
      <c r="H124" t="s">
        <v>808</v>
      </c>
    </row>
    <row r="125" spans="1:8" hidden="1">
      <c r="A125" s="74">
        <v>46086.705769826403</v>
      </c>
      <c r="B125" t="s">
        <v>923</v>
      </c>
      <c r="C125" t="s">
        <v>104</v>
      </c>
      <c r="D125" t="s">
        <v>924</v>
      </c>
      <c r="E125" t="s">
        <v>780</v>
      </c>
      <c r="F125" s="37">
        <v>222792.99</v>
      </c>
      <c r="G125" t="s">
        <v>803</v>
      </c>
      <c r="H125" t="s">
        <v>808</v>
      </c>
    </row>
    <row r="126" spans="1:8" hidden="1">
      <c r="A126" s="74">
        <v>46086.710126585698</v>
      </c>
      <c r="B126" t="s">
        <v>925</v>
      </c>
      <c r="C126" t="s">
        <v>448</v>
      </c>
      <c r="D126" t="s">
        <v>926</v>
      </c>
      <c r="E126" t="s">
        <v>780</v>
      </c>
      <c r="F126" s="37">
        <v>133882.14000000001</v>
      </c>
      <c r="G126" t="s">
        <v>803</v>
      </c>
      <c r="H126" t="s">
        <v>808</v>
      </c>
    </row>
    <row r="127" spans="1:8" hidden="1">
      <c r="A127" s="74">
        <v>46086.750033020799</v>
      </c>
      <c r="B127" t="s">
        <v>927</v>
      </c>
      <c r="C127" t="s">
        <v>426</v>
      </c>
      <c r="D127" t="s">
        <v>928</v>
      </c>
      <c r="E127" t="s">
        <v>780</v>
      </c>
      <c r="F127" s="37">
        <v>206424.54</v>
      </c>
      <c r="G127" t="s">
        <v>803</v>
      </c>
      <c r="H127" t="s">
        <v>808</v>
      </c>
    </row>
    <row r="128" spans="1:8" hidden="1">
      <c r="A128" s="74">
        <v>46087.498166435202</v>
      </c>
      <c r="B128" t="s">
        <v>929</v>
      </c>
      <c r="C128" t="s">
        <v>930</v>
      </c>
      <c r="D128" t="s">
        <v>931</v>
      </c>
      <c r="E128" t="s">
        <v>847</v>
      </c>
      <c r="F128" s="37">
        <v>506350.95</v>
      </c>
      <c r="G128" t="s">
        <v>803</v>
      </c>
      <c r="H128" t="s">
        <v>808</v>
      </c>
    </row>
    <row r="129" spans="1:8" hidden="1">
      <c r="A129" s="74">
        <v>46091.371380127297</v>
      </c>
      <c r="B129" t="s">
        <v>932</v>
      </c>
      <c r="C129" t="s">
        <v>696</v>
      </c>
      <c r="D129" t="s">
        <v>933</v>
      </c>
      <c r="E129" t="s">
        <v>780</v>
      </c>
      <c r="F129" s="37">
        <v>111593.44</v>
      </c>
      <c r="G129" t="s">
        <v>803</v>
      </c>
      <c r="H129" t="s">
        <v>808</v>
      </c>
    </row>
    <row r="130" spans="1:8" hidden="1">
      <c r="A130" s="74">
        <v>46091.475044826402</v>
      </c>
      <c r="B130" t="s">
        <v>934</v>
      </c>
      <c r="C130" t="s">
        <v>207</v>
      </c>
      <c r="D130" t="s">
        <v>935</v>
      </c>
      <c r="E130" t="s">
        <v>781</v>
      </c>
      <c r="F130" s="37">
        <v>31799.977299999999</v>
      </c>
      <c r="G130" t="s">
        <v>803</v>
      </c>
      <c r="H130" t="s">
        <v>808</v>
      </c>
    </row>
    <row r="131" spans="1:8" hidden="1">
      <c r="A131" s="74">
        <v>46091.502018518499</v>
      </c>
      <c r="B131" t="s">
        <v>936</v>
      </c>
      <c r="D131" t="s">
        <v>937</v>
      </c>
      <c r="E131" t="s">
        <v>938</v>
      </c>
      <c r="F131" s="37">
        <v>419696.04249999998</v>
      </c>
      <c r="G131" t="s">
        <v>807</v>
      </c>
      <c r="H131" t="s">
        <v>808</v>
      </c>
    </row>
    <row r="132" spans="1:8" hidden="1">
      <c r="A132" s="74">
        <v>46092.556124456001</v>
      </c>
      <c r="B132" t="s">
        <v>939</v>
      </c>
      <c r="C132" t="s">
        <v>696</v>
      </c>
      <c r="D132" t="s">
        <v>940</v>
      </c>
      <c r="E132" t="s">
        <v>780</v>
      </c>
      <c r="F132" s="37">
        <v>119511.7</v>
      </c>
      <c r="G132" t="s">
        <v>803</v>
      </c>
      <c r="H132" t="s">
        <v>808</v>
      </c>
    </row>
    <row r="133" spans="1:8" hidden="1">
      <c r="A133" s="74">
        <v>46093.364912696801</v>
      </c>
      <c r="B133" t="s">
        <v>941</v>
      </c>
      <c r="C133" t="s">
        <v>82</v>
      </c>
      <c r="D133" t="s">
        <v>942</v>
      </c>
      <c r="E133" t="s">
        <v>786</v>
      </c>
      <c r="F133" s="37">
        <v>170432.99</v>
      </c>
      <c r="G133" t="s">
        <v>803</v>
      </c>
      <c r="H133" t="s">
        <v>808</v>
      </c>
    </row>
    <row r="134" spans="1:8" hidden="1">
      <c r="A134" s="74">
        <v>46093.447327395799</v>
      </c>
      <c r="B134" t="s">
        <v>943</v>
      </c>
      <c r="D134" t="s">
        <v>944</v>
      </c>
      <c r="E134" t="s">
        <v>781</v>
      </c>
      <c r="F134" s="37">
        <v>6023.5280000000002</v>
      </c>
      <c r="G134" t="s">
        <v>811</v>
      </c>
      <c r="H134" t="s">
        <v>808</v>
      </c>
    </row>
    <row r="135" spans="1:8" hidden="1">
      <c r="A135" s="74">
        <v>46093.447327395799</v>
      </c>
      <c r="B135" t="s">
        <v>943</v>
      </c>
      <c r="C135" t="s">
        <v>25</v>
      </c>
      <c r="D135" t="s">
        <v>944</v>
      </c>
      <c r="E135" t="s">
        <v>781</v>
      </c>
      <c r="F135" s="37">
        <v>6023.5280000000002</v>
      </c>
      <c r="G135" t="s">
        <v>811</v>
      </c>
      <c r="H135" t="s">
        <v>808</v>
      </c>
    </row>
    <row r="136" spans="1:8" hidden="1">
      <c r="A136" s="74">
        <v>46093.447327395799</v>
      </c>
      <c r="B136" t="s">
        <v>943</v>
      </c>
      <c r="C136" t="s">
        <v>29</v>
      </c>
      <c r="D136" t="s">
        <v>944</v>
      </c>
      <c r="E136" t="s">
        <v>781</v>
      </c>
      <c r="F136" s="37">
        <v>6023.5280000000002</v>
      </c>
      <c r="G136" t="s">
        <v>811</v>
      </c>
      <c r="H136" t="s">
        <v>808</v>
      </c>
    </row>
    <row r="137" spans="1:8">
      <c r="A137" s="74">
        <v>46093.447327395799</v>
      </c>
      <c r="B137" t="s">
        <v>943</v>
      </c>
      <c r="C137" t="s">
        <v>32</v>
      </c>
      <c r="D137" t="s">
        <v>944</v>
      </c>
      <c r="E137" t="s">
        <v>781</v>
      </c>
      <c r="F137" s="37">
        <v>6023.5280000000002</v>
      </c>
      <c r="G137" t="s">
        <v>811</v>
      </c>
      <c r="H137" t="s">
        <v>808</v>
      </c>
    </row>
    <row r="138" spans="1:8" hidden="1">
      <c r="A138" s="74">
        <v>46093.447327395799</v>
      </c>
      <c r="B138" t="s">
        <v>943</v>
      </c>
      <c r="D138" t="s">
        <v>944</v>
      </c>
      <c r="E138" t="s">
        <v>781</v>
      </c>
      <c r="F138" s="37">
        <v>6023.5280000000002</v>
      </c>
      <c r="G138" t="s">
        <v>811</v>
      </c>
      <c r="H138" t="s">
        <v>808</v>
      </c>
    </row>
    <row r="139" spans="1:8" hidden="1">
      <c r="A139" s="74">
        <v>46093.447327395799</v>
      </c>
      <c r="B139" t="s">
        <v>943</v>
      </c>
      <c r="C139" t="s">
        <v>36</v>
      </c>
      <c r="D139" t="s">
        <v>944</v>
      </c>
      <c r="E139" t="s">
        <v>781</v>
      </c>
      <c r="F139" s="37">
        <v>6023.5280000000002</v>
      </c>
      <c r="G139" t="s">
        <v>811</v>
      </c>
      <c r="H139" t="s">
        <v>808</v>
      </c>
    </row>
    <row r="140" spans="1:8" hidden="1">
      <c r="A140" s="74">
        <v>46093.447327395799</v>
      </c>
      <c r="B140" t="s">
        <v>943</v>
      </c>
      <c r="C140" t="s">
        <v>86</v>
      </c>
      <c r="D140" t="s">
        <v>944</v>
      </c>
      <c r="E140" t="s">
        <v>781</v>
      </c>
      <c r="F140" s="37">
        <v>6023.5280000000002</v>
      </c>
      <c r="G140" t="s">
        <v>811</v>
      </c>
      <c r="H140" t="s">
        <v>808</v>
      </c>
    </row>
    <row r="141" spans="1:8" hidden="1">
      <c r="A141" s="74">
        <v>46093.447327395799</v>
      </c>
      <c r="B141" t="s">
        <v>943</v>
      </c>
      <c r="C141" t="s">
        <v>89</v>
      </c>
      <c r="D141" t="s">
        <v>944</v>
      </c>
      <c r="E141" t="s">
        <v>781</v>
      </c>
      <c r="F141" s="37">
        <v>6023.5280000000002</v>
      </c>
      <c r="G141" t="s">
        <v>811</v>
      </c>
      <c r="H141" t="s">
        <v>808</v>
      </c>
    </row>
    <row r="142" spans="1:8" hidden="1">
      <c r="A142" s="74">
        <v>46093.447327395799</v>
      </c>
      <c r="B142" t="s">
        <v>943</v>
      </c>
      <c r="C142" t="s">
        <v>91</v>
      </c>
      <c r="D142" t="s">
        <v>944</v>
      </c>
      <c r="E142" t="s">
        <v>781</v>
      </c>
      <c r="F142" s="37">
        <v>6023.5280000000002</v>
      </c>
      <c r="G142" t="s">
        <v>811</v>
      </c>
      <c r="H142" t="s">
        <v>808</v>
      </c>
    </row>
    <row r="143" spans="1:8" hidden="1">
      <c r="A143" s="74">
        <v>46093.447327395799</v>
      </c>
      <c r="B143" t="s">
        <v>943</v>
      </c>
      <c r="C143" t="s">
        <v>93</v>
      </c>
      <c r="D143" t="s">
        <v>944</v>
      </c>
      <c r="E143" t="s">
        <v>781</v>
      </c>
      <c r="F143" s="37">
        <v>6023.5280000000002</v>
      </c>
      <c r="G143" t="s">
        <v>811</v>
      </c>
      <c r="H143" t="s">
        <v>808</v>
      </c>
    </row>
    <row r="144" spans="1:8" hidden="1">
      <c r="A144" s="74">
        <v>46093.447327395799</v>
      </c>
      <c r="B144" t="s">
        <v>943</v>
      </c>
      <c r="C144" t="s">
        <v>95</v>
      </c>
      <c r="D144" t="s">
        <v>944</v>
      </c>
      <c r="E144" t="s">
        <v>781</v>
      </c>
      <c r="F144" s="37">
        <v>6023.5280000000002</v>
      </c>
      <c r="G144" t="s">
        <v>811</v>
      </c>
      <c r="H144" t="s">
        <v>808</v>
      </c>
    </row>
    <row r="145" spans="1:8" hidden="1">
      <c r="A145" s="74">
        <v>46093.447327395799</v>
      </c>
      <c r="B145" t="s">
        <v>943</v>
      </c>
      <c r="C145" t="s">
        <v>166</v>
      </c>
      <c r="D145" t="s">
        <v>944</v>
      </c>
      <c r="E145" t="s">
        <v>781</v>
      </c>
      <c r="F145" s="37">
        <v>6023.5280000000002</v>
      </c>
      <c r="G145" t="s">
        <v>811</v>
      </c>
      <c r="H145" t="s">
        <v>808</v>
      </c>
    </row>
    <row r="146" spans="1:8" hidden="1">
      <c r="A146" s="74">
        <v>46093.447327395799</v>
      </c>
      <c r="B146" t="s">
        <v>943</v>
      </c>
      <c r="C146" t="s">
        <v>168</v>
      </c>
      <c r="D146" t="s">
        <v>944</v>
      </c>
      <c r="E146" t="s">
        <v>781</v>
      </c>
      <c r="F146" s="37">
        <v>6023.5280000000002</v>
      </c>
      <c r="G146" t="s">
        <v>811</v>
      </c>
      <c r="H146" t="s">
        <v>808</v>
      </c>
    </row>
    <row r="147" spans="1:8" hidden="1">
      <c r="A147" s="74">
        <v>46093.447327395799</v>
      </c>
      <c r="B147" t="s">
        <v>943</v>
      </c>
      <c r="C147" t="s">
        <v>170</v>
      </c>
      <c r="D147" t="s">
        <v>944</v>
      </c>
      <c r="E147" t="s">
        <v>781</v>
      </c>
      <c r="F147" s="37">
        <v>6023.5280000000002</v>
      </c>
      <c r="G147" t="s">
        <v>811</v>
      </c>
      <c r="H147" t="s">
        <v>808</v>
      </c>
    </row>
    <row r="148" spans="1:8" hidden="1">
      <c r="A148" s="74">
        <v>46093.447327395799</v>
      </c>
      <c r="B148" t="s">
        <v>943</v>
      </c>
      <c r="C148" t="s">
        <v>172</v>
      </c>
      <c r="D148" t="s">
        <v>944</v>
      </c>
      <c r="E148" t="s">
        <v>781</v>
      </c>
      <c r="F148" s="37">
        <v>6023.5280000000002</v>
      </c>
      <c r="G148" t="s">
        <v>811</v>
      </c>
      <c r="H148" t="s">
        <v>808</v>
      </c>
    </row>
    <row r="149" spans="1:8" hidden="1">
      <c r="A149" s="74">
        <v>46093.447327395799</v>
      </c>
      <c r="B149" t="s">
        <v>943</v>
      </c>
      <c r="C149" t="s">
        <v>174</v>
      </c>
      <c r="D149" t="s">
        <v>944</v>
      </c>
      <c r="E149" t="s">
        <v>781</v>
      </c>
      <c r="F149" s="37">
        <v>6023.5280000000002</v>
      </c>
      <c r="G149" t="s">
        <v>811</v>
      </c>
      <c r="H149" t="s">
        <v>808</v>
      </c>
    </row>
    <row r="150" spans="1:8" hidden="1">
      <c r="A150" s="74">
        <v>46093.447327395799</v>
      </c>
      <c r="B150" t="s">
        <v>943</v>
      </c>
      <c r="C150" t="s">
        <v>179</v>
      </c>
      <c r="D150" t="s">
        <v>944</v>
      </c>
      <c r="E150" t="s">
        <v>781</v>
      </c>
      <c r="F150" s="37">
        <v>6023.5280000000002</v>
      </c>
      <c r="G150" t="s">
        <v>811</v>
      </c>
      <c r="H150" t="s">
        <v>808</v>
      </c>
    </row>
    <row r="151" spans="1:8" hidden="1">
      <c r="A151" s="74">
        <v>46093.460116550901</v>
      </c>
      <c r="B151" t="s">
        <v>945</v>
      </c>
      <c r="D151" t="s">
        <v>946</v>
      </c>
      <c r="E151" t="s">
        <v>781</v>
      </c>
      <c r="F151" s="37">
        <v>8847.0535999999993</v>
      </c>
      <c r="G151" t="s">
        <v>811</v>
      </c>
      <c r="H151" t="s">
        <v>808</v>
      </c>
    </row>
    <row r="152" spans="1:8" hidden="1">
      <c r="A152" s="74">
        <v>46093.460116550901</v>
      </c>
      <c r="B152" t="s">
        <v>945</v>
      </c>
      <c r="C152" t="s">
        <v>25</v>
      </c>
      <c r="D152" t="s">
        <v>946</v>
      </c>
      <c r="E152" t="s">
        <v>781</v>
      </c>
      <c r="F152" s="37">
        <v>8847.0535999999993</v>
      </c>
      <c r="G152" t="s">
        <v>811</v>
      </c>
      <c r="H152" t="s">
        <v>808</v>
      </c>
    </row>
    <row r="153" spans="1:8" hidden="1">
      <c r="A153" s="74">
        <v>46093.460116550901</v>
      </c>
      <c r="B153" t="s">
        <v>945</v>
      </c>
      <c r="C153" t="s">
        <v>29</v>
      </c>
      <c r="D153" t="s">
        <v>946</v>
      </c>
      <c r="E153" t="s">
        <v>781</v>
      </c>
      <c r="F153" s="37">
        <v>8847.0535999999993</v>
      </c>
      <c r="G153" t="s">
        <v>811</v>
      </c>
      <c r="H153" t="s">
        <v>808</v>
      </c>
    </row>
    <row r="154" spans="1:8">
      <c r="A154" s="74">
        <v>46093.460116550901</v>
      </c>
      <c r="B154" t="s">
        <v>945</v>
      </c>
      <c r="C154" t="s">
        <v>32</v>
      </c>
      <c r="D154" t="s">
        <v>946</v>
      </c>
      <c r="E154" t="s">
        <v>781</v>
      </c>
      <c r="F154" s="37">
        <v>8847.0535999999993</v>
      </c>
      <c r="G154" t="s">
        <v>811</v>
      </c>
      <c r="H154" t="s">
        <v>808</v>
      </c>
    </row>
    <row r="155" spans="1:8" hidden="1">
      <c r="A155" s="74">
        <v>46093.460116550901</v>
      </c>
      <c r="B155" t="s">
        <v>945</v>
      </c>
      <c r="D155" t="s">
        <v>946</v>
      </c>
      <c r="E155" t="s">
        <v>781</v>
      </c>
      <c r="F155" s="37">
        <v>8847.0535999999993</v>
      </c>
      <c r="G155" t="s">
        <v>811</v>
      </c>
      <c r="H155" t="s">
        <v>808</v>
      </c>
    </row>
    <row r="156" spans="1:8" hidden="1">
      <c r="A156" s="74">
        <v>46093.460116550901</v>
      </c>
      <c r="B156" t="s">
        <v>945</v>
      </c>
      <c r="C156" t="s">
        <v>36</v>
      </c>
      <c r="D156" t="s">
        <v>946</v>
      </c>
      <c r="E156" t="s">
        <v>781</v>
      </c>
      <c r="F156" s="37">
        <v>8847.0535999999993</v>
      </c>
      <c r="G156" t="s">
        <v>811</v>
      </c>
      <c r="H156" t="s">
        <v>808</v>
      </c>
    </row>
    <row r="157" spans="1:8" hidden="1">
      <c r="A157" s="74">
        <v>46093.460116550901</v>
      </c>
      <c r="B157" t="s">
        <v>945</v>
      </c>
      <c r="C157" t="s">
        <v>86</v>
      </c>
      <c r="D157" t="s">
        <v>946</v>
      </c>
      <c r="E157" t="s">
        <v>781</v>
      </c>
      <c r="F157" s="37">
        <v>8847.0535999999993</v>
      </c>
      <c r="G157" t="s">
        <v>811</v>
      </c>
      <c r="H157" t="s">
        <v>808</v>
      </c>
    </row>
    <row r="158" spans="1:8" hidden="1">
      <c r="A158" s="74">
        <v>46093.460116550901</v>
      </c>
      <c r="B158" t="s">
        <v>945</v>
      </c>
      <c r="C158" t="s">
        <v>89</v>
      </c>
      <c r="D158" t="s">
        <v>946</v>
      </c>
      <c r="E158" t="s">
        <v>781</v>
      </c>
      <c r="F158" s="37">
        <v>8847.0535999999993</v>
      </c>
      <c r="G158" t="s">
        <v>811</v>
      </c>
      <c r="H158" t="s">
        <v>808</v>
      </c>
    </row>
    <row r="159" spans="1:8" hidden="1">
      <c r="A159" s="74">
        <v>46093.460116550901</v>
      </c>
      <c r="B159" t="s">
        <v>945</v>
      </c>
      <c r="C159" t="s">
        <v>91</v>
      </c>
      <c r="D159" t="s">
        <v>946</v>
      </c>
      <c r="E159" t="s">
        <v>781</v>
      </c>
      <c r="F159" s="37">
        <v>8847.0535999999993</v>
      </c>
      <c r="G159" t="s">
        <v>811</v>
      </c>
      <c r="H159" t="s">
        <v>808</v>
      </c>
    </row>
    <row r="160" spans="1:8" hidden="1">
      <c r="A160" s="74">
        <v>46093.460116550901</v>
      </c>
      <c r="B160" t="s">
        <v>945</v>
      </c>
      <c r="C160" t="s">
        <v>93</v>
      </c>
      <c r="D160" t="s">
        <v>946</v>
      </c>
      <c r="E160" t="s">
        <v>781</v>
      </c>
      <c r="F160" s="37">
        <v>8847.0535999999993</v>
      </c>
      <c r="G160" t="s">
        <v>811</v>
      </c>
      <c r="H160" t="s">
        <v>808</v>
      </c>
    </row>
    <row r="161" spans="1:8" hidden="1">
      <c r="A161" s="74">
        <v>46093.460116550901</v>
      </c>
      <c r="B161" t="s">
        <v>945</v>
      </c>
      <c r="C161" t="s">
        <v>95</v>
      </c>
      <c r="D161" t="s">
        <v>946</v>
      </c>
      <c r="E161" t="s">
        <v>781</v>
      </c>
      <c r="F161" s="37">
        <v>8847.0535999999993</v>
      </c>
      <c r="G161" t="s">
        <v>811</v>
      </c>
      <c r="H161" t="s">
        <v>808</v>
      </c>
    </row>
    <row r="162" spans="1:8" hidden="1">
      <c r="A162" s="74">
        <v>46093.460116550901</v>
      </c>
      <c r="B162" t="s">
        <v>945</v>
      </c>
      <c r="C162" t="s">
        <v>166</v>
      </c>
      <c r="D162" t="s">
        <v>946</v>
      </c>
      <c r="E162" t="s">
        <v>781</v>
      </c>
      <c r="F162" s="37">
        <v>8847.0535999999993</v>
      </c>
      <c r="G162" t="s">
        <v>811</v>
      </c>
      <c r="H162" t="s">
        <v>808</v>
      </c>
    </row>
    <row r="163" spans="1:8" hidden="1">
      <c r="A163" s="74">
        <v>46093.460116550901</v>
      </c>
      <c r="B163" t="s">
        <v>945</v>
      </c>
      <c r="C163" t="s">
        <v>168</v>
      </c>
      <c r="D163" t="s">
        <v>946</v>
      </c>
      <c r="E163" t="s">
        <v>781</v>
      </c>
      <c r="F163" s="37">
        <v>8847.0535999999993</v>
      </c>
      <c r="G163" t="s">
        <v>811</v>
      </c>
      <c r="H163" t="s">
        <v>808</v>
      </c>
    </row>
    <row r="164" spans="1:8" hidden="1">
      <c r="A164" s="74">
        <v>46093.460116550901</v>
      </c>
      <c r="B164" t="s">
        <v>945</v>
      </c>
      <c r="C164" t="s">
        <v>170</v>
      </c>
      <c r="D164" t="s">
        <v>946</v>
      </c>
      <c r="E164" t="s">
        <v>781</v>
      </c>
      <c r="F164" s="37">
        <v>8847.0535999999993</v>
      </c>
      <c r="G164" t="s">
        <v>811</v>
      </c>
      <c r="H164" t="s">
        <v>808</v>
      </c>
    </row>
    <row r="165" spans="1:8" hidden="1">
      <c r="A165" s="74">
        <v>46093.460116550901</v>
      </c>
      <c r="B165" t="s">
        <v>945</v>
      </c>
      <c r="C165" t="s">
        <v>172</v>
      </c>
      <c r="D165" t="s">
        <v>946</v>
      </c>
      <c r="E165" t="s">
        <v>781</v>
      </c>
      <c r="F165" s="37">
        <v>8847.0535999999993</v>
      </c>
      <c r="G165" t="s">
        <v>811</v>
      </c>
      <c r="H165" t="s">
        <v>808</v>
      </c>
    </row>
    <row r="166" spans="1:8" hidden="1">
      <c r="A166" s="74">
        <v>46093.460116550901</v>
      </c>
      <c r="B166" t="s">
        <v>945</v>
      </c>
      <c r="C166" t="s">
        <v>174</v>
      </c>
      <c r="D166" t="s">
        <v>946</v>
      </c>
      <c r="E166" t="s">
        <v>781</v>
      </c>
      <c r="F166" s="37">
        <v>8847.0535999999993</v>
      </c>
      <c r="G166" t="s">
        <v>811</v>
      </c>
      <c r="H166" t="s">
        <v>808</v>
      </c>
    </row>
    <row r="167" spans="1:8" hidden="1">
      <c r="A167" s="74">
        <v>46093.460116550901</v>
      </c>
      <c r="B167" t="s">
        <v>945</v>
      </c>
      <c r="C167" t="s">
        <v>179</v>
      </c>
      <c r="D167" t="s">
        <v>946</v>
      </c>
      <c r="E167" t="s">
        <v>781</v>
      </c>
      <c r="F167" s="37">
        <v>8847.0535999999993</v>
      </c>
      <c r="G167" t="s">
        <v>811</v>
      </c>
      <c r="H167" t="s">
        <v>808</v>
      </c>
    </row>
    <row r="168" spans="1:8" hidden="1">
      <c r="A168" s="74">
        <v>46093.467881979203</v>
      </c>
      <c r="B168" t="s">
        <v>947</v>
      </c>
      <c r="C168" t="s">
        <v>948</v>
      </c>
      <c r="D168" t="s">
        <v>949</v>
      </c>
      <c r="E168" t="s">
        <v>785</v>
      </c>
      <c r="F168" s="37">
        <v>300335.77</v>
      </c>
      <c r="G168" t="s">
        <v>803</v>
      </c>
      <c r="H168" t="s">
        <v>808</v>
      </c>
    </row>
    <row r="169" spans="1:8" hidden="1">
      <c r="A169" s="74">
        <v>46093.472586689801</v>
      </c>
      <c r="B169" t="s">
        <v>950</v>
      </c>
      <c r="C169" t="s">
        <v>623</v>
      </c>
      <c r="D169" t="s">
        <v>951</v>
      </c>
      <c r="E169" t="s">
        <v>781</v>
      </c>
      <c r="F169" s="37">
        <v>38549.9</v>
      </c>
      <c r="G169" t="s">
        <v>807</v>
      </c>
      <c r="H169" t="s">
        <v>808</v>
      </c>
    </row>
    <row r="170" spans="1:8" hidden="1">
      <c r="A170" s="74">
        <v>46093.485688888897</v>
      </c>
      <c r="B170" t="s">
        <v>952</v>
      </c>
      <c r="C170" t="s">
        <v>42</v>
      </c>
      <c r="D170" t="s">
        <v>953</v>
      </c>
      <c r="E170" t="s">
        <v>786</v>
      </c>
      <c r="F170" s="37">
        <v>170432.99</v>
      </c>
      <c r="G170" t="s">
        <v>803</v>
      </c>
      <c r="H170" t="s">
        <v>808</v>
      </c>
    </row>
    <row r="171" spans="1:8" hidden="1">
      <c r="A171" s="74">
        <v>46093.625469872699</v>
      </c>
      <c r="B171" t="s">
        <v>954</v>
      </c>
      <c r="C171" t="s">
        <v>696</v>
      </c>
      <c r="D171" t="s">
        <v>955</v>
      </c>
      <c r="E171" t="s">
        <v>781</v>
      </c>
      <c r="F171" s="37">
        <v>397399.97639999999</v>
      </c>
      <c r="G171" t="s">
        <v>803</v>
      </c>
      <c r="H171" t="s">
        <v>808</v>
      </c>
    </row>
    <row r="172" spans="1:8" hidden="1">
      <c r="A172" s="74">
        <v>46093.632126932898</v>
      </c>
      <c r="B172" t="s">
        <v>956</v>
      </c>
      <c r="C172" t="s">
        <v>280</v>
      </c>
      <c r="D172" t="s">
        <v>957</v>
      </c>
      <c r="E172" t="s">
        <v>785</v>
      </c>
      <c r="F172" s="37">
        <v>397094.67</v>
      </c>
      <c r="G172" t="s">
        <v>803</v>
      </c>
      <c r="H172" t="s">
        <v>808</v>
      </c>
    </row>
    <row r="173" spans="1:8" hidden="1">
      <c r="A173" s="74">
        <v>46093.6329742245</v>
      </c>
      <c r="B173" t="s">
        <v>958</v>
      </c>
      <c r="C173" t="s">
        <v>262</v>
      </c>
      <c r="D173" t="s">
        <v>959</v>
      </c>
      <c r="E173" t="s">
        <v>785</v>
      </c>
      <c r="F173" s="37">
        <v>360959.13</v>
      </c>
      <c r="G173" t="s">
        <v>803</v>
      </c>
      <c r="H173" t="s">
        <v>808</v>
      </c>
    </row>
    <row r="174" spans="1:8" hidden="1">
      <c r="A174" s="74">
        <v>46093.649381215298</v>
      </c>
      <c r="B174" t="s">
        <v>960</v>
      </c>
      <c r="C174" t="s">
        <v>175</v>
      </c>
      <c r="D174" t="s">
        <v>961</v>
      </c>
      <c r="E174" t="s">
        <v>786</v>
      </c>
      <c r="F174" s="37">
        <v>170432.99</v>
      </c>
      <c r="G174" t="s">
        <v>803</v>
      </c>
      <c r="H174" t="s">
        <v>808</v>
      </c>
    </row>
    <row r="175" spans="1:8" hidden="1">
      <c r="A175" s="42">
        <v>46093.717566053201</v>
      </c>
      <c r="B175" s="43" t="s">
        <v>962</v>
      </c>
      <c r="C175" s="43" t="s">
        <v>252</v>
      </c>
      <c r="D175" s="43" t="s">
        <v>963</v>
      </c>
      <c r="E175" s="43" t="s">
        <v>781</v>
      </c>
      <c r="F175" s="45">
        <v>319799.99310000002</v>
      </c>
      <c r="G175" s="43" t="s">
        <v>803</v>
      </c>
      <c r="H175" s="43" t="s">
        <v>808</v>
      </c>
    </row>
    <row r="176" spans="1:8" hidden="1">
      <c r="A176" s="42">
        <v>46093.724767326399</v>
      </c>
      <c r="B176" s="43" t="s">
        <v>964</v>
      </c>
      <c r="C176" s="43" t="s">
        <v>238</v>
      </c>
      <c r="D176" s="43" t="s">
        <v>965</v>
      </c>
      <c r="E176" s="43" t="s">
        <v>780</v>
      </c>
      <c r="F176" s="45">
        <v>559290.48</v>
      </c>
      <c r="G176" s="43" t="s">
        <v>803</v>
      </c>
      <c r="H176" s="43" t="s">
        <v>808</v>
      </c>
    </row>
    <row r="177" spans="1:8" hidden="1">
      <c r="A177" s="42">
        <v>46094.669263854201</v>
      </c>
      <c r="B177" s="43" t="s">
        <v>966</v>
      </c>
      <c r="C177" s="43" t="s">
        <v>386</v>
      </c>
      <c r="D177" s="43" t="s">
        <v>967</v>
      </c>
      <c r="E177" s="43" t="s">
        <v>781</v>
      </c>
      <c r="F177" s="45">
        <v>89099.976699999999</v>
      </c>
      <c r="G177" s="43" t="s">
        <v>803</v>
      </c>
      <c r="H177" s="43" t="s">
        <v>968</v>
      </c>
    </row>
    <row r="178" spans="1:8" ht="15.75" hidden="1" customHeight="1">
      <c r="A178" s="42">
        <v>46098</v>
      </c>
      <c r="B178" s="44" t="s">
        <v>969</v>
      </c>
      <c r="C178" s="43"/>
      <c r="D178" s="43" t="s">
        <v>970</v>
      </c>
      <c r="E178" s="43" t="s">
        <v>780</v>
      </c>
      <c r="F178" s="37">
        <v>238478.38</v>
      </c>
      <c r="G178" s="43" t="s">
        <v>803</v>
      </c>
      <c r="H178" s="43" t="s">
        <v>808</v>
      </c>
    </row>
    <row r="179" spans="1:8" ht="15.75" hidden="1" customHeight="1">
      <c r="A179" s="42">
        <v>46098</v>
      </c>
      <c r="B179" s="44" t="s">
        <v>971</v>
      </c>
      <c r="C179" s="43"/>
      <c r="D179" s="43" t="s">
        <v>972</v>
      </c>
      <c r="E179" s="43" t="s">
        <v>785</v>
      </c>
      <c r="F179" s="37">
        <v>360959.13</v>
      </c>
      <c r="G179" s="43" t="s">
        <v>803</v>
      </c>
      <c r="H179" s="43" t="s">
        <v>973</v>
      </c>
    </row>
    <row r="180" spans="1:8" ht="15.75" hidden="1" customHeight="1">
      <c r="A180" s="42">
        <v>46098</v>
      </c>
      <c r="B180" s="44" t="s">
        <v>974</v>
      </c>
      <c r="C180" s="43" t="s">
        <v>626</v>
      </c>
      <c r="D180" s="43" t="s">
        <v>975</v>
      </c>
      <c r="E180" s="43" t="s">
        <v>781</v>
      </c>
      <c r="F180" s="37">
        <v>38549.9</v>
      </c>
      <c r="G180" s="43" t="s">
        <v>803</v>
      </c>
      <c r="H180" s="43" t="s">
        <v>808</v>
      </c>
    </row>
    <row r="181" spans="1:8" ht="15.75" hidden="1" customHeight="1">
      <c r="A181" s="42">
        <v>46099</v>
      </c>
      <c r="B181" s="44" t="s">
        <v>976</v>
      </c>
      <c r="C181" s="43" t="s">
        <v>419</v>
      </c>
      <c r="D181" s="43" t="s">
        <v>977</v>
      </c>
      <c r="E181" s="43" t="s">
        <v>783</v>
      </c>
      <c r="F181" s="45">
        <v>228128.95</v>
      </c>
      <c r="G181" s="43" t="s">
        <v>803</v>
      </c>
      <c r="H181" s="43" t="s">
        <v>821</v>
      </c>
    </row>
    <row r="182" spans="1:8" ht="15.75" hidden="1" customHeight="1">
      <c r="A182" s="42">
        <v>46099</v>
      </c>
      <c r="B182" s="44" t="s">
        <v>978</v>
      </c>
      <c r="C182" s="43" t="s">
        <v>96</v>
      </c>
      <c r="D182" s="43" t="s">
        <v>979</v>
      </c>
      <c r="E182" s="43" t="s">
        <v>785</v>
      </c>
      <c r="F182" s="45">
        <v>103590.69</v>
      </c>
      <c r="G182" s="43" t="s">
        <v>803</v>
      </c>
      <c r="H182" s="43" t="s">
        <v>968</v>
      </c>
    </row>
    <row r="183" spans="1:8" ht="15.75" hidden="1" customHeight="1">
      <c r="A183" s="42">
        <v>46100</v>
      </c>
      <c r="B183" s="44" t="s">
        <v>980</v>
      </c>
      <c r="C183" s="43" t="s">
        <v>227</v>
      </c>
      <c r="D183" s="43" t="s">
        <v>981</v>
      </c>
      <c r="E183" s="43" t="s">
        <v>781</v>
      </c>
      <c r="F183" s="45">
        <v>91699.98</v>
      </c>
      <c r="G183" s="43" t="s">
        <v>803</v>
      </c>
      <c r="H183" s="43" t="s">
        <v>808</v>
      </c>
    </row>
    <row r="184" spans="1:8" ht="15.75" hidden="1" customHeight="1">
      <c r="A184" s="42">
        <v>46100</v>
      </c>
      <c r="B184" s="44" t="s">
        <v>982</v>
      </c>
      <c r="C184" s="43"/>
      <c r="D184" s="43" t="s">
        <v>983</v>
      </c>
      <c r="E184" s="43" t="s">
        <v>881</v>
      </c>
      <c r="F184" s="45">
        <v>85871.59</v>
      </c>
      <c r="G184" s="43"/>
      <c r="H184" s="43" t="s">
        <v>808</v>
      </c>
    </row>
    <row r="185" spans="1:8" ht="15.75" hidden="1" customHeight="1">
      <c r="A185" s="42">
        <v>46100</v>
      </c>
      <c r="B185" s="44" t="s">
        <v>984</v>
      </c>
      <c r="C185" s="43" t="s">
        <v>363</v>
      </c>
      <c r="D185" s="43" t="s">
        <v>985</v>
      </c>
      <c r="E185" s="43" t="s">
        <v>780</v>
      </c>
      <c r="F185" s="45">
        <v>68582.080000000002</v>
      </c>
      <c r="G185" s="43" t="s">
        <v>803</v>
      </c>
      <c r="H185" s="43" t="s">
        <v>808</v>
      </c>
    </row>
    <row r="186" spans="1:8" ht="15.75" hidden="1" customHeight="1">
      <c r="A186" s="42">
        <v>46100</v>
      </c>
      <c r="B186" s="44" t="s">
        <v>986</v>
      </c>
      <c r="C186" s="43" t="s">
        <v>201</v>
      </c>
      <c r="D186" s="43" t="s">
        <v>987</v>
      </c>
      <c r="E186" s="43" t="s">
        <v>780</v>
      </c>
      <c r="F186" s="45">
        <v>149298.59</v>
      </c>
      <c r="G186" s="43" t="s">
        <v>803</v>
      </c>
      <c r="H186" s="43" t="s">
        <v>808</v>
      </c>
    </row>
    <row r="187" spans="1:8" ht="15.75" hidden="1" customHeight="1">
      <c r="A187" s="42">
        <v>46100</v>
      </c>
      <c r="B187" s="44" t="s">
        <v>988</v>
      </c>
      <c r="C187" s="43" t="s">
        <v>340</v>
      </c>
      <c r="D187" s="43" t="s">
        <v>989</v>
      </c>
      <c r="E187" s="43" t="s">
        <v>783</v>
      </c>
      <c r="F187" s="45">
        <v>228336.01</v>
      </c>
      <c r="G187" s="43" t="s">
        <v>803</v>
      </c>
      <c r="H187" s="43" t="s">
        <v>808</v>
      </c>
    </row>
    <row r="188" spans="1:8" ht="15.75" hidden="1" customHeight="1">
      <c r="A188" s="42">
        <v>46100</v>
      </c>
      <c r="B188" s="44" t="s">
        <v>990</v>
      </c>
      <c r="C188" s="43" t="s">
        <v>68</v>
      </c>
      <c r="D188" s="43" t="s">
        <v>991</v>
      </c>
      <c r="E188" s="43" t="s">
        <v>785</v>
      </c>
      <c r="F188" s="45">
        <v>121145.57</v>
      </c>
      <c r="G188" s="43" t="s">
        <v>803</v>
      </c>
      <c r="H188" s="43" t="s">
        <v>808</v>
      </c>
    </row>
    <row r="189" spans="1:8" ht="15.75" hidden="1" customHeight="1">
      <c r="A189" s="42">
        <v>46100</v>
      </c>
      <c r="B189" s="44" t="s">
        <v>992</v>
      </c>
      <c r="C189" s="43" t="s">
        <v>419</v>
      </c>
      <c r="D189" s="43" t="s">
        <v>993</v>
      </c>
      <c r="E189" s="43" t="s">
        <v>781</v>
      </c>
      <c r="F189" s="45">
        <v>234799.89</v>
      </c>
      <c r="G189" s="43" t="s">
        <v>803</v>
      </c>
      <c r="H189" s="43" t="s">
        <v>808</v>
      </c>
    </row>
    <row r="190" spans="1:8" ht="15.75" hidden="1" customHeight="1">
      <c r="A190" s="42">
        <v>46100</v>
      </c>
      <c r="B190" s="44" t="s">
        <v>994</v>
      </c>
      <c r="C190" s="43" t="s">
        <v>647</v>
      </c>
      <c r="D190" s="43" t="s">
        <v>995</v>
      </c>
      <c r="E190" s="43" t="s">
        <v>785</v>
      </c>
      <c r="F190" s="45">
        <v>392089.53</v>
      </c>
      <c r="G190" s="43" t="s">
        <v>803</v>
      </c>
      <c r="H190" s="43" t="s">
        <v>808</v>
      </c>
    </row>
    <row r="191" spans="1:8" ht="15.75" hidden="1" customHeight="1">
      <c r="A191" s="42">
        <v>46100</v>
      </c>
      <c r="B191" s="44" t="s">
        <v>996</v>
      </c>
      <c r="C191" s="43" t="s">
        <v>559</v>
      </c>
      <c r="D191" s="43" t="s">
        <v>997</v>
      </c>
      <c r="E191" s="43" t="s">
        <v>785</v>
      </c>
      <c r="F191" s="45">
        <v>440390.44</v>
      </c>
      <c r="G191" s="43" t="s">
        <v>803</v>
      </c>
      <c r="H191" s="43" t="s">
        <v>808</v>
      </c>
    </row>
    <row r="192" spans="1:8" ht="15.75" hidden="1" customHeight="1">
      <c r="A192" s="42">
        <v>46100</v>
      </c>
      <c r="B192" s="44" t="s">
        <v>998</v>
      </c>
      <c r="C192" s="43" t="s">
        <v>540</v>
      </c>
      <c r="D192" s="43" t="s">
        <v>999</v>
      </c>
      <c r="E192" s="43" t="s">
        <v>785</v>
      </c>
      <c r="F192" s="45">
        <v>580385.61</v>
      </c>
      <c r="G192" s="43" t="s">
        <v>803</v>
      </c>
      <c r="H192" s="43" t="s">
        <v>808</v>
      </c>
    </row>
    <row r="193" spans="1:8" ht="15.75" hidden="1" customHeight="1">
      <c r="A193" s="42">
        <v>46101</v>
      </c>
      <c r="B193" s="44" t="s">
        <v>1000</v>
      </c>
      <c r="C193" s="43" t="s">
        <v>345</v>
      </c>
      <c r="D193" s="43" t="s">
        <v>1001</v>
      </c>
      <c r="E193" s="43" t="s">
        <v>781</v>
      </c>
      <c r="F193" s="45">
        <v>164899.99</v>
      </c>
      <c r="G193" s="43" t="s">
        <v>803</v>
      </c>
      <c r="H193" s="43" t="s">
        <v>808</v>
      </c>
    </row>
    <row r="194" spans="1:8">
      <c r="A194" s="42">
        <v>46104.379210416701</v>
      </c>
      <c r="B194" s="46" t="s">
        <v>1002</v>
      </c>
      <c r="C194" s="43" t="s">
        <v>282</v>
      </c>
      <c r="D194" s="47" t="s">
        <v>1003</v>
      </c>
      <c r="E194" s="52" t="s">
        <v>781</v>
      </c>
      <c r="F194" s="37">
        <v>110299.9814</v>
      </c>
      <c r="G194" s="43" t="s">
        <v>803</v>
      </c>
      <c r="H194" s="44" t="s">
        <v>808</v>
      </c>
    </row>
    <row r="195" spans="1:8" ht="15" hidden="1" customHeight="1">
      <c r="A195" s="42">
        <v>46104.427122835601</v>
      </c>
      <c r="B195" s="46" t="s">
        <v>1004</v>
      </c>
      <c r="C195" s="43" t="s">
        <v>623</v>
      </c>
      <c r="D195" s="47" t="s">
        <v>1005</v>
      </c>
      <c r="E195" s="52" t="s">
        <v>781</v>
      </c>
      <c r="F195" s="37">
        <v>23599.960999999999</v>
      </c>
      <c r="G195" s="43" t="s">
        <v>803</v>
      </c>
      <c r="H195" s="44" t="s">
        <v>808</v>
      </c>
    </row>
    <row r="196" spans="1:8" ht="15" hidden="1" customHeight="1">
      <c r="A196" s="42">
        <v>46104.430481481497</v>
      </c>
      <c r="B196" s="46" t="s">
        <v>1006</v>
      </c>
      <c r="C196" s="43" t="s">
        <v>398</v>
      </c>
      <c r="D196" s="47" t="s">
        <v>1007</v>
      </c>
      <c r="E196" s="52" t="s">
        <v>781</v>
      </c>
      <c r="F196" s="37">
        <v>14500.15</v>
      </c>
      <c r="G196" s="43" t="s">
        <v>803</v>
      </c>
      <c r="H196" s="44" t="s">
        <v>808</v>
      </c>
    </row>
    <row r="197" spans="1:8" ht="15" hidden="1" customHeight="1">
      <c r="A197" s="42">
        <v>46104.470781678203</v>
      </c>
      <c r="B197" s="46" t="s">
        <v>1008</v>
      </c>
      <c r="C197" s="43" t="s">
        <v>426</v>
      </c>
      <c r="D197" s="47" t="s">
        <v>1009</v>
      </c>
      <c r="E197" s="52" t="s">
        <v>1010</v>
      </c>
      <c r="F197" s="37">
        <v>99901.69</v>
      </c>
      <c r="G197" s="43" t="s">
        <v>803</v>
      </c>
      <c r="H197" s="44" t="s">
        <v>1011</v>
      </c>
    </row>
    <row r="198" spans="1:8" ht="15" hidden="1" customHeight="1">
      <c r="A198" s="42">
        <v>46104.621280289401</v>
      </c>
      <c r="B198" s="46" t="s">
        <v>1012</v>
      </c>
      <c r="C198" s="43" t="s">
        <v>150</v>
      </c>
      <c r="D198" s="47" t="s">
        <v>1013</v>
      </c>
      <c r="E198" s="52" t="s">
        <v>781</v>
      </c>
      <c r="F198" s="37">
        <v>381399.96230000001</v>
      </c>
      <c r="G198" s="43" t="s">
        <v>803</v>
      </c>
      <c r="H198" s="44" t="s">
        <v>808</v>
      </c>
    </row>
    <row r="199" spans="1:8" ht="15" hidden="1" customHeight="1">
      <c r="A199" s="42">
        <v>46104.729813854203</v>
      </c>
      <c r="B199" s="46" t="s">
        <v>1014</v>
      </c>
      <c r="C199" s="43" t="s">
        <v>248</v>
      </c>
      <c r="D199" s="47" t="s">
        <v>1015</v>
      </c>
      <c r="E199" s="52" t="s">
        <v>780</v>
      </c>
      <c r="F199" s="37">
        <v>77369.039999999994</v>
      </c>
      <c r="G199" s="43"/>
      <c r="H199" s="44" t="s">
        <v>808</v>
      </c>
    </row>
    <row r="200" spans="1:8" ht="15" hidden="1" customHeight="1">
      <c r="A200" s="42">
        <v>46104.734478391198</v>
      </c>
      <c r="B200" s="46" t="s">
        <v>1016</v>
      </c>
      <c r="C200" s="43" t="s">
        <v>128</v>
      </c>
      <c r="D200" s="47" t="s">
        <v>1017</v>
      </c>
      <c r="E200" s="52" t="s">
        <v>780</v>
      </c>
      <c r="F200" s="37">
        <v>305483.71000000002</v>
      </c>
      <c r="G200" s="43" t="s">
        <v>803</v>
      </c>
      <c r="H200" s="44" t="s">
        <v>808</v>
      </c>
    </row>
    <row r="201" spans="1:8" ht="15" hidden="1" customHeight="1">
      <c r="A201" s="51">
        <v>46105</v>
      </c>
      <c r="B201" s="52" t="s">
        <v>1018</v>
      </c>
      <c r="C201" t="s">
        <v>210</v>
      </c>
      <c r="D201" s="52" t="s">
        <v>1019</v>
      </c>
      <c r="E201" s="52" t="s">
        <v>780</v>
      </c>
      <c r="F201" s="37" t="s">
        <v>1020</v>
      </c>
      <c r="G201" s="43" t="s">
        <v>803</v>
      </c>
      <c r="H201" s="44" t="s">
        <v>808</v>
      </c>
    </row>
    <row r="202" spans="1:8" ht="15" hidden="1" customHeight="1">
      <c r="A202" s="51">
        <v>46105</v>
      </c>
      <c r="B202" s="52" t="s">
        <v>1021</v>
      </c>
      <c r="C202" t="s">
        <v>363</v>
      </c>
      <c r="D202" s="52" t="s">
        <v>1022</v>
      </c>
      <c r="E202" s="52" t="s">
        <v>1023</v>
      </c>
      <c r="F202" s="37" t="s">
        <v>1024</v>
      </c>
      <c r="G202" s="43" t="s">
        <v>803</v>
      </c>
      <c r="H202" s="44" t="s">
        <v>808</v>
      </c>
    </row>
    <row r="203" spans="1:8" ht="15" hidden="1" customHeight="1">
      <c r="A203" s="51">
        <v>46105</v>
      </c>
      <c r="B203" s="52" t="s">
        <v>1025</v>
      </c>
      <c r="C203" t="s">
        <v>536</v>
      </c>
      <c r="D203" s="52" t="s">
        <v>1026</v>
      </c>
      <c r="E203" s="52" t="s">
        <v>785</v>
      </c>
      <c r="F203" s="37" t="s">
        <v>1027</v>
      </c>
      <c r="G203" s="43" t="s">
        <v>803</v>
      </c>
      <c r="H203" s="44" t="s">
        <v>808</v>
      </c>
    </row>
    <row r="204" spans="1:8" ht="15" hidden="1" customHeight="1">
      <c r="A204" s="51">
        <v>46105</v>
      </c>
      <c r="B204" s="52" t="s">
        <v>1028</v>
      </c>
      <c r="C204" t="s">
        <v>488</v>
      </c>
      <c r="D204" s="52" t="s">
        <v>1029</v>
      </c>
      <c r="E204" s="52" t="s">
        <v>1030</v>
      </c>
      <c r="F204" s="37" t="s">
        <v>1031</v>
      </c>
      <c r="G204" s="43" t="s">
        <v>803</v>
      </c>
      <c r="H204" s="44" t="s">
        <v>808</v>
      </c>
    </row>
    <row r="205" spans="1:8" ht="15" hidden="1" customHeight="1">
      <c r="A205" s="42">
        <v>46105.629484409699</v>
      </c>
      <c r="B205" s="46" t="s">
        <v>1025</v>
      </c>
      <c r="C205" s="43" t="s">
        <v>536</v>
      </c>
      <c r="D205" s="47" t="s">
        <v>1026</v>
      </c>
      <c r="E205" s="52" t="s">
        <v>785</v>
      </c>
      <c r="F205" s="37">
        <v>831174.54</v>
      </c>
      <c r="G205" s="43" t="s">
        <v>803</v>
      </c>
      <c r="H205" s="44" t="s">
        <v>808</v>
      </c>
    </row>
    <row r="206" spans="1:8" ht="15" hidden="1" customHeight="1">
      <c r="A206" s="42">
        <v>46105.635110648102</v>
      </c>
      <c r="B206" s="46" t="s">
        <v>1018</v>
      </c>
      <c r="C206" s="43" t="s">
        <v>210</v>
      </c>
      <c r="D206" s="47" t="s">
        <v>1019</v>
      </c>
      <c r="E206" s="52" t="s">
        <v>780</v>
      </c>
      <c r="F206" s="37">
        <v>126877.8</v>
      </c>
      <c r="G206" s="43" t="s">
        <v>803</v>
      </c>
      <c r="H206" s="44" t="s">
        <v>808</v>
      </c>
    </row>
    <row r="207" spans="1:8" ht="15" hidden="1" customHeight="1">
      <c r="A207" s="42">
        <v>46105.635110648102</v>
      </c>
      <c r="B207" s="46" t="s">
        <v>1021</v>
      </c>
      <c r="C207" s="43" t="s">
        <v>363</v>
      </c>
      <c r="D207" s="47" t="s">
        <v>1022</v>
      </c>
      <c r="E207" s="52" t="s">
        <v>783</v>
      </c>
      <c r="F207" s="37">
        <v>55490.89</v>
      </c>
      <c r="G207" s="43" t="s">
        <v>803</v>
      </c>
      <c r="H207" s="44" t="s">
        <v>821</v>
      </c>
    </row>
    <row r="208" spans="1:8" ht="15" hidden="1" customHeight="1">
      <c r="A208" s="51">
        <v>46106</v>
      </c>
      <c r="B208" s="52" t="s">
        <v>1032</v>
      </c>
      <c r="C208" t="s">
        <v>442</v>
      </c>
      <c r="D208" s="52" t="s">
        <v>1033</v>
      </c>
      <c r="E208" s="52" t="s">
        <v>785</v>
      </c>
      <c r="F208" s="37" t="s">
        <v>1034</v>
      </c>
      <c r="G208" s="43" t="s">
        <v>803</v>
      </c>
      <c r="H208" s="44" t="s">
        <v>808</v>
      </c>
    </row>
    <row r="209" spans="1:8" ht="15" hidden="1" customHeight="1">
      <c r="A209" s="51">
        <v>46106</v>
      </c>
      <c r="B209" s="52" t="s">
        <v>1035</v>
      </c>
      <c r="C209" t="s">
        <v>452</v>
      </c>
      <c r="D209" s="52" t="s">
        <v>1036</v>
      </c>
      <c r="E209" s="52" t="s">
        <v>820</v>
      </c>
      <c r="F209" s="37"/>
      <c r="G209" s="43"/>
      <c r="H209" s="44" t="s">
        <v>808</v>
      </c>
    </row>
    <row r="210" spans="1:8" ht="15" hidden="1" customHeight="1">
      <c r="A210" s="51">
        <v>46106</v>
      </c>
      <c r="B210" s="52" t="s">
        <v>1035</v>
      </c>
      <c r="C210" t="s">
        <v>295</v>
      </c>
      <c r="D210" s="52" t="s">
        <v>1036</v>
      </c>
      <c r="E210" s="52" t="s">
        <v>820</v>
      </c>
      <c r="F210" s="37" t="s">
        <v>1037</v>
      </c>
      <c r="G210" s="43"/>
      <c r="H210" s="44" t="s">
        <v>808</v>
      </c>
    </row>
    <row r="211" spans="1:8" ht="15" hidden="1" customHeight="1">
      <c r="A211" s="51">
        <v>46106</v>
      </c>
      <c r="B211" s="52" t="s">
        <v>1038</v>
      </c>
      <c r="C211" t="s">
        <v>422</v>
      </c>
      <c r="D211" s="52" t="s">
        <v>1039</v>
      </c>
      <c r="E211" s="52" t="s">
        <v>820</v>
      </c>
      <c r="F211" s="37"/>
      <c r="G211" s="43"/>
      <c r="H211" s="44" t="s">
        <v>808</v>
      </c>
    </row>
    <row r="212" spans="1:8" ht="15" hidden="1" customHeight="1">
      <c r="A212" s="51">
        <v>46106</v>
      </c>
      <c r="B212" s="52" t="s">
        <v>1038</v>
      </c>
      <c r="C212" t="s">
        <v>429</v>
      </c>
      <c r="D212" s="52" t="s">
        <v>1039</v>
      </c>
      <c r="E212" s="52" t="s">
        <v>820</v>
      </c>
      <c r="F212" s="37" t="s">
        <v>1040</v>
      </c>
      <c r="G212" s="43"/>
      <c r="H212" s="44" t="s">
        <v>808</v>
      </c>
    </row>
    <row r="213" spans="1:8" ht="15" hidden="1" customHeight="1">
      <c r="A213" s="51">
        <v>46111</v>
      </c>
      <c r="B213" s="52" t="s">
        <v>1041</v>
      </c>
      <c r="C213" t="s">
        <v>558</v>
      </c>
      <c r="D213" s="52" t="s">
        <v>1042</v>
      </c>
      <c r="E213" s="52" t="s">
        <v>785</v>
      </c>
      <c r="F213" s="37" t="s">
        <v>1043</v>
      </c>
      <c r="G213" s="43" t="s">
        <v>803</v>
      </c>
      <c r="H213" s="44" t="s">
        <v>808</v>
      </c>
    </row>
    <row r="214" spans="1:8" ht="15" hidden="1" customHeight="1">
      <c r="A214" s="51">
        <v>46111</v>
      </c>
      <c r="B214" s="52" t="s">
        <v>1044</v>
      </c>
      <c r="C214" t="s">
        <v>304</v>
      </c>
      <c r="D214" s="52" t="s">
        <v>1045</v>
      </c>
      <c r="E214" s="52" t="s">
        <v>1010</v>
      </c>
      <c r="F214" s="37">
        <v>775405.19</v>
      </c>
      <c r="G214" s="43" t="s">
        <v>803</v>
      </c>
      <c r="H214" s="44" t="s">
        <v>808</v>
      </c>
    </row>
    <row r="215" spans="1:8" ht="15" hidden="1" customHeight="1">
      <c r="A215" s="51">
        <v>46113</v>
      </c>
      <c r="B215" s="52" t="s">
        <v>1046</v>
      </c>
      <c r="C215" t="s">
        <v>234</v>
      </c>
      <c r="D215" s="52" t="s">
        <v>1047</v>
      </c>
      <c r="E215" s="52" t="s">
        <v>781</v>
      </c>
      <c r="F215" s="37" t="s">
        <v>1048</v>
      </c>
      <c r="G215" s="43" t="s">
        <v>803</v>
      </c>
      <c r="H215" s="44" t="s">
        <v>808</v>
      </c>
    </row>
    <row r="216" spans="1:8" ht="15" hidden="1" customHeight="1">
      <c r="A216" s="51">
        <v>46113</v>
      </c>
      <c r="B216" s="52" t="s">
        <v>1049</v>
      </c>
      <c r="C216" t="s">
        <v>410</v>
      </c>
      <c r="D216" s="52" t="s">
        <v>1050</v>
      </c>
      <c r="E216" s="52" t="s">
        <v>1051</v>
      </c>
      <c r="F216" s="37" t="s">
        <v>1052</v>
      </c>
      <c r="G216" s="43" t="s">
        <v>803</v>
      </c>
      <c r="H216" s="44" t="s">
        <v>808</v>
      </c>
    </row>
    <row r="217" spans="1:8" ht="15" hidden="1" customHeight="1">
      <c r="A217" s="51">
        <v>46114</v>
      </c>
      <c r="B217" s="52" t="s">
        <v>1053</v>
      </c>
      <c r="D217" s="52" t="s">
        <v>1054</v>
      </c>
      <c r="E217" s="52" t="s">
        <v>785</v>
      </c>
      <c r="F217" s="37" t="s">
        <v>1055</v>
      </c>
      <c r="G217" s="43"/>
      <c r="H217" s="44" t="s">
        <v>808</v>
      </c>
    </row>
    <row r="218" spans="1:8" ht="15" hidden="1" customHeight="1">
      <c r="A218" s="51">
        <v>46114</v>
      </c>
      <c r="B218" s="52" t="s">
        <v>1056</v>
      </c>
      <c r="C218" t="s">
        <v>252</v>
      </c>
      <c r="D218" s="52" t="s">
        <v>1057</v>
      </c>
      <c r="E218" s="52" t="s">
        <v>781</v>
      </c>
      <c r="F218" s="37" t="s">
        <v>1058</v>
      </c>
      <c r="G218" s="43" t="s">
        <v>803</v>
      </c>
      <c r="H218" s="44" t="s">
        <v>808</v>
      </c>
    </row>
    <row r="219" spans="1:8" ht="15" hidden="1" customHeight="1">
      <c r="A219" s="74">
        <v>46118</v>
      </c>
      <c r="B219" t="s">
        <v>1059</v>
      </c>
      <c r="C219" t="s">
        <v>358</v>
      </c>
      <c r="D219" s="52" t="s">
        <v>1060</v>
      </c>
      <c r="E219" s="52" t="s">
        <v>780</v>
      </c>
      <c r="F219" s="37">
        <v>268361.65999999997</v>
      </c>
      <c r="G219" s="43" t="s">
        <v>803</v>
      </c>
      <c r="H219" s="44" t="s">
        <v>808</v>
      </c>
    </row>
    <row r="220" spans="1:8" ht="15" hidden="1" customHeight="1">
      <c r="A220" s="74">
        <v>46118</v>
      </c>
      <c r="B220" t="s">
        <v>1061</v>
      </c>
      <c r="C220" t="s">
        <v>514</v>
      </c>
      <c r="D220" s="52" t="s">
        <v>1062</v>
      </c>
      <c r="E220" s="52" t="s">
        <v>781</v>
      </c>
      <c r="F220" s="37">
        <v>24399.973999999998</v>
      </c>
      <c r="G220" t="s">
        <v>803</v>
      </c>
      <c r="H220" t="s">
        <v>808</v>
      </c>
    </row>
    <row r="221" spans="1:8" ht="15" hidden="1" customHeight="1">
      <c r="A221" s="74">
        <v>46118</v>
      </c>
      <c r="B221" t="s">
        <v>1061</v>
      </c>
      <c r="C221" t="s">
        <v>517</v>
      </c>
      <c r="D221" s="52" t="s">
        <v>1062</v>
      </c>
      <c r="E221" s="52" t="s">
        <v>781</v>
      </c>
      <c r="F221" s="37">
        <v>24399.973999999998</v>
      </c>
      <c r="G221" t="s">
        <v>803</v>
      </c>
      <c r="H221" t="s">
        <v>808</v>
      </c>
    </row>
    <row r="222" spans="1:8" ht="15" hidden="1" customHeight="1">
      <c r="A222" s="74">
        <v>46118</v>
      </c>
      <c r="B222" t="s">
        <v>1061</v>
      </c>
      <c r="C222" t="s">
        <v>519</v>
      </c>
      <c r="D222" s="52" t="s">
        <v>1062</v>
      </c>
      <c r="E222" s="52" t="s">
        <v>781</v>
      </c>
      <c r="F222" s="37">
        <v>24399.973999999998</v>
      </c>
      <c r="G222" t="s">
        <v>803</v>
      </c>
      <c r="H222" t="s">
        <v>808</v>
      </c>
    </row>
    <row r="223" spans="1:8" ht="15" hidden="1" customHeight="1">
      <c r="A223" s="74">
        <v>46118</v>
      </c>
      <c r="B223" t="s">
        <v>1061</v>
      </c>
      <c r="C223" t="s">
        <v>521</v>
      </c>
      <c r="D223" s="52" t="s">
        <v>1062</v>
      </c>
      <c r="E223" s="52" t="s">
        <v>781</v>
      </c>
      <c r="F223" s="37">
        <v>24399.973999999998</v>
      </c>
      <c r="G223" t="s">
        <v>803</v>
      </c>
      <c r="H223" t="s">
        <v>808</v>
      </c>
    </row>
    <row r="224" spans="1:8" ht="15" hidden="1" customHeight="1">
      <c r="A224" s="74">
        <v>46118</v>
      </c>
      <c r="B224" t="s">
        <v>1061</v>
      </c>
      <c r="C224" t="s">
        <v>523</v>
      </c>
      <c r="D224" s="52" t="s">
        <v>1062</v>
      </c>
      <c r="E224" s="52" t="s">
        <v>781</v>
      </c>
      <c r="F224" s="37">
        <v>24399.973999999998</v>
      </c>
      <c r="G224" t="s">
        <v>803</v>
      </c>
      <c r="H224" t="s">
        <v>808</v>
      </c>
    </row>
    <row r="225" spans="1:8" ht="15" hidden="1" customHeight="1">
      <c r="A225" s="74">
        <v>46118</v>
      </c>
      <c r="B225" t="s">
        <v>1061</v>
      </c>
      <c r="C225" t="s">
        <v>525</v>
      </c>
      <c r="D225" s="52" t="s">
        <v>1062</v>
      </c>
      <c r="E225" s="52" t="s">
        <v>781</v>
      </c>
      <c r="F225" s="37">
        <v>24399.973999999998</v>
      </c>
      <c r="G225" t="s">
        <v>803</v>
      </c>
      <c r="H225" t="s">
        <v>808</v>
      </c>
    </row>
    <row r="226" spans="1:8" ht="15" hidden="1" customHeight="1">
      <c r="A226" s="74">
        <v>46118.408281215299</v>
      </c>
      <c r="B226" t="s">
        <v>1061</v>
      </c>
      <c r="C226" t="s">
        <v>527</v>
      </c>
      <c r="D226" s="52" t="s">
        <v>1062</v>
      </c>
      <c r="E226" s="52" t="s">
        <v>781</v>
      </c>
      <c r="F226" s="37">
        <v>24399.973999999998</v>
      </c>
      <c r="G226" t="s">
        <v>803</v>
      </c>
    </row>
    <row r="227" spans="1:8" ht="15" hidden="1" customHeight="1">
      <c r="A227" s="74">
        <v>46118.408281215299</v>
      </c>
      <c r="B227" t="s">
        <v>1061</v>
      </c>
      <c r="C227" t="s">
        <v>505</v>
      </c>
      <c r="D227" s="52" t="s">
        <v>1062</v>
      </c>
      <c r="E227" s="52" t="s">
        <v>781</v>
      </c>
      <c r="F227" s="37">
        <v>24399.973999999998</v>
      </c>
      <c r="G227" t="s">
        <v>803</v>
      </c>
      <c r="H227" t="s">
        <v>808</v>
      </c>
    </row>
    <row r="228" spans="1:8" ht="15" hidden="1" customHeight="1">
      <c r="A228" s="74">
        <v>46118.408281215299</v>
      </c>
      <c r="B228" t="s">
        <v>1061</v>
      </c>
      <c r="C228" t="s">
        <v>510</v>
      </c>
      <c r="D228" s="52" t="s">
        <v>1062</v>
      </c>
      <c r="E228" s="52" t="s">
        <v>781</v>
      </c>
      <c r="F228" s="37">
        <v>24399.973999999998</v>
      </c>
      <c r="G228" t="s">
        <v>803</v>
      </c>
      <c r="H228" t="s">
        <v>808</v>
      </c>
    </row>
    <row r="229" spans="1:8" ht="15" hidden="1" customHeight="1">
      <c r="A229" s="74">
        <v>46118.408281215299</v>
      </c>
      <c r="B229" t="s">
        <v>1061</v>
      </c>
      <c r="C229" t="s">
        <v>512</v>
      </c>
      <c r="D229" s="52" t="s">
        <v>1062</v>
      </c>
      <c r="E229" s="52" t="s">
        <v>781</v>
      </c>
      <c r="F229" s="37">
        <v>24399.973999999998</v>
      </c>
      <c r="G229" t="s">
        <v>803</v>
      </c>
      <c r="H229" t="s">
        <v>808</v>
      </c>
    </row>
    <row r="230" spans="1:8" ht="15" hidden="1" customHeight="1">
      <c r="A230" s="74">
        <v>46118.426777118097</v>
      </c>
      <c r="B230" t="s">
        <v>1059</v>
      </c>
      <c r="C230" t="s">
        <v>358</v>
      </c>
      <c r="D230" s="52" t="s">
        <v>1060</v>
      </c>
      <c r="E230" s="52" t="s">
        <v>780</v>
      </c>
      <c r="F230" s="37">
        <v>268361.65999999997</v>
      </c>
      <c r="G230" t="s">
        <v>803</v>
      </c>
      <c r="H230" t="s">
        <v>808</v>
      </c>
    </row>
    <row r="231" spans="1:8" ht="15" hidden="1" customHeight="1">
      <c r="A231" s="74">
        <v>46118.4804357986</v>
      </c>
      <c r="B231" t="s">
        <v>1063</v>
      </c>
      <c r="C231" t="s">
        <v>321</v>
      </c>
      <c r="D231" s="52" t="s">
        <v>1064</v>
      </c>
      <c r="E231" s="52" t="s">
        <v>780</v>
      </c>
      <c r="F231" s="37">
        <v>634845.96</v>
      </c>
      <c r="G231" t="s">
        <v>803</v>
      </c>
      <c r="H231" t="s">
        <v>808</v>
      </c>
    </row>
    <row r="232" spans="1:8" ht="15" hidden="1" customHeight="1">
      <c r="A232" s="74">
        <v>46119.349964039298</v>
      </c>
      <c r="B232" t="s">
        <v>1065</v>
      </c>
      <c r="C232" t="s">
        <v>64</v>
      </c>
      <c r="D232" s="52" t="s">
        <v>1066</v>
      </c>
      <c r="E232" s="52" t="s">
        <v>780</v>
      </c>
      <c r="F232" s="37">
        <v>147899.15</v>
      </c>
      <c r="G232" t="s">
        <v>803</v>
      </c>
      <c r="H232" t="s">
        <v>808</v>
      </c>
    </row>
    <row r="233" spans="1:8" ht="15" hidden="1" customHeight="1">
      <c r="A233" s="74">
        <v>46119.430838807901</v>
      </c>
      <c r="B233" t="s">
        <v>1067</v>
      </c>
      <c r="D233" s="52" t="s">
        <v>1068</v>
      </c>
      <c r="E233" s="52" t="s">
        <v>781</v>
      </c>
      <c r="F233" s="37">
        <v>61199.938800000004</v>
      </c>
    </row>
    <row r="234" spans="1:8" ht="15" hidden="1" customHeight="1">
      <c r="A234" s="74">
        <v>46119.461431099502</v>
      </c>
      <c r="B234" t="s">
        <v>1069</v>
      </c>
      <c r="C234" t="s">
        <v>122</v>
      </c>
      <c r="D234" s="52" t="s">
        <v>1070</v>
      </c>
      <c r="E234" s="52" t="s">
        <v>781</v>
      </c>
      <c r="F234" s="37">
        <v>54299.973700000002</v>
      </c>
      <c r="G234" s="43" t="s">
        <v>803</v>
      </c>
      <c r="H234" s="44" t="s">
        <v>808</v>
      </c>
    </row>
    <row r="235" spans="1:8" ht="15" hidden="1" customHeight="1">
      <c r="A235" s="74">
        <v>46121.485532835701</v>
      </c>
      <c r="B235" t="s">
        <v>1071</v>
      </c>
      <c r="C235" t="s">
        <v>665</v>
      </c>
      <c r="D235" s="52" t="s">
        <v>1072</v>
      </c>
      <c r="E235" s="52" t="s">
        <v>781</v>
      </c>
      <c r="F235" s="37">
        <v>39400.9</v>
      </c>
      <c r="G235" s="43" t="s">
        <v>803</v>
      </c>
      <c r="H235" s="44" t="s">
        <v>808</v>
      </c>
    </row>
    <row r="236" spans="1:8" ht="15" hidden="1" customHeight="1">
      <c r="A236" s="74">
        <v>46122.500261539397</v>
      </c>
      <c r="B236" t="s">
        <v>1073</v>
      </c>
      <c r="C236" t="s">
        <v>623</v>
      </c>
      <c r="D236" s="52" t="s">
        <v>1074</v>
      </c>
      <c r="E236" s="52" t="s">
        <v>781</v>
      </c>
      <c r="F236" s="37">
        <v>9799.65</v>
      </c>
      <c r="G236" s="43" t="s">
        <v>803</v>
      </c>
      <c r="H236" s="44" t="s">
        <v>808</v>
      </c>
    </row>
    <row r="237" spans="1:8" ht="15" hidden="1" customHeight="1">
      <c r="A237" s="74">
        <v>46127</v>
      </c>
      <c r="B237" t="s">
        <v>1075</v>
      </c>
      <c r="C237" t="s">
        <v>631</v>
      </c>
      <c r="D237" s="52" t="s">
        <v>1076</v>
      </c>
      <c r="E237" s="52" t="s">
        <v>781</v>
      </c>
      <c r="F237" s="37">
        <v>24499.97</v>
      </c>
      <c r="G237" t="s">
        <v>803</v>
      </c>
      <c r="H237" t="s">
        <v>808</v>
      </c>
    </row>
    <row r="238" spans="1:8" ht="15" hidden="1" customHeight="1">
      <c r="A238" s="74">
        <v>46127</v>
      </c>
      <c r="B238" t="s">
        <v>1075</v>
      </c>
      <c r="C238" t="s">
        <v>633</v>
      </c>
      <c r="D238" s="52" t="s">
        <v>1076</v>
      </c>
      <c r="E238" s="52" t="s">
        <v>781</v>
      </c>
      <c r="F238" s="37">
        <v>24499.97</v>
      </c>
      <c r="G238" t="s">
        <v>803</v>
      </c>
      <c r="H238" t="s">
        <v>808</v>
      </c>
    </row>
    <row r="239" spans="1:8" ht="15" hidden="1" customHeight="1">
      <c r="A239" s="74">
        <v>46127</v>
      </c>
      <c r="B239" t="s">
        <v>1075</v>
      </c>
      <c r="C239" t="s">
        <v>635</v>
      </c>
      <c r="D239" s="52" t="s">
        <v>1076</v>
      </c>
      <c r="E239" s="52" t="s">
        <v>781</v>
      </c>
      <c r="F239" s="37">
        <v>24499.97</v>
      </c>
      <c r="G239" t="s">
        <v>803</v>
      </c>
      <c r="H239" t="s">
        <v>808</v>
      </c>
    </row>
    <row r="240" spans="1:8" ht="15" hidden="1" customHeight="1">
      <c r="A240" s="74">
        <v>46127</v>
      </c>
      <c r="B240" t="s">
        <v>1075</v>
      </c>
      <c r="C240" t="s">
        <v>637</v>
      </c>
      <c r="D240" s="52" t="s">
        <v>1076</v>
      </c>
      <c r="E240" s="52" t="s">
        <v>781</v>
      </c>
      <c r="F240" s="37">
        <v>24499.97</v>
      </c>
      <c r="G240" t="s">
        <v>803</v>
      </c>
      <c r="H240" t="s">
        <v>808</v>
      </c>
    </row>
    <row r="241" spans="1:8" ht="15" hidden="1" customHeight="1">
      <c r="A241" s="74">
        <v>46127</v>
      </c>
      <c r="B241" t="s">
        <v>1075</v>
      </c>
      <c r="C241" t="s">
        <v>639</v>
      </c>
      <c r="D241" s="52" t="s">
        <v>1076</v>
      </c>
      <c r="E241" s="52" t="s">
        <v>781</v>
      </c>
      <c r="F241" s="37">
        <v>24499.97</v>
      </c>
      <c r="G241" t="s">
        <v>803</v>
      </c>
      <c r="H241" t="s">
        <v>808</v>
      </c>
    </row>
    <row r="242" spans="1:8" ht="15" hidden="1" customHeight="1">
      <c r="A242" s="74">
        <v>46127</v>
      </c>
      <c r="B242" t="s">
        <v>1075</v>
      </c>
      <c r="C242" t="s">
        <v>641</v>
      </c>
      <c r="D242" s="52" t="s">
        <v>1076</v>
      </c>
      <c r="E242" s="52" t="s">
        <v>781</v>
      </c>
      <c r="F242" s="37">
        <v>24499.97</v>
      </c>
      <c r="G242" t="s">
        <v>803</v>
      </c>
      <c r="H242" t="s">
        <v>808</v>
      </c>
    </row>
    <row r="243" spans="1:8" ht="15" hidden="1" customHeight="1">
      <c r="A243" s="74">
        <v>46127</v>
      </c>
      <c r="B243" t="s">
        <v>1075</v>
      </c>
      <c r="C243" t="s">
        <v>642</v>
      </c>
      <c r="D243" s="52" t="s">
        <v>1076</v>
      </c>
      <c r="E243" s="52" t="s">
        <v>781</v>
      </c>
      <c r="F243" s="37">
        <v>24499.97</v>
      </c>
      <c r="G243" t="s">
        <v>803</v>
      </c>
      <c r="H243" t="s">
        <v>808</v>
      </c>
    </row>
    <row r="244" spans="1:8" ht="15" hidden="1" customHeight="1">
      <c r="A244" s="74">
        <v>46127</v>
      </c>
      <c r="B244" t="s">
        <v>1075</v>
      </c>
      <c r="C244" t="s">
        <v>644</v>
      </c>
      <c r="D244" s="52" t="s">
        <v>1076</v>
      </c>
      <c r="E244" s="52" t="s">
        <v>781</v>
      </c>
      <c r="F244" s="37">
        <v>24499.97</v>
      </c>
      <c r="G244" t="s">
        <v>803</v>
      </c>
      <c r="H244" t="s">
        <v>808</v>
      </c>
    </row>
    <row r="245" spans="1:8" ht="15" hidden="1" customHeight="1">
      <c r="A245" s="74">
        <v>46127</v>
      </c>
      <c r="B245" t="s">
        <v>1075</v>
      </c>
      <c r="C245" t="s">
        <v>646</v>
      </c>
      <c r="D245" s="52" t="s">
        <v>1076</v>
      </c>
      <c r="E245" s="52" t="s">
        <v>781</v>
      </c>
      <c r="F245" s="37">
        <v>24499.97</v>
      </c>
      <c r="G245" t="s">
        <v>803</v>
      </c>
      <c r="H245" t="s">
        <v>808</v>
      </c>
    </row>
    <row r="246" spans="1:8" ht="15" hidden="1" customHeight="1">
      <c r="A246" s="74">
        <v>46127</v>
      </c>
      <c r="B246" t="s">
        <v>1075</v>
      </c>
      <c r="C246" t="s">
        <v>647</v>
      </c>
      <c r="D246" s="52" t="s">
        <v>1076</v>
      </c>
      <c r="E246" s="52" t="s">
        <v>781</v>
      </c>
      <c r="F246" s="37">
        <v>24499.97</v>
      </c>
      <c r="G246" t="s">
        <v>803</v>
      </c>
      <c r="H246" t="s">
        <v>808</v>
      </c>
    </row>
    <row r="247" spans="1:8" ht="15" hidden="1" customHeight="1">
      <c r="A247" s="74">
        <v>46127.531458333331</v>
      </c>
      <c r="B247" t="s">
        <v>1075</v>
      </c>
      <c r="D247" s="52" t="s">
        <v>1076</v>
      </c>
      <c r="E247" s="52" t="s">
        <v>781</v>
      </c>
      <c r="F247" s="37">
        <v>244999.69899999999</v>
      </c>
      <c r="G247" s="43"/>
      <c r="H247" s="44" t="s">
        <v>808</v>
      </c>
    </row>
    <row r="248" spans="1:8" ht="15" hidden="1" customHeight="1">
      <c r="A248" s="74">
        <v>46128.371488044002</v>
      </c>
      <c r="B248" t="s">
        <v>1077</v>
      </c>
      <c r="C248" t="s">
        <v>39</v>
      </c>
      <c r="D248" s="52" t="s">
        <v>1078</v>
      </c>
      <c r="E248" s="52" t="s">
        <v>781</v>
      </c>
      <c r="F248" s="37">
        <v>178599.96356999999</v>
      </c>
      <c r="G248" s="43" t="s">
        <v>803</v>
      </c>
      <c r="H248" s="44" t="s">
        <v>808</v>
      </c>
    </row>
    <row r="249" spans="1:8" ht="15" hidden="1" customHeight="1">
      <c r="A249" s="74">
        <v>46128.384046956002</v>
      </c>
      <c r="B249" t="s">
        <v>1077</v>
      </c>
      <c r="C249" t="s">
        <v>39</v>
      </c>
      <c r="D249" t="s">
        <v>1078</v>
      </c>
      <c r="E249" t="s">
        <v>781</v>
      </c>
      <c r="F249" s="37">
        <v>178599.96356999999</v>
      </c>
      <c r="G249" t="s">
        <v>803</v>
      </c>
    </row>
    <row r="250" spans="1:8" ht="15" hidden="1" customHeight="1">
      <c r="A250" s="74">
        <v>46128.390681099503</v>
      </c>
      <c r="B250" t="s">
        <v>1079</v>
      </c>
      <c r="C250" t="s">
        <v>36</v>
      </c>
      <c r="D250" t="s">
        <v>1080</v>
      </c>
      <c r="E250" t="s">
        <v>1081</v>
      </c>
      <c r="F250" s="37">
        <v>59500</v>
      </c>
      <c r="G250" t="s">
        <v>803</v>
      </c>
    </row>
    <row r="251" spans="1:8" ht="15" hidden="1" customHeight="1">
      <c r="A251" s="74">
        <v>46128.519272141202</v>
      </c>
      <c r="B251" t="s">
        <v>1082</v>
      </c>
      <c r="C251" t="s">
        <v>59</v>
      </c>
      <c r="D251" s="52" t="s">
        <v>1083</v>
      </c>
      <c r="E251" s="52" t="s">
        <v>781</v>
      </c>
      <c r="F251" s="37">
        <v>13800.43</v>
      </c>
      <c r="G251" s="43" t="s">
        <v>803</v>
      </c>
      <c r="H251" s="44" t="s">
        <v>808</v>
      </c>
    </row>
    <row r="252" spans="1:8" ht="15" hidden="1" customHeight="1">
      <c r="A252" s="74">
        <v>46128.535379282403</v>
      </c>
      <c r="B252" t="s">
        <v>1084</v>
      </c>
      <c r="C252" t="s">
        <v>126</v>
      </c>
      <c r="D252" s="52" t="s">
        <v>1085</v>
      </c>
      <c r="E252" s="52" t="s">
        <v>780</v>
      </c>
      <c r="F252" s="37">
        <v>223858.04</v>
      </c>
      <c r="G252" t="s">
        <v>803</v>
      </c>
      <c r="H252" t="s">
        <v>808</v>
      </c>
    </row>
    <row r="253" spans="1:8" ht="15" hidden="1" customHeight="1">
      <c r="A253" s="74">
        <v>46129.615965543999</v>
      </c>
      <c r="B253" t="s">
        <v>1086</v>
      </c>
      <c r="C253" t="s">
        <v>1087</v>
      </c>
      <c r="D253" t="s">
        <v>1088</v>
      </c>
      <c r="E253" t="s">
        <v>785</v>
      </c>
      <c r="F253" s="37">
        <v>81611.39</v>
      </c>
      <c r="G253" t="s">
        <v>803</v>
      </c>
    </row>
    <row r="254" spans="1:8" ht="15" hidden="1" customHeight="1">
      <c r="A254" s="74">
        <v>46129.616025381903</v>
      </c>
      <c r="B254" t="s">
        <v>1082</v>
      </c>
      <c r="C254" t="s">
        <v>59</v>
      </c>
      <c r="D254" t="s">
        <v>1083</v>
      </c>
      <c r="E254" t="s">
        <v>781</v>
      </c>
      <c r="F254" s="37">
        <v>13800.43</v>
      </c>
      <c r="G254" t="s">
        <v>803</v>
      </c>
    </row>
    <row r="255" spans="1:8" ht="15" hidden="1" customHeight="1">
      <c r="A255" s="74">
        <v>46129.616075844897</v>
      </c>
      <c r="B255" t="s">
        <v>1084</v>
      </c>
      <c r="C255" t="s">
        <v>126</v>
      </c>
      <c r="D255" t="s">
        <v>1085</v>
      </c>
      <c r="E255" t="s">
        <v>780</v>
      </c>
      <c r="F255" s="37">
        <v>223858.04</v>
      </c>
      <c r="G255" t="s">
        <v>803</v>
      </c>
    </row>
    <row r="256" spans="1:8" ht="15" hidden="1" customHeight="1">
      <c r="A256" s="74">
        <v>46129.616176585601</v>
      </c>
      <c r="B256" t="s">
        <v>1089</v>
      </c>
      <c r="C256" t="s">
        <v>1090</v>
      </c>
      <c r="D256" t="s">
        <v>1091</v>
      </c>
      <c r="E256" t="s">
        <v>1092</v>
      </c>
      <c r="F256" s="37">
        <v>547085.84</v>
      </c>
      <c r="G256" t="s">
        <v>803</v>
      </c>
    </row>
    <row r="257" spans="1:7" ht="15" hidden="1" customHeight="1">
      <c r="A257" s="74">
        <v>46132.7142520833</v>
      </c>
      <c r="B257" t="s">
        <v>1093</v>
      </c>
      <c r="C257" t="s">
        <v>448</v>
      </c>
      <c r="D257" t="s">
        <v>1094</v>
      </c>
      <c r="E257" t="s">
        <v>780</v>
      </c>
      <c r="F257" s="37">
        <v>149861.46</v>
      </c>
      <c r="G257" t="s">
        <v>803</v>
      </c>
    </row>
    <row r="258" spans="1:7" ht="15" hidden="1" customHeight="1">
      <c r="A258" s="74">
        <v>46132.714388622699</v>
      </c>
      <c r="B258" t="s">
        <v>1095</v>
      </c>
      <c r="C258" t="s">
        <v>359</v>
      </c>
      <c r="D258" t="s">
        <v>1096</v>
      </c>
      <c r="E258" t="s">
        <v>1092</v>
      </c>
      <c r="F258" s="37">
        <v>549049</v>
      </c>
      <c r="G258" t="s">
        <v>803</v>
      </c>
    </row>
    <row r="259" spans="1:7" ht="15" hidden="1" customHeight="1">
      <c r="A259" s="74">
        <v>46132.714388622699</v>
      </c>
      <c r="B259" t="s">
        <v>1095</v>
      </c>
      <c r="C259" t="s">
        <v>1097</v>
      </c>
      <c r="D259" t="s">
        <v>1098</v>
      </c>
      <c r="E259" t="s">
        <v>1092</v>
      </c>
      <c r="F259" s="37">
        <v>546049</v>
      </c>
      <c r="G259" t="s">
        <v>803</v>
      </c>
    </row>
    <row r="260" spans="1:7" ht="15" hidden="1" customHeight="1">
      <c r="A260" s="74">
        <v>46132.714388622699</v>
      </c>
      <c r="B260" t="s">
        <v>1095</v>
      </c>
      <c r="C260" t="s">
        <v>272</v>
      </c>
      <c r="D260" t="s">
        <v>1099</v>
      </c>
      <c r="E260" t="s">
        <v>1092</v>
      </c>
      <c r="F260" s="37">
        <v>546049</v>
      </c>
      <c r="G260" t="s">
        <v>803</v>
      </c>
    </row>
    <row r="261" spans="1:7" ht="15" hidden="1" customHeight="1">
      <c r="A261" s="74">
        <v>46133.517267361101</v>
      </c>
      <c r="B261" t="s">
        <v>1100</v>
      </c>
      <c r="C261" t="s">
        <v>398</v>
      </c>
      <c r="D261" t="s">
        <v>1101</v>
      </c>
      <c r="E261" t="s">
        <v>1102</v>
      </c>
      <c r="F261" s="37">
        <v>456242.43</v>
      </c>
      <c r="G261" t="s">
        <v>803</v>
      </c>
    </row>
    <row r="262" spans="1:7" ht="15" hidden="1" customHeight="1">
      <c r="A262" s="74">
        <v>46136.449583715301</v>
      </c>
      <c r="B262" t="s">
        <v>1103</v>
      </c>
      <c r="D262" t="s">
        <v>1104</v>
      </c>
      <c r="E262" t="s">
        <v>781</v>
      </c>
      <c r="F262" s="37">
        <v>80399.97</v>
      </c>
    </row>
    <row r="263" spans="1:7" ht="15" hidden="1" customHeight="1">
      <c r="A263" s="74">
        <v>46136.6736726042</v>
      </c>
      <c r="B263" t="s">
        <v>1105</v>
      </c>
      <c r="D263" t="s">
        <v>1106</v>
      </c>
      <c r="E263" t="s">
        <v>781</v>
      </c>
      <c r="F263" s="37">
        <v>237999.88099999999</v>
      </c>
    </row>
    <row r="264" spans="1:7" ht="15" hidden="1" customHeight="1">
      <c r="A264" s="74">
        <v>46139.565101770801</v>
      </c>
      <c r="B264" t="s">
        <v>1107</v>
      </c>
      <c r="C264" t="s">
        <v>79</v>
      </c>
      <c r="D264" t="s">
        <v>1108</v>
      </c>
      <c r="E264" t="s">
        <v>785</v>
      </c>
      <c r="F264" s="37">
        <v>155392.57999999999</v>
      </c>
      <c r="G264" t="s">
        <v>803</v>
      </c>
    </row>
    <row r="265" spans="1:7" ht="15" hidden="1" customHeight="1">
      <c r="A265" s="74">
        <v>46139.649283877297</v>
      </c>
      <c r="B265" t="s">
        <v>1109</v>
      </c>
      <c r="C265" t="s">
        <v>292</v>
      </c>
      <c r="D265" t="s">
        <v>1110</v>
      </c>
      <c r="E265" t="s">
        <v>785</v>
      </c>
      <c r="F265" s="37">
        <v>264075.28000000003</v>
      </c>
      <c r="G265" t="s">
        <v>803</v>
      </c>
    </row>
    <row r="266" spans="1:7" ht="15" hidden="1" customHeight="1">
      <c r="A266" s="74">
        <v>46140.483474918998</v>
      </c>
      <c r="B266" t="s">
        <v>1111</v>
      </c>
      <c r="C266" t="s">
        <v>292</v>
      </c>
      <c r="D266" t="s">
        <v>1110</v>
      </c>
      <c r="E266" t="s">
        <v>785</v>
      </c>
      <c r="F266" s="37">
        <v>27184.36</v>
      </c>
      <c r="G266" t="s">
        <v>803</v>
      </c>
    </row>
    <row r="267" spans="1:7" ht="15" hidden="1" customHeight="1">
      <c r="A267" s="74">
        <v>46142.533688391202</v>
      </c>
      <c r="B267" t="s">
        <v>1112</v>
      </c>
      <c r="C267" t="s">
        <v>1113</v>
      </c>
      <c r="D267" t="s">
        <v>1114</v>
      </c>
      <c r="E267" t="s">
        <v>781</v>
      </c>
      <c r="F267" s="37">
        <v>51599.59</v>
      </c>
      <c r="G267" t="s">
        <v>803</v>
      </c>
    </row>
    <row r="268" spans="1:7" ht="15" hidden="1" customHeight="1">
      <c r="A268" s="74">
        <v>46142.533763275504</v>
      </c>
      <c r="B268" t="s">
        <v>1115</v>
      </c>
      <c r="C268" t="s">
        <v>351</v>
      </c>
      <c r="D268" t="s">
        <v>1116</v>
      </c>
      <c r="E268" t="s">
        <v>780</v>
      </c>
      <c r="F268" s="37">
        <v>31972.92</v>
      </c>
      <c r="G268" t="s">
        <v>803</v>
      </c>
    </row>
    <row r="269" spans="1:7" ht="15" hidden="1" customHeight="1">
      <c r="A269" s="74">
        <v>46142.533839236101</v>
      </c>
      <c r="B269" t="s">
        <v>1117</v>
      </c>
      <c r="C269" t="s">
        <v>152</v>
      </c>
      <c r="D269" t="s">
        <v>1118</v>
      </c>
      <c r="E269" t="s">
        <v>1119</v>
      </c>
      <c r="F269" s="37">
        <v>452020.31</v>
      </c>
      <c r="G269" t="s">
        <v>803</v>
      </c>
    </row>
    <row r="270" spans="1:7" ht="15" hidden="1" customHeight="1">
      <c r="A270" s="74">
        <v>46142.533922106501</v>
      </c>
      <c r="B270" t="s">
        <v>1120</v>
      </c>
      <c r="C270" t="s">
        <v>182</v>
      </c>
      <c r="D270" t="s">
        <v>1121</v>
      </c>
      <c r="E270" t="s">
        <v>780</v>
      </c>
      <c r="F270" s="37">
        <v>139897.59</v>
      </c>
      <c r="G270" t="s">
        <v>803</v>
      </c>
    </row>
    <row r="271" spans="1:7" ht="15" hidden="1" customHeight="1">
      <c r="A271" s="74">
        <v>46142.533997338003</v>
      </c>
      <c r="B271" t="s">
        <v>1122</v>
      </c>
      <c r="C271" t="s">
        <v>665</v>
      </c>
      <c r="D271" t="s">
        <v>1123</v>
      </c>
      <c r="E271" t="s">
        <v>780</v>
      </c>
      <c r="F271" s="37">
        <v>30984.03</v>
      </c>
      <c r="G271" t="s">
        <v>803</v>
      </c>
    </row>
    <row r="272" spans="1:7" ht="15" hidden="1" customHeight="1">
      <c r="A272" s="74">
        <v>46142.5341338773</v>
      </c>
      <c r="B272" t="s">
        <v>1124</v>
      </c>
      <c r="C272" t="s">
        <v>1125</v>
      </c>
      <c r="D272" t="s">
        <v>1126</v>
      </c>
      <c r="E272" t="s">
        <v>781</v>
      </c>
      <c r="F272" s="37">
        <v>52799.990599999997</v>
      </c>
      <c r="G272" t="s">
        <v>803</v>
      </c>
    </row>
    <row r="273" spans="1:7" ht="15" hidden="1" customHeight="1">
      <c r="A273" s="74">
        <v>46146.415671678202</v>
      </c>
      <c r="B273" t="s">
        <v>1127</v>
      </c>
      <c r="C273" t="s">
        <v>207</v>
      </c>
      <c r="D273" t="s">
        <v>1128</v>
      </c>
      <c r="E273" t="s">
        <v>780</v>
      </c>
      <c r="F273" s="37">
        <v>10800.44</v>
      </c>
      <c r="G273" t="s">
        <v>803</v>
      </c>
    </row>
    <row r="274" spans="1:7" ht="15" hidden="1" customHeight="1">
      <c r="A274" s="74">
        <v>46146.415785219899</v>
      </c>
      <c r="B274" t="s">
        <v>1129</v>
      </c>
      <c r="C274" t="s">
        <v>107</v>
      </c>
      <c r="D274" t="s">
        <v>1130</v>
      </c>
      <c r="E274" t="s">
        <v>780</v>
      </c>
      <c r="F274" s="37">
        <v>183418.27</v>
      </c>
      <c r="G274" t="s">
        <v>803</v>
      </c>
    </row>
    <row r="275" spans="1:7" ht="15" hidden="1" customHeight="1">
      <c r="A275" s="74">
        <v>46146.415869710603</v>
      </c>
      <c r="B275" t="s">
        <v>1131</v>
      </c>
      <c r="C275" t="s">
        <v>120</v>
      </c>
      <c r="D275" t="s">
        <v>1132</v>
      </c>
      <c r="E275" t="s">
        <v>780</v>
      </c>
      <c r="F275" s="37">
        <v>162080.38</v>
      </c>
      <c r="G275" t="s">
        <v>803</v>
      </c>
    </row>
    <row r="276" spans="1:7" ht="15" hidden="1" customHeight="1">
      <c r="A276" s="74">
        <v>46146.415923958302</v>
      </c>
      <c r="B276" t="s">
        <v>1133</v>
      </c>
      <c r="C276" t="s">
        <v>141</v>
      </c>
      <c r="D276" t="s">
        <v>1134</v>
      </c>
      <c r="E276" t="s">
        <v>780</v>
      </c>
      <c r="F276" s="37">
        <v>206297.21</v>
      </c>
      <c r="G276" t="s">
        <v>803</v>
      </c>
    </row>
    <row r="277" spans="1:7" ht="15" hidden="1" customHeight="1">
      <c r="A277" s="74">
        <v>46146.541044791702</v>
      </c>
      <c r="B277" t="s">
        <v>1135</v>
      </c>
      <c r="C277" t="s">
        <v>207</v>
      </c>
      <c r="D277" t="s">
        <v>1128</v>
      </c>
      <c r="E277" t="s">
        <v>781</v>
      </c>
      <c r="F277" s="37">
        <v>19699.997800000001</v>
      </c>
      <c r="G277" t="s">
        <v>803</v>
      </c>
    </row>
    <row r="278" spans="1:7" ht="15" hidden="1" customHeight="1">
      <c r="A278" s="74">
        <v>46146.541249803202</v>
      </c>
      <c r="B278" t="s">
        <v>1136</v>
      </c>
      <c r="C278" t="s">
        <v>39</v>
      </c>
      <c r="D278" t="s">
        <v>1078</v>
      </c>
      <c r="E278" t="s">
        <v>780</v>
      </c>
      <c r="F278" s="37">
        <v>72768.5</v>
      </c>
      <c r="G278" t="s">
        <v>803</v>
      </c>
    </row>
    <row r="279" spans="1:7" ht="15" hidden="1" customHeight="1">
      <c r="A279" s="74">
        <v>46147.636475544001</v>
      </c>
      <c r="B279" t="s">
        <v>1137</v>
      </c>
      <c r="C279" t="s">
        <v>250</v>
      </c>
      <c r="D279" t="s">
        <v>1138</v>
      </c>
      <c r="E279" t="s">
        <v>780</v>
      </c>
      <c r="F279" s="37">
        <v>359014.67</v>
      </c>
      <c r="G279" t="s">
        <v>803</v>
      </c>
    </row>
    <row r="280" spans="1:7" ht="15" hidden="1" customHeight="1">
      <c r="A280" s="74">
        <v>46167.748160995397</v>
      </c>
      <c r="B280" t="s">
        <v>1139</v>
      </c>
      <c r="C280" t="s">
        <v>262</v>
      </c>
      <c r="D280" t="s">
        <v>972</v>
      </c>
      <c r="E280" t="s">
        <v>785</v>
      </c>
      <c r="F280" s="37">
        <v>53240.6</v>
      </c>
      <c r="G280" t="s">
        <v>803</v>
      </c>
    </row>
    <row r="281" spans="1:7" ht="15" hidden="1" customHeight="1">
      <c r="A281" s="74">
        <v>46167.635276736102</v>
      </c>
      <c r="B281" t="s">
        <v>1140</v>
      </c>
      <c r="C281" t="s">
        <v>138</v>
      </c>
      <c r="D281" t="s">
        <v>1141</v>
      </c>
      <c r="E281" t="s">
        <v>820</v>
      </c>
      <c r="F281" s="37">
        <v>62053.74</v>
      </c>
      <c r="G281" t="s">
        <v>803</v>
      </c>
    </row>
    <row r="282" spans="1:7" ht="15" hidden="1" customHeight="1">
      <c r="A282" s="74">
        <v>46167.397245798602</v>
      </c>
      <c r="B282" t="s">
        <v>1142</v>
      </c>
      <c r="C282" t="s">
        <v>101</v>
      </c>
      <c r="D282" t="s">
        <v>1143</v>
      </c>
      <c r="E282" t="s">
        <v>785</v>
      </c>
      <c r="F282" s="37">
        <v>134066.59</v>
      </c>
      <c r="G282" t="s">
        <v>803</v>
      </c>
    </row>
    <row r="283" spans="1:7" ht="15" hidden="1" customHeight="1">
      <c r="A283" s="74">
        <v>46167.388873611097</v>
      </c>
      <c r="B283" t="s">
        <v>1144</v>
      </c>
      <c r="C283" t="s">
        <v>138</v>
      </c>
      <c r="D283" t="s">
        <v>1145</v>
      </c>
      <c r="E283" t="s">
        <v>780</v>
      </c>
      <c r="F283" s="37">
        <v>42543.69</v>
      </c>
      <c r="G283" t="s">
        <v>803</v>
      </c>
    </row>
    <row r="284" spans="1:7" ht="15" hidden="1" customHeight="1">
      <c r="A284" s="74">
        <v>46167.384773495403</v>
      </c>
      <c r="B284" t="s">
        <v>1146</v>
      </c>
      <c r="C284" t="s">
        <v>1147</v>
      </c>
      <c r="D284" t="s">
        <v>1148</v>
      </c>
      <c r="E284" t="s">
        <v>780</v>
      </c>
      <c r="F284" s="37">
        <v>71533.279999999999</v>
      </c>
      <c r="G284" t="s">
        <v>803</v>
      </c>
    </row>
    <row r="285" spans="1:7" ht="15" hidden="1" customHeight="1">
      <c r="A285" s="74">
        <v>46162.551531979203</v>
      </c>
      <c r="B285" t="s">
        <v>1149</v>
      </c>
      <c r="C285" t="s">
        <v>1150</v>
      </c>
      <c r="D285" t="s">
        <v>1151</v>
      </c>
      <c r="E285" t="s">
        <v>1152</v>
      </c>
      <c r="F285" s="37">
        <v>43503.984299999996</v>
      </c>
    </row>
    <row r="286" spans="1:7" ht="15" hidden="1" customHeight="1">
      <c r="A286" s="74">
        <v>46162.522222997701</v>
      </c>
      <c r="B286" t="s">
        <v>1153</v>
      </c>
      <c r="C286" t="s">
        <v>1150</v>
      </c>
      <c r="D286" t="s">
        <v>1068</v>
      </c>
      <c r="E286" t="s">
        <v>781</v>
      </c>
      <c r="F286" s="37">
        <v>62399.922899999998</v>
      </c>
    </row>
    <row r="287" spans="1:7" ht="15" hidden="1" customHeight="1">
      <c r="A287" s="74">
        <v>46162.5197619213</v>
      </c>
      <c r="B287" t="s">
        <v>1154</v>
      </c>
      <c r="C287" t="s">
        <v>79</v>
      </c>
      <c r="D287" t="s">
        <v>1108</v>
      </c>
      <c r="E287" t="s">
        <v>781</v>
      </c>
      <c r="F287" s="37">
        <v>70199.992100000003</v>
      </c>
      <c r="G287" t="s">
        <v>803</v>
      </c>
    </row>
    <row r="288" spans="1:7" ht="15" hidden="1" customHeight="1">
      <c r="A288" s="74">
        <v>46162.427425000002</v>
      </c>
      <c r="B288" t="s">
        <v>1155</v>
      </c>
      <c r="C288" t="s">
        <v>623</v>
      </c>
      <c r="D288" t="s">
        <v>1005</v>
      </c>
      <c r="E288" t="s">
        <v>781</v>
      </c>
      <c r="F288" s="37">
        <v>26299.9758</v>
      </c>
      <c r="G288" t="s">
        <v>803</v>
      </c>
    </row>
    <row r="289" spans="1:7" ht="15" hidden="1" customHeight="1">
      <c r="A289" s="74">
        <v>46162.426806828698</v>
      </c>
      <c r="B289" t="s">
        <v>1156</v>
      </c>
      <c r="C289" t="s">
        <v>544</v>
      </c>
      <c r="D289" t="s">
        <v>1157</v>
      </c>
      <c r="E289" t="s">
        <v>1152</v>
      </c>
      <c r="F289" s="37">
        <v>148001.98980000001</v>
      </c>
      <c r="G289" t="s">
        <v>803</v>
      </c>
    </row>
    <row r="290" spans="1:7" ht="15" hidden="1" customHeight="1">
      <c r="A290" s="74">
        <v>46162.424154247703</v>
      </c>
      <c r="B290" t="s">
        <v>1158</v>
      </c>
      <c r="C290" t="s">
        <v>1159</v>
      </c>
      <c r="D290" t="s">
        <v>1160</v>
      </c>
      <c r="E290" t="s">
        <v>781</v>
      </c>
      <c r="F290" s="37">
        <v>71200.08</v>
      </c>
    </row>
    <row r="291" spans="1:7" ht="15" hidden="1" customHeight="1">
      <c r="A291" s="74">
        <v>46162.422470868099</v>
      </c>
      <c r="B291" t="s">
        <v>1161</v>
      </c>
      <c r="C291" t="s">
        <v>210</v>
      </c>
      <c r="D291" t="s">
        <v>1019</v>
      </c>
      <c r="E291" t="s">
        <v>781</v>
      </c>
      <c r="F291" s="37">
        <v>19700.45</v>
      </c>
      <c r="G291" t="s">
        <v>803</v>
      </c>
    </row>
    <row r="292" spans="1:7" ht="15" hidden="1" customHeight="1">
      <c r="A292" s="74">
        <v>46161.3715812847</v>
      </c>
      <c r="B292" t="s">
        <v>1162</v>
      </c>
      <c r="C292" t="s">
        <v>1163</v>
      </c>
      <c r="D292" t="s">
        <v>1164</v>
      </c>
      <c r="E292" t="s">
        <v>781</v>
      </c>
      <c r="F292" s="37">
        <v>119499.91899999999</v>
      </c>
    </row>
    <row r="293" spans="1:7" ht="15" hidden="1" customHeight="1">
      <c r="A293" s="74">
        <v>46156.414239004604</v>
      </c>
      <c r="B293" t="s">
        <v>1165</v>
      </c>
      <c r="C293" t="s">
        <v>456</v>
      </c>
      <c r="D293" t="s">
        <v>1166</v>
      </c>
      <c r="E293" t="s">
        <v>820</v>
      </c>
      <c r="F293" s="37">
        <v>100231.32</v>
      </c>
      <c r="G293" t="s">
        <v>803</v>
      </c>
    </row>
    <row r="294" spans="1:7" ht="15" hidden="1" customHeight="1">
      <c r="A294" s="74">
        <v>46154.502627812501</v>
      </c>
      <c r="B294" t="s">
        <v>1167</v>
      </c>
      <c r="C294" t="s">
        <v>152</v>
      </c>
      <c r="D294" t="s">
        <v>1118</v>
      </c>
      <c r="E294" t="s">
        <v>1168</v>
      </c>
      <c r="F294" s="37">
        <v>74279.8</v>
      </c>
      <c r="G294" t="s">
        <v>803</v>
      </c>
    </row>
    <row r="295" spans="1:7" ht="15" hidden="1" customHeight="1">
      <c r="A295" s="74">
        <v>46154.4859005787</v>
      </c>
      <c r="B295" t="s">
        <v>1169</v>
      </c>
      <c r="C295" t="s">
        <v>210</v>
      </c>
      <c r="D295" t="s">
        <v>1019</v>
      </c>
      <c r="E295" t="s">
        <v>780</v>
      </c>
      <c r="F295" s="37">
        <v>153438.6</v>
      </c>
      <c r="G295" t="s">
        <v>803</v>
      </c>
    </row>
    <row r="296" spans="1:7" ht="15" hidden="1" customHeight="1">
      <c r="A296" s="74">
        <v>46154.391135497703</v>
      </c>
      <c r="B296" t="s">
        <v>1170</v>
      </c>
      <c r="C296" t="s">
        <v>327</v>
      </c>
      <c r="D296" t="s">
        <v>1171</v>
      </c>
      <c r="E296" t="s">
        <v>785</v>
      </c>
      <c r="F296" s="37">
        <v>234660.86</v>
      </c>
      <c r="G296" t="s">
        <v>803</v>
      </c>
    </row>
    <row r="297" spans="1:7" ht="15" hidden="1" customHeight="1">
      <c r="A297" s="74">
        <v>46154.380285185202</v>
      </c>
      <c r="B297" t="s">
        <v>1172</v>
      </c>
      <c r="C297" t="s">
        <v>337</v>
      </c>
      <c r="D297" t="s">
        <v>1173</v>
      </c>
      <c r="E297" t="s">
        <v>820</v>
      </c>
      <c r="F297" s="37">
        <v>120362.55</v>
      </c>
      <c r="G297" t="s">
        <v>803</v>
      </c>
    </row>
    <row r="298" spans="1:7" ht="15" hidden="1" customHeight="1">
      <c r="A298" s="74">
        <v>46154.345345023103</v>
      </c>
      <c r="B298" t="s">
        <v>1174</v>
      </c>
      <c r="C298" t="s">
        <v>59</v>
      </c>
      <c r="D298" t="s">
        <v>1175</v>
      </c>
      <c r="E298" t="s">
        <v>781</v>
      </c>
      <c r="F298" s="37">
        <v>90099.981299999999</v>
      </c>
      <c r="G298" t="s">
        <v>803</v>
      </c>
    </row>
    <row r="299" spans="1:7" ht="15" hidden="1" customHeight="1">
      <c r="A299" s="74">
        <v>46154.344671180603</v>
      </c>
      <c r="B299" t="s">
        <v>1176</v>
      </c>
      <c r="C299" t="s">
        <v>549</v>
      </c>
      <c r="D299" t="s">
        <v>1177</v>
      </c>
      <c r="E299" t="s">
        <v>781</v>
      </c>
      <c r="F299" s="37">
        <v>24199.9709</v>
      </c>
      <c r="G299" t="s">
        <v>803</v>
      </c>
    </row>
    <row r="300" spans="1:7" ht="15" hidden="1" customHeight="1">
      <c r="A300" s="74">
        <v>46148.4678185995</v>
      </c>
      <c r="B300" t="s">
        <v>1178</v>
      </c>
      <c r="C300" t="s">
        <v>390</v>
      </c>
      <c r="D300" t="s">
        <v>1179</v>
      </c>
      <c r="E300" t="s">
        <v>1180</v>
      </c>
      <c r="F300" s="37">
        <v>204967.98</v>
      </c>
      <c r="G300" t="s">
        <v>803</v>
      </c>
    </row>
    <row r="301" spans="1:7" ht="15" hidden="1" customHeight="1">
      <c r="A301" s="74">
        <v>46147.386011724499</v>
      </c>
      <c r="B301" t="s">
        <v>1137</v>
      </c>
      <c r="C301" t="s">
        <v>250</v>
      </c>
      <c r="D301" t="s">
        <v>1138</v>
      </c>
      <c r="E301" t="s">
        <v>780</v>
      </c>
      <c r="F301" s="37">
        <v>359014.67</v>
      </c>
      <c r="G301" t="s">
        <v>803</v>
      </c>
    </row>
    <row r="302" spans="1:7" ht="15" hidden="1" customHeight="1">
      <c r="A302" s="74">
        <v>46147.380388888902</v>
      </c>
      <c r="B302" t="s">
        <v>1181</v>
      </c>
      <c r="C302" t="s">
        <v>432</v>
      </c>
      <c r="D302" t="s">
        <v>1182</v>
      </c>
      <c r="E302" t="s">
        <v>820</v>
      </c>
      <c r="F302" s="37">
        <v>447697.04</v>
      </c>
      <c r="G302" t="s">
        <v>803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5"/>
  <sheetViews>
    <sheetView zoomScaleNormal="100" workbookViewId="0">
      <pane ySplit="3" topLeftCell="A118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2" t="s">
        <v>1183</v>
      </c>
      <c r="B1" s="92"/>
      <c r="C1" s="92"/>
      <c r="D1" s="92"/>
      <c r="E1" s="92"/>
      <c r="F1" s="92"/>
      <c r="G1" s="92"/>
      <c r="H1" s="92"/>
    </row>
    <row r="3" spans="1:8">
      <c r="A3" s="1" t="s">
        <v>745</v>
      </c>
      <c r="B3" s="1" t="s">
        <v>668</v>
      </c>
      <c r="C3" s="1" t="s">
        <v>1184</v>
      </c>
      <c r="D3" s="1" t="s">
        <v>1185</v>
      </c>
      <c r="E3" s="1" t="s">
        <v>1186</v>
      </c>
      <c r="F3" s="1" t="s">
        <v>1187</v>
      </c>
      <c r="G3" s="1" t="s">
        <v>1188</v>
      </c>
      <c r="H3" s="1" t="s">
        <v>1</v>
      </c>
    </row>
    <row r="4" spans="1:8">
      <c r="B4" s="74">
        <v>46057</v>
      </c>
      <c r="C4" t="s">
        <v>361</v>
      </c>
      <c r="D4" t="s">
        <v>1189</v>
      </c>
      <c r="F4" t="s">
        <v>37</v>
      </c>
      <c r="H4" t="s">
        <v>361</v>
      </c>
    </row>
    <row r="5" spans="1:8">
      <c r="B5" s="74">
        <v>46058</v>
      </c>
      <c r="C5" t="s">
        <v>304</v>
      </c>
      <c r="D5" t="s">
        <v>1189</v>
      </c>
      <c r="F5" t="s">
        <v>37</v>
      </c>
      <c r="H5" t="s">
        <v>304</v>
      </c>
    </row>
    <row r="6" spans="1:8">
      <c r="B6" s="74">
        <v>46060</v>
      </c>
      <c r="C6" t="s">
        <v>29</v>
      </c>
      <c r="D6" t="s">
        <v>1189</v>
      </c>
      <c r="F6" t="s">
        <v>37</v>
      </c>
      <c r="H6" t="s">
        <v>29</v>
      </c>
    </row>
    <row r="7" spans="1:8">
      <c r="A7">
        <v>18005</v>
      </c>
      <c r="B7" s="13">
        <v>46062</v>
      </c>
      <c r="C7" t="s">
        <v>68</v>
      </c>
      <c r="D7" t="s">
        <v>1190</v>
      </c>
      <c r="E7" t="s">
        <v>1191</v>
      </c>
      <c r="F7" t="s">
        <v>37</v>
      </c>
      <c r="G7" t="s">
        <v>1192</v>
      </c>
      <c r="H7" t="s">
        <v>68</v>
      </c>
    </row>
    <row r="8" spans="1:8">
      <c r="A8">
        <v>18053</v>
      </c>
      <c r="B8" s="13">
        <v>46065</v>
      </c>
      <c r="C8" t="s">
        <v>383</v>
      </c>
      <c r="D8" t="s">
        <v>1189</v>
      </c>
      <c r="E8" t="s">
        <v>106</v>
      </c>
      <c r="F8" t="s">
        <v>23</v>
      </c>
      <c r="H8" t="s">
        <v>383</v>
      </c>
    </row>
    <row r="9" spans="1:8">
      <c r="A9">
        <v>18039</v>
      </c>
      <c r="B9" s="13">
        <v>46071</v>
      </c>
      <c r="C9" t="s">
        <v>498</v>
      </c>
      <c r="D9" t="s">
        <v>1193</v>
      </c>
      <c r="E9" t="s">
        <v>1194</v>
      </c>
      <c r="F9" t="s">
        <v>37</v>
      </c>
      <c r="H9" t="s">
        <v>498</v>
      </c>
    </row>
    <row r="10" spans="1:8">
      <c r="A10">
        <v>18043</v>
      </c>
      <c r="B10" s="13">
        <v>46072</v>
      </c>
      <c r="C10" t="s">
        <v>519</v>
      </c>
      <c r="D10" t="s">
        <v>1193</v>
      </c>
      <c r="E10" t="s">
        <v>320</v>
      </c>
      <c r="F10" t="s">
        <v>37</v>
      </c>
      <c r="H10" t="s">
        <v>519</v>
      </c>
    </row>
    <row r="11" spans="1:8">
      <c r="A11">
        <v>18093</v>
      </c>
      <c r="B11" s="13">
        <v>46072</v>
      </c>
      <c r="C11" t="s">
        <v>519</v>
      </c>
      <c r="D11" t="s">
        <v>1189</v>
      </c>
      <c r="E11" t="s">
        <v>1195</v>
      </c>
      <c r="F11" t="s">
        <v>37</v>
      </c>
      <c r="H11" t="s">
        <v>519</v>
      </c>
    </row>
    <row r="12" spans="1:8">
      <c r="A12">
        <v>18093</v>
      </c>
      <c r="B12" s="13">
        <v>46072</v>
      </c>
      <c r="C12" t="s">
        <v>523</v>
      </c>
      <c r="D12" t="s">
        <v>1189</v>
      </c>
      <c r="E12" t="s">
        <v>1195</v>
      </c>
      <c r="F12" t="s">
        <v>37</v>
      </c>
      <c r="H12" t="s">
        <v>523</v>
      </c>
    </row>
    <row r="13" spans="1:8">
      <c r="A13">
        <v>18206</v>
      </c>
      <c r="B13" s="13">
        <v>46073</v>
      </c>
      <c r="C13" t="s">
        <v>585</v>
      </c>
      <c r="D13" t="s">
        <v>1193</v>
      </c>
      <c r="E13" t="s">
        <v>737</v>
      </c>
      <c r="F13" t="s">
        <v>728</v>
      </c>
      <c r="H13" t="s">
        <v>585</v>
      </c>
    </row>
    <row r="14" spans="1:8">
      <c r="A14">
        <v>18207</v>
      </c>
      <c r="B14" s="13">
        <v>46073</v>
      </c>
      <c r="C14" t="s">
        <v>332</v>
      </c>
      <c r="D14" t="s">
        <v>1193</v>
      </c>
      <c r="E14" t="s">
        <v>737</v>
      </c>
      <c r="F14" t="s">
        <v>728</v>
      </c>
      <c r="H14" t="s">
        <v>332</v>
      </c>
    </row>
    <row r="15" spans="1:8">
      <c r="A15">
        <v>18208</v>
      </c>
      <c r="B15" s="13">
        <v>46073</v>
      </c>
      <c r="C15" t="s">
        <v>337</v>
      </c>
      <c r="D15" t="s">
        <v>1190</v>
      </c>
      <c r="E15" t="s">
        <v>737</v>
      </c>
      <c r="F15" t="s">
        <v>728</v>
      </c>
      <c r="H15" t="s">
        <v>337</v>
      </c>
    </row>
    <row r="16" spans="1:8">
      <c r="A16">
        <v>18049</v>
      </c>
      <c r="B16" s="13">
        <v>46073</v>
      </c>
      <c r="C16" t="s">
        <v>505</v>
      </c>
      <c r="D16" t="s">
        <v>1193</v>
      </c>
      <c r="E16" t="s">
        <v>320</v>
      </c>
      <c r="F16" t="s">
        <v>37</v>
      </c>
      <c r="H16" t="s">
        <v>505</v>
      </c>
    </row>
    <row r="17" spans="1:8">
      <c r="A17">
        <v>18253</v>
      </c>
      <c r="B17" s="13">
        <v>46073</v>
      </c>
      <c r="C17" t="s">
        <v>152</v>
      </c>
      <c r="D17" t="s">
        <v>1196</v>
      </c>
      <c r="E17" t="s">
        <v>320</v>
      </c>
      <c r="F17" t="s">
        <v>37</v>
      </c>
      <c r="G17" t="s">
        <v>1197</v>
      </c>
      <c r="H17" t="s">
        <v>152</v>
      </c>
    </row>
    <row r="18" spans="1:8">
      <c r="A18">
        <v>18225</v>
      </c>
      <c r="B18" s="13">
        <v>46077</v>
      </c>
      <c r="C18" t="s">
        <v>166</v>
      </c>
      <c r="D18" t="s">
        <v>1198</v>
      </c>
      <c r="E18" t="s">
        <v>737</v>
      </c>
      <c r="F18" t="s">
        <v>33</v>
      </c>
      <c r="H18" t="s">
        <v>166</v>
      </c>
    </row>
    <row r="19" spans="1:8">
      <c r="A19">
        <v>18226</v>
      </c>
      <c r="B19" s="13">
        <v>46077</v>
      </c>
      <c r="C19" t="s">
        <v>567</v>
      </c>
      <c r="D19" t="s">
        <v>1189</v>
      </c>
      <c r="E19" t="s">
        <v>1199</v>
      </c>
      <c r="F19" t="s">
        <v>50</v>
      </c>
      <c r="H19" t="s">
        <v>567</v>
      </c>
    </row>
    <row r="20" spans="1:8">
      <c r="A20">
        <v>18230</v>
      </c>
      <c r="B20" s="13">
        <v>46077</v>
      </c>
      <c r="C20" t="s">
        <v>422</v>
      </c>
      <c r="D20" t="s">
        <v>1189</v>
      </c>
      <c r="F20" t="s">
        <v>62</v>
      </c>
      <c r="H20" t="s">
        <v>422</v>
      </c>
    </row>
    <row r="21" spans="1:8">
      <c r="A21">
        <v>18236</v>
      </c>
      <c r="B21" s="13">
        <v>46078</v>
      </c>
      <c r="C21" t="s">
        <v>359</v>
      </c>
      <c r="D21" t="s">
        <v>1193</v>
      </c>
      <c r="E21" t="s">
        <v>1200</v>
      </c>
      <c r="F21" t="s">
        <v>33</v>
      </c>
      <c r="H21" t="s">
        <v>359</v>
      </c>
    </row>
    <row r="22" spans="1:8">
      <c r="A22">
        <v>18236</v>
      </c>
      <c r="B22" s="13">
        <v>46078</v>
      </c>
      <c r="C22" t="s">
        <v>381</v>
      </c>
      <c r="D22" t="s">
        <v>1193</v>
      </c>
      <c r="E22" t="s">
        <v>1200</v>
      </c>
      <c r="F22" t="s">
        <v>33</v>
      </c>
      <c r="H22" t="s">
        <v>381</v>
      </c>
    </row>
    <row r="23" spans="1:8">
      <c r="A23">
        <v>18264</v>
      </c>
      <c r="B23" s="13">
        <v>46078</v>
      </c>
      <c r="C23" t="s">
        <v>514</v>
      </c>
      <c r="D23" t="s">
        <v>1193</v>
      </c>
      <c r="E23" t="s">
        <v>320</v>
      </c>
      <c r="F23" t="s">
        <v>37</v>
      </c>
      <c r="H23" t="s">
        <v>514</v>
      </c>
    </row>
    <row r="24" spans="1:8">
      <c r="A24">
        <v>18246</v>
      </c>
      <c r="B24" s="13">
        <v>46079</v>
      </c>
      <c r="C24" t="s">
        <v>371</v>
      </c>
      <c r="D24" t="s">
        <v>1193</v>
      </c>
      <c r="E24" t="s">
        <v>1195</v>
      </c>
      <c r="F24" t="s">
        <v>713</v>
      </c>
      <c r="H24" t="s">
        <v>371</v>
      </c>
    </row>
    <row r="25" spans="1:8">
      <c r="A25">
        <v>18302</v>
      </c>
      <c r="B25" s="13">
        <v>46080</v>
      </c>
      <c r="C25" t="s">
        <v>93</v>
      </c>
      <c r="D25" t="s">
        <v>1189</v>
      </c>
      <c r="E25" t="s">
        <v>1195</v>
      </c>
      <c r="F25" t="s">
        <v>62</v>
      </c>
      <c r="H25" t="s">
        <v>93</v>
      </c>
    </row>
    <row r="26" spans="1:8">
      <c r="A26">
        <v>18304</v>
      </c>
      <c r="B26" s="13">
        <v>46080</v>
      </c>
      <c r="C26" t="s">
        <v>89</v>
      </c>
      <c r="D26" t="s">
        <v>1189</v>
      </c>
      <c r="F26" t="s">
        <v>50</v>
      </c>
      <c r="H26" t="s">
        <v>89</v>
      </c>
    </row>
    <row r="27" spans="1:8">
      <c r="A27">
        <v>18304</v>
      </c>
      <c r="B27" s="13">
        <v>46080</v>
      </c>
      <c r="C27" t="s">
        <v>86</v>
      </c>
      <c r="D27" t="s">
        <v>1189</v>
      </c>
      <c r="F27" t="s">
        <v>50</v>
      </c>
      <c r="H27" t="s">
        <v>86</v>
      </c>
    </row>
    <row r="28" spans="1:8">
      <c r="A28">
        <v>18305</v>
      </c>
      <c r="B28" s="13">
        <v>46080</v>
      </c>
      <c r="C28" t="s">
        <v>445</v>
      </c>
      <c r="D28" t="s">
        <v>1189</v>
      </c>
      <c r="F28" t="s">
        <v>50</v>
      </c>
      <c r="H28" t="s">
        <v>445</v>
      </c>
    </row>
    <row r="29" spans="1:8">
      <c r="A29">
        <v>18306</v>
      </c>
      <c r="B29" s="13">
        <v>46080</v>
      </c>
      <c r="C29" t="s">
        <v>136</v>
      </c>
      <c r="D29" t="s">
        <v>1189</v>
      </c>
      <c r="F29" t="s">
        <v>50</v>
      </c>
      <c r="H29" t="s">
        <v>136</v>
      </c>
    </row>
    <row r="30" spans="1:8">
      <c r="A30">
        <v>18307</v>
      </c>
      <c r="B30" s="13">
        <v>46080</v>
      </c>
      <c r="C30" t="s">
        <v>310</v>
      </c>
      <c r="D30" t="s">
        <v>1189</v>
      </c>
      <c r="F30" t="s">
        <v>50</v>
      </c>
      <c r="H30" t="s">
        <v>310</v>
      </c>
    </row>
    <row r="31" spans="1:8">
      <c r="A31">
        <v>18308</v>
      </c>
      <c r="B31" s="13">
        <v>46080</v>
      </c>
      <c r="C31" t="s">
        <v>448</v>
      </c>
      <c r="D31" t="s">
        <v>1190</v>
      </c>
      <c r="F31" t="s">
        <v>62</v>
      </c>
      <c r="G31" t="s">
        <v>1201</v>
      </c>
      <c r="H31" t="s">
        <v>448</v>
      </c>
    </row>
    <row r="32" spans="1:8">
      <c r="A32">
        <v>18310</v>
      </c>
      <c r="B32" s="13">
        <v>46080</v>
      </c>
      <c r="C32" t="s">
        <v>527</v>
      </c>
      <c r="D32" t="s">
        <v>1189</v>
      </c>
      <c r="F32" t="s">
        <v>50</v>
      </c>
      <c r="H32" t="s">
        <v>527</v>
      </c>
    </row>
    <row r="33" spans="1:8">
      <c r="A33">
        <v>18276</v>
      </c>
      <c r="B33" s="13">
        <v>46080</v>
      </c>
      <c r="C33" t="s">
        <v>96</v>
      </c>
      <c r="D33" t="s">
        <v>1190</v>
      </c>
      <c r="E33" t="s">
        <v>1202</v>
      </c>
      <c r="G33" t="s">
        <v>1203</v>
      </c>
      <c r="H33" t="s">
        <v>96</v>
      </c>
    </row>
    <row r="34" spans="1:8">
      <c r="A34">
        <v>18280</v>
      </c>
      <c r="B34" s="13">
        <v>46083</v>
      </c>
      <c r="C34" t="s">
        <v>351</v>
      </c>
      <c r="D34" t="s">
        <v>1193</v>
      </c>
      <c r="F34" t="s">
        <v>33</v>
      </c>
      <c r="H34" t="s">
        <v>351</v>
      </c>
    </row>
    <row r="35" spans="1:8">
      <c r="A35">
        <v>18284</v>
      </c>
      <c r="B35" s="13">
        <v>46083</v>
      </c>
      <c r="C35" t="s">
        <v>450</v>
      </c>
      <c r="D35" t="s">
        <v>1189</v>
      </c>
      <c r="E35" t="s">
        <v>535</v>
      </c>
      <c r="F35" t="s">
        <v>15</v>
      </c>
      <c r="H35" t="s">
        <v>450</v>
      </c>
    </row>
    <row r="36" spans="1:8">
      <c r="A36">
        <v>18288</v>
      </c>
      <c r="B36" s="13">
        <v>46083</v>
      </c>
      <c r="C36" t="s">
        <v>445</v>
      </c>
      <c r="D36" t="s">
        <v>1193</v>
      </c>
      <c r="F36" t="s">
        <v>33</v>
      </c>
      <c r="H36" t="s">
        <v>445</v>
      </c>
    </row>
    <row r="37" spans="1:8">
      <c r="A37">
        <v>18289</v>
      </c>
      <c r="B37" s="13">
        <v>46083</v>
      </c>
      <c r="C37" t="s">
        <v>456</v>
      </c>
      <c r="D37" t="s">
        <v>1196</v>
      </c>
      <c r="E37" t="s">
        <v>490</v>
      </c>
      <c r="F37" t="s">
        <v>728</v>
      </c>
      <c r="H37" t="s">
        <v>456</v>
      </c>
    </row>
    <row r="38" spans="1:8">
      <c r="B38" s="74">
        <v>46083</v>
      </c>
      <c r="C38" t="s">
        <v>631</v>
      </c>
      <c r="D38" t="s">
        <v>1189</v>
      </c>
      <c r="F38" t="s">
        <v>33</v>
      </c>
      <c r="H38" t="s">
        <v>631</v>
      </c>
    </row>
    <row r="39" spans="1:8">
      <c r="A39">
        <v>18322</v>
      </c>
      <c r="B39" s="13">
        <v>46084</v>
      </c>
      <c r="C39" t="s">
        <v>36</v>
      </c>
      <c r="D39" t="s">
        <v>1190</v>
      </c>
      <c r="E39" t="s">
        <v>320</v>
      </c>
      <c r="F39" t="s">
        <v>37</v>
      </c>
      <c r="G39" t="s">
        <v>1204</v>
      </c>
      <c r="H39" t="s">
        <v>36</v>
      </c>
    </row>
    <row r="40" spans="1:8">
      <c r="A40">
        <v>18332</v>
      </c>
      <c r="B40" s="13">
        <v>46085</v>
      </c>
      <c r="C40" t="s">
        <v>162</v>
      </c>
      <c r="D40" t="s">
        <v>1189</v>
      </c>
      <c r="E40" t="s">
        <v>1195</v>
      </c>
      <c r="F40" t="s">
        <v>62</v>
      </c>
      <c r="H40" t="s">
        <v>162</v>
      </c>
    </row>
    <row r="41" spans="1:8">
      <c r="A41">
        <v>18332</v>
      </c>
      <c r="B41" s="13">
        <v>46085</v>
      </c>
      <c r="C41" t="s">
        <v>500</v>
      </c>
      <c r="D41" t="s">
        <v>1189</v>
      </c>
      <c r="E41" t="s">
        <v>1195</v>
      </c>
      <c r="F41" t="s">
        <v>62</v>
      </c>
      <c r="H41" t="s">
        <v>500</v>
      </c>
    </row>
    <row r="42" spans="1:8">
      <c r="A42">
        <v>18337</v>
      </c>
      <c r="B42" s="13">
        <v>46085</v>
      </c>
      <c r="C42" t="s">
        <v>329</v>
      </c>
      <c r="D42" t="s">
        <v>1193</v>
      </c>
      <c r="E42" t="s">
        <v>1205</v>
      </c>
      <c r="F42" t="s">
        <v>326</v>
      </c>
      <c r="H42" t="s">
        <v>329</v>
      </c>
    </row>
    <row r="43" spans="1:8">
      <c r="A43">
        <v>18341</v>
      </c>
      <c r="B43" s="13">
        <v>46085</v>
      </c>
      <c r="C43" t="s">
        <v>306</v>
      </c>
      <c r="D43" t="s">
        <v>1189</v>
      </c>
      <c r="F43" t="s">
        <v>15</v>
      </c>
      <c r="H43" t="s">
        <v>306</v>
      </c>
    </row>
    <row r="44" spans="1:8">
      <c r="A44">
        <v>18265</v>
      </c>
      <c r="B44" s="14">
        <v>46086</v>
      </c>
      <c r="C44" t="s">
        <v>168</v>
      </c>
      <c r="D44" t="s">
        <v>1189</v>
      </c>
      <c r="E44" t="s">
        <v>81</v>
      </c>
      <c r="F44" t="s">
        <v>62</v>
      </c>
      <c r="H44" t="s">
        <v>168</v>
      </c>
    </row>
    <row r="45" spans="1:8">
      <c r="B45" s="74">
        <v>46086</v>
      </c>
      <c r="C45" t="s">
        <v>571</v>
      </c>
      <c r="D45" t="s">
        <v>1189</v>
      </c>
      <c r="F45" t="s">
        <v>37</v>
      </c>
      <c r="H45" t="s">
        <v>571</v>
      </c>
    </row>
    <row r="46" spans="1:8">
      <c r="B46" s="74">
        <v>46086</v>
      </c>
      <c r="C46" t="s">
        <v>292</v>
      </c>
      <c r="D46" t="s">
        <v>1189</v>
      </c>
      <c r="F46" t="s">
        <v>37</v>
      </c>
      <c r="H46" t="s">
        <v>292</v>
      </c>
    </row>
    <row r="47" spans="1:8">
      <c r="A47">
        <v>18360</v>
      </c>
      <c r="B47" s="13">
        <v>46087</v>
      </c>
      <c r="C47" t="s">
        <v>306</v>
      </c>
      <c r="D47" t="s">
        <v>1206</v>
      </c>
      <c r="E47" t="s">
        <v>1205</v>
      </c>
      <c r="F47" t="s">
        <v>15</v>
      </c>
      <c r="H47" t="s">
        <v>306</v>
      </c>
    </row>
    <row r="48" spans="1:8">
      <c r="A48">
        <v>18360</v>
      </c>
      <c r="B48" s="13">
        <v>46087</v>
      </c>
      <c r="C48" t="s">
        <v>521</v>
      </c>
      <c r="D48" t="s">
        <v>1189</v>
      </c>
      <c r="E48" t="s">
        <v>1205</v>
      </c>
      <c r="F48" t="s">
        <v>15</v>
      </c>
      <c r="H48" t="s">
        <v>521</v>
      </c>
    </row>
    <row r="49" spans="1:8">
      <c r="A49">
        <v>18361</v>
      </c>
      <c r="B49" s="13">
        <v>46087</v>
      </c>
      <c r="C49" t="s">
        <v>466</v>
      </c>
      <c r="D49" t="s">
        <v>1189</v>
      </c>
      <c r="E49" t="s">
        <v>1194</v>
      </c>
      <c r="H49" t="s">
        <v>466</v>
      </c>
    </row>
    <row r="50" spans="1:8">
      <c r="A50">
        <v>18408</v>
      </c>
      <c r="B50" s="13">
        <v>46087</v>
      </c>
      <c r="C50" t="s">
        <v>156</v>
      </c>
      <c r="D50" t="s">
        <v>1189</v>
      </c>
      <c r="E50" t="s">
        <v>737</v>
      </c>
      <c r="F50" t="s">
        <v>33</v>
      </c>
      <c r="H50" t="s">
        <v>156</v>
      </c>
    </row>
    <row r="51" spans="1:8">
      <c r="A51">
        <v>18409</v>
      </c>
      <c r="B51" s="13">
        <v>46087</v>
      </c>
      <c r="C51" t="s">
        <v>369</v>
      </c>
      <c r="D51" t="s">
        <v>1189</v>
      </c>
      <c r="E51" t="s">
        <v>737</v>
      </c>
      <c r="F51" t="s">
        <v>33</v>
      </c>
      <c r="H51" t="s">
        <v>369</v>
      </c>
    </row>
    <row r="52" spans="1:8">
      <c r="A52">
        <v>18409</v>
      </c>
      <c r="B52" s="13">
        <v>46087</v>
      </c>
      <c r="C52" t="s">
        <v>503</v>
      </c>
      <c r="D52" t="s">
        <v>1189</v>
      </c>
      <c r="E52" t="s">
        <v>737</v>
      </c>
      <c r="F52" t="s">
        <v>33</v>
      </c>
      <c r="H52" t="s">
        <v>503</v>
      </c>
    </row>
    <row r="53" spans="1:8">
      <c r="A53">
        <v>18410</v>
      </c>
      <c r="B53" s="13">
        <v>46087</v>
      </c>
      <c r="C53" t="s">
        <v>300</v>
      </c>
      <c r="D53" t="s">
        <v>1189</v>
      </c>
      <c r="E53" t="s">
        <v>737</v>
      </c>
      <c r="F53" t="s">
        <v>33</v>
      </c>
      <c r="H53" t="s">
        <v>300</v>
      </c>
    </row>
    <row r="54" spans="1:8">
      <c r="A54">
        <v>18411</v>
      </c>
      <c r="B54" s="13">
        <v>46087</v>
      </c>
      <c r="C54" t="s">
        <v>118</v>
      </c>
      <c r="D54" t="s">
        <v>1189</v>
      </c>
      <c r="E54" t="s">
        <v>737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136</v>
      </c>
      <c r="D55" t="s">
        <v>1190</v>
      </c>
      <c r="E55" t="s">
        <v>1207</v>
      </c>
      <c r="F55" t="s">
        <v>50</v>
      </c>
      <c r="G55" t="s">
        <v>1208</v>
      </c>
      <c r="H55" t="s">
        <v>136</v>
      </c>
    </row>
    <row r="56" spans="1:8">
      <c r="A56">
        <v>18430</v>
      </c>
      <c r="B56" s="13">
        <v>46090</v>
      </c>
      <c r="C56" t="s">
        <v>395</v>
      </c>
      <c r="D56" t="s">
        <v>1190</v>
      </c>
      <c r="E56" t="s">
        <v>1209</v>
      </c>
      <c r="F56" t="s">
        <v>592</v>
      </c>
      <c r="G56" t="s">
        <v>1210</v>
      </c>
      <c r="H56" t="s">
        <v>395</v>
      </c>
    </row>
    <row r="57" spans="1:8">
      <c r="A57">
        <v>18438</v>
      </c>
      <c r="B57" s="13">
        <v>46090</v>
      </c>
      <c r="C57" t="s">
        <v>398</v>
      </c>
      <c r="D57" t="s">
        <v>1189</v>
      </c>
      <c r="E57" t="s">
        <v>320</v>
      </c>
      <c r="F57" t="s">
        <v>728</v>
      </c>
      <c r="H57" t="s">
        <v>398</v>
      </c>
    </row>
    <row r="58" spans="1:8">
      <c r="B58" s="74">
        <v>46091</v>
      </c>
      <c r="C58" t="s">
        <v>42</v>
      </c>
      <c r="D58" t="s">
        <v>1189</v>
      </c>
      <c r="H58" t="s">
        <v>42</v>
      </c>
    </row>
    <row r="59" spans="1:8">
      <c r="A59">
        <v>18457</v>
      </c>
      <c r="B59" s="74">
        <v>46093</v>
      </c>
      <c r="C59" t="s">
        <v>433</v>
      </c>
      <c r="D59" t="s">
        <v>1189</v>
      </c>
      <c r="E59" t="s">
        <v>1195</v>
      </c>
      <c r="F59" t="s">
        <v>62</v>
      </c>
      <c r="H59" t="s">
        <v>433</v>
      </c>
    </row>
    <row r="60" spans="1:8">
      <c r="A60">
        <v>18458</v>
      </c>
      <c r="B60" s="74">
        <v>46093</v>
      </c>
      <c r="C60" t="s">
        <v>277</v>
      </c>
      <c r="D60" t="s">
        <v>1189</v>
      </c>
      <c r="E60" t="s">
        <v>1195</v>
      </c>
      <c r="F60" t="s">
        <v>62</v>
      </c>
      <c r="H60" t="s">
        <v>277</v>
      </c>
    </row>
    <row r="61" spans="1:8">
      <c r="A61">
        <v>18466</v>
      </c>
      <c r="B61" s="74">
        <v>46093</v>
      </c>
      <c r="C61" t="s">
        <v>258</v>
      </c>
      <c r="D61" t="s">
        <v>1189</v>
      </c>
      <c r="E61" t="s">
        <v>233</v>
      </c>
      <c r="F61" t="s">
        <v>23</v>
      </c>
      <c r="H61" t="s">
        <v>696</v>
      </c>
    </row>
    <row r="62" spans="1:8">
      <c r="B62" s="74">
        <v>46093</v>
      </c>
      <c r="C62" t="s">
        <v>665</v>
      </c>
      <c r="D62" t="s">
        <v>1189</v>
      </c>
      <c r="F62" t="s">
        <v>15</v>
      </c>
      <c r="H62" t="s">
        <v>665</v>
      </c>
    </row>
    <row r="63" spans="1:8">
      <c r="B63" s="74">
        <v>46093</v>
      </c>
      <c r="C63" t="s">
        <v>647</v>
      </c>
      <c r="D63" t="s">
        <v>1189</v>
      </c>
      <c r="F63" t="s">
        <v>37</v>
      </c>
      <c r="H63" t="s">
        <v>647</v>
      </c>
    </row>
    <row r="64" spans="1:8">
      <c r="B64" s="74">
        <v>46084</v>
      </c>
      <c r="C64" t="s">
        <v>91</v>
      </c>
      <c r="D64" t="s">
        <v>1189</v>
      </c>
      <c r="F64" t="s">
        <v>37</v>
      </c>
      <c r="H64" t="s">
        <v>91</v>
      </c>
    </row>
    <row r="65" spans="1:8" ht="15" customHeight="1">
      <c r="A65">
        <v>18384</v>
      </c>
      <c r="B65" s="74">
        <v>46094</v>
      </c>
      <c r="C65" t="s">
        <v>363</v>
      </c>
      <c r="D65" t="s">
        <v>1189</v>
      </c>
      <c r="E65" t="s">
        <v>1211</v>
      </c>
      <c r="F65" t="s">
        <v>15</v>
      </c>
      <c r="H65" t="s">
        <v>363</v>
      </c>
    </row>
    <row r="66" spans="1:8" ht="15" customHeight="1">
      <c r="B66" s="74">
        <v>46094</v>
      </c>
      <c r="C66" t="s">
        <v>386</v>
      </c>
      <c r="D66" t="s">
        <v>1189</v>
      </c>
      <c r="F66" t="s">
        <v>37</v>
      </c>
      <c r="H66" t="s">
        <v>386</v>
      </c>
    </row>
    <row r="67" spans="1:8" ht="15" customHeight="1">
      <c r="A67">
        <v>18390</v>
      </c>
      <c r="B67" s="74">
        <v>46097</v>
      </c>
      <c r="C67" t="s">
        <v>172</v>
      </c>
      <c r="D67" t="s">
        <v>1189</v>
      </c>
      <c r="E67" t="s">
        <v>1212</v>
      </c>
      <c r="F67" t="s">
        <v>33</v>
      </c>
      <c r="H67" t="s">
        <v>172</v>
      </c>
    </row>
    <row r="68" spans="1:8" ht="15" customHeight="1">
      <c r="A68">
        <v>18390</v>
      </c>
      <c r="B68" s="74">
        <v>46097</v>
      </c>
      <c r="C68" t="s">
        <v>179</v>
      </c>
      <c r="D68" t="s">
        <v>1189</v>
      </c>
      <c r="E68" t="s">
        <v>1212</v>
      </c>
      <c r="F68" t="s">
        <v>33</v>
      </c>
      <c r="H68" t="s">
        <v>179</v>
      </c>
    </row>
    <row r="69" spans="1:8" ht="15" customHeight="1">
      <c r="A69">
        <v>18389</v>
      </c>
      <c r="B69" s="74">
        <v>46097</v>
      </c>
      <c r="C69" t="s">
        <v>187</v>
      </c>
      <c r="D69" t="s">
        <v>1189</v>
      </c>
      <c r="E69" t="s">
        <v>1212</v>
      </c>
      <c r="F69" t="s">
        <v>33</v>
      </c>
      <c r="H69" t="s">
        <v>187</v>
      </c>
    </row>
    <row r="70" spans="1:8" ht="15" customHeight="1">
      <c r="A70">
        <v>18389</v>
      </c>
      <c r="B70" s="74">
        <v>46097</v>
      </c>
      <c r="C70" t="s">
        <v>182</v>
      </c>
      <c r="D70" t="s">
        <v>1189</v>
      </c>
      <c r="E70" t="s">
        <v>1212</v>
      </c>
      <c r="F70" t="s">
        <v>33</v>
      </c>
      <c r="H70" t="s">
        <v>182</v>
      </c>
    </row>
    <row r="71" spans="1:8" ht="15" customHeight="1">
      <c r="A71">
        <v>18387</v>
      </c>
      <c r="B71" s="74">
        <v>46097</v>
      </c>
      <c r="C71" t="s">
        <v>416</v>
      </c>
      <c r="D71" t="s">
        <v>1189</v>
      </c>
      <c r="E71" t="s">
        <v>1212</v>
      </c>
      <c r="F71" t="s">
        <v>33</v>
      </c>
      <c r="H71" t="s">
        <v>416</v>
      </c>
    </row>
    <row r="72" spans="1:8" ht="15" customHeight="1">
      <c r="A72">
        <v>18386</v>
      </c>
      <c r="B72" s="74">
        <v>46097</v>
      </c>
      <c r="C72" t="s">
        <v>381</v>
      </c>
      <c r="D72" t="s">
        <v>1189</v>
      </c>
      <c r="E72" t="s">
        <v>1212</v>
      </c>
      <c r="F72" t="s">
        <v>33</v>
      </c>
      <c r="H72" t="s">
        <v>381</v>
      </c>
    </row>
    <row r="73" spans="1:8" ht="15" customHeight="1">
      <c r="B73" s="74">
        <v>46098</v>
      </c>
      <c r="C73" t="s">
        <v>390</v>
      </c>
      <c r="D73" t="s">
        <v>1189</v>
      </c>
      <c r="F73" t="s">
        <v>37</v>
      </c>
      <c r="H73" t="s">
        <v>390</v>
      </c>
    </row>
    <row r="74" spans="1:8" ht="15" customHeight="1">
      <c r="A74">
        <v>18398</v>
      </c>
      <c r="B74" s="74">
        <v>46099</v>
      </c>
      <c r="C74" t="s">
        <v>517</v>
      </c>
      <c r="D74" t="s">
        <v>1189</v>
      </c>
      <c r="E74" t="s">
        <v>1205</v>
      </c>
      <c r="F74" t="s">
        <v>37</v>
      </c>
      <c r="H74" t="s">
        <v>517</v>
      </c>
    </row>
    <row r="75" spans="1:8" ht="15" customHeight="1">
      <c r="A75">
        <v>18397</v>
      </c>
      <c r="B75" s="74">
        <v>46099</v>
      </c>
      <c r="C75" t="s">
        <v>525</v>
      </c>
      <c r="D75" t="s">
        <v>1189</v>
      </c>
      <c r="E75" t="s">
        <v>1213</v>
      </c>
      <c r="F75" t="s">
        <v>37</v>
      </c>
      <c r="H75" t="s">
        <v>525</v>
      </c>
    </row>
    <row r="76" spans="1:8" ht="15" customHeight="1">
      <c r="B76" s="74">
        <v>46099</v>
      </c>
      <c r="C76" t="s">
        <v>82</v>
      </c>
      <c r="D76" t="s">
        <v>1189</v>
      </c>
      <c r="F76" t="s">
        <v>37</v>
      </c>
      <c r="H76" t="s">
        <v>82</v>
      </c>
    </row>
    <row r="77" spans="1:8" ht="15" customHeight="1">
      <c r="B77" s="74">
        <v>46100</v>
      </c>
      <c r="C77" t="s">
        <v>407</v>
      </c>
      <c r="D77" t="s">
        <v>1189</v>
      </c>
      <c r="F77" t="s">
        <v>37</v>
      </c>
      <c r="H77" t="s">
        <v>407</v>
      </c>
    </row>
    <row r="78" spans="1:8" ht="15" customHeight="1">
      <c r="B78" s="74">
        <v>46101</v>
      </c>
      <c r="C78" t="s">
        <v>47</v>
      </c>
      <c r="D78" t="s">
        <v>1189</v>
      </c>
      <c r="F78" t="s">
        <v>37</v>
      </c>
      <c r="H78" t="s">
        <v>47</v>
      </c>
    </row>
    <row r="79" spans="1:8" ht="15" customHeight="1">
      <c r="B79" s="74">
        <v>46101</v>
      </c>
      <c r="C79" t="s">
        <v>429</v>
      </c>
      <c r="D79" t="s">
        <v>1189</v>
      </c>
      <c r="F79" t="s">
        <v>37</v>
      </c>
      <c r="H79" t="s">
        <v>429</v>
      </c>
    </row>
    <row r="80" spans="1:8" ht="15" customHeight="1">
      <c r="B80" s="74">
        <v>46101</v>
      </c>
      <c r="C80" t="s">
        <v>410</v>
      </c>
      <c r="D80" t="s">
        <v>1189</v>
      </c>
      <c r="F80" t="s">
        <v>33</v>
      </c>
      <c r="H80" t="s">
        <v>410</v>
      </c>
    </row>
    <row r="81" spans="1:8" ht="15" customHeight="1">
      <c r="B81" s="74">
        <v>46101</v>
      </c>
      <c r="C81" t="s">
        <v>642</v>
      </c>
      <c r="D81" t="s">
        <v>1189</v>
      </c>
      <c r="H81" t="s">
        <v>642</v>
      </c>
    </row>
    <row r="82" spans="1:8" ht="15" customHeight="1">
      <c r="A82">
        <v>18400</v>
      </c>
      <c r="B82" s="74">
        <v>46104</v>
      </c>
      <c r="C82" t="s">
        <v>1214</v>
      </c>
      <c r="D82" t="s">
        <v>1189</v>
      </c>
      <c r="E82" t="s">
        <v>1205</v>
      </c>
      <c r="F82" t="s">
        <v>37</v>
      </c>
      <c r="H82" t="s">
        <v>1214</v>
      </c>
    </row>
    <row r="83" spans="1:8" ht="15" customHeight="1">
      <c r="B83" s="74">
        <v>46104</v>
      </c>
      <c r="C83" t="s">
        <v>207</v>
      </c>
      <c r="D83" t="s">
        <v>1189</v>
      </c>
      <c r="E83" t="s">
        <v>490</v>
      </c>
      <c r="F83" t="s">
        <v>33</v>
      </c>
      <c r="H83" t="s">
        <v>207</v>
      </c>
    </row>
    <row r="84" spans="1:8" ht="15" customHeight="1">
      <c r="B84" s="74">
        <v>46104</v>
      </c>
      <c r="C84" t="s">
        <v>419</v>
      </c>
      <c r="D84" t="s">
        <v>1189</v>
      </c>
      <c r="F84" t="s">
        <v>37</v>
      </c>
      <c r="H84" t="s">
        <v>419</v>
      </c>
    </row>
    <row r="85" spans="1:8" ht="15" customHeight="1">
      <c r="B85" s="74">
        <v>46105</v>
      </c>
      <c r="C85" t="s">
        <v>312</v>
      </c>
      <c r="D85" t="s">
        <v>1189</v>
      </c>
      <c r="E85" t="s">
        <v>472</v>
      </c>
      <c r="F85" t="s">
        <v>701</v>
      </c>
      <c r="H85" t="s">
        <v>312</v>
      </c>
    </row>
    <row r="86" spans="1:8" ht="15" customHeight="1">
      <c r="B86" s="74">
        <v>46105</v>
      </c>
      <c r="C86" t="s">
        <v>345</v>
      </c>
      <c r="D86" t="s">
        <v>1189</v>
      </c>
      <c r="E86" t="s">
        <v>472</v>
      </c>
      <c r="F86" t="s">
        <v>15</v>
      </c>
      <c r="H86" t="s">
        <v>345</v>
      </c>
    </row>
    <row r="87" spans="1:8" ht="15" customHeight="1">
      <c r="B87" s="74">
        <v>46105</v>
      </c>
      <c r="C87" t="s">
        <v>323</v>
      </c>
      <c r="D87" t="s">
        <v>1189</v>
      </c>
      <c r="E87" t="s">
        <v>472</v>
      </c>
      <c r="F87" t="s">
        <v>326</v>
      </c>
      <c r="H87" t="s">
        <v>323</v>
      </c>
    </row>
    <row r="88" spans="1:8" ht="15" customHeight="1">
      <c r="B88" s="74">
        <v>46105</v>
      </c>
      <c r="C88" t="s">
        <v>234</v>
      </c>
      <c r="D88" t="s">
        <v>1189</v>
      </c>
      <c r="E88" t="s">
        <v>106</v>
      </c>
      <c r="F88" t="s">
        <v>33</v>
      </c>
      <c r="H88" t="s">
        <v>234</v>
      </c>
    </row>
    <row r="89" spans="1:8" ht="15" customHeight="1">
      <c r="B89" s="74">
        <v>46105</v>
      </c>
      <c r="C89" t="s">
        <v>252</v>
      </c>
      <c r="D89" t="s">
        <v>1189</v>
      </c>
      <c r="E89" t="s">
        <v>106</v>
      </c>
      <c r="F89" t="s">
        <v>33</v>
      </c>
      <c r="H89" t="s">
        <v>252</v>
      </c>
    </row>
    <row r="90" spans="1:8" ht="15" customHeight="1">
      <c r="B90" s="74">
        <v>46105</v>
      </c>
      <c r="C90" t="s">
        <v>32</v>
      </c>
      <c r="D90" t="s">
        <v>1189</v>
      </c>
      <c r="E90" t="s">
        <v>106</v>
      </c>
      <c r="F90" t="s">
        <v>33</v>
      </c>
      <c r="H90" t="s">
        <v>32</v>
      </c>
    </row>
    <row r="91" spans="1:8" ht="15" customHeight="1">
      <c r="B91" s="74">
        <v>46105</v>
      </c>
      <c r="C91" t="s">
        <v>170</v>
      </c>
      <c r="D91" t="s">
        <v>1189</v>
      </c>
      <c r="E91" t="s">
        <v>106</v>
      </c>
      <c r="F91" t="s">
        <v>33</v>
      </c>
      <c r="H91" t="s">
        <v>170</v>
      </c>
    </row>
    <row r="92" spans="1:8" ht="15" customHeight="1">
      <c r="A92">
        <v>18560</v>
      </c>
      <c r="B92" s="74">
        <v>46106</v>
      </c>
      <c r="C92" t="s">
        <v>1215</v>
      </c>
      <c r="D92" t="s">
        <v>1189</v>
      </c>
      <c r="F92" t="s">
        <v>37</v>
      </c>
      <c r="H92" t="s">
        <v>1215</v>
      </c>
    </row>
    <row r="93" spans="1:8" ht="15" customHeight="1">
      <c r="A93">
        <v>18561</v>
      </c>
      <c r="B93" s="74">
        <v>46106</v>
      </c>
      <c r="C93" t="s">
        <v>387</v>
      </c>
      <c r="D93" t="s">
        <v>1189</v>
      </c>
      <c r="F93" t="s">
        <v>1216</v>
      </c>
      <c r="H93" t="s">
        <v>387</v>
      </c>
    </row>
    <row r="94" spans="1:8" ht="15" customHeight="1">
      <c r="A94">
        <v>18570</v>
      </c>
      <c r="B94" s="74">
        <v>46111</v>
      </c>
      <c r="C94" t="s">
        <v>389</v>
      </c>
      <c r="D94" t="s">
        <v>1189</v>
      </c>
      <c r="E94" t="s">
        <v>1211</v>
      </c>
      <c r="F94" t="s">
        <v>1216</v>
      </c>
      <c r="H94" t="s">
        <v>389</v>
      </c>
    </row>
    <row r="95" spans="1:8" ht="15" customHeight="1">
      <c r="B95" s="74">
        <v>46111</v>
      </c>
      <c r="C95" t="s">
        <v>262</v>
      </c>
      <c r="D95" t="s">
        <v>1189</v>
      </c>
      <c r="F95" t="s">
        <v>37</v>
      </c>
      <c r="H95" t="s">
        <v>262</v>
      </c>
    </row>
    <row r="96" spans="1:8" ht="15" customHeight="1">
      <c r="B96" s="74">
        <v>46113</v>
      </c>
      <c r="C96" t="s">
        <v>12</v>
      </c>
      <c r="D96" t="s">
        <v>1189</v>
      </c>
      <c r="F96" t="s">
        <v>37</v>
      </c>
      <c r="H96" t="s">
        <v>12</v>
      </c>
    </row>
    <row r="97" spans="1:8" ht="15" customHeight="1">
      <c r="B97" s="74">
        <v>46118</v>
      </c>
      <c r="C97" t="s">
        <v>471</v>
      </c>
      <c r="D97" t="s">
        <v>1189</v>
      </c>
      <c r="F97" t="s">
        <v>37</v>
      </c>
      <c r="H97" t="s">
        <v>471</v>
      </c>
    </row>
    <row r="98" spans="1:8" ht="15" customHeight="1">
      <c r="B98" s="74">
        <v>46118</v>
      </c>
      <c r="C98" t="s">
        <v>587</v>
      </c>
      <c r="D98" t="s">
        <v>1189</v>
      </c>
      <c r="F98" t="s">
        <v>37</v>
      </c>
      <c r="H98" t="s">
        <v>587</v>
      </c>
    </row>
    <row r="99" spans="1:8" ht="15" customHeight="1">
      <c r="B99" s="74">
        <v>46118</v>
      </c>
      <c r="C99" t="s">
        <v>613</v>
      </c>
      <c r="D99" t="s">
        <v>1189</v>
      </c>
      <c r="F99" t="s">
        <v>37</v>
      </c>
      <c r="H99" t="s">
        <v>613</v>
      </c>
    </row>
    <row r="100" spans="1:8" ht="15" customHeight="1">
      <c r="B100" s="74">
        <v>46118</v>
      </c>
      <c r="C100" t="s">
        <v>512</v>
      </c>
      <c r="D100" t="s">
        <v>1189</v>
      </c>
      <c r="F100" t="s">
        <v>37</v>
      </c>
      <c r="H100" t="s">
        <v>512</v>
      </c>
    </row>
    <row r="101" spans="1:8" ht="15" customHeight="1">
      <c r="B101" s="74">
        <v>46118</v>
      </c>
      <c r="C101" t="s">
        <v>639</v>
      </c>
      <c r="D101" t="s">
        <v>1189</v>
      </c>
      <c r="F101" t="s">
        <v>37</v>
      </c>
      <c r="H101" t="s">
        <v>639</v>
      </c>
    </row>
    <row r="102" spans="1:8" ht="15" customHeight="1">
      <c r="A102">
        <v>18585</v>
      </c>
      <c r="B102" s="74">
        <v>46118</v>
      </c>
      <c r="C102" t="s">
        <v>609</v>
      </c>
      <c r="D102" t="s">
        <v>1189</v>
      </c>
      <c r="E102" t="s">
        <v>1205</v>
      </c>
      <c r="F102" t="s">
        <v>1216</v>
      </c>
      <c r="H102" t="s">
        <v>609</v>
      </c>
    </row>
    <row r="103" spans="1:8" ht="15" customHeight="1">
      <c r="B103" s="74">
        <v>46118</v>
      </c>
      <c r="C103" t="s">
        <v>623</v>
      </c>
      <c r="D103" t="s">
        <v>1189</v>
      </c>
      <c r="F103" t="s">
        <v>37</v>
      </c>
      <c r="H103" t="s">
        <v>623</v>
      </c>
    </row>
    <row r="104" spans="1:8" ht="15" customHeight="1">
      <c r="B104" s="74">
        <v>46118</v>
      </c>
      <c r="C104" t="s">
        <v>644</v>
      </c>
      <c r="D104" t="s">
        <v>1189</v>
      </c>
      <c r="H104" t="s">
        <v>644</v>
      </c>
    </row>
    <row r="105" spans="1:8" ht="15" customHeight="1">
      <c r="B105" s="74">
        <v>46119</v>
      </c>
      <c r="C105" t="s">
        <v>629</v>
      </c>
      <c r="D105" t="s">
        <v>1189</v>
      </c>
      <c r="F105" t="s">
        <v>701</v>
      </c>
      <c r="H105" t="s">
        <v>629</v>
      </c>
    </row>
    <row r="106" spans="1:8" ht="15" customHeight="1">
      <c r="A106">
        <v>18589</v>
      </c>
      <c r="B106" s="74">
        <v>46119</v>
      </c>
      <c r="C106" t="s">
        <v>505</v>
      </c>
      <c r="D106" t="s">
        <v>1189</v>
      </c>
      <c r="E106" t="s">
        <v>1217</v>
      </c>
      <c r="F106" t="s">
        <v>1216</v>
      </c>
      <c r="H106" t="s">
        <v>505</v>
      </c>
    </row>
    <row r="107" spans="1:8" ht="15" customHeight="1">
      <c r="B107" s="74">
        <v>46119</v>
      </c>
      <c r="C107" t="s">
        <v>626</v>
      </c>
      <c r="D107" t="s">
        <v>1189</v>
      </c>
      <c r="F107" t="s">
        <v>37</v>
      </c>
      <c r="H107" t="s">
        <v>626</v>
      </c>
    </row>
    <row r="108" spans="1:8" ht="15" customHeight="1">
      <c r="B108" s="74">
        <v>46120</v>
      </c>
      <c r="C108" t="s">
        <v>280</v>
      </c>
      <c r="D108" t="s">
        <v>1189</v>
      </c>
      <c r="F108" t="s">
        <v>37</v>
      </c>
      <c r="H108" t="s">
        <v>280</v>
      </c>
    </row>
    <row r="109" spans="1:8" ht="15" customHeight="1">
      <c r="B109" s="74">
        <v>46121</v>
      </c>
      <c r="C109" t="s">
        <v>122</v>
      </c>
      <c r="D109" t="s">
        <v>1189</v>
      </c>
      <c r="F109" t="s">
        <v>37</v>
      </c>
      <c r="H109" t="s">
        <v>122</v>
      </c>
    </row>
    <row r="110" spans="1:8" ht="15" customHeight="1">
      <c r="B110" s="74">
        <v>46121</v>
      </c>
      <c r="C110" t="s">
        <v>201</v>
      </c>
      <c r="D110" t="s">
        <v>1189</v>
      </c>
      <c r="F110" t="s">
        <v>37</v>
      </c>
      <c r="H110" t="s">
        <v>201</v>
      </c>
    </row>
    <row r="111" spans="1:8" ht="15" customHeight="1">
      <c r="A111">
        <v>18592</v>
      </c>
      <c r="B111" s="74">
        <v>46125</v>
      </c>
      <c r="C111" t="s">
        <v>635</v>
      </c>
      <c r="D111" t="s">
        <v>1189</v>
      </c>
      <c r="F111" t="s">
        <v>37</v>
      </c>
      <c r="H111" t="s">
        <v>635</v>
      </c>
    </row>
    <row r="112" spans="1:8" ht="15" customHeight="1">
      <c r="A112">
        <v>18908</v>
      </c>
      <c r="B112" s="74">
        <v>46126</v>
      </c>
      <c r="C112" t="s">
        <v>639</v>
      </c>
      <c r="D112" t="s">
        <v>1189</v>
      </c>
      <c r="E112" t="s">
        <v>495</v>
      </c>
      <c r="F112" t="s">
        <v>37</v>
      </c>
      <c r="H112" t="s">
        <v>639</v>
      </c>
    </row>
    <row r="113" spans="1:8" ht="15" customHeight="1">
      <c r="A113">
        <v>18912</v>
      </c>
      <c r="B113" s="74">
        <v>46126</v>
      </c>
      <c r="C113" t="s">
        <v>498</v>
      </c>
      <c r="D113" t="s">
        <v>1189</v>
      </c>
      <c r="E113" t="s">
        <v>1194</v>
      </c>
      <c r="F113" t="s">
        <v>37</v>
      </c>
      <c r="H113" t="s">
        <v>498</v>
      </c>
    </row>
    <row r="114" spans="1:8" ht="15" customHeight="1">
      <c r="A114">
        <v>18943</v>
      </c>
      <c r="B114" s="74">
        <v>46129</v>
      </c>
      <c r="C114" t="s">
        <v>607</v>
      </c>
      <c r="D114" t="s">
        <v>1189</v>
      </c>
      <c r="E114" t="s">
        <v>1205</v>
      </c>
      <c r="F114" t="s">
        <v>37</v>
      </c>
      <c r="H114" t="s">
        <v>607</v>
      </c>
    </row>
    <row r="115" spans="1:8" ht="15" customHeight="1">
      <c r="A115">
        <v>18945</v>
      </c>
      <c r="B115" s="74">
        <v>46129</v>
      </c>
      <c r="C115" t="s">
        <v>104</v>
      </c>
      <c r="D115" t="s">
        <v>1189</v>
      </c>
      <c r="E115" t="s">
        <v>1211</v>
      </c>
      <c r="F115" t="s">
        <v>37</v>
      </c>
      <c r="H115" t="s">
        <v>104</v>
      </c>
    </row>
    <row r="116" spans="1:8" ht="15" customHeight="1">
      <c r="B116" s="74">
        <v>46133</v>
      </c>
      <c r="C116" t="s">
        <v>359</v>
      </c>
      <c r="D116" t="s">
        <v>1193</v>
      </c>
      <c r="F116" t="s">
        <v>62</v>
      </c>
      <c r="H116" t="s">
        <v>359</v>
      </c>
    </row>
    <row r="117" spans="1:8" ht="15" customHeight="1">
      <c r="B117" s="74">
        <v>46135</v>
      </c>
      <c r="C117" t="s">
        <v>542</v>
      </c>
      <c r="D117" t="s">
        <v>1189</v>
      </c>
      <c r="F117" t="s">
        <v>37</v>
      </c>
      <c r="H117" t="s">
        <v>542</v>
      </c>
    </row>
    <row r="118" spans="1:8" ht="15" customHeight="1">
      <c r="A118">
        <v>19007</v>
      </c>
      <c r="B118" s="74">
        <v>46132</v>
      </c>
      <c r="C118" t="s">
        <v>519</v>
      </c>
      <c r="D118" t="s">
        <v>1189</v>
      </c>
      <c r="E118" t="s">
        <v>1217</v>
      </c>
      <c r="F118" t="s">
        <v>37</v>
      </c>
      <c r="H118" t="s">
        <v>519</v>
      </c>
    </row>
    <row r="119" spans="1:8" ht="15" customHeight="1">
      <c r="A119">
        <v>19009</v>
      </c>
      <c r="B119" s="74">
        <v>46132</v>
      </c>
      <c r="C119" t="s">
        <v>613</v>
      </c>
      <c r="D119" t="s">
        <v>1189</v>
      </c>
      <c r="E119" t="s">
        <v>1212</v>
      </c>
      <c r="F119" t="s">
        <v>33</v>
      </c>
      <c r="H119" t="s">
        <v>613</v>
      </c>
    </row>
    <row r="120" spans="1:8" ht="15" customHeight="1">
      <c r="A120">
        <v>19009</v>
      </c>
      <c r="B120" s="74">
        <v>46132</v>
      </c>
      <c r="C120" t="s">
        <v>510</v>
      </c>
      <c r="D120" t="s">
        <v>1189</v>
      </c>
      <c r="E120" t="s">
        <v>1212</v>
      </c>
      <c r="F120" t="s">
        <v>33</v>
      </c>
      <c r="H120" t="s">
        <v>510</v>
      </c>
    </row>
    <row r="121" spans="1:8" ht="15" customHeight="1">
      <c r="A121">
        <v>19020</v>
      </c>
      <c r="B121" s="74">
        <v>46132</v>
      </c>
      <c r="C121" t="s">
        <v>410</v>
      </c>
      <c r="D121" t="s">
        <v>1189</v>
      </c>
      <c r="E121" t="s">
        <v>490</v>
      </c>
      <c r="H121" t="s">
        <v>410</v>
      </c>
    </row>
    <row r="122" spans="1:8" ht="15" customHeight="1">
      <c r="A122">
        <v>19024</v>
      </c>
      <c r="B122" s="74">
        <v>46133</v>
      </c>
      <c r="C122" t="s">
        <v>629</v>
      </c>
      <c r="D122" t="s">
        <v>1189</v>
      </c>
      <c r="E122" t="s">
        <v>1205</v>
      </c>
      <c r="F122" t="s">
        <v>37</v>
      </c>
      <c r="H122" t="s">
        <v>629</v>
      </c>
    </row>
    <row r="123" spans="1:8" ht="15" customHeight="1">
      <c r="A123">
        <v>19032</v>
      </c>
      <c r="B123" s="74">
        <v>46134</v>
      </c>
      <c r="C123" t="s">
        <v>456</v>
      </c>
      <c r="D123" t="s">
        <v>1189</v>
      </c>
      <c r="E123" t="s">
        <v>472</v>
      </c>
      <c r="F123" t="s">
        <v>62</v>
      </c>
      <c r="H123" t="s">
        <v>456</v>
      </c>
    </row>
    <row r="124" spans="1:8" ht="15" customHeight="1">
      <c r="A124">
        <v>19045</v>
      </c>
      <c r="B124" s="74">
        <v>46134</v>
      </c>
      <c r="C124" t="s">
        <v>64</v>
      </c>
      <c r="D124" t="s">
        <v>1189</v>
      </c>
      <c r="E124" t="s">
        <v>1218</v>
      </c>
      <c r="F124" t="s">
        <v>33</v>
      </c>
      <c r="H124" t="s">
        <v>64</v>
      </c>
    </row>
    <row r="125" spans="1:8" ht="15" customHeight="1">
      <c r="A125">
        <v>19045</v>
      </c>
      <c r="B125" s="74">
        <v>46134</v>
      </c>
      <c r="C125" t="s">
        <v>381</v>
      </c>
      <c r="D125" t="s">
        <v>1189</v>
      </c>
      <c r="E125" t="s">
        <v>1218</v>
      </c>
      <c r="F125" t="s">
        <v>33</v>
      </c>
      <c r="H125" t="s">
        <v>381</v>
      </c>
    </row>
    <row r="126" spans="1:8" ht="15" customHeight="1">
      <c r="A126">
        <v>19558</v>
      </c>
      <c r="B126" s="74">
        <v>46146</v>
      </c>
      <c r="C126" t="s">
        <v>442</v>
      </c>
      <c r="D126" t="s">
        <v>1189</v>
      </c>
      <c r="E126" t="s">
        <v>1212</v>
      </c>
      <c r="F126" t="s">
        <v>33</v>
      </c>
      <c r="H126" t="s">
        <v>442</v>
      </c>
    </row>
    <row r="127" spans="1:8" ht="15" customHeight="1">
      <c r="A127">
        <v>19565</v>
      </c>
      <c r="B127" s="74">
        <v>46146</v>
      </c>
      <c r="C127" t="s">
        <v>122</v>
      </c>
      <c r="D127" t="s">
        <v>1189</v>
      </c>
      <c r="E127" t="s">
        <v>1217</v>
      </c>
      <c r="F127" t="s">
        <v>37</v>
      </c>
      <c r="H127" t="s">
        <v>122</v>
      </c>
    </row>
    <row r="128" spans="1:8" ht="15" customHeight="1">
      <c r="A128">
        <v>19568</v>
      </c>
      <c r="B128" s="74">
        <v>46146</v>
      </c>
      <c r="C128" t="s">
        <v>534</v>
      </c>
      <c r="D128" t="s">
        <v>1189</v>
      </c>
      <c r="E128" t="s">
        <v>1217</v>
      </c>
      <c r="F128" t="s">
        <v>37</v>
      </c>
      <c r="H128" t="s">
        <v>534</v>
      </c>
    </row>
    <row r="129" spans="1:8" ht="15" customHeight="1">
      <c r="A129">
        <v>19569</v>
      </c>
      <c r="B129" s="74">
        <v>46147</v>
      </c>
      <c r="C129" t="s">
        <v>366</v>
      </c>
      <c r="D129" t="s">
        <v>1189</v>
      </c>
      <c r="E129" t="s">
        <v>472</v>
      </c>
      <c r="F129" t="s">
        <v>37</v>
      </c>
      <c r="H129" t="s">
        <v>366</v>
      </c>
    </row>
    <row r="130" spans="1:8" ht="15" customHeight="1">
      <c r="A130">
        <v>19584</v>
      </c>
      <c r="B130" s="74">
        <v>46147</v>
      </c>
      <c r="C130" t="s">
        <v>460</v>
      </c>
      <c r="D130" t="s">
        <v>1189</v>
      </c>
      <c r="E130" t="s">
        <v>1217</v>
      </c>
      <c r="F130" t="s">
        <v>37</v>
      </c>
      <c r="H130" t="s">
        <v>460</v>
      </c>
    </row>
    <row r="131" spans="1:8" ht="15" customHeight="1">
      <c r="A131">
        <v>19586</v>
      </c>
      <c r="B131" s="74">
        <v>46148</v>
      </c>
      <c r="C131" t="s">
        <v>452</v>
      </c>
      <c r="D131" t="s">
        <v>1189</v>
      </c>
      <c r="E131" t="s">
        <v>472</v>
      </c>
      <c r="F131" t="s">
        <v>15</v>
      </c>
      <c r="H131" t="s">
        <v>452</v>
      </c>
    </row>
    <row r="132" spans="1:8" ht="15" customHeight="1">
      <c r="A132">
        <v>19586</v>
      </c>
      <c r="B132" s="74">
        <v>46148</v>
      </c>
      <c r="C132" t="s">
        <v>358</v>
      </c>
      <c r="D132" t="s">
        <v>1189</v>
      </c>
      <c r="E132" t="s">
        <v>472</v>
      </c>
      <c r="F132" t="s">
        <v>15</v>
      </c>
      <c r="H132" t="s">
        <v>358</v>
      </c>
    </row>
    <row r="133" spans="1:8" ht="15" customHeight="1">
      <c r="A133">
        <v>19587</v>
      </c>
      <c r="B133" s="74">
        <v>46148</v>
      </c>
      <c r="C133" t="s">
        <v>300</v>
      </c>
      <c r="D133" t="s">
        <v>1189</v>
      </c>
      <c r="E133" t="s">
        <v>81</v>
      </c>
      <c r="F133" t="s">
        <v>33</v>
      </c>
      <c r="H133" t="s">
        <v>300</v>
      </c>
    </row>
    <row r="134" spans="1:8" ht="15" customHeight="1">
      <c r="A134">
        <v>19588</v>
      </c>
      <c r="B134" s="74">
        <v>46148</v>
      </c>
      <c r="C134" t="s">
        <v>107</v>
      </c>
      <c r="D134" t="s">
        <v>1189</v>
      </c>
      <c r="E134" t="s">
        <v>81</v>
      </c>
      <c r="F134" t="s">
        <v>33</v>
      </c>
      <c r="H134" t="s">
        <v>107</v>
      </c>
    </row>
    <row r="135" spans="1:8" ht="15" customHeight="1">
      <c r="A135">
        <v>19589</v>
      </c>
      <c r="B135" s="74">
        <v>46148</v>
      </c>
      <c r="C135" t="s">
        <v>337</v>
      </c>
      <c r="D135" t="s">
        <v>1189</v>
      </c>
      <c r="E135" t="s">
        <v>81</v>
      </c>
      <c r="F135" t="s">
        <v>33</v>
      </c>
      <c r="H135" t="s">
        <v>337</v>
      </c>
    </row>
    <row r="136" spans="1:8" ht="15" customHeight="1">
      <c r="A136">
        <v>19590</v>
      </c>
      <c r="B136" s="74">
        <v>46148</v>
      </c>
      <c r="C136" t="s">
        <v>351</v>
      </c>
      <c r="D136" t="s">
        <v>1189</v>
      </c>
      <c r="E136" t="s">
        <v>495</v>
      </c>
      <c r="H136" t="s">
        <v>351</v>
      </c>
    </row>
    <row r="137" spans="1:8" ht="15" customHeight="1">
      <c r="A137">
        <v>19600</v>
      </c>
      <c r="B137" s="74">
        <v>46149</v>
      </c>
      <c r="C137" t="s">
        <v>292</v>
      </c>
      <c r="D137" t="s">
        <v>1189</v>
      </c>
      <c r="E137" t="s">
        <v>472</v>
      </c>
      <c r="F137" t="s">
        <v>23</v>
      </c>
      <c r="H137" t="s">
        <v>292</v>
      </c>
    </row>
    <row r="138" spans="1:8" ht="15" customHeight="1">
      <c r="A138">
        <v>19133</v>
      </c>
      <c r="B138" s="74">
        <v>46153</v>
      </c>
      <c r="C138" t="s">
        <v>136</v>
      </c>
      <c r="D138" t="s">
        <v>1189</v>
      </c>
      <c r="E138" t="s">
        <v>1212</v>
      </c>
      <c r="F138" t="s">
        <v>33</v>
      </c>
      <c r="H138" t="s">
        <v>136</v>
      </c>
    </row>
    <row r="139" spans="1:8" ht="15" customHeight="1">
      <c r="A139">
        <v>19138</v>
      </c>
      <c r="B139" s="74">
        <v>46153</v>
      </c>
      <c r="C139" t="s">
        <v>152</v>
      </c>
      <c r="D139" t="s">
        <v>1189</v>
      </c>
      <c r="E139" t="s">
        <v>1217</v>
      </c>
      <c r="F139" t="s">
        <v>37</v>
      </c>
      <c r="H139" t="s">
        <v>152</v>
      </c>
    </row>
    <row r="140" spans="1:8" ht="15" customHeight="1">
      <c r="A140">
        <v>19144</v>
      </c>
      <c r="B140" s="74">
        <v>46153</v>
      </c>
      <c r="C140" t="s">
        <v>456</v>
      </c>
      <c r="D140" t="s">
        <v>1189</v>
      </c>
      <c r="E140" t="s">
        <v>320</v>
      </c>
      <c r="F140" t="s">
        <v>33</v>
      </c>
      <c r="H140" t="s">
        <v>456</v>
      </c>
    </row>
    <row r="141" spans="1:8" ht="15" customHeight="1">
      <c r="B141" s="74">
        <v>46125</v>
      </c>
      <c r="C141" t="s">
        <v>19</v>
      </c>
      <c r="D141" t="s">
        <v>1189</v>
      </c>
      <c r="H141" t="s">
        <v>19</v>
      </c>
    </row>
    <row r="142" spans="1:8" ht="15" customHeight="1">
      <c r="B142" s="74">
        <v>46044</v>
      </c>
      <c r="C142" t="s">
        <v>35</v>
      </c>
      <c r="D142" t="s">
        <v>1189</v>
      </c>
      <c r="H142" t="s">
        <v>35</v>
      </c>
    </row>
    <row r="143" spans="1:8" ht="15" customHeight="1">
      <c r="B143" s="74">
        <v>46169</v>
      </c>
      <c r="C143" t="s">
        <v>128</v>
      </c>
      <c r="D143" t="s">
        <v>1189</v>
      </c>
      <c r="F143" t="s">
        <v>15</v>
      </c>
      <c r="H143" t="s">
        <v>128</v>
      </c>
    </row>
    <row r="144" spans="1:8" ht="15" customHeight="1">
      <c r="B144" s="74">
        <v>46169</v>
      </c>
      <c r="C144" t="s">
        <v>262</v>
      </c>
      <c r="D144" t="s">
        <v>1189</v>
      </c>
      <c r="F144" t="s">
        <v>326</v>
      </c>
      <c r="H144" t="s">
        <v>262</v>
      </c>
    </row>
    <row r="145" spans="2:8" ht="15" customHeight="1">
      <c r="B145" s="74">
        <v>46162</v>
      </c>
      <c r="C145" t="s">
        <v>59</v>
      </c>
      <c r="D145" t="s">
        <v>1189</v>
      </c>
      <c r="F145" t="s">
        <v>15</v>
      </c>
      <c r="H145" t="s">
        <v>59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189" activePane="bottomLeft" state="frozen"/>
      <selection pane="bottomLeft" activeCell="L18" sqref="L18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4" t="s">
        <v>1219</v>
      </c>
      <c r="B1" s="94"/>
      <c r="C1" s="94"/>
      <c r="D1" s="94"/>
      <c r="E1" s="94"/>
      <c r="F1" s="94"/>
      <c r="G1" s="79"/>
      <c r="H1" s="15"/>
      <c r="I1" s="15"/>
      <c r="J1" s="15"/>
      <c r="K1" s="15"/>
      <c r="L1" s="15"/>
      <c r="Y1" s="74"/>
    </row>
    <row r="2" spans="1:36">
      <c r="A2" s="94"/>
      <c r="B2" s="94"/>
      <c r="C2" s="94"/>
      <c r="D2" s="94"/>
      <c r="E2" s="94"/>
      <c r="F2" s="94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1220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1221</v>
      </c>
      <c r="M3" s="77" t="s">
        <v>1222</v>
      </c>
      <c r="N3" s="77" t="s">
        <v>1223</v>
      </c>
      <c r="O3" s="77" t="s">
        <v>1224</v>
      </c>
      <c r="P3" s="17" t="s">
        <v>1225</v>
      </c>
      <c r="Q3" s="16" t="s">
        <v>1226</v>
      </c>
      <c r="R3" s="16" t="s">
        <v>1227</v>
      </c>
      <c r="S3" s="16" t="s">
        <v>1228</v>
      </c>
      <c r="T3" s="17" t="s">
        <v>1229</v>
      </c>
      <c r="U3" s="16" t="s">
        <v>1230</v>
      </c>
      <c r="V3" s="17" t="s">
        <v>1231</v>
      </c>
      <c r="W3" s="17" t="s">
        <v>1232</v>
      </c>
      <c r="X3" s="17" t="s">
        <v>1233</v>
      </c>
      <c r="Y3" s="55" t="s">
        <v>1234</v>
      </c>
      <c r="Z3" s="38" t="s">
        <v>1235</v>
      </c>
      <c r="AA3" s="39" t="s">
        <v>1236</v>
      </c>
      <c r="AB3" s="38" t="s">
        <v>1237</v>
      </c>
      <c r="AC3" s="40" t="s">
        <v>1238</v>
      </c>
      <c r="AD3" s="40" t="s">
        <v>1239</v>
      </c>
      <c r="AE3" s="40" t="s">
        <v>1240</v>
      </c>
      <c r="AF3" s="40" t="s">
        <v>1241</v>
      </c>
      <c r="AG3" s="40" t="s">
        <v>1242</v>
      </c>
      <c r="AH3" t="s">
        <v>1243</v>
      </c>
      <c r="AI3" t="s">
        <v>1244</v>
      </c>
      <c r="AJ3" t="s">
        <v>1245</v>
      </c>
    </row>
    <row r="4" spans="1:36" s="24" customFormat="1">
      <c r="A4" s="18" t="s">
        <v>12</v>
      </c>
      <c r="B4" s="18" t="s">
        <v>13</v>
      </c>
      <c r="C4" s="18" t="s">
        <v>1246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1246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539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>
        <f>IFERROR(IF(_xlfn.MAXIFS(tblBodega[Fecha],tblBodega[Codigo],tblMaestroEquipos[[#This Row],[Codigo]])=0,"",_xlfn.MAXIFS(tblBodega[Fecha],tblBodega[Codigo],tblMaestroEquipos[[#This Row],[Codigo]])),"")</f>
        <v>46125</v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1246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113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1246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1247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3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1246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648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46755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35</v>
      </c>
      <c r="B9" s="18" t="s">
        <v>20</v>
      </c>
      <c r="C9" s="18" t="s">
        <v>1246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36</v>
      </c>
      <c r="B10" s="18" t="s">
        <v>20</v>
      </c>
      <c r="C10" s="18" t="s">
        <v>1246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3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560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39</v>
      </c>
      <c r="B11" s="18" t="s">
        <v>13</v>
      </c>
      <c r="C11" s="18" t="s">
        <v>1246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1248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0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t="str" cm="1">
        <f t="array" ref="O11">IFERROR(IF($I11="KM",LOOKUP(2,1/(Lecturas!$B:$B=$A11)/(Lecturas!$D:$D&gt;0),Lecturas!$D:$D),LOOKUP(2,1/(Lecturas!$B:$B=$A11)/(Lecturas!$C:$C&gt;0),Lecturas!$C:$C)),"")</f>
        <v/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42</v>
      </c>
      <c r="B12" s="18" t="s">
        <v>43</v>
      </c>
      <c r="C12" s="18" t="s">
        <v>1246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1249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47</v>
      </c>
      <c r="B13" s="18" t="s">
        <v>43</v>
      </c>
      <c r="C13" s="18" t="s">
        <v>1246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52</v>
      </c>
      <c r="B14" s="18" t="s">
        <v>43</v>
      </c>
      <c r="C14" s="18" t="s">
        <v>1246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56</v>
      </c>
      <c r="B15" s="18" t="s">
        <v>57</v>
      </c>
      <c r="C15" s="18" t="s">
        <v>1246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59</v>
      </c>
      <c r="B16" s="18" t="s">
        <v>60</v>
      </c>
      <c r="C16" s="18" t="s">
        <v>1246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46162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>
      <c r="A17" s="18" t="s">
        <v>64</v>
      </c>
      <c r="B17" s="18" t="s">
        <v>60</v>
      </c>
      <c r="C17" s="18" t="s">
        <v>1246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68</v>
      </c>
      <c r="B18" s="18" t="s">
        <v>69</v>
      </c>
      <c r="C18" s="18" t="s">
        <v>1246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120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74</v>
      </c>
      <c r="B19" s="18" t="s">
        <v>43</v>
      </c>
      <c r="C19" s="18" t="s">
        <v>1246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78</v>
      </c>
      <c r="B20" s="18" t="s">
        <v>13</v>
      </c>
      <c r="C20" s="18" t="s">
        <v>1246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79</v>
      </c>
      <c r="B21" s="18" t="s">
        <v>43</v>
      </c>
      <c r="C21" s="18" t="s">
        <v>1246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0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82</v>
      </c>
      <c r="B22" s="18" t="s">
        <v>83</v>
      </c>
      <c r="C22" s="18" t="s">
        <v>1246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1250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86</v>
      </c>
      <c r="B23" s="18" t="s">
        <v>20</v>
      </c>
      <c r="C23" s="18" t="s">
        <v>1246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2.7</v>
      </c>
      <c r="L23" s="20">
        <f>IFERROR(_xlfn.MAXIFS(tblLecturas[Fecha],tblLecturas[Codigo],$A23),"")</f>
        <v>46086</v>
      </c>
      <c r="M23" s="26">
        <f>IFERROR(_xlfn.MAXIFS(Lecturas!$C:$C,Lecturas!$B:$B,$A23,Lecturas!$C:$C,"&gt;0"),"")</f>
        <v>3406</v>
      </c>
      <c r="N23" s="26">
        <f>IFERROR(_xlfn.MAXIFS(tblLecturas[Kilometraje],tblLecturas[Codigo],$A23,tblLecturas[Kilometraje],"&gt;0"),"")</f>
        <v>0</v>
      </c>
      <c r="O23" s="26" cm="1">
        <f t="array" ref="O23">IFERROR(IF($I23="KM",LOOKUP(2,1/(Lecturas!$B:$B=$A23)/(Lecturas!$D:$D&gt;0),Lecturas!$D:$D),LOOKUP(2,1/(Lecturas!$B:$B=$A23)/(Lecturas!$C:$C&gt;0),Lecturas!$C:$C)),"")</f>
        <v>3406</v>
      </c>
      <c r="P23" s="20">
        <f>IFERROR(_xlfn.MAXIFS(tblMantenciones[Fecha],tblMantenciones[Codigo],tblMaestroEquipos[[#This Row],[Codigo]],tblMantenciones[EsPM],"Sí"),"")</f>
        <v>46086</v>
      </c>
      <c r="Q23" s="73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500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46586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89</v>
      </c>
      <c r="B24" s="18" t="s">
        <v>20</v>
      </c>
      <c r="C24" s="18" t="s">
        <v>1246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91</v>
      </c>
      <c r="B25" s="18" t="s">
        <v>20</v>
      </c>
      <c r="C25" s="18" t="s">
        <v>1246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93</v>
      </c>
      <c r="B26" s="18" t="s">
        <v>20</v>
      </c>
      <c r="C26" s="18" t="s">
        <v>1246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1246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1251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113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1246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102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101</v>
      </c>
      <c r="B29" s="18" t="s">
        <v>97</v>
      </c>
      <c r="C29" s="18" t="s">
        <v>1246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3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>
      <c r="A30" s="18" t="s">
        <v>104</v>
      </c>
      <c r="B30" s="18" t="s">
        <v>105</v>
      </c>
      <c r="C30" s="18" t="s">
        <v>1246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107</v>
      </c>
      <c r="B31" s="18" t="s">
        <v>108</v>
      </c>
      <c r="C31" s="18" t="s">
        <v>1246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34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1246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1246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1246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1246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1252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181868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227983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43</v>
      </c>
      <c r="C36" s="18" t="s">
        <v>1246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43</v>
      </c>
      <c r="C37" s="18" t="s">
        <v>1246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43</v>
      </c>
      <c r="C38" s="18" t="s">
        <v>1246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83</v>
      </c>
      <c r="C39" s="18" t="s">
        <v>1246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46174</v>
      </c>
      <c r="Q39" s="73">
        <f>IF(_xlfn.MAXIFS(Mantenciones!$D:$D,Mantenciones!$B:$B,A39)=0,"Sin datos de mantención registrado",_xlfn.MAXIFS(Mantenciones!$D:$D,Mantenciones!$B:$B,A39))</f>
        <v>78050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78050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28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126</v>
      </c>
      <c r="B40" s="18" t="s">
        <v>69</v>
      </c>
      <c r="C40" s="18" t="s">
        <v>1246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128</v>
      </c>
      <c r="B41" s="18" t="s">
        <v>129</v>
      </c>
      <c r="C41" s="18" t="s">
        <v>1253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>
      <c r="A42" s="18" t="s">
        <v>133</v>
      </c>
      <c r="B42" s="18" t="s">
        <v>134</v>
      </c>
      <c r="C42" s="18" t="s">
        <v>1253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136</v>
      </c>
      <c r="B43" s="18" t="s">
        <v>134</v>
      </c>
      <c r="C43" s="18" t="s">
        <v>1253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HORAS</v>
      </c>
      <c r="J43" s="18">
        <f>IFERROR(VLOOKUP(A43, Equipos!A:J, 10, FALSE), "")</f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3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138</v>
      </c>
      <c r="B44" s="18" t="s">
        <v>139</v>
      </c>
      <c r="C44" s="18" t="s">
        <v>1253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EN PROCESO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0" t="str">
        <f t="shared" si="2"/>
        <v>EN PROCESO</v>
      </c>
      <c r="AF44" s="18" t="str">
        <f t="shared" si="3"/>
        <v>SEGUIMIENTO</v>
      </c>
      <c r="AG44" s="18" t="str">
        <f t="shared" si="4"/>
        <v>Hacer seguimiento al taller y cerrar report</v>
      </c>
      <c r="AH44">
        <f t="shared" si="5"/>
        <v>0</v>
      </c>
      <c r="AI44" t="str">
        <f t="shared" si="6"/>
        <v/>
      </c>
      <c r="AJ44" s="24">
        <f t="shared" si="7"/>
        <v>2</v>
      </c>
    </row>
    <row r="45" spans="1:36">
      <c r="A45" s="18" t="s">
        <v>141</v>
      </c>
      <c r="B45" s="18" t="s">
        <v>139</v>
      </c>
      <c r="C45" s="18" t="s">
        <v>1253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0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143</v>
      </c>
      <c r="B46" s="18" t="s">
        <v>83</v>
      </c>
      <c r="C46" s="18" t="s">
        <v>1246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104.8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cm="1">
        <f t="array" ref="O46">IFERROR(IF($I46="KM",LOOKUP(2,1/(Lecturas!$B:$B=$A46)/(Lecturas!$D:$D&gt;0),Lecturas!$D:$D),LOOKUP(2,1/(Lecturas!$B:$B=$A46)/(Lecturas!$C:$C&gt;0),Lecturas!$C:$C)),"")</f>
        <v>804235</v>
      </c>
      <c r="P46" s="20">
        <f>IFERROR(_xlfn.MAXIFS(tblMantenciones[Fecha],tblMantenciones[Codigo],tblMaestroEquipos[[#This Row],[Codigo]],tblMantenciones[EsPM],"Sí"),"")</f>
        <v>0</v>
      </c>
      <c r="Q46" s="73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103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146</v>
      </c>
      <c r="B47" s="18" t="s">
        <v>43</v>
      </c>
      <c r="C47" s="18" t="s">
        <v>1246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150</v>
      </c>
      <c r="B48" s="18" t="s">
        <v>113</v>
      </c>
      <c r="C48" s="18" t="s">
        <v>1246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1254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152</v>
      </c>
      <c r="B49" s="18" t="s">
        <v>69</v>
      </c>
      <c r="C49" s="18" t="s">
        <v>1246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156</v>
      </c>
      <c r="B50" s="18" t="s">
        <v>113</v>
      </c>
      <c r="C50" s="18" t="s">
        <v>1246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1255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104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95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158</v>
      </c>
      <c r="B51" s="18" t="s">
        <v>113</v>
      </c>
      <c r="C51" s="18" t="s">
        <v>1246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159</v>
      </c>
      <c r="B52" s="18" t="s">
        <v>69</v>
      </c>
      <c r="C52" s="18" t="s">
        <v>1246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161</v>
      </c>
      <c r="B53" s="18" t="s">
        <v>105</v>
      </c>
      <c r="C53" s="18" t="s">
        <v>1246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162</v>
      </c>
      <c r="B54" s="18" t="s">
        <v>113</v>
      </c>
      <c r="C54" s="18" t="s">
        <v>1246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1256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106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97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166</v>
      </c>
      <c r="B55" s="18" t="s">
        <v>20</v>
      </c>
      <c r="C55" s="18" t="s">
        <v>1246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1257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168</v>
      </c>
      <c r="B56" s="18" t="s">
        <v>20</v>
      </c>
      <c r="C56" s="18" t="s">
        <v>1246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1258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3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406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46539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170</v>
      </c>
      <c r="B57" s="18" t="s">
        <v>20</v>
      </c>
      <c r="C57" s="18" t="s">
        <v>1246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769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46876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172</v>
      </c>
      <c r="B58" s="18" t="s">
        <v>20</v>
      </c>
      <c r="C58" s="18" t="s">
        <v>1246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174</v>
      </c>
      <c r="B59" s="18" t="s">
        <v>20</v>
      </c>
      <c r="C59" s="18" t="s">
        <v>1246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113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175</v>
      </c>
      <c r="B60" s="18" t="s">
        <v>83</v>
      </c>
      <c r="C60" s="18" t="s">
        <v>1246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177</v>
      </c>
      <c r="B61" s="18" t="s">
        <v>43</v>
      </c>
      <c r="C61" s="18" t="s">
        <v>1246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103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179</v>
      </c>
      <c r="B62" s="18" t="s">
        <v>20</v>
      </c>
      <c r="C62" s="18" t="s">
        <v>1246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46181</v>
      </c>
      <c r="Q62" s="73">
        <f>IF(_xlfn.MAXIFS(Mantenciones!$D:$D,Mantenciones!$B:$B,A62)=0,"Sin datos de mantención registrado",_xlfn.MAXIFS(Mantenciones!$D:$D,Mantenciones!$B:$B,A62))</f>
        <v>9251</v>
      </c>
      <c r="R62" s="18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9251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AL DÍA</v>
      </c>
      <c r="X62" s="18">
        <f t="shared" si="1"/>
        <v>901</v>
      </c>
      <c r="Y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47008</v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99</v>
      </c>
    </row>
    <row r="63" spans="1:36">
      <c r="A63" s="18" t="s">
        <v>182</v>
      </c>
      <c r="B63" s="18" t="s">
        <v>113</v>
      </c>
      <c r="C63" s="18" t="s">
        <v>1246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1259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11.6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3122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103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85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184</v>
      </c>
      <c r="B64" s="18" t="s">
        <v>69</v>
      </c>
      <c r="C64" s="18" t="s">
        <v>1246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187</v>
      </c>
      <c r="B65" s="18" t="s">
        <v>43</v>
      </c>
      <c r="C65" s="18" t="s">
        <v>1246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1260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190</v>
      </c>
      <c r="B66" s="18" t="s">
        <v>113</v>
      </c>
      <c r="C66" s="18" t="s">
        <v>1246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195</v>
      </c>
      <c r="B67" s="18" t="s">
        <v>196</v>
      </c>
      <c r="C67" s="18" t="s">
        <v>1253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201</v>
      </c>
      <c r="B68" s="18" t="s">
        <v>202</v>
      </c>
      <c r="C68" s="18" t="s">
        <v>1253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207</v>
      </c>
      <c r="B69" s="18" t="s">
        <v>196</v>
      </c>
      <c r="C69" s="18" t="s">
        <v>1253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210</v>
      </c>
      <c r="B70" s="18" t="s">
        <v>202</v>
      </c>
      <c r="C70" s="18" t="s">
        <v>1253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0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220</v>
      </c>
      <c r="B71" s="18" t="s">
        <v>221</v>
      </c>
      <c r="C71" s="18" t="s">
        <v>1253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224</v>
      </c>
      <c r="B72" s="18" t="s">
        <v>225</v>
      </c>
      <c r="C72" s="18" t="s">
        <v>1253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665</v>
      </c>
      <c r="B73" s="18" t="s">
        <v>196</v>
      </c>
      <c r="C73" s="18" t="s">
        <v>1253</v>
      </c>
      <c r="D73" s="18" t="s">
        <v>203</v>
      </c>
      <c r="E73" s="19" t="s">
        <v>228</v>
      </c>
      <c r="F73" s="18">
        <v>2007</v>
      </c>
      <c r="G73" s="19" t="str">
        <f>IFERROR(_xlfn.XLOOKUP($A73,tblEquipos[Codigo],tblEquipos[Ubicacion],""),"")</f>
        <v>San Carlos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 t="str">
        <f>IFERROR(_xlfn.XLOOKUP(tblMaestroEquipos[[#This Row],[Codigo]],tblEquipos[Codigo],tblEquipos[Estado Base]),"")</f>
        <v>Taller</v>
      </c>
      <c r="W73" s="18" t="str">
        <f t="shared" si="8"/>
        <v>EN TALLER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EN TALLER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229</v>
      </c>
      <c r="B74" s="18" t="s">
        <v>230</v>
      </c>
      <c r="C74" s="18" t="s">
        <v>1253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1261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234</v>
      </c>
      <c r="B75" s="18" t="s">
        <v>235</v>
      </c>
      <c r="C75" s="18" t="s">
        <v>1253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238</v>
      </c>
      <c r="B76" s="18" t="s">
        <v>230</v>
      </c>
      <c r="C76" s="18" t="s">
        <v>1253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240</v>
      </c>
      <c r="B77" s="18" t="s">
        <v>230</v>
      </c>
      <c r="C77" s="18" t="s">
        <v>1253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244</v>
      </c>
      <c r="B78" s="18" t="s">
        <v>235</v>
      </c>
      <c r="C78" s="18" t="s">
        <v>1253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248</v>
      </c>
      <c r="B79" s="18" t="s">
        <v>230</v>
      </c>
      <c r="C79" s="18" t="s">
        <v>1253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3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250</v>
      </c>
      <c r="B80" s="18" t="s">
        <v>235</v>
      </c>
      <c r="C80" s="18" t="s">
        <v>1253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252</v>
      </c>
      <c r="B81" s="18" t="s">
        <v>230</v>
      </c>
      <c r="C81" s="18" t="s">
        <v>1253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255</v>
      </c>
      <c r="B82" s="18" t="s">
        <v>230</v>
      </c>
      <c r="C82" s="18" t="s">
        <v>1253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258</v>
      </c>
      <c r="B83" s="18" t="s">
        <v>230</v>
      </c>
      <c r="C83" s="18" t="s">
        <v>1253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1262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259</v>
      </c>
      <c r="B84" s="18" t="s">
        <v>230</v>
      </c>
      <c r="C84" s="18" t="s">
        <v>1253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1261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262</v>
      </c>
      <c r="B85" s="18" t="s">
        <v>263</v>
      </c>
      <c r="C85" s="18" t="s">
        <v>1253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267</v>
      </c>
      <c r="B86" s="18" t="s">
        <v>268</v>
      </c>
      <c r="C86" s="18" t="s">
        <v>1253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272</v>
      </c>
      <c r="B87" s="18" t="s">
        <v>273</v>
      </c>
      <c r="C87" s="18" t="s">
        <v>1253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277</v>
      </c>
      <c r="B88" s="18" t="s">
        <v>273</v>
      </c>
      <c r="C88" s="18" t="s">
        <v>1253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460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280</v>
      </c>
      <c r="B89" s="18" t="s">
        <v>263</v>
      </c>
      <c r="C89" s="18" t="s">
        <v>1253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1263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282</v>
      </c>
      <c r="B90" s="18" t="s">
        <v>283</v>
      </c>
      <c r="C90" s="18" t="s">
        <v>1253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96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292</v>
      </c>
      <c r="B91" s="18" t="s">
        <v>283</v>
      </c>
      <c r="C91" s="18" t="s">
        <v>1253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295</v>
      </c>
      <c r="B92" s="18" t="s">
        <v>296</v>
      </c>
      <c r="C92" s="18" t="s">
        <v>1253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300</v>
      </c>
      <c r="B93" s="18" t="s">
        <v>268</v>
      </c>
      <c r="C93" s="18" t="s">
        <v>1253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0.7</v>
      </c>
      <c r="L93" s="20">
        <f>IFERROR(_xlfn.MAXIFS(tblLecturas[Fecha],tblLecturas[Codigo],$A93),"")</f>
        <v>46154</v>
      </c>
      <c r="M93" s="26">
        <f>IFERROR(_xlfn.MAXIFS(Lecturas!$C:$C,Lecturas!$B:$B,$A93,Lecturas!$C:$C,"&gt;0"),"")</f>
        <v>8971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8971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78940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304</v>
      </c>
      <c r="B94" s="18" t="s">
        <v>268</v>
      </c>
      <c r="C94" s="18" t="s">
        <v>1253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3.9</v>
      </c>
      <c r="L94" s="20">
        <f>IFERROR(_xlfn.MAXIFS(tblLecturas[Fecha],tblLecturas[Codigo],$A94),"")</f>
        <v>46136</v>
      </c>
      <c r="M94" s="26">
        <f>IFERROR(_xlfn.MAXIFS(Lecturas!$C:$C,Lecturas!$B:$B,$A94,Lecturas!$C:$C,"&gt;0"),"")</f>
        <v>8832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8832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250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306</v>
      </c>
      <c r="B95" s="18" t="s">
        <v>268</v>
      </c>
      <c r="C95" s="18" t="s">
        <v>1253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3.8</v>
      </c>
      <c r="L95" s="20">
        <f>IFERROR(_xlfn.MAXIFS(tblLecturas[Fecha],tblLecturas[Codigo],$A95),"")</f>
        <v>46162</v>
      </c>
      <c r="M95" s="26">
        <f>IFERROR(_xlfn.MAXIFS(Lecturas!$C:$C,Lecturas!$B:$B,$A95,Lecturas!$C:$C,"&gt;0"),"")</f>
        <v>14740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14740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250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46412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75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>
      <c r="A96" s="18" t="s">
        <v>310</v>
      </c>
      <c r="B96" s="18" t="s">
        <v>268</v>
      </c>
      <c r="C96" s="18" t="s">
        <v>1253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312</v>
      </c>
      <c r="B97" s="18" t="s">
        <v>263</v>
      </c>
      <c r="C97" s="18" t="s">
        <v>1253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317</v>
      </c>
      <c r="B98" s="18" t="s">
        <v>263</v>
      </c>
      <c r="C98" s="18" t="s">
        <v>1253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321</v>
      </c>
      <c r="B99" s="18" t="s">
        <v>283</v>
      </c>
      <c r="C99" s="18" t="s">
        <v>1253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323</v>
      </c>
      <c r="B100" s="18" t="s">
        <v>283</v>
      </c>
      <c r="C100" s="18" t="s">
        <v>1253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327</v>
      </c>
      <c r="B101" s="18" t="s">
        <v>273</v>
      </c>
      <c r="C101" s="18" t="s">
        <v>1253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>
      <c r="A102" s="18" t="s">
        <v>329</v>
      </c>
      <c r="B102" s="18" t="s">
        <v>268</v>
      </c>
      <c r="C102" s="18" t="s">
        <v>1253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1264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332</v>
      </c>
      <c r="B103" s="18" t="s">
        <v>273</v>
      </c>
      <c r="C103" s="18" t="s">
        <v>1253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1265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109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333</v>
      </c>
      <c r="B104" s="18" t="s">
        <v>283</v>
      </c>
      <c r="C104" s="18" t="s">
        <v>1253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335</v>
      </c>
      <c r="B105" s="18" t="s">
        <v>263</v>
      </c>
      <c r="C105" s="18" t="s">
        <v>1253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337</v>
      </c>
      <c r="B106" s="18" t="s">
        <v>283</v>
      </c>
      <c r="C106" s="18" t="s">
        <v>1253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1266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340</v>
      </c>
      <c r="B107" s="18" t="s">
        <v>263</v>
      </c>
      <c r="C107" s="18" t="s">
        <v>1253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1267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3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341</v>
      </c>
      <c r="B108" s="18" t="s">
        <v>263</v>
      </c>
      <c r="C108" s="18" t="s">
        <v>1253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345</v>
      </c>
      <c r="B109" s="18" t="s">
        <v>346</v>
      </c>
      <c r="C109" s="18" t="s">
        <v>1253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350</v>
      </c>
      <c r="B110" s="18" t="s">
        <v>346</v>
      </c>
      <c r="C110" s="18" t="s">
        <v>1253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351</v>
      </c>
      <c r="B111" s="18" t="s">
        <v>296</v>
      </c>
      <c r="C111" s="18" t="s">
        <v>1253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1268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355</v>
      </c>
      <c r="B112" s="18" t="s">
        <v>356</v>
      </c>
      <c r="C112" s="18" t="s">
        <v>1253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358</v>
      </c>
      <c r="B113" s="18" t="s">
        <v>356</v>
      </c>
      <c r="C113" s="18" t="s">
        <v>1253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359</v>
      </c>
      <c r="B114" s="18" t="s">
        <v>273</v>
      </c>
      <c r="C114" s="18" t="s">
        <v>1253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2.1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7120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367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361</v>
      </c>
      <c r="B115" s="18" t="s">
        <v>268</v>
      </c>
      <c r="C115" s="18" t="s">
        <v>1253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Palmucho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363</v>
      </c>
      <c r="B116" s="18" t="s">
        <v>263</v>
      </c>
      <c r="C116" s="18" t="s">
        <v>1253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366</v>
      </c>
      <c r="B117" s="18" t="s">
        <v>296</v>
      </c>
      <c r="C117" s="18" t="s">
        <v>1253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35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367</v>
      </c>
      <c r="B118" s="18" t="s">
        <v>283</v>
      </c>
      <c r="C118" s="18" t="s">
        <v>1253</v>
      </c>
      <c r="D118" s="18" t="s">
        <v>307</v>
      </c>
      <c r="E118" s="19" t="s">
        <v>368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369</v>
      </c>
      <c r="B119" s="18" t="s">
        <v>263</v>
      </c>
      <c r="C119" s="18" t="s">
        <v>1253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472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46579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>
      <c r="A120" s="18" t="s">
        <v>371</v>
      </c>
      <c r="B120" s="18" t="s">
        <v>372</v>
      </c>
      <c r="C120" s="18" t="s">
        <v>1253</v>
      </c>
      <c r="D120" s="18" t="s">
        <v>373</v>
      </c>
      <c r="E120" s="19" t="s">
        <v>374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375</v>
      </c>
      <c r="B121" s="18" t="s">
        <v>346</v>
      </c>
      <c r="C121" s="18" t="s">
        <v>1253</v>
      </c>
      <c r="D121" s="18" t="s">
        <v>376</v>
      </c>
      <c r="E121" s="19" t="s">
        <v>377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378</v>
      </c>
      <c r="B122" s="18" t="s">
        <v>283</v>
      </c>
      <c r="C122" s="18" t="s">
        <v>1253</v>
      </c>
      <c r="D122" s="18" t="s">
        <v>379</v>
      </c>
      <c r="E122" s="19" t="s">
        <v>380</v>
      </c>
      <c r="F122" s="18">
        <v>2015</v>
      </c>
      <c r="G122" s="19" t="str">
        <f>IFERROR(_xlfn.XLOOKUP($A122,tblEquipos[Codigo],tblEquipos[Ubicacion],""),"")</f>
        <v>Palmucho</v>
      </c>
      <c r="H122" s="18" t="s">
        <v>1266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381</v>
      </c>
      <c r="B123" s="18" t="s">
        <v>273</v>
      </c>
      <c r="C123" s="18" t="s">
        <v>1253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321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383</v>
      </c>
      <c r="B124" s="18" t="s">
        <v>273</v>
      </c>
      <c r="C124" s="18" t="s">
        <v>1253</v>
      </c>
      <c r="D124" s="18" t="s">
        <v>274</v>
      </c>
      <c r="E124" s="19" t="s">
        <v>384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386</v>
      </c>
      <c r="B125" s="18" t="s">
        <v>372</v>
      </c>
      <c r="C125" s="18" t="s">
        <v>1253</v>
      </c>
      <c r="D125" s="18" t="s">
        <v>313</v>
      </c>
      <c r="E125" s="19" t="s">
        <v>374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387</v>
      </c>
      <c r="B126" s="18" t="s">
        <v>346</v>
      </c>
      <c r="C126" s="18" t="s">
        <v>1253</v>
      </c>
      <c r="D126" s="18" t="s">
        <v>376</v>
      </c>
      <c r="E126" s="19" t="s">
        <v>388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3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389</v>
      </c>
      <c r="B127" s="18" t="s">
        <v>346</v>
      </c>
      <c r="C127" s="18" t="s">
        <v>1253</v>
      </c>
      <c r="D127" s="18" t="s">
        <v>376</v>
      </c>
      <c r="E127" s="19" t="s">
        <v>388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390</v>
      </c>
      <c r="B128" s="18" t="s">
        <v>268</v>
      </c>
      <c r="C128" s="18" t="s">
        <v>1253</v>
      </c>
      <c r="D128" s="18" t="s">
        <v>324</v>
      </c>
      <c r="E128" s="19" t="s">
        <v>391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393</v>
      </c>
      <c r="B129" s="18" t="s">
        <v>263</v>
      </c>
      <c r="C129" s="18" t="s">
        <v>1253</v>
      </c>
      <c r="D129" s="18" t="s">
        <v>269</v>
      </c>
      <c r="E129" s="19" t="s">
        <v>394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395</v>
      </c>
      <c r="B130" s="18" t="s">
        <v>346</v>
      </c>
      <c r="C130" s="18" t="s">
        <v>1253</v>
      </c>
      <c r="D130" s="18" t="s">
        <v>301</v>
      </c>
      <c r="E130" s="19" t="s">
        <v>396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1269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398</v>
      </c>
      <c r="B131" s="18" t="s">
        <v>346</v>
      </c>
      <c r="C131" s="18" t="s">
        <v>1253</v>
      </c>
      <c r="D131" s="18" t="s">
        <v>379</v>
      </c>
      <c r="E131" s="19" t="s">
        <v>399</v>
      </c>
      <c r="F131" s="18">
        <v>2015</v>
      </c>
      <c r="G131" s="19" t="str">
        <f>IFERROR(_xlfn.XLOOKUP($A131,tblEquipos[Codigo],tblEquipos[Ubicacion],""),"")</f>
        <v>Palmucho</v>
      </c>
      <c r="H131" s="18" t="s">
        <v>1270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401</v>
      </c>
      <c r="B132" s="18" t="s">
        <v>268</v>
      </c>
      <c r="C132" s="18" t="s">
        <v>1253</v>
      </c>
      <c r="D132" s="18" t="s">
        <v>307</v>
      </c>
      <c r="E132" s="19" t="s">
        <v>402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403</v>
      </c>
      <c r="B133" s="18" t="s">
        <v>404</v>
      </c>
      <c r="C133" s="18" t="s">
        <v>1253</v>
      </c>
      <c r="D133" s="18" t="s">
        <v>405</v>
      </c>
      <c r="E133" s="19" t="s">
        <v>406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407</v>
      </c>
      <c r="B134" s="18" t="s">
        <v>268</v>
      </c>
      <c r="C134" s="18" t="s">
        <v>1253</v>
      </c>
      <c r="D134" s="18" t="s">
        <v>307</v>
      </c>
      <c r="E134" s="19" t="s">
        <v>408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410</v>
      </c>
      <c r="B135" s="18" t="s">
        <v>346</v>
      </c>
      <c r="C135" s="18" t="s">
        <v>1253</v>
      </c>
      <c r="D135" s="18" t="s">
        <v>379</v>
      </c>
      <c r="E135" s="19" t="s">
        <v>399</v>
      </c>
      <c r="F135" s="18">
        <v>2019</v>
      </c>
      <c r="G135" s="19" t="str">
        <f>IFERROR(_xlfn.XLOOKUP($A135,tblEquipos[Codigo],tblEquipos[Ubicacion],""),"")</f>
        <v>Palmucho</v>
      </c>
      <c r="H135" s="18" t="s">
        <v>411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412</v>
      </c>
      <c r="B136" s="18" t="s">
        <v>413</v>
      </c>
      <c r="C136" s="18" t="s">
        <v>1253</v>
      </c>
      <c r="D136" s="18" t="s">
        <v>414</v>
      </c>
      <c r="E136" s="19" t="s">
        <v>415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416</v>
      </c>
      <c r="B137" s="18" t="s">
        <v>263</v>
      </c>
      <c r="C137" s="18" t="s">
        <v>1253</v>
      </c>
      <c r="D137" s="18" t="s">
        <v>313</v>
      </c>
      <c r="E137" s="19" t="s">
        <v>417</v>
      </c>
      <c r="F137" s="18">
        <v>2019</v>
      </c>
      <c r="G137" s="19" t="str">
        <f>IFERROR(_xlfn.XLOOKUP($A137,tblEquipos[Codigo],tblEquipos[Ubicacion],""),"")</f>
        <v>Palmucho</v>
      </c>
      <c r="H137" s="18" t="s">
        <v>1271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419</v>
      </c>
      <c r="B138" s="18" t="s">
        <v>263</v>
      </c>
      <c r="C138" s="18" t="s">
        <v>1253</v>
      </c>
      <c r="D138" s="18" t="s">
        <v>313</v>
      </c>
      <c r="E138" s="19" t="s">
        <v>420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1272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422</v>
      </c>
      <c r="B139" s="18" t="s">
        <v>263</v>
      </c>
      <c r="C139" s="18" t="s">
        <v>1253</v>
      </c>
      <c r="D139" s="18" t="s">
        <v>423</v>
      </c>
      <c r="E139" s="19" t="s">
        <v>424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1273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426</v>
      </c>
      <c r="B140" s="18" t="s">
        <v>268</v>
      </c>
      <c r="C140" s="18" t="s">
        <v>1253</v>
      </c>
      <c r="D140" s="18" t="s">
        <v>301</v>
      </c>
      <c r="E140" s="19" t="s">
        <v>427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1274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429</v>
      </c>
      <c r="B141" s="18" t="s">
        <v>263</v>
      </c>
      <c r="C141" s="18" t="s">
        <v>1253</v>
      </c>
      <c r="D141" s="18" t="s">
        <v>423</v>
      </c>
      <c r="E141" s="19" t="s">
        <v>430</v>
      </c>
      <c r="F141" s="18">
        <v>2019</v>
      </c>
      <c r="G141" s="19" t="str">
        <f>IFERROR(_xlfn.XLOOKUP($A141,tblEquipos[Codigo],tblEquipos[Ubicacion],""),"")</f>
        <v>Colbun</v>
      </c>
      <c r="H141" s="18" t="s">
        <v>431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432</v>
      </c>
      <c r="B142" s="18" t="s">
        <v>263</v>
      </c>
      <c r="C142" s="18" t="s">
        <v>1253</v>
      </c>
      <c r="D142" s="18" t="s">
        <v>423</v>
      </c>
      <c r="E142" s="19" t="s">
        <v>1275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>
      <c r="A143" s="18" t="s">
        <v>433</v>
      </c>
      <c r="B143" s="18" t="s">
        <v>268</v>
      </c>
      <c r="C143" s="18" t="s">
        <v>1253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1276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435</v>
      </c>
      <c r="B144" s="18" t="s">
        <v>263</v>
      </c>
      <c r="C144" s="18" t="s">
        <v>1253</v>
      </c>
      <c r="D144" s="18" t="s">
        <v>301</v>
      </c>
      <c r="E144" s="19" t="s">
        <v>436</v>
      </c>
      <c r="F144" s="18">
        <v>2007</v>
      </c>
      <c r="G144" s="19" t="str">
        <f>IFERROR(_xlfn.XLOOKUP($A144,tblEquipos[Codigo],tblEquipos[Ubicacion],""),"")</f>
        <v>Taller</v>
      </c>
      <c r="H144" s="18" t="s">
        <v>437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438</v>
      </c>
      <c r="B145" s="18" t="s">
        <v>268</v>
      </c>
      <c r="C145" s="18" t="s">
        <v>1253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636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439</v>
      </c>
      <c r="B146" s="18" t="s">
        <v>283</v>
      </c>
      <c r="C146" s="18" t="s">
        <v>1253</v>
      </c>
      <c r="D146" s="18" t="s">
        <v>307</v>
      </c>
      <c r="E146" s="19" t="s">
        <v>440</v>
      </c>
      <c r="F146" s="18">
        <v>2013</v>
      </c>
      <c r="G146" s="19" t="str">
        <f>IFERROR(_xlfn.XLOOKUP($A146,tblEquipos[Codigo],tblEquipos[Ubicacion],""),"")</f>
        <v>Taller</v>
      </c>
      <c r="H146" s="18" t="s">
        <v>441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442</v>
      </c>
      <c r="B147" s="18" t="s">
        <v>346</v>
      </c>
      <c r="C147" s="18" t="s">
        <v>1253</v>
      </c>
      <c r="D147" s="18" t="s">
        <v>264</v>
      </c>
      <c r="E147" s="19" t="s">
        <v>443</v>
      </c>
      <c r="F147" s="18">
        <v>2023</v>
      </c>
      <c r="G147" s="19" t="str">
        <f>IFERROR(_xlfn.XLOOKUP($A147,tblEquipos[Codigo],tblEquipos[Ubicacion],""),"")</f>
        <v>Palmucho</v>
      </c>
      <c r="H147" s="18" t="s">
        <v>1277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445</v>
      </c>
      <c r="B148" s="18" t="s">
        <v>346</v>
      </c>
      <c r="C148" s="18" t="s">
        <v>1253</v>
      </c>
      <c r="D148" s="18" t="s">
        <v>284</v>
      </c>
      <c r="E148" s="19" t="s">
        <v>446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1278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448</v>
      </c>
      <c r="B149" s="18" t="s">
        <v>346</v>
      </c>
      <c r="C149" s="18" t="s">
        <v>1253</v>
      </c>
      <c r="D149" s="18" t="s">
        <v>284</v>
      </c>
      <c r="E149" s="19" t="s">
        <v>446</v>
      </c>
      <c r="F149" s="18">
        <v>2023</v>
      </c>
      <c r="G149" s="19" t="str">
        <f>IFERROR(_xlfn.XLOOKUP($A149,tblEquipos[Codigo],tblEquipos[Ubicacion],""),"")</f>
        <v>Quirihue</v>
      </c>
      <c r="H149" s="18" t="s">
        <v>1279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450</v>
      </c>
      <c r="B150" s="18" t="s">
        <v>346</v>
      </c>
      <c r="C150" s="18" t="s">
        <v>1253</v>
      </c>
      <c r="D150" s="18" t="s">
        <v>264</v>
      </c>
      <c r="E150" s="19" t="s">
        <v>443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1280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452</v>
      </c>
      <c r="B151" s="18" t="s">
        <v>453</v>
      </c>
      <c r="C151" s="18" t="s">
        <v>1253</v>
      </c>
      <c r="D151" s="18" t="s">
        <v>297</v>
      </c>
      <c r="E151" s="19" t="s">
        <v>454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1268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456</v>
      </c>
      <c r="B152" s="18" t="s">
        <v>453</v>
      </c>
      <c r="C152" s="18" t="s">
        <v>1253</v>
      </c>
      <c r="D152" s="18" t="s">
        <v>297</v>
      </c>
      <c r="E152" s="19" t="s">
        <v>454</v>
      </c>
      <c r="F152" s="18">
        <v>2011</v>
      </c>
      <c r="G152" s="19" t="str">
        <f>IFERROR(_xlfn.XLOOKUP($A152,tblEquipos[Codigo],tblEquipos[Ubicacion],""),"")</f>
        <v>Palmucho</v>
      </c>
      <c r="H152" s="18" t="s">
        <v>1268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29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458</v>
      </c>
      <c r="B153" s="18" t="s">
        <v>263</v>
      </c>
      <c r="C153" s="18" t="s">
        <v>1253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421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3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460</v>
      </c>
      <c r="B154" s="18" t="s">
        <v>461</v>
      </c>
      <c r="C154" s="18" t="s">
        <v>1281</v>
      </c>
      <c r="D154" s="18" t="s">
        <v>98</v>
      </c>
      <c r="E154" s="19" t="s">
        <v>462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464</v>
      </c>
      <c r="B155" s="18" t="s">
        <v>461</v>
      </c>
      <c r="C155" s="18" t="s">
        <v>1281</v>
      </c>
      <c r="D155" s="18" t="s">
        <v>98</v>
      </c>
      <c r="E155" s="19" t="s">
        <v>462</v>
      </c>
      <c r="F155" s="18">
        <v>2023</v>
      </c>
      <c r="G155" s="19" t="str">
        <f>IFERROR(_xlfn.XLOOKUP($A155,tblEquipos[Codigo],tblEquipos[Ubicacion],""),"")</f>
        <v>Colbun</v>
      </c>
      <c r="H155" s="18" t="s">
        <v>648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466</v>
      </c>
      <c r="B156" s="18" t="s">
        <v>461</v>
      </c>
      <c r="C156" s="18" t="s">
        <v>1281</v>
      </c>
      <c r="D156" s="18" t="s">
        <v>467</v>
      </c>
      <c r="E156" s="19" t="s">
        <v>468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470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471</v>
      </c>
      <c r="B157" s="18" t="s">
        <v>461</v>
      </c>
      <c r="C157" s="18" t="s">
        <v>1281</v>
      </c>
      <c r="D157" s="18" t="s">
        <v>467</v>
      </c>
      <c r="E157" s="19" t="s">
        <v>468</v>
      </c>
      <c r="F157" s="18">
        <v>2024</v>
      </c>
      <c r="G157" s="19" t="str">
        <f>IFERROR(_xlfn.XLOOKUP($A157,tblEquipos[Codigo],tblEquipos[Ubicacion],""),"")</f>
        <v>Taller</v>
      </c>
      <c r="H157" s="18" t="s">
        <v>470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64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477</v>
      </c>
      <c r="B158" s="18" t="s">
        <v>461</v>
      </c>
      <c r="C158" s="18" t="s">
        <v>1281</v>
      </c>
      <c r="D158" s="18" t="s">
        <v>478</v>
      </c>
      <c r="E158" s="19" t="s">
        <v>479</v>
      </c>
      <c r="F158" s="18">
        <v>2019</v>
      </c>
      <c r="G158" s="19" t="str">
        <f>IFERROR(_xlfn.XLOOKUP($A158,tblEquipos[Codigo],tblEquipos[Ubicacion],""),"")</f>
        <v>Oficina</v>
      </c>
      <c r="H158" s="18" t="s">
        <v>481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482</v>
      </c>
      <c r="B159" s="18" t="s">
        <v>461</v>
      </c>
      <c r="C159" s="18" t="s">
        <v>1281</v>
      </c>
      <c r="D159" s="18" t="s">
        <v>75</v>
      </c>
      <c r="E159" s="19" t="s">
        <v>483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484</v>
      </c>
      <c r="B160" s="18" t="s">
        <v>461</v>
      </c>
      <c r="C160" s="18" t="s">
        <v>1281</v>
      </c>
      <c r="D160" s="18" t="s">
        <v>485</v>
      </c>
      <c r="E160" s="19" t="s">
        <v>486</v>
      </c>
      <c r="F160" s="18">
        <v>2024</v>
      </c>
      <c r="G160" s="19" t="str">
        <f>IFERROR(_xlfn.XLOOKUP($A160,tblEquipos[Codigo],tblEquipos[Ubicacion],""),"")</f>
        <v>Oficina</v>
      </c>
      <c r="H160" s="18" t="s">
        <v>487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488</v>
      </c>
      <c r="B161" s="18" t="s">
        <v>461</v>
      </c>
      <c r="C161" s="18" t="s">
        <v>1281</v>
      </c>
      <c r="D161" s="18" t="s">
        <v>485</v>
      </c>
      <c r="E161" s="19" t="s">
        <v>486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490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491</v>
      </c>
      <c r="B162" s="18" t="s">
        <v>461</v>
      </c>
      <c r="C162" s="18" t="s">
        <v>1281</v>
      </c>
      <c r="D162" s="18" t="s">
        <v>485</v>
      </c>
      <c r="E162" s="19" t="s">
        <v>486</v>
      </c>
      <c r="F162" s="18">
        <v>2024</v>
      </c>
      <c r="G162" s="19" t="str">
        <f>IFERROR(_xlfn.XLOOKUP($A162,tblEquipos[Codigo],tblEquipos[Ubicacion],""),"")</f>
        <v>Oficina</v>
      </c>
      <c r="H162" s="18" t="s">
        <v>724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493</v>
      </c>
      <c r="B163" s="18" t="s">
        <v>461</v>
      </c>
      <c r="C163" s="18" t="s">
        <v>1281</v>
      </c>
      <c r="D163" s="18" t="s">
        <v>467</v>
      </c>
      <c r="E163" s="19" t="s">
        <v>494</v>
      </c>
      <c r="F163" s="18">
        <v>2024</v>
      </c>
      <c r="G163" s="19" t="str">
        <f>IFERROR(_xlfn.XLOOKUP($A163,tblEquipos[Codigo],tblEquipos[Ubicacion],""),"")</f>
        <v>Taller</v>
      </c>
      <c r="H163" s="18" t="s">
        <v>518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496</v>
      </c>
      <c r="B164" s="18" t="s">
        <v>461</v>
      </c>
      <c r="C164" s="18" t="s">
        <v>1281</v>
      </c>
      <c r="D164" s="18" t="s">
        <v>467</v>
      </c>
      <c r="E164" s="19" t="s">
        <v>494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497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498</v>
      </c>
      <c r="B165" s="18" t="s">
        <v>461</v>
      </c>
      <c r="C165" s="18" t="s">
        <v>1281</v>
      </c>
      <c r="D165" s="18" t="s">
        <v>467</v>
      </c>
      <c r="E165" s="19" t="s">
        <v>494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470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3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500</v>
      </c>
      <c r="B166" s="18" t="s">
        <v>461</v>
      </c>
      <c r="C166" s="18" t="s">
        <v>1281</v>
      </c>
      <c r="D166" s="18" t="s">
        <v>467</v>
      </c>
      <c r="E166" s="19" t="s">
        <v>501</v>
      </c>
      <c r="F166" s="18">
        <v>2024</v>
      </c>
      <c r="G166" s="19" t="str">
        <f>IFERROR(_xlfn.XLOOKUP($A166,tblEquipos[Codigo],tblEquipos[Ubicacion],""),"")</f>
        <v>Quirihue</v>
      </c>
      <c r="H166" s="18" t="s">
        <v>1282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97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503</v>
      </c>
      <c r="B167" s="18" t="s">
        <v>461</v>
      </c>
      <c r="C167" s="18" t="s">
        <v>1281</v>
      </c>
      <c r="D167" s="18" t="s">
        <v>467</v>
      </c>
      <c r="E167" s="19" t="s">
        <v>501</v>
      </c>
      <c r="F167" s="18">
        <v>2024</v>
      </c>
      <c r="G167" s="19" t="str">
        <f>IFERROR(_xlfn.XLOOKUP($A167,tblEquipos[Codigo],tblEquipos[Ubicacion],""),"")</f>
        <v>Palmucho</v>
      </c>
      <c r="H167" s="18" t="s">
        <v>1283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3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505</v>
      </c>
      <c r="B168" s="18" t="s">
        <v>506</v>
      </c>
      <c r="C168" s="18" t="s">
        <v>1281</v>
      </c>
      <c r="D168" s="18" t="s">
        <v>507</v>
      </c>
      <c r="E168" s="19" t="s">
        <v>508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510</v>
      </c>
      <c r="B169" s="18" t="s">
        <v>506</v>
      </c>
      <c r="C169" s="18" t="s">
        <v>1281</v>
      </c>
      <c r="D169" s="18" t="s">
        <v>507</v>
      </c>
      <c r="E169" s="19" t="s">
        <v>508</v>
      </c>
      <c r="F169" s="18">
        <v>2025</v>
      </c>
      <c r="G169" s="19" t="str">
        <f>IFERROR(_xlfn.XLOOKUP($A169,tblEquipos[Codigo],tblEquipos[Ubicacion],""),"")</f>
        <v>Palmucho</v>
      </c>
      <c r="H169" s="18" t="s">
        <v>1284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512</v>
      </c>
      <c r="B170" s="18" t="s">
        <v>506</v>
      </c>
      <c r="C170" s="18" t="s">
        <v>1281</v>
      </c>
      <c r="D170" s="18" t="s">
        <v>507</v>
      </c>
      <c r="E170" s="19" t="s">
        <v>508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>
      <c r="A171" s="18" t="s">
        <v>514</v>
      </c>
      <c r="B171" s="18" t="s">
        <v>506</v>
      </c>
      <c r="C171" s="18" t="s">
        <v>1281</v>
      </c>
      <c r="D171" s="18" t="s">
        <v>507</v>
      </c>
      <c r="E171" s="19" t="s">
        <v>508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517</v>
      </c>
      <c r="B172" s="18" t="s">
        <v>506</v>
      </c>
      <c r="C172" s="18" t="s">
        <v>1281</v>
      </c>
      <c r="D172" s="18" t="s">
        <v>507</v>
      </c>
      <c r="E172" s="19" t="s">
        <v>508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>
      <c r="A173" s="18" t="s">
        <v>519</v>
      </c>
      <c r="B173" s="18" t="s">
        <v>506</v>
      </c>
      <c r="C173" s="18" t="s">
        <v>1281</v>
      </c>
      <c r="D173" s="18" t="s">
        <v>507</v>
      </c>
      <c r="E173" s="19" t="s">
        <v>508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521</v>
      </c>
      <c r="B174" s="18" t="s">
        <v>506</v>
      </c>
      <c r="C174" s="18" t="s">
        <v>1281</v>
      </c>
      <c r="D174" s="18" t="s">
        <v>507</v>
      </c>
      <c r="E174" s="19" t="s">
        <v>508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523</v>
      </c>
      <c r="B175" s="18" t="s">
        <v>506</v>
      </c>
      <c r="C175" s="18" t="s">
        <v>1281</v>
      </c>
      <c r="D175" s="18" t="s">
        <v>507</v>
      </c>
      <c r="E175" s="19" t="s">
        <v>508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3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525</v>
      </c>
      <c r="B176" s="18" t="s">
        <v>506</v>
      </c>
      <c r="C176" s="18" t="s">
        <v>1281</v>
      </c>
      <c r="D176" s="18" t="s">
        <v>507</v>
      </c>
      <c r="E176" s="19" t="s">
        <v>508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1285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3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527</v>
      </c>
      <c r="B177" s="18" t="s">
        <v>506</v>
      </c>
      <c r="C177" s="18" t="s">
        <v>1281</v>
      </c>
      <c r="D177" s="18" t="s">
        <v>507</v>
      </c>
      <c r="E177" s="19" t="s">
        <v>508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1286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529</v>
      </c>
      <c r="B178" s="18" t="s">
        <v>461</v>
      </c>
      <c r="C178" s="18" t="s">
        <v>1281</v>
      </c>
      <c r="D178" s="18" t="s">
        <v>98</v>
      </c>
      <c r="E178" s="19" t="s">
        <v>530</v>
      </c>
      <c r="F178" s="18">
        <v>2025</v>
      </c>
      <c r="G178" s="19" t="str">
        <f>IFERROR(_xlfn.XLOOKUP($A178,tblEquipos[Codigo],tblEquipos[Ubicacion],""),"")</f>
        <v>Pelluhue</v>
      </c>
      <c r="H178" s="18" t="s">
        <v>531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532</v>
      </c>
      <c r="B179" s="18" t="s">
        <v>461</v>
      </c>
      <c r="C179" s="18" t="s">
        <v>1281</v>
      </c>
      <c r="D179" s="18" t="s">
        <v>98</v>
      </c>
      <c r="E179" s="19" t="s">
        <v>530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535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534</v>
      </c>
      <c r="B180" s="18" t="s">
        <v>461</v>
      </c>
      <c r="C180" s="18" t="s">
        <v>1281</v>
      </c>
      <c r="D180" s="18" t="s">
        <v>98</v>
      </c>
      <c r="E180" s="19" t="s">
        <v>530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537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536</v>
      </c>
      <c r="B181" s="18" t="s">
        <v>461</v>
      </c>
      <c r="C181" s="18" t="s">
        <v>1281</v>
      </c>
      <c r="D181" s="18" t="s">
        <v>98</v>
      </c>
      <c r="E181" s="19" t="s">
        <v>530</v>
      </c>
      <c r="F181" s="18">
        <v>2025</v>
      </c>
      <c r="G181" s="19" t="str">
        <f>IFERROR(_xlfn.XLOOKUP($A181,tblEquipos[Codigo],tblEquipos[Ubicacion],""),"")</f>
        <v>Colbun</v>
      </c>
      <c r="H181" s="18" t="s">
        <v>554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538</v>
      </c>
      <c r="B182" s="18" t="s">
        <v>461</v>
      </c>
      <c r="C182" s="18" t="s">
        <v>1281</v>
      </c>
      <c r="D182" s="18" t="s">
        <v>98</v>
      </c>
      <c r="E182" s="19" t="s">
        <v>530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526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540</v>
      </c>
      <c r="B183" s="18" t="s">
        <v>461</v>
      </c>
      <c r="C183" s="18" t="s">
        <v>1281</v>
      </c>
      <c r="D183" s="18" t="s">
        <v>98</v>
      </c>
      <c r="E183" s="19" t="s">
        <v>530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46178</v>
      </c>
      <c r="Q183" s="73">
        <f>IF(_xlfn.MAXIFS(Mantenciones!$D:$D,Mantenciones!$B:$B,A183)=0,"Sin datos de mantención registrado",_xlfn.MAXIFS(Mantenciones!$D:$D,Mantenciones!$B:$B,A183))</f>
        <v>98990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98990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-706901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-660768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0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542</v>
      </c>
      <c r="B184" s="18" t="s">
        <v>461</v>
      </c>
      <c r="C184" s="18" t="s">
        <v>1281</v>
      </c>
      <c r="D184" s="18" t="s">
        <v>98</v>
      </c>
      <c r="E184" s="19" t="s">
        <v>530</v>
      </c>
      <c r="F184" s="18">
        <v>2025</v>
      </c>
      <c r="G184" s="19" t="str">
        <f>IFERROR(_xlfn.XLOOKUP($A184,tblEquipos[Codigo],tblEquipos[Ubicacion],""),"")</f>
        <v>Oficina</v>
      </c>
      <c r="H184" s="18" t="s">
        <v>543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544</v>
      </c>
      <c r="B185" s="18" t="s">
        <v>461</v>
      </c>
      <c r="C185" s="18" t="s">
        <v>1281</v>
      </c>
      <c r="D185" s="18" t="s">
        <v>98</v>
      </c>
      <c r="E185" s="19" t="s">
        <v>530</v>
      </c>
      <c r="F185" s="18">
        <v>2025</v>
      </c>
      <c r="G185" s="19" t="str">
        <f>IFERROR(_xlfn.XLOOKUP($A185,tblEquipos[Codigo],tblEquipos[Ubicacion],""),"")</f>
        <v>Quirihue</v>
      </c>
      <c r="H185" s="18" t="s">
        <v>1287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EN PROCESO</v>
      </c>
      <c r="X185" s="18">
        <f t="shared" si="17"/>
        <v>25642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71775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0" t="str">
        <f t="shared" si="18"/>
        <v>EN PROCESO</v>
      </c>
      <c r="AF185" s="18" t="str">
        <f t="shared" si="19"/>
        <v>SEGUIMIENTO</v>
      </c>
      <c r="AG185" s="18" t="str">
        <f t="shared" si="20"/>
        <v>Hacer seguimiento al taller y cerrar report</v>
      </c>
      <c r="AH185">
        <f t="shared" si="21"/>
        <v>0</v>
      </c>
      <c r="AI185" t="str">
        <f t="shared" si="22"/>
        <v/>
      </c>
      <c r="AJ185" s="24">
        <f t="shared" si="23"/>
        <v>2</v>
      </c>
    </row>
    <row r="186" spans="1:36" s="27" customFormat="1">
      <c r="A186" s="18" t="s">
        <v>546</v>
      </c>
      <c r="B186" s="18" t="s">
        <v>461</v>
      </c>
      <c r="C186" s="18" t="s">
        <v>1281</v>
      </c>
      <c r="D186" s="18" t="s">
        <v>98</v>
      </c>
      <c r="E186" s="19" t="s">
        <v>530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545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3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548</v>
      </c>
      <c r="B187" s="18" t="s">
        <v>461</v>
      </c>
      <c r="C187" s="18" t="s">
        <v>1281</v>
      </c>
      <c r="D187" s="18" t="s">
        <v>98</v>
      </c>
      <c r="E187" s="19" t="s">
        <v>530</v>
      </c>
      <c r="F187" s="18">
        <v>2025</v>
      </c>
      <c r="G187" s="19" t="str">
        <f>IFERROR(_xlfn.XLOOKUP($A187,tblEquipos[Codigo],tblEquipos[Ubicacion],""),"")</f>
        <v>Oficina</v>
      </c>
      <c r="H187" s="18" t="s">
        <v>1288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549</v>
      </c>
      <c r="B188" s="18" t="s">
        <v>461</v>
      </c>
      <c r="C188" s="18" t="s">
        <v>1281</v>
      </c>
      <c r="D188" s="18" t="s">
        <v>550</v>
      </c>
      <c r="E188" s="19" t="s">
        <v>551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3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EN PROCESO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0" t="str">
        <f t="shared" si="18"/>
        <v>EN PROCESO</v>
      </c>
      <c r="AF188" s="18" t="str">
        <f t="shared" si="19"/>
        <v>SEGUIMIENTO</v>
      </c>
      <c r="AG188" s="18" t="str">
        <f t="shared" si="20"/>
        <v>Hacer seguimiento al taller y cerrar report</v>
      </c>
      <c r="AH188">
        <f t="shared" si="21"/>
        <v>0</v>
      </c>
      <c r="AI188" t="str">
        <f t="shared" si="22"/>
        <v/>
      </c>
      <c r="AJ188" s="24">
        <f t="shared" si="23"/>
        <v>2</v>
      </c>
    </row>
    <row r="189" spans="1:36" s="27" customFormat="1">
      <c r="A189" s="18" t="s">
        <v>553</v>
      </c>
      <c r="B189" s="18" t="s">
        <v>461</v>
      </c>
      <c r="C189" s="18" t="s">
        <v>1281</v>
      </c>
      <c r="D189" s="18" t="s">
        <v>98</v>
      </c>
      <c r="E189" s="19" t="s">
        <v>462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46177</v>
      </c>
      <c r="Q189" s="73">
        <f>IF(_xlfn.MAXIFS(Mantenciones!$D:$D,Mantenciones!$B:$B,A189)=0,"Sin datos de mantención registrado",_xlfn.MAXIFS(Mantenciones!$D:$D,Mantenciones!$B:$B,A189))</f>
        <v>32100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32100</v>
      </c>
      <c r="S189" s="21">
        <f>IFERROR(SUMIFS(tblMantenciones[Costo Mantencion CLP],tblMantenciones[Codigo],A189),0)</f>
        <v>882968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882968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28035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74168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555</v>
      </c>
      <c r="B190" s="18" t="s">
        <v>461</v>
      </c>
      <c r="C190" s="18" t="s">
        <v>1281</v>
      </c>
      <c r="D190" s="18" t="s">
        <v>98</v>
      </c>
      <c r="E190" s="19" t="s">
        <v>462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556</v>
      </c>
      <c r="B191" s="18" t="s">
        <v>461</v>
      </c>
      <c r="C191" s="18" t="s">
        <v>1281</v>
      </c>
      <c r="D191" s="18" t="s">
        <v>98</v>
      </c>
      <c r="E191" s="19" t="s">
        <v>462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190.5</v>
      </c>
      <c r="L191" s="20">
        <f>IFERROR(_xlfn.MAXIFS(tblLecturas[Fecha],tblLecturas[Codigo],$A191),"")</f>
        <v>46169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30138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46177</v>
      </c>
      <c r="Q191" s="73">
        <f>IF(_xlfn.MAXIFS(Mantenciones!$D:$D,Mantenciones!$B:$B,A191)=0,"Sin datos de mantención registrado",_xlfn.MAXIFS(Mantenciones!$D:$D,Mantenciones!$B:$B,A191))</f>
        <v>31381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31381</v>
      </c>
      <c r="S191" s="21">
        <f>IFERROR(SUMIFS(tblMantenciones[Costo Mantencion CLP],tblMantenciones[Codigo],A191),0)</f>
        <v>850854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1151189.77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16243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62412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558</v>
      </c>
      <c r="B192" s="18" t="s">
        <v>461</v>
      </c>
      <c r="C192" s="18" t="s">
        <v>1281</v>
      </c>
      <c r="D192" s="18" t="s">
        <v>98</v>
      </c>
      <c r="E192" s="19" t="s">
        <v>462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46181</v>
      </c>
      <c r="Q192" s="73">
        <f>IF(_xlfn.MAXIFS(Mantenciones!$D:$D,Mantenciones!$B:$B,A192)=0,"Sin datos de mantención registrado",_xlfn.MAXIFS(Mantenciones!$D:$D,Mantenciones!$B:$B,A192))</f>
        <v>33065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33065</v>
      </c>
      <c r="S192" s="21">
        <f>IFERROR(SUMIFS(tblMantenciones[Costo Mantencion CLP],tblMantenciones[Codigo],A192),0)</f>
        <v>585049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585049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30552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76685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559</v>
      </c>
      <c r="B193" s="18" t="s">
        <v>461</v>
      </c>
      <c r="C193" s="18" t="s">
        <v>1281</v>
      </c>
      <c r="D193" s="18" t="s">
        <v>98</v>
      </c>
      <c r="E193" s="19" t="s">
        <v>462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3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561</v>
      </c>
      <c r="B194" s="18" t="s">
        <v>461</v>
      </c>
      <c r="C194" s="18" t="s">
        <v>1281</v>
      </c>
      <c r="D194" s="18" t="s">
        <v>98</v>
      </c>
      <c r="E194" s="19" t="s">
        <v>562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564</v>
      </c>
      <c r="B195" s="18" t="s">
        <v>461</v>
      </c>
      <c r="C195" s="18" t="s">
        <v>1281</v>
      </c>
      <c r="D195" s="18" t="s">
        <v>98</v>
      </c>
      <c r="E195" s="19" t="s">
        <v>565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567</v>
      </c>
      <c r="B196" s="18" t="s">
        <v>568</v>
      </c>
      <c r="C196" s="18" t="s">
        <v>1281</v>
      </c>
      <c r="D196" s="18" t="s">
        <v>53</v>
      </c>
      <c r="E196" s="19" t="s">
        <v>569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571</v>
      </c>
      <c r="B197" s="18" t="s">
        <v>568</v>
      </c>
      <c r="C197" s="18" t="s">
        <v>1281</v>
      </c>
      <c r="D197" s="18" t="s">
        <v>53</v>
      </c>
      <c r="E197" s="19" t="s">
        <v>572</v>
      </c>
      <c r="F197" s="18">
        <v>2017</v>
      </c>
      <c r="G197" s="19" t="str">
        <f>IFERROR(_xlfn.XLOOKUP($A197,tblEquipos[Codigo],tblEquipos[Ubicacion],""),"")</f>
        <v>Quirihue</v>
      </c>
      <c r="H197" s="18" t="s">
        <v>1289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573</v>
      </c>
      <c r="B198" s="18" t="s">
        <v>568</v>
      </c>
      <c r="C198" s="18" t="s">
        <v>1281</v>
      </c>
      <c r="D198" s="18" t="s">
        <v>53</v>
      </c>
      <c r="E198" s="19" t="s">
        <v>574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576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577</v>
      </c>
      <c r="B199" s="18" t="s">
        <v>461</v>
      </c>
      <c r="C199" s="18" t="s">
        <v>1281</v>
      </c>
      <c r="D199" s="18" t="s">
        <v>98</v>
      </c>
      <c r="E199" s="19" t="s">
        <v>578</v>
      </c>
      <c r="F199" s="18">
        <v>2021</v>
      </c>
      <c r="G199" s="19" t="str">
        <f>IFERROR(_xlfn.XLOOKUP($A199,tblEquipos[Codigo],tblEquipos[Ubicacion],""),"")</f>
        <v>TALLER</v>
      </c>
      <c r="H199" s="18" t="s">
        <v>579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580</v>
      </c>
      <c r="B200" s="18" t="s">
        <v>461</v>
      </c>
      <c r="C200" s="18" t="s">
        <v>1281</v>
      </c>
      <c r="D200" s="18" t="s">
        <v>98</v>
      </c>
      <c r="E200" s="19" t="s">
        <v>581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584</v>
      </c>
      <c r="B201" s="18" t="s">
        <v>461</v>
      </c>
      <c r="C201" s="18" t="s">
        <v>1281</v>
      </c>
      <c r="D201" s="18" t="s">
        <v>98</v>
      </c>
      <c r="E201" s="19" t="s">
        <v>578</v>
      </c>
      <c r="F201" s="18">
        <v>2021</v>
      </c>
      <c r="G201" s="19">
        <f>IFERROR(_xlfn.XLOOKUP($A201,tblEquipos[Codigo],tblEquipos[Ubicacion],""),"")</f>
        <v>0</v>
      </c>
      <c r="H201" s="18" t="s">
        <v>579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585</v>
      </c>
      <c r="B202" s="18" t="s">
        <v>461</v>
      </c>
      <c r="C202" s="18" t="s">
        <v>1281</v>
      </c>
      <c r="D202" s="18" t="s">
        <v>98</v>
      </c>
      <c r="E202" s="19" t="s">
        <v>578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586</v>
      </c>
      <c r="B203" s="18" t="s">
        <v>461</v>
      </c>
      <c r="C203" s="18" t="s">
        <v>1281</v>
      </c>
      <c r="D203" s="18" t="s">
        <v>98</v>
      </c>
      <c r="E203" s="19" t="s">
        <v>581</v>
      </c>
      <c r="F203" s="18">
        <v>2021</v>
      </c>
      <c r="G203" s="19">
        <f>IFERROR(_xlfn.XLOOKUP($A203,tblEquipos[Codigo],tblEquipos[Ubicacion],""),"")</f>
        <v>0</v>
      </c>
      <c r="H203" s="18" t="s">
        <v>579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587</v>
      </c>
      <c r="B204" s="18" t="s">
        <v>461</v>
      </c>
      <c r="C204" s="18" t="s">
        <v>1281</v>
      </c>
      <c r="D204" s="18" t="s">
        <v>98</v>
      </c>
      <c r="E204" s="19" t="s">
        <v>578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64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589</v>
      </c>
      <c r="B205" s="18" t="s">
        <v>461</v>
      </c>
      <c r="C205" s="18" t="s">
        <v>1281</v>
      </c>
      <c r="D205" s="18" t="s">
        <v>98</v>
      </c>
      <c r="E205" s="19" t="s">
        <v>578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14288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590</v>
      </c>
      <c r="B206" s="18" t="s">
        <v>461</v>
      </c>
      <c r="C206" s="18" t="s">
        <v>1281</v>
      </c>
      <c r="D206" s="18" t="s">
        <v>98</v>
      </c>
      <c r="E206" s="19" t="s">
        <v>578</v>
      </c>
      <c r="F206" s="18">
        <v>2021</v>
      </c>
      <c r="G206" s="19">
        <f>IFERROR(_xlfn.XLOOKUP($A206,tblEquipos[Codigo],tblEquipos[Ubicacion],""),"")</f>
        <v>0</v>
      </c>
      <c r="H206" s="18" t="s">
        <v>579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591</v>
      </c>
      <c r="B207" s="18" t="s">
        <v>461</v>
      </c>
      <c r="C207" s="18" t="s">
        <v>1281</v>
      </c>
      <c r="D207" s="18" t="s">
        <v>98</v>
      </c>
      <c r="E207" s="19" t="s">
        <v>578</v>
      </c>
      <c r="F207" s="18">
        <v>2021</v>
      </c>
      <c r="G207" s="19" t="str">
        <f>IFERROR(_xlfn.XLOOKUP($A207,tblEquipos[Codigo],tblEquipos[Ubicacion],""),"")</f>
        <v>Retiro</v>
      </c>
      <c r="H207" s="18" t="s">
        <v>579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594</v>
      </c>
      <c r="B208" s="18" t="s">
        <v>461</v>
      </c>
      <c r="C208" s="18" t="s">
        <v>1281</v>
      </c>
      <c r="D208" s="18" t="s">
        <v>98</v>
      </c>
      <c r="E208" s="19" t="s">
        <v>595</v>
      </c>
      <c r="F208" s="18">
        <v>2021</v>
      </c>
      <c r="G208" s="19">
        <f>IFERROR(_xlfn.XLOOKUP($A208,tblEquipos[Codigo],tblEquipos[Ubicacion],""),"")</f>
        <v>0</v>
      </c>
      <c r="H208" s="18" t="s">
        <v>579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596</v>
      </c>
      <c r="B209" s="18" t="s">
        <v>461</v>
      </c>
      <c r="C209" s="18" t="s">
        <v>1281</v>
      </c>
      <c r="D209" s="18" t="s">
        <v>98</v>
      </c>
      <c r="E209" s="19" t="s">
        <v>595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597</v>
      </c>
      <c r="B210" s="18" t="s">
        <v>506</v>
      </c>
      <c r="C210" s="18" t="s">
        <v>1281</v>
      </c>
      <c r="D210" s="18" t="s">
        <v>53</v>
      </c>
      <c r="E210" s="19" t="s">
        <v>598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599</v>
      </c>
      <c r="B211" s="18" t="s">
        <v>506</v>
      </c>
      <c r="C211" s="18" t="s">
        <v>1281</v>
      </c>
      <c r="D211" s="18" t="s">
        <v>53</v>
      </c>
      <c r="E211" s="19" t="s">
        <v>600</v>
      </c>
      <c r="F211" s="18">
        <v>2017</v>
      </c>
      <c r="G211" s="19">
        <f>IFERROR(_xlfn.XLOOKUP($A211,tblEquipos[Codigo],tblEquipos[Ubicacion],""),"")</f>
        <v>0</v>
      </c>
      <c r="H211" s="18" t="s">
        <v>579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601</v>
      </c>
      <c r="B212" s="18" t="s">
        <v>506</v>
      </c>
      <c r="C212" s="18" t="s">
        <v>1281</v>
      </c>
      <c r="D212" s="18" t="s">
        <v>53</v>
      </c>
      <c r="E212" s="19" t="s">
        <v>602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603</v>
      </c>
      <c r="B213" s="18" t="s">
        <v>461</v>
      </c>
      <c r="C213" s="18" t="s">
        <v>1281</v>
      </c>
      <c r="D213" s="18" t="s">
        <v>604</v>
      </c>
      <c r="E213" s="19" t="s">
        <v>605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606</v>
      </c>
      <c r="B214" s="18" t="s">
        <v>461</v>
      </c>
      <c r="C214" s="18" t="s">
        <v>1281</v>
      </c>
      <c r="D214" s="18" t="s">
        <v>604</v>
      </c>
      <c r="E214" s="19" t="s">
        <v>605</v>
      </c>
      <c r="F214" s="18">
        <v>2023</v>
      </c>
      <c r="G214" s="19" t="str">
        <f>IFERROR(_xlfn.XLOOKUP($A214,tblEquipos[Codigo],tblEquipos[Ubicacion],""),"")</f>
        <v>TALLER</v>
      </c>
      <c r="H214" s="18" t="s">
        <v>588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607</v>
      </c>
      <c r="B215" s="18" t="s">
        <v>461</v>
      </c>
      <c r="C215" s="18" t="s">
        <v>1281</v>
      </c>
      <c r="D215" s="18" t="s">
        <v>604</v>
      </c>
      <c r="E215" s="19" t="s">
        <v>605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609</v>
      </c>
      <c r="B216" s="18" t="s">
        <v>461</v>
      </c>
      <c r="C216" s="18" t="s">
        <v>1281</v>
      </c>
      <c r="D216" s="18" t="s">
        <v>604</v>
      </c>
      <c r="E216" s="19" t="s">
        <v>605</v>
      </c>
      <c r="F216" s="18">
        <v>2023</v>
      </c>
      <c r="G216" s="19" t="str">
        <f>IFERROR(_xlfn.XLOOKUP($A216,tblEquipos[Codigo],tblEquipos[Ubicacion],""),"")</f>
        <v>Asfalto</v>
      </c>
      <c r="H216" s="18" t="s">
        <v>1290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3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-1958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44175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611</v>
      </c>
      <c r="B217" s="18" t="s">
        <v>461</v>
      </c>
      <c r="C217" s="18" t="s">
        <v>1281</v>
      </c>
      <c r="D217" s="18" t="s">
        <v>604</v>
      </c>
      <c r="E217" s="19" t="s">
        <v>605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1291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3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613</v>
      </c>
      <c r="B218" s="18" t="s">
        <v>461</v>
      </c>
      <c r="C218" s="18" t="s">
        <v>1281</v>
      </c>
      <c r="D218" s="18" t="s">
        <v>604</v>
      </c>
      <c r="E218" s="19" t="s">
        <v>605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614</v>
      </c>
      <c r="B219" s="18" t="s">
        <v>506</v>
      </c>
      <c r="C219" s="18" t="s">
        <v>1281</v>
      </c>
      <c r="D219" s="18" t="s">
        <v>507</v>
      </c>
      <c r="E219" s="19" t="s">
        <v>615</v>
      </c>
      <c r="F219" s="18">
        <v>2015</v>
      </c>
      <c r="G219" s="19">
        <f>IFERROR(_xlfn.XLOOKUP($A219,tblEquipos[Codigo],tblEquipos[Ubicacion],""),"")</f>
        <v>0</v>
      </c>
      <c r="H219" s="18" t="s">
        <v>579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616</v>
      </c>
      <c r="B220" s="18" t="s">
        <v>506</v>
      </c>
      <c r="C220" s="18" t="s">
        <v>1281</v>
      </c>
      <c r="D220" s="18" t="s">
        <v>478</v>
      </c>
      <c r="E220" s="19" t="s">
        <v>617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618</v>
      </c>
      <c r="B221" s="18" t="s">
        <v>461</v>
      </c>
      <c r="C221" s="18" t="s">
        <v>1281</v>
      </c>
      <c r="D221" s="18" t="s">
        <v>619</v>
      </c>
      <c r="E221" s="19" t="s">
        <v>620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3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621</v>
      </c>
      <c r="B222" s="18" t="s">
        <v>506</v>
      </c>
      <c r="C222" s="18" t="s">
        <v>1281</v>
      </c>
      <c r="D222" s="18" t="s">
        <v>115</v>
      </c>
      <c r="E222" s="19" t="s">
        <v>622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623</v>
      </c>
      <c r="B223" s="18" t="s">
        <v>506</v>
      </c>
      <c r="C223" s="18" t="s">
        <v>1281</v>
      </c>
      <c r="D223" s="18" t="s">
        <v>115</v>
      </c>
      <c r="E223" s="19" t="s">
        <v>624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3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-174074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-127960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626</v>
      </c>
      <c r="B224" s="18" t="s">
        <v>506</v>
      </c>
      <c r="C224" s="18" t="s">
        <v>1281</v>
      </c>
      <c r="D224" s="18" t="s">
        <v>115</v>
      </c>
      <c r="E224" s="19" t="s">
        <v>624</v>
      </c>
      <c r="F224" s="18">
        <v>2017</v>
      </c>
      <c r="G224" s="19" t="str">
        <f>IFERROR(_xlfn.XLOOKUP($A224,tblEquipos[Codigo],tblEquipos[Ubicacion],""),"")</f>
        <v>Asfalto</v>
      </c>
      <c r="H224" s="18" t="s">
        <v>1292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628</v>
      </c>
      <c r="B225" s="18" t="s">
        <v>506</v>
      </c>
      <c r="C225" s="18" t="s">
        <v>1281</v>
      </c>
      <c r="D225" s="18" t="s">
        <v>115</v>
      </c>
      <c r="E225" s="19" t="s">
        <v>624</v>
      </c>
      <c r="F225" s="18">
        <v>2017</v>
      </c>
      <c r="G225" s="19">
        <f>IFERROR(_xlfn.XLOOKUP($A225,tblEquipos[Codigo],tblEquipos[Ubicacion],""),"")</f>
        <v>0</v>
      </c>
      <c r="H225" s="18" t="s">
        <v>511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629</v>
      </c>
      <c r="B226" s="18" t="s">
        <v>461</v>
      </c>
      <c r="C226" s="18" t="s">
        <v>1281</v>
      </c>
      <c r="D226" s="18" t="s">
        <v>98</v>
      </c>
      <c r="E226" s="19" t="s">
        <v>578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1293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631</v>
      </c>
      <c r="B227" s="18" t="s">
        <v>461</v>
      </c>
      <c r="C227" s="18" t="s">
        <v>1281</v>
      </c>
      <c r="D227" s="18" t="s">
        <v>98</v>
      </c>
      <c r="E227" s="19" t="s">
        <v>578</v>
      </c>
      <c r="F227" s="18">
        <v>2023</v>
      </c>
      <c r="G227" s="19" t="str">
        <f>IFERROR(_xlfn.XLOOKUP($A227,tblEquipos[Codigo],tblEquipos[Ubicacion],""),"")</f>
        <v>Palmucho</v>
      </c>
      <c r="H227" s="18" t="s">
        <v>1294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633</v>
      </c>
      <c r="B228" s="18" t="s">
        <v>461</v>
      </c>
      <c r="C228" s="18" t="s">
        <v>1281</v>
      </c>
      <c r="D228" s="18" t="s">
        <v>98</v>
      </c>
      <c r="E228" s="19" t="s">
        <v>578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634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635</v>
      </c>
      <c r="B229" s="18" t="s">
        <v>461</v>
      </c>
      <c r="C229" s="18" t="s">
        <v>1281</v>
      </c>
      <c r="D229" s="18" t="s">
        <v>98</v>
      </c>
      <c r="E229" s="19" t="s">
        <v>578</v>
      </c>
      <c r="F229" s="18">
        <v>2023</v>
      </c>
      <c r="G229" s="19" t="str">
        <f>IFERROR(_xlfn.XLOOKUP($A229,tblEquipos[Codigo],tblEquipos[Ubicacion],""),"")</f>
        <v>Quirihue</v>
      </c>
      <c r="H229" s="18" t="s">
        <v>636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637</v>
      </c>
      <c r="B230" s="18" t="s">
        <v>461</v>
      </c>
      <c r="C230" s="18" t="s">
        <v>1281</v>
      </c>
      <c r="D230" s="18" t="s">
        <v>98</v>
      </c>
      <c r="E230" s="19" t="s">
        <v>578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630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3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639</v>
      </c>
      <c r="B231" s="18" t="s">
        <v>461</v>
      </c>
      <c r="C231" s="18" t="s">
        <v>1281</v>
      </c>
      <c r="D231" s="18" t="s">
        <v>98</v>
      </c>
      <c r="E231" s="19" t="s">
        <v>578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1295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641</v>
      </c>
      <c r="B232" s="18" t="s">
        <v>461</v>
      </c>
      <c r="C232" s="18" t="s">
        <v>1281</v>
      </c>
      <c r="D232" s="18" t="s">
        <v>98</v>
      </c>
      <c r="E232" s="19" t="s">
        <v>578</v>
      </c>
      <c r="F232" s="18">
        <v>2023</v>
      </c>
      <c r="G232" s="19" t="str">
        <f>IFERROR(_xlfn.XLOOKUP($A232,tblEquipos[Codigo],tblEquipos[Ubicacion],""),"")</f>
        <v>Palmucho</v>
      </c>
      <c r="H232" s="18" t="s">
        <v>1296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642</v>
      </c>
      <c r="B233" s="18" t="s">
        <v>461</v>
      </c>
      <c r="C233" s="18" t="s">
        <v>1281</v>
      </c>
      <c r="D233" s="18" t="s">
        <v>98</v>
      </c>
      <c r="E233" s="19" t="s">
        <v>578</v>
      </c>
      <c r="F233" s="18">
        <v>2023</v>
      </c>
      <c r="G233" s="19" t="str">
        <f>IFERROR(_xlfn.XLOOKUP($A233,tblEquipos[Codigo],tblEquipos[Ubicacion],""),"")</f>
        <v>Palmucho</v>
      </c>
      <c r="H233" s="18" t="s">
        <v>643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3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644</v>
      </c>
      <c r="B234" s="18" t="s">
        <v>461</v>
      </c>
      <c r="C234" s="18" t="s">
        <v>1281</v>
      </c>
      <c r="D234" s="18" t="s">
        <v>98</v>
      </c>
      <c r="E234" s="19" t="s">
        <v>578</v>
      </c>
      <c r="F234" s="18">
        <v>2023</v>
      </c>
      <c r="G234" s="19" t="str">
        <f>IFERROR(_xlfn.XLOOKUP($A234,tblEquipos[Codigo],tblEquipos[Ubicacion],""),"")</f>
        <v>Quirihue</v>
      </c>
      <c r="H234" s="18" t="s">
        <v>1297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46181</v>
      </c>
      <c r="Q234" s="73">
        <f>IF(_xlfn.MAXIFS(Mantenciones!$D:$D,Mantenciones!$B:$B,A234)=0,"Sin datos de mantención registrado",_xlfn.MAXIFS(Mantenciones!$D:$D,Mantenciones!$B:$B,A234))</f>
        <v>159017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159017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28555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74691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646</v>
      </c>
      <c r="B235" s="18" t="s">
        <v>461</v>
      </c>
      <c r="C235" s="18" t="s">
        <v>1281</v>
      </c>
      <c r="D235" s="18" t="s">
        <v>98</v>
      </c>
      <c r="E235" s="19" t="s">
        <v>581</v>
      </c>
      <c r="F235" s="18">
        <v>2023</v>
      </c>
      <c r="G235" s="19" t="str">
        <f>IFERROR(_xlfn.XLOOKUP($A235,tblEquipos[Codigo],tblEquipos[Ubicacion],""),"")</f>
        <v>Taller</v>
      </c>
      <c r="H235" s="18" t="s">
        <v>1298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3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0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647</v>
      </c>
      <c r="B236" s="18" t="s">
        <v>461</v>
      </c>
      <c r="C236" s="18" t="s">
        <v>1281</v>
      </c>
      <c r="D236" s="18" t="s">
        <v>98</v>
      </c>
      <c r="E236" s="19" t="s">
        <v>578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649</v>
      </c>
      <c r="B237" s="18" t="s">
        <v>461</v>
      </c>
      <c r="C237" s="18" t="s">
        <v>1281</v>
      </c>
      <c r="D237" s="18" t="s">
        <v>98</v>
      </c>
      <c r="E237" s="19" t="s">
        <v>462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650</v>
      </c>
      <c r="B238" s="18" t="s">
        <v>461</v>
      </c>
      <c r="C238" s="18" t="s">
        <v>1281</v>
      </c>
      <c r="D238" s="18" t="s">
        <v>98</v>
      </c>
      <c r="E238" s="19" t="s">
        <v>462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651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652</v>
      </c>
      <c r="B239" s="18" t="s">
        <v>653</v>
      </c>
      <c r="C239" s="18" t="s">
        <v>1253</v>
      </c>
      <c r="D239" s="18" t="s">
        <v>654</v>
      </c>
      <c r="E239" s="19" t="s">
        <v>655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656</v>
      </c>
      <c r="B240" s="18" t="s">
        <v>653</v>
      </c>
      <c r="C240" s="18" t="s">
        <v>1253</v>
      </c>
      <c r="D240" s="18" t="s">
        <v>657</v>
      </c>
      <c r="E240" s="19" t="s">
        <v>658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659</v>
      </c>
      <c r="B241" s="18" t="s">
        <v>653</v>
      </c>
      <c r="C241" s="18" t="s">
        <v>1253</v>
      </c>
      <c r="D241" s="18" t="s">
        <v>660</v>
      </c>
      <c r="E241" s="19" t="s">
        <v>661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662</v>
      </c>
      <c r="B242" s="18" t="s">
        <v>653</v>
      </c>
      <c r="C242" s="18" t="s">
        <v>1253</v>
      </c>
      <c r="D242" s="18" t="s">
        <v>663</v>
      </c>
      <c r="E242" s="19" t="s">
        <v>664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5" t="s">
        <v>1299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</row>
    <row r="2" spans="1:19">
      <c r="A2" s="96" t="s">
        <v>1300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</row>
    <row r="3" spans="1:19">
      <c r="A3" s="16" t="s">
        <v>1</v>
      </c>
      <c r="B3" s="16" t="s">
        <v>2</v>
      </c>
      <c r="C3" s="16" t="s">
        <v>1220</v>
      </c>
      <c r="D3" s="16" t="s">
        <v>1301</v>
      </c>
      <c r="E3" s="16" t="s">
        <v>1224</v>
      </c>
      <c r="F3" s="16" t="s">
        <v>1302</v>
      </c>
      <c r="G3" s="17" t="s">
        <v>11</v>
      </c>
      <c r="H3" s="16" t="s">
        <v>1303</v>
      </c>
      <c r="I3" s="54" t="s">
        <v>1304</v>
      </c>
      <c r="J3" s="16" t="s">
        <v>1305</v>
      </c>
      <c r="K3" s="17" t="s">
        <v>1306</v>
      </c>
      <c r="L3" s="16" t="s">
        <v>1307</v>
      </c>
      <c r="M3" s="55" t="s">
        <v>1225</v>
      </c>
      <c r="N3" s="17" t="s">
        <v>1235</v>
      </c>
      <c r="O3" s="16" t="s">
        <v>1236</v>
      </c>
      <c r="P3" s="17" t="s">
        <v>1308</v>
      </c>
      <c r="Q3" s="17" t="s">
        <v>1309</v>
      </c>
      <c r="R3" s="17" t="s">
        <v>1310</v>
      </c>
      <c r="S3" s="16" t="s">
        <v>1242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74">
        <f t="shared" ref="I4:I67" ca="1" si="1">IFERROR(IF($H4="","",TODAY()+$H4),"")</f>
        <v>46437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IFERROR(_xlfn.AGGREGATE(14,6,Mantenciones!$A$2:$A$9993/(Mantenciones!$B$2:$B$9993=$A4),1),"")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4.0999999999999996</v>
      </c>
      <c r="H5">
        <f t="shared" si="0"/>
        <v>99</v>
      </c>
      <c r="I5" s="74">
        <f t="shared" ca="1" si="1"/>
        <v>46281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6" cm="1">
        <f t="array" ref="M5">IFERROR(_xlfn.AGGREGATE(14,6,Mantenciones!$A$2:$A$9993/(Mantenciones!$B$2:$B$9993=$A5),1),"")</f>
        <v>46125</v>
      </c>
      <c r="N5" s="31" t="str" cm="1">
        <f t="array" ref="N5">IFERROR(_xlfn.AGGREGATE(14,6,'Compras PM'!$A$4:$A$10016/('Compras PM'!$C$4:$C$10016=$A5),1),"")</f>
        <v/>
      </c>
      <c r="O5" s="31">
        <f>IFERROR(VLOOKUP($A5,Maestro_Equipos!$A$4:$AG$242,27,FALSE()),"")</f>
        <v>46125</v>
      </c>
      <c r="P5" s="32" t="str">
        <f t="shared" ca="1" si="3"/>
        <v/>
      </c>
      <c r="Q5" s="32">
        <f t="shared" ca="1" si="4"/>
        <v>0</v>
      </c>
      <c r="R5" s="30" t="str">
        <f t="shared" si="5"/>
        <v>REALIZADA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74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IFERROR(_xlfn.AGGREGATE(14,6,Mantenciones!$A$2:$A$9993/(Mantenciones!$B$2:$B$9993=$A6),1),"")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88.539883449098852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74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IFERROR(_xlfn.AGGREGATE(14,6,Mantenciones!$A$2:$A$9993/(Mantenciones!$B$2:$B$9993=$A7),1),"")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88.539883449098852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16.5</v>
      </c>
      <c r="H8">
        <f t="shared" si="0"/>
        <v>37</v>
      </c>
      <c r="I8" s="74">
        <f t="shared" ca="1" si="1"/>
        <v>46219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BAJA</v>
      </c>
      <c r="M8" s="56" cm="1">
        <f t="array" ref="M8">IFERROR(_xlfn.AGGREGATE(14,6,Mantenciones!$A$2:$A$9993/(Mantenciones!$B$2:$B$9993=$A8),1),"")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 t="shared" si="0"/>
        <v>215</v>
      </c>
      <c r="I9" s="74">
        <f t="shared" ca="1" si="1"/>
        <v>46397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IFERROR(_xlfn.AGGREGATE(14,6,Mantenciones!$A$2:$A$9993/(Mantenciones!$B$2:$B$9993=$A9),1),"")</f>
        <v>46044</v>
      </c>
      <c r="N9" s="31" t="str" cm="1">
        <f t="array" ref="N9">IFERROR(_xlfn.AGGREGATE(14,6,'Compras PM'!$A$4:$A$10016/('Compras PM'!$C$4:$C$10016=$A9),1),"")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11423</v>
      </c>
      <c r="G10">
        <f>IFERROR(_xlfn.XLOOKUP($A10,Maestro_Equipos!$A:$A,Maestro_Equipos!$K:$K,""),"")</f>
        <v>3.8</v>
      </c>
      <c r="H10">
        <f t="shared" si="0"/>
        <v>132</v>
      </c>
      <c r="I10" s="74">
        <f t="shared" ca="1" si="1"/>
        <v>46314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IFERROR(_xlfn.AGGREGATE(14,6,Mantenciones!$A$2:$A$9993/(Mantenciones!$B$2:$B$9993=$A10),1),"")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53.609318900496874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0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0</v>
      </c>
      <c r="H11" t="str">
        <f t="shared" si="0"/>
        <v/>
      </c>
      <c r="I11" s="74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IFERROR(_xlfn.AGGREGATE(14,6,Mantenciones!$A$2:$A$9993/(Mantenciones!$B$2:$B$9993=$A11),1),"")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35.458750196798064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 t="shared" si="0"/>
        <v/>
      </c>
      <c r="I12" s="74" t="str">
        <f t="shared" ca="1" si="1"/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SIN DATOS</v>
      </c>
      <c r="M12" s="56" cm="1">
        <f t="array" ref="M12">IFERROR(_xlfn.AGGREGATE(14,6,Mantenciones!$A$2:$A$9993/(Mantenciones!$B$2:$B$9993=$A12),1),"")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88.51431111110287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 t="shared" si="0"/>
        <v/>
      </c>
      <c r="I13" s="74" t="str">
        <f t="shared" ca="1" si="1"/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SIN DATOS</v>
      </c>
      <c r="M13" s="56" cm="1">
        <f t="array" ref="M13">IFERROR(_xlfn.AGGREGATE(14,6,Mantenciones!$A$2:$A$9993/(Mantenciones!$B$2:$B$9993=$A13),1),"")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74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IFERROR(_xlfn.AGGREGATE(14,6,Mantenciones!$A$2:$A$9993/(Mantenciones!$B$2:$B$9993=$A14),1),"")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74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IFERROR(_xlfn.AGGREGATE(14,6,Mantenciones!$A$2:$A$9993/(Mantenciones!$B$2:$B$9993=$A15),1),"")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74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IFERROR(_xlfn.AGGREGATE(14,6,Mantenciones!$A$2:$A$9993/(Mantenciones!$B$2:$B$9993=$A16),1),"")</f>
        <v>46167</v>
      </c>
      <c r="N16" s="31" cm="1">
        <f t="array" ref="N16">IFERROR(_xlfn.AGGREGATE(14,6,'Compras PM'!$A$4:$A$10016/('Compras PM'!$C$4:$C$10016=$A16),1),"")</f>
        <v>46154.345345023103</v>
      </c>
      <c r="O16" s="31">
        <f>IFERROR(VLOOKUP($A16,Maestro_Equipos!$A$4:$AG$242,27,FALSE()),"")</f>
        <v>46162</v>
      </c>
      <c r="P16" s="32">
        <f t="shared" ca="1" si="3"/>
        <v>12.654654976897291</v>
      </c>
      <c r="Q16" s="32">
        <f t="shared" ca="1" si="4"/>
        <v>5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74">
        <f t="shared" ca="1" si="1"/>
        <v>46337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IFERROR(_xlfn.AGGREGATE(14,6,Mantenciones!$A$2:$A$9993/(Mantenciones!$B$2:$B$9993=$A17),1),"")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 t="shared" si="0"/>
        <v/>
      </c>
      <c r="I18" s="74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IFERROR(_xlfn.AGGREGATE(14,6,Mantenciones!$A$2:$A$9993/(Mantenciones!$B$2:$B$9993=$A18),1),"")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82</v>
      </c>
      <c r="Q18" s="32">
        <f t="shared" ca="1" si="4"/>
        <v>120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74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cm="1">
        <f t="array" ref="M19">IFERROR(_xlfn.AGGREGATE(14,6,Mantenciones!$A$2:$A$9993/(Mantenciones!$B$2:$B$9993=$A19),1),"")</f>
        <v>46133</v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54.642095486102335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74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IFERROR(_xlfn.AGGREGATE(14,6,Mantenciones!$A$2:$A$9993/(Mantenciones!$B$2:$B$9993=$A20),1),"")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KM</v>
      </c>
      <c r="E21">
        <f>IFERROR(IF($D21="KM",_xlfn.XLOOKUP($A21,Maestro_Equipos!$A:$A,Maestro_Equipos!$N:$N,""),_xlfn.XLOOKUP($A21,Maestro_Equipos!$A:$A,Maestro_Equipos!$M:$M,"")),"")</f>
        <v>917261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74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IFERROR(_xlfn.AGGREGATE(14,6,Mantenciones!$A$2:$A$9993/(Mantenciones!$B$2:$B$9993=$A21),1),"")</f>
        <v/>
      </c>
      <c r="N21" s="31" cm="1">
        <f t="array" ref="N21">IFERROR(_xlfn.AGGREGATE(14,6,'Compras PM'!$A$4:$A$10016/('Compras PM'!$C$4:$C$10016=$A21),1),"")</f>
        <v>46162.5197619213</v>
      </c>
      <c r="O21" s="31" t="str">
        <f>IFERROR(VLOOKUP($A21,Maestro_Equipos!$A$4:$AG$242,27,FALSE()),"")</f>
        <v/>
      </c>
      <c r="P21" s="32">
        <f t="shared" ca="1" si="3"/>
        <v>19.480238078700495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 t="shared" si="0"/>
        <v>321682</v>
      </c>
      <c r="I22" s="74">
        <f t="shared" ca="1" si="1"/>
        <v>367864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IFERROR(_xlfn.AGGREGATE(14,6,Mantenciones!$A$2:$A$9993/(Mantenciones!$B$2:$B$9993=$A22),1),"")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3406</v>
      </c>
      <c r="F23">
        <f>IFERROR(_xlfn.XLOOKUP($A23,Maestro_Equipos!$A:$A,Maestro_Equipos!$R:$R,"")+_xlfn.XLOOKUP($A23,Maestro_Equipos!$A:$A,Maestro_Equipos!$J:$J,""),"")</f>
        <v>3906</v>
      </c>
      <c r="G23">
        <f>IFERROR(_xlfn.XLOOKUP($A23,Maestro_Equipos!$A:$A,Maestro_Equipos!$K:$K,""),"")</f>
        <v>2.7</v>
      </c>
      <c r="H23">
        <f t="shared" si="0"/>
        <v>185</v>
      </c>
      <c r="I23" s="74">
        <f t="shared" ca="1" si="1"/>
        <v>46367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IFERROR(_xlfn.AGGREGATE(14,6,Mantenciones!$A$2:$A$9993/(Mantenciones!$B$2:$B$9993=$A23),1),"")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88.539883449098852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 t="shared" si="0"/>
        <v>134</v>
      </c>
      <c r="I24" s="74">
        <f t="shared" ca="1" si="1"/>
        <v>46316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IFERROR(_xlfn.AGGREGATE(14,6,Mantenciones!$A$2:$A$9993/(Mantenciones!$B$2:$B$9993=$A24),1),"")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88.539883449098852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 t="shared" si="0"/>
        <v>108</v>
      </c>
      <c r="I25" s="74">
        <f t="shared" ca="1" si="1"/>
        <v>46290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BAJA</v>
      </c>
      <c r="M25" s="56" cm="1">
        <f t="array" ref="M25">IFERROR(_xlfn.AGGREGATE(14,6,Mantenciones!$A$2:$A$9993/(Mantenciones!$B$2:$B$9993=$A25),1),"")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 t="shared" si="0"/>
        <v/>
      </c>
      <c r="I26" s="74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IFERROR(_xlfn.AGGREGATE(14,6,Mantenciones!$A$2:$A$9993/(Mantenciones!$B$2:$B$9993=$A26),1),"")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88.539883449098852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74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IFERROR(_xlfn.AGGREGATE(14,6,Mantenciones!$A$2:$A$9993/(Mantenciones!$B$2:$B$9993=$A27),1),"")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88.539883449098852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74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cm="1">
        <f t="array" ref="M28">IFERROR(_xlfn.AGGREGATE(14,6,Mantenciones!$A$2:$A$9993/(Mantenciones!$B$2:$B$9993=$A28),1),"")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83</v>
      </c>
      <c r="Q28" s="32">
        <f t="shared" ca="1" si="4"/>
        <v>102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74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t="str" cm="1">
        <f t="array" ref="M29">IFERROR(_xlfn.AGGREGATE(14,6,Mantenciones!$A$2:$A$9993/(Mantenciones!$B$2:$B$9993=$A29),1),"")</f>
        <v/>
      </c>
      <c r="N29" s="31" cm="1">
        <f t="array" ref="N29">IFERROR(_xlfn.AGGREGATE(14,6,'Compras PM'!$A$4:$A$10016/('Compras PM'!$C$4:$C$10016=$A29),1),"")</f>
        <v>46167.397245798602</v>
      </c>
      <c r="O29" s="31" t="str">
        <f>IFERROR(VLOOKUP($A29,Maestro_Equipos!$A$4:$AG$242,27,FALSE()),"")</f>
        <v/>
      </c>
      <c r="P29" s="32">
        <f t="shared" ca="1" si="3"/>
        <v>14.602754201398056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74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IFERROR(_xlfn.AGGREGATE(14,6,Mantenciones!$A$2:$A$9993/(Mantenciones!$B$2:$B$9993=$A30),1),"")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74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IFERROR(_xlfn.AGGREGATE(14,6,Mantenciones!$A$2:$A$9993/(Mantenciones!$B$2:$B$9993=$A31),1),"")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35.58421478010132</v>
      </c>
      <c r="Q31" s="32">
        <f t="shared" ca="1" si="4"/>
        <v>34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74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IFERROR(_xlfn.AGGREGATE(14,6,Mantenciones!$A$2:$A$9993/(Mantenciones!$B$2:$B$9993=$A32),1),"")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74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IFERROR(_xlfn.AGGREGATE(14,6,Mantenciones!$A$2:$A$9993/(Mantenciones!$B$2:$B$9993=$A33),1),"")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 t="shared" si="0"/>
        <v/>
      </c>
      <c r="I34" s="65" t="str">
        <f t="shared" ca="1" si="1"/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 t="shared" si="2"/>
        <v>NO PROGRAMAR</v>
      </c>
      <c r="M34" s="69" t="str" cm="1">
        <f t="array" ref="M34">IFERROR(_xlfn.AGGREGATE(14,6,Mantenciones!$A$2:$A$9993/(Mantenciones!$B$2:$B$9993=$A34),1),"")</f>
        <v/>
      </c>
      <c r="N34" s="70" t="str" cm="1">
        <f t="array" ref="N34">IFERROR(_xlfn.AGGREGATE(14,6,'Compras PM'!$A$4:$A$10016/('Compras PM'!$C$4:$C$10016=$A34),1),"")</f>
        <v/>
      </c>
      <c r="O34" s="70" t="str">
        <f>IFERROR(VLOOKUP($A34,Maestro_Equipos!$A$4:$AG$242,27,FALSE()),"")</f>
        <v/>
      </c>
      <c r="P34" s="71" t="str">
        <f t="shared" ca="1" si="3"/>
        <v/>
      </c>
      <c r="Q34" s="71" t="str">
        <f t="shared" ca="1" si="4"/>
        <v/>
      </c>
      <c r="R34" s="68" t="str">
        <f t="shared" si="5"/>
        <v>SIN SALIDA</v>
      </c>
      <c r="S34" s="72" t="str">
        <f>IFERROR(VLOOKUP($A34,Maestro_Equipos!$A$4:$AG$242,33,FALSE()),"")</f>
        <v>No programar compra</v>
      </c>
    </row>
    <row r="35" spans="1:19" s="64" customFormat="1" hidden="1">
      <c r="A35" s="64" t="str" cm="1">
        <f t="array" ref="A35">IFERROR(INDEX(_xlfn._xlws.FILTER(Maestro_Equipos!$A$4:$A$242,Maestro_Equipos!$A$4:$A$242&lt;&gt;""),ROWS($A$4:A35)),"")</f>
        <v>CD-132</v>
      </c>
      <c r="B35" s="64" t="str">
        <f>IFERROR(_xlfn.XLOOKUP($A35,Maestro_Equipos!$A$4:$A$242,Maestro_Equipos!$B$4:$B$242,""),"")</f>
        <v>Camión Tolva</v>
      </c>
      <c r="C35" s="64" t="str">
        <f>IFERROR(_xlfn.XLOOKUP($A35,Maestro_Equipos!$A$4:$A$242,Maestro_Equipos!$C$4:$C$242,""),"")</f>
        <v>Camiones de Ruta</v>
      </c>
      <c r="D35" s="64" t="str">
        <f>IFERROR(VLOOKUP($A32,Maestro_Equipos!$A$4:$Z$242,9,FALSE),"")</f>
        <v>HORAS</v>
      </c>
      <c r="E35" s="64">
        <f>IFERROR(IF($D35="KM",_xlfn.XLOOKUP($A35,Maestro_Equipos!$A:$A,Maestro_Equipos!$N:$N,""),_xlfn.XLOOKUP($A35,Maestro_Equipos!$A:$A,Maestro_Equipos!$M:$M,"")),"")</f>
        <v>7962</v>
      </c>
      <c r="F35" s="64">
        <f>IFERROR(_xlfn.XLOOKUP($A35,Maestro_Equipos!$A:$A,Maestro_Equipos!$R:$R,"")+_xlfn.XLOOKUP($A35,Maestro_Equipos!$A:$A,Maestro_Equipos!$J:$J,""),"")</f>
        <v>189542</v>
      </c>
      <c r="G35" s="64">
        <f>IFERROR(_xlfn.XLOOKUP($A35,Maestro_Equipos!$A:$A,Maestro_Equipos!$K:$K,""),"")</f>
        <v>22.5</v>
      </c>
      <c r="H35" s="64">
        <f t="shared" si="0"/>
        <v>8070</v>
      </c>
      <c r="I35" s="65">
        <f t="shared" ca="1" si="1"/>
        <v>54252</v>
      </c>
      <c r="J35" s="66" t="str">
        <f>IFERROR(INDEX(Maestro_Equipos!$V$4:$V$242,MATCH($A35,Maestro_Equipos!$A$4:$A$242,0)),"")</f>
        <v>Operativo</v>
      </c>
      <c r="K35" s="67">
        <f>IFERROR(
   SUMIFS(Mantenciones!$I:$I,Mantenciones!$B:$B,$A35)
 + SUMIFS('Compras PM'!$F:$F,'Compras PM'!$C:$C,$A35),0)</f>
        <v>0</v>
      </c>
      <c r="L35" s="68" t="str">
        <f t="shared" si="2"/>
        <v>BAJA</v>
      </c>
      <c r="M35" s="69" cm="1">
        <f t="array" ref="M35">IFERROR(_xlfn.AGGREGATE(14,6,Mantenciones!$A$2:$A$9993/(Mantenciones!$B$2:$B$9993=$A35),1),"")</f>
        <v>46105</v>
      </c>
      <c r="N35" s="70" t="str" cm="1">
        <f t="array" ref="N35">IFERROR(_xlfn.AGGREGATE(14,6,'Compras PM'!$A$4:$A$10016/('Compras PM'!$C$4:$C$10016=$A35),1),"")</f>
        <v/>
      </c>
      <c r="O35" s="70">
        <f>IFERROR(VLOOKUP($A35,Maestro_Equipos!$A$4:$AG$242,27,FALSE()),"")</f>
        <v>46087</v>
      </c>
      <c r="P35" s="71" t="str">
        <f t="shared" ca="1" si="3"/>
        <v/>
      </c>
      <c r="Q35" s="71">
        <f t="shared" ca="1" si="4"/>
        <v>18</v>
      </c>
      <c r="R35" s="68" t="str">
        <f t="shared" si="5"/>
        <v>REALIZADA</v>
      </c>
      <c r="S35" s="72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74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IFERROR(_xlfn.AGGREGATE(14,6,Mantenciones!$A$2:$A$9993/(Mantenciones!$B$2:$B$9993=$A36),1),"")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4" customFormat="1" ht="18" hidden="1" customHeight="1">
      <c r="A37" s="64" t="str" cm="1">
        <f t="array" ref="A37">IFERROR(INDEX(_xlfn._xlws.FILTER(Maestro_Equipos!$A$4:$A$242,Maestro_Equipos!$A$4:$A$242&lt;&gt;""),ROWS($A$4:A37)),"")</f>
        <v>CD-134</v>
      </c>
      <c r="B37" s="64" t="str">
        <f>IFERROR(_xlfn.XLOOKUP($A37,Maestro_Equipos!$A$4:$A$242,Maestro_Equipos!$B$4:$B$242,""),"")</f>
        <v>Camión Plano</v>
      </c>
      <c r="C37" s="64" t="str">
        <f>IFERROR(_xlfn.XLOOKUP($A37,Maestro_Equipos!$A$4:$A$242,Maestro_Equipos!$C$4:$C$242,""),"")</f>
        <v>Camiones de Ruta</v>
      </c>
      <c r="D37" s="64" t="str">
        <f>IFERROR(VLOOKUP($A34,Maestro_Equipos!$A$4:$Z$242,9,FALSE),"")</f>
        <v>HORAS</v>
      </c>
      <c r="E37" s="64">
        <f>IFERROR(IF($D37="KM",_xlfn.XLOOKUP($A37,Maestro_Equipos!$A:$A,Maestro_Equipos!$N:$N,""),_xlfn.XLOOKUP($A37,Maestro_Equipos!$A:$A,Maestro_Equipos!$M:$M,"")),"")</f>
        <v>0</v>
      </c>
      <c r="F37" s="64" t="str">
        <f>IFERROR(_xlfn.XLOOKUP($A37,Maestro_Equipos!$A:$A,Maestro_Equipos!$R:$R,"")+_xlfn.XLOOKUP($A37,Maestro_Equipos!$A:$A,Maestro_Equipos!$J:$J,""),"")</f>
        <v/>
      </c>
      <c r="G37" s="64">
        <f>IFERROR(_xlfn.XLOOKUP($A37,Maestro_Equipos!$A:$A,Maestro_Equipos!$K:$K,""),"")</f>
        <v>0</v>
      </c>
      <c r="H37" s="64" t="str">
        <f t="shared" si="0"/>
        <v/>
      </c>
      <c r="I37" s="65" t="str">
        <f t="shared" ca="1" si="1"/>
        <v/>
      </c>
      <c r="J37" s="66" t="str">
        <f>IFERROR(INDEX(Maestro_Equipos!$V$4:$V$242,MATCH($A37,Maestro_Equipos!$A$4:$A$242,0)),"")</f>
        <v>Taller</v>
      </c>
      <c r="K37" s="67">
        <f>IFERROR(
   SUMIFS(Mantenciones!$I:$I,Mantenciones!$B:$B,$A37)
 + SUMIFS('Compras PM'!$F:$F,'Compras PM'!$C:$C,$A37),0)</f>
        <v>162080.38</v>
      </c>
      <c r="L37" s="68" t="str">
        <f t="shared" si="2"/>
        <v>SIN DATOS</v>
      </c>
      <c r="M37" s="69" cm="1">
        <f t="array" ref="M37">IFERROR(_xlfn.AGGREGATE(14,6,Mantenciones!$A$2:$A$9993/(Mantenciones!$B$2:$B$9993=$A37),1),"")</f>
        <v>45860</v>
      </c>
      <c r="N37" s="70" cm="1">
        <f t="array" ref="N37">IFERROR(_xlfn.AGGREGATE(14,6,'Compras PM'!$A$4:$A$10016/('Compras PM'!$C$4:$C$10016=$A37),1),"")</f>
        <v>46146.415869710603</v>
      </c>
      <c r="O37" s="70" t="str">
        <f>IFERROR(VLOOKUP($A37,Maestro_Equipos!$A$4:$AG$242,27,FALSE()),"")</f>
        <v/>
      </c>
      <c r="P37" s="71">
        <f t="shared" ca="1" si="3"/>
        <v>35.584130289396853</v>
      </c>
      <c r="Q37" s="71" t="str">
        <f t="shared" ca="1" si="4"/>
        <v/>
      </c>
      <c r="R37" s="68" t="str">
        <f t="shared" si="5"/>
        <v>SIN SALIDA</v>
      </c>
      <c r="S37" s="72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 t="shared" si="0"/>
        <v/>
      </c>
      <c r="I38" s="65" t="str">
        <f t="shared" ca="1" si="1"/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 t="shared" si="2"/>
        <v>NO PROGRAMAR</v>
      </c>
      <c r="M38" s="69" t="str" cm="1">
        <f t="array" ref="M38">IFERROR(_xlfn.AGGREGATE(14,6,Mantenciones!$A$2:$A$9993/(Mantenciones!$B$2:$B$9993=$A38),1),"")</f>
        <v/>
      </c>
      <c r="N38" s="70" t="str" cm="1">
        <f t="array" ref="N38">IFERROR(_xlfn.AGGREGATE(14,6,'Compras PM'!$A$4:$A$10016/('Compras PM'!$C$4:$C$10016=$A38),1),"")</f>
        <v/>
      </c>
      <c r="O38" s="70" t="str">
        <f>IFERROR(VLOOKUP($A38,Maestro_Equipos!$A$4:$AG$242,27,FALSE()),"")</f>
        <v/>
      </c>
      <c r="P38" s="71" t="str">
        <f t="shared" ca="1" si="3"/>
        <v/>
      </c>
      <c r="Q38" s="71" t="str">
        <f t="shared" ca="1" si="4"/>
        <v/>
      </c>
      <c r="R38" s="68" t="str">
        <f t="shared" si="5"/>
        <v>SIN SALIDA</v>
      </c>
      <c r="S38" s="72" t="str">
        <f>IFERROR(VLOOKUP($A38,Maestro_Equipos!$A$4:$AG$242,33,FALSE()),"")</f>
        <v>No programar compra</v>
      </c>
    </row>
    <row r="39" spans="1:19" s="64" customFormat="1" ht="18" hidden="1" customHeight="1">
      <c r="A39" s="64" t="str" cm="1">
        <f t="array" ref="A39">IFERROR(INDEX(_xlfn._xlws.FILTER(Maestro_Equipos!$A$4:$A$242,Maestro_Equipos!$A$4:$A$242&lt;&gt;""),ROWS($A$4:A39)),"")</f>
        <v>CD-136</v>
      </c>
      <c r="B39" s="64" t="str">
        <f>IFERROR(_xlfn.XLOOKUP($A39,Maestro_Equipos!$A$4:$A$242,Maestro_Equipos!$B$4:$B$242,""),"")</f>
        <v>Camión Combustible</v>
      </c>
      <c r="C39" s="64" t="str">
        <f>IFERROR(_xlfn.XLOOKUP($A39,Maestro_Equipos!$A$4:$A$242,Maestro_Equipos!$C$4:$C$242,""),"")</f>
        <v>Camiones de Ruta</v>
      </c>
      <c r="D39" s="64" t="str">
        <f>IFERROR(VLOOKUP($A39,Maestro_Equipos!$A$4:$Z$242,9,FALSE),"")</f>
        <v>HORAS</v>
      </c>
      <c r="E39" s="64">
        <f>IFERROR(IF($D39="KM",_xlfn.XLOOKUP($A39,Maestro_Equipos!$A:$A,Maestro_Equipos!$N:$N,""),_xlfn.XLOOKUP($A39,Maestro_Equipos!$A:$A,Maestro_Equipos!$M:$M,"")),"")</f>
        <v>0</v>
      </c>
      <c r="F39" s="64">
        <f>IFERROR(_xlfn.XLOOKUP($A39,Maestro_Equipos!$A:$A,Maestro_Equipos!$R:$R,"")+_xlfn.XLOOKUP($A39,Maestro_Equipos!$A:$A,Maestro_Equipos!$J:$J,""),"")</f>
        <v>78300</v>
      </c>
      <c r="G39" s="64">
        <f>IFERROR(_xlfn.XLOOKUP($A39,Maestro_Equipos!$A:$A,Maestro_Equipos!$K:$K,""),"")</f>
        <v>0</v>
      </c>
      <c r="H39" s="64" t="str">
        <f t="shared" si="0"/>
        <v/>
      </c>
      <c r="I39" s="65" t="str">
        <f t="shared" ca="1" si="1"/>
        <v/>
      </c>
      <c r="J39" s="66" t="str">
        <f>IFERROR(INDEX(Maestro_Equipos!$V$4:$V$242,MATCH($A39,Maestro_Equipos!$A$4:$A$242,0)),"")</f>
        <v>Operativo</v>
      </c>
      <c r="K39" s="67">
        <f>IFERROR(
   SUMIFS(Mantenciones!$I:$I,Mantenciones!$B:$B,$A39)
 + SUMIFS('Compras PM'!$F:$F,'Compras PM'!$C:$C,$A39),0)</f>
        <v>54299.973700000002</v>
      </c>
      <c r="L39" s="68" t="str">
        <f t="shared" si="2"/>
        <v>SIN DATOS</v>
      </c>
      <c r="M39" s="69" cm="1">
        <f t="array" ref="M39">IFERROR(_xlfn.AGGREGATE(14,6,Mantenciones!$A$2:$A$9993/(Mantenciones!$B$2:$B$9993=$A39),1),"")</f>
        <v>46174</v>
      </c>
      <c r="N39" s="70" cm="1">
        <f t="array" ref="N39">IFERROR(_xlfn.AGGREGATE(14,6,'Compras PM'!$A$4:$A$10016/('Compras PM'!$C$4:$C$10016=$A39),1),"")</f>
        <v>46119.461431099502</v>
      </c>
      <c r="O39" s="70">
        <f>IFERROR(VLOOKUP($A39,Maestro_Equipos!$A$4:$AG$242,27,FALSE()),"")</f>
        <v>46146</v>
      </c>
      <c r="P39" s="71">
        <f t="shared" ca="1" si="3"/>
        <v>54.538568900497921</v>
      </c>
      <c r="Q39" s="71">
        <f t="shared" ca="1" si="4"/>
        <v>28</v>
      </c>
      <c r="R39" s="68" t="str">
        <f t="shared" si="5"/>
        <v>REALIZADA</v>
      </c>
      <c r="S39" s="72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74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IFERROR(_xlfn.AGGREGATE(14,6,Mantenciones!$A$2:$A$9993/(Mantenciones!$B$2:$B$9993=$A40),1),"")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52.383924155103159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 t="shared" si="0"/>
        <v/>
      </c>
      <c r="I41" s="74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cm="1">
        <f t="array" ref="M41">IFERROR(_xlfn.AGGREGATE(14,6,Mantenciones!$A$2:$A$9993/(Mantenciones!$B$2:$B$9993=$A41),1),"")</f>
        <v>46168</v>
      </c>
      <c r="N41" s="31" cm="1">
        <f t="array" ref="N41">IFERROR(_xlfn.AGGREGATE(14,6,'Compras PM'!$A$4:$A$10016/('Compras PM'!$C$4:$C$10016=$A41),1),"")</f>
        <v>46104.734478391198</v>
      </c>
      <c r="O41" s="31">
        <f>IFERROR(VLOOKUP($A41,Maestro_Equipos!$A$4:$AG$242,27,FALSE()),"")</f>
        <v>46169</v>
      </c>
      <c r="P41" s="32">
        <f t="shared" ca="1" si="3"/>
        <v>63.265521608802374</v>
      </c>
      <c r="Q41" s="32">
        <f t="shared" ca="1" si="4"/>
        <v>13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 t="shared" si="0"/>
        <v/>
      </c>
      <c r="I42" s="65" t="str">
        <f t="shared" ca="1" si="1"/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 t="shared" si="2"/>
        <v>NO PROGRAMAR</v>
      </c>
      <c r="M42" s="69" t="str" cm="1">
        <f t="array" ref="M42">IFERROR(_xlfn.AGGREGATE(14,6,Mantenciones!$A$2:$A$9993/(Mantenciones!$B$2:$B$9993=$A42),1),"")</f>
        <v/>
      </c>
      <c r="N42" s="70" t="str" cm="1">
        <f t="array" ref="N42">IFERROR(_xlfn.AGGREGATE(14,6,'Compras PM'!$A$4:$A$10016/('Compras PM'!$C$4:$C$10016=$A42),1),"")</f>
        <v/>
      </c>
      <c r="O42" s="70" t="str">
        <f>IFERROR(VLOOKUP($A42,Maestro_Equipos!$A$4:$AG$242,27,FALSE()),"")</f>
        <v/>
      </c>
      <c r="P42" s="71" t="str">
        <f t="shared" ca="1" si="3"/>
        <v/>
      </c>
      <c r="Q42" s="71" t="str">
        <f t="shared" ca="1" si="4"/>
        <v/>
      </c>
      <c r="R42" s="68" t="str">
        <f t="shared" si="5"/>
        <v>SIN SALIDA</v>
      </c>
      <c r="S42" s="72" t="str">
        <f>IFERROR(VLOOKUP($A42,Maestro_Equipos!$A$4:$AG$242,33,FALSE()),"")</f>
        <v>No programar compra</v>
      </c>
    </row>
    <row r="43" spans="1:19" s="64" customFormat="1" ht="15" hidden="1" customHeight="1">
      <c r="A43" s="64" t="str" cm="1">
        <f t="array" ref="A43">IFERROR(INDEX(_xlfn._xlws.FILTER(Maestro_Equipos!$A$4:$A$242,Maestro_Equipos!$A$4:$A$242&lt;&gt;""),ROWS($A$4:A43)),"")</f>
        <v>CD-140</v>
      </c>
      <c r="B43" s="64" t="str">
        <f>IFERROR(_xlfn.XLOOKUP($A43,Maestro_Equipos!$A$4:$A$242,Maestro_Equipos!$B$4:$B$242,""),"")</f>
        <v>Camion Plano</v>
      </c>
      <c r="C43" s="64" t="str">
        <f>IFERROR(_xlfn.XLOOKUP($A43,Maestro_Equipos!$A$4:$A$242,Maestro_Equipos!$C$4:$C$242,""),"")</f>
        <v>Maquinaria Pesada</v>
      </c>
      <c r="D43" s="64" t="str">
        <f>IFERROR(VLOOKUP($A40,Maestro_Equipos!$A$4:$Z$242,9,FALSE),"")</f>
        <v>HORAS</v>
      </c>
      <c r="E43" s="64">
        <f>IFERROR(IF($D43="KM",_xlfn.XLOOKUP($A43,Maestro_Equipos!$A:$A,Maestro_Equipos!$N:$N,""),_xlfn.XLOOKUP($A43,Maestro_Equipos!$A:$A,Maestro_Equipos!$M:$M,"")),"")</f>
        <v>0</v>
      </c>
      <c r="F43" s="64">
        <f>IFERROR(_xlfn.XLOOKUP($A43,Maestro_Equipos!$A:$A,Maestro_Equipos!$R:$R,"")+_xlfn.XLOOKUP($A43,Maestro_Equipos!$A:$A,Maestro_Equipos!$J:$J,""),"")</f>
        <v>295250</v>
      </c>
      <c r="G43" s="64">
        <f>IFERROR(_xlfn.XLOOKUP($A43,Maestro_Equipos!$A:$A,Maestro_Equipos!$K:$K,""),"")</f>
        <v>0</v>
      </c>
      <c r="H43" s="64" t="str">
        <f t="shared" si="0"/>
        <v/>
      </c>
      <c r="I43" s="65" t="str">
        <f t="shared" ca="1" si="1"/>
        <v/>
      </c>
      <c r="J43" s="66" t="str">
        <f>IFERROR(INDEX(Maestro_Equipos!$V$4:$V$242,MATCH($A43,Maestro_Equipos!$A$4:$A$242,0)),"")</f>
        <v>Operativo</v>
      </c>
      <c r="K43" s="67">
        <f>IFERROR(
   SUMIFS(Mantenciones!$I:$I,Mantenciones!$B:$B,$A43)
 + SUMIFS('Compras PM'!$F:$F,'Compras PM'!$C:$C,$A43),0)</f>
        <v>0</v>
      </c>
      <c r="L43" s="68" t="str">
        <f t="shared" si="2"/>
        <v>SIN DATOS</v>
      </c>
      <c r="M43" s="69" cm="1">
        <f t="array" ref="M43">IFERROR(_xlfn.AGGREGATE(14,6,Mantenciones!$A$2:$A$9993/(Mantenciones!$B$2:$B$9993=$A43),1),"")</f>
        <v>46086</v>
      </c>
      <c r="N43" s="70" t="str" cm="1">
        <f t="array" ref="N43">IFERROR(_xlfn.AGGREGATE(14,6,'Compras PM'!$A$4:$A$10016/('Compras PM'!$C$4:$C$10016=$A43),1),"")</f>
        <v/>
      </c>
      <c r="O43" s="70">
        <f>IFERROR(VLOOKUP($A43,Maestro_Equipos!$A$4:$AG$242,27,FALSE()),"")</f>
        <v>46153</v>
      </c>
      <c r="P43" s="71" t="str">
        <f t="shared" ca="1" si="3"/>
        <v/>
      </c>
      <c r="Q43" s="71">
        <f t="shared" ca="1" si="4"/>
        <v>29</v>
      </c>
      <c r="R43" s="68" t="str">
        <f t="shared" si="5"/>
        <v>PENDIENTE</v>
      </c>
      <c r="S43" s="72" t="str">
        <f>IFERROR(VLOOKUP($A43,Maestro_Equipos!$A$4:$AG$242,33,FALSE()),"")</f>
        <v>Monitorear próximo vencimiento</v>
      </c>
    </row>
    <row r="44" spans="1:19" s="64" customFormat="1" hidden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0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0</v>
      </c>
      <c r="H44" s="64" t="str">
        <f t="shared" si="0"/>
        <v/>
      </c>
      <c r="I44" s="65" t="str">
        <f t="shared" ca="1" si="1"/>
        <v/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104597.43</v>
      </c>
      <c r="L44" s="68" t="str">
        <f t="shared" si="2"/>
        <v>SIN DATOS</v>
      </c>
      <c r="M44" s="69" cm="1">
        <f t="array" ref="M44">IFERROR(_xlfn.AGGREGATE(14,6,Mantenciones!$A$2:$A$9993/(Mantenciones!$B$2:$B$9993=$A44),1),"")</f>
        <v>46162</v>
      </c>
      <c r="N44" s="70" cm="1">
        <f t="array" ref="N44">IFERROR(_xlfn.AGGREGATE(14,6,'Compras PM'!$A$4:$A$10016/('Compras PM'!$C$4:$C$10016=$A44),1),"")</f>
        <v>46167.635276736102</v>
      </c>
      <c r="O44" s="70" t="str">
        <f>IFERROR(VLOOKUP($A44,Maestro_Equipos!$A$4:$AG$242,27,FALSE()),"")</f>
        <v/>
      </c>
      <c r="P44" s="71">
        <f t="shared" ca="1" si="3"/>
        <v>14.364723263897758</v>
      </c>
      <c r="Q44" s="71" t="str">
        <f t="shared" ca="1" si="4"/>
        <v/>
      </c>
      <c r="R44" s="68" t="str">
        <f t="shared" si="5"/>
        <v>SIN SALIDA</v>
      </c>
      <c r="S44" s="72" t="str">
        <f>IFERROR(VLOOKUP($A44,Maestro_Equipos!$A$4:$AG$242,33,FALSE()),"")</f>
        <v>Hacer seguimiento al taller y cerrar report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74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6" cm="1">
        <f t="array" ref="M45">IFERROR(_xlfn.AGGREGATE(14,6,Mantenciones!$A$2:$A$9993/(Mantenciones!$B$2:$B$9993=$A45),1),"")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805073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104.8</v>
      </c>
      <c r="H46" t="str">
        <f t="shared" si="0"/>
        <v/>
      </c>
      <c r="I46" s="74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IFERROR(_xlfn.AGGREGATE(14,6,Mantenciones!$A$2:$A$9993/(Mantenciones!$B$2:$B$9993=$A46),1),"")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102.5680788194004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 t="shared" si="0"/>
        <v/>
      </c>
      <c r="I47" s="65" t="str">
        <f t="shared" ca="1" si="1"/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 t="shared" si="2"/>
        <v>NO PROGRAMAR</v>
      </c>
      <c r="M47" s="69" t="str" cm="1">
        <f t="array" ref="M47">IFERROR(_xlfn.AGGREGATE(14,6,Mantenciones!$A$2:$A$9993/(Mantenciones!$B$2:$B$9993=$A47),1),"")</f>
        <v/>
      </c>
      <c r="N47" s="70" t="str" cm="1">
        <f t="array" ref="N47">IFERROR(_xlfn.AGGREGATE(14,6,'Compras PM'!$A$4:$A$10016/('Compras PM'!$C$4:$C$10016=$A47),1),"")</f>
        <v/>
      </c>
      <c r="O47" s="70" t="str">
        <f>IFERROR(VLOOKUP($A47,Maestro_Equipos!$A$4:$AG$242,27,FALSE()),"")</f>
        <v/>
      </c>
      <c r="P47" s="71" t="str">
        <f t="shared" ca="1" si="3"/>
        <v/>
      </c>
      <c r="Q47" s="71" t="str">
        <f t="shared" ca="1" si="4"/>
        <v/>
      </c>
      <c r="R47" s="68" t="str">
        <f t="shared" si="5"/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74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IFERROR(_xlfn.AGGREGATE(14,6,Mantenciones!$A$2:$A$9993/(Mantenciones!$B$2:$B$9993=$A48),1),"")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77.378719710599398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 hidden="1">
      <c r="A49" s="64" t="str" cm="1">
        <f t="array" ref="A49">IFERROR(INDEX(_xlfn._xlws.FILTER(Maestro_Equipos!$A$4:$A$242,Maestro_Equipos!$A$4:$A$242&lt;&gt;""),ROWS($A$4:A49)),"")</f>
        <v>CD-69</v>
      </c>
      <c r="B49" s="64" t="str">
        <f>IFERROR(_xlfn.XLOOKUP($A49,Maestro_Equipos!$A$4:$A$242,Maestro_Equipos!$B$4:$B$242,""),"")</f>
        <v>Tracto Camión</v>
      </c>
      <c r="C49" s="64" t="str">
        <f>IFERROR(_xlfn.XLOOKUP($A49,Maestro_Equipos!$A$4:$A$242,Maestro_Equipos!$C$4:$C$242,""),"")</f>
        <v>Camiones de Ruta</v>
      </c>
      <c r="D49" s="64" t="str">
        <f>IFERROR(VLOOKUP($A46,Maestro_Equipos!$A$4:$Z$242,9,FALSE),"")</f>
        <v>KM</v>
      </c>
      <c r="E49" s="64">
        <f>IFERROR(IF($D49="KM",_xlfn.XLOOKUP($A49,Maestro_Equipos!$A:$A,Maestro_Equipos!$N:$N,""),_xlfn.XLOOKUP($A49,Maestro_Equipos!$A:$A,Maestro_Equipos!$M:$M,"")),"")</f>
        <v>481018</v>
      </c>
      <c r="F49" s="64">
        <f>IFERROR(_xlfn.XLOOKUP($A49,Maestro_Equipos!$A:$A,Maestro_Equipos!$R:$R,"")+_xlfn.XLOOKUP($A49,Maestro_Equipos!$A:$A,Maestro_Equipos!$J:$J,""),"")</f>
        <v>491912</v>
      </c>
      <c r="G49" s="64">
        <f>IFERROR(_xlfn.XLOOKUP($A49,Maestro_Equipos!$A:$A,Maestro_Equipos!$K:$K,""),"")</f>
        <v>0</v>
      </c>
      <c r="H49" s="64" t="str">
        <f t="shared" si="0"/>
        <v/>
      </c>
      <c r="I49" s="65" t="str">
        <f t="shared" ca="1" si="1"/>
        <v/>
      </c>
      <c r="J49" s="66" t="str">
        <f>IFERROR(INDEX(Maestro_Equipos!$V$4:$V$242,MATCH($A49,Maestro_Equipos!$A$4:$A$242,0)),"")</f>
        <v>Operativo</v>
      </c>
      <c r="K49" s="67">
        <f>IFERROR(
   SUMIFS(Mantenciones!$I:$I,Mantenciones!$B:$B,$A49)
 + SUMIFS('Compras PM'!$F:$F,'Compras PM'!$C:$C,$A49),0)</f>
        <v>781415.28500000003</v>
      </c>
      <c r="L49" s="68" t="str">
        <f t="shared" si="2"/>
        <v>SIN DATOS</v>
      </c>
      <c r="M49" s="69" cm="1">
        <f t="array" ref="M49">IFERROR(_xlfn.AGGREGATE(14,6,Mantenciones!$A$2:$A$9993/(Mantenciones!$B$2:$B$9993=$A49),1),"")</f>
        <v>46154</v>
      </c>
      <c r="N49" s="70" cm="1">
        <f t="array" ref="N49">IFERROR(_xlfn.AGGREGATE(14,6,'Compras PM'!$A$4:$A$10016/('Compras PM'!$C$4:$C$10016=$A49),1),"")</f>
        <v>46154.502627812501</v>
      </c>
      <c r="O49" s="70">
        <f>IFERROR(VLOOKUP($A49,Maestro_Equipos!$A$4:$AG$242,27,FALSE()),"")</f>
        <v>46153</v>
      </c>
      <c r="P49" s="71">
        <f t="shared" ca="1" si="3"/>
        <v>27.497372187499423</v>
      </c>
      <c r="Q49" s="71">
        <f t="shared" ca="1" si="4"/>
        <v>1</v>
      </c>
      <c r="R49" s="68" t="str">
        <f t="shared" si="5"/>
        <v>REALIZADA</v>
      </c>
      <c r="S49" s="72" t="str">
        <f>IFERROR(VLOOKUP($A49,Maestro_Equipos!$A$4:$AG$242,33,FALSE()),"")</f>
        <v>Monitorear próximo vencimiento</v>
      </c>
    </row>
    <row r="50" spans="1:19" s="64" customFormat="1" hidden="1">
      <c r="A50" s="64" t="str" cm="1">
        <f t="array" ref="A50">IFERROR(INDEX(_xlfn._xlws.FILTER(Maestro_Equipos!$A$4:$A$242,Maestro_Equipos!$A$4:$A$242&lt;&gt;""),ROWS($A$4:A50)),"")</f>
        <v>CD-71</v>
      </c>
      <c r="B50" s="64" t="str">
        <f>IFERROR(_xlfn.XLOOKUP($A50,Maestro_Equipos!$A$4:$A$242,Maestro_Equipos!$B$4:$B$242,""),"")</f>
        <v>Camión Aljibe</v>
      </c>
      <c r="C50" s="64" t="str">
        <f>IFERROR(_xlfn.XLOOKUP($A50,Maestro_Equipos!$A$4:$A$242,Maestro_Equipos!$C$4:$C$242,""),"")</f>
        <v>Camiones de Ruta</v>
      </c>
      <c r="D50" s="64" t="str">
        <f>IFERROR(VLOOKUP($A47,Maestro_Equipos!$A$4:$Z$242,9,FALSE),"")</f>
        <v>HORAS</v>
      </c>
      <c r="E50" s="64">
        <f>IFERROR(IF($D50="KM",_xlfn.XLOOKUP($A50,Maestro_Equipos!$A:$A,Maestro_Equipos!$N:$N,""),_xlfn.XLOOKUP($A50,Maestro_Equipos!$A:$A,Maestro_Equipos!$M:$M,"")),"")</f>
        <v>0</v>
      </c>
      <c r="F50" s="64" t="str">
        <f>IFERROR(_xlfn.XLOOKUP($A50,Maestro_Equipos!$A:$A,Maestro_Equipos!$R:$R,"")+_xlfn.XLOOKUP($A50,Maestro_Equipos!$A:$A,Maestro_Equipos!$J:$J,""),"")</f>
        <v/>
      </c>
      <c r="G50" s="64">
        <f>IFERROR(_xlfn.XLOOKUP($A50,Maestro_Equipos!$A:$A,Maestro_Equipos!$K:$K,""),"")</f>
        <v>0</v>
      </c>
      <c r="H50" s="64" t="str">
        <f t="shared" si="0"/>
        <v/>
      </c>
      <c r="I50" s="65" t="str">
        <f t="shared" ca="1" si="1"/>
        <v/>
      </c>
      <c r="J50" s="66" t="str">
        <f>IFERROR(INDEX(Maestro_Equipos!$V$4:$V$242,MATCH($A50,Maestro_Equipos!$A$4:$A$242,0)),"")</f>
        <v>Operativo</v>
      </c>
      <c r="K50" s="67">
        <f>IFERROR(
   SUMIFS(Mantenciones!$I:$I,Mantenciones!$B:$B,$A50)
 + SUMIFS('Compras PM'!$F:$F,'Compras PM'!$C:$C,$A50),0)</f>
        <v>393830.5</v>
      </c>
      <c r="L50" s="68" t="str">
        <f t="shared" si="2"/>
        <v>SIN DATOS</v>
      </c>
      <c r="M50" s="69" t="str" cm="1">
        <f t="array" ref="M50">IFERROR(_xlfn.AGGREGATE(14,6,Mantenciones!$A$2:$A$9993/(Mantenciones!$B$2:$B$9993=$A50),1),"")</f>
        <v/>
      </c>
      <c r="N50" s="70" cm="1">
        <f t="array" ref="N50">IFERROR(_xlfn.AGGREGATE(14,6,'Compras PM'!$A$4:$A$10016/('Compras PM'!$C$4:$C$10016=$A50),1),"")</f>
        <v>46078.661368634297</v>
      </c>
      <c r="O50" s="70">
        <f>IFERROR(VLOOKUP($A50,Maestro_Equipos!$A$4:$AG$242,27,FALSE()),"")</f>
        <v>46087</v>
      </c>
      <c r="P50" s="71">
        <f t="shared" ca="1" si="3"/>
        <v>103.33863136570289</v>
      </c>
      <c r="Q50" s="71">
        <f t="shared" ca="1" si="4"/>
        <v>95</v>
      </c>
      <c r="R50" s="68" t="str">
        <f t="shared" si="5"/>
        <v>PENDIENTE</v>
      </c>
      <c r="S50" s="72" t="str">
        <f>IFERROR(VLOOKUP($A50,Maestro_Equipos!$A$4:$AG$242,33,FALSE()),"")</f>
        <v>Monitorear próximo vencimiento</v>
      </c>
    </row>
    <row r="51" spans="1:19" s="64" customFormat="1" hidden="1">
      <c r="A51" s="64" t="str" cm="1">
        <f t="array" ref="A51">IFERROR(INDEX(_xlfn._xlws.FILTER(Maestro_Equipos!$A$4:$A$242,Maestro_Equipos!$A$4:$A$242&lt;&gt;""),ROWS($A$4:A51)),"")</f>
        <v>CD-73</v>
      </c>
      <c r="B51" s="64" t="str">
        <f>IFERROR(_xlfn.XLOOKUP($A51,Maestro_Equipos!$A$4:$A$242,Maestro_Equipos!$B$4:$B$242,""),"")</f>
        <v>Camión Aljibe</v>
      </c>
      <c r="C51" s="64" t="str">
        <f>IFERROR(_xlfn.XLOOKUP($A51,Maestro_Equipos!$A$4:$A$242,Maestro_Equipos!$C$4:$C$242,""),"")</f>
        <v>Camiones de Ruta</v>
      </c>
      <c r="D51" s="64" t="str">
        <f>IFERROR(VLOOKUP($A48,Maestro_Equipos!$A$4:$Z$242,9,FALSE),"")</f>
        <v>HORAS</v>
      </c>
      <c r="E51" s="64">
        <f>IFERROR(IF($D51="KM",_xlfn.XLOOKUP($A51,Maestro_Equipos!$A:$A,Maestro_Equipos!$N:$N,""),_xlfn.XLOOKUP($A51,Maestro_Equipos!$A:$A,Maestro_Equipos!$M:$M,"")),"")</f>
        <v>7867</v>
      </c>
      <c r="F51" s="64" t="str">
        <f>IFERROR(_xlfn.XLOOKUP($A51,Maestro_Equipos!$A:$A,Maestro_Equipos!$R:$R,"")+_xlfn.XLOOKUP($A51,Maestro_Equipos!$A:$A,Maestro_Equipos!$J:$J,""),"")</f>
        <v/>
      </c>
      <c r="G51" s="64">
        <f>IFERROR(_xlfn.XLOOKUP($A51,Maestro_Equipos!$A:$A,Maestro_Equipos!$K:$K,""),"")</f>
        <v>0</v>
      </c>
      <c r="H51" s="64" t="str">
        <f t="shared" si="0"/>
        <v/>
      </c>
      <c r="I51" s="65" t="str">
        <f t="shared" ca="1" si="1"/>
        <v/>
      </c>
      <c r="J51" s="66" t="str">
        <f>IFERROR(INDEX(Maestro_Equipos!$V$4:$V$242,MATCH($A51,Maestro_Equipos!$A$4:$A$242,0)),"")</f>
        <v>Operativo</v>
      </c>
      <c r="K51" s="67">
        <f>IFERROR(
   SUMIFS(Mantenciones!$I:$I,Mantenciones!$B:$B,$A51)
 + SUMIFS('Compras PM'!$F:$F,'Compras PM'!$C:$C,$A51),0)</f>
        <v>0</v>
      </c>
      <c r="L51" s="68" t="str">
        <f t="shared" si="2"/>
        <v>SIN DATOS</v>
      </c>
      <c r="M51" s="69" t="str" cm="1">
        <f t="array" ref="M51">IFERROR(_xlfn.AGGREGATE(14,6,Mantenciones!$A$2:$A$9993/(Mantenciones!$B$2:$B$9993=$A51),1),"")</f>
        <v/>
      </c>
      <c r="N51" s="70" t="str" cm="1">
        <f t="array" ref="N51">IFERROR(_xlfn.AGGREGATE(14,6,'Compras PM'!$A$4:$A$10016/('Compras PM'!$C$4:$C$10016=$A51),1),"")</f>
        <v/>
      </c>
      <c r="O51" s="70" t="str">
        <f>IFERROR(VLOOKUP($A51,Maestro_Equipos!$A$4:$AG$242,27,FALSE()),"")</f>
        <v/>
      </c>
      <c r="P51" s="71" t="str">
        <f t="shared" ca="1" si="3"/>
        <v/>
      </c>
      <c r="Q51" s="71" t="str">
        <f t="shared" ca="1" si="4"/>
        <v/>
      </c>
      <c r="R51" s="68" t="str">
        <f t="shared" si="5"/>
        <v>SIN SALIDA</v>
      </c>
      <c r="S51" s="72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74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IFERROR(_xlfn.AGGREGATE(14,6,Mantenciones!$A$2:$A$9993/(Mantenciones!$B$2:$B$9993=$A52),1),"")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74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IFERROR(_xlfn.AGGREGATE(14,6,Mantenciones!$A$2:$A$9993/(Mantenciones!$B$2:$B$9993=$A53),1),"")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74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IFERROR(_xlfn.AGGREGATE(14,6,Mantenciones!$A$2:$A$9993/(Mantenciones!$B$2:$B$9993=$A54),1),"")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105.51607430550212</v>
      </c>
      <c r="Q54" s="32">
        <f t="shared" ca="1" si="4"/>
        <v>97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 t="shared" si="0"/>
        <v/>
      </c>
      <c r="I55" s="74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IFERROR(_xlfn.AGGREGATE(14,6,Mantenciones!$A$2:$A$9993/(Mantenciones!$B$2:$B$9993=$A55),1),"")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88.539883449098852</v>
      </c>
      <c r="Q55" s="32">
        <f t="shared" ca="1" si="4"/>
        <v>105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2478</v>
      </c>
      <c r="G56">
        <f>IFERROR(_xlfn.XLOOKUP($A56,Maestro_Equipos!$A:$A,Maestro_Equipos!$K:$K,""),"")</f>
        <v>4.0999999999999996</v>
      </c>
      <c r="H56">
        <f t="shared" si="0"/>
        <v>86</v>
      </c>
      <c r="I56" s="74">
        <f t="shared" ca="1" si="1"/>
        <v>46268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BAJA</v>
      </c>
      <c r="M56" s="56" cm="1">
        <f t="array" ref="M56">IFERROR(_xlfn.AGGREGATE(14,6,Mantenciones!$A$2:$A$9993/(Mantenciones!$B$2:$B$9993=$A56),1),"")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88.539883449098852</v>
      </c>
      <c r="Q56" s="32">
        <f t="shared" ca="1" si="4"/>
        <v>96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3.5</v>
      </c>
      <c r="H57">
        <f t="shared" si="0"/>
        <v>212</v>
      </c>
      <c r="I57" s="74">
        <f t="shared" ca="1" si="1"/>
        <v>46394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IFERROR(_xlfn.AGGREGATE(14,6,Mantenciones!$A$2:$A$9993/(Mantenciones!$B$2:$B$9993=$A57),1),"")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4" customFormat="1" hidden="1">
      <c r="A58" s="64" t="str" cm="1">
        <f t="array" ref="A58">IFERROR(INDEX(_xlfn._xlws.FILTER(Maestro_Equipos!$A$4:$A$242,Maestro_Equipos!$A$4:$A$242&lt;&gt;""),ROWS($A$4:A58)),"")</f>
        <v>CD-90</v>
      </c>
      <c r="B58" s="64" t="str">
        <f>IFERROR(_xlfn.XLOOKUP($A58,Maestro_Equipos!$A$4:$A$242,Maestro_Equipos!$B$4:$B$242,""),"")</f>
        <v>Camión Tolva</v>
      </c>
      <c r="C58" s="64" t="str">
        <f>IFERROR(_xlfn.XLOOKUP($A58,Maestro_Equipos!$A$4:$A$242,Maestro_Equipos!$C$4:$C$242,""),"")</f>
        <v>Camiones de Ruta</v>
      </c>
      <c r="D58" s="64" t="str">
        <f>IFERROR(VLOOKUP($A55,Maestro_Equipos!$A$4:$Z$242,9,FALSE),"")</f>
        <v>HORAS</v>
      </c>
      <c r="E58" s="64">
        <f>IFERROR(IF($D58="KM",_xlfn.XLOOKUP($A58,Maestro_Equipos!$A:$A,Maestro_Equipos!$N:$N,""),_xlfn.XLOOKUP($A58,Maestro_Equipos!$A:$A,Maestro_Equipos!$M:$M,"")),"")</f>
        <v>0</v>
      </c>
      <c r="F58" s="64">
        <f>IFERROR(_xlfn.XLOOKUP($A58,Maestro_Equipos!$A:$A,Maestro_Equipos!$R:$R,"")+_xlfn.XLOOKUP($A58,Maestro_Equipos!$A:$A,Maestro_Equipos!$J:$J,""),"")</f>
        <v>9817</v>
      </c>
      <c r="G58" s="64">
        <f>IFERROR(_xlfn.XLOOKUP($A58,Maestro_Equipos!$A:$A,Maestro_Equipos!$K:$K,""),"")</f>
        <v>0</v>
      </c>
      <c r="H58" s="64" t="str">
        <f t="shared" si="0"/>
        <v/>
      </c>
      <c r="I58" s="65" t="str">
        <f t="shared" ca="1" si="1"/>
        <v/>
      </c>
      <c r="J58" s="66" t="str">
        <f>IFERROR(INDEX(Maestro_Equipos!$V$4:$V$242,MATCH($A58,Maestro_Equipos!$A$4:$A$242,0)),"")</f>
        <v>Operativo</v>
      </c>
      <c r="K58" s="67">
        <f>IFERROR(
   SUMIFS(Mantenciones!$I:$I,Mantenciones!$B:$B,$A58)
 + SUMIFS('Compras PM'!$F:$F,'Compras PM'!$C:$C,$A58),0)</f>
        <v>63430.805899999999</v>
      </c>
      <c r="L58" s="68" t="str">
        <f t="shared" si="2"/>
        <v>SIN DATOS</v>
      </c>
      <c r="M58" s="69" cm="1">
        <f t="array" ref="M58">IFERROR(_xlfn.AGGREGATE(14,6,Mantenciones!$A$2:$A$9993/(Mantenciones!$B$2:$B$9993=$A58),1),"")</f>
        <v>46100</v>
      </c>
      <c r="N58" s="70" cm="1">
        <f t="array" ref="N58">IFERROR(_xlfn.AGGREGATE(14,6,'Compras PM'!$A$4:$A$10016/('Compras PM'!$C$4:$C$10016=$A58),1),"")</f>
        <v>46093.460116550901</v>
      </c>
      <c r="O58" s="70">
        <f>IFERROR(VLOOKUP($A58,Maestro_Equipos!$A$4:$AG$242,27,FALSE()),"")</f>
        <v>46097</v>
      </c>
      <c r="P58" s="71">
        <f t="shared" ca="1" si="3"/>
        <v>6.539883449098852</v>
      </c>
      <c r="Q58" s="71">
        <f t="shared" ca="1" si="4"/>
        <v>3</v>
      </c>
      <c r="R58" s="68" t="str">
        <f t="shared" si="5"/>
        <v>REALIZADA</v>
      </c>
      <c r="S58" s="72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 t="shared" si="0"/>
        <v/>
      </c>
      <c r="I59" s="65" t="str">
        <f t="shared" ca="1" si="1"/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63430.805899999999</v>
      </c>
      <c r="L59" s="68" t="str">
        <f t="shared" si="2"/>
        <v>NO PROGRAMAR</v>
      </c>
      <c r="M59" s="69" t="str" cm="1">
        <f t="array" ref="M59">IFERROR(_xlfn.AGGREGATE(14,6,Mantenciones!$A$2:$A$9993/(Mantenciones!$B$2:$B$9993=$A59),1),"")</f>
        <v/>
      </c>
      <c r="N59" s="70" cm="1">
        <f t="array" ref="N59">IFERROR(_xlfn.AGGREGATE(14,6,'Compras PM'!$A$4:$A$10016/('Compras PM'!$C$4:$C$10016=$A59),1),"")</f>
        <v>46093.460116550901</v>
      </c>
      <c r="O59" s="70" t="str">
        <f>IFERROR(VLOOKUP($A59,Maestro_Equipos!$A$4:$AG$242,27,FALSE()),"")</f>
        <v/>
      </c>
      <c r="P59" s="71">
        <f t="shared" ca="1" si="3"/>
        <v>88.539883449098852</v>
      </c>
      <c r="Q59" s="71" t="str">
        <f t="shared" ca="1" si="4"/>
        <v/>
      </c>
      <c r="R59" s="68" t="str">
        <f t="shared" si="5"/>
        <v>SIN SALIDA</v>
      </c>
      <c r="S59" s="72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74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IFERROR(_xlfn.AGGREGATE(14,6,Mantenciones!$A$2:$A$9993/(Mantenciones!$B$2:$B$9993=$A60),1),"")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88.35061878470151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74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IFERROR(_xlfn.AGGREGATE(14,6,Mantenciones!$A$2:$A$9993/(Mantenciones!$B$2:$B$9993=$A61),1),"")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102.56890057869896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4" customFormat="1" hidden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8894</v>
      </c>
      <c r="F62" s="64">
        <f>IFERROR(_xlfn.XLOOKUP($A62,Maestro_Equipos!$A:$A,Maestro_Equipos!$R:$R,"")+_xlfn.XLOOKUP($A62,Maestro_Equipos!$A:$A,Maestro_Equipos!$J:$J,""),"")</f>
        <v>9751</v>
      </c>
      <c r="G62" s="64">
        <f>IFERROR(_xlfn.XLOOKUP($A62,Maestro_Equipos!$A:$A,Maestro_Equipos!$K:$K,""),"")</f>
        <v>5.5</v>
      </c>
      <c r="H62" s="64">
        <f t="shared" si="0"/>
        <v>156</v>
      </c>
      <c r="I62" s="65">
        <f t="shared" ca="1" si="1"/>
        <v>46338</v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522261.48589999997</v>
      </c>
      <c r="L62" s="68" t="str">
        <f t="shared" si="2"/>
        <v>BAJA</v>
      </c>
      <c r="M62" s="69" cm="1">
        <f t="array" ref="M62">IFERROR(_xlfn.AGGREGATE(14,6,Mantenciones!$A$2:$A$9993/(Mantenciones!$B$2:$B$9993=$A62),1),"")</f>
        <v>46181</v>
      </c>
      <c r="N62" s="70" cm="1">
        <f t="array" ref="N62">IFERROR(_xlfn.AGGREGATE(14,6,'Compras PM'!$A$4:$A$10016/('Compras PM'!$C$4:$C$10016=$A62),1),"")</f>
        <v>46093.460116550901</v>
      </c>
      <c r="O62" s="70">
        <f>IFERROR(VLOOKUP($A62,Maestro_Equipos!$A$4:$AG$242,27,FALSE()),"")</f>
        <v>46097</v>
      </c>
      <c r="P62" s="71">
        <f t="shared" ca="1" si="3"/>
        <v>87.539883449098852</v>
      </c>
      <c r="Q62" s="71">
        <f t="shared" ca="1" si="4"/>
        <v>84</v>
      </c>
      <c r="R62" s="68" t="str">
        <f t="shared" si="5"/>
        <v>REALIZADA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3273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11.6</v>
      </c>
      <c r="H63" t="str">
        <f t="shared" si="0"/>
        <v/>
      </c>
      <c r="I63" s="74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IFERROR(_xlfn.AGGREGATE(14,6,Mantenciones!$A$2:$A$9993/(Mantenciones!$B$2:$B$9993=$A63),1),"")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39.46607789349946</v>
      </c>
      <c r="Q63" s="32">
        <f t="shared" ca="1" si="4"/>
        <v>85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74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IFERROR(_xlfn.AGGREGATE(14,6,Mantenciones!$A$2:$A$9993/(Mantenciones!$B$2:$B$9993=$A64),1),"")</f>
        <v>46162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74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IFERROR(_xlfn.AGGREGATE(14,6,Mantenciones!$A$2:$A$9993/(Mantenciones!$B$2:$B$9993=$A65),1),"")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74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IFERROR(_xlfn.AGGREGATE(14,6,Mantenciones!$A$2:$A$9993/(Mantenciones!$B$2:$B$9993=$A66),1),"")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74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IFERROR(_xlfn.AGGREGATE(14,6,Mantenciones!$A$2:$A$9993/(Mantenciones!$B$2:$B$9993=$A67),1),"")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74">
        <f t="shared" ref="I68:I131" ca="1" si="7">IFERROR(IF($H68="","",TODAY()+$H68),"")</f>
        <v>46173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IFERROR(_xlfn.AGGREGATE(14,6,Mantenciones!$A$2:$A$9993/(Mantenciones!$B$2:$B$9993=$A68),1),"")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74">
        <f t="shared" ca="1" si="7"/>
        <v>46251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IFERROR(_xlfn.AGGREGATE(14,6,Mantenciones!$A$2:$A$9993/(Mantenciones!$B$2:$B$9993=$A69),1),"")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35.458955208297994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74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IFERROR(_xlfn.AGGREGATE(14,6,Mantenciones!$A$2:$A$9993/(Mantenciones!$B$2:$B$9993=$A70),1),"")</f>
        <v/>
      </c>
      <c r="N70" s="31" cm="1">
        <f t="array" ref="N70">IFERROR(_xlfn.AGGREGATE(14,6,'Compras PM'!$A$4:$A$10016/('Compras PM'!$C$4:$C$10016=$A70),1),"")</f>
        <v>46162.422470868099</v>
      </c>
      <c r="O70" s="31" t="str">
        <f>IFERROR(VLOOKUP($A70,Maestro_Equipos!$A$4:$AG$242,27,FALSE()),"")</f>
        <v/>
      </c>
      <c r="P70" s="32">
        <f t="shared" ca="1" si="9"/>
        <v>19.577529131900519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74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IFERROR(_xlfn.AGGREGATE(14,6,Mantenciones!$A$2:$A$9993/(Mantenciones!$B$2:$B$9993=$A71),1),"")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74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IFERROR(_xlfn.AGGREGATE(14,6,Mantenciones!$A$2:$A$9993/(Mantenciones!$B$2:$B$9993=$A72),1),"")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74">
        <f t="shared" ca="1" si="7"/>
        <v>46289</v>
      </c>
      <c r="J73" s="5" t="str">
        <f>IFERROR(INDEX(Maestro_Equipos!$V$4:$V$242,MATCH($A73,Maestro_Equipos!$A$4:$A$242,0)),"")</f>
        <v>Taller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IFERROR(_xlfn.AGGREGATE(14,6,Mantenciones!$A$2:$A$9993/(Mantenciones!$B$2:$B$9993=$A73),1),"")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74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IFERROR(_xlfn.AGGREGATE(14,6,Mantenciones!$A$2:$A$9993/(Mantenciones!$B$2:$B$9993=$A74),1),"")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hidden="1" customHeight="1">
      <c r="A75" s="64" t="str" cm="1">
        <f t="array" ref="A75">IFERROR(INDEX(_xlfn._xlws.FILTER(Maestro_Equipos!$A$4:$A$242,Maestro_Equipos!$A$4:$A$242&lt;&gt;""),ROWS($A$4:A75)),"")</f>
        <v>EQP-11</v>
      </c>
      <c r="B75" s="64" t="str">
        <f>IFERROR(_xlfn.XLOOKUP($A75,Maestro_Equipos!$A$4:$A$242,Maestro_Equipos!$B$4:$B$242,""),"")</f>
        <v>Planta Aridos seleccionadora</v>
      </c>
      <c r="C75" s="64" t="str">
        <f>IFERROR(_xlfn.XLOOKUP($A75,Maestro_Equipos!$A$4:$A$242,Maestro_Equipos!$C$4:$C$242,""),"")</f>
        <v>Maquinaria Pesada</v>
      </c>
      <c r="D75" s="64" t="str">
        <f>IFERROR(VLOOKUP($A72,Maestro_Equipos!$A$4:$Z$242,9,FALSE),"")</f>
        <v>HORAS</v>
      </c>
      <c r="E75" s="64">
        <f>IFERROR(IF($D75="KM",_xlfn.XLOOKUP($A75,Maestro_Equipos!$A:$A,Maestro_Equipos!$N:$N,""),_xlfn.XLOOKUP($A75,Maestro_Equipos!$A:$A,Maestro_Equipos!$M:$M,"")),"")</f>
        <v>2050</v>
      </c>
      <c r="F75" s="64">
        <f>IFERROR(_xlfn.XLOOKUP($A75,Maestro_Equipos!$A:$A,Maestro_Equipos!$R:$R,"")+_xlfn.XLOOKUP($A75,Maestro_Equipos!$A:$A,Maestro_Equipos!$J:$J,""),"")</f>
        <v>2300</v>
      </c>
      <c r="G75" s="64">
        <f>IFERROR(_xlfn.XLOOKUP($A75,Maestro_Equipos!$A:$A,Maestro_Equipos!$K:$K,""),"")</f>
        <v>4</v>
      </c>
      <c r="H75" s="64">
        <f t="shared" si="6"/>
        <v>63</v>
      </c>
      <c r="I75" s="65">
        <f t="shared" ca="1" si="7"/>
        <v>46245</v>
      </c>
      <c r="J75" s="66" t="str">
        <f>IFERROR(INDEX(Maestro_Equipos!$V$4:$V$242,MATCH($A75,Maestro_Equipos!$A$4:$A$242,0)),"")</f>
        <v>Operativo</v>
      </c>
      <c r="K75" s="67">
        <f>IFERROR(
   SUMIFS(Mantenciones!$I:$I,Mantenciones!$B:$B,$A75)
 + SUMIFS('Compras PM'!$F:$F,'Compras PM'!$C:$C,$A75),0)</f>
        <v>0</v>
      </c>
      <c r="L75" s="68" t="str">
        <f t="shared" si="8"/>
        <v>BAJA</v>
      </c>
      <c r="M75" s="69" cm="1">
        <f t="array" ref="M75">IFERROR(_xlfn.AGGREGATE(14,6,Mantenciones!$A$2:$A$9993/(Mantenciones!$B$2:$B$9993=$A75),1),"")</f>
        <v>46107</v>
      </c>
      <c r="N75" s="70" cm="1">
        <f t="array" ref="N75">IFERROR(_xlfn.AGGREGATE(14,6,'Compras PM'!$A$4:$A$10016/('Compras PM'!$C$4:$C$10016=$A75),1),"")</f>
        <v>46113</v>
      </c>
      <c r="O75" s="70">
        <f>IFERROR(VLOOKUP($A75,Maestro_Equipos!$A$4:$AG$242,27,FALSE()),"")</f>
        <v>46105</v>
      </c>
      <c r="P75" s="71">
        <f t="shared" ca="1" si="9"/>
        <v>69</v>
      </c>
      <c r="Q75" s="71">
        <f t="shared" ca="1" si="10"/>
        <v>2</v>
      </c>
      <c r="R75" s="68" t="str">
        <f t="shared" si="11"/>
        <v>REALIZADA</v>
      </c>
      <c r="S75" s="72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 t="shared" si="6"/>
        <v/>
      </c>
      <c r="I76" s="65" t="str">
        <f t="shared" ca="1" si="7"/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559290.48</v>
      </c>
      <c r="L76" s="68" t="str">
        <f t="shared" si="8"/>
        <v>NO PROGRAMAR</v>
      </c>
      <c r="M76" s="69" t="str" cm="1">
        <f t="array" ref="M76">IFERROR(_xlfn.AGGREGATE(14,6,Mantenciones!$A$2:$A$9993/(Mantenciones!$B$2:$B$9993=$A76),1),"")</f>
        <v/>
      </c>
      <c r="N76" s="70" cm="1">
        <f t="array" ref="N76">IFERROR(_xlfn.AGGREGATE(14,6,'Compras PM'!$A$4:$A$10016/('Compras PM'!$C$4:$C$10016=$A76),1),"")</f>
        <v>46093.724767326399</v>
      </c>
      <c r="O76" s="70" t="str">
        <f>IFERROR(VLOOKUP($A76,Maestro_Equipos!$A$4:$AG$242,27,FALSE()),"")</f>
        <v/>
      </c>
      <c r="P76" s="71">
        <f t="shared" ca="1" si="9"/>
        <v>88.27523267360084</v>
      </c>
      <c r="Q76" s="71" t="str">
        <f t="shared" ca="1" si="10"/>
        <v/>
      </c>
      <c r="R76" s="68" t="str">
        <f t="shared" si="11"/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 t="shared" si="6"/>
        <v/>
      </c>
      <c r="I77" s="65" t="str">
        <f t="shared" ca="1" si="7"/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 t="shared" si="8"/>
        <v>NO PROGRAMAR</v>
      </c>
      <c r="M77" s="69" t="str" cm="1">
        <f t="array" ref="M77">IFERROR(_xlfn.AGGREGATE(14,6,Mantenciones!$A$2:$A$9993/(Mantenciones!$B$2:$B$9993=$A77),1),"")</f>
        <v/>
      </c>
      <c r="N77" s="70" t="str" cm="1">
        <f t="array" ref="N77">IFERROR(_xlfn.AGGREGATE(14,6,'Compras PM'!$A$4:$A$10016/('Compras PM'!$C$4:$C$10016=$A77),1),"")</f>
        <v/>
      </c>
      <c r="O77" s="70" t="str">
        <f>IFERROR(VLOOKUP($A77,Maestro_Equipos!$A$4:$AG$242,27,FALSE()),"")</f>
        <v/>
      </c>
      <c r="P77" s="71" t="str">
        <f t="shared" ca="1" si="9"/>
        <v/>
      </c>
      <c r="Q77" s="71" t="str">
        <f t="shared" ca="1" si="10"/>
        <v/>
      </c>
      <c r="R77" s="68" t="str">
        <f t="shared" si="11"/>
        <v>SIN SALIDA</v>
      </c>
      <c r="S77" s="72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74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IFERROR(_xlfn.AGGREGATE(14,6,Mantenciones!$A$2:$A$9993/(Mantenciones!$B$2:$B$9993=$A78),1),"")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74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t="str" cm="1">
        <f t="array" ref="M79">IFERROR(_xlfn.AGGREGATE(14,6,Mantenciones!$A$2:$A$9993/(Mantenciones!$B$2:$B$9993=$A79),1),"")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77.270186145797197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74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IFERROR(_xlfn.AGGREGATE(14,6,Mantenciones!$A$2:$A$9993/(Mantenciones!$B$2:$B$9993=$A80),1),"")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34.363524455999141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74">
        <f t="shared" ca="1" si="7"/>
        <v>46247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IFERROR(_xlfn.AGGREGATE(14,6,Mantenciones!$A$2:$A$9993/(Mantenciones!$B$2:$B$9993=$A81),1),"")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68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74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IFERROR(_xlfn.AGGREGATE(14,6,Mantenciones!$A$2:$A$9993/(Mantenciones!$B$2:$B$9993=$A82),1),"")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74">
        <f t="shared" ca="1" si="7"/>
        <v>46212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IFERROR(_xlfn.AGGREGATE(14,6,Mantenciones!$A$2:$A$9993/(Mantenciones!$B$2:$B$9993=$A83),1),"")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 t="shared" si="6"/>
        <v/>
      </c>
      <c r="I84" s="65" t="str">
        <f t="shared" ca="1" si="7"/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 t="shared" si="8"/>
        <v>NO PROGRAMAR</v>
      </c>
      <c r="M84" s="69" t="str" cm="1">
        <f t="array" ref="M84">IFERROR(_xlfn.AGGREGATE(14,6,Mantenciones!$A$2:$A$9993/(Mantenciones!$B$2:$B$9993=$A84),1),"")</f>
        <v/>
      </c>
      <c r="N84" s="70" t="str" cm="1">
        <f t="array" ref="N84">IFERROR(_xlfn.AGGREGATE(14,6,'Compras PM'!$A$4:$A$10016/('Compras PM'!$C$4:$C$10016=$A84),1),"")</f>
        <v/>
      </c>
      <c r="O84" s="70" t="str">
        <f>IFERROR(VLOOKUP($A84,Maestro_Equipos!$A$4:$AG$242,27,FALSE()),"")</f>
        <v/>
      </c>
      <c r="P84" s="71" t="str">
        <f t="shared" ca="1" si="9"/>
        <v/>
      </c>
      <c r="Q84" s="71" t="str">
        <f t="shared" ca="1" si="10"/>
        <v/>
      </c>
      <c r="R84" s="68" t="str">
        <f t="shared" si="11"/>
        <v>SIN SALIDA</v>
      </c>
      <c r="S84" s="72" t="str">
        <f>IFERROR(VLOOKUP($A84,Maestro_Equipos!$A$4:$AG$242,33,FALSE()),"")</f>
        <v>No programar compra</v>
      </c>
    </row>
    <row r="85" spans="1:19" s="64" customFormat="1" ht="15" hidden="1" customHeight="1">
      <c r="A85" s="64" t="str" cm="1">
        <f t="array" ref="A85">IFERROR(INDEX(_xlfn._xlws.FILTER(Maestro_Equipos!$A$4:$A$242,Maestro_Equipos!$A$4:$A$242&lt;&gt;""),ROWS($A$4:A85)),"")</f>
        <v>MD-100</v>
      </c>
      <c r="B85" s="64" t="str">
        <f>IFERROR(_xlfn.XLOOKUP($A85,Maestro_Equipos!$A$4:$A$242,Maestro_Equipos!$B$4:$B$242,""),"")</f>
        <v>Excavadora</v>
      </c>
      <c r="C85" s="64" t="str">
        <f>IFERROR(_xlfn.XLOOKUP($A85,Maestro_Equipos!$A$4:$A$242,Maestro_Equipos!$C$4:$C$242,""),"")</f>
        <v>Maquinaria Pesada</v>
      </c>
      <c r="D85" s="64" t="str">
        <f>IFERROR(VLOOKUP($A82,Maestro_Equipos!$A$4:$Z$242,9,FALSE),"")</f>
        <v>HORAS</v>
      </c>
      <c r="E85" s="64">
        <f>IFERROR(IF($D85="KM",_xlfn.XLOOKUP($A85,Maestro_Equipos!$A:$A,Maestro_Equipos!$N:$N,""),_xlfn.XLOOKUP($A85,Maestro_Equipos!$A:$A,Maestro_Equipos!$M:$M,"")),"")</f>
        <v>3006</v>
      </c>
      <c r="F85" s="64">
        <f>IFERROR(_xlfn.XLOOKUP($A85,Maestro_Equipos!$A:$A,Maestro_Equipos!$R:$R,"")+_xlfn.XLOOKUP($A85,Maestro_Equipos!$A:$A,Maestro_Equipos!$J:$J,""),"")</f>
        <v>3443</v>
      </c>
      <c r="G85" s="64">
        <f>IFERROR(_xlfn.XLOOKUP($A85,Maestro_Equipos!$A:$A,Maestro_Equipos!$K:$K,""),"")</f>
        <v>8</v>
      </c>
      <c r="H85" s="64">
        <f t="shared" si="6"/>
        <v>55</v>
      </c>
      <c r="I85" s="65">
        <f t="shared" ca="1" si="7"/>
        <v>46237</v>
      </c>
      <c r="J85" s="66" t="str">
        <f>IFERROR(INDEX(Maestro_Equipos!$V$4:$V$242,MATCH($A85,Maestro_Equipos!$A$4:$A$242,0)),"")</f>
        <v>Operativo</v>
      </c>
      <c r="K85" s="67">
        <f>IFERROR(
   SUMIFS(Mantenciones!$I:$I,Mantenciones!$B:$B,$A85)
 + SUMIFS('Compras PM'!$F:$F,'Compras PM'!$C:$C,$A85),0)</f>
        <v>775156.48</v>
      </c>
      <c r="L85" s="68" t="str">
        <f t="shared" si="8"/>
        <v>BAJA</v>
      </c>
      <c r="M85" s="69" cm="1">
        <f t="array" ref="M85">IFERROR(_xlfn.AGGREGATE(14,6,Mantenciones!$A$2:$A$9993/(Mantenciones!$B$2:$B$9993=$A85),1),"")</f>
        <v>46169</v>
      </c>
      <c r="N85" s="70" cm="1">
        <f t="array" ref="N85">IFERROR(_xlfn.AGGREGATE(14,6,'Compras PM'!$A$4:$A$10016/('Compras PM'!$C$4:$C$10016=$A85),1),"")</f>
        <v>46167.748160995397</v>
      </c>
      <c r="O85" s="70">
        <f>IFERROR(VLOOKUP($A85,Maestro_Equipos!$A$4:$AG$242,27,FALSE()),"")</f>
        <v>46169</v>
      </c>
      <c r="P85" s="71">
        <f t="shared" ca="1" si="9"/>
        <v>1.2518390046025161</v>
      </c>
      <c r="Q85" s="71">
        <f t="shared" ca="1" si="10"/>
        <v>0</v>
      </c>
      <c r="R85" s="68" t="str">
        <f t="shared" si="11"/>
        <v>REALIZADA</v>
      </c>
      <c r="S85" s="72" t="str">
        <f>IFERROR(VLOOKUP($A85,Maestro_Equipos!$A$4:$AG$242,33,FALSE()),"")</f>
        <v>Monitorear próximo vencimiento</v>
      </c>
    </row>
    <row r="86" spans="1:19" s="64" customFormat="1" ht="15" hidden="1" customHeight="1">
      <c r="A86" s="64" t="str" cm="1">
        <f t="array" ref="A86">IFERROR(INDEX(_xlfn._xlws.FILTER(Maestro_Equipos!$A$4:$A$242,Maestro_Equipos!$A$4:$A$242&lt;&gt;""),ROWS($A$4:A86)),"")</f>
        <v>MD-101</v>
      </c>
      <c r="B86" s="64" t="str">
        <f>IFERROR(_xlfn.XLOOKUP($A86,Maestro_Equipos!$A$4:$A$242,Maestro_Equipos!$B$4:$B$242,""),"")</f>
        <v>Motoniveladora</v>
      </c>
      <c r="C86" s="64" t="str">
        <f>IFERROR(_xlfn.XLOOKUP($A86,Maestro_Equipos!$A$4:$A$242,Maestro_Equipos!$C$4:$C$242,""),"")</f>
        <v>Maquinaria Pesada</v>
      </c>
      <c r="D86" s="64" t="str">
        <f>IFERROR(VLOOKUP($A83,Maestro_Equipos!$A$4:$Z$242,9,FALSE),"")</f>
        <v>HORAS</v>
      </c>
      <c r="E86" s="64">
        <f>IFERROR(IF($D86="KM",_xlfn.XLOOKUP($A86,Maestro_Equipos!$A:$A,Maestro_Equipos!$N:$N,""),_xlfn.XLOOKUP($A86,Maestro_Equipos!$A:$A,Maestro_Equipos!$M:$M,"")),"")</f>
        <v>10057</v>
      </c>
      <c r="F86" s="64">
        <f>IFERROR(_xlfn.XLOOKUP($A86,Maestro_Equipos!$A:$A,Maestro_Equipos!$R:$R,"")+_xlfn.XLOOKUP($A86,Maestro_Equipos!$A:$A,Maestro_Equipos!$J:$J,""),"")</f>
        <v>10404</v>
      </c>
      <c r="G86" s="64">
        <f>IFERROR(_xlfn.XLOOKUP($A86,Maestro_Equipos!$A:$A,Maestro_Equipos!$K:$K,""),"")</f>
        <v>4</v>
      </c>
      <c r="H86" s="64">
        <f t="shared" si="6"/>
        <v>87</v>
      </c>
      <c r="I86" s="65">
        <f t="shared" ca="1" si="7"/>
        <v>46269</v>
      </c>
      <c r="J86" s="66" t="str">
        <f>IFERROR(INDEX(Maestro_Equipos!$V$4:$V$242,MATCH($A86,Maestro_Equipos!$A$4:$A$242,0)),"")</f>
        <v>Operativo</v>
      </c>
      <c r="K86" s="67">
        <f>IFERROR(
   SUMIFS(Mantenciones!$I:$I,Mantenciones!$B:$B,$A86)
 + SUMIFS('Compras PM'!$F:$F,'Compras PM'!$C:$C,$A86),0)</f>
        <v>0</v>
      </c>
      <c r="L86" s="68" t="str">
        <f t="shared" si="8"/>
        <v>BAJA</v>
      </c>
      <c r="M86" s="69" cm="1">
        <f t="array" ref="M86">IFERROR(_xlfn.AGGREGATE(14,6,Mantenciones!$A$2:$A$9993/(Mantenciones!$B$2:$B$9993=$A86),1),"")</f>
        <v>46134</v>
      </c>
      <c r="N86" s="70" t="str" cm="1">
        <f t="array" ref="N86">IFERROR(_xlfn.AGGREGATE(14,6,'Compras PM'!$A$4:$A$10016/('Compras PM'!$C$4:$C$10016=$A86),1),"")</f>
        <v/>
      </c>
      <c r="O86" s="70" t="str">
        <f>IFERROR(VLOOKUP($A86,Maestro_Equipos!$A$4:$AG$242,27,FALSE()),"")</f>
        <v/>
      </c>
      <c r="P86" s="71" t="str">
        <f t="shared" ca="1" si="9"/>
        <v/>
      </c>
      <c r="Q86" s="71" t="str">
        <f t="shared" ca="1" si="10"/>
        <v/>
      </c>
      <c r="R86" s="68" t="str">
        <f t="shared" si="11"/>
        <v>SIN SALIDA</v>
      </c>
      <c r="S86" s="72" t="str">
        <f>IFERROR(VLOOKUP($A86,Maestro_Equipos!$A$4:$AG$242,33,FALSE()),"")</f>
        <v>Monitorear próximo vencimiento</v>
      </c>
    </row>
    <row r="87" spans="1:19" s="64" customFormat="1" ht="15" hidden="1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 t="shared" si="6"/>
        <v>78</v>
      </c>
      <c r="I87" s="65">
        <f t="shared" ca="1" si="7"/>
        <v>46260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 t="shared" si="8"/>
        <v>BAJA</v>
      </c>
      <c r="M87" s="69" cm="1">
        <f t="array" ref="M87">IFERROR(_xlfn.AGGREGATE(14,6,Mantenciones!$A$2:$A$9993/(Mantenciones!$B$2:$B$9993=$A87),1),"")</f>
        <v>46098</v>
      </c>
      <c r="N87" s="70" cm="1">
        <f t="array" ref="N87">IFERROR(_xlfn.AGGREGATE(14,6,'Compras PM'!$A$4:$A$10016/('Compras PM'!$C$4:$C$10016=$A87),1),"")</f>
        <v>46132.714388622699</v>
      </c>
      <c r="O87" s="70" t="str">
        <f>IFERROR(VLOOKUP($A87,Maestro_Equipos!$A$4:$AG$242,27,FALSE()),"")</f>
        <v/>
      </c>
      <c r="P87" s="71">
        <f t="shared" ca="1" si="9"/>
        <v>49.285611377301393</v>
      </c>
      <c r="Q87" s="71" t="str">
        <f t="shared" ca="1" si="10"/>
        <v/>
      </c>
      <c r="R87" s="68" t="str">
        <f t="shared" si="11"/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hidden="1" customHeight="1">
      <c r="A88" s="64" t="str" cm="1">
        <f t="array" ref="A88">IFERROR(INDEX(_xlfn._xlws.FILTER(Maestro_Equipos!$A$4:$A$242,Maestro_Equipos!$A$4:$A$242&lt;&gt;""),ROWS($A$4:A88)),"")</f>
        <v>MD-103</v>
      </c>
      <c r="B88" s="64" t="str">
        <f>IFERROR(_xlfn.XLOOKUP($A88,Maestro_Equipos!$A$4:$A$242,Maestro_Equipos!$B$4:$B$242,""),"")</f>
        <v>Rodillo</v>
      </c>
      <c r="C88" s="64" t="str">
        <f>IFERROR(_xlfn.XLOOKUP($A88,Maestro_Equipos!$A$4:$A$242,Maestro_Equipos!$C$4:$C$242,""),"")</f>
        <v>Maquinaria Pesada</v>
      </c>
      <c r="D88" s="64" t="str">
        <f>IFERROR(VLOOKUP($A85,Maestro_Equipos!$A$4:$Z$242,9,FALSE),"")</f>
        <v>HORAS</v>
      </c>
      <c r="E88" s="64">
        <f>IFERROR(IF($D88="KM",_xlfn.XLOOKUP($A88,Maestro_Equipos!$A:$A,Maestro_Equipos!$N:$N,""),_xlfn.XLOOKUP($A88,Maestro_Equipos!$A:$A,Maestro_Equipos!$M:$M,"")),"")</f>
        <v>4168</v>
      </c>
      <c r="F88" s="64">
        <f>IFERROR(_xlfn.XLOOKUP($A88,Maestro_Equipos!$A:$A,Maestro_Equipos!$R:$R,"")+_xlfn.XLOOKUP($A88,Maestro_Equipos!$A:$A,Maestro_Equipos!$J:$J,""),"")</f>
        <v>4608</v>
      </c>
      <c r="G88" s="64">
        <f>IFERROR(_xlfn.XLOOKUP($A88,Maestro_Equipos!$A:$A,Maestro_Equipos!$K:$K,""),"")</f>
        <v>0.9</v>
      </c>
      <c r="H88" s="64">
        <f t="shared" si="6"/>
        <v>489</v>
      </c>
      <c r="I88" s="65">
        <f t="shared" ca="1" si="7"/>
        <v>46671</v>
      </c>
      <c r="J88" s="66" t="str">
        <f>IFERROR(INDEX(Maestro_Equipos!$V$4:$V$242,MATCH($A88,Maestro_Equipos!$A$4:$A$242,0)),"")</f>
        <v>Operativo</v>
      </c>
      <c r="K88" s="67">
        <f>IFERROR(
   SUMIFS(Mantenciones!$I:$I,Mantenciones!$B:$B,$A88)
 + SUMIFS('Compras PM'!$F:$F,'Compras PM'!$C:$C,$A88),0)</f>
        <v>263781.34999999998</v>
      </c>
      <c r="L88" s="68" t="str">
        <f t="shared" si="8"/>
        <v>BAJA</v>
      </c>
      <c r="M88" s="69" cm="1">
        <f t="array" ref="M88">IFERROR(_xlfn.AGGREGATE(14,6,Mantenciones!$A$2:$A$9993/(Mantenciones!$B$2:$B$9993=$A88),1),"")</f>
        <v>46132</v>
      </c>
      <c r="N88" s="70" cm="1">
        <f t="array" ref="N88">IFERROR(_xlfn.AGGREGATE(14,6,'Compras PM'!$A$4:$A$10016/('Compras PM'!$C$4:$C$10016=$A88),1),"")</f>
        <v>46083.444348263904</v>
      </c>
      <c r="O88" s="70">
        <f>IFERROR(VLOOKUP($A88,Maestro_Equipos!$A$4:$AG$242,27,FALSE()),"")</f>
        <v>46093</v>
      </c>
      <c r="P88" s="71">
        <f t="shared" ca="1" si="9"/>
        <v>48.555651736096479</v>
      </c>
      <c r="Q88" s="71">
        <f t="shared" ca="1" si="10"/>
        <v>39</v>
      </c>
      <c r="R88" s="68" t="str">
        <f t="shared" si="11"/>
        <v>REALIZADA</v>
      </c>
      <c r="S88" s="72" t="str">
        <f>IFERROR(VLOOKUP($A88,Maestro_Equipos!$A$4:$AG$242,33,FALSE()),"")</f>
        <v>Monitorear próximo vencimiento</v>
      </c>
    </row>
    <row r="89" spans="1:19" s="64" customFormat="1" ht="15" hidden="1" customHeight="1">
      <c r="A89" s="64" t="str" cm="1">
        <f t="array" ref="A89">IFERROR(INDEX(_xlfn._xlws.FILTER(Maestro_Equipos!$A$4:$A$242,Maestro_Equipos!$A$4:$A$242&lt;&gt;""),ROWS($A$4:A89)),"")</f>
        <v>MD-104</v>
      </c>
      <c r="B89" s="64" t="str">
        <f>IFERROR(_xlfn.XLOOKUP($A89,Maestro_Equipos!$A$4:$A$242,Maestro_Equipos!$B$4:$B$242,""),"")</f>
        <v>Excavadora</v>
      </c>
      <c r="C89" s="64" t="str">
        <f>IFERROR(_xlfn.XLOOKUP($A89,Maestro_Equipos!$A$4:$A$242,Maestro_Equipos!$C$4:$C$242,""),"")</f>
        <v>Maquinaria Pesada</v>
      </c>
      <c r="D89" s="64" t="str">
        <f>IFERROR(VLOOKUP($A86,Maestro_Equipos!$A$4:$Z$242,9,FALSE),"")</f>
        <v>HORAS</v>
      </c>
      <c r="E89" s="64">
        <f>IFERROR(IF($D89="KM",_xlfn.XLOOKUP($A89,Maestro_Equipos!$A:$A,Maestro_Equipos!$N:$N,""),_xlfn.XLOOKUP($A89,Maestro_Equipos!$A:$A,Maestro_Equipos!$M:$M,"")),"")</f>
        <v>1474</v>
      </c>
      <c r="F89" s="64">
        <f>IFERROR(_xlfn.XLOOKUP($A89,Maestro_Equipos!$A:$A,Maestro_Equipos!$R:$R,"")+_xlfn.XLOOKUP($A89,Maestro_Equipos!$A:$A,Maestro_Equipos!$J:$J,""),"")</f>
        <v>1790</v>
      </c>
      <c r="G89" s="64">
        <f>IFERROR(_xlfn.XLOOKUP($A89,Maestro_Equipos!$A:$A,Maestro_Equipos!$K:$K,""),"")</f>
        <v>0.4</v>
      </c>
      <c r="H89" s="64">
        <f t="shared" si="6"/>
        <v>790</v>
      </c>
      <c r="I89" s="65">
        <f t="shared" ca="1" si="7"/>
        <v>46972</v>
      </c>
      <c r="J89" s="66" t="str">
        <f>IFERROR(INDEX(Maestro_Equipos!$V$4:$V$242,MATCH($A89,Maestro_Equipos!$A$4:$A$242,0)),"")</f>
        <v>Operativo</v>
      </c>
      <c r="K89" s="67">
        <f>IFERROR(
   SUMIFS(Mantenciones!$I:$I,Mantenciones!$B:$B,$A89)
 + SUMIFS('Compras PM'!$F:$F,'Compras PM'!$C:$C,$A89),0)</f>
        <v>397094.67</v>
      </c>
      <c r="L89" s="68" t="str">
        <f t="shared" si="8"/>
        <v>BAJA</v>
      </c>
      <c r="M89" s="69" cm="1">
        <f t="array" ref="M89">IFERROR(_xlfn.AGGREGATE(14,6,Mantenciones!$A$2:$A$9993/(Mantenciones!$B$2:$B$9993=$A89),1),"")</f>
        <v>46120</v>
      </c>
      <c r="N89" s="70" cm="1">
        <f t="array" ref="N89">IFERROR(_xlfn.AGGREGATE(14,6,'Compras PM'!$A$4:$A$10016/('Compras PM'!$C$4:$C$10016=$A89),1),"")</f>
        <v>46093.632126932898</v>
      </c>
      <c r="O89" s="70">
        <f>IFERROR(VLOOKUP($A89,Maestro_Equipos!$A$4:$AG$242,27,FALSE()),"")</f>
        <v>46120</v>
      </c>
      <c r="P89" s="71">
        <f t="shared" ca="1" si="9"/>
        <v>26.367873067101755</v>
      </c>
      <c r="Q89" s="71">
        <f t="shared" ca="1" si="10"/>
        <v>0</v>
      </c>
      <c r="R89" s="68" t="str">
        <f t="shared" si="11"/>
        <v>REALIZADA</v>
      </c>
      <c r="S89" s="72" t="str">
        <f>IFERROR(VLOOKUP($A89,Maestro_Equipos!$A$4:$AG$242,33,FALSE()),"")</f>
        <v>Monitorear próximo vencimiento</v>
      </c>
    </row>
    <row r="90" spans="1:19" s="64" customFormat="1" ht="15" hidden="1" customHeight="1">
      <c r="A90" s="64" t="str" cm="1">
        <f t="array" ref="A90">IFERROR(INDEX(_xlfn._xlws.FILTER(Maestro_Equipos!$A$4:$A$242,Maestro_Equipos!$A$4:$A$242&lt;&gt;""),ROWS($A$4:A90)),"")</f>
        <v>MD-105</v>
      </c>
      <c r="B90" s="64" t="str">
        <f>IFERROR(_xlfn.XLOOKUP($A90,Maestro_Equipos!$A$4:$A$242,Maestro_Equipos!$B$4:$B$242,""),"")</f>
        <v>Cargador Frontal</v>
      </c>
      <c r="C90" s="64" t="str">
        <f>IFERROR(_xlfn.XLOOKUP($A90,Maestro_Equipos!$A$4:$A$242,Maestro_Equipos!$C$4:$C$242,""),"")</f>
        <v>Maquinaria Pesada</v>
      </c>
      <c r="D90" s="64" t="str">
        <f>IFERROR(VLOOKUP($A87,Maestro_Equipos!$A$4:$Z$242,9,FALSE),"")</f>
        <v>HORAS</v>
      </c>
      <c r="E90" s="64">
        <f>IFERROR(IF($D90="KM",_xlfn.XLOOKUP($A90,Maestro_Equipos!$A:$A,Maestro_Equipos!$N:$N,""),_xlfn.XLOOKUP($A90,Maestro_Equipos!$A:$A,Maestro_Equipos!$M:$M,"")),"")</f>
        <v>771</v>
      </c>
      <c r="F90" s="64" t="str">
        <f>IFERROR(_xlfn.XLOOKUP($A90,Maestro_Equipos!$A:$A,Maestro_Equipos!$R:$R,"")+_xlfn.XLOOKUP($A90,Maestro_Equipos!$A:$A,Maestro_Equipos!$J:$J,""),"")</f>
        <v/>
      </c>
      <c r="G90" s="64">
        <f>IFERROR(_xlfn.XLOOKUP($A90,Maestro_Equipos!$A:$A,Maestro_Equipos!$K:$K,""),"")</f>
        <v>0.8</v>
      </c>
      <c r="H90" s="64" t="str">
        <f t="shared" si="6"/>
        <v/>
      </c>
      <c r="I90" s="65" t="str">
        <f t="shared" ca="1" si="7"/>
        <v/>
      </c>
      <c r="J90" s="66" t="str">
        <f>IFERROR(INDEX(Maestro_Equipos!$V$4:$V$242,MATCH($A90,Maestro_Equipos!$A$4:$A$242,0)),"")</f>
        <v>Operativo</v>
      </c>
      <c r="K90" s="67">
        <f>IFERROR(
   SUMIFS(Mantenciones!$I:$I,Mantenciones!$B:$B,$A90)
 + SUMIFS('Compras PM'!$F:$F,'Compras PM'!$C:$C,$A90),0)</f>
        <v>365383.6214</v>
      </c>
      <c r="L90" s="68" t="str">
        <f t="shared" si="8"/>
        <v>SIN DATOS</v>
      </c>
      <c r="M90" s="69" t="str" cm="1">
        <f t="array" ref="M90">IFERROR(_xlfn.AGGREGATE(14,6,Mantenciones!$A$2:$A$9993/(Mantenciones!$B$2:$B$9993=$A90),1),"")</f>
        <v/>
      </c>
      <c r="N90" s="70" cm="1">
        <f t="array" ref="N90">IFERROR(_xlfn.AGGREGATE(14,6,'Compras PM'!$A$4:$A$10016/('Compras PM'!$C$4:$C$10016=$A90),1),"")</f>
        <v>46104.379210416701</v>
      </c>
      <c r="O90" s="70" t="str">
        <f>IFERROR(VLOOKUP($A90,Maestro_Equipos!$A$4:$AG$242,27,FALSE()),"")</f>
        <v/>
      </c>
      <c r="P90" s="71">
        <f t="shared" ca="1" si="9"/>
        <v>77.620789583299484</v>
      </c>
      <c r="Q90" s="71" t="str">
        <f t="shared" ca="1" si="10"/>
        <v/>
      </c>
      <c r="R90" s="68" t="str">
        <f t="shared" si="11"/>
        <v>SIN SALIDA</v>
      </c>
      <c r="S90" s="72" t="str">
        <f>IFERROR(VLOOKUP($A90,Maestro_Equipos!$A$4:$AG$242,33,FALSE()),"")</f>
        <v>Hacer seguimiento al taller y cerrar report</v>
      </c>
    </row>
    <row r="91" spans="1:19" s="64" customFormat="1" ht="15" hidden="1" customHeight="1">
      <c r="A91" s="64" t="str" cm="1">
        <f t="array" ref="A91">IFERROR(INDEX(_xlfn._xlws.FILTER(Maestro_Equipos!$A$4:$A$242,Maestro_Equipos!$A$4:$A$242&lt;&gt;""),ROWS($A$4:A91)),"")</f>
        <v>MD-107</v>
      </c>
      <c r="B91" s="64" t="str">
        <f>IFERROR(_xlfn.XLOOKUP($A91,Maestro_Equipos!$A$4:$A$242,Maestro_Equipos!$B$4:$B$242,""),"")</f>
        <v>Cargador Frontal</v>
      </c>
      <c r="C91" s="64" t="str">
        <f>IFERROR(_xlfn.XLOOKUP($A91,Maestro_Equipos!$A$4:$A$242,Maestro_Equipos!$C$4:$C$242,""),"")</f>
        <v>Maquinaria Pesada</v>
      </c>
      <c r="D91" s="64" t="str">
        <f>IFERROR(VLOOKUP($A88,Maestro_Equipos!$A$4:$Z$242,9,FALSE),"")</f>
        <v>HORAS</v>
      </c>
      <c r="E91" s="64">
        <f>IFERROR(IF($D91="KM",_xlfn.XLOOKUP($A91,Maestro_Equipos!$A:$A,Maestro_Equipos!$N:$N,""),_xlfn.XLOOKUP($A91,Maestro_Equipos!$A:$A,Maestro_Equipos!$M:$M,"")),"")</f>
        <v>1743</v>
      </c>
      <c r="F91" s="64">
        <f>IFERROR(_xlfn.XLOOKUP($A91,Maestro_Equipos!$A:$A,Maestro_Equipos!$R:$R,"")+_xlfn.XLOOKUP($A91,Maestro_Equipos!$A:$A,Maestro_Equipos!$J:$J,""),"")</f>
        <v>2044</v>
      </c>
      <c r="G91" s="64">
        <f>IFERROR(_xlfn.XLOOKUP($A91,Maestro_Equipos!$A:$A,Maestro_Equipos!$K:$K,""),"")</f>
        <v>9.9</v>
      </c>
      <c r="H91" s="64">
        <f t="shared" si="6"/>
        <v>30</v>
      </c>
      <c r="I91" s="65">
        <f t="shared" ca="1" si="7"/>
        <v>46212</v>
      </c>
      <c r="J91" s="66" t="str">
        <f>IFERROR(INDEX(Maestro_Equipos!$V$4:$V$242,MATCH($A91,Maestro_Equipos!$A$4:$A$242,0)),"")</f>
        <v>Operativo</v>
      </c>
      <c r="K91" s="67">
        <f>IFERROR(
   SUMIFS(Mantenciones!$I:$I,Mantenciones!$B:$B,$A91)
 + SUMIFS('Compras PM'!$F:$F,'Compras PM'!$C:$C,$A91),0)</f>
        <v>778852.91</v>
      </c>
      <c r="L91" s="68" t="str">
        <f t="shared" si="8"/>
        <v>MEDIA</v>
      </c>
      <c r="M91" s="69" cm="1">
        <f t="array" ref="M91">IFERROR(_xlfn.AGGREGATE(14,6,Mantenciones!$A$2:$A$9993/(Mantenciones!$B$2:$B$9993=$A91),1),"")</f>
        <v>46153</v>
      </c>
      <c r="N91" s="70" cm="1">
        <f t="array" ref="N91">IFERROR(_xlfn.AGGREGATE(14,6,'Compras PM'!$A$4:$A$10016/('Compras PM'!$C$4:$C$10016=$A91),1),"")</f>
        <v>46140.483474918998</v>
      </c>
      <c r="O91" s="70">
        <f>IFERROR(VLOOKUP($A91,Maestro_Equipos!$A$4:$AG$242,27,FALSE()),"")</f>
        <v>46149</v>
      </c>
      <c r="P91" s="71">
        <f t="shared" ca="1" si="9"/>
        <v>12.516525081002328</v>
      </c>
      <c r="Q91" s="71">
        <f t="shared" ca="1" si="10"/>
        <v>4</v>
      </c>
      <c r="R91" s="68" t="str">
        <f t="shared" si="11"/>
        <v>REALIZADA</v>
      </c>
      <c r="S91" s="72" t="str">
        <f>IFERROR(VLOOKUP($A91,Maestro_Equipos!$A$4:$AG$242,33,FALSE()),"")</f>
        <v>Monitorear próximo vencimiento</v>
      </c>
    </row>
    <row r="92" spans="1:19" s="64" customFormat="1" ht="15" hidden="1" customHeight="1">
      <c r="A92" s="64" t="str" cm="1">
        <f t="array" ref="A92">IFERROR(INDEX(_xlfn._xlws.FILTER(Maestro_Equipos!$A$4:$A$242,Maestro_Equipos!$A$4:$A$242&lt;&gt;""),ROWS($A$4:A92)),"")</f>
        <v>MD-108</v>
      </c>
      <c r="B92" s="64" t="str">
        <f>IFERROR(_xlfn.XLOOKUP($A92,Maestro_Equipos!$A$4:$A$242,Maestro_Equipos!$B$4:$B$242,""),"")</f>
        <v>Rodillo de Neumaticos</v>
      </c>
      <c r="C92" s="64" t="str">
        <f>IFERROR(_xlfn.XLOOKUP($A92,Maestro_Equipos!$A$4:$A$242,Maestro_Equipos!$C$4:$C$242,""),"")</f>
        <v>Maquinaria Pesada</v>
      </c>
      <c r="D92" s="64" t="str">
        <f>IFERROR(VLOOKUP($A89,Maestro_Equipos!$A$4:$Z$242,9,FALSE),"")</f>
        <v>HORAS</v>
      </c>
      <c r="E92" s="64">
        <f>IFERROR(IF($D92="KM",_xlfn.XLOOKUP($A92,Maestro_Equipos!$A:$A,Maestro_Equipos!$N:$N,""),_xlfn.XLOOKUP($A92,Maestro_Equipos!$A:$A,Maestro_Equipos!$M:$M,"")),"")</f>
        <v>5326</v>
      </c>
      <c r="F92" s="64" t="str">
        <f>IFERROR(_xlfn.XLOOKUP($A92,Maestro_Equipos!$A:$A,Maestro_Equipos!$R:$R,"")+_xlfn.XLOOKUP($A92,Maestro_Equipos!$A:$A,Maestro_Equipos!$J:$J,""),"")</f>
        <v/>
      </c>
      <c r="G92" s="64">
        <f>IFERROR(_xlfn.XLOOKUP($A92,Maestro_Equipos!$A:$A,Maestro_Equipos!$K:$K,""),"")</f>
        <v>164</v>
      </c>
      <c r="H92" s="64" t="str">
        <f t="shared" si="6"/>
        <v/>
      </c>
      <c r="I92" s="65" t="str">
        <f t="shared" ca="1" si="7"/>
        <v/>
      </c>
      <c r="J92" s="66" t="str">
        <f>IFERROR(INDEX(Maestro_Equipos!$V$4:$V$242,MATCH($A92,Maestro_Equipos!$A$4:$A$242,0)),"")</f>
        <v>Operativo</v>
      </c>
      <c r="K92" s="67">
        <f>IFERROR(
   SUMIFS(Mantenciones!$I:$I,Mantenciones!$B:$B,$A92)
 + SUMIFS('Compras PM'!$F:$F,'Compras PM'!$C:$C,$A92),0)</f>
        <v>0</v>
      </c>
      <c r="L92" s="68" t="str">
        <f t="shared" si="8"/>
        <v>SIN DATOS</v>
      </c>
      <c r="M92" s="69" t="str" cm="1">
        <f t="array" ref="M92">IFERROR(_xlfn.AGGREGATE(14,6,Mantenciones!$A$2:$A$9993/(Mantenciones!$B$2:$B$9993=$A92),1),"")</f>
        <v/>
      </c>
      <c r="N92" s="70" cm="1">
        <f t="array" ref="N92">IFERROR(_xlfn.AGGREGATE(14,6,'Compras PM'!$A$4:$A$10016/('Compras PM'!$C$4:$C$10016=$A92),1),"")</f>
        <v>46106</v>
      </c>
      <c r="O92" s="70" t="str">
        <f>IFERROR(VLOOKUP($A92,Maestro_Equipos!$A$4:$AG$242,27,FALSE()),"")</f>
        <v/>
      </c>
      <c r="P92" s="71">
        <f t="shared" ca="1" si="9"/>
        <v>76</v>
      </c>
      <c r="Q92" s="71" t="str">
        <f t="shared" ca="1" si="10"/>
        <v/>
      </c>
      <c r="R92" s="68" t="str">
        <f t="shared" si="11"/>
        <v>SIN SALIDA</v>
      </c>
      <c r="S92" s="72" t="str">
        <f>IFERROR(VLOOKUP($A92,Maestro_Equipos!$A$4:$AG$242,33,FALSE()),"")</f>
        <v>Hacer seguimiento al taller y cerrar report</v>
      </c>
    </row>
    <row r="93" spans="1:19" s="64" customFormat="1" ht="15" hidden="1" customHeight="1">
      <c r="A93" s="64" t="str" cm="1">
        <f t="array" ref="A93">IFERROR(INDEX(_xlfn._xlws.FILTER(Maestro_Equipos!$A$4:$A$242,Maestro_Equipos!$A$4:$A$242&lt;&gt;""),ROWS($A$4:A93)),"")</f>
        <v>MD-109</v>
      </c>
      <c r="B93" s="64" t="str">
        <f>IFERROR(_xlfn.XLOOKUP($A93,Maestro_Equipos!$A$4:$A$242,Maestro_Equipos!$B$4:$B$242,""),"")</f>
        <v>Motoniveladora</v>
      </c>
      <c r="C93" s="64" t="str">
        <f>IFERROR(_xlfn.XLOOKUP($A93,Maestro_Equipos!$A$4:$A$242,Maestro_Equipos!$C$4:$C$242,""),"")</f>
        <v>Maquinaria Pesada</v>
      </c>
      <c r="D93" s="64" t="str">
        <f>IFERROR(VLOOKUP($A90,Maestro_Equipos!$A$4:$Z$242,9,FALSE),"")</f>
        <v>HORAS</v>
      </c>
      <c r="E93" s="64">
        <f>IFERROR(IF($D93="KM",_xlfn.XLOOKUP($A93,Maestro_Equipos!$A:$A,Maestro_Equipos!$N:$N,""),_xlfn.XLOOKUP($A93,Maestro_Equipos!$A:$A,Maestro_Equipos!$M:$M,"")),"")</f>
        <v>8971</v>
      </c>
      <c r="F93" s="64">
        <f>IFERROR(_xlfn.XLOOKUP($A93,Maestro_Equipos!$A:$A,Maestro_Equipos!$R:$R,"")+_xlfn.XLOOKUP($A93,Maestro_Equipos!$A:$A,Maestro_Equipos!$J:$J,""),"")</f>
        <v>87911</v>
      </c>
      <c r="G93" s="64">
        <f>IFERROR(_xlfn.XLOOKUP($A93,Maestro_Equipos!$A:$A,Maestro_Equipos!$K:$K,""),"")</f>
        <v>0.7</v>
      </c>
      <c r="H93" s="64">
        <f t="shared" si="6"/>
        <v>112771</v>
      </c>
      <c r="I93" s="65">
        <f t="shared" ca="1" si="7"/>
        <v>158953</v>
      </c>
      <c r="J93" s="66" t="str">
        <f>IFERROR(INDEX(Maestro_Equipos!$V$4:$V$242,MATCH($A93,Maestro_Equipos!$A$4:$A$242,0)),"")</f>
        <v>Operativo</v>
      </c>
      <c r="K93" s="67">
        <f>IFERROR(
   SUMIFS(Mantenciones!$I:$I,Mantenciones!$B:$B,$A93)
 + SUMIFS('Compras PM'!$F:$F,'Compras PM'!$C:$C,$A93),0)</f>
        <v>0</v>
      </c>
      <c r="L93" s="68" t="str">
        <f t="shared" si="8"/>
        <v>BAJA</v>
      </c>
      <c r="M93" s="69" cm="1">
        <f t="array" ref="M93">IFERROR(_xlfn.AGGREGATE(14,6,Mantenciones!$A$2:$A$9993/(Mantenciones!$B$2:$B$9993=$A93),1),"")</f>
        <v>46154</v>
      </c>
      <c r="N93" s="70" t="str" cm="1">
        <f t="array" ref="N93">IFERROR(_xlfn.AGGREGATE(14,6,'Compras PM'!$A$4:$A$10016/('Compras PM'!$C$4:$C$10016=$A93),1),"")</f>
        <v/>
      </c>
      <c r="O93" s="70">
        <f>IFERROR(VLOOKUP($A93,Maestro_Equipos!$A$4:$AG$242,27,FALSE()),"")</f>
        <v>46148</v>
      </c>
      <c r="P93" s="71" t="str">
        <f t="shared" ca="1" si="9"/>
        <v/>
      </c>
      <c r="Q93" s="71">
        <f t="shared" ca="1" si="10"/>
        <v>6</v>
      </c>
      <c r="R93" s="68" t="str">
        <f t="shared" si="11"/>
        <v>REALIZADA</v>
      </c>
      <c r="S93" s="72" t="str">
        <f>IFERROR(VLOOKUP($A93,Maestro_Equipos!$A$4:$AG$242,33,FALSE()),"")</f>
        <v>Monitorear próximo vencimiento</v>
      </c>
    </row>
    <row r="94" spans="1:19" s="64" customFormat="1" ht="15" hidden="1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IFERROR(VLOOKUP($A91,Maestro_Equipos!$A$4:$Z$242,9,FALSE),"")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8832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3.9</v>
      </c>
      <c r="H94" s="64">
        <f t="shared" si="6"/>
        <v>64</v>
      </c>
      <c r="I94" s="65">
        <f t="shared" ca="1" si="7"/>
        <v>46246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 t="shared" si="8"/>
        <v>BAJA</v>
      </c>
      <c r="M94" s="69" cm="1">
        <f t="array" ref="M94">IFERROR(_xlfn.AGGREGATE(14,6,Mantenciones!$A$2:$A$9993/(Mantenciones!$B$2:$B$9993=$A94),1),"")</f>
        <v>46141</v>
      </c>
      <c r="N94" s="70" cm="1">
        <f t="array" ref="N94">IFERROR(_xlfn.AGGREGATE(14,6,'Compras PM'!$A$4:$A$10016/('Compras PM'!$C$4:$C$10016=$A94),1),"")</f>
        <v>46111</v>
      </c>
      <c r="O94" s="70">
        <f>IFERROR(VLOOKUP($A94,Maestro_Equipos!$A$4:$AG$242,27,FALSE()),"")</f>
        <v>46058</v>
      </c>
      <c r="P94" s="71">
        <f t="shared" ca="1" si="9"/>
        <v>30</v>
      </c>
      <c r="Q94" s="71">
        <f t="shared" ca="1" si="10"/>
        <v>83</v>
      </c>
      <c r="R94" s="68" t="str">
        <f t="shared" si="11"/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hidden="1" customHeight="1">
      <c r="A95" s="64" t="str" cm="1">
        <f t="array" ref="A95">IFERROR(INDEX(_xlfn._xlws.FILTER(Maestro_Equipos!$A$4:$A$242,Maestro_Equipos!$A$4:$A$242&lt;&gt;""),ROWS($A$4:A95)),"")</f>
        <v>MD-25</v>
      </c>
      <c r="B95" s="64" t="str">
        <f>IFERROR(_xlfn.XLOOKUP($A95,Maestro_Equipos!$A$4:$A$242,Maestro_Equipos!$B$4:$B$242,""),"")</f>
        <v>Motoniveladora</v>
      </c>
      <c r="C95" s="64" t="str">
        <f>IFERROR(_xlfn.XLOOKUP($A95,Maestro_Equipos!$A$4:$A$242,Maestro_Equipos!$C$4:$C$242,""),"")</f>
        <v>Maquinaria Pesada</v>
      </c>
      <c r="D95" s="64" t="str">
        <f>IFERROR(VLOOKUP($A92,Maestro_Equipos!$A$4:$Z$242,9,FALSE),"")</f>
        <v>HORAS</v>
      </c>
      <c r="E95" s="64">
        <f>IFERROR(IF($D95="KM",_xlfn.XLOOKUP($A95,Maestro_Equipos!$A:$A,Maestro_Equipos!$N:$N,""),_xlfn.XLOOKUP($A95,Maestro_Equipos!$A:$A,Maestro_Equipos!$M:$M,"")),"")</f>
        <v>14740</v>
      </c>
      <c r="F95" s="64">
        <f>IFERROR(_xlfn.XLOOKUP($A95,Maestro_Equipos!$A:$A,Maestro_Equipos!$R:$R,"")+_xlfn.XLOOKUP($A95,Maestro_Equipos!$A:$A,Maestro_Equipos!$J:$J,""),"")</f>
        <v>14990</v>
      </c>
      <c r="G95" s="64">
        <f>IFERROR(_xlfn.XLOOKUP($A95,Maestro_Equipos!$A:$A,Maestro_Equipos!$K:$K,""),"")</f>
        <v>3.8</v>
      </c>
      <c r="H95" s="64">
        <f t="shared" si="6"/>
        <v>66</v>
      </c>
      <c r="I95" s="65">
        <f t="shared" ca="1" si="7"/>
        <v>46248</v>
      </c>
      <c r="J95" s="66" t="str">
        <f>IFERROR(INDEX(Maestro_Equipos!$V$4:$V$242,MATCH($A95,Maestro_Equipos!$A$4:$A$242,0)),"")</f>
        <v>Operativo</v>
      </c>
      <c r="K95" s="67">
        <f>IFERROR(
   SUMIFS(Mantenciones!$I:$I,Mantenciones!$B:$B,$A95)
 + SUMIFS('Compras PM'!$F:$F,'Compras PM'!$C:$C,$A95),0)</f>
        <v>763402.85</v>
      </c>
      <c r="L95" s="68" t="str">
        <f t="shared" si="8"/>
        <v>BAJA</v>
      </c>
      <c r="M95" s="69" cm="1">
        <f t="array" ref="M95">IFERROR(_xlfn.AGGREGATE(14,6,Mantenciones!$A$2:$A$9993/(Mantenciones!$B$2:$B$9993=$A95),1),"")</f>
        <v>46162</v>
      </c>
      <c r="N95" s="70" cm="1">
        <f t="array" ref="N95">IFERROR(_xlfn.AGGREGATE(14,6,'Compras PM'!$A$4:$A$10016/('Compras PM'!$C$4:$C$10016=$A95),1),"")</f>
        <v>46086.422014780102</v>
      </c>
      <c r="O95" s="70">
        <f>IFERROR(VLOOKUP($A95,Maestro_Equipos!$A$4:$AG$242,27,FALSE()),"")</f>
        <v>46087</v>
      </c>
      <c r="P95" s="71">
        <f t="shared" ca="1" si="9"/>
        <v>75.577985219897528</v>
      </c>
      <c r="Q95" s="71">
        <f t="shared" ca="1" si="10"/>
        <v>75</v>
      </c>
      <c r="R95" s="68" t="str">
        <f t="shared" si="11"/>
        <v>REALIZADA</v>
      </c>
      <c r="S95" s="72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74">
        <f t="shared" ca="1" si="7"/>
        <v>46241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6" cm="1">
        <f t="array" ref="M96">IFERROR(_xlfn.AGGREGATE(14,6,Mantenciones!$A$2:$A$9993/(Mantenciones!$B$2:$B$9993=$A96),1),"")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74">
        <f t="shared" ca="1" si="7"/>
        <v>46366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IFERROR(_xlfn.AGGREGATE(14,6,Mantenciones!$A$2:$A$9993/(Mantenciones!$B$2:$B$9993=$A97),1),"")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74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IFERROR(_xlfn.AGGREGATE(14,6,Mantenciones!$A$2:$A$9993/(Mantenciones!$B$2:$B$9993=$A98),1),"")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74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IFERROR(_xlfn.AGGREGATE(14,6,Mantenciones!$A$2:$A$9993/(Mantenciones!$B$2:$B$9993=$A99),1),"")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63.519564201400499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74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IFERROR(_xlfn.AGGREGATE(14,6,Mantenciones!$A$2:$A$9993/(Mantenciones!$B$2:$B$9993=$A100),1),"")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74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IFERROR(_xlfn.AGGREGATE(14,6,Mantenciones!$A$2:$A$9993/(Mantenciones!$B$2:$B$9993=$A101),1),"")</f>
        <v/>
      </c>
      <c r="N101" s="31" cm="1">
        <f t="array" ref="N101">IFERROR(_xlfn.AGGREGATE(14,6,'Compras PM'!$A$4:$A$10016/('Compras PM'!$C$4:$C$10016=$A101),1),"")</f>
        <v>46154.391135497703</v>
      </c>
      <c r="O101" s="31" t="str">
        <f>IFERROR(VLOOKUP($A101,Maestro_Equipos!$A$4:$AG$242,27,FALSE()),"")</f>
        <v/>
      </c>
      <c r="P101" s="32">
        <f t="shared" ca="1" si="9"/>
        <v>27.608864502297365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74">
        <f t="shared" ca="1" si="7"/>
        <v>46190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IFERROR(_xlfn.AGGREGATE(14,6,Mantenciones!$A$2:$A$9993/(Mantenciones!$B$2:$B$9993=$A102),1),"")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74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IFERROR(_xlfn.AGGREGATE(14,6,Mantenciones!$A$2:$A$9993/(Mantenciones!$B$2:$B$9993=$A103),1),"")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109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74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IFERROR(_xlfn.AGGREGATE(14,6,Mantenciones!$A$2:$A$9993/(Mantenciones!$B$2:$B$9993=$A104),1),"")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74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IFERROR(_xlfn.AGGREGATE(14,6,Mantenciones!$A$2:$A$9993/(Mantenciones!$B$2:$B$9993=$A105),1),"")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74">
        <f t="shared" ca="1" si="7"/>
        <v>46230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BAJA</v>
      </c>
      <c r="M106" s="56" cm="1">
        <f t="array" ref="M106">IFERROR(_xlfn.AGGREGATE(14,6,Mantenciones!$A$2:$A$9993/(Mantenciones!$B$2:$B$9993=$A106),1),"")</f>
        <v>46154</v>
      </c>
      <c r="N106" s="31" cm="1">
        <f t="array" ref="N106">IFERROR(_xlfn.AGGREGATE(14,6,'Compras PM'!$A$4:$A$10016/('Compras PM'!$C$4:$C$10016=$A106),1),"")</f>
        <v>46154.380285185202</v>
      </c>
      <c r="O106" s="31">
        <f>IFERROR(VLOOKUP($A106,Maestro_Equipos!$A$4:$AG$242,27,FALSE()),"")</f>
        <v>46148</v>
      </c>
      <c r="P106" s="32">
        <f t="shared" ca="1" si="9"/>
        <v>27.619714814798499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74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6" t="str" cm="1">
        <f t="array" ref="M107">IFERROR(_xlfn.AGGREGATE(14,6,Mantenciones!$A$2:$A$9993/(Mantenciones!$B$2:$B$9993=$A107),1),"")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82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74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IFERROR(_xlfn.AGGREGATE(14,6,Mantenciones!$A$2:$A$9993/(Mantenciones!$B$2:$B$9993=$A108),1),"")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74">
        <f t="shared" ca="1" si="7"/>
        <v>46318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IFERROR(_xlfn.AGGREGATE(14,6,Mantenciones!$A$2:$A$9993/(Mantenciones!$B$2:$B$9993=$A109),1),"")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74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IFERROR(_xlfn.AGGREGATE(14,6,Mantenciones!$A$2:$A$9993/(Mantenciones!$B$2:$B$9993=$A110),1),"")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74">
        <f t="shared" ca="1" si="7"/>
        <v>47432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IFERROR(_xlfn.AGGREGATE(14,6,Mantenciones!$A$2:$A$9993/(Mantenciones!$B$2:$B$9993=$A111),1),"")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74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IFERROR(_xlfn.AGGREGATE(14,6,Mantenciones!$A$2:$A$9993/(Mantenciones!$B$2:$B$9993=$A112),1),"")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74">
        <f t="shared" ca="1" si="7"/>
        <v>46766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IFERROR(_xlfn.AGGREGATE(14,6,Mantenciones!$A$2:$A$9993/(Mantenciones!$B$2:$B$9993=$A113),1),"")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7120</v>
      </c>
      <c r="F114">
        <f>IFERROR(_xlfn.XLOOKUP($A114,Maestro_Equipos!$A:$A,Maestro_Equipos!$R:$R,"")+_xlfn.XLOOKUP($A114,Maestro_Equipos!$A:$A,Maestro_Equipos!$J:$J,""),"")</f>
        <v>7413</v>
      </c>
      <c r="G114">
        <f>IFERROR(_xlfn.XLOOKUP($A114,Maestro_Equipos!$A:$A,Maestro_Equipos!$K:$K,""),"")</f>
        <v>2.1</v>
      </c>
      <c r="H114">
        <f t="shared" si="6"/>
        <v>140</v>
      </c>
      <c r="I114" s="74">
        <f t="shared" ca="1" si="7"/>
        <v>46322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BAJA</v>
      </c>
      <c r="M114" s="56" cm="1">
        <f t="array" ref="M114">IFERROR(_xlfn.AGGREGATE(14,6,Mantenciones!$A$2:$A$9993/(Mantenciones!$B$2:$B$9993=$A114),1),"")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74">
        <f t="shared" ca="1" si="7"/>
        <v>46217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6" cm="1">
        <f t="array" ref="M115">IFERROR(_xlfn.AGGREGATE(14,6,Mantenciones!$A$2:$A$9993/(Mantenciones!$B$2:$B$9993=$A115),1),"")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98.513545486101066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74">
        <f t="shared" ca="1" si="7"/>
        <v>46182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IFERROR(_xlfn.AGGREGATE(14,6,Mantenciones!$A$2:$A$9993/(Mantenciones!$B$2:$B$9993=$A116),1),"")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76.364889351898455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74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IFERROR(_xlfn.AGGREGATE(14,6,Mantenciones!$A$2:$A$9993/(Mantenciones!$B$2:$B$9993=$A117),1),"")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35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74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IFERROR(_xlfn.AGGREGATE(14,6,Mantenciones!$A$2:$A$9993/(Mantenciones!$B$2:$B$9993=$A118),1),"")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1.4</v>
      </c>
      <c r="H119">
        <f t="shared" si="6"/>
        <v>258</v>
      </c>
      <c r="I119" s="74">
        <f t="shared" ca="1" si="7"/>
        <v>46440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BAJA</v>
      </c>
      <c r="M119" s="56" cm="1">
        <f t="array" ref="M119">IFERROR(_xlfn.AGGREGATE(14,6,Mantenciones!$A$2:$A$9993/(Mantenciones!$B$2:$B$9993=$A119),1),"")</f>
        <v>46169</v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74">
        <f t="shared" ca="1" si="7"/>
        <v>51194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IFERROR(_xlfn.AGGREGATE(14,6,Mantenciones!$A$2:$A$9993/(Mantenciones!$B$2:$B$9993=$A120),1),"")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74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cm="1">
        <f t="array" ref="M121">IFERROR(_xlfn.AGGREGATE(14,6,Mantenciones!$A$2:$A$9993/(Mantenciones!$B$2:$B$9993=$A121),1),"")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74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IFERROR(_xlfn.AGGREGATE(14,6,Mantenciones!$A$2:$A$9993/(Mantenciones!$B$2:$B$9993=$A122),1),"")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2.1</v>
      </c>
      <c r="H123">
        <f t="shared" si="6"/>
        <v>129</v>
      </c>
      <c r="I123" s="74">
        <f t="shared" ca="1" si="7"/>
        <v>46311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IFERROR(_xlfn.AGGREGATE(14,6,Mantenciones!$A$2:$A$9993/(Mantenciones!$B$2:$B$9993=$A123),1),"")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48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 t="shared" si="6"/>
        <v>176</v>
      </c>
      <c r="I124" s="74">
        <f t="shared" ca="1" si="7"/>
        <v>46358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6" cm="1">
        <f t="array" ref="M124">IFERROR(_xlfn.AGGREGATE(14,6,Mantenciones!$A$2:$A$9993/(Mantenciones!$B$2:$B$9993=$A124),1),"")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117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74">
        <f t="shared" ca="1" si="7"/>
        <v>46460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IFERROR(_xlfn.AGGREGATE(14,6,Mantenciones!$A$2:$A$9993/(Mantenciones!$B$2:$B$9993=$A125),1),"")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87.330736145799165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74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IFERROR(_xlfn.AGGREGATE(14,6,Mantenciones!$A$2:$A$9993/(Mantenciones!$B$2:$B$9993=$A126),1),"")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74">
        <f t="shared" ca="1" si="7"/>
        <v>46373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IFERROR(_xlfn.AGGREGATE(14,6,Mantenciones!$A$2:$A$9993/(Mantenciones!$B$2:$B$9993=$A127),1),"")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74">
        <f t="shared" ca="1" si="7"/>
        <v>46262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IFERROR(_xlfn.AGGREGATE(14,6,Mantenciones!$A$2:$A$9993/(Mantenciones!$B$2:$B$9993=$A128),1),"")</f>
        <v>46098</v>
      </c>
      <c r="N128" s="31" cm="1">
        <f t="array" ref="N128">IFERROR(_xlfn.AGGREGATE(14,6,'Compras PM'!$A$4:$A$10016/('Compras PM'!$C$4:$C$10016=$A128),1),"")</f>
        <v>46148.4678185995</v>
      </c>
      <c r="O128" s="31">
        <f>IFERROR(VLOOKUP($A128,Maestro_Equipos!$A$4:$AG$242,27,FALSE()),"")</f>
        <v>46098</v>
      </c>
      <c r="P128" s="32">
        <f t="shared" ca="1" si="9"/>
        <v>33.532181400500122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74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IFERROR(_xlfn.AGGREGATE(14,6,Mantenciones!$A$2:$A$9993/(Mantenciones!$B$2:$B$9993=$A129),1),"")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74">
        <f t="shared" ca="1" si="7"/>
        <v>46801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IFERROR(_xlfn.AGGREGATE(14,6,Mantenciones!$A$2:$A$9993/(Mantenciones!$B$2:$B$9993=$A130),1),"")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74">
        <f t="shared" ca="1" si="7"/>
        <v>46256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6" cm="1">
        <f t="array" ref="M131">IFERROR(_xlfn.AGGREGATE(14,6,Mantenciones!$A$2:$A$9993/(Mantenciones!$B$2:$B$9993=$A131),1),"")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74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IFERROR(_xlfn.AGGREGATE(14,6,Mantenciones!$A$2:$A$9993/(Mantenciones!$B$2:$B$9993=$A132),1),"")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74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cm="1">
        <f t="array" ref="M133">IFERROR(_xlfn.AGGREGATE(14,6,Mantenciones!$A$2:$A$9993/(Mantenciones!$B$2:$B$9993=$A133),1),"")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74">
        <f t="shared" ca="1" si="13"/>
        <v>46246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IFERROR(_xlfn.AGGREGATE(14,6,Mantenciones!$A$2:$A$9993/(Mantenciones!$B$2:$B$9993=$A134),1),"")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74">
        <f t="shared" ca="1" si="13"/>
        <v>46251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6" cm="1">
        <f t="array" ref="M135">IFERROR(_xlfn.AGGREGATE(14,6,Mantenciones!$A$2:$A$9993/(Mantenciones!$B$2:$B$9993=$A135),1),"")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69</v>
      </c>
      <c r="Q135" s="32">
        <f t="shared" ca="1" si="16"/>
        <v>50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74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IFERROR(_xlfn.AGGREGATE(14,6,Mantenciones!$A$2:$A$9993/(Mantenciones!$B$2:$B$9993=$A136),1),"")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74">
        <f t="shared" ca="1" si="13"/>
        <v>46273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IFERROR(_xlfn.AGGREGATE(14,6,Mantenciones!$A$2:$A$9993/(Mantenciones!$B$2:$B$9993=$A137),1),"")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74">
        <f t="shared" ca="1" si="13"/>
        <v>46207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6" cm="1">
        <f t="array" ref="M138">IFERROR(_xlfn.AGGREGATE(14,6,Mantenciones!$A$2:$A$9993/(Mantenciones!$B$2:$B$9993=$A138),1),"")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74">
        <f t="shared" ca="1" si="13"/>
        <v>46287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IFERROR(_xlfn.AGGREGATE(14,6,Mantenciones!$A$2:$A$9993/(Mantenciones!$B$2:$B$9993=$A139),1),"")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74">
        <f t="shared" ca="1" si="13"/>
        <v>46503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IFERROR(_xlfn.AGGREGATE(14,6,Mantenciones!$A$2:$A$9993/(Mantenciones!$B$2:$B$9993=$A140),1),"")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74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IFERROR(_xlfn.AGGREGATE(14,6,Mantenciones!$A$2:$A$9993/(Mantenciones!$B$2:$B$9993=$A141),1),"")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76</v>
      </c>
      <c r="Q141" s="32">
        <f t="shared" ca="1" si="16"/>
        <v>81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74">
        <f t="shared" ca="1" si="13"/>
        <v>46325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IFERROR(_xlfn.AGGREGATE(14,6,Mantenciones!$A$2:$A$9993/(Mantenciones!$B$2:$B$9993=$A142),1),"")</f>
        <v>46161</v>
      </c>
      <c r="N142" s="31" cm="1">
        <f t="array" ref="N142">IFERROR(_xlfn.AGGREGATE(14,6,'Compras PM'!$A$4:$A$10016/('Compras PM'!$C$4:$C$10016=$A142),1),"")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74">
        <f t="shared" ca="1" si="13"/>
        <v>46275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IFERROR(_xlfn.AGGREGATE(14,6,Mantenciones!$A$2:$A$9993/(Mantenciones!$B$2:$B$9993=$A143),1),"")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74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IFERROR(_xlfn.AGGREGATE(14,6,Mantenciones!$A$2:$A$9993/(Mantenciones!$B$2:$B$9993=$A144),1),"")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74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IFERROR(_xlfn.AGGREGATE(14,6,Mantenciones!$A$2:$A$9993/(Mantenciones!$B$2:$B$9993=$A145),1),"")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74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IFERROR(_xlfn.AGGREGATE(14,6,Mantenciones!$A$2:$A$9993/(Mantenciones!$B$2:$B$9993=$A146),1),"")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74">
        <f t="shared" ca="1" si="13"/>
        <v>46291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6" cm="1">
        <f t="array" ref="M147">IFERROR(_xlfn.AGGREGATE(14,6,Mantenciones!$A$2:$A$9993/(Mantenciones!$B$2:$B$9993=$A147),1),"")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74">
        <f t="shared" ca="1" si="13"/>
        <v>46256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IFERROR(_xlfn.AGGREGATE(14,6,Mantenciones!$A$2:$A$9993/(Mantenciones!$B$2:$B$9993=$A148),1),"")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74">
        <f t="shared" ca="1" si="13"/>
        <v>46270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6" cm="1">
        <f t="array" ref="M149">IFERROR(_xlfn.AGGREGATE(14,6,Mantenciones!$A$2:$A$9993/(Mantenciones!$B$2:$B$9993=$A149),1),"")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49.28574791669962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74">
        <f t="shared" ca="1" si="13"/>
        <v>46266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IFERROR(_xlfn.AGGREGATE(14,6,Mantenciones!$A$2:$A$9993/(Mantenciones!$B$2:$B$9993=$A150),1),"")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74">
        <f t="shared" ca="1" si="13"/>
        <v>46806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IFERROR(_xlfn.AGGREGATE(14,6,Mantenciones!$A$2:$A$9993/(Mantenciones!$B$2:$B$9993=$A151),1),"")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74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IFERROR(_xlfn.AGGREGATE(14,6,Mantenciones!$A$2:$A$9993/(Mantenciones!$B$2:$B$9993=$A152),1),"")</f>
        <v/>
      </c>
      <c r="N152" s="31" cm="1">
        <f t="array" ref="N152">IFERROR(_xlfn.AGGREGATE(14,6,'Compras PM'!$A$4:$A$10016/('Compras PM'!$C$4:$C$10016=$A152),1),"")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25.585760995396413</v>
      </c>
      <c r="Q152" s="32">
        <f t="shared" ca="1" si="16"/>
        <v>29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74">
        <f t="shared" ca="1" si="13"/>
        <v>46210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6" cm="1">
        <f t="array" ref="M153">IFERROR(_xlfn.AGGREGATE(14,6,Mantenciones!$A$2:$A$9993/(Mantenciones!$B$2:$B$9993=$A153),1),"")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74">
        <f t="shared" ca="1" si="13"/>
        <v>46455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IFERROR(_xlfn.AGGREGATE(14,6,Mantenciones!$A$2:$A$9993/(Mantenciones!$B$2:$B$9993=$A154),1),"")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74">
        <f t="shared" ca="1" si="13"/>
        <v>46239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IFERROR(_xlfn.AGGREGATE(14,6,Mantenciones!$A$2:$A$9993/(Mantenciones!$B$2:$B$9993=$A155),1),"")</f>
        <v>46161</v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74">
        <f t="shared" ca="1" si="13"/>
        <v>46264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IFERROR(_xlfn.AGGREGATE(14,6,Mantenciones!$A$2:$A$9993/(Mantenciones!$B$2:$B$9993=$A156),1),"")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74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IFERROR(_xlfn.AGGREGATE(14,6,Mantenciones!$A$2:$A$9993/(Mantenciones!$B$2:$B$9993=$A157),1),"")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64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74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IFERROR(_xlfn.AGGREGATE(14,6,Mantenciones!$A$2:$A$9993/(Mantenciones!$B$2:$B$9993=$A158),1),"")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74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IFERROR(_xlfn.AGGREGATE(14,6,Mantenciones!$A$2:$A$9993/(Mantenciones!$B$2:$B$9993=$A159),1),"")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74">
        <f t="shared" ca="1" si="13"/>
        <v>46233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IFERROR(_xlfn.AGGREGATE(14,6,Mantenciones!$A$2:$A$9993/(Mantenciones!$B$2:$B$9993=$A160),1),"")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74">
        <f t="shared" ca="1" si="13"/>
        <v>46261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IFERROR(_xlfn.AGGREGATE(14,6,Mantenciones!$A$2:$A$9993/(Mantenciones!$B$2:$B$9993=$A161),1),"")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74">
        <f t="shared" ca="1" si="13"/>
        <v>46271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IFERROR(_xlfn.AGGREGATE(14,6,Mantenciones!$A$2:$A$9993/(Mantenciones!$B$2:$B$9993=$A162),1),"")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 t="shared" si="12"/>
        <v>5</v>
      </c>
      <c r="I163" s="74">
        <f t="shared" ca="1" si="13"/>
        <v>46187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CRÍTICA</v>
      </c>
      <c r="M163" s="56" cm="1">
        <f t="array" ref="M163">IFERROR(_xlfn.AGGREGATE(14,6,Mantenciones!$A$2:$A$9993/(Mantenciones!$B$2:$B$9993=$A163),1),"")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74">
        <f t="shared" ca="1" si="13"/>
        <v>46201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IFERROR(_xlfn.AGGREGATE(14,6,Mantenciones!$A$2:$A$9993/(Mantenciones!$B$2:$B$9993=$A164),1),"")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74">
        <f t="shared" ca="1" si="13"/>
        <v>46293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IFERROR(_xlfn.AGGREGATE(14,6,Mantenciones!$A$2:$A$9993/(Mantenciones!$B$2:$B$9993=$A165),1),"")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74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IFERROR(_xlfn.AGGREGATE(14,6,Mantenciones!$A$2:$A$9993/(Mantenciones!$B$2:$B$9993=$A166),1),"")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97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74">
        <f t="shared" ca="1" si="13"/>
        <v>46291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6" cm="1">
        <f t="array" ref="M167">IFERROR(_xlfn.AGGREGATE(14,6,Mantenciones!$A$2:$A$9993/(Mantenciones!$B$2:$B$9993=$A167),1),"")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74">
        <f t="shared" ca="1" si="13"/>
        <v>46216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IFERROR(_xlfn.AGGREGATE(14,6,Mantenciones!$A$2:$A$9993/(Mantenciones!$B$2:$B$9993=$A168),1),"")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74">
        <f t="shared" ca="1" si="13"/>
        <v>46254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6" cm="1">
        <f t="array" ref="M169">IFERROR(_xlfn.AGGREGATE(14,6,Mantenciones!$A$2:$A$9993/(Mantenciones!$B$2:$B$9993=$A169),1),"")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74">
        <f t="shared" ca="1" si="13"/>
        <v>46295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IFERROR(_xlfn.AGGREGATE(14,6,Mantenciones!$A$2:$A$9993/(Mantenciones!$B$2:$B$9993=$A170),1),"")</f>
        <v>46162</v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43.591718784700788</v>
      </c>
      <c r="Q170" s="32">
        <f t="shared" ca="1" si="16"/>
        <v>44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74">
        <f t="shared" ca="1" si="13"/>
        <v>46283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IFERROR(_xlfn.AGGREGATE(14,6,Mantenciones!$A$2:$A$9993/(Mantenciones!$B$2:$B$9993=$A171),1),"")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64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74">
        <f t="shared" ca="1" si="13"/>
        <v>46261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IFERROR(_xlfn.AGGREGATE(14,6,Mantenciones!$A$2:$A$9993/(Mantenciones!$B$2:$B$9993=$A172),1),"")</f>
        <v>46167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49</v>
      </c>
      <c r="Q172" s="32">
        <f t="shared" ca="1" si="16"/>
        <v>68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74">
        <f t="shared" ca="1" si="13"/>
        <v>46242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6" cm="1">
        <f t="array" ref="M173">IFERROR(_xlfn.AGGREGATE(14,6,Mantenciones!$A$2:$A$9993/(Mantenciones!$B$2:$B$9993=$A173),1),"")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74">
        <f t="shared" ca="1" si="13"/>
        <v>46190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IFERROR(_xlfn.AGGREGATE(14,6,Mantenciones!$A$2:$A$9993/(Mantenciones!$B$2:$B$9993=$A174),1),"")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64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74">
        <f t="shared" ca="1" si="13"/>
        <v>46216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6" cm="1">
        <f t="array" ref="M175">IFERROR(_xlfn.AGGREGATE(14,6,Mantenciones!$A$2:$A$9993/(Mantenciones!$B$2:$B$9993=$A175),1),"")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64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74">
        <f t="shared" ca="1" si="13"/>
        <v>46218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IFERROR(_xlfn.AGGREGATE(14,6,Mantenciones!$A$2:$A$9993/(Mantenciones!$B$2:$B$9993=$A176),1),"")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64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74">
        <f t="shared" ca="1" si="13"/>
        <v>46283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IFERROR(_xlfn.AGGREGATE(14,6,Mantenciones!$A$2:$A$9993/(Mantenciones!$B$2:$B$9993=$A177),1),"")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74">
        <f t="shared" ca="1" si="13"/>
        <v>46220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6" cm="1">
        <f t="array" ref="M178">IFERROR(_xlfn.AGGREGATE(14,6,Mantenciones!$A$2:$A$9993/(Mantenciones!$B$2:$B$9993=$A178),1),"")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108.31405420140072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74">
        <f t="shared" ca="1" si="13"/>
        <v>46317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IFERROR(_xlfn.AGGREGATE(14,6,Mantenciones!$A$2:$A$9993/(Mantenciones!$B$2:$B$9993=$A179),1),"")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74">
        <f t="shared" ca="1" si="13"/>
        <v>46266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IFERROR(_xlfn.AGGREGATE(14,6,Mantenciones!$A$2:$A$9993/(Mantenciones!$B$2:$B$9993=$A180),1),"")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36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74">
        <f t="shared" ca="1" si="13"/>
        <v>46285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IFERROR(_xlfn.AGGREGATE(14,6,Mantenciones!$A$2:$A$9993/(Mantenciones!$B$2:$B$9993=$A181),1),"")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76.370515590300784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74">
        <f t="shared" ca="1" si="13"/>
        <v>46307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IFERROR(_xlfn.AGGREGATE(14,6,Mantenciones!$A$2:$A$9993/(Mantenciones!$B$2:$B$9993=$A182),1),"")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113990</v>
      </c>
      <c r="G183">
        <f>IFERROR(_xlfn.XLOOKUP($A183,Maestro_Equipos!$A:$A,Maestro_Equipos!$K:$K,""),"")</f>
        <v>33552.199999999997</v>
      </c>
      <c r="H183">
        <f t="shared" si="12"/>
        <v>-21</v>
      </c>
      <c r="I183" s="74">
        <f t="shared" ca="1" si="13"/>
        <v>46161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IFERROR(_xlfn.AGGREGATE(14,6,Mantenciones!$A$2:$A$9993/(Mantenciones!$B$2:$B$9993=$A183),1),"")</f>
        <v>46178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78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74">
        <f t="shared" ca="1" si="13"/>
        <v>46324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IFERROR(_xlfn.AGGREGATE(14,6,Mantenciones!$A$2:$A$9993/(Mantenciones!$B$2:$B$9993=$A184),1),"")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154.5</v>
      </c>
      <c r="H185">
        <f t="shared" si="12"/>
        <v>132</v>
      </c>
      <c r="I185" s="74">
        <f t="shared" ca="1" si="13"/>
        <v>46314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IFERROR(_xlfn.AGGREGATE(14,6,Mantenciones!$A$2:$A$9993/(Mantenciones!$B$2:$B$9993=$A185),1),"")</f>
        <v>46167</v>
      </c>
      <c r="N185" s="31" cm="1">
        <f t="array" ref="N185">IFERROR(_xlfn.AGGREGATE(14,6,'Compras PM'!$A$4:$A$10016/('Compras PM'!$C$4:$C$10016=$A185),1),"")</f>
        <v>46162.426806828698</v>
      </c>
      <c r="O185" s="31" t="str">
        <f>IFERROR(VLOOKUP($A185,Maestro_Equipos!$A$4:$AG$242,27,FALSE()),"")</f>
        <v/>
      </c>
      <c r="P185" s="32">
        <f t="shared" ca="1" si="15"/>
        <v>4.573193171301682</v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Hacer seguimiento al taller y cerrar report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74">
        <f t="shared" ca="1" si="13"/>
        <v>46491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6" cm="1">
        <f t="array" ref="M186">IFERROR(_xlfn.AGGREGATE(14,6,Mantenciones!$A$2:$A$9993/(Mantenciones!$B$2:$B$9993=$A186),1),"")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74">
        <f t="shared" ca="1" si="13"/>
        <v>46441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IFERROR(_xlfn.AGGREGATE(14,6,Mantenciones!$A$2:$A$9993/(Mantenciones!$B$2:$B$9993=$A187),1),"")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74">
        <f t="shared" ca="1" si="13"/>
        <v>46327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IFERROR(_xlfn.AGGREGATE(14,6,Mantenciones!$A$2:$A$9993/(Mantenciones!$B$2:$B$9993=$A188),1),"")</f>
        <v>46054</v>
      </c>
      <c r="N188" s="31" cm="1">
        <f t="array" ref="N188">IFERROR(_xlfn.AGGREGATE(14,6,'Compras PM'!$A$4:$A$10016/('Compras PM'!$C$4:$C$10016=$A188),1),"")</f>
        <v>46154.344671180603</v>
      </c>
      <c r="O188" s="31" t="str">
        <f>IFERROR(VLOOKUP($A188,Maestro_Equipos!$A$4:$AG$242,27,FALSE()),"")</f>
        <v/>
      </c>
      <c r="P188" s="32">
        <f t="shared" ca="1" si="15"/>
        <v>27.655328819397255</v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Hacer seguimiento al taller y cerrar report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47100</v>
      </c>
      <c r="G189">
        <f>IFERROR(_xlfn.XLOOKUP($A189,Maestro_Equipos!$A:$A,Maestro_Equipos!$K:$K,""),"")</f>
        <v>135.80000000000001</v>
      </c>
      <c r="H189">
        <f t="shared" si="12"/>
        <v>179</v>
      </c>
      <c r="I189" s="74">
        <f t="shared" ca="1" si="13"/>
        <v>46361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882968</v>
      </c>
      <c r="L189" s="30" t="str">
        <f t="shared" si="14"/>
        <v>BAJA</v>
      </c>
      <c r="M189" s="56" cm="1">
        <f t="array" ref="M189">IFERROR(_xlfn.AGGREGATE(14,6,Mantenciones!$A$2:$A$9993/(Mantenciones!$B$2:$B$9993=$A189),1),"")</f>
        <v>46177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74">
        <f t="shared" ca="1" si="13"/>
        <v>47505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IFERROR(_xlfn.AGGREGATE(14,6,Mantenciones!$A$2:$A$9993/(Mantenciones!$B$2:$B$9993=$A190),1),"")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30138</v>
      </c>
      <c r="F191">
        <f>IFERROR(_xlfn.XLOOKUP($A191,Maestro_Equipos!$A:$A,Maestro_Equipos!$R:$R,"")+_xlfn.XLOOKUP($A191,Maestro_Equipos!$A:$A,Maestro_Equipos!$J:$J,""),"")</f>
        <v>46381</v>
      </c>
      <c r="G191">
        <f>IFERROR(_xlfn.XLOOKUP($A191,Maestro_Equipos!$A:$A,Maestro_Equipos!$K:$K,""),"")</f>
        <v>190.5</v>
      </c>
      <c r="H191">
        <f t="shared" si="12"/>
        <v>85</v>
      </c>
      <c r="I191" s="74">
        <f t="shared" ca="1" si="13"/>
        <v>46267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1151189.77</v>
      </c>
      <c r="L191" s="30" t="str">
        <f t="shared" si="14"/>
        <v>BAJA</v>
      </c>
      <c r="M191" s="56" cm="1">
        <f t="array" ref="M191">IFERROR(_xlfn.AGGREGATE(14,6,Mantenciones!$A$2:$A$9993/(Mantenciones!$B$2:$B$9993=$A191),1),"")</f>
        <v>46177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90.483057060198917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48065</v>
      </c>
      <c r="G192">
        <f>IFERROR(_xlfn.XLOOKUP($A192,Maestro_Equipos!$A:$A,Maestro_Equipos!$K:$K,""),"")</f>
        <v>115.4</v>
      </c>
      <c r="H192">
        <f t="shared" si="12"/>
        <v>202</v>
      </c>
      <c r="I192" s="74">
        <f t="shared" ca="1" si="13"/>
        <v>46384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585049</v>
      </c>
      <c r="L192" s="30" t="str">
        <f t="shared" si="14"/>
        <v>BAJA</v>
      </c>
      <c r="M192" s="56" cm="1">
        <f t="array" ref="M192">IFERROR(_xlfn.AGGREGATE(14,6,Mantenciones!$A$2:$A$9993/(Mantenciones!$B$2:$B$9993=$A192),1),"")</f>
        <v>46181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70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74">
        <f t="shared" ca="1" si="13"/>
        <v>46237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IFERROR(_xlfn.AGGREGATE(14,6,Mantenciones!$A$2:$A$9993/(Mantenciones!$B$2:$B$9993=$A193),1),"")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82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74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IFERROR(_xlfn.AGGREGATE(14,6,Mantenciones!$A$2:$A$9993/(Mantenciones!$B$2:$B$9993=$A194),1),"")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74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IFERROR(_xlfn.AGGREGATE(14,6,Mantenciones!$A$2:$A$9993/(Mantenciones!$B$2:$B$9993=$A195),1),"")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74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IFERROR(_xlfn.AGGREGATE(14,6,Mantenciones!$A$2:$A$9993/(Mantenciones!$B$2:$B$9993=$A196),1),"")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74">
        <f t="shared" ca="1" si="19"/>
        <v>46184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IFERROR(_xlfn.AGGREGATE(14,6,Mantenciones!$A$2:$A$9993/(Mantenciones!$B$2:$B$9993=$A197),1),"")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74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IFERROR(_xlfn.AGGREGATE(14,6,Mantenciones!$A$2:$A$9993/(Mantenciones!$B$2:$B$9993=$A198),1),"")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74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IFERROR(_xlfn.AGGREGATE(14,6,Mantenciones!$A$2:$A$9993/(Mantenciones!$B$2:$B$9993=$A199),1),"")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74">
        <f t="shared" ca="1" si="19"/>
        <v>46204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6" cm="1">
        <f t="array" ref="M200">IFERROR(_xlfn.AGGREGATE(14,6,Mantenciones!$A$2:$A$9993/(Mantenciones!$B$2:$B$9993=$A200),1),"")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74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IFERROR(_xlfn.AGGREGATE(14,6,Mantenciones!$A$2:$A$9993/(Mantenciones!$B$2:$B$9993=$A201),1),"")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74">
        <f t="shared" ca="1" si="19"/>
        <v>46294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IFERROR(_xlfn.AGGREGATE(14,6,Mantenciones!$A$2:$A$9993/(Mantenciones!$B$2:$B$9993=$A202),1),"")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74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IFERROR(_xlfn.AGGREGATE(14,6,Mantenciones!$A$2:$A$9993/(Mantenciones!$B$2:$B$9993=$A203),1),"")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74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IFERROR(_xlfn.AGGREGATE(14,6,Mantenciones!$A$2:$A$9993/(Mantenciones!$B$2:$B$9993=$A204),1),"")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64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93.6</v>
      </c>
      <c r="H205">
        <f t="shared" si="18"/>
        <v>96</v>
      </c>
      <c r="I205" s="74">
        <f t="shared" ca="1" si="19"/>
        <v>46278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IFERROR(_xlfn.AGGREGATE(14,6,Mantenciones!$A$2:$A$9993/(Mantenciones!$B$2:$B$9993=$A205),1),"")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74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IFERROR(_xlfn.AGGREGATE(14,6,Mantenciones!$A$2:$A$9993/(Mantenciones!$B$2:$B$9993=$A206),1),"")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74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IFERROR(_xlfn.AGGREGATE(14,6,Mantenciones!$A$2:$A$9993/(Mantenciones!$B$2:$B$9993=$A207),1),"")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74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IFERROR(_xlfn.AGGREGATE(14,6,Mantenciones!$A$2:$A$9993/(Mantenciones!$B$2:$B$9993=$A208),1),"")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74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IFERROR(_xlfn.AGGREGATE(14,6,Mantenciones!$A$2:$A$9993/(Mantenciones!$B$2:$B$9993=$A209),1),"")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74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IFERROR(_xlfn.AGGREGATE(14,6,Mantenciones!$A$2:$A$9993/(Mantenciones!$B$2:$B$9993=$A210),1),"")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74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IFERROR(_xlfn.AGGREGATE(14,6,Mantenciones!$A$2:$A$9993/(Mantenciones!$B$2:$B$9993=$A211),1),"")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74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IFERROR(_xlfn.AGGREGATE(14,6,Mantenciones!$A$2:$A$9993/(Mantenciones!$B$2:$B$9993=$A212),1),"")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74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IFERROR(_xlfn.AGGREGATE(14,6,Mantenciones!$A$2:$A$9993/(Mantenciones!$B$2:$B$9993=$A213),1),"")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74">
        <f t="shared" ca="1" si="19"/>
        <v>46571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IFERROR(_xlfn.AGGREGATE(14,6,Mantenciones!$A$2:$A$9993/(Mantenciones!$B$2:$B$9993=$A214),1),"")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74">
        <f t="shared" ca="1" si="19"/>
        <v>46198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IFERROR(_xlfn.AGGREGATE(14,6,Mantenciones!$A$2:$A$9993/(Mantenciones!$B$2:$B$9993=$A215),1),"")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53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138838</v>
      </c>
      <c r="G216">
        <f>IFERROR(_xlfn.XLOOKUP($A216,Maestro_Equipos!$A:$A,Maestro_Equipos!$K:$K,""),"")</f>
        <v>184.7</v>
      </c>
      <c r="H216">
        <f t="shared" si="18"/>
        <v>-52</v>
      </c>
      <c r="I216" s="74">
        <f t="shared" ca="1" si="19"/>
        <v>46130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6" cm="1">
        <f t="array" ref="M216">IFERROR(_xlfn.AGGREGATE(14,6,Mantenciones!$A$2:$A$9993/(Mantenciones!$B$2:$B$9993=$A216),1),"")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64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74">
        <f t="shared" ca="1" si="19"/>
        <v>46319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IFERROR(_xlfn.AGGREGATE(14,6,Mantenciones!$A$2:$A$9993/(Mantenciones!$B$2:$B$9993=$A217),1),"")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74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IFERROR(_xlfn.AGGREGATE(14,6,Mantenciones!$A$2:$A$9993/(Mantenciones!$B$2:$B$9993=$A218),1),"")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50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74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IFERROR(_xlfn.AGGREGATE(14,6,Mantenciones!$A$2:$A$9993/(Mantenciones!$B$2:$B$9993=$A219),1),"")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74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IFERROR(_xlfn.AGGREGATE(14,6,Mantenciones!$A$2:$A$9993/(Mantenciones!$B$2:$B$9993=$A220),1),"")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74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6" t="str" cm="1">
        <f t="array" ref="M221">IFERROR(_xlfn.AGGREGATE(14,6,Mantenciones!$A$2:$A$9993/(Mantenciones!$B$2:$B$9993=$A221),1),"")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74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IFERROR(_xlfn.AGGREGATE(14,6,Mantenciones!$A$2:$A$9993/(Mantenciones!$B$2:$B$9993=$A222),1),"")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128530</v>
      </c>
      <c r="G223">
        <f>IFERROR(_xlfn.XLOOKUP($A223,Maestro_Equipos!$A:$A,Maestro_Equipos!$K:$K,""),"")</f>
        <v>162.5</v>
      </c>
      <c r="H223">
        <f t="shared" si="18"/>
        <v>-1094</v>
      </c>
      <c r="I223" s="74">
        <f t="shared" ca="1" si="19"/>
        <v>45088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VENCIDA</v>
      </c>
      <c r="M223" s="56" cm="1">
        <f t="array" ref="M223">IFERROR(_xlfn.AGGREGATE(14,6,Mantenciones!$A$2:$A$9993/(Mantenciones!$B$2:$B$9993=$A223),1),"")</f>
        <v>46034</v>
      </c>
      <c r="N223" s="31" cm="1">
        <f t="array" ref="N223">IFERROR(_xlfn.AGGREGATE(14,6,'Compras PM'!$A$4:$A$10016/('Compras PM'!$C$4:$C$10016=$A223),1),"")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19.572574999998324</v>
      </c>
      <c r="Q223" s="32">
        <f t="shared" ca="1" si="22"/>
        <v>64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 t="shared" si="18"/>
        <v>503</v>
      </c>
      <c r="I224" s="74">
        <f t="shared" ca="1" si="19"/>
        <v>46685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IFERROR(_xlfn.AGGREGATE(14,6,Mantenciones!$A$2:$A$9993/(Mantenciones!$B$2:$B$9993=$A224),1),"")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74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IFERROR(_xlfn.AGGREGATE(14,6,Mantenciones!$A$2:$A$9993/(Mantenciones!$B$2:$B$9993=$A225),1),"")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74">
        <f t="shared" ca="1" si="19"/>
        <v>46316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IFERROR(_xlfn.AGGREGATE(14,6,Mantenciones!$A$2:$A$9993/(Mantenciones!$B$2:$B$9993=$A226),1),"")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74">
        <f t="shared" ca="1" si="19"/>
        <v>46269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IFERROR(_xlfn.AGGREGATE(14,6,Mantenciones!$A$2:$A$9993/(Mantenciones!$B$2:$B$9993=$A227),1),"")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55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74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IFERROR(_xlfn.AGGREGATE(14,6,Mantenciones!$A$2:$A$9993/(Mantenciones!$B$2:$B$9993=$A228),1),"")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55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74">
        <f t="shared" ca="1" si="19"/>
        <v>46271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IFERROR(_xlfn.AGGREGATE(14,6,Mantenciones!$A$2:$A$9993/(Mantenciones!$B$2:$B$9993=$A229),1),"")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55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74">
        <f t="shared" ca="1" si="19"/>
        <v>46262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IFERROR(_xlfn.AGGREGATE(14,6,Mantenciones!$A$2:$A$9993/(Mantenciones!$B$2:$B$9993=$A230),1),"")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55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74">
        <f t="shared" ca="1" si="19"/>
        <v>46291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IFERROR(_xlfn.AGGREGATE(14,6,Mantenciones!$A$2:$A$9993/(Mantenciones!$B$2:$B$9993=$A231),1),"")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55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74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IFERROR(_xlfn.AGGREGATE(14,6,Mantenciones!$A$2:$A$9993/(Mantenciones!$B$2:$B$9993=$A232),1),"")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55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74">
        <f t="shared" ca="1" si="19"/>
        <v>46250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IFERROR(_xlfn.AGGREGATE(14,6,Mantenciones!$A$2:$A$9993/(Mantenciones!$B$2:$B$9993=$A233),1),"")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55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174017</v>
      </c>
      <c r="G234">
        <f>IFERROR(_xlfn.XLOOKUP($A234,Maestro_Equipos!$A:$A,Maestro_Equipos!$K:$K,""),"")</f>
        <v>164.7</v>
      </c>
      <c r="H234">
        <f t="shared" si="18"/>
        <v>135</v>
      </c>
      <c r="I234" s="74">
        <f t="shared" ca="1" si="19"/>
        <v>46317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IFERROR(_xlfn.AGGREGATE(14,6,Mantenciones!$A$2:$A$9993/(Mantenciones!$B$2:$B$9993=$A234),1),"")</f>
        <v>46181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54</v>
      </c>
      <c r="Q234" s="32">
        <f t="shared" ca="1" si="22"/>
        <v>63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74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6" t="str" cm="1">
        <f t="array" ref="M235">IFERROR(_xlfn.AGGREGATE(14,6,Mantenciones!$A$2:$A$9993/(Mantenciones!$B$2:$B$9993=$A235),1),"")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55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 t="shared" si="18"/>
        <v>2</v>
      </c>
      <c r="I236" s="74">
        <f t="shared" ca="1" si="19"/>
        <v>46184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IFERROR(_xlfn.AGGREGATE(14,6,Mantenciones!$A$2:$A$9993/(Mantenciones!$B$2:$B$9993=$A236),1),"")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55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74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IFERROR(_xlfn.AGGREGATE(14,6,Mantenciones!$A$2:$A$9993/(Mantenciones!$B$2:$B$9993=$A237),1),"")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74">
        <f t="shared" ca="1" si="19"/>
        <v>46471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IFERROR(_xlfn.AGGREGATE(14,6,Mantenciones!$A$2:$A$9993/(Mantenciones!$B$2:$B$9993=$A238),1),"")</f>
        <v>46161</v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74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IFERROR(_xlfn.AGGREGATE(14,6,Mantenciones!$A$2:$A$9993/(Mantenciones!$B$2:$B$9993=$A239),1),"")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74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IFERROR(_xlfn.AGGREGATE(14,6,Mantenciones!$A$2:$A$9993/(Mantenciones!$B$2:$B$9993=$A240),1),"")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74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IFERROR(_xlfn.AGGREGATE(14,6,Mantenciones!$A$2:$A$9993/(Mantenciones!$B$2:$B$9993=$A241),1),"")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74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IFERROR(_xlfn.AGGREGATE(14,6,Mantenciones!$A$2:$A$9993/(Mantenciones!$B$2:$B$9993=$A242),1),"")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74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6" cm="1">
        <f t="array" ref="M243">IFERROR(_xlfn.AGGREGATE(14,6,Mantenciones!$A$2:$A$9993/(Mantenciones!$B$2:$B$9993=$A243),1),"")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45.326327395800035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74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6" cm="1">
        <f t="array" ref="M244">IFERROR(_xlfn.AGGREGATE(14,6,Mantenciones!$A$2:$A$9993/(Mantenciones!$B$2:$B$9993=$A244),1),"")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45.326327395800035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74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6" cm="1">
        <f t="array" ref="M245">IFERROR(_xlfn.AGGREGATE(14,6,Mantenciones!$A$2:$A$9993/(Mantenciones!$B$2:$B$9993=$A245),1),"")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45.326327395800035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74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IFERROR(_xlfn.AGGREGATE(14,6,Mantenciones!$A$2:$A$9993/(Mantenciones!$B$2:$B$9993=$A246),1),"")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45.326327395800035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74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6" cm="1">
        <f t="array" ref="M247">IFERROR(_xlfn.AGGREGATE(14,6,Mantenciones!$A$2:$A$9993/(Mantenciones!$B$2:$B$9993=$A247),1),"")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45.326327395800035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4" activePane="bottomLeft" state="frozen"/>
      <selection pane="bottomLeft" activeCell="A21" sqref="A21:E21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1220</v>
      </c>
      <c r="D3" s="16" t="s">
        <v>1304</v>
      </c>
      <c r="E3" s="16" t="s">
        <v>1303</v>
      </c>
      <c r="F3" s="16" t="s">
        <v>749</v>
      </c>
      <c r="G3" s="16" t="s">
        <v>1311</v>
      </c>
    </row>
    <row r="4" spans="1:7">
      <c r="A4" t="str">
        <f>Plan_Mantenciones!A223</f>
        <v>VD-84</v>
      </c>
      <c r="B4" t="str">
        <f>Plan_Mantenciones!B223</f>
        <v>Furgon</v>
      </c>
      <c r="C4" t="str">
        <f>Plan_Mantenciones!C223</f>
        <v>Vehículos Livianos</v>
      </c>
      <c r="D4" s="13">
        <f ca="1">Plan_Mantenciones!I223</f>
        <v>45088</v>
      </c>
      <c r="E4">
        <f>Plan_Mantenciones!H223</f>
        <v>-1094</v>
      </c>
      <c r="F4" t="str">
        <f>Plan_Mantenciones!J223</f>
        <v>Operativo</v>
      </c>
      <c r="G4" t="str">
        <f>IF(AND(ISNUMBER(E4),E4&gt;=0,E4&lt;=90),"Sí","No")</f>
        <v>No</v>
      </c>
    </row>
    <row r="5" spans="1:7">
      <c r="A5" t="str">
        <f>Plan_Mantenciones!A216</f>
        <v>VD-77</v>
      </c>
      <c r="B5" t="str">
        <f>Plan_Mantenciones!B216</f>
        <v>Camioneta</v>
      </c>
      <c r="C5" t="str">
        <f>Plan_Mantenciones!C216</f>
        <v>Vehículos Livianos</v>
      </c>
      <c r="D5" s="13">
        <f ca="1">Plan_Mantenciones!I216</f>
        <v>46130</v>
      </c>
      <c r="E5">
        <f>Plan_Mantenciones!H216</f>
        <v>-52</v>
      </c>
      <c r="F5" t="str">
        <f>Plan_Mantenciones!J216</f>
        <v>Operativo</v>
      </c>
      <c r="G5" t="str">
        <f>IF(AND(ISNUMBER(E5),E5&gt;=0,E5&lt;=90),"Sí","No")</f>
        <v>No</v>
      </c>
    </row>
    <row r="6" spans="1:7">
      <c r="A6" t="str">
        <f>Plan_Mantenciones!A114</f>
        <v>MD-55</v>
      </c>
      <c r="B6" t="str">
        <f>Plan_Mantenciones!B114</f>
        <v>Rodillo</v>
      </c>
      <c r="C6" t="str">
        <f>Plan_Mantenciones!C114</f>
        <v>Maquinaria Pesada</v>
      </c>
      <c r="D6" s="13">
        <f ca="1">Plan_Mantenciones!I114</f>
        <v>46322</v>
      </c>
      <c r="E6">
        <f>Plan_Mantenciones!H114</f>
        <v>140</v>
      </c>
      <c r="F6" t="str">
        <f>Plan_Mantenciones!J114</f>
        <v>Operativo</v>
      </c>
      <c r="G6" t="str">
        <f>IF(AND(ISNUMBER(E6),E6&gt;=0,E6&lt;=90),"Sí","No")</f>
        <v>No</v>
      </c>
    </row>
    <row r="7" spans="1:7">
      <c r="A7" t="str">
        <f>Plan_Mantenciones!A183</f>
        <v>VD-130</v>
      </c>
      <c r="B7" t="str">
        <f>Plan_Mantenciones!B183</f>
        <v>Camioneta</v>
      </c>
      <c r="C7" t="str">
        <f>Plan_Mantenciones!C183</f>
        <v>Vehículos Livianos</v>
      </c>
      <c r="D7" s="13">
        <f ca="1">Plan_Mantenciones!I183</f>
        <v>46161</v>
      </c>
      <c r="E7">
        <f>Plan_Mantenciones!H183</f>
        <v>-21</v>
      </c>
      <c r="F7" t="str">
        <f>Plan_Mantenciones!J183</f>
        <v>Operativo</v>
      </c>
      <c r="G7" t="str">
        <f>IF(AND(ISNUMBER(E7),E7&gt;=0,E7&lt;=90),"Sí","No")</f>
        <v>No</v>
      </c>
    </row>
    <row r="8" spans="1:7">
      <c r="A8" t="str">
        <f>Plan_Mantenciones!A68</f>
        <v>ED-52</v>
      </c>
      <c r="B8" t="str">
        <f>Plan_Mantenciones!B68</f>
        <v>Barredora</v>
      </c>
      <c r="C8" t="str">
        <f>Plan_Mantenciones!C68</f>
        <v>Maquinaria Pesada</v>
      </c>
      <c r="D8" s="13">
        <f ca="1">Plan_Mantenciones!I68</f>
        <v>46173</v>
      </c>
      <c r="E8">
        <f>Plan_Mantenciones!H68</f>
        <v>-9</v>
      </c>
      <c r="F8" t="str">
        <f>Plan_Mantenciones!J68</f>
        <v>Operativo</v>
      </c>
      <c r="G8" t="str">
        <f>IF(AND(ISNUMBER(E8),E8&gt;=0,E8&lt;=90),"Sí","No")</f>
        <v>No</v>
      </c>
    </row>
    <row r="9" spans="1:7">
      <c r="A9" t="str">
        <f>Plan_Mantenciones!A191</f>
        <v>VD-138</v>
      </c>
      <c r="B9" t="str">
        <f>Plan_Mantenciones!B191</f>
        <v>Camioneta</v>
      </c>
      <c r="C9" t="str">
        <f>Plan_Mantenciones!C191</f>
        <v>Vehículos Livianos</v>
      </c>
      <c r="D9" s="13">
        <f ca="1">Plan_Mantenciones!I191</f>
        <v>46267</v>
      </c>
      <c r="E9">
        <f>Plan_Mantenciones!H191</f>
        <v>85</v>
      </c>
      <c r="F9" t="str">
        <f>Plan_Mantenciones!J191</f>
        <v>Operativo</v>
      </c>
      <c r="G9" t="str">
        <f>IF(AND(ISNUMBER(E9),E9&gt;=0,E9&lt;=90),"Sí","No")</f>
        <v>Sí</v>
      </c>
    </row>
    <row r="10" spans="1:7">
      <c r="A10" t="str">
        <f>Plan_Mantenciones!A116</f>
        <v>MD-57</v>
      </c>
      <c r="B10" t="str">
        <f>Plan_Mantenciones!B116</f>
        <v>Excavadora</v>
      </c>
      <c r="C10" t="str">
        <f>Plan_Mantenciones!C116</f>
        <v>Maquinaria Pesada</v>
      </c>
      <c r="D10" s="13">
        <f ca="1">Plan_Mantenciones!I116</f>
        <v>46182</v>
      </c>
      <c r="E10">
        <f>Plan_Mantenciones!H116</f>
        <v>0</v>
      </c>
      <c r="F10" t="str">
        <f>Plan_Mantenciones!J116</f>
        <v>Operativo</v>
      </c>
      <c r="G10" t="str">
        <f>IF(AND(ISNUMBER(E10),E10&gt;=0,E10&lt;=90),"Sí","No")</f>
        <v>Sí</v>
      </c>
    </row>
    <row r="11" spans="1:7">
      <c r="A11" t="str">
        <f>Plan_Mantenciones!A95</f>
        <v>MD-25</v>
      </c>
      <c r="B11" t="str">
        <f>Plan_Mantenciones!B95</f>
        <v>Motoniveladora</v>
      </c>
      <c r="C11" t="str">
        <f>Plan_Mantenciones!C95</f>
        <v>Maquinaria Pesada</v>
      </c>
      <c r="D11" s="13">
        <f ca="1">Plan_Mantenciones!I95</f>
        <v>46248</v>
      </c>
      <c r="E11">
        <f>Plan_Mantenciones!H95</f>
        <v>66</v>
      </c>
      <c r="F11" t="str">
        <f>Plan_Mantenciones!J95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46184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46184</v>
      </c>
      <c r="E13">
        <f>Plan_Mantenciones!H197</f>
        <v>2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46187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46190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46190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Plan_Mantenciones!A192</f>
        <v>VD-139</v>
      </c>
      <c r="B17" t="str">
        <f>Plan_Mantenciones!B192</f>
        <v>Camioneta</v>
      </c>
      <c r="C17" t="str">
        <f>Plan_Mantenciones!C192</f>
        <v>Vehículos Livianos</v>
      </c>
      <c r="D17" s="13">
        <f ca="1">Plan_Mantenciones!I192</f>
        <v>46384</v>
      </c>
      <c r="E17">
        <f>Plan_Mantenciones!H192</f>
        <v>202</v>
      </c>
      <c r="F17" t="str">
        <f>Plan_Mantenciones!J192</f>
        <v>Operativo</v>
      </c>
      <c r="G17" t="str">
        <f>IF(AND(ISNUMBER(E17),E17&gt;=0,E17&lt;=90),"Sí","No")</f>
        <v>No</v>
      </c>
    </row>
    <row r="18" spans="1:7">
      <c r="A18" t="str">
        <f>Plan_Mantenciones!A215</f>
        <v>VD-76</v>
      </c>
      <c r="B18" t="str">
        <f>Plan_Mantenciones!B215</f>
        <v>Camioneta</v>
      </c>
      <c r="C18" t="str">
        <f>Plan_Mantenciones!C215</f>
        <v>Vehículos Livianos</v>
      </c>
      <c r="D18" s="13">
        <f ca="1">Plan_Mantenciones!I215</f>
        <v>46198</v>
      </c>
      <c r="E18">
        <f>Plan_Mantenciones!H215</f>
        <v>16</v>
      </c>
      <c r="F18" t="str">
        <f>Plan_Mantenciones!J215</f>
        <v>Operativo</v>
      </c>
      <c r="G18" t="str">
        <f>IF(AND(ISNUMBER(E18),E18&gt;=0,E18&lt;=90),"Sí","No")</f>
        <v>Sí</v>
      </c>
    </row>
    <row r="19" spans="1:7">
      <c r="A19" t="str">
        <f>Plan_Mantenciones!A164</f>
        <v>VD-111</v>
      </c>
      <c r="B19" t="str">
        <f>Plan_Mantenciones!B164</f>
        <v>Camioneta</v>
      </c>
      <c r="C19" t="str">
        <f>Plan_Mantenciones!C164</f>
        <v>Vehículos Livianos</v>
      </c>
      <c r="D19" s="13">
        <f ca="1">Plan_Mantenciones!I164</f>
        <v>46201</v>
      </c>
      <c r="E19">
        <f>Plan_Mantenciones!H164</f>
        <v>19</v>
      </c>
      <c r="F19" t="str">
        <f>Plan_Mantenciones!J164</f>
        <v>Operativo</v>
      </c>
      <c r="G19" t="str">
        <f>IF(AND(ISNUMBER(E19),E19&gt;=0,E19&lt;=90),"Sí","No")</f>
        <v>Sí</v>
      </c>
    </row>
    <row r="20" spans="1:7">
      <c r="A20" t="str">
        <f>Plan_Mantenciones!A200</f>
        <v>VD-58</v>
      </c>
      <c r="B20" t="str">
        <f>Plan_Mantenciones!B200</f>
        <v>Camioneta</v>
      </c>
      <c r="C20" t="str">
        <f>Plan_Mantenciones!C200</f>
        <v>Vehículos Livianos</v>
      </c>
      <c r="D20" s="13">
        <f ca="1">Plan_Mantenciones!I200</f>
        <v>46204</v>
      </c>
      <c r="E20">
        <f>Plan_Mantenciones!H200</f>
        <v>22</v>
      </c>
      <c r="F20" t="str">
        <f>Plan_Mantenciones!J200</f>
        <v>Operativo</v>
      </c>
      <c r="G20" t="str">
        <f>IF(AND(ISNUMBER(E20),E20&gt;=0,E20&lt;=90),"Sí","No")</f>
        <v>Sí</v>
      </c>
    </row>
    <row r="21" spans="1:7">
      <c r="A21" t="str">
        <f>Plan_Mantenciones!A138</f>
        <v>MD-83</v>
      </c>
      <c r="B21" t="str">
        <f>Plan_Mantenciones!B138</f>
        <v>Excavadora</v>
      </c>
      <c r="C21" t="str">
        <f>Plan_Mantenciones!C138</f>
        <v>Maquinaria Pesada</v>
      </c>
      <c r="D21" s="13">
        <f ca="1">Plan_Mantenciones!I138</f>
        <v>46207</v>
      </c>
      <c r="E21">
        <f>Plan_Mantenciones!H138</f>
        <v>25</v>
      </c>
      <c r="F21" t="str">
        <f>Plan_Mantenciones!J138</f>
        <v>Operativo</v>
      </c>
      <c r="G21" t="str">
        <f>IF(AND(ISNUMBER(E21),E21&gt;=0,E21&lt;=90),"Sí","No")</f>
        <v>Sí</v>
      </c>
    </row>
    <row r="22" spans="1:7">
      <c r="A22" t="str">
        <f>Plan_Mantenciones!A153</f>
        <v>MD-99</v>
      </c>
      <c r="B22" t="str">
        <f>Plan_Mantenciones!B153</f>
        <v>Excavadora</v>
      </c>
      <c r="C22" t="str">
        <f>Plan_Mantenciones!C153</f>
        <v>Maquinaria Pesada</v>
      </c>
      <c r="D22" s="13">
        <f ca="1">Plan_Mantenciones!I153</f>
        <v>46210</v>
      </c>
      <c r="E22">
        <f>Plan_Mantenciones!H153</f>
        <v>28</v>
      </c>
      <c r="F22" t="str">
        <f>Plan_Mantenciones!J153</f>
        <v>Operativo</v>
      </c>
      <c r="G22" t="str">
        <f>IF(AND(ISNUMBER(E22),E22&gt;=0,E22&lt;=90),"Sí","No")</f>
        <v>Sí</v>
      </c>
    </row>
    <row r="23" spans="1:7">
      <c r="A23" t="str">
        <f>Plan_Mantenciones!A91</f>
        <v>MD-107</v>
      </c>
      <c r="B23" t="str">
        <f>Plan_Mantenciones!B91</f>
        <v>Cargador Frontal</v>
      </c>
      <c r="C23" t="str">
        <f>Plan_Mantenciones!C91</f>
        <v>Maquinaria Pesada</v>
      </c>
      <c r="D23" s="13">
        <f ca="1">Plan_Mantenciones!I91</f>
        <v>46212</v>
      </c>
      <c r="E23">
        <f>Plan_Mantenciones!H91</f>
        <v>30</v>
      </c>
      <c r="F23" t="str">
        <f>Plan_Mantenciones!J91</f>
        <v>Operativo</v>
      </c>
      <c r="G23" t="str">
        <f>IF(AND(ISNUMBER(E23),E23&gt;=0,E23&lt;=90),"Sí","No")</f>
        <v>Sí</v>
      </c>
    </row>
    <row r="24" spans="1:7">
      <c r="A24" t="str">
        <f>Plan_Mantenciones!A83</f>
        <v>EQP-7</v>
      </c>
      <c r="B24" t="str">
        <f>Plan_Mantenciones!B83</f>
        <v>Planta aridos</v>
      </c>
      <c r="C24" t="str">
        <f>Plan_Mantenciones!C83</f>
        <v>Maquinaria Pesada</v>
      </c>
      <c r="D24" s="13">
        <f ca="1">Plan_Mantenciones!I83</f>
        <v>46212</v>
      </c>
      <c r="E24">
        <f>Plan_Mantenciones!H83</f>
        <v>30</v>
      </c>
      <c r="F24" t="str">
        <f>Plan_Mantenciones!J83</f>
        <v>Operativo</v>
      </c>
      <c r="G24" t="str">
        <f>IF(AND(ISNUMBER(E24),E24&gt;=0,E24&lt;=90),"Sí","No")</f>
        <v>Sí</v>
      </c>
    </row>
    <row r="25" spans="1:7">
      <c r="A25" t="str">
        <f>Plan_Mantenciones!A175</f>
        <v>VD-122</v>
      </c>
      <c r="B25" t="str">
        <f>Plan_Mantenciones!B175</f>
        <v>Furgon</v>
      </c>
      <c r="C25" t="str">
        <f>Plan_Mantenciones!C175</f>
        <v>Vehículos Livianos</v>
      </c>
      <c r="D25" s="13">
        <f ca="1">Plan_Mantenciones!I175</f>
        <v>46216</v>
      </c>
      <c r="E25">
        <f>Plan_Mantenciones!H175</f>
        <v>34</v>
      </c>
      <c r="F25" t="str">
        <f>Plan_Mantenciones!J175</f>
        <v>Operativo</v>
      </c>
      <c r="G25" t="str">
        <f>IF(AND(ISNUMBER(E25),E25&gt;=0,E25&lt;=90),"Sí","No")</f>
        <v>Sí</v>
      </c>
    </row>
    <row r="26" spans="1:7">
      <c r="A26" t="str">
        <f>Plan_Mantenciones!A168</f>
        <v>VD-115</v>
      </c>
      <c r="B26" t="str">
        <f>Plan_Mantenciones!B168</f>
        <v>Furgon</v>
      </c>
      <c r="C26" t="str">
        <f>Plan_Mantenciones!C168</f>
        <v>Vehículos Livianos</v>
      </c>
      <c r="D26" s="13">
        <f ca="1">Plan_Mantenciones!I168</f>
        <v>46216</v>
      </c>
      <c r="E26">
        <f>Plan_Mantenciones!H168</f>
        <v>34</v>
      </c>
      <c r="F26" t="str">
        <f>Plan_Mantenciones!J168</f>
        <v>Operativo</v>
      </c>
      <c r="G26" t="str">
        <f>IF(AND(ISNUMBER(E26),E26&gt;=0,E26&lt;=90),"Sí","No")</f>
        <v>Sí</v>
      </c>
    </row>
    <row r="27" spans="1:7">
      <c r="A27" t="str">
        <f>Plan_Mantenciones!A115</f>
        <v>MD-56</v>
      </c>
      <c r="B27" t="str">
        <f>Plan_Mantenciones!B115</f>
        <v>Motoniveladora</v>
      </c>
      <c r="C27" t="str">
        <f>Plan_Mantenciones!C115</f>
        <v>Maquinaria Pesada</v>
      </c>
      <c r="D27" s="13">
        <f ca="1">Plan_Mantenciones!I115</f>
        <v>46217</v>
      </c>
      <c r="E27">
        <f>Plan_Mantenciones!H115</f>
        <v>35</v>
      </c>
      <c r="F27" t="str">
        <f>Plan_Mantenciones!J115</f>
        <v>Operativo</v>
      </c>
      <c r="G27" t="str">
        <f>IF(AND(ISNUMBER(E27),E27&gt;=0,E27&lt;=90),"Sí","No")</f>
        <v>Sí</v>
      </c>
    </row>
    <row r="28" spans="1:7">
      <c r="A28" t="str">
        <f>Plan_Mantenciones!A176</f>
        <v>VD-123</v>
      </c>
      <c r="B28" t="str">
        <f>Plan_Mantenciones!B176</f>
        <v>Furgon</v>
      </c>
      <c r="C28" t="str">
        <f>Plan_Mantenciones!C176</f>
        <v>Vehículos Livianos</v>
      </c>
      <c r="D28" s="13">
        <f ca="1">Plan_Mantenciones!I176</f>
        <v>46218</v>
      </c>
      <c r="E28">
        <f>Plan_Mantenciones!H176</f>
        <v>36</v>
      </c>
      <c r="F28" t="str">
        <f>Plan_Mantenciones!J176</f>
        <v>Operativo</v>
      </c>
      <c r="G28" t="str">
        <f>IF(AND(ISNUMBER(E28),E28&gt;=0,E28&lt;=90),"Sí","No")</f>
        <v>Sí</v>
      </c>
    </row>
    <row r="29" spans="1:7">
      <c r="A29" t="str">
        <f>Plan_Mantenciones!A8</f>
        <v>CD-105</v>
      </c>
      <c r="B29" t="str">
        <f>Plan_Mantenciones!B8</f>
        <v>Camión Tolva</v>
      </c>
      <c r="C29" t="str">
        <f>Plan_Mantenciones!C8</f>
        <v>Camiones de Ruta</v>
      </c>
      <c r="D29" s="13">
        <f ca="1">Plan_Mantenciones!I8</f>
        <v>46219</v>
      </c>
      <c r="E29">
        <f>Plan_Mantenciones!H8</f>
        <v>37</v>
      </c>
      <c r="F29" t="str">
        <f>Plan_Mantenciones!J8</f>
        <v>Operativo</v>
      </c>
      <c r="G29" t="str">
        <f>IF(AND(ISNUMBER(E29),E29&gt;=0,E29&lt;=90),"Sí","No")</f>
        <v>Sí</v>
      </c>
    </row>
    <row r="30" spans="1:7">
      <c r="A30" t="str">
        <f>Plan_Mantenciones!A178</f>
        <v>VD-125</v>
      </c>
      <c r="B30" t="str">
        <f>Plan_Mantenciones!B178</f>
        <v>Camioneta</v>
      </c>
      <c r="C30" t="str">
        <f>Plan_Mantenciones!C178</f>
        <v>Vehículos Livianos</v>
      </c>
      <c r="D30" s="13">
        <f ca="1">Plan_Mantenciones!I178</f>
        <v>46220</v>
      </c>
      <c r="E30">
        <f>Plan_Mantenciones!H178</f>
        <v>38</v>
      </c>
      <c r="F30" t="str">
        <f>Plan_Mantenciones!J178</f>
        <v>Operativo</v>
      </c>
      <c r="G30" t="str">
        <f>IF(AND(ISNUMBER(E30),E30&gt;=0,E30&lt;=90),"Sí","No")</f>
        <v>Sí</v>
      </c>
    </row>
    <row r="31" spans="1:7">
      <c r="A31" t="str">
        <f>Plan_Mantenciones!A106</f>
        <v>MD-45</v>
      </c>
      <c r="B31" t="str">
        <f>Plan_Mantenciones!B106</f>
        <v>Cargador Frontal</v>
      </c>
      <c r="C31" t="str">
        <f>Plan_Mantenciones!C106</f>
        <v>Maquinaria Pesada</v>
      </c>
      <c r="D31" s="13">
        <f ca="1">Plan_Mantenciones!I106</f>
        <v>46230</v>
      </c>
      <c r="E31">
        <f>Plan_Mantenciones!H106</f>
        <v>48</v>
      </c>
      <c r="F31" t="str">
        <f>Plan_Mantenciones!J106</f>
        <v>Operativo</v>
      </c>
      <c r="G31" t="str">
        <f>IF(AND(ISNUMBER(E31),E31&gt;=0,E31&lt;=90),"Sí","No")</f>
        <v>Sí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46233</v>
      </c>
      <c r="E32">
        <f>Plan_Mantenciones!H160</f>
        <v>51</v>
      </c>
      <c r="F32" t="str">
        <f>Plan_Mantenciones!J160</f>
        <v>Operativo</v>
      </c>
      <c r="G32" t="str">
        <f>IF(AND(ISNUMBER(E32),E32&gt;=0,E32&lt;=90),"Sí","No")</f>
        <v>Sí</v>
      </c>
    </row>
    <row r="33" spans="1:7">
      <c r="A33" t="str">
        <f>Plan_Mantenciones!A193</f>
        <v>VD-140</v>
      </c>
      <c r="B33" t="str">
        <f>Plan_Mantenciones!B193</f>
        <v>Camioneta</v>
      </c>
      <c r="C33" t="str">
        <f>Plan_Mantenciones!C193</f>
        <v>Vehículos Livianos</v>
      </c>
      <c r="D33" s="13">
        <f ca="1">Plan_Mantenciones!I193</f>
        <v>46237</v>
      </c>
      <c r="E33">
        <f>Plan_Mantenciones!H193</f>
        <v>55</v>
      </c>
      <c r="F33" t="str">
        <f>Plan_Mantenciones!J193</f>
        <v>Operativo</v>
      </c>
      <c r="G33" t="str">
        <f>IF(AND(ISNUMBER(E33),E33&gt;=0,E33&lt;=90),"Sí","No")</f>
        <v>Sí</v>
      </c>
    </row>
    <row r="34" spans="1:7">
      <c r="A34" t="str">
        <f>Plan_Mantenciones!A85</f>
        <v>MD-100</v>
      </c>
      <c r="B34" t="str">
        <f>Plan_Mantenciones!B85</f>
        <v>Excavadora</v>
      </c>
      <c r="C34" t="str">
        <f>Plan_Mantenciones!C85</f>
        <v>Maquinaria Pesada</v>
      </c>
      <c r="D34" s="13">
        <f ca="1">Plan_Mantenciones!I85</f>
        <v>46237</v>
      </c>
      <c r="E34">
        <f>Plan_Mantenciones!H85</f>
        <v>55</v>
      </c>
      <c r="F34" t="str">
        <f>Plan_Mantenciones!J85</f>
        <v>Operativo</v>
      </c>
      <c r="G34" t="str">
        <f>IF(AND(ISNUMBER(E34),E34&gt;=0,E34&lt;=90),"Sí","No")</f>
        <v>Sí</v>
      </c>
    </row>
    <row r="35" spans="1:7">
      <c r="A35" t="str">
        <f>Plan_Mantenciones!A155</f>
        <v>VD-101</v>
      </c>
      <c r="B35" t="str">
        <f>Plan_Mantenciones!B155</f>
        <v>Camioneta</v>
      </c>
      <c r="C35" t="str">
        <f>Plan_Mantenciones!C155</f>
        <v>Vehículos Livianos</v>
      </c>
      <c r="D35" s="13">
        <f ca="1">Plan_Mantenciones!I155</f>
        <v>46239</v>
      </c>
      <c r="E35">
        <f>Plan_Mantenciones!H155</f>
        <v>57</v>
      </c>
      <c r="F35" t="str">
        <f>Plan_Mantenciones!J155</f>
        <v>Operativo</v>
      </c>
      <c r="G35" t="str">
        <f>IF(AND(ISNUMBER(E35),E35&gt;=0,E35&lt;=90),"Sí","No")</f>
        <v>Sí</v>
      </c>
    </row>
    <row r="36" spans="1:7">
      <c r="A36" t="str">
        <f>Plan_Mantenciones!A96</f>
        <v>MD-26</v>
      </c>
      <c r="B36" t="str">
        <f>Plan_Mantenciones!B96</f>
        <v>Motoniveladora</v>
      </c>
      <c r="C36" t="str">
        <f>Plan_Mantenciones!C96</f>
        <v>Maquinaria Pesada</v>
      </c>
      <c r="D36" s="13">
        <f ca="1">Plan_Mantenciones!I96</f>
        <v>46241</v>
      </c>
      <c r="E36">
        <f>Plan_Mantenciones!H96</f>
        <v>59</v>
      </c>
      <c r="F36" t="str">
        <f>Plan_Mantenciones!J96</f>
        <v>Operativo</v>
      </c>
      <c r="G36" t="str">
        <f>IF(AND(ISNUMBER(E36),E36&gt;=0,E36&lt;=90),"Sí","No")</f>
        <v>Sí</v>
      </c>
    </row>
    <row r="37" spans="1:7">
      <c r="A37" t="str">
        <f>Plan_Mantenciones!A173</f>
        <v>VD-120</v>
      </c>
      <c r="B37" t="str">
        <f>Plan_Mantenciones!B173</f>
        <v>Furgon</v>
      </c>
      <c r="C37" t="str">
        <f>Plan_Mantenciones!C173</f>
        <v>Vehículos Livianos</v>
      </c>
      <c r="D37" s="13">
        <f ca="1">Plan_Mantenciones!I173</f>
        <v>46242</v>
      </c>
      <c r="E37">
        <f>Plan_Mantenciones!H173</f>
        <v>60</v>
      </c>
      <c r="F37" t="str">
        <f>Plan_Mantenciones!J173</f>
        <v>Operativo</v>
      </c>
      <c r="G37" t="str">
        <f>IF(AND(ISNUMBER(E37),E37&gt;=0,E37&lt;=90),"Sí","No")</f>
        <v>Sí</v>
      </c>
    </row>
    <row r="38" spans="1:7">
      <c r="A38" t="str">
        <f>Plan_Mantenciones!A75</f>
        <v>EQP-11</v>
      </c>
      <c r="B38" t="str">
        <f>Plan_Mantenciones!B75</f>
        <v>Planta Aridos seleccionadora</v>
      </c>
      <c r="C38" t="str">
        <f>Plan_Mantenciones!C75</f>
        <v>Maquinaria Pesada</v>
      </c>
      <c r="D38" s="13">
        <f ca="1">Plan_Mantenciones!I75</f>
        <v>46245</v>
      </c>
      <c r="E38">
        <f>Plan_Mantenciones!H75</f>
        <v>63</v>
      </c>
      <c r="F38" t="str">
        <f>Plan_Mantenciones!J75</f>
        <v>Operativo</v>
      </c>
      <c r="G38" t="str">
        <f>IF(AND(ISNUMBER(E38),E38&gt;=0,E38&lt;=90),"Sí","No")</f>
        <v>Sí</v>
      </c>
    </row>
    <row r="39" spans="1:7">
      <c r="A39" t="str">
        <f>Plan_Mantenciones!A134</f>
        <v>MD-79</v>
      </c>
      <c r="B39" t="str">
        <f>Plan_Mantenciones!B134</f>
        <v>Motoniveladora</v>
      </c>
      <c r="C39" t="str">
        <f>Plan_Mantenciones!C134</f>
        <v>Maquinaria Pesada</v>
      </c>
      <c r="D39" s="13">
        <f ca="1">Plan_Mantenciones!I134</f>
        <v>46246</v>
      </c>
      <c r="E39">
        <f>Plan_Mantenciones!H134</f>
        <v>64</v>
      </c>
      <c r="F39" t="str">
        <f>Plan_Mantenciones!J134</f>
        <v>Operativo</v>
      </c>
      <c r="G39" t="str">
        <f>IF(AND(ISNUMBER(E39),E39&gt;=0,E39&lt;=90),"Sí","No")</f>
        <v>Sí</v>
      </c>
    </row>
    <row r="40" spans="1:7">
      <c r="A40" t="str">
        <f>Plan_Mantenciones!A81</f>
        <v>EQP-18</v>
      </c>
      <c r="B40" t="str">
        <f>Plan_Mantenciones!B81</f>
        <v>Planta aridos</v>
      </c>
      <c r="C40" t="str">
        <f>Plan_Mantenciones!C81</f>
        <v>Maquinaria Pesada</v>
      </c>
      <c r="D40" s="13">
        <f ca="1">Plan_Mantenciones!I81</f>
        <v>46247</v>
      </c>
      <c r="E40">
        <f>Plan_Mantenciones!H81</f>
        <v>65</v>
      </c>
      <c r="F40" t="str">
        <f>Plan_Mantenciones!J81</f>
        <v>Operativo</v>
      </c>
      <c r="G40" t="str">
        <f>IF(AND(ISNUMBER(E40),E40&gt;=0,E40&lt;=90),"Sí","No")</f>
        <v>Sí</v>
      </c>
    </row>
    <row r="41" spans="1:7">
      <c r="A41" t="str">
        <f>Plan_Mantenciones!A233</f>
        <v>VD-94</v>
      </c>
      <c r="B41" t="str">
        <f>Plan_Mantenciones!B233</f>
        <v>Camioneta</v>
      </c>
      <c r="C41" t="str">
        <f>Plan_Mantenciones!C233</f>
        <v>Vehículos Livianos</v>
      </c>
      <c r="D41" s="13">
        <f ca="1">Plan_Mantenciones!I233</f>
        <v>46250</v>
      </c>
      <c r="E41">
        <f>Plan_Mantenciones!H233</f>
        <v>68</v>
      </c>
      <c r="F41" t="str">
        <f>Plan_Mantenciones!J233</f>
        <v>Operativo</v>
      </c>
      <c r="G41" t="str">
        <f>IF(AND(ISNUMBER(E41),E41&gt;=0,E41&lt;=90),"Sí","No")</f>
        <v>Sí</v>
      </c>
    </row>
    <row r="42" spans="1:7">
      <c r="A42" t="str">
        <f>Plan_Mantenciones!A135</f>
        <v>MD-80</v>
      </c>
      <c r="B42" t="str">
        <f>Plan_Mantenciones!B135</f>
        <v>Retroexcavadora</v>
      </c>
      <c r="C42" t="str">
        <f>Plan_Mantenciones!C135</f>
        <v>Maquinaria Pesada</v>
      </c>
      <c r="D42" s="13">
        <f ca="1">Plan_Mantenciones!I135</f>
        <v>46251</v>
      </c>
      <c r="E42">
        <f>Plan_Mantenciones!H135</f>
        <v>69</v>
      </c>
      <c r="F42" t="str">
        <f>Plan_Mantenciones!J135</f>
        <v>Operativo</v>
      </c>
      <c r="G42" t="str">
        <f>IF(AND(ISNUMBER(E42),E42&gt;=0,E42&lt;=90),"Sí","No")</f>
        <v>Sí</v>
      </c>
    </row>
    <row r="43" spans="1:7">
      <c r="A43" t="str">
        <f>Plan_Mantenciones!A69</f>
        <v>ED-61</v>
      </c>
      <c r="B43" t="str">
        <f>Plan_Mantenciones!B69</f>
        <v>Gravilladora</v>
      </c>
      <c r="C43" t="str">
        <f>Plan_Mantenciones!C69</f>
        <v>Maquinaria Pesada</v>
      </c>
      <c r="D43" s="13">
        <f ca="1">Plan_Mantenciones!I69</f>
        <v>46251</v>
      </c>
      <c r="E43">
        <f>Plan_Mantenciones!H69</f>
        <v>69</v>
      </c>
      <c r="F43" t="str">
        <f>Plan_Mantenciones!J69</f>
        <v>Operativo</v>
      </c>
      <c r="G43" t="str">
        <f>IF(AND(ISNUMBER(E43),E43&gt;=0,E43&lt;=90),"Sí","No")</f>
        <v>Sí</v>
      </c>
    </row>
    <row r="44" spans="1:7">
      <c r="A44" t="str">
        <f>Plan_Mantenciones!A234</f>
        <v>VD-95</v>
      </c>
      <c r="B44" t="str">
        <f>Plan_Mantenciones!B234</f>
        <v>Camioneta</v>
      </c>
      <c r="C44" t="str">
        <f>Plan_Mantenciones!C234</f>
        <v>Vehículos Livianos</v>
      </c>
      <c r="D44" s="13">
        <f ca="1">Plan_Mantenciones!I234</f>
        <v>46317</v>
      </c>
      <c r="E44">
        <f>Plan_Mantenciones!H234</f>
        <v>135</v>
      </c>
      <c r="F44" t="str">
        <f>Plan_Mantenciones!J234</f>
        <v>Operativo</v>
      </c>
      <c r="G44" t="str">
        <f>IF(AND(ISNUMBER(E44),E44&gt;=0,E44&lt;=90),"Sí","No")</f>
        <v>No</v>
      </c>
    </row>
    <row r="45" spans="1:7">
      <c r="A45" t="str">
        <f>Plan_Mantenciones!A169</f>
        <v>VD-116</v>
      </c>
      <c r="B45" t="str">
        <f>Plan_Mantenciones!B169</f>
        <v>Furgon</v>
      </c>
      <c r="C45" t="str">
        <f>Plan_Mantenciones!C169</f>
        <v>Vehículos Livianos</v>
      </c>
      <c r="D45" s="13">
        <f ca="1">Plan_Mantenciones!I169</f>
        <v>46254</v>
      </c>
      <c r="E45">
        <f>Plan_Mantenciones!H169</f>
        <v>72</v>
      </c>
      <c r="F45" t="str">
        <f>Plan_Mantenciones!J169</f>
        <v>Operativo</v>
      </c>
      <c r="G45" t="str">
        <f>IF(AND(ISNUMBER(E45),E45&gt;=0,E45&lt;=90),"Sí","No")</f>
        <v>Sí</v>
      </c>
    </row>
    <row r="46" spans="1:7">
      <c r="A46" t="str">
        <f>Plan_Mantenciones!A148</f>
        <v>MD-94</v>
      </c>
      <c r="B46" t="str">
        <f>Plan_Mantenciones!B148</f>
        <v>Retroexcavadora</v>
      </c>
      <c r="C46" t="str">
        <f>Plan_Mantenciones!C148</f>
        <v>Maquinaria Pesada</v>
      </c>
      <c r="D46" s="13">
        <f ca="1">Plan_Mantenciones!I148</f>
        <v>46256</v>
      </c>
      <c r="E46">
        <f>Plan_Mantenciones!H148</f>
        <v>74</v>
      </c>
      <c r="F46" t="str">
        <f>Plan_Mantenciones!J148</f>
        <v>Operativo</v>
      </c>
      <c r="G46" t="str">
        <f>IF(AND(ISNUMBER(E46),E46&gt;=0,E46&lt;=90),"Sí","No")</f>
        <v>Sí</v>
      </c>
    </row>
    <row r="47" spans="1:7">
      <c r="A47" t="str">
        <f>Plan_Mantenciones!A131</f>
        <v>MD-76</v>
      </c>
      <c r="B47" t="str">
        <f>Plan_Mantenciones!B131</f>
        <v>Retroexcavadora</v>
      </c>
      <c r="C47" t="str">
        <f>Plan_Mantenciones!C131</f>
        <v>Maquinaria Pesada</v>
      </c>
      <c r="D47" s="13">
        <f ca="1">Plan_Mantenciones!I131</f>
        <v>46256</v>
      </c>
      <c r="E47">
        <f>Plan_Mantenciones!H131</f>
        <v>74</v>
      </c>
      <c r="F47" t="str">
        <f>Plan_Mantenciones!J131</f>
        <v>Operativo</v>
      </c>
      <c r="G47" t="str">
        <f>IF(AND(ISNUMBER(E47),E47&gt;=0,E47&lt;=90),"Sí","No")</f>
        <v>Sí</v>
      </c>
    </row>
    <row r="48" spans="1:7">
      <c r="A48" t="str">
        <f>Plan_Mantenciones!A87</f>
        <v>MD-102</v>
      </c>
      <c r="B48" t="str">
        <f>Plan_Mantenciones!B87</f>
        <v>Rodillo</v>
      </c>
      <c r="C48" t="str">
        <f>Plan_Mantenciones!C87</f>
        <v>Maquinaria Pesada</v>
      </c>
      <c r="D48" s="13">
        <f ca="1">Plan_Mantenciones!I87</f>
        <v>46260</v>
      </c>
      <c r="E48">
        <f>Plan_Mantenciones!H87</f>
        <v>78</v>
      </c>
      <c r="F48" t="str">
        <f>Plan_Mantenciones!J87</f>
        <v>Operativo</v>
      </c>
      <c r="G48" t="str">
        <f>IF(AND(ISNUMBER(E48),E48&gt;=0,E48&lt;=90),"Sí","No")</f>
        <v>Sí</v>
      </c>
    </row>
    <row r="49" spans="1:7">
      <c r="A49" t="str">
        <f>Plan_Mantenciones!A172</f>
        <v>VD-119</v>
      </c>
      <c r="B49" t="str">
        <f>Plan_Mantenciones!B172</f>
        <v>Furgon</v>
      </c>
      <c r="C49" t="str">
        <f>Plan_Mantenciones!C172</f>
        <v>Vehículos Livianos</v>
      </c>
      <c r="D49" s="13">
        <f ca="1">Plan_Mantenciones!I172</f>
        <v>46261</v>
      </c>
      <c r="E49">
        <f>Plan_Mantenciones!H172</f>
        <v>79</v>
      </c>
      <c r="F49" t="str">
        <f>Plan_Mantenciones!J172</f>
        <v>Operativo</v>
      </c>
      <c r="G49" t="str">
        <f>IF(AND(ISNUMBER(E49),E49&gt;=0,E49&lt;=90),"Sí","No")</f>
        <v>Sí</v>
      </c>
    </row>
    <row r="50" spans="1:7">
      <c r="A50" t="str">
        <f>Plan_Mantenciones!A161</f>
        <v>VD-108</v>
      </c>
      <c r="B50" t="str">
        <f>Plan_Mantenciones!B161</f>
        <v>Camioneta</v>
      </c>
      <c r="C50" t="str">
        <f>Plan_Mantenciones!C161</f>
        <v>Vehículos Livianos</v>
      </c>
      <c r="D50" s="13">
        <f ca="1">Plan_Mantenciones!I161</f>
        <v>46261</v>
      </c>
      <c r="E50">
        <f>Plan_Mantenciones!H161</f>
        <v>79</v>
      </c>
      <c r="F50" t="str">
        <f>Plan_Mantenciones!J161</f>
        <v>Taller</v>
      </c>
      <c r="G50" t="str">
        <f>IF(AND(ISNUMBER(E50),E50&gt;=0,E50&lt;=90),"Sí","No")</f>
        <v>Sí</v>
      </c>
    </row>
    <row r="51" spans="1:7">
      <c r="A51" t="str">
        <f>Plan_Mantenciones!A128</f>
        <v>MD-73</v>
      </c>
      <c r="B51" t="str">
        <f>Plan_Mantenciones!B128</f>
        <v>Motoniveladora</v>
      </c>
      <c r="C51" t="str">
        <f>Plan_Mantenciones!C128</f>
        <v>Maquinaria Pesada</v>
      </c>
      <c r="D51" s="13">
        <f ca="1">Plan_Mantenciones!I128</f>
        <v>46262</v>
      </c>
      <c r="E51">
        <f>Plan_Mantenciones!H128</f>
        <v>80</v>
      </c>
      <c r="F51" t="str">
        <f>Plan_Mantenciones!J128</f>
        <v>Operativo</v>
      </c>
      <c r="G51" t="str">
        <f>IF(AND(ISNUMBER(E51),E51&gt;=0,E51&lt;=90),"Sí","No")</f>
        <v>Sí</v>
      </c>
    </row>
    <row r="52" spans="1:7">
      <c r="A52" t="str">
        <f>Plan_Mantenciones!A230</f>
        <v>VD-91</v>
      </c>
      <c r="B52" t="str">
        <f>Plan_Mantenciones!B230</f>
        <v>Camioneta</v>
      </c>
      <c r="C52" t="str">
        <f>Plan_Mantenciones!C230</f>
        <v>Vehículos Livianos</v>
      </c>
      <c r="D52" s="13">
        <f ca="1">Plan_Mantenciones!I230</f>
        <v>46262</v>
      </c>
      <c r="E52">
        <f>Plan_Mantenciones!H230</f>
        <v>80</v>
      </c>
      <c r="F52" t="str">
        <f>Plan_Mantenciones!J230</f>
        <v>Operativo</v>
      </c>
      <c r="G52" t="str">
        <f>IF(AND(ISNUMBER(E52),E52&gt;=0,E52&lt;=90),"Sí","No")</f>
        <v>Sí</v>
      </c>
    </row>
    <row r="53" spans="1:7">
      <c r="A53" t="str">
        <f>Plan_Mantenciones!A156</f>
        <v>VD-102</v>
      </c>
      <c r="B53" t="str">
        <f>Plan_Mantenciones!B156</f>
        <v>Camioneta</v>
      </c>
      <c r="C53" t="str">
        <f>Plan_Mantenciones!C156</f>
        <v>Vehículos Livianos</v>
      </c>
      <c r="D53" s="13">
        <f ca="1">Plan_Mantenciones!I156</f>
        <v>46264</v>
      </c>
      <c r="E53">
        <f>Plan_Mantenciones!H156</f>
        <v>82</v>
      </c>
      <c r="F53" t="str">
        <f>Plan_Mantenciones!J156</f>
        <v>Taller</v>
      </c>
      <c r="G53" t="str">
        <f>IF(AND(ISNUMBER(E53),E53&gt;=0,E53&lt;=90),"Sí","No")</f>
        <v>Sí</v>
      </c>
    </row>
    <row r="54" spans="1:7">
      <c r="A54" t="str">
        <f>Plan_Mantenciones!A180</f>
        <v>VD-127</v>
      </c>
      <c r="B54" t="str">
        <f>Plan_Mantenciones!B180</f>
        <v>Camioneta</v>
      </c>
      <c r="C54" t="str">
        <f>Plan_Mantenciones!C180</f>
        <v>Vehículos Livianos</v>
      </c>
      <c r="D54" s="13">
        <f ca="1">Plan_Mantenciones!I180</f>
        <v>46266</v>
      </c>
      <c r="E54">
        <f>Plan_Mantenciones!H180</f>
        <v>84</v>
      </c>
      <c r="F54" t="str">
        <f>Plan_Mantenciones!J180</f>
        <v>Operativo</v>
      </c>
      <c r="G54" t="str">
        <f>IF(AND(ISNUMBER(E54),E54&gt;=0,E54&lt;=90),"Sí","No")</f>
        <v>Sí</v>
      </c>
    </row>
    <row r="55" spans="1:7">
      <c r="A55" t="str">
        <f>Plan_Mantenciones!A150</f>
        <v>MD-96</v>
      </c>
      <c r="B55" t="str">
        <f>Plan_Mantenciones!B150</f>
        <v>Retroexcavadora</v>
      </c>
      <c r="C55" t="str">
        <f>Plan_Mantenciones!C150</f>
        <v>Maquinaria Pesada</v>
      </c>
      <c r="D55" s="13">
        <f ca="1">Plan_Mantenciones!I150</f>
        <v>46266</v>
      </c>
      <c r="E55">
        <f>Plan_Mantenciones!H150</f>
        <v>84</v>
      </c>
      <c r="F55" t="str">
        <f>Plan_Mantenciones!J150</f>
        <v>Operativo</v>
      </c>
      <c r="G55" t="str">
        <f>IF(AND(ISNUMBER(E55),E55&gt;=0,E55&lt;=90),"Sí","No")</f>
        <v>Sí</v>
      </c>
    </row>
    <row r="56" spans="1:7">
      <c r="A56" t="str">
        <f>Plan_Mantenciones!A56</f>
        <v>CD-88</v>
      </c>
      <c r="B56" t="str">
        <f>Plan_Mantenciones!B56</f>
        <v>Camión Tolva</v>
      </c>
      <c r="C56" t="str">
        <f>Plan_Mantenciones!C56</f>
        <v>Camiones de Ruta</v>
      </c>
      <c r="D56" s="13">
        <f ca="1">Plan_Mantenciones!I56</f>
        <v>46268</v>
      </c>
      <c r="E56">
        <f>Plan_Mantenciones!H56</f>
        <v>86</v>
      </c>
      <c r="F56" t="str">
        <f>Plan_Mantenciones!J56</f>
        <v>Operativo</v>
      </c>
      <c r="G56" t="str">
        <f>IF(AND(ISNUMBER(E56),E56&gt;=0,E56&lt;=90),"Sí","No")</f>
        <v>Sí</v>
      </c>
    </row>
    <row r="57" spans="1:7">
      <c r="A57" t="str">
        <f>Plan_Mantenciones!A86</f>
        <v>MD-101</v>
      </c>
      <c r="B57" t="str">
        <f>Plan_Mantenciones!B86</f>
        <v>Motoniveladora</v>
      </c>
      <c r="C57" t="str">
        <f>Plan_Mantenciones!C86</f>
        <v>Maquinaria Pesada</v>
      </c>
      <c r="D57" s="13">
        <f ca="1">Plan_Mantenciones!I86</f>
        <v>46269</v>
      </c>
      <c r="E57">
        <f>Plan_Mantenciones!H86</f>
        <v>87</v>
      </c>
      <c r="F57" t="str">
        <f>Plan_Mantenciones!J86</f>
        <v>Operativo</v>
      </c>
      <c r="G57" t="str">
        <f>IF(AND(ISNUMBER(E57),E57&gt;=0,E57&lt;=90),"Sí","No")</f>
        <v>Sí</v>
      </c>
    </row>
    <row r="58" spans="1:7">
      <c r="A58" t="str">
        <f>Plan_Mantenciones!A227</f>
        <v>VD-88</v>
      </c>
      <c r="B58" t="str">
        <f>Plan_Mantenciones!B227</f>
        <v>Camioneta</v>
      </c>
      <c r="C58" t="str">
        <f>Plan_Mantenciones!C227</f>
        <v>Vehículos Livianos</v>
      </c>
      <c r="D58" s="13">
        <f ca="1">Plan_Mantenciones!I227</f>
        <v>46269</v>
      </c>
      <c r="E58">
        <f>Plan_Mantenciones!H227</f>
        <v>87</v>
      </c>
      <c r="F58" t="str">
        <f>Plan_Mantenciones!J227</f>
        <v>Operativo</v>
      </c>
      <c r="G58" t="str">
        <f>IF(AND(ISNUMBER(E58),E58&gt;=0,E58&lt;=90),"Sí","No")</f>
        <v>Sí</v>
      </c>
    </row>
    <row r="59" spans="1:7">
      <c r="A59" t="str">
        <f>Plan_Mantenciones!A149</f>
        <v>MD-95</v>
      </c>
      <c r="B59" t="str">
        <f>Plan_Mantenciones!B149</f>
        <v>Retroexcavadora</v>
      </c>
      <c r="C59" t="str">
        <f>Plan_Mantenciones!C149</f>
        <v>Maquinaria Pesada</v>
      </c>
      <c r="D59" s="13">
        <f ca="1">Plan_Mantenciones!I149</f>
        <v>46270</v>
      </c>
      <c r="E59">
        <f>Plan_Mantenciones!H149</f>
        <v>88</v>
      </c>
      <c r="F59" t="str">
        <f>Plan_Mantenciones!J149</f>
        <v>Operativo</v>
      </c>
      <c r="G59" t="str">
        <f>IF(AND(ISNUMBER(E59),E59&gt;=0,E59&lt;=90),"Sí","No")</f>
        <v>Sí</v>
      </c>
    </row>
    <row r="60" spans="1:7">
      <c r="A60" t="str">
        <f>Plan_Mantenciones!A162</f>
        <v>VD-109</v>
      </c>
      <c r="B60" t="str">
        <f>Plan_Mantenciones!B162</f>
        <v>Camioneta</v>
      </c>
      <c r="C60" t="str">
        <f>Plan_Mantenciones!C162</f>
        <v>Vehículos Livianos</v>
      </c>
      <c r="D60" s="13">
        <f ca="1">Plan_Mantenciones!I162</f>
        <v>46271</v>
      </c>
      <c r="E60">
        <f>Plan_Mantenciones!H162</f>
        <v>89</v>
      </c>
      <c r="F60" t="str">
        <f>Plan_Mantenciones!J162</f>
        <v>Operativo</v>
      </c>
      <c r="G60" t="str">
        <f>IF(AND(ISNUMBER(E60),E60&gt;=0,E60&lt;=90),"Sí","No")</f>
        <v>Sí</v>
      </c>
    </row>
    <row r="61" spans="1:7">
      <c r="A61" t="str">
        <f>Plan_Mantenciones!A229</f>
        <v>VD-90</v>
      </c>
      <c r="B61" t="str">
        <f>Plan_Mantenciones!B229</f>
        <v>Camioneta</v>
      </c>
      <c r="C61" t="str">
        <f>Plan_Mantenciones!C229</f>
        <v>Vehículos Livianos</v>
      </c>
      <c r="D61" s="13">
        <f ca="1">Plan_Mantenciones!I229</f>
        <v>46271</v>
      </c>
      <c r="E61">
        <f>Plan_Mantenciones!H229</f>
        <v>89</v>
      </c>
      <c r="F61" t="str">
        <f>Plan_Mantenciones!J229</f>
        <v>Operativo</v>
      </c>
      <c r="G61" t="str">
        <f>IF(AND(ISNUMBER(E61),E61&gt;=0,E61&lt;=90),"Sí","No")</f>
        <v>Sí</v>
      </c>
    </row>
    <row r="62" spans="1:7">
      <c r="A62" t="str">
        <f>Plan_Mantenciones!A137</f>
        <v>MD-82</v>
      </c>
      <c r="B62" t="str">
        <f>Plan_Mantenciones!B137</f>
        <v>Excavadora</v>
      </c>
      <c r="C62" t="str">
        <f>Plan_Mantenciones!C137</f>
        <v>Maquinaria Pesada</v>
      </c>
      <c r="D62" s="13">
        <f ca="1">Plan_Mantenciones!I137</f>
        <v>46273</v>
      </c>
      <c r="E62">
        <f>Plan_Mantenciones!H137</f>
        <v>91</v>
      </c>
      <c r="F62" t="str">
        <f>Plan_Mantenciones!J137</f>
        <v>Operativo</v>
      </c>
      <c r="G62" t="str">
        <f>IF(AND(ISNUMBER(E62),E62&gt;=0,E62&lt;=90),"Sí","No")</f>
        <v>No</v>
      </c>
    </row>
    <row r="63" spans="1:7">
      <c r="A63" t="str">
        <f>Plan_Mantenciones!A143</f>
        <v>MD-89</v>
      </c>
      <c r="B63" t="str">
        <f>Plan_Mantenciones!B143</f>
        <v>Motoniveladora</v>
      </c>
      <c r="C63" t="str">
        <f>Plan_Mantenciones!C143</f>
        <v>Maquinaria Pesada</v>
      </c>
      <c r="D63" s="13">
        <f ca="1">Plan_Mantenciones!I143</f>
        <v>46275</v>
      </c>
      <c r="E63">
        <f>Plan_Mantenciones!H143</f>
        <v>93</v>
      </c>
      <c r="F63" t="str">
        <f>Plan_Mantenciones!J143</f>
        <v>Operativo</v>
      </c>
      <c r="G63" t="str">
        <f>IF(AND(ISNUMBER(E63),E63&gt;=0,E63&lt;=90),"Sí","No")</f>
        <v>No</v>
      </c>
    </row>
    <row r="64" spans="1:7">
      <c r="A64" t="str">
        <f>Plan_Mantenciones!A94</f>
        <v>MD-110</v>
      </c>
      <c r="B64" t="str">
        <f>Plan_Mantenciones!B94</f>
        <v>Motoniveladora</v>
      </c>
      <c r="C64" t="str">
        <f>Plan_Mantenciones!C94</f>
        <v>Maquinaria Pesada</v>
      </c>
      <c r="D64" s="13">
        <f ca="1">Plan_Mantenciones!I94</f>
        <v>46246</v>
      </c>
      <c r="E64">
        <f>Plan_Mantenciones!H94</f>
        <v>64</v>
      </c>
      <c r="F64" t="str">
        <f>Plan_Mantenciones!J94</f>
        <v>Operativo</v>
      </c>
      <c r="G64" t="str">
        <f>IF(AND(ISNUMBER(E64),E64&gt;=0,E64&lt;=90),"Sí","No")</f>
        <v>Sí</v>
      </c>
    </row>
    <row r="65" spans="1:7">
      <c r="A65" t="str">
        <f>Plan_Mantenciones!A189</f>
        <v>VD-136</v>
      </c>
      <c r="B65" t="str">
        <f>Plan_Mantenciones!B189</f>
        <v>Camioneta</v>
      </c>
      <c r="C65" t="str">
        <f>Plan_Mantenciones!C189</f>
        <v>Vehículos Livianos</v>
      </c>
      <c r="D65" s="13">
        <f ca="1">Plan_Mantenciones!I189</f>
        <v>46361</v>
      </c>
      <c r="E65">
        <f>Plan_Mantenciones!H189</f>
        <v>179</v>
      </c>
      <c r="F65" t="str">
        <f>Plan_Mantenciones!J189</f>
        <v>Operativo</v>
      </c>
      <c r="G65" t="str">
        <f>IF(AND(ISNUMBER(E65),E65&gt;=0,E65&lt;=90),"Sí","No")</f>
        <v>No</v>
      </c>
    </row>
    <row r="66" spans="1:7">
      <c r="A66" t="str">
        <f>Plan_Mantenciones!A5</f>
        <v>CD-102</v>
      </c>
      <c r="B66" t="str">
        <f>Plan_Mantenciones!B5</f>
        <v>Camión Tolva</v>
      </c>
      <c r="C66" t="str">
        <f>Plan_Mantenciones!C5</f>
        <v>Camiones de Ruta</v>
      </c>
      <c r="D66" s="13">
        <f ca="1">Plan_Mantenciones!I5</f>
        <v>46281</v>
      </c>
      <c r="E66">
        <f>Plan_Mantenciones!H5</f>
        <v>99</v>
      </c>
      <c r="F66" t="str">
        <f>Plan_Mantenciones!J5</f>
        <v>Operativo</v>
      </c>
      <c r="G66" t="str">
        <f>IF(AND(ISNUMBER(E66),E66&gt;=0,E66&lt;=90),"Sí","No")</f>
        <v>No</v>
      </c>
    </row>
    <row r="67" spans="1:7">
      <c r="A67" t="str">
        <f>Plan_Mantenciones!A177</f>
        <v>VD-124</v>
      </c>
      <c r="B67" t="str">
        <f>Plan_Mantenciones!B177</f>
        <v>Furgon</v>
      </c>
      <c r="C67" t="str">
        <f>Plan_Mantenciones!C177</f>
        <v>Vehículos Livianos</v>
      </c>
      <c r="D67" s="13">
        <f ca="1">Plan_Mantenciones!I177</f>
        <v>46283</v>
      </c>
      <c r="E67">
        <f>Plan_Mantenciones!H177</f>
        <v>101</v>
      </c>
      <c r="F67" t="str">
        <f>Plan_Mantenciones!J177</f>
        <v>Operativo</v>
      </c>
      <c r="G67" t="str">
        <f>IF(AND(ISNUMBER(E67),E67&gt;=0,E67&lt;=90),"Sí","No")</f>
        <v>No</v>
      </c>
    </row>
    <row r="68" spans="1:7">
      <c r="A68" t="str">
        <f>Plan_Mantenciones!A171</f>
        <v>VD-118</v>
      </c>
      <c r="B68" t="str">
        <f>Plan_Mantenciones!B171</f>
        <v>Furgon</v>
      </c>
      <c r="C68" t="str">
        <f>Plan_Mantenciones!C171</f>
        <v>Vehículos Livianos</v>
      </c>
      <c r="D68" s="13">
        <f ca="1">Plan_Mantenciones!I171</f>
        <v>46283</v>
      </c>
      <c r="E68">
        <f>Plan_Mantenciones!H171</f>
        <v>101</v>
      </c>
      <c r="F68" t="str">
        <f>Plan_Mantenciones!J171</f>
        <v>Operativo</v>
      </c>
      <c r="G68" t="str">
        <f>IF(AND(ISNUMBER(E68),E68&gt;=0,E68&lt;=90),"Sí","No")</f>
        <v>No</v>
      </c>
    </row>
    <row r="69" spans="1:7">
      <c r="A69" t="str">
        <f>Plan_Mantenciones!A181</f>
        <v>VD-128</v>
      </c>
      <c r="B69" t="str">
        <f>Plan_Mantenciones!B181</f>
        <v>Camioneta</v>
      </c>
      <c r="C69" t="str">
        <f>Plan_Mantenciones!C181</f>
        <v>Vehículos Livianos</v>
      </c>
      <c r="D69" s="13">
        <f ca="1">Plan_Mantenciones!I181</f>
        <v>46285</v>
      </c>
      <c r="E69">
        <f>Plan_Mantenciones!H181</f>
        <v>103</v>
      </c>
      <c r="F69" t="str">
        <f>Plan_Mantenciones!J181</f>
        <v>Operativo</v>
      </c>
      <c r="G69" t="str">
        <f>IF(AND(ISNUMBER(E69),E69&gt;=0,E69&lt;=90),"Sí","No")</f>
        <v>No</v>
      </c>
    </row>
    <row r="70" spans="1:7">
      <c r="A70" t="str">
        <f>Plan_Mantenciones!A139</f>
        <v>MD-84</v>
      </c>
      <c r="B70" t="str">
        <f>Plan_Mantenciones!B139</f>
        <v>Excavadora</v>
      </c>
      <c r="C70" t="str">
        <f>Plan_Mantenciones!C139</f>
        <v>Maquinaria Pesada</v>
      </c>
      <c r="D70" s="13">
        <f ca="1">Plan_Mantenciones!I139</f>
        <v>46287</v>
      </c>
      <c r="E70">
        <f>Plan_Mantenciones!H139</f>
        <v>105</v>
      </c>
      <c r="F70" t="str">
        <f>Plan_Mantenciones!J139</f>
        <v>Operativo</v>
      </c>
      <c r="G70" t="str">
        <f>IF(AND(ISNUMBER(E70),E70&gt;=0,E70&lt;=90),"Sí","No")</f>
        <v>No</v>
      </c>
    </row>
    <row r="71" spans="1:7">
      <c r="A71" t="str">
        <f>Plan_Mantenciones!A73</f>
        <v>ED-73</v>
      </c>
      <c r="B71" t="str">
        <f>Plan_Mantenciones!B73</f>
        <v>Gravilladora</v>
      </c>
      <c r="C71" t="str">
        <f>Plan_Mantenciones!C73</f>
        <v>Maquinaria Pesada</v>
      </c>
      <c r="D71" s="13">
        <f ca="1">Plan_Mantenciones!I73</f>
        <v>46289</v>
      </c>
      <c r="E71">
        <f>Plan_Mantenciones!H73</f>
        <v>107</v>
      </c>
      <c r="F71" t="str">
        <f>Plan_Mantenciones!J73</f>
        <v>Taller</v>
      </c>
      <c r="G71" t="str">
        <f>IF(AND(ISNUMBER(E71),E71&gt;=0,E71&lt;=90),"Sí","No")</f>
        <v>No</v>
      </c>
    </row>
    <row r="72" spans="1:7">
      <c r="A72" t="str">
        <f>Plan_Mantenciones!A25</f>
        <v>CD-122</v>
      </c>
      <c r="B72" t="str">
        <f>Plan_Mantenciones!B25</f>
        <v>Camión Tolva</v>
      </c>
      <c r="C72" t="str">
        <f>Plan_Mantenciones!C25</f>
        <v>Camiones de Ruta</v>
      </c>
      <c r="D72" s="13">
        <f ca="1">Plan_Mantenciones!I25</f>
        <v>46290</v>
      </c>
      <c r="E72">
        <f>Plan_Mantenciones!H25</f>
        <v>108</v>
      </c>
      <c r="F72" t="str">
        <f>Plan_Mantenciones!J25</f>
        <v>Operativo</v>
      </c>
      <c r="G72" t="str">
        <f>IF(AND(ISNUMBER(E72),E72&gt;=0,E72&lt;=90),"Sí","No")</f>
        <v>No</v>
      </c>
    </row>
    <row r="73" spans="1:7">
      <c r="A73" t="str">
        <f>Plan_Mantenciones!A231</f>
        <v>VD-92</v>
      </c>
      <c r="B73" t="str">
        <f>Plan_Mantenciones!B231</f>
        <v>Camioneta</v>
      </c>
      <c r="C73" t="str">
        <f>Plan_Mantenciones!C231</f>
        <v>Vehículos Livianos</v>
      </c>
      <c r="D73" s="13">
        <f ca="1">Plan_Mantenciones!I231</f>
        <v>46291</v>
      </c>
      <c r="E73">
        <f>Plan_Mantenciones!H231</f>
        <v>109</v>
      </c>
      <c r="F73" t="str">
        <f>Plan_Mantenciones!J231</f>
        <v>Operativo</v>
      </c>
      <c r="G73" t="str">
        <f>IF(AND(ISNUMBER(E73),E73&gt;=0,E73&lt;=90),"Sí","No")</f>
        <v>No</v>
      </c>
    </row>
    <row r="74" spans="1:7">
      <c r="A74" t="str">
        <f>Plan_Mantenciones!A167</f>
        <v>VD-114</v>
      </c>
      <c r="B74" t="str">
        <f>Plan_Mantenciones!B167</f>
        <v>Camioneta</v>
      </c>
      <c r="C74" t="str">
        <f>Plan_Mantenciones!C167</f>
        <v>Vehículos Livianos</v>
      </c>
      <c r="D74" s="13">
        <f ca="1">Plan_Mantenciones!I167</f>
        <v>46291</v>
      </c>
      <c r="E74">
        <f>Plan_Mantenciones!H167</f>
        <v>109</v>
      </c>
      <c r="F74" t="str">
        <f>Plan_Mantenciones!J167</f>
        <v>Operativo</v>
      </c>
      <c r="G74" t="str">
        <f>IF(AND(ISNUMBER(E74),E74&gt;=0,E74&lt;=90),"Sí","No")</f>
        <v>No</v>
      </c>
    </row>
    <row r="75" spans="1:7">
      <c r="A75" t="str">
        <f>Plan_Mantenciones!A147</f>
        <v>MD-93</v>
      </c>
      <c r="B75" t="str">
        <f>Plan_Mantenciones!B147</f>
        <v>Retroexcavadora</v>
      </c>
      <c r="C75" t="str">
        <f>Plan_Mantenciones!C147</f>
        <v>Maquinaria Pesada</v>
      </c>
      <c r="D75" s="13">
        <f ca="1">Plan_Mantenciones!I147</f>
        <v>46291</v>
      </c>
      <c r="E75">
        <f>Plan_Mantenciones!H147</f>
        <v>109</v>
      </c>
      <c r="F75" t="str">
        <f>Plan_Mantenciones!J147</f>
        <v>Operativo</v>
      </c>
      <c r="G75" t="str">
        <f>IF(AND(ISNUMBER(E75),E75&gt;=0,E75&lt;=90),"Sí","No")</f>
        <v>No</v>
      </c>
    </row>
    <row r="76" spans="1:7">
      <c r="A76" t="str">
        <f>Plan_Mantenciones!A165</f>
        <v>VD-112</v>
      </c>
      <c r="B76" t="str">
        <f>Plan_Mantenciones!B165</f>
        <v>Camioneta</v>
      </c>
      <c r="C76" t="str">
        <f>Plan_Mantenciones!C165</f>
        <v>Vehículos Livianos</v>
      </c>
      <c r="D76" s="13">
        <f ca="1">Plan_Mantenciones!I165</f>
        <v>46293</v>
      </c>
      <c r="E76">
        <f>Plan_Mantenciones!H165</f>
        <v>111</v>
      </c>
      <c r="F76" t="str">
        <f>Plan_Mantenciones!J165</f>
        <v>Operativo</v>
      </c>
      <c r="G76" t="str">
        <f>IF(AND(ISNUMBER(E76),E76&gt;=0,E76&lt;=90),"Sí","No")</f>
        <v>No</v>
      </c>
    </row>
    <row r="77" spans="1:7">
      <c r="A77" t="str">
        <f>Plan_Mantenciones!A202</f>
        <v>VD-60</v>
      </c>
      <c r="B77" t="str">
        <f>Plan_Mantenciones!B202</f>
        <v>Camioneta</v>
      </c>
      <c r="C77" t="str">
        <f>Plan_Mantenciones!C202</f>
        <v>Vehículos Livianos</v>
      </c>
      <c r="D77" s="13">
        <f ca="1">Plan_Mantenciones!I202</f>
        <v>46294</v>
      </c>
      <c r="E77">
        <f>Plan_Mantenciones!H202</f>
        <v>112</v>
      </c>
      <c r="F77" t="str">
        <f>Plan_Mantenciones!J202</f>
        <v>Operativo</v>
      </c>
      <c r="G77" t="str">
        <f>IF(AND(ISNUMBER(E77),E77&gt;=0,E77&lt;=90),"Sí","No")</f>
        <v>No</v>
      </c>
    </row>
    <row r="78" spans="1:7">
      <c r="A78" t="str">
        <f>Plan_Mantenciones!A170</f>
        <v>VD-117</v>
      </c>
      <c r="B78" t="str">
        <f>Plan_Mantenciones!B170</f>
        <v>Furgon</v>
      </c>
      <c r="C78" t="str">
        <f>Plan_Mantenciones!C170</f>
        <v>Vehículos Livianos</v>
      </c>
      <c r="D78" s="13">
        <f ca="1">Plan_Mantenciones!I170</f>
        <v>46295</v>
      </c>
      <c r="E78">
        <f>Plan_Mantenciones!H170</f>
        <v>113</v>
      </c>
      <c r="F78" t="str">
        <f>Plan_Mantenciones!J170</f>
        <v>Operativo</v>
      </c>
      <c r="G78" t="str">
        <f>IF(AND(ISNUMBER(E78),E78&gt;=0,E78&lt;=90),"Sí","No")</f>
        <v>No</v>
      </c>
    </row>
    <row r="79" spans="1:7">
      <c r="A79" t="str">
        <f>Plan_Mantenciones!A182</f>
        <v>VD-129</v>
      </c>
      <c r="B79" t="str">
        <f>Plan_Mantenciones!B182</f>
        <v>Camioneta</v>
      </c>
      <c r="C79" t="str">
        <f>Plan_Mantenciones!C182</f>
        <v>Vehículos Livianos</v>
      </c>
      <c r="D79" s="13">
        <f ca="1">Plan_Mantenciones!I182</f>
        <v>46307</v>
      </c>
      <c r="E79">
        <f>Plan_Mantenciones!H182</f>
        <v>125</v>
      </c>
      <c r="F79" t="str">
        <f>Plan_Mantenciones!J182</f>
        <v>Operativo</v>
      </c>
      <c r="G79" t="str">
        <f>IF(AND(ISNUMBER(E79),E79&gt;=0,E79&lt;=90),"Sí","No")</f>
        <v>No</v>
      </c>
    </row>
    <row r="80" spans="1:7">
      <c r="A80" t="str">
        <f>Plan_Mantenciones!A123</f>
        <v>MD-67</v>
      </c>
      <c r="B80" t="str">
        <f>Plan_Mantenciones!B123</f>
        <v>Rodillo</v>
      </c>
      <c r="C80" t="str">
        <f>Plan_Mantenciones!C123</f>
        <v>Maquinaria Pesada</v>
      </c>
      <c r="D80" s="13">
        <f ca="1">Plan_Mantenciones!I123</f>
        <v>46311</v>
      </c>
      <c r="E80">
        <f>Plan_Mantenciones!H123</f>
        <v>129</v>
      </c>
      <c r="F80" t="str">
        <f>Plan_Mantenciones!J123</f>
        <v>Operativo</v>
      </c>
      <c r="G80" t="str">
        <f>IF(AND(ISNUMBER(E80),E80&gt;=0,E80&lt;=90),"Sí","No")</f>
        <v>No</v>
      </c>
    </row>
    <row r="81" spans="1:7">
      <c r="A81" t="str">
        <f>Plan_Mantenciones!A185</f>
        <v>VD-132</v>
      </c>
      <c r="B81" t="str">
        <f>Plan_Mantenciones!B185</f>
        <v>Camioneta</v>
      </c>
      <c r="C81" t="str">
        <f>Plan_Mantenciones!C185</f>
        <v>Vehículos Livianos</v>
      </c>
      <c r="D81" s="13">
        <f ca="1">Plan_Mantenciones!I185</f>
        <v>46314</v>
      </c>
      <c r="E81">
        <f>Plan_Mantenciones!H185</f>
        <v>132</v>
      </c>
      <c r="F81" t="str">
        <f>Plan_Mantenciones!J185</f>
        <v>Operativo</v>
      </c>
      <c r="G81" t="str">
        <f>IF(AND(ISNUMBER(E81),E81&gt;=0,E81&lt;=90),"Sí","No")</f>
        <v>No</v>
      </c>
    </row>
    <row r="82" spans="1:7">
      <c r="A82" t="str">
        <f>Plan_Mantenciones!A10</f>
        <v>CD-107</v>
      </c>
      <c r="B82" t="str">
        <f>Plan_Mantenciones!B10</f>
        <v>Camión Tolva</v>
      </c>
      <c r="C82" t="str">
        <f>Plan_Mantenciones!C10</f>
        <v>Camiones de Ruta</v>
      </c>
      <c r="D82" s="13">
        <f ca="1">Plan_Mantenciones!I10</f>
        <v>46314</v>
      </c>
      <c r="E82">
        <f>Plan_Mantenciones!H10</f>
        <v>132</v>
      </c>
      <c r="F82" t="str">
        <f>Plan_Mantenciones!J10</f>
        <v>Operativo</v>
      </c>
      <c r="G82" t="str">
        <f>IF(AND(ISNUMBER(E82),E82&gt;=0,E82&lt;=90),"Sí","No")</f>
        <v>No</v>
      </c>
    </row>
    <row r="83" spans="1:7">
      <c r="A83" t="str">
        <f>Plan_Mantenciones!A24</f>
        <v>CD-121</v>
      </c>
      <c r="B83" t="str">
        <f>Plan_Mantenciones!B24</f>
        <v>Camión Tolva</v>
      </c>
      <c r="C83" t="str">
        <f>Plan_Mantenciones!C24</f>
        <v>Camiones de Ruta</v>
      </c>
      <c r="D83" s="13">
        <f ca="1">Plan_Mantenciones!I24</f>
        <v>46316</v>
      </c>
      <c r="E83">
        <f>Plan_Mantenciones!H24</f>
        <v>134</v>
      </c>
      <c r="F83" t="str">
        <f>Plan_Mantenciones!J24</f>
        <v>Operativo</v>
      </c>
      <c r="G83" t="str">
        <f>IF(AND(ISNUMBER(E83),E83&gt;=0,E83&lt;=90),"Sí","No")</f>
        <v>No</v>
      </c>
    </row>
    <row r="84" spans="1:7">
      <c r="A84" t="str">
        <f>Plan_Mantenciones!A226</f>
        <v>VD-87</v>
      </c>
      <c r="B84" t="str">
        <f>Plan_Mantenciones!B226</f>
        <v>Camioneta</v>
      </c>
      <c r="C84" t="str">
        <f>Plan_Mantenciones!C226</f>
        <v>Vehículos Livianos</v>
      </c>
      <c r="D84" s="13">
        <f ca="1">Plan_Mantenciones!I226</f>
        <v>46316</v>
      </c>
      <c r="E84">
        <f>Plan_Mantenciones!H226</f>
        <v>134</v>
      </c>
      <c r="F84" t="str">
        <f>Plan_Mantenciones!J226</f>
        <v>Operativo</v>
      </c>
      <c r="G84" t="str">
        <f>IF(AND(ISNUMBER(E84),E84&gt;=0,E84&lt;=90),"Sí","No")</f>
        <v>No</v>
      </c>
    </row>
    <row r="85" spans="1:7">
      <c r="A85" t="str">
        <f>Plan_Mantenciones!A179</f>
        <v>VD-126</v>
      </c>
      <c r="B85" t="str">
        <f>Plan_Mantenciones!B179</f>
        <v>Camioneta</v>
      </c>
      <c r="C85" t="str">
        <f>Plan_Mantenciones!C179</f>
        <v>Vehículos Livianos</v>
      </c>
      <c r="D85" s="13">
        <f ca="1">Plan_Mantenciones!I179</f>
        <v>46317</v>
      </c>
      <c r="E85">
        <f>Plan_Mantenciones!H179</f>
        <v>135</v>
      </c>
      <c r="F85" t="str">
        <f>Plan_Mantenciones!J179</f>
        <v>Operativo</v>
      </c>
      <c r="G85" t="str">
        <f>IF(AND(ISNUMBER(E85),E85&gt;=0,E85&lt;=90),"Sí","No")</f>
        <v>No</v>
      </c>
    </row>
    <row r="86" spans="1:7">
      <c r="A86" t="str">
        <f>Plan_Mantenciones!A109</f>
        <v>MD-49</v>
      </c>
      <c r="B86" t="str">
        <f>Plan_Mantenciones!B109</f>
        <v>Retroexcavadora</v>
      </c>
      <c r="C86" t="str">
        <f>Plan_Mantenciones!C109</f>
        <v>Maquinaria Pesada</v>
      </c>
      <c r="D86" s="13">
        <f ca="1">Plan_Mantenciones!I109</f>
        <v>46318</v>
      </c>
      <c r="E86">
        <f>Plan_Mantenciones!H109</f>
        <v>136</v>
      </c>
      <c r="F86" t="str">
        <f>Plan_Mantenciones!J109</f>
        <v>Operativo</v>
      </c>
      <c r="G86" t="str">
        <f>IF(AND(ISNUMBER(E86),E86&gt;=0,E86&lt;=90),"Sí","No")</f>
        <v>No</v>
      </c>
    </row>
    <row r="87" spans="1:7">
      <c r="A87" t="str">
        <f>Plan_Mantenciones!A217</f>
        <v>VD-78</v>
      </c>
      <c r="B87" t="str">
        <f>Plan_Mantenciones!B217</f>
        <v>Camioneta</v>
      </c>
      <c r="C87" t="str">
        <f>Plan_Mantenciones!C217</f>
        <v>Vehículos Livianos</v>
      </c>
      <c r="D87" s="13">
        <f ca="1">Plan_Mantenciones!I217</f>
        <v>46319</v>
      </c>
      <c r="E87">
        <f>Plan_Mantenciones!H217</f>
        <v>137</v>
      </c>
      <c r="F87" t="str">
        <f>Plan_Mantenciones!J217</f>
        <v>Operativo</v>
      </c>
      <c r="G87" t="str">
        <f>IF(AND(ISNUMBER(E87),E87&gt;=0,E87&lt;=90),"Sí","No")</f>
        <v>No</v>
      </c>
    </row>
    <row r="88" spans="1:7">
      <c r="A88" t="str">
        <f>Plan_Mantenciones!A184</f>
        <v>VD-131</v>
      </c>
      <c r="B88" t="str">
        <f>Plan_Mantenciones!B184</f>
        <v>Camioneta</v>
      </c>
      <c r="C88" t="str">
        <f>Plan_Mantenciones!C184</f>
        <v>Vehículos Livianos</v>
      </c>
      <c r="D88" s="13">
        <f ca="1">Plan_Mantenciones!I184</f>
        <v>46324</v>
      </c>
      <c r="E88">
        <f>Plan_Mantenciones!H184</f>
        <v>142</v>
      </c>
      <c r="F88" t="str">
        <f>Plan_Mantenciones!J184</f>
        <v>Operativo</v>
      </c>
      <c r="G88" t="str">
        <f>IF(AND(ISNUMBER(E88),E88&gt;=0,E88&lt;=90),"Sí","No")</f>
        <v>No</v>
      </c>
    </row>
    <row r="89" spans="1:7">
      <c r="A89" t="str">
        <f>Plan_Mantenciones!A142</f>
        <v>MD-88</v>
      </c>
      <c r="B89" t="str">
        <f>Plan_Mantenciones!B142</f>
        <v>Excavadora</v>
      </c>
      <c r="C89" t="str">
        <f>Plan_Mantenciones!C142</f>
        <v>Maquinaria Pesada</v>
      </c>
      <c r="D89" s="13">
        <f ca="1">Plan_Mantenciones!I142</f>
        <v>46325</v>
      </c>
      <c r="E89">
        <f>Plan_Mantenciones!H142</f>
        <v>143</v>
      </c>
      <c r="F89" t="str">
        <f>Plan_Mantenciones!J142</f>
        <v>Operativo</v>
      </c>
      <c r="G89" t="str">
        <f>IF(AND(ISNUMBER(E89),E89&gt;=0,E89&lt;=90),"Sí","No")</f>
        <v>No</v>
      </c>
    </row>
    <row r="90" spans="1:7">
      <c r="A90" t="str">
        <f>Plan_Mantenciones!A188</f>
        <v>VD-135</v>
      </c>
      <c r="B90" t="str">
        <f>Plan_Mantenciones!B188</f>
        <v>Camioneta</v>
      </c>
      <c r="C90" t="str">
        <f>Plan_Mantenciones!C188</f>
        <v>Vehículos Livianos</v>
      </c>
      <c r="D90" s="13">
        <f ca="1">Plan_Mantenciones!I188</f>
        <v>46327</v>
      </c>
      <c r="E90">
        <f>Plan_Mantenciones!H188</f>
        <v>145</v>
      </c>
      <c r="F90" t="str">
        <f>Plan_Mantenciones!J188</f>
        <v>Operativo</v>
      </c>
      <c r="G90" t="str">
        <f>IF(AND(ISNUMBER(E90),E90&gt;=0,E90&lt;=90),"Sí","No")</f>
        <v>No</v>
      </c>
    </row>
    <row r="91" spans="1:7">
      <c r="A91" t="str">
        <f>Plan_Mantenciones!A205</f>
        <v>VD-64</v>
      </c>
      <c r="B91" t="str">
        <f>Plan_Mantenciones!B205</f>
        <v>Camioneta</v>
      </c>
      <c r="C91" t="str">
        <f>Plan_Mantenciones!C205</f>
        <v>Vehículos Livianos</v>
      </c>
      <c r="D91" s="13">
        <f ca="1">Plan_Mantenciones!I205</f>
        <v>46278</v>
      </c>
      <c r="E91">
        <f>Plan_Mantenciones!H205</f>
        <v>96</v>
      </c>
      <c r="F91" t="str">
        <f>Plan_Mantenciones!J205</f>
        <v>Fuera de Servicio</v>
      </c>
      <c r="G91" t="str">
        <f>IF(AND(ISNUMBER(E91),E91&gt;=0,E91&lt;=90),"Sí","No")</f>
        <v>No</v>
      </c>
    </row>
    <row r="92" spans="1:7">
      <c r="A92" t="str">
        <f>Plan_Mantenciones!A17</f>
        <v>CD-114</v>
      </c>
      <c r="B92" t="str">
        <f>Plan_Mantenciones!B17</f>
        <v>Camión Imprimador</v>
      </c>
      <c r="C92" t="str">
        <f>Plan_Mantenciones!C17</f>
        <v>Camiones de Ruta</v>
      </c>
      <c r="D92" s="13">
        <f ca="1">Plan_Mantenciones!I17</f>
        <v>46337</v>
      </c>
      <c r="E92">
        <f>Plan_Mantenciones!H17</f>
        <v>155</v>
      </c>
      <c r="F92" t="str">
        <f>Plan_Mantenciones!J17</f>
        <v>Operativo</v>
      </c>
      <c r="G92" t="str">
        <f>IF(AND(ISNUMBER(E92),E92&gt;=0,E92&lt;=90),"Sí","No")</f>
        <v>No</v>
      </c>
    </row>
    <row r="93" spans="1:7">
      <c r="A93" t="str">
        <f>Plan_Mantenciones!A124</f>
        <v>MD-68</v>
      </c>
      <c r="B93" t="str">
        <f>Plan_Mantenciones!B124</f>
        <v>Rodillo</v>
      </c>
      <c r="C93" t="str">
        <f>Plan_Mantenciones!C124</f>
        <v>Maquinaria Pesada</v>
      </c>
      <c r="D93" s="13">
        <f ca="1">Plan_Mantenciones!I124</f>
        <v>46358</v>
      </c>
      <c r="E93">
        <f>Plan_Mantenciones!H124</f>
        <v>176</v>
      </c>
      <c r="F93" t="str">
        <f>Plan_Mantenciones!J124</f>
        <v>Operativo</v>
      </c>
      <c r="G93" t="str">
        <f>IF(AND(ISNUMBER(E93),E93&gt;=0,E93&lt;=90),"Sí","No")</f>
        <v>No</v>
      </c>
    </row>
    <row r="94" spans="1:7">
      <c r="A94" t="str">
        <f>Plan_Mantenciones!A97</f>
        <v>MD-28</v>
      </c>
      <c r="B94" t="str">
        <f>Plan_Mantenciones!B97</f>
        <v>Excavadora</v>
      </c>
      <c r="C94" t="str">
        <f>Plan_Mantenciones!C97</f>
        <v>Maquinaria Pesada</v>
      </c>
      <c r="D94" s="13">
        <f ca="1">Plan_Mantenciones!I97</f>
        <v>46366</v>
      </c>
      <c r="E94">
        <f>Plan_Mantenciones!H97</f>
        <v>184</v>
      </c>
      <c r="F94" t="str">
        <f>Plan_Mantenciones!J97</f>
        <v>Operativo</v>
      </c>
      <c r="G94" t="str">
        <f>IF(AND(ISNUMBER(E94),E94&gt;=0,E94&lt;=90),"Sí","No")</f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46373</v>
      </c>
      <c r="E95">
        <f>Plan_Mantenciones!H127</f>
        <v>191</v>
      </c>
      <c r="F95" t="str">
        <f>Plan_Mantenciones!J127</f>
        <v>Taller</v>
      </c>
      <c r="G95" t="str">
        <f>IF(AND(ISNUMBER(E95),E95&gt;=0,E95&lt;=90),"Sí","No")</f>
        <v>No</v>
      </c>
    </row>
    <row r="96" spans="1:7">
      <c r="A96" t="str">
        <f>Plan_Mantenciones!A23</f>
        <v>CD-120</v>
      </c>
      <c r="B96" t="str">
        <f>Plan_Mantenciones!B23</f>
        <v>Camión Tolva</v>
      </c>
      <c r="C96" t="str">
        <f>Plan_Mantenciones!C23</f>
        <v>Camiones de Ruta</v>
      </c>
      <c r="D96" s="13">
        <f ca="1">Plan_Mantenciones!I23</f>
        <v>46367</v>
      </c>
      <c r="E96">
        <f>Plan_Mantenciones!H23</f>
        <v>185</v>
      </c>
      <c r="F96" t="str">
        <f>Plan_Mantenciones!J23</f>
        <v>Operativo</v>
      </c>
      <c r="G96" t="str">
        <f>IF(AND(ISNUMBER(E96),E96&gt;=0,E96&lt;=90),"Sí","No")</f>
        <v>No</v>
      </c>
    </row>
    <row r="97" spans="1:7">
      <c r="A97" t="str">
        <f>Plan_Mantenciones!A57</f>
        <v>CD-89</v>
      </c>
      <c r="B97" t="str">
        <f>Plan_Mantenciones!B57</f>
        <v>Camión Tolva</v>
      </c>
      <c r="C97" t="str">
        <f>Plan_Mantenciones!C57</f>
        <v>Camiones de Ruta</v>
      </c>
      <c r="D97" s="13">
        <f ca="1">Plan_Mantenciones!I57</f>
        <v>46394</v>
      </c>
      <c r="E97">
        <f>Plan_Mantenciones!H57</f>
        <v>212</v>
      </c>
      <c r="F97" t="str">
        <f>Plan_Mantenciones!J57</f>
        <v>Operativo</v>
      </c>
      <c r="G97" t="str">
        <f>IF(AND(ISNUMBER(E97),E97&gt;=0,E97&lt;=90),"Sí","No")</f>
        <v>No</v>
      </c>
    </row>
    <row r="98" spans="1:7">
      <c r="A98" t="str">
        <f>Plan_Mantenciones!A9</f>
        <v>CD-106</v>
      </c>
      <c r="B98" t="str">
        <f>Plan_Mantenciones!B9</f>
        <v>Camión Tolva</v>
      </c>
      <c r="C98" t="str">
        <f>Plan_Mantenciones!C9</f>
        <v>Camiones de Ruta</v>
      </c>
      <c r="D98" s="13">
        <f ca="1">Plan_Mantenciones!I9</f>
        <v>46397</v>
      </c>
      <c r="E98">
        <f>Plan_Mantenciones!H9</f>
        <v>215</v>
      </c>
      <c r="F98" t="str">
        <f>Plan_Mantenciones!J9</f>
        <v>Operativo</v>
      </c>
      <c r="G98" t="str">
        <f>IF(AND(ISNUMBER(E98),E98&gt;=0,E98&lt;=90),"Sí","No")</f>
        <v>No</v>
      </c>
    </row>
    <row r="99" spans="1:7">
      <c r="A99" t="str">
        <f>Plan_Mantenciones!A4</f>
        <v>CD-100</v>
      </c>
      <c r="B99" t="str">
        <f>Plan_Mantenciones!B4</f>
        <v>Camión Slurry</v>
      </c>
      <c r="C99" t="str">
        <f>Plan_Mantenciones!C4</f>
        <v>Camiones de Ruta</v>
      </c>
      <c r="D99" s="13">
        <f ca="1">Plan_Mantenciones!I4</f>
        <v>46437</v>
      </c>
      <c r="E99">
        <f>Plan_Mantenciones!H4</f>
        <v>255</v>
      </c>
      <c r="F99" t="str">
        <f>Plan_Mantenciones!J4</f>
        <v>Operativo</v>
      </c>
      <c r="G99" t="str">
        <f>IF(AND(ISNUMBER(E99),E99&gt;=0,E99&lt;=90),"Sí","No")</f>
        <v>No</v>
      </c>
    </row>
    <row r="100" spans="1:7">
      <c r="A100" t="str">
        <f>Plan_Mantenciones!A119</f>
        <v>MD-61</v>
      </c>
      <c r="B100" t="str">
        <f>Plan_Mantenciones!B119</f>
        <v>Excavadora</v>
      </c>
      <c r="C100" t="str">
        <f>Plan_Mantenciones!C119</f>
        <v>Maquinaria Pesada</v>
      </c>
      <c r="D100" s="13">
        <f ca="1">Plan_Mantenciones!I119</f>
        <v>46440</v>
      </c>
      <c r="E100">
        <f>Plan_Mantenciones!H119</f>
        <v>258</v>
      </c>
      <c r="F100" t="str">
        <f>Plan_Mantenciones!J119</f>
        <v>Operativo</v>
      </c>
      <c r="G100" t="str">
        <f>IF(AND(ISNUMBER(E100),E100&gt;=0,E100&lt;=90),"Sí","No")</f>
        <v>No</v>
      </c>
    </row>
    <row r="101" spans="1:7">
      <c r="A101" t="str">
        <f>Plan_Mantenciones!A187</f>
        <v>VD-134</v>
      </c>
      <c r="B101" t="str">
        <f>Plan_Mantenciones!B187</f>
        <v>Camioneta</v>
      </c>
      <c r="C101" t="str">
        <f>Plan_Mantenciones!C187</f>
        <v>Vehículos Livianos</v>
      </c>
      <c r="D101" s="13">
        <f ca="1">Plan_Mantenciones!I187</f>
        <v>46441</v>
      </c>
      <c r="E101">
        <f>Plan_Mantenciones!H187</f>
        <v>259</v>
      </c>
      <c r="F101" t="str">
        <f>Plan_Mantenciones!J187</f>
        <v>Operativo</v>
      </c>
      <c r="G101" t="str">
        <f>IF(AND(ISNUMBER(E101),E101&gt;=0,E101&lt;=90),"Sí","No")</f>
        <v>No</v>
      </c>
    </row>
    <row r="102" spans="1:7">
      <c r="A102" t="str">
        <f>Plan_Mantenciones!A154</f>
        <v>VD-100</v>
      </c>
      <c r="B102" t="str">
        <f>Plan_Mantenciones!B154</f>
        <v>Camioneta</v>
      </c>
      <c r="C102" t="str">
        <f>Plan_Mantenciones!C154</f>
        <v>Vehículos Livianos</v>
      </c>
      <c r="D102" s="13">
        <f ca="1">Plan_Mantenciones!I154</f>
        <v>46455</v>
      </c>
      <c r="E102">
        <f>Plan_Mantenciones!H154</f>
        <v>273</v>
      </c>
      <c r="F102" t="str">
        <f>Plan_Mantenciones!J154</f>
        <v>Operativo</v>
      </c>
      <c r="G102" t="str">
        <f>IF(AND(ISNUMBER(E102),E102&gt;=0,E102&lt;=90),"Sí","No")</f>
        <v>No</v>
      </c>
    </row>
    <row r="103" spans="1:7">
      <c r="A103" t="str">
        <f>Plan_Mantenciones!A125</f>
        <v>MD-70</v>
      </c>
      <c r="B103" t="str">
        <f>Plan_Mantenciones!B125</f>
        <v>Excavadora con Ruedas</v>
      </c>
      <c r="C103" t="str">
        <f>Plan_Mantenciones!C125</f>
        <v>Maquinaria Pesada</v>
      </c>
      <c r="D103" s="13">
        <f ca="1">Plan_Mantenciones!I125</f>
        <v>46460</v>
      </c>
      <c r="E103">
        <f>Plan_Mantenciones!H125</f>
        <v>278</v>
      </c>
      <c r="F103" t="str">
        <f>Plan_Mantenciones!J125</f>
        <v>Operativo</v>
      </c>
      <c r="G103" t="str">
        <f>IF(AND(ISNUMBER(E103),E103&gt;=0,E103&lt;=90),"Sí","No")</f>
        <v>No</v>
      </c>
    </row>
    <row r="104" spans="1:7">
      <c r="A104" t="str">
        <f>Plan_Mantenciones!A238</f>
        <v>VD-99</v>
      </c>
      <c r="B104" t="str">
        <f>Plan_Mantenciones!B238</f>
        <v>Camioneta</v>
      </c>
      <c r="C104" t="str">
        <f>Plan_Mantenciones!C238</f>
        <v>Vehículos Livianos</v>
      </c>
      <c r="D104" s="13">
        <f ca="1">Plan_Mantenciones!I238</f>
        <v>46471</v>
      </c>
      <c r="E104">
        <f>Plan_Mantenciones!H238</f>
        <v>289</v>
      </c>
      <c r="F104" t="str">
        <f>Plan_Mantenciones!J238</f>
        <v>Fuera de Servicio</v>
      </c>
      <c r="G104" t="str">
        <f>IF(AND(ISNUMBER(E104),E104&gt;=0,E104&lt;=90),"Sí","No")</f>
        <v>No</v>
      </c>
    </row>
    <row r="105" spans="1:7">
      <c r="A105" t="str">
        <f>Plan_Mantenciones!A186</f>
        <v>VD-133</v>
      </c>
      <c r="B105" t="str">
        <f>Plan_Mantenciones!B186</f>
        <v>Camioneta</v>
      </c>
      <c r="C105" t="str">
        <f>Plan_Mantenciones!C186</f>
        <v>Vehículos Livianos</v>
      </c>
      <c r="D105" s="13">
        <f ca="1">Plan_Mantenciones!I186</f>
        <v>46491</v>
      </c>
      <c r="E105">
        <f>Plan_Mantenciones!H186</f>
        <v>309</v>
      </c>
      <c r="F105" t="str">
        <f>Plan_Mantenciones!J186</f>
        <v>Operativo</v>
      </c>
      <c r="G105" t="str">
        <f>IF(AND(ISNUMBER(E105),E105&gt;=0,E105&lt;=90),"Sí","No")</f>
        <v>No</v>
      </c>
    </row>
    <row r="106" spans="1:7">
      <c r="A106" t="str">
        <f>Plan_Mantenciones!A140</f>
        <v>MD-85</v>
      </c>
      <c r="B106" t="str">
        <f>Plan_Mantenciones!B140</f>
        <v>Motoniveladora</v>
      </c>
      <c r="C106" t="str">
        <f>Plan_Mantenciones!C140</f>
        <v>Maquinaria Pesada</v>
      </c>
      <c r="D106" s="13">
        <f ca="1">Plan_Mantenciones!I140</f>
        <v>46503</v>
      </c>
      <c r="E106">
        <f>Plan_Mantenciones!H140</f>
        <v>321</v>
      </c>
      <c r="F106" t="str">
        <f>Plan_Mantenciones!J140</f>
        <v>Operativo</v>
      </c>
      <c r="G106" t="str">
        <f>IF(AND(ISNUMBER(E106),E106&gt;=0,E106&lt;=90),"Sí","No")</f>
        <v>No</v>
      </c>
    </row>
    <row r="107" spans="1:7">
      <c r="A107" t="str">
        <f>Plan_Mantenciones!A214</f>
        <v>VD-75</v>
      </c>
      <c r="B107" t="str">
        <f>Plan_Mantenciones!B214</f>
        <v>Camioneta</v>
      </c>
      <c r="C107" t="str">
        <f>Plan_Mantenciones!C214</f>
        <v>Vehículos Livianos</v>
      </c>
      <c r="D107" s="13">
        <f ca="1">Plan_Mantenciones!I214</f>
        <v>46571</v>
      </c>
      <c r="E107">
        <f>Plan_Mantenciones!H214</f>
        <v>389</v>
      </c>
      <c r="F107" t="str">
        <f>Plan_Mantenciones!J214</f>
        <v>Fuera de Servicio</v>
      </c>
      <c r="G107" t="str">
        <f>IF(AND(ISNUMBER(E107),E107&gt;=0,E107&lt;=90),"Sí","No")</f>
        <v>No</v>
      </c>
    </row>
    <row r="108" spans="1:7">
      <c r="A108" t="str">
        <f>Plan_Mantenciones!A88</f>
        <v>MD-103</v>
      </c>
      <c r="B108" t="str">
        <f>Plan_Mantenciones!B88</f>
        <v>Rodillo</v>
      </c>
      <c r="C108" t="str">
        <f>Plan_Mantenciones!C88</f>
        <v>Maquinaria Pesada</v>
      </c>
      <c r="D108" s="13">
        <f ca="1">Plan_Mantenciones!I88</f>
        <v>46671</v>
      </c>
      <c r="E108">
        <f>Plan_Mantenciones!H88</f>
        <v>489</v>
      </c>
      <c r="F108" t="str">
        <f>Plan_Mantenciones!J88</f>
        <v>Operativo</v>
      </c>
      <c r="G108" t="str">
        <f>IF(AND(ISNUMBER(E108),E108&gt;=0,E108&lt;=90),"Sí","No")</f>
        <v>No</v>
      </c>
    </row>
    <row r="109" spans="1:7">
      <c r="A109" t="str">
        <f>Plan_Mantenciones!A224</f>
        <v>VD-85</v>
      </c>
      <c r="B109" t="str">
        <f>Plan_Mantenciones!B224</f>
        <v>Furgon</v>
      </c>
      <c r="C109" t="str">
        <f>Plan_Mantenciones!C224</f>
        <v>Vehículos Livianos</v>
      </c>
      <c r="D109" s="13">
        <f ca="1">Plan_Mantenciones!I224</f>
        <v>46685</v>
      </c>
      <c r="E109">
        <f>Plan_Mantenciones!H224</f>
        <v>503</v>
      </c>
      <c r="F109" t="str">
        <f>Plan_Mantenciones!J224</f>
        <v>Operativo</v>
      </c>
      <c r="G109" t="str">
        <f>IF(AND(ISNUMBER(E109),E109&gt;=0,E109&lt;=90),"Sí","No")</f>
        <v>No</v>
      </c>
    </row>
    <row r="110" spans="1:7">
      <c r="A110" t="str">
        <f>Plan_Mantenciones!A113</f>
        <v>MD-53</v>
      </c>
      <c r="B110" t="str">
        <f>Plan_Mantenciones!B113</f>
        <v>Rodillo Doble Tambor</v>
      </c>
      <c r="C110" t="str">
        <f>Plan_Mantenciones!C113</f>
        <v>Maquinaria Pesada</v>
      </c>
      <c r="D110" s="13">
        <f ca="1">Plan_Mantenciones!I113</f>
        <v>46766</v>
      </c>
      <c r="E110">
        <f>Plan_Mantenciones!H113</f>
        <v>584</v>
      </c>
      <c r="F110" t="str">
        <f>Plan_Mantenciones!J113</f>
        <v>Operativo</v>
      </c>
      <c r="G110" t="str">
        <f>IF(AND(ISNUMBER(E110),E110&gt;=0,E110&lt;=90),"Sí","No")</f>
        <v>No</v>
      </c>
    </row>
    <row r="111" spans="1:7">
      <c r="A111" t="str">
        <f>Plan_Mantenciones!A130</f>
        <v>MD-75</v>
      </c>
      <c r="B111" t="str">
        <f>Plan_Mantenciones!B130</f>
        <v>Retroexcavadora</v>
      </c>
      <c r="C111" t="str">
        <f>Plan_Mantenciones!C130</f>
        <v>Maquinaria Pesada</v>
      </c>
      <c r="D111" s="13">
        <f ca="1">Plan_Mantenciones!I130</f>
        <v>46801</v>
      </c>
      <c r="E111">
        <f>Plan_Mantenciones!H130</f>
        <v>619</v>
      </c>
      <c r="F111" t="str">
        <f>Plan_Mantenciones!J130</f>
        <v>Operativo</v>
      </c>
      <c r="G111" t="str">
        <f>IF(AND(ISNUMBER(E111),E111&gt;=0,E111&lt;=90),"Sí","No")</f>
        <v>No</v>
      </c>
    </row>
    <row r="112" spans="1:7">
      <c r="A112" t="str">
        <f>Plan_Mantenciones!A151</f>
        <v>MD-97</v>
      </c>
      <c r="B112" t="str">
        <f>Plan_Mantenciones!B151</f>
        <v>Rodillo Neumaticos</v>
      </c>
      <c r="C112" t="str">
        <f>Plan_Mantenciones!C151</f>
        <v>Maquinaria Pesada</v>
      </c>
      <c r="D112" s="13">
        <f ca="1">Plan_Mantenciones!I151</f>
        <v>46806</v>
      </c>
      <c r="E112">
        <f>Plan_Mantenciones!H151</f>
        <v>624</v>
      </c>
      <c r="F112" t="str">
        <f>Plan_Mantenciones!J151</f>
        <v>Operativo</v>
      </c>
      <c r="G112" t="str">
        <f>IF(AND(ISNUMBER(E112),E112&gt;=0,E112&lt;=90),"Sí","No")</f>
        <v>No</v>
      </c>
    </row>
    <row r="113" spans="1:7">
      <c r="A113" t="str">
        <f>Plan_Mantenciones!A89</f>
        <v>MD-104</v>
      </c>
      <c r="B113" t="str">
        <f>Plan_Mantenciones!B89</f>
        <v>Excavadora</v>
      </c>
      <c r="C113" t="str">
        <f>Plan_Mantenciones!C89</f>
        <v>Maquinaria Pesada</v>
      </c>
      <c r="D113" s="13">
        <f ca="1">Plan_Mantenciones!I89</f>
        <v>46972</v>
      </c>
      <c r="E113">
        <f>Plan_Mantenciones!H89</f>
        <v>790</v>
      </c>
      <c r="F113" t="str">
        <f>Plan_Mantenciones!J89</f>
        <v>Operativo</v>
      </c>
      <c r="G113" t="str">
        <f>IF(AND(ISNUMBER(E113),E113&gt;=0,E113&lt;=90),"Sí","No")</f>
        <v>No</v>
      </c>
    </row>
    <row r="114" spans="1:7">
      <c r="A114" t="str">
        <f>Plan_Mantenciones!A111</f>
        <v>MD-51</v>
      </c>
      <c r="B114" t="str">
        <f>Plan_Mantenciones!B111</f>
        <v>Rodillo de Neumaticos</v>
      </c>
      <c r="C114" t="str">
        <f>Plan_Mantenciones!C111</f>
        <v>Maquinaria Pesada</v>
      </c>
      <c r="D114" s="13">
        <f ca="1">Plan_Mantenciones!I111</f>
        <v>47432</v>
      </c>
      <c r="E114">
        <f>Plan_Mantenciones!H111</f>
        <v>1250</v>
      </c>
      <c r="F114" t="str">
        <f>Plan_Mantenciones!J111</f>
        <v>Operativo</v>
      </c>
      <c r="G114" t="str">
        <f>IF(AND(ISNUMBER(E114),E114&gt;=0,E114&lt;=90),"Sí","No")</f>
        <v>No</v>
      </c>
    </row>
    <row r="115" spans="1:7">
      <c r="A115" t="str">
        <f>Plan_Mantenciones!A190</f>
        <v>VD-137</v>
      </c>
      <c r="B115" t="str">
        <f>Plan_Mantenciones!B190</f>
        <v>Camioneta</v>
      </c>
      <c r="C115" t="str">
        <f>Plan_Mantenciones!C190</f>
        <v>Vehículos Livianos</v>
      </c>
      <c r="D115" s="13">
        <f ca="1">Plan_Mantenciones!I190</f>
        <v>47505</v>
      </c>
      <c r="E115">
        <f>Plan_Mantenciones!H190</f>
        <v>1323</v>
      </c>
      <c r="F115" t="str">
        <f>Plan_Mantenciones!J190</f>
        <v>Operativo</v>
      </c>
      <c r="G115" t="str">
        <f>IF(AND(ISNUMBER(E115),E115&gt;=0,E115&lt;=90),"Sí","No")</f>
        <v>No</v>
      </c>
    </row>
    <row r="116" spans="1:7">
      <c r="A116" t="str">
        <f>Plan_Mantenciones!A120</f>
        <v>MD-62</v>
      </c>
      <c r="B116" t="str">
        <f>Plan_Mantenciones!B120</f>
        <v>Excavadora con Ruedas</v>
      </c>
      <c r="C116" t="str">
        <f>Plan_Mantenciones!C120</f>
        <v>Maquinaria Pesada</v>
      </c>
      <c r="D116" s="13">
        <f ca="1">Plan_Mantenciones!I120</f>
        <v>51194</v>
      </c>
      <c r="E116">
        <f>Plan_Mantenciones!H120</f>
        <v>5012</v>
      </c>
      <c r="F116" t="str">
        <f>Plan_Mantenciones!J120</f>
        <v>Operativo</v>
      </c>
      <c r="G116" t="str">
        <f>IF(AND(ISNUMBER(E116),E116&gt;=0,E116&lt;=90),"Sí","No")</f>
        <v>No</v>
      </c>
    </row>
    <row r="117" spans="1:7">
      <c r="A117" t="str">
        <f>Plan_Mantenciones!A35</f>
        <v>CD-132</v>
      </c>
      <c r="B117" t="str">
        <f>Plan_Mantenciones!B35</f>
        <v>Camión Tolva</v>
      </c>
      <c r="C117" t="str">
        <f>Plan_Mantenciones!C35</f>
        <v>Camiones de Ruta</v>
      </c>
      <c r="D117" s="13">
        <f ca="1">Plan_Mantenciones!I35</f>
        <v>54252</v>
      </c>
      <c r="E117">
        <f>Plan_Mantenciones!H35</f>
        <v>8070</v>
      </c>
      <c r="F117" t="str">
        <f>Plan_Mantenciones!J35</f>
        <v>Operativo</v>
      </c>
      <c r="G117" t="str">
        <f>IF(AND(ISNUMBER(E117),E117&gt;=0,E117&lt;=90),"Sí","No")</f>
        <v>No</v>
      </c>
    </row>
    <row r="118" spans="1:7">
      <c r="A118" t="str">
        <f>Plan_Mantenciones!A93</f>
        <v>MD-109</v>
      </c>
      <c r="B118" t="str">
        <f>Plan_Mantenciones!B93</f>
        <v>Motoniveladora</v>
      </c>
      <c r="C118" t="str">
        <f>Plan_Mantenciones!C93</f>
        <v>Maquinaria Pesada</v>
      </c>
      <c r="D118" s="13">
        <f ca="1">Plan_Mantenciones!I93</f>
        <v>158953</v>
      </c>
      <c r="E118">
        <f>Plan_Mantenciones!H93</f>
        <v>112771</v>
      </c>
      <c r="F118" t="str">
        <f>Plan_Mantenciones!J93</f>
        <v>Operativo</v>
      </c>
      <c r="G118" t="str">
        <f>IF(AND(ISNUMBER(E118),E118&gt;=0,E118&lt;=90),"Sí","No")</f>
        <v>No</v>
      </c>
    </row>
    <row r="119" spans="1:7">
      <c r="A119" t="str">
        <f>Plan_Mantenciones!A22</f>
        <v>CD-119</v>
      </c>
      <c r="B119" t="str">
        <f>Plan_Mantenciones!B22</f>
        <v>Camión Combustible</v>
      </c>
      <c r="C119" t="str">
        <f>Plan_Mantenciones!C22</f>
        <v>Camiones de Ruta</v>
      </c>
      <c r="D119" s="13">
        <f ca="1">Plan_Mantenciones!I22</f>
        <v>367864</v>
      </c>
      <c r="E119">
        <f>Plan_Mantenciones!H22</f>
        <v>321682</v>
      </c>
      <c r="F119" t="str">
        <f>Plan_Mantenciones!J22</f>
        <v>Operativo</v>
      </c>
      <c r="G119" t="str">
        <f>IF(AND(ISNUMBER(E119),E119&gt;=0,E119&lt;=90),"Sí","No")</f>
        <v>No</v>
      </c>
    </row>
    <row r="120" spans="1:7">
      <c r="A120" t="str">
        <f>Plan_Mantenciones!A105</f>
        <v>MD-43</v>
      </c>
      <c r="B120" t="str">
        <f>Plan_Mantenciones!B105</f>
        <v>Excavadora</v>
      </c>
      <c r="C120" t="str">
        <f>Plan_Mantenciones!C105</f>
        <v>Maquinaria Pesada</v>
      </c>
      <c r="D120" s="13" t="str">
        <f ca="1">Plan_Mantenciones!I105</f>
        <v/>
      </c>
      <c r="E120" t="str">
        <f>Plan_Mantenciones!H105</f>
        <v/>
      </c>
      <c r="F120" t="str">
        <f>Plan_Mantenciones!J105</f>
        <v>Taller</v>
      </c>
      <c r="G120" t="str">
        <f>IF(AND(ISNUMBER(E120),E120&gt;=0,E120&lt;=90),"Sí","No")</f>
        <v>No</v>
      </c>
    </row>
    <row r="121" spans="1:7">
      <c r="A121" t="str">
        <f>Plan_Mantenciones!A36</f>
        <v>CD-133</v>
      </c>
      <c r="B121" t="str">
        <f>Plan_Mantenciones!B36</f>
        <v>Camión Plano</v>
      </c>
      <c r="C121" t="str">
        <f>Plan_Mantenciones!C36</f>
        <v>Camiones de Ruta</v>
      </c>
      <c r="D121" s="13" t="str">
        <f ca="1">Plan_Mantenciones!I36</f>
        <v/>
      </c>
      <c r="E121" t="str">
        <f>Plan_Mantenciones!H36</f>
        <v/>
      </c>
      <c r="F121" t="str">
        <f>Plan_Mantenciones!J36</f>
        <v>Fuera de Servicio</v>
      </c>
      <c r="G121" t="str">
        <f>IF(AND(ISNUMBER(E121),E121&gt;=0,E121&lt;=90),"Sí","No")</f>
        <v>No</v>
      </c>
    </row>
    <row r="122" spans="1:7">
      <c r="A122" t="str">
        <f>Plan_Mantenciones!A195</f>
        <v>VD-142</v>
      </c>
      <c r="B122" t="str">
        <f>Plan_Mantenciones!B195</f>
        <v>Camioneta</v>
      </c>
      <c r="C122" t="str">
        <f>Plan_Mantenciones!C195</f>
        <v>Vehículos Livianos</v>
      </c>
      <c r="D122" s="13" t="str">
        <f ca="1">Plan_Mantenciones!I195</f>
        <v/>
      </c>
      <c r="E122" t="str">
        <f>Plan_Mantenciones!H195</f>
        <v/>
      </c>
      <c r="F122" t="str">
        <f>Plan_Mantenciones!J195</f>
        <v>Operativo</v>
      </c>
      <c r="G122" t="str">
        <f>IF(AND(ISNUMBER(E122),E122&gt;=0,E122&lt;=90),"Sí","No")</f>
        <v>No</v>
      </c>
    </row>
    <row r="123" spans="1:7">
      <c r="A123" t="str">
        <f>Plan_Mantenciones!A152</f>
        <v>MD-98</v>
      </c>
      <c r="B123" t="str">
        <f>Plan_Mantenciones!B152</f>
        <v>Rodillo Neumaticos</v>
      </c>
      <c r="C123" t="str">
        <f>Plan_Mantenciones!C152</f>
        <v>Maquinaria Pesada</v>
      </c>
      <c r="D123" s="13" t="str">
        <f ca="1">Plan_Mantenciones!I152</f>
        <v/>
      </c>
      <c r="E123" t="str">
        <f>Plan_Mantenciones!H152</f>
        <v/>
      </c>
      <c r="F123" t="str">
        <f>Plan_Mantenciones!J152</f>
        <v>Operativo</v>
      </c>
      <c r="G123" t="str">
        <f>IF(AND(ISNUMBER(E123),E123&gt;=0,E123&lt;=90),"Sí","No")</f>
        <v>No</v>
      </c>
    </row>
    <row r="124" spans="1:7">
      <c r="A124" t="str">
        <f>Plan_Mantenciones!A49</f>
        <v>CD-69</v>
      </c>
      <c r="B124" t="str">
        <f>Plan_Mantenciones!B49</f>
        <v>Tracto Camión</v>
      </c>
      <c r="C124" t="str">
        <f>Plan_Mantenciones!C49</f>
        <v>Camiones de Ruta</v>
      </c>
      <c r="D124" s="13" t="str">
        <f ca="1">Plan_Mantenciones!I49</f>
        <v/>
      </c>
      <c r="E124" t="str">
        <f>Plan_Mantenciones!H49</f>
        <v/>
      </c>
      <c r="F124" t="str">
        <f>Plan_Mantenciones!J49</f>
        <v>Operativo</v>
      </c>
      <c r="G124" t="str">
        <f>IF(AND(ISNUMBER(E124),E124&gt;=0,E124&lt;=90),"Sí","No")</f>
        <v>No</v>
      </c>
    </row>
    <row r="125" spans="1:7">
      <c r="A125" t="str">
        <f>Plan_Mantenciones!A31</f>
        <v>CD-128</v>
      </c>
      <c r="B125" t="str">
        <f>Plan_Mantenciones!B31</f>
        <v>Camión slurry</v>
      </c>
      <c r="C125" t="str">
        <f>Plan_Mantenciones!C31</f>
        <v>Camiones de Ruta</v>
      </c>
      <c r="D125" s="13" t="str">
        <f ca="1">Plan_Mantenciones!I31</f>
        <v/>
      </c>
      <c r="E125" t="str">
        <f>Plan_Mantenciones!H31</f>
        <v/>
      </c>
      <c r="F125" t="str">
        <f>Plan_Mantenciones!J31</f>
        <v>Operativo</v>
      </c>
      <c r="G125" t="str">
        <f>IF(AND(ISNUMBER(E125),E125&gt;=0,E125&lt;=90),"Sí","No")</f>
        <v>No</v>
      </c>
    </row>
    <row r="126" spans="1:7">
      <c r="A126" t="str">
        <f>Plan_Mantenciones!A42</f>
        <v>CD-139</v>
      </c>
      <c r="B126" t="str">
        <f>Plan_Mantenciones!B42</f>
        <v>Camion Plano</v>
      </c>
      <c r="C126" t="str">
        <f>Plan_Mantenciones!C42</f>
        <v>Maquinaria Pesada</v>
      </c>
      <c r="D126" s="13" t="str">
        <f ca="1">Plan_Mantenciones!I42</f>
        <v/>
      </c>
      <c r="E126" t="str">
        <f>Plan_Mantenciones!H42</f>
        <v/>
      </c>
      <c r="F126" t="str">
        <f>Plan_Mantenciones!J42</f>
        <v>Fuera de Servicio</v>
      </c>
      <c r="G126" t="str">
        <f>IF(AND(ISNUMBER(E126),E126&gt;=0,E126&lt;=90),"Sí","No")</f>
        <v>No</v>
      </c>
    </row>
    <row r="127" spans="1:7">
      <c r="A127" t="str">
        <f>Plan_Mantenciones!A101</f>
        <v>MD-38</v>
      </c>
      <c r="B127" t="str">
        <f>Plan_Mantenciones!B101</f>
        <v>Rodillo</v>
      </c>
      <c r="C127" t="str">
        <f>Plan_Mantenciones!C101</f>
        <v>Maquinaria Pesada</v>
      </c>
      <c r="D127" s="13" t="str">
        <f ca="1">Plan_Mantenciones!I101</f>
        <v/>
      </c>
      <c r="E127" t="str">
        <f>Plan_Mantenciones!H101</f>
        <v/>
      </c>
      <c r="F127" t="str">
        <f>Plan_Mantenciones!J101</f>
        <v>Operativo</v>
      </c>
      <c r="G127" t="str">
        <f>IF(AND(ISNUMBER(E127),E127&gt;=0,E127&lt;=90),"Sí","No")</f>
        <v>No</v>
      </c>
    </row>
    <row r="128" spans="1:7">
      <c r="A128" t="str">
        <f>Plan_Mantenciones!A51</f>
        <v>CD-73</v>
      </c>
      <c r="B128" t="str">
        <f>Plan_Mantenciones!B51</f>
        <v>Camión Aljibe</v>
      </c>
      <c r="C128" t="str">
        <f>Plan_Mantenciones!C51</f>
        <v>Camiones de Ruta</v>
      </c>
      <c r="D128" s="13" t="str">
        <f ca="1">Plan_Mantenciones!I51</f>
        <v/>
      </c>
      <c r="E128" t="str">
        <f>Plan_Mantenciones!H51</f>
        <v/>
      </c>
      <c r="F128" t="str">
        <f>Plan_Mantenciones!J51</f>
        <v>Operativo</v>
      </c>
      <c r="G128" t="str">
        <f>IF(AND(ISNUMBER(E128),E128&gt;=0,E128&lt;=90),"Sí","No")</f>
        <v>No</v>
      </c>
    </row>
    <row r="129" spans="1:7">
      <c r="A129" t="str">
        <f>Plan_Mantenciones!A18</f>
        <v>CD-115</v>
      </c>
      <c r="B129" t="str">
        <f>Plan_Mantenciones!B18</f>
        <v>Tracto Camión</v>
      </c>
      <c r="C129" t="str">
        <f>Plan_Mantenciones!C18</f>
        <v>Camiones de Ruta</v>
      </c>
      <c r="D129" s="13" t="str">
        <f ca="1">Plan_Mantenciones!I18</f>
        <v/>
      </c>
      <c r="E129" t="str">
        <f>Plan_Mantenciones!H18</f>
        <v/>
      </c>
      <c r="F129" t="str">
        <f>Plan_Mantenciones!J18</f>
        <v>Taller</v>
      </c>
      <c r="G129" t="str">
        <f>IF(AND(ISNUMBER(E129),E129&gt;=0,E129&lt;=90),"Sí","No")</f>
        <v>No</v>
      </c>
    </row>
    <row r="130" spans="1:7">
      <c r="A130" t="str">
        <f>Plan_Mantenciones!A84</f>
        <v>EQP-9</v>
      </c>
      <c r="B130" t="str">
        <f>Plan_Mantenciones!B84</f>
        <v>Planta aridos</v>
      </c>
      <c r="C130" t="str">
        <f>Plan_Mantenciones!C84</f>
        <v>Maquinaria Pesada</v>
      </c>
      <c r="D130" s="13" t="str">
        <f ca="1">Plan_Mantenciones!I84</f>
        <v/>
      </c>
      <c r="E130" t="str">
        <f>Plan_Mantenciones!H84</f>
        <v/>
      </c>
      <c r="F130" t="str">
        <f>Plan_Mantenciones!J84</f>
        <v>Fuera de Servicio</v>
      </c>
      <c r="G130" t="str">
        <f>IF(AND(ISNUMBER(E130),E130&gt;=0,E130&lt;=90),"Sí","No")</f>
        <v>No</v>
      </c>
    </row>
    <row r="131" spans="1:7">
      <c r="A131" t="str">
        <f>Plan_Mantenciones!A34</f>
        <v>CD-131</v>
      </c>
      <c r="B131" t="str">
        <f>Plan_Mantenciones!B34</f>
        <v>Camión Tolva</v>
      </c>
      <c r="C131" t="str">
        <f>Plan_Mantenciones!C34</f>
        <v>Camiones de Ruta</v>
      </c>
      <c r="D131" s="13" t="str">
        <f ca="1">Plan_Mantenciones!I34</f>
        <v/>
      </c>
      <c r="E131" t="str">
        <f>Plan_Mantenciones!H34</f>
        <v/>
      </c>
      <c r="F131" t="str">
        <f>Plan_Mantenciones!J34</f>
        <v>Fuera de Servicio</v>
      </c>
      <c r="G131" t="str">
        <f>IF(AND(ISNUMBER(E131),E131&gt;=0,E131&lt;=90),"Sí","No")</f>
        <v>No</v>
      </c>
    </row>
    <row r="132" spans="1:7">
      <c r="A132" t="str">
        <f>Plan_Mantenciones!A159</f>
        <v>VD-106</v>
      </c>
      <c r="B132" t="str">
        <f>Plan_Mantenciones!B159</f>
        <v>Camioneta</v>
      </c>
      <c r="C132" t="str">
        <f>Plan_Mantenciones!C159</f>
        <v>Vehículos Livianos</v>
      </c>
      <c r="D132" s="13" t="str">
        <f ca="1">Plan_Mantenciones!I159</f>
        <v/>
      </c>
      <c r="E132" t="str">
        <f>Plan_Mantenciones!H159</f>
        <v/>
      </c>
      <c r="F132" t="str">
        <f>Plan_Mantenciones!J159</f>
        <v>Fuera de Servicio</v>
      </c>
      <c r="G132" t="str">
        <f>IF(AND(ISNUMBER(E132),E132&gt;=0,E132&lt;=90),"Sí","No")</f>
        <v>No</v>
      </c>
    </row>
    <row r="133" spans="1:7">
      <c r="A133" t="str">
        <f>Plan_Mantenciones!A76</f>
        <v>EQP-13</v>
      </c>
      <c r="B133" t="str">
        <f>Plan_Mantenciones!B76</f>
        <v>Planta aridos</v>
      </c>
      <c r="C133" t="str">
        <f>Plan_Mantenciones!C76</f>
        <v>Maquinaria Pesada</v>
      </c>
      <c r="D133" s="13" t="str">
        <f ca="1">Plan_Mantenciones!I76</f>
        <v/>
      </c>
      <c r="E133" t="str">
        <f>Plan_Mantenciones!H76</f>
        <v/>
      </c>
      <c r="F133" t="str">
        <f>Plan_Mantenciones!J76</f>
        <v>Fuera de Servicio</v>
      </c>
      <c r="G133" t="str">
        <f>IF(AND(ISNUMBER(E133),E133&gt;=0,E133&lt;=90),"Sí","No")</f>
        <v>No</v>
      </c>
    </row>
    <row r="134" spans="1:7">
      <c r="A134" t="str">
        <f>Plan_Mantenciones!A44</f>
        <v>CD-141</v>
      </c>
      <c r="B134" t="str">
        <f>Plan_Mantenciones!B44</f>
        <v>Camion Mixer</v>
      </c>
      <c r="C134" t="str">
        <f>Plan_Mantenciones!C44</f>
        <v>Maquinaria Pesada</v>
      </c>
      <c r="D134" s="13" t="str">
        <f ca="1">Plan_Mantenciones!I44</f>
        <v/>
      </c>
      <c r="E134" t="str">
        <f>Plan_Mantenciones!H44</f>
        <v/>
      </c>
      <c r="F134" t="str">
        <f>Plan_Mantenciones!J44</f>
        <v>Operativo</v>
      </c>
      <c r="G134" t="str">
        <f>IF(AND(ISNUMBER(E134),E134&gt;=0,E134&lt;=90),"Sí","No")</f>
        <v>No</v>
      </c>
    </row>
    <row r="135" spans="1:7">
      <c r="A135" t="str">
        <f>Plan_Mantenciones!A47</f>
        <v>CD-57</v>
      </c>
      <c r="B135" t="str">
        <f>Plan_Mantenciones!B47</f>
        <v>Camión Plano</v>
      </c>
      <c r="C135" t="str">
        <f>Plan_Mantenciones!C47</f>
        <v>Camiones de Ruta</v>
      </c>
      <c r="D135" s="13" t="str">
        <f ca="1">Plan_Mantenciones!I47</f>
        <v/>
      </c>
      <c r="E135" t="str">
        <f>Plan_Mantenciones!H47</f>
        <v/>
      </c>
      <c r="F135" t="str">
        <f>Plan_Mantenciones!J47</f>
        <v>Fuera de Servicio</v>
      </c>
      <c r="G135" t="str">
        <f>IF(AND(ISNUMBER(E135),E135&gt;=0,E135&lt;=90),"Sí","No")</f>
        <v>No</v>
      </c>
    </row>
    <row r="136" spans="1:7">
      <c r="A136" t="str">
        <f>Plan_Mantenciones!A59</f>
        <v>CD-91</v>
      </c>
      <c r="B136" t="str">
        <f>Plan_Mantenciones!B59</f>
        <v>Camión Tolva</v>
      </c>
      <c r="C136" t="str">
        <f>Plan_Mantenciones!C59</f>
        <v>Camiones de Ruta</v>
      </c>
      <c r="D136" s="13" t="str">
        <f ca="1">Plan_Mantenciones!I59</f>
        <v/>
      </c>
      <c r="E136" t="str">
        <f>Plan_Mantenciones!H59</f>
        <v/>
      </c>
      <c r="F136" t="str">
        <f>Plan_Mantenciones!J59</f>
        <v>Fuera de Servicio</v>
      </c>
      <c r="G136" t="str">
        <f>IF(AND(ISNUMBER(E136),E136&gt;=0,E136&lt;=90),"Sí","No")</f>
        <v>No</v>
      </c>
    </row>
    <row r="137" spans="1:7">
      <c r="A137" t="str">
        <f>Plan_Mantenciones!A21</f>
        <v>CD-118</v>
      </c>
      <c r="B137" t="str">
        <f>Plan_Mantenciones!B21</f>
        <v>Camión Plano</v>
      </c>
      <c r="C137" t="str">
        <f>Plan_Mantenciones!C21</f>
        <v>Camiones de Ruta</v>
      </c>
      <c r="D137" s="13" t="str">
        <f ca="1">Plan_Mantenciones!I21</f>
        <v/>
      </c>
      <c r="E137" t="str">
        <f>Plan_Mantenciones!H21</f>
        <v/>
      </c>
      <c r="F137" t="str">
        <f>Plan_Mantenciones!J21</f>
        <v>Operativo</v>
      </c>
      <c r="G137" t="str">
        <f>IF(AND(ISNUMBER(E137),E137&gt;=0,E137&lt;=90),"Sí","No")</f>
        <v>No</v>
      </c>
    </row>
    <row r="138" spans="1:7">
      <c r="A138" t="str">
        <f>Plan_Mantenciones!A166</f>
        <v>VD-113</v>
      </c>
      <c r="B138" t="str">
        <f>Plan_Mantenciones!B166</f>
        <v>Camioneta</v>
      </c>
      <c r="C138" t="str">
        <f>Plan_Mantenciones!C166</f>
        <v>Vehículos Livianos</v>
      </c>
      <c r="D138" s="13" t="str">
        <f ca="1">Plan_Mantenciones!I166</f>
        <v/>
      </c>
      <c r="E138" t="str">
        <f>Plan_Mantenciones!H166</f>
        <v/>
      </c>
      <c r="F138" t="str">
        <f>Plan_Mantenciones!J166</f>
        <v>Operativo</v>
      </c>
      <c r="G138" t="str">
        <f>IF(AND(ISNUMBER(E138),E138&gt;=0,E138&lt;=90),"Sí","No")</f>
        <v>No</v>
      </c>
    </row>
    <row r="139" spans="1:7">
      <c r="A139" t="str">
        <f>Plan_Mantenciones!A43</f>
        <v>CD-140</v>
      </c>
      <c r="B139" t="str">
        <f>Plan_Mantenciones!B43</f>
        <v>Camion Plano</v>
      </c>
      <c r="C139" t="str">
        <f>Plan_Mantenciones!C43</f>
        <v>Maquinaria Pesada</v>
      </c>
      <c r="D139" s="13" t="str">
        <f ca="1">Plan_Mantenciones!I43</f>
        <v/>
      </c>
      <c r="E139" t="str">
        <f>Plan_Mantenciones!H43</f>
        <v/>
      </c>
      <c r="F139" t="str">
        <f>Plan_Mantenciones!J43</f>
        <v>Operativo</v>
      </c>
      <c r="G139" t="str">
        <f>IF(AND(ISNUMBER(E139),E139&gt;=0,E139&lt;=90),"Sí","No")</f>
        <v>No</v>
      </c>
    </row>
    <row r="140" spans="1:7">
      <c r="A140" t="str">
        <f>Plan_Mantenciones!A144</f>
        <v>MD-90</v>
      </c>
      <c r="B140" t="str">
        <f>Plan_Mantenciones!B144</f>
        <v>Excavadora</v>
      </c>
      <c r="C140" t="str">
        <f>Plan_Mantenciones!C144</f>
        <v>Maquinaria Pesada</v>
      </c>
      <c r="D140" s="13" t="str">
        <f ca="1">Plan_Mantenciones!I144</f>
        <v/>
      </c>
      <c r="E140" t="str">
        <f>Plan_Mantenciones!H144</f>
        <v/>
      </c>
      <c r="F140" t="str">
        <f>Plan_Mantenciones!J144</f>
        <v>Taller</v>
      </c>
      <c r="G140" t="str">
        <f>IF(AND(ISNUMBER(E140),E140&gt;=0,E140&lt;=90),"Sí","No")</f>
        <v>No</v>
      </c>
    </row>
    <row r="141" spans="1:7">
      <c r="A141" t="str">
        <f>Plan_Mantenciones!A38</f>
        <v>CD-135</v>
      </c>
      <c r="B141" t="str">
        <f>Plan_Mantenciones!B38</f>
        <v>Camión Plano</v>
      </c>
      <c r="C141" t="str">
        <f>Plan_Mantenciones!C38</f>
        <v>Camiones de Ruta</v>
      </c>
      <c r="D141" s="13" t="str">
        <f ca="1">Plan_Mantenciones!I38</f>
        <v/>
      </c>
      <c r="E141" t="str">
        <f>Plan_Mantenciones!H38</f>
        <v/>
      </c>
      <c r="F141" t="str">
        <f>Plan_Mantenciones!J38</f>
        <v>Fuera de Servicio</v>
      </c>
      <c r="G141" t="str">
        <f>IF(AND(ISNUMBER(E141),E141&gt;=0,E141&lt;=90),"Sí","No")</f>
        <v>No</v>
      </c>
    </row>
    <row r="142" spans="1:7">
      <c r="A142" t="str">
        <f>Plan_Mantenciones!A145</f>
        <v>MD-91</v>
      </c>
      <c r="B142" t="str">
        <f>Plan_Mantenciones!B145</f>
        <v>Motoniveladora</v>
      </c>
      <c r="C142" t="str">
        <f>Plan_Mantenciones!C145</f>
        <v>Maquinaria Pesada</v>
      </c>
      <c r="D142" s="13" t="str">
        <f ca="1">Plan_Mantenciones!I145</f>
        <v/>
      </c>
      <c r="E142" t="str">
        <f>Plan_Mantenciones!H145</f>
        <v/>
      </c>
      <c r="F142" t="str">
        <f>Plan_Mantenciones!J145</f>
        <v>Taller</v>
      </c>
      <c r="G142" t="str">
        <f>IF(AND(ISNUMBER(E142),E142&gt;=0,E142&lt;=90),"Sí","No")</f>
        <v>No</v>
      </c>
    </row>
    <row r="143" spans="1:7">
      <c r="A143" t="str">
        <f>Plan_Mantenciones!A146</f>
        <v>MD-92</v>
      </c>
      <c r="B143" t="str">
        <f>Plan_Mantenciones!B146</f>
        <v>Cargador Frontal</v>
      </c>
      <c r="C143" t="str">
        <f>Plan_Mantenciones!C146</f>
        <v>Maquinaria Pesada</v>
      </c>
      <c r="D143" s="13" t="str">
        <f ca="1">Plan_Mantenciones!I146</f>
        <v/>
      </c>
      <c r="E143" t="str">
        <f>Plan_Mantenciones!H146</f>
        <v/>
      </c>
      <c r="F143" t="str">
        <f>Plan_Mantenciones!J146</f>
        <v>Fuera de Servicio</v>
      </c>
      <c r="G143" t="str">
        <f>IF(AND(ISNUMBER(E143),E143&gt;=0,E143&lt;=90),"Sí","No")</f>
        <v>No</v>
      </c>
    </row>
    <row r="144" spans="1:7">
      <c r="A144" t="str">
        <f>Plan_Mantenciones!A77</f>
        <v>EQP-14</v>
      </c>
      <c r="B144" t="str">
        <f>Plan_Mantenciones!B77</f>
        <v>Planta aridos</v>
      </c>
      <c r="C144" t="str">
        <f>Plan_Mantenciones!C77</f>
        <v>Maquinaria Pesada</v>
      </c>
      <c r="D144" s="13" t="str">
        <f ca="1">Plan_Mantenciones!I77</f>
        <v/>
      </c>
      <c r="E144" t="str">
        <f>Plan_Mantenciones!H77</f>
        <v/>
      </c>
      <c r="F144" t="str">
        <f>Plan_Mantenciones!J77</f>
        <v>Fuera de Servicio</v>
      </c>
      <c r="G144" t="str">
        <f>IF(AND(ISNUMBER(E144),E144&gt;=0,E144&lt;=90),"Sí","No")</f>
        <v>No</v>
      </c>
    </row>
    <row r="145" spans="1:7">
      <c r="A145" t="str">
        <f>Plan_Mantenciones!A90</f>
        <v>MD-105</v>
      </c>
      <c r="B145" t="str">
        <f>Plan_Mantenciones!B90</f>
        <v>Cargador Frontal</v>
      </c>
      <c r="C145" t="str">
        <f>Plan_Mantenciones!C90</f>
        <v>Maquinaria Pesada</v>
      </c>
      <c r="D145" s="13" t="str">
        <f ca="1">Plan_Mantenciones!I90</f>
        <v/>
      </c>
      <c r="E145" t="str">
        <f>Plan_Mantenciones!H90</f>
        <v/>
      </c>
      <c r="F145" t="str">
        <f>Plan_Mantenciones!J90</f>
        <v>Operativo</v>
      </c>
      <c r="G145" t="str">
        <f>IF(AND(ISNUMBER(E145),E145&gt;=0,E145&lt;=90),"Sí","No")</f>
        <v>No</v>
      </c>
    </row>
    <row r="146" spans="1:7">
      <c r="A146" t="str">
        <f>Plan_Mantenciones!A141</f>
        <v>MD-87</v>
      </c>
      <c r="B146" t="str">
        <f>Plan_Mantenciones!B141</f>
        <v>Excavadora</v>
      </c>
      <c r="C146" t="str">
        <f>Plan_Mantenciones!C141</f>
        <v>Maquinaria Pesada</v>
      </c>
      <c r="D146" s="13" t="str">
        <f ca="1">Plan_Mantenciones!I141</f>
        <v/>
      </c>
      <c r="E146" t="str">
        <f>Plan_Mantenciones!H141</f>
        <v/>
      </c>
      <c r="F146" t="str">
        <f>Plan_Mantenciones!J141</f>
        <v>Operativo</v>
      </c>
      <c r="G146" t="str">
        <f>IF(AND(ISNUMBER(E146),E146&gt;=0,E146&lt;=90),"Sí","No")</f>
        <v>No</v>
      </c>
    </row>
    <row r="147" spans="1:7">
      <c r="A147" t="str">
        <f>Plan_Mantenciones!A136</f>
        <v>MD-81</v>
      </c>
      <c r="B147" t="str">
        <f>Plan_Mantenciones!B136</f>
        <v>Pavimentadora de encofrado deslizante</v>
      </c>
      <c r="C147" t="str">
        <f>Plan_Mantenciones!C136</f>
        <v>Maquinaria Pesada</v>
      </c>
      <c r="D147" s="13" t="str">
        <f ca="1">Plan_Mantenciones!I136</f>
        <v/>
      </c>
      <c r="E147" t="str">
        <f>Plan_Mantenciones!H136</f>
        <v/>
      </c>
      <c r="F147" t="str">
        <f>Plan_Mantenciones!J136</f>
        <v>Fuera de Servicio</v>
      </c>
      <c r="G147" t="str">
        <f>IF(AND(ISNUMBER(E147),E147&gt;=0,E147&lt;=90),"Sí","No")</f>
        <v>No</v>
      </c>
    </row>
    <row r="148" spans="1:7">
      <c r="A148" t="str">
        <f>Plan_Mantenciones!A126</f>
        <v>MD-71</v>
      </c>
      <c r="B148" t="str">
        <f>Plan_Mantenciones!B126</f>
        <v>Retroexcavadora</v>
      </c>
      <c r="C148" t="str">
        <f>Plan_Mantenciones!C126</f>
        <v>Maquinaria Pesada</v>
      </c>
      <c r="D148" s="13" t="str">
        <f ca="1">Plan_Mantenciones!I126</f>
        <v/>
      </c>
      <c r="E148" t="str">
        <f>Plan_Mantenciones!H126</f>
        <v/>
      </c>
      <c r="F148" t="str">
        <f>Plan_Mantenciones!J126</f>
        <v>Taller</v>
      </c>
      <c r="G148" t="str">
        <f>IF(AND(ISNUMBER(E148),E148&gt;=0,E148&lt;=90),"Sí","No")</f>
        <v>No</v>
      </c>
    </row>
    <row r="149" spans="1:7">
      <c r="A149" t="str">
        <f>Plan_Mantenciones!A133</f>
        <v>MD-78</v>
      </c>
      <c r="B149" t="str">
        <f>Plan_Mantenciones!B133</f>
        <v>Extendedora</v>
      </c>
      <c r="C149" t="str">
        <f>Plan_Mantenciones!C133</f>
        <v>Maquinaria Pesada</v>
      </c>
      <c r="D149" s="13" t="str">
        <f ca="1">Plan_Mantenciones!I133</f>
        <v/>
      </c>
      <c r="E149" t="str">
        <f>Plan_Mantenciones!H133</f>
        <v/>
      </c>
      <c r="F149" t="str">
        <f>Plan_Mantenciones!J133</f>
        <v>Fuera de Servicio</v>
      </c>
      <c r="G149" t="str">
        <f>IF(AND(ISNUMBER(E149),E149&gt;=0,E149&lt;=90),"Sí","No")</f>
        <v>No</v>
      </c>
    </row>
    <row r="150" spans="1:7">
      <c r="A150" t="str">
        <f>Plan_Mantenciones!A110</f>
        <v>MD-50</v>
      </c>
      <c r="B150" t="str">
        <f>Plan_Mantenciones!B110</f>
        <v>Retroexcavadora</v>
      </c>
      <c r="C150" t="str">
        <f>Plan_Mantenciones!C110</f>
        <v>Maquinaria Pesada</v>
      </c>
      <c r="D150" s="13" t="str">
        <f ca="1">Plan_Mantenciones!I110</f>
        <v/>
      </c>
      <c r="E150" t="str">
        <f>Plan_Mantenciones!H110</f>
        <v/>
      </c>
      <c r="F150" t="str">
        <f>Plan_Mantenciones!J110</f>
        <v>Fuera de Servicio</v>
      </c>
      <c r="G150" t="str">
        <f>IF(AND(ISNUMBER(E150),E150&gt;=0,E150&lt;=90),"Sí","No")</f>
        <v>No</v>
      </c>
    </row>
    <row r="151" spans="1:7">
      <c r="A151" t="str">
        <f>Plan_Mantenciones!A132</f>
        <v>MD-77</v>
      </c>
      <c r="B151" t="str">
        <f>Plan_Mantenciones!B132</f>
        <v>Motoniveladora</v>
      </c>
      <c r="C151" t="str">
        <f>Plan_Mantenciones!C132</f>
        <v>Maquinaria Pesada</v>
      </c>
      <c r="D151" s="13" t="str">
        <f ca="1">Plan_Mantenciones!I132</f>
        <v/>
      </c>
      <c r="E151" t="str">
        <f>Plan_Mantenciones!H132</f>
        <v/>
      </c>
      <c r="F151" t="str">
        <f>Plan_Mantenciones!J132</f>
        <v>Fuera de Servicio</v>
      </c>
      <c r="G151" t="str">
        <f>IF(AND(ISNUMBER(E151),E151&gt;=0,E151&lt;=90),"Sí","No")</f>
        <v>No</v>
      </c>
    </row>
    <row r="152" spans="1:7">
      <c r="A152" t="str">
        <f>Plan_Mantenciones!A92</f>
        <v>MD-108</v>
      </c>
      <c r="B152" t="str">
        <f>Plan_Mantenciones!B92</f>
        <v>Rodillo de Neumaticos</v>
      </c>
      <c r="C152" t="str">
        <f>Plan_Mantenciones!C92</f>
        <v>Maquinaria Pesada</v>
      </c>
      <c r="D152" s="13" t="str">
        <f ca="1">Plan_Mantenciones!I92</f>
        <v/>
      </c>
      <c r="E152" t="str">
        <f>Plan_Mantenciones!H92</f>
        <v/>
      </c>
      <c r="F152" t="str">
        <f>Plan_Mantenciones!J92</f>
        <v>Operativo</v>
      </c>
      <c r="G152" t="str">
        <f>IF(AND(ISNUMBER(E152),E152&gt;=0,E152&lt;=90),"Sí","No")</f>
        <v>No</v>
      </c>
    </row>
    <row r="153" spans="1:7">
      <c r="A153" t="str">
        <f>Plan_Mantenciones!A112</f>
        <v>MD-52</v>
      </c>
      <c r="B153" t="str">
        <f>Plan_Mantenciones!B112</f>
        <v>Rodillo Doble Tambor</v>
      </c>
      <c r="C153" t="str">
        <f>Plan_Mantenciones!C112</f>
        <v>Maquinaria Pesada</v>
      </c>
      <c r="D153" s="13" t="str">
        <f ca="1">Plan_Mantenciones!I112</f>
        <v/>
      </c>
      <c r="E153" t="str">
        <f>Plan_Mantenciones!H112</f>
        <v/>
      </c>
      <c r="F153" t="str">
        <f>Plan_Mantenciones!J112</f>
        <v>Operativo</v>
      </c>
      <c r="G153" t="str">
        <f>IF(AND(ISNUMBER(E153),E153&gt;=0,E153&lt;=90),"Sí","No")</f>
        <v>No</v>
      </c>
    </row>
    <row r="154" spans="1:7">
      <c r="A154" t="str">
        <f>Plan_Mantenciones!A129</f>
        <v>MD-74</v>
      </c>
      <c r="B154" t="str">
        <f>Plan_Mantenciones!B129</f>
        <v>Excavadora</v>
      </c>
      <c r="C154" t="str">
        <f>Plan_Mantenciones!C129</f>
        <v>Maquinaria Pesada</v>
      </c>
      <c r="D154" s="13" t="str">
        <f ca="1">Plan_Mantenciones!I129</f>
        <v/>
      </c>
      <c r="E154" t="str">
        <f>Plan_Mantenciones!H129</f>
        <v/>
      </c>
      <c r="F154" t="str">
        <f>Plan_Mantenciones!J129</f>
        <v>Operativo</v>
      </c>
      <c r="G154" t="str">
        <f>IF(AND(ISNUMBER(E154),E154&gt;=0,E154&lt;=90),"Sí","No")</f>
        <v>No</v>
      </c>
    </row>
    <row r="155" spans="1:7">
      <c r="A155" t="str">
        <f>Plan_Mantenciones!A158</f>
        <v>VD-105</v>
      </c>
      <c r="B155" t="str">
        <f>Plan_Mantenciones!B158</f>
        <v>Camioneta</v>
      </c>
      <c r="C155" t="str">
        <f>Plan_Mantenciones!C158</f>
        <v>Vehículos Livianos</v>
      </c>
      <c r="D155" s="13" t="str">
        <f ca="1">Plan_Mantenciones!I158</f>
        <v/>
      </c>
      <c r="E155" t="str">
        <f>Plan_Mantenciones!H158</f>
        <v/>
      </c>
      <c r="F155" t="str">
        <f>Plan_Mantenciones!J158</f>
        <v>Fuera de Servicio</v>
      </c>
      <c r="G155" t="str">
        <f>IF(AND(ISNUMBER(E155),E155&gt;=0,E155&lt;=90),"Sí","No")</f>
        <v>No</v>
      </c>
    </row>
    <row r="156" spans="1:7">
      <c r="A156" t="str">
        <f>Plan_Mantenciones!A118</f>
        <v>MD-59</v>
      </c>
      <c r="B156" t="str">
        <f>Plan_Mantenciones!B118</f>
        <v>Cargador Frontal</v>
      </c>
      <c r="C156" t="str">
        <f>Plan_Mantenciones!C118</f>
        <v>Maquinaria Pesada</v>
      </c>
      <c r="D156" s="13" t="str">
        <f ca="1">Plan_Mantenciones!I118</f>
        <v/>
      </c>
      <c r="E156" t="str">
        <f>Plan_Mantenciones!H118</f>
        <v/>
      </c>
      <c r="F156" t="str">
        <f>Plan_Mantenciones!J118</f>
        <v>Operativo</v>
      </c>
      <c r="G156" t="str">
        <f>IF(AND(ISNUMBER(E156),E156&gt;=0,E156&lt;=90),"Sí","No")</f>
        <v>No</v>
      </c>
    </row>
    <row r="157" spans="1:7">
      <c r="A157" t="str">
        <f>Plan_Mantenciones!A37</f>
        <v>CD-134</v>
      </c>
      <c r="B157" t="str">
        <f>Plan_Mantenciones!B37</f>
        <v>Camión Plano</v>
      </c>
      <c r="C157" t="str">
        <f>Plan_Mantenciones!C37</f>
        <v>Camiones de Ruta</v>
      </c>
      <c r="D157" s="13" t="str">
        <f ca="1">Plan_Mantenciones!I37</f>
        <v/>
      </c>
      <c r="E157" t="str">
        <f>Plan_Mantenciones!H37</f>
        <v/>
      </c>
      <c r="F157" t="str">
        <f>Plan_Mantenciones!J37</f>
        <v>Taller</v>
      </c>
      <c r="G157" t="str">
        <f>IF(AND(ISNUMBER(E157),E157&gt;=0,E157&lt;=90),"Sí","No")</f>
        <v>No</v>
      </c>
    </row>
    <row r="158" spans="1:7">
      <c r="A158" t="str">
        <f>Plan_Mantenciones!A39</f>
        <v>CD-136</v>
      </c>
      <c r="B158" t="str">
        <f>Plan_Mantenciones!B39</f>
        <v>Camión Combustible</v>
      </c>
      <c r="C158" t="str">
        <f>Plan_Mantenciones!C39</f>
        <v>Camiones de Ruta</v>
      </c>
      <c r="D158" s="13" t="str">
        <f ca="1">Plan_Mantenciones!I39</f>
        <v/>
      </c>
      <c r="E158" t="str">
        <f>Plan_Mantenciones!H39</f>
        <v/>
      </c>
      <c r="F158" t="str">
        <f>Plan_Mantenciones!J39</f>
        <v>Operativo</v>
      </c>
      <c r="G158" t="str">
        <f>IF(AND(ISNUMBER(E158),E158&gt;=0,E158&lt;=90),"Sí","No")</f>
        <v>No</v>
      </c>
    </row>
    <row r="159" spans="1:7">
      <c r="A159" t="str">
        <f>Plan_Mantenciones!A117</f>
        <v>MD-58</v>
      </c>
      <c r="B159" t="str">
        <f>Plan_Mantenciones!B117</f>
        <v>Rodillo de Neumaticos</v>
      </c>
      <c r="C159" t="str">
        <f>Plan_Mantenciones!C117</f>
        <v>Maquinaria Pesada</v>
      </c>
      <c r="D159" s="13" t="str">
        <f ca="1">Plan_Mantenciones!I117</f>
        <v/>
      </c>
      <c r="E159" t="str">
        <f>Plan_Mantenciones!H117</f>
        <v/>
      </c>
      <c r="F159" t="str">
        <f>Plan_Mantenciones!J117</f>
        <v>Operativo</v>
      </c>
      <c r="G159" t="str">
        <f>IF(AND(ISNUMBER(E159),E159&gt;=0,E159&lt;=90),"Sí","No")</f>
        <v>No</v>
      </c>
    </row>
    <row r="160" spans="1:7">
      <c r="A160" t="str">
        <f>Plan_Mantenciones!A235</f>
        <v>VD-96</v>
      </c>
      <c r="B160" t="str">
        <f>Plan_Mantenciones!B235</f>
        <v>Camioneta</v>
      </c>
      <c r="C160" t="str">
        <f>Plan_Mantenciones!C235</f>
        <v>Vehículos Livianos</v>
      </c>
      <c r="D160" s="13" t="str">
        <f ca="1">Plan_Mantenciones!I235</f>
        <v/>
      </c>
      <c r="E160" t="str">
        <f>Plan_Mantenciones!H235</f>
        <v/>
      </c>
      <c r="F160" t="str">
        <f>Plan_Mantenciones!J235</f>
        <v>Operativo</v>
      </c>
      <c r="G160" t="str">
        <f>IF(AND(ISNUMBER(E160),E160&gt;=0,E160&lt;=90),"Sí","No")</f>
        <v>No</v>
      </c>
    </row>
    <row r="161" spans="1:7">
      <c r="A161" t="str">
        <f>Plan_Mantenciones!A157</f>
        <v>VD-103</v>
      </c>
      <c r="B161" t="str">
        <f>Plan_Mantenciones!B157</f>
        <v>Camioneta</v>
      </c>
      <c r="C161" t="str">
        <f>Plan_Mantenciones!C157</f>
        <v>Vehículos Livianos</v>
      </c>
      <c r="D161" s="13" t="str">
        <f ca="1">Plan_Mantenciones!I157</f>
        <v/>
      </c>
      <c r="E161" t="str">
        <f>Plan_Mantenciones!H157</f>
        <v/>
      </c>
      <c r="F161" t="str">
        <f>Plan_Mantenciones!J157</f>
        <v>Operativo</v>
      </c>
      <c r="G161" t="str">
        <f>IF(AND(ISNUMBER(E161),E161&gt;=0,E161&lt;=90),"Sí","No")</f>
        <v>No</v>
      </c>
    </row>
    <row r="162" spans="1:7">
      <c r="A162" t="str">
        <f>Plan_Mantenciones!A58</f>
        <v>CD-90</v>
      </c>
      <c r="B162" t="str">
        <f>Plan_Mantenciones!B58</f>
        <v>Camión Tolva</v>
      </c>
      <c r="C162" t="str">
        <f>Plan_Mantenciones!C58</f>
        <v>Camiones de Ruta</v>
      </c>
      <c r="D162" s="13" t="str">
        <f ca="1">Plan_Mantenciones!I58</f>
        <v/>
      </c>
      <c r="E162" t="str">
        <f>Plan_Mantenciones!H58</f>
        <v/>
      </c>
      <c r="F162" t="str">
        <f>Plan_Mantenciones!J58</f>
        <v>Operativo</v>
      </c>
      <c r="G162" t="str">
        <f>IF(AND(ISNUMBER(E162),E162&gt;=0,E162&lt;=90),"Sí","No")</f>
        <v>No</v>
      </c>
    </row>
    <row r="163" spans="1:7">
      <c r="A163" t="str">
        <f>Plan_Mantenciones!A62</f>
        <v>CD-94</v>
      </c>
      <c r="B163" t="str">
        <f>Plan_Mantenciones!B62</f>
        <v>Camión Tolva</v>
      </c>
      <c r="C163" t="str">
        <f>Plan_Mantenciones!C62</f>
        <v>Camiones de Ruta</v>
      </c>
      <c r="D163" s="13">
        <f ca="1">Plan_Mantenciones!I62</f>
        <v>46338</v>
      </c>
      <c r="E163">
        <f>Plan_Mantenciones!H62</f>
        <v>156</v>
      </c>
      <c r="F163" t="str">
        <f>Plan_Mantenciones!J62</f>
        <v>Operativo</v>
      </c>
      <c r="G163" t="str">
        <f>IF(AND(ISNUMBER(E163),E163&gt;=0,E163&lt;=90),"Sí","No")</f>
        <v>No</v>
      </c>
    </row>
    <row r="164" spans="1:7">
      <c r="A164" t="str">
        <f>Plan_Mantenciones!A122</f>
        <v>MD-65</v>
      </c>
      <c r="B164" t="str">
        <f>Plan_Mantenciones!B122</f>
        <v>Cargador Frontal</v>
      </c>
      <c r="C164" t="str">
        <f>Plan_Mantenciones!C122</f>
        <v>Maquinaria Pesada</v>
      </c>
      <c r="D164" s="13" t="str">
        <f ca="1">Plan_Mantenciones!I122</f>
        <v/>
      </c>
      <c r="E164" t="str">
        <f>Plan_Mantenciones!H122</f>
        <v/>
      </c>
      <c r="F164" t="str">
        <f>Plan_Mantenciones!J122</f>
        <v>Operativo</v>
      </c>
      <c r="G164" t="str">
        <f>IF(AND(ISNUMBER(E164),E164&gt;=0,E164&lt;=90),"Sí","No")</f>
        <v>No</v>
      </c>
    </row>
    <row r="165" spans="1:7">
      <c r="A165" t="str">
        <f>Plan_Mantenciones!A121</f>
        <v>MD-64</v>
      </c>
      <c r="B165" t="str">
        <f>Plan_Mantenciones!B121</f>
        <v>Retroexcavadora</v>
      </c>
      <c r="C165" t="str">
        <f>Plan_Mantenciones!C121</f>
        <v>Maquinaria Pesada</v>
      </c>
      <c r="D165" s="13" t="str">
        <f ca="1">Plan_Mantenciones!I121</f>
        <v/>
      </c>
      <c r="E165" t="str">
        <f>Plan_Mantenciones!H121</f>
        <v/>
      </c>
      <c r="F165" t="str">
        <f>Plan_Mantenciones!J121</f>
        <v>Operativo</v>
      </c>
      <c r="G165" t="str">
        <f>IF(AND(ISNUMBER(E165),E165&gt;=0,E165&lt;=90),"Sí","No")</f>
        <v>No</v>
      </c>
    </row>
    <row r="166" spans="1:7">
      <c r="A166" t="str">
        <f>Plan_Mantenciones!A242</f>
        <v>WED-08</v>
      </c>
      <c r="B166" t="str">
        <f>Plan_Mantenciones!B242</f>
        <v>Semiremolque</v>
      </c>
      <c r="C166" t="str">
        <f>Plan_Mantenciones!C242</f>
        <v>Maquinaria Pesada</v>
      </c>
      <c r="D166" s="13" t="str">
        <f ca="1">Plan_Mantenciones!I242</f>
        <v/>
      </c>
      <c r="E166" t="str">
        <f>Plan_Mantenciones!H242</f>
        <v/>
      </c>
      <c r="F166" t="str">
        <f>Plan_Mantenciones!J242</f>
        <v>Operativo</v>
      </c>
      <c r="G166" t="str">
        <f>IF(AND(ISNUMBER(E166),E166&gt;=0,E166&lt;=90),"Sí","No")</f>
        <v>No</v>
      </c>
    </row>
    <row r="167" spans="1:7">
      <c r="A167" t="str">
        <f>Plan_Mantenciones!A50</f>
        <v>CD-71</v>
      </c>
      <c r="B167" t="str">
        <f>Plan_Mantenciones!B50</f>
        <v>Camión Aljibe</v>
      </c>
      <c r="C167" t="str">
        <f>Plan_Mantenciones!C50</f>
        <v>Camiones de Ruta</v>
      </c>
      <c r="D167" s="13" t="str">
        <f ca="1">Plan_Mantenciones!I50</f>
        <v/>
      </c>
      <c r="E167" t="str">
        <f>Plan_Mantenciones!H50</f>
        <v/>
      </c>
      <c r="F167" t="str">
        <f>Plan_Mantenciones!J50</f>
        <v>Operativo</v>
      </c>
      <c r="G167" t="str">
        <f>IF(AND(ISNUMBER(E167),E167&gt;=0,E167&lt;=90),"Sí","No")</f>
        <v>No</v>
      </c>
    </row>
    <row r="168" spans="1:7">
      <c r="A168" t="str">
        <f>Plan_Mantenciones!A239</f>
        <v>WED-05</v>
      </c>
      <c r="B168" t="str">
        <f>Plan_Mantenciones!B239</f>
        <v>Semiremolque</v>
      </c>
      <c r="C168" t="str">
        <f>Plan_Mantenciones!C239</f>
        <v>Maquinaria Pesada</v>
      </c>
      <c r="D168" s="13" t="str">
        <f ca="1">Plan_Mantenciones!I239</f>
        <v/>
      </c>
      <c r="E168" t="str">
        <f>Plan_Mantenciones!H239</f>
        <v/>
      </c>
      <c r="F168" t="str">
        <f>Plan_Mantenciones!J239</f>
        <v>Operativo</v>
      </c>
      <c r="G168" t="str">
        <f>IF(AND(ISNUMBER(E168),E168&gt;=0,E168&lt;=90),"Sí","No")</f>
        <v>No</v>
      </c>
    </row>
    <row r="169" spans="1:7">
      <c r="A169" t="str">
        <f>Plan_Mantenciones!A13</f>
        <v>CD-110</v>
      </c>
      <c r="B169" t="str">
        <f>Plan_Mantenciones!B13</f>
        <v>Camión Plano</v>
      </c>
      <c r="C169" t="str">
        <f>Plan_Mantenciones!C13</f>
        <v>Camiones de Ruta</v>
      </c>
      <c r="D169" s="13" t="str">
        <f ca="1">Plan_Mantenciones!I13</f>
        <v/>
      </c>
      <c r="E169" t="str">
        <f>Plan_Mantenciones!H13</f>
        <v/>
      </c>
      <c r="F169" t="str">
        <f>Plan_Mantenciones!J13</f>
        <v>Operativo</v>
      </c>
      <c r="G169" t="str">
        <f>IF(AND(ISNUMBER(E169),E169&gt;=0,E169&lt;=90),"Sí","No")</f>
        <v>No</v>
      </c>
    </row>
    <row r="170" spans="1:7">
      <c r="A170" t="str">
        <f>Plan_Mantenciones!A108</f>
        <v>MD-47</v>
      </c>
      <c r="B170" t="str">
        <f>Plan_Mantenciones!B108</f>
        <v>Excavadora</v>
      </c>
      <c r="C170" t="str">
        <f>Plan_Mantenciones!C108</f>
        <v>Maquinaria Pesada</v>
      </c>
      <c r="D170" s="13" t="str">
        <f ca="1">Plan_Mantenciones!I108</f>
        <v/>
      </c>
      <c r="E170" t="str">
        <f>Plan_Mantenciones!H108</f>
        <v/>
      </c>
      <c r="F170" t="str">
        <f>Plan_Mantenciones!J108</f>
        <v>Operativo</v>
      </c>
      <c r="G170" t="str">
        <f>IF(AND(ISNUMBER(E170),E170&gt;=0,E170&lt;=90),"Sí","No")</f>
        <v>No</v>
      </c>
    </row>
    <row r="171" spans="1:7">
      <c r="A171" t="str">
        <f>Plan_Mantenciones!A41</f>
        <v>CD-138</v>
      </c>
      <c r="B171" t="str">
        <f>Plan_Mantenciones!B41</f>
        <v>Camion Imprimador</v>
      </c>
      <c r="C171" t="str">
        <f>Plan_Mantenciones!C41</f>
        <v>Maquinaria Pesada</v>
      </c>
      <c r="D171" s="13" t="str">
        <f ca="1">Plan_Mantenciones!I41</f>
        <v/>
      </c>
      <c r="E171" t="str">
        <f>Plan_Mantenciones!H41</f>
        <v/>
      </c>
      <c r="F171" t="str">
        <f>Plan_Mantenciones!J41</f>
        <v>Operativo</v>
      </c>
      <c r="G171" t="str">
        <f>IF(AND(ISNUMBER(E171),E171&gt;=0,E171&lt;=90),"Sí","No")</f>
        <v>No</v>
      </c>
    </row>
    <row r="172" spans="1:7">
      <c r="A172" t="str">
        <f>Plan_Mantenciones!A107</f>
        <v>MD-46</v>
      </c>
      <c r="B172" t="str">
        <f>Plan_Mantenciones!B107</f>
        <v>Excavadora</v>
      </c>
      <c r="C172" t="str">
        <f>Plan_Mantenciones!C107</f>
        <v>Maquinaria Pesada</v>
      </c>
      <c r="D172" s="13" t="str">
        <f ca="1">Plan_Mantenciones!I107</f>
        <v/>
      </c>
      <c r="E172" t="str">
        <f>Plan_Mantenciones!H107</f>
        <v/>
      </c>
      <c r="F172" t="str">
        <f>Plan_Mantenciones!J107</f>
        <v>Operativo</v>
      </c>
      <c r="G172" t="str">
        <f>IF(AND(ISNUMBER(E172),E172&gt;=0,E172&lt;=90),"Sí","No")</f>
        <v>No</v>
      </c>
    </row>
    <row r="173" spans="1:7">
      <c r="A173" t="str">
        <f>Plan_Mantenciones!A104</f>
        <v>MD-42</v>
      </c>
      <c r="B173" t="str">
        <f>Plan_Mantenciones!B104</f>
        <v>Cargador Frontal</v>
      </c>
      <c r="C173" t="str">
        <f>Plan_Mantenciones!C104</f>
        <v>Maquinaria Pesada</v>
      </c>
      <c r="D173" s="13" t="str">
        <f ca="1">Plan_Mantenciones!I104</f>
        <v/>
      </c>
      <c r="E173" t="str">
        <f>Plan_Mantenciones!H104</f>
        <v/>
      </c>
      <c r="F173" t="str">
        <f>Plan_Mantenciones!J104</f>
        <v>Taller</v>
      </c>
      <c r="G173" t="str">
        <f>IF(AND(ISNUMBER(E173),E173&gt;=0,E173&lt;=90),"Sí","No")</f>
        <v>No</v>
      </c>
    </row>
    <row r="174" spans="1:7">
      <c r="A174" t="str">
        <f>Plan_Mantenciones!A103</f>
        <v>MD-41</v>
      </c>
      <c r="B174" t="str">
        <f>Plan_Mantenciones!B103</f>
        <v>Rodillo</v>
      </c>
      <c r="C174" t="str">
        <f>Plan_Mantenciones!C103</f>
        <v>Maquinaria Pesada</v>
      </c>
      <c r="D174" s="13" t="str">
        <f ca="1">Plan_Mantenciones!I103</f>
        <v/>
      </c>
      <c r="E174" t="str">
        <f>Plan_Mantenciones!H103</f>
        <v/>
      </c>
      <c r="F174" t="str">
        <f>Plan_Mantenciones!J103</f>
        <v>Operativo</v>
      </c>
      <c r="G174" t="str">
        <f>IF(AND(ISNUMBER(E174),E174&gt;=0,E174&lt;=90),"Sí","No")</f>
        <v>No</v>
      </c>
    </row>
    <row r="175" spans="1:7">
      <c r="A175" t="str">
        <f>Plan_Mantenciones!A29</f>
        <v>CD-126</v>
      </c>
      <c r="B175" t="str">
        <f>Plan_Mantenciones!B29</f>
        <v>Camión Maxus</v>
      </c>
      <c r="C175" t="str">
        <f>Plan_Mantenciones!C29</f>
        <v>Camiones de Ruta</v>
      </c>
      <c r="D175" s="13" t="str">
        <f ca="1">Plan_Mantenciones!I29</f>
        <v/>
      </c>
      <c r="E175" t="str">
        <f>Plan_Mantenciones!H29</f>
        <v/>
      </c>
      <c r="F175" t="str">
        <f>Plan_Mantenciones!J29</f>
        <v>Operativo</v>
      </c>
      <c r="G175" t="str">
        <f>IF(AND(ISNUMBER(E175),E175&gt;=0,E175&lt;=90),"Sí","No")</f>
        <v>No</v>
      </c>
    </row>
    <row r="176" spans="1:7">
      <c r="A176" t="str">
        <f>Plan_Mantenciones!A74</f>
        <v>EQP-10</v>
      </c>
      <c r="B176" t="str">
        <f>Plan_Mantenciones!B74</f>
        <v>Planta aridos</v>
      </c>
      <c r="C176" t="str">
        <f>Plan_Mantenciones!C74</f>
        <v>Maquinaria Pesada</v>
      </c>
      <c r="D176" s="13" t="str">
        <f ca="1">Plan_Mantenciones!I74</f>
        <v/>
      </c>
      <c r="E176" t="str">
        <f>Plan_Mantenciones!H74</f>
        <v/>
      </c>
      <c r="F176" t="str">
        <f>Plan_Mantenciones!J74</f>
        <v>Operativo</v>
      </c>
      <c r="G176" t="str">
        <f>IF(AND(ISNUMBER(E176),E176&gt;=0,E176&lt;=90),"Sí","No")</f>
        <v>No</v>
      </c>
    </row>
    <row r="177" spans="1:7">
      <c r="A177" t="str">
        <f>Plan_Mantenciones!A98</f>
        <v>MD-33</v>
      </c>
      <c r="B177" t="str">
        <f>Plan_Mantenciones!B98</f>
        <v>Excavadora</v>
      </c>
      <c r="C177" t="str">
        <f>Plan_Mantenciones!C98</f>
        <v>Maquinaria Pesada</v>
      </c>
      <c r="D177" s="13" t="str">
        <f ca="1">Plan_Mantenciones!I98</f>
        <v/>
      </c>
      <c r="E177" t="str">
        <f>Plan_Mantenciones!H98</f>
        <v/>
      </c>
      <c r="F177" t="str">
        <f>Plan_Mantenciones!J98</f>
        <v>Taller</v>
      </c>
      <c r="G177" t="str">
        <f>IF(AND(ISNUMBER(E177),E177&gt;=0,E177&lt;=90),"Sí","No")</f>
        <v>No</v>
      </c>
    </row>
    <row r="178" spans="1:7">
      <c r="A178" t="str">
        <f>Plan_Mantenciones!A99</f>
        <v>MD-36</v>
      </c>
      <c r="B178" t="str">
        <f>Plan_Mantenciones!B99</f>
        <v>Cargador Frontal</v>
      </c>
      <c r="C178" t="str">
        <f>Plan_Mantenciones!C99</f>
        <v>Maquinaria Pesada</v>
      </c>
      <c r="D178" s="13" t="str">
        <f ca="1">Plan_Mantenciones!I99</f>
        <v/>
      </c>
      <c r="E178" t="str">
        <f>Plan_Mantenciones!H99</f>
        <v/>
      </c>
      <c r="F178" t="str">
        <f>Plan_Mantenciones!J99</f>
        <v>Taller</v>
      </c>
      <c r="G178" t="str">
        <f>IF(AND(ISNUMBER(E178),E178&gt;=0,E178&lt;=90),"Sí","No")</f>
        <v>No</v>
      </c>
    </row>
    <row r="179" spans="1:7">
      <c r="A179" t="str">
        <f>Plan_Mantenciones!A20</f>
        <v>CD-117</v>
      </c>
      <c r="B179" t="str">
        <f>Plan_Mantenciones!B20</f>
        <v>Camión Slurry</v>
      </c>
      <c r="C179" t="str">
        <f>Plan_Mantenciones!C20</f>
        <v>Camiones de Ruta</v>
      </c>
      <c r="D179" s="13" t="str">
        <f ca="1">Plan_Mantenciones!I20</f>
        <v/>
      </c>
      <c r="E179" t="str">
        <f>Plan_Mantenciones!H20</f>
        <v/>
      </c>
      <c r="F179" t="str">
        <f>Plan_Mantenciones!J20</f>
        <v>Fuera de Servicio</v>
      </c>
      <c r="G179" t="str">
        <f>IF(AND(ISNUMBER(E179),E179&gt;=0,E179&lt;=90),"Sí","No")</f>
        <v>No</v>
      </c>
    </row>
    <row r="180" spans="1:7">
      <c r="A180" t="str">
        <f>Plan_Mantenciones!A54</f>
        <v>CD-86</v>
      </c>
      <c r="B180" t="str">
        <f>Plan_Mantenciones!B54</f>
        <v>Camión Aljibe</v>
      </c>
      <c r="C180" t="str">
        <f>Plan_Mantenciones!C54</f>
        <v>Camiones de Ruta</v>
      </c>
      <c r="D180" s="13" t="str">
        <f ca="1">Plan_Mantenciones!I54</f>
        <v/>
      </c>
      <c r="E180" t="str">
        <f>Plan_Mantenciones!H54</f>
        <v/>
      </c>
      <c r="F180" t="str">
        <f>Plan_Mantenciones!J54</f>
        <v>Operativo</v>
      </c>
      <c r="G180" t="str">
        <f>IF(AND(ISNUMBER(E180),E180&gt;=0,E180&lt;=90),"Sí","No")</f>
        <v>No</v>
      </c>
    </row>
    <row r="181" spans="1:7">
      <c r="A181" t="str">
        <f>Plan_Mantenciones!A30</f>
        <v>CD-127</v>
      </c>
      <c r="B181" t="str">
        <f>Plan_Mantenciones!B30</f>
        <v>Camión Pluma</v>
      </c>
      <c r="C181" t="str">
        <f>Plan_Mantenciones!C30</f>
        <v>Camiones de Ruta</v>
      </c>
      <c r="D181" s="13" t="str">
        <f ca="1">Plan_Mantenciones!I30</f>
        <v/>
      </c>
      <c r="E181" t="str">
        <f>Plan_Mantenciones!H30</f>
        <v/>
      </c>
      <c r="F181" t="str">
        <f>Plan_Mantenciones!J30</f>
        <v>Operativo</v>
      </c>
      <c r="G181" t="str">
        <f>IF(AND(ISNUMBER(E181),E181&gt;=0,E181&lt;=90),"Sí","No")</f>
        <v>No</v>
      </c>
    </row>
    <row r="182" spans="1:7">
      <c r="A182" t="str">
        <f>Plan_Mantenciones!A61</f>
        <v>CD-93</v>
      </c>
      <c r="B182" t="str">
        <f>Plan_Mantenciones!B61</f>
        <v>Camión Plano</v>
      </c>
      <c r="C182" t="str">
        <f>Plan_Mantenciones!C61</f>
        <v>Camiones de Ruta</v>
      </c>
      <c r="D182" s="13" t="str">
        <f ca="1">Plan_Mantenciones!I61</f>
        <v/>
      </c>
      <c r="E182" t="str">
        <f>Plan_Mantenciones!H61</f>
        <v/>
      </c>
      <c r="F182" t="str">
        <f>Plan_Mantenciones!J61</f>
        <v>Fuera de Servicio</v>
      </c>
      <c r="G182" t="str">
        <f>IF(AND(ISNUMBER(E182),E182&gt;=0,E182&lt;=90),"Sí","No")</f>
        <v>No</v>
      </c>
    </row>
    <row r="183" spans="1:7">
      <c r="A183" t="str">
        <f>Plan_Mantenciones!A27</f>
        <v>CD-124</v>
      </c>
      <c r="B183" t="str">
        <f>Plan_Mantenciones!B27</f>
        <v>Camión Tolva</v>
      </c>
      <c r="C183" t="str">
        <f>Plan_Mantenciones!C27</f>
        <v>Camiones de Ruta</v>
      </c>
      <c r="D183" s="13" t="str">
        <f ca="1">Plan_Mantenciones!I27</f>
        <v/>
      </c>
      <c r="E183" t="str">
        <f>Plan_Mantenciones!H27</f>
        <v/>
      </c>
      <c r="F183" t="str">
        <f>Plan_Mantenciones!J27</f>
        <v>Fuera de Servicio</v>
      </c>
      <c r="G183" t="str">
        <f>IF(AND(ISNUMBER(E183),E183&gt;=0,E183&lt;=90),"Sí","No")</f>
        <v>No</v>
      </c>
    </row>
    <row r="184" spans="1:7">
      <c r="A184" t="str">
        <f>Plan_Mantenciones!A15</f>
        <v>CD-112</v>
      </c>
      <c r="B184" t="str">
        <f>Plan_Mantenciones!B15</f>
        <v>Camión Pintura</v>
      </c>
      <c r="C184" t="str">
        <f>Plan_Mantenciones!C15</f>
        <v>Camiones de Ruta</v>
      </c>
      <c r="D184" s="13" t="str">
        <f ca="1">Plan_Mantenciones!I15</f>
        <v/>
      </c>
      <c r="E184" t="str">
        <f>Plan_Mantenciones!H15</f>
        <v/>
      </c>
      <c r="F184" t="str">
        <f>Plan_Mantenciones!J15</f>
        <v>Fuera de Servicio</v>
      </c>
      <c r="G184" t="str">
        <f>IF(AND(ISNUMBER(E184),E184&gt;=0,E184&lt;=90),"Sí","No")</f>
        <v>No</v>
      </c>
    </row>
    <row r="185" spans="1:7">
      <c r="A185" t="str">
        <f>Plan_Mantenciones!A52</f>
        <v>CD-74</v>
      </c>
      <c r="B185" t="str">
        <f>Plan_Mantenciones!B52</f>
        <v>Tracto Camión</v>
      </c>
      <c r="C185" t="str">
        <f>Plan_Mantenciones!C52</f>
        <v>Camiones de Ruta</v>
      </c>
      <c r="D185" s="13" t="str">
        <f ca="1">Plan_Mantenciones!I52</f>
        <v/>
      </c>
      <c r="E185" t="str">
        <f>Plan_Mantenciones!H52</f>
        <v/>
      </c>
      <c r="F185" t="str">
        <f>Plan_Mantenciones!J52</f>
        <v>Fuera de Servicio</v>
      </c>
      <c r="G185" t="str">
        <f>IF(AND(ISNUMBER(E185),E185&gt;=0,E185&lt;=90),"Sí","No")</f>
        <v>No</v>
      </c>
    </row>
    <row r="186" spans="1:7">
      <c r="A186" t="str">
        <f>Plan_Mantenciones!A78</f>
        <v>EQP-15</v>
      </c>
      <c r="B186" t="str">
        <f>Plan_Mantenciones!B78</f>
        <v>Planta Aridos seleccionadora</v>
      </c>
      <c r="C186" t="str">
        <f>Plan_Mantenciones!C78</f>
        <v>Maquinaria Pesada</v>
      </c>
      <c r="D186" s="13" t="str">
        <f ca="1">Plan_Mantenciones!I78</f>
        <v/>
      </c>
      <c r="E186" t="str">
        <f>Plan_Mantenciones!H78</f>
        <v/>
      </c>
      <c r="F186" t="str">
        <f>Plan_Mantenciones!J78</f>
        <v>Fuera de Servicio</v>
      </c>
      <c r="G186" t="str">
        <f>IF(AND(ISNUMBER(E186),E186&gt;=0,E186&lt;=90),"Sí","No")</f>
        <v>No</v>
      </c>
    </row>
    <row r="187" spans="1:7">
      <c r="A187" t="str">
        <f>Plan_Mantenciones!A201</f>
        <v>VD-59</v>
      </c>
      <c r="B187" t="str">
        <f>Plan_Mantenciones!B201</f>
        <v>Camioneta</v>
      </c>
      <c r="C187" t="str">
        <f>Plan_Mantenciones!C201</f>
        <v>Vehículos Livianos</v>
      </c>
      <c r="D187" s="13" t="str">
        <f ca="1">Plan_Mantenciones!I201</f>
        <v/>
      </c>
      <c r="E187" t="str">
        <f>Plan_Mantenciones!H201</f>
        <v/>
      </c>
      <c r="F187" t="str">
        <f>Plan_Mantenciones!J201</f>
        <v>Fuera de Servicio</v>
      </c>
      <c r="G187" t="str">
        <f>IF(AND(ISNUMBER(E187),E187&gt;=0,E187&lt;=90),"Sí","No")</f>
        <v>No</v>
      </c>
    </row>
    <row r="188" spans="1:7">
      <c r="A188" t="str">
        <f>Plan_Mantenciones!A65</f>
        <v>CD-98</v>
      </c>
      <c r="B188" t="str">
        <f>Plan_Mantenciones!B65</f>
        <v>Camión Plano</v>
      </c>
      <c r="C188" t="str">
        <f>Plan_Mantenciones!C65</f>
        <v>Camiones de Ruta</v>
      </c>
      <c r="D188" s="13" t="str">
        <f ca="1">Plan_Mantenciones!I65</f>
        <v/>
      </c>
      <c r="E188" t="str">
        <f>Plan_Mantenciones!H65</f>
        <v/>
      </c>
      <c r="F188" t="str">
        <f>Plan_Mantenciones!J65</f>
        <v>Operativo</v>
      </c>
      <c r="G188" t="str">
        <f>IF(AND(ISNUMBER(E188),E188&gt;=0,E188&lt;=90),"Sí","No")</f>
        <v>No</v>
      </c>
    </row>
    <row r="189" spans="1:7">
      <c r="A189" t="str">
        <f>Plan_Mantenciones!A228</f>
        <v>VD-89</v>
      </c>
      <c r="B189" t="str">
        <f>Plan_Mantenciones!B228</f>
        <v>Camioneta</v>
      </c>
      <c r="C189" t="str">
        <f>Plan_Mantenciones!C228</f>
        <v>Vehículos Livianos</v>
      </c>
      <c r="D189" s="13" t="str">
        <f ca="1">Plan_Mantenciones!I228</f>
        <v/>
      </c>
      <c r="E189" t="str">
        <f>Plan_Mantenciones!H228</f>
        <v/>
      </c>
      <c r="F189" t="str">
        <f>Plan_Mantenciones!J228</f>
        <v>Operativo</v>
      </c>
      <c r="G189" t="str">
        <f>IF(AND(ISNUMBER(E189),E189&gt;=0,E189&lt;=90),"Sí","No")</f>
        <v>No</v>
      </c>
    </row>
    <row r="190" spans="1:7">
      <c r="A190" t="str">
        <f>Plan_Mantenciones!A70</f>
        <v>ED-63</v>
      </c>
      <c r="B190" t="str">
        <f>Plan_Mantenciones!B70</f>
        <v>Barredora</v>
      </c>
      <c r="C190" t="str">
        <f>Plan_Mantenciones!C70</f>
        <v>Maquinaria Pesada</v>
      </c>
      <c r="D190" s="13" t="str">
        <f ca="1">Plan_Mantenciones!I70</f>
        <v/>
      </c>
      <c r="E190" t="str">
        <f>Plan_Mantenciones!H70</f>
        <v/>
      </c>
      <c r="F190" t="str">
        <f>Plan_Mantenciones!J70</f>
        <v>Operativo</v>
      </c>
      <c r="G190" t="str">
        <f>IF(AND(ISNUMBER(E190),E190&gt;=0,E190&lt;=90),"Sí","No")</f>
        <v>No</v>
      </c>
    </row>
    <row r="191" spans="1:7">
      <c r="A191" t="str">
        <f>Plan_Mantenciones!A14</f>
        <v>CD-111</v>
      </c>
      <c r="B191" t="str">
        <f>Plan_Mantenciones!B14</f>
        <v>Camión Plano</v>
      </c>
      <c r="C191" t="str">
        <f>Plan_Mantenciones!C14</f>
        <v>Camiones de Ruta</v>
      </c>
      <c r="D191" s="13" t="str">
        <f ca="1">Plan_Mantenciones!I14</f>
        <v/>
      </c>
      <c r="E191" t="str">
        <f>Plan_Mantenciones!H14</f>
        <v/>
      </c>
      <c r="F191" t="str">
        <f>Plan_Mantenciones!J14</f>
        <v>Fuera de Servicio</v>
      </c>
      <c r="G191" t="str">
        <f>IF(AND(ISNUMBER(E191),E191&gt;=0,E191&lt;=90),"Sí","No")</f>
        <v>No</v>
      </c>
    </row>
    <row r="192" spans="1:7">
      <c r="A192" t="str">
        <f>Plan_Mantenciones!A60</f>
        <v>CD-92</v>
      </c>
      <c r="B192" t="str">
        <f>Plan_Mantenciones!B60</f>
        <v>Camión Combustible</v>
      </c>
      <c r="C192" t="str">
        <f>Plan_Mantenciones!C60</f>
        <v>Camiones de Ruta</v>
      </c>
      <c r="D192" s="13" t="str">
        <f ca="1">Plan_Mantenciones!I60</f>
        <v/>
      </c>
      <c r="E192" t="str">
        <f>Plan_Mantenciones!H60</f>
        <v/>
      </c>
      <c r="F192" t="str">
        <f>Plan_Mantenciones!J60</f>
        <v>Fuera de Servicio</v>
      </c>
      <c r="G192" t="str">
        <f>IF(AND(ISNUMBER(E192),E192&gt;=0,E192&lt;=90),"Sí","No")</f>
        <v>No</v>
      </c>
    </row>
    <row r="193" spans="1:7">
      <c r="A193" t="str">
        <f>Plan_Mantenciones!A53</f>
        <v>CD-80</v>
      </c>
      <c r="B193" t="str">
        <f>Plan_Mantenciones!B53</f>
        <v>Camión Pluma</v>
      </c>
      <c r="C193" t="str">
        <f>Plan_Mantenciones!C53</f>
        <v>Camiones de Ruta</v>
      </c>
      <c r="D193" s="13" t="str">
        <f ca="1">Plan_Mantenciones!I53</f>
        <v/>
      </c>
      <c r="E193" t="str">
        <f>Plan_Mantenciones!H53</f>
        <v/>
      </c>
      <c r="F193" t="str">
        <f>Plan_Mantenciones!J53</f>
        <v>Fuera de Servicio</v>
      </c>
      <c r="G193" t="str">
        <f>IF(AND(ISNUMBER(E193),E193&gt;=0,E193&lt;=90),"Sí","No")</f>
        <v>No</v>
      </c>
    </row>
    <row r="194" spans="1:7">
      <c r="A194" t="str">
        <f>Plan_Mantenciones!A40</f>
        <v>CD-137</v>
      </c>
      <c r="B194" t="str">
        <f>Plan_Mantenciones!B40</f>
        <v>Tracto Camión</v>
      </c>
      <c r="C194" t="str">
        <f>Plan_Mantenciones!C40</f>
        <v>Camiones de Ruta</v>
      </c>
      <c r="D194" s="13" t="str">
        <f ca="1">Plan_Mantenciones!I40</f>
        <v/>
      </c>
      <c r="E194" t="str">
        <f>Plan_Mantenciones!H40</f>
        <v/>
      </c>
      <c r="F194" t="str">
        <f>Plan_Mantenciones!J40</f>
        <v>Operativo</v>
      </c>
      <c r="G194" t="str">
        <f>IF(AND(ISNUMBER(E194),E194&gt;=0,E194&lt;=90),"Sí","No")</f>
        <v>No</v>
      </c>
    </row>
    <row r="195" spans="1:7">
      <c r="A195" t="str">
        <f>Plan_Mantenciones!A221</f>
        <v>VD-82</v>
      </c>
      <c r="B195" t="str">
        <f>Plan_Mantenciones!B221</f>
        <v>Camioneta</v>
      </c>
      <c r="C195" t="str">
        <f>Plan_Mantenciones!C221</f>
        <v>Vehículos Livianos</v>
      </c>
      <c r="D195" s="13" t="str">
        <f ca="1">Plan_Mantenciones!I221</f>
        <v/>
      </c>
      <c r="E195" t="str">
        <f>Plan_Mantenciones!H221</f>
        <v/>
      </c>
      <c r="F195" t="str">
        <f>Plan_Mantenciones!J221</f>
        <v>Operativo</v>
      </c>
      <c r="G195" t="str">
        <f>IF(AND(ISNUMBER(E195),E195&gt;=0,E195&lt;=90),"Sí","No")</f>
        <v>No</v>
      </c>
    </row>
    <row r="196" spans="1:7">
      <c r="A196" t="str">
        <f>Plan_Mantenciones!A240</f>
        <v>WED-06</v>
      </c>
      <c r="B196" t="str">
        <f>Plan_Mantenciones!B240</f>
        <v>Semiremolque</v>
      </c>
      <c r="C196" t="str">
        <f>Plan_Mantenciones!C240</f>
        <v>Maquinaria Pesada</v>
      </c>
      <c r="D196" s="13" t="str">
        <f ca="1">Plan_Mantenciones!I240</f>
        <v/>
      </c>
      <c r="E196" t="str">
        <f>Plan_Mantenciones!H240</f>
        <v/>
      </c>
      <c r="F196" t="str">
        <f>Plan_Mantenciones!J240</f>
        <v>Operativo</v>
      </c>
      <c r="G196" t="str">
        <f>IF(AND(ISNUMBER(E196),E196&gt;=0,E196&lt;=90),"Sí","No")</f>
        <v>No</v>
      </c>
    </row>
    <row r="197" spans="1:7">
      <c r="A197" t="str">
        <f>Plan_Mantenciones!A72</f>
        <v>ED-67</v>
      </c>
      <c r="B197" t="str">
        <f>Plan_Mantenciones!B72</f>
        <v>Imprimador</v>
      </c>
      <c r="C197" t="str">
        <f>Plan_Mantenciones!C72</f>
        <v>Maquinaria Pesada</v>
      </c>
      <c r="D197" s="13" t="str">
        <f ca="1">Plan_Mantenciones!I72</f>
        <v/>
      </c>
      <c r="E197" t="str">
        <f>Plan_Mantenciones!H72</f>
        <v/>
      </c>
      <c r="F197" t="str">
        <f>Plan_Mantenciones!J72</f>
        <v>Operativo</v>
      </c>
      <c r="G197" t="str">
        <f>IF(AND(ISNUMBER(E197),E197&gt;=0,E197&lt;=90),"Sí","No")</f>
        <v>No</v>
      </c>
    </row>
    <row r="198" spans="1:7">
      <c r="A198" t="str">
        <f>Plan_Mantenciones!A100</f>
        <v>MD-37</v>
      </c>
      <c r="B198" t="str">
        <f>Plan_Mantenciones!B100</f>
        <v>Cargador Frontal</v>
      </c>
      <c r="C198" t="str">
        <f>Plan_Mantenciones!C100</f>
        <v>Maquinaria Pesada</v>
      </c>
      <c r="D198" s="13" t="str">
        <f ca="1">Plan_Mantenciones!I100</f>
        <v/>
      </c>
      <c r="E198" t="str">
        <f>Plan_Mantenciones!H100</f>
        <v/>
      </c>
      <c r="F198" t="str">
        <f>Plan_Mantenciones!J100</f>
        <v>Operativo</v>
      </c>
      <c r="G198" t="str">
        <f>IF(AND(ISNUMBER(E198),E198&gt;=0,E198&lt;=90),"Sí","No")</f>
        <v>No</v>
      </c>
    </row>
    <row r="199" spans="1:7">
      <c r="A199" t="str">
        <f>Plan_Mantenciones!A194</f>
        <v>VD-141</v>
      </c>
      <c r="B199" t="str">
        <f>Plan_Mantenciones!B194</f>
        <v>Camioneta</v>
      </c>
      <c r="C199" t="str">
        <f>Plan_Mantenciones!C194</f>
        <v>Vehículos Livianos</v>
      </c>
      <c r="D199" s="13" t="str">
        <f ca="1">Plan_Mantenciones!I194</f>
        <v/>
      </c>
      <c r="E199" t="str">
        <f>Plan_Mantenciones!H194</f>
        <v/>
      </c>
      <c r="F199" t="str">
        <f>Plan_Mantenciones!J194</f>
        <v>Operativo</v>
      </c>
      <c r="G199" t="str">
        <f>IF(AND(ISNUMBER(E199),E199&gt;=0,E199&lt;=90),"Sí","No")</f>
        <v>No</v>
      </c>
    </row>
    <row r="200" spans="1:7">
      <c r="A200" t="str">
        <f>Plan_Mantenciones!A66</f>
        <v>CD-99</v>
      </c>
      <c r="B200" t="str">
        <f>Plan_Mantenciones!B66</f>
        <v>Camión Aljibe</v>
      </c>
      <c r="C200" t="str">
        <f>Plan_Mantenciones!C66</f>
        <v>Camiones de Ruta</v>
      </c>
      <c r="D200" s="13" t="str">
        <f ca="1">Plan_Mantenciones!I66</f>
        <v/>
      </c>
      <c r="E200" t="str">
        <f>Plan_Mantenciones!H66</f>
        <v/>
      </c>
      <c r="F200" t="str">
        <f>Plan_Mantenciones!J66</f>
        <v>Fuera de Servicio</v>
      </c>
      <c r="G200" t="str">
        <f>IF(AND(ISNUMBER(E200),E200&gt;=0,E200&lt;=90),"Sí","No")</f>
        <v>No</v>
      </c>
    </row>
    <row r="201" spans="1:7">
      <c r="A201" t="str">
        <f>Plan_Mantenciones!A213</f>
        <v>VD-74</v>
      </c>
      <c r="B201" t="str">
        <f>Plan_Mantenciones!B213</f>
        <v>Camioneta</v>
      </c>
      <c r="C201" t="str">
        <f>Plan_Mantenciones!C213</f>
        <v>Vehículos Livianos</v>
      </c>
      <c r="D201" s="13" t="str">
        <f ca="1">Plan_Mantenciones!I213</f>
        <v/>
      </c>
      <c r="E201" t="str">
        <f>Plan_Mantenciones!H213</f>
        <v/>
      </c>
      <c r="F201" t="str">
        <f>Plan_Mantenciones!J213</f>
        <v>Fuera de Servicio</v>
      </c>
      <c r="G201" t="str">
        <f>IF(AND(ISNUMBER(E201),E201&gt;=0,E201&lt;=90),"Sí","No")</f>
        <v>No</v>
      </c>
    </row>
    <row r="202" spans="1:7">
      <c r="A202" t="str">
        <f>Plan_Mantenciones!A71</f>
        <v>ED-66</v>
      </c>
      <c r="B202" t="str">
        <f>Plan_Mantenciones!B71</f>
        <v>Planta Micropavimento</v>
      </c>
      <c r="C202" t="str">
        <f>Plan_Mantenciones!C71</f>
        <v>Maquinaria Pesada</v>
      </c>
      <c r="D202" s="13" t="str">
        <f ca="1">Plan_Mantenciones!I71</f>
        <v/>
      </c>
      <c r="E202" t="str">
        <f>Plan_Mantenciones!H71</f>
        <v/>
      </c>
      <c r="F202" t="str">
        <f>Plan_Mantenciones!J71</f>
        <v>Operativo</v>
      </c>
      <c r="G202" t="str">
        <f>IF(AND(ISNUMBER(E202),E202&gt;=0,E202&lt;=90),"Sí","No")</f>
        <v>No</v>
      </c>
    </row>
    <row r="203" spans="1:7">
      <c r="A203" t="str">
        <f>Plan_Mantenciones!A82</f>
        <v>EQP-19</v>
      </c>
      <c r="B203" t="str">
        <f>Plan_Mantenciones!B82</f>
        <v>Planta aridos</v>
      </c>
      <c r="C203" t="str">
        <f>Plan_Mantenciones!C82</f>
        <v>Maquinaria Pesada</v>
      </c>
      <c r="D203" s="13" t="str">
        <f ca="1">Plan_Mantenciones!I82</f>
        <v/>
      </c>
      <c r="E203" t="str">
        <f>Plan_Mantenciones!H82</f>
        <v/>
      </c>
      <c r="F203" t="str">
        <f>Plan_Mantenciones!J82</f>
        <v>Operativo</v>
      </c>
      <c r="G203" t="str">
        <f>IF(AND(ISNUMBER(E203),E203&gt;=0,E203&lt;=90),"Sí","No")</f>
        <v>No</v>
      </c>
    </row>
    <row r="204" spans="1:7">
      <c r="A204" t="str">
        <f>Plan_Mantenciones!A11</f>
        <v>CD-108</v>
      </c>
      <c r="B204" t="str">
        <f>Plan_Mantenciones!B11</f>
        <v>Camión Slurry</v>
      </c>
      <c r="C204" t="str">
        <f>Plan_Mantenciones!C11</f>
        <v>Camiones de Ruta</v>
      </c>
      <c r="D204" s="13" t="str">
        <f ca="1">Plan_Mantenciones!I11</f>
        <v/>
      </c>
      <c r="E204" t="str">
        <f>Plan_Mantenciones!H11</f>
        <v/>
      </c>
      <c r="F204" t="str">
        <f>Plan_Mantenciones!J11</f>
        <v>Operativo</v>
      </c>
      <c r="G204" t="str">
        <f>IF(AND(ISNUMBER(E204),E204&gt;=0,E204&lt;=90),"Sí","No")</f>
        <v>No</v>
      </c>
    </row>
    <row r="205" spans="1:7">
      <c r="A205" t="str">
        <f>Plan_Mantenciones!A19</f>
        <v>CD-116</v>
      </c>
      <c r="B205" t="str">
        <f>Plan_Mantenciones!B19</f>
        <v>Camión Plano</v>
      </c>
      <c r="C205" t="str">
        <f>Plan_Mantenciones!C19</f>
        <v>Camiones de Ruta</v>
      </c>
      <c r="D205" s="13" t="str">
        <f ca="1">Plan_Mantenciones!I19</f>
        <v/>
      </c>
      <c r="E205" t="str">
        <f>Plan_Mantenciones!H19</f>
        <v/>
      </c>
      <c r="F205" t="str">
        <f>Plan_Mantenciones!J19</f>
        <v>Operativo</v>
      </c>
      <c r="G205" t="str">
        <f>IF(AND(ISNUMBER(E205),E205&gt;=0,E205&lt;=90),"Sí","No")</f>
        <v>No</v>
      </c>
    </row>
    <row r="206" spans="1:7">
      <c r="A206" t="str">
        <f>Plan_Mantenciones!A55</f>
        <v>CD-87</v>
      </c>
      <c r="B206" t="str">
        <f>Plan_Mantenciones!B55</f>
        <v>Camión Tolva</v>
      </c>
      <c r="C206" t="str">
        <f>Plan_Mantenciones!C55</f>
        <v>Camiones de Ruta</v>
      </c>
      <c r="D206" s="13" t="str">
        <f ca="1">Plan_Mantenciones!I55</f>
        <v/>
      </c>
      <c r="E206" t="str">
        <f>Plan_Mantenciones!H55</f>
        <v/>
      </c>
      <c r="F206" t="str">
        <f>Plan_Mantenciones!J55</f>
        <v>Operativo</v>
      </c>
      <c r="G206" t="str">
        <f>IF(AND(ISNUMBER(E206),E206&gt;=0,E206&lt;=90),"Sí","No")</f>
        <v>No</v>
      </c>
    </row>
    <row r="207" spans="1:7">
      <c r="A207" t="str">
        <f>Plan_Mantenciones!A16</f>
        <v>CD-113</v>
      </c>
      <c r="B207" t="str">
        <f>Plan_Mantenciones!B16</f>
        <v>Camión Imprimador</v>
      </c>
      <c r="C207" t="str">
        <f>Plan_Mantenciones!C16</f>
        <v>Camiones de Ruta</v>
      </c>
      <c r="D207" s="13" t="str">
        <f ca="1">Plan_Mantenciones!I16</f>
        <v/>
      </c>
      <c r="E207" t="str">
        <f>Plan_Mantenciones!H16</f>
        <v/>
      </c>
      <c r="F207" t="str">
        <f>Plan_Mantenciones!J16</f>
        <v>Operativo</v>
      </c>
      <c r="G207" t="str">
        <f>IF(AND(ISNUMBER(E207),E207&gt;=0,E207&lt;=90),"Sí","No")</f>
        <v>No</v>
      </c>
    </row>
    <row r="208" spans="1:7">
      <c r="A208" t="str">
        <f>Plan_Mantenciones!A63</f>
        <v>CD-96</v>
      </c>
      <c r="B208" t="str">
        <f>Plan_Mantenciones!B63</f>
        <v>Camión Aljibe</v>
      </c>
      <c r="C208" t="str">
        <f>Plan_Mantenciones!C63</f>
        <v>Camiones de Ruta</v>
      </c>
      <c r="D208" s="13" t="str">
        <f ca="1">Plan_Mantenciones!I63</f>
        <v/>
      </c>
      <c r="E208" t="str">
        <f>Plan_Mantenciones!H63</f>
        <v/>
      </c>
      <c r="F208" t="str">
        <f>Plan_Mantenciones!J63</f>
        <v>Operativo</v>
      </c>
      <c r="G208" t="str">
        <f>IF(AND(ISNUMBER(E208),E208&gt;=0,E208&lt;=90),"Sí","No")</f>
        <v>No</v>
      </c>
    </row>
    <row r="209" spans="1:7">
      <c r="A209" t="str">
        <f>Plan_Mantenciones!A12</f>
        <v>CD-109</v>
      </c>
      <c r="B209" t="str">
        <f>Plan_Mantenciones!B12</f>
        <v>Camión Plano</v>
      </c>
      <c r="C209" t="str">
        <f>Plan_Mantenciones!C12</f>
        <v>Camiones de Ruta</v>
      </c>
      <c r="D209" s="13" t="str">
        <f ca="1">Plan_Mantenciones!I12</f>
        <v/>
      </c>
      <c r="E209" t="str">
        <f>Plan_Mantenciones!H12</f>
        <v/>
      </c>
      <c r="F209" t="str">
        <f>Plan_Mantenciones!J12</f>
        <v>Operativo</v>
      </c>
      <c r="G209" t="str">
        <f>IF(AND(ISNUMBER(E209),E209&gt;=0,E209&lt;=90),"Sí","No")</f>
        <v>No</v>
      </c>
    </row>
    <row r="210" spans="1:7">
      <c r="A210" t="str">
        <f>Plan_Mantenciones!A33</f>
        <v>CD-130</v>
      </c>
      <c r="B210" t="str">
        <f>Plan_Mantenciones!B33</f>
        <v>Camión Tolva</v>
      </c>
      <c r="C210" t="str">
        <f>Plan_Mantenciones!C33</f>
        <v>Camiones de Ruta</v>
      </c>
      <c r="D210" s="13" t="str">
        <f ca="1">Plan_Mantenciones!I33</f>
        <v/>
      </c>
      <c r="E210" t="str">
        <f>Plan_Mantenciones!H33</f>
        <v/>
      </c>
      <c r="F210" t="str">
        <f>Plan_Mantenciones!J33</f>
        <v>Fuera de Servicio</v>
      </c>
      <c r="G210" t="str">
        <f>IF(AND(ISNUMBER(E210),E210&gt;=0,E210&lt;=90),"Sí","No")</f>
        <v>No</v>
      </c>
    </row>
    <row r="211" spans="1:7">
      <c r="A211" t="str">
        <f>Plan_Mantenciones!A46</f>
        <v>CD-51</v>
      </c>
      <c r="B211" t="str">
        <f>Plan_Mantenciones!B46</f>
        <v>Camión Combustible</v>
      </c>
      <c r="C211" t="str">
        <f>Plan_Mantenciones!C46</f>
        <v>Camiones de Ruta</v>
      </c>
      <c r="D211" s="13" t="str">
        <f ca="1">Plan_Mantenciones!I46</f>
        <v/>
      </c>
      <c r="E211" t="str">
        <f>Plan_Mantenciones!H46</f>
        <v/>
      </c>
      <c r="F211" t="str">
        <f>Plan_Mantenciones!J46</f>
        <v>Operativo</v>
      </c>
      <c r="G211" t="str">
        <f>IF(AND(ISNUMBER(E211),E211&gt;=0,E211&lt;=90),"Sí","No")</f>
        <v>No</v>
      </c>
    </row>
    <row r="212" spans="1:7">
      <c r="A212" t="str">
        <f>Plan_Mantenciones!A45</f>
        <v>CD-142</v>
      </c>
      <c r="B212" t="str">
        <f>Plan_Mantenciones!B45</f>
        <v>Camion Mixer</v>
      </c>
      <c r="C212" t="str">
        <f>Plan_Mantenciones!C45</f>
        <v>Maquinaria Pesada</v>
      </c>
      <c r="D212" s="13" t="str">
        <f ca="1">Plan_Mantenciones!I45</f>
        <v/>
      </c>
      <c r="E212" t="str">
        <f>Plan_Mantenciones!H45</f>
        <v/>
      </c>
      <c r="F212" t="str">
        <f>Plan_Mantenciones!J45</f>
        <v>Operativo</v>
      </c>
      <c r="G212" t="str">
        <f>IF(AND(ISNUMBER(E212),E212&gt;=0,E212&lt;=90),"Sí","No")</f>
        <v>No</v>
      </c>
    </row>
    <row r="213" spans="1:7">
      <c r="A213" t="str">
        <f>Plan_Mantenciones!A64</f>
        <v>CD-97</v>
      </c>
      <c r="B213" t="str">
        <f>Plan_Mantenciones!B64</f>
        <v>Tracto Camión</v>
      </c>
      <c r="C213" t="str">
        <f>Plan_Mantenciones!C64</f>
        <v>Camiones de Ruta</v>
      </c>
      <c r="D213" s="13" t="str">
        <f ca="1">Plan_Mantenciones!I64</f>
        <v/>
      </c>
      <c r="E213" t="str">
        <f>Plan_Mantenciones!H64</f>
        <v/>
      </c>
      <c r="F213" t="str">
        <f>Plan_Mantenciones!J64</f>
        <v>Operativo</v>
      </c>
      <c r="G213" t="str">
        <f>IF(AND(ISNUMBER(E213),E213&gt;=0,E213&lt;=90),"Sí","No")</f>
        <v>No</v>
      </c>
    </row>
    <row r="214" spans="1:7">
      <c r="A214" t="str">
        <f>Plan_Mantenciones!A7</f>
        <v>CD-104</v>
      </c>
      <c r="B214" t="str">
        <f>Plan_Mantenciones!B7</f>
        <v>Camión Tolva</v>
      </c>
      <c r="C214" t="str">
        <f>Plan_Mantenciones!C7</f>
        <v>Camiones de Ruta</v>
      </c>
      <c r="D214" s="13" t="str">
        <f ca="1">Plan_Mantenciones!I7</f>
        <v/>
      </c>
      <c r="E214" t="str">
        <f>Plan_Mantenciones!H7</f>
        <v/>
      </c>
      <c r="F214" t="str">
        <f>Plan_Mantenciones!J7</f>
        <v>Operativo</v>
      </c>
      <c r="G214" t="str">
        <f>IF(AND(ISNUMBER(E214),E214&gt;=0,E214&lt;=90),"Sí","No")</f>
        <v>No</v>
      </c>
    </row>
    <row r="215" spans="1:7">
      <c r="A215" t="str">
        <f>Plan_Mantenciones!A28</f>
        <v>CD-125</v>
      </c>
      <c r="B215" t="str">
        <f>Plan_Mantenciones!B28</f>
        <v>Camión Maxus</v>
      </c>
      <c r="C215" t="str">
        <f>Plan_Mantenciones!C28</f>
        <v>Camiones de Ruta</v>
      </c>
      <c r="D215" s="13" t="str">
        <f ca="1">Plan_Mantenciones!I28</f>
        <v/>
      </c>
      <c r="E215" t="str">
        <f>Plan_Mantenciones!H28</f>
        <v/>
      </c>
      <c r="F215" t="str">
        <f>Plan_Mantenciones!J28</f>
        <v>Operativo</v>
      </c>
      <c r="G215" t="str">
        <f>IF(AND(ISNUMBER(E215),E215&gt;=0,E215&lt;=90),"Sí","No")</f>
        <v>No</v>
      </c>
    </row>
    <row r="216" spans="1:7">
      <c r="A216" t="str">
        <f>Plan_Mantenciones!A26</f>
        <v>CD-123</v>
      </c>
      <c r="B216" t="str">
        <f>Plan_Mantenciones!B26</f>
        <v>Camión Tolva</v>
      </c>
      <c r="C216" t="str">
        <f>Plan_Mantenciones!C26</f>
        <v>Camiones de Ruta</v>
      </c>
      <c r="D216" s="13" t="str">
        <f ca="1">Plan_Mantenciones!I26</f>
        <v/>
      </c>
      <c r="E216" t="str">
        <f>Plan_Mantenciones!H26</f>
        <v/>
      </c>
      <c r="F216" t="str">
        <f>Plan_Mantenciones!J26</f>
        <v>Operativo</v>
      </c>
      <c r="G216" t="str">
        <f>IF(AND(ISNUMBER(E216),E216&gt;=0,E216&lt;=90),"Sí","No")</f>
        <v>No</v>
      </c>
    </row>
    <row r="217" spans="1:7">
      <c r="A217" t="str">
        <f>Plan_Mantenciones!A6</f>
        <v>CD-103</v>
      </c>
      <c r="B217" t="str">
        <f>Plan_Mantenciones!B6</f>
        <v>Camión Tolva</v>
      </c>
      <c r="C217" t="str">
        <f>Plan_Mantenciones!C6</f>
        <v>Camiones de Ruta</v>
      </c>
      <c r="D217" s="13" t="str">
        <f ca="1">Plan_Mantenciones!I6</f>
        <v/>
      </c>
      <c r="E217" t="str">
        <f>Plan_Mantenciones!H6</f>
        <v/>
      </c>
      <c r="F217" t="str">
        <f>Plan_Mantenciones!J6</f>
        <v>Fuera de Servicio</v>
      </c>
      <c r="G217" t="str">
        <f>IF(AND(ISNUMBER(E217),E217&gt;=0,E217&lt;=90),"Sí","No")</f>
        <v>No</v>
      </c>
    </row>
    <row r="218" spans="1:7">
      <c r="A218" t="str">
        <f>Plan_Mantenciones!A32</f>
        <v>CD-129</v>
      </c>
      <c r="B218" t="str">
        <f>Plan_Mantenciones!B32</f>
        <v>Camión Aljibe</v>
      </c>
      <c r="C218" t="str">
        <f>Plan_Mantenciones!C32</f>
        <v>Camiones de Ruta</v>
      </c>
      <c r="D218" s="13" t="str">
        <f ca="1">Plan_Mantenciones!I32</f>
        <v/>
      </c>
      <c r="E218" t="str">
        <f>Plan_Mantenciones!H32</f>
        <v/>
      </c>
      <c r="F218" t="str">
        <f>Plan_Mantenciones!J32</f>
        <v>Fuera de Servicio</v>
      </c>
      <c r="G218" t="str">
        <f>IF(AND(ISNUMBER(E218),E218&gt;=0,E218&lt;=90),"Sí","No")</f>
        <v>No</v>
      </c>
    </row>
    <row r="219" spans="1:7">
      <c r="A219" t="str">
        <f>Plan_Mantenciones!A80</f>
        <v>EQP-17</v>
      </c>
      <c r="B219" t="str">
        <f>Plan_Mantenciones!B80</f>
        <v>Planta Aridos seleccionadora</v>
      </c>
      <c r="C219" t="str">
        <f>Plan_Mantenciones!C80</f>
        <v>Maquinaria Pesada</v>
      </c>
      <c r="D219" s="13" t="str">
        <f ca="1">Plan_Mantenciones!I80</f>
        <v/>
      </c>
      <c r="E219" t="str">
        <f>Plan_Mantenciones!H80</f>
        <v/>
      </c>
      <c r="F219" t="str">
        <f>Plan_Mantenciones!J80</f>
        <v>Fuera de Servicio</v>
      </c>
      <c r="G219" t="str">
        <f>IF(AND(ISNUMBER(E219),E219&gt;=0,E219&lt;=90),"Sí","No")</f>
        <v>No</v>
      </c>
    </row>
    <row r="220" spans="1:7">
      <c r="A220" t="str">
        <f>Plan_Mantenciones!A48</f>
        <v>CD-68</v>
      </c>
      <c r="B220" t="str">
        <f>Plan_Mantenciones!B48</f>
        <v>Camión Aljibe</v>
      </c>
      <c r="C220" t="str">
        <f>Plan_Mantenciones!C48</f>
        <v>Camiones de Ruta</v>
      </c>
      <c r="D220" s="13" t="str">
        <f ca="1">Plan_Mantenciones!I48</f>
        <v/>
      </c>
      <c r="E220" t="str">
        <f>Plan_Mantenciones!H48</f>
        <v/>
      </c>
      <c r="F220" t="str">
        <f>Plan_Mantenciones!J48</f>
        <v>Operativo</v>
      </c>
      <c r="G220" t="str">
        <f>IF(AND(ISNUMBER(E220),E220&gt;=0,E220&lt;=90),"Sí","No")</f>
        <v>No</v>
      </c>
    </row>
    <row r="221" spans="1:7">
      <c r="A221" t="str">
        <f>Plan_Mantenciones!A198</f>
        <v>VD-45</v>
      </c>
      <c r="B221" t="str">
        <f>Plan_Mantenciones!B198</f>
        <v>Minibus</v>
      </c>
      <c r="C221" t="str">
        <f>Plan_Mantenciones!C198</f>
        <v>Vehículos Livianos</v>
      </c>
      <c r="D221" s="13" t="str">
        <f ca="1">Plan_Mantenciones!I198</f>
        <v/>
      </c>
      <c r="E221" t="str">
        <f>Plan_Mantenciones!H198</f>
        <v/>
      </c>
      <c r="F221" t="str">
        <f>Plan_Mantenciones!J198</f>
        <v>Taller</v>
      </c>
      <c r="G221" t="str">
        <f>IF(AND(ISNUMBER(E221),E221&gt;=0,E221&lt;=90),"Sí","No")</f>
        <v>No</v>
      </c>
    </row>
    <row r="222" spans="1:7">
      <c r="A222" t="str">
        <f>Plan_Mantenciones!A199</f>
        <v>VD-57</v>
      </c>
      <c r="B222" t="str">
        <f>Plan_Mantenciones!B199</f>
        <v>Camioneta</v>
      </c>
      <c r="C222" t="str">
        <f>Plan_Mantenciones!C199</f>
        <v>Vehículos Livianos</v>
      </c>
      <c r="D222" s="13" t="str">
        <f ca="1">Plan_Mantenciones!I199</f>
        <v/>
      </c>
      <c r="E222" t="str">
        <f>Plan_Mantenciones!H199</f>
        <v/>
      </c>
      <c r="F222" t="str">
        <f>Plan_Mantenciones!J199</f>
        <v>Fuera de Servicio</v>
      </c>
      <c r="G222" t="str">
        <f>IF(AND(ISNUMBER(E222),E222&gt;=0,E222&lt;=90),"Sí","No")</f>
        <v>No</v>
      </c>
    </row>
    <row r="223" spans="1:7">
      <c r="A223" t="str">
        <f>Plan_Mantenciones!A67</f>
        <v>ED-51</v>
      </c>
      <c r="B223" t="str">
        <f>Plan_Mantenciones!B67</f>
        <v>Gravilladora</v>
      </c>
      <c r="C223" t="str">
        <f>Plan_Mantenciones!C67</f>
        <v>Maquinaria Pesada</v>
      </c>
      <c r="D223" s="13" t="str">
        <f ca="1">Plan_Mantenciones!I67</f>
        <v/>
      </c>
      <c r="E223" t="str">
        <f>Plan_Mantenciones!H67</f>
        <v/>
      </c>
      <c r="F223" t="str">
        <f>Plan_Mantenciones!J67</f>
        <v>Operativo</v>
      </c>
      <c r="G223" t="str">
        <f>IF(AND(ISNUMBER(E223),E223&gt;=0,E223&lt;=90),"Sí","No")</f>
        <v>No</v>
      </c>
    </row>
    <row r="224" spans="1:7">
      <c r="A224" t="str">
        <f>Plan_Mantenciones!A79</f>
        <v>EQP-16</v>
      </c>
      <c r="B224" t="str">
        <f>Plan_Mantenciones!B79</f>
        <v>Planta aridos</v>
      </c>
      <c r="C224" t="str">
        <f>Plan_Mantenciones!C79</f>
        <v>Maquinaria Pesada</v>
      </c>
      <c r="D224" s="13" t="str">
        <f ca="1">Plan_Mantenciones!I79</f>
        <v/>
      </c>
      <c r="E224" t="str">
        <f>Plan_Mantenciones!H79</f>
        <v/>
      </c>
      <c r="F224" t="str">
        <f>Plan_Mantenciones!J79</f>
        <v>Fuera de Servicio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:XFD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1312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1313</v>
      </c>
      <c r="B3" s="16" t="s">
        <v>1314</v>
      </c>
      <c r="C3" s="16" t="s">
        <v>1315</v>
      </c>
      <c r="D3" s="16" t="s">
        <v>1316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0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1068104.6099999999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149298.59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0</v>
      </c>
      <c r="D15" s="34">
        <f ca="1">SUMIFS(tblPlanMantenciones[Costo Total PM],tblPlanMantenciones[Fecha Estimada],"&gt;="&amp;A15,tblPlanMantenciones[Fecha Estimada],"&lt;="&amp;B15)</f>
        <v>0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983402.44209999999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69"/>
  <sheetViews>
    <sheetView topLeftCell="A39" workbookViewId="0">
      <selection activeCell="E36" sqref="E36"/>
    </sheetView>
  </sheetViews>
  <sheetFormatPr defaultColWidth="11.42578125" defaultRowHeight="15"/>
  <cols>
    <col min="1" max="1" width="11.42578125" style="74"/>
    <col min="2" max="2" width="16" customWidth="1"/>
    <col min="3" max="3" width="97.85546875" customWidth="1"/>
    <col min="4" max="4" width="18.5703125" style="37" customWidth="1"/>
    <col min="5" max="5" width="20.42578125" style="90" bestFit="1" customWidth="1"/>
    <col min="6" max="6" width="14.85546875" customWidth="1"/>
    <col min="8" max="8" width="15.85546875" bestFit="1" customWidth="1"/>
  </cols>
  <sheetData>
    <row r="1" spans="1:8">
      <c r="A1" s="97" t="s">
        <v>1317</v>
      </c>
      <c r="B1" s="97"/>
      <c r="C1" s="97"/>
      <c r="D1" s="97"/>
      <c r="E1" s="97"/>
      <c r="F1" s="97"/>
      <c r="G1" s="97"/>
    </row>
    <row r="2" spans="1:8">
      <c r="A2" s="97"/>
      <c r="B2" s="97"/>
      <c r="C2" s="97"/>
      <c r="D2" s="97"/>
      <c r="E2" s="97"/>
      <c r="F2" s="97"/>
      <c r="G2" s="97"/>
    </row>
    <row r="3" spans="1:8">
      <c r="A3" s="86" t="s">
        <v>668</v>
      </c>
      <c r="B3" s="89" t="s">
        <v>1318</v>
      </c>
      <c r="C3" s="89" t="s">
        <v>1319</v>
      </c>
      <c r="D3" s="87" t="s">
        <v>1320</v>
      </c>
      <c r="E3" s="91" t="s">
        <v>1321</v>
      </c>
      <c r="F3" s="89" t="s">
        <v>749</v>
      </c>
      <c r="G3" s="89" t="s">
        <v>745</v>
      </c>
      <c r="H3" s="89" t="s">
        <v>1322</v>
      </c>
    </row>
    <row r="4" spans="1:8">
      <c r="A4" s="74">
        <v>46170</v>
      </c>
      <c r="B4" t="s">
        <v>407</v>
      </c>
      <c r="C4" t="s">
        <v>1323</v>
      </c>
      <c r="E4" s="84">
        <v>12865</v>
      </c>
      <c r="F4" t="s">
        <v>752</v>
      </c>
      <c r="G4">
        <v>16617</v>
      </c>
    </row>
    <row r="5" spans="1:8">
      <c r="A5" s="74">
        <v>46170</v>
      </c>
      <c r="B5" t="s">
        <v>407</v>
      </c>
      <c r="C5" t="s">
        <v>1324</v>
      </c>
      <c r="E5" s="84">
        <v>12865</v>
      </c>
      <c r="F5" t="s">
        <v>752</v>
      </c>
      <c r="G5">
        <v>16617</v>
      </c>
    </row>
    <row r="6" spans="1:8">
      <c r="A6" s="74">
        <v>46171</v>
      </c>
      <c r="B6" t="s">
        <v>59</v>
      </c>
      <c r="C6" s="52" t="s">
        <v>1325</v>
      </c>
      <c r="E6" s="84">
        <v>80292</v>
      </c>
      <c r="F6" t="s">
        <v>752</v>
      </c>
      <c r="G6">
        <v>17659</v>
      </c>
    </row>
    <row r="7" spans="1:8">
      <c r="A7" s="74">
        <v>46155</v>
      </c>
      <c r="B7" t="s">
        <v>300</v>
      </c>
      <c r="C7" s="52" t="s">
        <v>1326</v>
      </c>
      <c r="E7" s="84">
        <v>8990</v>
      </c>
      <c r="F7" t="s">
        <v>752</v>
      </c>
      <c r="G7">
        <v>17658</v>
      </c>
    </row>
    <row r="8" spans="1:8">
      <c r="A8" s="74">
        <v>46174</v>
      </c>
      <c r="B8" t="s">
        <v>310</v>
      </c>
      <c r="C8" t="s">
        <v>1327</v>
      </c>
      <c r="E8" s="84"/>
      <c r="F8" t="s">
        <v>752</v>
      </c>
      <c r="G8">
        <v>17625</v>
      </c>
    </row>
    <row r="9" spans="1:8">
      <c r="A9" s="74">
        <v>46174</v>
      </c>
      <c r="B9" t="s">
        <v>89</v>
      </c>
      <c r="C9" t="s">
        <v>1328</v>
      </c>
      <c r="E9" s="84">
        <v>3784</v>
      </c>
      <c r="F9" t="s">
        <v>752</v>
      </c>
      <c r="G9">
        <v>17626</v>
      </c>
    </row>
    <row r="10" spans="1:8">
      <c r="A10" s="74">
        <v>46174</v>
      </c>
      <c r="B10" t="s">
        <v>86</v>
      </c>
      <c r="C10" s="52" t="s">
        <v>1329</v>
      </c>
      <c r="E10" s="84">
        <v>3666</v>
      </c>
      <c r="F10" t="s">
        <v>752</v>
      </c>
    </row>
    <row r="11" spans="1:8">
      <c r="A11" s="74">
        <v>46168</v>
      </c>
      <c r="B11" t="s">
        <v>152</v>
      </c>
      <c r="C11" t="s">
        <v>1330</v>
      </c>
      <c r="E11" s="84"/>
      <c r="F11" t="s">
        <v>752</v>
      </c>
      <c r="G11">
        <v>17623</v>
      </c>
    </row>
    <row r="12" spans="1:8">
      <c r="A12" s="74">
        <v>46167</v>
      </c>
      <c r="B12" t="s">
        <v>36</v>
      </c>
      <c r="C12" t="s">
        <v>1331</v>
      </c>
      <c r="E12" s="84"/>
      <c r="F12" t="s">
        <v>752</v>
      </c>
      <c r="G12">
        <v>17622</v>
      </c>
    </row>
    <row r="13" spans="1:8">
      <c r="A13" s="74">
        <v>46155</v>
      </c>
      <c r="B13" t="s">
        <v>210</v>
      </c>
      <c r="C13" t="s">
        <v>1332</v>
      </c>
      <c r="E13" s="84"/>
      <c r="F13" t="s">
        <v>752</v>
      </c>
      <c r="G13">
        <v>17202</v>
      </c>
    </row>
    <row r="14" spans="1:8">
      <c r="A14" s="74">
        <v>46159</v>
      </c>
      <c r="B14" t="s">
        <v>321</v>
      </c>
      <c r="C14" t="s">
        <v>1333</v>
      </c>
      <c r="E14" s="84">
        <v>27811</v>
      </c>
      <c r="F14" t="s">
        <v>752</v>
      </c>
      <c r="G14">
        <v>17618</v>
      </c>
    </row>
    <row r="15" spans="1:8">
      <c r="A15" s="74">
        <v>46162</v>
      </c>
      <c r="B15" t="s">
        <v>355</v>
      </c>
      <c r="C15" t="s">
        <v>1334</v>
      </c>
      <c r="E15" s="84"/>
      <c r="F15" t="s">
        <v>752</v>
      </c>
      <c r="G15">
        <v>17620</v>
      </c>
    </row>
    <row r="16" spans="1:8">
      <c r="A16" s="74">
        <v>46160</v>
      </c>
      <c r="B16" t="s">
        <v>59</v>
      </c>
      <c r="C16" t="s">
        <v>1335</v>
      </c>
      <c r="E16" s="84" t="s">
        <v>1336</v>
      </c>
      <c r="F16" t="s">
        <v>752</v>
      </c>
      <c r="G16">
        <v>17203</v>
      </c>
    </row>
    <row r="17" spans="1:8">
      <c r="A17" s="74">
        <v>46167</v>
      </c>
      <c r="B17" t="s">
        <v>345</v>
      </c>
      <c r="C17" s="52" t="s">
        <v>1337</v>
      </c>
      <c r="E17" s="84"/>
      <c r="F17" t="s">
        <v>752</v>
      </c>
      <c r="G17">
        <v>16613</v>
      </c>
    </row>
    <row r="18" spans="1:8">
      <c r="A18" s="74">
        <v>46161</v>
      </c>
      <c r="B18" t="s">
        <v>152</v>
      </c>
      <c r="C18" t="s">
        <v>1338</v>
      </c>
      <c r="E18" s="84">
        <v>494234</v>
      </c>
      <c r="F18" t="s">
        <v>752</v>
      </c>
      <c r="G18">
        <v>17619</v>
      </c>
    </row>
    <row r="19" spans="1:8">
      <c r="A19" s="74">
        <v>46161</v>
      </c>
      <c r="B19" t="s">
        <v>321</v>
      </c>
      <c r="C19" t="s">
        <v>1339</v>
      </c>
      <c r="E19" s="84"/>
      <c r="F19" t="s">
        <v>752</v>
      </c>
      <c r="G19">
        <v>170206</v>
      </c>
    </row>
    <row r="20" spans="1:8">
      <c r="A20" s="74">
        <v>46160</v>
      </c>
      <c r="B20" t="s">
        <v>389</v>
      </c>
      <c r="C20" s="52" t="s">
        <v>1340</v>
      </c>
      <c r="E20" s="84">
        <v>8035</v>
      </c>
      <c r="F20" t="s">
        <v>752</v>
      </c>
      <c r="G20">
        <v>17204</v>
      </c>
    </row>
    <row r="21" spans="1:8">
      <c r="A21" s="74">
        <v>46154</v>
      </c>
      <c r="B21" t="s">
        <v>407</v>
      </c>
      <c r="C21" t="s">
        <v>1341</v>
      </c>
      <c r="E21" s="84">
        <v>12836</v>
      </c>
      <c r="F21" t="s">
        <v>752</v>
      </c>
      <c r="G21">
        <v>17201</v>
      </c>
    </row>
    <row r="22" spans="1:8">
      <c r="A22" s="74">
        <v>45867</v>
      </c>
      <c r="B22" t="s">
        <v>589</v>
      </c>
      <c r="C22" t="s">
        <v>1342</v>
      </c>
      <c r="E22" s="84"/>
      <c r="F22" t="s">
        <v>752</v>
      </c>
    </row>
    <row r="23" spans="1:8">
      <c r="A23" s="74">
        <v>46135</v>
      </c>
      <c r="B23" t="s">
        <v>168</v>
      </c>
      <c r="C23" s="52" t="s">
        <v>1343</v>
      </c>
      <c r="E23" s="84"/>
      <c r="F23" t="s">
        <v>752</v>
      </c>
      <c r="G23">
        <v>17803</v>
      </c>
    </row>
    <row r="24" spans="1:8">
      <c r="A24" s="74">
        <v>46139</v>
      </c>
      <c r="B24" t="s">
        <v>371</v>
      </c>
      <c r="C24" t="s">
        <v>1344</v>
      </c>
      <c r="E24" s="84">
        <v>4931</v>
      </c>
      <c r="F24" t="s">
        <v>752</v>
      </c>
      <c r="G24">
        <v>17807</v>
      </c>
    </row>
    <row r="25" spans="1:8">
      <c r="A25" s="74">
        <v>46128</v>
      </c>
      <c r="B25" t="s">
        <v>86</v>
      </c>
      <c r="C25" t="s">
        <v>1345</v>
      </c>
      <c r="E25" s="84"/>
      <c r="F25" t="s">
        <v>752</v>
      </c>
      <c r="G25">
        <v>17805</v>
      </c>
      <c r="H25" t="s">
        <v>1195</v>
      </c>
    </row>
    <row r="26" spans="1:8">
      <c r="A26" s="74">
        <v>46155</v>
      </c>
      <c r="B26" t="s">
        <v>647</v>
      </c>
      <c r="C26" t="s">
        <v>1346</v>
      </c>
      <c r="E26" s="84">
        <v>119633</v>
      </c>
      <c r="F26" t="s">
        <v>752</v>
      </c>
      <c r="G26">
        <v>16601</v>
      </c>
      <c r="H26" t="s">
        <v>472</v>
      </c>
    </row>
    <row r="27" spans="1:8">
      <c r="A27" s="74">
        <v>46160</v>
      </c>
      <c r="B27" t="s">
        <v>19</v>
      </c>
      <c r="C27" t="s">
        <v>1347</v>
      </c>
      <c r="E27" s="84">
        <v>10630</v>
      </c>
      <c r="F27" t="s">
        <v>752</v>
      </c>
      <c r="G27">
        <v>16605</v>
      </c>
      <c r="H27" t="s">
        <v>472</v>
      </c>
    </row>
    <row r="28" spans="1:8">
      <c r="A28" s="74">
        <v>46160</v>
      </c>
      <c r="B28" t="s">
        <v>304</v>
      </c>
      <c r="C28" t="s">
        <v>1348</v>
      </c>
      <c r="E28" s="84">
        <v>8880</v>
      </c>
      <c r="F28" t="s">
        <v>752</v>
      </c>
      <c r="G28">
        <v>16606</v>
      </c>
      <c r="H28" t="s">
        <v>472</v>
      </c>
    </row>
    <row r="29" spans="1:8">
      <c r="A29" s="74">
        <v>46157</v>
      </c>
      <c r="B29" t="s">
        <v>304</v>
      </c>
      <c r="C29" t="s">
        <v>1349</v>
      </c>
      <c r="E29" s="84">
        <v>8878</v>
      </c>
      <c r="F29" t="s">
        <v>752</v>
      </c>
      <c r="G29">
        <v>16603</v>
      </c>
      <c r="H29" t="s">
        <v>472</v>
      </c>
    </row>
    <row r="30" spans="1:8">
      <c r="A30" s="74">
        <v>46161</v>
      </c>
      <c r="B30" t="s">
        <v>390</v>
      </c>
      <c r="C30" t="s">
        <v>1350</v>
      </c>
      <c r="E30" s="84">
        <v>17449</v>
      </c>
      <c r="F30" t="s">
        <v>752</v>
      </c>
      <c r="G30">
        <v>16608</v>
      </c>
      <c r="H30" t="s">
        <v>472</v>
      </c>
    </row>
    <row r="31" spans="1:8">
      <c r="A31" s="74">
        <v>46162</v>
      </c>
      <c r="B31" t="s">
        <v>312</v>
      </c>
      <c r="C31" t="s">
        <v>1351</v>
      </c>
      <c r="E31" s="84">
        <v>21539</v>
      </c>
      <c r="F31" t="s">
        <v>752</v>
      </c>
      <c r="G31">
        <v>16609</v>
      </c>
      <c r="H31" t="s">
        <v>472</v>
      </c>
    </row>
    <row r="32" spans="1:8">
      <c r="A32" s="74">
        <v>46149</v>
      </c>
      <c r="B32" t="s">
        <v>650</v>
      </c>
      <c r="C32" t="s">
        <v>1352</v>
      </c>
      <c r="E32" s="84">
        <v>98899</v>
      </c>
      <c r="F32" t="s">
        <v>752</v>
      </c>
      <c r="H32" t="s">
        <v>1353</v>
      </c>
    </row>
    <row r="33" spans="1:8">
      <c r="A33" s="74">
        <v>46094</v>
      </c>
      <c r="B33" t="s">
        <v>166</v>
      </c>
      <c r="C33" t="s">
        <v>1354</v>
      </c>
      <c r="F33" t="s">
        <v>752</v>
      </c>
      <c r="H33" t="s">
        <v>1353</v>
      </c>
    </row>
    <row r="34" spans="1:8">
      <c r="A34" s="74">
        <v>46118</v>
      </c>
      <c r="B34" t="s">
        <v>312</v>
      </c>
      <c r="C34" t="s">
        <v>1355</v>
      </c>
      <c r="F34" t="s">
        <v>752</v>
      </c>
      <c r="G34">
        <v>17164</v>
      </c>
      <c r="H34" t="s">
        <v>472</v>
      </c>
    </row>
    <row r="35" spans="1:8">
      <c r="A35" s="74">
        <v>46164</v>
      </c>
      <c r="B35" t="s">
        <v>351</v>
      </c>
      <c r="C35" t="s">
        <v>1356</v>
      </c>
      <c r="E35" s="90">
        <v>8627</v>
      </c>
      <c r="F35" t="s">
        <v>752</v>
      </c>
      <c r="G35">
        <v>17615</v>
      </c>
      <c r="H35" t="s">
        <v>1357</v>
      </c>
    </row>
    <row r="36" spans="1:8">
      <c r="A36" s="74">
        <v>46129</v>
      </c>
      <c r="B36" t="s">
        <v>36</v>
      </c>
      <c r="C36" t="s">
        <v>1358</v>
      </c>
      <c r="E36" s="90">
        <v>11200</v>
      </c>
      <c r="F36" t="s">
        <v>752</v>
      </c>
      <c r="G36">
        <v>17612</v>
      </c>
      <c r="H36" t="s">
        <v>1357</v>
      </c>
    </row>
    <row r="37" spans="1:8">
      <c r="A37" s="74">
        <v>46126</v>
      </c>
      <c r="B37" t="s">
        <v>136</v>
      </c>
      <c r="C37" t="s">
        <v>1359</v>
      </c>
      <c r="E37" s="90">
        <v>299359</v>
      </c>
      <c r="F37" t="s">
        <v>752</v>
      </c>
      <c r="G37">
        <v>17607</v>
      </c>
      <c r="H37" t="s">
        <v>1357</v>
      </c>
    </row>
    <row r="38" spans="1:8">
      <c r="A38" s="74">
        <v>46128</v>
      </c>
      <c r="B38" t="s">
        <v>498</v>
      </c>
      <c r="C38" t="s">
        <v>1360</v>
      </c>
      <c r="E38" s="90">
        <v>116846</v>
      </c>
      <c r="F38" t="s">
        <v>752</v>
      </c>
      <c r="G38">
        <v>17609</v>
      </c>
      <c r="H38" t="s">
        <v>1357</v>
      </c>
    </row>
    <row r="39" spans="1:8">
      <c r="A39" s="74">
        <v>46128</v>
      </c>
      <c r="B39" t="s">
        <v>623</v>
      </c>
      <c r="C39" t="s">
        <v>1361</v>
      </c>
      <c r="E39" s="90">
        <v>306371</v>
      </c>
      <c r="F39" t="s">
        <v>752</v>
      </c>
      <c r="G39">
        <v>17610</v>
      </c>
      <c r="H39" t="s">
        <v>1357</v>
      </c>
    </row>
    <row r="40" spans="1:8">
      <c r="A40" s="74">
        <v>46132</v>
      </c>
      <c r="B40" t="s">
        <v>321</v>
      </c>
      <c r="C40" t="s">
        <v>1362</v>
      </c>
      <c r="E40" s="90">
        <v>27805</v>
      </c>
      <c r="F40" t="s">
        <v>752</v>
      </c>
      <c r="G40">
        <v>17614</v>
      </c>
      <c r="H40" t="s">
        <v>1357</v>
      </c>
    </row>
    <row r="41" spans="1:8">
      <c r="A41" s="74">
        <v>46135</v>
      </c>
      <c r="B41" t="s">
        <v>433</v>
      </c>
      <c r="C41" t="s">
        <v>1363</v>
      </c>
      <c r="F41" t="s">
        <v>752</v>
      </c>
      <c r="G41">
        <v>17184</v>
      </c>
      <c r="H41" t="s">
        <v>472</v>
      </c>
    </row>
    <row r="42" spans="1:8">
      <c r="A42" s="74">
        <v>46142</v>
      </c>
      <c r="B42" t="s">
        <v>359</v>
      </c>
      <c r="C42" t="s">
        <v>1364</v>
      </c>
      <c r="E42" s="90">
        <v>7157</v>
      </c>
      <c r="F42" t="s">
        <v>752</v>
      </c>
      <c r="G42">
        <v>17189</v>
      </c>
      <c r="H42" t="s">
        <v>472</v>
      </c>
    </row>
    <row r="43" spans="1:8">
      <c r="A43" s="74">
        <v>46135</v>
      </c>
      <c r="B43" t="s">
        <v>304</v>
      </c>
      <c r="C43" t="s">
        <v>1365</v>
      </c>
      <c r="E43" s="90">
        <v>8817</v>
      </c>
      <c r="F43" t="s">
        <v>752</v>
      </c>
      <c r="G43">
        <v>17183</v>
      </c>
      <c r="H43" t="s">
        <v>472</v>
      </c>
    </row>
    <row r="44" spans="1:8">
      <c r="A44" s="74">
        <v>46146</v>
      </c>
      <c r="B44" t="s">
        <v>359</v>
      </c>
      <c r="C44" t="s">
        <v>1366</v>
      </c>
      <c r="E44" s="90">
        <v>7126</v>
      </c>
      <c r="F44" t="s">
        <v>752</v>
      </c>
      <c r="G44">
        <v>17190</v>
      </c>
      <c r="H44" t="s">
        <v>472</v>
      </c>
    </row>
    <row r="45" spans="1:8">
      <c r="A45" s="74">
        <v>46136</v>
      </c>
      <c r="B45" t="s">
        <v>433</v>
      </c>
      <c r="C45" s="88" t="s">
        <v>1367</v>
      </c>
      <c r="E45" s="90">
        <v>18298</v>
      </c>
      <c r="F45" t="s">
        <v>752</v>
      </c>
      <c r="G45">
        <v>17185</v>
      </c>
      <c r="H45" t="s">
        <v>472</v>
      </c>
    </row>
    <row r="46" spans="1:8">
      <c r="A46" s="74">
        <v>46139</v>
      </c>
      <c r="B46" t="s">
        <v>433</v>
      </c>
      <c r="C46" t="s">
        <v>1368</v>
      </c>
      <c r="E46" s="90">
        <v>18298</v>
      </c>
      <c r="F46" t="s">
        <v>752</v>
      </c>
      <c r="G46">
        <v>17186</v>
      </c>
      <c r="H46" t="s">
        <v>472</v>
      </c>
    </row>
    <row r="47" spans="1:8">
      <c r="A47" s="74">
        <v>46117</v>
      </c>
      <c r="B47" t="s">
        <v>407</v>
      </c>
      <c r="C47" t="s">
        <v>1369</v>
      </c>
      <c r="E47" s="90">
        <v>12936</v>
      </c>
      <c r="F47" t="s">
        <v>752</v>
      </c>
      <c r="G47">
        <v>17656</v>
      </c>
      <c r="H47" t="s">
        <v>1209</v>
      </c>
    </row>
    <row r="48" spans="1:8">
      <c r="A48" s="74">
        <v>46136</v>
      </c>
      <c r="B48" t="s">
        <v>355</v>
      </c>
      <c r="C48" t="s">
        <v>1370</v>
      </c>
      <c r="F48" t="s">
        <v>752</v>
      </c>
      <c r="G48">
        <v>17655</v>
      </c>
      <c r="H48" t="s">
        <v>1209</v>
      </c>
    </row>
    <row r="49" spans="1:8">
      <c r="A49" s="74">
        <v>46136</v>
      </c>
      <c r="B49" t="s">
        <v>321</v>
      </c>
      <c r="C49" t="s">
        <v>1371</v>
      </c>
      <c r="E49" s="90">
        <v>27805</v>
      </c>
      <c r="F49" t="s">
        <v>752</v>
      </c>
      <c r="H49" t="s">
        <v>1353</v>
      </c>
    </row>
    <row r="50" spans="1:8">
      <c r="A50" s="74">
        <v>46136</v>
      </c>
      <c r="B50" t="s">
        <v>321</v>
      </c>
      <c r="C50" t="s">
        <v>1372</v>
      </c>
      <c r="E50" s="90">
        <v>27805</v>
      </c>
      <c r="F50" t="s">
        <v>752</v>
      </c>
      <c r="H50" t="s">
        <v>1353</v>
      </c>
    </row>
    <row r="51" spans="1:8">
      <c r="A51" s="74">
        <v>46146</v>
      </c>
      <c r="B51" t="s">
        <v>282</v>
      </c>
      <c r="C51" t="s">
        <v>1373</v>
      </c>
      <c r="F51" t="s">
        <v>752</v>
      </c>
      <c r="H51" t="s">
        <v>1353</v>
      </c>
    </row>
    <row r="52" spans="1:8">
      <c r="A52" s="74">
        <v>46147</v>
      </c>
      <c r="B52" t="s">
        <v>321</v>
      </c>
      <c r="C52" s="52" t="s">
        <v>1374</v>
      </c>
      <c r="E52" s="90">
        <v>27805</v>
      </c>
      <c r="F52" t="s">
        <v>752</v>
      </c>
      <c r="H52" t="s">
        <v>1353</v>
      </c>
    </row>
    <row r="53" spans="1:8">
      <c r="A53" s="74">
        <v>46133</v>
      </c>
      <c r="B53" t="s">
        <v>29</v>
      </c>
      <c r="C53" t="s">
        <v>1375</v>
      </c>
      <c r="E53" s="90">
        <v>10876</v>
      </c>
      <c r="F53" t="s">
        <v>752</v>
      </c>
      <c r="G53">
        <v>17654</v>
      </c>
      <c r="H53" t="s">
        <v>1209</v>
      </c>
    </row>
    <row r="54" spans="1:8">
      <c r="A54" s="74">
        <v>46128</v>
      </c>
      <c r="B54" t="s">
        <v>386</v>
      </c>
      <c r="C54" t="s">
        <v>1376</v>
      </c>
      <c r="E54" s="90">
        <v>13084</v>
      </c>
      <c r="F54" t="s">
        <v>752</v>
      </c>
      <c r="G54">
        <v>17653</v>
      </c>
      <c r="H54" t="s">
        <v>1209</v>
      </c>
    </row>
    <row r="55" spans="1:8">
      <c r="A55" s="74">
        <v>46125</v>
      </c>
      <c r="B55" t="s">
        <v>696</v>
      </c>
      <c r="C55" t="s">
        <v>1377</v>
      </c>
      <c r="E55" s="90">
        <v>15813</v>
      </c>
      <c r="F55" t="s">
        <v>752</v>
      </c>
      <c r="G55">
        <v>17652</v>
      </c>
      <c r="H55" t="s">
        <v>1209</v>
      </c>
    </row>
    <row r="56" spans="1:8">
      <c r="A56" s="74">
        <v>46188</v>
      </c>
      <c r="B56" t="s">
        <v>407</v>
      </c>
      <c r="C56" t="s">
        <v>1378</v>
      </c>
      <c r="F56" t="s">
        <v>752</v>
      </c>
      <c r="G56">
        <v>17802</v>
      </c>
      <c r="H56" t="s">
        <v>1195</v>
      </c>
    </row>
    <row r="57" spans="1:8">
      <c r="A57" s="74">
        <v>46106</v>
      </c>
      <c r="B57" t="s">
        <v>89</v>
      </c>
      <c r="C57" t="s">
        <v>1379</v>
      </c>
      <c r="E57" s="90">
        <v>3532</v>
      </c>
      <c r="F57" t="s">
        <v>752</v>
      </c>
      <c r="G57">
        <v>17308</v>
      </c>
      <c r="H57" t="s">
        <v>1380</v>
      </c>
    </row>
    <row r="58" spans="1:8">
      <c r="A58" s="74">
        <v>46105</v>
      </c>
      <c r="B58" t="s">
        <v>136</v>
      </c>
      <c r="C58" t="s">
        <v>1381</v>
      </c>
      <c r="E58" s="90">
        <v>297500</v>
      </c>
      <c r="F58" t="s">
        <v>752</v>
      </c>
      <c r="G58">
        <v>17311</v>
      </c>
      <c r="H58" t="s">
        <v>1380</v>
      </c>
    </row>
    <row r="59" spans="1:8">
      <c r="A59" s="74">
        <v>46106</v>
      </c>
      <c r="B59" t="s">
        <v>386</v>
      </c>
      <c r="C59" t="s">
        <v>1382</v>
      </c>
      <c r="E59" s="90">
        <v>13053</v>
      </c>
      <c r="F59" t="s">
        <v>752</v>
      </c>
      <c r="G59">
        <v>17312</v>
      </c>
      <c r="H59" t="s">
        <v>1380</v>
      </c>
    </row>
    <row r="60" spans="1:8">
      <c r="A60" s="74">
        <v>46107</v>
      </c>
      <c r="B60" t="s">
        <v>426</v>
      </c>
      <c r="C60" t="s">
        <v>1383</v>
      </c>
      <c r="E60" s="90">
        <v>573</v>
      </c>
      <c r="F60" t="s">
        <v>752</v>
      </c>
      <c r="G60">
        <v>17314</v>
      </c>
      <c r="H60" t="s">
        <v>1380</v>
      </c>
    </row>
    <row r="61" spans="1:8">
      <c r="A61" s="74">
        <v>46106</v>
      </c>
      <c r="B61" t="s">
        <v>86</v>
      </c>
      <c r="C61" t="s">
        <v>1379</v>
      </c>
      <c r="E61" s="90">
        <v>3455</v>
      </c>
      <c r="F61" t="s">
        <v>752</v>
      </c>
      <c r="G61">
        <v>17315</v>
      </c>
      <c r="H61" t="s">
        <v>1380</v>
      </c>
    </row>
    <row r="62" spans="1:8">
      <c r="A62" s="74">
        <v>46108</v>
      </c>
      <c r="B62" t="s">
        <v>47</v>
      </c>
      <c r="C62" t="s">
        <v>1384</v>
      </c>
      <c r="E62" s="90">
        <v>275716</v>
      </c>
      <c r="F62" t="s">
        <v>752</v>
      </c>
      <c r="G62">
        <v>17316</v>
      </c>
      <c r="H62" t="s">
        <v>1380</v>
      </c>
    </row>
    <row r="63" spans="1:8">
      <c r="A63" s="74">
        <v>46108</v>
      </c>
      <c r="B63" t="s">
        <v>644</v>
      </c>
      <c r="C63" t="s">
        <v>1385</v>
      </c>
      <c r="E63" s="90">
        <v>147465</v>
      </c>
      <c r="F63" t="s">
        <v>752</v>
      </c>
      <c r="G63">
        <v>17317</v>
      </c>
      <c r="H63" t="s">
        <v>1380</v>
      </c>
    </row>
    <row r="64" spans="1:8">
      <c r="A64" s="74">
        <v>46112</v>
      </c>
      <c r="B64" t="s">
        <v>571</v>
      </c>
      <c r="C64" t="s">
        <v>1386</v>
      </c>
      <c r="E64" s="90">
        <v>562024</v>
      </c>
      <c r="F64" t="s">
        <v>752</v>
      </c>
      <c r="G64">
        <v>17321</v>
      </c>
      <c r="H64" t="s">
        <v>1380</v>
      </c>
    </row>
    <row r="65" spans="1:8">
      <c r="A65" s="74">
        <v>46111</v>
      </c>
      <c r="B65" t="s">
        <v>310</v>
      </c>
      <c r="C65" t="s">
        <v>1387</v>
      </c>
      <c r="E65" s="90">
        <v>17019</v>
      </c>
      <c r="F65" t="s">
        <v>752</v>
      </c>
      <c r="G65">
        <v>17320</v>
      </c>
      <c r="H65" t="s">
        <v>1380</v>
      </c>
    </row>
    <row r="66" spans="1:8">
      <c r="A66" s="74">
        <v>46112</v>
      </c>
      <c r="B66" t="s">
        <v>644</v>
      </c>
      <c r="C66" t="s">
        <v>1388</v>
      </c>
      <c r="E66" s="90">
        <v>147465</v>
      </c>
      <c r="F66" t="s">
        <v>752</v>
      </c>
      <c r="G66">
        <v>17322</v>
      </c>
      <c r="H66" t="s">
        <v>1380</v>
      </c>
    </row>
    <row r="67" spans="1:8">
      <c r="A67" s="74">
        <v>46111</v>
      </c>
      <c r="B67" t="s">
        <v>329</v>
      </c>
      <c r="C67" t="s">
        <v>1389</v>
      </c>
      <c r="E67" s="90">
        <v>8984</v>
      </c>
      <c r="F67" t="s">
        <v>752</v>
      </c>
      <c r="G67">
        <v>17160</v>
      </c>
      <c r="H67" t="s">
        <v>472</v>
      </c>
    </row>
    <row r="68" spans="1:8">
      <c r="A68" s="74">
        <v>46112</v>
      </c>
      <c r="B68" t="s">
        <v>363</v>
      </c>
      <c r="C68" t="s">
        <v>1390</v>
      </c>
      <c r="D68" s="37" t="s">
        <v>1391</v>
      </c>
      <c r="F68" t="s">
        <v>752</v>
      </c>
      <c r="G68">
        <v>17162</v>
      </c>
      <c r="H68" t="s">
        <v>472</v>
      </c>
    </row>
    <row r="69" spans="1:8">
      <c r="A69" s="74">
        <v>46105</v>
      </c>
      <c r="B69" t="s">
        <v>633</v>
      </c>
      <c r="C69" s="88" t="s">
        <v>1383</v>
      </c>
      <c r="E69" s="90">
        <v>10125</v>
      </c>
      <c r="F69" t="s">
        <v>752</v>
      </c>
      <c r="G69">
        <v>17309</v>
      </c>
      <c r="H69" t="s">
        <v>495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G9" sqref="G9:H9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5" t="s">
        <v>1392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4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4" spans="1:14">
      <c r="A4" s="102" t="s">
        <v>1393</v>
      </c>
      <c r="B4" s="102"/>
      <c r="D4" s="102" t="s">
        <v>1394</v>
      </c>
      <c r="E4" s="102"/>
      <c r="G4" s="102" t="s">
        <v>1395</v>
      </c>
      <c r="H4" s="102"/>
      <c r="J4" s="102" t="s">
        <v>1396</v>
      </c>
      <c r="K4" s="102"/>
      <c r="M4" s="102" t="s">
        <v>1397</v>
      </c>
      <c r="N4" s="102"/>
    </row>
    <row r="5" spans="1:14" ht="21" customHeight="1">
      <c r="A5" s="106" cm="1">
        <f t="array" ref="A5">SUMPRODUCT(--(Maestro_Equipos!A2:A995&lt;&gt;""))</f>
        <v>240</v>
      </c>
      <c r="B5" s="106"/>
      <c r="D5" s="106" cm="1">
        <f t="array" ref="D5">SUMPRODUCT(--(UPPER(TRIM(Maestro_Equipos!V2:V995))="OPERATIVO"))</f>
        <v>175</v>
      </c>
      <c r="E5" s="106"/>
      <c r="G5" s="106" cm="1">
        <f t="array" ref="G5">SUMPRODUCT(--(ISNUMBER(SEARCH("FUERA DE SERVICIO",UPPER(Maestro_Equipos!V2:V995)))))</f>
        <v>50</v>
      </c>
      <c r="H5" s="106"/>
      <c r="J5" s="106" cm="1">
        <f t="array" ref="J5">SUMPRODUCT(--((UPPER(TRIM(Maestro_Equipos!W2:W995))="ATRASADA")+(UPPER(TRIM(Maestro_Equipos!W2:W995))="ATRASADO")&gt;0))</f>
        <v>0</v>
      </c>
      <c r="K5" s="106"/>
      <c r="M5" s="106">
        <f>COUNTIF(Maestro_Equipos!W:W,"PRÓXIMA")</f>
        <v>0</v>
      </c>
      <c r="N5" s="106"/>
    </row>
    <row r="6" spans="1:14" ht="15" customHeight="1">
      <c r="D6" s="98"/>
      <c r="E6" s="98"/>
      <c r="G6" s="98"/>
      <c r="H6" s="98"/>
    </row>
    <row r="8" spans="1:14">
      <c r="A8" s="102" t="s">
        <v>1398</v>
      </c>
      <c r="B8" s="102"/>
      <c r="D8" s="102" t="s">
        <v>1399</v>
      </c>
      <c r="E8" s="102"/>
      <c r="G8" s="102" t="s">
        <v>1400</v>
      </c>
      <c r="H8" s="102"/>
      <c r="J8" s="102" t="s">
        <v>1401</v>
      </c>
      <c r="K8" s="102"/>
      <c r="M8" s="102" t="s">
        <v>1402</v>
      </c>
      <c r="N8" s="102"/>
    </row>
    <row r="9" spans="1:14" ht="21" customHeight="1">
      <c r="A9" s="106">
        <f>COUNTIF(Maestro_Equipos!AE:AE,"POR RECIBIR")</f>
        <v>0</v>
      </c>
      <c r="B9" s="106"/>
      <c r="D9" s="106">
        <f>COUNTIF(Maestro_Equipos!W:W,"*PROCESO*")</f>
        <v>29</v>
      </c>
      <c r="E9" s="106"/>
      <c r="G9" s="106" cm="1">
        <f t="array" ref="G9">SUMPRODUCT(--(UPPER(TRIM(Maestro_Equipos!W2:W995))="AL DÍA"))</f>
        <v>122</v>
      </c>
      <c r="H9" s="106"/>
      <c r="J9" s="106" cm="1">
        <f t="array" ref="J9">SUMPRODUCT(--(ISNUMBER(SEARCH("TALLER",UPPER(Maestro_Equipos!V2:V995)))))</f>
        <v>14</v>
      </c>
      <c r="K9" s="106"/>
      <c r="M9" s="106">
        <f>COUNTIF(Maestro_Equipos!AD:AD,"PENDIENTE")</f>
        <v>25</v>
      </c>
      <c r="N9" s="106"/>
    </row>
    <row r="12" spans="1:14">
      <c r="A12" s="102" t="s">
        <v>1403</v>
      </c>
      <c r="B12" s="102"/>
      <c r="D12" s="102" t="s">
        <v>1404</v>
      </c>
      <c r="E12" s="102"/>
      <c r="G12" s="102" t="s">
        <v>1405</v>
      </c>
      <c r="H12" s="102"/>
      <c r="J12" s="102" t="s">
        <v>1406</v>
      </c>
      <c r="K12" s="102"/>
      <c r="M12" s="99" t="s">
        <v>1407</v>
      </c>
      <c r="N12" s="99"/>
    </row>
    <row r="13" spans="1:14" ht="21" customHeight="1">
      <c r="A13" s="107">
        <f>COUNTIF(Maestro_Equipos!W:W,"AL DÍA")/COUNTIFS(Maestro_Equipos!A:A,"&lt;&gt;",Maestro_Equipos!V:V,"&lt;&gt;Fuera de Servicio")</f>
        <v>0.63874345549738221</v>
      </c>
      <c r="B13" s="107"/>
      <c r="D13" s="107">
        <f>IFERROR(COUNTIFS(Maestro_Equipos!$A$4:$A$995,"&lt;&gt;",Maestro_Equipos!$W$4:$W$995,"&lt;&gt;ATRASADO",Maestro_Equipos!$W$4:$W$995,"&lt;&gt;")/COUNTIF(Maestro_Equipos!$A$4:$A$995,"&lt;&gt;"),0)</f>
        <v>1</v>
      </c>
      <c r="E13" s="107"/>
      <c r="G13" s="108">
        <f>COUNTIFS(Maestro_Equipos!AE:AE,"ATRASADA",Maestro_Equipos!V:V,"&lt;&gt;*Taller*",Maestro_Equipos!V:V,"&lt;&gt;*Fuera*")</f>
        <v>0</v>
      </c>
      <c r="H13" s="108"/>
      <c r="J13" s="109">
        <f>SUM(Maestro_Equipos!$U$4:$U$242)</f>
        <v>46945455.657239981</v>
      </c>
      <c r="K13" s="109"/>
      <c r="M13" s="100">
        <f>IFERROR(COUNTIF(Maestro_Equipos!V:V,"Operativo")/(COUNTIF(Maestro_Equipos!V:V,"Operativo")+COUNTIF(Maestro_Equipos!V:V,"*Taller*")+COUNTIF(Maestro_Equipos!V:V,"*Fuera*")),0)</f>
        <v>0.73221757322175729</v>
      </c>
      <c r="N13" s="100"/>
    </row>
    <row r="16" spans="1:14">
      <c r="A16" s="102" t="s">
        <v>1408</v>
      </c>
      <c r="B16" s="102"/>
      <c r="D16" s="102" t="s">
        <v>1409</v>
      </c>
      <c r="E16" s="102"/>
      <c r="G16" s="102" t="s">
        <v>1410</v>
      </c>
      <c r="H16" s="102"/>
      <c r="J16" s="102" t="s">
        <v>1411</v>
      </c>
      <c r="K16" s="102"/>
      <c r="M16" s="101" t="s">
        <v>1412</v>
      </c>
      <c r="N16" s="101"/>
    </row>
    <row r="17" spans="1:14" ht="21" customHeight="1">
      <c r="A17" s="104">
        <f ca="1">IFERROR(AVERAGEIF(Maestro_Equipos!$AB$4:$AB$242,"&gt;0"),0)</f>
        <v>49.297029702970299</v>
      </c>
      <c r="B17" s="104"/>
      <c r="D17" s="104">
        <f ca="1">IFERROR(AVERAGEIF(Maestro_Equipos!$AC$4:$AC$242,"&gt;0"),0)</f>
        <v>33.148648648648646</v>
      </c>
      <c r="E17" s="104"/>
      <c r="G17" s="105">
        <f>COUNTIFS(
Maestro_Equipos!Q:Q,"Sin datos de mantención registrado",
Maestro_Equipos!V:V,"&lt;&gt;Fuera de Servicio",
Maestro_Equipos!V:V,"&lt;&gt;Taller",
Maestro_Equipos!V:V,"&lt;&gt;En Taller"
)</f>
        <v>47</v>
      </c>
      <c r="H17" s="105"/>
      <c r="J17" s="106">
        <f>COUNTIFS(Maestro_Equipos!W:W,"ATRASADA",Maestro_Equipos!Z:Z,"")
+COUNTIFS(Maestro_Equipos!W:W,"PRÓXIMA",Maestro_Equipos!Z:Z,"")</f>
        <v>0</v>
      </c>
      <c r="K17" s="106"/>
      <c r="M17" s="103">
        <f ca="1">NOW()</f>
        <v>46182.90521099537</v>
      </c>
      <c r="N17" s="103"/>
    </row>
    <row r="19" spans="1:14" ht="15" customHeight="1">
      <c r="A19" s="110" t="s">
        <v>1413</v>
      </c>
      <c r="B19" s="110"/>
    </row>
    <row r="20" spans="1:14" ht="21" customHeight="1">
      <c r="A20" s="111">
        <f ca="1">(A17-D17)</f>
        <v>16.148381054321653</v>
      </c>
      <c r="B20" s="112"/>
    </row>
    <row r="33" spans="1:8">
      <c r="A33" t="s">
        <v>749</v>
      </c>
      <c r="B33" t="s">
        <v>1414</v>
      </c>
      <c r="D33" t="s">
        <v>1415</v>
      </c>
      <c r="E33" t="s">
        <v>1315</v>
      </c>
      <c r="G33" t="s">
        <v>1416</v>
      </c>
      <c r="H33" t="s">
        <v>1417</v>
      </c>
    </row>
    <row r="34" spans="1:8">
      <c r="A34" t="s">
        <v>1418</v>
      </c>
      <c r="B34">
        <f>COUNTIFS(Maestro_Equipos!W:W,"AL DÍA",Maestro_Equipos!A:A,"&lt;&gt;")</f>
        <v>122</v>
      </c>
      <c r="D34" t="str">
        <f>TEXT(Planner_Semanal!A4,"dd-mm")</f>
        <v>16-03</v>
      </c>
      <c r="E34">
        <f ca="1">Planner_Semanal!C4</f>
        <v>0</v>
      </c>
      <c r="G34" t="s">
        <v>582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1419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1420</v>
      </c>
      <c r="B36">
        <f>COUNTIF(Maestro_Equipos!$W:$W,A36)</f>
        <v>29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1421</v>
      </c>
      <c r="B37">
        <f>COUNTIF(Maestro_Equipos!$W:$W,A37)</f>
        <v>24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1422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1423</v>
      </c>
      <c r="B39">
        <f>COUNTIF(Maestro_Equipos!$W:$W,A39)</f>
        <v>14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1424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480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515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0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4</v>
      </c>
      <c r="G46" t="s">
        <v>592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16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1416</v>
      </c>
      <c r="B51" t="s">
        <v>1425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San Carlos</v>
      </c>
      <c r="B55">
        <f>COUNTIFS(Maestro_Equipos!G$4:G$995,A6,Maestro_Equipos!AD$4:AD$995,"*PENDIENTE*")</f>
        <v>0</v>
      </c>
    </row>
    <row r="56" spans="1:8" ht="15" customHeight="1">
      <c r="A56" t="str">
        <v>Quirihue</v>
      </c>
      <c r="B56">
        <f>COUNTIFS(Maestro_Equipos!G$4:G$995,A7,Maestro_Equipos!AD$4:AD$995,"*PENDIENTE*")</f>
        <v>0</v>
      </c>
    </row>
    <row r="57" spans="1:8" ht="15" customHeight="1">
      <c r="A57" t="str">
        <v>Emergencias Curico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  <mergeCell ref="A9:B9"/>
    <mergeCell ref="D9:E9"/>
    <mergeCell ref="G9:H9"/>
    <mergeCell ref="J9:K9"/>
    <mergeCell ref="M9:N9"/>
    <mergeCell ref="A12:B12"/>
    <mergeCell ref="D12:E12"/>
    <mergeCell ref="G12:H12"/>
    <mergeCell ref="J12:K12"/>
    <mergeCell ref="A13:B13"/>
    <mergeCell ref="D13:E13"/>
    <mergeCell ref="G13:H13"/>
    <mergeCell ref="J13:K13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G6:H6"/>
    <mergeCell ref="D6:E6"/>
    <mergeCell ref="M12:N12"/>
    <mergeCell ref="M13:N13"/>
    <mergeCell ref="M16:N16"/>
    <mergeCell ref="J8:K8"/>
    <mergeCell ref="M8:N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2026-06-10T01:43:47Z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